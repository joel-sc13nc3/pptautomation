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oel Ramirez\PycharmProjects\pptautomation\Input\Analysis_Sheet\"/>
    </mc:Choice>
  </mc:AlternateContent>
  <xr:revisionPtr revIDLastSave="0" documentId="13_ncr:1_{FC1BC9DC-47E5-46CC-BB5A-71C0DC468882}" xr6:coauthVersionLast="47" xr6:coauthVersionMax="47" xr10:uidLastSave="{00000000-0000-0000-0000-000000000000}"/>
  <bookViews>
    <workbookView xWindow="28680" yWindow="-120" windowWidth="29040" windowHeight="15840" tabRatio="850" activeTab="3" xr2:uid="{00000000-000D-0000-FFFF-FFFF00000000}"/>
  </bookViews>
  <sheets>
    <sheet name="Instructions" sheetId="20" r:id="rId1"/>
    <sheet name="KPI, Parameter Glossary" sheetId="21" r:id="rId2"/>
    <sheet name="KPI Count-SHARE" sheetId="4" r:id="rId3"/>
    <sheet name="Analysis - Sales" sheetId="8" r:id="rId4"/>
    <sheet name="Analysis - Marketing" sheetId="19" state="hidden" r:id="rId5"/>
    <sheet name="Reference Set" sheetId="22" r:id="rId6"/>
    <sheet name="VAS" sheetId="23" r:id="rId7"/>
    <sheet name="LookUp" sheetId="17" state="hidden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4" hidden="1">'Analysis - Marketing'!$A$6:$IR$137</definedName>
    <definedName name="_xlnm._FilterDatabase" localSheetId="3" hidden="1">'Analysis - Sales'!$EI$6:$EI$191</definedName>
    <definedName name="_xlnm._FilterDatabase" localSheetId="2" hidden="1">'KPI Count-SHARE'!$B$3:$B$71</definedName>
    <definedName name="_xlnm._FilterDatabase" localSheetId="7" hidden="1">LookUp!$A$1:$C$3118</definedName>
    <definedName name="CurrencyRange">LookUp!$H$2:$H$6</definedName>
    <definedName name="DDFunctionalIndustry">'[1]Drop Downs'!$B$1:$B$3</definedName>
    <definedName name="DDMoveToAS">'[1]Drop Downs'!$E$2:$E$4</definedName>
    <definedName name="ListChannel">OFFSET([2]Lists!$C$6,0,0,[2]Lists!$D$4,1)</definedName>
    <definedName name="ListIndustry">OFFSET([1]Lists!$G$6,0,0,[1]Lists!$H$4,1)</definedName>
    <definedName name="ListRegion">OFFSET([1]Lists!$I$6,0,0,[1]Lists!$J$4,1)</definedName>
    <definedName name="MCKPEERREF">LookUp!$K$14:$L$18</definedName>
    <definedName name="MKTPEERCOLUMNS">LookUp!$K$21:$O$24</definedName>
    <definedName name="MKTPEERSETS">LookUp!$K$15:$K$18</definedName>
    <definedName name="MLNK1426560bfe1d4d268f47e2ca84683e1d" hidden="1" xml:space="preserve">  [3]Sales_Funnel!$1:$1048576</definedName>
    <definedName name="MLNK23105c289ed543fcb652578a1cec9b56" hidden="1" xml:space="preserve">  [3]Unlock_Method!$1:$1048576</definedName>
    <definedName name="MLNK865fe309e2cf4ac0bfedc025e334c38d" hidden="1" xml:space="preserve">  [4]Board_Chart!$B$2:$Q$41</definedName>
    <definedName name="MLNK99612909827b450a8b5e44dd86fd8249" hidden="1" xml:space="preserve">    '[3]Customer Support Tickets'!$1:$1048576</definedName>
    <definedName name="MLNKa5a6bedb7b714414bafcb1b6669b612d" hidden="1" xml:space="preserve">  '[3]AVG daily app use'!$1:$1048576</definedName>
    <definedName name="MLNKaef5d55214d34bbb85dddd09b241e0e9" hidden="1" xml:space="preserve">  [3]Adjacent_Locks!$1:$1048576</definedName>
    <definedName name="MLNKb338e9224fe54e3982e0cd7a5f6a30c1" hidden="1" xml:space="preserve">  '[3]2019 Financials'!$K$56</definedName>
    <definedName name="MLNKbfa3b0be551145b597ac75f95d5a3e70" hidden="1" xml:space="preserve">  '[3]Closed Deals'!$C$59:$L$67</definedName>
    <definedName name="MLNKc451541c8b924a7a80ec858ea51989d2" hidden="1" xml:space="preserve">  '[3]Unlock by User Type'!$1:$1048576</definedName>
    <definedName name="MLNKdb0195c476a24b45b322ccac2ae1dc0a" hidden="1">#REF!</definedName>
    <definedName name="MLNKe52e8fcedfe5425cacce66f071d480de" hidden="1" xml:space="preserve">  '[3]Unlock by User Type'!$1:$1048576</definedName>
    <definedName name="MLNKfe6bd644c569463680f861135f77ce01" hidden="1" xml:space="preserve">  '[3]Closed Deals'!$1:$1048576</definedName>
    <definedName name="ParIDDD">[1]ParameterDD!#REF!</definedName>
    <definedName name="ParLookUpRange">#REF!</definedName>
    <definedName name="ParNameDD">[1]ParameterDD!$B$2:$B$150</definedName>
    <definedName name="PercentileQuartile">LookUp!$S$1:$S$5</definedName>
    <definedName name="sel_scenario_name">[5]AllFilterSettings!$G$2</definedName>
    <definedName name="Tbl_IndustrySearch">'[6]Drop Downs'!$G$1:$H$27</definedName>
    <definedName name="XCheckRemoveSmallKPI">Instructions!$D$11</definedName>
    <definedName name="XCurrency">'KPI Count-SHARE'!$O$2</definedName>
    <definedName name="XCURRSIGN">LookUp!$H$1:$I$6</definedName>
    <definedName name="XKPIAgg1">Instructions!#REF!</definedName>
    <definedName name="XKPIAgg2">Instructions!#REF!</definedName>
    <definedName name="XKPIAgg3">Instructions!#REF!</definedName>
    <definedName name="XKPIAggregation">Instructions!#REF!</definedName>
    <definedName name="XPEERCOLUMNS">LookUp!$K$8:$O$11</definedName>
    <definedName name="XPEERREF">LookUp!$K$1:$L$5</definedName>
    <definedName name="XPeerSets">LookUp!$K$2:$K$5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2" l="1"/>
  <c r="H15" i="23"/>
  <c r="G15" i="23"/>
  <c r="H14" i="23"/>
  <c r="G14" i="23"/>
  <c r="H6" i="23"/>
  <c r="H11" i="23" s="1"/>
  <c r="G6" i="23"/>
  <c r="G11" i="23" s="1"/>
  <c r="F6" i="23"/>
  <c r="JB5" i="8" l="1"/>
  <c r="IV5" i="8"/>
  <c r="IP5" i="8"/>
  <c r="IJ5" i="8"/>
  <c r="IZ8" i="8" l="1"/>
  <c r="JA8" i="8"/>
  <c r="JB8" i="8"/>
  <c r="JC8" i="8"/>
  <c r="JD8" i="8"/>
  <c r="IZ9" i="8"/>
  <c r="JA9" i="8"/>
  <c r="JB9" i="8"/>
  <c r="JC9" i="8"/>
  <c r="JD9" i="8"/>
  <c r="IZ10" i="8"/>
  <c r="JA10" i="8"/>
  <c r="JB10" i="8"/>
  <c r="JC10" i="8"/>
  <c r="JD10" i="8"/>
  <c r="IZ12" i="8"/>
  <c r="JA12" i="8"/>
  <c r="JB12" i="8"/>
  <c r="JC12" i="8"/>
  <c r="JD12" i="8"/>
  <c r="IZ13" i="8"/>
  <c r="JA13" i="8"/>
  <c r="JB13" i="8"/>
  <c r="JC13" i="8"/>
  <c r="JD13" i="8"/>
  <c r="IZ14" i="8"/>
  <c r="JA14" i="8"/>
  <c r="JB14" i="8"/>
  <c r="JC14" i="8"/>
  <c r="JD14" i="8"/>
  <c r="IZ15" i="8"/>
  <c r="JA15" i="8"/>
  <c r="JB15" i="8"/>
  <c r="JC15" i="8"/>
  <c r="JD15" i="8"/>
  <c r="IZ16" i="8"/>
  <c r="JA16" i="8"/>
  <c r="JB16" i="8"/>
  <c r="JC16" i="8"/>
  <c r="JD16" i="8"/>
  <c r="IZ17" i="8"/>
  <c r="JA17" i="8"/>
  <c r="JB17" i="8"/>
  <c r="JC17" i="8"/>
  <c r="JD17" i="8"/>
  <c r="IZ19" i="8"/>
  <c r="JA19" i="8"/>
  <c r="JB19" i="8"/>
  <c r="JC19" i="8"/>
  <c r="JD19" i="8"/>
  <c r="IZ20" i="8"/>
  <c r="JA20" i="8"/>
  <c r="JB20" i="8"/>
  <c r="JC20" i="8"/>
  <c r="JD20" i="8"/>
  <c r="IZ21" i="8"/>
  <c r="JA21" i="8"/>
  <c r="JB21" i="8"/>
  <c r="JC21" i="8"/>
  <c r="JD21" i="8"/>
  <c r="IZ22" i="8"/>
  <c r="JA22" i="8"/>
  <c r="JB22" i="8"/>
  <c r="JC22" i="8"/>
  <c r="JD22" i="8"/>
  <c r="IZ23" i="8"/>
  <c r="JA23" i="8"/>
  <c r="JB23" i="8"/>
  <c r="JC23" i="8"/>
  <c r="JD23" i="8"/>
  <c r="IZ24" i="8"/>
  <c r="JA24" i="8"/>
  <c r="JB24" i="8"/>
  <c r="JC24" i="8"/>
  <c r="JD24" i="8"/>
  <c r="IZ25" i="8"/>
  <c r="JA25" i="8"/>
  <c r="JB25" i="8"/>
  <c r="JC25" i="8"/>
  <c r="JD25" i="8"/>
  <c r="IZ26" i="8"/>
  <c r="JA26" i="8"/>
  <c r="JB26" i="8"/>
  <c r="JC26" i="8"/>
  <c r="JD26" i="8"/>
  <c r="IZ27" i="8"/>
  <c r="JA27" i="8"/>
  <c r="JB27" i="8"/>
  <c r="JC27" i="8"/>
  <c r="JD27" i="8"/>
  <c r="IZ28" i="8"/>
  <c r="JA28" i="8"/>
  <c r="JB28" i="8"/>
  <c r="JC28" i="8"/>
  <c r="JD28" i="8"/>
  <c r="IZ29" i="8"/>
  <c r="JA29" i="8"/>
  <c r="JB29" i="8"/>
  <c r="JC29" i="8"/>
  <c r="JD29" i="8"/>
  <c r="IZ30" i="8"/>
  <c r="JA30" i="8"/>
  <c r="JB30" i="8"/>
  <c r="JC30" i="8"/>
  <c r="JD30" i="8"/>
  <c r="IZ31" i="8"/>
  <c r="JA31" i="8"/>
  <c r="JB31" i="8"/>
  <c r="JC31" i="8"/>
  <c r="JD31" i="8"/>
  <c r="IZ32" i="8"/>
  <c r="JA32" i="8"/>
  <c r="JB32" i="8"/>
  <c r="JC32" i="8"/>
  <c r="JD32" i="8"/>
  <c r="IZ33" i="8"/>
  <c r="JA33" i="8"/>
  <c r="JB33" i="8"/>
  <c r="JC33" i="8"/>
  <c r="JD33" i="8"/>
  <c r="IZ35" i="8"/>
  <c r="JA35" i="8"/>
  <c r="JB35" i="8"/>
  <c r="JC35" i="8"/>
  <c r="JD35" i="8"/>
  <c r="IZ36" i="8"/>
  <c r="JA36" i="8"/>
  <c r="JB36" i="8"/>
  <c r="JC36" i="8"/>
  <c r="JD36" i="8"/>
  <c r="IZ37" i="8"/>
  <c r="JA37" i="8"/>
  <c r="JB37" i="8"/>
  <c r="JC37" i="8"/>
  <c r="JD37" i="8"/>
  <c r="IZ38" i="8"/>
  <c r="JA38" i="8"/>
  <c r="JB38" i="8"/>
  <c r="JC38" i="8"/>
  <c r="JD38" i="8"/>
  <c r="IZ39" i="8"/>
  <c r="JA39" i="8"/>
  <c r="JB39" i="8"/>
  <c r="JC39" i="8"/>
  <c r="JD39" i="8"/>
  <c r="IZ40" i="8"/>
  <c r="JA40" i="8"/>
  <c r="JB40" i="8"/>
  <c r="JC40" i="8"/>
  <c r="JD40" i="8"/>
  <c r="IZ41" i="8"/>
  <c r="JA41" i="8"/>
  <c r="JB41" i="8"/>
  <c r="JC41" i="8"/>
  <c r="JD41" i="8"/>
  <c r="IZ42" i="8"/>
  <c r="JA42" i="8"/>
  <c r="JB42" i="8"/>
  <c r="JC42" i="8"/>
  <c r="JD42" i="8"/>
  <c r="IZ43" i="8"/>
  <c r="JA43" i="8"/>
  <c r="JB43" i="8"/>
  <c r="JC43" i="8"/>
  <c r="JD43" i="8"/>
  <c r="IZ44" i="8"/>
  <c r="JA44" i="8"/>
  <c r="JB44" i="8"/>
  <c r="JC44" i="8"/>
  <c r="JD44" i="8"/>
  <c r="IZ45" i="8"/>
  <c r="JA45" i="8"/>
  <c r="JB45" i="8"/>
  <c r="JC45" i="8"/>
  <c r="JD45" i="8"/>
  <c r="IZ46" i="8"/>
  <c r="JA46" i="8"/>
  <c r="JB46" i="8"/>
  <c r="JC46" i="8"/>
  <c r="JD46" i="8"/>
  <c r="IZ47" i="8"/>
  <c r="JA47" i="8"/>
  <c r="JB47" i="8"/>
  <c r="JC47" i="8"/>
  <c r="JD47" i="8"/>
  <c r="IZ48" i="8"/>
  <c r="JA48" i="8"/>
  <c r="JB48" i="8"/>
  <c r="JC48" i="8"/>
  <c r="JD48" i="8"/>
  <c r="IZ49" i="8"/>
  <c r="JA49" i="8"/>
  <c r="JB49" i="8"/>
  <c r="JC49" i="8"/>
  <c r="JD49" i="8"/>
  <c r="IZ50" i="8"/>
  <c r="JA50" i="8"/>
  <c r="JB50" i="8"/>
  <c r="JC50" i="8"/>
  <c r="JD50" i="8"/>
  <c r="IZ51" i="8"/>
  <c r="JA51" i="8"/>
  <c r="JB51" i="8"/>
  <c r="JC51" i="8"/>
  <c r="JD51" i="8"/>
  <c r="IZ52" i="8"/>
  <c r="JA52" i="8"/>
  <c r="JB52" i="8"/>
  <c r="JC52" i="8"/>
  <c r="JD52" i="8"/>
  <c r="IZ53" i="8"/>
  <c r="JA53" i="8"/>
  <c r="JB53" i="8"/>
  <c r="JC53" i="8"/>
  <c r="JD53" i="8"/>
  <c r="IZ54" i="8"/>
  <c r="JA54" i="8"/>
  <c r="JB54" i="8"/>
  <c r="JC54" i="8"/>
  <c r="JD54" i="8"/>
  <c r="IZ55" i="8"/>
  <c r="JA55" i="8"/>
  <c r="JB55" i="8"/>
  <c r="JC55" i="8"/>
  <c r="JD55" i="8"/>
  <c r="IZ56" i="8"/>
  <c r="JA56" i="8"/>
  <c r="JB56" i="8"/>
  <c r="JC56" i="8"/>
  <c r="JD56" i="8"/>
  <c r="IZ57" i="8"/>
  <c r="JA57" i="8"/>
  <c r="JB57" i="8"/>
  <c r="JC57" i="8"/>
  <c r="JD57" i="8"/>
  <c r="IZ58" i="8"/>
  <c r="JA58" i="8"/>
  <c r="JB58" i="8"/>
  <c r="JC58" i="8"/>
  <c r="JD58" i="8"/>
  <c r="IZ59" i="8"/>
  <c r="JA59" i="8"/>
  <c r="JB59" i="8"/>
  <c r="JC59" i="8"/>
  <c r="JD59" i="8"/>
  <c r="IZ60" i="8"/>
  <c r="JA60" i="8"/>
  <c r="JB60" i="8"/>
  <c r="JC60" i="8"/>
  <c r="JD60" i="8"/>
  <c r="IZ62" i="8"/>
  <c r="JA62" i="8"/>
  <c r="JB62" i="8"/>
  <c r="JC62" i="8"/>
  <c r="JD62" i="8"/>
  <c r="IZ63" i="8"/>
  <c r="JA63" i="8"/>
  <c r="JB63" i="8"/>
  <c r="JC63" i="8"/>
  <c r="JD63" i="8"/>
  <c r="IZ64" i="8"/>
  <c r="JA64" i="8"/>
  <c r="JB64" i="8"/>
  <c r="JC64" i="8"/>
  <c r="JD64" i="8"/>
  <c r="IZ65" i="8"/>
  <c r="JA65" i="8"/>
  <c r="JB65" i="8"/>
  <c r="JC65" i="8"/>
  <c r="JD65" i="8"/>
  <c r="IZ66" i="8"/>
  <c r="JA66" i="8"/>
  <c r="JB66" i="8"/>
  <c r="JC66" i="8"/>
  <c r="JD66" i="8"/>
  <c r="IZ67" i="8"/>
  <c r="JA67" i="8"/>
  <c r="JB67" i="8"/>
  <c r="JC67" i="8"/>
  <c r="JD67" i="8"/>
  <c r="IZ68" i="8"/>
  <c r="JA68" i="8"/>
  <c r="JB68" i="8"/>
  <c r="JC68" i="8"/>
  <c r="JD68" i="8"/>
  <c r="IZ69" i="8"/>
  <c r="JA69" i="8"/>
  <c r="JB69" i="8"/>
  <c r="JC69" i="8"/>
  <c r="JD69" i="8"/>
  <c r="IZ70" i="8"/>
  <c r="JA70" i="8"/>
  <c r="JB70" i="8"/>
  <c r="JC70" i="8"/>
  <c r="JD70" i="8"/>
  <c r="IZ71" i="8"/>
  <c r="JA71" i="8"/>
  <c r="JB71" i="8"/>
  <c r="JC71" i="8"/>
  <c r="JD71" i="8"/>
  <c r="IZ73" i="8"/>
  <c r="JA73" i="8"/>
  <c r="JB73" i="8"/>
  <c r="JC73" i="8"/>
  <c r="JD73" i="8"/>
  <c r="IZ74" i="8"/>
  <c r="JA74" i="8"/>
  <c r="JB74" i="8"/>
  <c r="JC74" i="8"/>
  <c r="JD74" i="8"/>
  <c r="IZ75" i="8"/>
  <c r="JA75" i="8"/>
  <c r="JB75" i="8"/>
  <c r="JC75" i="8"/>
  <c r="JD75" i="8"/>
  <c r="IZ76" i="8"/>
  <c r="JA76" i="8"/>
  <c r="JB76" i="8"/>
  <c r="JC76" i="8"/>
  <c r="JD76" i="8"/>
  <c r="IZ78" i="8"/>
  <c r="JA78" i="8"/>
  <c r="JB78" i="8"/>
  <c r="JC78" i="8"/>
  <c r="JD78" i="8"/>
  <c r="IZ79" i="8"/>
  <c r="JA79" i="8"/>
  <c r="JB79" i="8"/>
  <c r="JC79" i="8"/>
  <c r="JD79" i="8"/>
  <c r="IZ80" i="8"/>
  <c r="JA80" i="8"/>
  <c r="JB80" i="8"/>
  <c r="JC80" i="8"/>
  <c r="JD80" i="8"/>
  <c r="IZ81" i="8"/>
  <c r="JA81" i="8"/>
  <c r="JB81" i="8"/>
  <c r="JC81" i="8"/>
  <c r="JD81" i="8"/>
  <c r="IZ82" i="8"/>
  <c r="JA82" i="8"/>
  <c r="JB82" i="8"/>
  <c r="JC82" i="8"/>
  <c r="JD82" i="8"/>
  <c r="IZ83" i="8"/>
  <c r="JA83" i="8"/>
  <c r="JB83" i="8"/>
  <c r="JC83" i="8"/>
  <c r="JD83" i="8"/>
  <c r="IZ84" i="8"/>
  <c r="JA84" i="8"/>
  <c r="JB84" i="8"/>
  <c r="JC84" i="8"/>
  <c r="JD84" i="8"/>
  <c r="IZ85" i="8"/>
  <c r="JA85" i="8"/>
  <c r="JB85" i="8"/>
  <c r="JC85" i="8"/>
  <c r="JD85" i="8"/>
  <c r="IZ86" i="8"/>
  <c r="JA86" i="8"/>
  <c r="JB86" i="8"/>
  <c r="JC86" i="8"/>
  <c r="JD86" i="8"/>
  <c r="IZ87" i="8"/>
  <c r="JA87" i="8"/>
  <c r="JB87" i="8"/>
  <c r="JC87" i="8"/>
  <c r="JD87" i="8"/>
  <c r="IZ93" i="8"/>
  <c r="JA93" i="8"/>
  <c r="JB93" i="8"/>
  <c r="JC93" i="8"/>
  <c r="JD93" i="8"/>
  <c r="IZ94" i="8"/>
  <c r="JA94" i="8"/>
  <c r="JB94" i="8"/>
  <c r="JC94" i="8"/>
  <c r="JD94" i="8"/>
  <c r="IZ95" i="8"/>
  <c r="JA95" i="8"/>
  <c r="JB95" i="8"/>
  <c r="JC95" i="8"/>
  <c r="JD95" i="8"/>
  <c r="IZ96" i="8"/>
  <c r="JA96" i="8"/>
  <c r="JB96" i="8"/>
  <c r="JC96" i="8"/>
  <c r="JD96" i="8"/>
  <c r="IZ97" i="8"/>
  <c r="JA97" i="8"/>
  <c r="JB97" i="8"/>
  <c r="JC97" i="8"/>
  <c r="JD97" i="8"/>
  <c r="IZ98" i="8"/>
  <c r="JA98" i="8"/>
  <c r="JB98" i="8"/>
  <c r="JC98" i="8"/>
  <c r="JD98" i="8"/>
  <c r="IZ99" i="8"/>
  <c r="JA99" i="8"/>
  <c r="JB99" i="8"/>
  <c r="JC99" i="8"/>
  <c r="JD99" i="8"/>
  <c r="IZ100" i="8"/>
  <c r="JA100" i="8"/>
  <c r="JB100" i="8"/>
  <c r="JC100" i="8"/>
  <c r="JD100" i="8"/>
  <c r="IZ101" i="8"/>
  <c r="JA101" i="8"/>
  <c r="JB101" i="8"/>
  <c r="JC101" i="8"/>
  <c r="JD101" i="8"/>
  <c r="IZ102" i="8"/>
  <c r="JA102" i="8"/>
  <c r="JB102" i="8"/>
  <c r="JC102" i="8"/>
  <c r="JD102" i="8"/>
  <c r="IZ103" i="8"/>
  <c r="JA103" i="8"/>
  <c r="JB103" i="8"/>
  <c r="JC103" i="8"/>
  <c r="JD103" i="8"/>
  <c r="IZ104" i="8"/>
  <c r="JA104" i="8"/>
  <c r="JB104" i="8"/>
  <c r="JC104" i="8"/>
  <c r="JD104" i="8"/>
  <c r="IZ105" i="8"/>
  <c r="JA105" i="8"/>
  <c r="JB105" i="8"/>
  <c r="JC105" i="8"/>
  <c r="JD105" i="8"/>
  <c r="IZ106" i="8"/>
  <c r="JA106" i="8"/>
  <c r="JB106" i="8"/>
  <c r="JC106" i="8"/>
  <c r="JD106" i="8"/>
  <c r="IZ109" i="8"/>
  <c r="JA109" i="8"/>
  <c r="JB109" i="8"/>
  <c r="JC109" i="8"/>
  <c r="JD109" i="8"/>
  <c r="IZ110" i="8"/>
  <c r="JA110" i="8"/>
  <c r="JB110" i="8"/>
  <c r="JC110" i="8"/>
  <c r="JD110" i="8"/>
  <c r="IZ111" i="8"/>
  <c r="JA111" i="8"/>
  <c r="JB111" i="8"/>
  <c r="JC111" i="8"/>
  <c r="JD111" i="8"/>
  <c r="IZ112" i="8"/>
  <c r="JA112" i="8"/>
  <c r="JB112" i="8"/>
  <c r="JC112" i="8"/>
  <c r="JD112" i="8"/>
  <c r="IZ113" i="8"/>
  <c r="JA113" i="8"/>
  <c r="JB113" i="8"/>
  <c r="JC113" i="8"/>
  <c r="JD113" i="8"/>
  <c r="IZ114" i="8"/>
  <c r="JA114" i="8"/>
  <c r="JB114" i="8"/>
  <c r="JC114" i="8"/>
  <c r="JD114" i="8"/>
  <c r="IZ115" i="8"/>
  <c r="JA115" i="8"/>
  <c r="JB115" i="8"/>
  <c r="JC115" i="8"/>
  <c r="JD115" i="8"/>
  <c r="IZ116" i="8"/>
  <c r="JA116" i="8"/>
  <c r="JB116" i="8"/>
  <c r="JC116" i="8"/>
  <c r="JD116" i="8"/>
  <c r="IZ118" i="8"/>
  <c r="JA118" i="8"/>
  <c r="JB118" i="8"/>
  <c r="JC118" i="8"/>
  <c r="JD118" i="8"/>
  <c r="IZ121" i="8"/>
  <c r="JA121" i="8"/>
  <c r="JB121" i="8"/>
  <c r="JC121" i="8"/>
  <c r="JD121" i="8"/>
  <c r="IZ122" i="8"/>
  <c r="JA122" i="8"/>
  <c r="JB122" i="8"/>
  <c r="JC122" i="8"/>
  <c r="JD122" i="8"/>
  <c r="IZ123" i="8"/>
  <c r="JA123" i="8"/>
  <c r="JB123" i="8"/>
  <c r="JC123" i="8"/>
  <c r="JD123" i="8"/>
  <c r="IZ124" i="8"/>
  <c r="JA124" i="8"/>
  <c r="JB124" i="8"/>
  <c r="JC124" i="8"/>
  <c r="JD124" i="8"/>
  <c r="IZ125" i="8"/>
  <c r="JA125" i="8"/>
  <c r="JB125" i="8"/>
  <c r="JC125" i="8"/>
  <c r="JD125" i="8"/>
  <c r="IZ126" i="8"/>
  <c r="JA126" i="8"/>
  <c r="JB126" i="8"/>
  <c r="JC126" i="8"/>
  <c r="JD126" i="8"/>
  <c r="IZ127" i="8"/>
  <c r="JA127" i="8"/>
  <c r="JB127" i="8"/>
  <c r="JC127" i="8"/>
  <c r="JD127" i="8"/>
  <c r="IZ128" i="8"/>
  <c r="JA128" i="8"/>
  <c r="JB128" i="8"/>
  <c r="JC128" i="8"/>
  <c r="JD128" i="8"/>
  <c r="IZ129" i="8"/>
  <c r="JA129" i="8"/>
  <c r="JB129" i="8"/>
  <c r="JC129" i="8"/>
  <c r="JD129" i="8"/>
  <c r="IZ130" i="8"/>
  <c r="JA130" i="8"/>
  <c r="JB130" i="8"/>
  <c r="JC130" i="8"/>
  <c r="JD130" i="8"/>
  <c r="IZ131" i="8"/>
  <c r="JA131" i="8"/>
  <c r="JB131" i="8"/>
  <c r="JC131" i="8"/>
  <c r="JD131" i="8"/>
  <c r="IZ132" i="8"/>
  <c r="JA132" i="8"/>
  <c r="JB132" i="8"/>
  <c r="JC132" i="8"/>
  <c r="JD132" i="8"/>
  <c r="IZ136" i="8"/>
  <c r="JA136" i="8"/>
  <c r="JB136" i="8"/>
  <c r="JC136" i="8"/>
  <c r="JD136" i="8"/>
  <c r="IZ137" i="8"/>
  <c r="JA137" i="8"/>
  <c r="JB137" i="8"/>
  <c r="JC137" i="8"/>
  <c r="JD137" i="8"/>
  <c r="IZ138" i="8"/>
  <c r="JA138" i="8"/>
  <c r="JB138" i="8"/>
  <c r="JC138" i="8"/>
  <c r="JD138" i="8"/>
  <c r="IZ139" i="8"/>
  <c r="JA139" i="8"/>
  <c r="JB139" i="8"/>
  <c r="JC139" i="8"/>
  <c r="JD139" i="8"/>
  <c r="IZ140" i="8"/>
  <c r="JA140" i="8"/>
  <c r="JB140" i="8"/>
  <c r="JC140" i="8"/>
  <c r="JD140" i="8"/>
  <c r="IZ141" i="8"/>
  <c r="JA141" i="8"/>
  <c r="JB141" i="8"/>
  <c r="JC141" i="8"/>
  <c r="JD141" i="8"/>
  <c r="IZ142" i="8"/>
  <c r="JA142" i="8"/>
  <c r="JB142" i="8"/>
  <c r="JC142" i="8"/>
  <c r="JD142" i="8"/>
  <c r="IZ143" i="8"/>
  <c r="JA143" i="8"/>
  <c r="JB143" i="8"/>
  <c r="JC143" i="8"/>
  <c r="JD143" i="8"/>
  <c r="IZ144" i="8"/>
  <c r="JA144" i="8"/>
  <c r="JB144" i="8"/>
  <c r="JC144" i="8"/>
  <c r="JD144" i="8"/>
  <c r="IZ145" i="8"/>
  <c r="JA145" i="8"/>
  <c r="JB145" i="8"/>
  <c r="JC145" i="8"/>
  <c r="JD145" i="8"/>
  <c r="IZ148" i="8"/>
  <c r="JA148" i="8"/>
  <c r="JB148" i="8"/>
  <c r="JC148" i="8"/>
  <c r="JD148" i="8"/>
  <c r="IZ149" i="8"/>
  <c r="JA149" i="8"/>
  <c r="JB149" i="8"/>
  <c r="JC149" i="8"/>
  <c r="JD149" i="8"/>
  <c r="IZ150" i="8"/>
  <c r="JA150" i="8"/>
  <c r="JB150" i="8"/>
  <c r="JC150" i="8"/>
  <c r="JD150" i="8"/>
  <c r="IZ151" i="8"/>
  <c r="JA151" i="8"/>
  <c r="JB151" i="8"/>
  <c r="JC151" i="8"/>
  <c r="JD151" i="8"/>
  <c r="IZ152" i="8"/>
  <c r="JA152" i="8"/>
  <c r="JB152" i="8"/>
  <c r="JC152" i="8"/>
  <c r="JD152" i="8"/>
  <c r="IZ153" i="8"/>
  <c r="JA153" i="8"/>
  <c r="JB153" i="8"/>
  <c r="JC153" i="8"/>
  <c r="JD153" i="8"/>
  <c r="IZ154" i="8"/>
  <c r="JA154" i="8"/>
  <c r="JB154" i="8"/>
  <c r="JC154" i="8"/>
  <c r="JD154" i="8"/>
  <c r="IZ155" i="8"/>
  <c r="JA155" i="8"/>
  <c r="JB155" i="8"/>
  <c r="JC155" i="8"/>
  <c r="JD155" i="8"/>
  <c r="IZ156" i="8"/>
  <c r="JA156" i="8"/>
  <c r="JB156" i="8"/>
  <c r="JC156" i="8"/>
  <c r="JD156" i="8"/>
  <c r="IZ157" i="8"/>
  <c r="JA157" i="8"/>
  <c r="JB157" i="8"/>
  <c r="JC157" i="8"/>
  <c r="JD157" i="8"/>
  <c r="IZ160" i="8"/>
  <c r="JA160" i="8"/>
  <c r="JB160" i="8"/>
  <c r="JC160" i="8"/>
  <c r="JD160" i="8"/>
  <c r="IZ161" i="8"/>
  <c r="JA161" i="8"/>
  <c r="JB161" i="8"/>
  <c r="JC161" i="8"/>
  <c r="JD161" i="8"/>
  <c r="IZ162" i="8"/>
  <c r="JA162" i="8"/>
  <c r="JB162" i="8"/>
  <c r="JC162" i="8"/>
  <c r="JD162" i="8"/>
  <c r="IZ165" i="8"/>
  <c r="JA165" i="8"/>
  <c r="JB165" i="8"/>
  <c r="JC165" i="8"/>
  <c r="JD165" i="8"/>
  <c r="IZ166" i="8"/>
  <c r="JA166" i="8"/>
  <c r="JB166" i="8"/>
  <c r="JC166" i="8"/>
  <c r="JD166" i="8"/>
  <c r="IZ167" i="8"/>
  <c r="JA167" i="8"/>
  <c r="JB167" i="8"/>
  <c r="JC167" i="8"/>
  <c r="JD167" i="8"/>
  <c r="IZ168" i="8"/>
  <c r="JA168" i="8"/>
  <c r="JB168" i="8"/>
  <c r="JC168" i="8"/>
  <c r="JD168" i="8"/>
  <c r="IZ169" i="8"/>
  <c r="JA169" i="8"/>
  <c r="JB169" i="8"/>
  <c r="JC169" i="8"/>
  <c r="JD169" i="8"/>
  <c r="IZ170" i="8"/>
  <c r="JA170" i="8"/>
  <c r="JB170" i="8"/>
  <c r="JC170" i="8"/>
  <c r="JD170" i="8"/>
  <c r="IZ173" i="8"/>
  <c r="JA173" i="8"/>
  <c r="JB173" i="8"/>
  <c r="JC173" i="8"/>
  <c r="JD173" i="8"/>
  <c r="IZ174" i="8"/>
  <c r="JA174" i="8"/>
  <c r="JB174" i="8"/>
  <c r="JC174" i="8"/>
  <c r="JD174" i="8"/>
  <c r="IZ175" i="8"/>
  <c r="JA175" i="8"/>
  <c r="JB175" i="8"/>
  <c r="JC175" i="8"/>
  <c r="JD175" i="8"/>
  <c r="IZ176" i="8"/>
  <c r="JA176" i="8"/>
  <c r="JB176" i="8"/>
  <c r="JC176" i="8"/>
  <c r="JD176" i="8"/>
  <c r="IZ177" i="8"/>
  <c r="JA177" i="8"/>
  <c r="JB177" i="8"/>
  <c r="JC177" i="8"/>
  <c r="JD177" i="8"/>
  <c r="IZ178" i="8"/>
  <c r="JA178" i="8"/>
  <c r="JB178" i="8"/>
  <c r="JC178" i="8"/>
  <c r="JD178" i="8"/>
  <c r="IZ179" i="8"/>
  <c r="JA179" i="8"/>
  <c r="JB179" i="8"/>
  <c r="JC179" i="8"/>
  <c r="JD179" i="8"/>
  <c r="IZ182" i="8"/>
  <c r="JA182" i="8"/>
  <c r="JB182" i="8"/>
  <c r="JC182" i="8"/>
  <c r="JD182" i="8"/>
  <c r="IZ183" i="8"/>
  <c r="JA183" i="8"/>
  <c r="JB183" i="8"/>
  <c r="JC183" i="8"/>
  <c r="JD183" i="8"/>
  <c r="IZ184" i="8"/>
  <c r="JA184" i="8"/>
  <c r="JB184" i="8"/>
  <c r="JC184" i="8"/>
  <c r="JD184" i="8"/>
  <c r="IZ185" i="8"/>
  <c r="JA185" i="8"/>
  <c r="JB185" i="8"/>
  <c r="JC185" i="8"/>
  <c r="JD185" i="8"/>
  <c r="IZ186" i="8"/>
  <c r="JA186" i="8"/>
  <c r="JB186" i="8"/>
  <c r="JC186" i="8"/>
  <c r="JD186" i="8"/>
  <c r="IZ187" i="8"/>
  <c r="JA187" i="8"/>
  <c r="JB187" i="8"/>
  <c r="JC187" i="8"/>
  <c r="JD187" i="8"/>
  <c r="IZ188" i="8"/>
  <c r="JA188" i="8"/>
  <c r="JB188" i="8"/>
  <c r="JC188" i="8"/>
  <c r="JD188" i="8"/>
  <c r="IZ189" i="8"/>
  <c r="JA189" i="8"/>
  <c r="JB189" i="8"/>
  <c r="JC189" i="8"/>
  <c r="JD189" i="8"/>
  <c r="IZ190" i="8"/>
  <c r="JA190" i="8"/>
  <c r="JB190" i="8"/>
  <c r="JC190" i="8"/>
  <c r="JD190" i="8"/>
  <c r="IZ191" i="8"/>
  <c r="JA191" i="8"/>
  <c r="JB191" i="8"/>
  <c r="JC191" i="8"/>
  <c r="JD191" i="8"/>
  <c r="IZ192" i="8"/>
  <c r="JA192" i="8"/>
  <c r="JB192" i="8"/>
  <c r="JC192" i="8"/>
  <c r="JD192" i="8"/>
  <c r="IT8" i="8"/>
  <c r="IU8" i="8"/>
  <c r="IV8" i="8"/>
  <c r="IW8" i="8"/>
  <c r="IX8" i="8"/>
  <c r="IT9" i="8"/>
  <c r="IU9" i="8"/>
  <c r="IV9" i="8"/>
  <c r="IW9" i="8"/>
  <c r="IX9" i="8"/>
  <c r="IT10" i="8"/>
  <c r="IU10" i="8"/>
  <c r="IV10" i="8"/>
  <c r="IW10" i="8"/>
  <c r="IX10" i="8"/>
  <c r="IT12" i="8"/>
  <c r="IU12" i="8"/>
  <c r="IV12" i="8"/>
  <c r="IW12" i="8"/>
  <c r="IX12" i="8"/>
  <c r="IT13" i="8"/>
  <c r="IU13" i="8"/>
  <c r="IV13" i="8"/>
  <c r="IW13" i="8"/>
  <c r="IX13" i="8"/>
  <c r="IT14" i="8"/>
  <c r="IU14" i="8"/>
  <c r="IV14" i="8"/>
  <c r="IW14" i="8"/>
  <c r="IX14" i="8"/>
  <c r="IT15" i="8"/>
  <c r="IU15" i="8"/>
  <c r="IV15" i="8"/>
  <c r="IW15" i="8"/>
  <c r="IX15" i="8"/>
  <c r="IT16" i="8"/>
  <c r="IU16" i="8"/>
  <c r="IV16" i="8"/>
  <c r="IW16" i="8"/>
  <c r="IX16" i="8"/>
  <c r="IT17" i="8"/>
  <c r="IU17" i="8"/>
  <c r="IV17" i="8"/>
  <c r="IW17" i="8"/>
  <c r="IX17" i="8"/>
  <c r="IT19" i="8"/>
  <c r="IU19" i="8"/>
  <c r="IV19" i="8"/>
  <c r="IW19" i="8"/>
  <c r="IX19" i="8"/>
  <c r="IT20" i="8"/>
  <c r="IU20" i="8"/>
  <c r="IV20" i="8"/>
  <c r="IW20" i="8"/>
  <c r="IX20" i="8"/>
  <c r="IT21" i="8"/>
  <c r="IU21" i="8"/>
  <c r="IV21" i="8"/>
  <c r="IW21" i="8"/>
  <c r="IX21" i="8"/>
  <c r="IT22" i="8"/>
  <c r="IU22" i="8"/>
  <c r="IV22" i="8"/>
  <c r="IW22" i="8"/>
  <c r="IX22" i="8"/>
  <c r="IT23" i="8"/>
  <c r="IU23" i="8"/>
  <c r="IV23" i="8"/>
  <c r="IW23" i="8"/>
  <c r="IX23" i="8"/>
  <c r="IT24" i="8"/>
  <c r="IU24" i="8"/>
  <c r="IV24" i="8"/>
  <c r="IW24" i="8"/>
  <c r="IX24" i="8"/>
  <c r="IT25" i="8"/>
  <c r="IU25" i="8"/>
  <c r="IV25" i="8"/>
  <c r="IW25" i="8"/>
  <c r="IX25" i="8"/>
  <c r="IT26" i="8"/>
  <c r="IU26" i="8"/>
  <c r="IV26" i="8"/>
  <c r="IW26" i="8"/>
  <c r="IX26" i="8"/>
  <c r="IT27" i="8"/>
  <c r="IU27" i="8"/>
  <c r="IV27" i="8"/>
  <c r="IW27" i="8"/>
  <c r="IX27" i="8"/>
  <c r="IT28" i="8"/>
  <c r="IU28" i="8"/>
  <c r="IV28" i="8"/>
  <c r="IW28" i="8"/>
  <c r="IX28" i="8"/>
  <c r="IT29" i="8"/>
  <c r="IU29" i="8"/>
  <c r="IV29" i="8"/>
  <c r="IW29" i="8"/>
  <c r="IX29" i="8"/>
  <c r="IT30" i="8"/>
  <c r="IU30" i="8"/>
  <c r="IV30" i="8"/>
  <c r="IW30" i="8"/>
  <c r="IX30" i="8"/>
  <c r="IT31" i="8"/>
  <c r="IU31" i="8"/>
  <c r="IV31" i="8"/>
  <c r="IW31" i="8"/>
  <c r="IX31" i="8"/>
  <c r="IT32" i="8"/>
  <c r="IU32" i="8"/>
  <c r="IV32" i="8"/>
  <c r="IW32" i="8"/>
  <c r="IX32" i="8"/>
  <c r="IT33" i="8"/>
  <c r="IU33" i="8"/>
  <c r="IV33" i="8"/>
  <c r="IW33" i="8"/>
  <c r="IX33" i="8"/>
  <c r="IT35" i="8"/>
  <c r="IU35" i="8"/>
  <c r="IV35" i="8"/>
  <c r="IW35" i="8"/>
  <c r="IX35" i="8"/>
  <c r="IT36" i="8"/>
  <c r="IU36" i="8"/>
  <c r="IV36" i="8"/>
  <c r="IW36" i="8"/>
  <c r="IX36" i="8"/>
  <c r="IT37" i="8"/>
  <c r="IU37" i="8"/>
  <c r="IV37" i="8"/>
  <c r="IW37" i="8"/>
  <c r="IX37" i="8"/>
  <c r="IT38" i="8"/>
  <c r="IU38" i="8"/>
  <c r="IV38" i="8"/>
  <c r="IW38" i="8"/>
  <c r="IX38" i="8"/>
  <c r="IT39" i="8"/>
  <c r="IU39" i="8"/>
  <c r="IV39" i="8"/>
  <c r="IW39" i="8"/>
  <c r="IX39" i="8"/>
  <c r="IT40" i="8"/>
  <c r="IU40" i="8"/>
  <c r="IV40" i="8"/>
  <c r="IW40" i="8"/>
  <c r="IX40" i="8"/>
  <c r="IT41" i="8"/>
  <c r="IU41" i="8"/>
  <c r="IV41" i="8"/>
  <c r="IW41" i="8"/>
  <c r="IX41" i="8"/>
  <c r="IT42" i="8"/>
  <c r="IU42" i="8"/>
  <c r="IV42" i="8"/>
  <c r="IW42" i="8"/>
  <c r="IX42" i="8"/>
  <c r="IT43" i="8"/>
  <c r="IU43" i="8"/>
  <c r="IV43" i="8"/>
  <c r="IW43" i="8"/>
  <c r="IX43" i="8"/>
  <c r="IT44" i="8"/>
  <c r="IU44" i="8"/>
  <c r="IV44" i="8"/>
  <c r="IW44" i="8"/>
  <c r="IX44" i="8"/>
  <c r="IT45" i="8"/>
  <c r="IU45" i="8"/>
  <c r="IV45" i="8"/>
  <c r="IW45" i="8"/>
  <c r="IX45" i="8"/>
  <c r="IT46" i="8"/>
  <c r="IU46" i="8"/>
  <c r="IV46" i="8"/>
  <c r="IW46" i="8"/>
  <c r="IX46" i="8"/>
  <c r="IT47" i="8"/>
  <c r="IU47" i="8"/>
  <c r="IV47" i="8"/>
  <c r="IW47" i="8"/>
  <c r="IX47" i="8"/>
  <c r="IT48" i="8"/>
  <c r="IU48" i="8"/>
  <c r="IV48" i="8"/>
  <c r="IW48" i="8"/>
  <c r="IX48" i="8"/>
  <c r="IT49" i="8"/>
  <c r="IU49" i="8"/>
  <c r="IV49" i="8"/>
  <c r="IW49" i="8"/>
  <c r="IX49" i="8"/>
  <c r="IT50" i="8"/>
  <c r="IU50" i="8"/>
  <c r="IV50" i="8"/>
  <c r="IW50" i="8"/>
  <c r="IX50" i="8"/>
  <c r="IT51" i="8"/>
  <c r="IU51" i="8"/>
  <c r="IV51" i="8"/>
  <c r="IW51" i="8"/>
  <c r="IX51" i="8"/>
  <c r="IT52" i="8"/>
  <c r="IU52" i="8"/>
  <c r="IV52" i="8"/>
  <c r="IW52" i="8"/>
  <c r="IX52" i="8"/>
  <c r="IT53" i="8"/>
  <c r="IU53" i="8"/>
  <c r="IV53" i="8"/>
  <c r="IW53" i="8"/>
  <c r="IX53" i="8"/>
  <c r="IT54" i="8"/>
  <c r="IU54" i="8"/>
  <c r="IV54" i="8"/>
  <c r="IW54" i="8"/>
  <c r="IX54" i="8"/>
  <c r="IT55" i="8"/>
  <c r="IU55" i="8"/>
  <c r="IV55" i="8"/>
  <c r="IW55" i="8"/>
  <c r="IX55" i="8"/>
  <c r="IT56" i="8"/>
  <c r="IU56" i="8"/>
  <c r="IV56" i="8"/>
  <c r="IW56" i="8"/>
  <c r="IX56" i="8"/>
  <c r="IT57" i="8"/>
  <c r="IU57" i="8"/>
  <c r="IV57" i="8"/>
  <c r="IW57" i="8"/>
  <c r="IX57" i="8"/>
  <c r="IT58" i="8"/>
  <c r="IU58" i="8"/>
  <c r="IV58" i="8"/>
  <c r="IW58" i="8"/>
  <c r="IX58" i="8"/>
  <c r="IT59" i="8"/>
  <c r="IU59" i="8"/>
  <c r="IV59" i="8"/>
  <c r="IW59" i="8"/>
  <c r="IX59" i="8"/>
  <c r="IT60" i="8"/>
  <c r="IU60" i="8"/>
  <c r="IV60" i="8"/>
  <c r="IW60" i="8"/>
  <c r="IX60" i="8"/>
  <c r="IT62" i="8"/>
  <c r="IU62" i="8"/>
  <c r="IV62" i="8"/>
  <c r="IW62" i="8"/>
  <c r="IX62" i="8"/>
  <c r="IT63" i="8"/>
  <c r="IU63" i="8"/>
  <c r="IV63" i="8"/>
  <c r="IW63" i="8"/>
  <c r="IX63" i="8"/>
  <c r="IT64" i="8"/>
  <c r="IU64" i="8"/>
  <c r="IV64" i="8"/>
  <c r="IW64" i="8"/>
  <c r="IX64" i="8"/>
  <c r="IT65" i="8"/>
  <c r="IU65" i="8"/>
  <c r="IV65" i="8"/>
  <c r="IW65" i="8"/>
  <c r="IX65" i="8"/>
  <c r="IT66" i="8"/>
  <c r="IU66" i="8"/>
  <c r="IV66" i="8"/>
  <c r="IW66" i="8"/>
  <c r="IX66" i="8"/>
  <c r="IT67" i="8"/>
  <c r="IU67" i="8"/>
  <c r="IV67" i="8"/>
  <c r="IW67" i="8"/>
  <c r="IX67" i="8"/>
  <c r="IT68" i="8"/>
  <c r="IU68" i="8"/>
  <c r="IV68" i="8"/>
  <c r="IW68" i="8"/>
  <c r="IX68" i="8"/>
  <c r="IT69" i="8"/>
  <c r="IU69" i="8"/>
  <c r="IV69" i="8"/>
  <c r="IW69" i="8"/>
  <c r="IX69" i="8"/>
  <c r="IT70" i="8"/>
  <c r="IU70" i="8"/>
  <c r="IV70" i="8"/>
  <c r="IW70" i="8"/>
  <c r="IX70" i="8"/>
  <c r="IT71" i="8"/>
  <c r="IU71" i="8"/>
  <c r="IV71" i="8"/>
  <c r="IW71" i="8"/>
  <c r="IX71" i="8"/>
  <c r="IT73" i="8"/>
  <c r="IU73" i="8"/>
  <c r="IV73" i="8"/>
  <c r="IW73" i="8"/>
  <c r="IX73" i="8"/>
  <c r="IT74" i="8"/>
  <c r="IU74" i="8"/>
  <c r="IV74" i="8"/>
  <c r="IW74" i="8"/>
  <c r="IX74" i="8"/>
  <c r="IT75" i="8"/>
  <c r="IU75" i="8"/>
  <c r="IV75" i="8"/>
  <c r="IW75" i="8"/>
  <c r="IX75" i="8"/>
  <c r="IT76" i="8"/>
  <c r="IU76" i="8"/>
  <c r="IV76" i="8"/>
  <c r="IW76" i="8"/>
  <c r="IX76" i="8"/>
  <c r="IT78" i="8"/>
  <c r="IU78" i="8"/>
  <c r="IV78" i="8"/>
  <c r="IW78" i="8"/>
  <c r="IX78" i="8"/>
  <c r="IT79" i="8"/>
  <c r="IU79" i="8"/>
  <c r="IV79" i="8"/>
  <c r="IW79" i="8"/>
  <c r="IX79" i="8"/>
  <c r="IT80" i="8"/>
  <c r="IU80" i="8"/>
  <c r="IV80" i="8"/>
  <c r="IW80" i="8"/>
  <c r="IX80" i="8"/>
  <c r="IT81" i="8"/>
  <c r="IU81" i="8"/>
  <c r="IV81" i="8"/>
  <c r="IW81" i="8"/>
  <c r="IX81" i="8"/>
  <c r="IT82" i="8"/>
  <c r="IU82" i="8"/>
  <c r="IV82" i="8"/>
  <c r="IW82" i="8"/>
  <c r="IX82" i="8"/>
  <c r="IT83" i="8"/>
  <c r="IU83" i="8"/>
  <c r="IV83" i="8"/>
  <c r="IW83" i="8"/>
  <c r="IX83" i="8"/>
  <c r="IT84" i="8"/>
  <c r="IU84" i="8"/>
  <c r="IV84" i="8"/>
  <c r="IW84" i="8"/>
  <c r="IX84" i="8"/>
  <c r="IT85" i="8"/>
  <c r="IU85" i="8"/>
  <c r="IV85" i="8"/>
  <c r="IW85" i="8"/>
  <c r="IX85" i="8"/>
  <c r="IT86" i="8"/>
  <c r="IU86" i="8"/>
  <c r="IV86" i="8"/>
  <c r="IW86" i="8"/>
  <c r="IX86" i="8"/>
  <c r="IT87" i="8"/>
  <c r="IU87" i="8"/>
  <c r="IV87" i="8"/>
  <c r="IW87" i="8"/>
  <c r="IX87" i="8"/>
  <c r="IT93" i="8"/>
  <c r="IU93" i="8"/>
  <c r="IV93" i="8"/>
  <c r="IW93" i="8"/>
  <c r="IX93" i="8"/>
  <c r="IT94" i="8"/>
  <c r="IU94" i="8"/>
  <c r="IV94" i="8"/>
  <c r="IW94" i="8"/>
  <c r="IX94" i="8"/>
  <c r="IT95" i="8"/>
  <c r="IU95" i="8"/>
  <c r="IV95" i="8"/>
  <c r="IW95" i="8"/>
  <c r="IX95" i="8"/>
  <c r="IT96" i="8"/>
  <c r="IU96" i="8"/>
  <c r="IV96" i="8"/>
  <c r="IW96" i="8"/>
  <c r="IX96" i="8"/>
  <c r="IT97" i="8"/>
  <c r="IU97" i="8"/>
  <c r="IV97" i="8"/>
  <c r="IW97" i="8"/>
  <c r="IX97" i="8"/>
  <c r="IT98" i="8"/>
  <c r="IU98" i="8"/>
  <c r="IV98" i="8"/>
  <c r="IW98" i="8"/>
  <c r="IX98" i="8"/>
  <c r="IT99" i="8"/>
  <c r="IU99" i="8"/>
  <c r="IV99" i="8"/>
  <c r="IW99" i="8"/>
  <c r="IX99" i="8"/>
  <c r="IT100" i="8"/>
  <c r="IU100" i="8"/>
  <c r="IV100" i="8"/>
  <c r="IW100" i="8"/>
  <c r="IX100" i="8"/>
  <c r="IT101" i="8"/>
  <c r="IU101" i="8"/>
  <c r="IV101" i="8"/>
  <c r="IW101" i="8"/>
  <c r="IX101" i="8"/>
  <c r="IT102" i="8"/>
  <c r="IU102" i="8"/>
  <c r="IV102" i="8"/>
  <c r="IW102" i="8"/>
  <c r="IX102" i="8"/>
  <c r="IT103" i="8"/>
  <c r="IU103" i="8"/>
  <c r="IV103" i="8"/>
  <c r="IW103" i="8"/>
  <c r="IX103" i="8"/>
  <c r="IT104" i="8"/>
  <c r="IU104" i="8"/>
  <c r="IV104" i="8"/>
  <c r="IW104" i="8"/>
  <c r="IX104" i="8"/>
  <c r="IT105" i="8"/>
  <c r="IU105" i="8"/>
  <c r="IV105" i="8"/>
  <c r="IW105" i="8"/>
  <c r="IX105" i="8"/>
  <c r="IT106" i="8"/>
  <c r="IU106" i="8"/>
  <c r="IV106" i="8"/>
  <c r="IW106" i="8"/>
  <c r="IX106" i="8"/>
  <c r="IT109" i="8"/>
  <c r="IU109" i="8"/>
  <c r="IV109" i="8"/>
  <c r="IW109" i="8"/>
  <c r="IX109" i="8"/>
  <c r="IT110" i="8"/>
  <c r="IU110" i="8"/>
  <c r="IV110" i="8"/>
  <c r="IW110" i="8"/>
  <c r="IX110" i="8"/>
  <c r="IT111" i="8"/>
  <c r="IU111" i="8"/>
  <c r="IV111" i="8"/>
  <c r="IW111" i="8"/>
  <c r="IX111" i="8"/>
  <c r="IT112" i="8"/>
  <c r="IU112" i="8"/>
  <c r="IV112" i="8"/>
  <c r="IW112" i="8"/>
  <c r="IX112" i="8"/>
  <c r="IT113" i="8"/>
  <c r="IU113" i="8"/>
  <c r="IV113" i="8"/>
  <c r="IW113" i="8"/>
  <c r="IX113" i="8"/>
  <c r="IT114" i="8"/>
  <c r="IU114" i="8"/>
  <c r="IV114" i="8"/>
  <c r="IW114" i="8"/>
  <c r="IX114" i="8"/>
  <c r="IT115" i="8"/>
  <c r="IU115" i="8"/>
  <c r="IV115" i="8"/>
  <c r="IW115" i="8"/>
  <c r="IX115" i="8"/>
  <c r="IT116" i="8"/>
  <c r="IU116" i="8"/>
  <c r="IV116" i="8"/>
  <c r="IW116" i="8"/>
  <c r="IX116" i="8"/>
  <c r="IT118" i="8"/>
  <c r="IU118" i="8"/>
  <c r="IV118" i="8"/>
  <c r="IW118" i="8"/>
  <c r="IX118" i="8"/>
  <c r="IT121" i="8"/>
  <c r="IU121" i="8"/>
  <c r="IV121" i="8"/>
  <c r="IW121" i="8"/>
  <c r="IX121" i="8"/>
  <c r="IT122" i="8"/>
  <c r="IU122" i="8"/>
  <c r="IV122" i="8"/>
  <c r="IW122" i="8"/>
  <c r="IX122" i="8"/>
  <c r="IT123" i="8"/>
  <c r="IU123" i="8"/>
  <c r="IV123" i="8"/>
  <c r="IW123" i="8"/>
  <c r="IX123" i="8"/>
  <c r="IT124" i="8"/>
  <c r="IU124" i="8"/>
  <c r="IV124" i="8"/>
  <c r="IW124" i="8"/>
  <c r="IX124" i="8"/>
  <c r="IT125" i="8"/>
  <c r="IU125" i="8"/>
  <c r="IV125" i="8"/>
  <c r="IW125" i="8"/>
  <c r="IX125" i="8"/>
  <c r="IT126" i="8"/>
  <c r="IU126" i="8"/>
  <c r="IV126" i="8"/>
  <c r="IW126" i="8"/>
  <c r="IX126" i="8"/>
  <c r="IT127" i="8"/>
  <c r="IU127" i="8"/>
  <c r="IV127" i="8"/>
  <c r="IW127" i="8"/>
  <c r="IX127" i="8"/>
  <c r="IT128" i="8"/>
  <c r="IU128" i="8"/>
  <c r="IV128" i="8"/>
  <c r="IW128" i="8"/>
  <c r="IX128" i="8"/>
  <c r="IT129" i="8"/>
  <c r="IU129" i="8"/>
  <c r="IV129" i="8"/>
  <c r="IW129" i="8"/>
  <c r="IX129" i="8"/>
  <c r="IT130" i="8"/>
  <c r="IU130" i="8"/>
  <c r="IV130" i="8"/>
  <c r="IW130" i="8"/>
  <c r="IX130" i="8"/>
  <c r="IT131" i="8"/>
  <c r="IU131" i="8"/>
  <c r="IV131" i="8"/>
  <c r="IW131" i="8"/>
  <c r="IX131" i="8"/>
  <c r="IT132" i="8"/>
  <c r="IU132" i="8"/>
  <c r="IV132" i="8"/>
  <c r="IW132" i="8"/>
  <c r="IX132" i="8"/>
  <c r="IT136" i="8"/>
  <c r="IU136" i="8"/>
  <c r="IV136" i="8"/>
  <c r="IW136" i="8"/>
  <c r="IX136" i="8"/>
  <c r="IT137" i="8"/>
  <c r="IU137" i="8"/>
  <c r="IV137" i="8"/>
  <c r="IW137" i="8"/>
  <c r="IX137" i="8"/>
  <c r="IT138" i="8"/>
  <c r="IU138" i="8"/>
  <c r="IV138" i="8"/>
  <c r="IW138" i="8"/>
  <c r="IX138" i="8"/>
  <c r="IT139" i="8"/>
  <c r="IU139" i="8"/>
  <c r="IV139" i="8"/>
  <c r="IW139" i="8"/>
  <c r="IX139" i="8"/>
  <c r="IT140" i="8"/>
  <c r="IU140" i="8"/>
  <c r="IV140" i="8"/>
  <c r="IW140" i="8"/>
  <c r="IX140" i="8"/>
  <c r="IT141" i="8"/>
  <c r="IU141" i="8"/>
  <c r="IV141" i="8"/>
  <c r="IW141" i="8"/>
  <c r="IX141" i="8"/>
  <c r="IT142" i="8"/>
  <c r="IU142" i="8"/>
  <c r="IV142" i="8"/>
  <c r="IW142" i="8"/>
  <c r="IX142" i="8"/>
  <c r="IT143" i="8"/>
  <c r="IU143" i="8"/>
  <c r="IV143" i="8"/>
  <c r="IW143" i="8"/>
  <c r="IX143" i="8"/>
  <c r="IT144" i="8"/>
  <c r="IU144" i="8"/>
  <c r="IV144" i="8"/>
  <c r="IW144" i="8"/>
  <c r="IX144" i="8"/>
  <c r="IT145" i="8"/>
  <c r="IU145" i="8"/>
  <c r="IV145" i="8"/>
  <c r="IW145" i="8"/>
  <c r="IX145" i="8"/>
  <c r="IT148" i="8"/>
  <c r="IU148" i="8"/>
  <c r="IV148" i="8"/>
  <c r="IW148" i="8"/>
  <c r="IX148" i="8"/>
  <c r="IT149" i="8"/>
  <c r="IU149" i="8"/>
  <c r="IV149" i="8"/>
  <c r="IW149" i="8"/>
  <c r="IX149" i="8"/>
  <c r="IT150" i="8"/>
  <c r="IU150" i="8"/>
  <c r="IV150" i="8"/>
  <c r="IW150" i="8"/>
  <c r="IX150" i="8"/>
  <c r="IT151" i="8"/>
  <c r="IU151" i="8"/>
  <c r="IV151" i="8"/>
  <c r="IW151" i="8"/>
  <c r="IX151" i="8"/>
  <c r="IT152" i="8"/>
  <c r="IU152" i="8"/>
  <c r="IV152" i="8"/>
  <c r="IW152" i="8"/>
  <c r="IX152" i="8"/>
  <c r="IT153" i="8"/>
  <c r="IU153" i="8"/>
  <c r="IV153" i="8"/>
  <c r="IW153" i="8"/>
  <c r="IX153" i="8"/>
  <c r="IT154" i="8"/>
  <c r="IU154" i="8"/>
  <c r="IV154" i="8"/>
  <c r="IW154" i="8"/>
  <c r="IX154" i="8"/>
  <c r="IT155" i="8"/>
  <c r="IU155" i="8"/>
  <c r="IV155" i="8"/>
  <c r="IW155" i="8"/>
  <c r="IX155" i="8"/>
  <c r="IT156" i="8"/>
  <c r="IU156" i="8"/>
  <c r="IV156" i="8"/>
  <c r="IW156" i="8"/>
  <c r="IX156" i="8"/>
  <c r="IT157" i="8"/>
  <c r="IU157" i="8"/>
  <c r="IV157" i="8"/>
  <c r="IW157" i="8"/>
  <c r="IX157" i="8"/>
  <c r="IT160" i="8"/>
  <c r="IU160" i="8"/>
  <c r="IV160" i="8"/>
  <c r="IW160" i="8"/>
  <c r="IX160" i="8"/>
  <c r="IT161" i="8"/>
  <c r="IU161" i="8"/>
  <c r="IV161" i="8"/>
  <c r="IW161" i="8"/>
  <c r="IX161" i="8"/>
  <c r="IT162" i="8"/>
  <c r="IU162" i="8"/>
  <c r="IV162" i="8"/>
  <c r="IW162" i="8"/>
  <c r="IX162" i="8"/>
  <c r="IT165" i="8"/>
  <c r="IU165" i="8"/>
  <c r="IV165" i="8"/>
  <c r="IW165" i="8"/>
  <c r="IX165" i="8"/>
  <c r="IT166" i="8"/>
  <c r="IU166" i="8"/>
  <c r="IV166" i="8"/>
  <c r="IW166" i="8"/>
  <c r="IX166" i="8"/>
  <c r="IT167" i="8"/>
  <c r="IU167" i="8"/>
  <c r="IV167" i="8"/>
  <c r="IW167" i="8"/>
  <c r="IX167" i="8"/>
  <c r="IT168" i="8"/>
  <c r="IU168" i="8"/>
  <c r="IV168" i="8"/>
  <c r="IW168" i="8"/>
  <c r="IX168" i="8"/>
  <c r="IT169" i="8"/>
  <c r="IU169" i="8"/>
  <c r="IV169" i="8"/>
  <c r="IW169" i="8"/>
  <c r="IX169" i="8"/>
  <c r="IT170" i="8"/>
  <c r="IU170" i="8"/>
  <c r="IV170" i="8"/>
  <c r="IW170" i="8"/>
  <c r="IX170" i="8"/>
  <c r="IT173" i="8"/>
  <c r="IU173" i="8"/>
  <c r="IV173" i="8"/>
  <c r="IW173" i="8"/>
  <c r="IX173" i="8"/>
  <c r="IT174" i="8"/>
  <c r="IU174" i="8"/>
  <c r="IV174" i="8"/>
  <c r="IW174" i="8"/>
  <c r="IX174" i="8"/>
  <c r="IT175" i="8"/>
  <c r="IU175" i="8"/>
  <c r="IV175" i="8"/>
  <c r="IW175" i="8"/>
  <c r="IX175" i="8"/>
  <c r="IT176" i="8"/>
  <c r="IU176" i="8"/>
  <c r="IV176" i="8"/>
  <c r="IW176" i="8"/>
  <c r="IX176" i="8"/>
  <c r="IT177" i="8"/>
  <c r="IU177" i="8"/>
  <c r="IV177" i="8"/>
  <c r="IW177" i="8"/>
  <c r="IX177" i="8"/>
  <c r="IT178" i="8"/>
  <c r="IU178" i="8"/>
  <c r="IV178" i="8"/>
  <c r="IW178" i="8"/>
  <c r="IX178" i="8"/>
  <c r="IT179" i="8"/>
  <c r="IU179" i="8"/>
  <c r="IV179" i="8"/>
  <c r="IW179" i="8"/>
  <c r="IX179" i="8"/>
  <c r="IT182" i="8"/>
  <c r="IU182" i="8"/>
  <c r="IV182" i="8"/>
  <c r="IW182" i="8"/>
  <c r="IX182" i="8"/>
  <c r="IT183" i="8"/>
  <c r="IU183" i="8"/>
  <c r="IV183" i="8"/>
  <c r="IW183" i="8"/>
  <c r="IX183" i="8"/>
  <c r="IT184" i="8"/>
  <c r="IU184" i="8"/>
  <c r="IV184" i="8"/>
  <c r="IW184" i="8"/>
  <c r="IX184" i="8"/>
  <c r="IT185" i="8"/>
  <c r="IU185" i="8"/>
  <c r="IV185" i="8"/>
  <c r="IW185" i="8"/>
  <c r="IX185" i="8"/>
  <c r="IT186" i="8"/>
  <c r="IU186" i="8"/>
  <c r="IV186" i="8"/>
  <c r="IW186" i="8"/>
  <c r="IX186" i="8"/>
  <c r="IT187" i="8"/>
  <c r="IU187" i="8"/>
  <c r="IV187" i="8"/>
  <c r="IW187" i="8"/>
  <c r="IX187" i="8"/>
  <c r="IT188" i="8"/>
  <c r="IU188" i="8"/>
  <c r="IV188" i="8"/>
  <c r="IW188" i="8"/>
  <c r="IX188" i="8"/>
  <c r="IT189" i="8"/>
  <c r="IU189" i="8"/>
  <c r="IV189" i="8"/>
  <c r="IW189" i="8"/>
  <c r="IX189" i="8"/>
  <c r="IT190" i="8"/>
  <c r="IU190" i="8"/>
  <c r="IV190" i="8"/>
  <c r="IW190" i="8"/>
  <c r="IX190" i="8"/>
  <c r="IT191" i="8"/>
  <c r="IU191" i="8"/>
  <c r="IV191" i="8"/>
  <c r="IW191" i="8"/>
  <c r="IX191" i="8"/>
  <c r="IT192" i="8"/>
  <c r="IU192" i="8"/>
  <c r="IV192" i="8"/>
  <c r="IW192" i="8"/>
  <c r="IX192" i="8"/>
  <c r="IN8" i="8"/>
  <c r="IO8" i="8"/>
  <c r="IP8" i="8"/>
  <c r="IQ8" i="8"/>
  <c r="IR8" i="8"/>
  <c r="IN9" i="8"/>
  <c r="IO9" i="8"/>
  <c r="IP9" i="8"/>
  <c r="IQ9" i="8"/>
  <c r="IR9" i="8"/>
  <c r="IN10" i="8"/>
  <c r="IO10" i="8"/>
  <c r="IP10" i="8"/>
  <c r="IQ10" i="8"/>
  <c r="IR10" i="8"/>
  <c r="IN12" i="8"/>
  <c r="IO12" i="8"/>
  <c r="IP12" i="8"/>
  <c r="IQ12" i="8"/>
  <c r="IR12" i="8"/>
  <c r="IN13" i="8"/>
  <c r="IO13" i="8"/>
  <c r="IP13" i="8"/>
  <c r="IQ13" i="8"/>
  <c r="IR13" i="8"/>
  <c r="IN14" i="8"/>
  <c r="IO14" i="8"/>
  <c r="IP14" i="8"/>
  <c r="IQ14" i="8"/>
  <c r="IR14" i="8"/>
  <c r="IN15" i="8"/>
  <c r="IO15" i="8"/>
  <c r="IP15" i="8"/>
  <c r="IQ15" i="8"/>
  <c r="IR15" i="8"/>
  <c r="IN16" i="8"/>
  <c r="IO16" i="8"/>
  <c r="IP16" i="8"/>
  <c r="IQ16" i="8"/>
  <c r="IR16" i="8"/>
  <c r="IN17" i="8"/>
  <c r="IO17" i="8"/>
  <c r="IP17" i="8"/>
  <c r="IQ17" i="8"/>
  <c r="IR17" i="8"/>
  <c r="IN19" i="8"/>
  <c r="IO19" i="8"/>
  <c r="IP19" i="8"/>
  <c r="IQ19" i="8"/>
  <c r="IR19" i="8"/>
  <c r="IN20" i="8"/>
  <c r="IO20" i="8"/>
  <c r="IP20" i="8"/>
  <c r="IQ20" i="8"/>
  <c r="IR20" i="8"/>
  <c r="IN21" i="8"/>
  <c r="IO21" i="8"/>
  <c r="IP21" i="8"/>
  <c r="IQ21" i="8"/>
  <c r="IR21" i="8"/>
  <c r="IN22" i="8"/>
  <c r="IO22" i="8"/>
  <c r="IP22" i="8"/>
  <c r="IQ22" i="8"/>
  <c r="IR22" i="8"/>
  <c r="IN23" i="8"/>
  <c r="IO23" i="8"/>
  <c r="IP23" i="8"/>
  <c r="IQ23" i="8"/>
  <c r="IR23" i="8"/>
  <c r="IN24" i="8"/>
  <c r="IO24" i="8"/>
  <c r="IP24" i="8"/>
  <c r="IQ24" i="8"/>
  <c r="IR24" i="8"/>
  <c r="IN25" i="8"/>
  <c r="IO25" i="8"/>
  <c r="IP25" i="8"/>
  <c r="IQ25" i="8"/>
  <c r="IR25" i="8"/>
  <c r="IN26" i="8"/>
  <c r="IO26" i="8"/>
  <c r="IP26" i="8"/>
  <c r="IQ26" i="8"/>
  <c r="IR26" i="8"/>
  <c r="IN27" i="8"/>
  <c r="IO27" i="8"/>
  <c r="IP27" i="8"/>
  <c r="IQ27" i="8"/>
  <c r="IR27" i="8"/>
  <c r="IN28" i="8"/>
  <c r="IO28" i="8"/>
  <c r="IP28" i="8"/>
  <c r="IQ28" i="8"/>
  <c r="IR28" i="8"/>
  <c r="IN29" i="8"/>
  <c r="IO29" i="8"/>
  <c r="IP29" i="8"/>
  <c r="IQ29" i="8"/>
  <c r="IR29" i="8"/>
  <c r="IN30" i="8"/>
  <c r="IO30" i="8"/>
  <c r="IP30" i="8"/>
  <c r="IQ30" i="8"/>
  <c r="IR30" i="8"/>
  <c r="IN31" i="8"/>
  <c r="IO31" i="8"/>
  <c r="IP31" i="8"/>
  <c r="IQ31" i="8"/>
  <c r="IR31" i="8"/>
  <c r="IN32" i="8"/>
  <c r="IO32" i="8"/>
  <c r="IP32" i="8"/>
  <c r="IQ32" i="8"/>
  <c r="IR32" i="8"/>
  <c r="IN33" i="8"/>
  <c r="IO33" i="8"/>
  <c r="IP33" i="8"/>
  <c r="IQ33" i="8"/>
  <c r="IR33" i="8"/>
  <c r="IN35" i="8"/>
  <c r="IO35" i="8"/>
  <c r="IP35" i="8"/>
  <c r="IQ35" i="8"/>
  <c r="IR35" i="8"/>
  <c r="IN36" i="8"/>
  <c r="IO36" i="8"/>
  <c r="IP36" i="8"/>
  <c r="IQ36" i="8"/>
  <c r="IR36" i="8"/>
  <c r="IN37" i="8"/>
  <c r="IO37" i="8"/>
  <c r="IP37" i="8"/>
  <c r="IQ37" i="8"/>
  <c r="IR37" i="8"/>
  <c r="IN38" i="8"/>
  <c r="IO38" i="8"/>
  <c r="IP38" i="8"/>
  <c r="IQ38" i="8"/>
  <c r="IR38" i="8"/>
  <c r="IN39" i="8"/>
  <c r="IO39" i="8"/>
  <c r="IP39" i="8"/>
  <c r="IQ39" i="8"/>
  <c r="IR39" i="8"/>
  <c r="IN40" i="8"/>
  <c r="IO40" i="8"/>
  <c r="IP40" i="8"/>
  <c r="IQ40" i="8"/>
  <c r="IR40" i="8"/>
  <c r="IN41" i="8"/>
  <c r="IO41" i="8"/>
  <c r="IP41" i="8"/>
  <c r="IQ41" i="8"/>
  <c r="IR41" i="8"/>
  <c r="IN42" i="8"/>
  <c r="IO42" i="8"/>
  <c r="IP42" i="8"/>
  <c r="IQ42" i="8"/>
  <c r="IR42" i="8"/>
  <c r="IN43" i="8"/>
  <c r="IO43" i="8"/>
  <c r="IP43" i="8"/>
  <c r="IQ43" i="8"/>
  <c r="IR43" i="8"/>
  <c r="IN44" i="8"/>
  <c r="IO44" i="8"/>
  <c r="IP44" i="8"/>
  <c r="IQ44" i="8"/>
  <c r="IR44" i="8"/>
  <c r="IN45" i="8"/>
  <c r="IO45" i="8"/>
  <c r="IP45" i="8"/>
  <c r="IQ45" i="8"/>
  <c r="IR45" i="8"/>
  <c r="IN46" i="8"/>
  <c r="IO46" i="8"/>
  <c r="IP46" i="8"/>
  <c r="IQ46" i="8"/>
  <c r="IR46" i="8"/>
  <c r="IN47" i="8"/>
  <c r="IO47" i="8"/>
  <c r="IP47" i="8"/>
  <c r="IQ47" i="8"/>
  <c r="IR47" i="8"/>
  <c r="IN48" i="8"/>
  <c r="IO48" i="8"/>
  <c r="IP48" i="8"/>
  <c r="IQ48" i="8"/>
  <c r="IR48" i="8"/>
  <c r="IN49" i="8"/>
  <c r="IO49" i="8"/>
  <c r="IP49" i="8"/>
  <c r="IQ49" i="8"/>
  <c r="IR49" i="8"/>
  <c r="IN50" i="8"/>
  <c r="IO50" i="8"/>
  <c r="IP50" i="8"/>
  <c r="IQ50" i="8"/>
  <c r="IR50" i="8"/>
  <c r="IN51" i="8"/>
  <c r="IO51" i="8"/>
  <c r="IP51" i="8"/>
  <c r="IQ51" i="8"/>
  <c r="IR51" i="8"/>
  <c r="IN52" i="8"/>
  <c r="IO52" i="8"/>
  <c r="IP52" i="8"/>
  <c r="IQ52" i="8"/>
  <c r="IR52" i="8"/>
  <c r="IN53" i="8"/>
  <c r="IO53" i="8"/>
  <c r="IP53" i="8"/>
  <c r="IQ53" i="8"/>
  <c r="IR53" i="8"/>
  <c r="IN54" i="8"/>
  <c r="IO54" i="8"/>
  <c r="IP54" i="8"/>
  <c r="IQ54" i="8"/>
  <c r="IR54" i="8"/>
  <c r="IN55" i="8"/>
  <c r="IO55" i="8"/>
  <c r="IP55" i="8"/>
  <c r="IQ55" i="8"/>
  <c r="IR55" i="8"/>
  <c r="IN56" i="8"/>
  <c r="IO56" i="8"/>
  <c r="IP56" i="8"/>
  <c r="IQ56" i="8"/>
  <c r="IR56" i="8"/>
  <c r="IN57" i="8"/>
  <c r="IO57" i="8"/>
  <c r="IP57" i="8"/>
  <c r="IQ57" i="8"/>
  <c r="IR57" i="8"/>
  <c r="IN58" i="8"/>
  <c r="IO58" i="8"/>
  <c r="IP58" i="8"/>
  <c r="IQ58" i="8"/>
  <c r="IR58" i="8"/>
  <c r="IN59" i="8"/>
  <c r="IO59" i="8"/>
  <c r="IP59" i="8"/>
  <c r="IQ59" i="8"/>
  <c r="IR59" i="8"/>
  <c r="IN60" i="8"/>
  <c r="IO60" i="8"/>
  <c r="IP60" i="8"/>
  <c r="IQ60" i="8"/>
  <c r="IR60" i="8"/>
  <c r="IN62" i="8"/>
  <c r="IO62" i="8"/>
  <c r="IP62" i="8"/>
  <c r="IQ62" i="8"/>
  <c r="IR62" i="8"/>
  <c r="IN63" i="8"/>
  <c r="IO63" i="8"/>
  <c r="IP63" i="8"/>
  <c r="IQ63" i="8"/>
  <c r="IR63" i="8"/>
  <c r="IN64" i="8"/>
  <c r="IO64" i="8"/>
  <c r="IP64" i="8"/>
  <c r="IQ64" i="8"/>
  <c r="IR64" i="8"/>
  <c r="IN65" i="8"/>
  <c r="IO65" i="8"/>
  <c r="IP65" i="8"/>
  <c r="IQ65" i="8"/>
  <c r="IR65" i="8"/>
  <c r="IN66" i="8"/>
  <c r="IO66" i="8"/>
  <c r="IP66" i="8"/>
  <c r="IQ66" i="8"/>
  <c r="IR66" i="8"/>
  <c r="IN67" i="8"/>
  <c r="IO67" i="8"/>
  <c r="IP67" i="8"/>
  <c r="IQ67" i="8"/>
  <c r="IR67" i="8"/>
  <c r="IN68" i="8"/>
  <c r="IO68" i="8"/>
  <c r="IP68" i="8"/>
  <c r="IQ68" i="8"/>
  <c r="IR68" i="8"/>
  <c r="IN69" i="8"/>
  <c r="IO69" i="8"/>
  <c r="IP69" i="8"/>
  <c r="IQ69" i="8"/>
  <c r="IR69" i="8"/>
  <c r="IN70" i="8"/>
  <c r="IO70" i="8"/>
  <c r="IP70" i="8"/>
  <c r="IQ70" i="8"/>
  <c r="IR70" i="8"/>
  <c r="IN71" i="8"/>
  <c r="IO71" i="8"/>
  <c r="IP71" i="8"/>
  <c r="IQ71" i="8"/>
  <c r="IR71" i="8"/>
  <c r="IN73" i="8"/>
  <c r="IO73" i="8"/>
  <c r="IP73" i="8"/>
  <c r="IQ73" i="8"/>
  <c r="IR73" i="8"/>
  <c r="IN74" i="8"/>
  <c r="IO74" i="8"/>
  <c r="IP74" i="8"/>
  <c r="IQ74" i="8"/>
  <c r="IR74" i="8"/>
  <c r="IN75" i="8"/>
  <c r="IO75" i="8"/>
  <c r="IP75" i="8"/>
  <c r="IQ75" i="8"/>
  <c r="IR75" i="8"/>
  <c r="IN76" i="8"/>
  <c r="IO76" i="8"/>
  <c r="IP76" i="8"/>
  <c r="IQ76" i="8"/>
  <c r="IR76" i="8"/>
  <c r="IN78" i="8"/>
  <c r="IO78" i="8"/>
  <c r="IP78" i="8"/>
  <c r="IQ78" i="8"/>
  <c r="IR78" i="8"/>
  <c r="IN79" i="8"/>
  <c r="IO79" i="8"/>
  <c r="IP79" i="8"/>
  <c r="IQ79" i="8"/>
  <c r="IR79" i="8"/>
  <c r="IN80" i="8"/>
  <c r="IO80" i="8"/>
  <c r="IP80" i="8"/>
  <c r="IQ80" i="8"/>
  <c r="IR80" i="8"/>
  <c r="IN81" i="8"/>
  <c r="IO81" i="8"/>
  <c r="IP81" i="8"/>
  <c r="IQ81" i="8"/>
  <c r="IR81" i="8"/>
  <c r="IN82" i="8"/>
  <c r="IO82" i="8"/>
  <c r="IP82" i="8"/>
  <c r="IQ82" i="8"/>
  <c r="IR82" i="8"/>
  <c r="IN83" i="8"/>
  <c r="IO83" i="8"/>
  <c r="IP83" i="8"/>
  <c r="IQ83" i="8"/>
  <c r="IR83" i="8"/>
  <c r="IN84" i="8"/>
  <c r="IO84" i="8"/>
  <c r="IP84" i="8"/>
  <c r="IQ84" i="8"/>
  <c r="IR84" i="8"/>
  <c r="IN85" i="8"/>
  <c r="IO85" i="8"/>
  <c r="IP85" i="8"/>
  <c r="IQ85" i="8"/>
  <c r="IR85" i="8"/>
  <c r="IN86" i="8"/>
  <c r="IO86" i="8"/>
  <c r="IP86" i="8"/>
  <c r="IQ86" i="8"/>
  <c r="IR86" i="8"/>
  <c r="IN87" i="8"/>
  <c r="IO87" i="8"/>
  <c r="IP87" i="8"/>
  <c r="IQ87" i="8"/>
  <c r="IR87" i="8"/>
  <c r="IN93" i="8"/>
  <c r="IO93" i="8"/>
  <c r="IP93" i="8"/>
  <c r="IQ93" i="8"/>
  <c r="IR93" i="8"/>
  <c r="IN94" i="8"/>
  <c r="IO94" i="8"/>
  <c r="IP94" i="8"/>
  <c r="IQ94" i="8"/>
  <c r="IR94" i="8"/>
  <c r="IN95" i="8"/>
  <c r="IO95" i="8"/>
  <c r="IP95" i="8"/>
  <c r="IQ95" i="8"/>
  <c r="IR95" i="8"/>
  <c r="IN96" i="8"/>
  <c r="IO96" i="8"/>
  <c r="IP96" i="8"/>
  <c r="IQ96" i="8"/>
  <c r="IR96" i="8"/>
  <c r="IN97" i="8"/>
  <c r="IO97" i="8"/>
  <c r="IP97" i="8"/>
  <c r="IQ97" i="8"/>
  <c r="IR97" i="8"/>
  <c r="IN98" i="8"/>
  <c r="IO98" i="8"/>
  <c r="IP98" i="8"/>
  <c r="IQ98" i="8"/>
  <c r="IR98" i="8"/>
  <c r="IN99" i="8"/>
  <c r="IO99" i="8"/>
  <c r="IP99" i="8"/>
  <c r="IQ99" i="8"/>
  <c r="IR99" i="8"/>
  <c r="IN100" i="8"/>
  <c r="IO100" i="8"/>
  <c r="IP100" i="8"/>
  <c r="IQ100" i="8"/>
  <c r="IR100" i="8"/>
  <c r="IN101" i="8"/>
  <c r="IO101" i="8"/>
  <c r="IP101" i="8"/>
  <c r="IQ101" i="8"/>
  <c r="IR101" i="8"/>
  <c r="IN102" i="8"/>
  <c r="IO102" i="8"/>
  <c r="IP102" i="8"/>
  <c r="IQ102" i="8"/>
  <c r="IR102" i="8"/>
  <c r="IN103" i="8"/>
  <c r="IO103" i="8"/>
  <c r="IP103" i="8"/>
  <c r="IQ103" i="8"/>
  <c r="IR103" i="8"/>
  <c r="IN104" i="8"/>
  <c r="IO104" i="8"/>
  <c r="IP104" i="8"/>
  <c r="IQ104" i="8"/>
  <c r="IR104" i="8"/>
  <c r="IN105" i="8"/>
  <c r="IO105" i="8"/>
  <c r="IP105" i="8"/>
  <c r="IQ105" i="8"/>
  <c r="IR105" i="8"/>
  <c r="IN106" i="8"/>
  <c r="IO106" i="8"/>
  <c r="IP106" i="8"/>
  <c r="IQ106" i="8"/>
  <c r="IR106" i="8"/>
  <c r="IN109" i="8"/>
  <c r="IO109" i="8"/>
  <c r="IP109" i="8"/>
  <c r="IQ109" i="8"/>
  <c r="IR109" i="8"/>
  <c r="IN110" i="8"/>
  <c r="IO110" i="8"/>
  <c r="IP110" i="8"/>
  <c r="IQ110" i="8"/>
  <c r="IR110" i="8"/>
  <c r="IN111" i="8"/>
  <c r="IO111" i="8"/>
  <c r="IP111" i="8"/>
  <c r="IQ111" i="8"/>
  <c r="IR111" i="8"/>
  <c r="IN112" i="8"/>
  <c r="IO112" i="8"/>
  <c r="IP112" i="8"/>
  <c r="IQ112" i="8"/>
  <c r="IR112" i="8"/>
  <c r="IN113" i="8"/>
  <c r="IO113" i="8"/>
  <c r="IP113" i="8"/>
  <c r="IQ113" i="8"/>
  <c r="IR113" i="8"/>
  <c r="IN114" i="8"/>
  <c r="IO114" i="8"/>
  <c r="IP114" i="8"/>
  <c r="IQ114" i="8"/>
  <c r="IR114" i="8"/>
  <c r="IN115" i="8"/>
  <c r="IO115" i="8"/>
  <c r="IP115" i="8"/>
  <c r="IQ115" i="8"/>
  <c r="IR115" i="8"/>
  <c r="IN116" i="8"/>
  <c r="IO116" i="8"/>
  <c r="IP116" i="8"/>
  <c r="IQ116" i="8"/>
  <c r="IR116" i="8"/>
  <c r="IN118" i="8"/>
  <c r="IO118" i="8"/>
  <c r="IP118" i="8"/>
  <c r="IQ118" i="8"/>
  <c r="IR118" i="8"/>
  <c r="IN121" i="8"/>
  <c r="IO121" i="8"/>
  <c r="IP121" i="8"/>
  <c r="IQ121" i="8"/>
  <c r="IR121" i="8"/>
  <c r="IN122" i="8"/>
  <c r="IO122" i="8"/>
  <c r="IP122" i="8"/>
  <c r="IQ122" i="8"/>
  <c r="IR122" i="8"/>
  <c r="IN123" i="8"/>
  <c r="IO123" i="8"/>
  <c r="IP123" i="8"/>
  <c r="IQ123" i="8"/>
  <c r="IR123" i="8"/>
  <c r="IN124" i="8"/>
  <c r="IO124" i="8"/>
  <c r="IP124" i="8"/>
  <c r="IQ124" i="8"/>
  <c r="IR124" i="8"/>
  <c r="IN125" i="8"/>
  <c r="IO125" i="8"/>
  <c r="IP125" i="8"/>
  <c r="IQ125" i="8"/>
  <c r="IR125" i="8"/>
  <c r="IN126" i="8"/>
  <c r="IO126" i="8"/>
  <c r="IP126" i="8"/>
  <c r="IQ126" i="8"/>
  <c r="IR126" i="8"/>
  <c r="IN127" i="8"/>
  <c r="IO127" i="8"/>
  <c r="IP127" i="8"/>
  <c r="IQ127" i="8"/>
  <c r="IR127" i="8"/>
  <c r="IN128" i="8"/>
  <c r="IO128" i="8"/>
  <c r="IP128" i="8"/>
  <c r="IQ128" i="8"/>
  <c r="IR128" i="8"/>
  <c r="IN129" i="8"/>
  <c r="IO129" i="8"/>
  <c r="IP129" i="8"/>
  <c r="IQ129" i="8"/>
  <c r="IR129" i="8"/>
  <c r="IN130" i="8"/>
  <c r="IO130" i="8"/>
  <c r="IP130" i="8"/>
  <c r="IQ130" i="8"/>
  <c r="IR130" i="8"/>
  <c r="IN131" i="8"/>
  <c r="IO131" i="8"/>
  <c r="IP131" i="8"/>
  <c r="IQ131" i="8"/>
  <c r="IR131" i="8"/>
  <c r="IN132" i="8"/>
  <c r="IO132" i="8"/>
  <c r="IP132" i="8"/>
  <c r="IQ132" i="8"/>
  <c r="IR132" i="8"/>
  <c r="IN136" i="8"/>
  <c r="IO136" i="8"/>
  <c r="IP136" i="8"/>
  <c r="IQ136" i="8"/>
  <c r="IR136" i="8"/>
  <c r="IN137" i="8"/>
  <c r="IO137" i="8"/>
  <c r="IP137" i="8"/>
  <c r="IQ137" i="8"/>
  <c r="IR137" i="8"/>
  <c r="IN138" i="8"/>
  <c r="IO138" i="8"/>
  <c r="IP138" i="8"/>
  <c r="IQ138" i="8"/>
  <c r="IR138" i="8"/>
  <c r="IN139" i="8"/>
  <c r="IO139" i="8"/>
  <c r="IP139" i="8"/>
  <c r="IQ139" i="8"/>
  <c r="IR139" i="8"/>
  <c r="IN140" i="8"/>
  <c r="IO140" i="8"/>
  <c r="IP140" i="8"/>
  <c r="IQ140" i="8"/>
  <c r="IR140" i="8"/>
  <c r="IN141" i="8"/>
  <c r="IO141" i="8"/>
  <c r="IP141" i="8"/>
  <c r="IQ141" i="8"/>
  <c r="IR141" i="8"/>
  <c r="IN142" i="8"/>
  <c r="IO142" i="8"/>
  <c r="IP142" i="8"/>
  <c r="IQ142" i="8"/>
  <c r="IR142" i="8"/>
  <c r="IN143" i="8"/>
  <c r="IO143" i="8"/>
  <c r="IP143" i="8"/>
  <c r="IQ143" i="8"/>
  <c r="IR143" i="8"/>
  <c r="IN144" i="8"/>
  <c r="IO144" i="8"/>
  <c r="IP144" i="8"/>
  <c r="IQ144" i="8"/>
  <c r="IR144" i="8"/>
  <c r="IN145" i="8"/>
  <c r="IO145" i="8"/>
  <c r="IP145" i="8"/>
  <c r="IQ145" i="8"/>
  <c r="IR145" i="8"/>
  <c r="IN148" i="8"/>
  <c r="IO148" i="8"/>
  <c r="IP148" i="8"/>
  <c r="IQ148" i="8"/>
  <c r="IR148" i="8"/>
  <c r="IN149" i="8"/>
  <c r="IO149" i="8"/>
  <c r="IP149" i="8"/>
  <c r="IQ149" i="8"/>
  <c r="IR149" i="8"/>
  <c r="IN150" i="8"/>
  <c r="IO150" i="8"/>
  <c r="IP150" i="8"/>
  <c r="IQ150" i="8"/>
  <c r="IR150" i="8"/>
  <c r="IN151" i="8"/>
  <c r="IO151" i="8"/>
  <c r="IP151" i="8"/>
  <c r="IQ151" i="8"/>
  <c r="IR151" i="8"/>
  <c r="IN152" i="8"/>
  <c r="IO152" i="8"/>
  <c r="IP152" i="8"/>
  <c r="IQ152" i="8"/>
  <c r="IR152" i="8"/>
  <c r="IN153" i="8"/>
  <c r="IO153" i="8"/>
  <c r="IP153" i="8"/>
  <c r="IQ153" i="8"/>
  <c r="IR153" i="8"/>
  <c r="IN154" i="8"/>
  <c r="IO154" i="8"/>
  <c r="IP154" i="8"/>
  <c r="IQ154" i="8"/>
  <c r="IR154" i="8"/>
  <c r="IN155" i="8"/>
  <c r="IO155" i="8"/>
  <c r="IP155" i="8"/>
  <c r="IQ155" i="8"/>
  <c r="IR155" i="8"/>
  <c r="IN156" i="8"/>
  <c r="IO156" i="8"/>
  <c r="IP156" i="8"/>
  <c r="IQ156" i="8"/>
  <c r="IR156" i="8"/>
  <c r="IN157" i="8"/>
  <c r="IO157" i="8"/>
  <c r="IP157" i="8"/>
  <c r="IQ157" i="8"/>
  <c r="IR157" i="8"/>
  <c r="IN160" i="8"/>
  <c r="IO160" i="8"/>
  <c r="IP160" i="8"/>
  <c r="IQ160" i="8"/>
  <c r="IR160" i="8"/>
  <c r="IN161" i="8"/>
  <c r="IO161" i="8"/>
  <c r="IP161" i="8"/>
  <c r="IQ161" i="8"/>
  <c r="IR161" i="8"/>
  <c r="IN162" i="8"/>
  <c r="IO162" i="8"/>
  <c r="IP162" i="8"/>
  <c r="IQ162" i="8"/>
  <c r="IR162" i="8"/>
  <c r="IN165" i="8"/>
  <c r="IO165" i="8"/>
  <c r="IP165" i="8"/>
  <c r="IQ165" i="8"/>
  <c r="IR165" i="8"/>
  <c r="IN166" i="8"/>
  <c r="IO166" i="8"/>
  <c r="IP166" i="8"/>
  <c r="IQ166" i="8"/>
  <c r="IR166" i="8"/>
  <c r="IN167" i="8"/>
  <c r="IO167" i="8"/>
  <c r="IP167" i="8"/>
  <c r="IQ167" i="8"/>
  <c r="IR167" i="8"/>
  <c r="IN168" i="8"/>
  <c r="IO168" i="8"/>
  <c r="IP168" i="8"/>
  <c r="IQ168" i="8"/>
  <c r="IR168" i="8"/>
  <c r="IN169" i="8"/>
  <c r="IO169" i="8"/>
  <c r="IP169" i="8"/>
  <c r="IQ169" i="8"/>
  <c r="IR169" i="8"/>
  <c r="IN170" i="8"/>
  <c r="IO170" i="8"/>
  <c r="IP170" i="8"/>
  <c r="IQ170" i="8"/>
  <c r="IR170" i="8"/>
  <c r="IN173" i="8"/>
  <c r="IO173" i="8"/>
  <c r="IP173" i="8"/>
  <c r="IQ173" i="8"/>
  <c r="IR173" i="8"/>
  <c r="IN174" i="8"/>
  <c r="IO174" i="8"/>
  <c r="IP174" i="8"/>
  <c r="IQ174" i="8"/>
  <c r="IR174" i="8"/>
  <c r="IN175" i="8"/>
  <c r="IO175" i="8"/>
  <c r="IP175" i="8"/>
  <c r="IQ175" i="8"/>
  <c r="IR175" i="8"/>
  <c r="IN176" i="8"/>
  <c r="IO176" i="8"/>
  <c r="IP176" i="8"/>
  <c r="IQ176" i="8"/>
  <c r="IR176" i="8"/>
  <c r="IN177" i="8"/>
  <c r="IO177" i="8"/>
  <c r="IP177" i="8"/>
  <c r="IQ177" i="8"/>
  <c r="IR177" i="8"/>
  <c r="IN178" i="8"/>
  <c r="IO178" i="8"/>
  <c r="IP178" i="8"/>
  <c r="IQ178" i="8"/>
  <c r="IR178" i="8"/>
  <c r="IN179" i="8"/>
  <c r="IO179" i="8"/>
  <c r="IP179" i="8"/>
  <c r="IQ179" i="8"/>
  <c r="IR179" i="8"/>
  <c r="IN182" i="8"/>
  <c r="IO182" i="8"/>
  <c r="IP182" i="8"/>
  <c r="IQ182" i="8"/>
  <c r="IR182" i="8"/>
  <c r="IN183" i="8"/>
  <c r="IO183" i="8"/>
  <c r="IP183" i="8"/>
  <c r="IQ183" i="8"/>
  <c r="IR183" i="8"/>
  <c r="IN184" i="8"/>
  <c r="IO184" i="8"/>
  <c r="IP184" i="8"/>
  <c r="IQ184" i="8"/>
  <c r="IR184" i="8"/>
  <c r="IN185" i="8"/>
  <c r="IO185" i="8"/>
  <c r="IP185" i="8"/>
  <c r="IQ185" i="8"/>
  <c r="IR185" i="8"/>
  <c r="IN186" i="8"/>
  <c r="IO186" i="8"/>
  <c r="IP186" i="8"/>
  <c r="IQ186" i="8"/>
  <c r="IR186" i="8"/>
  <c r="IN187" i="8"/>
  <c r="IO187" i="8"/>
  <c r="IP187" i="8"/>
  <c r="IQ187" i="8"/>
  <c r="IR187" i="8"/>
  <c r="IN188" i="8"/>
  <c r="IO188" i="8"/>
  <c r="IP188" i="8"/>
  <c r="IQ188" i="8"/>
  <c r="IR188" i="8"/>
  <c r="IN189" i="8"/>
  <c r="IO189" i="8"/>
  <c r="IP189" i="8"/>
  <c r="IQ189" i="8"/>
  <c r="IR189" i="8"/>
  <c r="IN190" i="8"/>
  <c r="IO190" i="8"/>
  <c r="IP190" i="8"/>
  <c r="IQ190" i="8"/>
  <c r="IR190" i="8"/>
  <c r="IN191" i="8"/>
  <c r="IO191" i="8"/>
  <c r="IP191" i="8"/>
  <c r="IQ191" i="8"/>
  <c r="IR191" i="8"/>
  <c r="IN192" i="8"/>
  <c r="IO192" i="8"/>
  <c r="IP192" i="8"/>
  <c r="IQ192" i="8"/>
  <c r="IR192" i="8"/>
  <c r="IH8" i="8"/>
  <c r="II8" i="8"/>
  <c r="IJ8" i="8"/>
  <c r="IK8" i="8"/>
  <c r="IL8" i="8"/>
  <c r="IH9" i="8"/>
  <c r="II9" i="8"/>
  <c r="IJ9" i="8"/>
  <c r="IK9" i="8"/>
  <c r="IL9" i="8"/>
  <c r="IH10" i="8"/>
  <c r="II10" i="8"/>
  <c r="IJ10" i="8"/>
  <c r="IK10" i="8"/>
  <c r="IL10" i="8"/>
  <c r="IH12" i="8"/>
  <c r="II12" i="8"/>
  <c r="IJ12" i="8"/>
  <c r="IK12" i="8"/>
  <c r="IL12" i="8"/>
  <c r="IH13" i="8"/>
  <c r="II13" i="8"/>
  <c r="IJ13" i="8"/>
  <c r="IK13" i="8"/>
  <c r="IL13" i="8"/>
  <c r="IH14" i="8"/>
  <c r="II14" i="8"/>
  <c r="IJ14" i="8"/>
  <c r="IK14" i="8"/>
  <c r="IL14" i="8"/>
  <c r="IH15" i="8"/>
  <c r="II15" i="8"/>
  <c r="IJ15" i="8"/>
  <c r="IK15" i="8"/>
  <c r="IL15" i="8"/>
  <c r="IH16" i="8"/>
  <c r="II16" i="8"/>
  <c r="IJ16" i="8"/>
  <c r="IK16" i="8"/>
  <c r="IL16" i="8"/>
  <c r="IH17" i="8"/>
  <c r="II17" i="8"/>
  <c r="IJ17" i="8"/>
  <c r="IK17" i="8"/>
  <c r="IL17" i="8"/>
  <c r="IH19" i="8"/>
  <c r="II19" i="8"/>
  <c r="IJ19" i="8"/>
  <c r="IK19" i="8"/>
  <c r="IL19" i="8"/>
  <c r="IH20" i="8"/>
  <c r="II20" i="8"/>
  <c r="IJ20" i="8"/>
  <c r="IK20" i="8"/>
  <c r="IL20" i="8"/>
  <c r="IH21" i="8"/>
  <c r="II21" i="8"/>
  <c r="IJ21" i="8"/>
  <c r="IK21" i="8"/>
  <c r="IL21" i="8"/>
  <c r="IH22" i="8"/>
  <c r="II22" i="8"/>
  <c r="IJ22" i="8"/>
  <c r="IK22" i="8"/>
  <c r="IL22" i="8"/>
  <c r="IH23" i="8"/>
  <c r="II23" i="8"/>
  <c r="IJ23" i="8"/>
  <c r="IK23" i="8"/>
  <c r="IL23" i="8"/>
  <c r="IH24" i="8"/>
  <c r="II24" i="8"/>
  <c r="IJ24" i="8"/>
  <c r="IK24" i="8"/>
  <c r="IL24" i="8"/>
  <c r="IH25" i="8"/>
  <c r="II25" i="8"/>
  <c r="IJ25" i="8"/>
  <c r="IK25" i="8"/>
  <c r="IL25" i="8"/>
  <c r="IH26" i="8"/>
  <c r="II26" i="8"/>
  <c r="IJ26" i="8"/>
  <c r="IK26" i="8"/>
  <c r="IL26" i="8"/>
  <c r="IH27" i="8"/>
  <c r="II27" i="8"/>
  <c r="IJ27" i="8"/>
  <c r="IK27" i="8"/>
  <c r="IL27" i="8"/>
  <c r="IH28" i="8"/>
  <c r="II28" i="8"/>
  <c r="IJ28" i="8"/>
  <c r="IK28" i="8"/>
  <c r="IL28" i="8"/>
  <c r="IH29" i="8"/>
  <c r="II29" i="8"/>
  <c r="IJ29" i="8"/>
  <c r="IK29" i="8"/>
  <c r="IL29" i="8"/>
  <c r="IH30" i="8"/>
  <c r="II30" i="8"/>
  <c r="IJ30" i="8"/>
  <c r="IK30" i="8"/>
  <c r="IL30" i="8"/>
  <c r="IH31" i="8"/>
  <c r="II31" i="8"/>
  <c r="IJ31" i="8"/>
  <c r="IK31" i="8"/>
  <c r="IL31" i="8"/>
  <c r="IH32" i="8"/>
  <c r="II32" i="8"/>
  <c r="IJ32" i="8"/>
  <c r="IK32" i="8"/>
  <c r="IL32" i="8"/>
  <c r="IH33" i="8"/>
  <c r="II33" i="8"/>
  <c r="IJ33" i="8"/>
  <c r="IK33" i="8"/>
  <c r="IL33" i="8"/>
  <c r="IH35" i="8"/>
  <c r="II35" i="8"/>
  <c r="IJ35" i="8"/>
  <c r="IK35" i="8"/>
  <c r="IL35" i="8"/>
  <c r="IH36" i="8"/>
  <c r="II36" i="8"/>
  <c r="IJ36" i="8"/>
  <c r="IK36" i="8"/>
  <c r="IL36" i="8"/>
  <c r="IH37" i="8"/>
  <c r="II37" i="8"/>
  <c r="IJ37" i="8"/>
  <c r="IK37" i="8"/>
  <c r="IL37" i="8"/>
  <c r="IH38" i="8"/>
  <c r="II38" i="8"/>
  <c r="IJ38" i="8"/>
  <c r="IK38" i="8"/>
  <c r="IL38" i="8"/>
  <c r="IH39" i="8"/>
  <c r="II39" i="8"/>
  <c r="IJ39" i="8"/>
  <c r="IK39" i="8"/>
  <c r="IL39" i="8"/>
  <c r="IH40" i="8"/>
  <c r="II40" i="8"/>
  <c r="IJ40" i="8"/>
  <c r="IK40" i="8"/>
  <c r="IL40" i="8"/>
  <c r="IH41" i="8"/>
  <c r="II41" i="8"/>
  <c r="IJ41" i="8"/>
  <c r="IK41" i="8"/>
  <c r="IL41" i="8"/>
  <c r="IH42" i="8"/>
  <c r="II42" i="8"/>
  <c r="IJ42" i="8"/>
  <c r="IK42" i="8"/>
  <c r="IL42" i="8"/>
  <c r="IH43" i="8"/>
  <c r="II43" i="8"/>
  <c r="IJ43" i="8"/>
  <c r="IK43" i="8"/>
  <c r="IL43" i="8"/>
  <c r="IH44" i="8"/>
  <c r="II44" i="8"/>
  <c r="IJ44" i="8"/>
  <c r="IK44" i="8"/>
  <c r="IL44" i="8"/>
  <c r="IH45" i="8"/>
  <c r="II45" i="8"/>
  <c r="IJ45" i="8"/>
  <c r="IK45" i="8"/>
  <c r="IL45" i="8"/>
  <c r="IH46" i="8"/>
  <c r="II46" i="8"/>
  <c r="IJ46" i="8"/>
  <c r="IK46" i="8"/>
  <c r="IL46" i="8"/>
  <c r="IH47" i="8"/>
  <c r="II47" i="8"/>
  <c r="IJ47" i="8"/>
  <c r="IK47" i="8"/>
  <c r="IL47" i="8"/>
  <c r="IH48" i="8"/>
  <c r="II48" i="8"/>
  <c r="IJ48" i="8"/>
  <c r="IK48" i="8"/>
  <c r="IL48" i="8"/>
  <c r="IH49" i="8"/>
  <c r="II49" i="8"/>
  <c r="IJ49" i="8"/>
  <c r="IK49" i="8"/>
  <c r="IL49" i="8"/>
  <c r="IH50" i="8"/>
  <c r="II50" i="8"/>
  <c r="IJ50" i="8"/>
  <c r="IK50" i="8"/>
  <c r="IL50" i="8"/>
  <c r="IH51" i="8"/>
  <c r="II51" i="8"/>
  <c r="IJ51" i="8"/>
  <c r="IK51" i="8"/>
  <c r="IL51" i="8"/>
  <c r="IH52" i="8"/>
  <c r="II52" i="8"/>
  <c r="IJ52" i="8"/>
  <c r="IK52" i="8"/>
  <c r="IL52" i="8"/>
  <c r="IH53" i="8"/>
  <c r="II53" i="8"/>
  <c r="IJ53" i="8"/>
  <c r="IK53" i="8"/>
  <c r="IL53" i="8"/>
  <c r="IH54" i="8"/>
  <c r="II54" i="8"/>
  <c r="IJ54" i="8"/>
  <c r="IK54" i="8"/>
  <c r="IL54" i="8"/>
  <c r="IH55" i="8"/>
  <c r="II55" i="8"/>
  <c r="IJ55" i="8"/>
  <c r="IK55" i="8"/>
  <c r="IL55" i="8"/>
  <c r="IH56" i="8"/>
  <c r="II56" i="8"/>
  <c r="IJ56" i="8"/>
  <c r="IK56" i="8"/>
  <c r="IL56" i="8"/>
  <c r="IH57" i="8"/>
  <c r="II57" i="8"/>
  <c r="IJ57" i="8"/>
  <c r="IK57" i="8"/>
  <c r="IL57" i="8"/>
  <c r="IH58" i="8"/>
  <c r="II58" i="8"/>
  <c r="IJ58" i="8"/>
  <c r="IK58" i="8"/>
  <c r="IL58" i="8"/>
  <c r="IH59" i="8"/>
  <c r="II59" i="8"/>
  <c r="IJ59" i="8"/>
  <c r="IK59" i="8"/>
  <c r="IL59" i="8"/>
  <c r="IH60" i="8"/>
  <c r="II60" i="8"/>
  <c r="IJ60" i="8"/>
  <c r="IK60" i="8"/>
  <c r="IL60" i="8"/>
  <c r="IH62" i="8"/>
  <c r="II62" i="8"/>
  <c r="IJ62" i="8"/>
  <c r="IK62" i="8"/>
  <c r="IL62" i="8"/>
  <c r="IH63" i="8"/>
  <c r="II63" i="8"/>
  <c r="IJ63" i="8"/>
  <c r="IK63" i="8"/>
  <c r="IL63" i="8"/>
  <c r="IH64" i="8"/>
  <c r="II64" i="8"/>
  <c r="IJ64" i="8"/>
  <c r="IK64" i="8"/>
  <c r="IL64" i="8"/>
  <c r="IH65" i="8"/>
  <c r="II65" i="8"/>
  <c r="IJ65" i="8"/>
  <c r="IK65" i="8"/>
  <c r="IL65" i="8"/>
  <c r="IH66" i="8"/>
  <c r="II66" i="8"/>
  <c r="IJ66" i="8"/>
  <c r="IK66" i="8"/>
  <c r="IL66" i="8"/>
  <c r="IH67" i="8"/>
  <c r="II67" i="8"/>
  <c r="IJ67" i="8"/>
  <c r="IK67" i="8"/>
  <c r="IL67" i="8"/>
  <c r="IH68" i="8"/>
  <c r="II68" i="8"/>
  <c r="IJ68" i="8"/>
  <c r="IK68" i="8"/>
  <c r="IL68" i="8"/>
  <c r="IH69" i="8"/>
  <c r="II69" i="8"/>
  <c r="IJ69" i="8"/>
  <c r="IK69" i="8"/>
  <c r="IL69" i="8"/>
  <c r="IH70" i="8"/>
  <c r="II70" i="8"/>
  <c r="IJ70" i="8"/>
  <c r="IK70" i="8"/>
  <c r="IL70" i="8"/>
  <c r="IH71" i="8"/>
  <c r="II71" i="8"/>
  <c r="IJ71" i="8"/>
  <c r="IK71" i="8"/>
  <c r="IL71" i="8"/>
  <c r="IH73" i="8"/>
  <c r="II73" i="8"/>
  <c r="IJ73" i="8"/>
  <c r="IK73" i="8"/>
  <c r="IL73" i="8"/>
  <c r="IH74" i="8"/>
  <c r="II74" i="8"/>
  <c r="IJ74" i="8"/>
  <c r="IK74" i="8"/>
  <c r="IL74" i="8"/>
  <c r="IH75" i="8"/>
  <c r="II75" i="8"/>
  <c r="IJ75" i="8"/>
  <c r="IK75" i="8"/>
  <c r="IL75" i="8"/>
  <c r="IH76" i="8"/>
  <c r="II76" i="8"/>
  <c r="IJ76" i="8"/>
  <c r="IK76" i="8"/>
  <c r="IL76" i="8"/>
  <c r="IH78" i="8"/>
  <c r="II78" i="8"/>
  <c r="IJ78" i="8"/>
  <c r="IK78" i="8"/>
  <c r="IL78" i="8"/>
  <c r="IH79" i="8"/>
  <c r="II79" i="8"/>
  <c r="IJ79" i="8"/>
  <c r="IK79" i="8"/>
  <c r="IL79" i="8"/>
  <c r="IH80" i="8"/>
  <c r="II80" i="8"/>
  <c r="IJ80" i="8"/>
  <c r="IK80" i="8"/>
  <c r="IL80" i="8"/>
  <c r="IH81" i="8"/>
  <c r="II81" i="8"/>
  <c r="IJ81" i="8"/>
  <c r="IK81" i="8"/>
  <c r="IL81" i="8"/>
  <c r="IH82" i="8"/>
  <c r="II82" i="8"/>
  <c r="IJ82" i="8"/>
  <c r="IK82" i="8"/>
  <c r="IL82" i="8"/>
  <c r="IH83" i="8"/>
  <c r="II83" i="8"/>
  <c r="IJ83" i="8"/>
  <c r="IK83" i="8"/>
  <c r="IL83" i="8"/>
  <c r="IH84" i="8"/>
  <c r="II84" i="8"/>
  <c r="IJ84" i="8"/>
  <c r="IK84" i="8"/>
  <c r="IL84" i="8"/>
  <c r="IH85" i="8"/>
  <c r="II85" i="8"/>
  <c r="IJ85" i="8"/>
  <c r="IK85" i="8"/>
  <c r="IL85" i="8"/>
  <c r="IH86" i="8"/>
  <c r="II86" i="8"/>
  <c r="IJ86" i="8"/>
  <c r="IK86" i="8"/>
  <c r="IL86" i="8"/>
  <c r="IH87" i="8"/>
  <c r="II87" i="8"/>
  <c r="IJ87" i="8"/>
  <c r="IK87" i="8"/>
  <c r="IL87" i="8"/>
  <c r="IH93" i="8"/>
  <c r="II93" i="8"/>
  <c r="IJ93" i="8"/>
  <c r="IK93" i="8"/>
  <c r="IL93" i="8"/>
  <c r="IH94" i="8"/>
  <c r="II94" i="8"/>
  <c r="IJ94" i="8"/>
  <c r="IK94" i="8"/>
  <c r="IL94" i="8"/>
  <c r="IH95" i="8"/>
  <c r="II95" i="8"/>
  <c r="IJ95" i="8"/>
  <c r="IK95" i="8"/>
  <c r="IL95" i="8"/>
  <c r="IH96" i="8"/>
  <c r="II96" i="8"/>
  <c r="IJ96" i="8"/>
  <c r="IK96" i="8"/>
  <c r="IL96" i="8"/>
  <c r="IH97" i="8"/>
  <c r="II97" i="8"/>
  <c r="IJ97" i="8"/>
  <c r="IK97" i="8"/>
  <c r="IL97" i="8"/>
  <c r="IH98" i="8"/>
  <c r="II98" i="8"/>
  <c r="IJ98" i="8"/>
  <c r="IK98" i="8"/>
  <c r="IL98" i="8"/>
  <c r="IH99" i="8"/>
  <c r="II99" i="8"/>
  <c r="IJ99" i="8"/>
  <c r="IK99" i="8"/>
  <c r="IL99" i="8"/>
  <c r="IH100" i="8"/>
  <c r="II100" i="8"/>
  <c r="IJ100" i="8"/>
  <c r="IK100" i="8"/>
  <c r="IL100" i="8"/>
  <c r="IH101" i="8"/>
  <c r="II101" i="8"/>
  <c r="IJ101" i="8"/>
  <c r="IK101" i="8"/>
  <c r="IL101" i="8"/>
  <c r="IH102" i="8"/>
  <c r="II102" i="8"/>
  <c r="IJ102" i="8"/>
  <c r="IK102" i="8"/>
  <c r="IL102" i="8"/>
  <c r="IH103" i="8"/>
  <c r="II103" i="8"/>
  <c r="IJ103" i="8"/>
  <c r="IK103" i="8"/>
  <c r="IL103" i="8"/>
  <c r="IH104" i="8"/>
  <c r="II104" i="8"/>
  <c r="IJ104" i="8"/>
  <c r="IK104" i="8"/>
  <c r="IL104" i="8"/>
  <c r="IH105" i="8"/>
  <c r="II105" i="8"/>
  <c r="IJ105" i="8"/>
  <c r="IK105" i="8"/>
  <c r="IL105" i="8"/>
  <c r="IH106" i="8"/>
  <c r="II106" i="8"/>
  <c r="IJ106" i="8"/>
  <c r="IK106" i="8"/>
  <c r="IL106" i="8"/>
  <c r="IH109" i="8"/>
  <c r="II109" i="8"/>
  <c r="IJ109" i="8"/>
  <c r="IK109" i="8"/>
  <c r="IL109" i="8"/>
  <c r="IH110" i="8"/>
  <c r="II110" i="8"/>
  <c r="IJ110" i="8"/>
  <c r="IK110" i="8"/>
  <c r="IL110" i="8"/>
  <c r="IH111" i="8"/>
  <c r="II111" i="8"/>
  <c r="IJ111" i="8"/>
  <c r="IK111" i="8"/>
  <c r="IL111" i="8"/>
  <c r="IH112" i="8"/>
  <c r="II112" i="8"/>
  <c r="IJ112" i="8"/>
  <c r="IK112" i="8"/>
  <c r="IL112" i="8"/>
  <c r="IH113" i="8"/>
  <c r="II113" i="8"/>
  <c r="IJ113" i="8"/>
  <c r="IK113" i="8"/>
  <c r="IL113" i="8"/>
  <c r="IH114" i="8"/>
  <c r="II114" i="8"/>
  <c r="IJ114" i="8"/>
  <c r="IK114" i="8"/>
  <c r="IL114" i="8"/>
  <c r="IH115" i="8"/>
  <c r="II115" i="8"/>
  <c r="IJ115" i="8"/>
  <c r="IK115" i="8"/>
  <c r="IL115" i="8"/>
  <c r="IH116" i="8"/>
  <c r="II116" i="8"/>
  <c r="IJ116" i="8"/>
  <c r="IK116" i="8"/>
  <c r="IL116" i="8"/>
  <c r="IH118" i="8"/>
  <c r="II118" i="8"/>
  <c r="IJ118" i="8"/>
  <c r="IK118" i="8"/>
  <c r="IL118" i="8"/>
  <c r="IH121" i="8"/>
  <c r="II121" i="8"/>
  <c r="IJ121" i="8"/>
  <c r="IK121" i="8"/>
  <c r="IL121" i="8"/>
  <c r="IH122" i="8"/>
  <c r="II122" i="8"/>
  <c r="IJ122" i="8"/>
  <c r="IK122" i="8"/>
  <c r="IL122" i="8"/>
  <c r="IH123" i="8"/>
  <c r="II123" i="8"/>
  <c r="IJ123" i="8"/>
  <c r="IK123" i="8"/>
  <c r="IL123" i="8"/>
  <c r="IH124" i="8"/>
  <c r="II124" i="8"/>
  <c r="IJ124" i="8"/>
  <c r="IK124" i="8"/>
  <c r="IL124" i="8"/>
  <c r="IH125" i="8"/>
  <c r="II125" i="8"/>
  <c r="IJ125" i="8"/>
  <c r="IK125" i="8"/>
  <c r="IL125" i="8"/>
  <c r="IH126" i="8"/>
  <c r="II126" i="8"/>
  <c r="IJ126" i="8"/>
  <c r="IK126" i="8"/>
  <c r="IL126" i="8"/>
  <c r="IH127" i="8"/>
  <c r="II127" i="8"/>
  <c r="IJ127" i="8"/>
  <c r="IK127" i="8"/>
  <c r="IL127" i="8"/>
  <c r="IH128" i="8"/>
  <c r="II128" i="8"/>
  <c r="IJ128" i="8"/>
  <c r="IK128" i="8"/>
  <c r="IL128" i="8"/>
  <c r="IH129" i="8"/>
  <c r="II129" i="8"/>
  <c r="IJ129" i="8"/>
  <c r="IK129" i="8"/>
  <c r="IL129" i="8"/>
  <c r="IH130" i="8"/>
  <c r="II130" i="8"/>
  <c r="IJ130" i="8"/>
  <c r="IK130" i="8"/>
  <c r="IL130" i="8"/>
  <c r="IH131" i="8"/>
  <c r="II131" i="8"/>
  <c r="IJ131" i="8"/>
  <c r="IK131" i="8"/>
  <c r="IL131" i="8"/>
  <c r="IH132" i="8"/>
  <c r="II132" i="8"/>
  <c r="IJ132" i="8"/>
  <c r="IK132" i="8"/>
  <c r="IL132" i="8"/>
  <c r="IH136" i="8"/>
  <c r="II136" i="8"/>
  <c r="IJ136" i="8"/>
  <c r="IK136" i="8"/>
  <c r="IL136" i="8"/>
  <c r="IH137" i="8"/>
  <c r="II137" i="8"/>
  <c r="IJ137" i="8"/>
  <c r="IK137" i="8"/>
  <c r="IL137" i="8"/>
  <c r="IH138" i="8"/>
  <c r="II138" i="8"/>
  <c r="IJ138" i="8"/>
  <c r="IK138" i="8"/>
  <c r="IL138" i="8"/>
  <c r="IH139" i="8"/>
  <c r="II139" i="8"/>
  <c r="IJ139" i="8"/>
  <c r="IK139" i="8"/>
  <c r="IL139" i="8"/>
  <c r="IH140" i="8"/>
  <c r="II140" i="8"/>
  <c r="IJ140" i="8"/>
  <c r="IK140" i="8"/>
  <c r="IL140" i="8"/>
  <c r="IH141" i="8"/>
  <c r="II141" i="8"/>
  <c r="IJ141" i="8"/>
  <c r="IK141" i="8"/>
  <c r="IL141" i="8"/>
  <c r="IH142" i="8"/>
  <c r="II142" i="8"/>
  <c r="IJ142" i="8"/>
  <c r="IK142" i="8"/>
  <c r="IL142" i="8"/>
  <c r="IH143" i="8"/>
  <c r="II143" i="8"/>
  <c r="IJ143" i="8"/>
  <c r="IK143" i="8"/>
  <c r="IL143" i="8"/>
  <c r="IH144" i="8"/>
  <c r="II144" i="8"/>
  <c r="IJ144" i="8"/>
  <c r="IK144" i="8"/>
  <c r="IL144" i="8"/>
  <c r="IH145" i="8"/>
  <c r="II145" i="8"/>
  <c r="IJ145" i="8"/>
  <c r="IK145" i="8"/>
  <c r="IL145" i="8"/>
  <c r="IH148" i="8"/>
  <c r="II148" i="8"/>
  <c r="IJ148" i="8"/>
  <c r="IK148" i="8"/>
  <c r="IL148" i="8"/>
  <c r="IH149" i="8"/>
  <c r="II149" i="8"/>
  <c r="IJ149" i="8"/>
  <c r="IK149" i="8"/>
  <c r="IL149" i="8"/>
  <c r="IH150" i="8"/>
  <c r="II150" i="8"/>
  <c r="IJ150" i="8"/>
  <c r="IK150" i="8"/>
  <c r="IL150" i="8"/>
  <c r="IH151" i="8"/>
  <c r="II151" i="8"/>
  <c r="IJ151" i="8"/>
  <c r="IK151" i="8"/>
  <c r="IL151" i="8"/>
  <c r="IH152" i="8"/>
  <c r="II152" i="8"/>
  <c r="IJ152" i="8"/>
  <c r="IK152" i="8"/>
  <c r="IL152" i="8"/>
  <c r="IH153" i="8"/>
  <c r="II153" i="8"/>
  <c r="IJ153" i="8"/>
  <c r="IK153" i="8"/>
  <c r="IL153" i="8"/>
  <c r="IH154" i="8"/>
  <c r="II154" i="8"/>
  <c r="IJ154" i="8"/>
  <c r="IK154" i="8"/>
  <c r="IL154" i="8"/>
  <c r="IH155" i="8"/>
  <c r="II155" i="8"/>
  <c r="IJ155" i="8"/>
  <c r="IK155" i="8"/>
  <c r="IL155" i="8"/>
  <c r="IH156" i="8"/>
  <c r="II156" i="8"/>
  <c r="IJ156" i="8"/>
  <c r="IK156" i="8"/>
  <c r="IL156" i="8"/>
  <c r="IH157" i="8"/>
  <c r="II157" i="8"/>
  <c r="IJ157" i="8"/>
  <c r="IK157" i="8"/>
  <c r="IL157" i="8"/>
  <c r="IH160" i="8"/>
  <c r="II160" i="8"/>
  <c r="IJ160" i="8"/>
  <c r="IK160" i="8"/>
  <c r="IL160" i="8"/>
  <c r="IH161" i="8"/>
  <c r="II161" i="8"/>
  <c r="IJ161" i="8"/>
  <c r="IK161" i="8"/>
  <c r="IL161" i="8"/>
  <c r="IH162" i="8"/>
  <c r="II162" i="8"/>
  <c r="IJ162" i="8"/>
  <c r="IK162" i="8"/>
  <c r="IL162" i="8"/>
  <c r="IH165" i="8"/>
  <c r="II165" i="8"/>
  <c r="IJ165" i="8"/>
  <c r="IK165" i="8"/>
  <c r="IL165" i="8"/>
  <c r="IH166" i="8"/>
  <c r="II166" i="8"/>
  <c r="IJ166" i="8"/>
  <c r="IK166" i="8"/>
  <c r="IL166" i="8"/>
  <c r="IH167" i="8"/>
  <c r="II167" i="8"/>
  <c r="IJ167" i="8"/>
  <c r="IK167" i="8"/>
  <c r="IL167" i="8"/>
  <c r="IH168" i="8"/>
  <c r="II168" i="8"/>
  <c r="IJ168" i="8"/>
  <c r="IK168" i="8"/>
  <c r="IL168" i="8"/>
  <c r="IH169" i="8"/>
  <c r="II169" i="8"/>
  <c r="IJ169" i="8"/>
  <c r="IK169" i="8"/>
  <c r="IL169" i="8"/>
  <c r="IH170" i="8"/>
  <c r="II170" i="8"/>
  <c r="IJ170" i="8"/>
  <c r="IK170" i="8"/>
  <c r="IL170" i="8"/>
  <c r="IH173" i="8"/>
  <c r="II173" i="8"/>
  <c r="IJ173" i="8"/>
  <c r="IK173" i="8"/>
  <c r="IL173" i="8"/>
  <c r="IH174" i="8"/>
  <c r="II174" i="8"/>
  <c r="IJ174" i="8"/>
  <c r="IK174" i="8"/>
  <c r="IL174" i="8"/>
  <c r="IH175" i="8"/>
  <c r="II175" i="8"/>
  <c r="IJ175" i="8"/>
  <c r="IK175" i="8"/>
  <c r="IL175" i="8"/>
  <c r="IH176" i="8"/>
  <c r="II176" i="8"/>
  <c r="IJ176" i="8"/>
  <c r="IK176" i="8"/>
  <c r="IL176" i="8"/>
  <c r="IH177" i="8"/>
  <c r="II177" i="8"/>
  <c r="IJ177" i="8"/>
  <c r="IK177" i="8"/>
  <c r="IL177" i="8"/>
  <c r="IH178" i="8"/>
  <c r="II178" i="8"/>
  <c r="IJ178" i="8"/>
  <c r="IK178" i="8"/>
  <c r="IL178" i="8"/>
  <c r="IH179" i="8"/>
  <c r="II179" i="8"/>
  <c r="IJ179" i="8"/>
  <c r="IK179" i="8"/>
  <c r="IL179" i="8"/>
  <c r="IH182" i="8"/>
  <c r="II182" i="8"/>
  <c r="IJ182" i="8"/>
  <c r="IK182" i="8"/>
  <c r="IL182" i="8"/>
  <c r="IH183" i="8"/>
  <c r="II183" i="8"/>
  <c r="IJ183" i="8"/>
  <c r="IK183" i="8"/>
  <c r="IL183" i="8"/>
  <c r="IH184" i="8"/>
  <c r="II184" i="8"/>
  <c r="IJ184" i="8"/>
  <c r="IK184" i="8"/>
  <c r="IL184" i="8"/>
  <c r="IH185" i="8"/>
  <c r="II185" i="8"/>
  <c r="IJ185" i="8"/>
  <c r="IK185" i="8"/>
  <c r="IL185" i="8"/>
  <c r="IH186" i="8"/>
  <c r="II186" i="8"/>
  <c r="IJ186" i="8"/>
  <c r="IK186" i="8"/>
  <c r="IL186" i="8"/>
  <c r="IH187" i="8"/>
  <c r="II187" i="8"/>
  <c r="IJ187" i="8"/>
  <c r="IK187" i="8"/>
  <c r="IL187" i="8"/>
  <c r="IH188" i="8"/>
  <c r="II188" i="8"/>
  <c r="IJ188" i="8"/>
  <c r="IK188" i="8"/>
  <c r="IL188" i="8"/>
  <c r="IH189" i="8"/>
  <c r="II189" i="8"/>
  <c r="IJ189" i="8"/>
  <c r="IK189" i="8"/>
  <c r="IL189" i="8"/>
  <c r="IH190" i="8"/>
  <c r="II190" i="8"/>
  <c r="IJ190" i="8"/>
  <c r="IK190" i="8"/>
  <c r="IL190" i="8"/>
  <c r="IH191" i="8"/>
  <c r="II191" i="8"/>
  <c r="IJ191" i="8"/>
  <c r="IK191" i="8"/>
  <c r="IL191" i="8"/>
  <c r="IH192" i="8"/>
  <c r="II192" i="8"/>
  <c r="IJ192" i="8"/>
  <c r="IK192" i="8"/>
  <c r="IL192" i="8"/>
  <c r="JF192" i="8"/>
  <c r="EJ192" i="8"/>
  <c r="EK192" i="8"/>
  <c r="EL192" i="8"/>
  <c r="EM192" i="8"/>
  <c r="EN192" i="8"/>
  <c r="EO192" i="8"/>
  <c r="EP192" i="8"/>
  <c r="EQ192" i="8"/>
  <c r="ER192" i="8"/>
  <c r="ES192" i="8"/>
  <c r="ET192" i="8"/>
  <c r="EU192" i="8"/>
  <c r="EV192" i="8"/>
  <c r="EW192" i="8"/>
  <c r="EX192" i="8"/>
  <c r="EY192" i="8"/>
  <c r="EZ192" i="8"/>
  <c r="FA192" i="8"/>
  <c r="FB192" i="8"/>
  <c r="FC192" i="8"/>
  <c r="FD192" i="8"/>
  <c r="FE192" i="8"/>
  <c r="FF192" i="8"/>
  <c r="FG192" i="8"/>
  <c r="FH192" i="8"/>
  <c r="FI192" i="8"/>
  <c r="FJ192" i="8"/>
  <c r="FK192" i="8"/>
  <c r="FL192" i="8"/>
  <c r="FM192" i="8"/>
  <c r="FN192" i="8"/>
  <c r="FO192" i="8"/>
  <c r="FP192" i="8"/>
  <c r="FQ192" i="8"/>
  <c r="FR192" i="8"/>
  <c r="FS192" i="8"/>
  <c r="FT192" i="8"/>
  <c r="FU192" i="8"/>
  <c r="FV192" i="8"/>
  <c r="FW192" i="8"/>
  <c r="FX192" i="8"/>
  <c r="FY192" i="8"/>
  <c r="FZ192" i="8"/>
  <c r="GA192" i="8"/>
  <c r="GB192" i="8"/>
  <c r="GC192" i="8"/>
  <c r="GD192" i="8"/>
  <c r="GE192" i="8"/>
  <c r="GF192" i="8"/>
  <c r="GG192" i="8"/>
  <c r="GH192" i="8"/>
  <c r="GI192" i="8"/>
  <c r="GJ192" i="8"/>
  <c r="GK192" i="8"/>
  <c r="GL192" i="8"/>
  <c r="GM192" i="8"/>
  <c r="GN192" i="8"/>
  <c r="GO192" i="8"/>
  <c r="GP192" i="8"/>
  <c r="GQ192" i="8"/>
  <c r="GR192" i="8"/>
  <c r="GS192" i="8"/>
  <c r="GT192" i="8"/>
  <c r="GU192" i="8"/>
  <c r="GV192" i="8"/>
  <c r="GW192" i="8"/>
  <c r="GX192" i="8"/>
  <c r="GY192" i="8"/>
  <c r="GZ192" i="8"/>
  <c r="HA192" i="8"/>
  <c r="HB192" i="8"/>
  <c r="HC192" i="8"/>
  <c r="HD192" i="8"/>
  <c r="HE192" i="8"/>
  <c r="HF192" i="8"/>
  <c r="HG192" i="8"/>
  <c r="HH192" i="8"/>
  <c r="HI192" i="8"/>
  <c r="HJ192" i="8"/>
  <c r="HK192" i="8"/>
  <c r="HL192" i="8"/>
  <c r="HM192" i="8"/>
  <c r="HN192" i="8"/>
  <c r="HO192" i="8"/>
  <c r="HP192" i="8"/>
  <c r="HQ192" i="8"/>
  <c r="HR192" i="8"/>
  <c r="HS192" i="8"/>
  <c r="HT192" i="8"/>
  <c r="HU192" i="8"/>
  <c r="HV192" i="8"/>
  <c r="HW192" i="8"/>
  <c r="HX192" i="8"/>
  <c r="HY192" i="8"/>
  <c r="HZ192" i="8"/>
  <c r="IA192" i="8"/>
  <c r="IB192" i="8"/>
  <c r="IC192" i="8"/>
  <c r="ID192" i="8"/>
  <c r="IE192" i="8"/>
  <c r="IF192" i="8"/>
  <c r="IG192" i="8"/>
  <c r="IM192" i="8"/>
  <c r="IS192" i="8"/>
  <c r="IY192" i="8"/>
  <c r="DG192" i="8"/>
  <c r="DN192" i="8"/>
  <c r="DU192" i="8"/>
  <c r="EB192" i="8"/>
  <c r="IZ6" i="8"/>
  <c r="JA6" i="8"/>
  <c r="JB6" i="8"/>
  <c r="JC6" i="8"/>
  <c r="JD6" i="8"/>
  <c r="IY6" i="8"/>
  <c r="IT6" i="8"/>
  <c r="IU6" i="8"/>
  <c r="IV6" i="8"/>
  <c r="IW6" i="8"/>
  <c r="IX6" i="8"/>
  <c r="IN6" i="8"/>
  <c r="IO6" i="8"/>
  <c r="IP6" i="8"/>
  <c r="IQ6" i="8"/>
  <c r="IR6" i="8"/>
  <c r="IH6" i="8"/>
  <c r="II6" i="8"/>
  <c r="IJ6" i="8"/>
  <c r="IK6" i="8"/>
  <c r="IL6" i="8"/>
  <c r="JF191" i="8"/>
  <c r="JF190" i="8"/>
  <c r="JF189" i="8"/>
  <c r="JF188" i="8"/>
  <c r="JF187" i="8"/>
  <c r="JF186" i="8"/>
  <c r="JF185" i="8"/>
  <c r="JF184" i="8"/>
  <c r="JF183" i="8"/>
  <c r="JF182" i="8"/>
  <c r="JF180" i="8"/>
  <c r="JF179" i="8"/>
  <c r="JF178" i="8"/>
  <c r="JF177" i="8"/>
  <c r="JF176" i="8"/>
  <c r="JF175" i="8"/>
  <c r="JF174" i="8"/>
  <c r="JF173" i="8"/>
  <c r="JF171" i="8"/>
  <c r="JF170" i="8"/>
  <c r="JF169" i="8"/>
  <c r="JF168" i="8"/>
  <c r="JF167" i="8"/>
  <c r="JF166" i="8"/>
  <c r="JF165" i="8"/>
  <c r="JF163" i="8"/>
  <c r="JF162" i="8"/>
  <c r="JF161" i="8"/>
  <c r="JF160" i="8"/>
  <c r="JF158" i="8"/>
  <c r="JF157" i="8"/>
  <c r="JF156" i="8"/>
  <c r="JF155" i="8"/>
  <c r="JF154" i="8"/>
  <c r="JF153" i="8"/>
  <c r="JF152" i="8"/>
  <c r="JF151" i="8"/>
  <c r="JF150" i="8"/>
  <c r="JF149" i="8"/>
  <c r="JF148" i="8"/>
  <c r="JF146" i="8"/>
  <c r="JF145" i="8"/>
  <c r="JF144" i="8"/>
  <c r="JF143" i="8"/>
  <c r="JF142" i="8"/>
  <c r="JF141" i="8"/>
  <c r="JF140" i="8"/>
  <c r="JF139" i="8"/>
  <c r="JF138" i="8"/>
  <c r="JF137" i="8"/>
  <c r="JF136" i="8"/>
  <c r="JF133" i="8"/>
  <c r="JF132" i="8"/>
  <c r="JF131" i="8"/>
  <c r="JF130" i="8"/>
  <c r="JF129" i="8"/>
  <c r="JF128" i="8"/>
  <c r="JF127" i="8"/>
  <c r="JF126" i="8"/>
  <c r="JF125" i="8"/>
  <c r="JF124" i="8"/>
  <c r="JF123" i="8"/>
  <c r="JF122" i="8"/>
  <c r="JF121" i="8"/>
  <c r="JF119" i="8"/>
  <c r="JF118" i="8"/>
  <c r="JF116" i="8"/>
  <c r="JF115" i="8"/>
  <c r="JF114" i="8"/>
  <c r="JF113" i="8"/>
  <c r="JF112" i="8"/>
  <c r="JF111" i="8"/>
  <c r="JF110" i="8"/>
  <c r="JF109" i="8"/>
  <c r="JF107" i="8"/>
  <c r="JF106" i="8"/>
  <c r="JF105" i="8"/>
  <c r="JF104" i="8"/>
  <c r="JF103" i="8"/>
  <c r="JF102" i="8"/>
  <c r="JF101" i="8"/>
  <c r="JF100" i="8"/>
  <c r="JF99" i="8"/>
  <c r="JF98" i="8"/>
  <c r="JF97" i="8"/>
  <c r="JF96" i="8"/>
  <c r="JF95" i="8"/>
  <c r="JF94" i="8"/>
  <c r="JF93" i="8"/>
  <c r="JF87" i="8"/>
  <c r="JF86" i="8"/>
  <c r="JF85" i="8"/>
  <c r="JF84" i="8"/>
  <c r="JF83" i="8"/>
  <c r="JF82" i="8"/>
  <c r="JF81" i="8"/>
  <c r="JF80" i="8"/>
  <c r="JF79" i="8"/>
  <c r="JF78" i="8"/>
  <c r="JF76" i="8"/>
  <c r="JF75" i="8"/>
  <c r="JF74" i="8"/>
  <c r="JF73" i="8"/>
  <c r="JF71" i="8"/>
  <c r="JF70" i="8"/>
  <c r="JF69" i="8"/>
  <c r="JF68" i="8"/>
  <c r="JF67" i="8"/>
  <c r="JF66" i="8"/>
  <c r="JF65" i="8"/>
  <c r="JF64" i="8"/>
  <c r="JF63" i="8"/>
  <c r="JF62" i="8"/>
  <c r="JF60" i="8"/>
  <c r="JF59" i="8"/>
  <c r="JF58" i="8"/>
  <c r="JF57" i="8"/>
  <c r="JF56" i="8"/>
  <c r="JF55" i="8"/>
  <c r="JF54" i="8"/>
  <c r="JF53" i="8"/>
  <c r="JF52" i="8"/>
  <c r="JF51" i="8"/>
  <c r="JF50" i="8"/>
  <c r="JF49" i="8"/>
  <c r="JF48" i="8"/>
  <c r="JF47" i="8"/>
  <c r="JF46" i="8"/>
  <c r="JF45" i="8"/>
  <c r="JF44" i="8"/>
  <c r="JF43" i="8"/>
  <c r="JF42" i="8"/>
  <c r="JF41" i="8"/>
  <c r="JF40" i="8"/>
  <c r="JF39" i="8"/>
  <c r="JF38" i="8"/>
  <c r="JF37" i="8"/>
  <c r="JF36" i="8"/>
  <c r="JF35" i="8"/>
  <c r="JF10" i="8"/>
  <c r="JF9" i="8"/>
  <c r="JF8" i="8"/>
  <c r="JF17" i="8"/>
  <c r="JF16" i="8"/>
  <c r="JF15" i="8"/>
  <c r="JF14" i="8"/>
  <c r="JF13" i="8"/>
  <c r="JF12" i="8"/>
  <c r="JF20" i="8"/>
  <c r="JF21" i="8"/>
  <c r="JF22" i="8"/>
  <c r="JF23" i="8"/>
  <c r="JF24" i="8"/>
  <c r="JF25" i="8"/>
  <c r="JF26" i="8"/>
  <c r="JF27" i="8"/>
  <c r="JF28" i="8"/>
  <c r="JF29" i="8"/>
  <c r="JF30" i="8"/>
  <c r="JF31" i="8"/>
  <c r="JF32" i="8"/>
  <c r="JF33" i="8"/>
  <c r="JF19" i="8"/>
  <c r="EI111" i="8"/>
  <c r="IR194" i="8" l="1"/>
  <c r="IK194" i="8"/>
  <c r="IJ194" i="8"/>
  <c r="IL194" i="8"/>
  <c r="IP194" i="8"/>
  <c r="IQ194" i="8"/>
  <c r="IW194" i="8"/>
  <c r="IV194" i="8"/>
  <c r="IX194" i="8"/>
  <c r="JB194" i="8"/>
  <c r="JD194" i="8"/>
  <c r="JC194" i="8"/>
  <c r="W3" i="22"/>
  <c r="P3" i="22"/>
  <c r="I3" i="22"/>
  <c r="B3" i="22"/>
  <c r="EB191" i="8" l="1"/>
  <c r="EB190" i="8"/>
  <c r="EB189" i="8"/>
  <c r="EB188" i="8"/>
  <c r="EB187" i="8"/>
  <c r="EB186" i="8"/>
  <c r="EB185" i="8"/>
  <c r="EB184" i="8"/>
  <c r="EB183" i="8"/>
  <c r="EB182" i="8"/>
  <c r="EB179" i="8"/>
  <c r="EB178" i="8"/>
  <c r="EB177" i="8"/>
  <c r="EB176" i="8"/>
  <c r="EB175" i="8"/>
  <c r="EB174" i="8"/>
  <c r="EB173" i="8"/>
  <c r="EB170" i="8"/>
  <c r="EB169" i="8"/>
  <c r="EB168" i="8"/>
  <c r="EB167" i="8"/>
  <c r="EB166" i="8"/>
  <c r="EB165" i="8"/>
  <c r="EB162" i="8"/>
  <c r="EB161" i="8"/>
  <c r="EB160" i="8"/>
  <c r="EB157" i="8"/>
  <c r="EB156" i="8"/>
  <c r="EB154" i="8"/>
  <c r="EB153" i="8"/>
  <c r="EB152" i="8"/>
  <c r="EB151" i="8"/>
  <c r="EB150" i="8"/>
  <c r="EB149" i="8"/>
  <c r="EB148" i="8"/>
  <c r="EB145" i="8"/>
  <c r="EB144" i="8"/>
  <c r="EB143" i="8"/>
  <c r="EB142" i="8"/>
  <c r="EB141" i="8"/>
  <c r="EB140" i="8"/>
  <c r="EB139" i="8"/>
  <c r="EB138" i="8"/>
  <c r="EB137" i="8"/>
  <c r="EB136" i="8"/>
  <c r="EB132" i="8"/>
  <c r="EB131" i="8"/>
  <c r="EB130" i="8"/>
  <c r="EB129" i="8"/>
  <c r="EB128" i="8"/>
  <c r="EB127" i="8"/>
  <c r="EB126" i="8"/>
  <c r="EB125" i="8"/>
  <c r="EB124" i="8"/>
  <c r="EB123" i="8"/>
  <c r="EB122" i="8"/>
  <c r="EB121" i="8"/>
  <c r="EB118" i="8"/>
  <c r="EB115" i="8"/>
  <c r="EB114" i="8"/>
  <c r="EB113" i="8"/>
  <c r="EB112" i="8"/>
  <c r="EB111" i="8"/>
  <c r="EB110" i="8"/>
  <c r="EB109" i="8"/>
  <c r="EB106" i="8"/>
  <c r="EB105" i="8"/>
  <c r="EB104" i="8"/>
  <c r="EB103" i="8"/>
  <c r="EB102" i="8"/>
  <c r="EB101" i="8"/>
  <c r="EB100" i="8"/>
  <c r="EB99" i="8"/>
  <c r="EB98" i="8"/>
  <c r="EB97" i="8"/>
  <c r="EB96" i="8"/>
  <c r="EB95" i="8"/>
  <c r="EB94" i="8"/>
  <c r="EB93" i="8"/>
  <c r="EB87" i="8"/>
  <c r="EB86" i="8"/>
  <c r="EB85" i="8"/>
  <c r="EB84" i="8"/>
  <c r="EB83" i="8"/>
  <c r="EB82" i="8"/>
  <c r="EB81" i="8"/>
  <c r="EB80" i="8"/>
  <c r="EB79" i="8"/>
  <c r="EB78" i="8"/>
  <c r="EB76" i="8"/>
  <c r="EB75" i="8"/>
  <c r="EB74" i="8"/>
  <c r="EB73" i="8"/>
  <c r="EB71" i="8"/>
  <c r="EB70" i="8"/>
  <c r="EB69" i="8"/>
  <c r="EB68" i="8"/>
  <c r="EB67" i="8"/>
  <c r="EB66" i="8"/>
  <c r="EB65" i="8"/>
  <c r="EB64" i="8"/>
  <c r="EB63" i="8"/>
  <c r="EB62" i="8"/>
  <c r="EB60" i="8"/>
  <c r="EB59" i="8"/>
  <c r="EB58" i="8"/>
  <c r="EB57" i="8"/>
  <c r="EB56" i="8"/>
  <c r="EB55" i="8"/>
  <c r="EB54" i="8"/>
  <c r="EB53" i="8"/>
  <c r="EB52" i="8"/>
  <c r="EB51" i="8"/>
  <c r="EB50" i="8"/>
  <c r="EB49" i="8"/>
  <c r="EB48" i="8"/>
  <c r="EB47" i="8"/>
  <c r="EB46" i="8"/>
  <c r="EB45" i="8"/>
  <c r="EB44" i="8"/>
  <c r="EB43" i="8"/>
  <c r="EB42" i="8"/>
  <c r="EB41" i="8"/>
  <c r="EB40" i="8"/>
  <c r="EB39" i="8"/>
  <c r="EB38" i="8"/>
  <c r="EB37" i="8"/>
  <c r="EB36" i="8"/>
  <c r="EB35" i="8"/>
  <c r="EB33" i="8"/>
  <c r="EB32" i="8"/>
  <c r="EB31" i="8"/>
  <c r="EB30" i="8"/>
  <c r="EB29" i="8"/>
  <c r="EB28" i="8"/>
  <c r="EB27" i="8"/>
  <c r="EB26" i="8"/>
  <c r="EB25" i="8"/>
  <c r="EB24" i="8"/>
  <c r="EB23" i="8"/>
  <c r="EB22" i="8"/>
  <c r="EB21" i="8"/>
  <c r="EB20" i="8"/>
  <c r="EB19" i="8"/>
  <c r="EB17" i="8"/>
  <c r="EB16" i="8"/>
  <c r="EB15" i="8"/>
  <c r="EB14" i="8"/>
  <c r="EB13" i="8"/>
  <c r="EB12" i="8"/>
  <c r="EB10" i="8"/>
  <c r="EB9" i="8"/>
  <c r="EB8" i="8"/>
  <c r="DU145" i="8"/>
  <c r="DU191" i="8"/>
  <c r="DU190" i="8"/>
  <c r="DU189" i="8"/>
  <c r="DU188" i="8"/>
  <c r="DU187" i="8"/>
  <c r="DU186" i="8"/>
  <c r="DU185" i="8"/>
  <c r="DU184" i="8"/>
  <c r="DU183" i="8"/>
  <c r="DU182" i="8"/>
  <c r="DU179" i="8"/>
  <c r="DU178" i="8"/>
  <c r="DU177" i="8"/>
  <c r="DU176" i="8"/>
  <c r="DU175" i="8"/>
  <c r="DU174" i="8"/>
  <c r="DU173" i="8"/>
  <c r="DU170" i="8"/>
  <c r="DU169" i="8"/>
  <c r="DU168" i="8"/>
  <c r="DU167" i="8"/>
  <c r="DU166" i="8"/>
  <c r="DU165" i="8"/>
  <c r="DU162" i="8"/>
  <c r="DU161" i="8"/>
  <c r="DU160" i="8"/>
  <c r="DU157" i="8"/>
  <c r="DU156" i="8"/>
  <c r="DU154" i="8"/>
  <c r="DU153" i="8"/>
  <c r="DU152" i="8"/>
  <c r="DU151" i="8"/>
  <c r="DU150" i="8"/>
  <c r="DU149" i="8"/>
  <c r="DU148" i="8"/>
  <c r="DU144" i="8"/>
  <c r="DU143" i="8"/>
  <c r="DU142" i="8"/>
  <c r="DU141" i="8"/>
  <c r="DU140" i="8"/>
  <c r="DU139" i="8"/>
  <c r="DU138" i="8"/>
  <c r="DU137" i="8"/>
  <c r="DU136" i="8"/>
  <c r="DU132" i="8"/>
  <c r="DU131" i="8"/>
  <c r="DU130" i="8"/>
  <c r="DU129" i="8"/>
  <c r="DU128" i="8"/>
  <c r="DU127" i="8"/>
  <c r="DU126" i="8"/>
  <c r="DU125" i="8"/>
  <c r="DU124" i="8"/>
  <c r="DU123" i="8"/>
  <c r="DU122" i="8"/>
  <c r="DU121" i="8"/>
  <c r="DU118" i="8"/>
  <c r="DU115" i="8"/>
  <c r="DU114" i="8"/>
  <c r="DU113" i="8"/>
  <c r="DU112" i="8"/>
  <c r="DU111" i="8"/>
  <c r="DU110" i="8"/>
  <c r="DU109" i="8"/>
  <c r="DU106" i="8"/>
  <c r="DU105" i="8"/>
  <c r="DU104" i="8"/>
  <c r="DU103" i="8"/>
  <c r="DU102" i="8"/>
  <c r="DU101" i="8"/>
  <c r="DU100" i="8"/>
  <c r="DU99" i="8"/>
  <c r="DU98" i="8"/>
  <c r="DU97" i="8"/>
  <c r="DU96" i="8"/>
  <c r="DU95" i="8"/>
  <c r="DU94" i="8"/>
  <c r="DU93" i="8"/>
  <c r="DU87" i="8"/>
  <c r="DU86" i="8"/>
  <c r="DU85" i="8"/>
  <c r="DU84" i="8"/>
  <c r="DU83" i="8"/>
  <c r="DU82" i="8"/>
  <c r="DU81" i="8"/>
  <c r="DU80" i="8"/>
  <c r="DU79" i="8"/>
  <c r="DU78" i="8"/>
  <c r="DU76" i="8"/>
  <c r="DU75" i="8"/>
  <c r="DU74" i="8"/>
  <c r="DU73" i="8"/>
  <c r="DU71" i="8"/>
  <c r="DU70" i="8"/>
  <c r="DU69" i="8"/>
  <c r="DU68" i="8"/>
  <c r="DU67" i="8"/>
  <c r="DU66" i="8"/>
  <c r="DU65" i="8"/>
  <c r="DU64" i="8"/>
  <c r="DU63" i="8"/>
  <c r="DU62" i="8"/>
  <c r="DU60" i="8"/>
  <c r="DU59" i="8"/>
  <c r="DU58" i="8"/>
  <c r="DU57" i="8"/>
  <c r="DU56" i="8"/>
  <c r="DU55" i="8"/>
  <c r="DU54" i="8"/>
  <c r="DU53" i="8"/>
  <c r="DU52" i="8"/>
  <c r="DU51" i="8"/>
  <c r="DU50" i="8"/>
  <c r="DU49" i="8"/>
  <c r="DU48" i="8"/>
  <c r="DU47" i="8"/>
  <c r="DU46" i="8"/>
  <c r="DU45" i="8"/>
  <c r="DU44" i="8"/>
  <c r="DU43" i="8"/>
  <c r="DU42" i="8"/>
  <c r="DU41" i="8"/>
  <c r="DU40" i="8"/>
  <c r="DU39" i="8"/>
  <c r="DU38" i="8"/>
  <c r="DU37" i="8"/>
  <c r="DU36" i="8"/>
  <c r="DU35" i="8"/>
  <c r="DU33" i="8"/>
  <c r="DU32" i="8"/>
  <c r="DU31" i="8"/>
  <c r="DU30" i="8"/>
  <c r="DU29" i="8"/>
  <c r="DU28" i="8"/>
  <c r="DU27" i="8"/>
  <c r="DU26" i="8"/>
  <c r="DU25" i="8"/>
  <c r="DU24" i="8"/>
  <c r="DU23" i="8"/>
  <c r="DU22" i="8"/>
  <c r="DU21" i="8"/>
  <c r="DU20" i="8"/>
  <c r="DU19" i="8"/>
  <c r="DU17" i="8"/>
  <c r="DU16" i="8"/>
  <c r="DU15" i="8"/>
  <c r="DU14" i="8"/>
  <c r="DU13" i="8"/>
  <c r="DU12" i="8"/>
  <c r="DU10" i="8"/>
  <c r="DU9" i="8"/>
  <c r="DU8" i="8"/>
  <c r="DN191" i="8"/>
  <c r="DN190" i="8"/>
  <c r="DN189" i="8"/>
  <c r="DN188" i="8"/>
  <c r="DN187" i="8"/>
  <c r="DN186" i="8"/>
  <c r="DN185" i="8"/>
  <c r="DN184" i="8"/>
  <c r="DN183" i="8"/>
  <c r="DN182" i="8"/>
  <c r="DN179" i="8"/>
  <c r="DN178" i="8"/>
  <c r="DN177" i="8"/>
  <c r="DN176" i="8"/>
  <c r="DN175" i="8"/>
  <c r="DN174" i="8"/>
  <c r="DN173" i="8"/>
  <c r="DN170" i="8"/>
  <c r="DN169" i="8"/>
  <c r="DN168" i="8"/>
  <c r="DN167" i="8"/>
  <c r="DN166" i="8"/>
  <c r="DN165" i="8"/>
  <c r="DN162" i="8"/>
  <c r="DN161" i="8"/>
  <c r="DN160" i="8"/>
  <c r="DN157" i="8"/>
  <c r="DN156" i="8"/>
  <c r="DN154" i="8"/>
  <c r="DN153" i="8"/>
  <c r="DN152" i="8"/>
  <c r="DN151" i="8"/>
  <c r="DN150" i="8"/>
  <c r="DN149" i="8"/>
  <c r="DN148" i="8"/>
  <c r="DN145" i="8"/>
  <c r="DN144" i="8"/>
  <c r="DN143" i="8"/>
  <c r="DN142" i="8"/>
  <c r="DN141" i="8"/>
  <c r="DN140" i="8"/>
  <c r="DN139" i="8"/>
  <c r="DN138" i="8"/>
  <c r="DN137" i="8"/>
  <c r="DN136" i="8"/>
  <c r="DN132" i="8"/>
  <c r="DN131" i="8"/>
  <c r="DN130" i="8"/>
  <c r="DN129" i="8"/>
  <c r="DN128" i="8"/>
  <c r="DN127" i="8"/>
  <c r="DN126" i="8"/>
  <c r="DN125" i="8"/>
  <c r="DN124" i="8"/>
  <c r="DN123" i="8"/>
  <c r="DN122" i="8"/>
  <c r="DN121" i="8"/>
  <c r="DN118" i="8"/>
  <c r="DN115" i="8"/>
  <c r="DN114" i="8"/>
  <c r="DN113" i="8"/>
  <c r="DN112" i="8"/>
  <c r="DN111" i="8"/>
  <c r="DN110" i="8"/>
  <c r="DN109" i="8"/>
  <c r="DN106" i="8"/>
  <c r="DN105" i="8"/>
  <c r="DN104" i="8"/>
  <c r="DN103" i="8"/>
  <c r="DN102" i="8"/>
  <c r="DN101" i="8"/>
  <c r="DN100" i="8"/>
  <c r="DN99" i="8"/>
  <c r="DN98" i="8"/>
  <c r="DN97" i="8"/>
  <c r="DN96" i="8"/>
  <c r="DN95" i="8"/>
  <c r="DN94" i="8"/>
  <c r="DN93" i="8"/>
  <c r="DN87" i="8"/>
  <c r="DN86" i="8"/>
  <c r="DN85" i="8"/>
  <c r="DN84" i="8"/>
  <c r="DN83" i="8"/>
  <c r="DN82" i="8"/>
  <c r="DN81" i="8"/>
  <c r="DN80" i="8"/>
  <c r="DN79" i="8"/>
  <c r="DN78" i="8"/>
  <c r="DN76" i="8"/>
  <c r="DN75" i="8"/>
  <c r="DN74" i="8"/>
  <c r="DN73" i="8"/>
  <c r="DN71" i="8"/>
  <c r="DN70" i="8"/>
  <c r="DN69" i="8"/>
  <c r="DN68" i="8"/>
  <c r="DN67" i="8"/>
  <c r="DN66" i="8"/>
  <c r="DN65" i="8"/>
  <c r="DN64" i="8"/>
  <c r="DN63" i="8"/>
  <c r="DN62" i="8"/>
  <c r="DN60" i="8"/>
  <c r="DN59" i="8"/>
  <c r="DN58" i="8"/>
  <c r="DN57" i="8"/>
  <c r="DN56" i="8"/>
  <c r="DN55" i="8"/>
  <c r="DN54" i="8"/>
  <c r="DN53" i="8"/>
  <c r="DN52" i="8"/>
  <c r="DN51" i="8"/>
  <c r="DN50" i="8"/>
  <c r="DN49" i="8"/>
  <c r="DN48" i="8"/>
  <c r="DN47" i="8"/>
  <c r="DN46" i="8"/>
  <c r="DN45" i="8"/>
  <c r="DN44" i="8"/>
  <c r="DN43" i="8"/>
  <c r="DN42" i="8"/>
  <c r="DN41" i="8"/>
  <c r="DN40" i="8"/>
  <c r="DN39" i="8"/>
  <c r="DN38" i="8"/>
  <c r="DN37" i="8"/>
  <c r="DN36" i="8"/>
  <c r="DN35" i="8"/>
  <c r="DN33" i="8"/>
  <c r="DN32" i="8"/>
  <c r="DN31" i="8"/>
  <c r="DN30" i="8"/>
  <c r="DN29" i="8"/>
  <c r="DN28" i="8"/>
  <c r="DN27" i="8"/>
  <c r="DN26" i="8"/>
  <c r="DN25" i="8"/>
  <c r="DN24" i="8"/>
  <c r="DN23" i="8"/>
  <c r="DN22" i="8"/>
  <c r="DN21" i="8"/>
  <c r="DN20" i="8"/>
  <c r="DN19" i="8"/>
  <c r="DN17" i="8"/>
  <c r="DN16" i="8"/>
  <c r="DN15" i="8"/>
  <c r="DN14" i="8"/>
  <c r="DN13" i="8"/>
  <c r="DN12" i="8"/>
  <c r="DN10" i="8"/>
  <c r="DN9" i="8"/>
  <c r="DN8" i="8"/>
  <c r="DG191" i="8"/>
  <c r="DG190" i="8"/>
  <c r="DG189" i="8"/>
  <c r="DG188" i="8"/>
  <c r="DG187" i="8"/>
  <c r="DG186" i="8"/>
  <c r="DG185" i="8"/>
  <c r="DG184" i="8"/>
  <c r="DG183" i="8"/>
  <c r="DG182" i="8"/>
  <c r="DG179" i="8"/>
  <c r="DG178" i="8"/>
  <c r="DG177" i="8"/>
  <c r="DG176" i="8"/>
  <c r="DG175" i="8"/>
  <c r="DG174" i="8"/>
  <c r="DG173" i="8"/>
  <c r="DG170" i="8"/>
  <c r="DG169" i="8"/>
  <c r="DG168" i="8"/>
  <c r="DG167" i="8"/>
  <c r="DG166" i="8"/>
  <c r="DG165" i="8"/>
  <c r="DG162" i="8"/>
  <c r="DG161" i="8"/>
  <c r="DG160" i="8"/>
  <c r="DG157" i="8"/>
  <c r="DG156" i="8"/>
  <c r="DG155" i="8"/>
  <c r="DG154" i="8"/>
  <c r="DG153" i="8"/>
  <c r="DG152" i="8"/>
  <c r="DG151" i="8"/>
  <c r="DG150" i="8"/>
  <c r="DG149" i="8"/>
  <c r="DG148" i="8"/>
  <c r="DG145" i="8"/>
  <c r="DG144" i="8"/>
  <c r="DG143" i="8"/>
  <c r="DG142" i="8"/>
  <c r="DG141" i="8"/>
  <c r="DG140" i="8"/>
  <c r="DG139" i="8"/>
  <c r="DG138" i="8"/>
  <c r="DG137" i="8"/>
  <c r="DG136" i="8"/>
  <c r="DG132" i="8"/>
  <c r="DG131" i="8"/>
  <c r="DG130" i="8"/>
  <c r="DG129" i="8"/>
  <c r="DG128" i="8"/>
  <c r="DG127" i="8"/>
  <c r="DG126" i="8"/>
  <c r="DG125" i="8"/>
  <c r="DG124" i="8"/>
  <c r="DG123" i="8"/>
  <c r="DG122" i="8"/>
  <c r="DG121" i="8"/>
  <c r="DG118" i="8"/>
  <c r="DG115" i="8"/>
  <c r="DG114" i="8"/>
  <c r="DG113" i="8"/>
  <c r="DG112" i="8"/>
  <c r="DG111" i="8"/>
  <c r="DG110" i="8"/>
  <c r="DG109" i="8"/>
  <c r="DG106" i="8"/>
  <c r="DG105" i="8"/>
  <c r="DG104" i="8"/>
  <c r="DG103" i="8"/>
  <c r="DG102" i="8"/>
  <c r="DG101" i="8"/>
  <c r="DG100" i="8"/>
  <c r="DG99" i="8"/>
  <c r="DG98" i="8"/>
  <c r="DG97" i="8"/>
  <c r="DG96" i="8"/>
  <c r="DG95" i="8"/>
  <c r="DG94" i="8"/>
  <c r="DG93" i="8"/>
  <c r="DG87" i="8"/>
  <c r="DG86" i="8"/>
  <c r="DG85" i="8"/>
  <c r="DG84" i="8"/>
  <c r="DG83" i="8"/>
  <c r="DG82" i="8"/>
  <c r="DG81" i="8"/>
  <c r="DG80" i="8"/>
  <c r="DG79" i="8"/>
  <c r="DG78" i="8"/>
  <c r="DG76" i="8"/>
  <c r="DG75" i="8"/>
  <c r="DG74" i="8"/>
  <c r="DG73" i="8"/>
  <c r="DG71" i="8"/>
  <c r="DG70" i="8"/>
  <c r="DG69" i="8"/>
  <c r="DG68" i="8"/>
  <c r="DG67" i="8"/>
  <c r="DG66" i="8"/>
  <c r="DG65" i="8"/>
  <c r="DG64" i="8"/>
  <c r="DG63" i="8"/>
  <c r="DG62" i="8"/>
  <c r="DG60" i="8"/>
  <c r="DG59" i="8"/>
  <c r="DG58" i="8"/>
  <c r="DG57" i="8"/>
  <c r="DG56" i="8"/>
  <c r="DG55" i="8"/>
  <c r="DG54" i="8"/>
  <c r="DG53" i="8"/>
  <c r="DG52" i="8"/>
  <c r="DG51" i="8"/>
  <c r="DG50" i="8"/>
  <c r="DG49" i="8"/>
  <c r="DG48" i="8"/>
  <c r="DG47" i="8"/>
  <c r="DG46" i="8"/>
  <c r="DG45" i="8"/>
  <c r="DG44" i="8"/>
  <c r="DG43" i="8"/>
  <c r="DG42" i="8"/>
  <c r="DG41" i="8"/>
  <c r="DG40" i="8"/>
  <c r="DG39" i="8"/>
  <c r="DG38" i="8"/>
  <c r="DG37" i="8"/>
  <c r="DG36" i="8"/>
  <c r="DG35" i="8"/>
  <c r="DG33" i="8"/>
  <c r="DG32" i="8"/>
  <c r="DG31" i="8"/>
  <c r="DG30" i="8"/>
  <c r="DG29" i="8"/>
  <c r="DG28" i="8"/>
  <c r="DG27" i="8"/>
  <c r="DG26" i="8"/>
  <c r="DG25" i="8"/>
  <c r="DG24" i="8"/>
  <c r="DG23" i="8"/>
  <c r="DG22" i="8"/>
  <c r="DG21" i="8"/>
  <c r="DG20" i="8"/>
  <c r="DG19" i="8"/>
  <c r="DG17" i="8"/>
  <c r="DG16" i="8"/>
  <c r="DG15" i="8"/>
  <c r="DG14" i="8"/>
  <c r="DG13" i="8"/>
  <c r="DG12" i="8"/>
  <c r="DG9" i="8"/>
  <c r="DG10" i="8"/>
  <c r="DG8" i="8"/>
  <c r="D151" i="4"/>
  <c r="DN155" i="8" s="1"/>
  <c r="E151" i="4"/>
  <c r="DU155" i="8" s="1"/>
  <c r="F151" i="4"/>
  <c r="EB155" i="8" s="1"/>
  <c r="G151" i="4"/>
  <c r="H151" i="4"/>
  <c r="I151" i="4"/>
  <c r="J151" i="4"/>
  <c r="K151" i="4"/>
  <c r="L151" i="4"/>
  <c r="M151" i="4"/>
  <c r="EI191" i="8" l="1"/>
  <c r="EI190" i="8"/>
  <c r="EI189" i="8"/>
  <c r="EI188" i="8"/>
  <c r="EI187" i="8"/>
  <c r="EI186" i="8"/>
  <c r="EI185" i="8"/>
  <c r="EI184" i="8"/>
  <c r="EI179" i="8"/>
  <c r="EI178" i="8"/>
  <c r="EI177" i="8"/>
  <c r="EI176" i="8"/>
  <c r="EI175" i="8"/>
  <c r="EI174" i="8"/>
  <c r="EI173" i="8"/>
  <c r="EI153" i="8"/>
  <c r="EI152" i="8"/>
  <c r="EI151" i="8"/>
  <c r="EI150" i="8"/>
  <c r="EI149" i="8"/>
  <c r="EI145" i="8"/>
  <c r="EI144" i="8"/>
  <c r="EI143" i="8"/>
  <c r="EI142" i="8"/>
  <c r="EI141" i="8"/>
  <c r="EI140" i="8"/>
  <c r="EI139" i="8"/>
  <c r="EI138" i="8"/>
  <c r="EI137" i="8"/>
  <c r="EI115" i="8"/>
  <c r="EI114" i="8"/>
  <c r="EI113" i="8"/>
  <c r="EI112" i="8"/>
  <c r="EI102" i="8"/>
  <c r="EI101" i="8"/>
  <c r="EI100" i="8"/>
  <c r="EI99" i="8"/>
  <c r="EI98" i="8"/>
  <c r="EI97" i="8"/>
  <c r="EI96" i="8"/>
  <c r="EI95" i="8"/>
  <c r="EI94" i="8"/>
  <c r="IY191" i="8"/>
  <c r="IS191" i="8"/>
  <c r="IM191" i="8"/>
  <c r="IG191" i="8"/>
  <c r="IY190" i="8"/>
  <c r="IS190" i="8"/>
  <c r="IM190" i="8"/>
  <c r="IG190" i="8"/>
  <c r="IY189" i="8"/>
  <c r="IS189" i="8"/>
  <c r="IM189" i="8"/>
  <c r="IG189" i="8"/>
  <c r="IY188" i="8"/>
  <c r="IS188" i="8"/>
  <c r="IM188" i="8"/>
  <c r="IG188" i="8"/>
  <c r="IY187" i="8"/>
  <c r="IS187" i="8"/>
  <c r="IM187" i="8"/>
  <c r="IG187" i="8"/>
  <c r="IY186" i="8"/>
  <c r="IS186" i="8"/>
  <c r="IM186" i="8"/>
  <c r="IG186" i="8"/>
  <c r="IY185" i="8"/>
  <c r="IS185" i="8"/>
  <c r="IM185" i="8"/>
  <c r="IG185" i="8"/>
  <c r="IY184" i="8"/>
  <c r="IS184" i="8"/>
  <c r="IM184" i="8"/>
  <c r="IG184" i="8"/>
  <c r="IY183" i="8"/>
  <c r="IS183" i="8"/>
  <c r="IM183" i="8"/>
  <c r="IG183" i="8"/>
  <c r="IF183" i="8"/>
  <c r="IE183" i="8"/>
  <c r="ID183" i="8"/>
  <c r="IC183" i="8"/>
  <c r="IB183" i="8"/>
  <c r="IA183" i="8"/>
  <c r="HZ183" i="8"/>
  <c r="HY183" i="8"/>
  <c r="HX183" i="8"/>
  <c r="HW183" i="8"/>
  <c r="HV183" i="8"/>
  <c r="HU183" i="8"/>
  <c r="HT183" i="8"/>
  <c r="HS183" i="8"/>
  <c r="HR183" i="8"/>
  <c r="HQ183" i="8"/>
  <c r="HP183" i="8"/>
  <c r="HO183" i="8"/>
  <c r="HN183" i="8"/>
  <c r="HM183" i="8"/>
  <c r="HL183" i="8"/>
  <c r="HK183" i="8"/>
  <c r="HJ183" i="8"/>
  <c r="HI183" i="8"/>
  <c r="HH183" i="8"/>
  <c r="HG183" i="8"/>
  <c r="HF183" i="8"/>
  <c r="HE183" i="8"/>
  <c r="HD183" i="8"/>
  <c r="HC183" i="8"/>
  <c r="HB183" i="8"/>
  <c r="HA183" i="8"/>
  <c r="GZ183" i="8"/>
  <c r="GY183" i="8"/>
  <c r="GX183" i="8"/>
  <c r="GW183" i="8"/>
  <c r="GV183" i="8"/>
  <c r="GU183" i="8"/>
  <c r="GT183" i="8"/>
  <c r="GS183" i="8"/>
  <c r="GR183" i="8"/>
  <c r="GQ183" i="8"/>
  <c r="GP183" i="8"/>
  <c r="GO183" i="8"/>
  <c r="GN183" i="8"/>
  <c r="GM183" i="8"/>
  <c r="GL183" i="8"/>
  <c r="GK183" i="8"/>
  <c r="GJ183" i="8"/>
  <c r="GI183" i="8"/>
  <c r="GH183" i="8"/>
  <c r="GG183" i="8"/>
  <c r="GF183" i="8"/>
  <c r="GE183" i="8"/>
  <c r="GD183" i="8"/>
  <c r="GC183" i="8"/>
  <c r="GB183" i="8"/>
  <c r="GA183" i="8"/>
  <c r="FZ183" i="8"/>
  <c r="FY183" i="8"/>
  <c r="FX183" i="8"/>
  <c r="FW183" i="8"/>
  <c r="FV183" i="8"/>
  <c r="FU183" i="8"/>
  <c r="FT183" i="8"/>
  <c r="FS183" i="8"/>
  <c r="FR183" i="8"/>
  <c r="FQ183" i="8"/>
  <c r="FP183" i="8"/>
  <c r="FO183" i="8"/>
  <c r="FN183" i="8"/>
  <c r="FM183" i="8"/>
  <c r="FL183" i="8"/>
  <c r="FK183" i="8"/>
  <c r="FJ183" i="8"/>
  <c r="FI183" i="8"/>
  <c r="FH183" i="8"/>
  <c r="FG183" i="8"/>
  <c r="FF183" i="8"/>
  <c r="FE183" i="8"/>
  <c r="FD183" i="8"/>
  <c r="FC183" i="8"/>
  <c r="FB183" i="8"/>
  <c r="FA183" i="8"/>
  <c r="EZ183" i="8"/>
  <c r="EY183" i="8"/>
  <c r="EX183" i="8"/>
  <c r="EW183" i="8"/>
  <c r="EV183" i="8"/>
  <c r="EU183" i="8"/>
  <c r="ET183" i="8"/>
  <c r="ES183" i="8"/>
  <c r="ER183" i="8"/>
  <c r="EQ183" i="8"/>
  <c r="EP183" i="8"/>
  <c r="EO183" i="8"/>
  <c r="EN183" i="8"/>
  <c r="EM183" i="8"/>
  <c r="EL183" i="8"/>
  <c r="EK183" i="8"/>
  <c r="EJ183" i="8"/>
  <c r="IY182" i="8"/>
  <c r="IS182" i="8"/>
  <c r="IM182" i="8"/>
  <c r="IG182" i="8"/>
  <c r="IF182" i="8"/>
  <c r="IE182" i="8"/>
  <c r="ID182" i="8"/>
  <c r="IC182" i="8"/>
  <c r="IB182" i="8"/>
  <c r="IA182" i="8"/>
  <c r="HZ182" i="8"/>
  <c r="HY182" i="8"/>
  <c r="HX182" i="8"/>
  <c r="HW182" i="8"/>
  <c r="HV182" i="8"/>
  <c r="HU182" i="8"/>
  <c r="HT182" i="8"/>
  <c r="HS182" i="8"/>
  <c r="HR182" i="8"/>
  <c r="HQ182" i="8"/>
  <c r="HP182" i="8"/>
  <c r="HO182" i="8"/>
  <c r="HN182" i="8"/>
  <c r="HM182" i="8"/>
  <c r="HL182" i="8"/>
  <c r="HK182" i="8"/>
  <c r="HJ182" i="8"/>
  <c r="HI182" i="8"/>
  <c r="HH182" i="8"/>
  <c r="HG182" i="8"/>
  <c r="HF182" i="8"/>
  <c r="HE182" i="8"/>
  <c r="HD182" i="8"/>
  <c r="HC182" i="8"/>
  <c r="HB182" i="8"/>
  <c r="HA182" i="8"/>
  <c r="GZ182" i="8"/>
  <c r="GY182" i="8"/>
  <c r="GX182" i="8"/>
  <c r="GW182" i="8"/>
  <c r="GV182" i="8"/>
  <c r="GU182" i="8"/>
  <c r="GT182" i="8"/>
  <c r="GS182" i="8"/>
  <c r="GR182" i="8"/>
  <c r="GQ182" i="8"/>
  <c r="GP182" i="8"/>
  <c r="GO182" i="8"/>
  <c r="GN182" i="8"/>
  <c r="GM182" i="8"/>
  <c r="GL182" i="8"/>
  <c r="GK182" i="8"/>
  <c r="GJ182" i="8"/>
  <c r="GI182" i="8"/>
  <c r="GH182" i="8"/>
  <c r="GG182" i="8"/>
  <c r="GF182" i="8"/>
  <c r="GE182" i="8"/>
  <c r="GD182" i="8"/>
  <c r="GC182" i="8"/>
  <c r="GB182" i="8"/>
  <c r="GA182" i="8"/>
  <c r="FZ182" i="8"/>
  <c r="FY182" i="8"/>
  <c r="FX182" i="8"/>
  <c r="FW182" i="8"/>
  <c r="FV182" i="8"/>
  <c r="FU182" i="8"/>
  <c r="FT182" i="8"/>
  <c r="FS182" i="8"/>
  <c r="FR182" i="8"/>
  <c r="FQ182" i="8"/>
  <c r="FP182" i="8"/>
  <c r="FO182" i="8"/>
  <c r="FN182" i="8"/>
  <c r="FM182" i="8"/>
  <c r="FL182" i="8"/>
  <c r="FK182" i="8"/>
  <c r="FJ182" i="8"/>
  <c r="FI182" i="8"/>
  <c r="FH182" i="8"/>
  <c r="FG182" i="8"/>
  <c r="FF182" i="8"/>
  <c r="FE182" i="8"/>
  <c r="FD182" i="8"/>
  <c r="FC182" i="8"/>
  <c r="FB182" i="8"/>
  <c r="FA182" i="8"/>
  <c r="EZ182" i="8"/>
  <c r="EY182" i="8"/>
  <c r="EX182" i="8"/>
  <c r="EW182" i="8"/>
  <c r="EV182" i="8"/>
  <c r="EU182" i="8"/>
  <c r="ET182" i="8"/>
  <c r="ES182" i="8"/>
  <c r="ER182" i="8"/>
  <c r="EQ182" i="8"/>
  <c r="EP182" i="8"/>
  <c r="EO182" i="8"/>
  <c r="EN182" i="8"/>
  <c r="EM182" i="8"/>
  <c r="EL182" i="8"/>
  <c r="EK182" i="8"/>
  <c r="EJ182" i="8"/>
  <c r="IY179" i="8"/>
  <c r="IS179" i="8"/>
  <c r="IM179" i="8"/>
  <c r="IG179" i="8"/>
  <c r="IY178" i="8"/>
  <c r="IS178" i="8"/>
  <c r="IM178" i="8"/>
  <c r="IG178" i="8"/>
  <c r="IY177" i="8"/>
  <c r="IS177" i="8"/>
  <c r="IM177" i="8"/>
  <c r="IG177" i="8"/>
  <c r="IY176" i="8"/>
  <c r="IS176" i="8"/>
  <c r="IM176" i="8"/>
  <c r="IG176" i="8"/>
  <c r="IY175" i="8"/>
  <c r="IS175" i="8"/>
  <c r="IM175" i="8"/>
  <c r="IG175" i="8"/>
  <c r="IY174" i="8"/>
  <c r="IS174" i="8"/>
  <c r="IM174" i="8"/>
  <c r="IG174" i="8"/>
  <c r="IY173" i="8"/>
  <c r="IS173" i="8"/>
  <c r="IM173" i="8"/>
  <c r="IG173" i="8"/>
  <c r="IY170" i="8"/>
  <c r="IS170" i="8"/>
  <c r="IM170" i="8"/>
  <c r="IG170" i="8"/>
  <c r="IF170" i="8"/>
  <c r="IE170" i="8"/>
  <c r="ID170" i="8"/>
  <c r="IC170" i="8"/>
  <c r="IB170" i="8"/>
  <c r="IA170" i="8"/>
  <c r="HZ170" i="8"/>
  <c r="HY170" i="8"/>
  <c r="HX170" i="8"/>
  <c r="HW170" i="8"/>
  <c r="HV170" i="8"/>
  <c r="HU170" i="8"/>
  <c r="HT170" i="8"/>
  <c r="HS170" i="8"/>
  <c r="HR170" i="8"/>
  <c r="HQ170" i="8"/>
  <c r="HP170" i="8"/>
  <c r="HO170" i="8"/>
  <c r="HN170" i="8"/>
  <c r="HM170" i="8"/>
  <c r="HL170" i="8"/>
  <c r="HK170" i="8"/>
  <c r="HJ170" i="8"/>
  <c r="HI170" i="8"/>
  <c r="HH170" i="8"/>
  <c r="HG170" i="8"/>
  <c r="HF170" i="8"/>
  <c r="HE170" i="8"/>
  <c r="HD170" i="8"/>
  <c r="HC170" i="8"/>
  <c r="HB170" i="8"/>
  <c r="HA170" i="8"/>
  <c r="GZ170" i="8"/>
  <c r="GY170" i="8"/>
  <c r="GX170" i="8"/>
  <c r="GW170" i="8"/>
  <c r="GV170" i="8"/>
  <c r="GU170" i="8"/>
  <c r="GT170" i="8"/>
  <c r="GS170" i="8"/>
  <c r="GR170" i="8"/>
  <c r="GQ170" i="8"/>
  <c r="GP170" i="8"/>
  <c r="GO170" i="8"/>
  <c r="GN170" i="8"/>
  <c r="GM170" i="8"/>
  <c r="GL170" i="8"/>
  <c r="GK170" i="8"/>
  <c r="GJ170" i="8"/>
  <c r="GI170" i="8"/>
  <c r="GH170" i="8"/>
  <c r="GG170" i="8"/>
  <c r="GF170" i="8"/>
  <c r="GE170" i="8"/>
  <c r="GD170" i="8"/>
  <c r="GC170" i="8"/>
  <c r="GB170" i="8"/>
  <c r="GA170" i="8"/>
  <c r="FZ170" i="8"/>
  <c r="FY170" i="8"/>
  <c r="FX170" i="8"/>
  <c r="FW170" i="8"/>
  <c r="FV170" i="8"/>
  <c r="FU170" i="8"/>
  <c r="FT170" i="8"/>
  <c r="FS170" i="8"/>
  <c r="FR170" i="8"/>
  <c r="FQ170" i="8"/>
  <c r="FP170" i="8"/>
  <c r="FO170" i="8"/>
  <c r="FN170" i="8"/>
  <c r="FM170" i="8"/>
  <c r="FL170" i="8"/>
  <c r="FK170" i="8"/>
  <c r="FJ170" i="8"/>
  <c r="FI170" i="8"/>
  <c r="FH170" i="8"/>
  <c r="FG170" i="8"/>
  <c r="FF170" i="8"/>
  <c r="FE170" i="8"/>
  <c r="FD170" i="8"/>
  <c r="FC170" i="8"/>
  <c r="FB170" i="8"/>
  <c r="FA170" i="8"/>
  <c r="EZ170" i="8"/>
  <c r="EY170" i="8"/>
  <c r="EX170" i="8"/>
  <c r="EW170" i="8"/>
  <c r="EV170" i="8"/>
  <c r="EU170" i="8"/>
  <c r="ET170" i="8"/>
  <c r="ES170" i="8"/>
  <c r="ER170" i="8"/>
  <c r="EQ170" i="8"/>
  <c r="EP170" i="8"/>
  <c r="EO170" i="8"/>
  <c r="EN170" i="8"/>
  <c r="EM170" i="8"/>
  <c r="EL170" i="8"/>
  <c r="EK170" i="8"/>
  <c r="EJ170" i="8"/>
  <c r="IY169" i="8"/>
  <c r="IS169" i="8"/>
  <c r="IM169" i="8"/>
  <c r="IG169" i="8"/>
  <c r="IF169" i="8"/>
  <c r="IE169" i="8"/>
  <c r="ID169" i="8"/>
  <c r="IC169" i="8"/>
  <c r="IB169" i="8"/>
  <c r="IA169" i="8"/>
  <c r="HZ169" i="8"/>
  <c r="HY169" i="8"/>
  <c r="HX169" i="8"/>
  <c r="HW169" i="8"/>
  <c r="HV169" i="8"/>
  <c r="HU169" i="8"/>
  <c r="HT169" i="8"/>
  <c r="HS169" i="8"/>
  <c r="HR169" i="8"/>
  <c r="HQ169" i="8"/>
  <c r="HP169" i="8"/>
  <c r="HO169" i="8"/>
  <c r="HN169" i="8"/>
  <c r="HM169" i="8"/>
  <c r="HL169" i="8"/>
  <c r="HK169" i="8"/>
  <c r="HJ169" i="8"/>
  <c r="HI169" i="8"/>
  <c r="HH169" i="8"/>
  <c r="HG169" i="8"/>
  <c r="HF169" i="8"/>
  <c r="HE169" i="8"/>
  <c r="HD169" i="8"/>
  <c r="HC169" i="8"/>
  <c r="HB169" i="8"/>
  <c r="HA169" i="8"/>
  <c r="GZ169" i="8"/>
  <c r="GY169" i="8"/>
  <c r="GX169" i="8"/>
  <c r="GW169" i="8"/>
  <c r="GV169" i="8"/>
  <c r="GU169" i="8"/>
  <c r="GT169" i="8"/>
  <c r="GS169" i="8"/>
  <c r="GR169" i="8"/>
  <c r="GQ169" i="8"/>
  <c r="GP169" i="8"/>
  <c r="GO169" i="8"/>
  <c r="GN169" i="8"/>
  <c r="GM169" i="8"/>
  <c r="GL169" i="8"/>
  <c r="GK169" i="8"/>
  <c r="GJ169" i="8"/>
  <c r="GI169" i="8"/>
  <c r="GH169" i="8"/>
  <c r="GG169" i="8"/>
  <c r="GF169" i="8"/>
  <c r="GE169" i="8"/>
  <c r="GD169" i="8"/>
  <c r="GC169" i="8"/>
  <c r="GB169" i="8"/>
  <c r="GA169" i="8"/>
  <c r="FZ169" i="8"/>
  <c r="FY169" i="8"/>
  <c r="FX169" i="8"/>
  <c r="FW169" i="8"/>
  <c r="FV169" i="8"/>
  <c r="FU169" i="8"/>
  <c r="FT169" i="8"/>
  <c r="FS169" i="8"/>
  <c r="FR169" i="8"/>
  <c r="FQ169" i="8"/>
  <c r="FP169" i="8"/>
  <c r="FO169" i="8"/>
  <c r="FN169" i="8"/>
  <c r="FM169" i="8"/>
  <c r="FL169" i="8"/>
  <c r="FK169" i="8"/>
  <c r="FJ169" i="8"/>
  <c r="FI169" i="8"/>
  <c r="FH169" i="8"/>
  <c r="FG169" i="8"/>
  <c r="FF169" i="8"/>
  <c r="FE169" i="8"/>
  <c r="FD169" i="8"/>
  <c r="FC169" i="8"/>
  <c r="FB169" i="8"/>
  <c r="FA169" i="8"/>
  <c r="EZ169" i="8"/>
  <c r="EY169" i="8"/>
  <c r="EX169" i="8"/>
  <c r="EW169" i="8"/>
  <c r="EV169" i="8"/>
  <c r="EU169" i="8"/>
  <c r="ET169" i="8"/>
  <c r="ES169" i="8"/>
  <c r="ER169" i="8"/>
  <c r="EQ169" i="8"/>
  <c r="EP169" i="8"/>
  <c r="EO169" i="8"/>
  <c r="EN169" i="8"/>
  <c r="EM169" i="8"/>
  <c r="EL169" i="8"/>
  <c r="EK169" i="8"/>
  <c r="EJ169" i="8"/>
  <c r="IY168" i="8"/>
  <c r="IS168" i="8"/>
  <c r="IM168" i="8"/>
  <c r="IG168" i="8"/>
  <c r="IF168" i="8"/>
  <c r="IE168" i="8"/>
  <c r="ID168" i="8"/>
  <c r="IC168" i="8"/>
  <c r="IB168" i="8"/>
  <c r="IA168" i="8"/>
  <c r="HZ168" i="8"/>
  <c r="HY168" i="8"/>
  <c r="HX168" i="8"/>
  <c r="HW168" i="8"/>
  <c r="HV168" i="8"/>
  <c r="HU168" i="8"/>
  <c r="HT168" i="8"/>
  <c r="HS168" i="8"/>
  <c r="HR168" i="8"/>
  <c r="HQ168" i="8"/>
  <c r="HP168" i="8"/>
  <c r="HO168" i="8"/>
  <c r="HN168" i="8"/>
  <c r="HM168" i="8"/>
  <c r="HL168" i="8"/>
  <c r="HK168" i="8"/>
  <c r="HJ168" i="8"/>
  <c r="HI168" i="8"/>
  <c r="HH168" i="8"/>
  <c r="HG168" i="8"/>
  <c r="HF168" i="8"/>
  <c r="HE168" i="8"/>
  <c r="HD168" i="8"/>
  <c r="HC168" i="8"/>
  <c r="HB168" i="8"/>
  <c r="HA168" i="8"/>
  <c r="GZ168" i="8"/>
  <c r="GY168" i="8"/>
  <c r="GX168" i="8"/>
  <c r="GW168" i="8"/>
  <c r="GV168" i="8"/>
  <c r="GU168" i="8"/>
  <c r="GT168" i="8"/>
  <c r="GS168" i="8"/>
  <c r="GR168" i="8"/>
  <c r="GQ168" i="8"/>
  <c r="GP168" i="8"/>
  <c r="GO168" i="8"/>
  <c r="GN168" i="8"/>
  <c r="GM168" i="8"/>
  <c r="GL168" i="8"/>
  <c r="GK168" i="8"/>
  <c r="GJ168" i="8"/>
  <c r="GI168" i="8"/>
  <c r="GH168" i="8"/>
  <c r="GG168" i="8"/>
  <c r="GF168" i="8"/>
  <c r="GE168" i="8"/>
  <c r="GD168" i="8"/>
  <c r="GC168" i="8"/>
  <c r="GB168" i="8"/>
  <c r="GA168" i="8"/>
  <c r="FZ168" i="8"/>
  <c r="FY168" i="8"/>
  <c r="FX168" i="8"/>
  <c r="FW168" i="8"/>
  <c r="FV168" i="8"/>
  <c r="FU168" i="8"/>
  <c r="FT168" i="8"/>
  <c r="FS168" i="8"/>
  <c r="FR168" i="8"/>
  <c r="FQ168" i="8"/>
  <c r="FP168" i="8"/>
  <c r="FO168" i="8"/>
  <c r="FN168" i="8"/>
  <c r="FM168" i="8"/>
  <c r="FL168" i="8"/>
  <c r="FK168" i="8"/>
  <c r="FJ168" i="8"/>
  <c r="FI168" i="8"/>
  <c r="FH168" i="8"/>
  <c r="FG168" i="8"/>
  <c r="FF168" i="8"/>
  <c r="FE168" i="8"/>
  <c r="FD168" i="8"/>
  <c r="FC168" i="8"/>
  <c r="FB168" i="8"/>
  <c r="FA168" i="8"/>
  <c r="EZ168" i="8"/>
  <c r="EY168" i="8"/>
  <c r="EX168" i="8"/>
  <c r="EW168" i="8"/>
  <c r="EV168" i="8"/>
  <c r="EU168" i="8"/>
  <c r="ET168" i="8"/>
  <c r="ES168" i="8"/>
  <c r="ER168" i="8"/>
  <c r="EQ168" i="8"/>
  <c r="EP168" i="8"/>
  <c r="EO168" i="8"/>
  <c r="EN168" i="8"/>
  <c r="EM168" i="8"/>
  <c r="EL168" i="8"/>
  <c r="EK168" i="8"/>
  <c r="EJ168" i="8"/>
  <c r="IY167" i="8"/>
  <c r="IS167" i="8"/>
  <c r="IM167" i="8"/>
  <c r="IG167" i="8"/>
  <c r="IF167" i="8"/>
  <c r="IE167" i="8"/>
  <c r="ID167" i="8"/>
  <c r="IC167" i="8"/>
  <c r="IB167" i="8"/>
  <c r="IA167" i="8"/>
  <c r="HZ167" i="8"/>
  <c r="HY167" i="8"/>
  <c r="HX167" i="8"/>
  <c r="HW167" i="8"/>
  <c r="HV167" i="8"/>
  <c r="HU167" i="8"/>
  <c r="HT167" i="8"/>
  <c r="HS167" i="8"/>
  <c r="HR167" i="8"/>
  <c r="HQ167" i="8"/>
  <c r="HP167" i="8"/>
  <c r="HO167" i="8"/>
  <c r="HN167" i="8"/>
  <c r="HM167" i="8"/>
  <c r="HL167" i="8"/>
  <c r="HK167" i="8"/>
  <c r="HJ167" i="8"/>
  <c r="HI167" i="8"/>
  <c r="HH167" i="8"/>
  <c r="HG167" i="8"/>
  <c r="HF167" i="8"/>
  <c r="HE167" i="8"/>
  <c r="HD167" i="8"/>
  <c r="HC167" i="8"/>
  <c r="HB167" i="8"/>
  <c r="HA167" i="8"/>
  <c r="GZ167" i="8"/>
  <c r="GY167" i="8"/>
  <c r="GX167" i="8"/>
  <c r="GW167" i="8"/>
  <c r="GV167" i="8"/>
  <c r="GU167" i="8"/>
  <c r="GT167" i="8"/>
  <c r="GS167" i="8"/>
  <c r="GR167" i="8"/>
  <c r="GQ167" i="8"/>
  <c r="GP167" i="8"/>
  <c r="GO167" i="8"/>
  <c r="GN167" i="8"/>
  <c r="GM167" i="8"/>
  <c r="GL167" i="8"/>
  <c r="GK167" i="8"/>
  <c r="GJ167" i="8"/>
  <c r="GI167" i="8"/>
  <c r="GH167" i="8"/>
  <c r="GG167" i="8"/>
  <c r="GF167" i="8"/>
  <c r="GE167" i="8"/>
  <c r="GD167" i="8"/>
  <c r="GC167" i="8"/>
  <c r="GB167" i="8"/>
  <c r="GA167" i="8"/>
  <c r="FZ167" i="8"/>
  <c r="FY167" i="8"/>
  <c r="FX167" i="8"/>
  <c r="FW167" i="8"/>
  <c r="FV167" i="8"/>
  <c r="FU167" i="8"/>
  <c r="FT167" i="8"/>
  <c r="FS167" i="8"/>
  <c r="FR167" i="8"/>
  <c r="FQ167" i="8"/>
  <c r="FP167" i="8"/>
  <c r="FO167" i="8"/>
  <c r="FN167" i="8"/>
  <c r="FM167" i="8"/>
  <c r="FL167" i="8"/>
  <c r="FK167" i="8"/>
  <c r="FJ167" i="8"/>
  <c r="FI167" i="8"/>
  <c r="FH167" i="8"/>
  <c r="FG167" i="8"/>
  <c r="FF167" i="8"/>
  <c r="FE167" i="8"/>
  <c r="FD167" i="8"/>
  <c r="FC167" i="8"/>
  <c r="FB167" i="8"/>
  <c r="FA167" i="8"/>
  <c r="EZ167" i="8"/>
  <c r="EY167" i="8"/>
  <c r="EX167" i="8"/>
  <c r="EW167" i="8"/>
  <c r="EV167" i="8"/>
  <c r="EU167" i="8"/>
  <c r="ET167" i="8"/>
  <c r="ES167" i="8"/>
  <c r="ER167" i="8"/>
  <c r="EQ167" i="8"/>
  <c r="EP167" i="8"/>
  <c r="EO167" i="8"/>
  <c r="EN167" i="8"/>
  <c r="EM167" i="8"/>
  <c r="EL167" i="8"/>
  <c r="EK167" i="8"/>
  <c r="EJ167" i="8"/>
  <c r="IY166" i="8"/>
  <c r="IS166" i="8"/>
  <c r="IM166" i="8"/>
  <c r="IG166" i="8"/>
  <c r="IF166" i="8"/>
  <c r="IE166" i="8"/>
  <c r="ID166" i="8"/>
  <c r="IC166" i="8"/>
  <c r="IB166" i="8"/>
  <c r="IA166" i="8"/>
  <c r="HZ166" i="8"/>
  <c r="HY166" i="8"/>
  <c r="HX166" i="8"/>
  <c r="HW166" i="8"/>
  <c r="HV166" i="8"/>
  <c r="HU166" i="8"/>
  <c r="HT166" i="8"/>
  <c r="HS166" i="8"/>
  <c r="HR166" i="8"/>
  <c r="HQ166" i="8"/>
  <c r="HP166" i="8"/>
  <c r="HO166" i="8"/>
  <c r="HN166" i="8"/>
  <c r="HM166" i="8"/>
  <c r="HL166" i="8"/>
  <c r="HK166" i="8"/>
  <c r="HJ166" i="8"/>
  <c r="HI166" i="8"/>
  <c r="HH166" i="8"/>
  <c r="HG166" i="8"/>
  <c r="HF166" i="8"/>
  <c r="HE166" i="8"/>
  <c r="HD166" i="8"/>
  <c r="HC166" i="8"/>
  <c r="HB166" i="8"/>
  <c r="HA166" i="8"/>
  <c r="GZ166" i="8"/>
  <c r="GY166" i="8"/>
  <c r="GX166" i="8"/>
  <c r="GW166" i="8"/>
  <c r="GV166" i="8"/>
  <c r="GU166" i="8"/>
  <c r="GT166" i="8"/>
  <c r="GS166" i="8"/>
  <c r="GR166" i="8"/>
  <c r="GQ166" i="8"/>
  <c r="GP166" i="8"/>
  <c r="GO166" i="8"/>
  <c r="GN166" i="8"/>
  <c r="GM166" i="8"/>
  <c r="GL166" i="8"/>
  <c r="GK166" i="8"/>
  <c r="GJ166" i="8"/>
  <c r="GI166" i="8"/>
  <c r="GH166" i="8"/>
  <c r="GG166" i="8"/>
  <c r="GF166" i="8"/>
  <c r="GE166" i="8"/>
  <c r="GD166" i="8"/>
  <c r="GC166" i="8"/>
  <c r="GB166" i="8"/>
  <c r="GA166" i="8"/>
  <c r="FZ166" i="8"/>
  <c r="FY166" i="8"/>
  <c r="FX166" i="8"/>
  <c r="FW166" i="8"/>
  <c r="FV166" i="8"/>
  <c r="FU166" i="8"/>
  <c r="FT166" i="8"/>
  <c r="FS166" i="8"/>
  <c r="FR166" i="8"/>
  <c r="FQ166" i="8"/>
  <c r="FP166" i="8"/>
  <c r="FO166" i="8"/>
  <c r="FN166" i="8"/>
  <c r="FM166" i="8"/>
  <c r="FL166" i="8"/>
  <c r="FK166" i="8"/>
  <c r="FJ166" i="8"/>
  <c r="FI166" i="8"/>
  <c r="FH166" i="8"/>
  <c r="FG166" i="8"/>
  <c r="FF166" i="8"/>
  <c r="FE166" i="8"/>
  <c r="FD166" i="8"/>
  <c r="FC166" i="8"/>
  <c r="FB166" i="8"/>
  <c r="FA166" i="8"/>
  <c r="EZ166" i="8"/>
  <c r="EY166" i="8"/>
  <c r="EX166" i="8"/>
  <c r="EW166" i="8"/>
  <c r="EV166" i="8"/>
  <c r="EU166" i="8"/>
  <c r="ET166" i="8"/>
  <c r="ES166" i="8"/>
  <c r="ER166" i="8"/>
  <c r="EQ166" i="8"/>
  <c r="EP166" i="8"/>
  <c r="EO166" i="8"/>
  <c r="EN166" i="8"/>
  <c r="EM166" i="8"/>
  <c r="EL166" i="8"/>
  <c r="EK166" i="8"/>
  <c r="EJ166" i="8"/>
  <c r="IY165" i="8"/>
  <c r="IS165" i="8"/>
  <c r="IM165" i="8"/>
  <c r="IG165" i="8"/>
  <c r="IF165" i="8"/>
  <c r="IE165" i="8"/>
  <c r="ID165" i="8"/>
  <c r="IC165" i="8"/>
  <c r="IB165" i="8"/>
  <c r="IA165" i="8"/>
  <c r="HZ165" i="8"/>
  <c r="HY165" i="8"/>
  <c r="HX165" i="8"/>
  <c r="HW165" i="8"/>
  <c r="HV165" i="8"/>
  <c r="HU165" i="8"/>
  <c r="HT165" i="8"/>
  <c r="HS165" i="8"/>
  <c r="HR165" i="8"/>
  <c r="HQ165" i="8"/>
  <c r="HP165" i="8"/>
  <c r="HO165" i="8"/>
  <c r="HN165" i="8"/>
  <c r="HM165" i="8"/>
  <c r="HL165" i="8"/>
  <c r="HK165" i="8"/>
  <c r="HJ165" i="8"/>
  <c r="HI165" i="8"/>
  <c r="HH165" i="8"/>
  <c r="HG165" i="8"/>
  <c r="HF165" i="8"/>
  <c r="HE165" i="8"/>
  <c r="HD165" i="8"/>
  <c r="HC165" i="8"/>
  <c r="HB165" i="8"/>
  <c r="HA165" i="8"/>
  <c r="GZ165" i="8"/>
  <c r="GY165" i="8"/>
  <c r="GX165" i="8"/>
  <c r="GW165" i="8"/>
  <c r="GV165" i="8"/>
  <c r="GU165" i="8"/>
  <c r="GT165" i="8"/>
  <c r="GS165" i="8"/>
  <c r="GR165" i="8"/>
  <c r="GQ165" i="8"/>
  <c r="GP165" i="8"/>
  <c r="GO165" i="8"/>
  <c r="GN165" i="8"/>
  <c r="GM165" i="8"/>
  <c r="GL165" i="8"/>
  <c r="GK165" i="8"/>
  <c r="GJ165" i="8"/>
  <c r="GI165" i="8"/>
  <c r="GH165" i="8"/>
  <c r="GG165" i="8"/>
  <c r="GF165" i="8"/>
  <c r="GE165" i="8"/>
  <c r="GD165" i="8"/>
  <c r="GC165" i="8"/>
  <c r="GB165" i="8"/>
  <c r="GA165" i="8"/>
  <c r="FZ165" i="8"/>
  <c r="FY165" i="8"/>
  <c r="FX165" i="8"/>
  <c r="FW165" i="8"/>
  <c r="FV165" i="8"/>
  <c r="FU165" i="8"/>
  <c r="FT165" i="8"/>
  <c r="FS165" i="8"/>
  <c r="FR165" i="8"/>
  <c r="FQ165" i="8"/>
  <c r="FP165" i="8"/>
  <c r="FO165" i="8"/>
  <c r="FN165" i="8"/>
  <c r="FM165" i="8"/>
  <c r="FL165" i="8"/>
  <c r="FK165" i="8"/>
  <c r="FJ165" i="8"/>
  <c r="FI165" i="8"/>
  <c r="FH165" i="8"/>
  <c r="FG165" i="8"/>
  <c r="FF165" i="8"/>
  <c r="FE165" i="8"/>
  <c r="FD165" i="8"/>
  <c r="FC165" i="8"/>
  <c r="FB165" i="8"/>
  <c r="FA165" i="8"/>
  <c r="EZ165" i="8"/>
  <c r="EY165" i="8"/>
  <c r="EX165" i="8"/>
  <c r="EW165" i="8"/>
  <c r="EV165" i="8"/>
  <c r="EU165" i="8"/>
  <c r="ET165" i="8"/>
  <c r="ES165" i="8"/>
  <c r="ER165" i="8"/>
  <c r="EQ165" i="8"/>
  <c r="EP165" i="8"/>
  <c r="EO165" i="8"/>
  <c r="EN165" i="8"/>
  <c r="EM165" i="8"/>
  <c r="EL165" i="8"/>
  <c r="EK165" i="8"/>
  <c r="EJ165" i="8"/>
  <c r="IY162" i="8"/>
  <c r="IS162" i="8"/>
  <c r="IM162" i="8"/>
  <c r="IG162" i="8"/>
  <c r="IF162" i="8"/>
  <c r="IE162" i="8"/>
  <c r="ID162" i="8"/>
  <c r="IC162" i="8"/>
  <c r="IB162" i="8"/>
  <c r="IA162" i="8"/>
  <c r="HZ162" i="8"/>
  <c r="HY162" i="8"/>
  <c r="HX162" i="8"/>
  <c r="HW162" i="8"/>
  <c r="HV162" i="8"/>
  <c r="HU162" i="8"/>
  <c r="HT162" i="8"/>
  <c r="HS162" i="8"/>
  <c r="HR162" i="8"/>
  <c r="HQ162" i="8"/>
  <c r="HP162" i="8"/>
  <c r="HO162" i="8"/>
  <c r="HN162" i="8"/>
  <c r="HM162" i="8"/>
  <c r="HL162" i="8"/>
  <c r="HK162" i="8"/>
  <c r="HJ162" i="8"/>
  <c r="HI162" i="8"/>
  <c r="HH162" i="8"/>
  <c r="HG162" i="8"/>
  <c r="HF162" i="8"/>
  <c r="HE162" i="8"/>
  <c r="HD162" i="8"/>
  <c r="HC162" i="8"/>
  <c r="HB162" i="8"/>
  <c r="HA162" i="8"/>
  <c r="GZ162" i="8"/>
  <c r="GY162" i="8"/>
  <c r="GX162" i="8"/>
  <c r="GW162" i="8"/>
  <c r="GV162" i="8"/>
  <c r="GU162" i="8"/>
  <c r="GT162" i="8"/>
  <c r="GS162" i="8"/>
  <c r="GR162" i="8"/>
  <c r="GQ162" i="8"/>
  <c r="GP162" i="8"/>
  <c r="GO162" i="8"/>
  <c r="GN162" i="8"/>
  <c r="GM162" i="8"/>
  <c r="GL162" i="8"/>
  <c r="GK162" i="8"/>
  <c r="GJ162" i="8"/>
  <c r="GI162" i="8"/>
  <c r="GH162" i="8"/>
  <c r="GG162" i="8"/>
  <c r="GF162" i="8"/>
  <c r="GE162" i="8"/>
  <c r="GD162" i="8"/>
  <c r="GC162" i="8"/>
  <c r="GB162" i="8"/>
  <c r="GA162" i="8"/>
  <c r="FZ162" i="8"/>
  <c r="FY162" i="8"/>
  <c r="FX162" i="8"/>
  <c r="FW162" i="8"/>
  <c r="FV162" i="8"/>
  <c r="FU162" i="8"/>
  <c r="FT162" i="8"/>
  <c r="FS162" i="8"/>
  <c r="FR162" i="8"/>
  <c r="FQ162" i="8"/>
  <c r="FP162" i="8"/>
  <c r="FO162" i="8"/>
  <c r="FN162" i="8"/>
  <c r="FM162" i="8"/>
  <c r="FL162" i="8"/>
  <c r="FK162" i="8"/>
  <c r="FJ162" i="8"/>
  <c r="FI162" i="8"/>
  <c r="FH162" i="8"/>
  <c r="FG162" i="8"/>
  <c r="FF162" i="8"/>
  <c r="FE162" i="8"/>
  <c r="FD162" i="8"/>
  <c r="FC162" i="8"/>
  <c r="FB162" i="8"/>
  <c r="FA162" i="8"/>
  <c r="EZ162" i="8"/>
  <c r="EY162" i="8"/>
  <c r="EX162" i="8"/>
  <c r="EW162" i="8"/>
  <c r="EV162" i="8"/>
  <c r="EU162" i="8"/>
  <c r="ET162" i="8"/>
  <c r="ES162" i="8"/>
  <c r="ER162" i="8"/>
  <c r="EQ162" i="8"/>
  <c r="EP162" i="8"/>
  <c r="EO162" i="8"/>
  <c r="EN162" i="8"/>
  <c r="EM162" i="8"/>
  <c r="EL162" i="8"/>
  <c r="EK162" i="8"/>
  <c r="EJ162" i="8"/>
  <c r="IY161" i="8"/>
  <c r="IS161" i="8"/>
  <c r="IM161" i="8"/>
  <c r="IG161" i="8"/>
  <c r="IF161" i="8"/>
  <c r="IE161" i="8"/>
  <c r="ID161" i="8"/>
  <c r="IC161" i="8"/>
  <c r="IB161" i="8"/>
  <c r="IA161" i="8"/>
  <c r="HZ161" i="8"/>
  <c r="HY161" i="8"/>
  <c r="HX161" i="8"/>
  <c r="HW161" i="8"/>
  <c r="HV161" i="8"/>
  <c r="HU161" i="8"/>
  <c r="HT161" i="8"/>
  <c r="HS161" i="8"/>
  <c r="HR161" i="8"/>
  <c r="HQ161" i="8"/>
  <c r="HP161" i="8"/>
  <c r="HO161" i="8"/>
  <c r="HN161" i="8"/>
  <c r="HM161" i="8"/>
  <c r="HL161" i="8"/>
  <c r="HK161" i="8"/>
  <c r="HJ161" i="8"/>
  <c r="HI161" i="8"/>
  <c r="HH161" i="8"/>
  <c r="HG161" i="8"/>
  <c r="HF161" i="8"/>
  <c r="HE161" i="8"/>
  <c r="HD161" i="8"/>
  <c r="HC161" i="8"/>
  <c r="HB161" i="8"/>
  <c r="HA161" i="8"/>
  <c r="GZ161" i="8"/>
  <c r="GY161" i="8"/>
  <c r="GX161" i="8"/>
  <c r="GW161" i="8"/>
  <c r="GV161" i="8"/>
  <c r="GU161" i="8"/>
  <c r="GT161" i="8"/>
  <c r="GS161" i="8"/>
  <c r="GR161" i="8"/>
  <c r="GQ161" i="8"/>
  <c r="GP161" i="8"/>
  <c r="GO161" i="8"/>
  <c r="GN161" i="8"/>
  <c r="GM161" i="8"/>
  <c r="GL161" i="8"/>
  <c r="GK161" i="8"/>
  <c r="GJ161" i="8"/>
  <c r="GI161" i="8"/>
  <c r="GH161" i="8"/>
  <c r="GG161" i="8"/>
  <c r="GF161" i="8"/>
  <c r="GE161" i="8"/>
  <c r="GD161" i="8"/>
  <c r="GC161" i="8"/>
  <c r="GB161" i="8"/>
  <c r="GA161" i="8"/>
  <c r="FZ161" i="8"/>
  <c r="FY161" i="8"/>
  <c r="FX161" i="8"/>
  <c r="FW161" i="8"/>
  <c r="FV161" i="8"/>
  <c r="FU161" i="8"/>
  <c r="FT161" i="8"/>
  <c r="FS161" i="8"/>
  <c r="FR161" i="8"/>
  <c r="FQ161" i="8"/>
  <c r="FP161" i="8"/>
  <c r="FO161" i="8"/>
  <c r="FN161" i="8"/>
  <c r="FM161" i="8"/>
  <c r="FL161" i="8"/>
  <c r="FK161" i="8"/>
  <c r="FJ161" i="8"/>
  <c r="FI161" i="8"/>
  <c r="FH161" i="8"/>
  <c r="FG161" i="8"/>
  <c r="FF161" i="8"/>
  <c r="FE161" i="8"/>
  <c r="FD161" i="8"/>
  <c r="FC161" i="8"/>
  <c r="FB161" i="8"/>
  <c r="FA161" i="8"/>
  <c r="EZ161" i="8"/>
  <c r="EY161" i="8"/>
  <c r="EX161" i="8"/>
  <c r="EW161" i="8"/>
  <c r="EV161" i="8"/>
  <c r="EU161" i="8"/>
  <c r="ET161" i="8"/>
  <c r="ES161" i="8"/>
  <c r="ER161" i="8"/>
  <c r="EQ161" i="8"/>
  <c r="EP161" i="8"/>
  <c r="EO161" i="8"/>
  <c r="EN161" i="8"/>
  <c r="EM161" i="8"/>
  <c r="EL161" i="8"/>
  <c r="EK161" i="8"/>
  <c r="EJ161" i="8"/>
  <c r="IY160" i="8"/>
  <c r="IS160" i="8"/>
  <c r="IM160" i="8"/>
  <c r="IG160" i="8"/>
  <c r="IF160" i="8"/>
  <c r="IE160" i="8"/>
  <c r="ID160" i="8"/>
  <c r="IC160" i="8"/>
  <c r="IB160" i="8"/>
  <c r="IA160" i="8"/>
  <c r="HZ160" i="8"/>
  <c r="HY160" i="8"/>
  <c r="HX160" i="8"/>
  <c r="HW160" i="8"/>
  <c r="HV160" i="8"/>
  <c r="HU160" i="8"/>
  <c r="HT160" i="8"/>
  <c r="HS160" i="8"/>
  <c r="HR160" i="8"/>
  <c r="HQ160" i="8"/>
  <c r="HP160" i="8"/>
  <c r="HO160" i="8"/>
  <c r="HN160" i="8"/>
  <c r="HM160" i="8"/>
  <c r="HL160" i="8"/>
  <c r="HK160" i="8"/>
  <c r="HJ160" i="8"/>
  <c r="HI160" i="8"/>
  <c r="HH160" i="8"/>
  <c r="HG160" i="8"/>
  <c r="HF160" i="8"/>
  <c r="HE160" i="8"/>
  <c r="HD160" i="8"/>
  <c r="HC160" i="8"/>
  <c r="HB160" i="8"/>
  <c r="HA160" i="8"/>
  <c r="GZ160" i="8"/>
  <c r="GY160" i="8"/>
  <c r="GX160" i="8"/>
  <c r="GW160" i="8"/>
  <c r="GV160" i="8"/>
  <c r="GU160" i="8"/>
  <c r="GT160" i="8"/>
  <c r="GS160" i="8"/>
  <c r="GR160" i="8"/>
  <c r="GQ160" i="8"/>
  <c r="GP160" i="8"/>
  <c r="GO160" i="8"/>
  <c r="GN160" i="8"/>
  <c r="GM160" i="8"/>
  <c r="GL160" i="8"/>
  <c r="GK160" i="8"/>
  <c r="GJ160" i="8"/>
  <c r="GI160" i="8"/>
  <c r="GH160" i="8"/>
  <c r="GG160" i="8"/>
  <c r="GF160" i="8"/>
  <c r="GE160" i="8"/>
  <c r="GD160" i="8"/>
  <c r="GC160" i="8"/>
  <c r="GB160" i="8"/>
  <c r="GA160" i="8"/>
  <c r="FZ160" i="8"/>
  <c r="FY160" i="8"/>
  <c r="FX160" i="8"/>
  <c r="FW160" i="8"/>
  <c r="FV160" i="8"/>
  <c r="FU160" i="8"/>
  <c r="FT160" i="8"/>
  <c r="FS160" i="8"/>
  <c r="FR160" i="8"/>
  <c r="FQ160" i="8"/>
  <c r="FP160" i="8"/>
  <c r="FO160" i="8"/>
  <c r="FN160" i="8"/>
  <c r="FM160" i="8"/>
  <c r="FL160" i="8"/>
  <c r="FK160" i="8"/>
  <c r="FJ160" i="8"/>
  <c r="FI160" i="8"/>
  <c r="FH160" i="8"/>
  <c r="FG160" i="8"/>
  <c r="FF160" i="8"/>
  <c r="FE160" i="8"/>
  <c r="FD160" i="8"/>
  <c r="FC160" i="8"/>
  <c r="FB160" i="8"/>
  <c r="FA160" i="8"/>
  <c r="EZ160" i="8"/>
  <c r="EY160" i="8"/>
  <c r="EX160" i="8"/>
  <c r="EW160" i="8"/>
  <c r="EV160" i="8"/>
  <c r="EU160" i="8"/>
  <c r="ET160" i="8"/>
  <c r="ES160" i="8"/>
  <c r="ER160" i="8"/>
  <c r="EQ160" i="8"/>
  <c r="EP160" i="8"/>
  <c r="EO160" i="8"/>
  <c r="EN160" i="8"/>
  <c r="EM160" i="8"/>
  <c r="EL160" i="8"/>
  <c r="EK160" i="8"/>
  <c r="EJ160" i="8"/>
  <c r="IY157" i="8"/>
  <c r="IS157" i="8"/>
  <c r="IM157" i="8"/>
  <c r="IG157" i="8"/>
  <c r="IF157" i="8"/>
  <c r="IE157" i="8"/>
  <c r="ID157" i="8"/>
  <c r="IC157" i="8"/>
  <c r="IB157" i="8"/>
  <c r="IA157" i="8"/>
  <c r="HZ157" i="8"/>
  <c r="HY157" i="8"/>
  <c r="HX157" i="8"/>
  <c r="HW157" i="8"/>
  <c r="HV157" i="8"/>
  <c r="HU157" i="8"/>
  <c r="HT157" i="8"/>
  <c r="HS157" i="8"/>
  <c r="HR157" i="8"/>
  <c r="HQ157" i="8"/>
  <c r="HP157" i="8"/>
  <c r="HO157" i="8"/>
  <c r="HN157" i="8"/>
  <c r="HM157" i="8"/>
  <c r="HL157" i="8"/>
  <c r="HK157" i="8"/>
  <c r="HJ157" i="8"/>
  <c r="HI157" i="8"/>
  <c r="HH157" i="8"/>
  <c r="HG157" i="8"/>
  <c r="HF157" i="8"/>
  <c r="HE157" i="8"/>
  <c r="HD157" i="8"/>
  <c r="HC157" i="8"/>
  <c r="HB157" i="8"/>
  <c r="HA157" i="8"/>
  <c r="GZ157" i="8"/>
  <c r="GY157" i="8"/>
  <c r="GX157" i="8"/>
  <c r="GW157" i="8"/>
  <c r="GV157" i="8"/>
  <c r="GU157" i="8"/>
  <c r="GT157" i="8"/>
  <c r="GS157" i="8"/>
  <c r="GR157" i="8"/>
  <c r="GQ157" i="8"/>
  <c r="GP157" i="8"/>
  <c r="GO157" i="8"/>
  <c r="GN157" i="8"/>
  <c r="GM157" i="8"/>
  <c r="GL157" i="8"/>
  <c r="GK157" i="8"/>
  <c r="GJ157" i="8"/>
  <c r="GI157" i="8"/>
  <c r="GH157" i="8"/>
  <c r="GG157" i="8"/>
  <c r="GF157" i="8"/>
  <c r="GE157" i="8"/>
  <c r="GD157" i="8"/>
  <c r="GC157" i="8"/>
  <c r="GB157" i="8"/>
  <c r="GA157" i="8"/>
  <c r="FZ157" i="8"/>
  <c r="FY157" i="8"/>
  <c r="FX157" i="8"/>
  <c r="FW157" i="8"/>
  <c r="FV157" i="8"/>
  <c r="FU157" i="8"/>
  <c r="FT157" i="8"/>
  <c r="FS157" i="8"/>
  <c r="FR157" i="8"/>
  <c r="FQ157" i="8"/>
  <c r="FP157" i="8"/>
  <c r="FO157" i="8"/>
  <c r="FN157" i="8"/>
  <c r="FM157" i="8"/>
  <c r="FL157" i="8"/>
  <c r="FK157" i="8"/>
  <c r="FJ157" i="8"/>
  <c r="FI157" i="8"/>
  <c r="FH157" i="8"/>
  <c r="FG157" i="8"/>
  <c r="FF157" i="8"/>
  <c r="FE157" i="8"/>
  <c r="FD157" i="8"/>
  <c r="FC157" i="8"/>
  <c r="FB157" i="8"/>
  <c r="FA157" i="8"/>
  <c r="EZ157" i="8"/>
  <c r="EY157" i="8"/>
  <c r="EX157" i="8"/>
  <c r="EW157" i="8"/>
  <c r="EV157" i="8"/>
  <c r="EU157" i="8"/>
  <c r="ET157" i="8"/>
  <c r="ES157" i="8"/>
  <c r="ER157" i="8"/>
  <c r="EQ157" i="8"/>
  <c r="EP157" i="8"/>
  <c r="EO157" i="8"/>
  <c r="EN157" i="8"/>
  <c r="EM157" i="8"/>
  <c r="EL157" i="8"/>
  <c r="EK157" i="8"/>
  <c r="EJ157" i="8"/>
  <c r="IY156" i="8"/>
  <c r="IS156" i="8"/>
  <c r="IM156" i="8"/>
  <c r="IG156" i="8"/>
  <c r="IF156" i="8"/>
  <c r="IE156" i="8"/>
  <c r="ID156" i="8"/>
  <c r="IC156" i="8"/>
  <c r="IB156" i="8"/>
  <c r="IA156" i="8"/>
  <c r="HZ156" i="8"/>
  <c r="HY156" i="8"/>
  <c r="HX156" i="8"/>
  <c r="HW156" i="8"/>
  <c r="HV156" i="8"/>
  <c r="HU156" i="8"/>
  <c r="HT156" i="8"/>
  <c r="HS156" i="8"/>
  <c r="HR156" i="8"/>
  <c r="HQ156" i="8"/>
  <c r="HP156" i="8"/>
  <c r="HO156" i="8"/>
  <c r="HN156" i="8"/>
  <c r="HM156" i="8"/>
  <c r="HL156" i="8"/>
  <c r="HK156" i="8"/>
  <c r="HJ156" i="8"/>
  <c r="HI156" i="8"/>
  <c r="HH156" i="8"/>
  <c r="HG156" i="8"/>
  <c r="HF156" i="8"/>
  <c r="HE156" i="8"/>
  <c r="HD156" i="8"/>
  <c r="HC156" i="8"/>
  <c r="HB156" i="8"/>
  <c r="HA156" i="8"/>
  <c r="GZ156" i="8"/>
  <c r="GY156" i="8"/>
  <c r="GX156" i="8"/>
  <c r="GW156" i="8"/>
  <c r="GV156" i="8"/>
  <c r="GU156" i="8"/>
  <c r="GT156" i="8"/>
  <c r="GS156" i="8"/>
  <c r="GR156" i="8"/>
  <c r="GQ156" i="8"/>
  <c r="GP156" i="8"/>
  <c r="GO156" i="8"/>
  <c r="GN156" i="8"/>
  <c r="GM156" i="8"/>
  <c r="GL156" i="8"/>
  <c r="GK156" i="8"/>
  <c r="GJ156" i="8"/>
  <c r="GI156" i="8"/>
  <c r="GH156" i="8"/>
  <c r="GG156" i="8"/>
  <c r="GF156" i="8"/>
  <c r="GE156" i="8"/>
  <c r="GD156" i="8"/>
  <c r="GC156" i="8"/>
  <c r="GB156" i="8"/>
  <c r="GA156" i="8"/>
  <c r="FZ156" i="8"/>
  <c r="FY156" i="8"/>
  <c r="FX156" i="8"/>
  <c r="FW156" i="8"/>
  <c r="FV156" i="8"/>
  <c r="FU156" i="8"/>
  <c r="FT156" i="8"/>
  <c r="FS156" i="8"/>
  <c r="FR156" i="8"/>
  <c r="FQ156" i="8"/>
  <c r="FP156" i="8"/>
  <c r="FO156" i="8"/>
  <c r="FN156" i="8"/>
  <c r="FM156" i="8"/>
  <c r="FL156" i="8"/>
  <c r="FK156" i="8"/>
  <c r="FJ156" i="8"/>
  <c r="FI156" i="8"/>
  <c r="FH156" i="8"/>
  <c r="FG156" i="8"/>
  <c r="FF156" i="8"/>
  <c r="FE156" i="8"/>
  <c r="FD156" i="8"/>
  <c r="FC156" i="8"/>
  <c r="FB156" i="8"/>
  <c r="FA156" i="8"/>
  <c r="EZ156" i="8"/>
  <c r="EY156" i="8"/>
  <c r="EX156" i="8"/>
  <c r="EW156" i="8"/>
  <c r="EV156" i="8"/>
  <c r="EU156" i="8"/>
  <c r="ET156" i="8"/>
  <c r="ES156" i="8"/>
  <c r="ER156" i="8"/>
  <c r="EQ156" i="8"/>
  <c r="EP156" i="8"/>
  <c r="EO156" i="8"/>
  <c r="EN156" i="8"/>
  <c r="EM156" i="8"/>
  <c r="EL156" i="8"/>
  <c r="EK156" i="8"/>
  <c r="EJ156" i="8"/>
  <c r="IY155" i="8"/>
  <c r="IS155" i="8"/>
  <c r="IM155" i="8"/>
  <c r="IG155" i="8"/>
  <c r="IF155" i="8"/>
  <c r="IE155" i="8"/>
  <c r="ID155" i="8"/>
  <c r="IC155" i="8"/>
  <c r="IB155" i="8"/>
  <c r="IA155" i="8"/>
  <c r="HZ155" i="8"/>
  <c r="HY155" i="8"/>
  <c r="HX155" i="8"/>
  <c r="HW155" i="8"/>
  <c r="HV155" i="8"/>
  <c r="HU155" i="8"/>
  <c r="HT155" i="8"/>
  <c r="HS155" i="8"/>
  <c r="HR155" i="8"/>
  <c r="HQ155" i="8"/>
  <c r="HP155" i="8"/>
  <c r="HO155" i="8"/>
  <c r="HN155" i="8"/>
  <c r="HM155" i="8"/>
  <c r="HL155" i="8"/>
  <c r="HK155" i="8"/>
  <c r="HJ155" i="8"/>
  <c r="HI155" i="8"/>
  <c r="HH155" i="8"/>
  <c r="HG155" i="8"/>
  <c r="HF155" i="8"/>
  <c r="HE155" i="8"/>
  <c r="HD155" i="8"/>
  <c r="HC155" i="8"/>
  <c r="HB155" i="8"/>
  <c r="HA155" i="8"/>
  <c r="GZ155" i="8"/>
  <c r="GY155" i="8"/>
  <c r="GX155" i="8"/>
  <c r="GW155" i="8"/>
  <c r="GV155" i="8"/>
  <c r="GU155" i="8"/>
  <c r="GT155" i="8"/>
  <c r="GS155" i="8"/>
  <c r="GR155" i="8"/>
  <c r="GQ155" i="8"/>
  <c r="GP155" i="8"/>
  <c r="GO155" i="8"/>
  <c r="GN155" i="8"/>
  <c r="GM155" i="8"/>
  <c r="GL155" i="8"/>
  <c r="GK155" i="8"/>
  <c r="GJ155" i="8"/>
  <c r="GI155" i="8"/>
  <c r="GH155" i="8"/>
  <c r="GG155" i="8"/>
  <c r="GF155" i="8"/>
  <c r="GE155" i="8"/>
  <c r="GD155" i="8"/>
  <c r="GC155" i="8"/>
  <c r="GB155" i="8"/>
  <c r="GA155" i="8"/>
  <c r="FZ155" i="8"/>
  <c r="FY155" i="8"/>
  <c r="FX155" i="8"/>
  <c r="FW155" i="8"/>
  <c r="FV155" i="8"/>
  <c r="FU155" i="8"/>
  <c r="FT155" i="8"/>
  <c r="FS155" i="8"/>
  <c r="FR155" i="8"/>
  <c r="FQ155" i="8"/>
  <c r="FP155" i="8"/>
  <c r="FO155" i="8"/>
  <c r="FN155" i="8"/>
  <c r="FM155" i="8"/>
  <c r="FL155" i="8"/>
  <c r="FK155" i="8"/>
  <c r="FJ155" i="8"/>
  <c r="FI155" i="8"/>
  <c r="FH155" i="8"/>
  <c r="FG155" i="8"/>
  <c r="FF155" i="8"/>
  <c r="FE155" i="8"/>
  <c r="FD155" i="8"/>
  <c r="FC155" i="8"/>
  <c r="FB155" i="8"/>
  <c r="FA155" i="8"/>
  <c r="EZ155" i="8"/>
  <c r="EY155" i="8"/>
  <c r="EX155" i="8"/>
  <c r="EW155" i="8"/>
  <c r="EV155" i="8"/>
  <c r="EU155" i="8"/>
  <c r="ET155" i="8"/>
  <c r="ES155" i="8"/>
  <c r="ER155" i="8"/>
  <c r="EQ155" i="8"/>
  <c r="EP155" i="8"/>
  <c r="EO155" i="8"/>
  <c r="EN155" i="8"/>
  <c r="EM155" i="8"/>
  <c r="EL155" i="8"/>
  <c r="EK155" i="8"/>
  <c r="EJ155" i="8"/>
  <c r="IY154" i="8"/>
  <c r="IS154" i="8"/>
  <c r="IM154" i="8"/>
  <c r="IG154" i="8"/>
  <c r="IF154" i="8"/>
  <c r="IE154" i="8"/>
  <c r="ID154" i="8"/>
  <c r="IC154" i="8"/>
  <c r="IB154" i="8"/>
  <c r="IA154" i="8"/>
  <c r="HZ154" i="8"/>
  <c r="HY154" i="8"/>
  <c r="HX154" i="8"/>
  <c r="HW154" i="8"/>
  <c r="HV154" i="8"/>
  <c r="HU154" i="8"/>
  <c r="HT154" i="8"/>
  <c r="HS154" i="8"/>
  <c r="HR154" i="8"/>
  <c r="HQ154" i="8"/>
  <c r="HP154" i="8"/>
  <c r="HO154" i="8"/>
  <c r="HN154" i="8"/>
  <c r="HM154" i="8"/>
  <c r="HL154" i="8"/>
  <c r="HK154" i="8"/>
  <c r="HJ154" i="8"/>
  <c r="HI154" i="8"/>
  <c r="HH154" i="8"/>
  <c r="HG154" i="8"/>
  <c r="HF154" i="8"/>
  <c r="HE154" i="8"/>
  <c r="HD154" i="8"/>
  <c r="HC154" i="8"/>
  <c r="HB154" i="8"/>
  <c r="HA154" i="8"/>
  <c r="GZ154" i="8"/>
  <c r="GY154" i="8"/>
  <c r="GX154" i="8"/>
  <c r="GW154" i="8"/>
  <c r="GV154" i="8"/>
  <c r="GU154" i="8"/>
  <c r="GT154" i="8"/>
  <c r="GS154" i="8"/>
  <c r="GR154" i="8"/>
  <c r="GQ154" i="8"/>
  <c r="GP154" i="8"/>
  <c r="GO154" i="8"/>
  <c r="GN154" i="8"/>
  <c r="GM154" i="8"/>
  <c r="GL154" i="8"/>
  <c r="GK154" i="8"/>
  <c r="GJ154" i="8"/>
  <c r="GI154" i="8"/>
  <c r="GH154" i="8"/>
  <c r="GG154" i="8"/>
  <c r="GF154" i="8"/>
  <c r="GE154" i="8"/>
  <c r="GD154" i="8"/>
  <c r="GC154" i="8"/>
  <c r="GB154" i="8"/>
  <c r="GA154" i="8"/>
  <c r="FZ154" i="8"/>
  <c r="FY154" i="8"/>
  <c r="FX154" i="8"/>
  <c r="FW154" i="8"/>
  <c r="FV154" i="8"/>
  <c r="FU154" i="8"/>
  <c r="FT154" i="8"/>
  <c r="FS154" i="8"/>
  <c r="FR154" i="8"/>
  <c r="FQ154" i="8"/>
  <c r="FP154" i="8"/>
  <c r="FO154" i="8"/>
  <c r="FN154" i="8"/>
  <c r="FM154" i="8"/>
  <c r="FL154" i="8"/>
  <c r="FK154" i="8"/>
  <c r="FJ154" i="8"/>
  <c r="FI154" i="8"/>
  <c r="FH154" i="8"/>
  <c r="FG154" i="8"/>
  <c r="FF154" i="8"/>
  <c r="FE154" i="8"/>
  <c r="FD154" i="8"/>
  <c r="FC154" i="8"/>
  <c r="FB154" i="8"/>
  <c r="FA154" i="8"/>
  <c r="EZ154" i="8"/>
  <c r="EY154" i="8"/>
  <c r="EX154" i="8"/>
  <c r="EW154" i="8"/>
  <c r="EV154" i="8"/>
  <c r="EU154" i="8"/>
  <c r="ET154" i="8"/>
  <c r="ES154" i="8"/>
  <c r="ER154" i="8"/>
  <c r="EQ154" i="8"/>
  <c r="EP154" i="8"/>
  <c r="EO154" i="8"/>
  <c r="EN154" i="8"/>
  <c r="EM154" i="8"/>
  <c r="EL154" i="8"/>
  <c r="EK154" i="8"/>
  <c r="EJ154" i="8"/>
  <c r="IY153" i="8"/>
  <c r="IS153" i="8"/>
  <c r="IM153" i="8"/>
  <c r="IG153" i="8"/>
  <c r="IY152" i="8"/>
  <c r="IS152" i="8"/>
  <c r="IM152" i="8"/>
  <c r="IG152" i="8"/>
  <c r="IY151" i="8"/>
  <c r="IS151" i="8"/>
  <c r="IM151" i="8"/>
  <c r="IG151" i="8"/>
  <c r="IY150" i="8"/>
  <c r="IS150" i="8"/>
  <c r="IM150" i="8"/>
  <c r="IG150" i="8"/>
  <c r="IY149" i="8"/>
  <c r="IS149" i="8"/>
  <c r="IM149" i="8"/>
  <c r="IG149" i="8"/>
  <c r="IY148" i="8"/>
  <c r="IS148" i="8"/>
  <c r="IM148" i="8"/>
  <c r="IG148" i="8"/>
  <c r="IF148" i="8"/>
  <c r="IE148" i="8"/>
  <c r="ID148" i="8"/>
  <c r="IC148" i="8"/>
  <c r="IB148" i="8"/>
  <c r="IA148" i="8"/>
  <c r="HZ148" i="8"/>
  <c r="HY148" i="8"/>
  <c r="HX148" i="8"/>
  <c r="HW148" i="8"/>
  <c r="HV148" i="8"/>
  <c r="HU148" i="8"/>
  <c r="HT148" i="8"/>
  <c r="HS148" i="8"/>
  <c r="HR148" i="8"/>
  <c r="HQ148" i="8"/>
  <c r="HP148" i="8"/>
  <c r="HO148" i="8"/>
  <c r="HN148" i="8"/>
  <c r="HM148" i="8"/>
  <c r="HL148" i="8"/>
  <c r="HK148" i="8"/>
  <c r="HJ148" i="8"/>
  <c r="HI148" i="8"/>
  <c r="HH148" i="8"/>
  <c r="HG148" i="8"/>
  <c r="HF148" i="8"/>
  <c r="HE148" i="8"/>
  <c r="HD148" i="8"/>
  <c r="HC148" i="8"/>
  <c r="HB148" i="8"/>
  <c r="HA148" i="8"/>
  <c r="GZ148" i="8"/>
  <c r="GY148" i="8"/>
  <c r="GX148" i="8"/>
  <c r="GW148" i="8"/>
  <c r="GV148" i="8"/>
  <c r="GU148" i="8"/>
  <c r="GT148" i="8"/>
  <c r="GS148" i="8"/>
  <c r="GR148" i="8"/>
  <c r="GQ148" i="8"/>
  <c r="GP148" i="8"/>
  <c r="GO148" i="8"/>
  <c r="GN148" i="8"/>
  <c r="GM148" i="8"/>
  <c r="GL148" i="8"/>
  <c r="GK148" i="8"/>
  <c r="GJ148" i="8"/>
  <c r="GI148" i="8"/>
  <c r="GH148" i="8"/>
  <c r="GG148" i="8"/>
  <c r="GF148" i="8"/>
  <c r="GE148" i="8"/>
  <c r="GD148" i="8"/>
  <c r="GC148" i="8"/>
  <c r="GB148" i="8"/>
  <c r="GA148" i="8"/>
  <c r="FZ148" i="8"/>
  <c r="FY148" i="8"/>
  <c r="FX148" i="8"/>
  <c r="FW148" i="8"/>
  <c r="FV148" i="8"/>
  <c r="FU148" i="8"/>
  <c r="FT148" i="8"/>
  <c r="FS148" i="8"/>
  <c r="FR148" i="8"/>
  <c r="FQ148" i="8"/>
  <c r="FP148" i="8"/>
  <c r="FO148" i="8"/>
  <c r="FN148" i="8"/>
  <c r="FM148" i="8"/>
  <c r="FL148" i="8"/>
  <c r="FK148" i="8"/>
  <c r="FJ148" i="8"/>
  <c r="FI148" i="8"/>
  <c r="FH148" i="8"/>
  <c r="FG148" i="8"/>
  <c r="FF148" i="8"/>
  <c r="FE148" i="8"/>
  <c r="FD148" i="8"/>
  <c r="FC148" i="8"/>
  <c r="FB148" i="8"/>
  <c r="FA148" i="8"/>
  <c r="EZ148" i="8"/>
  <c r="EY148" i="8"/>
  <c r="EX148" i="8"/>
  <c r="EW148" i="8"/>
  <c r="EV148" i="8"/>
  <c r="EU148" i="8"/>
  <c r="ET148" i="8"/>
  <c r="ES148" i="8"/>
  <c r="ER148" i="8"/>
  <c r="EQ148" i="8"/>
  <c r="EP148" i="8"/>
  <c r="EO148" i="8"/>
  <c r="EN148" i="8"/>
  <c r="EM148" i="8"/>
  <c r="EL148" i="8"/>
  <c r="EK148" i="8"/>
  <c r="EJ148" i="8"/>
  <c r="IY145" i="8"/>
  <c r="IS145" i="8"/>
  <c r="IM145" i="8"/>
  <c r="IG145" i="8"/>
  <c r="IY144" i="8"/>
  <c r="IS144" i="8"/>
  <c r="IM144" i="8"/>
  <c r="IG144" i="8"/>
  <c r="IY143" i="8"/>
  <c r="IS143" i="8"/>
  <c r="IM143" i="8"/>
  <c r="IG143" i="8"/>
  <c r="IY142" i="8"/>
  <c r="IS142" i="8"/>
  <c r="IM142" i="8"/>
  <c r="IG142" i="8"/>
  <c r="IY141" i="8"/>
  <c r="IS141" i="8"/>
  <c r="IM141" i="8"/>
  <c r="IG141" i="8"/>
  <c r="IY140" i="8"/>
  <c r="IS140" i="8"/>
  <c r="IM140" i="8"/>
  <c r="IG140" i="8"/>
  <c r="IY139" i="8"/>
  <c r="IS139" i="8"/>
  <c r="IM139" i="8"/>
  <c r="IG139" i="8"/>
  <c r="IY138" i="8"/>
  <c r="IS138" i="8"/>
  <c r="IM138" i="8"/>
  <c r="IG138" i="8"/>
  <c r="IY137" i="8"/>
  <c r="IS137" i="8"/>
  <c r="IM137" i="8"/>
  <c r="IG137" i="8"/>
  <c r="IY136" i="8"/>
  <c r="IS136" i="8"/>
  <c r="IN194" i="8"/>
  <c r="IM136" i="8"/>
  <c r="IG136" i="8"/>
  <c r="IF136" i="8"/>
  <c r="IE136" i="8"/>
  <c r="ID136" i="8"/>
  <c r="IC136" i="8"/>
  <c r="IB136" i="8"/>
  <c r="IA136" i="8"/>
  <c r="HZ136" i="8"/>
  <c r="HY136" i="8"/>
  <c r="HX136" i="8"/>
  <c r="HW136" i="8"/>
  <c r="HV136" i="8"/>
  <c r="HU136" i="8"/>
  <c r="HT136" i="8"/>
  <c r="HS136" i="8"/>
  <c r="HR136" i="8"/>
  <c r="HQ136" i="8"/>
  <c r="HP136" i="8"/>
  <c r="HO136" i="8"/>
  <c r="HN136" i="8"/>
  <c r="HM136" i="8"/>
  <c r="HL136" i="8"/>
  <c r="HK136" i="8"/>
  <c r="HJ136" i="8"/>
  <c r="HI136" i="8"/>
  <c r="HH136" i="8"/>
  <c r="HG136" i="8"/>
  <c r="HF136" i="8"/>
  <c r="HE136" i="8"/>
  <c r="HD136" i="8"/>
  <c r="HC136" i="8"/>
  <c r="HB136" i="8"/>
  <c r="HA136" i="8"/>
  <c r="GZ136" i="8"/>
  <c r="GY136" i="8"/>
  <c r="GX136" i="8"/>
  <c r="GW136" i="8"/>
  <c r="GV136" i="8"/>
  <c r="GU136" i="8"/>
  <c r="GT136" i="8"/>
  <c r="GS136" i="8"/>
  <c r="GR136" i="8"/>
  <c r="GQ136" i="8"/>
  <c r="GP136" i="8"/>
  <c r="GO136" i="8"/>
  <c r="GN136" i="8"/>
  <c r="GM136" i="8"/>
  <c r="GL136" i="8"/>
  <c r="GK136" i="8"/>
  <c r="GJ136" i="8"/>
  <c r="GI136" i="8"/>
  <c r="GH136" i="8"/>
  <c r="GG136" i="8"/>
  <c r="GF136" i="8"/>
  <c r="GE136" i="8"/>
  <c r="GD136" i="8"/>
  <c r="GC136" i="8"/>
  <c r="GB136" i="8"/>
  <c r="GA136" i="8"/>
  <c r="FZ136" i="8"/>
  <c r="FY136" i="8"/>
  <c r="FX136" i="8"/>
  <c r="FW136" i="8"/>
  <c r="FV136" i="8"/>
  <c r="FU136" i="8"/>
  <c r="FT136" i="8"/>
  <c r="FS136" i="8"/>
  <c r="FR136" i="8"/>
  <c r="FQ136" i="8"/>
  <c r="FP136" i="8"/>
  <c r="FO136" i="8"/>
  <c r="FN136" i="8"/>
  <c r="FM136" i="8"/>
  <c r="FL136" i="8"/>
  <c r="FK136" i="8"/>
  <c r="FJ136" i="8"/>
  <c r="FI136" i="8"/>
  <c r="FH136" i="8"/>
  <c r="FG136" i="8"/>
  <c r="FF136" i="8"/>
  <c r="FE136" i="8"/>
  <c r="FD136" i="8"/>
  <c r="FC136" i="8"/>
  <c r="FB136" i="8"/>
  <c r="FA136" i="8"/>
  <c r="EZ136" i="8"/>
  <c r="EY136" i="8"/>
  <c r="EX136" i="8"/>
  <c r="EW136" i="8"/>
  <c r="EV136" i="8"/>
  <c r="EU136" i="8"/>
  <c r="ET136" i="8"/>
  <c r="ES136" i="8"/>
  <c r="ER136" i="8"/>
  <c r="EQ136" i="8"/>
  <c r="EP136" i="8"/>
  <c r="EO136" i="8"/>
  <c r="EN136" i="8"/>
  <c r="EM136" i="8"/>
  <c r="EL136" i="8"/>
  <c r="EK136" i="8"/>
  <c r="EJ136" i="8"/>
  <c r="IY132" i="8"/>
  <c r="IS132" i="8"/>
  <c r="IM132" i="8"/>
  <c r="IG132" i="8"/>
  <c r="IF132" i="8"/>
  <c r="IE132" i="8"/>
  <c r="ID132" i="8"/>
  <c r="IC132" i="8"/>
  <c r="IB132" i="8"/>
  <c r="IA132" i="8"/>
  <c r="HZ132" i="8"/>
  <c r="HY132" i="8"/>
  <c r="HX132" i="8"/>
  <c r="HW132" i="8"/>
  <c r="HV132" i="8"/>
  <c r="HU132" i="8"/>
  <c r="HT132" i="8"/>
  <c r="HS132" i="8"/>
  <c r="HR132" i="8"/>
  <c r="HQ132" i="8"/>
  <c r="HP132" i="8"/>
  <c r="HO132" i="8"/>
  <c r="HN132" i="8"/>
  <c r="HM132" i="8"/>
  <c r="HL132" i="8"/>
  <c r="HK132" i="8"/>
  <c r="HJ132" i="8"/>
  <c r="HI132" i="8"/>
  <c r="HH132" i="8"/>
  <c r="HG132" i="8"/>
  <c r="HF132" i="8"/>
  <c r="HE132" i="8"/>
  <c r="HD132" i="8"/>
  <c r="HC132" i="8"/>
  <c r="HB132" i="8"/>
  <c r="HA132" i="8"/>
  <c r="GZ132" i="8"/>
  <c r="GY132" i="8"/>
  <c r="GX132" i="8"/>
  <c r="GW132" i="8"/>
  <c r="GV132" i="8"/>
  <c r="GU132" i="8"/>
  <c r="GT132" i="8"/>
  <c r="GS132" i="8"/>
  <c r="GR132" i="8"/>
  <c r="GQ132" i="8"/>
  <c r="GP132" i="8"/>
  <c r="GO132" i="8"/>
  <c r="GN132" i="8"/>
  <c r="GM132" i="8"/>
  <c r="GL132" i="8"/>
  <c r="GK132" i="8"/>
  <c r="GJ132" i="8"/>
  <c r="GI132" i="8"/>
  <c r="GH132" i="8"/>
  <c r="GG132" i="8"/>
  <c r="GF132" i="8"/>
  <c r="GE132" i="8"/>
  <c r="GD132" i="8"/>
  <c r="GC132" i="8"/>
  <c r="GB132" i="8"/>
  <c r="GA132" i="8"/>
  <c r="FZ132" i="8"/>
  <c r="FY132" i="8"/>
  <c r="FX132" i="8"/>
  <c r="FW132" i="8"/>
  <c r="FV132" i="8"/>
  <c r="FU132" i="8"/>
  <c r="FT132" i="8"/>
  <c r="FS132" i="8"/>
  <c r="FR132" i="8"/>
  <c r="FQ132" i="8"/>
  <c r="FP132" i="8"/>
  <c r="FO132" i="8"/>
  <c r="FN132" i="8"/>
  <c r="FM132" i="8"/>
  <c r="FL132" i="8"/>
  <c r="FK132" i="8"/>
  <c r="FJ132" i="8"/>
  <c r="FI132" i="8"/>
  <c r="FH132" i="8"/>
  <c r="FG132" i="8"/>
  <c r="FF132" i="8"/>
  <c r="FE132" i="8"/>
  <c r="FD132" i="8"/>
  <c r="FC132" i="8"/>
  <c r="FB132" i="8"/>
  <c r="FA132" i="8"/>
  <c r="EZ132" i="8"/>
  <c r="EY132" i="8"/>
  <c r="EX132" i="8"/>
  <c r="EW132" i="8"/>
  <c r="EV132" i="8"/>
  <c r="EU132" i="8"/>
  <c r="ET132" i="8"/>
  <c r="ES132" i="8"/>
  <c r="ER132" i="8"/>
  <c r="EQ132" i="8"/>
  <c r="EP132" i="8"/>
  <c r="EO132" i="8"/>
  <c r="EN132" i="8"/>
  <c r="EM132" i="8"/>
  <c r="EL132" i="8"/>
  <c r="EK132" i="8"/>
  <c r="EJ132" i="8"/>
  <c r="IY131" i="8"/>
  <c r="IS131" i="8"/>
  <c r="IM131" i="8"/>
  <c r="IG131" i="8"/>
  <c r="IF131" i="8"/>
  <c r="IE131" i="8"/>
  <c r="ID131" i="8"/>
  <c r="IC131" i="8"/>
  <c r="IB131" i="8"/>
  <c r="IA131" i="8"/>
  <c r="HZ131" i="8"/>
  <c r="HY131" i="8"/>
  <c r="HX131" i="8"/>
  <c r="HW131" i="8"/>
  <c r="HV131" i="8"/>
  <c r="HU131" i="8"/>
  <c r="HT131" i="8"/>
  <c r="HS131" i="8"/>
  <c r="HR131" i="8"/>
  <c r="HQ131" i="8"/>
  <c r="HP131" i="8"/>
  <c r="HO131" i="8"/>
  <c r="HN131" i="8"/>
  <c r="HM131" i="8"/>
  <c r="HL131" i="8"/>
  <c r="HK131" i="8"/>
  <c r="HJ131" i="8"/>
  <c r="HI131" i="8"/>
  <c r="HH131" i="8"/>
  <c r="HG131" i="8"/>
  <c r="HF131" i="8"/>
  <c r="HE131" i="8"/>
  <c r="HD131" i="8"/>
  <c r="HC131" i="8"/>
  <c r="HB131" i="8"/>
  <c r="HA131" i="8"/>
  <c r="GZ131" i="8"/>
  <c r="GY131" i="8"/>
  <c r="GX131" i="8"/>
  <c r="GW131" i="8"/>
  <c r="GV131" i="8"/>
  <c r="GU131" i="8"/>
  <c r="GT131" i="8"/>
  <c r="GS131" i="8"/>
  <c r="GR131" i="8"/>
  <c r="GQ131" i="8"/>
  <c r="GP131" i="8"/>
  <c r="GO131" i="8"/>
  <c r="GN131" i="8"/>
  <c r="GM131" i="8"/>
  <c r="GL131" i="8"/>
  <c r="GK131" i="8"/>
  <c r="GJ131" i="8"/>
  <c r="GI131" i="8"/>
  <c r="GH131" i="8"/>
  <c r="GG131" i="8"/>
  <c r="GF131" i="8"/>
  <c r="GE131" i="8"/>
  <c r="GD131" i="8"/>
  <c r="GC131" i="8"/>
  <c r="GB131" i="8"/>
  <c r="GA131" i="8"/>
  <c r="FZ131" i="8"/>
  <c r="FY131" i="8"/>
  <c r="FX131" i="8"/>
  <c r="FW131" i="8"/>
  <c r="FV131" i="8"/>
  <c r="FU131" i="8"/>
  <c r="FT131" i="8"/>
  <c r="FS131" i="8"/>
  <c r="FR131" i="8"/>
  <c r="FQ131" i="8"/>
  <c r="FP131" i="8"/>
  <c r="FO131" i="8"/>
  <c r="FN131" i="8"/>
  <c r="FM131" i="8"/>
  <c r="FL131" i="8"/>
  <c r="FK131" i="8"/>
  <c r="FJ131" i="8"/>
  <c r="FI131" i="8"/>
  <c r="FH131" i="8"/>
  <c r="FG131" i="8"/>
  <c r="FF131" i="8"/>
  <c r="FE131" i="8"/>
  <c r="FD131" i="8"/>
  <c r="FC131" i="8"/>
  <c r="FB131" i="8"/>
  <c r="FA131" i="8"/>
  <c r="EZ131" i="8"/>
  <c r="EY131" i="8"/>
  <c r="EX131" i="8"/>
  <c r="EW131" i="8"/>
  <c r="EV131" i="8"/>
  <c r="EU131" i="8"/>
  <c r="ET131" i="8"/>
  <c r="ES131" i="8"/>
  <c r="ER131" i="8"/>
  <c r="EQ131" i="8"/>
  <c r="EP131" i="8"/>
  <c r="EO131" i="8"/>
  <c r="EN131" i="8"/>
  <c r="EM131" i="8"/>
  <c r="EL131" i="8"/>
  <c r="EK131" i="8"/>
  <c r="EJ131" i="8"/>
  <c r="IY130" i="8"/>
  <c r="IS130" i="8"/>
  <c r="IM130" i="8"/>
  <c r="IG130" i="8"/>
  <c r="IF130" i="8"/>
  <c r="IE130" i="8"/>
  <c r="ID130" i="8"/>
  <c r="IC130" i="8"/>
  <c r="IB130" i="8"/>
  <c r="IA130" i="8"/>
  <c r="HZ130" i="8"/>
  <c r="HY130" i="8"/>
  <c r="HX130" i="8"/>
  <c r="HW130" i="8"/>
  <c r="HV130" i="8"/>
  <c r="HU130" i="8"/>
  <c r="HT130" i="8"/>
  <c r="HS130" i="8"/>
  <c r="HR130" i="8"/>
  <c r="HQ130" i="8"/>
  <c r="HP130" i="8"/>
  <c r="HO130" i="8"/>
  <c r="HN130" i="8"/>
  <c r="HM130" i="8"/>
  <c r="HL130" i="8"/>
  <c r="HK130" i="8"/>
  <c r="HJ130" i="8"/>
  <c r="HI130" i="8"/>
  <c r="HH130" i="8"/>
  <c r="HG130" i="8"/>
  <c r="HF130" i="8"/>
  <c r="HE130" i="8"/>
  <c r="HD130" i="8"/>
  <c r="HC130" i="8"/>
  <c r="HB130" i="8"/>
  <c r="HA130" i="8"/>
  <c r="GZ130" i="8"/>
  <c r="GY130" i="8"/>
  <c r="GX130" i="8"/>
  <c r="GW130" i="8"/>
  <c r="GV130" i="8"/>
  <c r="GU130" i="8"/>
  <c r="GT130" i="8"/>
  <c r="GS130" i="8"/>
  <c r="GR130" i="8"/>
  <c r="GQ130" i="8"/>
  <c r="GP130" i="8"/>
  <c r="GO130" i="8"/>
  <c r="GN130" i="8"/>
  <c r="GM130" i="8"/>
  <c r="GL130" i="8"/>
  <c r="GK130" i="8"/>
  <c r="GJ130" i="8"/>
  <c r="GI130" i="8"/>
  <c r="GH130" i="8"/>
  <c r="GG130" i="8"/>
  <c r="GF130" i="8"/>
  <c r="GE130" i="8"/>
  <c r="GD130" i="8"/>
  <c r="GC130" i="8"/>
  <c r="GB130" i="8"/>
  <c r="GA130" i="8"/>
  <c r="FZ130" i="8"/>
  <c r="FY130" i="8"/>
  <c r="FX130" i="8"/>
  <c r="FW130" i="8"/>
  <c r="FV130" i="8"/>
  <c r="FU130" i="8"/>
  <c r="FT130" i="8"/>
  <c r="FS130" i="8"/>
  <c r="FR130" i="8"/>
  <c r="FQ130" i="8"/>
  <c r="FP130" i="8"/>
  <c r="FO130" i="8"/>
  <c r="FN130" i="8"/>
  <c r="FM130" i="8"/>
  <c r="FL130" i="8"/>
  <c r="FK130" i="8"/>
  <c r="FJ130" i="8"/>
  <c r="FI130" i="8"/>
  <c r="FH130" i="8"/>
  <c r="FG130" i="8"/>
  <c r="FF130" i="8"/>
  <c r="FE130" i="8"/>
  <c r="FD130" i="8"/>
  <c r="FC130" i="8"/>
  <c r="FB130" i="8"/>
  <c r="FA130" i="8"/>
  <c r="EZ130" i="8"/>
  <c r="EY130" i="8"/>
  <c r="EX130" i="8"/>
  <c r="EW130" i="8"/>
  <c r="EV130" i="8"/>
  <c r="EU130" i="8"/>
  <c r="ET130" i="8"/>
  <c r="ES130" i="8"/>
  <c r="ER130" i="8"/>
  <c r="EQ130" i="8"/>
  <c r="EP130" i="8"/>
  <c r="EO130" i="8"/>
  <c r="EN130" i="8"/>
  <c r="EM130" i="8"/>
  <c r="EL130" i="8"/>
  <c r="EK130" i="8"/>
  <c r="EJ130" i="8"/>
  <c r="IY129" i="8"/>
  <c r="IS129" i="8"/>
  <c r="IM129" i="8"/>
  <c r="IG129" i="8"/>
  <c r="IF129" i="8"/>
  <c r="IE129" i="8"/>
  <c r="ID129" i="8"/>
  <c r="IC129" i="8"/>
  <c r="IB129" i="8"/>
  <c r="IA129" i="8"/>
  <c r="HZ129" i="8"/>
  <c r="HY129" i="8"/>
  <c r="HX129" i="8"/>
  <c r="HW129" i="8"/>
  <c r="HV129" i="8"/>
  <c r="HU129" i="8"/>
  <c r="HT129" i="8"/>
  <c r="HS129" i="8"/>
  <c r="HR129" i="8"/>
  <c r="HQ129" i="8"/>
  <c r="HP129" i="8"/>
  <c r="HO129" i="8"/>
  <c r="HN129" i="8"/>
  <c r="HM129" i="8"/>
  <c r="HL129" i="8"/>
  <c r="HK129" i="8"/>
  <c r="HJ129" i="8"/>
  <c r="HI129" i="8"/>
  <c r="HH129" i="8"/>
  <c r="HG129" i="8"/>
  <c r="HF129" i="8"/>
  <c r="HE129" i="8"/>
  <c r="HD129" i="8"/>
  <c r="HC129" i="8"/>
  <c r="HB129" i="8"/>
  <c r="HA129" i="8"/>
  <c r="GZ129" i="8"/>
  <c r="GY129" i="8"/>
  <c r="GX129" i="8"/>
  <c r="GW129" i="8"/>
  <c r="GV129" i="8"/>
  <c r="GU129" i="8"/>
  <c r="GT129" i="8"/>
  <c r="GS129" i="8"/>
  <c r="GR129" i="8"/>
  <c r="GQ129" i="8"/>
  <c r="GP129" i="8"/>
  <c r="GO129" i="8"/>
  <c r="GN129" i="8"/>
  <c r="GM129" i="8"/>
  <c r="GL129" i="8"/>
  <c r="GK129" i="8"/>
  <c r="GJ129" i="8"/>
  <c r="GI129" i="8"/>
  <c r="GH129" i="8"/>
  <c r="GG129" i="8"/>
  <c r="GF129" i="8"/>
  <c r="GE129" i="8"/>
  <c r="GD129" i="8"/>
  <c r="GC129" i="8"/>
  <c r="GB129" i="8"/>
  <c r="GA129" i="8"/>
  <c r="FZ129" i="8"/>
  <c r="FY129" i="8"/>
  <c r="FX129" i="8"/>
  <c r="FW129" i="8"/>
  <c r="FV129" i="8"/>
  <c r="FU129" i="8"/>
  <c r="FT129" i="8"/>
  <c r="FS129" i="8"/>
  <c r="FR129" i="8"/>
  <c r="FQ129" i="8"/>
  <c r="FP129" i="8"/>
  <c r="FO129" i="8"/>
  <c r="FN129" i="8"/>
  <c r="FM129" i="8"/>
  <c r="FL129" i="8"/>
  <c r="FK129" i="8"/>
  <c r="FJ129" i="8"/>
  <c r="FI129" i="8"/>
  <c r="FH129" i="8"/>
  <c r="FG129" i="8"/>
  <c r="FF129" i="8"/>
  <c r="FE129" i="8"/>
  <c r="FD129" i="8"/>
  <c r="FC129" i="8"/>
  <c r="FB129" i="8"/>
  <c r="FA129" i="8"/>
  <c r="EZ129" i="8"/>
  <c r="EY129" i="8"/>
  <c r="EX129" i="8"/>
  <c r="EW129" i="8"/>
  <c r="EV129" i="8"/>
  <c r="EU129" i="8"/>
  <c r="ET129" i="8"/>
  <c r="ES129" i="8"/>
  <c r="ER129" i="8"/>
  <c r="EQ129" i="8"/>
  <c r="EP129" i="8"/>
  <c r="EO129" i="8"/>
  <c r="EN129" i="8"/>
  <c r="EM129" i="8"/>
  <c r="EL129" i="8"/>
  <c r="EK129" i="8"/>
  <c r="EJ129" i="8"/>
  <c r="IY128" i="8"/>
  <c r="IS128" i="8"/>
  <c r="IM128" i="8"/>
  <c r="IG128" i="8"/>
  <c r="IF128" i="8"/>
  <c r="IE128" i="8"/>
  <c r="ID128" i="8"/>
  <c r="IC128" i="8"/>
  <c r="IB128" i="8"/>
  <c r="IA128" i="8"/>
  <c r="HZ128" i="8"/>
  <c r="HY128" i="8"/>
  <c r="HX128" i="8"/>
  <c r="HW128" i="8"/>
  <c r="HV128" i="8"/>
  <c r="HU128" i="8"/>
  <c r="HT128" i="8"/>
  <c r="HS128" i="8"/>
  <c r="HR128" i="8"/>
  <c r="HQ128" i="8"/>
  <c r="HP128" i="8"/>
  <c r="HO128" i="8"/>
  <c r="HN128" i="8"/>
  <c r="HM128" i="8"/>
  <c r="HL128" i="8"/>
  <c r="HK128" i="8"/>
  <c r="HJ128" i="8"/>
  <c r="HI128" i="8"/>
  <c r="HH128" i="8"/>
  <c r="HG128" i="8"/>
  <c r="HF128" i="8"/>
  <c r="HE128" i="8"/>
  <c r="HD128" i="8"/>
  <c r="HC128" i="8"/>
  <c r="HB128" i="8"/>
  <c r="HA128" i="8"/>
  <c r="GZ128" i="8"/>
  <c r="GY128" i="8"/>
  <c r="GX128" i="8"/>
  <c r="GW128" i="8"/>
  <c r="GV128" i="8"/>
  <c r="GU128" i="8"/>
  <c r="GT128" i="8"/>
  <c r="GS128" i="8"/>
  <c r="GR128" i="8"/>
  <c r="GQ128" i="8"/>
  <c r="GP128" i="8"/>
  <c r="GO128" i="8"/>
  <c r="GN128" i="8"/>
  <c r="GM128" i="8"/>
  <c r="GL128" i="8"/>
  <c r="GK128" i="8"/>
  <c r="GJ128" i="8"/>
  <c r="GI128" i="8"/>
  <c r="GH128" i="8"/>
  <c r="GG128" i="8"/>
  <c r="GF128" i="8"/>
  <c r="GE128" i="8"/>
  <c r="GD128" i="8"/>
  <c r="GC128" i="8"/>
  <c r="GB128" i="8"/>
  <c r="GA128" i="8"/>
  <c r="FZ128" i="8"/>
  <c r="FY128" i="8"/>
  <c r="FX128" i="8"/>
  <c r="FW128" i="8"/>
  <c r="FV128" i="8"/>
  <c r="FU128" i="8"/>
  <c r="FT128" i="8"/>
  <c r="FS128" i="8"/>
  <c r="FR128" i="8"/>
  <c r="FQ128" i="8"/>
  <c r="FP128" i="8"/>
  <c r="FO128" i="8"/>
  <c r="FN128" i="8"/>
  <c r="FM128" i="8"/>
  <c r="FL128" i="8"/>
  <c r="FK128" i="8"/>
  <c r="FJ128" i="8"/>
  <c r="FI128" i="8"/>
  <c r="FH128" i="8"/>
  <c r="FG128" i="8"/>
  <c r="FF128" i="8"/>
  <c r="FE128" i="8"/>
  <c r="FD128" i="8"/>
  <c r="FC128" i="8"/>
  <c r="FB128" i="8"/>
  <c r="FA128" i="8"/>
  <c r="EZ128" i="8"/>
  <c r="EY128" i="8"/>
  <c r="EX128" i="8"/>
  <c r="EW128" i="8"/>
  <c r="EV128" i="8"/>
  <c r="EU128" i="8"/>
  <c r="ET128" i="8"/>
  <c r="ES128" i="8"/>
  <c r="ER128" i="8"/>
  <c r="EQ128" i="8"/>
  <c r="EP128" i="8"/>
  <c r="EO128" i="8"/>
  <c r="EN128" i="8"/>
  <c r="EM128" i="8"/>
  <c r="EL128" i="8"/>
  <c r="EK128" i="8"/>
  <c r="EJ128" i="8"/>
  <c r="IY127" i="8"/>
  <c r="IS127" i="8"/>
  <c r="IM127" i="8"/>
  <c r="IG127" i="8"/>
  <c r="IF127" i="8"/>
  <c r="IE127" i="8"/>
  <c r="ID127" i="8"/>
  <c r="IC127" i="8"/>
  <c r="IB127" i="8"/>
  <c r="IA127" i="8"/>
  <c r="HZ127" i="8"/>
  <c r="HY127" i="8"/>
  <c r="HX127" i="8"/>
  <c r="HW127" i="8"/>
  <c r="HV127" i="8"/>
  <c r="HU127" i="8"/>
  <c r="HT127" i="8"/>
  <c r="HS127" i="8"/>
  <c r="HR127" i="8"/>
  <c r="HQ127" i="8"/>
  <c r="HP127" i="8"/>
  <c r="HO127" i="8"/>
  <c r="HN127" i="8"/>
  <c r="HM127" i="8"/>
  <c r="HL127" i="8"/>
  <c r="HK127" i="8"/>
  <c r="HJ127" i="8"/>
  <c r="HI127" i="8"/>
  <c r="HH127" i="8"/>
  <c r="HG127" i="8"/>
  <c r="HF127" i="8"/>
  <c r="HE127" i="8"/>
  <c r="HD127" i="8"/>
  <c r="HC127" i="8"/>
  <c r="HB127" i="8"/>
  <c r="HA127" i="8"/>
  <c r="GZ127" i="8"/>
  <c r="GY127" i="8"/>
  <c r="GX127" i="8"/>
  <c r="GW127" i="8"/>
  <c r="GV127" i="8"/>
  <c r="GU127" i="8"/>
  <c r="GT127" i="8"/>
  <c r="GS127" i="8"/>
  <c r="GR127" i="8"/>
  <c r="GQ127" i="8"/>
  <c r="GP127" i="8"/>
  <c r="GO127" i="8"/>
  <c r="GN127" i="8"/>
  <c r="GM127" i="8"/>
  <c r="GL127" i="8"/>
  <c r="GK127" i="8"/>
  <c r="GJ127" i="8"/>
  <c r="GI127" i="8"/>
  <c r="GH127" i="8"/>
  <c r="GG127" i="8"/>
  <c r="GF127" i="8"/>
  <c r="GE127" i="8"/>
  <c r="GD127" i="8"/>
  <c r="GC127" i="8"/>
  <c r="GB127" i="8"/>
  <c r="GA127" i="8"/>
  <c r="FZ127" i="8"/>
  <c r="FY127" i="8"/>
  <c r="FX127" i="8"/>
  <c r="FW127" i="8"/>
  <c r="FV127" i="8"/>
  <c r="FU127" i="8"/>
  <c r="FT127" i="8"/>
  <c r="FS127" i="8"/>
  <c r="FR127" i="8"/>
  <c r="FQ127" i="8"/>
  <c r="FP127" i="8"/>
  <c r="FO127" i="8"/>
  <c r="FN127" i="8"/>
  <c r="FM127" i="8"/>
  <c r="FL127" i="8"/>
  <c r="FK127" i="8"/>
  <c r="FJ127" i="8"/>
  <c r="FI127" i="8"/>
  <c r="FH127" i="8"/>
  <c r="FG127" i="8"/>
  <c r="FF127" i="8"/>
  <c r="FE127" i="8"/>
  <c r="FD127" i="8"/>
  <c r="FC127" i="8"/>
  <c r="FB127" i="8"/>
  <c r="FA127" i="8"/>
  <c r="EZ127" i="8"/>
  <c r="EY127" i="8"/>
  <c r="EX127" i="8"/>
  <c r="EW127" i="8"/>
  <c r="EV127" i="8"/>
  <c r="EU127" i="8"/>
  <c r="ET127" i="8"/>
  <c r="ES127" i="8"/>
  <c r="ER127" i="8"/>
  <c r="EQ127" i="8"/>
  <c r="EP127" i="8"/>
  <c r="EO127" i="8"/>
  <c r="EN127" i="8"/>
  <c r="EM127" i="8"/>
  <c r="EL127" i="8"/>
  <c r="EK127" i="8"/>
  <c r="EJ127" i="8"/>
  <c r="IY126" i="8"/>
  <c r="IS126" i="8"/>
  <c r="IM126" i="8"/>
  <c r="IG126" i="8"/>
  <c r="IF126" i="8"/>
  <c r="IE126" i="8"/>
  <c r="ID126" i="8"/>
  <c r="IC126" i="8"/>
  <c r="IB126" i="8"/>
  <c r="IA126" i="8"/>
  <c r="HZ126" i="8"/>
  <c r="HY126" i="8"/>
  <c r="HX126" i="8"/>
  <c r="HW126" i="8"/>
  <c r="HV126" i="8"/>
  <c r="HU126" i="8"/>
  <c r="HT126" i="8"/>
  <c r="HS126" i="8"/>
  <c r="HR126" i="8"/>
  <c r="HQ126" i="8"/>
  <c r="HP126" i="8"/>
  <c r="HO126" i="8"/>
  <c r="HN126" i="8"/>
  <c r="HM126" i="8"/>
  <c r="HL126" i="8"/>
  <c r="HK126" i="8"/>
  <c r="HJ126" i="8"/>
  <c r="HI126" i="8"/>
  <c r="HH126" i="8"/>
  <c r="HG126" i="8"/>
  <c r="HF126" i="8"/>
  <c r="HE126" i="8"/>
  <c r="HD126" i="8"/>
  <c r="HC126" i="8"/>
  <c r="HB126" i="8"/>
  <c r="HA126" i="8"/>
  <c r="GZ126" i="8"/>
  <c r="GY126" i="8"/>
  <c r="GX126" i="8"/>
  <c r="GW126" i="8"/>
  <c r="GV126" i="8"/>
  <c r="GU126" i="8"/>
  <c r="GT126" i="8"/>
  <c r="GS126" i="8"/>
  <c r="GR126" i="8"/>
  <c r="GQ126" i="8"/>
  <c r="GP126" i="8"/>
  <c r="GO126" i="8"/>
  <c r="GN126" i="8"/>
  <c r="GM126" i="8"/>
  <c r="GL126" i="8"/>
  <c r="GK126" i="8"/>
  <c r="GJ126" i="8"/>
  <c r="GI126" i="8"/>
  <c r="GH126" i="8"/>
  <c r="GG126" i="8"/>
  <c r="GF126" i="8"/>
  <c r="GE126" i="8"/>
  <c r="GD126" i="8"/>
  <c r="GC126" i="8"/>
  <c r="GB126" i="8"/>
  <c r="GA126" i="8"/>
  <c r="FZ126" i="8"/>
  <c r="FY126" i="8"/>
  <c r="FX126" i="8"/>
  <c r="FW126" i="8"/>
  <c r="FV126" i="8"/>
  <c r="FU126" i="8"/>
  <c r="FT126" i="8"/>
  <c r="FS126" i="8"/>
  <c r="FR126" i="8"/>
  <c r="FQ126" i="8"/>
  <c r="FP126" i="8"/>
  <c r="FO126" i="8"/>
  <c r="FN126" i="8"/>
  <c r="FM126" i="8"/>
  <c r="FL126" i="8"/>
  <c r="FK126" i="8"/>
  <c r="FJ126" i="8"/>
  <c r="FI126" i="8"/>
  <c r="FH126" i="8"/>
  <c r="FG126" i="8"/>
  <c r="FF126" i="8"/>
  <c r="FE126" i="8"/>
  <c r="FD126" i="8"/>
  <c r="FC126" i="8"/>
  <c r="FB126" i="8"/>
  <c r="FA126" i="8"/>
  <c r="EZ126" i="8"/>
  <c r="EY126" i="8"/>
  <c r="EX126" i="8"/>
  <c r="EW126" i="8"/>
  <c r="EV126" i="8"/>
  <c r="EU126" i="8"/>
  <c r="ET126" i="8"/>
  <c r="ES126" i="8"/>
  <c r="ER126" i="8"/>
  <c r="EQ126" i="8"/>
  <c r="EP126" i="8"/>
  <c r="EO126" i="8"/>
  <c r="EN126" i="8"/>
  <c r="EM126" i="8"/>
  <c r="EL126" i="8"/>
  <c r="EK126" i="8"/>
  <c r="EJ126" i="8"/>
  <c r="IY125" i="8"/>
  <c r="IS125" i="8"/>
  <c r="IM125" i="8"/>
  <c r="IG125" i="8"/>
  <c r="IF125" i="8"/>
  <c r="IE125" i="8"/>
  <c r="ID125" i="8"/>
  <c r="IC125" i="8"/>
  <c r="IB125" i="8"/>
  <c r="IA125" i="8"/>
  <c r="HZ125" i="8"/>
  <c r="HY125" i="8"/>
  <c r="HX125" i="8"/>
  <c r="HW125" i="8"/>
  <c r="HV125" i="8"/>
  <c r="HU125" i="8"/>
  <c r="HT125" i="8"/>
  <c r="HS125" i="8"/>
  <c r="HR125" i="8"/>
  <c r="HQ125" i="8"/>
  <c r="HP125" i="8"/>
  <c r="HO125" i="8"/>
  <c r="HN125" i="8"/>
  <c r="HM125" i="8"/>
  <c r="HL125" i="8"/>
  <c r="HK125" i="8"/>
  <c r="HJ125" i="8"/>
  <c r="HI125" i="8"/>
  <c r="HH125" i="8"/>
  <c r="HG125" i="8"/>
  <c r="HF125" i="8"/>
  <c r="HE125" i="8"/>
  <c r="HD125" i="8"/>
  <c r="HC125" i="8"/>
  <c r="HB125" i="8"/>
  <c r="HA125" i="8"/>
  <c r="GZ125" i="8"/>
  <c r="GY125" i="8"/>
  <c r="GX125" i="8"/>
  <c r="GW125" i="8"/>
  <c r="GV125" i="8"/>
  <c r="GU125" i="8"/>
  <c r="GT125" i="8"/>
  <c r="GS125" i="8"/>
  <c r="GR125" i="8"/>
  <c r="GQ125" i="8"/>
  <c r="GP125" i="8"/>
  <c r="GO125" i="8"/>
  <c r="GN125" i="8"/>
  <c r="GM125" i="8"/>
  <c r="GL125" i="8"/>
  <c r="GK125" i="8"/>
  <c r="GJ125" i="8"/>
  <c r="GI125" i="8"/>
  <c r="GH125" i="8"/>
  <c r="GG125" i="8"/>
  <c r="GF125" i="8"/>
  <c r="GE125" i="8"/>
  <c r="GD125" i="8"/>
  <c r="GC125" i="8"/>
  <c r="GB125" i="8"/>
  <c r="GA125" i="8"/>
  <c r="FZ125" i="8"/>
  <c r="FY125" i="8"/>
  <c r="FX125" i="8"/>
  <c r="FW125" i="8"/>
  <c r="FV125" i="8"/>
  <c r="FU125" i="8"/>
  <c r="FT125" i="8"/>
  <c r="FS125" i="8"/>
  <c r="FR125" i="8"/>
  <c r="FQ125" i="8"/>
  <c r="FP125" i="8"/>
  <c r="FO125" i="8"/>
  <c r="FN125" i="8"/>
  <c r="FM125" i="8"/>
  <c r="FL125" i="8"/>
  <c r="FK125" i="8"/>
  <c r="FJ125" i="8"/>
  <c r="FI125" i="8"/>
  <c r="FH125" i="8"/>
  <c r="FG125" i="8"/>
  <c r="FF125" i="8"/>
  <c r="FE125" i="8"/>
  <c r="FD125" i="8"/>
  <c r="FC125" i="8"/>
  <c r="FB125" i="8"/>
  <c r="FA125" i="8"/>
  <c r="EZ125" i="8"/>
  <c r="EY125" i="8"/>
  <c r="EX125" i="8"/>
  <c r="EW125" i="8"/>
  <c r="EV125" i="8"/>
  <c r="EU125" i="8"/>
  <c r="ET125" i="8"/>
  <c r="ES125" i="8"/>
  <c r="ER125" i="8"/>
  <c r="EQ125" i="8"/>
  <c r="EP125" i="8"/>
  <c r="EO125" i="8"/>
  <c r="EN125" i="8"/>
  <c r="EM125" i="8"/>
  <c r="EL125" i="8"/>
  <c r="EK125" i="8"/>
  <c r="EJ125" i="8"/>
  <c r="IY124" i="8"/>
  <c r="IS124" i="8"/>
  <c r="IM124" i="8"/>
  <c r="IG124" i="8"/>
  <c r="IF124" i="8"/>
  <c r="IE124" i="8"/>
  <c r="ID124" i="8"/>
  <c r="IC124" i="8"/>
  <c r="IB124" i="8"/>
  <c r="IA124" i="8"/>
  <c r="HZ124" i="8"/>
  <c r="HY124" i="8"/>
  <c r="HX124" i="8"/>
  <c r="HW124" i="8"/>
  <c r="HV124" i="8"/>
  <c r="HU124" i="8"/>
  <c r="HT124" i="8"/>
  <c r="HS124" i="8"/>
  <c r="HR124" i="8"/>
  <c r="HQ124" i="8"/>
  <c r="HP124" i="8"/>
  <c r="HO124" i="8"/>
  <c r="HN124" i="8"/>
  <c r="HM124" i="8"/>
  <c r="HL124" i="8"/>
  <c r="HK124" i="8"/>
  <c r="HJ124" i="8"/>
  <c r="HI124" i="8"/>
  <c r="HH124" i="8"/>
  <c r="HG124" i="8"/>
  <c r="HF124" i="8"/>
  <c r="HE124" i="8"/>
  <c r="HD124" i="8"/>
  <c r="HC124" i="8"/>
  <c r="HB124" i="8"/>
  <c r="HA124" i="8"/>
  <c r="GZ124" i="8"/>
  <c r="GY124" i="8"/>
  <c r="GX124" i="8"/>
  <c r="GW124" i="8"/>
  <c r="GV124" i="8"/>
  <c r="GU124" i="8"/>
  <c r="GT124" i="8"/>
  <c r="GS124" i="8"/>
  <c r="GR124" i="8"/>
  <c r="GQ124" i="8"/>
  <c r="GP124" i="8"/>
  <c r="GO124" i="8"/>
  <c r="GN124" i="8"/>
  <c r="GM124" i="8"/>
  <c r="GL124" i="8"/>
  <c r="GK124" i="8"/>
  <c r="GJ124" i="8"/>
  <c r="GI124" i="8"/>
  <c r="GH124" i="8"/>
  <c r="GG124" i="8"/>
  <c r="GF124" i="8"/>
  <c r="GE124" i="8"/>
  <c r="GD124" i="8"/>
  <c r="GC124" i="8"/>
  <c r="GB124" i="8"/>
  <c r="GA124" i="8"/>
  <c r="FZ124" i="8"/>
  <c r="FY124" i="8"/>
  <c r="FX124" i="8"/>
  <c r="FW124" i="8"/>
  <c r="FV124" i="8"/>
  <c r="FU124" i="8"/>
  <c r="FT124" i="8"/>
  <c r="FS124" i="8"/>
  <c r="FR124" i="8"/>
  <c r="FQ124" i="8"/>
  <c r="FP124" i="8"/>
  <c r="FO124" i="8"/>
  <c r="FN124" i="8"/>
  <c r="FM124" i="8"/>
  <c r="FL124" i="8"/>
  <c r="FK124" i="8"/>
  <c r="FJ124" i="8"/>
  <c r="FI124" i="8"/>
  <c r="FH124" i="8"/>
  <c r="FG124" i="8"/>
  <c r="FF124" i="8"/>
  <c r="FE124" i="8"/>
  <c r="FD124" i="8"/>
  <c r="FC124" i="8"/>
  <c r="FB124" i="8"/>
  <c r="FA124" i="8"/>
  <c r="EZ124" i="8"/>
  <c r="EY124" i="8"/>
  <c r="EX124" i="8"/>
  <c r="EW124" i="8"/>
  <c r="EV124" i="8"/>
  <c r="EU124" i="8"/>
  <c r="ET124" i="8"/>
  <c r="ES124" i="8"/>
  <c r="ER124" i="8"/>
  <c r="EQ124" i="8"/>
  <c r="EP124" i="8"/>
  <c r="EO124" i="8"/>
  <c r="EN124" i="8"/>
  <c r="EM124" i="8"/>
  <c r="EL124" i="8"/>
  <c r="EK124" i="8"/>
  <c r="EJ124" i="8"/>
  <c r="IY123" i="8"/>
  <c r="IS123" i="8"/>
  <c r="IM123" i="8"/>
  <c r="IG123" i="8"/>
  <c r="IF123" i="8"/>
  <c r="IE123" i="8"/>
  <c r="ID123" i="8"/>
  <c r="IC123" i="8"/>
  <c r="IB123" i="8"/>
  <c r="IA123" i="8"/>
  <c r="HZ123" i="8"/>
  <c r="HY123" i="8"/>
  <c r="HX123" i="8"/>
  <c r="HW123" i="8"/>
  <c r="HV123" i="8"/>
  <c r="HU123" i="8"/>
  <c r="HT123" i="8"/>
  <c r="HS123" i="8"/>
  <c r="HR123" i="8"/>
  <c r="HQ123" i="8"/>
  <c r="HP123" i="8"/>
  <c r="HO123" i="8"/>
  <c r="HN123" i="8"/>
  <c r="HM123" i="8"/>
  <c r="HL123" i="8"/>
  <c r="HK123" i="8"/>
  <c r="HJ123" i="8"/>
  <c r="HI123" i="8"/>
  <c r="HH123" i="8"/>
  <c r="HG123" i="8"/>
  <c r="HF123" i="8"/>
  <c r="HE123" i="8"/>
  <c r="HD123" i="8"/>
  <c r="HC123" i="8"/>
  <c r="HB123" i="8"/>
  <c r="HA123" i="8"/>
  <c r="GZ123" i="8"/>
  <c r="GY123" i="8"/>
  <c r="GX123" i="8"/>
  <c r="GW123" i="8"/>
  <c r="GV123" i="8"/>
  <c r="GU123" i="8"/>
  <c r="GT123" i="8"/>
  <c r="GS123" i="8"/>
  <c r="GR123" i="8"/>
  <c r="GQ123" i="8"/>
  <c r="GP123" i="8"/>
  <c r="GO123" i="8"/>
  <c r="GN123" i="8"/>
  <c r="GM123" i="8"/>
  <c r="GL123" i="8"/>
  <c r="GK123" i="8"/>
  <c r="GJ123" i="8"/>
  <c r="GI123" i="8"/>
  <c r="GH123" i="8"/>
  <c r="GG123" i="8"/>
  <c r="GF123" i="8"/>
  <c r="GE123" i="8"/>
  <c r="GD123" i="8"/>
  <c r="GC123" i="8"/>
  <c r="GB123" i="8"/>
  <c r="GA123" i="8"/>
  <c r="FZ123" i="8"/>
  <c r="FY123" i="8"/>
  <c r="FX123" i="8"/>
  <c r="FW123" i="8"/>
  <c r="FV123" i="8"/>
  <c r="FU123" i="8"/>
  <c r="FT123" i="8"/>
  <c r="FS123" i="8"/>
  <c r="FR123" i="8"/>
  <c r="FQ123" i="8"/>
  <c r="FP123" i="8"/>
  <c r="FO123" i="8"/>
  <c r="FN123" i="8"/>
  <c r="FM123" i="8"/>
  <c r="FL123" i="8"/>
  <c r="FK123" i="8"/>
  <c r="FJ123" i="8"/>
  <c r="FI123" i="8"/>
  <c r="FH123" i="8"/>
  <c r="FG123" i="8"/>
  <c r="FF123" i="8"/>
  <c r="FE123" i="8"/>
  <c r="FD123" i="8"/>
  <c r="FC123" i="8"/>
  <c r="FB123" i="8"/>
  <c r="FA123" i="8"/>
  <c r="EZ123" i="8"/>
  <c r="EY123" i="8"/>
  <c r="EX123" i="8"/>
  <c r="EW123" i="8"/>
  <c r="EV123" i="8"/>
  <c r="EU123" i="8"/>
  <c r="ET123" i="8"/>
  <c r="ES123" i="8"/>
  <c r="ER123" i="8"/>
  <c r="EQ123" i="8"/>
  <c r="EP123" i="8"/>
  <c r="EO123" i="8"/>
  <c r="EN123" i="8"/>
  <c r="EM123" i="8"/>
  <c r="EL123" i="8"/>
  <c r="EK123" i="8"/>
  <c r="EJ123" i="8"/>
  <c r="IY122" i="8"/>
  <c r="IS122" i="8"/>
  <c r="IM122" i="8"/>
  <c r="IG122" i="8"/>
  <c r="IF122" i="8"/>
  <c r="IE122" i="8"/>
  <c r="ID122" i="8"/>
  <c r="IC122" i="8"/>
  <c r="IB122" i="8"/>
  <c r="IA122" i="8"/>
  <c r="HZ122" i="8"/>
  <c r="HY122" i="8"/>
  <c r="HX122" i="8"/>
  <c r="HW122" i="8"/>
  <c r="HV122" i="8"/>
  <c r="HU122" i="8"/>
  <c r="HT122" i="8"/>
  <c r="HS122" i="8"/>
  <c r="HR122" i="8"/>
  <c r="HQ122" i="8"/>
  <c r="HP122" i="8"/>
  <c r="HO122" i="8"/>
  <c r="HN122" i="8"/>
  <c r="HM122" i="8"/>
  <c r="HL122" i="8"/>
  <c r="HK122" i="8"/>
  <c r="HJ122" i="8"/>
  <c r="HI122" i="8"/>
  <c r="HH122" i="8"/>
  <c r="HG122" i="8"/>
  <c r="HF122" i="8"/>
  <c r="HE122" i="8"/>
  <c r="HD122" i="8"/>
  <c r="HC122" i="8"/>
  <c r="HB122" i="8"/>
  <c r="HA122" i="8"/>
  <c r="GZ122" i="8"/>
  <c r="GY122" i="8"/>
  <c r="GX122" i="8"/>
  <c r="GW122" i="8"/>
  <c r="GV122" i="8"/>
  <c r="GU122" i="8"/>
  <c r="GT122" i="8"/>
  <c r="GS122" i="8"/>
  <c r="GR122" i="8"/>
  <c r="GQ122" i="8"/>
  <c r="GP122" i="8"/>
  <c r="GO122" i="8"/>
  <c r="GN122" i="8"/>
  <c r="GM122" i="8"/>
  <c r="GL122" i="8"/>
  <c r="GK122" i="8"/>
  <c r="GJ122" i="8"/>
  <c r="GI122" i="8"/>
  <c r="GH122" i="8"/>
  <c r="GG122" i="8"/>
  <c r="GF122" i="8"/>
  <c r="GE122" i="8"/>
  <c r="GD122" i="8"/>
  <c r="GC122" i="8"/>
  <c r="GB122" i="8"/>
  <c r="GA122" i="8"/>
  <c r="FZ122" i="8"/>
  <c r="FY122" i="8"/>
  <c r="FX122" i="8"/>
  <c r="FW122" i="8"/>
  <c r="FV122" i="8"/>
  <c r="FU122" i="8"/>
  <c r="FT122" i="8"/>
  <c r="FS122" i="8"/>
  <c r="FR122" i="8"/>
  <c r="FQ122" i="8"/>
  <c r="FP122" i="8"/>
  <c r="FO122" i="8"/>
  <c r="FN122" i="8"/>
  <c r="FM122" i="8"/>
  <c r="FL122" i="8"/>
  <c r="FK122" i="8"/>
  <c r="FJ122" i="8"/>
  <c r="FI122" i="8"/>
  <c r="FH122" i="8"/>
  <c r="FG122" i="8"/>
  <c r="FF122" i="8"/>
  <c r="FE122" i="8"/>
  <c r="FD122" i="8"/>
  <c r="FC122" i="8"/>
  <c r="FB122" i="8"/>
  <c r="FA122" i="8"/>
  <c r="EZ122" i="8"/>
  <c r="EY122" i="8"/>
  <c r="EX122" i="8"/>
  <c r="EW122" i="8"/>
  <c r="EV122" i="8"/>
  <c r="EU122" i="8"/>
  <c r="ET122" i="8"/>
  <c r="ES122" i="8"/>
  <c r="ER122" i="8"/>
  <c r="EQ122" i="8"/>
  <c r="EP122" i="8"/>
  <c r="EO122" i="8"/>
  <c r="EN122" i="8"/>
  <c r="EM122" i="8"/>
  <c r="EL122" i="8"/>
  <c r="EK122" i="8"/>
  <c r="EJ122" i="8"/>
  <c r="IY121" i="8"/>
  <c r="IS121" i="8"/>
  <c r="IM121" i="8"/>
  <c r="IG121" i="8"/>
  <c r="IF121" i="8"/>
  <c r="IE121" i="8"/>
  <c r="ID121" i="8"/>
  <c r="IC121" i="8"/>
  <c r="IB121" i="8"/>
  <c r="IA121" i="8"/>
  <c r="HZ121" i="8"/>
  <c r="HY121" i="8"/>
  <c r="HX121" i="8"/>
  <c r="HW121" i="8"/>
  <c r="HV121" i="8"/>
  <c r="HU121" i="8"/>
  <c r="HT121" i="8"/>
  <c r="HS121" i="8"/>
  <c r="HR121" i="8"/>
  <c r="HQ121" i="8"/>
  <c r="HP121" i="8"/>
  <c r="HO121" i="8"/>
  <c r="HN121" i="8"/>
  <c r="HM121" i="8"/>
  <c r="HL121" i="8"/>
  <c r="HK121" i="8"/>
  <c r="HJ121" i="8"/>
  <c r="HI121" i="8"/>
  <c r="HH121" i="8"/>
  <c r="HG121" i="8"/>
  <c r="HF121" i="8"/>
  <c r="HE121" i="8"/>
  <c r="HD121" i="8"/>
  <c r="HC121" i="8"/>
  <c r="HB121" i="8"/>
  <c r="HA121" i="8"/>
  <c r="GZ121" i="8"/>
  <c r="GY121" i="8"/>
  <c r="GX121" i="8"/>
  <c r="GW121" i="8"/>
  <c r="GV121" i="8"/>
  <c r="GU121" i="8"/>
  <c r="GT121" i="8"/>
  <c r="GS121" i="8"/>
  <c r="GR121" i="8"/>
  <c r="GQ121" i="8"/>
  <c r="GP121" i="8"/>
  <c r="GO121" i="8"/>
  <c r="GN121" i="8"/>
  <c r="GM121" i="8"/>
  <c r="GL121" i="8"/>
  <c r="GK121" i="8"/>
  <c r="GJ121" i="8"/>
  <c r="GI121" i="8"/>
  <c r="GH121" i="8"/>
  <c r="GG121" i="8"/>
  <c r="GF121" i="8"/>
  <c r="GE121" i="8"/>
  <c r="GD121" i="8"/>
  <c r="GC121" i="8"/>
  <c r="GB121" i="8"/>
  <c r="GA121" i="8"/>
  <c r="FZ121" i="8"/>
  <c r="FY121" i="8"/>
  <c r="FX121" i="8"/>
  <c r="FW121" i="8"/>
  <c r="FV121" i="8"/>
  <c r="FU121" i="8"/>
  <c r="FT121" i="8"/>
  <c r="FS121" i="8"/>
  <c r="FR121" i="8"/>
  <c r="FQ121" i="8"/>
  <c r="FP121" i="8"/>
  <c r="FO121" i="8"/>
  <c r="FN121" i="8"/>
  <c r="FM121" i="8"/>
  <c r="FL121" i="8"/>
  <c r="FK121" i="8"/>
  <c r="FJ121" i="8"/>
  <c r="FI121" i="8"/>
  <c r="FH121" i="8"/>
  <c r="FG121" i="8"/>
  <c r="FF121" i="8"/>
  <c r="FE121" i="8"/>
  <c r="FD121" i="8"/>
  <c r="FC121" i="8"/>
  <c r="FB121" i="8"/>
  <c r="FA121" i="8"/>
  <c r="EZ121" i="8"/>
  <c r="EY121" i="8"/>
  <c r="EX121" i="8"/>
  <c r="EW121" i="8"/>
  <c r="EV121" i="8"/>
  <c r="EU121" i="8"/>
  <c r="ET121" i="8"/>
  <c r="ES121" i="8"/>
  <c r="ER121" i="8"/>
  <c r="EQ121" i="8"/>
  <c r="EP121" i="8"/>
  <c r="EO121" i="8"/>
  <c r="EN121" i="8"/>
  <c r="EM121" i="8"/>
  <c r="EL121" i="8"/>
  <c r="EK121" i="8"/>
  <c r="EJ121" i="8"/>
  <c r="IY118" i="8"/>
  <c r="IS118" i="8"/>
  <c r="IM118" i="8"/>
  <c r="IG118" i="8"/>
  <c r="IF118" i="8"/>
  <c r="IE118" i="8"/>
  <c r="ID118" i="8"/>
  <c r="IC118" i="8"/>
  <c r="IB118" i="8"/>
  <c r="IA118" i="8"/>
  <c r="HZ118" i="8"/>
  <c r="HY118" i="8"/>
  <c r="HX118" i="8"/>
  <c r="HW118" i="8"/>
  <c r="HV118" i="8"/>
  <c r="HU118" i="8"/>
  <c r="HT118" i="8"/>
  <c r="HS118" i="8"/>
  <c r="HR118" i="8"/>
  <c r="HQ118" i="8"/>
  <c r="HP118" i="8"/>
  <c r="HO118" i="8"/>
  <c r="HN118" i="8"/>
  <c r="HM118" i="8"/>
  <c r="HL118" i="8"/>
  <c r="HK118" i="8"/>
  <c r="HJ118" i="8"/>
  <c r="HI118" i="8"/>
  <c r="HH118" i="8"/>
  <c r="HG118" i="8"/>
  <c r="HF118" i="8"/>
  <c r="HE118" i="8"/>
  <c r="HD118" i="8"/>
  <c r="HC118" i="8"/>
  <c r="HB118" i="8"/>
  <c r="HA118" i="8"/>
  <c r="GZ118" i="8"/>
  <c r="GY118" i="8"/>
  <c r="GX118" i="8"/>
  <c r="GW118" i="8"/>
  <c r="GV118" i="8"/>
  <c r="GU118" i="8"/>
  <c r="GT118" i="8"/>
  <c r="GS118" i="8"/>
  <c r="GR118" i="8"/>
  <c r="GQ118" i="8"/>
  <c r="GP118" i="8"/>
  <c r="GO118" i="8"/>
  <c r="GN118" i="8"/>
  <c r="GM118" i="8"/>
  <c r="GL118" i="8"/>
  <c r="GK118" i="8"/>
  <c r="GJ118" i="8"/>
  <c r="GI118" i="8"/>
  <c r="GH118" i="8"/>
  <c r="GG118" i="8"/>
  <c r="GF118" i="8"/>
  <c r="GE118" i="8"/>
  <c r="GD118" i="8"/>
  <c r="GC118" i="8"/>
  <c r="GB118" i="8"/>
  <c r="GA118" i="8"/>
  <c r="FZ118" i="8"/>
  <c r="FY118" i="8"/>
  <c r="FX118" i="8"/>
  <c r="FW118" i="8"/>
  <c r="FV118" i="8"/>
  <c r="FU118" i="8"/>
  <c r="FT118" i="8"/>
  <c r="FS118" i="8"/>
  <c r="FR118" i="8"/>
  <c r="FQ118" i="8"/>
  <c r="FP118" i="8"/>
  <c r="FO118" i="8"/>
  <c r="FN118" i="8"/>
  <c r="FM118" i="8"/>
  <c r="FL118" i="8"/>
  <c r="FK118" i="8"/>
  <c r="FJ118" i="8"/>
  <c r="FI118" i="8"/>
  <c r="FH118" i="8"/>
  <c r="FG118" i="8"/>
  <c r="FF118" i="8"/>
  <c r="FE118" i="8"/>
  <c r="FD118" i="8"/>
  <c r="FC118" i="8"/>
  <c r="FB118" i="8"/>
  <c r="FA118" i="8"/>
  <c r="EZ118" i="8"/>
  <c r="EY118" i="8"/>
  <c r="EX118" i="8"/>
  <c r="EW118" i="8"/>
  <c r="EV118" i="8"/>
  <c r="EU118" i="8"/>
  <c r="ET118" i="8"/>
  <c r="ES118" i="8"/>
  <c r="ER118" i="8"/>
  <c r="EQ118" i="8"/>
  <c r="EP118" i="8"/>
  <c r="EO118" i="8"/>
  <c r="EN118" i="8"/>
  <c r="EM118" i="8"/>
  <c r="EL118" i="8"/>
  <c r="EK118" i="8"/>
  <c r="EJ118" i="8"/>
  <c r="IY116" i="8"/>
  <c r="IS116" i="8"/>
  <c r="IM116" i="8"/>
  <c r="IG116" i="8"/>
  <c r="IF116" i="8"/>
  <c r="IE116" i="8"/>
  <c r="ID116" i="8"/>
  <c r="IC116" i="8"/>
  <c r="IB116" i="8"/>
  <c r="IA116" i="8"/>
  <c r="HZ116" i="8"/>
  <c r="HY116" i="8"/>
  <c r="HX116" i="8"/>
  <c r="HW116" i="8"/>
  <c r="HV116" i="8"/>
  <c r="HU116" i="8"/>
  <c r="HT116" i="8"/>
  <c r="HS116" i="8"/>
  <c r="HR116" i="8"/>
  <c r="HQ116" i="8"/>
  <c r="HP116" i="8"/>
  <c r="HO116" i="8"/>
  <c r="HN116" i="8"/>
  <c r="HM116" i="8"/>
  <c r="HL116" i="8"/>
  <c r="HK116" i="8"/>
  <c r="HJ116" i="8"/>
  <c r="HI116" i="8"/>
  <c r="HH116" i="8"/>
  <c r="HG116" i="8"/>
  <c r="HF116" i="8"/>
  <c r="HE116" i="8"/>
  <c r="HD116" i="8"/>
  <c r="HC116" i="8"/>
  <c r="HB116" i="8"/>
  <c r="HA116" i="8"/>
  <c r="GZ116" i="8"/>
  <c r="GY116" i="8"/>
  <c r="GX116" i="8"/>
  <c r="GW116" i="8"/>
  <c r="GV116" i="8"/>
  <c r="GU116" i="8"/>
  <c r="GT116" i="8"/>
  <c r="GS116" i="8"/>
  <c r="GR116" i="8"/>
  <c r="GQ116" i="8"/>
  <c r="GP116" i="8"/>
  <c r="GO116" i="8"/>
  <c r="GN116" i="8"/>
  <c r="GM116" i="8"/>
  <c r="GL116" i="8"/>
  <c r="GK116" i="8"/>
  <c r="GJ116" i="8"/>
  <c r="GI116" i="8"/>
  <c r="GH116" i="8"/>
  <c r="GG116" i="8"/>
  <c r="GF116" i="8"/>
  <c r="GE116" i="8"/>
  <c r="GD116" i="8"/>
  <c r="GC116" i="8"/>
  <c r="GB116" i="8"/>
  <c r="GA116" i="8"/>
  <c r="FZ116" i="8"/>
  <c r="FY116" i="8"/>
  <c r="FX116" i="8"/>
  <c r="FW116" i="8"/>
  <c r="FV116" i="8"/>
  <c r="FU116" i="8"/>
  <c r="FT116" i="8"/>
  <c r="FS116" i="8"/>
  <c r="FR116" i="8"/>
  <c r="FQ116" i="8"/>
  <c r="FP116" i="8"/>
  <c r="FO116" i="8"/>
  <c r="FN116" i="8"/>
  <c r="FM116" i="8"/>
  <c r="FL116" i="8"/>
  <c r="FK116" i="8"/>
  <c r="FJ116" i="8"/>
  <c r="FI116" i="8"/>
  <c r="FH116" i="8"/>
  <c r="FG116" i="8"/>
  <c r="FF116" i="8"/>
  <c r="FE116" i="8"/>
  <c r="FD116" i="8"/>
  <c r="FC116" i="8"/>
  <c r="FB116" i="8"/>
  <c r="FA116" i="8"/>
  <c r="EZ116" i="8"/>
  <c r="EY116" i="8"/>
  <c r="EX116" i="8"/>
  <c r="EW116" i="8"/>
  <c r="EV116" i="8"/>
  <c r="EU116" i="8"/>
  <c r="ET116" i="8"/>
  <c r="ES116" i="8"/>
  <c r="ER116" i="8"/>
  <c r="EQ116" i="8"/>
  <c r="EP116" i="8"/>
  <c r="EO116" i="8"/>
  <c r="EN116" i="8"/>
  <c r="EM116" i="8"/>
  <c r="EL116" i="8"/>
  <c r="EK116" i="8"/>
  <c r="EJ116" i="8"/>
  <c r="IY115" i="8"/>
  <c r="IS115" i="8"/>
  <c r="IM115" i="8"/>
  <c r="IG115" i="8"/>
  <c r="IY114" i="8"/>
  <c r="IS114" i="8"/>
  <c r="IM114" i="8"/>
  <c r="IG114" i="8"/>
  <c r="IY113" i="8"/>
  <c r="IS113" i="8"/>
  <c r="IM113" i="8"/>
  <c r="IG113" i="8"/>
  <c r="IY112" i="8"/>
  <c r="IS112" i="8"/>
  <c r="IM112" i="8"/>
  <c r="IG112" i="8"/>
  <c r="IY111" i="8"/>
  <c r="IS111" i="8"/>
  <c r="IM111" i="8"/>
  <c r="IG111" i="8"/>
  <c r="IY110" i="8"/>
  <c r="IS110" i="8"/>
  <c r="IM110" i="8"/>
  <c r="IG110" i="8"/>
  <c r="IF110" i="8"/>
  <c r="IE110" i="8"/>
  <c r="ID110" i="8"/>
  <c r="IC110" i="8"/>
  <c r="IB110" i="8"/>
  <c r="IA110" i="8"/>
  <c r="HZ110" i="8"/>
  <c r="HY110" i="8"/>
  <c r="HX110" i="8"/>
  <c r="HW110" i="8"/>
  <c r="HV110" i="8"/>
  <c r="HU110" i="8"/>
  <c r="HT110" i="8"/>
  <c r="HS110" i="8"/>
  <c r="HR110" i="8"/>
  <c r="HQ110" i="8"/>
  <c r="HP110" i="8"/>
  <c r="HO110" i="8"/>
  <c r="HN110" i="8"/>
  <c r="HM110" i="8"/>
  <c r="HL110" i="8"/>
  <c r="HK110" i="8"/>
  <c r="HJ110" i="8"/>
  <c r="HI110" i="8"/>
  <c r="HH110" i="8"/>
  <c r="HG110" i="8"/>
  <c r="HF110" i="8"/>
  <c r="HE110" i="8"/>
  <c r="HD110" i="8"/>
  <c r="HC110" i="8"/>
  <c r="HB110" i="8"/>
  <c r="HA110" i="8"/>
  <c r="GZ110" i="8"/>
  <c r="GY110" i="8"/>
  <c r="GX110" i="8"/>
  <c r="GW110" i="8"/>
  <c r="GV110" i="8"/>
  <c r="GU110" i="8"/>
  <c r="GT110" i="8"/>
  <c r="GS110" i="8"/>
  <c r="GR110" i="8"/>
  <c r="GQ110" i="8"/>
  <c r="GP110" i="8"/>
  <c r="GO110" i="8"/>
  <c r="GN110" i="8"/>
  <c r="GM110" i="8"/>
  <c r="GL110" i="8"/>
  <c r="GK110" i="8"/>
  <c r="GJ110" i="8"/>
  <c r="GI110" i="8"/>
  <c r="GH110" i="8"/>
  <c r="GG110" i="8"/>
  <c r="GF110" i="8"/>
  <c r="GE110" i="8"/>
  <c r="GD110" i="8"/>
  <c r="GC110" i="8"/>
  <c r="GB110" i="8"/>
  <c r="GA110" i="8"/>
  <c r="FZ110" i="8"/>
  <c r="FY110" i="8"/>
  <c r="FX110" i="8"/>
  <c r="FW110" i="8"/>
  <c r="FV110" i="8"/>
  <c r="FU110" i="8"/>
  <c r="FT110" i="8"/>
  <c r="FS110" i="8"/>
  <c r="FR110" i="8"/>
  <c r="FQ110" i="8"/>
  <c r="FP110" i="8"/>
  <c r="FO110" i="8"/>
  <c r="FN110" i="8"/>
  <c r="FM110" i="8"/>
  <c r="FL110" i="8"/>
  <c r="FK110" i="8"/>
  <c r="FJ110" i="8"/>
  <c r="FI110" i="8"/>
  <c r="FH110" i="8"/>
  <c r="FG110" i="8"/>
  <c r="FF110" i="8"/>
  <c r="FE110" i="8"/>
  <c r="FD110" i="8"/>
  <c r="FC110" i="8"/>
  <c r="FB110" i="8"/>
  <c r="FA110" i="8"/>
  <c r="EZ110" i="8"/>
  <c r="EY110" i="8"/>
  <c r="EX110" i="8"/>
  <c r="EW110" i="8"/>
  <c r="EV110" i="8"/>
  <c r="EU110" i="8"/>
  <c r="ET110" i="8"/>
  <c r="ES110" i="8"/>
  <c r="ER110" i="8"/>
  <c r="EQ110" i="8"/>
  <c r="EP110" i="8"/>
  <c r="EO110" i="8"/>
  <c r="EN110" i="8"/>
  <c r="EM110" i="8"/>
  <c r="EL110" i="8"/>
  <c r="EK110" i="8"/>
  <c r="EJ110" i="8"/>
  <c r="IY109" i="8"/>
  <c r="IS109" i="8"/>
  <c r="IM109" i="8"/>
  <c r="IG109" i="8"/>
  <c r="IF109" i="8"/>
  <c r="IE109" i="8"/>
  <c r="ID109" i="8"/>
  <c r="IC109" i="8"/>
  <c r="IB109" i="8"/>
  <c r="IA109" i="8"/>
  <c r="HZ109" i="8"/>
  <c r="HY109" i="8"/>
  <c r="HX109" i="8"/>
  <c r="HW109" i="8"/>
  <c r="HV109" i="8"/>
  <c r="HU109" i="8"/>
  <c r="HT109" i="8"/>
  <c r="HS109" i="8"/>
  <c r="HR109" i="8"/>
  <c r="HQ109" i="8"/>
  <c r="HP109" i="8"/>
  <c r="HO109" i="8"/>
  <c r="HN109" i="8"/>
  <c r="HM109" i="8"/>
  <c r="HL109" i="8"/>
  <c r="HK109" i="8"/>
  <c r="HJ109" i="8"/>
  <c r="HI109" i="8"/>
  <c r="HH109" i="8"/>
  <c r="HG109" i="8"/>
  <c r="HF109" i="8"/>
  <c r="HE109" i="8"/>
  <c r="HD109" i="8"/>
  <c r="HC109" i="8"/>
  <c r="HB109" i="8"/>
  <c r="HA109" i="8"/>
  <c r="GZ109" i="8"/>
  <c r="GY109" i="8"/>
  <c r="GX109" i="8"/>
  <c r="GW109" i="8"/>
  <c r="GV109" i="8"/>
  <c r="GU109" i="8"/>
  <c r="GT109" i="8"/>
  <c r="GS109" i="8"/>
  <c r="GR109" i="8"/>
  <c r="GQ109" i="8"/>
  <c r="GP109" i="8"/>
  <c r="GO109" i="8"/>
  <c r="GN109" i="8"/>
  <c r="GM109" i="8"/>
  <c r="GL109" i="8"/>
  <c r="GK109" i="8"/>
  <c r="GJ109" i="8"/>
  <c r="GI109" i="8"/>
  <c r="GH109" i="8"/>
  <c r="GG109" i="8"/>
  <c r="GF109" i="8"/>
  <c r="GE109" i="8"/>
  <c r="GD109" i="8"/>
  <c r="GC109" i="8"/>
  <c r="GB109" i="8"/>
  <c r="GA109" i="8"/>
  <c r="FZ109" i="8"/>
  <c r="FY109" i="8"/>
  <c r="FX109" i="8"/>
  <c r="FW109" i="8"/>
  <c r="FV109" i="8"/>
  <c r="FU109" i="8"/>
  <c r="FT109" i="8"/>
  <c r="FS109" i="8"/>
  <c r="FR109" i="8"/>
  <c r="FQ109" i="8"/>
  <c r="FP109" i="8"/>
  <c r="FO109" i="8"/>
  <c r="FN109" i="8"/>
  <c r="FM109" i="8"/>
  <c r="FL109" i="8"/>
  <c r="FK109" i="8"/>
  <c r="FJ109" i="8"/>
  <c r="FI109" i="8"/>
  <c r="FH109" i="8"/>
  <c r="FG109" i="8"/>
  <c r="FF109" i="8"/>
  <c r="FE109" i="8"/>
  <c r="FD109" i="8"/>
  <c r="FC109" i="8"/>
  <c r="FB109" i="8"/>
  <c r="FA109" i="8"/>
  <c r="EZ109" i="8"/>
  <c r="EY109" i="8"/>
  <c r="EX109" i="8"/>
  <c r="EW109" i="8"/>
  <c r="EV109" i="8"/>
  <c r="EU109" i="8"/>
  <c r="ET109" i="8"/>
  <c r="ES109" i="8"/>
  <c r="ER109" i="8"/>
  <c r="EQ109" i="8"/>
  <c r="EP109" i="8"/>
  <c r="EO109" i="8"/>
  <c r="EN109" i="8"/>
  <c r="EM109" i="8"/>
  <c r="EL109" i="8"/>
  <c r="EK109" i="8"/>
  <c r="EJ109" i="8"/>
  <c r="IY106" i="8"/>
  <c r="IS106" i="8"/>
  <c r="IM106" i="8"/>
  <c r="IG106" i="8"/>
  <c r="IF106" i="8"/>
  <c r="IE106" i="8"/>
  <c r="ID106" i="8"/>
  <c r="IC106" i="8"/>
  <c r="IB106" i="8"/>
  <c r="IA106" i="8"/>
  <c r="HZ106" i="8"/>
  <c r="HY106" i="8"/>
  <c r="HX106" i="8"/>
  <c r="HW106" i="8"/>
  <c r="HV106" i="8"/>
  <c r="HU106" i="8"/>
  <c r="HT106" i="8"/>
  <c r="HS106" i="8"/>
  <c r="HR106" i="8"/>
  <c r="HQ106" i="8"/>
  <c r="HP106" i="8"/>
  <c r="HO106" i="8"/>
  <c r="HN106" i="8"/>
  <c r="HM106" i="8"/>
  <c r="HL106" i="8"/>
  <c r="HK106" i="8"/>
  <c r="HJ106" i="8"/>
  <c r="HI106" i="8"/>
  <c r="HH106" i="8"/>
  <c r="HG106" i="8"/>
  <c r="HF106" i="8"/>
  <c r="HE106" i="8"/>
  <c r="HD106" i="8"/>
  <c r="HC106" i="8"/>
  <c r="HB106" i="8"/>
  <c r="HA106" i="8"/>
  <c r="GZ106" i="8"/>
  <c r="GY106" i="8"/>
  <c r="GX106" i="8"/>
  <c r="GW106" i="8"/>
  <c r="GV106" i="8"/>
  <c r="GU106" i="8"/>
  <c r="GT106" i="8"/>
  <c r="GS106" i="8"/>
  <c r="GR106" i="8"/>
  <c r="GQ106" i="8"/>
  <c r="GP106" i="8"/>
  <c r="GO106" i="8"/>
  <c r="GN106" i="8"/>
  <c r="GM106" i="8"/>
  <c r="GL106" i="8"/>
  <c r="GK106" i="8"/>
  <c r="GJ106" i="8"/>
  <c r="GI106" i="8"/>
  <c r="GH106" i="8"/>
  <c r="GG106" i="8"/>
  <c r="GF106" i="8"/>
  <c r="GE106" i="8"/>
  <c r="GD106" i="8"/>
  <c r="GC106" i="8"/>
  <c r="GB106" i="8"/>
  <c r="GA106" i="8"/>
  <c r="FZ106" i="8"/>
  <c r="FY106" i="8"/>
  <c r="FX106" i="8"/>
  <c r="FW106" i="8"/>
  <c r="FV106" i="8"/>
  <c r="FU106" i="8"/>
  <c r="FT106" i="8"/>
  <c r="FS106" i="8"/>
  <c r="FR106" i="8"/>
  <c r="FQ106" i="8"/>
  <c r="FP106" i="8"/>
  <c r="FO106" i="8"/>
  <c r="FN106" i="8"/>
  <c r="FM106" i="8"/>
  <c r="FL106" i="8"/>
  <c r="FK106" i="8"/>
  <c r="FJ106" i="8"/>
  <c r="FI106" i="8"/>
  <c r="FH106" i="8"/>
  <c r="FG106" i="8"/>
  <c r="FF106" i="8"/>
  <c r="FE106" i="8"/>
  <c r="FD106" i="8"/>
  <c r="FC106" i="8"/>
  <c r="FB106" i="8"/>
  <c r="FA106" i="8"/>
  <c r="EZ106" i="8"/>
  <c r="EY106" i="8"/>
  <c r="EX106" i="8"/>
  <c r="EW106" i="8"/>
  <c r="EV106" i="8"/>
  <c r="EU106" i="8"/>
  <c r="ET106" i="8"/>
  <c r="ES106" i="8"/>
  <c r="ER106" i="8"/>
  <c r="EQ106" i="8"/>
  <c r="EP106" i="8"/>
  <c r="EO106" i="8"/>
  <c r="EN106" i="8"/>
  <c r="EM106" i="8"/>
  <c r="EL106" i="8"/>
  <c r="EK106" i="8"/>
  <c r="EJ106" i="8"/>
  <c r="IY105" i="8"/>
  <c r="IS105" i="8"/>
  <c r="IM105" i="8"/>
  <c r="IG105" i="8"/>
  <c r="IF105" i="8"/>
  <c r="IE105" i="8"/>
  <c r="ID105" i="8"/>
  <c r="IC105" i="8"/>
  <c r="IB105" i="8"/>
  <c r="IA105" i="8"/>
  <c r="HZ105" i="8"/>
  <c r="HY105" i="8"/>
  <c r="HX105" i="8"/>
  <c r="HW105" i="8"/>
  <c r="HV105" i="8"/>
  <c r="HU105" i="8"/>
  <c r="HT105" i="8"/>
  <c r="HS105" i="8"/>
  <c r="HR105" i="8"/>
  <c r="HQ105" i="8"/>
  <c r="HP105" i="8"/>
  <c r="HO105" i="8"/>
  <c r="HN105" i="8"/>
  <c r="HM105" i="8"/>
  <c r="HL105" i="8"/>
  <c r="HK105" i="8"/>
  <c r="HJ105" i="8"/>
  <c r="HI105" i="8"/>
  <c r="HH105" i="8"/>
  <c r="HG105" i="8"/>
  <c r="HF105" i="8"/>
  <c r="HE105" i="8"/>
  <c r="HD105" i="8"/>
  <c r="HC105" i="8"/>
  <c r="HB105" i="8"/>
  <c r="HA105" i="8"/>
  <c r="GZ105" i="8"/>
  <c r="GY105" i="8"/>
  <c r="GX105" i="8"/>
  <c r="GW105" i="8"/>
  <c r="GV105" i="8"/>
  <c r="GU105" i="8"/>
  <c r="GT105" i="8"/>
  <c r="GS105" i="8"/>
  <c r="GR105" i="8"/>
  <c r="GQ105" i="8"/>
  <c r="GP105" i="8"/>
  <c r="GO105" i="8"/>
  <c r="GN105" i="8"/>
  <c r="GM105" i="8"/>
  <c r="GL105" i="8"/>
  <c r="GK105" i="8"/>
  <c r="GJ105" i="8"/>
  <c r="GI105" i="8"/>
  <c r="GH105" i="8"/>
  <c r="GG105" i="8"/>
  <c r="GF105" i="8"/>
  <c r="GE105" i="8"/>
  <c r="GD105" i="8"/>
  <c r="GC105" i="8"/>
  <c r="GB105" i="8"/>
  <c r="GA105" i="8"/>
  <c r="FZ105" i="8"/>
  <c r="FY105" i="8"/>
  <c r="FX105" i="8"/>
  <c r="FW105" i="8"/>
  <c r="FV105" i="8"/>
  <c r="FU105" i="8"/>
  <c r="FT105" i="8"/>
  <c r="FS105" i="8"/>
  <c r="FR105" i="8"/>
  <c r="FQ105" i="8"/>
  <c r="FP105" i="8"/>
  <c r="FO105" i="8"/>
  <c r="FN105" i="8"/>
  <c r="FM105" i="8"/>
  <c r="FL105" i="8"/>
  <c r="FK105" i="8"/>
  <c r="FJ105" i="8"/>
  <c r="FI105" i="8"/>
  <c r="FH105" i="8"/>
  <c r="FG105" i="8"/>
  <c r="FF105" i="8"/>
  <c r="FE105" i="8"/>
  <c r="FD105" i="8"/>
  <c r="FC105" i="8"/>
  <c r="FB105" i="8"/>
  <c r="FA105" i="8"/>
  <c r="EZ105" i="8"/>
  <c r="EY105" i="8"/>
  <c r="EX105" i="8"/>
  <c r="EW105" i="8"/>
  <c r="EV105" i="8"/>
  <c r="EU105" i="8"/>
  <c r="ET105" i="8"/>
  <c r="ES105" i="8"/>
  <c r="ER105" i="8"/>
  <c r="EQ105" i="8"/>
  <c r="EP105" i="8"/>
  <c r="EO105" i="8"/>
  <c r="EN105" i="8"/>
  <c r="EM105" i="8"/>
  <c r="EL105" i="8"/>
  <c r="EK105" i="8"/>
  <c r="EJ105" i="8"/>
  <c r="IY104" i="8"/>
  <c r="IS104" i="8"/>
  <c r="IM104" i="8"/>
  <c r="IG104" i="8"/>
  <c r="IF104" i="8"/>
  <c r="IE104" i="8"/>
  <c r="ID104" i="8"/>
  <c r="IC104" i="8"/>
  <c r="IB104" i="8"/>
  <c r="IA104" i="8"/>
  <c r="HZ104" i="8"/>
  <c r="HY104" i="8"/>
  <c r="HX104" i="8"/>
  <c r="HW104" i="8"/>
  <c r="HV104" i="8"/>
  <c r="HU104" i="8"/>
  <c r="HT104" i="8"/>
  <c r="HS104" i="8"/>
  <c r="HR104" i="8"/>
  <c r="HQ104" i="8"/>
  <c r="HP104" i="8"/>
  <c r="HO104" i="8"/>
  <c r="HN104" i="8"/>
  <c r="HM104" i="8"/>
  <c r="HL104" i="8"/>
  <c r="HK104" i="8"/>
  <c r="HJ104" i="8"/>
  <c r="HI104" i="8"/>
  <c r="HH104" i="8"/>
  <c r="HG104" i="8"/>
  <c r="HF104" i="8"/>
  <c r="HE104" i="8"/>
  <c r="HD104" i="8"/>
  <c r="HC104" i="8"/>
  <c r="HB104" i="8"/>
  <c r="HA104" i="8"/>
  <c r="GZ104" i="8"/>
  <c r="GY104" i="8"/>
  <c r="GX104" i="8"/>
  <c r="GW104" i="8"/>
  <c r="GV104" i="8"/>
  <c r="GU104" i="8"/>
  <c r="GT104" i="8"/>
  <c r="GS104" i="8"/>
  <c r="GR104" i="8"/>
  <c r="GQ104" i="8"/>
  <c r="GP104" i="8"/>
  <c r="GO104" i="8"/>
  <c r="GN104" i="8"/>
  <c r="GM104" i="8"/>
  <c r="GL104" i="8"/>
  <c r="GK104" i="8"/>
  <c r="GJ104" i="8"/>
  <c r="GI104" i="8"/>
  <c r="GH104" i="8"/>
  <c r="GG104" i="8"/>
  <c r="GF104" i="8"/>
  <c r="GE104" i="8"/>
  <c r="GD104" i="8"/>
  <c r="GC104" i="8"/>
  <c r="GB104" i="8"/>
  <c r="GA104" i="8"/>
  <c r="FZ104" i="8"/>
  <c r="FY104" i="8"/>
  <c r="FX104" i="8"/>
  <c r="FW104" i="8"/>
  <c r="FV104" i="8"/>
  <c r="FU104" i="8"/>
  <c r="FT104" i="8"/>
  <c r="FS104" i="8"/>
  <c r="FR104" i="8"/>
  <c r="FQ104" i="8"/>
  <c r="FP104" i="8"/>
  <c r="FO104" i="8"/>
  <c r="FN104" i="8"/>
  <c r="FM104" i="8"/>
  <c r="FL104" i="8"/>
  <c r="FK104" i="8"/>
  <c r="FJ104" i="8"/>
  <c r="FI104" i="8"/>
  <c r="FH104" i="8"/>
  <c r="FG104" i="8"/>
  <c r="FF104" i="8"/>
  <c r="FE104" i="8"/>
  <c r="FD104" i="8"/>
  <c r="FC104" i="8"/>
  <c r="FB104" i="8"/>
  <c r="FA104" i="8"/>
  <c r="EZ104" i="8"/>
  <c r="EY104" i="8"/>
  <c r="EX104" i="8"/>
  <c r="EW104" i="8"/>
  <c r="EV104" i="8"/>
  <c r="EU104" i="8"/>
  <c r="ET104" i="8"/>
  <c r="ES104" i="8"/>
  <c r="ER104" i="8"/>
  <c r="EQ104" i="8"/>
  <c r="EP104" i="8"/>
  <c r="EO104" i="8"/>
  <c r="EN104" i="8"/>
  <c r="EM104" i="8"/>
  <c r="EL104" i="8"/>
  <c r="EK104" i="8"/>
  <c r="EJ104" i="8"/>
  <c r="IY103" i="8"/>
  <c r="IS103" i="8"/>
  <c r="IM103" i="8"/>
  <c r="IG103" i="8"/>
  <c r="IF103" i="8"/>
  <c r="IE103" i="8"/>
  <c r="ID103" i="8"/>
  <c r="IC103" i="8"/>
  <c r="IB103" i="8"/>
  <c r="IA103" i="8"/>
  <c r="HZ103" i="8"/>
  <c r="HY103" i="8"/>
  <c r="HX103" i="8"/>
  <c r="HW103" i="8"/>
  <c r="HV103" i="8"/>
  <c r="HU103" i="8"/>
  <c r="HT103" i="8"/>
  <c r="HS103" i="8"/>
  <c r="HR103" i="8"/>
  <c r="HQ103" i="8"/>
  <c r="HP103" i="8"/>
  <c r="HO103" i="8"/>
  <c r="HN103" i="8"/>
  <c r="HM103" i="8"/>
  <c r="HL103" i="8"/>
  <c r="HK103" i="8"/>
  <c r="HJ103" i="8"/>
  <c r="HI103" i="8"/>
  <c r="HH103" i="8"/>
  <c r="HG103" i="8"/>
  <c r="HF103" i="8"/>
  <c r="HE103" i="8"/>
  <c r="HD103" i="8"/>
  <c r="HC103" i="8"/>
  <c r="HB103" i="8"/>
  <c r="HA103" i="8"/>
  <c r="GZ103" i="8"/>
  <c r="GY103" i="8"/>
  <c r="GX103" i="8"/>
  <c r="GW103" i="8"/>
  <c r="GV103" i="8"/>
  <c r="GU103" i="8"/>
  <c r="GT103" i="8"/>
  <c r="GS103" i="8"/>
  <c r="GR103" i="8"/>
  <c r="GQ103" i="8"/>
  <c r="GP103" i="8"/>
  <c r="GO103" i="8"/>
  <c r="GN103" i="8"/>
  <c r="GM103" i="8"/>
  <c r="GL103" i="8"/>
  <c r="GK103" i="8"/>
  <c r="GJ103" i="8"/>
  <c r="GI103" i="8"/>
  <c r="GH103" i="8"/>
  <c r="GG103" i="8"/>
  <c r="GF103" i="8"/>
  <c r="GE103" i="8"/>
  <c r="GD103" i="8"/>
  <c r="GC103" i="8"/>
  <c r="GB103" i="8"/>
  <c r="GA103" i="8"/>
  <c r="FZ103" i="8"/>
  <c r="FY103" i="8"/>
  <c r="FX103" i="8"/>
  <c r="FW103" i="8"/>
  <c r="FV103" i="8"/>
  <c r="FU103" i="8"/>
  <c r="FT103" i="8"/>
  <c r="FS103" i="8"/>
  <c r="FR103" i="8"/>
  <c r="FQ103" i="8"/>
  <c r="FP103" i="8"/>
  <c r="FO103" i="8"/>
  <c r="FN103" i="8"/>
  <c r="FM103" i="8"/>
  <c r="FL103" i="8"/>
  <c r="FK103" i="8"/>
  <c r="FJ103" i="8"/>
  <c r="FI103" i="8"/>
  <c r="FH103" i="8"/>
  <c r="FG103" i="8"/>
  <c r="FF103" i="8"/>
  <c r="FE103" i="8"/>
  <c r="FD103" i="8"/>
  <c r="FC103" i="8"/>
  <c r="FB103" i="8"/>
  <c r="FA103" i="8"/>
  <c r="EZ103" i="8"/>
  <c r="EY103" i="8"/>
  <c r="EX103" i="8"/>
  <c r="EW103" i="8"/>
  <c r="EV103" i="8"/>
  <c r="EU103" i="8"/>
  <c r="ET103" i="8"/>
  <c r="ES103" i="8"/>
  <c r="ER103" i="8"/>
  <c r="EQ103" i="8"/>
  <c r="EP103" i="8"/>
  <c r="EO103" i="8"/>
  <c r="EN103" i="8"/>
  <c r="EM103" i="8"/>
  <c r="EL103" i="8"/>
  <c r="EK103" i="8"/>
  <c r="EJ103" i="8"/>
  <c r="IY102" i="8"/>
  <c r="IS102" i="8"/>
  <c r="IM102" i="8"/>
  <c r="IG102" i="8"/>
  <c r="IY101" i="8"/>
  <c r="IS101" i="8"/>
  <c r="IM101" i="8"/>
  <c r="IG101" i="8"/>
  <c r="IY100" i="8"/>
  <c r="IS100" i="8"/>
  <c r="IM100" i="8"/>
  <c r="IG100" i="8"/>
  <c r="IY99" i="8"/>
  <c r="IS99" i="8"/>
  <c r="IM99" i="8"/>
  <c r="IG99" i="8"/>
  <c r="IY98" i="8"/>
  <c r="IS98" i="8"/>
  <c r="IM98" i="8"/>
  <c r="IG98" i="8"/>
  <c r="IY97" i="8"/>
  <c r="IS97" i="8"/>
  <c r="IM97" i="8"/>
  <c r="IG97" i="8"/>
  <c r="IY96" i="8"/>
  <c r="IS96" i="8"/>
  <c r="IM96" i="8"/>
  <c r="IG96" i="8"/>
  <c r="IY95" i="8"/>
  <c r="IS95" i="8"/>
  <c r="IM95" i="8"/>
  <c r="IG95" i="8"/>
  <c r="IY94" i="8"/>
  <c r="IS94" i="8"/>
  <c r="IM94" i="8"/>
  <c r="IG94" i="8"/>
  <c r="IY93" i="8"/>
  <c r="IS93" i="8"/>
  <c r="IM93" i="8"/>
  <c r="IG93" i="8"/>
  <c r="IF93" i="8"/>
  <c r="IE93" i="8"/>
  <c r="ID93" i="8"/>
  <c r="IC93" i="8"/>
  <c r="IB93" i="8"/>
  <c r="IA93" i="8"/>
  <c r="HZ93" i="8"/>
  <c r="HY93" i="8"/>
  <c r="HX93" i="8"/>
  <c r="HW93" i="8"/>
  <c r="HV93" i="8"/>
  <c r="HU93" i="8"/>
  <c r="HT93" i="8"/>
  <c r="HS93" i="8"/>
  <c r="HR93" i="8"/>
  <c r="HQ93" i="8"/>
  <c r="HP93" i="8"/>
  <c r="HO93" i="8"/>
  <c r="HN93" i="8"/>
  <c r="HM93" i="8"/>
  <c r="HL93" i="8"/>
  <c r="HK93" i="8"/>
  <c r="HJ93" i="8"/>
  <c r="HI93" i="8"/>
  <c r="HH93" i="8"/>
  <c r="HG93" i="8"/>
  <c r="HF93" i="8"/>
  <c r="HE93" i="8"/>
  <c r="HD93" i="8"/>
  <c r="HC93" i="8"/>
  <c r="HB93" i="8"/>
  <c r="HA93" i="8"/>
  <c r="GZ93" i="8"/>
  <c r="GY93" i="8"/>
  <c r="GX93" i="8"/>
  <c r="GW93" i="8"/>
  <c r="GV93" i="8"/>
  <c r="GU93" i="8"/>
  <c r="GT93" i="8"/>
  <c r="GS93" i="8"/>
  <c r="GR93" i="8"/>
  <c r="GQ93" i="8"/>
  <c r="GP93" i="8"/>
  <c r="GO93" i="8"/>
  <c r="GN93" i="8"/>
  <c r="GM93" i="8"/>
  <c r="GL93" i="8"/>
  <c r="GK93" i="8"/>
  <c r="GJ93" i="8"/>
  <c r="GI93" i="8"/>
  <c r="GH93" i="8"/>
  <c r="GG93" i="8"/>
  <c r="GF93" i="8"/>
  <c r="GE93" i="8"/>
  <c r="GD93" i="8"/>
  <c r="GC93" i="8"/>
  <c r="GB93" i="8"/>
  <c r="GA93" i="8"/>
  <c r="FZ93" i="8"/>
  <c r="FY93" i="8"/>
  <c r="FX93" i="8"/>
  <c r="FW93" i="8"/>
  <c r="FV93" i="8"/>
  <c r="FU93" i="8"/>
  <c r="FT93" i="8"/>
  <c r="FS93" i="8"/>
  <c r="FR93" i="8"/>
  <c r="FQ93" i="8"/>
  <c r="FP93" i="8"/>
  <c r="FO93" i="8"/>
  <c r="FN93" i="8"/>
  <c r="FM93" i="8"/>
  <c r="FL93" i="8"/>
  <c r="FK93" i="8"/>
  <c r="FJ93" i="8"/>
  <c r="FI93" i="8"/>
  <c r="FH93" i="8"/>
  <c r="FG93" i="8"/>
  <c r="FF93" i="8"/>
  <c r="FE93" i="8"/>
  <c r="FD93" i="8"/>
  <c r="FC93" i="8"/>
  <c r="FB93" i="8"/>
  <c r="FA93" i="8"/>
  <c r="EZ93" i="8"/>
  <c r="EY93" i="8"/>
  <c r="EX93" i="8"/>
  <c r="EW93" i="8"/>
  <c r="EV93" i="8"/>
  <c r="EU93" i="8"/>
  <c r="ET93" i="8"/>
  <c r="ES93" i="8"/>
  <c r="ER93" i="8"/>
  <c r="EQ93" i="8"/>
  <c r="EP93" i="8"/>
  <c r="EO93" i="8"/>
  <c r="EN93" i="8"/>
  <c r="EM93" i="8"/>
  <c r="EL93" i="8"/>
  <c r="EK93" i="8"/>
  <c r="EJ93" i="8"/>
  <c r="IT194" i="8" l="1"/>
  <c r="IU194" i="8"/>
  <c r="IH194" i="8"/>
  <c r="II194" i="8"/>
  <c r="IZ194" i="8"/>
  <c r="JA194" i="8"/>
  <c r="IO194" i="8"/>
  <c r="IF54" i="19"/>
  <c r="IE54" i="19"/>
  <c r="ID54" i="19"/>
  <c r="IC54" i="19"/>
  <c r="IB54" i="19"/>
  <c r="IA54" i="19"/>
  <c r="HZ54" i="19"/>
  <c r="HY54" i="19"/>
  <c r="HX54" i="19"/>
  <c r="HW54" i="19"/>
  <c r="HV54" i="19"/>
  <c r="HU54" i="19"/>
  <c r="HT54" i="19"/>
  <c r="HS54" i="19"/>
  <c r="HR54" i="19"/>
  <c r="HQ54" i="19"/>
  <c r="HP54" i="19"/>
  <c r="HO54" i="19"/>
  <c r="HN54" i="19"/>
  <c r="HM54" i="19"/>
  <c r="HL54" i="19"/>
  <c r="HK54" i="19"/>
  <c r="HJ54" i="19"/>
  <c r="HI54" i="19"/>
  <c r="HH54" i="19"/>
  <c r="HG54" i="19"/>
  <c r="HF54" i="19"/>
  <c r="HE54" i="19"/>
  <c r="HD54" i="19"/>
  <c r="HC54" i="19"/>
  <c r="HB54" i="19"/>
  <c r="HA54" i="19"/>
  <c r="GZ54" i="19"/>
  <c r="GY54" i="19"/>
  <c r="GX54" i="19"/>
  <c r="GW54" i="19"/>
  <c r="GV54" i="19"/>
  <c r="GU54" i="19"/>
  <c r="GT54" i="19"/>
  <c r="GS54" i="19"/>
  <c r="GR54" i="19"/>
  <c r="GQ54" i="19"/>
  <c r="GP54" i="19"/>
  <c r="GO54" i="19"/>
  <c r="GN54" i="19"/>
  <c r="GM54" i="19"/>
  <c r="GL54" i="19"/>
  <c r="GK54" i="19"/>
  <c r="GJ54" i="19"/>
  <c r="GI54" i="19"/>
  <c r="GH54" i="19"/>
  <c r="GG54" i="19"/>
  <c r="GF54" i="19"/>
  <c r="GE54" i="19"/>
  <c r="GD54" i="19"/>
  <c r="GC54" i="19"/>
  <c r="GB54" i="19"/>
  <c r="GA54" i="19"/>
  <c r="FZ54" i="19"/>
  <c r="FY54" i="19"/>
  <c r="FX54" i="19"/>
  <c r="FW54" i="19"/>
  <c r="FV54" i="19"/>
  <c r="FU54" i="19"/>
  <c r="FT54" i="19"/>
  <c r="FS54" i="19"/>
  <c r="FR54" i="19"/>
  <c r="FQ54" i="19"/>
  <c r="FP54" i="19"/>
  <c r="FO54" i="19"/>
  <c r="FN54" i="19"/>
  <c r="FM54" i="19"/>
  <c r="FL54" i="19"/>
  <c r="FK54" i="19"/>
  <c r="FJ54" i="19"/>
  <c r="FI54" i="19"/>
  <c r="FH54" i="19"/>
  <c r="FG54" i="19"/>
  <c r="FF54" i="19"/>
  <c r="FE54" i="19"/>
  <c r="FD54" i="19"/>
  <c r="FC54" i="19"/>
  <c r="FB54" i="19"/>
  <c r="FA54" i="19"/>
  <c r="EZ54" i="19"/>
  <c r="EY54" i="19"/>
  <c r="EX54" i="19"/>
  <c r="EW54" i="19"/>
  <c r="EV54" i="19"/>
  <c r="EU54" i="19"/>
  <c r="ET54" i="19"/>
  <c r="ES54" i="19"/>
  <c r="ER54" i="19"/>
  <c r="EQ54" i="19"/>
  <c r="EP54" i="19"/>
  <c r="EO54" i="19"/>
  <c r="EN54" i="19"/>
  <c r="EM54" i="19"/>
  <c r="EL54" i="19"/>
  <c r="EK54" i="19"/>
  <c r="EJ54" i="19"/>
  <c r="EI54" i="19"/>
  <c r="EH54" i="19"/>
  <c r="EG54" i="19"/>
  <c r="EF54" i="19"/>
  <c r="EE54" i="19"/>
  <c r="ED54" i="19"/>
  <c r="EC54" i="19"/>
  <c r="EB54" i="19"/>
  <c r="EA54" i="19"/>
  <c r="DZ54" i="19"/>
  <c r="DY54" i="19"/>
  <c r="DX54" i="19"/>
  <c r="IF53" i="19"/>
  <c r="IE53" i="19"/>
  <c r="ID53" i="19"/>
  <c r="IC53" i="19"/>
  <c r="IB53" i="19"/>
  <c r="IA53" i="19"/>
  <c r="HZ53" i="19"/>
  <c r="HY53" i="19"/>
  <c r="HX53" i="19"/>
  <c r="HW53" i="19"/>
  <c r="HV53" i="19"/>
  <c r="HU53" i="19"/>
  <c r="HT53" i="19"/>
  <c r="HS53" i="19"/>
  <c r="HR53" i="19"/>
  <c r="HQ53" i="19"/>
  <c r="HP53" i="19"/>
  <c r="HO53" i="19"/>
  <c r="HN53" i="19"/>
  <c r="HM53" i="19"/>
  <c r="HL53" i="19"/>
  <c r="HK53" i="19"/>
  <c r="HJ53" i="19"/>
  <c r="HI53" i="19"/>
  <c r="HH53" i="19"/>
  <c r="HG53" i="19"/>
  <c r="HF53" i="19"/>
  <c r="HE53" i="19"/>
  <c r="HD53" i="19"/>
  <c r="HC53" i="19"/>
  <c r="HB53" i="19"/>
  <c r="HA53" i="19"/>
  <c r="GZ53" i="19"/>
  <c r="GY53" i="19"/>
  <c r="GX53" i="19"/>
  <c r="GW53" i="19"/>
  <c r="GV53" i="19"/>
  <c r="GU53" i="19"/>
  <c r="GT53" i="19"/>
  <c r="GS53" i="19"/>
  <c r="GR53" i="19"/>
  <c r="GQ53" i="19"/>
  <c r="GP53" i="19"/>
  <c r="GO53" i="19"/>
  <c r="GN53" i="19"/>
  <c r="GM53" i="19"/>
  <c r="GL53" i="19"/>
  <c r="GK53" i="19"/>
  <c r="GJ53" i="19"/>
  <c r="GI53" i="19"/>
  <c r="GH53" i="19"/>
  <c r="GG53" i="19"/>
  <c r="GF53" i="19"/>
  <c r="GE53" i="19"/>
  <c r="GD53" i="19"/>
  <c r="GC53" i="19"/>
  <c r="GB53" i="19"/>
  <c r="GA53" i="19"/>
  <c r="FZ53" i="19"/>
  <c r="FY53" i="19"/>
  <c r="FX53" i="19"/>
  <c r="FW53" i="19"/>
  <c r="FV53" i="19"/>
  <c r="FU53" i="19"/>
  <c r="FT53" i="19"/>
  <c r="FS53" i="19"/>
  <c r="FR53" i="19"/>
  <c r="FQ53" i="19"/>
  <c r="FP53" i="19"/>
  <c r="FO53" i="19"/>
  <c r="FN53" i="19"/>
  <c r="FM53" i="19"/>
  <c r="FL53" i="19"/>
  <c r="FK53" i="19"/>
  <c r="FJ53" i="19"/>
  <c r="FI53" i="19"/>
  <c r="FH53" i="19"/>
  <c r="FG53" i="19"/>
  <c r="FF53" i="19"/>
  <c r="FE53" i="19"/>
  <c r="FD53" i="19"/>
  <c r="FC53" i="19"/>
  <c r="FB53" i="19"/>
  <c r="FA53" i="19"/>
  <c r="EZ53" i="19"/>
  <c r="EY53" i="19"/>
  <c r="EX53" i="19"/>
  <c r="EW53" i="19"/>
  <c r="EV53" i="19"/>
  <c r="EU53" i="19"/>
  <c r="ET53" i="19"/>
  <c r="ES53" i="19"/>
  <c r="ER53" i="19"/>
  <c r="EQ53" i="19"/>
  <c r="EP53" i="19"/>
  <c r="EO53" i="19"/>
  <c r="EN53" i="19"/>
  <c r="EM53" i="19"/>
  <c r="EL53" i="19"/>
  <c r="EK53" i="19"/>
  <c r="EJ53" i="19"/>
  <c r="EI53" i="19"/>
  <c r="EH53" i="19"/>
  <c r="EG53" i="19"/>
  <c r="EF53" i="19"/>
  <c r="EE53" i="19"/>
  <c r="ED53" i="19"/>
  <c r="EC53" i="19"/>
  <c r="EB53" i="19"/>
  <c r="EA53" i="19"/>
  <c r="DZ53" i="19"/>
  <c r="DY53" i="19"/>
  <c r="DX53" i="19"/>
  <c r="IF52" i="19"/>
  <c r="IE52" i="19"/>
  <c r="ID52" i="19"/>
  <c r="IC52" i="19"/>
  <c r="IB52" i="19"/>
  <c r="IA52" i="19"/>
  <c r="HZ52" i="19"/>
  <c r="HY52" i="19"/>
  <c r="HX52" i="19"/>
  <c r="HW52" i="19"/>
  <c r="HV52" i="19"/>
  <c r="HU52" i="19"/>
  <c r="HT52" i="19"/>
  <c r="HS52" i="19"/>
  <c r="HR52" i="19"/>
  <c r="HQ52" i="19"/>
  <c r="HP52" i="19"/>
  <c r="HO52" i="19"/>
  <c r="HN52" i="19"/>
  <c r="HM52" i="19"/>
  <c r="HL52" i="19"/>
  <c r="HK52" i="19"/>
  <c r="HJ52" i="19"/>
  <c r="HI52" i="19"/>
  <c r="HH52" i="19"/>
  <c r="HG52" i="19"/>
  <c r="HF52" i="19"/>
  <c r="HE52" i="19"/>
  <c r="HD52" i="19"/>
  <c r="HC52" i="19"/>
  <c r="HB52" i="19"/>
  <c r="HA52" i="19"/>
  <c r="GZ52" i="19"/>
  <c r="GY52" i="19"/>
  <c r="GX52" i="19"/>
  <c r="GW52" i="19"/>
  <c r="GV52" i="19"/>
  <c r="GU52" i="19"/>
  <c r="GT52" i="19"/>
  <c r="GS52" i="19"/>
  <c r="GR52" i="19"/>
  <c r="GQ52" i="19"/>
  <c r="GP52" i="19"/>
  <c r="GO52" i="19"/>
  <c r="GN52" i="19"/>
  <c r="GM52" i="19"/>
  <c r="GL52" i="19"/>
  <c r="GK52" i="19"/>
  <c r="GJ52" i="19"/>
  <c r="GI52" i="19"/>
  <c r="GH52" i="19"/>
  <c r="GG52" i="19"/>
  <c r="GF52" i="19"/>
  <c r="GE52" i="19"/>
  <c r="GD52" i="19"/>
  <c r="GC52" i="19"/>
  <c r="GB52" i="19"/>
  <c r="GA52" i="19"/>
  <c r="FZ52" i="19"/>
  <c r="FY52" i="19"/>
  <c r="FX52" i="19"/>
  <c r="FW52" i="19"/>
  <c r="FV52" i="19"/>
  <c r="FU52" i="19"/>
  <c r="FT52" i="19"/>
  <c r="FS52" i="19"/>
  <c r="FR52" i="19"/>
  <c r="FQ52" i="19"/>
  <c r="FP52" i="19"/>
  <c r="FO52" i="19"/>
  <c r="FN52" i="19"/>
  <c r="FM52" i="19"/>
  <c r="FL52" i="19"/>
  <c r="FK52" i="19"/>
  <c r="FJ52" i="19"/>
  <c r="FI52" i="19"/>
  <c r="FH52" i="19"/>
  <c r="FG52" i="19"/>
  <c r="FF52" i="19"/>
  <c r="FE52" i="19"/>
  <c r="FD52" i="19"/>
  <c r="FC52" i="19"/>
  <c r="FB52" i="19"/>
  <c r="FA52" i="19"/>
  <c r="EZ52" i="19"/>
  <c r="EY52" i="19"/>
  <c r="EX52" i="19"/>
  <c r="EW52" i="19"/>
  <c r="EV52" i="19"/>
  <c r="EU52" i="19"/>
  <c r="ET52" i="19"/>
  <c r="ES52" i="19"/>
  <c r="ER52" i="19"/>
  <c r="EQ52" i="19"/>
  <c r="EP52" i="19"/>
  <c r="EO52" i="19"/>
  <c r="EN52" i="19"/>
  <c r="EM52" i="19"/>
  <c r="EL52" i="19"/>
  <c r="EK52" i="19"/>
  <c r="EJ52" i="19"/>
  <c r="EI52" i="19"/>
  <c r="EH52" i="19"/>
  <c r="EG52" i="19"/>
  <c r="EF52" i="19"/>
  <c r="EE52" i="19"/>
  <c r="ED52" i="19"/>
  <c r="EC52" i="19"/>
  <c r="EB52" i="19"/>
  <c r="EA52" i="19"/>
  <c r="DZ52" i="19"/>
  <c r="DY52" i="19"/>
  <c r="DX52" i="19"/>
  <c r="IF51" i="19"/>
  <c r="IE51" i="19"/>
  <c r="ID51" i="19"/>
  <c r="IC51" i="19"/>
  <c r="IB51" i="19"/>
  <c r="IA51" i="19"/>
  <c r="HZ51" i="19"/>
  <c r="HY51" i="19"/>
  <c r="HX51" i="19"/>
  <c r="HW51" i="19"/>
  <c r="HV51" i="19"/>
  <c r="HU51" i="19"/>
  <c r="HT51" i="19"/>
  <c r="HS51" i="19"/>
  <c r="HR51" i="19"/>
  <c r="HQ51" i="19"/>
  <c r="HP51" i="19"/>
  <c r="HO51" i="19"/>
  <c r="HN51" i="19"/>
  <c r="HM51" i="19"/>
  <c r="HL51" i="19"/>
  <c r="HK51" i="19"/>
  <c r="HJ51" i="19"/>
  <c r="HI51" i="19"/>
  <c r="HH51" i="19"/>
  <c r="HG51" i="19"/>
  <c r="HF51" i="19"/>
  <c r="HE51" i="19"/>
  <c r="HD51" i="19"/>
  <c r="HC51" i="19"/>
  <c r="HB51" i="19"/>
  <c r="HA51" i="19"/>
  <c r="GZ51" i="19"/>
  <c r="GY51" i="19"/>
  <c r="GX51" i="19"/>
  <c r="GW51" i="19"/>
  <c r="GV51" i="19"/>
  <c r="GU51" i="19"/>
  <c r="GT51" i="19"/>
  <c r="GS51" i="19"/>
  <c r="GR51" i="19"/>
  <c r="GQ51" i="19"/>
  <c r="GP51" i="19"/>
  <c r="GO51" i="19"/>
  <c r="GN51" i="19"/>
  <c r="GM51" i="19"/>
  <c r="GL51" i="19"/>
  <c r="GK51" i="19"/>
  <c r="GJ51" i="19"/>
  <c r="GI51" i="19"/>
  <c r="GH51" i="19"/>
  <c r="GG51" i="19"/>
  <c r="GF51" i="19"/>
  <c r="GE51" i="19"/>
  <c r="GD51" i="19"/>
  <c r="GC51" i="19"/>
  <c r="GB51" i="19"/>
  <c r="GA51" i="19"/>
  <c r="FZ51" i="19"/>
  <c r="FY51" i="19"/>
  <c r="FX51" i="19"/>
  <c r="FW51" i="19"/>
  <c r="FV51" i="19"/>
  <c r="FU51" i="19"/>
  <c r="FT51" i="19"/>
  <c r="FS51" i="19"/>
  <c r="FR51" i="19"/>
  <c r="FQ51" i="19"/>
  <c r="FP51" i="19"/>
  <c r="FO51" i="19"/>
  <c r="FN51" i="19"/>
  <c r="FM51" i="19"/>
  <c r="FL51" i="19"/>
  <c r="FK51" i="19"/>
  <c r="FJ51" i="19"/>
  <c r="FI51" i="19"/>
  <c r="FH51" i="19"/>
  <c r="FG51" i="19"/>
  <c r="FF51" i="19"/>
  <c r="FE51" i="19"/>
  <c r="FD51" i="19"/>
  <c r="FC51" i="19"/>
  <c r="FB51" i="19"/>
  <c r="FA51" i="19"/>
  <c r="EZ51" i="19"/>
  <c r="EY51" i="19"/>
  <c r="EX51" i="19"/>
  <c r="EW51" i="19"/>
  <c r="EV51" i="19"/>
  <c r="EU51" i="19"/>
  <c r="ET51" i="19"/>
  <c r="ES51" i="19"/>
  <c r="ER51" i="19"/>
  <c r="EQ51" i="19"/>
  <c r="EP51" i="19"/>
  <c r="EO51" i="19"/>
  <c r="EN51" i="19"/>
  <c r="EM51" i="19"/>
  <c r="EL51" i="19"/>
  <c r="EK51" i="19"/>
  <c r="EJ51" i="19"/>
  <c r="EI51" i="19"/>
  <c r="EH51" i="19"/>
  <c r="EG51" i="19"/>
  <c r="EF51" i="19"/>
  <c r="EE51" i="19"/>
  <c r="ED51" i="19"/>
  <c r="EC51" i="19"/>
  <c r="EB51" i="19"/>
  <c r="EA51" i="19"/>
  <c r="DZ51" i="19"/>
  <c r="DY51" i="19"/>
  <c r="DX51" i="19"/>
  <c r="IF50" i="19"/>
  <c r="IE50" i="19"/>
  <c r="ID50" i="19"/>
  <c r="IC50" i="19"/>
  <c r="IB50" i="19"/>
  <c r="IA50" i="19"/>
  <c r="HZ50" i="19"/>
  <c r="HY50" i="19"/>
  <c r="HX50" i="19"/>
  <c r="HW50" i="19"/>
  <c r="HV50" i="19"/>
  <c r="HU50" i="19"/>
  <c r="HT50" i="19"/>
  <c r="HS50" i="19"/>
  <c r="HR50" i="19"/>
  <c r="HQ50" i="19"/>
  <c r="HP50" i="19"/>
  <c r="HO50" i="19"/>
  <c r="HN50" i="19"/>
  <c r="HM50" i="19"/>
  <c r="HL50" i="19"/>
  <c r="HK50" i="19"/>
  <c r="HJ50" i="19"/>
  <c r="HI50" i="19"/>
  <c r="HH50" i="19"/>
  <c r="HG50" i="19"/>
  <c r="HF50" i="19"/>
  <c r="HE50" i="19"/>
  <c r="HD50" i="19"/>
  <c r="HC50" i="19"/>
  <c r="HB50" i="19"/>
  <c r="HA50" i="19"/>
  <c r="GZ50" i="19"/>
  <c r="GY50" i="19"/>
  <c r="GX50" i="19"/>
  <c r="GW50" i="19"/>
  <c r="GV50" i="19"/>
  <c r="GU50" i="19"/>
  <c r="GT50" i="19"/>
  <c r="GS50" i="19"/>
  <c r="GR50" i="19"/>
  <c r="GQ50" i="19"/>
  <c r="GP50" i="19"/>
  <c r="GO50" i="19"/>
  <c r="GN50" i="19"/>
  <c r="GM50" i="19"/>
  <c r="GL50" i="19"/>
  <c r="GK50" i="19"/>
  <c r="GJ50" i="19"/>
  <c r="GI50" i="19"/>
  <c r="GH50" i="19"/>
  <c r="GG50" i="19"/>
  <c r="GF50" i="19"/>
  <c r="GE50" i="19"/>
  <c r="GD50" i="19"/>
  <c r="GC50" i="19"/>
  <c r="GB50" i="19"/>
  <c r="GA50" i="19"/>
  <c r="FZ50" i="19"/>
  <c r="FY50" i="19"/>
  <c r="FX50" i="19"/>
  <c r="FW50" i="19"/>
  <c r="FV50" i="19"/>
  <c r="FU50" i="19"/>
  <c r="FT50" i="19"/>
  <c r="FS50" i="19"/>
  <c r="FR50" i="19"/>
  <c r="FQ50" i="19"/>
  <c r="FP50" i="19"/>
  <c r="FO50" i="19"/>
  <c r="FN50" i="19"/>
  <c r="FM50" i="19"/>
  <c r="FL50" i="19"/>
  <c r="FK50" i="19"/>
  <c r="FJ50" i="19"/>
  <c r="FI50" i="19"/>
  <c r="FH50" i="19"/>
  <c r="FG50" i="19"/>
  <c r="FF50" i="19"/>
  <c r="FE50" i="19"/>
  <c r="FD50" i="19"/>
  <c r="FC50" i="19"/>
  <c r="FB50" i="19"/>
  <c r="FA50" i="19"/>
  <c r="EZ50" i="19"/>
  <c r="EY50" i="19"/>
  <c r="EX50" i="19"/>
  <c r="EW50" i="19"/>
  <c r="EV50" i="19"/>
  <c r="EU50" i="19"/>
  <c r="ET50" i="19"/>
  <c r="ES50" i="19"/>
  <c r="ER50" i="19"/>
  <c r="EQ50" i="19"/>
  <c r="EP50" i="19"/>
  <c r="EO50" i="19"/>
  <c r="EN50" i="19"/>
  <c r="EM50" i="19"/>
  <c r="EL50" i="19"/>
  <c r="EK50" i="19"/>
  <c r="EJ50" i="19"/>
  <c r="EI50" i="19"/>
  <c r="EH50" i="19"/>
  <c r="EG50" i="19"/>
  <c r="EF50" i="19"/>
  <c r="EE50" i="19"/>
  <c r="ED50" i="19"/>
  <c r="EC50" i="19"/>
  <c r="EB50" i="19"/>
  <c r="EA50" i="19"/>
  <c r="DZ50" i="19"/>
  <c r="DY50" i="19"/>
  <c r="DX50" i="19"/>
  <c r="IF49" i="19"/>
  <c r="IE49" i="19"/>
  <c r="ID49" i="19"/>
  <c r="IC49" i="19"/>
  <c r="IB49" i="19"/>
  <c r="IA49" i="19"/>
  <c r="HZ49" i="19"/>
  <c r="HY49" i="19"/>
  <c r="HX49" i="19"/>
  <c r="HW49" i="19"/>
  <c r="HV49" i="19"/>
  <c r="HU49" i="19"/>
  <c r="HT49" i="19"/>
  <c r="HS49" i="19"/>
  <c r="HR49" i="19"/>
  <c r="HQ49" i="19"/>
  <c r="HP49" i="19"/>
  <c r="HO49" i="19"/>
  <c r="HN49" i="19"/>
  <c r="HM49" i="19"/>
  <c r="HL49" i="19"/>
  <c r="HK49" i="19"/>
  <c r="HJ49" i="19"/>
  <c r="HI49" i="19"/>
  <c r="HH49" i="19"/>
  <c r="HG49" i="19"/>
  <c r="HF49" i="19"/>
  <c r="HE49" i="19"/>
  <c r="HD49" i="19"/>
  <c r="HC49" i="19"/>
  <c r="HB49" i="19"/>
  <c r="HA49" i="19"/>
  <c r="GZ49" i="19"/>
  <c r="GY49" i="19"/>
  <c r="GX49" i="19"/>
  <c r="GW49" i="19"/>
  <c r="GV49" i="19"/>
  <c r="GU49" i="19"/>
  <c r="GT49" i="19"/>
  <c r="GS49" i="19"/>
  <c r="GR49" i="19"/>
  <c r="GQ49" i="19"/>
  <c r="GP49" i="19"/>
  <c r="GO49" i="19"/>
  <c r="GN49" i="19"/>
  <c r="GM49" i="19"/>
  <c r="GL49" i="19"/>
  <c r="GK49" i="19"/>
  <c r="GJ49" i="19"/>
  <c r="GI49" i="19"/>
  <c r="GH49" i="19"/>
  <c r="GG49" i="19"/>
  <c r="GF49" i="19"/>
  <c r="GE49" i="19"/>
  <c r="GD49" i="19"/>
  <c r="GC49" i="19"/>
  <c r="GB49" i="19"/>
  <c r="GA49" i="19"/>
  <c r="FZ49" i="19"/>
  <c r="FY49" i="19"/>
  <c r="FX49" i="19"/>
  <c r="FW49" i="19"/>
  <c r="FV49" i="19"/>
  <c r="FU49" i="19"/>
  <c r="FT49" i="19"/>
  <c r="FS49" i="19"/>
  <c r="FR49" i="19"/>
  <c r="FQ49" i="19"/>
  <c r="FP49" i="19"/>
  <c r="FO49" i="19"/>
  <c r="FN49" i="19"/>
  <c r="FM49" i="19"/>
  <c r="FL49" i="19"/>
  <c r="FK49" i="19"/>
  <c r="FJ49" i="19"/>
  <c r="FI49" i="19"/>
  <c r="FH49" i="19"/>
  <c r="FG49" i="19"/>
  <c r="FF49" i="19"/>
  <c r="FE49" i="19"/>
  <c r="FD49" i="19"/>
  <c r="FC49" i="19"/>
  <c r="FB49" i="19"/>
  <c r="FA49" i="19"/>
  <c r="EZ49" i="19"/>
  <c r="EY49" i="19"/>
  <c r="EX49" i="19"/>
  <c r="EW49" i="19"/>
  <c r="EV49" i="19"/>
  <c r="EU49" i="19"/>
  <c r="ET49" i="19"/>
  <c r="ES49" i="19"/>
  <c r="ER49" i="19"/>
  <c r="EQ49" i="19"/>
  <c r="EP49" i="19"/>
  <c r="EO49" i="19"/>
  <c r="EN49" i="19"/>
  <c r="EM49" i="19"/>
  <c r="EL49" i="19"/>
  <c r="EK49" i="19"/>
  <c r="EJ49" i="19"/>
  <c r="EI49" i="19"/>
  <c r="EH49" i="19"/>
  <c r="EG49" i="19"/>
  <c r="EF49" i="19"/>
  <c r="EE49" i="19"/>
  <c r="ED49" i="19"/>
  <c r="EC49" i="19"/>
  <c r="EB49" i="19"/>
  <c r="EA49" i="19"/>
  <c r="DZ49" i="19"/>
  <c r="DY49" i="19"/>
  <c r="DX49" i="19"/>
  <c r="IF48" i="19"/>
  <c r="IE48" i="19"/>
  <c r="ID48" i="19"/>
  <c r="IC48" i="19"/>
  <c r="IB48" i="19"/>
  <c r="IA48" i="19"/>
  <c r="HZ48" i="19"/>
  <c r="HY48" i="19"/>
  <c r="HX48" i="19"/>
  <c r="HW48" i="19"/>
  <c r="HV48" i="19"/>
  <c r="HU48" i="19"/>
  <c r="HT48" i="19"/>
  <c r="HS48" i="19"/>
  <c r="HR48" i="19"/>
  <c r="HQ48" i="19"/>
  <c r="HP48" i="19"/>
  <c r="HO48" i="19"/>
  <c r="HN48" i="19"/>
  <c r="HM48" i="19"/>
  <c r="HL48" i="19"/>
  <c r="HK48" i="19"/>
  <c r="HJ48" i="19"/>
  <c r="HI48" i="19"/>
  <c r="HH48" i="19"/>
  <c r="HG48" i="19"/>
  <c r="HF48" i="19"/>
  <c r="HE48" i="19"/>
  <c r="HD48" i="19"/>
  <c r="HC48" i="19"/>
  <c r="HB48" i="19"/>
  <c r="HA48" i="19"/>
  <c r="GZ48" i="19"/>
  <c r="GY48" i="19"/>
  <c r="GX48" i="19"/>
  <c r="GW48" i="19"/>
  <c r="GV48" i="19"/>
  <c r="GU48" i="19"/>
  <c r="GT48" i="19"/>
  <c r="GS48" i="19"/>
  <c r="GR48" i="19"/>
  <c r="GQ48" i="19"/>
  <c r="GP48" i="19"/>
  <c r="GO48" i="19"/>
  <c r="GN48" i="19"/>
  <c r="GM48" i="19"/>
  <c r="GL48" i="19"/>
  <c r="GK48" i="19"/>
  <c r="GJ48" i="19"/>
  <c r="GI48" i="19"/>
  <c r="GH48" i="19"/>
  <c r="GG48" i="19"/>
  <c r="GF48" i="19"/>
  <c r="GE48" i="19"/>
  <c r="GD48" i="19"/>
  <c r="GC48" i="19"/>
  <c r="GB48" i="19"/>
  <c r="GA48" i="19"/>
  <c r="FZ48" i="19"/>
  <c r="FY48" i="19"/>
  <c r="FX48" i="19"/>
  <c r="FW48" i="19"/>
  <c r="FV48" i="19"/>
  <c r="FU48" i="19"/>
  <c r="FT48" i="19"/>
  <c r="FS48" i="19"/>
  <c r="FR48" i="19"/>
  <c r="FQ48" i="19"/>
  <c r="FP48" i="19"/>
  <c r="FO48" i="19"/>
  <c r="FN48" i="19"/>
  <c r="FM48" i="19"/>
  <c r="FL48" i="19"/>
  <c r="FK48" i="19"/>
  <c r="FJ48" i="19"/>
  <c r="FI48" i="19"/>
  <c r="FH48" i="19"/>
  <c r="FG48" i="19"/>
  <c r="FF48" i="19"/>
  <c r="FE48" i="19"/>
  <c r="FD48" i="19"/>
  <c r="FC48" i="19"/>
  <c r="FB48" i="19"/>
  <c r="FA48" i="19"/>
  <c r="EZ48" i="19"/>
  <c r="EY48" i="19"/>
  <c r="EX48" i="19"/>
  <c r="EW48" i="19"/>
  <c r="EV48" i="19"/>
  <c r="EU48" i="19"/>
  <c r="ET48" i="19"/>
  <c r="ES48" i="19"/>
  <c r="ER48" i="19"/>
  <c r="EQ48" i="19"/>
  <c r="EP48" i="19"/>
  <c r="EO48" i="19"/>
  <c r="EN48" i="19"/>
  <c r="EM48" i="19"/>
  <c r="EL48" i="19"/>
  <c r="EK48" i="19"/>
  <c r="EJ48" i="19"/>
  <c r="EI48" i="19"/>
  <c r="EH48" i="19"/>
  <c r="EG48" i="19"/>
  <c r="EF48" i="19"/>
  <c r="EE48" i="19"/>
  <c r="ED48" i="19"/>
  <c r="EC48" i="19"/>
  <c r="EB48" i="19"/>
  <c r="EA48" i="19"/>
  <c r="DZ48" i="19"/>
  <c r="DY48" i="19"/>
  <c r="DX48" i="19"/>
  <c r="IF47" i="19"/>
  <c r="IE47" i="19"/>
  <c r="ID47" i="19"/>
  <c r="IC47" i="19"/>
  <c r="IB47" i="19"/>
  <c r="IA47" i="19"/>
  <c r="HZ47" i="19"/>
  <c r="HY47" i="19"/>
  <c r="HX47" i="19"/>
  <c r="HW47" i="19"/>
  <c r="HV47" i="19"/>
  <c r="HU47" i="19"/>
  <c r="HT47" i="19"/>
  <c r="HS47" i="19"/>
  <c r="HR47" i="19"/>
  <c r="HQ47" i="19"/>
  <c r="HP47" i="19"/>
  <c r="HO47" i="19"/>
  <c r="HN47" i="19"/>
  <c r="HM47" i="19"/>
  <c r="HL47" i="19"/>
  <c r="HK47" i="19"/>
  <c r="HJ47" i="19"/>
  <c r="HI47" i="19"/>
  <c r="HH47" i="19"/>
  <c r="HG47" i="19"/>
  <c r="HF47" i="19"/>
  <c r="HE47" i="19"/>
  <c r="HD47" i="19"/>
  <c r="HC47" i="19"/>
  <c r="HB47" i="19"/>
  <c r="HA47" i="19"/>
  <c r="GZ47" i="19"/>
  <c r="GY47" i="19"/>
  <c r="GX47" i="19"/>
  <c r="GW47" i="19"/>
  <c r="GV47" i="19"/>
  <c r="GU47" i="19"/>
  <c r="GT47" i="19"/>
  <c r="GS47" i="19"/>
  <c r="GR47" i="19"/>
  <c r="GQ47" i="19"/>
  <c r="GP47" i="19"/>
  <c r="GO47" i="19"/>
  <c r="GN47" i="19"/>
  <c r="GM47" i="19"/>
  <c r="GL47" i="19"/>
  <c r="GK47" i="19"/>
  <c r="GJ47" i="19"/>
  <c r="GI47" i="19"/>
  <c r="GH47" i="19"/>
  <c r="GG47" i="19"/>
  <c r="GF47" i="19"/>
  <c r="GE47" i="19"/>
  <c r="GD47" i="19"/>
  <c r="GC47" i="19"/>
  <c r="GB47" i="19"/>
  <c r="GA47" i="19"/>
  <c r="FZ47" i="19"/>
  <c r="FY47" i="19"/>
  <c r="FX47" i="19"/>
  <c r="FW47" i="19"/>
  <c r="FV47" i="19"/>
  <c r="FU47" i="19"/>
  <c r="FT47" i="19"/>
  <c r="FS47" i="19"/>
  <c r="FR47" i="19"/>
  <c r="FQ47" i="19"/>
  <c r="FP47" i="19"/>
  <c r="FO47" i="19"/>
  <c r="FN47" i="19"/>
  <c r="FM47" i="19"/>
  <c r="FL47" i="19"/>
  <c r="FK47" i="19"/>
  <c r="FJ47" i="19"/>
  <c r="FI47" i="19"/>
  <c r="FH47" i="19"/>
  <c r="FG47" i="19"/>
  <c r="FF47" i="19"/>
  <c r="FE47" i="19"/>
  <c r="FD47" i="19"/>
  <c r="FC47" i="19"/>
  <c r="FB47" i="19"/>
  <c r="FA47" i="19"/>
  <c r="EZ47" i="19"/>
  <c r="EY47" i="19"/>
  <c r="EX47" i="19"/>
  <c r="EW47" i="19"/>
  <c r="EV47" i="19"/>
  <c r="EU47" i="19"/>
  <c r="ET47" i="19"/>
  <c r="ES47" i="19"/>
  <c r="ER47" i="19"/>
  <c r="EQ47" i="19"/>
  <c r="EP47" i="19"/>
  <c r="EO47" i="19"/>
  <c r="EN47" i="19"/>
  <c r="EM47" i="19"/>
  <c r="EL47" i="19"/>
  <c r="EK47" i="19"/>
  <c r="EJ47" i="19"/>
  <c r="EI47" i="19"/>
  <c r="EH47" i="19"/>
  <c r="EG47" i="19"/>
  <c r="EF47" i="19"/>
  <c r="EE47" i="19"/>
  <c r="ED47" i="19"/>
  <c r="EC47" i="19"/>
  <c r="EB47" i="19"/>
  <c r="EA47" i="19"/>
  <c r="DZ47" i="19"/>
  <c r="DY47" i="19"/>
  <c r="DX47" i="19"/>
  <c r="IF46" i="19"/>
  <c r="IE46" i="19"/>
  <c r="ID46" i="19"/>
  <c r="IC46" i="19"/>
  <c r="IB46" i="19"/>
  <c r="IA46" i="19"/>
  <c r="HZ46" i="19"/>
  <c r="HY46" i="19"/>
  <c r="HX46" i="19"/>
  <c r="HW46" i="19"/>
  <c r="HV46" i="19"/>
  <c r="HU46" i="19"/>
  <c r="HT46" i="19"/>
  <c r="HS46" i="19"/>
  <c r="HR46" i="19"/>
  <c r="HQ46" i="19"/>
  <c r="HP46" i="19"/>
  <c r="HO46" i="19"/>
  <c r="HN46" i="19"/>
  <c r="HM46" i="19"/>
  <c r="HL46" i="19"/>
  <c r="HK46" i="19"/>
  <c r="HJ46" i="19"/>
  <c r="HI46" i="19"/>
  <c r="HH46" i="19"/>
  <c r="HG46" i="19"/>
  <c r="HF46" i="19"/>
  <c r="HE46" i="19"/>
  <c r="HD46" i="19"/>
  <c r="HC46" i="19"/>
  <c r="HB46" i="19"/>
  <c r="HA46" i="19"/>
  <c r="GZ46" i="19"/>
  <c r="GY46" i="19"/>
  <c r="GX46" i="19"/>
  <c r="GW46" i="19"/>
  <c r="GV46" i="19"/>
  <c r="GU46" i="19"/>
  <c r="GT46" i="19"/>
  <c r="GS46" i="19"/>
  <c r="GR46" i="19"/>
  <c r="GQ46" i="19"/>
  <c r="GP46" i="19"/>
  <c r="GO46" i="19"/>
  <c r="GN46" i="19"/>
  <c r="GM46" i="19"/>
  <c r="GL46" i="19"/>
  <c r="GK46" i="19"/>
  <c r="GJ46" i="19"/>
  <c r="GI46" i="19"/>
  <c r="GH46" i="19"/>
  <c r="GG46" i="19"/>
  <c r="GF46" i="19"/>
  <c r="GE46" i="19"/>
  <c r="GD46" i="19"/>
  <c r="GC46" i="19"/>
  <c r="GB46" i="19"/>
  <c r="GA46" i="19"/>
  <c r="FZ46" i="19"/>
  <c r="FY46" i="19"/>
  <c r="FX46" i="19"/>
  <c r="FW46" i="19"/>
  <c r="FV46" i="19"/>
  <c r="FU46" i="19"/>
  <c r="FT46" i="19"/>
  <c r="FS46" i="19"/>
  <c r="FR46" i="19"/>
  <c r="FQ46" i="19"/>
  <c r="FP46" i="19"/>
  <c r="FO46" i="19"/>
  <c r="FN46" i="19"/>
  <c r="FM46" i="19"/>
  <c r="FL46" i="19"/>
  <c r="FK46" i="19"/>
  <c r="FJ46" i="19"/>
  <c r="FI46" i="19"/>
  <c r="FH46" i="19"/>
  <c r="FG46" i="19"/>
  <c r="FF46" i="19"/>
  <c r="FE46" i="19"/>
  <c r="FD46" i="19"/>
  <c r="FC46" i="19"/>
  <c r="FB46" i="19"/>
  <c r="FA46" i="19"/>
  <c r="EZ46" i="19"/>
  <c r="EY46" i="19"/>
  <c r="EX46" i="19"/>
  <c r="EW46" i="19"/>
  <c r="EV46" i="19"/>
  <c r="EU46" i="19"/>
  <c r="ET46" i="19"/>
  <c r="ES46" i="19"/>
  <c r="ER46" i="19"/>
  <c r="EQ46" i="19"/>
  <c r="EP46" i="19"/>
  <c r="EO46" i="19"/>
  <c r="EN46" i="19"/>
  <c r="EM46" i="19"/>
  <c r="EL46" i="19"/>
  <c r="EK46" i="19"/>
  <c r="EJ46" i="19"/>
  <c r="EI46" i="19"/>
  <c r="EH46" i="19"/>
  <c r="EG46" i="19"/>
  <c r="EF46" i="19"/>
  <c r="EE46" i="19"/>
  <c r="ED46" i="19"/>
  <c r="EC46" i="19"/>
  <c r="EB46" i="19"/>
  <c r="EA46" i="19"/>
  <c r="DZ46" i="19"/>
  <c r="DY46" i="19"/>
  <c r="DX46" i="19"/>
  <c r="IF45" i="19"/>
  <c r="IE45" i="19"/>
  <c r="ID45" i="19"/>
  <c r="IC45" i="19"/>
  <c r="IB45" i="19"/>
  <c r="IA45" i="19"/>
  <c r="HZ45" i="19"/>
  <c r="HY45" i="19"/>
  <c r="HX45" i="19"/>
  <c r="HW45" i="19"/>
  <c r="HV45" i="19"/>
  <c r="HU45" i="19"/>
  <c r="HT45" i="19"/>
  <c r="HS45" i="19"/>
  <c r="HR45" i="19"/>
  <c r="HQ45" i="19"/>
  <c r="HP45" i="19"/>
  <c r="HO45" i="19"/>
  <c r="HN45" i="19"/>
  <c r="HM45" i="19"/>
  <c r="HL45" i="19"/>
  <c r="HK45" i="19"/>
  <c r="HJ45" i="19"/>
  <c r="HI45" i="19"/>
  <c r="HH45" i="19"/>
  <c r="HG45" i="19"/>
  <c r="HF45" i="19"/>
  <c r="HE45" i="19"/>
  <c r="HD45" i="19"/>
  <c r="HC45" i="19"/>
  <c r="HB45" i="19"/>
  <c r="HA45" i="19"/>
  <c r="GZ45" i="19"/>
  <c r="GY45" i="19"/>
  <c r="GX45" i="19"/>
  <c r="GW45" i="19"/>
  <c r="GV45" i="19"/>
  <c r="GU45" i="19"/>
  <c r="GT45" i="19"/>
  <c r="GS45" i="19"/>
  <c r="GR45" i="19"/>
  <c r="GQ45" i="19"/>
  <c r="GP45" i="19"/>
  <c r="GO45" i="19"/>
  <c r="GN45" i="19"/>
  <c r="GM45" i="19"/>
  <c r="GL45" i="19"/>
  <c r="GK45" i="19"/>
  <c r="GJ45" i="19"/>
  <c r="GI45" i="19"/>
  <c r="GH45" i="19"/>
  <c r="GG45" i="19"/>
  <c r="GF45" i="19"/>
  <c r="GE45" i="19"/>
  <c r="GD45" i="19"/>
  <c r="GC45" i="19"/>
  <c r="GB45" i="19"/>
  <c r="GA45" i="19"/>
  <c r="FZ45" i="19"/>
  <c r="FY45" i="19"/>
  <c r="FX45" i="19"/>
  <c r="FW45" i="19"/>
  <c r="FV45" i="19"/>
  <c r="FU45" i="19"/>
  <c r="FT45" i="19"/>
  <c r="FS45" i="19"/>
  <c r="FR45" i="19"/>
  <c r="FQ45" i="19"/>
  <c r="FP45" i="19"/>
  <c r="FO45" i="19"/>
  <c r="FN45" i="19"/>
  <c r="FM45" i="19"/>
  <c r="FL45" i="19"/>
  <c r="FK45" i="19"/>
  <c r="FJ45" i="19"/>
  <c r="FI45" i="19"/>
  <c r="FH45" i="19"/>
  <c r="FG45" i="19"/>
  <c r="FF45" i="19"/>
  <c r="FE45" i="19"/>
  <c r="FD45" i="19"/>
  <c r="FC45" i="19"/>
  <c r="FB45" i="19"/>
  <c r="FA45" i="19"/>
  <c r="EZ45" i="19"/>
  <c r="EY45" i="19"/>
  <c r="EX45" i="19"/>
  <c r="EW45" i="19"/>
  <c r="EV45" i="19"/>
  <c r="EU45" i="19"/>
  <c r="ET45" i="19"/>
  <c r="ES45" i="19"/>
  <c r="ER45" i="19"/>
  <c r="EQ45" i="19"/>
  <c r="EP45" i="19"/>
  <c r="EO45" i="19"/>
  <c r="EN45" i="19"/>
  <c r="EM45" i="19"/>
  <c r="EL45" i="19"/>
  <c r="EK45" i="19"/>
  <c r="EJ45" i="19"/>
  <c r="EI45" i="19"/>
  <c r="EH45" i="19"/>
  <c r="EG45" i="19"/>
  <c r="EF45" i="19"/>
  <c r="EE45" i="19"/>
  <c r="ED45" i="19"/>
  <c r="EC45" i="19"/>
  <c r="EB45" i="19"/>
  <c r="EA45" i="19"/>
  <c r="DZ45" i="19"/>
  <c r="DY45" i="19"/>
  <c r="DX45" i="19"/>
  <c r="IF44" i="19"/>
  <c r="IE44" i="19"/>
  <c r="ID44" i="19"/>
  <c r="IC44" i="19"/>
  <c r="IB44" i="19"/>
  <c r="IA44" i="19"/>
  <c r="HZ44" i="19"/>
  <c r="HY44" i="19"/>
  <c r="HX44" i="19"/>
  <c r="HW44" i="19"/>
  <c r="HV44" i="19"/>
  <c r="HU44" i="19"/>
  <c r="HT44" i="19"/>
  <c r="HS44" i="19"/>
  <c r="HR44" i="19"/>
  <c r="HQ44" i="19"/>
  <c r="HP44" i="19"/>
  <c r="HO44" i="19"/>
  <c r="HN44" i="19"/>
  <c r="HM44" i="19"/>
  <c r="HL44" i="19"/>
  <c r="HK44" i="19"/>
  <c r="HJ44" i="19"/>
  <c r="HI44" i="19"/>
  <c r="HH44" i="19"/>
  <c r="HG44" i="19"/>
  <c r="HF44" i="19"/>
  <c r="HE44" i="19"/>
  <c r="HD44" i="19"/>
  <c r="HC44" i="19"/>
  <c r="HB44" i="19"/>
  <c r="HA44" i="19"/>
  <c r="GZ44" i="19"/>
  <c r="GY44" i="19"/>
  <c r="GX44" i="19"/>
  <c r="GW44" i="19"/>
  <c r="GV44" i="19"/>
  <c r="GU44" i="19"/>
  <c r="GT44" i="19"/>
  <c r="GS44" i="19"/>
  <c r="GR44" i="19"/>
  <c r="GQ44" i="19"/>
  <c r="GP44" i="19"/>
  <c r="GO44" i="19"/>
  <c r="GN44" i="19"/>
  <c r="GM44" i="19"/>
  <c r="GL44" i="19"/>
  <c r="GK44" i="19"/>
  <c r="GJ44" i="19"/>
  <c r="GI44" i="19"/>
  <c r="GH44" i="19"/>
  <c r="GG44" i="19"/>
  <c r="GF44" i="19"/>
  <c r="GE44" i="19"/>
  <c r="GD44" i="19"/>
  <c r="GC44" i="19"/>
  <c r="GB44" i="19"/>
  <c r="GA44" i="19"/>
  <c r="FZ44" i="19"/>
  <c r="FY44" i="19"/>
  <c r="FX44" i="19"/>
  <c r="FW44" i="19"/>
  <c r="FV44" i="19"/>
  <c r="FU44" i="19"/>
  <c r="FT44" i="19"/>
  <c r="FS44" i="19"/>
  <c r="FR44" i="19"/>
  <c r="FQ44" i="19"/>
  <c r="FP44" i="19"/>
  <c r="FO44" i="19"/>
  <c r="FN44" i="19"/>
  <c r="FM44" i="19"/>
  <c r="FL44" i="19"/>
  <c r="FK44" i="19"/>
  <c r="FJ44" i="19"/>
  <c r="FI44" i="19"/>
  <c r="FH44" i="19"/>
  <c r="FG44" i="19"/>
  <c r="FF44" i="19"/>
  <c r="FE44" i="19"/>
  <c r="FD44" i="19"/>
  <c r="FC44" i="19"/>
  <c r="FB44" i="19"/>
  <c r="FA44" i="19"/>
  <c r="EZ44" i="19"/>
  <c r="EY44" i="19"/>
  <c r="EX44" i="19"/>
  <c r="EW44" i="19"/>
  <c r="EV44" i="19"/>
  <c r="EU44" i="19"/>
  <c r="ET44" i="19"/>
  <c r="ES44" i="19"/>
  <c r="ER44" i="19"/>
  <c r="EQ44" i="19"/>
  <c r="EP44" i="19"/>
  <c r="EO44" i="19"/>
  <c r="EN44" i="19"/>
  <c r="EM44" i="19"/>
  <c r="EL44" i="19"/>
  <c r="EK44" i="19"/>
  <c r="EJ44" i="19"/>
  <c r="EI44" i="19"/>
  <c r="EH44" i="19"/>
  <c r="EG44" i="19"/>
  <c r="EF44" i="19"/>
  <c r="EE44" i="19"/>
  <c r="ED44" i="19"/>
  <c r="EC44" i="19"/>
  <c r="EB44" i="19"/>
  <c r="EA44" i="19"/>
  <c r="DZ44" i="19"/>
  <c r="DY44" i="19"/>
  <c r="DX44" i="19"/>
  <c r="IF43" i="19"/>
  <c r="IE43" i="19"/>
  <c r="ID43" i="19"/>
  <c r="IC43" i="19"/>
  <c r="IB43" i="19"/>
  <c r="IA43" i="19"/>
  <c r="HZ43" i="19"/>
  <c r="HY43" i="19"/>
  <c r="HX43" i="19"/>
  <c r="HW43" i="19"/>
  <c r="HV43" i="19"/>
  <c r="HU43" i="19"/>
  <c r="HT43" i="19"/>
  <c r="HS43" i="19"/>
  <c r="HR43" i="19"/>
  <c r="HQ43" i="19"/>
  <c r="HP43" i="19"/>
  <c r="HO43" i="19"/>
  <c r="HN43" i="19"/>
  <c r="HM43" i="19"/>
  <c r="HL43" i="19"/>
  <c r="HK43" i="19"/>
  <c r="HJ43" i="19"/>
  <c r="HI43" i="19"/>
  <c r="HH43" i="19"/>
  <c r="HG43" i="19"/>
  <c r="HF43" i="19"/>
  <c r="HE43" i="19"/>
  <c r="HD43" i="19"/>
  <c r="HC43" i="19"/>
  <c r="HB43" i="19"/>
  <c r="HA43" i="19"/>
  <c r="GZ43" i="19"/>
  <c r="GY43" i="19"/>
  <c r="GX43" i="19"/>
  <c r="GW43" i="19"/>
  <c r="GV43" i="19"/>
  <c r="GU43" i="19"/>
  <c r="GT43" i="19"/>
  <c r="GS43" i="19"/>
  <c r="GR43" i="19"/>
  <c r="GQ43" i="19"/>
  <c r="GP43" i="19"/>
  <c r="GO43" i="19"/>
  <c r="GN43" i="19"/>
  <c r="GM43" i="19"/>
  <c r="GL43" i="19"/>
  <c r="GK43" i="19"/>
  <c r="GJ43" i="19"/>
  <c r="GI43" i="19"/>
  <c r="GH43" i="19"/>
  <c r="GG43" i="19"/>
  <c r="GF43" i="19"/>
  <c r="GE43" i="19"/>
  <c r="GD43" i="19"/>
  <c r="GC43" i="19"/>
  <c r="GB43" i="19"/>
  <c r="GA43" i="19"/>
  <c r="FZ43" i="19"/>
  <c r="FY43" i="19"/>
  <c r="FX43" i="19"/>
  <c r="FW43" i="19"/>
  <c r="FV43" i="19"/>
  <c r="FU43" i="19"/>
  <c r="FT43" i="19"/>
  <c r="FS43" i="19"/>
  <c r="FR43" i="19"/>
  <c r="FQ43" i="19"/>
  <c r="FP43" i="19"/>
  <c r="FO43" i="19"/>
  <c r="FN43" i="19"/>
  <c r="FM43" i="19"/>
  <c r="FL43" i="19"/>
  <c r="FK43" i="19"/>
  <c r="FJ43" i="19"/>
  <c r="FI43" i="19"/>
  <c r="FH43" i="19"/>
  <c r="FG43" i="19"/>
  <c r="FF43" i="19"/>
  <c r="FE43" i="19"/>
  <c r="FD43" i="19"/>
  <c r="FC43" i="19"/>
  <c r="FB43" i="19"/>
  <c r="FA43" i="19"/>
  <c r="EZ43" i="19"/>
  <c r="EY43" i="19"/>
  <c r="EX43" i="19"/>
  <c r="EW43" i="19"/>
  <c r="EV43" i="19"/>
  <c r="EU43" i="19"/>
  <c r="ET43" i="19"/>
  <c r="ES43" i="19"/>
  <c r="ER43" i="19"/>
  <c r="EQ43" i="19"/>
  <c r="EP43" i="19"/>
  <c r="EO43" i="19"/>
  <c r="EN43" i="19"/>
  <c r="EM43" i="19"/>
  <c r="EL43" i="19"/>
  <c r="EK43" i="19"/>
  <c r="EJ43" i="19"/>
  <c r="EI43" i="19"/>
  <c r="EH43" i="19"/>
  <c r="EG43" i="19"/>
  <c r="EF43" i="19"/>
  <c r="EE43" i="19"/>
  <c r="ED43" i="19"/>
  <c r="EC43" i="19"/>
  <c r="EB43" i="19"/>
  <c r="EA43" i="19"/>
  <c r="DZ43" i="19"/>
  <c r="DY43" i="19"/>
  <c r="DX43" i="19"/>
  <c r="IF42" i="19"/>
  <c r="IE42" i="19"/>
  <c r="ID42" i="19"/>
  <c r="IC42" i="19"/>
  <c r="IB42" i="19"/>
  <c r="IA42" i="19"/>
  <c r="HZ42" i="19"/>
  <c r="HY42" i="19"/>
  <c r="HX42" i="19"/>
  <c r="HW42" i="19"/>
  <c r="HV42" i="19"/>
  <c r="HU42" i="19"/>
  <c r="HT42" i="19"/>
  <c r="HS42" i="19"/>
  <c r="HR42" i="19"/>
  <c r="HQ42" i="19"/>
  <c r="HP42" i="19"/>
  <c r="HO42" i="19"/>
  <c r="HN42" i="19"/>
  <c r="HM42" i="19"/>
  <c r="HL42" i="19"/>
  <c r="HK42" i="19"/>
  <c r="HJ42" i="19"/>
  <c r="HI42" i="19"/>
  <c r="HH42" i="19"/>
  <c r="HG42" i="19"/>
  <c r="HF42" i="19"/>
  <c r="HE42" i="19"/>
  <c r="HD42" i="19"/>
  <c r="HC42" i="19"/>
  <c r="HB42" i="19"/>
  <c r="HA42" i="19"/>
  <c r="GZ42" i="19"/>
  <c r="GY42" i="19"/>
  <c r="GX42" i="19"/>
  <c r="GW42" i="19"/>
  <c r="GV42" i="19"/>
  <c r="GU42" i="19"/>
  <c r="GT42" i="19"/>
  <c r="GS42" i="19"/>
  <c r="GR42" i="19"/>
  <c r="GQ42" i="19"/>
  <c r="GP42" i="19"/>
  <c r="GO42" i="19"/>
  <c r="GN42" i="19"/>
  <c r="GM42" i="19"/>
  <c r="GL42" i="19"/>
  <c r="GK42" i="19"/>
  <c r="GJ42" i="19"/>
  <c r="GI42" i="19"/>
  <c r="GH42" i="19"/>
  <c r="GG42" i="19"/>
  <c r="GF42" i="19"/>
  <c r="GE42" i="19"/>
  <c r="GD42" i="19"/>
  <c r="GC42" i="19"/>
  <c r="GB42" i="19"/>
  <c r="GA42" i="19"/>
  <c r="FZ42" i="19"/>
  <c r="FY42" i="19"/>
  <c r="FX42" i="19"/>
  <c r="FW42" i="19"/>
  <c r="FV42" i="19"/>
  <c r="FU42" i="19"/>
  <c r="FT42" i="19"/>
  <c r="FS42" i="19"/>
  <c r="FR42" i="19"/>
  <c r="FQ42" i="19"/>
  <c r="FP42" i="19"/>
  <c r="FO42" i="19"/>
  <c r="FN42" i="19"/>
  <c r="FM42" i="19"/>
  <c r="FL42" i="19"/>
  <c r="FK42" i="19"/>
  <c r="FJ42" i="19"/>
  <c r="FI42" i="19"/>
  <c r="FH42" i="19"/>
  <c r="FG42" i="19"/>
  <c r="FF42" i="19"/>
  <c r="FE42" i="19"/>
  <c r="FD42" i="19"/>
  <c r="FC42" i="19"/>
  <c r="FB42" i="19"/>
  <c r="FA42" i="19"/>
  <c r="EZ42" i="19"/>
  <c r="EY42" i="19"/>
  <c r="EX42" i="19"/>
  <c r="EW42" i="19"/>
  <c r="EV42" i="19"/>
  <c r="EU42" i="19"/>
  <c r="ET42" i="19"/>
  <c r="ES42" i="19"/>
  <c r="ER42" i="19"/>
  <c r="EQ42" i="19"/>
  <c r="EP42" i="19"/>
  <c r="EO42" i="19"/>
  <c r="EN42" i="19"/>
  <c r="EM42" i="19"/>
  <c r="EL42" i="19"/>
  <c r="EK42" i="19"/>
  <c r="EJ42" i="19"/>
  <c r="EI42" i="19"/>
  <c r="EH42" i="19"/>
  <c r="EG42" i="19"/>
  <c r="EF42" i="19"/>
  <c r="EE42" i="19"/>
  <c r="ED42" i="19"/>
  <c r="EC42" i="19"/>
  <c r="EB42" i="19"/>
  <c r="EA42" i="19"/>
  <c r="DZ42" i="19"/>
  <c r="DY42" i="19"/>
  <c r="DX42" i="19"/>
  <c r="IF41" i="19"/>
  <c r="IE41" i="19"/>
  <c r="ID41" i="19"/>
  <c r="IC41" i="19"/>
  <c r="IB41" i="19"/>
  <c r="IA41" i="19"/>
  <c r="HZ41" i="19"/>
  <c r="HY41" i="19"/>
  <c r="HX41" i="19"/>
  <c r="HW41" i="19"/>
  <c r="HV41" i="19"/>
  <c r="HU41" i="19"/>
  <c r="HT41" i="19"/>
  <c r="HS41" i="19"/>
  <c r="HR41" i="19"/>
  <c r="HQ41" i="19"/>
  <c r="HP41" i="19"/>
  <c r="HO41" i="19"/>
  <c r="HN41" i="19"/>
  <c r="HM41" i="19"/>
  <c r="HL41" i="19"/>
  <c r="HK41" i="19"/>
  <c r="HJ41" i="19"/>
  <c r="HI41" i="19"/>
  <c r="HH41" i="19"/>
  <c r="HG41" i="19"/>
  <c r="HF41" i="19"/>
  <c r="HE41" i="19"/>
  <c r="HD41" i="19"/>
  <c r="HC41" i="19"/>
  <c r="HB41" i="19"/>
  <c r="HA41" i="19"/>
  <c r="GZ41" i="19"/>
  <c r="GY41" i="19"/>
  <c r="GX41" i="19"/>
  <c r="GW41" i="19"/>
  <c r="GV41" i="19"/>
  <c r="GU41" i="19"/>
  <c r="GT41" i="19"/>
  <c r="GS41" i="19"/>
  <c r="GR41" i="19"/>
  <c r="GQ41" i="19"/>
  <c r="GP41" i="19"/>
  <c r="GO41" i="19"/>
  <c r="GN41" i="19"/>
  <c r="GM41" i="19"/>
  <c r="GL41" i="19"/>
  <c r="GK41" i="19"/>
  <c r="GJ41" i="19"/>
  <c r="GI41" i="19"/>
  <c r="GH41" i="19"/>
  <c r="GG41" i="19"/>
  <c r="GF41" i="19"/>
  <c r="GE41" i="19"/>
  <c r="GD41" i="19"/>
  <c r="GC41" i="19"/>
  <c r="GB41" i="19"/>
  <c r="GA41" i="19"/>
  <c r="FZ41" i="19"/>
  <c r="FY41" i="19"/>
  <c r="FX41" i="19"/>
  <c r="FW41" i="19"/>
  <c r="FV41" i="19"/>
  <c r="FU41" i="19"/>
  <c r="FT41" i="19"/>
  <c r="FS41" i="19"/>
  <c r="FR41" i="19"/>
  <c r="FQ41" i="19"/>
  <c r="FP41" i="19"/>
  <c r="FO41" i="19"/>
  <c r="FN41" i="19"/>
  <c r="FM41" i="19"/>
  <c r="FL41" i="19"/>
  <c r="FK41" i="19"/>
  <c r="FJ41" i="19"/>
  <c r="FI41" i="19"/>
  <c r="FH41" i="19"/>
  <c r="FG41" i="19"/>
  <c r="FF41" i="19"/>
  <c r="FE41" i="19"/>
  <c r="FD41" i="19"/>
  <c r="FC41" i="19"/>
  <c r="FB41" i="19"/>
  <c r="FA41" i="19"/>
  <c r="EZ41" i="19"/>
  <c r="EY41" i="19"/>
  <c r="EX41" i="19"/>
  <c r="EW41" i="19"/>
  <c r="EV41" i="19"/>
  <c r="EU41" i="19"/>
  <c r="ET41" i="19"/>
  <c r="ES41" i="19"/>
  <c r="ER41" i="19"/>
  <c r="EQ41" i="19"/>
  <c r="EP41" i="19"/>
  <c r="EO41" i="19"/>
  <c r="EN41" i="19"/>
  <c r="EM41" i="19"/>
  <c r="EL41" i="19"/>
  <c r="EK41" i="19"/>
  <c r="EJ41" i="19"/>
  <c r="EI41" i="19"/>
  <c r="EH41" i="19"/>
  <c r="EG41" i="19"/>
  <c r="EF41" i="19"/>
  <c r="EE41" i="19"/>
  <c r="ED41" i="19"/>
  <c r="EC41" i="19"/>
  <c r="EB41" i="19"/>
  <c r="EA41" i="19"/>
  <c r="DZ41" i="19"/>
  <c r="DY41" i="19"/>
  <c r="DX41" i="19"/>
  <c r="IF40" i="19"/>
  <c r="IE40" i="19"/>
  <c r="ID40" i="19"/>
  <c r="IC40" i="19"/>
  <c r="IB40" i="19"/>
  <c r="IA40" i="19"/>
  <c r="HZ40" i="19"/>
  <c r="HY40" i="19"/>
  <c r="HX40" i="19"/>
  <c r="HW40" i="19"/>
  <c r="HV40" i="19"/>
  <c r="HU40" i="19"/>
  <c r="HT40" i="19"/>
  <c r="HS40" i="19"/>
  <c r="HR40" i="19"/>
  <c r="HQ40" i="19"/>
  <c r="HP40" i="19"/>
  <c r="HO40" i="19"/>
  <c r="HN40" i="19"/>
  <c r="HM40" i="19"/>
  <c r="HL40" i="19"/>
  <c r="HK40" i="19"/>
  <c r="HJ40" i="19"/>
  <c r="HI40" i="19"/>
  <c r="HH40" i="19"/>
  <c r="HG40" i="19"/>
  <c r="HF40" i="19"/>
  <c r="HE40" i="19"/>
  <c r="HD40" i="19"/>
  <c r="HC40" i="19"/>
  <c r="HB40" i="19"/>
  <c r="HA40" i="19"/>
  <c r="GZ40" i="19"/>
  <c r="GY40" i="19"/>
  <c r="GX40" i="19"/>
  <c r="GW40" i="19"/>
  <c r="GV40" i="19"/>
  <c r="GU40" i="19"/>
  <c r="GT40" i="19"/>
  <c r="GS40" i="19"/>
  <c r="GR40" i="19"/>
  <c r="GQ40" i="19"/>
  <c r="GP40" i="19"/>
  <c r="GO40" i="19"/>
  <c r="GN40" i="19"/>
  <c r="GM40" i="19"/>
  <c r="GL40" i="19"/>
  <c r="GK40" i="19"/>
  <c r="GJ40" i="19"/>
  <c r="GI40" i="19"/>
  <c r="GH40" i="19"/>
  <c r="GG40" i="19"/>
  <c r="GF40" i="19"/>
  <c r="GE40" i="19"/>
  <c r="GD40" i="19"/>
  <c r="GC40" i="19"/>
  <c r="GB40" i="19"/>
  <c r="GA40" i="19"/>
  <c r="FZ40" i="19"/>
  <c r="FY40" i="19"/>
  <c r="FX40" i="19"/>
  <c r="FW40" i="19"/>
  <c r="FV40" i="19"/>
  <c r="FU40" i="19"/>
  <c r="FT40" i="19"/>
  <c r="FS40" i="19"/>
  <c r="FR40" i="19"/>
  <c r="FQ40" i="19"/>
  <c r="FP40" i="19"/>
  <c r="FO40" i="19"/>
  <c r="FN40" i="19"/>
  <c r="FM40" i="19"/>
  <c r="FL40" i="19"/>
  <c r="FK40" i="19"/>
  <c r="FJ40" i="19"/>
  <c r="FI40" i="19"/>
  <c r="FH40" i="19"/>
  <c r="FG40" i="19"/>
  <c r="FF40" i="19"/>
  <c r="FE40" i="19"/>
  <c r="FD40" i="19"/>
  <c r="FC40" i="19"/>
  <c r="FB40" i="19"/>
  <c r="FA40" i="19"/>
  <c r="EZ40" i="19"/>
  <c r="EY40" i="19"/>
  <c r="EX40" i="19"/>
  <c r="EW40" i="19"/>
  <c r="EV40" i="19"/>
  <c r="EU40" i="19"/>
  <c r="ET40" i="19"/>
  <c r="ES40" i="19"/>
  <c r="ER40" i="19"/>
  <c r="EQ40" i="19"/>
  <c r="EP40" i="19"/>
  <c r="EO40" i="19"/>
  <c r="EN40" i="19"/>
  <c r="EM40" i="19"/>
  <c r="EL40" i="19"/>
  <c r="EK40" i="19"/>
  <c r="EJ40" i="19"/>
  <c r="EI40" i="19"/>
  <c r="EH40" i="19"/>
  <c r="EG40" i="19"/>
  <c r="EF40" i="19"/>
  <c r="EE40" i="19"/>
  <c r="ED40" i="19"/>
  <c r="EC40" i="19"/>
  <c r="EB40" i="19"/>
  <c r="EA40" i="19"/>
  <c r="DZ40" i="19"/>
  <c r="DY40" i="19"/>
  <c r="DX40" i="19"/>
  <c r="IY52" i="8"/>
  <c r="IS52" i="8"/>
  <c r="IM52" i="8"/>
  <c r="IG52" i="8"/>
  <c r="IY51" i="8"/>
  <c r="IS51" i="8"/>
  <c r="IM51" i="8"/>
  <c r="IG51" i="8"/>
  <c r="IY50" i="8"/>
  <c r="IS50" i="8"/>
  <c r="IM50" i="8"/>
  <c r="IG50" i="8"/>
  <c r="IY49" i="8"/>
  <c r="IS49" i="8"/>
  <c r="IM49" i="8"/>
  <c r="IG49" i="8"/>
  <c r="IY48" i="8"/>
  <c r="IS48" i="8"/>
  <c r="IM48" i="8"/>
  <c r="IG48" i="8"/>
  <c r="IY47" i="8"/>
  <c r="IS47" i="8"/>
  <c r="IM47" i="8"/>
  <c r="IG47" i="8"/>
  <c r="IY46" i="8"/>
  <c r="IS46" i="8"/>
  <c r="IM46" i="8"/>
  <c r="IG46" i="8"/>
  <c r="IY45" i="8"/>
  <c r="IS45" i="8"/>
  <c r="IM45" i="8"/>
  <c r="IG45" i="8"/>
  <c r="EJ76" i="8" l="1"/>
  <c r="EJ75" i="8"/>
  <c r="EJ74" i="8"/>
  <c r="EJ73" i="8"/>
  <c r="EJ85" i="8"/>
  <c r="EJ84" i="8"/>
  <c r="EJ71" i="8"/>
  <c r="EJ70" i="8"/>
  <c r="EJ83" i="8"/>
  <c r="EJ82" i="8"/>
  <c r="EJ69" i="8"/>
  <c r="EJ68" i="8"/>
  <c r="EJ67" i="8"/>
  <c r="EJ81" i="8"/>
  <c r="EJ80" i="8"/>
  <c r="EJ63" i="8"/>
  <c r="EJ66" i="8"/>
  <c r="EJ65" i="8"/>
  <c r="EJ64" i="8"/>
  <c r="EJ79" i="8"/>
  <c r="EJ78" i="8"/>
  <c r="EJ62" i="8"/>
  <c r="EJ60" i="8"/>
  <c r="EJ59" i="8"/>
  <c r="EJ58" i="8"/>
  <c r="EJ57" i="8"/>
  <c r="EJ56" i="8"/>
  <c r="EJ55" i="8"/>
  <c r="EJ54" i="8"/>
  <c r="EJ53" i="8"/>
  <c r="EJ44" i="8"/>
  <c r="EJ43" i="8"/>
  <c r="EJ42" i="8"/>
  <c r="EJ41" i="8"/>
  <c r="EJ40" i="8"/>
  <c r="EJ39" i="8"/>
  <c r="EJ38" i="8"/>
  <c r="EJ37" i="8"/>
  <c r="EJ36" i="8"/>
  <c r="EJ35" i="8"/>
  <c r="EJ25" i="8"/>
  <c r="EJ24" i="8"/>
  <c r="EJ23" i="8"/>
  <c r="EJ22" i="8"/>
  <c r="EJ21" i="8"/>
  <c r="EJ20" i="8"/>
  <c r="EJ19" i="8"/>
  <c r="EJ10" i="8"/>
  <c r="EJ9" i="8"/>
  <c r="EJ8" i="8"/>
  <c r="HT137" i="19" l="1"/>
  <c r="HT136" i="19"/>
  <c r="HT135" i="19"/>
  <c r="HT134" i="19"/>
  <c r="HT133" i="19"/>
  <c r="HT132" i="19"/>
  <c r="HT131" i="19"/>
  <c r="HT130" i="19"/>
  <c r="HT129" i="19"/>
  <c r="HT128" i="19"/>
  <c r="HT127" i="19"/>
  <c r="HT126" i="19"/>
  <c r="HT125" i="19"/>
  <c r="HT124" i="19"/>
  <c r="HT123" i="19"/>
  <c r="HT122" i="19"/>
  <c r="HT121" i="19"/>
  <c r="HT120" i="19"/>
  <c r="HT119" i="19"/>
  <c r="HT118" i="19"/>
  <c r="HT117" i="19"/>
  <c r="HT116" i="19"/>
  <c r="HT73" i="19"/>
  <c r="HT72" i="19"/>
  <c r="HT71" i="19"/>
  <c r="HT70" i="19"/>
  <c r="HT69" i="19"/>
  <c r="HT68" i="19"/>
  <c r="HT67" i="19"/>
  <c r="HT66" i="19"/>
  <c r="HT65" i="19"/>
  <c r="HT64" i="19"/>
  <c r="HT63" i="19"/>
  <c r="HT62" i="19"/>
  <c r="HT61" i="19"/>
  <c r="HT60" i="19"/>
  <c r="HT59" i="19"/>
  <c r="HT58" i="19"/>
  <c r="HT57" i="19"/>
  <c r="HT56" i="19"/>
  <c r="HT55" i="19"/>
  <c r="HT39" i="19"/>
  <c r="HT38" i="19"/>
  <c r="HT37" i="19"/>
  <c r="HT36" i="19"/>
  <c r="HT35" i="19"/>
  <c r="HT34" i="19"/>
  <c r="HT33" i="19"/>
  <c r="HT32" i="19"/>
  <c r="HT31" i="19"/>
  <c r="HT30" i="19"/>
  <c r="HT29" i="19"/>
  <c r="HT28" i="19"/>
  <c r="HT27" i="19"/>
  <c r="HT26" i="19"/>
  <c r="HT25" i="19"/>
  <c r="HT24" i="19"/>
  <c r="HT9" i="19"/>
  <c r="HT8" i="19"/>
  <c r="HT7" i="19"/>
  <c r="HT6" i="19"/>
  <c r="HT5" i="19"/>
  <c r="HS137" i="19"/>
  <c r="HR137" i="19"/>
  <c r="HQ137" i="19"/>
  <c r="HP137" i="19"/>
  <c r="HO137" i="19"/>
  <c r="HN137" i="19"/>
  <c r="HM137" i="19"/>
  <c r="HL137" i="19"/>
  <c r="HK137" i="19"/>
  <c r="HJ137" i="19"/>
  <c r="HI137" i="19"/>
  <c r="HH137" i="19"/>
  <c r="HG137" i="19"/>
  <c r="HF137" i="19"/>
  <c r="HE137" i="19"/>
  <c r="HD137" i="19"/>
  <c r="HC137" i="19"/>
  <c r="HB137" i="19"/>
  <c r="HA137" i="19"/>
  <c r="GZ137" i="19"/>
  <c r="GY137" i="19"/>
  <c r="GX137" i="19"/>
  <c r="GW137" i="19"/>
  <c r="GV137" i="19"/>
  <c r="GU137" i="19"/>
  <c r="GT137" i="19"/>
  <c r="GS137" i="19"/>
  <c r="GR137" i="19"/>
  <c r="GQ137" i="19"/>
  <c r="GP137" i="19"/>
  <c r="GO137" i="19"/>
  <c r="GN137" i="19"/>
  <c r="GM137" i="19"/>
  <c r="GL137" i="19"/>
  <c r="GK137" i="19"/>
  <c r="GJ137" i="19"/>
  <c r="GI137" i="19"/>
  <c r="GH137" i="19"/>
  <c r="GG137" i="19"/>
  <c r="GF137" i="19"/>
  <c r="GE137" i="19"/>
  <c r="GD137" i="19"/>
  <c r="GC137" i="19"/>
  <c r="GB137" i="19"/>
  <c r="HS136" i="19"/>
  <c r="HR136" i="19"/>
  <c r="HQ136" i="19"/>
  <c r="HP136" i="19"/>
  <c r="HO136" i="19"/>
  <c r="HN136" i="19"/>
  <c r="HM136" i="19"/>
  <c r="HL136" i="19"/>
  <c r="HK136" i="19"/>
  <c r="HJ136" i="19"/>
  <c r="HI136" i="19"/>
  <c r="HH136" i="19"/>
  <c r="HG136" i="19"/>
  <c r="HF136" i="19"/>
  <c r="HE136" i="19"/>
  <c r="HD136" i="19"/>
  <c r="HC136" i="19"/>
  <c r="HB136" i="19"/>
  <c r="HA136" i="19"/>
  <c r="GZ136" i="19"/>
  <c r="GY136" i="19"/>
  <c r="GX136" i="19"/>
  <c r="GW136" i="19"/>
  <c r="GV136" i="19"/>
  <c r="GU136" i="19"/>
  <c r="GT136" i="19"/>
  <c r="GS136" i="19"/>
  <c r="GR136" i="19"/>
  <c r="GQ136" i="19"/>
  <c r="GP136" i="19"/>
  <c r="GO136" i="19"/>
  <c r="GN136" i="19"/>
  <c r="GM136" i="19"/>
  <c r="GL136" i="19"/>
  <c r="GK136" i="19"/>
  <c r="GJ136" i="19"/>
  <c r="GI136" i="19"/>
  <c r="GH136" i="19"/>
  <c r="GG136" i="19"/>
  <c r="GF136" i="19"/>
  <c r="GE136" i="19"/>
  <c r="GD136" i="19"/>
  <c r="GC136" i="19"/>
  <c r="GB136" i="19"/>
  <c r="HS135" i="19"/>
  <c r="HR135" i="19"/>
  <c r="HQ135" i="19"/>
  <c r="HP135" i="19"/>
  <c r="HO135" i="19"/>
  <c r="HN135" i="19"/>
  <c r="HM135" i="19"/>
  <c r="HL135" i="19"/>
  <c r="HK135" i="19"/>
  <c r="HJ135" i="19"/>
  <c r="HI135" i="19"/>
  <c r="HH135" i="19"/>
  <c r="HG135" i="19"/>
  <c r="HF135" i="19"/>
  <c r="HE135" i="19"/>
  <c r="HD135" i="19"/>
  <c r="HC135" i="19"/>
  <c r="HB135" i="19"/>
  <c r="HA135" i="19"/>
  <c r="GZ135" i="19"/>
  <c r="GY135" i="19"/>
  <c r="GX135" i="19"/>
  <c r="GW135" i="19"/>
  <c r="GV135" i="19"/>
  <c r="GU135" i="19"/>
  <c r="GT135" i="19"/>
  <c r="GS135" i="19"/>
  <c r="GR135" i="19"/>
  <c r="GQ135" i="19"/>
  <c r="GP135" i="19"/>
  <c r="GO135" i="19"/>
  <c r="GN135" i="19"/>
  <c r="GM135" i="19"/>
  <c r="GL135" i="19"/>
  <c r="GK135" i="19"/>
  <c r="GJ135" i="19"/>
  <c r="GI135" i="19"/>
  <c r="GH135" i="19"/>
  <c r="GG135" i="19"/>
  <c r="GF135" i="19"/>
  <c r="GE135" i="19"/>
  <c r="GD135" i="19"/>
  <c r="GC135" i="19"/>
  <c r="GB135" i="19"/>
  <c r="HS134" i="19"/>
  <c r="HR134" i="19"/>
  <c r="HQ134" i="19"/>
  <c r="HP134" i="19"/>
  <c r="HO134" i="19"/>
  <c r="HN134" i="19"/>
  <c r="HM134" i="19"/>
  <c r="HL134" i="19"/>
  <c r="HK134" i="19"/>
  <c r="HJ134" i="19"/>
  <c r="HI134" i="19"/>
  <c r="HH134" i="19"/>
  <c r="HG134" i="19"/>
  <c r="HF134" i="19"/>
  <c r="HE134" i="19"/>
  <c r="HD134" i="19"/>
  <c r="HC134" i="19"/>
  <c r="HB134" i="19"/>
  <c r="HA134" i="19"/>
  <c r="GZ134" i="19"/>
  <c r="GY134" i="19"/>
  <c r="GX134" i="19"/>
  <c r="GW134" i="19"/>
  <c r="GV134" i="19"/>
  <c r="GU134" i="19"/>
  <c r="GT134" i="19"/>
  <c r="GS134" i="19"/>
  <c r="GR134" i="19"/>
  <c r="GQ134" i="19"/>
  <c r="GP134" i="19"/>
  <c r="GO134" i="19"/>
  <c r="GN134" i="19"/>
  <c r="GM134" i="19"/>
  <c r="GL134" i="19"/>
  <c r="GK134" i="19"/>
  <c r="GJ134" i="19"/>
  <c r="GI134" i="19"/>
  <c r="GH134" i="19"/>
  <c r="GG134" i="19"/>
  <c r="GF134" i="19"/>
  <c r="GE134" i="19"/>
  <c r="GD134" i="19"/>
  <c r="GC134" i="19"/>
  <c r="GB134" i="19"/>
  <c r="HS133" i="19"/>
  <c r="HR133" i="19"/>
  <c r="HQ133" i="19"/>
  <c r="HP133" i="19"/>
  <c r="HO133" i="19"/>
  <c r="HN133" i="19"/>
  <c r="HM133" i="19"/>
  <c r="HL133" i="19"/>
  <c r="HK133" i="19"/>
  <c r="HJ133" i="19"/>
  <c r="HI133" i="19"/>
  <c r="HH133" i="19"/>
  <c r="HG133" i="19"/>
  <c r="HF133" i="19"/>
  <c r="HE133" i="19"/>
  <c r="HD133" i="19"/>
  <c r="HC133" i="19"/>
  <c r="HB133" i="19"/>
  <c r="HA133" i="19"/>
  <c r="GZ133" i="19"/>
  <c r="GY133" i="19"/>
  <c r="GX133" i="19"/>
  <c r="GW133" i="19"/>
  <c r="GV133" i="19"/>
  <c r="GU133" i="19"/>
  <c r="GT133" i="19"/>
  <c r="GS133" i="19"/>
  <c r="GR133" i="19"/>
  <c r="GQ133" i="19"/>
  <c r="GP133" i="19"/>
  <c r="GO133" i="19"/>
  <c r="GN133" i="19"/>
  <c r="GM133" i="19"/>
  <c r="GL133" i="19"/>
  <c r="GK133" i="19"/>
  <c r="GJ133" i="19"/>
  <c r="GI133" i="19"/>
  <c r="GH133" i="19"/>
  <c r="GG133" i="19"/>
  <c r="GF133" i="19"/>
  <c r="GE133" i="19"/>
  <c r="GD133" i="19"/>
  <c r="GC133" i="19"/>
  <c r="GB133" i="19"/>
  <c r="HS132" i="19"/>
  <c r="HR132" i="19"/>
  <c r="HQ132" i="19"/>
  <c r="HP132" i="19"/>
  <c r="HO132" i="19"/>
  <c r="HN132" i="19"/>
  <c r="HM132" i="19"/>
  <c r="HL132" i="19"/>
  <c r="HK132" i="19"/>
  <c r="HJ132" i="19"/>
  <c r="HI132" i="19"/>
  <c r="HH132" i="19"/>
  <c r="HG132" i="19"/>
  <c r="HF132" i="19"/>
  <c r="HE132" i="19"/>
  <c r="HD132" i="19"/>
  <c r="HC132" i="19"/>
  <c r="HB132" i="19"/>
  <c r="HA132" i="19"/>
  <c r="GZ132" i="19"/>
  <c r="GY132" i="19"/>
  <c r="GX132" i="19"/>
  <c r="GW132" i="19"/>
  <c r="GV132" i="19"/>
  <c r="GU132" i="19"/>
  <c r="GT132" i="19"/>
  <c r="GS132" i="19"/>
  <c r="GR132" i="19"/>
  <c r="GQ132" i="19"/>
  <c r="GP132" i="19"/>
  <c r="GO132" i="19"/>
  <c r="GN132" i="19"/>
  <c r="GM132" i="19"/>
  <c r="GL132" i="19"/>
  <c r="GK132" i="19"/>
  <c r="GJ132" i="19"/>
  <c r="GI132" i="19"/>
  <c r="GH132" i="19"/>
  <c r="GG132" i="19"/>
  <c r="GF132" i="19"/>
  <c r="GE132" i="19"/>
  <c r="GD132" i="19"/>
  <c r="GC132" i="19"/>
  <c r="GB132" i="19"/>
  <c r="HS131" i="19"/>
  <c r="HR131" i="19"/>
  <c r="HQ131" i="19"/>
  <c r="HP131" i="19"/>
  <c r="HO131" i="19"/>
  <c r="HN131" i="19"/>
  <c r="HM131" i="19"/>
  <c r="HL131" i="19"/>
  <c r="HK131" i="19"/>
  <c r="HJ131" i="19"/>
  <c r="HI131" i="19"/>
  <c r="HH131" i="19"/>
  <c r="HG131" i="19"/>
  <c r="HF131" i="19"/>
  <c r="HE131" i="19"/>
  <c r="HD131" i="19"/>
  <c r="HC131" i="19"/>
  <c r="HB131" i="19"/>
  <c r="HA131" i="19"/>
  <c r="GZ131" i="19"/>
  <c r="GY131" i="19"/>
  <c r="GX131" i="19"/>
  <c r="GW131" i="19"/>
  <c r="GV131" i="19"/>
  <c r="GU131" i="19"/>
  <c r="GT131" i="19"/>
  <c r="GS131" i="19"/>
  <c r="GR131" i="19"/>
  <c r="GQ131" i="19"/>
  <c r="GP131" i="19"/>
  <c r="GO131" i="19"/>
  <c r="GN131" i="19"/>
  <c r="GM131" i="19"/>
  <c r="GL131" i="19"/>
  <c r="GK131" i="19"/>
  <c r="GJ131" i="19"/>
  <c r="GI131" i="19"/>
  <c r="GH131" i="19"/>
  <c r="GG131" i="19"/>
  <c r="GF131" i="19"/>
  <c r="GE131" i="19"/>
  <c r="GD131" i="19"/>
  <c r="GC131" i="19"/>
  <c r="GB131" i="19"/>
  <c r="HS130" i="19"/>
  <c r="HR130" i="19"/>
  <c r="HQ130" i="19"/>
  <c r="HP130" i="19"/>
  <c r="HO130" i="19"/>
  <c r="HN130" i="19"/>
  <c r="HM130" i="19"/>
  <c r="HL130" i="19"/>
  <c r="HK130" i="19"/>
  <c r="HJ130" i="19"/>
  <c r="HI130" i="19"/>
  <c r="HH130" i="19"/>
  <c r="HG130" i="19"/>
  <c r="HF130" i="19"/>
  <c r="HE130" i="19"/>
  <c r="HD130" i="19"/>
  <c r="HC130" i="19"/>
  <c r="HB130" i="19"/>
  <c r="HA130" i="19"/>
  <c r="GZ130" i="19"/>
  <c r="GY130" i="19"/>
  <c r="GX130" i="19"/>
  <c r="GW130" i="19"/>
  <c r="GV130" i="19"/>
  <c r="GU130" i="19"/>
  <c r="GT130" i="19"/>
  <c r="GS130" i="19"/>
  <c r="GR130" i="19"/>
  <c r="GQ130" i="19"/>
  <c r="GP130" i="19"/>
  <c r="GO130" i="19"/>
  <c r="GN130" i="19"/>
  <c r="GM130" i="19"/>
  <c r="GL130" i="19"/>
  <c r="GK130" i="19"/>
  <c r="GJ130" i="19"/>
  <c r="GI130" i="19"/>
  <c r="GH130" i="19"/>
  <c r="GG130" i="19"/>
  <c r="GF130" i="19"/>
  <c r="GE130" i="19"/>
  <c r="GD130" i="19"/>
  <c r="GC130" i="19"/>
  <c r="GB130" i="19"/>
  <c r="HS129" i="19"/>
  <c r="HR129" i="19"/>
  <c r="HQ129" i="19"/>
  <c r="HP129" i="19"/>
  <c r="HO129" i="19"/>
  <c r="HN129" i="19"/>
  <c r="HM129" i="19"/>
  <c r="HL129" i="19"/>
  <c r="HK129" i="19"/>
  <c r="HJ129" i="19"/>
  <c r="HI129" i="19"/>
  <c r="HH129" i="19"/>
  <c r="HG129" i="19"/>
  <c r="HF129" i="19"/>
  <c r="HE129" i="19"/>
  <c r="HD129" i="19"/>
  <c r="HC129" i="19"/>
  <c r="HB129" i="19"/>
  <c r="HA129" i="19"/>
  <c r="GZ129" i="19"/>
  <c r="GY129" i="19"/>
  <c r="GX129" i="19"/>
  <c r="GW129" i="19"/>
  <c r="GV129" i="19"/>
  <c r="GU129" i="19"/>
  <c r="GT129" i="19"/>
  <c r="GS129" i="19"/>
  <c r="GR129" i="19"/>
  <c r="GQ129" i="19"/>
  <c r="GP129" i="19"/>
  <c r="GO129" i="19"/>
  <c r="GN129" i="19"/>
  <c r="GM129" i="19"/>
  <c r="GL129" i="19"/>
  <c r="GK129" i="19"/>
  <c r="GJ129" i="19"/>
  <c r="GI129" i="19"/>
  <c r="GH129" i="19"/>
  <c r="GG129" i="19"/>
  <c r="GF129" i="19"/>
  <c r="GE129" i="19"/>
  <c r="GD129" i="19"/>
  <c r="GC129" i="19"/>
  <c r="GB129" i="19"/>
  <c r="HS128" i="19"/>
  <c r="HR128" i="19"/>
  <c r="HQ128" i="19"/>
  <c r="HP128" i="19"/>
  <c r="HO128" i="19"/>
  <c r="HN128" i="19"/>
  <c r="HM128" i="19"/>
  <c r="HL128" i="19"/>
  <c r="HK128" i="19"/>
  <c r="HJ128" i="19"/>
  <c r="HI128" i="19"/>
  <c r="HH128" i="19"/>
  <c r="HG128" i="19"/>
  <c r="HF128" i="19"/>
  <c r="HE128" i="19"/>
  <c r="HD128" i="19"/>
  <c r="HC128" i="19"/>
  <c r="HB128" i="19"/>
  <c r="HA128" i="19"/>
  <c r="GZ128" i="19"/>
  <c r="GY128" i="19"/>
  <c r="GX128" i="19"/>
  <c r="GW128" i="19"/>
  <c r="GV128" i="19"/>
  <c r="GU128" i="19"/>
  <c r="GT128" i="19"/>
  <c r="GS128" i="19"/>
  <c r="GR128" i="19"/>
  <c r="GQ128" i="19"/>
  <c r="GP128" i="19"/>
  <c r="GO128" i="19"/>
  <c r="GN128" i="19"/>
  <c r="GM128" i="19"/>
  <c r="GL128" i="19"/>
  <c r="GK128" i="19"/>
  <c r="GJ128" i="19"/>
  <c r="GI128" i="19"/>
  <c r="GH128" i="19"/>
  <c r="GG128" i="19"/>
  <c r="GF128" i="19"/>
  <c r="GE128" i="19"/>
  <c r="GD128" i="19"/>
  <c r="GC128" i="19"/>
  <c r="GB128" i="19"/>
  <c r="HS127" i="19"/>
  <c r="HR127" i="19"/>
  <c r="HQ127" i="19"/>
  <c r="HP127" i="19"/>
  <c r="HO127" i="19"/>
  <c r="HN127" i="19"/>
  <c r="HM127" i="19"/>
  <c r="HL127" i="19"/>
  <c r="HK127" i="19"/>
  <c r="HJ127" i="19"/>
  <c r="HI127" i="19"/>
  <c r="HH127" i="19"/>
  <c r="HG127" i="19"/>
  <c r="HF127" i="19"/>
  <c r="HE127" i="19"/>
  <c r="HD127" i="19"/>
  <c r="HC127" i="19"/>
  <c r="HB127" i="19"/>
  <c r="HA127" i="19"/>
  <c r="GZ127" i="19"/>
  <c r="GY127" i="19"/>
  <c r="GX127" i="19"/>
  <c r="GW127" i="19"/>
  <c r="GV127" i="19"/>
  <c r="GU127" i="19"/>
  <c r="GT127" i="19"/>
  <c r="GS127" i="19"/>
  <c r="GR127" i="19"/>
  <c r="GQ127" i="19"/>
  <c r="GP127" i="19"/>
  <c r="GO127" i="19"/>
  <c r="GN127" i="19"/>
  <c r="GM127" i="19"/>
  <c r="GL127" i="19"/>
  <c r="GK127" i="19"/>
  <c r="GJ127" i="19"/>
  <c r="GI127" i="19"/>
  <c r="GH127" i="19"/>
  <c r="GG127" i="19"/>
  <c r="GF127" i="19"/>
  <c r="GE127" i="19"/>
  <c r="GD127" i="19"/>
  <c r="GC127" i="19"/>
  <c r="GB127" i="19"/>
  <c r="HS126" i="19"/>
  <c r="HR126" i="19"/>
  <c r="HQ126" i="19"/>
  <c r="HP126" i="19"/>
  <c r="HO126" i="19"/>
  <c r="HN126" i="19"/>
  <c r="HM126" i="19"/>
  <c r="HL126" i="19"/>
  <c r="HK126" i="19"/>
  <c r="HJ126" i="19"/>
  <c r="HI126" i="19"/>
  <c r="HH126" i="19"/>
  <c r="HG126" i="19"/>
  <c r="HF126" i="19"/>
  <c r="HE126" i="19"/>
  <c r="HD126" i="19"/>
  <c r="HC126" i="19"/>
  <c r="HB126" i="19"/>
  <c r="HA126" i="19"/>
  <c r="GZ126" i="19"/>
  <c r="GY126" i="19"/>
  <c r="GX126" i="19"/>
  <c r="GW126" i="19"/>
  <c r="GV126" i="19"/>
  <c r="GU126" i="19"/>
  <c r="GT126" i="19"/>
  <c r="GS126" i="19"/>
  <c r="GR126" i="19"/>
  <c r="GQ126" i="19"/>
  <c r="GP126" i="19"/>
  <c r="GO126" i="19"/>
  <c r="GN126" i="19"/>
  <c r="GM126" i="19"/>
  <c r="GL126" i="19"/>
  <c r="GK126" i="19"/>
  <c r="GJ126" i="19"/>
  <c r="GI126" i="19"/>
  <c r="GH126" i="19"/>
  <c r="GG126" i="19"/>
  <c r="GF126" i="19"/>
  <c r="GE126" i="19"/>
  <c r="GD126" i="19"/>
  <c r="GC126" i="19"/>
  <c r="GB126" i="19"/>
  <c r="HS125" i="19"/>
  <c r="HR125" i="19"/>
  <c r="HQ125" i="19"/>
  <c r="HP125" i="19"/>
  <c r="HO125" i="19"/>
  <c r="HN125" i="19"/>
  <c r="HM125" i="19"/>
  <c r="HL125" i="19"/>
  <c r="HK125" i="19"/>
  <c r="HJ125" i="19"/>
  <c r="HI125" i="19"/>
  <c r="HH125" i="19"/>
  <c r="HG125" i="19"/>
  <c r="HF125" i="19"/>
  <c r="HE125" i="19"/>
  <c r="HD125" i="19"/>
  <c r="HC125" i="19"/>
  <c r="HB125" i="19"/>
  <c r="HA125" i="19"/>
  <c r="GZ125" i="19"/>
  <c r="GY125" i="19"/>
  <c r="GX125" i="19"/>
  <c r="GW125" i="19"/>
  <c r="GV125" i="19"/>
  <c r="GU125" i="19"/>
  <c r="GT125" i="19"/>
  <c r="GS125" i="19"/>
  <c r="GR125" i="19"/>
  <c r="GQ125" i="19"/>
  <c r="GP125" i="19"/>
  <c r="GO125" i="19"/>
  <c r="GN125" i="19"/>
  <c r="GM125" i="19"/>
  <c r="GL125" i="19"/>
  <c r="GK125" i="19"/>
  <c r="GJ125" i="19"/>
  <c r="GI125" i="19"/>
  <c r="GH125" i="19"/>
  <c r="GG125" i="19"/>
  <c r="GF125" i="19"/>
  <c r="GE125" i="19"/>
  <c r="GD125" i="19"/>
  <c r="GC125" i="19"/>
  <c r="GB125" i="19"/>
  <c r="HS124" i="19"/>
  <c r="HR124" i="19"/>
  <c r="HQ124" i="19"/>
  <c r="HP124" i="19"/>
  <c r="HO124" i="19"/>
  <c r="HN124" i="19"/>
  <c r="HM124" i="19"/>
  <c r="HL124" i="19"/>
  <c r="HK124" i="19"/>
  <c r="HJ124" i="19"/>
  <c r="HI124" i="19"/>
  <c r="HH124" i="19"/>
  <c r="HG124" i="19"/>
  <c r="HF124" i="19"/>
  <c r="HE124" i="19"/>
  <c r="HD124" i="19"/>
  <c r="HC124" i="19"/>
  <c r="HB124" i="19"/>
  <c r="HA124" i="19"/>
  <c r="GZ124" i="19"/>
  <c r="GY124" i="19"/>
  <c r="GX124" i="19"/>
  <c r="GW124" i="19"/>
  <c r="GV124" i="19"/>
  <c r="GU124" i="19"/>
  <c r="GT124" i="19"/>
  <c r="GS124" i="19"/>
  <c r="GR124" i="19"/>
  <c r="GQ124" i="19"/>
  <c r="GP124" i="19"/>
  <c r="GO124" i="19"/>
  <c r="GN124" i="19"/>
  <c r="GM124" i="19"/>
  <c r="GL124" i="19"/>
  <c r="GK124" i="19"/>
  <c r="GJ124" i="19"/>
  <c r="GI124" i="19"/>
  <c r="GH124" i="19"/>
  <c r="GG124" i="19"/>
  <c r="GF124" i="19"/>
  <c r="GE124" i="19"/>
  <c r="GD124" i="19"/>
  <c r="GC124" i="19"/>
  <c r="GB124" i="19"/>
  <c r="HS123" i="19"/>
  <c r="HR123" i="19"/>
  <c r="HQ123" i="19"/>
  <c r="HP123" i="19"/>
  <c r="HO123" i="19"/>
  <c r="HN123" i="19"/>
  <c r="HM123" i="19"/>
  <c r="HL123" i="19"/>
  <c r="HK123" i="19"/>
  <c r="HJ123" i="19"/>
  <c r="HI123" i="19"/>
  <c r="HH123" i="19"/>
  <c r="HG123" i="19"/>
  <c r="HF123" i="19"/>
  <c r="HE123" i="19"/>
  <c r="HD123" i="19"/>
  <c r="HC123" i="19"/>
  <c r="HB123" i="19"/>
  <c r="HA123" i="19"/>
  <c r="GZ123" i="19"/>
  <c r="GY123" i="19"/>
  <c r="GX123" i="19"/>
  <c r="GW123" i="19"/>
  <c r="GV123" i="19"/>
  <c r="GU123" i="19"/>
  <c r="GT123" i="19"/>
  <c r="GS123" i="19"/>
  <c r="GR123" i="19"/>
  <c r="GQ123" i="19"/>
  <c r="GP123" i="19"/>
  <c r="GO123" i="19"/>
  <c r="GN123" i="19"/>
  <c r="GM123" i="19"/>
  <c r="GL123" i="19"/>
  <c r="GK123" i="19"/>
  <c r="GJ123" i="19"/>
  <c r="GI123" i="19"/>
  <c r="GH123" i="19"/>
  <c r="GG123" i="19"/>
  <c r="GF123" i="19"/>
  <c r="GE123" i="19"/>
  <c r="GD123" i="19"/>
  <c r="GC123" i="19"/>
  <c r="GB123" i="19"/>
  <c r="HS122" i="19"/>
  <c r="HR122" i="19"/>
  <c r="HQ122" i="19"/>
  <c r="HP122" i="19"/>
  <c r="HO122" i="19"/>
  <c r="HN122" i="19"/>
  <c r="HM122" i="19"/>
  <c r="HL122" i="19"/>
  <c r="HK122" i="19"/>
  <c r="HJ122" i="19"/>
  <c r="HI122" i="19"/>
  <c r="HH122" i="19"/>
  <c r="HG122" i="19"/>
  <c r="HF122" i="19"/>
  <c r="HE122" i="19"/>
  <c r="HD122" i="19"/>
  <c r="HC122" i="19"/>
  <c r="HB122" i="19"/>
  <c r="HA122" i="19"/>
  <c r="GZ122" i="19"/>
  <c r="GY122" i="19"/>
  <c r="GX122" i="19"/>
  <c r="GW122" i="19"/>
  <c r="GV122" i="19"/>
  <c r="GU122" i="19"/>
  <c r="GT122" i="19"/>
  <c r="GS122" i="19"/>
  <c r="GR122" i="19"/>
  <c r="GQ122" i="19"/>
  <c r="GP122" i="19"/>
  <c r="GO122" i="19"/>
  <c r="GN122" i="19"/>
  <c r="GM122" i="19"/>
  <c r="GL122" i="19"/>
  <c r="GK122" i="19"/>
  <c r="GJ122" i="19"/>
  <c r="GI122" i="19"/>
  <c r="GH122" i="19"/>
  <c r="GG122" i="19"/>
  <c r="GF122" i="19"/>
  <c r="GE122" i="19"/>
  <c r="GD122" i="19"/>
  <c r="GC122" i="19"/>
  <c r="GB122" i="19"/>
  <c r="HS121" i="19"/>
  <c r="HR121" i="19"/>
  <c r="HQ121" i="19"/>
  <c r="HP121" i="19"/>
  <c r="HO121" i="19"/>
  <c r="HN121" i="19"/>
  <c r="HM121" i="19"/>
  <c r="HL121" i="19"/>
  <c r="HK121" i="19"/>
  <c r="HJ121" i="19"/>
  <c r="HI121" i="19"/>
  <c r="HH121" i="19"/>
  <c r="HG121" i="19"/>
  <c r="HF121" i="19"/>
  <c r="HE121" i="19"/>
  <c r="HD121" i="19"/>
  <c r="HC121" i="19"/>
  <c r="HB121" i="19"/>
  <c r="HA121" i="19"/>
  <c r="GZ121" i="19"/>
  <c r="GY121" i="19"/>
  <c r="GX121" i="19"/>
  <c r="GW121" i="19"/>
  <c r="GV121" i="19"/>
  <c r="GU121" i="19"/>
  <c r="GT121" i="19"/>
  <c r="GS121" i="19"/>
  <c r="GR121" i="19"/>
  <c r="GQ121" i="19"/>
  <c r="GP121" i="19"/>
  <c r="GO121" i="19"/>
  <c r="GN121" i="19"/>
  <c r="GM121" i="19"/>
  <c r="GL121" i="19"/>
  <c r="GK121" i="19"/>
  <c r="GJ121" i="19"/>
  <c r="GI121" i="19"/>
  <c r="GH121" i="19"/>
  <c r="GG121" i="19"/>
  <c r="GF121" i="19"/>
  <c r="GE121" i="19"/>
  <c r="GD121" i="19"/>
  <c r="GC121" i="19"/>
  <c r="GB121" i="19"/>
  <c r="HS120" i="19"/>
  <c r="HR120" i="19"/>
  <c r="HQ120" i="19"/>
  <c r="HP120" i="19"/>
  <c r="HO120" i="19"/>
  <c r="HN120" i="19"/>
  <c r="HM120" i="19"/>
  <c r="HL120" i="19"/>
  <c r="HK120" i="19"/>
  <c r="HJ120" i="19"/>
  <c r="HI120" i="19"/>
  <c r="HH120" i="19"/>
  <c r="HG120" i="19"/>
  <c r="HF120" i="19"/>
  <c r="HE120" i="19"/>
  <c r="HD120" i="19"/>
  <c r="HC120" i="19"/>
  <c r="HB120" i="19"/>
  <c r="HA120" i="19"/>
  <c r="GZ120" i="19"/>
  <c r="GY120" i="19"/>
  <c r="GX120" i="19"/>
  <c r="GW120" i="19"/>
  <c r="GV120" i="19"/>
  <c r="GU120" i="19"/>
  <c r="GT120" i="19"/>
  <c r="GS120" i="19"/>
  <c r="GR120" i="19"/>
  <c r="GQ120" i="19"/>
  <c r="GP120" i="19"/>
  <c r="GO120" i="19"/>
  <c r="GN120" i="19"/>
  <c r="GM120" i="19"/>
  <c r="GL120" i="19"/>
  <c r="GK120" i="19"/>
  <c r="GJ120" i="19"/>
  <c r="GI120" i="19"/>
  <c r="GH120" i="19"/>
  <c r="GG120" i="19"/>
  <c r="GF120" i="19"/>
  <c r="GE120" i="19"/>
  <c r="GD120" i="19"/>
  <c r="GC120" i="19"/>
  <c r="GB120" i="19"/>
  <c r="HS119" i="19"/>
  <c r="HR119" i="19"/>
  <c r="HQ119" i="19"/>
  <c r="HP119" i="19"/>
  <c r="HO119" i="19"/>
  <c r="HN119" i="19"/>
  <c r="HM119" i="19"/>
  <c r="HL119" i="19"/>
  <c r="HK119" i="19"/>
  <c r="HJ119" i="19"/>
  <c r="HI119" i="19"/>
  <c r="HH119" i="19"/>
  <c r="HG119" i="19"/>
  <c r="HF119" i="19"/>
  <c r="HE119" i="19"/>
  <c r="HD119" i="19"/>
  <c r="HC119" i="19"/>
  <c r="HB119" i="19"/>
  <c r="HA119" i="19"/>
  <c r="GZ119" i="19"/>
  <c r="GY119" i="19"/>
  <c r="GX119" i="19"/>
  <c r="GW119" i="19"/>
  <c r="GV119" i="19"/>
  <c r="GU119" i="19"/>
  <c r="GT119" i="19"/>
  <c r="GS119" i="19"/>
  <c r="GR119" i="19"/>
  <c r="GQ119" i="19"/>
  <c r="GP119" i="19"/>
  <c r="GO119" i="19"/>
  <c r="GN119" i="19"/>
  <c r="GM119" i="19"/>
  <c r="GL119" i="19"/>
  <c r="GK119" i="19"/>
  <c r="GJ119" i="19"/>
  <c r="GI119" i="19"/>
  <c r="GH119" i="19"/>
  <c r="GG119" i="19"/>
  <c r="GF119" i="19"/>
  <c r="GE119" i="19"/>
  <c r="GD119" i="19"/>
  <c r="GC119" i="19"/>
  <c r="GB119" i="19"/>
  <c r="HS118" i="19"/>
  <c r="HR118" i="19"/>
  <c r="HQ118" i="19"/>
  <c r="HP118" i="19"/>
  <c r="HO118" i="19"/>
  <c r="HN118" i="19"/>
  <c r="HM118" i="19"/>
  <c r="HL118" i="19"/>
  <c r="HK118" i="19"/>
  <c r="HJ118" i="19"/>
  <c r="HI118" i="19"/>
  <c r="HH118" i="19"/>
  <c r="HG118" i="19"/>
  <c r="HF118" i="19"/>
  <c r="HE118" i="19"/>
  <c r="HD118" i="19"/>
  <c r="HC118" i="19"/>
  <c r="HB118" i="19"/>
  <c r="HA118" i="19"/>
  <c r="GZ118" i="19"/>
  <c r="GY118" i="19"/>
  <c r="GX118" i="19"/>
  <c r="GW118" i="19"/>
  <c r="GV118" i="19"/>
  <c r="GU118" i="19"/>
  <c r="GT118" i="19"/>
  <c r="GS118" i="19"/>
  <c r="GR118" i="19"/>
  <c r="GQ118" i="19"/>
  <c r="GP118" i="19"/>
  <c r="GO118" i="19"/>
  <c r="GN118" i="19"/>
  <c r="GM118" i="19"/>
  <c r="GL118" i="19"/>
  <c r="GK118" i="19"/>
  <c r="GJ118" i="19"/>
  <c r="GI118" i="19"/>
  <c r="GH118" i="19"/>
  <c r="GG118" i="19"/>
  <c r="GF118" i="19"/>
  <c r="GE118" i="19"/>
  <c r="GD118" i="19"/>
  <c r="GC118" i="19"/>
  <c r="GB118" i="19"/>
  <c r="HS117" i="19"/>
  <c r="HR117" i="19"/>
  <c r="HQ117" i="19"/>
  <c r="HP117" i="19"/>
  <c r="HO117" i="19"/>
  <c r="HN117" i="19"/>
  <c r="HM117" i="19"/>
  <c r="HL117" i="19"/>
  <c r="HK117" i="19"/>
  <c r="HJ117" i="19"/>
  <c r="HI117" i="19"/>
  <c r="HH117" i="19"/>
  <c r="HG117" i="19"/>
  <c r="HF117" i="19"/>
  <c r="HE117" i="19"/>
  <c r="HD117" i="19"/>
  <c r="HC117" i="19"/>
  <c r="HB117" i="19"/>
  <c r="HA117" i="19"/>
  <c r="GZ117" i="19"/>
  <c r="GY117" i="19"/>
  <c r="GX117" i="19"/>
  <c r="GW117" i="19"/>
  <c r="GV117" i="19"/>
  <c r="GU117" i="19"/>
  <c r="GT117" i="19"/>
  <c r="GS117" i="19"/>
  <c r="GR117" i="19"/>
  <c r="GQ117" i="19"/>
  <c r="GP117" i="19"/>
  <c r="GO117" i="19"/>
  <c r="GN117" i="19"/>
  <c r="GM117" i="19"/>
  <c r="GL117" i="19"/>
  <c r="GK117" i="19"/>
  <c r="GJ117" i="19"/>
  <c r="GI117" i="19"/>
  <c r="GH117" i="19"/>
  <c r="GG117" i="19"/>
  <c r="GF117" i="19"/>
  <c r="GE117" i="19"/>
  <c r="GD117" i="19"/>
  <c r="GC117" i="19"/>
  <c r="GB117" i="19"/>
  <c r="HS116" i="19"/>
  <c r="HR116" i="19"/>
  <c r="HQ116" i="19"/>
  <c r="HP116" i="19"/>
  <c r="HO116" i="19"/>
  <c r="HN116" i="19"/>
  <c r="HM116" i="19"/>
  <c r="HL116" i="19"/>
  <c r="HK116" i="19"/>
  <c r="HJ116" i="19"/>
  <c r="HI116" i="19"/>
  <c r="HH116" i="19"/>
  <c r="HG116" i="19"/>
  <c r="HF116" i="19"/>
  <c r="HE116" i="19"/>
  <c r="HD116" i="19"/>
  <c r="HC116" i="19"/>
  <c r="HB116" i="19"/>
  <c r="HA116" i="19"/>
  <c r="GZ116" i="19"/>
  <c r="GY116" i="19"/>
  <c r="GX116" i="19"/>
  <c r="GW116" i="19"/>
  <c r="GV116" i="19"/>
  <c r="GU116" i="19"/>
  <c r="GT116" i="19"/>
  <c r="GS116" i="19"/>
  <c r="GR116" i="19"/>
  <c r="GQ116" i="19"/>
  <c r="GP116" i="19"/>
  <c r="GO116" i="19"/>
  <c r="GN116" i="19"/>
  <c r="GM116" i="19"/>
  <c r="GL116" i="19"/>
  <c r="GK116" i="19"/>
  <c r="GJ116" i="19"/>
  <c r="GI116" i="19"/>
  <c r="GH116" i="19"/>
  <c r="GG116" i="19"/>
  <c r="GF116" i="19"/>
  <c r="GE116" i="19"/>
  <c r="GD116" i="19"/>
  <c r="GC116" i="19"/>
  <c r="GB116" i="19"/>
  <c r="HS73" i="19"/>
  <c r="HR73" i="19"/>
  <c r="HQ73" i="19"/>
  <c r="HP73" i="19"/>
  <c r="HO73" i="19"/>
  <c r="HN73" i="19"/>
  <c r="HM73" i="19"/>
  <c r="HL73" i="19"/>
  <c r="HK73" i="19"/>
  <c r="HJ73" i="19"/>
  <c r="HI73" i="19"/>
  <c r="HH73" i="19"/>
  <c r="HG73" i="19"/>
  <c r="HF73" i="19"/>
  <c r="HE73" i="19"/>
  <c r="HD73" i="19"/>
  <c r="HC73" i="19"/>
  <c r="HB73" i="19"/>
  <c r="HA73" i="19"/>
  <c r="GZ73" i="19"/>
  <c r="GY73" i="19"/>
  <c r="GX73" i="19"/>
  <c r="GW73" i="19"/>
  <c r="GV73" i="19"/>
  <c r="GU73" i="19"/>
  <c r="GT73" i="19"/>
  <c r="GS73" i="19"/>
  <c r="GR73" i="19"/>
  <c r="GQ73" i="19"/>
  <c r="GP73" i="19"/>
  <c r="GO73" i="19"/>
  <c r="GN73" i="19"/>
  <c r="GM73" i="19"/>
  <c r="GL73" i="19"/>
  <c r="GK73" i="19"/>
  <c r="GJ73" i="19"/>
  <c r="GI73" i="19"/>
  <c r="GH73" i="19"/>
  <c r="GG73" i="19"/>
  <c r="GF73" i="19"/>
  <c r="GE73" i="19"/>
  <c r="GD73" i="19"/>
  <c r="GC73" i="19"/>
  <c r="GB73" i="19"/>
  <c r="HS72" i="19"/>
  <c r="HR72" i="19"/>
  <c r="HQ72" i="19"/>
  <c r="HP72" i="19"/>
  <c r="HO72" i="19"/>
  <c r="HN72" i="19"/>
  <c r="HM72" i="19"/>
  <c r="HL72" i="19"/>
  <c r="HK72" i="19"/>
  <c r="HJ72" i="19"/>
  <c r="HI72" i="19"/>
  <c r="HH72" i="19"/>
  <c r="HG72" i="19"/>
  <c r="HF72" i="19"/>
  <c r="HE72" i="19"/>
  <c r="HD72" i="19"/>
  <c r="HC72" i="19"/>
  <c r="HB72" i="19"/>
  <c r="HA72" i="19"/>
  <c r="GZ72" i="19"/>
  <c r="GY72" i="19"/>
  <c r="GX72" i="19"/>
  <c r="GW72" i="19"/>
  <c r="GV72" i="19"/>
  <c r="GU72" i="19"/>
  <c r="GT72" i="19"/>
  <c r="GS72" i="19"/>
  <c r="GR72" i="19"/>
  <c r="GQ72" i="19"/>
  <c r="GP72" i="19"/>
  <c r="GO72" i="19"/>
  <c r="GN72" i="19"/>
  <c r="GM72" i="19"/>
  <c r="GL72" i="19"/>
  <c r="GK72" i="19"/>
  <c r="GJ72" i="19"/>
  <c r="GI72" i="19"/>
  <c r="GH72" i="19"/>
  <c r="GG72" i="19"/>
  <c r="GF72" i="19"/>
  <c r="GE72" i="19"/>
  <c r="GD72" i="19"/>
  <c r="GC72" i="19"/>
  <c r="GB72" i="19"/>
  <c r="HS71" i="19"/>
  <c r="HR71" i="19"/>
  <c r="HQ71" i="19"/>
  <c r="HP71" i="19"/>
  <c r="HO71" i="19"/>
  <c r="HN71" i="19"/>
  <c r="HM71" i="19"/>
  <c r="HL71" i="19"/>
  <c r="HK71" i="19"/>
  <c r="HJ71" i="19"/>
  <c r="HI71" i="19"/>
  <c r="HH71" i="19"/>
  <c r="HG71" i="19"/>
  <c r="HF71" i="19"/>
  <c r="HE71" i="19"/>
  <c r="HD71" i="19"/>
  <c r="HC71" i="19"/>
  <c r="HB71" i="19"/>
  <c r="HA71" i="19"/>
  <c r="GZ71" i="19"/>
  <c r="GY71" i="19"/>
  <c r="GX71" i="19"/>
  <c r="GW71" i="19"/>
  <c r="GV71" i="19"/>
  <c r="GU71" i="19"/>
  <c r="GT71" i="19"/>
  <c r="GS71" i="19"/>
  <c r="GR71" i="19"/>
  <c r="GQ71" i="19"/>
  <c r="GP71" i="19"/>
  <c r="GO71" i="19"/>
  <c r="GN71" i="19"/>
  <c r="GM71" i="19"/>
  <c r="GL71" i="19"/>
  <c r="GK71" i="19"/>
  <c r="GJ71" i="19"/>
  <c r="GI71" i="19"/>
  <c r="GH71" i="19"/>
  <c r="GG71" i="19"/>
  <c r="GF71" i="19"/>
  <c r="GE71" i="19"/>
  <c r="GD71" i="19"/>
  <c r="GC71" i="19"/>
  <c r="GB71" i="19"/>
  <c r="HS70" i="19"/>
  <c r="HR70" i="19"/>
  <c r="HQ70" i="19"/>
  <c r="HP70" i="19"/>
  <c r="HO70" i="19"/>
  <c r="HN70" i="19"/>
  <c r="HM70" i="19"/>
  <c r="HL70" i="19"/>
  <c r="HK70" i="19"/>
  <c r="HJ70" i="19"/>
  <c r="HI70" i="19"/>
  <c r="HH70" i="19"/>
  <c r="HG70" i="19"/>
  <c r="HF70" i="19"/>
  <c r="HE70" i="19"/>
  <c r="HD70" i="19"/>
  <c r="HC70" i="19"/>
  <c r="HB70" i="19"/>
  <c r="HA70" i="19"/>
  <c r="GZ70" i="19"/>
  <c r="GY70" i="19"/>
  <c r="GX70" i="19"/>
  <c r="GW70" i="19"/>
  <c r="GV70" i="19"/>
  <c r="GU70" i="19"/>
  <c r="GT70" i="19"/>
  <c r="GS70" i="19"/>
  <c r="GR70" i="19"/>
  <c r="GQ70" i="19"/>
  <c r="GP70" i="19"/>
  <c r="GO70" i="19"/>
  <c r="GN70" i="19"/>
  <c r="GM70" i="19"/>
  <c r="GL70" i="19"/>
  <c r="GK70" i="19"/>
  <c r="GJ70" i="19"/>
  <c r="GI70" i="19"/>
  <c r="GH70" i="19"/>
  <c r="GG70" i="19"/>
  <c r="GF70" i="19"/>
  <c r="GE70" i="19"/>
  <c r="GD70" i="19"/>
  <c r="GC70" i="19"/>
  <c r="GB70" i="19"/>
  <c r="HS69" i="19"/>
  <c r="HR69" i="19"/>
  <c r="HQ69" i="19"/>
  <c r="HP69" i="19"/>
  <c r="HO69" i="19"/>
  <c r="HN69" i="19"/>
  <c r="HM69" i="19"/>
  <c r="HL69" i="19"/>
  <c r="HK69" i="19"/>
  <c r="HJ69" i="19"/>
  <c r="HI69" i="19"/>
  <c r="HH69" i="19"/>
  <c r="HG69" i="19"/>
  <c r="HF69" i="19"/>
  <c r="HE69" i="19"/>
  <c r="HD69" i="19"/>
  <c r="HC69" i="19"/>
  <c r="HB69" i="19"/>
  <c r="HA69" i="19"/>
  <c r="GZ69" i="19"/>
  <c r="GY69" i="19"/>
  <c r="GX69" i="19"/>
  <c r="GW69" i="19"/>
  <c r="GV69" i="19"/>
  <c r="GU69" i="19"/>
  <c r="GT69" i="19"/>
  <c r="GS69" i="19"/>
  <c r="GR69" i="19"/>
  <c r="GQ69" i="19"/>
  <c r="GP69" i="19"/>
  <c r="GO69" i="19"/>
  <c r="GN69" i="19"/>
  <c r="GM69" i="19"/>
  <c r="GL69" i="19"/>
  <c r="GK69" i="19"/>
  <c r="GJ69" i="19"/>
  <c r="GI69" i="19"/>
  <c r="GH69" i="19"/>
  <c r="GG69" i="19"/>
  <c r="GF69" i="19"/>
  <c r="GE69" i="19"/>
  <c r="GD69" i="19"/>
  <c r="GC69" i="19"/>
  <c r="GB69" i="19"/>
  <c r="HS68" i="19"/>
  <c r="HR68" i="19"/>
  <c r="HQ68" i="19"/>
  <c r="HP68" i="19"/>
  <c r="HO68" i="19"/>
  <c r="HN68" i="19"/>
  <c r="HM68" i="19"/>
  <c r="HL68" i="19"/>
  <c r="HK68" i="19"/>
  <c r="HJ68" i="19"/>
  <c r="HI68" i="19"/>
  <c r="HH68" i="19"/>
  <c r="HG68" i="19"/>
  <c r="HF68" i="19"/>
  <c r="HE68" i="19"/>
  <c r="HD68" i="19"/>
  <c r="HC68" i="19"/>
  <c r="HB68" i="19"/>
  <c r="HA68" i="19"/>
  <c r="GZ68" i="19"/>
  <c r="GY68" i="19"/>
  <c r="GX68" i="19"/>
  <c r="GW68" i="19"/>
  <c r="GV68" i="19"/>
  <c r="GU68" i="19"/>
  <c r="GT68" i="19"/>
  <c r="GS68" i="19"/>
  <c r="GR68" i="19"/>
  <c r="GQ68" i="19"/>
  <c r="GP68" i="19"/>
  <c r="GO68" i="19"/>
  <c r="GN68" i="19"/>
  <c r="GM68" i="19"/>
  <c r="GL68" i="19"/>
  <c r="GK68" i="19"/>
  <c r="GJ68" i="19"/>
  <c r="GI68" i="19"/>
  <c r="GH68" i="19"/>
  <c r="GG68" i="19"/>
  <c r="GF68" i="19"/>
  <c r="GE68" i="19"/>
  <c r="GD68" i="19"/>
  <c r="GC68" i="19"/>
  <c r="GB68" i="19"/>
  <c r="HS67" i="19"/>
  <c r="HR67" i="19"/>
  <c r="HQ67" i="19"/>
  <c r="HP67" i="19"/>
  <c r="HO67" i="19"/>
  <c r="HN67" i="19"/>
  <c r="HM67" i="19"/>
  <c r="HL67" i="19"/>
  <c r="HK67" i="19"/>
  <c r="HJ67" i="19"/>
  <c r="HI67" i="19"/>
  <c r="HH67" i="19"/>
  <c r="HG67" i="19"/>
  <c r="HF67" i="19"/>
  <c r="HE67" i="19"/>
  <c r="HD67" i="19"/>
  <c r="HC67" i="19"/>
  <c r="HB67" i="19"/>
  <c r="HA67" i="19"/>
  <c r="GZ67" i="19"/>
  <c r="GY67" i="19"/>
  <c r="GX67" i="19"/>
  <c r="GW67" i="19"/>
  <c r="GV67" i="19"/>
  <c r="GU67" i="19"/>
  <c r="GT67" i="19"/>
  <c r="GS67" i="19"/>
  <c r="GR67" i="19"/>
  <c r="GQ67" i="19"/>
  <c r="GP67" i="19"/>
  <c r="GO67" i="19"/>
  <c r="GN67" i="19"/>
  <c r="GM67" i="19"/>
  <c r="GL67" i="19"/>
  <c r="GK67" i="19"/>
  <c r="GJ67" i="19"/>
  <c r="GI67" i="19"/>
  <c r="GH67" i="19"/>
  <c r="GG67" i="19"/>
  <c r="GF67" i="19"/>
  <c r="GE67" i="19"/>
  <c r="GD67" i="19"/>
  <c r="GC67" i="19"/>
  <c r="GB67" i="19"/>
  <c r="HS66" i="19"/>
  <c r="HR66" i="19"/>
  <c r="HQ66" i="19"/>
  <c r="HP66" i="19"/>
  <c r="HO66" i="19"/>
  <c r="HN66" i="19"/>
  <c r="HM66" i="19"/>
  <c r="HL66" i="19"/>
  <c r="HK66" i="19"/>
  <c r="HJ66" i="19"/>
  <c r="HI66" i="19"/>
  <c r="HH66" i="19"/>
  <c r="HG66" i="19"/>
  <c r="HF66" i="19"/>
  <c r="HE66" i="19"/>
  <c r="HD66" i="19"/>
  <c r="HC66" i="19"/>
  <c r="HB66" i="19"/>
  <c r="HA66" i="19"/>
  <c r="GZ66" i="19"/>
  <c r="GY66" i="19"/>
  <c r="GX66" i="19"/>
  <c r="GW66" i="19"/>
  <c r="GV66" i="19"/>
  <c r="GU66" i="19"/>
  <c r="GT66" i="19"/>
  <c r="GS66" i="19"/>
  <c r="GR66" i="19"/>
  <c r="GQ66" i="19"/>
  <c r="GP66" i="19"/>
  <c r="GO66" i="19"/>
  <c r="GN66" i="19"/>
  <c r="GM66" i="19"/>
  <c r="GL66" i="19"/>
  <c r="GK66" i="19"/>
  <c r="GJ66" i="19"/>
  <c r="GI66" i="19"/>
  <c r="GH66" i="19"/>
  <c r="GG66" i="19"/>
  <c r="GF66" i="19"/>
  <c r="GE66" i="19"/>
  <c r="GD66" i="19"/>
  <c r="GC66" i="19"/>
  <c r="GB66" i="19"/>
  <c r="HS65" i="19"/>
  <c r="HR65" i="19"/>
  <c r="HQ65" i="19"/>
  <c r="HP65" i="19"/>
  <c r="HO65" i="19"/>
  <c r="HN65" i="19"/>
  <c r="HM65" i="19"/>
  <c r="HL65" i="19"/>
  <c r="HK65" i="19"/>
  <c r="HJ65" i="19"/>
  <c r="HI65" i="19"/>
  <c r="HH65" i="19"/>
  <c r="HG65" i="19"/>
  <c r="HF65" i="19"/>
  <c r="HE65" i="19"/>
  <c r="HD65" i="19"/>
  <c r="HC65" i="19"/>
  <c r="HB65" i="19"/>
  <c r="HA65" i="19"/>
  <c r="GZ65" i="19"/>
  <c r="GY65" i="19"/>
  <c r="GX65" i="19"/>
  <c r="GW65" i="19"/>
  <c r="GV65" i="19"/>
  <c r="GU65" i="19"/>
  <c r="GT65" i="19"/>
  <c r="GS65" i="19"/>
  <c r="GR65" i="19"/>
  <c r="GQ65" i="19"/>
  <c r="GP65" i="19"/>
  <c r="GO65" i="19"/>
  <c r="GN65" i="19"/>
  <c r="GM65" i="19"/>
  <c r="GL65" i="19"/>
  <c r="GK65" i="19"/>
  <c r="GJ65" i="19"/>
  <c r="GI65" i="19"/>
  <c r="GH65" i="19"/>
  <c r="GG65" i="19"/>
  <c r="GF65" i="19"/>
  <c r="GE65" i="19"/>
  <c r="GD65" i="19"/>
  <c r="GC65" i="19"/>
  <c r="GB65" i="19"/>
  <c r="HS64" i="19"/>
  <c r="HR64" i="19"/>
  <c r="HQ64" i="19"/>
  <c r="HP64" i="19"/>
  <c r="HO64" i="19"/>
  <c r="HN64" i="19"/>
  <c r="HM64" i="19"/>
  <c r="HL64" i="19"/>
  <c r="HK64" i="19"/>
  <c r="HJ64" i="19"/>
  <c r="HI64" i="19"/>
  <c r="HH64" i="19"/>
  <c r="HG64" i="19"/>
  <c r="HF64" i="19"/>
  <c r="HE64" i="19"/>
  <c r="HD64" i="19"/>
  <c r="HC64" i="19"/>
  <c r="HB64" i="19"/>
  <c r="HA64" i="19"/>
  <c r="GZ64" i="19"/>
  <c r="GY64" i="19"/>
  <c r="GX64" i="19"/>
  <c r="GW64" i="19"/>
  <c r="GV64" i="19"/>
  <c r="GU64" i="19"/>
  <c r="GT64" i="19"/>
  <c r="GS64" i="19"/>
  <c r="GR64" i="19"/>
  <c r="GQ64" i="19"/>
  <c r="GP64" i="19"/>
  <c r="GO64" i="19"/>
  <c r="GN64" i="19"/>
  <c r="GM64" i="19"/>
  <c r="GL64" i="19"/>
  <c r="GK64" i="19"/>
  <c r="GJ64" i="19"/>
  <c r="GI64" i="19"/>
  <c r="GH64" i="19"/>
  <c r="GG64" i="19"/>
  <c r="GF64" i="19"/>
  <c r="GE64" i="19"/>
  <c r="GD64" i="19"/>
  <c r="GC64" i="19"/>
  <c r="GB64" i="19"/>
  <c r="HS63" i="19"/>
  <c r="HR63" i="19"/>
  <c r="HQ63" i="19"/>
  <c r="HP63" i="19"/>
  <c r="HO63" i="19"/>
  <c r="HN63" i="19"/>
  <c r="HM63" i="19"/>
  <c r="HL63" i="19"/>
  <c r="HK63" i="19"/>
  <c r="HJ63" i="19"/>
  <c r="HI63" i="19"/>
  <c r="HH63" i="19"/>
  <c r="HG63" i="19"/>
  <c r="HF63" i="19"/>
  <c r="HE63" i="19"/>
  <c r="HD63" i="19"/>
  <c r="HC63" i="19"/>
  <c r="HB63" i="19"/>
  <c r="HA63" i="19"/>
  <c r="GZ63" i="19"/>
  <c r="GY63" i="19"/>
  <c r="GX63" i="19"/>
  <c r="GW63" i="19"/>
  <c r="GV63" i="19"/>
  <c r="GU63" i="19"/>
  <c r="GT63" i="19"/>
  <c r="GS63" i="19"/>
  <c r="GR63" i="19"/>
  <c r="GQ63" i="19"/>
  <c r="GP63" i="19"/>
  <c r="GO63" i="19"/>
  <c r="GN63" i="19"/>
  <c r="GM63" i="19"/>
  <c r="GL63" i="19"/>
  <c r="GK63" i="19"/>
  <c r="GJ63" i="19"/>
  <c r="GI63" i="19"/>
  <c r="GH63" i="19"/>
  <c r="GG63" i="19"/>
  <c r="GF63" i="19"/>
  <c r="GE63" i="19"/>
  <c r="GD63" i="19"/>
  <c r="GC63" i="19"/>
  <c r="GB63" i="19"/>
  <c r="HS62" i="19"/>
  <c r="HR62" i="19"/>
  <c r="HQ62" i="19"/>
  <c r="HP62" i="19"/>
  <c r="HO62" i="19"/>
  <c r="HN62" i="19"/>
  <c r="HM62" i="19"/>
  <c r="HL62" i="19"/>
  <c r="HK62" i="19"/>
  <c r="HJ62" i="19"/>
  <c r="HI62" i="19"/>
  <c r="HH62" i="19"/>
  <c r="HG62" i="19"/>
  <c r="HF62" i="19"/>
  <c r="HE62" i="19"/>
  <c r="HD62" i="19"/>
  <c r="HC62" i="19"/>
  <c r="HB62" i="19"/>
  <c r="HA62" i="19"/>
  <c r="GZ62" i="19"/>
  <c r="GY62" i="19"/>
  <c r="GX62" i="19"/>
  <c r="GW62" i="19"/>
  <c r="GV62" i="19"/>
  <c r="GU62" i="19"/>
  <c r="GT62" i="19"/>
  <c r="GS62" i="19"/>
  <c r="GR62" i="19"/>
  <c r="GQ62" i="19"/>
  <c r="GP62" i="19"/>
  <c r="GO62" i="19"/>
  <c r="GN62" i="19"/>
  <c r="GM62" i="19"/>
  <c r="GL62" i="19"/>
  <c r="GK62" i="19"/>
  <c r="GJ62" i="19"/>
  <c r="GI62" i="19"/>
  <c r="GH62" i="19"/>
  <c r="GG62" i="19"/>
  <c r="GF62" i="19"/>
  <c r="GE62" i="19"/>
  <c r="GD62" i="19"/>
  <c r="GC62" i="19"/>
  <c r="GB62" i="19"/>
  <c r="HS61" i="19"/>
  <c r="HR61" i="19"/>
  <c r="HQ61" i="19"/>
  <c r="HP61" i="19"/>
  <c r="HO61" i="19"/>
  <c r="HN61" i="19"/>
  <c r="HM61" i="19"/>
  <c r="HL61" i="19"/>
  <c r="HK61" i="19"/>
  <c r="HJ61" i="19"/>
  <c r="HI61" i="19"/>
  <c r="HH61" i="19"/>
  <c r="HG61" i="19"/>
  <c r="HF61" i="19"/>
  <c r="HE61" i="19"/>
  <c r="HD61" i="19"/>
  <c r="HC61" i="19"/>
  <c r="HB61" i="19"/>
  <c r="HA61" i="19"/>
  <c r="GZ61" i="19"/>
  <c r="GY61" i="19"/>
  <c r="GX61" i="19"/>
  <c r="GW61" i="19"/>
  <c r="GV61" i="19"/>
  <c r="GU61" i="19"/>
  <c r="GT61" i="19"/>
  <c r="GS61" i="19"/>
  <c r="GR61" i="19"/>
  <c r="GQ61" i="19"/>
  <c r="GP61" i="19"/>
  <c r="GO61" i="19"/>
  <c r="GN61" i="19"/>
  <c r="GM61" i="19"/>
  <c r="GL61" i="19"/>
  <c r="GK61" i="19"/>
  <c r="GJ61" i="19"/>
  <c r="GI61" i="19"/>
  <c r="GH61" i="19"/>
  <c r="GG61" i="19"/>
  <c r="GF61" i="19"/>
  <c r="GE61" i="19"/>
  <c r="GD61" i="19"/>
  <c r="GC61" i="19"/>
  <c r="GB61" i="19"/>
  <c r="HS60" i="19"/>
  <c r="HR60" i="19"/>
  <c r="HQ60" i="19"/>
  <c r="HP60" i="19"/>
  <c r="HO60" i="19"/>
  <c r="HN60" i="19"/>
  <c r="HM60" i="19"/>
  <c r="HL60" i="19"/>
  <c r="HK60" i="19"/>
  <c r="HJ60" i="19"/>
  <c r="HI60" i="19"/>
  <c r="HH60" i="19"/>
  <c r="HG60" i="19"/>
  <c r="HF60" i="19"/>
  <c r="HE60" i="19"/>
  <c r="HD60" i="19"/>
  <c r="HC60" i="19"/>
  <c r="HB60" i="19"/>
  <c r="HA60" i="19"/>
  <c r="GZ60" i="19"/>
  <c r="GY60" i="19"/>
  <c r="GX60" i="19"/>
  <c r="GW60" i="19"/>
  <c r="GV60" i="19"/>
  <c r="GU60" i="19"/>
  <c r="GT60" i="19"/>
  <c r="GS60" i="19"/>
  <c r="GR60" i="19"/>
  <c r="GQ60" i="19"/>
  <c r="GP60" i="19"/>
  <c r="GO60" i="19"/>
  <c r="GN60" i="19"/>
  <c r="GM60" i="19"/>
  <c r="GL60" i="19"/>
  <c r="GK60" i="19"/>
  <c r="GJ60" i="19"/>
  <c r="GI60" i="19"/>
  <c r="GH60" i="19"/>
  <c r="GG60" i="19"/>
  <c r="GF60" i="19"/>
  <c r="GE60" i="19"/>
  <c r="GD60" i="19"/>
  <c r="GC60" i="19"/>
  <c r="GB60" i="19"/>
  <c r="HS59" i="19"/>
  <c r="HR59" i="19"/>
  <c r="HQ59" i="19"/>
  <c r="HP59" i="19"/>
  <c r="HO59" i="19"/>
  <c r="HN59" i="19"/>
  <c r="HM59" i="19"/>
  <c r="HL59" i="19"/>
  <c r="HK59" i="19"/>
  <c r="HJ59" i="19"/>
  <c r="HI59" i="19"/>
  <c r="HH59" i="19"/>
  <c r="HG59" i="19"/>
  <c r="HF59" i="19"/>
  <c r="HE59" i="19"/>
  <c r="HD59" i="19"/>
  <c r="HC59" i="19"/>
  <c r="HB59" i="19"/>
  <c r="HA59" i="19"/>
  <c r="GZ59" i="19"/>
  <c r="GY59" i="19"/>
  <c r="GX59" i="19"/>
  <c r="GW59" i="19"/>
  <c r="GV59" i="19"/>
  <c r="GU59" i="19"/>
  <c r="GT59" i="19"/>
  <c r="GS59" i="19"/>
  <c r="GR59" i="19"/>
  <c r="GQ59" i="19"/>
  <c r="GP59" i="19"/>
  <c r="GO59" i="19"/>
  <c r="GN59" i="19"/>
  <c r="GM59" i="19"/>
  <c r="GL59" i="19"/>
  <c r="GK59" i="19"/>
  <c r="GJ59" i="19"/>
  <c r="GI59" i="19"/>
  <c r="GH59" i="19"/>
  <c r="GG59" i="19"/>
  <c r="GF59" i="19"/>
  <c r="GE59" i="19"/>
  <c r="GD59" i="19"/>
  <c r="GC59" i="19"/>
  <c r="GB59" i="19"/>
  <c r="HS58" i="19"/>
  <c r="HR58" i="19"/>
  <c r="HQ58" i="19"/>
  <c r="HP58" i="19"/>
  <c r="HO58" i="19"/>
  <c r="HN58" i="19"/>
  <c r="HM58" i="19"/>
  <c r="HL58" i="19"/>
  <c r="HK58" i="19"/>
  <c r="HJ58" i="19"/>
  <c r="HI58" i="19"/>
  <c r="HH58" i="19"/>
  <c r="HG58" i="19"/>
  <c r="HF58" i="19"/>
  <c r="HE58" i="19"/>
  <c r="HD58" i="19"/>
  <c r="HC58" i="19"/>
  <c r="HB58" i="19"/>
  <c r="HA58" i="19"/>
  <c r="GZ58" i="19"/>
  <c r="GY58" i="19"/>
  <c r="GX58" i="19"/>
  <c r="GW58" i="19"/>
  <c r="GV58" i="19"/>
  <c r="GU58" i="19"/>
  <c r="GT58" i="19"/>
  <c r="GS58" i="19"/>
  <c r="GR58" i="19"/>
  <c r="GQ58" i="19"/>
  <c r="GP58" i="19"/>
  <c r="GO58" i="19"/>
  <c r="GN58" i="19"/>
  <c r="GM58" i="19"/>
  <c r="GL58" i="19"/>
  <c r="GK58" i="19"/>
  <c r="GJ58" i="19"/>
  <c r="GI58" i="19"/>
  <c r="GH58" i="19"/>
  <c r="GG58" i="19"/>
  <c r="GF58" i="19"/>
  <c r="GE58" i="19"/>
  <c r="GD58" i="19"/>
  <c r="GC58" i="19"/>
  <c r="GB58" i="19"/>
  <c r="HS57" i="19"/>
  <c r="HR57" i="19"/>
  <c r="HQ57" i="19"/>
  <c r="HP57" i="19"/>
  <c r="HO57" i="19"/>
  <c r="HN57" i="19"/>
  <c r="HM57" i="19"/>
  <c r="HL57" i="19"/>
  <c r="HK57" i="19"/>
  <c r="HJ57" i="19"/>
  <c r="HI57" i="19"/>
  <c r="HH57" i="19"/>
  <c r="HG57" i="19"/>
  <c r="HF57" i="19"/>
  <c r="HE57" i="19"/>
  <c r="HD57" i="19"/>
  <c r="HC57" i="19"/>
  <c r="HB57" i="19"/>
  <c r="HA57" i="19"/>
  <c r="GZ57" i="19"/>
  <c r="GY57" i="19"/>
  <c r="GX57" i="19"/>
  <c r="GW57" i="19"/>
  <c r="GV57" i="19"/>
  <c r="GU57" i="19"/>
  <c r="GT57" i="19"/>
  <c r="GS57" i="19"/>
  <c r="GR57" i="19"/>
  <c r="GQ57" i="19"/>
  <c r="GP57" i="19"/>
  <c r="GO57" i="19"/>
  <c r="GN57" i="19"/>
  <c r="GM57" i="19"/>
  <c r="GL57" i="19"/>
  <c r="GK57" i="19"/>
  <c r="GJ57" i="19"/>
  <c r="GI57" i="19"/>
  <c r="GH57" i="19"/>
  <c r="GG57" i="19"/>
  <c r="GF57" i="19"/>
  <c r="GE57" i="19"/>
  <c r="GD57" i="19"/>
  <c r="GC57" i="19"/>
  <c r="GB57" i="19"/>
  <c r="HS56" i="19"/>
  <c r="HR56" i="19"/>
  <c r="HQ56" i="19"/>
  <c r="HP56" i="19"/>
  <c r="HO56" i="19"/>
  <c r="HN56" i="19"/>
  <c r="HM56" i="19"/>
  <c r="HL56" i="19"/>
  <c r="HK56" i="19"/>
  <c r="HJ56" i="19"/>
  <c r="HI56" i="19"/>
  <c r="HH56" i="19"/>
  <c r="HG56" i="19"/>
  <c r="HF56" i="19"/>
  <c r="HE56" i="19"/>
  <c r="HD56" i="19"/>
  <c r="HC56" i="19"/>
  <c r="HB56" i="19"/>
  <c r="HA56" i="19"/>
  <c r="GZ56" i="19"/>
  <c r="GY56" i="19"/>
  <c r="GX56" i="19"/>
  <c r="GW56" i="19"/>
  <c r="GV56" i="19"/>
  <c r="GU56" i="19"/>
  <c r="GT56" i="19"/>
  <c r="GS56" i="19"/>
  <c r="GR56" i="19"/>
  <c r="GQ56" i="19"/>
  <c r="GP56" i="19"/>
  <c r="GO56" i="19"/>
  <c r="GN56" i="19"/>
  <c r="GM56" i="19"/>
  <c r="GL56" i="19"/>
  <c r="GK56" i="19"/>
  <c r="GJ56" i="19"/>
  <c r="GI56" i="19"/>
  <c r="GH56" i="19"/>
  <c r="GG56" i="19"/>
  <c r="GF56" i="19"/>
  <c r="GE56" i="19"/>
  <c r="GD56" i="19"/>
  <c r="GC56" i="19"/>
  <c r="GB56" i="19"/>
  <c r="HS55" i="19"/>
  <c r="HR55" i="19"/>
  <c r="HQ55" i="19"/>
  <c r="HP55" i="19"/>
  <c r="HO55" i="19"/>
  <c r="HN55" i="19"/>
  <c r="HM55" i="19"/>
  <c r="HL55" i="19"/>
  <c r="HK55" i="19"/>
  <c r="HJ55" i="19"/>
  <c r="HI55" i="19"/>
  <c r="HH55" i="19"/>
  <c r="HG55" i="19"/>
  <c r="HF55" i="19"/>
  <c r="HE55" i="19"/>
  <c r="HD55" i="19"/>
  <c r="HC55" i="19"/>
  <c r="HB55" i="19"/>
  <c r="HA55" i="19"/>
  <c r="GZ55" i="19"/>
  <c r="GY55" i="19"/>
  <c r="GX55" i="19"/>
  <c r="GW55" i="19"/>
  <c r="GV55" i="19"/>
  <c r="GU55" i="19"/>
  <c r="GT55" i="19"/>
  <c r="GS55" i="19"/>
  <c r="GR55" i="19"/>
  <c r="GQ55" i="19"/>
  <c r="GP55" i="19"/>
  <c r="GO55" i="19"/>
  <c r="GN55" i="19"/>
  <c r="GM55" i="19"/>
  <c r="GL55" i="19"/>
  <c r="GK55" i="19"/>
  <c r="GJ55" i="19"/>
  <c r="GI55" i="19"/>
  <c r="GH55" i="19"/>
  <c r="GG55" i="19"/>
  <c r="GF55" i="19"/>
  <c r="GE55" i="19"/>
  <c r="GD55" i="19"/>
  <c r="GC55" i="19"/>
  <c r="GB55" i="19"/>
  <c r="HS39" i="19"/>
  <c r="HR39" i="19"/>
  <c r="HQ39" i="19"/>
  <c r="HP39" i="19"/>
  <c r="HO39" i="19"/>
  <c r="HN39" i="19"/>
  <c r="HM39" i="19"/>
  <c r="HL39" i="19"/>
  <c r="HK39" i="19"/>
  <c r="HJ39" i="19"/>
  <c r="HI39" i="19"/>
  <c r="HH39" i="19"/>
  <c r="HG39" i="19"/>
  <c r="HF39" i="19"/>
  <c r="HE39" i="19"/>
  <c r="HD39" i="19"/>
  <c r="HC39" i="19"/>
  <c r="HB39" i="19"/>
  <c r="HA39" i="19"/>
  <c r="GZ39" i="19"/>
  <c r="GY39" i="19"/>
  <c r="GX39" i="19"/>
  <c r="GW39" i="19"/>
  <c r="GV39" i="19"/>
  <c r="GU39" i="19"/>
  <c r="GT39" i="19"/>
  <c r="GS39" i="19"/>
  <c r="GR39" i="19"/>
  <c r="GQ39" i="19"/>
  <c r="GP39" i="19"/>
  <c r="GO39" i="19"/>
  <c r="GN39" i="19"/>
  <c r="GM39" i="19"/>
  <c r="GL39" i="19"/>
  <c r="GK39" i="19"/>
  <c r="GJ39" i="19"/>
  <c r="GI39" i="19"/>
  <c r="GH39" i="19"/>
  <c r="GG39" i="19"/>
  <c r="GF39" i="19"/>
  <c r="GE39" i="19"/>
  <c r="GD39" i="19"/>
  <c r="GC39" i="19"/>
  <c r="GB39" i="19"/>
  <c r="HS38" i="19"/>
  <c r="HR38" i="19"/>
  <c r="HQ38" i="19"/>
  <c r="HP38" i="19"/>
  <c r="HO38" i="19"/>
  <c r="HN38" i="19"/>
  <c r="HM38" i="19"/>
  <c r="HL38" i="19"/>
  <c r="HK38" i="19"/>
  <c r="HJ38" i="19"/>
  <c r="HI38" i="19"/>
  <c r="HH38" i="19"/>
  <c r="HG38" i="19"/>
  <c r="HF38" i="19"/>
  <c r="HE38" i="19"/>
  <c r="HD38" i="19"/>
  <c r="HC38" i="19"/>
  <c r="HB38" i="19"/>
  <c r="HA38" i="19"/>
  <c r="GZ38" i="19"/>
  <c r="GY38" i="19"/>
  <c r="GX38" i="19"/>
  <c r="GW38" i="19"/>
  <c r="GV38" i="19"/>
  <c r="GU38" i="19"/>
  <c r="GT38" i="19"/>
  <c r="GS38" i="19"/>
  <c r="GR38" i="19"/>
  <c r="GQ38" i="19"/>
  <c r="GP38" i="19"/>
  <c r="GO38" i="19"/>
  <c r="GN38" i="19"/>
  <c r="GM38" i="19"/>
  <c r="GL38" i="19"/>
  <c r="GK38" i="19"/>
  <c r="GJ38" i="19"/>
  <c r="GI38" i="19"/>
  <c r="GH38" i="19"/>
  <c r="GG38" i="19"/>
  <c r="GF38" i="19"/>
  <c r="GE38" i="19"/>
  <c r="GD38" i="19"/>
  <c r="GC38" i="19"/>
  <c r="GB38" i="19"/>
  <c r="HS37" i="19"/>
  <c r="HR37" i="19"/>
  <c r="HQ37" i="19"/>
  <c r="HP37" i="19"/>
  <c r="HO37" i="19"/>
  <c r="HN37" i="19"/>
  <c r="HM37" i="19"/>
  <c r="HL37" i="19"/>
  <c r="HK37" i="19"/>
  <c r="HJ37" i="19"/>
  <c r="HI37" i="19"/>
  <c r="HH37" i="19"/>
  <c r="HG37" i="19"/>
  <c r="HF37" i="19"/>
  <c r="HE37" i="19"/>
  <c r="HD37" i="19"/>
  <c r="HC37" i="19"/>
  <c r="HB37" i="19"/>
  <c r="HA37" i="19"/>
  <c r="GZ37" i="19"/>
  <c r="GY37" i="19"/>
  <c r="GX37" i="19"/>
  <c r="GW37" i="19"/>
  <c r="GV37" i="19"/>
  <c r="GU37" i="19"/>
  <c r="GT37" i="19"/>
  <c r="GS37" i="19"/>
  <c r="GR37" i="19"/>
  <c r="GQ37" i="19"/>
  <c r="GP37" i="19"/>
  <c r="GO37" i="19"/>
  <c r="GN37" i="19"/>
  <c r="GM37" i="19"/>
  <c r="GL37" i="19"/>
  <c r="GK37" i="19"/>
  <c r="GJ37" i="19"/>
  <c r="GI37" i="19"/>
  <c r="GH37" i="19"/>
  <c r="GG37" i="19"/>
  <c r="GF37" i="19"/>
  <c r="GE37" i="19"/>
  <c r="GD37" i="19"/>
  <c r="GC37" i="19"/>
  <c r="GB37" i="19"/>
  <c r="HS36" i="19"/>
  <c r="HR36" i="19"/>
  <c r="HQ36" i="19"/>
  <c r="HP36" i="19"/>
  <c r="HO36" i="19"/>
  <c r="HN36" i="19"/>
  <c r="HM36" i="19"/>
  <c r="HL36" i="19"/>
  <c r="HK36" i="19"/>
  <c r="HJ36" i="19"/>
  <c r="HI36" i="19"/>
  <c r="HH36" i="19"/>
  <c r="HG36" i="19"/>
  <c r="HF36" i="19"/>
  <c r="HE36" i="19"/>
  <c r="HD36" i="19"/>
  <c r="HC36" i="19"/>
  <c r="HB36" i="19"/>
  <c r="HA36" i="19"/>
  <c r="GZ36" i="19"/>
  <c r="GY36" i="19"/>
  <c r="GX36" i="19"/>
  <c r="GW36" i="19"/>
  <c r="GV36" i="19"/>
  <c r="GU36" i="19"/>
  <c r="GT36" i="19"/>
  <c r="GS36" i="19"/>
  <c r="GR36" i="19"/>
  <c r="GQ36" i="19"/>
  <c r="GP36" i="19"/>
  <c r="GO36" i="19"/>
  <c r="GN36" i="19"/>
  <c r="GM36" i="19"/>
  <c r="GL36" i="19"/>
  <c r="GK36" i="19"/>
  <c r="GJ36" i="19"/>
  <c r="GI36" i="19"/>
  <c r="GH36" i="19"/>
  <c r="GG36" i="19"/>
  <c r="GF36" i="19"/>
  <c r="GE36" i="19"/>
  <c r="GD36" i="19"/>
  <c r="GC36" i="19"/>
  <c r="GB36" i="19"/>
  <c r="HS35" i="19"/>
  <c r="HR35" i="19"/>
  <c r="HQ35" i="19"/>
  <c r="HP35" i="19"/>
  <c r="HO35" i="19"/>
  <c r="HN35" i="19"/>
  <c r="HM35" i="19"/>
  <c r="HL35" i="19"/>
  <c r="HK35" i="19"/>
  <c r="HJ35" i="19"/>
  <c r="HI35" i="19"/>
  <c r="HH35" i="19"/>
  <c r="HG35" i="19"/>
  <c r="HF35" i="19"/>
  <c r="HE35" i="19"/>
  <c r="HD35" i="19"/>
  <c r="HC35" i="19"/>
  <c r="HB35" i="19"/>
  <c r="HA35" i="19"/>
  <c r="GZ35" i="19"/>
  <c r="GY35" i="19"/>
  <c r="GX35" i="19"/>
  <c r="GW35" i="19"/>
  <c r="GV35" i="19"/>
  <c r="GU35" i="19"/>
  <c r="GT35" i="19"/>
  <c r="GS35" i="19"/>
  <c r="GR35" i="19"/>
  <c r="GQ35" i="19"/>
  <c r="GP35" i="19"/>
  <c r="GO35" i="19"/>
  <c r="GN35" i="19"/>
  <c r="GM35" i="19"/>
  <c r="GL35" i="19"/>
  <c r="GK35" i="19"/>
  <c r="GJ35" i="19"/>
  <c r="GI35" i="19"/>
  <c r="GH35" i="19"/>
  <c r="GG35" i="19"/>
  <c r="GF35" i="19"/>
  <c r="GE35" i="19"/>
  <c r="GD35" i="19"/>
  <c r="GC35" i="19"/>
  <c r="GB35" i="19"/>
  <c r="HS34" i="19"/>
  <c r="HR34" i="19"/>
  <c r="HQ34" i="19"/>
  <c r="HP34" i="19"/>
  <c r="HO34" i="19"/>
  <c r="HN34" i="19"/>
  <c r="HM34" i="19"/>
  <c r="HL34" i="19"/>
  <c r="HK34" i="19"/>
  <c r="HJ34" i="19"/>
  <c r="HI34" i="19"/>
  <c r="HH34" i="19"/>
  <c r="HG34" i="19"/>
  <c r="HF34" i="19"/>
  <c r="HE34" i="19"/>
  <c r="HD34" i="19"/>
  <c r="HC34" i="19"/>
  <c r="HB34" i="19"/>
  <c r="HA34" i="19"/>
  <c r="GZ34" i="19"/>
  <c r="GY34" i="19"/>
  <c r="GX34" i="19"/>
  <c r="GW34" i="19"/>
  <c r="GV34" i="19"/>
  <c r="GU34" i="19"/>
  <c r="GT34" i="19"/>
  <c r="GS34" i="19"/>
  <c r="GR34" i="19"/>
  <c r="GQ34" i="19"/>
  <c r="GP34" i="19"/>
  <c r="GO34" i="19"/>
  <c r="GN34" i="19"/>
  <c r="GM34" i="19"/>
  <c r="GL34" i="19"/>
  <c r="GK34" i="19"/>
  <c r="GJ34" i="19"/>
  <c r="GI34" i="19"/>
  <c r="GH34" i="19"/>
  <c r="GG34" i="19"/>
  <c r="GF34" i="19"/>
  <c r="GE34" i="19"/>
  <c r="GD34" i="19"/>
  <c r="GC34" i="19"/>
  <c r="GB34" i="19"/>
  <c r="HS33" i="19"/>
  <c r="HR33" i="19"/>
  <c r="HQ33" i="19"/>
  <c r="HP33" i="19"/>
  <c r="HO33" i="19"/>
  <c r="HN33" i="19"/>
  <c r="HM33" i="19"/>
  <c r="HL33" i="19"/>
  <c r="HK33" i="19"/>
  <c r="HJ33" i="19"/>
  <c r="HI33" i="19"/>
  <c r="HH33" i="19"/>
  <c r="HG33" i="19"/>
  <c r="HF33" i="19"/>
  <c r="HE33" i="19"/>
  <c r="HD33" i="19"/>
  <c r="HC33" i="19"/>
  <c r="HB33" i="19"/>
  <c r="HA33" i="19"/>
  <c r="GZ33" i="19"/>
  <c r="GY33" i="19"/>
  <c r="GX33" i="19"/>
  <c r="GW33" i="19"/>
  <c r="GV33" i="19"/>
  <c r="GU33" i="19"/>
  <c r="GT33" i="19"/>
  <c r="GS33" i="19"/>
  <c r="GR33" i="19"/>
  <c r="GQ33" i="19"/>
  <c r="GP33" i="19"/>
  <c r="GO33" i="19"/>
  <c r="GN33" i="19"/>
  <c r="GM33" i="19"/>
  <c r="GL33" i="19"/>
  <c r="GK33" i="19"/>
  <c r="GJ33" i="19"/>
  <c r="GI33" i="19"/>
  <c r="GH33" i="19"/>
  <c r="GG33" i="19"/>
  <c r="GF33" i="19"/>
  <c r="GE33" i="19"/>
  <c r="GD33" i="19"/>
  <c r="GC33" i="19"/>
  <c r="GB33" i="19"/>
  <c r="HS32" i="19"/>
  <c r="HR32" i="19"/>
  <c r="HQ32" i="19"/>
  <c r="HP32" i="19"/>
  <c r="HO32" i="19"/>
  <c r="HN32" i="19"/>
  <c r="HM32" i="19"/>
  <c r="HL32" i="19"/>
  <c r="HK32" i="19"/>
  <c r="HJ32" i="19"/>
  <c r="HI32" i="19"/>
  <c r="HH32" i="19"/>
  <c r="HG32" i="19"/>
  <c r="HF32" i="19"/>
  <c r="HE32" i="19"/>
  <c r="HD32" i="19"/>
  <c r="HC32" i="19"/>
  <c r="HB32" i="19"/>
  <c r="HA32" i="19"/>
  <c r="GZ32" i="19"/>
  <c r="GY32" i="19"/>
  <c r="GX32" i="19"/>
  <c r="GW32" i="19"/>
  <c r="GV32" i="19"/>
  <c r="GU32" i="19"/>
  <c r="GT32" i="19"/>
  <c r="GS32" i="19"/>
  <c r="GR32" i="19"/>
  <c r="GQ32" i="19"/>
  <c r="GP32" i="19"/>
  <c r="GO32" i="19"/>
  <c r="GN32" i="19"/>
  <c r="GM32" i="19"/>
  <c r="GL32" i="19"/>
  <c r="GK32" i="19"/>
  <c r="GJ32" i="19"/>
  <c r="GI32" i="19"/>
  <c r="GH32" i="19"/>
  <c r="GG32" i="19"/>
  <c r="GF32" i="19"/>
  <c r="GE32" i="19"/>
  <c r="GD32" i="19"/>
  <c r="GC32" i="19"/>
  <c r="GB32" i="19"/>
  <c r="HS31" i="19"/>
  <c r="HR31" i="19"/>
  <c r="HQ31" i="19"/>
  <c r="HP31" i="19"/>
  <c r="HO31" i="19"/>
  <c r="HN31" i="19"/>
  <c r="HM31" i="19"/>
  <c r="HL31" i="19"/>
  <c r="HK31" i="19"/>
  <c r="HJ31" i="19"/>
  <c r="HI31" i="19"/>
  <c r="HH31" i="19"/>
  <c r="HG31" i="19"/>
  <c r="HF31" i="19"/>
  <c r="HE31" i="19"/>
  <c r="HD31" i="19"/>
  <c r="HC31" i="19"/>
  <c r="HB31" i="19"/>
  <c r="HA31" i="19"/>
  <c r="GZ31" i="19"/>
  <c r="GY31" i="19"/>
  <c r="GX31" i="19"/>
  <c r="GW31" i="19"/>
  <c r="GV31" i="19"/>
  <c r="GU31" i="19"/>
  <c r="GT31" i="19"/>
  <c r="GS31" i="19"/>
  <c r="GR31" i="19"/>
  <c r="GQ31" i="19"/>
  <c r="GP31" i="19"/>
  <c r="GO31" i="19"/>
  <c r="GN31" i="19"/>
  <c r="GM31" i="19"/>
  <c r="GL31" i="19"/>
  <c r="GK31" i="19"/>
  <c r="GJ31" i="19"/>
  <c r="GI31" i="19"/>
  <c r="GH31" i="19"/>
  <c r="GG31" i="19"/>
  <c r="GF31" i="19"/>
  <c r="GE31" i="19"/>
  <c r="GD31" i="19"/>
  <c r="GC31" i="19"/>
  <c r="GB31" i="19"/>
  <c r="HS30" i="19"/>
  <c r="HR30" i="19"/>
  <c r="HQ30" i="19"/>
  <c r="HP30" i="19"/>
  <c r="HO30" i="19"/>
  <c r="HN30" i="19"/>
  <c r="HM30" i="19"/>
  <c r="HL30" i="19"/>
  <c r="HK30" i="19"/>
  <c r="HJ30" i="19"/>
  <c r="HI30" i="19"/>
  <c r="HH30" i="19"/>
  <c r="HG30" i="19"/>
  <c r="HF30" i="19"/>
  <c r="HE30" i="19"/>
  <c r="HD30" i="19"/>
  <c r="HC30" i="19"/>
  <c r="HB30" i="19"/>
  <c r="HA30" i="19"/>
  <c r="GZ30" i="19"/>
  <c r="GY30" i="19"/>
  <c r="GX30" i="19"/>
  <c r="GW30" i="19"/>
  <c r="GV30" i="19"/>
  <c r="GU30" i="19"/>
  <c r="GT30" i="19"/>
  <c r="GS30" i="19"/>
  <c r="GR30" i="19"/>
  <c r="GQ30" i="19"/>
  <c r="GP30" i="19"/>
  <c r="GO30" i="19"/>
  <c r="GN30" i="19"/>
  <c r="GM30" i="19"/>
  <c r="GL30" i="19"/>
  <c r="GK30" i="19"/>
  <c r="GJ30" i="19"/>
  <c r="GI30" i="19"/>
  <c r="GH30" i="19"/>
  <c r="GG30" i="19"/>
  <c r="GF30" i="19"/>
  <c r="GE30" i="19"/>
  <c r="GD30" i="19"/>
  <c r="GC30" i="19"/>
  <c r="GB30" i="19"/>
  <c r="HS29" i="19"/>
  <c r="HR29" i="19"/>
  <c r="HQ29" i="19"/>
  <c r="HP29" i="19"/>
  <c r="HO29" i="19"/>
  <c r="HN29" i="19"/>
  <c r="HM29" i="19"/>
  <c r="HL29" i="19"/>
  <c r="HK29" i="19"/>
  <c r="HJ29" i="19"/>
  <c r="HI29" i="19"/>
  <c r="HH29" i="19"/>
  <c r="HG29" i="19"/>
  <c r="HF29" i="19"/>
  <c r="HE29" i="19"/>
  <c r="HD29" i="19"/>
  <c r="HC29" i="19"/>
  <c r="HB29" i="19"/>
  <c r="HA29" i="19"/>
  <c r="GZ29" i="19"/>
  <c r="GY29" i="19"/>
  <c r="GX29" i="19"/>
  <c r="GW29" i="19"/>
  <c r="GV29" i="19"/>
  <c r="GU29" i="19"/>
  <c r="GT29" i="19"/>
  <c r="GS29" i="19"/>
  <c r="GR29" i="19"/>
  <c r="GQ29" i="19"/>
  <c r="GP29" i="19"/>
  <c r="GO29" i="19"/>
  <c r="GN29" i="19"/>
  <c r="GM29" i="19"/>
  <c r="GL29" i="19"/>
  <c r="GK29" i="19"/>
  <c r="GJ29" i="19"/>
  <c r="GI29" i="19"/>
  <c r="GH29" i="19"/>
  <c r="GG29" i="19"/>
  <c r="GF29" i="19"/>
  <c r="GE29" i="19"/>
  <c r="GD29" i="19"/>
  <c r="GC29" i="19"/>
  <c r="GB29" i="19"/>
  <c r="HS28" i="19"/>
  <c r="HR28" i="19"/>
  <c r="HQ28" i="19"/>
  <c r="HP28" i="19"/>
  <c r="HO28" i="19"/>
  <c r="HN28" i="19"/>
  <c r="HM28" i="19"/>
  <c r="HL28" i="19"/>
  <c r="HK28" i="19"/>
  <c r="HJ28" i="19"/>
  <c r="HI28" i="19"/>
  <c r="HH28" i="19"/>
  <c r="HG28" i="19"/>
  <c r="HF28" i="19"/>
  <c r="HE28" i="19"/>
  <c r="HD28" i="19"/>
  <c r="HC28" i="19"/>
  <c r="HB28" i="19"/>
  <c r="HA28" i="19"/>
  <c r="GZ28" i="19"/>
  <c r="GY28" i="19"/>
  <c r="GX28" i="19"/>
  <c r="GW28" i="19"/>
  <c r="GV28" i="19"/>
  <c r="GU28" i="19"/>
  <c r="GT28" i="19"/>
  <c r="GS28" i="19"/>
  <c r="GR28" i="19"/>
  <c r="GQ28" i="19"/>
  <c r="GP28" i="19"/>
  <c r="GO28" i="19"/>
  <c r="GN28" i="19"/>
  <c r="GM28" i="19"/>
  <c r="GL28" i="19"/>
  <c r="GK28" i="19"/>
  <c r="GJ28" i="19"/>
  <c r="GI28" i="19"/>
  <c r="GH28" i="19"/>
  <c r="GG28" i="19"/>
  <c r="GF28" i="19"/>
  <c r="GE28" i="19"/>
  <c r="GD28" i="19"/>
  <c r="GC28" i="19"/>
  <c r="GB28" i="19"/>
  <c r="HS27" i="19"/>
  <c r="HR27" i="19"/>
  <c r="HQ27" i="19"/>
  <c r="HP27" i="19"/>
  <c r="HO27" i="19"/>
  <c r="HN27" i="19"/>
  <c r="HM27" i="19"/>
  <c r="HL27" i="19"/>
  <c r="HK27" i="19"/>
  <c r="HJ27" i="19"/>
  <c r="HI27" i="19"/>
  <c r="HH27" i="19"/>
  <c r="HG27" i="19"/>
  <c r="HF27" i="19"/>
  <c r="HE27" i="19"/>
  <c r="HD27" i="19"/>
  <c r="HC27" i="19"/>
  <c r="HB27" i="19"/>
  <c r="HA27" i="19"/>
  <c r="GZ27" i="19"/>
  <c r="GY27" i="19"/>
  <c r="GX27" i="19"/>
  <c r="GW27" i="19"/>
  <c r="GV27" i="19"/>
  <c r="GU27" i="19"/>
  <c r="GT27" i="19"/>
  <c r="GS27" i="19"/>
  <c r="GR27" i="19"/>
  <c r="GQ27" i="19"/>
  <c r="GP27" i="19"/>
  <c r="GO27" i="19"/>
  <c r="GN27" i="19"/>
  <c r="GM27" i="19"/>
  <c r="GL27" i="19"/>
  <c r="GK27" i="19"/>
  <c r="GJ27" i="19"/>
  <c r="GI27" i="19"/>
  <c r="GH27" i="19"/>
  <c r="GG27" i="19"/>
  <c r="GF27" i="19"/>
  <c r="GE27" i="19"/>
  <c r="GD27" i="19"/>
  <c r="GC27" i="19"/>
  <c r="GB27" i="19"/>
  <c r="HS26" i="19"/>
  <c r="HR26" i="19"/>
  <c r="HQ26" i="19"/>
  <c r="HP26" i="19"/>
  <c r="HO26" i="19"/>
  <c r="HN26" i="19"/>
  <c r="HM26" i="19"/>
  <c r="HL26" i="19"/>
  <c r="HK26" i="19"/>
  <c r="HJ26" i="19"/>
  <c r="HI26" i="19"/>
  <c r="HH26" i="19"/>
  <c r="HG26" i="19"/>
  <c r="HF26" i="19"/>
  <c r="HE26" i="19"/>
  <c r="HD26" i="19"/>
  <c r="HC26" i="19"/>
  <c r="HB26" i="19"/>
  <c r="HA26" i="19"/>
  <c r="GZ26" i="19"/>
  <c r="GY26" i="19"/>
  <c r="GX26" i="19"/>
  <c r="GW26" i="19"/>
  <c r="GV26" i="19"/>
  <c r="GU26" i="19"/>
  <c r="GT26" i="19"/>
  <c r="GS26" i="19"/>
  <c r="GR26" i="19"/>
  <c r="GQ26" i="19"/>
  <c r="GP26" i="19"/>
  <c r="GO26" i="19"/>
  <c r="GN26" i="19"/>
  <c r="GM26" i="19"/>
  <c r="GL26" i="19"/>
  <c r="GK26" i="19"/>
  <c r="GJ26" i="19"/>
  <c r="GI26" i="19"/>
  <c r="GH26" i="19"/>
  <c r="GG26" i="19"/>
  <c r="GF26" i="19"/>
  <c r="GE26" i="19"/>
  <c r="GD26" i="19"/>
  <c r="GC26" i="19"/>
  <c r="GB26" i="19"/>
  <c r="HS25" i="19"/>
  <c r="HR25" i="19"/>
  <c r="HQ25" i="19"/>
  <c r="HP25" i="19"/>
  <c r="HO25" i="19"/>
  <c r="HN25" i="19"/>
  <c r="HM25" i="19"/>
  <c r="HL25" i="19"/>
  <c r="HK25" i="19"/>
  <c r="HJ25" i="19"/>
  <c r="HI25" i="19"/>
  <c r="HH25" i="19"/>
  <c r="HG25" i="19"/>
  <c r="HF25" i="19"/>
  <c r="HE25" i="19"/>
  <c r="HD25" i="19"/>
  <c r="HC25" i="19"/>
  <c r="HB25" i="19"/>
  <c r="HA25" i="19"/>
  <c r="GZ25" i="19"/>
  <c r="GY25" i="19"/>
  <c r="GX25" i="19"/>
  <c r="GW25" i="19"/>
  <c r="GV25" i="19"/>
  <c r="GU25" i="19"/>
  <c r="GT25" i="19"/>
  <c r="GS25" i="19"/>
  <c r="GR25" i="19"/>
  <c r="GQ25" i="19"/>
  <c r="GP25" i="19"/>
  <c r="GO25" i="19"/>
  <c r="GN25" i="19"/>
  <c r="GM25" i="19"/>
  <c r="GL25" i="19"/>
  <c r="GK25" i="19"/>
  <c r="GJ25" i="19"/>
  <c r="GI25" i="19"/>
  <c r="GH25" i="19"/>
  <c r="GG25" i="19"/>
  <c r="GF25" i="19"/>
  <c r="GE25" i="19"/>
  <c r="GD25" i="19"/>
  <c r="GC25" i="19"/>
  <c r="GB25" i="19"/>
  <c r="HS24" i="19"/>
  <c r="HR24" i="19"/>
  <c r="HQ24" i="19"/>
  <c r="HP24" i="19"/>
  <c r="HO24" i="19"/>
  <c r="HN24" i="19"/>
  <c r="HM24" i="19"/>
  <c r="HL24" i="19"/>
  <c r="HK24" i="19"/>
  <c r="HJ24" i="19"/>
  <c r="HI24" i="19"/>
  <c r="HH24" i="19"/>
  <c r="HG24" i="19"/>
  <c r="HF24" i="19"/>
  <c r="HE24" i="19"/>
  <c r="HD24" i="19"/>
  <c r="HC24" i="19"/>
  <c r="HB24" i="19"/>
  <c r="HA24" i="19"/>
  <c r="GZ24" i="19"/>
  <c r="GY24" i="19"/>
  <c r="GX24" i="19"/>
  <c r="GW24" i="19"/>
  <c r="GV24" i="19"/>
  <c r="GU24" i="19"/>
  <c r="GT24" i="19"/>
  <c r="GS24" i="19"/>
  <c r="GR24" i="19"/>
  <c r="GQ24" i="19"/>
  <c r="GP24" i="19"/>
  <c r="GO24" i="19"/>
  <c r="GN24" i="19"/>
  <c r="GM24" i="19"/>
  <c r="GL24" i="19"/>
  <c r="GK24" i="19"/>
  <c r="GJ24" i="19"/>
  <c r="GI24" i="19"/>
  <c r="GH24" i="19"/>
  <c r="GG24" i="19"/>
  <c r="GF24" i="19"/>
  <c r="GE24" i="19"/>
  <c r="GD24" i="19"/>
  <c r="GC24" i="19"/>
  <c r="GB24" i="19"/>
  <c r="HS9" i="19"/>
  <c r="HR9" i="19"/>
  <c r="HQ9" i="19"/>
  <c r="HP9" i="19"/>
  <c r="HO9" i="19"/>
  <c r="HN9" i="19"/>
  <c r="HM9" i="19"/>
  <c r="HL9" i="19"/>
  <c r="HK9" i="19"/>
  <c r="HJ9" i="19"/>
  <c r="HI9" i="19"/>
  <c r="HH9" i="19"/>
  <c r="HG9" i="19"/>
  <c r="HF9" i="19"/>
  <c r="HE9" i="19"/>
  <c r="HD9" i="19"/>
  <c r="HC9" i="19"/>
  <c r="HB9" i="19"/>
  <c r="HA9" i="19"/>
  <c r="GZ9" i="19"/>
  <c r="GY9" i="19"/>
  <c r="GX9" i="19"/>
  <c r="GW9" i="19"/>
  <c r="GV9" i="19"/>
  <c r="GU9" i="19"/>
  <c r="GT9" i="19"/>
  <c r="GS9" i="19"/>
  <c r="GR9" i="19"/>
  <c r="GQ9" i="19"/>
  <c r="GP9" i="19"/>
  <c r="GO9" i="19"/>
  <c r="GN9" i="19"/>
  <c r="GM9" i="19"/>
  <c r="GL9" i="19"/>
  <c r="GK9" i="19"/>
  <c r="GJ9" i="19"/>
  <c r="GI9" i="19"/>
  <c r="GH9" i="19"/>
  <c r="GG9" i="19"/>
  <c r="GF9" i="19"/>
  <c r="GE9" i="19"/>
  <c r="GD9" i="19"/>
  <c r="GC9" i="19"/>
  <c r="GB9" i="19"/>
  <c r="HS8" i="19"/>
  <c r="HR8" i="19"/>
  <c r="HQ8" i="19"/>
  <c r="HP8" i="19"/>
  <c r="HO8" i="19"/>
  <c r="HN8" i="19"/>
  <c r="HM8" i="19"/>
  <c r="HL8" i="19"/>
  <c r="HK8" i="19"/>
  <c r="HJ8" i="19"/>
  <c r="HI8" i="19"/>
  <c r="HH8" i="19"/>
  <c r="HG8" i="19"/>
  <c r="HF8" i="19"/>
  <c r="HE8" i="19"/>
  <c r="HD8" i="19"/>
  <c r="HC8" i="19"/>
  <c r="HB8" i="19"/>
  <c r="HA8" i="19"/>
  <c r="GZ8" i="19"/>
  <c r="GY8" i="19"/>
  <c r="GX8" i="19"/>
  <c r="GW8" i="19"/>
  <c r="GV8" i="19"/>
  <c r="GU8" i="19"/>
  <c r="GT8" i="19"/>
  <c r="GS8" i="19"/>
  <c r="GR8" i="19"/>
  <c r="GQ8" i="19"/>
  <c r="GP8" i="19"/>
  <c r="GO8" i="19"/>
  <c r="GN8" i="19"/>
  <c r="GM8" i="19"/>
  <c r="GL8" i="19"/>
  <c r="GK8" i="19"/>
  <c r="GJ8" i="19"/>
  <c r="GI8" i="19"/>
  <c r="GH8" i="19"/>
  <c r="GG8" i="19"/>
  <c r="GF8" i="19"/>
  <c r="GE8" i="19"/>
  <c r="GD8" i="19"/>
  <c r="GC8" i="19"/>
  <c r="GB8" i="19"/>
  <c r="HS7" i="19"/>
  <c r="HR7" i="19"/>
  <c r="HQ7" i="19"/>
  <c r="HP7" i="19"/>
  <c r="HO7" i="19"/>
  <c r="HN7" i="19"/>
  <c r="HM7" i="19"/>
  <c r="HL7" i="19"/>
  <c r="HK7" i="19"/>
  <c r="HJ7" i="19"/>
  <c r="HI7" i="19"/>
  <c r="HH7" i="19"/>
  <c r="HG7" i="19"/>
  <c r="HF7" i="19"/>
  <c r="HE7" i="19"/>
  <c r="HD7" i="19"/>
  <c r="HC7" i="19"/>
  <c r="HB7" i="19"/>
  <c r="HA7" i="19"/>
  <c r="GZ7" i="19"/>
  <c r="GY7" i="19"/>
  <c r="GX7" i="19"/>
  <c r="GW7" i="19"/>
  <c r="GV7" i="19"/>
  <c r="GU7" i="19"/>
  <c r="GT7" i="19"/>
  <c r="GS7" i="19"/>
  <c r="GR7" i="19"/>
  <c r="GQ7" i="19"/>
  <c r="GP7" i="19"/>
  <c r="GO7" i="19"/>
  <c r="GN7" i="19"/>
  <c r="GM7" i="19"/>
  <c r="GL7" i="19"/>
  <c r="GK7" i="19"/>
  <c r="GJ7" i="19"/>
  <c r="GI7" i="19"/>
  <c r="GH7" i="19"/>
  <c r="GG7" i="19"/>
  <c r="GF7" i="19"/>
  <c r="GE7" i="19"/>
  <c r="GD7" i="19"/>
  <c r="GC7" i="19"/>
  <c r="GB7" i="19"/>
  <c r="HS6" i="19"/>
  <c r="HR6" i="19"/>
  <c r="HQ6" i="19"/>
  <c r="HP6" i="19"/>
  <c r="HO6" i="19"/>
  <c r="HN6" i="19"/>
  <c r="HM6" i="19"/>
  <c r="HL6" i="19"/>
  <c r="HK6" i="19"/>
  <c r="HJ6" i="19"/>
  <c r="HI6" i="19"/>
  <c r="HH6" i="19"/>
  <c r="HG6" i="19"/>
  <c r="HF6" i="19"/>
  <c r="HE6" i="19"/>
  <c r="HD6" i="19"/>
  <c r="HC6" i="19"/>
  <c r="HB6" i="19"/>
  <c r="HA6" i="19"/>
  <c r="GZ6" i="19"/>
  <c r="GY6" i="19"/>
  <c r="GX6" i="19"/>
  <c r="GW6" i="19"/>
  <c r="GV6" i="19"/>
  <c r="GU6" i="19"/>
  <c r="GT6" i="19"/>
  <c r="GS6" i="19"/>
  <c r="GR6" i="19"/>
  <c r="GQ6" i="19"/>
  <c r="GP6" i="19"/>
  <c r="GO6" i="19"/>
  <c r="GN6" i="19"/>
  <c r="GM6" i="19"/>
  <c r="GL6" i="19"/>
  <c r="GK6" i="19"/>
  <c r="GJ6" i="19"/>
  <c r="GI6" i="19"/>
  <c r="GH6" i="19"/>
  <c r="GG6" i="19"/>
  <c r="GF6" i="19"/>
  <c r="GE6" i="19"/>
  <c r="GD6" i="19"/>
  <c r="GC6" i="19"/>
  <c r="GB6" i="19"/>
  <c r="HS5" i="19"/>
  <c r="HR5" i="19"/>
  <c r="HQ5" i="19"/>
  <c r="HP5" i="19"/>
  <c r="HO5" i="19"/>
  <c r="HN5" i="19"/>
  <c r="HM5" i="19"/>
  <c r="HL5" i="19"/>
  <c r="HK5" i="19"/>
  <c r="HJ5" i="19"/>
  <c r="HI5" i="19"/>
  <c r="HH5" i="19"/>
  <c r="HG5" i="19"/>
  <c r="HF5" i="19"/>
  <c r="HE5" i="19"/>
  <c r="HD5" i="19"/>
  <c r="HC5" i="19"/>
  <c r="HB5" i="19"/>
  <c r="HA5" i="19"/>
  <c r="GZ5" i="19"/>
  <c r="GY5" i="19"/>
  <c r="GX5" i="19"/>
  <c r="GW5" i="19"/>
  <c r="GV5" i="19"/>
  <c r="GU5" i="19"/>
  <c r="GT5" i="19"/>
  <c r="GS5" i="19"/>
  <c r="GR5" i="19"/>
  <c r="GQ5" i="19"/>
  <c r="GP5" i="19"/>
  <c r="GO5" i="19"/>
  <c r="GN5" i="19"/>
  <c r="GM5" i="19"/>
  <c r="GL5" i="19"/>
  <c r="GK5" i="19"/>
  <c r="GJ5" i="19"/>
  <c r="GI5" i="19"/>
  <c r="GH5" i="19"/>
  <c r="GG5" i="19"/>
  <c r="GF5" i="19"/>
  <c r="GE5" i="19"/>
  <c r="GD5" i="19"/>
  <c r="GC5" i="19"/>
  <c r="GB5" i="19"/>
  <c r="HU7" i="19"/>
  <c r="HV7" i="19"/>
  <c r="HU8" i="19"/>
  <c r="HV8" i="19"/>
  <c r="HU9" i="19"/>
  <c r="HV9" i="19"/>
  <c r="HU10" i="19"/>
  <c r="HV10" i="19"/>
  <c r="HU11" i="19"/>
  <c r="HV11" i="19"/>
  <c r="HU12" i="19"/>
  <c r="HV12" i="19"/>
  <c r="HU13" i="19"/>
  <c r="HV13" i="19"/>
  <c r="HU14" i="19"/>
  <c r="HV14" i="19"/>
  <c r="HU15" i="19"/>
  <c r="HV15" i="19"/>
  <c r="HU16" i="19"/>
  <c r="HV16" i="19"/>
  <c r="HU17" i="19"/>
  <c r="HV17" i="19"/>
  <c r="HU18" i="19"/>
  <c r="HV18" i="19"/>
  <c r="HU19" i="19"/>
  <c r="HV19" i="19"/>
  <c r="HU20" i="19"/>
  <c r="HV20" i="19"/>
  <c r="HU21" i="19"/>
  <c r="HV21" i="19"/>
  <c r="HU22" i="19"/>
  <c r="HV22" i="19"/>
  <c r="HU23" i="19"/>
  <c r="HV23" i="19"/>
  <c r="HU24" i="19"/>
  <c r="HV24" i="19"/>
  <c r="HU25" i="19"/>
  <c r="HV25" i="19"/>
  <c r="HU26" i="19"/>
  <c r="HV26" i="19"/>
  <c r="HU27" i="19"/>
  <c r="HV27" i="19"/>
  <c r="HU28" i="19"/>
  <c r="HV28" i="19"/>
  <c r="HU29" i="19"/>
  <c r="HV29" i="19"/>
  <c r="HU30" i="19"/>
  <c r="HV30" i="19"/>
  <c r="HU31" i="19"/>
  <c r="HV31" i="19"/>
  <c r="HU32" i="19"/>
  <c r="HV32" i="19"/>
  <c r="HU33" i="19"/>
  <c r="HV33" i="19"/>
  <c r="HU34" i="19"/>
  <c r="HV34" i="19"/>
  <c r="HU35" i="19"/>
  <c r="HV35" i="19"/>
  <c r="HU36" i="19"/>
  <c r="HV36" i="19"/>
  <c r="HU37" i="19"/>
  <c r="HV37" i="19"/>
  <c r="HU38" i="19"/>
  <c r="HV38" i="19"/>
  <c r="HU39" i="19"/>
  <c r="HV39" i="19"/>
  <c r="HU55" i="19"/>
  <c r="HV55" i="19"/>
  <c r="HU56" i="19"/>
  <c r="HV56" i="19"/>
  <c r="HU57" i="19"/>
  <c r="HV57" i="19"/>
  <c r="HU58" i="19"/>
  <c r="HV58" i="19"/>
  <c r="HU59" i="19"/>
  <c r="HV59" i="19"/>
  <c r="HU60" i="19"/>
  <c r="HV60" i="19"/>
  <c r="HU61" i="19"/>
  <c r="HV61" i="19"/>
  <c r="HU62" i="19"/>
  <c r="HV62" i="19"/>
  <c r="HU63" i="19"/>
  <c r="HV63" i="19"/>
  <c r="HU64" i="19"/>
  <c r="HV64" i="19"/>
  <c r="HU65" i="19"/>
  <c r="HV65" i="19"/>
  <c r="HU66" i="19"/>
  <c r="HV66" i="19"/>
  <c r="HU67" i="19"/>
  <c r="HV67" i="19"/>
  <c r="HU68" i="19"/>
  <c r="HV68" i="19"/>
  <c r="HU69" i="19"/>
  <c r="HV69" i="19"/>
  <c r="HU70" i="19"/>
  <c r="HV70" i="19"/>
  <c r="HU71" i="19"/>
  <c r="HV71" i="19"/>
  <c r="HU72" i="19"/>
  <c r="HV72" i="19"/>
  <c r="HU73" i="19"/>
  <c r="HV73" i="19"/>
  <c r="HU74" i="19"/>
  <c r="HV74" i="19"/>
  <c r="HU75" i="19"/>
  <c r="HV75" i="19"/>
  <c r="HU76" i="19"/>
  <c r="HV76" i="19"/>
  <c r="HU77" i="19"/>
  <c r="HV77" i="19"/>
  <c r="HU78" i="19"/>
  <c r="HV78" i="19"/>
  <c r="HU79" i="19"/>
  <c r="HV79" i="19"/>
  <c r="HU80" i="19"/>
  <c r="HV80" i="19"/>
  <c r="HU81" i="19"/>
  <c r="HV81" i="19"/>
  <c r="HU82" i="19"/>
  <c r="HV82" i="19"/>
  <c r="HU83" i="19"/>
  <c r="HV83" i="19"/>
  <c r="HU84" i="19"/>
  <c r="HV84" i="19"/>
  <c r="HU85" i="19"/>
  <c r="HV85" i="19"/>
  <c r="HU86" i="19"/>
  <c r="HV86" i="19"/>
  <c r="HU87" i="19"/>
  <c r="HV87" i="19"/>
  <c r="HU88" i="19"/>
  <c r="HV88" i="19"/>
  <c r="HU89" i="19"/>
  <c r="HV89" i="19"/>
  <c r="HU90" i="19"/>
  <c r="HV90" i="19"/>
  <c r="HU91" i="19"/>
  <c r="HV91" i="19"/>
  <c r="HU92" i="19"/>
  <c r="HV92" i="19"/>
  <c r="HU93" i="19"/>
  <c r="HV93" i="19"/>
  <c r="HU94" i="19"/>
  <c r="HV94" i="19"/>
  <c r="HU95" i="19"/>
  <c r="HV95" i="19"/>
  <c r="HU96" i="19"/>
  <c r="HV96" i="19"/>
  <c r="HU97" i="19"/>
  <c r="HV97" i="19"/>
  <c r="HU98" i="19"/>
  <c r="HV98" i="19"/>
  <c r="HU99" i="19"/>
  <c r="HV99" i="19"/>
  <c r="HU100" i="19"/>
  <c r="HV100" i="19"/>
  <c r="HU101" i="19"/>
  <c r="HV101" i="19"/>
  <c r="HU102" i="19"/>
  <c r="HV102" i="19"/>
  <c r="HU103" i="19"/>
  <c r="HV103" i="19"/>
  <c r="HU104" i="19"/>
  <c r="HV104" i="19"/>
  <c r="HU105" i="19"/>
  <c r="HV105" i="19"/>
  <c r="HU106" i="19"/>
  <c r="HV106" i="19"/>
  <c r="HU107" i="19"/>
  <c r="HV107" i="19"/>
  <c r="HU108" i="19"/>
  <c r="HV108" i="19"/>
  <c r="HU109" i="19"/>
  <c r="HV109" i="19"/>
  <c r="HU110" i="19"/>
  <c r="HV110" i="19"/>
  <c r="HU111" i="19"/>
  <c r="HV111" i="19"/>
  <c r="HU112" i="19"/>
  <c r="HV112" i="19"/>
  <c r="HU113" i="19"/>
  <c r="HV113" i="19"/>
  <c r="HU114" i="19"/>
  <c r="HV114" i="19"/>
  <c r="HU115" i="19"/>
  <c r="HV115" i="19"/>
  <c r="HU116" i="19"/>
  <c r="HV116" i="19"/>
  <c r="HU117" i="19"/>
  <c r="HV117" i="19"/>
  <c r="HU118" i="19"/>
  <c r="HV118" i="19"/>
  <c r="HU119" i="19"/>
  <c r="HV119" i="19"/>
  <c r="HU120" i="19"/>
  <c r="HV120" i="19"/>
  <c r="HU121" i="19"/>
  <c r="HV121" i="19"/>
  <c r="HU122" i="19"/>
  <c r="HV122" i="19"/>
  <c r="HU123" i="19"/>
  <c r="HV123" i="19"/>
  <c r="HU124" i="19"/>
  <c r="HV124" i="19"/>
  <c r="HU125" i="19"/>
  <c r="HV125" i="19"/>
  <c r="HU126" i="19"/>
  <c r="HV126" i="19"/>
  <c r="HU127" i="19"/>
  <c r="HV127" i="19"/>
  <c r="HU128" i="19"/>
  <c r="HV128" i="19"/>
  <c r="HU129" i="19"/>
  <c r="HV129" i="19"/>
  <c r="HU130" i="19"/>
  <c r="HV130" i="19"/>
  <c r="HU131" i="19"/>
  <c r="HV131" i="19"/>
  <c r="HU132" i="19"/>
  <c r="HV132" i="19"/>
  <c r="HU133" i="19"/>
  <c r="HV133" i="19"/>
  <c r="HU134" i="19"/>
  <c r="HV134" i="19"/>
  <c r="HU135" i="19"/>
  <c r="HV135" i="19"/>
  <c r="HU136" i="19"/>
  <c r="HV136" i="19"/>
  <c r="HU137" i="19"/>
  <c r="HV137" i="19"/>
  <c r="GA137" i="19"/>
  <c r="FZ137" i="19"/>
  <c r="FY137" i="19"/>
  <c r="FX137" i="19"/>
  <c r="FW137" i="19"/>
  <c r="FV137" i="19"/>
  <c r="FU137" i="19"/>
  <c r="FT137" i="19"/>
  <c r="FS137" i="19"/>
  <c r="FR137" i="19"/>
  <c r="FQ137" i="19"/>
  <c r="FP137" i="19"/>
  <c r="FO137" i="19"/>
  <c r="FN137" i="19"/>
  <c r="FM137" i="19"/>
  <c r="FL137" i="19"/>
  <c r="FK137" i="19"/>
  <c r="FJ137" i="19"/>
  <c r="FI137" i="19"/>
  <c r="FH137" i="19"/>
  <c r="FG137" i="19"/>
  <c r="FF137" i="19"/>
  <c r="FE137" i="19"/>
  <c r="FD137" i="19"/>
  <c r="FC137" i="19"/>
  <c r="FB137" i="19"/>
  <c r="FA137" i="19"/>
  <c r="EZ137" i="19"/>
  <c r="EY137" i="19"/>
  <c r="EX137" i="19"/>
  <c r="EW137" i="19"/>
  <c r="EV137" i="19"/>
  <c r="EU137" i="19"/>
  <c r="GA136" i="19"/>
  <c r="FZ136" i="19"/>
  <c r="FY136" i="19"/>
  <c r="FX136" i="19"/>
  <c r="FW136" i="19"/>
  <c r="FV136" i="19"/>
  <c r="FU136" i="19"/>
  <c r="FT136" i="19"/>
  <c r="FS136" i="19"/>
  <c r="FR136" i="19"/>
  <c r="FQ136" i="19"/>
  <c r="FP136" i="19"/>
  <c r="FO136" i="19"/>
  <c r="FN136" i="19"/>
  <c r="FM136" i="19"/>
  <c r="FL136" i="19"/>
  <c r="FK136" i="19"/>
  <c r="FJ136" i="19"/>
  <c r="FI136" i="19"/>
  <c r="FH136" i="19"/>
  <c r="FG136" i="19"/>
  <c r="FF136" i="19"/>
  <c r="FE136" i="19"/>
  <c r="FD136" i="19"/>
  <c r="FC136" i="19"/>
  <c r="FB136" i="19"/>
  <c r="FA136" i="19"/>
  <c r="EZ136" i="19"/>
  <c r="EY136" i="19"/>
  <c r="EX136" i="19"/>
  <c r="EW136" i="19"/>
  <c r="EV136" i="19"/>
  <c r="EU136" i="19"/>
  <c r="GA135" i="19"/>
  <c r="FZ135" i="19"/>
  <c r="FY135" i="19"/>
  <c r="FX135" i="19"/>
  <c r="FW135" i="19"/>
  <c r="FV135" i="19"/>
  <c r="FU135" i="19"/>
  <c r="FT135" i="19"/>
  <c r="FS135" i="19"/>
  <c r="FR135" i="19"/>
  <c r="FQ135" i="19"/>
  <c r="FP135" i="19"/>
  <c r="FO135" i="19"/>
  <c r="FN135" i="19"/>
  <c r="FM135" i="19"/>
  <c r="FL135" i="19"/>
  <c r="FK135" i="19"/>
  <c r="FJ135" i="19"/>
  <c r="FI135" i="19"/>
  <c r="FH135" i="19"/>
  <c r="FG135" i="19"/>
  <c r="FF135" i="19"/>
  <c r="FE135" i="19"/>
  <c r="FD135" i="19"/>
  <c r="FC135" i="19"/>
  <c r="FB135" i="19"/>
  <c r="FA135" i="19"/>
  <c r="EZ135" i="19"/>
  <c r="EY135" i="19"/>
  <c r="EX135" i="19"/>
  <c r="EW135" i="19"/>
  <c r="EV135" i="19"/>
  <c r="EU135" i="19"/>
  <c r="GA134" i="19"/>
  <c r="FZ134" i="19"/>
  <c r="FY134" i="19"/>
  <c r="FX134" i="19"/>
  <c r="FW134" i="19"/>
  <c r="FV134" i="19"/>
  <c r="FU134" i="19"/>
  <c r="FT134" i="19"/>
  <c r="FS134" i="19"/>
  <c r="FR134" i="19"/>
  <c r="FQ134" i="19"/>
  <c r="FP134" i="19"/>
  <c r="FO134" i="19"/>
  <c r="FN134" i="19"/>
  <c r="FM134" i="19"/>
  <c r="FL134" i="19"/>
  <c r="FK134" i="19"/>
  <c r="FJ134" i="19"/>
  <c r="FI134" i="19"/>
  <c r="FH134" i="19"/>
  <c r="FG134" i="19"/>
  <c r="FF134" i="19"/>
  <c r="FE134" i="19"/>
  <c r="FD134" i="19"/>
  <c r="FC134" i="19"/>
  <c r="FB134" i="19"/>
  <c r="FA134" i="19"/>
  <c r="EZ134" i="19"/>
  <c r="EY134" i="19"/>
  <c r="EX134" i="19"/>
  <c r="EW134" i="19"/>
  <c r="EV134" i="19"/>
  <c r="EU134" i="19"/>
  <c r="GA133" i="19"/>
  <c r="FZ133" i="19"/>
  <c r="FY133" i="19"/>
  <c r="FX133" i="19"/>
  <c r="FW133" i="19"/>
  <c r="FV133" i="19"/>
  <c r="FU133" i="19"/>
  <c r="FT133" i="19"/>
  <c r="FS133" i="19"/>
  <c r="FR133" i="19"/>
  <c r="FQ133" i="19"/>
  <c r="FP133" i="19"/>
  <c r="FO133" i="19"/>
  <c r="FN133" i="19"/>
  <c r="FM133" i="19"/>
  <c r="FL133" i="19"/>
  <c r="FK133" i="19"/>
  <c r="FJ133" i="19"/>
  <c r="FI133" i="19"/>
  <c r="FH133" i="19"/>
  <c r="FG133" i="19"/>
  <c r="FF133" i="19"/>
  <c r="FE133" i="19"/>
  <c r="FD133" i="19"/>
  <c r="FC133" i="19"/>
  <c r="FB133" i="19"/>
  <c r="FA133" i="19"/>
  <c r="EZ133" i="19"/>
  <c r="EY133" i="19"/>
  <c r="EX133" i="19"/>
  <c r="EW133" i="19"/>
  <c r="EV133" i="19"/>
  <c r="EU133" i="19"/>
  <c r="GA132" i="19"/>
  <c r="FZ132" i="19"/>
  <c r="FY132" i="19"/>
  <c r="FX132" i="19"/>
  <c r="FW132" i="19"/>
  <c r="FV132" i="19"/>
  <c r="FU132" i="19"/>
  <c r="FT132" i="19"/>
  <c r="FS132" i="19"/>
  <c r="FR132" i="19"/>
  <c r="FQ132" i="19"/>
  <c r="FP132" i="19"/>
  <c r="FO132" i="19"/>
  <c r="FN132" i="19"/>
  <c r="FM132" i="19"/>
  <c r="FL132" i="19"/>
  <c r="FK132" i="19"/>
  <c r="FJ132" i="19"/>
  <c r="FI132" i="19"/>
  <c r="FH132" i="19"/>
  <c r="FG132" i="19"/>
  <c r="FF132" i="19"/>
  <c r="FE132" i="19"/>
  <c r="FD132" i="19"/>
  <c r="FC132" i="19"/>
  <c r="FB132" i="19"/>
  <c r="FA132" i="19"/>
  <c r="EZ132" i="19"/>
  <c r="EY132" i="19"/>
  <c r="EX132" i="19"/>
  <c r="EW132" i="19"/>
  <c r="EV132" i="19"/>
  <c r="EU132" i="19"/>
  <c r="GA131" i="19"/>
  <c r="FZ131" i="19"/>
  <c r="FY131" i="19"/>
  <c r="FX131" i="19"/>
  <c r="FW131" i="19"/>
  <c r="FV131" i="19"/>
  <c r="FU131" i="19"/>
  <c r="FT131" i="19"/>
  <c r="FS131" i="19"/>
  <c r="FR131" i="19"/>
  <c r="FQ131" i="19"/>
  <c r="FP131" i="19"/>
  <c r="FO131" i="19"/>
  <c r="FN131" i="19"/>
  <c r="FM131" i="19"/>
  <c r="FL131" i="19"/>
  <c r="FK131" i="19"/>
  <c r="FJ131" i="19"/>
  <c r="FI131" i="19"/>
  <c r="FH131" i="19"/>
  <c r="FG131" i="19"/>
  <c r="FF131" i="19"/>
  <c r="FE131" i="19"/>
  <c r="FD131" i="19"/>
  <c r="FC131" i="19"/>
  <c r="FB131" i="19"/>
  <c r="FA131" i="19"/>
  <c r="EZ131" i="19"/>
  <c r="EY131" i="19"/>
  <c r="EX131" i="19"/>
  <c r="EW131" i="19"/>
  <c r="EV131" i="19"/>
  <c r="EU131" i="19"/>
  <c r="GA130" i="19"/>
  <c r="FZ130" i="19"/>
  <c r="FY130" i="19"/>
  <c r="FX130" i="19"/>
  <c r="FW130" i="19"/>
  <c r="FV130" i="19"/>
  <c r="FU130" i="19"/>
  <c r="FT130" i="19"/>
  <c r="FS130" i="19"/>
  <c r="FR130" i="19"/>
  <c r="FQ130" i="19"/>
  <c r="FP130" i="19"/>
  <c r="FO130" i="19"/>
  <c r="FN130" i="19"/>
  <c r="FM130" i="19"/>
  <c r="FL130" i="19"/>
  <c r="FK130" i="19"/>
  <c r="FJ130" i="19"/>
  <c r="FI130" i="19"/>
  <c r="FH130" i="19"/>
  <c r="FG130" i="19"/>
  <c r="FF130" i="19"/>
  <c r="FE130" i="19"/>
  <c r="FD130" i="19"/>
  <c r="FC130" i="19"/>
  <c r="FB130" i="19"/>
  <c r="FA130" i="19"/>
  <c r="EZ130" i="19"/>
  <c r="EY130" i="19"/>
  <c r="EX130" i="19"/>
  <c r="EW130" i="19"/>
  <c r="EV130" i="19"/>
  <c r="EU130" i="19"/>
  <c r="GA129" i="19"/>
  <c r="FZ129" i="19"/>
  <c r="FY129" i="19"/>
  <c r="FX129" i="19"/>
  <c r="FW129" i="19"/>
  <c r="FV129" i="19"/>
  <c r="FU129" i="19"/>
  <c r="FT129" i="19"/>
  <c r="FS129" i="19"/>
  <c r="FR129" i="19"/>
  <c r="FQ129" i="19"/>
  <c r="FP129" i="19"/>
  <c r="FO129" i="19"/>
  <c r="FN129" i="19"/>
  <c r="FM129" i="19"/>
  <c r="FL129" i="19"/>
  <c r="FK129" i="19"/>
  <c r="FJ129" i="19"/>
  <c r="FI129" i="19"/>
  <c r="FH129" i="19"/>
  <c r="FG129" i="19"/>
  <c r="FF129" i="19"/>
  <c r="FE129" i="19"/>
  <c r="FD129" i="19"/>
  <c r="FC129" i="19"/>
  <c r="FB129" i="19"/>
  <c r="FA129" i="19"/>
  <c r="EZ129" i="19"/>
  <c r="EY129" i="19"/>
  <c r="EX129" i="19"/>
  <c r="EW129" i="19"/>
  <c r="EV129" i="19"/>
  <c r="EU129" i="19"/>
  <c r="GA128" i="19"/>
  <c r="FZ128" i="19"/>
  <c r="FY128" i="19"/>
  <c r="FX128" i="19"/>
  <c r="FW128" i="19"/>
  <c r="FV128" i="19"/>
  <c r="FU128" i="19"/>
  <c r="FT128" i="19"/>
  <c r="FS128" i="19"/>
  <c r="FR128" i="19"/>
  <c r="FQ128" i="19"/>
  <c r="FP128" i="19"/>
  <c r="FO128" i="19"/>
  <c r="FN128" i="19"/>
  <c r="FM128" i="19"/>
  <c r="FL128" i="19"/>
  <c r="FK128" i="19"/>
  <c r="FJ128" i="19"/>
  <c r="FI128" i="19"/>
  <c r="FH128" i="19"/>
  <c r="FG128" i="19"/>
  <c r="FF128" i="19"/>
  <c r="FE128" i="19"/>
  <c r="FD128" i="19"/>
  <c r="FC128" i="19"/>
  <c r="FB128" i="19"/>
  <c r="FA128" i="19"/>
  <c r="EZ128" i="19"/>
  <c r="EY128" i="19"/>
  <c r="EX128" i="19"/>
  <c r="EW128" i="19"/>
  <c r="EV128" i="19"/>
  <c r="EU128" i="19"/>
  <c r="GA127" i="19"/>
  <c r="FZ127" i="19"/>
  <c r="FY127" i="19"/>
  <c r="FX127" i="19"/>
  <c r="FW127" i="19"/>
  <c r="FV127" i="19"/>
  <c r="FU127" i="19"/>
  <c r="FT127" i="19"/>
  <c r="FS127" i="19"/>
  <c r="FR127" i="19"/>
  <c r="FQ127" i="19"/>
  <c r="FP127" i="19"/>
  <c r="FO127" i="19"/>
  <c r="FN127" i="19"/>
  <c r="FM127" i="19"/>
  <c r="FL127" i="19"/>
  <c r="FK127" i="19"/>
  <c r="FJ127" i="19"/>
  <c r="FI127" i="19"/>
  <c r="FH127" i="19"/>
  <c r="FG127" i="19"/>
  <c r="FF127" i="19"/>
  <c r="FE127" i="19"/>
  <c r="FD127" i="19"/>
  <c r="FC127" i="19"/>
  <c r="FB127" i="19"/>
  <c r="FA127" i="19"/>
  <c r="EZ127" i="19"/>
  <c r="EY127" i="19"/>
  <c r="EX127" i="19"/>
  <c r="EW127" i="19"/>
  <c r="EV127" i="19"/>
  <c r="EU127" i="19"/>
  <c r="GA126" i="19"/>
  <c r="FZ126" i="19"/>
  <c r="FY126" i="19"/>
  <c r="FX126" i="19"/>
  <c r="FW126" i="19"/>
  <c r="FV126" i="19"/>
  <c r="FU126" i="19"/>
  <c r="FT126" i="19"/>
  <c r="FS126" i="19"/>
  <c r="FR126" i="19"/>
  <c r="FQ126" i="19"/>
  <c r="FP126" i="19"/>
  <c r="FO126" i="19"/>
  <c r="FN126" i="19"/>
  <c r="FM126" i="19"/>
  <c r="FL126" i="19"/>
  <c r="FK126" i="19"/>
  <c r="FJ126" i="19"/>
  <c r="FI126" i="19"/>
  <c r="FH126" i="19"/>
  <c r="FG126" i="19"/>
  <c r="FF126" i="19"/>
  <c r="FE126" i="19"/>
  <c r="FD126" i="19"/>
  <c r="FC126" i="19"/>
  <c r="FB126" i="19"/>
  <c r="FA126" i="19"/>
  <c r="EZ126" i="19"/>
  <c r="EY126" i="19"/>
  <c r="EX126" i="19"/>
  <c r="EW126" i="19"/>
  <c r="EV126" i="19"/>
  <c r="EU126" i="19"/>
  <c r="GA125" i="19"/>
  <c r="FZ125" i="19"/>
  <c r="FY125" i="19"/>
  <c r="FX125" i="19"/>
  <c r="FW125" i="19"/>
  <c r="FV125" i="19"/>
  <c r="FU125" i="19"/>
  <c r="FT125" i="19"/>
  <c r="FS125" i="19"/>
  <c r="FR125" i="19"/>
  <c r="FQ125" i="19"/>
  <c r="FP125" i="19"/>
  <c r="FO125" i="19"/>
  <c r="FN125" i="19"/>
  <c r="FM125" i="19"/>
  <c r="FL125" i="19"/>
  <c r="FK125" i="19"/>
  <c r="FJ125" i="19"/>
  <c r="FI125" i="19"/>
  <c r="FH125" i="19"/>
  <c r="FG125" i="19"/>
  <c r="FF125" i="19"/>
  <c r="FE125" i="19"/>
  <c r="FD125" i="19"/>
  <c r="FC125" i="19"/>
  <c r="FB125" i="19"/>
  <c r="FA125" i="19"/>
  <c r="EZ125" i="19"/>
  <c r="EY125" i="19"/>
  <c r="EX125" i="19"/>
  <c r="EW125" i="19"/>
  <c r="EV125" i="19"/>
  <c r="EU125" i="19"/>
  <c r="GA124" i="19"/>
  <c r="FZ124" i="19"/>
  <c r="FY124" i="19"/>
  <c r="FX124" i="19"/>
  <c r="FW124" i="19"/>
  <c r="FV124" i="19"/>
  <c r="FU124" i="19"/>
  <c r="FT124" i="19"/>
  <c r="FS124" i="19"/>
  <c r="FR124" i="19"/>
  <c r="FQ124" i="19"/>
  <c r="FP124" i="19"/>
  <c r="FO124" i="19"/>
  <c r="FN124" i="19"/>
  <c r="FM124" i="19"/>
  <c r="FL124" i="19"/>
  <c r="FK124" i="19"/>
  <c r="FJ124" i="19"/>
  <c r="FI124" i="19"/>
  <c r="FH124" i="19"/>
  <c r="FG124" i="19"/>
  <c r="FF124" i="19"/>
  <c r="FE124" i="19"/>
  <c r="FD124" i="19"/>
  <c r="FC124" i="19"/>
  <c r="FB124" i="19"/>
  <c r="FA124" i="19"/>
  <c r="EZ124" i="19"/>
  <c r="EY124" i="19"/>
  <c r="EX124" i="19"/>
  <c r="EW124" i="19"/>
  <c r="EV124" i="19"/>
  <c r="EU124" i="19"/>
  <c r="GA123" i="19"/>
  <c r="FZ123" i="19"/>
  <c r="FY123" i="19"/>
  <c r="FX123" i="19"/>
  <c r="FW123" i="19"/>
  <c r="FV123" i="19"/>
  <c r="FU123" i="19"/>
  <c r="FT123" i="19"/>
  <c r="FS123" i="19"/>
  <c r="FR123" i="19"/>
  <c r="FQ123" i="19"/>
  <c r="FP123" i="19"/>
  <c r="FO123" i="19"/>
  <c r="FN123" i="19"/>
  <c r="FM123" i="19"/>
  <c r="FL123" i="19"/>
  <c r="FK123" i="19"/>
  <c r="FJ123" i="19"/>
  <c r="FI123" i="19"/>
  <c r="FH123" i="19"/>
  <c r="FG123" i="19"/>
  <c r="FF123" i="19"/>
  <c r="FE123" i="19"/>
  <c r="FD123" i="19"/>
  <c r="FC123" i="19"/>
  <c r="FB123" i="19"/>
  <c r="FA123" i="19"/>
  <c r="EZ123" i="19"/>
  <c r="EY123" i="19"/>
  <c r="EX123" i="19"/>
  <c r="EW123" i="19"/>
  <c r="EV123" i="19"/>
  <c r="EU123" i="19"/>
  <c r="GA122" i="19"/>
  <c r="FZ122" i="19"/>
  <c r="FY122" i="19"/>
  <c r="FX122" i="19"/>
  <c r="FW122" i="19"/>
  <c r="FV122" i="19"/>
  <c r="FU122" i="19"/>
  <c r="FT122" i="19"/>
  <c r="FS122" i="19"/>
  <c r="FR122" i="19"/>
  <c r="FQ122" i="19"/>
  <c r="FP122" i="19"/>
  <c r="FO122" i="19"/>
  <c r="FN122" i="19"/>
  <c r="FM122" i="19"/>
  <c r="FL122" i="19"/>
  <c r="FK122" i="19"/>
  <c r="FJ122" i="19"/>
  <c r="FI122" i="19"/>
  <c r="FH122" i="19"/>
  <c r="FG122" i="19"/>
  <c r="FF122" i="19"/>
  <c r="FE122" i="19"/>
  <c r="FD122" i="19"/>
  <c r="FC122" i="19"/>
  <c r="FB122" i="19"/>
  <c r="FA122" i="19"/>
  <c r="EZ122" i="19"/>
  <c r="EY122" i="19"/>
  <c r="EX122" i="19"/>
  <c r="EW122" i="19"/>
  <c r="EV122" i="19"/>
  <c r="EU122" i="19"/>
  <c r="GA121" i="19"/>
  <c r="FZ121" i="19"/>
  <c r="FY121" i="19"/>
  <c r="FX121" i="19"/>
  <c r="FW121" i="19"/>
  <c r="FV121" i="19"/>
  <c r="FU121" i="19"/>
  <c r="FT121" i="19"/>
  <c r="FS121" i="19"/>
  <c r="FR121" i="19"/>
  <c r="FQ121" i="19"/>
  <c r="FP121" i="19"/>
  <c r="FO121" i="19"/>
  <c r="FN121" i="19"/>
  <c r="FM121" i="19"/>
  <c r="FL121" i="19"/>
  <c r="FK121" i="19"/>
  <c r="FJ121" i="19"/>
  <c r="FI121" i="19"/>
  <c r="FH121" i="19"/>
  <c r="FG121" i="19"/>
  <c r="FF121" i="19"/>
  <c r="FE121" i="19"/>
  <c r="FD121" i="19"/>
  <c r="FC121" i="19"/>
  <c r="FB121" i="19"/>
  <c r="FA121" i="19"/>
  <c r="EZ121" i="19"/>
  <c r="EY121" i="19"/>
  <c r="EX121" i="19"/>
  <c r="EW121" i="19"/>
  <c r="EV121" i="19"/>
  <c r="EU121" i="19"/>
  <c r="GA120" i="19"/>
  <c r="FZ120" i="19"/>
  <c r="FY120" i="19"/>
  <c r="FX120" i="19"/>
  <c r="FW120" i="19"/>
  <c r="FV120" i="19"/>
  <c r="FU120" i="19"/>
  <c r="FT120" i="19"/>
  <c r="FS120" i="19"/>
  <c r="FR120" i="19"/>
  <c r="FQ120" i="19"/>
  <c r="FP120" i="19"/>
  <c r="FO120" i="19"/>
  <c r="FN120" i="19"/>
  <c r="FM120" i="19"/>
  <c r="FL120" i="19"/>
  <c r="FK120" i="19"/>
  <c r="FJ120" i="19"/>
  <c r="FI120" i="19"/>
  <c r="FH120" i="19"/>
  <c r="FG120" i="19"/>
  <c r="FF120" i="19"/>
  <c r="FE120" i="19"/>
  <c r="FD120" i="19"/>
  <c r="FC120" i="19"/>
  <c r="FB120" i="19"/>
  <c r="FA120" i="19"/>
  <c r="EZ120" i="19"/>
  <c r="EY120" i="19"/>
  <c r="EX120" i="19"/>
  <c r="EW120" i="19"/>
  <c r="EV120" i="19"/>
  <c r="EU120" i="19"/>
  <c r="GA119" i="19"/>
  <c r="FZ119" i="19"/>
  <c r="FY119" i="19"/>
  <c r="FX119" i="19"/>
  <c r="FW119" i="19"/>
  <c r="FV119" i="19"/>
  <c r="FU119" i="19"/>
  <c r="FT119" i="19"/>
  <c r="FS119" i="19"/>
  <c r="FR119" i="19"/>
  <c r="FQ119" i="19"/>
  <c r="FP119" i="19"/>
  <c r="FO119" i="19"/>
  <c r="FN119" i="19"/>
  <c r="FM119" i="19"/>
  <c r="FL119" i="19"/>
  <c r="FK119" i="19"/>
  <c r="FJ119" i="19"/>
  <c r="FI119" i="19"/>
  <c r="FH119" i="19"/>
  <c r="FG119" i="19"/>
  <c r="FF119" i="19"/>
  <c r="FE119" i="19"/>
  <c r="FD119" i="19"/>
  <c r="FC119" i="19"/>
  <c r="FB119" i="19"/>
  <c r="FA119" i="19"/>
  <c r="EZ119" i="19"/>
  <c r="EY119" i="19"/>
  <c r="EX119" i="19"/>
  <c r="EW119" i="19"/>
  <c r="EV119" i="19"/>
  <c r="EU119" i="19"/>
  <c r="GA118" i="19"/>
  <c r="FZ118" i="19"/>
  <c r="FY118" i="19"/>
  <c r="FX118" i="19"/>
  <c r="FW118" i="19"/>
  <c r="FV118" i="19"/>
  <c r="FU118" i="19"/>
  <c r="FT118" i="19"/>
  <c r="FS118" i="19"/>
  <c r="FR118" i="19"/>
  <c r="FQ118" i="19"/>
  <c r="FP118" i="19"/>
  <c r="FO118" i="19"/>
  <c r="FN118" i="19"/>
  <c r="FM118" i="19"/>
  <c r="FL118" i="19"/>
  <c r="FK118" i="19"/>
  <c r="FJ118" i="19"/>
  <c r="FI118" i="19"/>
  <c r="FH118" i="19"/>
  <c r="FG118" i="19"/>
  <c r="FF118" i="19"/>
  <c r="FE118" i="19"/>
  <c r="FD118" i="19"/>
  <c r="FC118" i="19"/>
  <c r="FB118" i="19"/>
  <c r="FA118" i="19"/>
  <c r="EZ118" i="19"/>
  <c r="EY118" i="19"/>
  <c r="EX118" i="19"/>
  <c r="EW118" i="19"/>
  <c r="EV118" i="19"/>
  <c r="EU118" i="19"/>
  <c r="GA117" i="19"/>
  <c r="FZ117" i="19"/>
  <c r="FY117" i="19"/>
  <c r="FX117" i="19"/>
  <c r="FW117" i="19"/>
  <c r="FV117" i="19"/>
  <c r="FU117" i="19"/>
  <c r="FT117" i="19"/>
  <c r="FS117" i="19"/>
  <c r="FR117" i="19"/>
  <c r="FQ117" i="19"/>
  <c r="FP117" i="19"/>
  <c r="FO117" i="19"/>
  <c r="FN117" i="19"/>
  <c r="FM117" i="19"/>
  <c r="FL117" i="19"/>
  <c r="FK117" i="19"/>
  <c r="FJ117" i="19"/>
  <c r="FI117" i="19"/>
  <c r="FH117" i="19"/>
  <c r="FG117" i="19"/>
  <c r="FF117" i="19"/>
  <c r="FE117" i="19"/>
  <c r="FD117" i="19"/>
  <c r="FC117" i="19"/>
  <c r="FB117" i="19"/>
  <c r="FA117" i="19"/>
  <c r="EZ117" i="19"/>
  <c r="EY117" i="19"/>
  <c r="EX117" i="19"/>
  <c r="EW117" i="19"/>
  <c r="EV117" i="19"/>
  <c r="EU117" i="19"/>
  <c r="GA116" i="19"/>
  <c r="FZ116" i="19"/>
  <c r="FY116" i="19"/>
  <c r="FX116" i="19"/>
  <c r="FW116" i="19"/>
  <c r="FV116" i="19"/>
  <c r="FU116" i="19"/>
  <c r="FT116" i="19"/>
  <c r="FS116" i="19"/>
  <c r="FR116" i="19"/>
  <c r="FQ116" i="19"/>
  <c r="FP116" i="19"/>
  <c r="FO116" i="19"/>
  <c r="FN116" i="19"/>
  <c r="FM116" i="19"/>
  <c r="FL116" i="19"/>
  <c r="FK116" i="19"/>
  <c r="FJ116" i="19"/>
  <c r="FI116" i="19"/>
  <c r="FH116" i="19"/>
  <c r="FG116" i="19"/>
  <c r="FF116" i="19"/>
  <c r="FE116" i="19"/>
  <c r="FD116" i="19"/>
  <c r="FC116" i="19"/>
  <c r="FB116" i="19"/>
  <c r="FA116" i="19"/>
  <c r="EZ116" i="19"/>
  <c r="EY116" i="19"/>
  <c r="EX116" i="19"/>
  <c r="EW116" i="19"/>
  <c r="EV116" i="19"/>
  <c r="EU116" i="19"/>
  <c r="GA73" i="19"/>
  <c r="FZ73" i="19"/>
  <c r="FY73" i="19"/>
  <c r="FX73" i="19"/>
  <c r="FW73" i="19"/>
  <c r="FV73" i="19"/>
  <c r="FU73" i="19"/>
  <c r="FT73" i="19"/>
  <c r="FS73" i="19"/>
  <c r="FR73" i="19"/>
  <c r="FQ73" i="19"/>
  <c r="FP73" i="19"/>
  <c r="FO73" i="19"/>
  <c r="FN73" i="19"/>
  <c r="FM73" i="19"/>
  <c r="FL73" i="19"/>
  <c r="FK73" i="19"/>
  <c r="FJ73" i="19"/>
  <c r="FI73" i="19"/>
  <c r="FH73" i="19"/>
  <c r="FG73" i="19"/>
  <c r="FF73" i="19"/>
  <c r="FE73" i="19"/>
  <c r="FD73" i="19"/>
  <c r="FC73" i="19"/>
  <c r="FB73" i="19"/>
  <c r="FA73" i="19"/>
  <c r="EZ73" i="19"/>
  <c r="EY73" i="19"/>
  <c r="EX73" i="19"/>
  <c r="EW73" i="19"/>
  <c r="EV73" i="19"/>
  <c r="EU73" i="19"/>
  <c r="GA72" i="19"/>
  <c r="FZ72" i="19"/>
  <c r="FY72" i="19"/>
  <c r="FX72" i="19"/>
  <c r="FW72" i="19"/>
  <c r="FV72" i="19"/>
  <c r="FU72" i="19"/>
  <c r="FT72" i="19"/>
  <c r="FS72" i="19"/>
  <c r="FR72" i="19"/>
  <c r="FQ72" i="19"/>
  <c r="FP72" i="19"/>
  <c r="FO72" i="19"/>
  <c r="FN72" i="19"/>
  <c r="FM72" i="19"/>
  <c r="FL72" i="19"/>
  <c r="FK72" i="19"/>
  <c r="FJ72" i="19"/>
  <c r="FI72" i="19"/>
  <c r="FH72" i="19"/>
  <c r="FG72" i="19"/>
  <c r="FF72" i="19"/>
  <c r="FE72" i="19"/>
  <c r="FD72" i="19"/>
  <c r="FC72" i="19"/>
  <c r="FB72" i="19"/>
  <c r="FA72" i="19"/>
  <c r="EZ72" i="19"/>
  <c r="EY72" i="19"/>
  <c r="EX72" i="19"/>
  <c r="EW72" i="19"/>
  <c r="EV72" i="19"/>
  <c r="EU72" i="19"/>
  <c r="GA71" i="19"/>
  <c r="FZ71" i="19"/>
  <c r="FY71" i="19"/>
  <c r="FX71" i="19"/>
  <c r="FW71" i="19"/>
  <c r="FV71" i="19"/>
  <c r="FU71" i="19"/>
  <c r="FT71" i="19"/>
  <c r="FS71" i="19"/>
  <c r="FR71" i="19"/>
  <c r="FQ71" i="19"/>
  <c r="FP71" i="19"/>
  <c r="FO71" i="19"/>
  <c r="FN71" i="19"/>
  <c r="FM71" i="19"/>
  <c r="FL71" i="19"/>
  <c r="FK71" i="19"/>
  <c r="FJ71" i="19"/>
  <c r="FI71" i="19"/>
  <c r="FH71" i="19"/>
  <c r="FG71" i="19"/>
  <c r="FF71" i="19"/>
  <c r="FE71" i="19"/>
  <c r="FD71" i="19"/>
  <c r="FC71" i="19"/>
  <c r="FB71" i="19"/>
  <c r="FA71" i="19"/>
  <c r="EZ71" i="19"/>
  <c r="EY71" i="19"/>
  <c r="EX71" i="19"/>
  <c r="EW71" i="19"/>
  <c r="EV71" i="19"/>
  <c r="EU71" i="19"/>
  <c r="GA70" i="19"/>
  <c r="FZ70" i="19"/>
  <c r="FY70" i="19"/>
  <c r="FX70" i="19"/>
  <c r="FW70" i="19"/>
  <c r="FV70" i="19"/>
  <c r="FU70" i="19"/>
  <c r="FT70" i="19"/>
  <c r="FS70" i="19"/>
  <c r="FR70" i="19"/>
  <c r="FQ70" i="19"/>
  <c r="FP70" i="19"/>
  <c r="FO70" i="19"/>
  <c r="FN70" i="19"/>
  <c r="FM70" i="19"/>
  <c r="FL70" i="19"/>
  <c r="FK70" i="19"/>
  <c r="FJ70" i="19"/>
  <c r="FI70" i="19"/>
  <c r="FH70" i="19"/>
  <c r="FG70" i="19"/>
  <c r="FF70" i="19"/>
  <c r="FE70" i="19"/>
  <c r="FD70" i="19"/>
  <c r="FC70" i="19"/>
  <c r="FB70" i="19"/>
  <c r="FA70" i="19"/>
  <c r="EZ70" i="19"/>
  <c r="EY70" i="19"/>
  <c r="EX70" i="19"/>
  <c r="EW70" i="19"/>
  <c r="EV70" i="19"/>
  <c r="EU70" i="19"/>
  <c r="GA69" i="19"/>
  <c r="FZ69" i="19"/>
  <c r="FY69" i="19"/>
  <c r="FX69" i="19"/>
  <c r="FW69" i="19"/>
  <c r="FV69" i="19"/>
  <c r="FU69" i="19"/>
  <c r="FT69" i="19"/>
  <c r="FS69" i="19"/>
  <c r="FR69" i="19"/>
  <c r="FQ69" i="19"/>
  <c r="FP69" i="19"/>
  <c r="FO69" i="19"/>
  <c r="FN69" i="19"/>
  <c r="FM69" i="19"/>
  <c r="FL69" i="19"/>
  <c r="FK69" i="19"/>
  <c r="FJ69" i="19"/>
  <c r="FI69" i="19"/>
  <c r="FH69" i="19"/>
  <c r="FG69" i="19"/>
  <c r="FF69" i="19"/>
  <c r="FE69" i="19"/>
  <c r="FD69" i="19"/>
  <c r="FC69" i="19"/>
  <c r="FB69" i="19"/>
  <c r="FA69" i="19"/>
  <c r="EZ69" i="19"/>
  <c r="EY69" i="19"/>
  <c r="EX69" i="19"/>
  <c r="EW69" i="19"/>
  <c r="EV69" i="19"/>
  <c r="EU69" i="19"/>
  <c r="GA68" i="19"/>
  <c r="FZ68" i="19"/>
  <c r="FY68" i="19"/>
  <c r="FX68" i="19"/>
  <c r="FW68" i="19"/>
  <c r="FV68" i="19"/>
  <c r="FU68" i="19"/>
  <c r="FT68" i="19"/>
  <c r="FS68" i="19"/>
  <c r="FR68" i="19"/>
  <c r="FQ68" i="19"/>
  <c r="FP68" i="19"/>
  <c r="FO68" i="19"/>
  <c r="FN68" i="19"/>
  <c r="FM68" i="19"/>
  <c r="FL68" i="19"/>
  <c r="FK68" i="19"/>
  <c r="FJ68" i="19"/>
  <c r="FI68" i="19"/>
  <c r="FH68" i="19"/>
  <c r="FG68" i="19"/>
  <c r="FF68" i="19"/>
  <c r="FE68" i="19"/>
  <c r="FD68" i="19"/>
  <c r="FC68" i="19"/>
  <c r="FB68" i="19"/>
  <c r="FA68" i="19"/>
  <c r="EZ68" i="19"/>
  <c r="EY68" i="19"/>
  <c r="EX68" i="19"/>
  <c r="EW68" i="19"/>
  <c r="EV68" i="19"/>
  <c r="EU68" i="19"/>
  <c r="GA67" i="19"/>
  <c r="FZ67" i="19"/>
  <c r="FY67" i="19"/>
  <c r="FX67" i="19"/>
  <c r="FW67" i="19"/>
  <c r="FV67" i="19"/>
  <c r="FU67" i="19"/>
  <c r="FT67" i="19"/>
  <c r="FS67" i="19"/>
  <c r="FR67" i="19"/>
  <c r="FQ67" i="19"/>
  <c r="FP67" i="19"/>
  <c r="FO67" i="19"/>
  <c r="FN67" i="19"/>
  <c r="FM67" i="19"/>
  <c r="FL67" i="19"/>
  <c r="FK67" i="19"/>
  <c r="FJ67" i="19"/>
  <c r="FI67" i="19"/>
  <c r="FH67" i="19"/>
  <c r="FG67" i="19"/>
  <c r="FF67" i="19"/>
  <c r="FE67" i="19"/>
  <c r="FD67" i="19"/>
  <c r="FC67" i="19"/>
  <c r="FB67" i="19"/>
  <c r="FA67" i="19"/>
  <c r="EZ67" i="19"/>
  <c r="EY67" i="19"/>
  <c r="EX67" i="19"/>
  <c r="EW67" i="19"/>
  <c r="EV67" i="19"/>
  <c r="EU67" i="19"/>
  <c r="GA66" i="19"/>
  <c r="FZ66" i="19"/>
  <c r="FY66" i="19"/>
  <c r="FX66" i="19"/>
  <c r="FW66" i="19"/>
  <c r="FV66" i="19"/>
  <c r="FU66" i="19"/>
  <c r="FT66" i="19"/>
  <c r="FS66" i="19"/>
  <c r="FR66" i="19"/>
  <c r="FQ66" i="19"/>
  <c r="FP66" i="19"/>
  <c r="FO66" i="19"/>
  <c r="FN66" i="19"/>
  <c r="FM66" i="19"/>
  <c r="FL66" i="19"/>
  <c r="FK66" i="19"/>
  <c r="FJ66" i="19"/>
  <c r="FI66" i="19"/>
  <c r="FH66" i="19"/>
  <c r="FG66" i="19"/>
  <c r="FF66" i="19"/>
  <c r="FE66" i="19"/>
  <c r="FD66" i="19"/>
  <c r="FC66" i="19"/>
  <c r="FB66" i="19"/>
  <c r="FA66" i="19"/>
  <c r="EZ66" i="19"/>
  <c r="EY66" i="19"/>
  <c r="EX66" i="19"/>
  <c r="EW66" i="19"/>
  <c r="EV66" i="19"/>
  <c r="EU66" i="19"/>
  <c r="GA65" i="19"/>
  <c r="FZ65" i="19"/>
  <c r="FY65" i="19"/>
  <c r="FX65" i="19"/>
  <c r="FW65" i="19"/>
  <c r="FV65" i="19"/>
  <c r="FU65" i="19"/>
  <c r="FT65" i="19"/>
  <c r="FS65" i="19"/>
  <c r="FR65" i="19"/>
  <c r="FQ65" i="19"/>
  <c r="FP65" i="19"/>
  <c r="FO65" i="19"/>
  <c r="FN65" i="19"/>
  <c r="FM65" i="19"/>
  <c r="FL65" i="19"/>
  <c r="FK65" i="19"/>
  <c r="FJ65" i="19"/>
  <c r="FI65" i="19"/>
  <c r="FH65" i="19"/>
  <c r="FG65" i="19"/>
  <c r="FF65" i="19"/>
  <c r="FE65" i="19"/>
  <c r="FD65" i="19"/>
  <c r="FC65" i="19"/>
  <c r="FB65" i="19"/>
  <c r="FA65" i="19"/>
  <c r="EZ65" i="19"/>
  <c r="EY65" i="19"/>
  <c r="EX65" i="19"/>
  <c r="EW65" i="19"/>
  <c r="EV65" i="19"/>
  <c r="EU65" i="19"/>
  <c r="GA64" i="19"/>
  <c r="FZ64" i="19"/>
  <c r="FY64" i="19"/>
  <c r="FX64" i="19"/>
  <c r="FW64" i="19"/>
  <c r="FV64" i="19"/>
  <c r="FU64" i="19"/>
  <c r="FT64" i="19"/>
  <c r="FS64" i="19"/>
  <c r="FR64" i="19"/>
  <c r="FQ64" i="19"/>
  <c r="FP64" i="19"/>
  <c r="FO64" i="19"/>
  <c r="FN64" i="19"/>
  <c r="FM64" i="19"/>
  <c r="FL64" i="19"/>
  <c r="FK64" i="19"/>
  <c r="FJ64" i="19"/>
  <c r="FI64" i="19"/>
  <c r="FH64" i="19"/>
  <c r="FG64" i="19"/>
  <c r="FF64" i="19"/>
  <c r="FE64" i="19"/>
  <c r="FD64" i="19"/>
  <c r="FC64" i="19"/>
  <c r="FB64" i="19"/>
  <c r="FA64" i="19"/>
  <c r="EZ64" i="19"/>
  <c r="EY64" i="19"/>
  <c r="EX64" i="19"/>
  <c r="EW64" i="19"/>
  <c r="EV64" i="19"/>
  <c r="EU64" i="19"/>
  <c r="GA63" i="19"/>
  <c r="FZ63" i="19"/>
  <c r="FY63" i="19"/>
  <c r="FX63" i="19"/>
  <c r="FW63" i="19"/>
  <c r="FV63" i="19"/>
  <c r="FU63" i="19"/>
  <c r="FT63" i="19"/>
  <c r="FS63" i="19"/>
  <c r="FR63" i="19"/>
  <c r="FQ63" i="19"/>
  <c r="FP63" i="19"/>
  <c r="FO63" i="19"/>
  <c r="FN63" i="19"/>
  <c r="FM63" i="19"/>
  <c r="FL63" i="19"/>
  <c r="FK63" i="19"/>
  <c r="FJ63" i="19"/>
  <c r="FI63" i="19"/>
  <c r="FH63" i="19"/>
  <c r="FG63" i="19"/>
  <c r="FF63" i="19"/>
  <c r="FE63" i="19"/>
  <c r="FD63" i="19"/>
  <c r="FC63" i="19"/>
  <c r="FB63" i="19"/>
  <c r="FA63" i="19"/>
  <c r="EZ63" i="19"/>
  <c r="EY63" i="19"/>
  <c r="EX63" i="19"/>
  <c r="EW63" i="19"/>
  <c r="EV63" i="19"/>
  <c r="EU63" i="19"/>
  <c r="GA62" i="19"/>
  <c r="FZ62" i="19"/>
  <c r="FY62" i="19"/>
  <c r="FX62" i="19"/>
  <c r="FW62" i="19"/>
  <c r="FV62" i="19"/>
  <c r="FU62" i="19"/>
  <c r="FT62" i="19"/>
  <c r="FS62" i="19"/>
  <c r="FR62" i="19"/>
  <c r="FQ62" i="19"/>
  <c r="FP62" i="19"/>
  <c r="FO62" i="19"/>
  <c r="FN62" i="19"/>
  <c r="FM62" i="19"/>
  <c r="FL62" i="19"/>
  <c r="FK62" i="19"/>
  <c r="FJ62" i="19"/>
  <c r="FI62" i="19"/>
  <c r="FH62" i="19"/>
  <c r="FG62" i="19"/>
  <c r="FF62" i="19"/>
  <c r="FE62" i="19"/>
  <c r="FD62" i="19"/>
  <c r="FC62" i="19"/>
  <c r="FB62" i="19"/>
  <c r="FA62" i="19"/>
  <c r="EZ62" i="19"/>
  <c r="EY62" i="19"/>
  <c r="EX62" i="19"/>
  <c r="EW62" i="19"/>
  <c r="EV62" i="19"/>
  <c r="EU62" i="19"/>
  <c r="GA61" i="19"/>
  <c r="FZ61" i="19"/>
  <c r="FY61" i="19"/>
  <c r="FX61" i="19"/>
  <c r="FW61" i="19"/>
  <c r="FV61" i="19"/>
  <c r="FU61" i="19"/>
  <c r="FT61" i="19"/>
  <c r="FS61" i="19"/>
  <c r="FR61" i="19"/>
  <c r="FQ61" i="19"/>
  <c r="FP61" i="19"/>
  <c r="FO61" i="19"/>
  <c r="FN61" i="19"/>
  <c r="FM61" i="19"/>
  <c r="FL61" i="19"/>
  <c r="FK61" i="19"/>
  <c r="FJ61" i="19"/>
  <c r="FI61" i="19"/>
  <c r="FH61" i="19"/>
  <c r="FG61" i="19"/>
  <c r="FF61" i="19"/>
  <c r="FE61" i="19"/>
  <c r="FD61" i="19"/>
  <c r="FC61" i="19"/>
  <c r="FB61" i="19"/>
  <c r="FA61" i="19"/>
  <c r="EZ61" i="19"/>
  <c r="EY61" i="19"/>
  <c r="EX61" i="19"/>
  <c r="EW61" i="19"/>
  <c r="EV61" i="19"/>
  <c r="EU61" i="19"/>
  <c r="GA60" i="19"/>
  <c r="FZ60" i="19"/>
  <c r="FY60" i="19"/>
  <c r="FX60" i="19"/>
  <c r="FW60" i="19"/>
  <c r="FV60" i="19"/>
  <c r="FU60" i="19"/>
  <c r="FT60" i="19"/>
  <c r="FS60" i="19"/>
  <c r="FR60" i="19"/>
  <c r="FQ60" i="19"/>
  <c r="FP60" i="19"/>
  <c r="FO60" i="19"/>
  <c r="FN60" i="19"/>
  <c r="FM60" i="19"/>
  <c r="FL60" i="19"/>
  <c r="FK60" i="19"/>
  <c r="FJ60" i="19"/>
  <c r="FI60" i="19"/>
  <c r="FH60" i="19"/>
  <c r="FG60" i="19"/>
  <c r="FF60" i="19"/>
  <c r="FE60" i="19"/>
  <c r="FD60" i="19"/>
  <c r="FC60" i="19"/>
  <c r="FB60" i="19"/>
  <c r="FA60" i="19"/>
  <c r="EZ60" i="19"/>
  <c r="EY60" i="19"/>
  <c r="EX60" i="19"/>
  <c r="EW60" i="19"/>
  <c r="EV60" i="19"/>
  <c r="EU60" i="19"/>
  <c r="GA59" i="19"/>
  <c r="FZ59" i="19"/>
  <c r="FY59" i="19"/>
  <c r="FX59" i="19"/>
  <c r="FW59" i="19"/>
  <c r="FV59" i="19"/>
  <c r="FU59" i="19"/>
  <c r="FT59" i="19"/>
  <c r="FS59" i="19"/>
  <c r="FR59" i="19"/>
  <c r="FQ59" i="19"/>
  <c r="FP59" i="19"/>
  <c r="FO59" i="19"/>
  <c r="FN59" i="19"/>
  <c r="FM59" i="19"/>
  <c r="FL59" i="19"/>
  <c r="FK59" i="19"/>
  <c r="FJ59" i="19"/>
  <c r="FI59" i="19"/>
  <c r="FH59" i="19"/>
  <c r="FG59" i="19"/>
  <c r="FF59" i="19"/>
  <c r="FE59" i="19"/>
  <c r="FD59" i="19"/>
  <c r="FC59" i="19"/>
  <c r="FB59" i="19"/>
  <c r="FA59" i="19"/>
  <c r="EZ59" i="19"/>
  <c r="EY59" i="19"/>
  <c r="EX59" i="19"/>
  <c r="EW59" i="19"/>
  <c r="EV59" i="19"/>
  <c r="EU59" i="19"/>
  <c r="GA58" i="19"/>
  <c r="FZ58" i="19"/>
  <c r="FY58" i="19"/>
  <c r="FX58" i="19"/>
  <c r="FW58" i="19"/>
  <c r="FV58" i="19"/>
  <c r="FU58" i="19"/>
  <c r="FT58" i="19"/>
  <c r="FS58" i="19"/>
  <c r="FR58" i="19"/>
  <c r="FQ58" i="19"/>
  <c r="FP58" i="19"/>
  <c r="FO58" i="19"/>
  <c r="FN58" i="19"/>
  <c r="FM58" i="19"/>
  <c r="FL58" i="19"/>
  <c r="FK58" i="19"/>
  <c r="FJ58" i="19"/>
  <c r="FI58" i="19"/>
  <c r="FH58" i="19"/>
  <c r="FG58" i="19"/>
  <c r="FF58" i="19"/>
  <c r="FE58" i="19"/>
  <c r="FD58" i="19"/>
  <c r="FC58" i="19"/>
  <c r="FB58" i="19"/>
  <c r="FA58" i="19"/>
  <c r="EZ58" i="19"/>
  <c r="EY58" i="19"/>
  <c r="EX58" i="19"/>
  <c r="EW58" i="19"/>
  <c r="EV58" i="19"/>
  <c r="EU58" i="19"/>
  <c r="GA57" i="19"/>
  <c r="FZ57" i="19"/>
  <c r="FY57" i="19"/>
  <c r="FX57" i="19"/>
  <c r="FW57" i="19"/>
  <c r="FV57" i="19"/>
  <c r="FU57" i="19"/>
  <c r="FT57" i="19"/>
  <c r="FS57" i="19"/>
  <c r="FR57" i="19"/>
  <c r="FQ57" i="19"/>
  <c r="FP57" i="19"/>
  <c r="FO57" i="19"/>
  <c r="FN57" i="19"/>
  <c r="FM57" i="19"/>
  <c r="FL57" i="19"/>
  <c r="FK57" i="19"/>
  <c r="FJ57" i="19"/>
  <c r="FI57" i="19"/>
  <c r="FH57" i="19"/>
  <c r="FG57" i="19"/>
  <c r="FF57" i="19"/>
  <c r="FE57" i="19"/>
  <c r="FD57" i="19"/>
  <c r="FC57" i="19"/>
  <c r="FB57" i="19"/>
  <c r="FA57" i="19"/>
  <c r="EZ57" i="19"/>
  <c r="EY57" i="19"/>
  <c r="EX57" i="19"/>
  <c r="EW57" i="19"/>
  <c r="EV57" i="19"/>
  <c r="EU57" i="19"/>
  <c r="GA56" i="19"/>
  <c r="FZ56" i="19"/>
  <c r="FY56" i="19"/>
  <c r="FX56" i="19"/>
  <c r="FW56" i="19"/>
  <c r="FV56" i="19"/>
  <c r="FU56" i="19"/>
  <c r="FT56" i="19"/>
  <c r="FS56" i="19"/>
  <c r="FR56" i="19"/>
  <c r="FQ56" i="19"/>
  <c r="FP56" i="19"/>
  <c r="FO56" i="19"/>
  <c r="FN56" i="19"/>
  <c r="FM56" i="19"/>
  <c r="FL56" i="19"/>
  <c r="FK56" i="19"/>
  <c r="FJ56" i="19"/>
  <c r="FI56" i="19"/>
  <c r="FH56" i="19"/>
  <c r="FG56" i="19"/>
  <c r="FF56" i="19"/>
  <c r="FE56" i="19"/>
  <c r="FD56" i="19"/>
  <c r="FC56" i="19"/>
  <c r="FB56" i="19"/>
  <c r="FA56" i="19"/>
  <c r="EZ56" i="19"/>
  <c r="EY56" i="19"/>
  <c r="EX56" i="19"/>
  <c r="EW56" i="19"/>
  <c r="EV56" i="19"/>
  <c r="EU56" i="19"/>
  <c r="GA55" i="19"/>
  <c r="FZ55" i="19"/>
  <c r="FY55" i="19"/>
  <c r="FX55" i="19"/>
  <c r="FW55" i="19"/>
  <c r="FV55" i="19"/>
  <c r="FU55" i="19"/>
  <c r="FT55" i="19"/>
  <c r="FS55" i="19"/>
  <c r="FR55" i="19"/>
  <c r="FQ55" i="19"/>
  <c r="FP55" i="19"/>
  <c r="FO55" i="19"/>
  <c r="FN55" i="19"/>
  <c r="FM55" i="19"/>
  <c r="FL55" i="19"/>
  <c r="FK55" i="19"/>
  <c r="FJ55" i="19"/>
  <c r="FI55" i="19"/>
  <c r="FH55" i="19"/>
  <c r="FG55" i="19"/>
  <c r="FF55" i="19"/>
  <c r="FE55" i="19"/>
  <c r="FD55" i="19"/>
  <c r="FC55" i="19"/>
  <c r="FB55" i="19"/>
  <c r="FA55" i="19"/>
  <c r="EZ55" i="19"/>
  <c r="EY55" i="19"/>
  <c r="EX55" i="19"/>
  <c r="EW55" i="19"/>
  <c r="EV55" i="19"/>
  <c r="EU55" i="19"/>
  <c r="GA39" i="19"/>
  <c r="FZ39" i="19"/>
  <c r="FY39" i="19"/>
  <c r="FX39" i="19"/>
  <c r="FW39" i="19"/>
  <c r="FV39" i="19"/>
  <c r="FU39" i="19"/>
  <c r="FT39" i="19"/>
  <c r="FS39" i="19"/>
  <c r="FR39" i="19"/>
  <c r="FQ39" i="19"/>
  <c r="FP39" i="19"/>
  <c r="FO39" i="19"/>
  <c r="FN39" i="19"/>
  <c r="FM39" i="19"/>
  <c r="FL39" i="19"/>
  <c r="FK39" i="19"/>
  <c r="FJ39" i="19"/>
  <c r="FI39" i="19"/>
  <c r="FH39" i="19"/>
  <c r="FG39" i="19"/>
  <c r="FF39" i="19"/>
  <c r="FE39" i="19"/>
  <c r="FD39" i="19"/>
  <c r="FC39" i="19"/>
  <c r="FB39" i="19"/>
  <c r="FA39" i="19"/>
  <c r="EZ39" i="19"/>
  <c r="EY39" i="19"/>
  <c r="EX39" i="19"/>
  <c r="EW39" i="19"/>
  <c r="EV39" i="19"/>
  <c r="EU39" i="19"/>
  <c r="GA38" i="19"/>
  <c r="FZ38" i="19"/>
  <c r="FY38" i="19"/>
  <c r="FX38" i="19"/>
  <c r="FW38" i="19"/>
  <c r="FV38" i="19"/>
  <c r="FU38" i="19"/>
  <c r="FT38" i="19"/>
  <c r="FS38" i="19"/>
  <c r="FR38" i="19"/>
  <c r="FQ38" i="19"/>
  <c r="FP38" i="19"/>
  <c r="FO38" i="19"/>
  <c r="FN38" i="19"/>
  <c r="FM38" i="19"/>
  <c r="FL38" i="19"/>
  <c r="FK38" i="19"/>
  <c r="FJ38" i="19"/>
  <c r="FI38" i="19"/>
  <c r="FH38" i="19"/>
  <c r="FG38" i="19"/>
  <c r="FF38" i="19"/>
  <c r="FE38" i="19"/>
  <c r="FD38" i="19"/>
  <c r="FC38" i="19"/>
  <c r="FB38" i="19"/>
  <c r="FA38" i="19"/>
  <c r="EZ38" i="19"/>
  <c r="EY38" i="19"/>
  <c r="EX38" i="19"/>
  <c r="EW38" i="19"/>
  <c r="EV38" i="19"/>
  <c r="EU38" i="19"/>
  <c r="GA37" i="19"/>
  <c r="FZ37" i="19"/>
  <c r="FY37" i="19"/>
  <c r="FX37" i="19"/>
  <c r="FW37" i="19"/>
  <c r="FV37" i="19"/>
  <c r="FU37" i="19"/>
  <c r="FT37" i="19"/>
  <c r="FS37" i="19"/>
  <c r="FR37" i="19"/>
  <c r="FQ37" i="19"/>
  <c r="FP37" i="19"/>
  <c r="FO37" i="19"/>
  <c r="FN37" i="19"/>
  <c r="FM37" i="19"/>
  <c r="FL37" i="19"/>
  <c r="FK37" i="19"/>
  <c r="FJ37" i="19"/>
  <c r="FI37" i="19"/>
  <c r="FH37" i="19"/>
  <c r="FG37" i="19"/>
  <c r="FF37" i="19"/>
  <c r="FE37" i="19"/>
  <c r="FD37" i="19"/>
  <c r="FC37" i="19"/>
  <c r="FB37" i="19"/>
  <c r="FA37" i="19"/>
  <c r="EZ37" i="19"/>
  <c r="EY37" i="19"/>
  <c r="EX37" i="19"/>
  <c r="EW37" i="19"/>
  <c r="EV37" i="19"/>
  <c r="EU37" i="19"/>
  <c r="GA36" i="19"/>
  <c r="FZ36" i="19"/>
  <c r="FY36" i="19"/>
  <c r="FX36" i="19"/>
  <c r="FW36" i="19"/>
  <c r="FV36" i="19"/>
  <c r="FU36" i="19"/>
  <c r="FT36" i="19"/>
  <c r="FS36" i="19"/>
  <c r="FR36" i="19"/>
  <c r="FQ36" i="19"/>
  <c r="FP36" i="19"/>
  <c r="FO36" i="19"/>
  <c r="FN36" i="19"/>
  <c r="FM36" i="19"/>
  <c r="FL36" i="19"/>
  <c r="FK36" i="19"/>
  <c r="FJ36" i="19"/>
  <c r="FI36" i="19"/>
  <c r="FH36" i="19"/>
  <c r="FG36" i="19"/>
  <c r="FF36" i="19"/>
  <c r="FE36" i="19"/>
  <c r="FD36" i="19"/>
  <c r="FC36" i="19"/>
  <c r="FB36" i="19"/>
  <c r="FA36" i="19"/>
  <c r="EZ36" i="19"/>
  <c r="EY36" i="19"/>
  <c r="EX36" i="19"/>
  <c r="EW36" i="19"/>
  <c r="EV36" i="19"/>
  <c r="EU36" i="19"/>
  <c r="GA35" i="19"/>
  <c r="FZ35" i="19"/>
  <c r="FY35" i="19"/>
  <c r="FX35" i="19"/>
  <c r="FW35" i="19"/>
  <c r="FV35" i="19"/>
  <c r="FU35" i="19"/>
  <c r="FT35" i="19"/>
  <c r="FS35" i="19"/>
  <c r="FR35" i="19"/>
  <c r="FQ35" i="19"/>
  <c r="FP35" i="19"/>
  <c r="FO35" i="19"/>
  <c r="FN35" i="19"/>
  <c r="FM35" i="19"/>
  <c r="FL35" i="19"/>
  <c r="FK35" i="19"/>
  <c r="FJ35" i="19"/>
  <c r="FI35" i="19"/>
  <c r="FH35" i="19"/>
  <c r="FG35" i="19"/>
  <c r="FF35" i="19"/>
  <c r="FE35" i="19"/>
  <c r="FD35" i="19"/>
  <c r="FC35" i="19"/>
  <c r="FB35" i="19"/>
  <c r="FA35" i="19"/>
  <c r="EZ35" i="19"/>
  <c r="EY35" i="19"/>
  <c r="EX35" i="19"/>
  <c r="EW35" i="19"/>
  <c r="EV35" i="19"/>
  <c r="EU35" i="19"/>
  <c r="GA34" i="19"/>
  <c r="FZ34" i="19"/>
  <c r="FY34" i="19"/>
  <c r="FX34" i="19"/>
  <c r="FW34" i="19"/>
  <c r="FV34" i="19"/>
  <c r="FU34" i="19"/>
  <c r="FT34" i="19"/>
  <c r="FS34" i="19"/>
  <c r="FR34" i="19"/>
  <c r="FQ34" i="19"/>
  <c r="FP34" i="19"/>
  <c r="FO34" i="19"/>
  <c r="FN34" i="19"/>
  <c r="FM34" i="19"/>
  <c r="FL34" i="19"/>
  <c r="FK34" i="19"/>
  <c r="FJ34" i="19"/>
  <c r="FI34" i="19"/>
  <c r="FH34" i="19"/>
  <c r="FG34" i="19"/>
  <c r="FF34" i="19"/>
  <c r="FE34" i="19"/>
  <c r="FD34" i="19"/>
  <c r="FC34" i="19"/>
  <c r="FB34" i="19"/>
  <c r="FA34" i="19"/>
  <c r="EZ34" i="19"/>
  <c r="EY34" i="19"/>
  <c r="EX34" i="19"/>
  <c r="EW34" i="19"/>
  <c r="EV34" i="19"/>
  <c r="EU34" i="19"/>
  <c r="GA33" i="19"/>
  <c r="FZ33" i="19"/>
  <c r="FY33" i="19"/>
  <c r="FX33" i="19"/>
  <c r="FW33" i="19"/>
  <c r="FV33" i="19"/>
  <c r="FU33" i="19"/>
  <c r="FT33" i="19"/>
  <c r="FS33" i="19"/>
  <c r="FR33" i="19"/>
  <c r="FQ33" i="19"/>
  <c r="FP33" i="19"/>
  <c r="FO33" i="19"/>
  <c r="FN33" i="19"/>
  <c r="FM33" i="19"/>
  <c r="FL33" i="19"/>
  <c r="FK33" i="19"/>
  <c r="FJ33" i="19"/>
  <c r="FI33" i="19"/>
  <c r="FH33" i="19"/>
  <c r="FG33" i="19"/>
  <c r="FF33" i="19"/>
  <c r="FE33" i="19"/>
  <c r="FD33" i="19"/>
  <c r="FC33" i="19"/>
  <c r="FB33" i="19"/>
  <c r="FA33" i="19"/>
  <c r="EZ33" i="19"/>
  <c r="EY33" i="19"/>
  <c r="EX33" i="19"/>
  <c r="EW33" i="19"/>
  <c r="EV33" i="19"/>
  <c r="EU33" i="19"/>
  <c r="GA32" i="19"/>
  <c r="FZ32" i="19"/>
  <c r="FY32" i="19"/>
  <c r="FX32" i="19"/>
  <c r="FW32" i="19"/>
  <c r="FV32" i="19"/>
  <c r="FU32" i="19"/>
  <c r="FT32" i="19"/>
  <c r="FS32" i="19"/>
  <c r="FR32" i="19"/>
  <c r="FQ32" i="19"/>
  <c r="FP32" i="19"/>
  <c r="FO32" i="19"/>
  <c r="FN32" i="19"/>
  <c r="FM32" i="19"/>
  <c r="FL32" i="19"/>
  <c r="FK32" i="19"/>
  <c r="FJ32" i="19"/>
  <c r="FI32" i="19"/>
  <c r="FH32" i="19"/>
  <c r="FG32" i="19"/>
  <c r="FF32" i="19"/>
  <c r="FE32" i="19"/>
  <c r="FD32" i="19"/>
  <c r="FC32" i="19"/>
  <c r="FB32" i="19"/>
  <c r="FA32" i="19"/>
  <c r="EZ32" i="19"/>
  <c r="EY32" i="19"/>
  <c r="EX32" i="19"/>
  <c r="EW32" i="19"/>
  <c r="EV32" i="19"/>
  <c r="EU32" i="19"/>
  <c r="GA31" i="19"/>
  <c r="FZ31" i="19"/>
  <c r="FY31" i="19"/>
  <c r="FX31" i="19"/>
  <c r="FW31" i="19"/>
  <c r="FV31" i="19"/>
  <c r="FU31" i="19"/>
  <c r="FT31" i="19"/>
  <c r="FS31" i="19"/>
  <c r="FR31" i="19"/>
  <c r="FQ31" i="19"/>
  <c r="FP31" i="19"/>
  <c r="FO31" i="19"/>
  <c r="FN31" i="19"/>
  <c r="FM31" i="19"/>
  <c r="FL31" i="19"/>
  <c r="FK31" i="19"/>
  <c r="FJ31" i="19"/>
  <c r="FI31" i="19"/>
  <c r="FH31" i="19"/>
  <c r="FG31" i="19"/>
  <c r="FF31" i="19"/>
  <c r="FE31" i="19"/>
  <c r="FD31" i="19"/>
  <c r="FC31" i="19"/>
  <c r="FB31" i="19"/>
  <c r="FA31" i="19"/>
  <c r="EZ31" i="19"/>
  <c r="EY31" i="19"/>
  <c r="EX31" i="19"/>
  <c r="EW31" i="19"/>
  <c r="EV31" i="19"/>
  <c r="EU31" i="19"/>
  <c r="GA30" i="19"/>
  <c r="FZ30" i="19"/>
  <c r="FY30" i="19"/>
  <c r="FX30" i="19"/>
  <c r="FW30" i="19"/>
  <c r="FV30" i="19"/>
  <c r="FU30" i="19"/>
  <c r="FT30" i="19"/>
  <c r="FS30" i="19"/>
  <c r="FR30" i="19"/>
  <c r="FQ30" i="19"/>
  <c r="FP30" i="19"/>
  <c r="FO30" i="19"/>
  <c r="FN30" i="19"/>
  <c r="FM30" i="19"/>
  <c r="FL30" i="19"/>
  <c r="FK30" i="19"/>
  <c r="FJ30" i="19"/>
  <c r="FI30" i="19"/>
  <c r="FH30" i="19"/>
  <c r="FG30" i="19"/>
  <c r="FF30" i="19"/>
  <c r="FE30" i="19"/>
  <c r="FD30" i="19"/>
  <c r="FC30" i="19"/>
  <c r="FB30" i="19"/>
  <c r="FA30" i="19"/>
  <c r="EZ30" i="19"/>
  <c r="EY30" i="19"/>
  <c r="EX30" i="19"/>
  <c r="EW30" i="19"/>
  <c r="EV30" i="19"/>
  <c r="EU30" i="19"/>
  <c r="GA29" i="19"/>
  <c r="FZ29" i="19"/>
  <c r="FY29" i="19"/>
  <c r="FX29" i="19"/>
  <c r="FW29" i="19"/>
  <c r="FV29" i="19"/>
  <c r="FU29" i="19"/>
  <c r="FT29" i="19"/>
  <c r="FS29" i="19"/>
  <c r="FR29" i="19"/>
  <c r="FQ29" i="19"/>
  <c r="FP29" i="19"/>
  <c r="FO29" i="19"/>
  <c r="FN29" i="19"/>
  <c r="FM29" i="19"/>
  <c r="FL29" i="19"/>
  <c r="FK29" i="19"/>
  <c r="FJ29" i="19"/>
  <c r="FI29" i="19"/>
  <c r="FH29" i="19"/>
  <c r="FG29" i="19"/>
  <c r="FF29" i="19"/>
  <c r="FE29" i="19"/>
  <c r="FD29" i="19"/>
  <c r="FC29" i="19"/>
  <c r="FB29" i="19"/>
  <c r="FA29" i="19"/>
  <c r="EZ29" i="19"/>
  <c r="EY29" i="19"/>
  <c r="EX29" i="19"/>
  <c r="EW29" i="19"/>
  <c r="EV29" i="19"/>
  <c r="EU29" i="19"/>
  <c r="GA28" i="19"/>
  <c r="FZ28" i="19"/>
  <c r="FY28" i="19"/>
  <c r="FX28" i="19"/>
  <c r="FW28" i="19"/>
  <c r="FV28" i="19"/>
  <c r="FU28" i="19"/>
  <c r="FT28" i="19"/>
  <c r="FS28" i="19"/>
  <c r="FR28" i="19"/>
  <c r="FQ28" i="19"/>
  <c r="FP28" i="19"/>
  <c r="FO28" i="19"/>
  <c r="FN28" i="19"/>
  <c r="FM28" i="19"/>
  <c r="FL28" i="19"/>
  <c r="FK28" i="19"/>
  <c r="FJ28" i="19"/>
  <c r="FI28" i="19"/>
  <c r="FH28" i="19"/>
  <c r="FG28" i="19"/>
  <c r="FF28" i="19"/>
  <c r="FE28" i="19"/>
  <c r="FD28" i="19"/>
  <c r="FC28" i="19"/>
  <c r="FB28" i="19"/>
  <c r="FA28" i="19"/>
  <c r="EZ28" i="19"/>
  <c r="EY28" i="19"/>
  <c r="EX28" i="19"/>
  <c r="EW28" i="19"/>
  <c r="EV28" i="19"/>
  <c r="EU28" i="19"/>
  <c r="GA27" i="19"/>
  <c r="FZ27" i="19"/>
  <c r="FY27" i="19"/>
  <c r="FX27" i="19"/>
  <c r="FW27" i="19"/>
  <c r="FV27" i="19"/>
  <c r="FU27" i="19"/>
  <c r="FT27" i="19"/>
  <c r="FS27" i="19"/>
  <c r="FR27" i="19"/>
  <c r="FQ27" i="19"/>
  <c r="FP27" i="19"/>
  <c r="FO27" i="19"/>
  <c r="FN27" i="19"/>
  <c r="FM27" i="19"/>
  <c r="FL27" i="19"/>
  <c r="FK27" i="19"/>
  <c r="FJ27" i="19"/>
  <c r="FI27" i="19"/>
  <c r="FH27" i="19"/>
  <c r="FG27" i="19"/>
  <c r="FF27" i="19"/>
  <c r="FE27" i="19"/>
  <c r="FD27" i="19"/>
  <c r="FC27" i="19"/>
  <c r="FB27" i="19"/>
  <c r="FA27" i="19"/>
  <c r="EZ27" i="19"/>
  <c r="EY27" i="19"/>
  <c r="EX27" i="19"/>
  <c r="EW27" i="19"/>
  <c r="EV27" i="19"/>
  <c r="EU27" i="19"/>
  <c r="GA26" i="19"/>
  <c r="FZ26" i="19"/>
  <c r="FY26" i="19"/>
  <c r="FX26" i="19"/>
  <c r="FW26" i="19"/>
  <c r="FV26" i="19"/>
  <c r="FU26" i="19"/>
  <c r="FT26" i="19"/>
  <c r="FS26" i="19"/>
  <c r="FR26" i="19"/>
  <c r="FQ26" i="19"/>
  <c r="FP26" i="19"/>
  <c r="FO26" i="19"/>
  <c r="FN26" i="19"/>
  <c r="FM26" i="19"/>
  <c r="FL26" i="19"/>
  <c r="FK26" i="19"/>
  <c r="FJ26" i="19"/>
  <c r="FI26" i="19"/>
  <c r="FH26" i="19"/>
  <c r="FG26" i="19"/>
  <c r="FF26" i="19"/>
  <c r="FE26" i="19"/>
  <c r="FD26" i="19"/>
  <c r="FC26" i="19"/>
  <c r="FB26" i="19"/>
  <c r="FA26" i="19"/>
  <c r="EZ26" i="19"/>
  <c r="EY26" i="19"/>
  <c r="EX26" i="19"/>
  <c r="EW26" i="19"/>
  <c r="EV26" i="19"/>
  <c r="EU26" i="19"/>
  <c r="GA25" i="19"/>
  <c r="FZ25" i="19"/>
  <c r="FY25" i="19"/>
  <c r="FX25" i="19"/>
  <c r="FW25" i="19"/>
  <c r="FV25" i="19"/>
  <c r="FU25" i="19"/>
  <c r="FT25" i="19"/>
  <c r="FS25" i="19"/>
  <c r="FR25" i="19"/>
  <c r="FQ25" i="19"/>
  <c r="FP25" i="19"/>
  <c r="FO25" i="19"/>
  <c r="FN25" i="19"/>
  <c r="FM25" i="19"/>
  <c r="FL25" i="19"/>
  <c r="FK25" i="19"/>
  <c r="FJ25" i="19"/>
  <c r="FI25" i="19"/>
  <c r="FH25" i="19"/>
  <c r="FG25" i="19"/>
  <c r="FF25" i="19"/>
  <c r="FE25" i="19"/>
  <c r="FD25" i="19"/>
  <c r="FC25" i="19"/>
  <c r="FB25" i="19"/>
  <c r="FA25" i="19"/>
  <c r="EZ25" i="19"/>
  <c r="EY25" i="19"/>
  <c r="EX25" i="19"/>
  <c r="EW25" i="19"/>
  <c r="EV25" i="19"/>
  <c r="EU25" i="19"/>
  <c r="GA24" i="19"/>
  <c r="FZ24" i="19"/>
  <c r="FY24" i="19"/>
  <c r="FX24" i="19"/>
  <c r="FW24" i="19"/>
  <c r="FV24" i="19"/>
  <c r="FU24" i="19"/>
  <c r="FT24" i="19"/>
  <c r="FS24" i="19"/>
  <c r="FR24" i="19"/>
  <c r="FQ24" i="19"/>
  <c r="FP24" i="19"/>
  <c r="FO24" i="19"/>
  <c r="FN24" i="19"/>
  <c r="FM24" i="19"/>
  <c r="FL24" i="19"/>
  <c r="FK24" i="19"/>
  <c r="FJ24" i="19"/>
  <c r="FI24" i="19"/>
  <c r="FH24" i="19"/>
  <c r="FG24" i="19"/>
  <c r="FF24" i="19"/>
  <c r="FE24" i="19"/>
  <c r="FD24" i="19"/>
  <c r="FC24" i="19"/>
  <c r="FB24" i="19"/>
  <c r="FA24" i="19"/>
  <c r="EZ24" i="19"/>
  <c r="EY24" i="19"/>
  <c r="EX24" i="19"/>
  <c r="EW24" i="19"/>
  <c r="EV24" i="19"/>
  <c r="EU24" i="19"/>
  <c r="GA9" i="19"/>
  <c r="FZ9" i="19"/>
  <c r="FY9" i="19"/>
  <c r="FX9" i="19"/>
  <c r="FW9" i="19"/>
  <c r="FV9" i="19"/>
  <c r="FU9" i="19"/>
  <c r="FT9" i="19"/>
  <c r="FS9" i="19"/>
  <c r="FR9" i="19"/>
  <c r="FQ9" i="19"/>
  <c r="FP9" i="19"/>
  <c r="FO9" i="19"/>
  <c r="FN9" i="19"/>
  <c r="FM9" i="19"/>
  <c r="FL9" i="19"/>
  <c r="FK9" i="19"/>
  <c r="FJ9" i="19"/>
  <c r="FI9" i="19"/>
  <c r="FH9" i="19"/>
  <c r="FG9" i="19"/>
  <c r="FF9" i="19"/>
  <c r="FE9" i="19"/>
  <c r="FD9" i="19"/>
  <c r="FC9" i="19"/>
  <c r="FB9" i="19"/>
  <c r="FA9" i="19"/>
  <c r="EZ9" i="19"/>
  <c r="EY9" i="19"/>
  <c r="EX9" i="19"/>
  <c r="EW9" i="19"/>
  <c r="EV9" i="19"/>
  <c r="EU9" i="19"/>
  <c r="GA8" i="19"/>
  <c r="FZ8" i="19"/>
  <c r="FY8" i="19"/>
  <c r="FX8" i="19"/>
  <c r="FW8" i="19"/>
  <c r="FV8" i="19"/>
  <c r="FU8" i="19"/>
  <c r="FT8" i="19"/>
  <c r="FS8" i="19"/>
  <c r="FR8" i="19"/>
  <c r="FQ8" i="19"/>
  <c r="FP8" i="19"/>
  <c r="FO8" i="19"/>
  <c r="FN8" i="19"/>
  <c r="FM8" i="19"/>
  <c r="FL8" i="19"/>
  <c r="FK8" i="19"/>
  <c r="FJ8" i="19"/>
  <c r="FI8" i="19"/>
  <c r="FH8" i="19"/>
  <c r="FG8" i="19"/>
  <c r="FF8" i="19"/>
  <c r="FE8" i="19"/>
  <c r="FD8" i="19"/>
  <c r="FC8" i="19"/>
  <c r="FB8" i="19"/>
  <c r="FA8" i="19"/>
  <c r="EZ8" i="19"/>
  <c r="EY8" i="19"/>
  <c r="EX8" i="19"/>
  <c r="EW8" i="19"/>
  <c r="EV8" i="19"/>
  <c r="EU8" i="19"/>
  <c r="GA7" i="19"/>
  <c r="FZ7" i="19"/>
  <c r="FY7" i="19"/>
  <c r="FX7" i="19"/>
  <c r="FW7" i="19"/>
  <c r="FV7" i="19"/>
  <c r="FU7" i="19"/>
  <c r="FT7" i="19"/>
  <c r="FS7" i="19"/>
  <c r="FR7" i="19"/>
  <c r="FQ7" i="19"/>
  <c r="FP7" i="19"/>
  <c r="FO7" i="19"/>
  <c r="FN7" i="19"/>
  <c r="FM7" i="19"/>
  <c r="FL7" i="19"/>
  <c r="FK7" i="19"/>
  <c r="FJ7" i="19"/>
  <c r="FI7" i="19"/>
  <c r="FH7" i="19"/>
  <c r="FG7" i="19"/>
  <c r="FF7" i="19"/>
  <c r="FE7" i="19"/>
  <c r="FD7" i="19"/>
  <c r="FC7" i="19"/>
  <c r="FB7" i="19"/>
  <c r="FA7" i="19"/>
  <c r="EZ7" i="19"/>
  <c r="EY7" i="19"/>
  <c r="EX7" i="19"/>
  <c r="EW7" i="19"/>
  <c r="EV7" i="19"/>
  <c r="EU7" i="19"/>
  <c r="GA6" i="19"/>
  <c r="FZ6" i="19"/>
  <c r="FY6" i="19"/>
  <c r="FX6" i="19"/>
  <c r="FW6" i="19"/>
  <c r="FV6" i="19"/>
  <c r="FU6" i="19"/>
  <c r="FT6" i="19"/>
  <c r="FS6" i="19"/>
  <c r="FR6" i="19"/>
  <c r="FQ6" i="19"/>
  <c r="FP6" i="19"/>
  <c r="FO6" i="19"/>
  <c r="FN6" i="19"/>
  <c r="FM6" i="19"/>
  <c r="FL6" i="19"/>
  <c r="FK6" i="19"/>
  <c r="FJ6" i="19"/>
  <c r="FI6" i="19"/>
  <c r="FH6" i="19"/>
  <c r="FG6" i="19"/>
  <c r="FF6" i="19"/>
  <c r="FE6" i="19"/>
  <c r="FD6" i="19"/>
  <c r="FC6" i="19"/>
  <c r="FB6" i="19"/>
  <c r="FA6" i="19"/>
  <c r="EZ6" i="19"/>
  <c r="EY6" i="19"/>
  <c r="EX6" i="19"/>
  <c r="EW6" i="19"/>
  <c r="EV6" i="19"/>
  <c r="EU6" i="19"/>
  <c r="GA5" i="19"/>
  <c r="FZ5" i="19"/>
  <c r="FY5" i="19"/>
  <c r="FX5" i="19"/>
  <c r="FW5" i="19"/>
  <c r="FV5" i="19"/>
  <c r="FU5" i="19"/>
  <c r="FT5" i="19"/>
  <c r="FS5" i="19"/>
  <c r="FR5" i="19"/>
  <c r="FQ5" i="19"/>
  <c r="FP5" i="19"/>
  <c r="FO5" i="19"/>
  <c r="FN5" i="19"/>
  <c r="FM5" i="19"/>
  <c r="FL5" i="19"/>
  <c r="FK5" i="19"/>
  <c r="FJ5" i="19"/>
  <c r="FI5" i="19"/>
  <c r="FH5" i="19"/>
  <c r="FG5" i="19"/>
  <c r="FF5" i="19"/>
  <c r="FE5" i="19"/>
  <c r="FD5" i="19"/>
  <c r="FC5" i="19"/>
  <c r="FB5" i="19"/>
  <c r="FA5" i="19"/>
  <c r="EZ5" i="19"/>
  <c r="EY5" i="19"/>
  <c r="EX5" i="19"/>
  <c r="EW5" i="19"/>
  <c r="EV5" i="19"/>
  <c r="EU5" i="19"/>
  <c r="ET137" i="19"/>
  <c r="ES137" i="19"/>
  <c r="ER137" i="19"/>
  <c r="EQ137" i="19"/>
  <c r="EP137" i="19"/>
  <c r="EO137" i="19"/>
  <c r="EN137" i="19"/>
  <c r="EM137" i="19"/>
  <c r="EL137" i="19"/>
  <c r="EK137" i="19"/>
  <c r="EJ137" i="19"/>
  <c r="EI137" i="19"/>
  <c r="ET136" i="19"/>
  <c r="ES136" i="19"/>
  <c r="ER136" i="19"/>
  <c r="EQ136" i="19"/>
  <c r="EP136" i="19"/>
  <c r="EO136" i="19"/>
  <c r="EN136" i="19"/>
  <c r="EM136" i="19"/>
  <c r="EL136" i="19"/>
  <c r="EK136" i="19"/>
  <c r="EJ136" i="19"/>
  <c r="EI136" i="19"/>
  <c r="ET135" i="19"/>
  <c r="ES135" i="19"/>
  <c r="ER135" i="19"/>
  <c r="EQ135" i="19"/>
  <c r="EP135" i="19"/>
  <c r="EO135" i="19"/>
  <c r="EN135" i="19"/>
  <c r="EM135" i="19"/>
  <c r="EL135" i="19"/>
  <c r="EK135" i="19"/>
  <c r="EJ135" i="19"/>
  <c r="EI135" i="19"/>
  <c r="ET134" i="19"/>
  <c r="ES134" i="19"/>
  <c r="ER134" i="19"/>
  <c r="EQ134" i="19"/>
  <c r="EP134" i="19"/>
  <c r="EO134" i="19"/>
  <c r="EN134" i="19"/>
  <c r="EM134" i="19"/>
  <c r="EL134" i="19"/>
  <c r="EK134" i="19"/>
  <c r="EJ134" i="19"/>
  <c r="EI134" i="19"/>
  <c r="ET133" i="19"/>
  <c r="ES133" i="19"/>
  <c r="ER133" i="19"/>
  <c r="EQ133" i="19"/>
  <c r="EP133" i="19"/>
  <c r="EO133" i="19"/>
  <c r="EN133" i="19"/>
  <c r="EM133" i="19"/>
  <c r="EL133" i="19"/>
  <c r="EK133" i="19"/>
  <c r="EJ133" i="19"/>
  <c r="EI133" i="19"/>
  <c r="ET132" i="19"/>
  <c r="ES132" i="19"/>
  <c r="ER132" i="19"/>
  <c r="EQ132" i="19"/>
  <c r="EP132" i="19"/>
  <c r="EO132" i="19"/>
  <c r="EN132" i="19"/>
  <c r="EM132" i="19"/>
  <c r="EL132" i="19"/>
  <c r="EK132" i="19"/>
  <c r="EJ132" i="19"/>
  <c r="EI132" i="19"/>
  <c r="ET131" i="19"/>
  <c r="ES131" i="19"/>
  <c r="ER131" i="19"/>
  <c r="EQ131" i="19"/>
  <c r="EP131" i="19"/>
  <c r="EO131" i="19"/>
  <c r="EN131" i="19"/>
  <c r="EM131" i="19"/>
  <c r="EL131" i="19"/>
  <c r="EK131" i="19"/>
  <c r="EJ131" i="19"/>
  <c r="EI131" i="19"/>
  <c r="ET130" i="19"/>
  <c r="ES130" i="19"/>
  <c r="ER130" i="19"/>
  <c r="EQ130" i="19"/>
  <c r="EP130" i="19"/>
  <c r="EO130" i="19"/>
  <c r="EN130" i="19"/>
  <c r="EM130" i="19"/>
  <c r="EL130" i="19"/>
  <c r="EK130" i="19"/>
  <c r="EJ130" i="19"/>
  <c r="EI130" i="19"/>
  <c r="ET129" i="19"/>
  <c r="ES129" i="19"/>
  <c r="ER129" i="19"/>
  <c r="EQ129" i="19"/>
  <c r="EP129" i="19"/>
  <c r="EO129" i="19"/>
  <c r="EN129" i="19"/>
  <c r="EM129" i="19"/>
  <c r="EL129" i="19"/>
  <c r="EK129" i="19"/>
  <c r="EJ129" i="19"/>
  <c r="EI129" i="19"/>
  <c r="ET128" i="19"/>
  <c r="ES128" i="19"/>
  <c r="ER128" i="19"/>
  <c r="EQ128" i="19"/>
  <c r="EP128" i="19"/>
  <c r="EO128" i="19"/>
  <c r="EN128" i="19"/>
  <c r="EM128" i="19"/>
  <c r="EL128" i="19"/>
  <c r="EK128" i="19"/>
  <c r="EJ128" i="19"/>
  <c r="EI128" i="19"/>
  <c r="ET127" i="19"/>
  <c r="ES127" i="19"/>
  <c r="ER127" i="19"/>
  <c r="EQ127" i="19"/>
  <c r="EP127" i="19"/>
  <c r="EO127" i="19"/>
  <c r="EN127" i="19"/>
  <c r="EM127" i="19"/>
  <c r="EL127" i="19"/>
  <c r="EK127" i="19"/>
  <c r="EJ127" i="19"/>
  <c r="EI127" i="19"/>
  <c r="ET126" i="19"/>
  <c r="ES126" i="19"/>
  <c r="ER126" i="19"/>
  <c r="EQ126" i="19"/>
  <c r="EP126" i="19"/>
  <c r="EO126" i="19"/>
  <c r="EN126" i="19"/>
  <c r="EM126" i="19"/>
  <c r="EL126" i="19"/>
  <c r="EK126" i="19"/>
  <c r="EJ126" i="19"/>
  <c r="EI126" i="19"/>
  <c r="ET125" i="19"/>
  <c r="ES125" i="19"/>
  <c r="ER125" i="19"/>
  <c r="EQ125" i="19"/>
  <c r="EP125" i="19"/>
  <c r="EO125" i="19"/>
  <c r="EN125" i="19"/>
  <c r="EM125" i="19"/>
  <c r="EL125" i="19"/>
  <c r="EK125" i="19"/>
  <c r="EJ125" i="19"/>
  <c r="EI125" i="19"/>
  <c r="ET124" i="19"/>
  <c r="ES124" i="19"/>
  <c r="ER124" i="19"/>
  <c r="EQ124" i="19"/>
  <c r="EP124" i="19"/>
  <c r="EO124" i="19"/>
  <c r="EN124" i="19"/>
  <c r="EM124" i="19"/>
  <c r="EL124" i="19"/>
  <c r="EK124" i="19"/>
  <c r="EJ124" i="19"/>
  <c r="EI124" i="19"/>
  <c r="ET123" i="19"/>
  <c r="ES123" i="19"/>
  <c r="ER123" i="19"/>
  <c r="EQ123" i="19"/>
  <c r="EP123" i="19"/>
  <c r="EO123" i="19"/>
  <c r="EN123" i="19"/>
  <c r="EM123" i="19"/>
  <c r="EL123" i="19"/>
  <c r="EK123" i="19"/>
  <c r="EJ123" i="19"/>
  <c r="EI123" i="19"/>
  <c r="ET122" i="19"/>
  <c r="ES122" i="19"/>
  <c r="ER122" i="19"/>
  <c r="EQ122" i="19"/>
  <c r="EP122" i="19"/>
  <c r="EO122" i="19"/>
  <c r="EN122" i="19"/>
  <c r="EM122" i="19"/>
  <c r="EL122" i="19"/>
  <c r="EK122" i="19"/>
  <c r="EJ122" i="19"/>
  <c r="EI122" i="19"/>
  <c r="ET121" i="19"/>
  <c r="ES121" i="19"/>
  <c r="ER121" i="19"/>
  <c r="EQ121" i="19"/>
  <c r="EP121" i="19"/>
  <c r="EO121" i="19"/>
  <c r="EN121" i="19"/>
  <c r="EM121" i="19"/>
  <c r="EL121" i="19"/>
  <c r="EK121" i="19"/>
  <c r="EJ121" i="19"/>
  <c r="EI121" i="19"/>
  <c r="ET120" i="19"/>
  <c r="ES120" i="19"/>
  <c r="ER120" i="19"/>
  <c r="EQ120" i="19"/>
  <c r="EP120" i="19"/>
  <c r="EO120" i="19"/>
  <c r="EN120" i="19"/>
  <c r="EM120" i="19"/>
  <c r="EL120" i="19"/>
  <c r="EK120" i="19"/>
  <c r="EJ120" i="19"/>
  <c r="EI120" i="19"/>
  <c r="ET119" i="19"/>
  <c r="ES119" i="19"/>
  <c r="ER119" i="19"/>
  <c r="EQ119" i="19"/>
  <c r="EP119" i="19"/>
  <c r="EO119" i="19"/>
  <c r="EN119" i="19"/>
  <c r="EM119" i="19"/>
  <c r="EL119" i="19"/>
  <c r="EK119" i="19"/>
  <c r="EJ119" i="19"/>
  <c r="EI119" i="19"/>
  <c r="ET118" i="19"/>
  <c r="ES118" i="19"/>
  <c r="ER118" i="19"/>
  <c r="EQ118" i="19"/>
  <c r="EP118" i="19"/>
  <c r="EO118" i="19"/>
  <c r="EN118" i="19"/>
  <c r="EM118" i="19"/>
  <c r="EL118" i="19"/>
  <c r="EK118" i="19"/>
  <c r="EJ118" i="19"/>
  <c r="EI118" i="19"/>
  <c r="ET117" i="19"/>
  <c r="ES117" i="19"/>
  <c r="ER117" i="19"/>
  <c r="EQ117" i="19"/>
  <c r="EP117" i="19"/>
  <c r="EO117" i="19"/>
  <c r="EN117" i="19"/>
  <c r="EM117" i="19"/>
  <c r="EL117" i="19"/>
  <c r="EK117" i="19"/>
  <c r="EJ117" i="19"/>
  <c r="EI117" i="19"/>
  <c r="ET116" i="19"/>
  <c r="ES116" i="19"/>
  <c r="ER116" i="19"/>
  <c r="EQ116" i="19"/>
  <c r="EP116" i="19"/>
  <c r="EO116" i="19"/>
  <c r="EN116" i="19"/>
  <c r="EM116" i="19"/>
  <c r="EL116" i="19"/>
  <c r="EK116" i="19"/>
  <c r="EJ116" i="19"/>
  <c r="EI116" i="19"/>
  <c r="ET73" i="19"/>
  <c r="ES73" i="19"/>
  <c r="ER73" i="19"/>
  <c r="EQ73" i="19"/>
  <c r="EP73" i="19"/>
  <c r="EO73" i="19"/>
  <c r="EN73" i="19"/>
  <c r="EM73" i="19"/>
  <c r="EL73" i="19"/>
  <c r="EK73" i="19"/>
  <c r="EJ73" i="19"/>
  <c r="EI73" i="19"/>
  <c r="ET72" i="19"/>
  <c r="ES72" i="19"/>
  <c r="ER72" i="19"/>
  <c r="EQ72" i="19"/>
  <c r="EP72" i="19"/>
  <c r="EO72" i="19"/>
  <c r="EN72" i="19"/>
  <c r="EM72" i="19"/>
  <c r="EL72" i="19"/>
  <c r="EK72" i="19"/>
  <c r="EJ72" i="19"/>
  <c r="EI72" i="19"/>
  <c r="ET71" i="19"/>
  <c r="ES71" i="19"/>
  <c r="ER71" i="19"/>
  <c r="EQ71" i="19"/>
  <c r="EP71" i="19"/>
  <c r="EO71" i="19"/>
  <c r="EN71" i="19"/>
  <c r="EM71" i="19"/>
  <c r="EL71" i="19"/>
  <c r="EK71" i="19"/>
  <c r="EJ71" i="19"/>
  <c r="EI71" i="19"/>
  <c r="ET70" i="19"/>
  <c r="ES70" i="19"/>
  <c r="ER70" i="19"/>
  <c r="EQ70" i="19"/>
  <c r="EP70" i="19"/>
  <c r="EO70" i="19"/>
  <c r="EN70" i="19"/>
  <c r="EM70" i="19"/>
  <c r="EL70" i="19"/>
  <c r="EK70" i="19"/>
  <c r="EJ70" i="19"/>
  <c r="EI70" i="19"/>
  <c r="ET69" i="19"/>
  <c r="ES69" i="19"/>
  <c r="ER69" i="19"/>
  <c r="EQ69" i="19"/>
  <c r="EP69" i="19"/>
  <c r="EO69" i="19"/>
  <c r="EN69" i="19"/>
  <c r="EM69" i="19"/>
  <c r="EL69" i="19"/>
  <c r="EK69" i="19"/>
  <c r="EJ69" i="19"/>
  <c r="EI69" i="19"/>
  <c r="ET68" i="19"/>
  <c r="ES68" i="19"/>
  <c r="ER68" i="19"/>
  <c r="EQ68" i="19"/>
  <c r="EP68" i="19"/>
  <c r="EO68" i="19"/>
  <c r="EN68" i="19"/>
  <c r="EM68" i="19"/>
  <c r="EL68" i="19"/>
  <c r="EK68" i="19"/>
  <c r="EJ68" i="19"/>
  <c r="EI68" i="19"/>
  <c r="ET67" i="19"/>
  <c r="ES67" i="19"/>
  <c r="ER67" i="19"/>
  <c r="EQ67" i="19"/>
  <c r="EP67" i="19"/>
  <c r="EO67" i="19"/>
  <c r="EN67" i="19"/>
  <c r="EM67" i="19"/>
  <c r="EL67" i="19"/>
  <c r="EK67" i="19"/>
  <c r="EJ67" i="19"/>
  <c r="EI67" i="19"/>
  <c r="ET66" i="19"/>
  <c r="ES66" i="19"/>
  <c r="ER66" i="19"/>
  <c r="EQ66" i="19"/>
  <c r="EP66" i="19"/>
  <c r="EO66" i="19"/>
  <c r="EN66" i="19"/>
  <c r="EM66" i="19"/>
  <c r="EL66" i="19"/>
  <c r="EK66" i="19"/>
  <c r="EJ66" i="19"/>
  <c r="EI66" i="19"/>
  <c r="ET65" i="19"/>
  <c r="ES65" i="19"/>
  <c r="ER65" i="19"/>
  <c r="EQ65" i="19"/>
  <c r="EP65" i="19"/>
  <c r="EO65" i="19"/>
  <c r="EN65" i="19"/>
  <c r="EM65" i="19"/>
  <c r="EL65" i="19"/>
  <c r="EK65" i="19"/>
  <c r="EJ65" i="19"/>
  <c r="EI65" i="19"/>
  <c r="ET64" i="19"/>
  <c r="ES64" i="19"/>
  <c r="ER64" i="19"/>
  <c r="EQ64" i="19"/>
  <c r="EP64" i="19"/>
  <c r="EO64" i="19"/>
  <c r="EN64" i="19"/>
  <c r="EM64" i="19"/>
  <c r="EL64" i="19"/>
  <c r="EK64" i="19"/>
  <c r="EJ64" i="19"/>
  <c r="EI64" i="19"/>
  <c r="ET63" i="19"/>
  <c r="ES63" i="19"/>
  <c r="ER63" i="19"/>
  <c r="EQ63" i="19"/>
  <c r="EP63" i="19"/>
  <c r="EO63" i="19"/>
  <c r="EN63" i="19"/>
  <c r="EM63" i="19"/>
  <c r="EL63" i="19"/>
  <c r="EK63" i="19"/>
  <c r="EJ63" i="19"/>
  <c r="EI63" i="19"/>
  <c r="ET62" i="19"/>
  <c r="ES62" i="19"/>
  <c r="ER62" i="19"/>
  <c r="EQ62" i="19"/>
  <c r="EP62" i="19"/>
  <c r="EO62" i="19"/>
  <c r="EN62" i="19"/>
  <c r="EM62" i="19"/>
  <c r="EL62" i="19"/>
  <c r="EK62" i="19"/>
  <c r="EJ62" i="19"/>
  <c r="EI62" i="19"/>
  <c r="ET61" i="19"/>
  <c r="ES61" i="19"/>
  <c r="ER61" i="19"/>
  <c r="EQ61" i="19"/>
  <c r="EP61" i="19"/>
  <c r="EO61" i="19"/>
  <c r="EN61" i="19"/>
  <c r="EM61" i="19"/>
  <c r="EL61" i="19"/>
  <c r="EK61" i="19"/>
  <c r="EJ61" i="19"/>
  <c r="EI61" i="19"/>
  <c r="ET60" i="19"/>
  <c r="ES60" i="19"/>
  <c r="ER60" i="19"/>
  <c r="EQ60" i="19"/>
  <c r="EP60" i="19"/>
  <c r="EO60" i="19"/>
  <c r="EN60" i="19"/>
  <c r="EM60" i="19"/>
  <c r="EL60" i="19"/>
  <c r="EK60" i="19"/>
  <c r="EJ60" i="19"/>
  <c r="EI60" i="19"/>
  <c r="ET59" i="19"/>
  <c r="ES59" i="19"/>
  <c r="ER59" i="19"/>
  <c r="EQ59" i="19"/>
  <c r="EP59" i="19"/>
  <c r="EO59" i="19"/>
  <c r="EN59" i="19"/>
  <c r="EM59" i="19"/>
  <c r="EL59" i="19"/>
  <c r="EK59" i="19"/>
  <c r="EJ59" i="19"/>
  <c r="EI59" i="19"/>
  <c r="ET58" i="19"/>
  <c r="ES58" i="19"/>
  <c r="ER58" i="19"/>
  <c r="EQ58" i="19"/>
  <c r="EP58" i="19"/>
  <c r="EO58" i="19"/>
  <c r="EN58" i="19"/>
  <c r="EM58" i="19"/>
  <c r="EL58" i="19"/>
  <c r="EK58" i="19"/>
  <c r="EJ58" i="19"/>
  <c r="EI58" i="19"/>
  <c r="ET57" i="19"/>
  <c r="ES57" i="19"/>
  <c r="ER57" i="19"/>
  <c r="EQ57" i="19"/>
  <c r="EP57" i="19"/>
  <c r="EO57" i="19"/>
  <c r="EN57" i="19"/>
  <c r="EM57" i="19"/>
  <c r="EL57" i="19"/>
  <c r="EK57" i="19"/>
  <c r="EJ57" i="19"/>
  <c r="EI57" i="19"/>
  <c r="ET56" i="19"/>
  <c r="ES56" i="19"/>
  <c r="ER56" i="19"/>
  <c r="EQ56" i="19"/>
  <c r="EP56" i="19"/>
  <c r="EO56" i="19"/>
  <c r="EN56" i="19"/>
  <c r="EM56" i="19"/>
  <c r="EL56" i="19"/>
  <c r="EK56" i="19"/>
  <c r="EJ56" i="19"/>
  <c r="EI56" i="19"/>
  <c r="ET55" i="19"/>
  <c r="ES55" i="19"/>
  <c r="ER55" i="19"/>
  <c r="EQ55" i="19"/>
  <c r="EP55" i="19"/>
  <c r="EO55" i="19"/>
  <c r="EN55" i="19"/>
  <c r="EM55" i="19"/>
  <c r="EL55" i="19"/>
  <c r="EK55" i="19"/>
  <c r="EJ55" i="19"/>
  <c r="EI55" i="19"/>
  <c r="ET39" i="19"/>
  <c r="ES39" i="19"/>
  <c r="ER39" i="19"/>
  <c r="EQ39" i="19"/>
  <c r="EP39" i="19"/>
  <c r="EO39" i="19"/>
  <c r="EN39" i="19"/>
  <c r="EM39" i="19"/>
  <c r="EL39" i="19"/>
  <c r="EK39" i="19"/>
  <c r="EJ39" i="19"/>
  <c r="EI39" i="19"/>
  <c r="ET38" i="19"/>
  <c r="ES38" i="19"/>
  <c r="ER38" i="19"/>
  <c r="EQ38" i="19"/>
  <c r="EP38" i="19"/>
  <c r="EO38" i="19"/>
  <c r="EN38" i="19"/>
  <c r="EM38" i="19"/>
  <c r="EL38" i="19"/>
  <c r="EK38" i="19"/>
  <c r="EJ38" i="19"/>
  <c r="EI38" i="19"/>
  <c r="ET37" i="19"/>
  <c r="ES37" i="19"/>
  <c r="ER37" i="19"/>
  <c r="EQ37" i="19"/>
  <c r="EP37" i="19"/>
  <c r="EO37" i="19"/>
  <c r="EN37" i="19"/>
  <c r="EM37" i="19"/>
  <c r="EL37" i="19"/>
  <c r="EK37" i="19"/>
  <c r="EJ37" i="19"/>
  <c r="EI37" i="19"/>
  <c r="ET36" i="19"/>
  <c r="ES36" i="19"/>
  <c r="ER36" i="19"/>
  <c r="EQ36" i="19"/>
  <c r="EP36" i="19"/>
  <c r="EO36" i="19"/>
  <c r="EN36" i="19"/>
  <c r="EM36" i="19"/>
  <c r="EL36" i="19"/>
  <c r="EK36" i="19"/>
  <c r="EJ36" i="19"/>
  <c r="EI36" i="19"/>
  <c r="ET35" i="19"/>
  <c r="ES35" i="19"/>
  <c r="ER35" i="19"/>
  <c r="EQ35" i="19"/>
  <c r="EP35" i="19"/>
  <c r="EO35" i="19"/>
  <c r="EN35" i="19"/>
  <c r="EM35" i="19"/>
  <c r="EL35" i="19"/>
  <c r="EK35" i="19"/>
  <c r="EJ35" i="19"/>
  <c r="EI35" i="19"/>
  <c r="ET34" i="19"/>
  <c r="ES34" i="19"/>
  <c r="ER34" i="19"/>
  <c r="EQ34" i="19"/>
  <c r="EP34" i="19"/>
  <c r="EO34" i="19"/>
  <c r="EN34" i="19"/>
  <c r="EM34" i="19"/>
  <c r="EL34" i="19"/>
  <c r="EK34" i="19"/>
  <c r="EJ34" i="19"/>
  <c r="EI34" i="19"/>
  <c r="ET33" i="19"/>
  <c r="ES33" i="19"/>
  <c r="ER33" i="19"/>
  <c r="EQ33" i="19"/>
  <c r="EP33" i="19"/>
  <c r="EO33" i="19"/>
  <c r="EN33" i="19"/>
  <c r="EM33" i="19"/>
  <c r="EL33" i="19"/>
  <c r="EK33" i="19"/>
  <c r="EJ33" i="19"/>
  <c r="EI33" i="19"/>
  <c r="ET32" i="19"/>
  <c r="ES32" i="19"/>
  <c r="ER32" i="19"/>
  <c r="EQ32" i="19"/>
  <c r="EP32" i="19"/>
  <c r="EO32" i="19"/>
  <c r="EN32" i="19"/>
  <c r="EM32" i="19"/>
  <c r="EL32" i="19"/>
  <c r="EK32" i="19"/>
  <c r="EJ32" i="19"/>
  <c r="EI32" i="19"/>
  <c r="ET31" i="19"/>
  <c r="ES31" i="19"/>
  <c r="ER31" i="19"/>
  <c r="EQ31" i="19"/>
  <c r="EP31" i="19"/>
  <c r="EO31" i="19"/>
  <c r="EN31" i="19"/>
  <c r="EM31" i="19"/>
  <c r="EL31" i="19"/>
  <c r="EK31" i="19"/>
  <c r="EJ31" i="19"/>
  <c r="EI31" i="19"/>
  <c r="ET30" i="19"/>
  <c r="ES30" i="19"/>
  <c r="ER30" i="19"/>
  <c r="EQ30" i="19"/>
  <c r="EP30" i="19"/>
  <c r="EO30" i="19"/>
  <c r="EN30" i="19"/>
  <c r="EM30" i="19"/>
  <c r="EL30" i="19"/>
  <c r="EK30" i="19"/>
  <c r="EJ30" i="19"/>
  <c r="EI30" i="19"/>
  <c r="ET29" i="19"/>
  <c r="ES29" i="19"/>
  <c r="ER29" i="19"/>
  <c r="EQ29" i="19"/>
  <c r="EP29" i="19"/>
  <c r="EO29" i="19"/>
  <c r="EN29" i="19"/>
  <c r="EM29" i="19"/>
  <c r="EL29" i="19"/>
  <c r="EK29" i="19"/>
  <c r="EJ29" i="19"/>
  <c r="EI29" i="19"/>
  <c r="ET28" i="19"/>
  <c r="ES28" i="19"/>
  <c r="ER28" i="19"/>
  <c r="EQ28" i="19"/>
  <c r="EP28" i="19"/>
  <c r="EO28" i="19"/>
  <c r="EN28" i="19"/>
  <c r="EM28" i="19"/>
  <c r="EL28" i="19"/>
  <c r="EK28" i="19"/>
  <c r="EJ28" i="19"/>
  <c r="EI28" i="19"/>
  <c r="ET27" i="19"/>
  <c r="ES27" i="19"/>
  <c r="ER27" i="19"/>
  <c r="EQ27" i="19"/>
  <c r="EP27" i="19"/>
  <c r="EO27" i="19"/>
  <c r="EN27" i="19"/>
  <c r="EM27" i="19"/>
  <c r="EL27" i="19"/>
  <c r="EK27" i="19"/>
  <c r="EJ27" i="19"/>
  <c r="EI27" i="19"/>
  <c r="ET26" i="19"/>
  <c r="ES26" i="19"/>
  <c r="ER26" i="19"/>
  <c r="EQ26" i="19"/>
  <c r="EP26" i="19"/>
  <c r="EO26" i="19"/>
  <c r="EN26" i="19"/>
  <c r="EM26" i="19"/>
  <c r="EL26" i="19"/>
  <c r="EK26" i="19"/>
  <c r="EJ26" i="19"/>
  <c r="EI26" i="19"/>
  <c r="ET25" i="19"/>
  <c r="ES25" i="19"/>
  <c r="ER25" i="19"/>
  <c r="EQ25" i="19"/>
  <c r="EP25" i="19"/>
  <c r="EO25" i="19"/>
  <c r="EN25" i="19"/>
  <c r="EM25" i="19"/>
  <c r="EL25" i="19"/>
  <c r="EK25" i="19"/>
  <c r="EJ25" i="19"/>
  <c r="EI25" i="19"/>
  <c r="ET24" i="19"/>
  <c r="ES24" i="19"/>
  <c r="ER24" i="19"/>
  <c r="EQ24" i="19"/>
  <c r="EP24" i="19"/>
  <c r="EO24" i="19"/>
  <c r="EN24" i="19"/>
  <c r="EM24" i="19"/>
  <c r="EL24" i="19"/>
  <c r="EK24" i="19"/>
  <c r="EJ24" i="19"/>
  <c r="EI24" i="19"/>
  <c r="ET9" i="19"/>
  <c r="ES9" i="19"/>
  <c r="ER9" i="19"/>
  <c r="EQ9" i="19"/>
  <c r="EP9" i="19"/>
  <c r="EO9" i="19"/>
  <c r="EN9" i="19"/>
  <c r="EM9" i="19"/>
  <c r="EL9" i="19"/>
  <c r="EK9" i="19"/>
  <c r="EJ9" i="19"/>
  <c r="EI9" i="19"/>
  <c r="ET8" i="19"/>
  <c r="ES8" i="19"/>
  <c r="ER8" i="19"/>
  <c r="EQ8" i="19"/>
  <c r="EP8" i="19"/>
  <c r="EO8" i="19"/>
  <c r="EN8" i="19"/>
  <c r="EM8" i="19"/>
  <c r="EL8" i="19"/>
  <c r="EK8" i="19"/>
  <c r="EJ8" i="19"/>
  <c r="EI8" i="19"/>
  <c r="ET7" i="19"/>
  <c r="ES7" i="19"/>
  <c r="ER7" i="19"/>
  <c r="EQ7" i="19"/>
  <c r="EP7" i="19"/>
  <c r="EO7" i="19"/>
  <c r="EN7" i="19"/>
  <c r="EM7" i="19"/>
  <c r="EL7" i="19"/>
  <c r="EK7" i="19"/>
  <c r="EJ7" i="19"/>
  <c r="EI7" i="19"/>
  <c r="ET6" i="19"/>
  <c r="ES6" i="19"/>
  <c r="ER6" i="19"/>
  <c r="EQ6" i="19"/>
  <c r="EP6" i="19"/>
  <c r="EO6" i="19"/>
  <c r="EN6" i="19"/>
  <c r="EM6" i="19"/>
  <c r="EL6" i="19"/>
  <c r="EK6" i="19"/>
  <c r="EJ6" i="19"/>
  <c r="EI6" i="19"/>
  <c r="ET5" i="19"/>
  <c r="ES5" i="19"/>
  <c r="ER5" i="19"/>
  <c r="EQ5" i="19"/>
  <c r="EP5" i="19"/>
  <c r="EO5" i="19"/>
  <c r="EN5" i="19"/>
  <c r="EM5" i="19"/>
  <c r="EL5" i="19"/>
  <c r="EK5" i="19"/>
  <c r="EJ5" i="19"/>
  <c r="EI5" i="19"/>
  <c r="IF76" i="8"/>
  <c r="IE76" i="8"/>
  <c r="IF75" i="8"/>
  <c r="IE75" i="8"/>
  <c r="IF74" i="8"/>
  <c r="IE74" i="8"/>
  <c r="IF73" i="8"/>
  <c r="IE73" i="8"/>
  <c r="IF85" i="8"/>
  <c r="IE85" i="8"/>
  <c r="IF84" i="8"/>
  <c r="IE84" i="8"/>
  <c r="IF71" i="8"/>
  <c r="IE71" i="8"/>
  <c r="IF70" i="8"/>
  <c r="IE70" i="8"/>
  <c r="IF83" i="8"/>
  <c r="IE83" i="8"/>
  <c r="IF82" i="8"/>
  <c r="IE82" i="8"/>
  <c r="IF69" i="8"/>
  <c r="IE69" i="8"/>
  <c r="IF68" i="8"/>
  <c r="IE68" i="8"/>
  <c r="IF67" i="8"/>
  <c r="IE67" i="8"/>
  <c r="IF81" i="8"/>
  <c r="IE81" i="8"/>
  <c r="IF80" i="8"/>
  <c r="IE80" i="8"/>
  <c r="IF63" i="8"/>
  <c r="IE63" i="8"/>
  <c r="IF66" i="8"/>
  <c r="IE66" i="8"/>
  <c r="IF65" i="8"/>
  <c r="IE65" i="8"/>
  <c r="IF64" i="8"/>
  <c r="IE64" i="8"/>
  <c r="IF79" i="8"/>
  <c r="IE79" i="8"/>
  <c r="IF78" i="8"/>
  <c r="IE78" i="8"/>
  <c r="IF62" i="8"/>
  <c r="IE62" i="8"/>
  <c r="IF60" i="8"/>
  <c r="IE60" i="8"/>
  <c r="IF59" i="8"/>
  <c r="IE59" i="8"/>
  <c r="IF58" i="8"/>
  <c r="IE58" i="8"/>
  <c r="IF57" i="8"/>
  <c r="IE57" i="8"/>
  <c r="IF56" i="8"/>
  <c r="IE56" i="8"/>
  <c r="IF55" i="8"/>
  <c r="IE55" i="8"/>
  <c r="IF54" i="8"/>
  <c r="IE54" i="8"/>
  <c r="IF53" i="8"/>
  <c r="IE53" i="8"/>
  <c r="IF44" i="8"/>
  <c r="IE44" i="8"/>
  <c r="IF43" i="8"/>
  <c r="IE43" i="8"/>
  <c r="IF42" i="8"/>
  <c r="IE42" i="8"/>
  <c r="IF41" i="8"/>
  <c r="IE41" i="8"/>
  <c r="IF40" i="8"/>
  <c r="IE40" i="8"/>
  <c r="IF39" i="8"/>
  <c r="IE39" i="8"/>
  <c r="IF38" i="8"/>
  <c r="IE38" i="8"/>
  <c r="IF37" i="8"/>
  <c r="IE37" i="8"/>
  <c r="IF36" i="8"/>
  <c r="IE36" i="8"/>
  <c r="IF35" i="8"/>
  <c r="IE35" i="8"/>
  <c r="IF25" i="8"/>
  <c r="IE25" i="8"/>
  <c r="IF24" i="8"/>
  <c r="IE24" i="8"/>
  <c r="IF23" i="8"/>
  <c r="IE23" i="8"/>
  <c r="IF22" i="8"/>
  <c r="IE22" i="8"/>
  <c r="IF21" i="8"/>
  <c r="IE21" i="8"/>
  <c r="IF20" i="8"/>
  <c r="IE20" i="8"/>
  <c r="IF19" i="8"/>
  <c r="IE19" i="8"/>
  <c r="IF10" i="8"/>
  <c r="IE10" i="8"/>
  <c r="IF9" i="8"/>
  <c r="IE9" i="8"/>
  <c r="IF8" i="8"/>
  <c r="IE8" i="8"/>
  <c r="IF6" i="8"/>
  <c r="IE6" i="8"/>
  <c r="IF5" i="8"/>
  <c r="IE5" i="8"/>
  <c r="ID76" i="8"/>
  <c r="IC76" i="8"/>
  <c r="IB76" i="8"/>
  <c r="IA76" i="8"/>
  <c r="HZ76" i="8"/>
  <c r="HY76" i="8"/>
  <c r="HX76" i="8"/>
  <c r="HW76" i="8"/>
  <c r="HV76" i="8"/>
  <c r="HU76" i="8"/>
  <c r="HT76" i="8"/>
  <c r="HS76" i="8"/>
  <c r="HR76" i="8"/>
  <c r="HQ76" i="8"/>
  <c r="HP76" i="8"/>
  <c r="HO76" i="8"/>
  <c r="HN76" i="8"/>
  <c r="HM76" i="8"/>
  <c r="HL76" i="8"/>
  <c r="HK76" i="8"/>
  <c r="HJ76" i="8"/>
  <c r="HI76" i="8"/>
  <c r="HH76" i="8"/>
  <c r="HG76" i="8"/>
  <c r="HF76" i="8"/>
  <c r="HE76" i="8"/>
  <c r="HD76" i="8"/>
  <c r="HC76" i="8"/>
  <c r="HB76" i="8"/>
  <c r="HA76" i="8"/>
  <c r="GZ76" i="8"/>
  <c r="GY76" i="8"/>
  <c r="GX76" i="8"/>
  <c r="GW76" i="8"/>
  <c r="GV76" i="8"/>
  <c r="GU76" i="8"/>
  <c r="GT76" i="8"/>
  <c r="GS76" i="8"/>
  <c r="GR76" i="8"/>
  <c r="GQ76" i="8"/>
  <c r="GP76" i="8"/>
  <c r="GO76" i="8"/>
  <c r="GN76" i="8"/>
  <c r="GM76" i="8"/>
  <c r="GL76" i="8"/>
  <c r="GK76" i="8"/>
  <c r="GJ76" i="8"/>
  <c r="GI76" i="8"/>
  <c r="GH76" i="8"/>
  <c r="GG76" i="8"/>
  <c r="GF76" i="8"/>
  <c r="ID75" i="8"/>
  <c r="IC75" i="8"/>
  <c r="IB75" i="8"/>
  <c r="IA75" i="8"/>
  <c r="HZ75" i="8"/>
  <c r="HY75" i="8"/>
  <c r="HX75" i="8"/>
  <c r="HW75" i="8"/>
  <c r="HV75" i="8"/>
  <c r="HU75" i="8"/>
  <c r="HT75" i="8"/>
  <c r="HS75" i="8"/>
  <c r="HR75" i="8"/>
  <c r="HQ75" i="8"/>
  <c r="HP75" i="8"/>
  <c r="HO75" i="8"/>
  <c r="HN75" i="8"/>
  <c r="HM75" i="8"/>
  <c r="HL75" i="8"/>
  <c r="HK75" i="8"/>
  <c r="HJ75" i="8"/>
  <c r="HI75" i="8"/>
  <c r="HH75" i="8"/>
  <c r="HG75" i="8"/>
  <c r="HF75" i="8"/>
  <c r="HE75" i="8"/>
  <c r="HD75" i="8"/>
  <c r="HC75" i="8"/>
  <c r="HB75" i="8"/>
  <c r="HA75" i="8"/>
  <c r="GZ75" i="8"/>
  <c r="GY75" i="8"/>
  <c r="GX75" i="8"/>
  <c r="GW75" i="8"/>
  <c r="GV75" i="8"/>
  <c r="GU75" i="8"/>
  <c r="GT75" i="8"/>
  <c r="GS75" i="8"/>
  <c r="GR75" i="8"/>
  <c r="GQ75" i="8"/>
  <c r="GP75" i="8"/>
  <c r="GO75" i="8"/>
  <c r="GN75" i="8"/>
  <c r="GM75" i="8"/>
  <c r="GL75" i="8"/>
  <c r="GK75" i="8"/>
  <c r="GJ75" i="8"/>
  <c r="GI75" i="8"/>
  <c r="GH75" i="8"/>
  <c r="GG75" i="8"/>
  <c r="GF75" i="8"/>
  <c r="ID74" i="8"/>
  <c r="IC74" i="8"/>
  <c r="IB74" i="8"/>
  <c r="IA74" i="8"/>
  <c r="HZ74" i="8"/>
  <c r="HY74" i="8"/>
  <c r="HX74" i="8"/>
  <c r="HW74" i="8"/>
  <c r="HV74" i="8"/>
  <c r="HU74" i="8"/>
  <c r="HT74" i="8"/>
  <c r="HS74" i="8"/>
  <c r="HR74" i="8"/>
  <c r="HQ74" i="8"/>
  <c r="HP74" i="8"/>
  <c r="HO74" i="8"/>
  <c r="HN74" i="8"/>
  <c r="HM74" i="8"/>
  <c r="HL74" i="8"/>
  <c r="HK74" i="8"/>
  <c r="HJ74" i="8"/>
  <c r="HI74" i="8"/>
  <c r="HH74" i="8"/>
  <c r="HG74" i="8"/>
  <c r="HF74" i="8"/>
  <c r="HE74" i="8"/>
  <c r="HD74" i="8"/>
  <c r="HC74" i="8"/>
  <c r="HB74" i="8"/>
  <c r="HA74" i="8"/>
  <c r="GZ74" i="8"/>
  <c r="GY74" i="8"/>
  <c r="GX74" i="8"/>
  <c r="GW74" i="8"/>
  <c r="GV74" i="8"/>
  <c r="GU74" i="8"/>
  <c r="GT74" i="8"/>
  <c r="GS74" i="8"/>
  <c r="GR74" i="8"/>
  <c r="GQ74" i="8"/>
  <c r="GP74" i="8"/>
  <c r="GO74" i="8"/>
  <c r="GN74" i="8"/>
  <c r="GM74" i="8"/>
  <c r="GL74" i="8"/>
  <c r="GK74" i="8"/>
  <c r="GJ74" i="8"/>
  <c r="GI74" i="8"/>
  <c r="GH74" i="8"/>
  <c r="GG74" i="8"/>
  <c r="GF74" i="8"/>
  <c r="ID73" i="8"/>
  <c r="IC73" i="8"/>
  <c r="IB73" i="8"/>
  <c r="IA73" i="8"/>
  <c r="HZ73" i="8"/>
  <c r="HY73" i="8"/>
  <c r="HX73" i="8"/>
  <c r="HW73" i="8"/>
  <c r="HV73" i="8"/>
  <c r="HU73" i="8"/>
  <c r="HT73" i="8"/>
  <c r="HS73" i="8"/>
  <c r="HR73" i="8"/>
  <c r="HQ73" i="8"/>
  <c r="HP73" i="8"/>
  <c r="HO73" i="8"/>
  <c r="HN73" i="8"/>
  <c r="HM73" i="8"/>
  <c r="HL73" i="8"/>
  <c r="HK73" i="8"/>
  <c r="HJ73" i="8"/>
  <c r="HI73" i="8"/>
  <c r="HH73" i="8"/>
  <c r="HG73" i="8"/>
  <c r="HF73" i="8"/>
  <c r="HE73" i="8"/>
  <c r="HD73" i="8"/>
  <c r="HC73" i="8"/>
  <c r="HB73" i="8"/>
  <c r="HA73" i="8"/>
  <c r="GZ73" i="8"/>
  <c r="GY73" i="8"/>
  <c r="GX73" i="8"/>
  <c r="GW73" i="8"/>
  <c r="GV73" i="8"/>
  <c r="GU73" i="8"/>
  <c r="GT73" i="8"/>
  <c r="GS73" i="8"/>
  <c r="GR73" i="8"/>
  <c r="GQ73" i="8"/>
  <c r="GP73" i="8"/>
  <c r="GO73" i="8"/>
  <c r="GN73" i="8"/>
  <c r="GM73" i="8"/>
  <c r="GL73" i="8"/>
  <c r="GK73" i="8"/>
  <c r="GJ73" i="8"/>
  <c r="GI73" i="8"/>
  <c r="GH73" i="8"/>
  <c r="GG73" i="8"/>
  <c r="GF73" i="8"/>
  <c r="ID85" i="8"/>
  <c r="IC85" i="8"/>
  <c r="IB85" i="8"/>
  <c r="IA85" i="8"/>
  <c r="HZ85" i="8"/>
  <c r="HY85" i="8"/>
  <c r="HX85" i="8"/>
  <c r="HW85" i="8"/>
  <c r="HV85" i="8"/>
  <c r="HU85" i="8"/>
  <c r="HT85" i="8"/>
  <c r="HS85" i="8"/>
  <c r="HR85" i="8"/>
  <c r="HQ85" i="8"/>
  <c r="HP85" i="8"/>
  <c r="HO85" i="8"/>
  <c r="HN85" i="8"/>
  <c r="HM85" i="8"/>
  <c r="HL85" i="8"/>
  <c r="HK85" i="8"/>
  <c r="HJ85" i="8"/>
  <c r="HI85" i="8"/>
  <c r="HH85" i="8"/>
  <c r="HG85" i="8"/>
  <c r="HF85" i="8"/>
  <c r="HE85" i="8"/>
  <c r="HD85" i="8"/>
  <c r="HC85" i="8"/>
  <c r="HB85" i="8"/>
  <c r="HA85" i="8"/>
  <c r="GZ85" i="8"/>
  <c r="GY85" i="8"/>
  <c r="GX85" i="8"/>
  <c r="GW85" i="8"/>
  <c r="GV85" i="8"/>
  <c r="GU85" i="8"/>
  <c r="GT85" i="8"/>
  <c r="GS85" i="8"/>
  <c r="GR85" i="8"/>
  <c r="GQ85" i="8"/>
  <c r="GP85" i="8"/>
  <c r="GO85" i="8"/>
  <c r="GN85" i="8"/>
  <c r="GM85" i="8"/>
  <c r="GL85" i="8"/>
  <c r="GK85" i="8"/>
  <c r="GJ85" i="8"/>
  <c r="GI85" i="8"/>
  <c r="GH85" i="8"/>
  <c r="GG85" i="8"/>
  <c r="GF85" i="8"/>
  <c r="ID84" i="8"/>
  <c r="IC84" i="8"/>
  <c r="IB84" i="8"/>
  <c r="IA84" i="8"/>
  <c r="HZ84" i="8"/>
  <c r="HY84" i="8"/>
  <c r="HX84" i="8"/>
  <c r="HW84" i="8"/>
  <c r="HV84" i="8"/>
  <c r="HU84" i="8"/>
  <c r="HT84" i="8"/>
  <c r="HS84" i="8"/>
  <c r="HR84" i="8"/>
  <c r="HQ84" i="8"/>
  <c r="HP84" i="8"/>
  <c r="HO84" i="8"/>
  <c r="HN84" i="8"/>
  <c r="HM84" i="8"/>
  <c r="HL84" i="8"/>
  <c r="HK84" i="8"/>
  <c r="HJ84" i="8"/>
  <c r="HI84" i="8"/>
  <c r="HH84" i="8"/>
  <c r="HG84" i="8"/>
  <c r="HF84" i="8"/>
  <c r="HE84" i="8"/>
  <c r="HD84" i="8"/>
  <c r="HC84" i="8"/>
  <c r="HB84" i="8"/>
  <c r="HA84" i="8"/>
  <c r="GZ84" i="8"/>
  <c r="GY84" i="8"/>
  <c r="GX84" i="8"/>
  <c r="GW84" i="8"/>
  <c r="GV84" i="8"/>
  <c r="GU84" i="8"/>
  <c r="GT84" i="8"/>
  <c r="GS84" i="8"/>
  <c r="GR84" i="8"/>
  <c r="GQ84" i="8"/>
  <c r="GP84" i="8"/>
  <c r="GO84" i="8"/>
  <c r="GN84" i="8"/>
  <c r="GM84" i="8"/>
  <c r="GL84" i="8"/>
  <c r="GK84" i="8"/>
  <c r="GJ84" i="8"/>
  <c r="GI84" i="8"/>
  <c r="GH84" i="8"/>
  <c r="GG84" i="8"/>
  <c r="GF84" i="8"/>
  <c r="ID71" i="8"/>
  <c r="IC71" i="8"/>
  <c r="IB71" i="8"/>
  <c r="IA71" i="8"/>
  <c r="HZ71" i="8"/>
  <c r="HY71" i="8"/>
  <c r="HX71" i="8"/>
  <c r="HW71" i="8"/>
  <c r="HV71" i="8"/>
  <c r="HU71" i="8"/>
  <c r="HT71" i="8"/>
  <c r="HS71" i="8"/>
  <c r="HR71" i="8"/>
  <c r="HQ71" i="8"/>
  <c r="HP71" i="8"/>
  <c r="HO71" i="8"/>
  <c r="HN71" i="8"/>
  <c r="HM71" i="8"/>
  <c r="HL71" i="8"/>
  <c r="HK71" i="8"/>
  <c r="HJ71" i="8"/>
  <c r="HI71" i="8"/>
  <c r="HH71" i="8"/>
  <c r="HG71" i="8"/>
  <c r="HF71" i="8"/>
  <c r="HE71" i="8"/>
  <c r="HD71" i="8"/>
  <c r="HC71" i="8"/>
  <c r="HB71" i="8"/>
  <c r="HA71" i="8"/>
  <c r="GZ71" i="8"/>
  <c r="GY71" i="8"/>
  <c r="GX71" i="8"/>
  <c r="GW71" i="8"/>
  <c r="GV71" i="8"/>
  <c r="GU71" i="8"/>
  <c r="GT71" i="8"/>
  <c r="GS71" i="8"/>
  <c r="GR71" i="8"/>
  <c r="GQ71" i="8"/>
  <c r="GP71" i="8"/>
  <c r="GO71" i="8"/>
  <c r="GN71" i="8"/>
  <c r="GM71" i="8"/>
  <c r="GL71" i="8"/>
  <c r="GK71" i="8"/>
  <c r="GJ71" i="8"/>
  <c r="GI71" i="8"/>
  <c r="GH71" i="8"/>
  <c r="GG71" i="8"/>
  <c r="GF71" i="8"/>
  <c r="ID70" i="8"/>
  <c r="IC70" i="8"/>
  <c r="IB70" i="8"/>
  <c r="IA70" i="8"/>
  <c r="HZ70" i="8"/>
  <c r="HY70" i="8"/>
  <c r="HX70" i="8"/>
  <c r="HW70" i="8"/>
  <c r="HV70" i="8"/>
  <c r="HU70" i="8"/>
  <c r="HT70" i="8"/>
  <c r="HS70" i="8"/>
  <c r="HR70" i="8"/>
  <c r="HQ70" i="8"/>
  <c r="HP70" i="8"/>
  <c r="HO70" i="8"/>
  <c r="HN70" i="8"/>
  <c r="HM70" i="8"/>
  <c r="HL70" i="8"/>
  <c r="HK70" i="8"/>
  <c r="HJ70" i="8"/>
  <c r="HI70" i="8"/>
  <c r="HH70" i="8"/>
  <c r="HG70" i="8"/>
  <c r="HF70" i="8"/>
  <c r="HE70" i="8"/>
  <c r="HD70" i="8"/>
  <c r="HC70" i="8"/>
  <c r="HB70" i="8"/>
  <c r="HA70" i="8"/>
  <c r="GZ70" i="8"/>
  <c r="GY70" i="8"/>
  <c r="GX70" i="8"/>
  <c r="GW70" i="8"/>
  <c r="GV70" i="8"/>
  <c r="GU70" i="8"/>
  <c r="GT70" i="8"/>
  <c r="GS70" i="8"/>
  <c r="GR70" i="8"/>
  <c r="GQ70" i="8"/>
  <c r="GP70" i="8"/>
  <c r="GO70" i="8"/>
  <c r="GN70" i="8"/>
  <c r="GM70" i="8"/>
  <c r="GL70" i="8"/>
  <c r="GK70" i="8"/>
  <c r="GJ70" i="8"/>
  <c r="GI70" i="8"/>
  <c r="GH70" i="8"/>
  <c r="GG70" i="8"/>
  <c r="GF70" i="8"/>
  <c r="ID83" i="8"/>
  <c r="IC83" i="8"/>
  <c r="IB83" i="8"/>
  <c r="IA83" i="8"/>
  <c r="HZ83" i="8"/>
  <c r="HY83" i="8"/>
  <c r="HX83" i="8"/>
  <c r="HW83" i="8"/>
  <c r="HV83" i="8"/>
  <c r="HU83" i="8"/>
  <c r="HT83" i="8"/>
  <c r="HS83" i="8"/>
  <c r="HR83" i="8"/>
  <c r="HQ83" i="8"/>
  <c r="HP83" i="8"/>
  <c r="HO83" i="8"/>
  <c r="HN83" i="8"/>
  <c r="HM83" i="8"/>
  <c r="HL83" i="8"/>
  <c r="HK83" i="8"/>
  <c r="HJ83" i="8"/>
  <c r="HI83" i="8"/>
  <c r="HH83" i="8"/>
  <c r="HG83" i="8"/>
  <c r="HF83" i="8"/>
  <c r="HE83" i="8"/>
  <c r="HD83" i="8"/>
  <c r="HC83" i="8"/>
  <c r="HB83" i="8"/>
  <c r="HA83" i="8"/>
  <c r="GZ83" i="8"/>
  <c r="GY83" i="8"/>
  <c r="GX83" i="8"/>
  <c r="GW83" i="8"/>
  <c r="GV83" i="8"/>
  <c r="GU83" i="8"/>
  <c r="GT83" i="8"/>
  <c r="GS83" i="8"/>
  <c r="GR83" i="8"/>
  <c r="GQ83" i="8"/>
  <c r="GP83" i="8"/>
  <c r="GO83" i="8"/>
  <c r="GN83" i="8"/>
  <c r="GM83" i="8"/>
  <c r="GL83" i="8"/>
  <c r="GK83" i="8"/>
  <c r="GJ83" i="8"/>
  <c r="GI83" i="8"/>
  <c r="GH83" i="8"/>
  <c r="GG83" i="8"/>
  <c r="GF83" i="8"/>
  <c r="ID82" i="8"/>
  <c r="IC82" i="8"/>
  <c r="IB82" i="8"/>
  <c r="IA82" i="8"/>
  <c r="HZ82" i="8"/>
  <c r="HY82" i="8"/>
  <c r="HX82" i="8"/>
  <c r="HW82" i="8"/>
  <c r="HV82" i="8"/>
  <c r="HU82" i="8"/>
  <c r="HT82" i="8"/>
  <c r="HS82" i="8"/>
  <c r="HR82" i="8"/>
  <c r="HQ82" i="8"/>
  <c r="HP82" i="8"/>
  <c r="HO82" i="8"/>
  <c r="HN82" i="8"/>
  <c r="HM82" i="8"/>
  <c r="HL82" i="8"/>
  <c r="HK82" i="8"/>
  <c r="HJ82" i="8"/>
  <c r="HI82" i="8"/>
  <c r="HH82" i="8"/>
  <c r="HG82" i="8"/>
  <c r="HF82" i="8"/>
  <c r="HE82" i="8"/>
  <c r="HD82" i="8"/>
  <c r="HC82" i="8"/>
  <c r="HB82" i="8"/>
  <c r="HA82" i="8"/>
  <c r="GZ82" i="8"/>
  <c r="GY82" i="8"/>
  <c r="GX82" i="8"/>
  <c r="GW82" i="8"/>
  <c r="GV82" i="8"/>
  <c r="GU82" i="8"/>
  <c r="GT82" i="8"/>
  <c r="GS82" i="8"/>
  <c r="GR82" i="8"/>
  <c r="GQ82" i="8"/>
  <c r="GP82" i="8"/>
  <c r="GO82" i="8"/>
  <c r="GN82" i="8"/>
  <c r="GM82" i="8"/>
  <c r="GL82" i="8"/>
  <c r="GK82" i="8"/>
  <c r="GJ82" i="8"/>
  <c r="GI82" i="8"/>
  <c r="GH82" i="8"/>
  <c r="GG82" i="8"/>
  <c r="GF82" i="8"/>
  <c r="ID69" i="8"/>
  <c r="IC69" i="8"/>
  <c r="IB69" i="8"/>
  <c r="IA69" i="8"/>
  <c r="HZ69" i="8"/>
  <c r="HY69" i="8"/>
  <c r="HX69" i="8"/>
  <c r="HW69" i="8"/>
  <c r="HV69" i="8"/>
  <c r="HU69" i="8"/>
  <c r="HT69" i="8"/>
  <c r="HS69" i="8"/>
  <c r="HR69" i="8"/>
  <c r="HQ69" i="8"/>
  <c r="HP69" i="8"/>
  <c r="HO69" i="8"/>
  <c r="HN69" i="8"/>
  <c r="HM69" i="8"/>
  <c r="HL69" i="8"/>
  <c r="HK69" i="8"/>
  <c r="HJ69" i="8"/>
  <c r="HI69" i="8"/>
  <c r="HH69" i="8"/>
  <c r="HG69" i="8"/>
  <c r="HF69" i="8"/>
  <c r="HE69" i="8"/>
  <c r="HD69" i="8"/>
  <c r="HC69" i="8"/>
  <c r="HB69" i="8"/>
  <c r="HA69" i="8"/>
  <c r="GZ69" i="8"/>
  <c r="GY69" i="8"/>
  <c r="GX69" i="8"/>
  <c r="GW69" i="8"/>
  <c r="GV69" i="8"/>
  <c r="GU69" i="8"/>
  <c r="GT69" i="8"/>
  <c r="GS69" i="8"/>
  <c r="GR69" i="8"/>
  <c r="GQ69" i="8"/>
  <c r="GP69" i="8"/>
  <c r="GO69" i="8"/>
  <c r="GN69" i="8"/>
  <c r="GM69" i="8"/>
  <c r="GL69" i="8"/>
  <c r="GK69" i="8"/>
  <c r="GJ69" i="8"/>
  <c r="GI69" i="8"/>
  <c r="GH69" i="8"/>
  <c r="GG69" i="8"/>
  <c r="GF69" i="8"/>
  <c r="ID68" i="8"/>
  <c r="IC68" i="8"/>
  <c r="IB68" i="8"/>
  <c r="IA68" i="8"/>
  <c r="HZ68" i="8"/>
  <c r="HY68" i="8"/>
  <c r="HX68" i="8"/>
  <c r="HW68" i="8"/>
  <c r="HV68" i="8"/>
  <c r="HU68" i="8"/>
  <c r="HT68" i="8"/>
  <c r="HS68" i="8"/>
  <c r="HR68" i="8"/>
  <c r="HQ68" i="8"/>
  <c r="HP68" i="8"/>
  <c r="HO68" i="8"/>
  <c r="HN68" i="8"/>
  <c r="HM68" i="8"/>
  <c r="HL68" i="8"/>
  <c r="HK68" i="8"/>
  <c r="HJ68" i="8"/>
  <c r="HI68" i="8"/>
  <c r="HH68" i="8"/>
  <c r="HG68" i="8"/>
  <c r="HF68" i="8"/>
  <c r="HE68" i="8"/>
  <c r="HD68" i="8"/>
  <c r="HC68" i="8"/>
  <c r="HB68" i="8"/>
  <c r="HA68" i="8"/>
  <c r="GZ68" i="8"/>
  <c r="GY68" i="8"/>
  <c r="GX68" i="8"/>
  <c r="GW68" i="8"/>
  <c r="GV68" i="8"/>
  <c r="GU68" i="8"/>
  <c r="GT68" i="8"/>
  <c r="GS68" i="8"/>
  <c r="GR68" i="8"/>
  <c r="GQ68" i="8"/>
  <c r="GP68" i="8"/>
  <c r="GO68" i="8"/>
  <c r="GN68" i="8"/>
  <c r="GM68" i="8"/>
  <c r="GL68" i="8"/>
  <c r="GK68" i="8"/>
  <c r="GJ68" i="8"/>
  <c r="GI68" i="8"/>
  <c r="GH68" i="8"/>
  <c r="GG68" i="8"/>
  <c r="GF68" i="8"/>
  <c r="ID67" i="8"/>
  <c r="IC67" i="8"/>
  <c r="IB67" i="8"/>
  <c r="IA67" i="8"/>
  <c r="HZ67" i="8"/>
  <c r="HY67" i="8"/>
  <c r="HX67" i="8"/>
  <c r="HW67" i="8"/>
  <c r="HV67" i="8"/>
  <c r="HU67" i="8"/>
  <c r="HT67" i="8"/>
  <c r="HS67" i="8"/>
  <c r="HR67" i="8"/>
  <c r="HQ67" i="8"/>
  <c r="HP67" i="8"/>
  <c r="HO67" i="8"/>
  <c r="HN67" i="8"/>
  <c r="HM67" i="8"/>
  <c r="HL67" i="8"/>
  <c r="HK67" i="8"/>
  <c r="HJ67" i="8"/>
  <c r="HI67" i="8"/>
  <c r="HH67" i="8"/>
  <c r="HG67" i="8"/>
  <c r="HF67" i="8"/>
  <c r="HE67" i="8"/>
  <c r="HD67" i="8"/>
  <c r="HC67" i="8"/>
  <c r="HB67" i="8"/>
  <c r="HA67" i="8"/>
  <c r="GZ67" i="8"/>
  <c r="GY67" i="8"/>
  <c r="GX67" i="8"/>
  <c r="GW67" i="8"/>
  <c r="GV67" i="8"/>
  <c r="GU67" i="8"/>
  <c r="GT67" i="8"/>
  <c r="GS67" i="8"/>
  <c r="GR67" i="8"/>
  <c r="GQ67" i="8"/>
  <c r="GP67" i="8"/>
  <c r="GO67" i="8"/>
  <c r="GN67" i="8"/>
  <c r="GM67" i="8"/>
  <c r="GL67" i="8"/>
  <c r="GK67" i="8"/>
  <c r="GJ67" i="8"/>
  <c r="GI67" i="8"/>
  <c r="GH67" i="8"/>
  <c r="GG67" i="8"/>
  <c r="GF67" i="8"/>
  <c r="ID81" i="8"/>
  <c r="IC81" i="8"/>
  <c r="IB81" i="8"/>
  <c r="IA81" i="8"/>
  <c r="HZ81" i="8"/>
  <c r="HY81" i="8"/>
  <c r="HX81" i="8"/>
  <c r="HW81" i="8"/>
  <c r="HV81" i="8"/>
  <c r="HU81" i="8"/>
  <c r="HT81" i="8"/>
  <c r="HS81" i="8"/>
  <c r="HR81" i="8"/>
  <c r="HQ81" i="8"/>
  <c r="HP81" i="8"/>
  <c r="HO81" i="8"/>
  <c r="HN81" i="8"/>
  <c r="HM81" i="8"/>
  <c r="HL81" i="8"/>
  <c r="HK81" i="8"/>
  <c r="HJ81" i="8"/>
  <c r="HI81" i="8"/>
  <c r="HH81" i="8"/>
  <c r="HG81" i="8"/>
  <c r="HF81" i="8"/>
  <c r="HE81" i="8"/>
  <c r="HD81" i="8"/>
  <c r="HC81" i="8"/>
  <c r="HB81" i="8"/>
  <c r="HA81" i="8"/>
  <c r="GZ81" i="8"/>
  <c r="GY81" i="8"/>
  <c r="GX81" i="8"/>
  <c r="GW81" i="8"/>
  <c r="GV81" i="8"/>
  <c r="GU81" i="8"/>
  <c r="GT81" i="8"/>
  <c r="GS81" i="8"/>
  <c r="GR81" i="8"/>
  <c r="GQ81" i="8"/>
  <c r="GP81" i="8"/>
  <c r="GO81" i="8"/>
  <c r="GN81" i="8"/>
  <c r="GM81" i="8"/>
  <c r="GL81" i="8"/>
  <c r="GK81" i="8"/>
  <c r="GJ81" i="8"/>
  <c r="GI81" i="8"/>
  <c r="GH81" i="8"/>
  <c r="GG81" i="8"/>
  <c r="GF81" i="8"/>
  <c r="ID80" i="8"/>
  <c r="IC80" i="8"/>
  <c r="IB80" i="8"/>
  <c r="IA80" i="8"/>
  <c r="HZ80" i="8"/>
  <c r="HY80" i="8"/>
  <c r="HX80" i="8"/>
  <c r="HW80" i="8"/>
  <c r="HV80" i="8"/>
  <c r="HU80" i="8"/>
  <c r="HT80" i="8"/>
  <c r="HS80" i="8"/>
  <c r="HR80" i="8"/>
  <c r="HQ80" i="8"/>
  <c r="HP80" i="8"/>
  <c r="HO80" i="8"/>
  <c r="HN80" i="8"/>
  <c r="HM80" i="8"/>
  <c r="HL80" i="8"/>
  <c r="HK80" i="8"/>
  <c r="HJ80" i="8"/>
  <c r="HI80" i="8"/>
  <c r="HH80" i="8"/>
  <c r="HG80" i="8"/>
  <c r="HF80" i="8"/>
  <c r="HE80" i="8"/>
  <c r="HD80" i="8"/>
  <c r="HC80" i="8"/>
  <c r="HB80" i="8"/>
  <c r="HA80" i="8"/>
  <c r="GZ80" i="8"/>
  <c r="GY80" i="8"/>
  <c r="GX80" i="8"/>
  <c r="GW80" i="8"/>
  <c r="GV80" i="8"/>
  <c r="GU80" i="8"/>
  <c r="GT80" i="8"/>
  <c r="GS80" i="8"/>
  <c r="GR80" i="8"/>
  <c r="GQ80" i="8"/>
  <c r="GP80" i="8"/>
  <c r="GO80" i="8"/>
  <c r="GN80" i="8"/>
  <c r="GM80" i="8"/>
  <c r="GL80" i="8"/>
  <c r="GK80" i="8"/>
  <c r="GJ80" i="8"/>
  <c r="GI80" i="8"/>
  <c r="GH80" i="8"/>
  <c r="GG80" i="8"/>
  <c r="GF80" i="8"/>
  <c r="ID63" i="8"/>
  <c r="IC63" i="8"/>
  <c r="IB63" i="8"/>
  <c r="IA63" i="8"/>
  <c r="HZ63" i="8"/>
  <c r="HY63" i="8"/>
  <c r="HX63" i="8"/>
  <c r="HW63" i="8"/>
  <c r="HV63" i="8"/>
  <c r="HU63" i="8"/>
  <c r="HT63" i="8"/>
  <c r="HS63" i="8"/>
  <c r="HR63" i="8"/>
  <c r="HQ63" i="8"/>
  <c r="HP63" i="8"/>
  <c r="HO63" i="8"/>
  <c r="HN63" i="8"/>
  <c r="HM63" i="8"/>
  <c r="HL63" i="8"/>
  <c r="HK63" i="8"/>
  <c r="HJ63" i="8"/>
  <c r="HI63" i="8"/>
  <c r="HH63" i="8"/>
  <c r="HG63" i="8"/>
  <c r="HF63" i="8"/>
  <c r="HE63" i="8"/>
  <c r="HD63" i="8"/>
  <c r="HC63" i="8"/>
  <c r="HB63" i="8"/>
  <c r="HA63" i="8"/>
  <c r="GZ63" i="8"/>
  <c r="GY63" i="8"/>
  <c r="GX63" i="8"/>
  <c r="GW63" i="8"/>
  <c r="GV63" i="8"/>
  <c r="GU63" i="8"/>
  <c r="GT63" i="8"/>
  <c r="GS63" i="8"/>
  <c r="GR63" i="8"/>
  <c r="GQ63" i="8"/>
  <c r="GP63" i="8"/>
  <c r="GO63" i="8"/>
  <c r="GN63" i="8"/>
  <c r="GM63" i="8"/>
  <c r="GL63" i="8"/>
  <c r="GK63" i="8"/>
  <c r="GJ63" i="8"/>
  <c r="GI63" i="8"/>
  <c r="GH63" i="8"/>
  <c r="GG63" i="8"/>
  <c r="GF63" i="8"/>
  <c r="ID66" i="8"/>
  <c r="IC66" i="8"/>
  <c r="IB66" i="8"/>
  <c r="IA66" i="8"/>
  <c r="HZ66" i="8"/>
  <c r="HY66" i="8"/>
  <c r="HX66" i="8"/>
  <c r="HW66" i="8"/>
  <c r="HV66" i="8"/>
  <c r="HU66" i="8"/>
  <c r="HT66" i="8"/>
  <c r="HS66" i="8"/>
  <c r="HR66" i="8"/>
  <c r="HQ66" i="8"/>
  <c r="HP66" i="8"/>
  <c r="HO66" i="8"/>
  <c r="HN66" i="8"/>
  <c r="HM66" i="8"/>
  <c r="HL66" i="8"/>
  <c r="HK66" i="8"/>
  <c r="HJ66" i="8"/>
  <c r="HI66" i="8"/>
  <c r="HH66" i="8"/>
  <c r="HG66" i="8"/>
  <c r="HF66" i="8"/>
  <c r="HE66" i="8"/>
  <c r="HD66" i="8"/>
  <c r="HC66" i="8"/>
  <c r="HB66" i="8"/>
  <c r="HA66" i="8"/>
  <c r="GZ66" i="8"/>
  <c r="GY66" i="8"/>
  <c r="GX66" i="8"/>
  <c r="GW66" i="8"/>
  <c r="GV66" i="8"/>
  <c r="GU66" i="8"/>
  <c r="GT66" i="8"/>
  <c r="GS66" i="8"/>
  <c r="GR66" i="8"/>
  <c r="GQ66" i="8"/>
  <c r="GP66" i="8"/>
  <c r="GO66" i="8"/>
  <c r="GN66" i="8"/>
  <c r="GM66" i="8"/>
  <c r="GL66" i="8"/>
  <c r="GK66" i="8"/>
  <c r="GJ66" i="8"/>
  <c r="GI66" i="8"/>
  <c r="GH66" i="8"/>
  <c r="GG66" i="8"/>
  <c r="GF66" i="8"/>
  <c r="ID65" i="8"/>
  <c r="IC65" i="8"/>
  <c r="IB65" i="8"/>
  <c r="IA65" i="8"/>
  <c r="HZ65" i="8"/>
  <c r="HY65" i="8"/>
  <c r="HX65" i="8"/>
  <c r="HW65" i="8"/>
  <c r="HV65" i="8"/>
  <c r="HU65" i="8"/>
  <c r="HT65" i="8"/>
  <c r="HS65" i="8"/>
  <c r="HR65" i="8"/>
  <c r="HQ65" i="8"/>
  <c r="HP65" i="8"/>
  <c r="HO65" i="8"/>
  <c r="HN65" i="8"/>
  <c r="HM65" i="8"/>
  <c r="HL65" i="8"/>
  <c r="HK65" i="8"/>
  <c r="HJ65" i="8"/>
  <c r="HI65" i="8"/>
  <c r="HH65" i="8"/>
  <c r="HG65" i="8"/>
  <c r="HF65" i="8"/>
  <c r="HE65" i="8"/>
  <c r="HD65" i="8"/>
  <c r="HC65" i="8"/>
  <c r="HB65" i="8"/>
  <c r="HA65" i="8"/>
  <c r="GZ65" i="8"/>
  <c r="GY65" i="8"/>
  <c r="GX65" i="8"/>
  <c r="GW65" i="8"/>
  <c r="GV65" i="8"/>
  <c r="GU65" i="8"/>
  <c r="GT65" i="8"/>
  <c r="GS65" i="8"/>
  <c r="GR65" i="8"/>
  <c r="GQ65" i="8"/>
  <c r="GP65" i="8"/>
  <c r="GO65" i="8"/>
  <c r="GN65" i="8"/>
  <c r="GM65" i="8"/>
  <c r="GL65" i="8"/>
  <c r="GK65" i="8"/>
  <c r="GJ65" i="8"/>
  <c r="GI65" i="8"/>
  <c r="GH65" i="8"/>
  <c r="GG65" i="8"/>
  <c r="GF65" i="8"/>
  <c r="ID64" i="8"/>
  <c r="IC64" i="8"/>
  <c r="IB64" i="8"/>
  <c r="IA64" i="8"/>
  <c r="HZ64" i="8"/>
  <c r="HY64" i="8"/>
  <c r="HX64" i="8"/>
  <c r="HW64" i="8"/>
  <c r="HV64" i="8"/>
  <c r="HU64" i="8"/>
  <c r="HT64" i="8"/>
  <c r="HS64" i="8"/>
  <c r="HR64" i="8"/>
  <c r="HQ64" i="8"/>
  <c r="HP64" i="8"/>
  <c r="HO64" i="8"/>
  <c r="HN64" i="8"/>
  <c r="HM64" i="8"/>
  <c r="HL64" i="8"/>
  <c r="HK64" i="8"/>
  <c r="HJ64" i="8"/>
  <c r="HI64" i="8"/>
  <c r="HH64" i="8"/>
  <c r="HG64" i="8"/>
  <c r="HF64" i="8"/>
  <c r="HE64" i="8"/>
  <c r="HD64" i="8"/>
  <c r="HC64" i="8"/>
  <c r="HB64" i="8"/>
  <c r="HA64" i="8"/>
  <c r="GZ64" i="8"/>
  <c r="GY64" i="8"/>
  <c r="GX64" i="8"/>
  <c r="GW64" i="8"/>
  <c r="GV64" i="8"/>
  <c r="GU64" i="8"/>
  <c r="GT64" i="8"/>
  <c r="GS64" i="8"/>
  <c r="GR64" i="8"/>
  <c r="GQ64" i="8"/>
  <c r="GP64" i="8"/>
  <c r="GO64" i="8"/>
  <c r="GN64" i="8"/>
  <c r="GM64" i="8"/>
  <c r="GL64" i="8"/>
  <c r="GK64" i="8"/>
  <c r="GJ64" i="8"/>
  <c r="GI64" i="8"/>
  <c r="GH64" i="8"/>
  <c r="GG64" i="8"/>
  <c r="GF64" i="8"/>
  <c r="ID79" i="8"/>
  <c r="IC79" i="8"/>
  <c r="IB79" i="8"/>
  <c r="IA79" i="8"/>
  <c r="HZ79" i="8"/>
  <c r="HY79" i="8"/>
  <c r="HX79" i="8"/>
  <c r="HW79" i="8"/>
  <c r="HV79" i="8"/>
  <c r="HU79" i="8"/>
  <c r="HT79" i="8"/>
  <c r="HS79" i="8"/>
  <c r="HR79" i="8"/>
  <c r="HQ79" i="8"/>
  <c r="HP79" i="8"/>
  <c r="HO79" i="8"/>
  <c r="HN79" i="8"/>
  <c r="HM79" i="8"/>
  <c r="HL79" i="8"/>
  <c r="HK79" i="8"/>
  <c r="HJ79" i="8"/>
  <c r="HI79" i="8"/>
  <c r="HH79" i="8"/>
  <c r="HG79" i="8"/>
  <c r="HF79" i="8"/>
  <c r="HE79" i="8"/>
  <c r="HD79" i="8"/>
  <c r="HC79" i="8"/>
  <c r="HB79" i="8"/>
  <c r="HA79" i="8"/>
  <c r="GZ79" i="8"/>
  <c r="GY79" i="8"/>
  <c r="GX79" i="8"/>
  <c r="GW79" i="8"/>
  <c r="GV79" i="8"/>
  <c r="GU79" i="8"/>
  <c r="GT79" i="8"/>
  <c r="GS79" i="8"/>
  <c r="GR79" i="8"/>
  <c r="GQ79" i="8"/>
  <c r="GP79" i="8"/>
  <c r="GO79" i="8"/>
  <c r="GN79" i="8"/>
  <c r="GM79" i="8"/>
  <c r="GL79" i="8"/>
  <c r="GK79" i="8"/>
  <c r="GJ79" i="8"/>
  <c r="GI79" i="8"/>
  <c r="GH79" i="8"/>
  <c r="GG79" i="8"/>
  <c r="GF79" i="8"/>
  <c r="ID78" i="8"/>
  <c r="IC78" i="8"/>
  <c r="IB78" i="8"/>
  <c r="IA78" i="8"/>
  <c r="HZ78" i="8"/>
  <c r="HY78" i="8"/>
  <c r="HX78" i="8"/>
  <c r="HW78" i="8"/>
  <c r="HV78" i="8"/>
  <c r="HU78" i="8"/>
  <c r="HT78" i="8"/>
  <c r="HS78" i="8"/>
  <c r="HR78" i="8"/>
  <c r="HQ78" i="8"/>
  <c r="HP78" i="8"/>
  <c r="HO78" i="8"/>
  <c r="HN78" i="8"/>
  <c r="HM78" i="8"/>
  <c r="HL78" i="8"/>
  <c r="HK78" i="8"/>
  <c r="HJ78" i="8"/>
  <c r="HI78" i="8"/>
  <c r="HH78" i="8"/>
  <c r="HG78" i="8"/>
  <c r="HF78" i="8"/>
  <c r="HE78" i="8"/>
  <c r="HD78" i="8"/>
  <c r="HC78" i="8"/>
  <c r="HB78" i="8"/>
  <c r="HA78" i="8"/>
  <c r="GZ78" i="8"/>
  <c r="GY78" i="8"/>
  <c r="GX78" i="8"/>
  <c r="GW78" i="8"/>
  <c r="GV78" i="8"/>
  <c r="GU78" i="8"/>
  <c r="GT78" i="8"/>
  <c r="GS78" i="8"/>
  <c r="GR78" i="8"/>
  <c r="GQ78" i="8"/>
  <c r="GP78" i="8"/>
  <c r="GO78" i="8"/>
  <c r="GN78" i="8"/>
  <c r="GM78" i="8"/>
  <c r="GL78" i="8"/>
  <c r="GK78" i="8"/>
  <c r="GJ78" i="8"/>
  <c r="GI78" i="8"/>
  <c r="GH78" i="8"/>
  <c r="GG78" i="8"/>
  <c r="GF78" i="8"/>
  <c r="ID62" i="8"/>
  <c r="IC62" i="8"/>
  <c r="IB62" i="8"/>
  <c r="IA62" i="8"/>
  <c r="HZ62" i="8"/>
  <c r="HY62" i="8"/>
  <c r="HX62" i="8"/>
  <c r="HW62" i="8"/>
  <c r="HV62" i="8"/>
  <c r="HU62" i="8"/>
  <c r="HT62" i="8"/>
  <c r="HS62" i="8"/>
  <c r="HR62" i="8"/>
  <c r="HQ62" i="8"/>
  <c r="HP62" i="8"/>
  <c r="HO62" i="8"/>
  <c r="HN62" i="8"/>
  <c r="HM62" i="8"/>
  <c r="HL62" i="8"/>
  <c r="HK62" i="8"/>
  <c r="HJ62" i="8"/>
  <c r="HI62" i="8"/>
  <c r="HH62" i="8"/>
  <c r="HG62" i="8"/>
  <c r="HF62" i="8"/>
  <c r="HE62" i="8"/>
  <c r="HD62" i="8"/>
  <c r="HC62" i="8"/>
  <c r="HB62" i="8"/>
  <c r="HA62" i="8"/>
  <c r="GZ62" i="8"/>
  <c r="GY62" i="8"/>
  <c r="GX62" i="8"/>
  <c r="GW62" i="8"/>
  <c r="GV62" i="8"/>
  <c r="GU62" i="8"/>
  <c r="GT62" i="8"/>
  <c r="GS62" i="8"/>
  <c r="GR62" i="8"/>
  <c r="GQ62" i="8"/>
  <c r="GP62" i="8"/>
  <c r="GO62" i="8"/>
  <c r="GN62" i="8"/>
  <c r="GM62" i="8"/>
  <c r="GL62" i="8"/>
  <c r="GK62" i="8"/>
  <c r="GJ62" i="8"/>
  <c r="GI62" i="8"/>
  <c r="GH62" i="8"/>
  <c r="GG62" i="8"/>
  <c r="GF62" i="8"/>
  <c r="ID60" i="8"/>
  <c r="IC60" i="8"/>
  <c r="IB60" i="8"/>
  <c r="IA60" i="8"/>
  <c r="HZ60" i="8"/>
  <c r="HY60" i="8"/>
  <c r="HX60" i="8"/>
  <c r="HW60" i="8"/>
  <c r="HV60" i="8"/>
  <c r="HU60" i="8"/>
  <c r="HT60" i="8"/>
  <c r="HS60" i="8"/>
  <c r="HR60" i="8"/>
  <c r="HQ60" i="8"/>
  <c r="HP60" i="8"/>
  <c r="HO60" i="8"/>
  <c r="HN60" i="8"/>
  <c r="HM60" i="8"/>
  <c r="HL60" i="8"/>
  <c r="HK60" i="8"/>
  <c r="HJ60" i="8"/>
  <c r="HI60" i="8"/>
  <c r="HH60" i="8"/>
  <c r="HG60" i="8"/>
  <c r="HF60" i="8"/>
  <c r="HE60" i="8"/>
  <c r="HD60" i="8"/>
  <c r="HC60" i="8"/>
  <c r="HB60" i="8"/>
  <c r="HA60" i="8"/>
  <c r="GZ60" i="8"/>
  <c r="GY60" i="8"/>
  <c r="GX60" i="8"/>
  <c r="GW60" i="8"/>
  <c r="GV60" i="8"/>
  <c r="GU60" i="8"/>
  <c r="GT60" i="8"/>
  <c r="GS60" i="8"/>
  <c r="GR60" i="8"/>
  <c r="GQ60" i="8"/>
  <c r="GP60" i="8"/>
  <c r="GO60" i="8"/>
  <c r="GN60" i="8"/>
  <c r="GM60" i="8"/>
  <c r="GL60" i="8"/>
  <c r="GK60" i="8"/>
  <c r="GJ60" i="8"/>
  <c r="GI60" i="8"/>
  <c r="GH60" i="8"/>
  <c r="GG60" i="8"/>
  <c r="GF60" i="8"/>
  <c r="ID59" i="8"/>
  <c r="IC59" i="8"/>
  <c r="IB59" i="8"/>
  <c r="IA59" i="8"/>
  <c r="HZ59" i="8"/>
  <c r="HY59" i="8"/>
  <c r="HX59" i="8"/>
  <c r="HW59" i="8"/>
  <c r="HV59" i="8"/>
  <c r="HU59" i="8"/>
  <c r="HT59" i="8"/>
  <c r="HS59" i="8"/>
  <c r="HR59" i="8"/>
  <c r="HQ59" i="8"/>
  <c r="HP59" i="8"/>
  <c r="HO59" i="8"/>
  <c r="HN59" i="8"/>
  <c r="HM59" i="8"/>
  <c r="HL59" i="8"/>
  <c r="HK59" i="8"/>
  <c r="HJ59" i="8"/>
  <c r="HI59" i="8"/>
  <c r="HH59" i="8"/>
  <c r="HG59" i="8"/>
  <c r="HF59" i="8"/>
  <c r="HE59" i="8"/>
  <c r="HD59" i="8"/>
  <c r="HC59" i="8"/>
  <c r="HB59" i="8"/>
  <c r="HA59" i="8"/>
  <c r="GZ59" i="8"/>
  <c r="GY59" i="8"/>
  <c r="GX59" i="8"/>
  <c r="GW59" i="8"/>
  <c r="GV59" i="8"/>
  <c r="GU59" i="8"/>
  <c r="GT59" i="8"/>
  <c r="GS59" i="8"/>
  <c r="GR59" i="8"/>
  <c r="GQ59" i="8"/>
  <c r="GP59" i="8"/>
  <c r="GO59" i="8"/>
  <c r="GN59" i="8"/>
  <c r="GM59" i="8"/>
  <c r="GL59" i="8"/>
  <c r="GK59" i="8"/>
  <c r="GJ59" i="8"/>
  <c r="GI59" i="8"/>
  <c r="GH59" i="8"/>
  <c r="GG59" i="8"/>
  <c r="GF59" i="8"/>
  <c r="ID58" i="8"/>
  <c r="IC58" i="8"/>
  <c r="IB58" i="8"/>
  <c r="IA58" i="8"/>
  <c r="HZ58" i="8"/>
  <c r="HY58" i="8"/>
  <c r="HX58" i="8"/>
  <c r="HW58" i="8"/>
  <c r="HV58" i="8"/>
  <c r="HU58" i="8"/>
  <c r="HT58" i="8"/>
  <c r="HS58" i="8"/>
  <c r="HR58" i="8"/>
  <c r="HQ58" i="8"/>
  <c r="HP58" i="8"/>
  <c r="HO58" i="8"/>
  <c r="HN58" i="8"/>
  <c r="HM58" i="8"/>
  <c r="HL58" i="8"/>
  <c r="HK58" i="8"/>
  <c r="HJ58" i="8"/>
  <c r="HI58" i="8"/>
  <c r="HH58" i="8"/>
  <c r="HG58" i="8"/>
  <c r="HF58" i="8"/>
  <c r="HE58" i="8"/>
  <c r="HD58" i="8"/>
  <c r="HC58" i="8"/>
  <c r="HB58" i="8"/>
  <c r="HA58" i="8"/>
  <c r="GZ58" i="8"/>
  <c r="GY58" i="8"/>
  <c r="GX58" i="8"/>
  <c r="GW58" i="8"/>
  <c r="GV58" i="8"/>
  <c r="GU58" i="8"/>
  <c r="GT58" i="8"/>
  <c r="GS58" i="8"/>
  <c r="GR58" i="8"/>
  <c r="GQ58" i="8"/>
  <c r="GP58" i="8"/>
  <c r="GO58" i="8"/>
  <c r="GN58" i="8"/>
  <c r="GM58" i="8"/>
  <c r="GL58" i="8"/>
  <c r="GK58" i="8"/>
  <c r="GJ58" i="8"/>
  <c r="GI58" i="8"/>
  <c r="GH58" i="8"/>
  <c r="GG58" i="8"/>
  <c r="GF58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ID56" i="8"/>
  <c r="IC56" i="8"/>
  <c r="IB56" i="8"/>
  <c r="IA56" i="8"/>
  <c r="HZ56" i="8"/>
  <c r="HY56" i="8"/>
  <c r="HX56" i="8"/>
  <c r="HW56" i="8"/>
  <c r="HV56" i="8"/>
  <c r="HU56" i="8"/>
  <c r="HT56" i="8"/>
  <c r="HS56" i="8"/>
  <c r="HR56" i="8"/>
  <c r="HQ56" i="8"/>
  <c r="HP56" i="8"/>
  <c r="HO56" i="8"/>
  <c r="HN56" i="8"/>
  <c r="HM56" i="8"/>
  <c r="HL56" i="8"/>
  <c r="HK56" i="8"/>
  <c r="HJ56" i="8"/>
  <c r="HI56" i="8"/>
  <c r="HH56" i="8"/>
  <c r="HG56" i="8"/>
  <c r="HF56" i="8"/>
  <c r="HE56" i="8"/>
  <c r="HD56" i="8"/>
  <c r="HC56" i="8"/>
  <c r="HB56" i="8"/>
  <c r="HA56" i="8"/>
  <c r="GZ56" i="8"/>
  <c r="GY56" i="8"/>
  <c r="GX56" i="8"/>
  <c r="GW56" i="8"/>
  <c r="GV56" i="8"/>
  <c r="GU56" i="8"/>
  <c r="GT56" i="8"/>
  <c r="GS56" i="8"/>
  <c r="GR56" i="8"/>
  <c r="GQ56" i="8"/>
  <c r="GP56" i="8"/>
  <c r="GO56" i="8"/>
  <c r="GN56" i="8"/>
  <c r="GM56" i="8"/>
  <c r="GL56" i="8"/>
  <c r="GK56" i="8"/>
  <c r="GJ56" i="8"/>
  <c r="GI56" i="8"/>
  <c r="GH56" i="8"/>
  <c r="GG56" i="8"/>
  <c r="GF56" i="8"/>
  <c r="ID55" i="8"/>
  <c r="IC55" i="8"/>
  <c r="IB55" i="8"/>
  <c r="IA55" i="8"/>
  <c r="HZ55" i="8"/>
  <c r="HY55" i="8"/>
  <c r="HX55" i="8"/>
  <c r="HW55" i="8"/>
  <c r="HV55" i="8"/>
  <c r="HU55" i="8"/>
  <c r="HT55" i="8"/>
  <c r="HS55" i="8"/>
  <c r="HR55" i="8"/>
  <c r="HQ55" i="8"/>
  <c r="HP55" i="8"/>
  <c r="HO55" i="8"/>
  <c r="HN55" i="8"/>
  <c r="HM55" i="8"/>
  <c r="HL55" i="8"/>
  <c r="HK55" i="8"/>
  <c r="HJ55" i="8"/>
  <c r="HI55" i="8"/>
  <c r="HH55" i="8"/>
  <c r="HG55" i="8"/>
  <c r="HF55" i="8"/>
  <c r="HE55" i="8"/>
  <c r="HD55" i="8"/>
  <c r="HC55" i="8"/>
  <c r="HB55" i="8"/>
  <c r="HA55" i="8"/>
  <c r="GZ55" i="8"/>
  <c r="GY55" i="8"/>
  <c r="GX55" i="8"/>
  <c r="GW55" i="8"/>
  <c r="GV55" i="8"/>
  <c r="GU55" i="8"/>
  <c r="GT55" i="8"/>
  <c r="GS55" i="8"/>
  <c r="GR55" i="8"/>
  <c r="GQ55" i="8"/>
  <c r="GP55" i="8"/>
  <c r="GO55" i="8"/>
  <c r="GN55" i="8"/>
  <c r="GM55" i="8"/>
  <c r="GL55" i="8"/>
  <c r="GK55" i="8"/>
  <c r="GJ55" i="8"/>
  <c r="GI55" i="8"/>
  <c r="GH55" i="8"/>
  <c r="GG55" i="8"/>
  <c r="GF55" i="8"/>
  <c r="ID54" i="8"/>
  <c r="IC54" i="8"/>
  <c r="IB54" i="8"/>
  <c r="IA54" i="8"/>
  <c r="HZ54" i="8"/>
  <c r="HY54" i="8"/>
  <c r="HX54" i="8"/>
  <c r="HW54" i="8"/>
  <c r="HV54" i="8"/>
  <c r="HU54" i="8"/>
  <c r="HT54" i="8"/>
  <c r="HS54" i="8"/>
  <c r="HR54" i="8"/>
  <c r="HQ54" i="8"/>
  <c r="HP54" i="8"/>
  <c r="HO54" i="8"/>
  <c r="HN54" i="8"/>
  <c r="HM54" i="8"/>
  <c r="HL54" i="8"/>
  <c r="HK54" i="8"/>
  <c r="HJ54" i="8"/>
  <c r="HI54" i="8"/>
  <c r="HH54" i="8"/>
  <c r="HG54" i="8"/>
  <c r="HF54" i="8"/>
  <c r="HE54" i="8"/>
  <c r="HD54" i="8"/>
  <c r="HC54" i="8"/>
  <c r="HB54" i="8"/>
  <c r="HA54" i="8"/>
  <c r="GZ54" i="8"/>
  <c r="GY54" i="8"/>
  <c r="GX54" i="8"/>
  <c r="GW54" i="8"/>
  <c r="GV54" i="8"/>
  <c r="GU54" i="8"/>
  <c r="GT54" i="8"/>
  <c r="GS54" i="8"/>
  <c r="GR54" i="8"/>
  <c r="GQ54" i="8"/>
  <c r="GP54" i="8"/>
  <c r="GO54" i="8"/>
  <c r="GN54" i="8"/>
  <c r="GM54" i="8"/>
  <c r="GL54" i="8"/>
  <c r="GK54" i="8"/>
  <c r="GJ54" i="8"/>
  <c r="GI54" i="8"/>
  <c r="GH54" i="8"/>
  <c r="GG54" i="8"/>
  <c r="GF54" i="8"/>
  <c r="ID53" i="8"/>
  <c r="IC53" i="8"/>
  <c r="IB53" i="8"/>
  <c r="IA53" i="8"/>
  <c r="HZ53" i="8"/>
  <c r="HY53" i="8"/>
  <c r="HX53" i="8"/>
  <c r="HW53" i="8"/>
  <c r="HV53" i="8"/>
  <c r="HU53" i="8"/>
  <c r="HT53" i="8"/>
  <c r="HS53" i="8"/>
  <c r="HR53" i="8"/>
  <c r="HQ53" i="8"/>
  <c r="HP53" i="8"/>
  <c r="HO53" i="8"/>
  <c r="HN53" i="8"/>
  <c r="HM53" i="8"/>
  <c r="HL53" i="8"/>
  <c r="HK53" i="8"/>
  <c r="HJ53" i="8"/>
  <c r="HI53" i="8"/>
  <c r="HH53" i="8"/>
  <c r="HG53" i="8"/>
  <c r="HF53" i="8"/>
  <c r="HE53" i="8"/>
  <c r="HD53" i="8"/>
  <c r="HC53" i="8"/>
  <c r="HB53" i="8"/>
  <c r="HA53" i="8"/>
  <c r="GZ53" i="8"/>
  <c r="GY53" i="8"/>
  <c r="GX53" i="8"/>
  <c r="GW53" i="8"/>
  <c r="GV53" i="8"/>
  <c r="GU53" i="8"/>
  <c r="GT53" i="8"/>
  <c r="GS53" i="8"/>
  <c r="GR53" i="8"/>
  <c r="GQ53" i="8"/>
  <c r="GP53" i="8"/>
  <c r="GO53" i="8"/>
  <c r="GN53" i="8"/>
  <c r="GM53" i="8"/>
  <c r="GL53" i="8"/>
  <c r="GK53" i="8"/>
  <c r="GJ53" i="8"/>
  <c r="GI53" i="8"/>
  <c r="GH53" i="8"/>
  <c r="GG53" i="8"/>
  <c r="GF53" i="8"/>
  <c r="ID44" i="8"/>
  <c r="IC44" i="8"/>
  <c r="IB44" i="8"/>
  <c r="IA44" i="8"/>
  <c r="HZ44" i="8"/>
  <c r="HY44" i="8"/>
  <c r="HX44" i="8"/>
  <c r="HW44" i="8"/>
  <c r="HV44" i="8"/>
  <c r="HU44" i="8"/>
  <c r="HT44" i="8"/>
  <c r="HS44" i="8"/>
  <c r="HR44" i="8"/>
  <c r="HQ44" i="8"/>
  <c r="HP44" i="8"/>
  <c r="HO44" i="8"/>
  <c r="HN44" i="8"/>
  <c r="HM44" i="8"/>
  <c r="HL44" i="8"/>
  <c r="HK44" i="8"/>
  <c r="HJ44" i="8"/>
  <c r="HI44" i="8"/>
  <c r="HH44" i="8"/>
  <c r="HG44" i="8"/>
  <c r="HF44" i="8"/>
  <c r="HE44" i="8"/>
  <c r="HD44" i="8"/>
  <c r="HC44" i="8"/>
  <c r="HB44" i="8"/>
  <c r="HA44" i="8"/>
  <c r="GZ44" i="8"/>
  <c r="GY44" i="8"/>
  <c r="GX44" i="8"/>
  <c r="GW44" i="8"/>
  <c r="GV44" i="8"/>
  <c r="GU44" i="8"/>
  <c r="GT44" i="8"/>
  <c r="GS44" i="8"/>
  <c r="GR44" i="8"/>
  <c r="GQ44" i="8"/>
  <c r="GP44" i="8"/>
  <c r="GO44" i="8"/>
  <c r="GN44" i="8"/>
  <c r="GM44" i="8"/>
  <c r="GL44" i="8"/>
  <c r="GK44" i="8"/>
  <c r="GJ44" i="8"/>
  <c r="GI44" i="8"/>
  <c r="GH44" i="8"/>
  <c r="GG44" i="8"/>
  <c r="GF44" i="8"/>
  <c r="ID43" i="8"/>
  <c r="IC43" i="8"/>
  <c r="IB43" i="8"/>
  <c r="IA43" i="8"/>
  <c r="HZ43" i="8"/>
  <c r="HY43" i="8"/>
  <c r="HX43" i="8"/>
  <c r="HW43" i="8"/>
  <c r="HV43" i="8"/>
  <c r="HU43" i="8"/>
  <c r="HT43" i="8"/>
  <c r="HS43" i="8"/>
  <c r="HR43" i="8"/>
  <c r="HQ43" i="8"/>
  <c r="HP43" i="8"/>
  <c r="HO43" i="8"/>
  <c r="HN43" i="8"/>
  <c r="HM43" i="8"/>
  <c r="HL43" i="8"/>
  <c r="HK43" i="8"/>
  <c r="HJ43" i="8"/>
  <c r="HI43" i="8"/>
  <c r="HH43" i="8"/>
  <c r="HG43" i="8"/>
  <c r="HF43" i="8"/>
  <c r="HE43" i="8"/>
  <c r="HD43" i="8"/>
  <c r="HC43" i="8"/>
  <c r="HB43" i="8"/>
  <c r="HA43" i="8"/>
  <c r="GZ43" i="8"/>
  <c r="GY43" i="8"/>
  <c r="GX43" i="8"/>
  <c r="GW43" i="8"/>
  <c r="GV43" i="8"/>
  <c r="GU43" i="8"/>
  <c r="GT43" i="8"/>
  <c r="GS43" i="8"/>
  <c r="GR43" i="8"/>
  <c r="GQ43" i="8"/>
  <c r="GP43" i="8"/>
  <c r="GO43" i="8"/>
  <c r="GN43" i="8"/>
  <c r="GM43" i="8"/>
  <c r="GL43" i="8"/>
  <c r="GK43" i="8"/>
  <c r="GJ43" i="8"/>
  <c r="GI43" i="8"/>
  <c r="GH43" i="8"/>
  <c r="GG43" i="8"/>
  <c r="GF43" i="8"/>
  <c r="ID42" i="8"/>
  <c r="IC42" i="8"/>
  <c r="IB42" i="8"/>
  <c r="IA42" i="8"/>
  <c r="HZ42" i="8"/>
  <c r="HY42" i="8"/>
  <c r="HX42" i="8"/>
  <c r="HW42" i="8"/>
  <c r="HV42" i="8"/>
  <c r="HU42" i="8"/>
  <c r="HT42" i="8"/>
  <c r="HS42" i="8"/>
  <c r="HR42" i="8"/>
  <c r="HQ42" i="8"/>
  <c r="HP42" i="8"/>
  <c r="HO42" i="8"/>
  <c r="HN42" i="8"/>
  <c r="HM42" i="8"/>
  <c r="HL42" i="8"/>
  <c r="HK42" i="8"/>
  <c r="HJ42" i="8"/>
  <c r="HI42" i="8"/>
  <c r="HH42" i="8"/>
  <c r="HG42" i="8"/>
  <c r="HF42" i="8"/>
  <c r="HE42" i="8"/>
  <c r="HD42" i="8"/>
  <c r="HC42" i="8"/>
  <c r="HB42" i="8"/>
  <c r="HA42" i="8"/>
  <c r="GZ42" i="8"/>
  <c r="GY42" i="8"/>
  <c r="GX42" i="8"/>
  <c r="GW42" i="8"/>
  <c r="GV42" i="8"/>
  <c r="GU42" i="8"/>
  <c r="GT42" i="8"/>
  <c r="GS42" i="8"/>
  <c r="GR42" i="8"/>
  <c r="GQ42" i="8"/>
  <c r="GP42" i="8"/>
  <c r="GO42" i="8"/>
  <c r="GN42" i="8"/>
  <c r="GM42" i="8"/>
  <c r="GL42" i="8"/>
  <c r="GK42" i="8"/>
  <c r="GJ42" i="8"/>
  <c r="GI42" i="8"/>
  <c r="GH42" i="8"/>
  <c r="GG42" i="8"/>
  <c r="GF42" i="8"/>
  <c r="ID41" i="8"/>
  <c r="IC41" i="8"/>
  <c r="IB41" i="8"/>
  <c r="IA41" i="8"/>
  <c r="HZ41" i="8"/>
  <c r="HY41" i="8"/>
  <c r="HX41" i="8"/>
  <c r="HW41" i="8"/>
  <c r="HV41" i="8"/>
  <c r="HU41" i="8"/>
  <c r="HT41" i="8"/>
  <c r="HS41" i="8"/>
  <c r="HR41" i="8"/>
  <c r="HQ41" i="8"/>
  <c r="HP41" i="8"/>
  <c r="HO41" i="8"/>
  <c r="HN41" i="8"/>
  <c r="HM41" i="8"/>
  <c r="HL41" i="8"/>
  <c r="HK41" i="8"/>
  <c r="HJ41" i="8"/>
  <c r="HI41" i="8"/>
  <c r="HH41" i="8"/>
  <c r="HG41" i="8"/>
  <c r="HF41" i="8"/>
  <c r="HE41" i="8"/>
  <c r="HD41" i="8"/>
  <c r="HC41" i="8"/>
  <c r="HB41" i="8"/>
  <c r="HA41" i="8"/>
  <c r="GZ41" i="8"/>
  <c r="GY41" i="8"/>
  <c r="GX41" i="8"/>
  <c r="GW41" i="8"/>
  <c r="GV41" i="8"/>
  <c r="GU41" i="8"/>
  <c r="GT41" i="8"/>
  <c r="GS41" i="8"/>
  <c r="GR41" i="8"/>
  <c r="GQ41" i="8"/>
  <c r="GP41" i="8"/>
  <c r="GO41" i="8"/>
  <c r="GN41" i="8"/>
  <c r="GM41" i="8"/>
  <c r="GL41" i="8"/>
  <c r="GK41" i="8"/>
  <c r="GJ41" i="8"/>
  <c r="GI41" i="8"/>
  <c r="GH41" i="8"/>
  <c r="GG41" i="8"/>
  <c r="GF41" i="8"/>
  <c r="ID40" i="8"/>
  <c r="IC40" i="8"/>
  <c r="IB40" i="8"/>
  <c r="IA40" i="8"/>
  <c r="HZ40" i="8"/>
  <c r="HY40" i="8"/>
  <c r="HX40" i="8"/>
  <c r="HW40" i="8"/>
  <c r="HV40" i="8"/>
  <c r="HU40" i="8"/>
  <c r="HT40" i="8"/>
  <c r="HS40" i="8"/>
  <c r="HR40" i="8"/>
  <c r="HQ40" i="8"/>
  <c r="HP40" i="8"/>
  <c r="HO40" i="8"/>
  <c r="HN40" i="8"/>
  <c r="HM40" i="8"/>
  <c r="HL40" i="8"/>
  <c r="HK40" i="8"/>
  <c r="HJ40" i="8"/>
  <c r="HI40" i="8"/>
  <c r="HH40" i="8"/>
  <c r="HG40" i="8"/>
  <c r="HF40" i="8"/>
  <c r="HE40" i="8"/>
  <c r="HD40" i="8"/>
  <c r="HC40" i="8"/>
  <c r="HB40" i="8"/>
  <c r="HA40" i="8"/>
  <c r="GZ40" i="8"/>
  <c r="GY40" i="8"/>
  <c r="GX40" i="8"/>
  <c r="GW40" i="8"/>
  <c r="GV40" i="8"/>
  <c r="GU40" i="8"/>
  <c r="GT40" i="8"/>
  <c r="GS40" i="8"/>
  <c r="GR40" i="8"/>
  <c r="GQ40" i="8"/>
  <c r="GP40" i="8"/>
  <c r="GO40" i="8"/>
  <c r="GN40" i="8"/>
  <c r="GM40" i="8"/>
  <c r="GL40" i="8"/>
  <c r="GK40" i="8"/>
  <c r="GJ40" i="8"/>
  <c r="GI40" i="8"/>
  <c r="GH40" i="8"/>
  <c r="GG40" i="8"/>
  <c r="GF40" i="8"/>
  <c r="ID39" i="8"/>
  <c r="IC39" i="8"/>
  <c r="IB39" i="8"/>
  <c r="IA39" i="8"/>
  <c r="HZ39" i="8"/>
  <c r="HY39" i="8"/>
  <c r="HX39" i="8"/>
  <c r="HW39" i="8"/>
  <c r="HV39" i="8"/>
  <c r="HU39" i="8"/>
  <c r="HT39" i="8"/>
  <c r="HS39" i="8"/>
  <c r="HR39" i="8"/>
  <c r="HQ39" i="8"/>
  <c r="HP39" i="8"/>
  <c r="HO39" i="8"/>
  <c r="HN39" i="8"/>
  <c r="HM39" i="8"/>
  <c r="HL39" i="8"/>
  <c r="HK39" i="8"/>
  <c r="HJ39" i="8"/>
  <c r="HI39" i="8"/>
  <c r="HH39" i="8"/>
  <c r="HG39" i="8"/>
  <c r="HF39" i="8"/>
  <c r="HE39" i="8"/>
  <c r="HD39" i="8"/>
  <c r="HC39" i="8"/>
  <c r="HB39" i="8"/>
  <c r="HA39" i="8"/>
  <c r="GZ39" i="8"/>
  <c r="GY39" i="8"/>
  <c r="GX39" i="8"/>
  <c r="GW39" i="8"/>
  <c r="GV39" i="8"/>
  <c r="GU39" i="8"/>
  <c r="GT39" i="8"/>
  <c r="GS39" i="8"/>
  <c r="GR39" i="8"/>
  <c r="GQ39" i="8"/>
  <c r="GP39" i="8"/>
  <c r="GO39" i="8"/>
  <c r="GN39" i="8"/>
  <c r="GM39" i="8"/>
  <c r="GL39" i="8"/>
  <c r="GK39" i="8"/>
  <c r="GJ39" i="8"/>
  <c r="GI39" i="8"/>
  <c r="GH39" i="8"/>
  <c r="GG39" i="8"/>
  <c r="GF39" i="8"/>
  <c r="ID38" i="8"/>
  <c r="IC38" i="8"/>
  <c r="IB38" i="8"/>
  <c r="IA38" i="8"/>
  <c r="HZ38" i="8"/>
  <c r="HY38" i="8"/>
  <c r="HX38" i="8"/>
  <c r="HW38" i="8"/>
  <c r="HV38" i="8"/>
  <c r="HU38" i="8"/>
  <c r="HT38" i="8"/>
  <c r="HS38" i="8"/>
  <c r="HR38" i="8"/>
  <c r="HQ38" i="8"/>
  <c r="HP38" i="8"/>
  <c r="HO38" i="8"/>
  <c r="HN38" i="8"/>
  <c r="HM38" i="8"/>
  <c r="HL38" i="8"/>
  <c r="HK38" i="8"/>
  <c r="HJ38" i="8"/>
  <c r="HI38" i="8"/>
  <c r="HH38" i="8"/>
  <c r="HG38" i="8"/>
  <c r="HF38" i="8"/>
  <c r="HE38" i="8"/>
  <c r="HD38" i="8"/>
  <c r="HC38" i="8"/>
  <c r="HB38" i="8"/>
  <c r="HA38" i="8"/>
  <c r="GZ38" i="8"/>
  <c r="GY38" i="8"/>
  <c r="GX38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ID37" i="8"/>
  <c r="IC37" i="8"/>
  <c r="IB37" i="8"/>
  <c r="IA37" i="8"/>
  <c r="HZ37" i="8"/>
  <c r="HY37" i="8"/>
  <c r="HX37" i="8"/>
  <c r="HW37" i="8"/>
  <c r="HV37" i="8"/>
  <c r="HU37" i="8"/>
  <c r="HT37" i="8"/>
  <c r="HS37" i="8"/>
  <c r="HR37" i="8"/>
  <c r="HQ37" i="8"/>
  <c r="HP37" i="8"/>
  <c r="HO37" i="8"/>
  <c r="HN37" i="8"/>
  <c r="HM37" i="8"/>
  <c r="HL37" i="8"/>
  <c r="HK37" i="8"/>
  <c r="HJ37" i="8"/>
  <c r="HI37" i="8"/>
  <c r="HH37" i="8"/>
  <c r="HG37" i="8"/>
  <c r="HF37" i="8"/>
  <c r="HE37" i="8"/>
  <c r="HD37" i="8"/>
  <c r="HC37" i="8"/>
  <c r="HB37" i="8"/>
  <c r="HA37" i="8"/>
  <c r="GZ37" i="8"/>
  <c r="GY37" i="8"/>
  <c r="GX37" i="8"/>
  <c r="GW37" i="8"/>
  <c r="GV37" i="8"/>
  <c r="GU37" i="8"/>
  <c r="GT37" i="8"/>
  <c r="GS37" i="8"/>
  <c r="GR37" i="8"/>
  <c r="GQ37" i="8"/>
  <c r="GP37" i="8"/>
  <c r="GO37" i="8"/>
  <c r="GN37" i="8"/>
  <c r="GM37" i="8"/>
  <c r="GL37" i="8"/>
  <c r="GK37" i="8"/>
  <c r="GJ37" i="8"/>
  <c r="GI37" i="8"/>
  <c r="GH37" i="8"/>
  <c r="GG37" i="8"/>
  <c r="GF37" i="8"/>
  <c r="ID36" i="8"/>
  <c r="IC36" i="8"/>
  <c r="IB36" i="8"/>
  <c r="IA36" i="8"/>
  <c r="HZ36" i="8"/>
  <c r="HY36" i="8"/>
  <c r="HX36" i="8"/>
  <c r="HW36" i="8"/>
  <c r="HV36" i="8"/>
  <c r="HU36" i="8"/>
  <c r="HT36" i="8"/>
  <c r="HS36" i="8"/>
  <c r="HR36" i="8"/>
  <c r="HQ36" i="8"/>
  <c r="HP36" i="8"/>
  <c r="HO36" i="8"/>
  <c r="HN36" i="8"/>
  <c r="HM36" i="8"/>
  <c r="HL36" i="8"/>
  <c r="HK36" i="8"/>
  <c r="HJ36" i="8"/>
  <c r="HI36" i="8"/>
  <c r="HH36" i="8"/>
  <c r="HG36" i="8"/>
  <c r="HF36" i="8"/>
  <c r="HE36" i="8"/>
  <c r="HD36" i="8"/>
  <c r="HC36" i="8"/>
  <c r="HB36" i="8"/>
  <c r="HA36" i="8"/>
  <c r="GZ36" i="8"/>
  <c r="GY36" i="8"/>
  <c r="GX36" i="8"/>
  <c r="GW36" i="8"/>
  <c r="GV36" i="8"/>
  <c r="GU36" i="8"/>
  <c r="GT36" i="8"/>
  <c r="GS36" i="8"/>
  <c r="GR36" i="8"/>
  <c r="GQ36" i="8"/>
  <c r="GP36" i="8"/>
  <c r="GO36" i="8"/>
  <c r="GN36" i="8"/>
  <c r="GM36" i="8"/>
  <c r="GL36" i="8"/>
  <c r="GK36" i="8"/>
  <c r="GJ36" i="8"/>
  <c r="GI36" i="8"/>
  <c r="GH36" i="8"/>
  <c r="GG36" i="8"/>
  <c r="GF36" i="8"/>
  <c r="ID35" i="8"/>
  <c r="IC35" i="8"/>
  <c r="IB35" i="8"/>
  <c r="IA35" i="8"/>
  <c r="HZ35" i="8"/>
  <c r="HY35" i="8"/>
  <c r="HX35" i="8"/>
  <c r="HW35" i="8"/>
  <c r="HV35" i="8"/>
  <c r="HU35" i="8"/>
  <c r="HT35" i="8"/>
  <c r="HS35" i="8"/>
  <c r="HR35" i="8"/>
  <c r="HQ35" i="8"/>
  <c r="HP35" i="8"/>
  <c r="HO35" i="8"/>
  <c r="HN35" i="8"/>
  <c r="HM35" i="8"/>
  <c r="HL35" i="8"/>
  <c r="HK35" i="8"/>
  <c r="HJ35" i="8"/>
  <c r="HI35" i="8"/>
  <c r="HH35" i="8"/>
  <c r="HG35" i="8"/>
  <c r="HF35" i="8"/>
  <c r="HE35" i="8"/>
  <c r="HD35" i="8"/>
  <c r="HC35" i="8"/>
  <c r="HB35" i="8"/>
  <c r="HA35" i="8"/>
  <c r="GZ35" i="8"/>
  <c r="GY35" i="8"/>
  <c r="GX35" i="8"/>
  <c r="GW35" i="8"/>
  <c r="GV35" i="8"/>
  <c r="GU35" i="8"/>
  <c r="GT35" i="8"/>
  <c r="GS35" i="8"/>
  <c r="GR35" i="8"/>
  <c r="GQ35" i="8"/>
  <c r="GP35" i="8"/>
  <c r="GO35" i="8"/>
  <c r="GN35" i="8"/>
  <c r="GM35" i="8"/>
  <c r="GL35" i="8"/>
  <c r="GK35" i="8"/>
  <c r="GJ35" i="8"/>
  <c r="GI35" i="8"/>
  <c r="GH35" i="8"/>
  <c r="GG35" i="8"/>
  <c r="GF35" i="8"/>
  <c r="ID25" i="8"/>
  <c r="IC25" i="8"/>
  <c r="IB25" i="8"/>
  <c r="IA25" i="8"/>
  <c r="HZ25" i="8"/>
  <c r="HY25" i="8"/>
  <c r="HX25" i="8"/>
  <c r="HW25" i="8"/>
  <c r="HV25" i="8"/>
  <c r="HU25" i="8"/>
  <c r="HT25" i="8"/>
  <c r="HS25" i="8"/>
  <c r="HR25" i="8"/>
  <c r="HQ25" i="8"/>
  <c r="HP25" i="8"/>
  <c r="HO25" i="8"/>
  <c r="HN25" i="8"/>
  <c r="HM25" i="8"/>
  <c r="HL25" i="8"/>
  <c r="HK25" i="8"/>
  <c r="HJ25" i="8"/>
  <c r="HI25" i="8"/>
  <c r="HH25" i="8"/>
  <c r="HG25" i="8"/>
  <c r="HF25" i="8"/>
  <c r="HE25" i="8"/>
  <c r="HD25" i="8"/>
  <c r="HC25" i="8"/>
  <c r="HB25" i="8"/>
  <c r="HA25" i="8"/>
  <c r="GZ25" i="8"/>
  <c r="GY25" i="8"/>
  <c r="GX25" i="8"/>
  <c r="GW25" i="8"/>
  <c r="GV25" i="8"/>
  <c r="GU25" i="8"/>
  <c r="GT25" i="8"/>
  <c r="GS25" i="8"/>
  <c r="GR25" i="8"/>
  <c r="GQ25" i="8"/>
  <c r="GP25" i="8"/>
  <c r="GO25" i="8"/>
  <c r="GN25" i="8"/>
  <c r="GM25" i="8"/>
  <c r="GL25" i="8"/>
  <c r="GK25" i="8"/>
  <c r="GJ25" i="8"/>
  <c r="GI25" i="8"/>
  <c r="GH25" i="8"/>
  <c r="GG25" i="8"/>
  <c r="GF25" i="8"/>
  <c r="ID24" i="8"/>
  <c r="IC24" i="8"/>
  <c r="IB24" i="8"/>
  <c r="IA24" i="8"/>
  <c r="HZ24" i="8"/>
  <c r="HY24" i="8"/>
  <c r="HX24" i="8"/>
  <c r="HW24" i="8"/>
  <c r="HV24" i="8"/>
  <c r="HU24" i="8"/>
  <c r="HT24" i="8"/>
  <c r="HS24" i="8"/>
  <c r="HR24" i="8"/>
  <c r="HQ24" i="8"/>
  <c r="HP24" i="8"/>
  <c r="HO24" i="8"/>
  <c r="HN24" i="8"/>
  <c r="HM24" i="8"/>
  <c r="HL24" i="8"/>
  <c r="HK24" i="8"/>
  <c r="HJ24" i="8"/>
  <c r="HI24" i="8"/>
  <c r="HH24" i="8"/>
  <c r="HG24" i="8"/>
  <c r="HF24" i="8"/>
  <c r="HE24" i="8"/>
  <c r="HD24" i="8"/>
  <c r="HC24" i="8"/>
  <c r="HB24" i="8"/>
  <c r="HA24" i="8"/>
  <c r="GZ24" i="8"/>
  <c r="GY24" i="8"/>
  <c r="GX24" i="8"/>
  <c r="GW24" i="8"/>
  <c r="GV24" i="8"/>
  <c r="GU24" i="8"/>
  <c r="GT24" i="8"/>
  <c r="GS24" i="8"/>
  <c r="GR24" i="8"/>
  <c r="GQ24" i="8"/>
  <c r="GP24" i="8"/>
  <c r="GO24" i="8"/>
  <c r="GN24" i="8"/>
  <c r="GM24" i="8"/>
  <c r="GL24" i="8"/>
  <c r="GK24" i="8"/>
  <c r="GJ24" i="8"/>
  <c r="GI24" i="8"/>
  <c r="GH24" i="8"/>
  <c r="GG24" i="8"/>
  <c r="GF24" i="8"/>
  <c r="ID23" i="8"/>
  <c r="IC23" i="8"/>
  <c r="IB23" i="8"/>
  <c r="IA23" i="8"/>
  <c r="HZ23" i="8"/>
  <c r="HY23" i="8"/>
  <c r="HX23" i="8"/>
  <c r="HW23" i="8"/>
  <c r="HV23" i="8"/>
  <c r="HU23" i="8"/>
  <c r="HT23" i="8"/>
  <c r="HS23" i="8"/>
  <c r="HR23" i="8"/>
  <c r="HQ23" i="8"/>
  <c r="HP23" i="8"/>
  <c r="HO23" i="8"/>
  <c r="HN23" i="8"/>
  <c r="HM23" i="8"/>
  <c r="HL23" i="8"/>
  <c r="HK23" i="8"/>
  <c r="HJ23" i="8"/>
  <c r="HI23" i="8"/>
  <c r="HH23" i="8"/>
  <c r="HG23" i="8"/>
  <c r="HF23" i="8"/>
  <c r="HE23" i="8"/>
  <c r="HD23" i="8"/>
  <c r="HC23" i="8"/>
  <c r="HB23" i="8"/>
  <c r="HA23" i="8"/>
  <c r="GZ23" i="8"/>
  <c r="GY23" i="8"/>
  <c r="GX23" i="8"/>
  <c r="GW23" i="8"/>
  <c r="GV23" i="8"/>
  <c r="GU23" i="8"/>
  <c r="GT23" i="8"/>
  <c r="GS23" i="8"/>
  <c r="GR23" i="8"/>
  <c r="GQ23" i="8"/>
  <c r="GP23" i="8"/>
  <c r="GO23" i="8"/>
  <c r="GN23" i="8"/>
  <c r="GM23" i="8"/>
  <c r="GL23" i="8"/>
  <c r="GK23" i="8"/>
  <c r="GJ23" i="8"/>
  <c r="GI23" i="8"/>
  <c r="GH23" i="8"/>
  <c r="GG23" i="8"/>
  <c r="GF23" i="8"/>
  <c r="ID22" i="8"/>
  <c r="IC22" i="8"/>
  <c r="IB22" i="8"/>
  <c r="IA22" i="8"/>
  <c r="HZ22" i="8"/>
  <c r="HY22" i="8"/>
  <c r="HX22" i="8"/>
  <c r="HW22" i="8"/>
  <c r="HV22" i="8"/>
  <c r="HU22" i="8"/>
  <c r="HT22" i="8"/>
  <c r="HS22" i="8"/>
  <c r="HR22" i="8"/>
  <c r="HQ22" i="8"/>
  <c r="HP22" i="8"/>
  <c r="HO22" i="8"/>
  <c r="HN22" i="8"/>
  <c r="HM22" i="8"/>
  <c r="HL22" i="8"/>
  <c r="HK22" i="8"/>
  <c r="HJ22" i="8"/>
  <c r="HI22" i="8"/>
  <c r="HH22" i="8"/>
  <c r="HG22" i="8"/>
  <c r="HF22" i="8"/>
  <c r="HE22" i="8"/>
  <c r="HD22" i="8"/>
  <c r="HC22" i="8"/>
  <c r="HB22" i="8"/>
  <c r="HA22" i="8"/>
  <c r="GZ22" i="8"/>
  <c r="GY22" i="8"/>
  <c r="GX22" i="8"/>
  <c r="GW22" i="8"/>
  <c r="GV22" i="8"/>
  <c r="GU22" i="8"/>
  <c r="GT22" i="8"/>
  <c r="GS22" i="8"/>
  <c r="GR22" i="8"/>
  <c r="GQ22" i="8"/>
  <c r="GP22" i="8"/>
  <c r="GO22" i="8"/>
  <c r="GN22" i="8"/>
  <c r="GM22" i="8"/>
  <c r="GL22" i="8"/>
  <c r="GK22" i="8"/>
  <c r="GJ22" i="8"/>
  <c r="GI22" i="8"/>
  <c r="GH22" i="8"/>
  <c r="GG22" i="8"/>
  <c r="GF22" i="8"/>
  <c r="ID21" i="8"/>
  <c r="IC21" i="8"/>
  <c r="IB21" i="8"/>
  <c r="IA21" i="8"/>
  <c r="HZ21" i="8"/>
  <c r="HY21" i="8"/>
  <c r="HX21" i="8"/>
  <c r="HW21" i="8"/>
  <c r="HV21" i="8"/>
  <c r="HU21" i="8"/>
  <c r="HT21" i="8"/>
  <c r="HS21" i="8"/>
  <c r="HR21" i="8"/>
  <c r="HQ21" i="8"/>
  <c r="HP21" i="8"/>
  <c r="HO21" i="8"/>
  <c r="HN21" i="8"/>
  <c r="HM21" i="8"/>
  <c r="HL21" i="8"/>
  <c r="HK21" i="8"/>
  <c r="HJ21" i="8"/>
  <c r="HI21" i="8"/>
  <c r="HH21" i="8"/>
  <c r="HG21" i="8"/>
  <c r="HF21" i="8"/>
  <c r="HE21" i="8"/>
  <c r="HD21" i="8"/>
  <c r="HC21" i="8"/>
  <c r="HB21" i="8"/>
  <c r="HA21" i="8"/>
  <c r="GZ21" i="8"/>
  <c r="GY21" i="8"/>
  <c r="GX21" i="8"/>
  <c r="GW21" i="8"/>
  <c r="GV21" i="8"/>
  <c r="GU21" i="8"/>
  <c r="GT21" i="8"/>
  <c r="GS21" i="8"/>
  <c r="GR21" i="8"/>
  <c r="GQ21" i="8"/>
  <c r="GP21" i="8"/>
  <c r="GO21" i="8"/>
  <c r="GN21" i="8"/>
  <c r="GM21" i="8"/>
  <c r="GL21" i="8"/>
  <c r="GK21" i="8"/>
  <c r="GJ21" i="8"/>
  <c r="GI21" i="8"/>
  <c r="GH21" i="8"/>
  <c r="GG21" i="8"/>
  <c r="GF21" i="8"/>
  <c r="ID20" i="8"/>
  <c r="IC20" i="8"/>
  <c r="IB20" i="8"/>
  <c r="IA20" i="8"/>
  <c r="HZ20" i="8"/>
  <c r="HY20" i="8"/>
  <c r="HX20" i="8"/>
  <c r="HW20" i="8"/>
  <c r="HV20" i="8"/>
  <c r="HU20" i="8"/>
  <c r="HT20" i="8"/>
  <c r="HS20" i="8"/>
  <c r="HR20" i="8"/>
  <c r="HQ20" i="8"/>
  <c r="HP20" i="8"/>
  <c r="HO20" i="8"/>
  <c r="HN20" i="8"/>
  <c r="HM20" i="8"/>
  <c r="HL20" i="8"/>
  <c r="HK20" i="8"/>
  <c r="HJ20" i="8"/>
  <c r="HI20" i="8"/>
  <c r="HH20" i="8"/>
  <c r="HG20" i="8"/>
  <c r="HF20" i="8"/>
  <c r="HE20" i="8"/>
  <c r="HD20" i="8"/>
  <c r="HC20" i="8"/>
  <c r="HB20" i="8"/>
  <c r="HA20" i="8"/>
  <c r="GZ20" i="8"/>
  <c r="GY20" i="8"/>
  <c r="GX20" i="8"/>
  <c r="GW20" i="8"/>
  <c r="GV20" i="8"/>
  <c r="GU20" i="8"/>
  <c r="GT20" i="8"/>
  <c r="GS20" i="8"/>
  <c r="GR20" i="8"/>
  <c r="GQ20" i="8"/>
  <c r="GP20" i="8"/>
  <c r="GO20" i="8"/>
  <c r="GN20" i="8"/>
  <c r="GM20" i="8"/>
  <c r="GL20" i="8"/>
  <c r="GK20" i="8"/>
  <c r="GJ20" i="8"/>
  <c r="GI20" i="8"/>
  <c r="GH20" i="8"/>
  <c r="GG20" i="8"/>
  <c r="GF20" i="8"/>
  <c r="ID19" i="8"/>
  <c r="IC19" i="8"/>
  <c r="IB19" i="8"/>
  <c r="IA19" i="8"/>
  <c r="HZ19" i="8"/>
  <c r="HY19" i="8"/>
  <c r="HX19" i="8"/>
  <c r="HW19" i="8"/>
  <c r="HV19" i="8"/>
  <c r="HU19" i="8"/>
  <c r="HT19" i="8"/>
  <c r="HS19" i="8"/>
  <c r="HR19" i="8"/>
  <c r="HQ19" i="8"/>
  <c r="HP19" i="8"/>
  <c r="HO19" i="8"/>
  <c r="HN19" i="8"/>
  <c r="HM19" i="8"/>
  <c r="HL19" i="8"/>
  <c r="HK19" i="8"/>
  <c r="HJ19" i="8"/>
  <c r="HI19" i="8"/>
  <c r="HH19" i="8"/>
  <c r="HG19" i="8"/>
  <c r="HF19" i="8"/>
  <c r="HE19" i="8"/>
  <c r="HD19" i="8"/>
  <c r="HC19" i="8"/>
  <c r="HB19" i="8"/>
  <c r="HA19" i="8"/>
  <c r="GZ19" i="8"/>
  <c r="GY19" i="8"/>
  <c r="GX19" i="8"/>
  <c r="GW19" i="8"/>
  <c r="GV19" i="8"/>
  <c r="GU19" i="8"/>
  <c r="GT19" i="8"/>
  <c r="GS19" i="8"/>
  <c r="GR19" i="8"/>
  <c r="GQ19" i="8"/>
  <c r="GP19" i="8"/>
  <c r="GO19" i="8"/>
  <c r="GN19" i="8"/>
  <c r="GM19" i="8"/>
  <c r="GL19" i="8"/>
  <c r="GK19" i="8"/>
  <c r="GJ19" i="8"/>
  <c r="GI19" i="8"/>
  <c r="GH19" i="8"/>
  <c r="GG19" i="8"/>
  <c r="GF19" i="8"/>
  <c r="ID10" i="8"/>
  <c r="IC10" i="8"/>
  <c r="IB10" i="8"/>
  <c r="IA10" i="8"/>
  <c r="HZ10" i="8"/>
  <c r="HY10" i="8"/>
  <c r="HX10" i="8"/>
  <c r="HW10" i="8"/>
  <c r="HV10" i="8"/>
  <c r="HU10" i="8"/>
  <c r="HT10" i="8"/>
  <c r="HS10" i="8"/>
  <c r="HR10" i="8"/>
  <c r="HQ10" i="8"/>
  <c r="HP10" i="8"/>
  <c r="HO10" i="8"/>
  <c r="HN10" i="8"/>
  <c r="HM10" i="8"/>
  <c r="HL10" i="8"/>
  <c r="HK10" i="8"/>
  <c r="HJ10" i="8"/>
  <c r="HI10" i="8"/>
  <c r="HH10" i="8"/>
  <c r="HG10" i="8"/>
  <c r="HF10" i="8"/>
  <c r="HE10" i="8"/>
  <c r="HD10" i="8"/>
  <c r="HC10" i="8"/>
  <c r="HB10" i="8"/>
  <c r="HA10" i="8"/>
  <c r="GZ10" i="8"/>
  <c r="GY10" i="8"/>
  <c r="GX10" i="8"/>
  <c r="GW10" i="8"/>
  <c r="GV10" i="8"/>
  <c r="GU10" i="8"/>
  <c r="GT10" i="8"/>
  <c r="GS10" i="8"/>
  <c r="GR10" i="8"/>
  <c r="GQ10" i="8"/>
  <c r="GP10" i="8"/>
  <c r="GO10" i="8"/>
  <c r="GN10" i="8"/>
  <c r="GM10" i="8"/>
  <c r="GL10" i="8"/>
  <c r="GK10" i="8"/>
  <c r="GJ10" i="8"/>
  <c r="GI10" i="8"/>
  <c r="GH10" i="8"/>
  <c r="GG10" i="8"/>
  <c r="GF10" i="8"/>
  <c r="ID9" i="8"/>
  <c r="IC9" i="8"/>
  <c r="IB9" i="8"/>
  <c r="IA9" i="8"/>
  <c r="HZ9" i="8"/>
  <c r="HY9" i="8"/>
  <c r="HX9" i="8"/>
  <c r="HW9" i="8"/>
  <c r="HV9" i="8"/>
  <c r="HU9" i="8"/>
  <c r="HT9" i="8"/>
  <c r="HS9" i="8"/>
  <c r="HR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HA9" i="8"/>
  <c r="GZ9" i="8"/>
  <c r="GY9" i="8"/>
  <c r="GX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GJ9" i="8"/>
  <c r="GI9" i="8"/>
  <c r="GH9" i="8"/>
  <c r="GG9" i="8"/>
  <c r="GF9" i="8"/>
  <c r="ID8" i="8"/>
  <c r="IC8" i="8"/>
  <c r="IB8" i="8"/>
  <c r="IA8" i="8"/>
  <c r="HZ8" i="8"/>
  <c r="HY8" i="8"/>
  <c r="HX8" i="8"/>
  <c r="HW8" i="8"/>
  <c r="HV8" i="8"/>
  <c r="HU8" i="8"/>
  <c r="HT8" i="8"/>
  <c r="HS8" i="8"/>
  <c r="HR8" i="8"/>
  <c r="HQ8" i="8"/>
  <c r="HP8" i="8"/>
  <c r="HO8" i="8"/>
  <c r="HN8" i="8"/>
  <c r="HM8" i="8"/>
  <c r="HL8" i="8"/>
  <c r="HK8" i="8"/>
  <c r="HJ8" i="8"/>
  <c r="HI8" i="8"/>
  <c r="HH8" i="8"/>
  <c r="HG8" i="8"/>
  <c r="HF8" i="8"/>
  <c r="HE8" i="8"/>
  <c r="HD8" i="8"/>
  <c r="HC8" i="8"/>
  <c r="HB8" i="8"/>
  <c r="HA8" i="8"/>
  <c r="GZ8" i="8"/>
  <c r="GY8" i="8"/>
  <c r="GX8" i="8"/>
  <c r="GW8" i="8"/>
  <c r="GV8" i="8"/>
  <c r="GU8" i="8"/>
  <c r="GT8" i="8"/>
  <c r="GS8" i="8"/>
  <c r="GR8" i="8"/>
  <c r="GQ8" i="8"/>
  <c r="GP8" i="8"/>
  <c r="GO8" i="8"/>
  <c r="GN8" i="8"/>
  <c r="GM8" i="8"/>
  <c r="GL8" i="8"/>
  <c r="GK8" i="8"/>
  <c r="GJ8" i="8"/>
  <c r="GI8" i="8"/>
  <c r="GH8" i="8"/>
  <c r="GG8" i="8"/>
  <c r="GF8" i="8"/>
  <c r="ID6" i="8"/>
  <c r="IC6" i="8"/>
  <c r="IB6" i="8"/>
  <c r="IA6" i="8"/>
  <c r="HZ6" i="8"/>
  <c r="HY6" i="8"/>
  <c r="HX6" i="8"/>
  <c r="HW6" i="8"/>
  <c r="HV6" i="8"/>
  <c r="HU6" i="8"/>
  <c r="HT6" i="8"/>
  <c r="HS6" i="8"/>
  <c r="HR6" i="8"/>
  <c r="HQ6" i="8"/>
  <c r="HP6" i="8"/>
  <c r="HO6" i="8"/>
  <c r="HN6" i="8"/>
  <c r="HM6" i="8"/>
  <c r="HL6" i="8"/>
  <c r="HK6" i="8"/>
  <c r="HJ6" i="8"/>
  <c r="HI6" i="8"/>
  <c r="HH6" i="8"/>
  <c r="HG6" i="8"/>
  <c r="HF6" i="8"/>
  <c r="HE6" i="8"/>
  <c r="HD6" i="8"/>
  <c r="HC6" i="8"/>
  <c r="HB6" i="8"/>
  <c r="HA6" i="8"/>
  <c r="GZ6" i="8"/>
  <c r="GY6" i="8"/>
  <c r="GX6" i="8"/>
  <c r="GW6" i="8"/>
  <c r="GV6" i="8"/>
  <c r="GU6" i="8"/>
  <c r="GT6" i="8"/>
  <c r="GS6" i="8"/>
  <c r="GR6" i="8"/>
  <c r="GQ6" i="8"/>
  <c r="GP6" i="8"/>
  <c r="GO6" i="8"/>
  <c r="GN6" i="8"/>
  <c r="GM6" i="8"/>
  <c r="GL6" i="8"/>
  <c r="GK6" i="8"/>
  <c r="GJ6" i="8"/>
  <c r="GI6" i="8"/>
  <c r="GH6" i="8"/>
  <c r="GG6" i="8"/>
  <c r="GF6" i="8"/>
  <c r="ID5" i="8"/>
  <c r="IC5" i="8"/>
  <c r="IB5" i="8"/>
  <c r="IA5" i="8"/>
  <c r="HZ5" i="8"/>
  <c r="HY5" i="8"/>
  <c r="HX5" i="8"/>
  <c r="HW5" i="8"/>
  <c r="HV5" i="8"/>
  <c r="HU5" i="8"/>
  <c r="HT5" i="8"/>
  <c r="HS5" i="8"/>
  <c r="HR5" i="8"/>
  <c r="HQ5" i="8"/>
  <c r="HP5" i="8"/>
  <c r="HO5" i="8"/>
  <c r="HN5" i="8"/>
  <c r="HM5" i="8"/>
  <c r="HL5" i="8"/>
  <c r="HK5" i="8"/>
  <c r="HJ5" i="8"/>
  <c r="HI5" i="8"/>
  <c r="HH5" i="8"/>
  <c r="HG5" i="8"/>
  <c r="HF5" i="8"/>
  <c r="HE5" i="8"/>
  <c r="HD5" i="8"/>
  <c r="HC5" i="8"/>
  <c r="HB5" i="8"/>
  <c r="HA5" i="8"/>
  <c r="GZ5" i="8"/>
  <c r="GY5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76" i="8"/>
  <c r="GD76" i="8"/>
  <c r="GC76" i="8"/>
  <c r="GB76" i="8"/>
  <c r="GA76" i="8"/>
  <c r="FZ76" i="8"/>
  <c r="FY76" i="8"/>
  <c r="FX76" i="8"/>
  <c r="FW76" i="8"/>
  <c r="FV76" i="8"/>
  <c r="FU76" i="8"/>
  <c r="FT76" i="8"/>
  <c r="FS76" i="8"/>
  <c r="FR76" i="8"/>
  <c r="FQ76" i="8"/>
  <c r="FP76" i="8"/>
  <c r="FO76" i="8"/>
  <c r="FN76" i="8"/>
  <c r="FM76" i="8"/>
  <c r="FL76" i="8"/>
  <c r="FK76" i="8"/>
  <c r="FJ76" i="8"/>
  <c r="FI76" i="8"/>
  <c r="FH76" i="8"/>
  <c r="FG76" i="8"/>
  <c r="FF76" i="8"/>
  <c r="FE76" i="8"/>
  <c r="FD76" i="8"/>
  <c r="FC76" i="8"/>
  <c r="FB76" i="8"/>
  <c r="FA76" i="8"/>
  <c r="EZ76" i="8"/>
  <c r="EY76" i="8"/>
  <c r="EX76" i="8"/>
  <c r="EW76" i="8"/>
  <c r="EV76" i="8"/>
  <c r="EU76" i="8"/>
  <c r="GE75" i="8"/>
  <c r="GD75" i="8"/>
  <c r="GC75" i="8"/>
  <c r="GB75" i="8"/>
  <c r="GA75" i="8"/>
  <c r="FZ75" i="8"/>
  <c r="FY75" i="8"/>
  <c r="FX75" i="8"/>
  <c r="FW75" i="8"/>
  <c r="FV75" i="8"/>
  <c r="FU75" i="8"/>
  <c r="FT75" i="8"/>
  <c r="FS75" i="8"/>
  <c r="FR75" i="8"/>
  <c r="FQ75" i="8"/>
  <c r="FP75" i="8"/>
  <c r="FO75" i="8"/>
  <c r="FN75" i="8"/>
  <c r="FM75" i="8"/>
  <c r="FL75" i="8"/>
  <c r="FK75" i="8"/>
  <c r="FJ75" i="8"/>
  <c r="FI75" i="8"/>
  <c r="FH75" i="8"/>
  <c r="FG75" i="8"/>
  <c r="FF75" i="8"/>
  <c r="FE75" i="8"/>
  <c r="FD75" i="8"/>
  <c r="FC75" i="8"/>
  <c r="FB75" i="8"/>
  <c r="FA75" i="8"/>
  <c r="EZ75" i="8"/>
  <c r="EY75" i="8"/>
  <c r="EX75" i="8"/>
  <c r="EW75" i="8"/>
  <c r="EV75" i="8"/>
  <c r="EU75" i="8"/>
  <c r="GE74" i="8"/>
  <c r="GD74" i="8"/>
  <c r="GC74" i="8"/>
  <c r="GB74" i="8"/>
  <c r="GA74" i="8"/>
  <c r="FZ74" i="8"/>
  <c r="FY74" i="8"/>
  <c r="FX74" i="8"/>
  <c r="FW74" i="8"/>
  <c r="FV74" i="8"/>
  <c r="FU74" i="8"/>
  <c r="FT74" i="8"/>
  <c r="FS74" i="8"/>
  <c r="FR74" i="8"/>
  <c r="FQ74" i="8"/>
  <c r="FP74" i="8"/>
  <c r="FO74" i="8"/>
  <c r="FN74" i="8"/>
  <c r="FM74" i="8"/>
  <c r="FL74" i="8"/>
  <c r="FK74" i="8"/>
  <c r="FJ74" i="8"/>
  <c r="FI74" i="8"/>
  <c r="FH74" i="8"/>
  <c r="FG74" i="8"/>
  <c r="FF74" i="8"/>
  <c r="FE74" i="8"/>
  <c r="FD74" i="8"/>
  <c r="FC74" i="8"/>
  <c r="FB74" i="8"/>
  <c r="FA74" i="8"/>
  <c r="EZ74" i="8"/>
  <c r="EY74" i="8"/>
  <c r="EX74" i="8"/>
  <c r="EW74" i="8"/>
  <c r="EV74" i="8"/>
  <c r="EU74" i="8"/>
  <c r="GE73" i="8"/>
  <c r="GD73" i="8"/>
  <c r="GC73" i="8"/>
  <c r="GB73" i="8"/>
  <c r="GA73" i="8"/>
  <c r="FZ73" i="8"/>
  <c r="FY73" i="8"/>
  <c r="FX73" i="8"/>
  <c r="FW73" i="8"/>
  <c r="FV73" i="8"/>
  <c r="FU73" i="8"/>
  <c r="FT73" i="8"/>
  <c r="FS73" i="8"/>
  <c r="FR73" i="8"/>
  <c r="FQ73" i="8"/>
  <c r="FP73" i="8"/>
  <c r="FO73" i="8"/>
  <c r="FN73" i="8"/>
  <c r="FM73" i="8"/>
  <c r="FL73" i="8"/>
  <c r="FK73" i="8"/>
  <c r="FJ73" i="8"/>
  <c r="FI73" i="8"/>
  <c r="FH73" i="8"/>
  <c r="FG73" i="8"/>
  <c r="FF73" i="8"/>
  <c r="FE73" i="8"/>
  <c r="FD73" i="8"/>
  <c r="FC73" i="8"/>
  <c r="FB73" i="8"/>
  <c r="FA73" i="8"/>
  <c r="EZ73" i="8"/>
  <c r="EY73" i="8"/>
  <c r="EX73" i="8"/>
  <c r="EW73" i="8"/>
  <c r="EV73" i="8"/>
  <c r="EU73" i="8"/>
  <c r="GE85" i="8"/>
  <c r="GD85" i="8"/>
  <c r="GC85" i="8"/>
  <c r="GB85" i="8"/>
  <c r="GA85" i="8"/>
  <c r="FZ85" i="8"/>
  <c r="FY85" i="8"/>
  <c r="FX85" i="8"/>
  <c r="FW85" i="8"/>
  <c r="FV85" i="8"/>
  <c r="FU85" i="8"/>
  <c r="FT85" i="8"/>
  <c r="FS85" i="8"/>
  <c r="FR85" i="8"/>
  <c r="FQ85" i="8"/>
  <c r="FP85" i="8"/>
  <c r="FO85" i="8"/>
  <c r="FN85" i="8"/>
  <c r="FM85" i="8"/>
  <c r="FL85" i="8"/>
  <c r="FK85" i="8"/>
  <c r="FJ85" i="8"/>
  <c r="FI85" i="8"/>
  <c r="FH85" i="8"/>
  <c r="FG85" i="8"/>
  <c r="FF85" i="8"/>
  <c r="FE85" i="8"/>
  <c r="FD85" i="8"/>
  <c r="FC85" i="8"/>
  <c r="FB85" i="8"/>
  <c r="FA85" i="8"/>
  <c r="EZ85" i="8"/>
  <c r="EY85" i="8"/>
  <c r="EX85" i="8"/>
  <c r="EW85" i="8"/>
  <c r="EV85" i="8"/>
  <c r="EU85" i="8"/>
  <c r="GE84" i="8"/>
  <c r="GD84" i="8"/>
  <c r="GC84" i="8"/>
  <c r="GB84" i="8"/>
  <c r="GA84" i="8"/>
  <c r="FZ84" i="8"/>
  <c r="FY84" i="8"/>
  <c r="FX84" i="8"/>
  <c r="FW84" i="8"/>
  <c r="FV84" i="8"/>
  <c r="FU84" i="8"/>
  <c r="FT84" i="8"/>
  <c r="FS84" i="8"/>
  <c r="FR84" i="8"/>
  <c r="FQ84" i="8"/>
  <c r="FP84" i="8"/>
  <c r="FO84" i="8"/>
  <c r="FN84" i="8"/>
  <c r="FM84" i="8"/>
  <c r="FL84" i="8"/>
  <c r="FK84" i="8"/>
  <c r="FJ84" i="8"/>
  <c r="FI84" i="8"/>
  <c r="FH84" i="8"/>
  <c r="FG84" i="8"/>
  <c r="FF84" i="8"/>
  <c r="FE84" i="8"/>
  <c r="FD84" i="8"/>
  <c r="FC84" i="8"/>
  <c r="FB84" i="8"/>
  <c r="FA84" i="8"/>
  <c r="EZ84" i="8"/>
  <c r="EY84" i="8"/>
  <c r="EX84" i="8"/>
  <c r="EW84" i="8"/>
  <c r="EV84" i="8"/>
  <c r="EU84" i="8"/>
  <c r="GE71" i="8"/>
  <c r="GD71" i="8"/>
  <c r="GC71" i="8"/>
  <c r="GB71" i="8"/>
  <c r="GA71" i="8"/>
  <c r="FZ71" i="8"/>
  <c r="FY71" i="8"/>
  <c r="FX71" i="8"/>
  <c r="FW71" i="8"/>
  <c r="FV71" i="8"/>
  <c r="FU71" i="8"/>
  <c r="FT71" i="8"/>
  <c r="FS71" i="8"/>
  <c r="FR71" i="8"/>
  <c r="FQ71" i="8"/>
  <c r="FP71" i="8"/>
  <c r="FO71" i="8"/>
  <c r="FN71" i="8"/>
  <c r="FM71" i="8"/>
  <c r="FL71" i="8"/>
  <c r="FK71" i="8"/>
  <c r="FJ71" i="8"/>
  <c r="FI71" i="8"/>
  <c r="FH71" i="8"/>
  <c r="FG71" i="8"/>
  <c r="FF71" i="8"/>
  <c r="FE71" i="8"/>
  <c r="FD71" i="8"/>
  <c r="FC71" i="8"/>
  <c r="FB71" i="8"/>
  <c r="FA71" i="8"/>
  <c r="EZ71" i="8"/>
  <c r="EY71" i="8"/>
  <c r="EX71" i="8"/>
  <c r="EW71" i="8"/>
  <c r="EV71" i="8"/>
  <c r="EU71" i="8"/>
  <c r="GE70" i="8"/>
  <c r="GD70" i="8"/>
  <c r="GC70" i="8"/>
  <c r="GB70" i="8"/>
  <c r="GA70" i="8"/>
  <c r="FZ70" i="8"/>
  <c r="FY70" i="8"/>
  <c r="FX70" i="8"/>
  <c r="FW70" i="8"/>
  <c r="FV70" i="8"/>
  <c r="FU70" i="8"/>
  <c r="FT70" i="8"/>
  <c r="FS70" i="8"/>
  <c r="FR70" i="8"/>
  <c r="FQ70" i="8"/>
  <c r="FP70" i="8"/>
  <c r="FO70" i="8"/>
  <c r="FN70" i="8"/>
  <c r="FM70" i="8"/>
  <c r="FL70" i="8"/>
  <c r="FK70" i="8"/>
  <c r="FJ70" i="8"/>
  <c r="FI70" i="8"/>
  <c r="FH70" i="8"/>
  <c r="FG70" i="8"/>
  <c r="FF70" i="8"/>
  <c r="FE70" i="8"/>
  <c r="FD70" i="8"/>
  <c r="FC70" i="8"/>
  <c r="FB70" i="8"/>
  <c r="FA70" i="8"/>
  <c r="EZ70" i="8"/>
  <c r="EY70" i="8"/>
  <c r="EX70" i="8"/>
  <c r="EW70" i="8"/>
  <c r="EV70" i="8"/>
  <c r="EU70" i="8"/>
  <c r="GE83" i="8"/>
  <c r="GD83" i="8"/>
  <c r="GC83" i="8"/>
  <c r="GB83" i="8"/>
  <c r="GA83" i="8"/>
  <c r="FZ83" i="8"/>
  <c r="FY83" i="8"/>
  <c r="FX83" i="8"/>
  <c r="FW83" i="8"/>
  <c r="FV83" i="8"/>
  <c r="FU83" i="8"/>
  <c r="FT83" i="8"/>
  <c r="FS83" i="8"/>
  <c r="FR83" i="8"/>
  <c r="FQ83" i="8"/>
  <c r="FP83" i="8"/>
  <c r="FO83" i="8"/>
  <c r="FN83" i="8"/>
  <c r="FM83" i="8"/>
  <c r="FL83" i="8"/>
  <c r="FK83" i="8"/>
  <c r="FJ83" i="8"/>
  <c r="FI83" i="8"/>
  <c r="FH83" i="8"/>
  <c r="FG83" i="8"/>
  <c r="FF83" i="8"/>
  <c r="FE83" i="8"/>
  <c r="FD83" i="8"/>
  <c r="FC83" i="8"/>
  <c r="FB83" i="8"/>
  <c r="FA83" i="8"/>
  <c r="EZ83" i="8"/>
  <c r="EY83" i="8"/>
  <c r="EX83" i="8"/>
  <c r="EW83" i="8"/>
  <c r="EV83" i="8"/>
  <c r="EU83" i="8"/>
  <c r="GE82" i="8"/>
  <c r="GD82" i="8"/>
  <c r="GC82" i="8"/>
  <c r="GB82" i="8"/>
  <c r="GA82" i="8"/>
  <c r="FZ82" i="8"/>
  <c r="FY82" i="8"/>
  <c r="FX82" i="8"/>
  <c r="FW82" i="8"/>
  <c r="FV82" i="8"/>
  <c r="FU82" i="8"/>
  <c r="FT82" i="8"/>
  <c r="FS82" i="8"/>
  <c r="FR82" i="8"/>
  <c r="FQ82" i="8"/>
  <c r="FP82" i="8"/>
  <c r="FO82" i="8"/>
  <c r="FN82" i="8"/>
  <c r="FM82" i="8"/>
  <c r="FL82" i="8"/>
  <c r="FK82" i="8"/>
  <c r="FJ82" i="8"/>
  <c r="FI82" i="8"/>
  <c r="FH82" i="8"/>
  <c r="FG82" i="8"/>
  <c r="FF82" i="8"/>
  <c r="FE82" i="8"/>
  <c r="FD82" i="8"/>
  <c r="FC82" i="8"/>
  <c r="FB82" i="8"/>
  <c r="FA82" i="8"/>
  <c r="EZ82" i="8"/>
  <c r="EY82" i="8"/>
  <c r="EX82" i="8"/>
  <c r="EW82" i="8"/>
  <c r="EV82" i="8"/>
  <c r="EU82" i="8"/>
  <c r="GE69" i="8"/>
  <c r="GD69" i="8"/>
  <c r="GC69" i="8"/>
  <c r="GB69" i="8"/>
  <c r="GA69" i="8"/>
  <c r="FZ69" i="8"/>
  <c r="FY69" i="8"/>
  <c r="FX69" i="8"/>
  <c r="FW69" i="8"/>
  <c r="FV69" i="8"/>
  <c r="FU69" i="8"/>
  <c r="FT69" i="8"/>
  <c r="FS69" i="8"/>
  <c r="FR69" i="8"/>
  <c r="FQ69" i="8"/>
  <c r="FP69" i="8"/>
  <c r="FO69" i="8"/>
  <c r="FN69" i="8"/>
  <c r="FM69" i="8"/>
  <c r="FL69" i="8"/>
  <c r="FK69" i="8"/>
  <c r="FJ69" i="8"/>
  <c r="FI69" i="8"/>
  <c r="FH69" i="8"/>
  <c r="FG69" i="8"/>
  <c r="FF69" i="8"/>
  <c r="FE69" i="8"/>
  <c r="FD69" i="8"/>
  <c r="FC69" i="8"/>
  <c r="FB69" i="8"/>
  <c r="FA69" i="8"/>
  <c r="EZ69" i="8"/>
  <c r="EY69" i="8"/>
  <c r="EX69" i="8"/>
  <c r="EW69" i="8"/>
  <c r="EV69" i="8"/>
  <c r="EU69" i="8"/>
  <c r="GE68" i="8"/>
  <c r="GD68" i="8"/>
  <c r="GC68" i="8"/>
  <c r="GB68" i="8"/>
  <c r="GA68" i="8"/>
  <c r="FZ68" i="8"/>
  <c r="FY68" i="8"/>
  <c r="FX68" i="8"/>
  <c r="FW68" i="8"/>
  <c r="FV68" i="8"/>
  <c r="FU68" i="8"/>
  <c r="FT68" i="8"/>
  <c r="FS68" i="8"/>
  <c r="FR68" i="8"/>
  <c r="FQ68" i="8"/>
  <c r="FP68" i="8"/>
  <c r="FO68" i="8"/>
  <c r="FN68" i="8"/>
  <c r="FM68" i="8"/>
  <c r="FL68" i="8"/>
  <c r="FK68" i="8"/>
  <c r="FJ68" i="8"/>
  <c r="FI68" i="8"/>
  <c r="FH68" i="8"/>
  <c r="FG68" i="8"/>
  <c r="FF68" i="8"/>
  <c r="FE68" i="8"/>
  <c r="FD68" i="8"/>
  <c r="FC68" i="8"/>
  <c r="FB68" i="8"/>
  <c r="FA68" i="8"/>
  <c r="EZ68" i="8"/>
  <c r="EY68" i="8"/>
  <c r="EX68" i="8"/>
  <c r="EW68" i="8"/>
  <c r="EV68" i="8"/>
  <c r="EU68" i="8"/>
  <c r="GE67" i="8"/>
  <c r="GD67" i="8"/>
  <c r="GC67" i="8"/>
  <c r="GB67" i="8"/>
  <c r="GA67" i="8"/>
  <c r="FZ67" i="8"/>
  <c r="FY67" i="8"/>
  <c r="FX67" i="8"/>
  <c r="FW67" i="8"/>
  <c r="FV67" i="8"/>
  <c r="FU67" i="8"/>
  <c r="FT67" i="8"/>
  <c r="FS67" i="8"/>
  <c r="FR67" i="8"/>
  <c r="FQ67" i="8"/>
  <c r="FP67" i="8"/>
  <c r="FO67" i="8"/>
  <c r="FN67" i="8"/>
  <c r="FM67" i="8"/>
  <c r="FL67" i="8"/>
  <c r="FK67" i="8"/>
  <c r="FJ67" i="8"/>
  <c r="FI67" i="8"/>
  <c r="FH67" i="8"/>
  <c r="FG67" i="8"/>
  <c r="FF67" i="8"/>
  <c r="FE67" i="8"/>
  <c r="FD67" i="8"/>
  <c r="FC67" i="8"/>
  <c r="FB67" i="8"/>
  <c r="FA67" i="8"/>
  <c r="EZ67" i="8"/>
  <c r="EY67" i="8"/>
  <c r="EX67" i="8"/>
  <c r="EW67" i="8"/>
  <c r="EV67" i="8"/>
  <c r="EU67" i="8"/>
  <c r="GE81" i="8"/>
  <c r="GD81" i="8"/>
  <c r="GC81" i="8"/>
  <c r="GB81" i="8"/>
  <c r="GA81" i="8"/>
  <c r="FZ81" i="8"/>
  <c r="FY81" i="8"/>
  <c r="FX81" i="8"/>
  <c r="FW81" i="8"/>
  <c r="FV81" i="8"/>
  <c r="FU81" i="8"/>
  <c r="FT81" i="8"/>
  <c r="FS81" i="8"/>
  <c r="FR81" i="8"/>
  <c r="FQ81" i="8"/>
  <c r="FP81" i="8"/>
  <c r="FO81" i="8"/>
  <c r="FN81" i="8"/>
  <c r="FM81" i="8"/>
  <c r="FL81" i="8"/>
  <c r="FK81" i="8"/>
  <c r="FJ81" i="8"/>
  <c r="FI81" i="8"/>
  <c r="FH81" i="8"/>
  <c r="FG81" i="8"/>
  <c r="FF81" i="8"/>
  <c r="FE81" i="8"/>
  <c r="FD81" i="8"/>
  <c r="FC81" i="8"/>
  <c r="FB81" i="8"/>
  <c r="FA81" i="8"/>
  <c r="EZ81" i="8"/>
  <c r="EY81" i="8"/>
  <c r="EX81" i="8"/>
  <c r="EW81" i="8"/>
  <c r="EV81" i="8"/>
  <c r="EU81" i="8"/>
  <c r="GE80" i="8"/>
  <c r="GD80" i="8"/>
  <c r="GC80" i="8"/>
  <c r="GB80" i="8"/>
  <c r="GA80" i="8"/>
  <c r="FZ80" i="8"/>
  <c r="FY80" i="8"/>
  <c r="FX80" i="8"/>
  <c r="FW80" i="8"/>
  <c r="FV80" i="8"/>
  <c r="FU80" i="8"/>
  <c r="FT80" i="8"/>
  <c r="FS80" i="8"/>
  <c r="FR80" i="8"/>
  <c r="FQ80" i="8"/>
  <c r="FP80" i="8"/>
  <c r="FO80" i="8"/>
  <c r="FN80" i="8"/>
  <c r="FM80" i="8"/>
  <c r="FL80" i="8"/>
  <c r="FK80" i="8"/>
  <c r="FJ80" i="8"/>
  <c r="FI80" i="8"/>
  <c r="FH80" i="8"/>
  <c r="FG80" i="8"/>
  <c r="FF80" i="8"/>
  <c r="FE80" i="8"/>
  <c r="FD80" i="8"/>
  <c r="FC80" i="8"/>
  <c r="FB80" i="8"/>
  <c r="FA80" i="8"/>
  <c r="EZ80" i="8"/>
  <c r="EY80" i="8"/>
  <c r="EX80" i="8"/>
  <c r="EW80" i="8"/>
  <c r="EV80" i="8"/>
  <c r="EU80" i="8"/>
  <c r="GE63" i="8"/>
  <c r="GD63" i="8"/>
  <c r="GC63" i="8"/>
  <c r="GB63" i="8"/>
  <c r="GA63" i="8"/>
  <c r="FZ63" i="8"/>
  <c r="FY63" i="8"/>
  <c r="FX63" i="8"/>
  <c r="FW63" i="8"/>
  <c r="FV63" i="8"/>
  <c r="FU63" i="8"/>
  <c r="FT63" i="8"/>
  <c r="FS63" i="8"/>
  <c r="FR63" i="8"/>
  <c r="FQ63" i="8"/>
  <c r="FP63" i="8"/>
  <c r="FO63" i="8"/>
  <c r="FN63" i="8"/>
  <c r="FM63" i="8"/>
  <c r="FL63" i="8"/>
  <c r="FK63" i="8"/>
  <c r="FJ63" i="8"/>
  <c r="FI63" i="8"/>
  <c r="FH63" i="8"/>
  <c r="FG63" i="8"/>
  <c r="FF63" i="8"/>
  <c r="FE63" i="8"/>
  <c r="FD63" i="8"/>
  <c r="FC63" i="8"/>
  <c r="FB63" i="8"/>
  <c r="FA63" i="8"/>
  <c r="EZ63" i="8"/>
  <c r="EY63" i="8"/>
  <c r="EX63" i="8"/>
  <c r="EW63" i="8"/>
  <c r="EV63" i="8"/>
  <c r="EU63" i="8"/>
  <c r="GE66" i="8"/>
  <c r="GD66" i="8"/>
  <c r="GC66" i="8"/>
  <c r="GB66" i="8"/>
  <c r="GA66" i="8"/>
  <c r="FZ66" i="8"/>
  <c r="FY66" i="8"/>
  <c r="FX66" i="8"/>
  <c r="FW66" i="8"/>
  <c r="FV66" i="8"/>
  <c r="FU66" i="8"/>
  <c r="FT66" i="8"/>
  <c r="FS66" i="8"/>
  <c r="FR66" i="8"/>
  <c r="FQ66" i="8"/>
  <c r="FP66" i="8"/>
  <c r="FO66" i="8"/>
  <c r="FN66" i="8"/>
  <c r="FM66" i="8"/>
  <c r="FL66" i="8"/>
  <c r="FK66" i="8"/>
  <c r="FJ66" i="8"/>
  <c r="FI66" i="8"/>
  <c r="FH66" i="8"/>
  <c r="FG66" i="8"/>
  <c r="FF66" i="8"/>
  <c r="FE66" i="8"/>
  <c r="FD66" i="8"/>
  <c r="FC66" i="8"/>
  <c r="FB66" i="8"/>
  <c r="FA66" i="8"/>
  <c r="EZ66" i="8"/>
  <c r="EY66" i="8"/>
  <c r="EX66" i="8"/>
  <c r="EW66" i="8"/>
  <c r="EV66" i="8"/>
  <c r="EU66" i="8"/>
  <c r="GE65" i="8"/>
  <c r="GD65" i="8"/>
  <c r="GC65" i="8"/>
  <c r="GB65" i="8"/>
  <c r="GA65" i="8"/>
  <c r="FZ65" i="8"/>
  <c r="FY65" i="8"/>
  <c r="FX65" i="8"/>
  <c r="FW65" i="8"/>
  <c r="FV65" i="8"/>
  <c r="FU65" i="8"/>
  <c r="FT65" i="8"/>
  <c r="FS65" i="8"/>
  <c r="FR65" i="8"/>
  <c r="FQ65" i="8"/>
  <c r="FP65" i="8"/>
  <c r="FO65" i="8"/>
  <c r="FN65" i="8"/>
  <c r="FM65" i="8"/>
  <c r="FL65" i="8"/>
  <c r="FK65" i="8"/>
  <c r="FJ65" i="8"/>
  <c r="FI65" i="8"/>
  <c r="FH65" i="8"/>
  <c r="FG65" i="8"/>
  <c r="FF65" i="8"/>
  <c r="FE65" i="8"/>
  <c r="FD65" i="8"/>
  <c r="FC65" i="8"/>
  <c r="FB65" i="8"/>
  <c r="FA65" i="8"/>
  <c r="EZ65" i="8"/>
  <c r="EY65" i="8"/>
  <c r="EX65" i="8"/>
  <c r="EW65" i="8"/>
  <c r="EV65" i="8"/>
  <c r="EU65" i="8"/>
  <c r="GE64" i="8"/>
  <c r="GD64" i="8"/>
  <c r="GC64" i="8"/>
  <c r="GB64" i="8"/>
  <c r="GA64" i="8"/>
  <c r="FZ64" i="8"/>
  <c r="FY64" i="8"/>
  <c r="FX64" i="8"/>
  <c r="FW64" i="8"/>
  <c r="FV64" i="8"/>
  <c r="FU64" i="8"/>
  <c r="FT64" i="8"/>
  <c r="FS64" i="8"/>
  <c r="FR64" i="8"/>
  <c r="FQ64" i="8"/>
  <c r="FP64" i="8"/>
  <c r="FO64" i="8"/>
  <c r="FN64" i="8"/>
  <c r="FM64" i="8"/>
  <c r="FL64" i="8"/>
  <c r="FK64" i="8"/>
  <c r="FJ64" i="8"/>
  <c r="FI64" i="8"/>
  <c r="FH64" i="8"/>
  <c r="FG64" i="8"/>
  <c r="FF64" i="8"/>
  <c r="FE64" i="8"/>
  <c r="FD64" i="8"/>
  <c r="FC64" i="8"/>
  <c r="FB64" i="8"/>
  <c r="FA64" i="8"/>
  <c r="EZ64" i="8"/>
  <c r="EY64" i="8"/>
  <c r="EX64" i="8"/>
  <c r="EW64" i="8"/>
  <c r="EV64" i="8"/>
  <c r="EU64" i="8"/>
  <c r="GE79" i="8"/>
  <c r="GD79" i="8"/>
  <c r="GC79" i="8"/>
  <c r="GB79" i="8"/>
  <c r="GA79" i="8"/>
  <c r="FZ79" i="8"/>
  <c r="FY79" i="8"/>
  <c r="FX79" i="8"/>
  <c r="FW79" i="8"/>
  <c r="FV79" i="8"/>
  <c r="FU79" i="8"/>
  <c r="FT79" i="8"/>
  <c r="FS79" i="8"/>
  <c r="FR79" i="8"/>
  <c r="FQ79" i="8"/>
  <c r="FP79" i="8"/>
  <c r="FO79" i="8"/>
  <c r="FN79" i="8"/>
  <c r="FM79" i="8"/>
  <c r="FL79" i="8"/>
  <c r="FK79" i="8"/>
  <c r="FJ79" i="8"/>
  <c r="FI79" i="8"/>
  <c r="FH79" i="8"/>
  <c r="FG79" i="8"/>
  <c r="FF79" i="8"/>
  <c r="FE79" i="8"/>
  <c r="FD79" i="8"/>
  <c r="FC79" i="8"/>
  <c r="FB79" i="8"/>
  <c r="FA79" i="8"/>
  <c r="EZ79" i="8"/>
  <c r="EY79" i="8"/>
  <c r="EX79" i="8"/>
  <c r="EW79" i="8"/>
  <c r="EV79" i="8"/>
  <c r="EU79" i="8"/>
  <c r="GE78" i="8"/>
  <c r="GD78" i="8"/>
  <c r="GC78" i="8"/>
  <c r="GB78" i="8"/>
  <c r="GA78" i="8"/>
  <c r="FZ78" i="8"/>
  <c r="FY78" i="8"/>
  <c r="FX78" i="8"/>
  <c r="FW78" i="8"/>
  <c r="FV78" i="8"/>
  <c r="FU78" i="8"/>
  <c r="FT78" i="8"/>
  <c r="FS78" i="8"/>
  <c r="FR78" i="8"/>
  <c r="FQ78" i="8"/>
  <c r="FP78" i="8"/>
  <c r="FO78" i="8"/>
  <c r="FN78" i="8"/>
  <c r="FM78" i="8"/>
  <c r="FL78" i="8"/>
  <c r="FK78" i="8"/>
  <c r="FJ78" i="8"/>
  <c r="FI78" i="8"/>
  <c r="FH78" i="8"/>
  <c r="FG78" i="8"/>
  <c r="FF78" i="8"/>
  <c r="FE78" i="8"/>
  <c r="FD78" i="8"/>
  <c r="FC78" i="8"/>
  <c r="FB78" i="8"/>
  <c r="FA78" i="8"/>
  <c r="EZ78" i="8"/>
  <c r="EY78" i="8"/>
  <c r="EX78" i="8"/>
  <c r="EW78" i="8"/>
  <c r="EV78" i="8"/>
  <c r="EU78" i="8"/>
  <c r="GE62" i="8"/>
  <c r="GD62" i="8"/>
  <c r="GC62" i="8"/>
  <c r="GB62" i="8"/>
  <c r="GA62" i="8"/>
  <c r="FZ62" i="8"/>
  <c r="FY62" i="8"/>
  <c r="FX62" i="8"/>
  <c r="FW62" i="8"/>
  <c r="FV62" i="8"/>
  <c r="FU62" i="8"/>
  <c r="FT62" i="8"/>
  <c r="FS62" i="8"/>
  <c r="FR62" i="8"/>
  <c r="FQ62" i="8"/>
  <c r="FP62" i="8"/>
  <c r="FO62" i="8"/>
  <c r="FN62" i="8"/>
  <c r="FM62" i="8"/>
  <c r="FL62" i="8"/>
  <c r="FK62" i="8"/>
  <c r="FJ62" i="8"/>
  <c r="FI62" i="8"/>
  <c r="FH62" i="8"/>
  <c r="FG62" i="8"/>
  <c r="FF62" i="8"/>
  <c r="FE62" i="8"/>
  <c r="FD62" i="8"/>
  <c r="FC62" i="8"/>
  <c r="FB62" i="8"/>
  <c r="FA62" i="8"/>
  <c r="EZ62" i="8"/>
  <c r="EY62" i="8"/>
  <c r="EX62" i="8"/>
  <c r="EW62" i="8"/>
  <c r="EV62" i="8"/>
  <c r="EU62" i="8"/>
  <c r="GE60" i="8"/>
  <c r="GD60" i="8"/>
  <c r="GC60" i="8"/>
  <c r="GB60" i="8"/>
  <c r="GA60" i="8"/>
  <c r="FZ60" i="8"/>
  <c r="FY60" i="8"/>
  <c r="FX60" i="8"/>
  <c r="FW60" i="8"/>
  <c r="FV60" i="8"/>
  <c r="FU60" i="8"/>
  <c r="FT60" i="8"/>
  <c r="FS60" i="8"/>
  <c r="FR60" i="8"/>
  <c r="FQ60" i="8"/>
  <c r="FP60" i="8"/>
  <c r="FO60" i="8"/>
  <c r="FN60" i="8"/>
  <c r="FM60" i="8"/>
  <c r="FL60" i="8"/>
  <c r="FK60" i="8"/>
  <c r="FJ60" i="8"/>
  <c r="FI60" i="8"/>
  <c r="FH60" i="8"/>
  <c r="FG60" i="8"/>
  <c r="FF60" i="8"/>
  <c r="FE60" i="8"/>
  <c r="FD60" i="8"/>
  <c r="FC60" i="8"/>
  <c r="FB60" i="8"/>
  <c r="FA60" i="8"/>
  <c r="EZ60" i="8"/>
  <c r="EY60" i="8"/>
  <c r="EX60" i="8"/>
  <c r="EW60" i="8"/>
  <c r="EV60" i="8"/>
  <c r="EU60" i="8"/>
  <c r="GE59" i="8"/>
  <c r="GD59" i="8"/>
  <c r="GC59" i="8"/>
  <c r="GB59" i="8"/>
  <c r="GA59" i="8"/>
  <c r="FZ59" i="8"/>
  <c r="FY59" i="8"/>
  <c r="FX59" i="8"/>
  <c r="FW59" i="8"/>
  <c r="FV59" i="8"/>
  <c r="FU59" i="8"/>
  <c r="FT59" i="8"/>
  <c r="FS59" i="8"/>
  <c r="FR59" i="8"/>
  <c r="FQ59" i="8"/>
  <c r="FP59" i="8"/>
  <c r="FO59" i="8"/>
  <c r="FN59" i="8"/>
  <c r="FM59" i="8"/>
  <c r="FL59" i="8"/>
  <c r="FK59" i="8"/>
  <c r="FJ59" i="8"/>
  <c r="FI59" i="8"/>
  <c r="FH59" i="8"/>
  <c r="FG59" i="8"/>
  <c r="FF59" i="8"/>
  <c r="FE59" i="8"/>
  <c r="FD59" i="8"/>
  <c r="FC59" i="8"/>
  <c r="FB59" i="8"/>
  <c r="FA59" i="8"/>
  <c r="EZ59" i="8"/>
  <c r="EY59" i="8"/>
  <c r="EX59" i="8"/>
  <c r="EW59" i="8"/>
  <c r="EV59" i="8"/>
  <c r="EU59" i="8"/>
  <c r="GE58" i="8"/>
  <c r="GD58" i="8"/>
  <c r="GC58" i="8"/>
  <c r="GB58" i="8"/>
  <c r="GA58" i="8"/>
  <c r="FZ58" i="8"/>
  <c r="FY58" i="8"/>
  <c r="FX58" i="8"/>
  <c r="FW58" i="8"/>
  <c r="FV58" i="8"/>
  <c r="FU58" i="8"/>
  <c r="FT58" i="8"/>
  <c r="FS58" i="8"/>
  <c r="FR58" i="8"/>
  <c r="FQ58" i="8"/>
  <c r="FP58" i="8"/>
  <c r="FO58" i="8"/>
  <c r="FN58" i="8"/>
  <c r="FM58" i="8"/>
  <c r="FL58" i="8"/>
  <c r="FK58" i="8"/>
  <c r="FJ58" i="8"/>
  <c r="FI58" i="8"/>
  <c r="FH58" i="8"/>
  <c r="FG58" i="8"/>
  <c r="FF58" i="8"/>
  <c r="FE58" i="8"/>
  <c r="FD58" i="8"/>
  <c r="FC58" i="8"/>
  <c r="FB58" i="8"/>
  <c r="FA58" i="8"/>
  <c r="EZ58" i="8"/>
  <c r="EY58" i="8"/>
  <c r="EX58" i="8"/>
  <c r="EW58" i="8"/>
  <c r="EV58" i="8"/>
  <c r="EU58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GE56" i="8"/>
  <c r="GD56" i="8"/>
  <c r="GC56" i="8"/>
  <c r="GB56" i="8"/>
  <c r="GA56" i="8"/>
  <c r="FZ56" i="8"/>
  <c r="FY56" i="8"/>
  <c r="FX56" i="8"/>
  <c r="FW56" i="8"/>
  <c r="FV56" i="8"/>
  <c r="FU56" i="8"/>
  <c r="FT56" i="8"/>
  <c r="FS56" i="8"/>
  <c r="FR56" i="8"/>
  <c r="FQ56" i="8"/>
  <c r="FP56" i="8"/>
  <c r="FO56" i="8"/>
  <c r="FN56" i="8"/>
  <c r="FM56" i="8"/>
  <c r="FL56" i="8"/>
  <c r="FK56" i="8"/>
  <c r="FJ56" i="8"/>
  <c r="FI56" i="8"/>
  <c r="FH56" i="8"/>
  <c r="FG56" i="8"/>
  <c r="FF56" i="8"/>
  <c r="FE56" i="8"/>
  <c r="FD56" i="8"/>
  <c r="FC56" i="8"/>
  <c r="FB56" i="8"/>
  <c r="FA56" i="8"/>
  <c r="EZ56" i="8"/>
  <c r="EY56" i="8"/>
  <c r="EX56" i="8"/>
  <c r="EW56" i="8"/>
  <c r="EV56" i="8"/>
  <c r="EU56" i="8"/>
  <c r="GE55" i="8"/>
  <c r="GD55" i="8"/>
  <c r="GC55" i="8"/>
  <c r="GB55" i="8"/>
  <c r="GA55" i="8"/>
  <c r="FZ55" i="8"/>
  <c r="FY55" i="8"/>
  <c r="FX55" i="8"/>
  <c r="FW55" i="8"/>
  <c r="FV55" i="8"/>
  <c r="FU55" i="8"/>
  <c r="FT55" i="8"/>
  <c r="FS55" i="8"/>
  <c r="FR55" i="8"/>
  <c r="FQ55" i="8"/>
  <c r="FP55" i="8"/>
  <c r="FO55" i="8"/>
  <c r="FN55" i="8"/>
  <c r="FM55" i="8"/>
  <c r="FL55" i="8"/>
  <c r="FK55" i="8"/>
  <c r="FJ55" i="8"/>
  <c r="FI55" i="8"/>
  <c r="FH55" i="8"/>
  <c r="FG55" i="8"/>
  <c r="FF55" i="8"/>
  <c r="FE55" i="8"/>
  <c r="FD55" i="8"/>
  <c r="FC55" i="8"/>
  <c r="FB55" i="8"/>
  <c r="FA55" i="8"/>
  <c r="EZ55" i="8"/>
  <c r="EY55" i="8"/>
  <c r="EX55" i="8"/>
  <c r="EW55" i="8"/>
  <c r="EV55" i="8"/>
  <c r="EU55" i="8"/>
  <c r="GE54" i="8"/>
  <c r="GD54" i="8"/>
  <c r="GC54" i="8"/>
  <c r="GB54" i="8"/>
  <c r="GA54" i="8"/>
  <c r="FZ54" i="8"/>
  <c r="FY54" i="8"/>
  <c r="FX54" i="8"/>
  <c r="FW54" i="8"/>
  <c r="FV54" i="8"/>
  <c r="FU54" i="8"/>
  <c r="FT54" i="8"/>
  <c r="FS54" i="8"/>
  <c r="FR54" i="8"/>
  <c r="FQ54" i="8"/>
  <c r="FP54" i="8"/>
  <c r="FO54" i="8"/>
  <c r="FN54" i="8"/>
  <c r="FM54" i="8"/>
  <c r="FL54" i="8"/>
  <c r="FK54" i="8"/>
  <c r="FJ54" i="8"/>
  <c r="FI54" i="8"/>
  <c r="FH54" i="8"/>
  <c r="FG54" i="8"/>
  <c r="FF54" i="8"/>
  <c r="FE54" i="8"/>
  <c r="FD54" i="8"/>
  <c r="FC54" i="8"/>
  <c r="FB54" i="8"/>
  <c r="FA54" i="8"/>
  <c r="EZ54" i="8"/>
  <c r="EY54" i="8"/>
  <c r="EX54" i="8"/>
  <c r="EW54" i="8"/>
  <c r="EV54" i="8"/>
  <c r="EU54" i="8"/>
  <c r="GE53" i="8"/>
  <c r="GD53" i="8"/>
  <c r="GC53" i="8"/>
  <c r="GB53" i="8"/>
  <c r="GA53" i="8"/>
  <c r="FZ53" i="8"/>
  <c r="FY53" i="8"/>
  <c r="FX53" i="8"/>
  <c r="FW53" i="8"/>
  <c r="FV53" i="8"/>
  <c r="FU53" i="8"/>
  <c r="FT53" i="8"/>
  <c r="FS53" i="8"/>
  <c r="FR53" i="8"/>
  <c r="FQ53" i="8"/>
  <c r="FP53" i="8"/>
  <c r="FO53" i="8"/>
  <c r="FN53" i="8"/>
  <c r="FM53" i="8"/>
  <c r="FL53" i="8"/>
  <c r="FK53" i="8"/>
  <c r="FJ53" i="8"/>
  <c r="FI53" i="8"/>
  <c r="FH53" i="8"/>
  <c r="FG53" i="8"/>
  <c r="FF53" i="8"/>
  <c r="FE53" i="8"/>
  <c r="FD53" i="8"/>
  <c r="FC53" i="8"/>
  <c r="FB53" i="8"/>
  <c r="FA53" i="8"/>
  <c r="EZ53" i="8"/>
  <c r="EY53" i="8"/>
  <c r="EX53" i="8"/>
  <c r="EW53" i="8"/>
  <c r="EV53" i="8"/>
  <c r="EU53" i="8"/>
  <c r="GE44" i="8"/>
  <c r="GD44" i="8"/>
  <c r="GC44" i="8"/>
  <c r="GB44" i="8"/>
  <c r="GA44" i="8"/>
  <c r="FZ44" i="8"/>
  <c r="FY44" i="8"/>
  <c r="FX44" i="8"/>
  <c r="FW44" i="8"/>
  <c r="FV44" i="8"/>
  <c r="FU44" i="8"/>
  <c r="FT44" i="8"/>
  <c r="FS44" i="8"/>
  <c r="FR44" i="8"/>
  <c r="FQ44" i="8"/>
  <c r="FP44" i="8"/>
  <c r="FO44" i="8"/>
  <c r="FN44" i="8"/>
  <c r="FM44" i="8"/>
  <c r="FL44" i="8"/>
  <c r="FK44" i="8"/>
  <c r="FJ44" i="8"/>
  <c r="FI44" i="8"/>
  <c r="FH44" i="8"/>
  <c r="FG44" i="8"/>
  <c r="FF44" i="8"/>
  <c r="FE44" i="8"/>
  <c r="FD44" i="8"/>
  <c r="FC44" i="8"/>
  <c r="FB44" i="8"/>
  <c r="FA44" i="8"/>
  <c r="EZ44" i="8"/>
  <c r="EY44" i="8"/>
  <c r="EX44" i="8"/>
  <c r="EW44" i="8"/>
  <c r="EV44" i="8"/>
  <c r="EU44" i="8"/>
  <c r="GE43" i="8"/>
  <c r="GD43" i="8"/>
  <c r="GC43" i="8"/>
  <c r="GB43" i="8"/>
  <c r="GA43" i="8"/>
  <c r="FZ43" i="8"/>
  <c r="FY43" i="8"/>
  <c r="FX43" i="8"/>
  <c r="FW43" i="8"/>
  <c r="FV43" i="8"/>
  <c r="FU43" i="8"/>
  <c r="FT43" i="8"/>
  <c r="FS43" i="8"/>
  <c r="FR43" i="8"/>
  <c r="FQ43" i="8"/>
  <c r="FP43" i="8"/>
  <c r="FO43" i="8"/>
  <c r="FN43" i="8"/>
  <c r="FM43" i="8"/>
  <c r="FL43" i="8"/>
  <c r="FK43" i="8"/>
  <c r="FJ43" i="8"/>
  <c r="FI43" i="8"/>
  <c r="FH43" i="8"/>
  <c r="FG43" i="8"/>
  <c r="FF43" i="8"/>
  <c r="FE43" i="8"/>
  <c r="FD43" i="8"/>
  <c r="FC43" i="8"/>
  <c r="FB43" i="8"/>
  <c r="FA43" i="8"/>
  <c r="EZ43" i="8"/>
  <c r="EY43" i="8"/>
  <c r="EX43" i="8"/>
  <c r="EW43" i="8"/>
  <c r="EV43" i="8"/>
  <c r="EU43" i="8"/>
  <c r="GE42" i="8"/>
  <c r="GD42" i="8"/>
  <c r="GC42" i="8"/>
  <c r="GB42" i="8"/>
  <c r="GA42" i="8"/>
  <c r="FZ42" i="8"/>
  <c r="FY42" i="8"/>
  <c r="FX42" i="8"/>
  <c r="FW42" i="8"/>
  <c r="FV42" i="8"/>
  <c r="FU42" i="8"/>
  <c r="FT42" i="8"/>
  <c r="FS42" i="8"/>
  <c r="FR42" i="8"/>
  <c r="FQ42" i="8"/>
  <c r="FP42" i="8"/>
  <c r="FO42" i="8"/>
  <c r="FN42" i="8"/>
  <c r="FM42" i="8"/>
  <c r="FL42" i="8"/>
  <c r="FK42" i="8"/>
  <c r="FJ42" i="8"/>
  <c r="FI42" i="8"/>
  <c r="FH42" i="8"/>
  <c r="FG42" i="8"/>
  <c r="FF42" i="8"/>
  <c r="FE42" i="8"/>
  <c r="FD42" i="8"/>
  <c r="FC42" i="8"/>
  <c r="FB42" i="8"/>
  <c r="FA42" i="8"/>
  <c r="EZ42" i="8"/>
  <c r="EY42" i="8"/>
  <c r="EX42" i="8"/>
  <c r="EW42" i="8"/>
  <c r="EV42" i="8"/>
  <c r="EU42" i="8"/>
  <c r="GE41" i="8"/>
  <c r="GD41" i="8"/>
  <c r="GC41" i="8"/>
  <c r="GB41" i="8"/>
  <c r="GA41" i="8"/>
  <c r="FZ41" i="8"/>
  <c r="FY41" i="8"/>
  <c r="FX41" i="8"/>
  <c r="FW41" i="8"/>
  <c r="FV41" i="8"/>
  <c r="FU41" i="8"/>
  <c r="FT41" i="8"/>
  <c r="FS41" i="8"/>
  <c r="FR41" i="8"/>
  <c r="FQ41" i="8"/>
  <c r="FP41" i="8"/>
  <c r="FO41" i="8"/>
  <c r="FN41" i="8"/>
  <c r="FM41" i="8"/>
  <c r="FL41" i="8"/>
  <c r="FK41" i="8"/>
  <c r="FJ41" i="8"/>
  <c r="FI41" i="8"/>
  <c r="FH41" i="8"/>
  <c r="FG41" i="8"/>
  <c r="FF41" i="8"/>
  <c r="FE41" i="8"/>
  <c r="FD41" i="8"/>
  <c r="FC41" i="8"/>
  <c r="FB41" i="8"/>
  <c r="FA41" i="8"/>
  <c r="EZ41" i="8"/>
  <c r="EY41" i="8"/>
  <c r="EX41" i="8"/>
  <c r="EW41" i="8"/>
  <c r="EV41" i="8"/>
  <c r="EU41" i="8"/>
  <c r="GE40" i="8"/>
  <c r="GD40" i="8"/>
  <c r="GC40" i="8"/>
  <c r="GB40" i="8"/>
  <c r="GA40" i="8"/>
  <c r="FZ40" i="8"/>
  <c r="FY40" i="8"/>
  <c r="FX40" i="8"/>
  <c r="FW40" i="8"/>
  <c r="FV40" i="8"/>
  <c r="FU40" i="8"/>
  <c r="FT40" i="8"/>
  <c r="FS40" i="8"/>
  <c r="FR40" i="8"/>
  <c r="FQ40" i="8"/>
  <c r="FP40" i="8"/>
  <c r="FO40" i="8"/>
  <c r="FN40" i="8"/>
  <c r="FM40" i="8"/>
  <c r="FL40" i="8"/>
  <c r="FK40" i="8"/>
  <c r="FJ40" i="8"/>
  <c r="FI40" i="8"/>
  <c r="FH40" i="8"/>
  <c r="FG40" i="8"/>
  <c r="FF40" i="8"/>
  <c r="FE40" i="8"/>
  <c r="FD40" i="8"/>
  <c r="FC40" i="8"/>
  <c r="FB40" i="8"/>
  <c r="FA40" i="8"/>
  <c r="EZ40" i="8"/>
  <c r="EY40" i="8"/>
  <c r="EX40" i="8"/>
  <c r="EW40" i="8"/>
  <c r="EV40" i="8"/>
  <c r="EU40" i="8"/>
  <c r="GE39" i="8"/>
  <c r="GD39" i="8"/>
  <c r="GC39" i="8"/>
  <c r="GB39" i="8"/>
  <c r="GA39" i="8"/>
  <c r="FZ39" i="8"/>
  <c r="FY39" i="8"/>
  <c r="FX39" i="8"/>
  <c r="FW39" i="8"/>
  <c r="FV39" i="8"/>
  <c r="FU39" i="8"/>
  <c r="FT39" i="8"/>
  <c r="FS39" i="8"/>
  <c r="FR39" i="8"/>
  <c r="FQ39" i="8"/>
  <c r="FP39" i="8"/>
  <c r="FO39" i="8"/>
  <c r="FN39" i="8"/>
  <c r="FM39" i="8"/>
  <c r="FL39" i="8"/>
  <c r="FK39" i="8"/>
  <c r="FJ39" i="8"/>
  <c r="FI39" i="8"/>
  <c r="FH39" i="8"/>
  <c r="FG39" i="8"/>
  <c r="FF39" i="8"/>
  <c r="FE39" i="8"/>
  <c r="FD39" i="8"/>
  <c r="FC39" i="8"/>
  <c r="FB39" i="8"/>
  <c r="FA39" i="8"/>
  <c r="EZ39" i="8"/>
  <c r="EY39" i="8"/>
  <c r="EX39" i="8"/>
  <c r="EW39" i="8"/>
  <c r="EV39" i="8"/>
  <c r="EU39" i="8"/>
  <c r="GE38" i="8"/>
  <c r="GD38" i="8"/>
  <c r="GC38" i="8"/>
  <c r="GB38" i="8"/>
  <c r="GA38" i="8"/>
  <c r="FZ38" i="8"/>
  <c r="FY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FA38" i="8"/>
  <c r="EZ38" i="8"/>
  <c r="EY38" i="8"/>
  <c r="EX38" i="8"/>
  <c r="EW38" i="8"/>
  <c r="EV38" i="8"/>
  <c r="EU38" i="8"/>
  <c r="GE37" i="8"/>
  <c r="GD37" i="8"/>
  <c r="GC37" i="8"/>
  <c r="GB37" i="8"/>
  <c r="GA37" i="8"/>
  <c r="FZ37" i="8"/>
  <c r="FY37" i="8"/>
  <c r="FX37" i="8"/>
  <c r="FW37" i="8"/>
  <c r="FV37" i="8"/>
  <c r="FU37" i="8"/>
  <c r="FT37" i="8"/>
  <c r="FS37" i="8"/>
  <c r="FR37" i="8"/>
  <c r="FQ37" i="8"/>
  <c r="FP37" i="8"/>
  <c r="FO37" i="8"/>
  <c r="FN37" i="8"/>
  <c r="FM37" i="8"/>
  <c r="FL37" i="8"/>
  <c r="FK37" i="8"/>
  <c r="FJ37" i="8"/>
  <c r="FI37" i="8"/>
  <c r="FH37" i="8"/>
  <c r="FG37" i="8"/>
  <c r="FF37" i="8"/>
  <c r="FE37" i="8"/>
  <c r="FD37" i="8"/>
  <c r="FC37" i="8"/>
  <c r="FB37" i="8"/>
  <c r="FA37" i="8"/>
  <c r="EZ37" i="8"/>
  <c r="EY37" i="8"/>
  <c r="EX37" i="8"/>
  <c r="EW37" i="8"/>
  <c r="EV37" i="8"/>
  <c r="EU37" i="8"/>
  <c r="GE36" i="8"/>
  <c r="GD36" i="8"/>
  <c r="GC36" i="8"/>
  <c r="GB36" i="8"/>
  <c r="GA36" i="8"/>
  <c r="FZ36" i="8"/>
  <c r="FY36" i="8"/>
  <c r="FX36" i="8"/>
  <c r="FW36" i="8"/>
  <c r="FV36" i="8"/>
  <c r="FU36" i="8"/>
  <c r="FT36" i="8"/>
  <c r="FS36" i="8"/>
  <c r="FR36" i="8"/>
  <c r="FQ36" i="8"/>
  <c r="FP36" i="8"/>
  <c r="FO36" i="8"/>
  <c r="FN36" i="8"/>
  <c r="FM36" i="8"/>
  <c r="FL36" i="8"/>
  <c r="FK36" i="8"/>
  <c r="FJ36" i="8"/>
  <c r="FI36" i="8"/>
  <c r="FH36" i="8"/>
  <c r="FG36" i="8"/>
  <c r="FF36" i="8"/>
  <c r="FE36" i="8"/>
  <c r="FD36" i="8"/>
  <c r="FC36" i="8"/>
  <c r="FB36" i="8"/>
  <c r="FA36" i="8"/>
  <c r="EZ36" i="8"/>
  <c r="EY36" i="8"/>
  <c r="EX36" i="8"/>
  <c r="EW36" i="8"/>
  <c r="EV36" i="8"/>
  <c r="EU36" i="8"/>
  <c r="GE35" i="8"/>
  <c r="GD35" i="8"/>
  <c r="GC35" i="8"/>
  <c r="GB35" i="8"/>
  <c r="GA35" i="8"/>
  <c r="FZ35" i="8"/>
  <c r="FY35" i="8"/>
  <c r="FX35" i="8"/>
  <c r="FW35" i="8"/>
  <c r="FV35" i="8"/>
  <c r="FU35" i="8"/>
  <c r="FT35" i="8"/>
  <c r="FS35" i="8"/>
  <c r="FR35" i="8"/>
  <c r="FQ35" i="8"/>
  <c r="FP35" i="8"/>
  <c r="FO35" i="8"/>
  <c r="FN35" i="8"/>
  <c r="FM35" i="8"/>
  <c r="FL35" i="8"/>
  <c r="FK35" i="8"/>
  <c r="FJ35" i="8"/>
  <c r="FI35" i="8"/>
  <c r="FH35" i="8"/>
  <c r="FG35" i="8"/>
  <c r="FF35" i="8"/>
  <c r="FE35" i="8"/>
  <c r="FD35" i="8"/>
  <c r="FC35" i="8"/>
  <c r="FB35" i="8"/>
  <c r="FA35" i="8"/>
  <c r="EZ35" i="8"/>
  <c r="EY35" i="8"/>
  <c r="EX35" i="8"/>
  <c r="EW35" i="8"/>
  <c r="EV35" i="8"/>
  <c r="EU35" i="8"/>
  <c r="GE25" i="8"/>
  <c r="GD25" i="8"/>
  <c r="GC25" i="8"/>
  <c r="GB25" i="8"/>
  <c r="GA25" i="8"/>
  <c r="FZ25" i="8"/>
  <c r="FY25" i="8"/>
  <c r="FX25" i="8"/>
  <c r="FW25" i="8"/>
  <c r="FV25" i="8"/>
  <c r="FU25" i="8"/>
  <c r="FT25" i="8"/>
  <c r="FS25" i="8"/>
  <c r="FR25" i="8"/>
  <c r="FQ25" i="8"/>
  <c r="FP25" i="8"/>
  <c r="FO25" i="8"/>
  <c r="FN25" i="8"/>
  <c r="FM25" i="8"/>
  <c r="FL25" i="8"/>
  <c r="FK25" i="8"/>
  <c r="FJ25" i="8"/>
  <c r="FI25" i="8"/>
  <c r="FH25" i="8"/>
  <c r="FG25" i="8"/>
  <c r="FF25" i="8"/>
  <c r="FE25" i="8"/>
  <c r="FD25" i="8"/>
  <c r="FC25" i="8"/>
  <c r="FB25" i="8"/>
  <c r="FA25" i="8"/>
  <c r="EZ25" i="8"/>
  <c r="EY25" i="8"/>
  <c r="EX25" i="8"/>
  <c r="EW25" i="8"/>
  <c r="EV25" i="8"/>
  <c r="EU25" i="8"/>
  <c r="GE24" i="8"/>
  <c r="GD24" i="8"/>
  <c r="GC24" i="8"/>
  <c r="GB24" i="8"/>
  <c r="GA24" i="8"/>
  <c r="FZ24" i="8"/>
  <c r="FY24" i="8"/>
  <c r="FX24" i="8"/>
  <c r="FW24" i="8"/>
  <c r="FV24" i="8"/>
  <c r="FU24" i="8"/>
  <c r="FT24" i="8"/>
  <c r="FS24" i="8"/>
  <c r="FR24" i="8"/>
  <c r="FQ24" i="8"/>
  <c r="FP24" i="8"/>
  <c r="FO24" i="8"/>
  <c r="FN24" i="8"/>
  <c r="FM24" i="8"/>
  <c r="FL24" i="8"/>
  <c r="FK24" i="8"/>
  <c r="FJ24" i="8"/>
  <c r="FI24" i="8"/>
  <c r="FH24" i="8"/>
  <c r="FG24" i="8"/>
  <c r="FF24" i="8"/>
  <c r="FE24" i="8"/>
  <c r="FD24" i="8"/>
  <c r="FC24" i="8"/>
  <c r="FB24" i="8"/>
  <c r="FA24" i="8"/>
  <c r="EZ24" i="8"/>
  <c r="EY24" i="8"/>
  <c r="EX24" i="8"/>
  <c r="EW24" i="8"/>
  <c r="EV24" i="8"/>
  <c r="EU24" i="8"/>
  <c r="GE23" i="8"/>
  <c r="GD23" i="8"/>
  <c r="GC23" i="8"/>
  <c r="GB23" i="8"/>
  <c r="GA23" i="8"/>
  <c r="FZ23" i="8"/>
  <c r="FY23" i="8"/>
  <c r="FX23" i="8"/>
  <c r="FW23" i="8"/>
  <c r="FV23" i="8"/>
  <c r="FU23" i="8"/>
  <c r="FT23" i="8"/>
  <c r="FS23" i="8"/>
  <c r="FR23" i="8"/>
  <c r="FQ23" i="8"/>
  <c r="FP23" i="8"/>
  <c r="FO23" i="8"/>
  <c r="FN23" i="8"/>
  <c r="FM23" i="8"/>
  <c r="FL23" i="8"/>
  <c r="FK23" i="8"/>
  <c r="FJ23" i="8"/>
  <c r="FI23" i="8"/>
  <c r="FH23" i="8"/>
  <c r="FG23" i="8"/>
  <c r="FF23" i="8"/>
  <c r="FE23" i="8"/>
  <c r="FD23" i="8"/>
  <c r="FC23" i="8"/>
  <c r="FB23" i="8"/>
  <c r="FA23" i="8"/>
  <c r="EZ23" i="8"/>
  <c r="EY23" i="8"/>
  <c r="EX23" i="8"/>
  <c r="EW23" i="8"/>
  <c r="EV23" i="8"/>
  <c r="EU23" i="8"/>
  <c r="GE22" i="8"/>
  <c r="GD22" i="8"/>
  <c r="GC22" i="8"/>
  <c r="GB22" i="8"/>
  <c r="GA22" i="8"/>
  <c r="FZ22" i="8"/>
  <c r="FY22" i="8"/>
  <c r="FX22" i="8"/>
  <c r="FW22" i="8"/>
  <c r="FV22" i="8"/>
  <c r="FU22" i="8"/>
  <c r="FT22" i="8"/>
  <c r="FS22" i="8"/>
  <c r="FR22" i="8"/>
  <c r="FQ22" i="8"/>
  <c r="FP22" i="8"/>
  <c r="FO22" i="8"/>
  <c r="FN22" i="8"/>
  <c r="FM22" i="8"/>
  <c r="FL22" i="8"/>
  <c r="FK22" i="8"/>
  <c r="FJ22" i="8"/>
  <c r="FI22" i="8"/>
  <c r="FH22" i="8"/>
  <c r="FG22" i="8"/>
  <c r="FF22" i="8"/>
  <c r="FE22" i="8"/>
  <c r="FD22" i="8"/>
  <c r="FC22" i="8"/>
  <c r="FB22" i="8"/>
  <c r="FA22" i="8"/>
  <c r="EZ22" i="8"/>
  <c r="EY22" i="8"/>
  <c r="EX22" i="8"/>
  <c r="EW22" i="8"/>
  <c r="EV22" i="8"/>
  <c r="EU22" i="8"/>
  <c r="GE21" i="8"/>
  <c r="GD21" i="8"/>
  <c r="GC21" i="8"/>
  <c r="GB21" i="8"/>
  <c r="GA21" i="8"/>
  <c r="FZ21" i="8"/>
  <c r="FY21" i="8"/>
  <c r="FX21" i="8"/>
  <c r="FW21" i="8"/>
  <c r="FV21" i="8"/>
  <c r="FU21" i="8"/>
  <c r="FT21" i="8"/>
  <c r="FS21" i="8"/>
  <c r="FR21" i="8"/>
  <c r="FQ21" i="8"/>
  <c r="FP21" i="8"/>
  <c r="FO21" i="8"/>
  <c r="FN21" i="8"/>
  <c r="FM21" i="8"/>
  <c r="FL21" i="8"/>
  <c r="FK21" i="8"/>
  <c r="FJ21" i="8"/>
  <c r="FI21" i="8"/>
  <c r="FH21" i="8"/>
  <c r="FG21" i="8"/>
  <c r="FF21" i="8"/>
  <c r="FE21" i="8"/>
  <c r="FD21" i="8"/>
  <c r="FC21" i="8"/>
  <c r="FB21" i="8"/>
  <c r="FA21" i="8"/>
  <c r="EZ21" i="8"/>
  <c r="EY21" i="8"/>
  <c r="EX21" i="8"/>
  <c r="EW21" i="8"/>
  <c r="EV21" i="8"/>
  <c r="EU21" i="8"/>
  <c r="GE20" i="8"/>
  <c r="GD20" i="8"/>
  <c r="GC20" i="8"/>
  <c r="GB20" i="8"/>
  <c r="GA20" i="8"/>
  <c r="FZ20" i="8"/>
  <c r="FY20" i="8"/>
  <c r="FX20" i="8"/>
  <c r="FW20" i="8"/>
  <c r="FV20" i="8"/>
  <c r="FU20" i="8"/>
  <c r="FT20" i="8"/>
  <c r="FS20" i="8"/>
  <c r="FR20" i="8"/>
  <c r="FQ20" i="8"/>
  <c r="FP20" i="8"/>
  <c r="FO20" i="8"/>
  <c r="FN20" i="8"/>
  <c r="FM20" i="8"/>
  <c r="FL20" i="8"/>
  <c r="FK20" i="8"/>
  <c r="FJ20" i="8"/>
  <c r="FI20" i="8"/>
  <c r="FH20" i="8"/>
  <c r="FG20" i="8"/>
  <c r="FF20" i="8"/>
  <c r="FE20" i="8"/>
  <c r="FD20" i="8"/>
  <c r="FC20" i="8"/>
  <c r="FB20" i="8"/>
  <c r="FA20" i="8"/>
  <c r="EZ20" i="8"/>
  <c r="EY20" i="8"/>
  <c r="EX20" i="8"/>
  <c r="EW20" i="8"/>
  <c r="EV20" i="8"/>
  <c r="EU20" i="8"/>
  <c r="GE19" i="8"/>
  <c r="GD19" i="8"/>
  <c r="GC19" i="8"/>
  <c r="GB19" i="8"/>
  <c r="GA19" i="8"/>
  <c r="FZ19" i="8"/>
  <c r="FY19" i="8"/>
  <c r="FX19" i="8"/>
  <c r="FW19" i="8"/>
  <c r="FV19" i="8"/>
  <c r="FU19" i="8"/>
  <c r="FT19" i="8"/>
  <c r="FS19" i="8"/>
  <c r="FR19" i="8"/>
  <c r="FQ19" i="8"/>
  <c r="FP19" i="8"/>
  <c r="FO19" i="8"/>
  <c r="FN19" i="8"/>
  <c r="FM19" i="8"/>
  <c r="FL19" i="8"/>
  <c r="FK19" i="8"/>
  <c r="FJ19" i="8"/>
  <c r="FI19" i="8"/>
  <c r="FH19" i="8"/>
  <c r="FG19" i="8"/>
  <c r="FF19" i="8"/>
  <c r="FE19" i="8"/>
  <c r="FD19" i="8"/>
  <c r="FC19" i="8"/>
  <c r="FB19" i="8"/>
  <c r="FA19" i="8"/>
  <c r="EZ19" i="8"/>
  <c r="EY19" i="8"/>
  <c r="EX19" i="8"/>
  <c r="EW19" i="8"/>
  <c r="EV19" i="8"/>
  <c r="EU19" i="8"/>
  <c r="GE10" i="8"/>
  <c r="GD10" i="8"/>
  <c r="GC10" i="8"/>
  <c r="GB10" i="8"/>
  <c r="GA10" i="8"/>
  <c r="FZ10" i="8"/>
  <c r="FY10" i="8"/>
  <c r="FX10" i="8"/>
  <c r="FW10" i="8"/>
  <c r="FV10" i="8"/>
  <c r="FU10" i="8"/>
  <c r="FT10" i="8"/>
  <c r="FS10" i="8"/>
  <c r="FR10" i="8"/>
  <c r="FQ10" i="8"/>
  <c r="FP10" i="8"/>
  <c r="FO10" i="8"/>
  <c r="FN10" i="8"/>
  <c r="FM10" i="8"/>
  <c r="FL10" i="8"/>
  <c r="FK10" i="8"/>
  <c r="FJ10" i="8"/>
  <c r="FI10" i="8"/>
  <c r="FH10" i="8"/>
  <c r="FG10" i="8"/>
  <c r="FF10" i="8"/>
  <c r="FE10" i="8"/>
  <c r="FD10" i="8"/>
  <c r="FC10" i="8"/>
  <c r="FB10" i="8"/>
  <c r="FA10" i="8"/>
  <c r="EZ10" i="8"/>
  <c r="EY10" i="8"/>
  <c r="EX10" i="8"/>
  <c r="EW10" i="8"/>
  <c r="EV10" i="8"/>
  <c r="EU10" i="8"/>
  <c r="GE9" i="8"/>
  <c r="GD9" i="8"/>
  <c r="GC9" i="8"/>
  <c r="GB9" i="8"/>
  <c r="GA9" i="8"/>
  <c r="FZ9" i="8"/>
  <c r="FY9" i="8"/>
  <c r="FX9" i="8"/>
  <c r="FW9" i="8"/>
  <c r="FV9" i="8"/>
  <c r="FU9" i="8"/>
  <c r="FT9" i="8"/>
  <c r="FS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B9" i="8"/>
  <c r="FA9" i="8"/>
  <c r="EZ9" i="8"/>
  <c r="EY9" i="8"/>
  <c r="EX9" i="8"/>
  <c r="EW9" i="8"/>
  <c r="EV9" i="8"/>
  <c r="EU9" i="8"/>
  <c r="GE8" i="8"/>
  <c r="GD8" i="8"/>
  <c r="GC8" i="8"/>
  <c r="GB8" i="8"/>
  <c r="GA8" i="8"/>
  <c r="FZ8" i="8"/>
  <c r="FY8" i="8"/>
  <c r="FX8" i="8"/>
  <c r="FW8" i="8"/>
  <c r="FV8" i="8"/>
  <c r="FU8" i="8"/>
  <c r="FT8" i="8"/>
  <c r="FS8" i="8"/>
  <c r="FR8" i="8"/>
  <c r="FQ8" i="8"/>
  <c r="FP8" i="8"/>
  <c r="FO8" i="8"/>
  <c r="FN8" i="8"/>
  <c r="FM8" i="8"/>
  <c r="FL8" i="8"/>
  <c r="FK8" i="8"/>
  <c r="FJ8" i="8"/>
  <c r="FI8" i="8"/>
  <c r="FH8" i="8"/>
  <c r="FG8" i="8"/>
  <c r="FF8" i="8"/>
  <c r="FE8" i="8"/>
  <c r="FD8" i="8"/>
  <c r="FC8" i="8"/>
  <c r="FB8" i="8"/>
  <c r="FA8" i="8"/>
  <c r="EZ8" i="8"/>
  <c r="EY8" i="8"/>
  <c r="EX8" i="8"/>
  <c r="EW8" i="8"/>
  <c r="EV8" i="8"/>
  <c r="EU8" i="8"/>
  <c r="GE6" i="8"/>
  <c r="GD6" i="8"/>
  <c r="GC6" i="8"/>
  <c r="GB6" i="8"/>
  <c r="GA6" i="8"/>
  <c r="FZ6" i="8"/>
  <c r="FY6" i="8"/>
  <c r="FX6" i="8"/>
  <c r="FW6" i="8"/>
  <c r="FV6" i="8"/>
  <c r="FU6" i="8"/>
  <c r="FT6" i="8"/>
  <c r="FS6" i="8"/>
  <c r="FR6" i="8"/>
  <c r="FQ6" i="8"/>
  <c r="FP6" i="8"/>
  <c r="FO6" i="8"/>
  <c r="FN6" i="8"/>
  <c r="FM6" i="8"/>
  <c r="FL6" i="8"/>
  <c r="FK6" i="8"/>
  <c r="FJ6" i="8"/>
  <c r="FI6" i="8"/>
  <c r="FH6" i="8"/>
  <c r="FG6" i="8"/>
  <c r="FF6" i="8"/>
  <c r="FE6" i="8"/>
  <c r="FD6" i="8"/>
  <c r="FC6" i="8"/>
  <c r="FB6" i="8"/>
  <c r="FA6" i="8"/>
  <c r="EZ6" i="8"/>
  <c r="EY6" i="8"/>
  <c r="EX6" i="8"/>
  <c r="EW6" i="8"/>
  <c r="EV6" i="8"/>
  <c r="EU6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DV6" i="19"/>
  <c r="DU6" i="19"/>
  <c r="DT6" i="19"/>
  <c r="DR6" i="19"/>
  <c r="DQ6" i="19"/>
  <c r="DP6" i="19"/>
  <c r="DN6" i="19"/>
  <c r="DM6" i="19"/>
  <c r="DL6" i="19"/>
  <c r="DJ6" i="19"/>
  <c r="DI6" i="19"/>
  <c r="HV6" i="19" s="1"/>
  <c r="DH6" i="19"/>
  <c r="HU6" i="19" s="1"/>
  <c r="HU139" i="19" l="1"/>
  <c r="HV139" i="19"/>
  <c r="IG8" i="8" l="1"/>
  <c r="EN40" i="8" l="1"/>
  <c r="EN41" i="8"/>
  <c r="EK40" i="8"/>
  <c r="EL40" i="8"/>
  <c r="EM40" i="8"/>
  <c r="EO40" i="8"/>
  <c r="EP40" i="8"/>
  <c r="EQ40" i="8"/>
  <c r="ER40" i="8"/>
  <c r="ES40" i="8"/>
  <c r="ET40" i="8"/>
  <c r="IG40" i="8"/>
  <c r="IM40" i="8"/>
  <c r="IS40" i="8"/>
  <c r="IY40" i="8"/>
  <c r="EK41" i="8"/>
  <c r="EL41" i="8"/>
  <c r="EM41" i="8"/>
  <c r="EO41" i="8"/>
  <c r="EP41" i="8"/>
  <c r="EQ41" i="8"/>
  <c r="ER41" i="8"/>
  <c r="ES41" i="8"/>
  <c r="ET41" i="8"/>
  <c r="IG41" i="8"/>
  <c r="IM41" i="8"/>
  <c r="IS41" i="8"/>
  <c r="IY41" i="8"/>
  <c r="DW115" i="19" l="1"/>
  <c r="DW114" i="19"/>
  <c r="DW113" i="19"/>
  <c r="DW112" i="19"/>
  <c r="DW111" i="19"/>
  <c r="DW110" i="19"/>
  <c r="DW109" i="19"/>
  <c r="DW108" i="19"/>
  <c r="DW107" i="19"/>
  <c r="DW106" i="19"/>
  <c r="DW105" i="19"/>
  <c r="DW104" i="19"/>
  <c r="DW103" i="19"/>
  <c r="DW102" i="19"/>
  <c r="DW101" i="19"/>
  <c r="DW100" i="19"/>
  <c r="DW99" i="19"/>
  <c r="DW98" i="19"/>
  <c r="DW97" i="19"/>
  <c r="DW96" i="19"/>
  <c r="DW95" i="19"/>
  <c r="DW94" i="19"/>
  <c r="DW93" i="19"/>
  <c r="DW92" i="19"/>
  <c r="DW91" i="19"/>
  <c r="DW90" i="19"/>
  <c r="DW89" i="19"/>
  <c r="DW88" i="19"/>
  <c r="DW87" i="19"/>
  <c r="DW86" i="19"/>
  <c r="DW85" i="19"/>
  <c r="DW84" i="19"/>
  <c r="DW83" i="19"/>
  <c r="DW82" i="19"/>
  <c r="DW81" i="19"/>
  <c r="DW80" i="19"/>
  <c r="DW79" i="19"/>
  <c r="DW78" i="19"/>
  <c r="DW77" i="19"/>
  <c r="DW76" i="19"/>
  <c r="DW75" i="19"/>
  <c r="DW74" i="19"/>
  <c r="DW54" i="19"/>
  <c r="DW53" i="19"/>
  <c r="DW52" i="19"/>
  <c r="DW51" i="19"/>
  <c r="DW50" i="19"/>
  <c r="DW49" i="19"/>
  <c r="DW48" i="19"/>
  <c r="DW47" i="19"/>
  <c r="DW46" i="19"/>
  <c r="DW45" i="19"/>
  <c r="DW44" i="19"/>
  <c r="DW43" i="19"/>
  <c r="DW42" i="19"/>
  <c r="DW41" i="19"/>
  <c r="DW40" i="19"/>
  <c r="DW23" i="19"/>
  <c r="DW22" i="19"/>
  <c r="DW21" i="19"/>
  <c r="DW20" i="19"/>
  <c r="DW19" i="19"/>
  <c r="DW18" i="19"/>
  <c r="DW17" i="19"/>
  <c r="DW16" i="19"/>
  <c r="DW15" i="19"/>
  <c r="DW14" i="19"/>
  <c r="DW13" i="19"/>
  <c r="DW12" i="19"/>
  <c r="DW11" i="19"/>
  <c r="DW10" i="19"/>
  <c r="DX116" i="19" l="1"/>
  <c r="DY116" i="19"/>
  <c r="DZ116" i="19"/>
  <c r="EA116" i="19"/>
  <c r="EB116" i="19"/>
  <c r="EC116" i="19"/>
  <c r="ED116" i="19"/>
  <c r="EE116" i="19"/>
  <c r="EF116" i="19"/>
  <c r="EG116" i="19"/>
  <c r="EH116" i="19"/>
  <c r="DX117" i="19"/>
  <c r="DY117" i="19"/>
  <c r="DZ117" i="19"/>
  <c r="EA117" i="19"/>
  <c r="EB117" i="19"/>
  <c r="EC117" i="19"/>
  <c r="ED117" i="19"/>
  <c r="EE117" i="19"/>
  <c r="EF117" i="19"/>
  <c r="EG117" i="19"/>
  <c r="EH117" i="19"/>
  <c r="DX118" i="19"/>
  <c r="DY118" i="19"/>
  <c r="DZ118" i="19"/>
  <c r="EA118" i="19"/>
  <c r="EB118" i="19"/>
  <c r="EC118" i="19"/>
  <c r="ED118" i="19"/>
  <c r="EE118" i="19"/>
  <c r="EF118" i="19"/>
  <c r="EG118" i="19"/>
  <c r="EH118" i="19"/>
  <c r="DX119" i="19"/>
  <c r="DY119" i="19"/>
  <c r="DZ119" i="19"/>
  <c r="EA119" i="19"/>
  <c r="EB119" i="19"/>
  <c r="EC119" i="19"/>
  <c r="ED119" i="19"/>
  <c r="EE119" i="19"/>
  <c r="EF119" i="19"/>
  <c r="EG119" i="19"/>
  <c r="EH119" i="19"/>
  <c r="DX120" i="19"/>
  <c r="DY120" i="19"/>
  <c r="DZ120" i="19"/>
  <c r="EA120" i="19"/>
  <c r="EB120" i="19"/>
  <c r="EC120" i="19"/>
  <c r="ED120" i="19"/>
  <c r="EE120" i="19"/>
  <c r="EF120" i="19"/>
  <c r="EG120" i="19"/>
  <c r="EH120" i="19"/>
  <c r="DX121" i="19"/>
  <c r="DY121" i="19"/>
  <c r="DZ121" i="19"/>
  <c r="EA121" i="19"/>
  <c r="EB121" i="19"/>
  <c r="EC121" i="19"/>
  <c r="ED121" i="19"/>
  <c r="EE121" i="19"/>
  <c r="EF121" i="19"/>
  <c r="EG121" i="19"/>
  <c r="EH121" i="19"/>
  <c r="DX122" i="19"/>
  <c r="DY122" i="19"/>
  <c r="DZ122" i="19"/>
  <c r="EA122" i="19"/>
  <c r="EB122" i="19"/>
  <c r="EC122" i="19"/>
  <c r="ED122" i="19"/>
  <c r="EE122" i="19"/>
  <c r="EF122" i="19"/>
  <c r="EG122" i="19"/>
  <c r="EH122" i="19"/>
  <c r="DX123" i="19"/>
  <c r="DY123" i="19"/>
  <c r="DZ123" i="19"/>
  <c r="EA123" i="19"/>
  <c r="EB123" i="19"/>
  <c r="EC123" i="19"/>
  <c r="ED123" i="19"/>
  <c r="EE123" i="19"/>
  <c r="EF123" i="19"/>
  <c r="EG123" i="19"/>
  <c r="EH123" i="19"/>
  <c r="DX124" i="19"/>
  <c r="DY124" i="19"/>
  <c r="DZ124" i="19"/>
  <c r="EA124" i="19"/>
  <c r="EB124" i="19"/>
  <c r="EC124" i="19"/>
  <c r="ED124" i="19"/>
  <c r="EE124" i="19"/>
  <c r="EF124" i="19"/>
  <c r="EG124" i="19"/>
  <c r="EH124" i="19"/>
  <c r="DX125" i="19"/>
  <c r="DY125" i="19"/>
  <c r="DZ125" i="19"/>
  <c r="EA125" i="19"/>
  <c r="EB125" i="19"/>
  <c r="EC125" i="19"/>
  <c r="ED125" i="19"/>
  <c r="EE125" i="19"/>
  <c r="EF125" i="19"/>
  <c r="EG125" i="19"/>
  <c r="EH125" i="19"/>
  <c r="DX126" i="19"/>
  <c r="DY126" i="19"/>
  <c r="DZ126" i="19"/>
  <c r="EA126" i="19"/>
  <c r="EB126" i="19"/>
  <c r="EC126" i="19"/>
  <c r="ED126" i="19"/>
  <c r="EE126" i="19"/>
  <c r="EF126" i="19"/>
  <c r="EG126" i="19"/>
  <c r="EH126" i="19"/>
  <c r="DX127" i="19"/>
  <c r="DY127" i="19"/>
  <c r="DZ127" i="19"/>
  <c r="EA127" i="19"/>
  <c r="EB127" i="19"/>
  <c r="EC127" i="19"/>
  <c r="ED127" i="19"/>
  <c r="EE127" i="19"/>
  <c r="EF127" i="19"/>
  <c r="EG127" i="19"/>
  <c r="EH127" i="19"/>
  <c r="DX128" i="19"/>
  <c r="DY128" i="19"/>
  <c r="DZ128" i="19"/>
  <c r="EA128" i="19"/>
  <c r="EB128" i="19"/>
  <c r="EC128" i="19"/>
  <c r="ED128" i="19"/>
  <c r="EE128" i="19"/>
  <c r="EF128" i="19"/>
  <c r="EG128" i="19"/>
  <c r="EH128" i="19"/>
  <c r="DX129" i="19"/>
  <c r="DY129" i="19"/>
  <c r="DZ129" i="19"/>
  <c r="EA129" i="19"/>
  <c r="EB129" i="19"/>
  <c r="EC129" i="19"/>
  <c r="ED129" i="19"/>
  <c r="EE129" i="19"/>
  <c r="EF129" i="19"/>
  <c r="EG129" i="19"/>
  <c r="EH129" i="19"/>
  <c r="DX130" i="19"/>
  <c r="DY130" i="19"/>
  <c r="DZ130" i="19"/>
  <c r="EA130" i="19"/>
  <c r="EB130" i="19"/>
  <c r="EC130" i="19"/>
  <c r="ED130" i="19"/>
  <c r="EE130" i="19"/>
  <c r="EF130" i="19"/>
  <c r="EG130" i="19"/>
  <c r="EH130" i="19"/>
  <c r="DX131" i="19"/>
  <c r="DY131" i="19"/>
  <c r="DZ131" i="19"/>
  <c r="EA131" i="19"/>
  <c r="EB131" i="19"/>
  <c r="EC131" i="19"/>
  <c r="ED131" i="19"/>
  <c r="EE131" i="19"/>
  <c r="EF131" i="19"/>
  <c r="EG131" i="19"/>
  <c r="EH131" i="19"/>
  <c r="DX132" i="19"/>
  <c r="DY132" i="19"/>
  <c r="DZ132" i="19"/>
  <c r="EA132" i="19"/>
  <c r="EB132" i="19"/>
  <c r="EC132" i="19"/>
  <c r="ED132" i="19"/>
  <c r="EE132" i="19"/>
  <c r="EF132" i="19"/>
  <c r="EG132" i="19"/>
  <c r="EH132" i="19"/>
  <c r="DX133" i="19"/>
  <c r="DY133" i="19"/>
  <c r="DZ133" i="19"/>
  <c r="EA133" i="19"/>
  <c r="EB133" i="19"/>
  <c r="EC133" i="19"/>
  <c r="ED133" i="19"/>
  <c r="EE133" i="19"/>
  <c r="EF133" i="19"/>
  <c r="EG133" i="19"/>
  <c r="EH133" i="19"/>
  <c r="DX134" i="19"/>
  <c r="DY134" i="19"/>
  <c r="DZ134" i="19"/>
  <c r="EA134" i="19"/>
  <c r="EB134" i="19"/>
  <c r="EC134" i="19"/>
  <c r="ED134" i="19"/>
  <c r="EE134" i="19"/>
  <c r="EF134" i="19"/>
  <c r="EG134" i="19"/>
  <c r="EH134" i="19"/>
  <c r="DX135" i="19"/>
  <c r="DY135" i="19"/>
  <c r="DZ135" i="19"/>
  <c r="EA135" i="19"/>
  <c r="EB135" i="19"/>
  <c r="EC135" i="19"/>
  <c r="ED135" i="19"/>
  <c r="EE135" i="19"/>
  <c r="EF135" i="19"/>
  <c r="EG135" i="19"/>
  <c r="EH135" i="19"/>
  <c r="DX136" i="19"/>
  <c r="DY136" i="19"/>
  <c r="DZ136" i="19"/>
  <c r="EA136" i="19"/>
  <c r="EB136" i="19"/>
  <c r="EC136" i="19"/>
  <c r="ED136" i="19"/>
  <c r="EE136" i="19"/>
  <c r="EF136" i="19"/>
  <c r="EG136" i="19"/>
  <c r="EH136" i="19"/>
  <c r="DX137" i="19"/>
  <c r="DY137" i="19"/>
  <c r="DZ137" i="19"/>
  <c r="EA137" i="19"/>
  <c r="EB137" i="19"/>
  <c r="EC137" i="19"/>
  <c r="ED137" i="19"/>
  <c r="EE137" i="19"/>
  <c r="EF137" i="19"/>
  <c r="EG137" i="19"/>
  <c r="EH137" i="19"/>
  <c r="HW116" i="19"/>
  <c r="HW117" i="19"/>
  <c r="HW118" i="19"/>
  <c r="HW119" i="19"/>
  <c r="HW120" i="19"/>
  <c r="HW121" i="19"/>
  <c r="HW122" i="19"/>
  <c r="HW123" i="19"/>
  <c r="HW124" i="19"/>
  <c r="HW125" i="19"/>
  <c r="HW126" i="19"/>
  <c r="HW127" i="19"/>
  <c r="HW128" i="19"/>
  <c r="HW129" i="19"/>
  <c r="HW130" i="19"/>
  <c r="HW131" i="19"/>
  <c r="HW132" i="19"/>
  <c r="HW133" i="19"/>
  <c r="HW134" i="19"/>
  <c r="HW135" i="19"/>
  <c r="HW136" i="19"/>
  <c r="HW137" i="19"/>
  <c r="DG79" i="19"/>
  <c r="DG80" i="19"/>
  <c r="DG81" i="19"/>
  <c r="DG82" i="19"/>
  <c r="DG83" i="19"/>
  <c r="DG84" i="19"/>
  <c r="DG85" i="19"/>
  <c r="DG86" i="19"/>
  <c r="DG87" i="19"/>
  <c r="DG88" i="19"/>
  <c r="DG89" i="19"/>
  <c r="DG90" i="19"/>
  <c r="DG91" i="19"/>
  <c r="DG92" i="19"/>
  <c r="DG93" i="19"/>
  <c r="DG94" i="19"/>
  <c r="DG95" i="19"/>
  <c r="DG96" i="19"/>
  <c r="DG97" i="19"/>
  <c r="DG98" i="19"/>
  <c r="DG99" i="19"/>
  <c r="DG100" i="19"/>
  <c r="DG101" i="19"/>
  <c r="DG102" i="19"/>
  <c r="DG103" i="19"/>
  <c r="DG104" i="19"/>
  <c r="DG105" i="19"/>
  <c r="DG106" i="19"/>
  <c r="DG107" i="19"/>
  <c r="DG108" i="19"/>
  <c r="DG109" i="19"/>
  <c r="DG110" i="19"/>
  <c r="DG111" i="19"/>
  <c r="DG112" i="19"/>
  <c r="DG113" i="19"/>
  <c r="DG114" i="19"/>
  <c r="DG115" i="19"/>
  <c r="DG116" i="19"/>
  <c r="DG117" i="19"/>
  <c r="DG118" i="19"/>
  <c r="DG119" i="19"/>
  <c r="DG120" i="19"/>
  <c r="DG121" i="19"/>
  <c r="DG122" i="19"/>
  <c r="DG123" i="19"/>
  <c r="DG124" i="19"/>
  <c r="DG125" i="19"/>
  <c r="DG126" i="19"/>
  <c r="DG127" i="19"/>
  <c r="DG128" i="19"/>
  <c r="DG129" i="19"/>
  <c r="DG130" i="19"/>
  <c r="DG131" i="19"/>
  <c r="DG132" i="19"/>
  <c r="DG133" i="19"/>
  <c r="DG134" i="19"/>
  <c r="DG135" i="19"/>
  <c r="DG136" i="19"/>
  <c r="DG137" i="19"/>
  <c r="DS79" i="19"/>
  <c r="DS80" i="19"/>
  <c r="DS81" i="19"/>
  <c r="DS82" i="19"/>
  <c r="DS83" i="19"/>
  <c r="DS84" i="19"/>
  <c r="DS85" i="19"/>
  <c r="DS86" i="19"/>
  <c r="DS87" i="19"/>
  <c r="DS88" i="19"/>
  <c r="DS89" i="19"/>
  <c r="DS90" i="19"/>
  <c r="DS91" i="19"/>
  <c r="DS92" i="19"/>
  <c r="DS93" i="19"/>
  <c r="DS94" i="19"/>
  <c r="DS95" i="19"/>
  <c r="DS96" i="19"/>
  <c r="DS97" i="19"/>
  <c r="DS98" i="19"/>
  <c r="DS99" i="19"/>
  <c r="DS100" i="19"/>
  <c r="DS101" i="19"/>
  <c r="DS102" i="19"/>
  <c r="DS103" i="19"/>
  <c r="DS104" i="19"/>
  <c r="DS105" i="19"/>
  <c r="DS106" i="19"/>
  <c r="DS107" i="19"/>
  <c r="DS108" i="19"/>
  <c r="DS109" i="19"/>
  <c r="DS110" i="19"/>
  <c r="DS111" i="19"/>
  <c r="DS112" i="19"/>
  <c r="DS113" i="19"/>
  <c r="DS114" i="19"/>
  <c r="DS115" i="19"/>
  <c r="DS116" i="19"/>
  <c r="DS117" i="19"/>
  <c r="DS118" i="19"/>
  <c r="DS119" i="19"/>
  <c r="DS120" i="19"/>
  <c r="DS121" i="19"/>
  <c r="DS122" i="19"/>
  <c r="DS123" i="19"/>
  <c r="DS124" i="19"/>
  <c r="DS125" i="19"/>
  <c r="DS126" i="19"/>
  <c r="DS127" i="19"/>
  <c r="DS128" i="19"/>
  <c r="DS129" i="19"/>
  <c r="DS130" i="19"/>
  <c r="DS131" i="19"/>
  <c r="DS132" i="19"/>
  <c r="DS133" i="19"/>
  <c r="DS134" i="19"/>
  <c r="DS135" i="19"/>
  <c r="DS136" i="19"/>
  <c r="DS137" i="19"/>
  <c r="DO79" i="19"/>
  <c r="DO80" i="19"/>
  <c r="DO81" i="19"/>
  <c r="DO82" i="19"/>
  <c r="DO83" i="19"/>
  <c r="DO84" i="19"/>
  <c r="DO85" i="19"/>
  <c r="DO86" i="19"/>
  <c r="DO87" i="19"/>
  <c r="DO88" i="19"/>
  <c r="DO89" i="19"/>
  <c r="DO90" i="19"/>
  <c r="DO91" i="19"/>
  <c r="DO92" i="19"/>
  <c r="DO93" i="19"/>
  <c r="DO94" i="19"/>
  <c r="DO95" i="19"/>
  <c r="DO96" i="19"/>
  <c r="DO97" i="19"/>
  <c r="DO98" i="19"/>
  <c r="DO99" i="19"/>
  <c r="DO100" i="19"/>
  <c r="DO101" i="19"/>
  <c r="DO102" i="19"/>
  <c r="DO103" i="19"/>
  <c r="DO104" i="19"/>
  <c r="DO105" i="19"/>
  <c r="DO106" i="19"/>
  <c r="DO107" i="19"/>
  <c r="DO108" i="19"/>
  <c r="DO109" i="19"/>
  <c r="DO110" i="19"/>
  <c r="DO111" i="19"/>
  <c r="DO112" i="19"/>
  <c r="DO113" i="19"/>
  <c r="DO114" i="19"/>
  <c r="DO115" i="19"/>
  <c r="DO116" i="19"/>
  <c r="DO117" i="19"/>
  <c r="DO118" i="19"/>
  <c r="DO119" i="19"/>
  <c r="DO120" i="19"/>
  <c r="DO121" i="19"/>
  <c r="DO122" i="19"/>
  <c r="DO123" i="19"/>
  <c r="DO124" i="19"/>
  <c r="DO125" i="19"/>
  <c r="DO126" i="19"/>
  <c r="DO127" i="19"/>
  <c r="DO128" i="19"/>
  <c r="DO129" i="19"/>
  <c r="DO130" i="19"/>
  <c r="DO131" i="19"/>
  <c r="DO132" i="19"/>
  <c r="DO133" i="19"/>
  <c r="DO134" i="19"/>
  <c r="DO135" i="19"/>
  <c r="DO136" i="19"/>
  <c r="DO137" i="19"/>
  <c r="DK79" i="19"/>
  <c r="DK80" i="19"/>
  <c r="DK81" i="19"/>
  <c r="DK82" i="19"/>
  <c r="DK83" i="19"/>
  <c r="DK84" i="19"/>
  <c r="DK85" i="19"/>
  <c r="DK86" i="19"/>
  <c r="DK87" i="19"/>
  <c r="DK88" i="19"/>
  <c r="DK89" i="19"/>
  <c r="DK90" i="19"/>
  <c r="DK91" i="19"/>
  <c r="DK92" i="19"/>
  <c r="DK93" i="19"/>
  <c r="DK94" i="19"/>
  <c r="DK95" i="19"/>
  <c r="DK96" i="19"/>
  <c r="DK97" i="19"/>
  <c r="DK98" i="19"/>
  <c r="DK99" i="19"/>
  <c r="DK100" i="19"/>
  <c r="DK101" i="19"/>
  <c r="DK102" i="19"/>
  <c r="DK103" i="19"/>
  <c r="DK104" i="19"/>
  <c r="DK105" i="19"/>
  <c r="DK106" i="19"/>
  <c r="DK107" i="19"/>
  <c r="DK108" i="19"/>
  <c r="DK109" i="19"/>
  <c r="DK110" i="19"/>
  <c r="DK111" i="19"/>
  <c r="DK112" i="19"/>
  <c r="DK113" i="19"/>
  <c r="DK114" i="19"/>
  <c r="DK115" i="19"/>
  <c r="DK116" i="19"/>
  <c r="DK117" i="19"/>
  <c r="DK118" i="19"/>
  <c r="DK119" i="19"/>
  <c r="DK120" i="19"/>
  <c r="DK121" i="19"/>
  <c r="DK122" i="19"/>
  <c r="DK123" i="19"/>
  <c r="DK124" i="19"/>
  <c r="DK125" i="19"/>
  <c r="DK126" i="19"/>
  <c r="DK127" i="19"/>
  <c r="DK128" i="19"/>
  <c r="DK129" i="19"/>
  <c r="DK130" i="19"/>
  <c r="DK131" i="19"/>
  <c r="DK132" i="19"/>
  <c r="DK133" i="19"/>
  <c r="DK134" i="19"/>
  <c r="DK135" i="19"/>
  <c r="DK136" i="19"/>
  <c r="DK137" i="19"/>
  <c r="DS8" i="19"/>
  <c r="DS9" i="19"/>
  <c r="DS10" i="19"/>
  <c r="DS11" i="19"/>
  <c r="DS12" i="19"/>
  <c r="DS13" i="19"/>
  <c r="DS14" i="19"/>
  <c r="DS15" i="19"/>
  <c r="DS16" i="19"/>
  <c r="DS17" i="19"/>
  <c r="DS18" i="19"/>
  <c r="DS19" i="19"/>
  <c r="DS20" i="19"/>
  <c r="DS21" i="19"/>
  <c r="DS22" i="19"/>
  <c r="DS23" i="19"/>
  <c r="DS24" i="19"/>
  <c r="DS25" i="19"/>
  <c r="DS26" i="19"/>
  <c r="DS27" i="19"/>
  <c r="DS28" i="19"/>
  <c r="DS29" i="19"/>
  <c r="DS30" i="19"/>
  <c r="DS31" i="19"/>
  <c r="DS32" i="19"/>
  <c r="DS33" i="19"/>
  <c r="DS34" i="19"/>
  <c r="DS35" i="19"/>
  <c r="DS36" i="19"/>
  <c r="DS37" i="19"/>
  <c r="DS38" i="19"/>
  <c r="DS39" i="19"/>
  <c r="DS40" i="19"/>
  <c r="DS41" i="19"/>
  <c r="DS42" i="19"/>
  <c r="DS43" i="19"/>
  <c r="DS44" i="19"/>
  <c r="DS45" i="19"/>
  <c r="DS46" i="19"/>
  <c r="DS47" i="19"/>
  <c r="DS48" i="19"/>
  <c r="DS49" i="19"/>
  <c r="DS50" i="19"/>
  <c r="DS51" i="19"/>
  <c r="DS52" i="19"/>
  <c r="DS53" i="19"/>
  <c r="DS54" i="19"/>
  <c r="DS55" i="19"/>
  <c r="DS56" i="19"/>
  <c r="DS57" i="19"/>
  <c r="DS58" i="19"/>
  <c r="DS59" i="19"/>
  <c r="DS60" i="19"/>
  <c r="DS61" i="19"/>
  <c r="DS62" i="19"/>
  <c r="DS63" i="19"/>
  <c r="DS64" i="19"/>
  <c r="DS65" i="19"/>
  <c r="DS66" i="19"/>
  <c r="DS67" i="19"/>
  <c r="DS68" i="19"/>
  <c r="DS69" i="19"/>
  <c r="DS70" i="19"/>
  <c r="DS71" i="19"/>
  <c r="DS72" i="19"/>
  <c r="DS73" i="19"/>
  <c r="DS74" i="19"/>
  <c r="DS75" i="19"/>
  <c r="DS76" i="19"/>
  <c r="DS77" i="19"/>
  <c r="DS78" i="19"/>
  <c r="DS7" i="19"/>
  <c r="DO8" i="19"/>
  <c r="DO9" i="19"/>
  <c r="DO10" i="19"/>
  <c r="DO11" i="19"/>
  <c r="DO12" i="19"/>
  <c r="DO13" i="19"/>
  <c r="DO14" i="19"/>
  <c r="DO15" i="19"/>
  <c r="DO16" i="19"/>
  <c r="DO17" i="19"/>
  <c r="DO18" i="19"/>
  <c r="DO19" i="19"/>
  <c r="DO20" i="19"/>
  <c r="DO21" i="19"/>
  <c r="DO22" i="19"/>
  <c r="DO23" i="19"/>
  <c r="DO24" i="19"/>
  <c r="DO25" i="19"/>
  <c r="DO26" i="19"/>
  <c r="DO27" i="19"/>
  <c r="DO28" i="19"/>
  <c r="DO29" i="19"/>
  <c r="DO30" i="19"/>
  <c r="DO31" i="19"/>
  <c r="DO32" i="19"/>
  <c r="DO33" i="19"/>
  <c r="DO34" i="19"/>
  <c r="DO35" i="19"/>
  <c r="DO36" i="19"/>
  <c r="DO37" i="19"/>
  <c r="DO38" i="19"/>
  <c r="DO39" i="19"/>
  <c r="DO40" i="19"/>
  <c r="DO41" i="19"/>
  <c r="DO42" i="19"/>
  <c r="DO43" i="19"/>
  <c r="DO44" i="19"/>
  <c r="DO45" i="19"/>
  <c r="DO46" i="19"/>
  <c r="DO47" i="19"/>
  <c r="DO48" i="19"/>
  <c r="DO49" i="19"/>
  <c r="DO50" i="19"/>
  <c r="DO51" i="19"/>
  <c r="DO52" i="19"/>
  <c r="DO53" i="19"/>
  <c r="DO54" i="19"/>
  <c r="DO55" i="19"/>
  <c r="DO56" i="19"/>
  <c r="DO57" i="19"/>
  <c r="DO58" i="19"/>
  <c r="DO59" i="19"/>
  <c r="DO60" i="19"/>
  <c r="DO61" i="19"/>
  <c r="DO62" i="19"/>
  <c r="DO63" i="19"/>
  <c r="DO64" i="19"/>
  <c r="DO65" i="19"/>
  <c r="DO66" i="19"/>
  <c r="DO67" i="19"/>
  <c r="DO68" i="19"/>
  <c r="DO69" i="19"/>
  <c r="DO70" i="19"/>
  <c r="DO71" i="19"/>
  <c r="DO72" i="19"/>
  <c r="DO73" i="19"/>
  <c r="DO74" i="19"/>
  <c r="DO75" i="19"/>
  <c r="DO76" i="19"/>
  <c r="DO77" i="19"/>
  <c r="DO78" i="19"/>
  <c r="DO7" i="19"/>
  <c r="DK8" i="19"/>
  <c r="DK9" i="19"/>
  <c r="DK10" i="19"/>
  <c r="DK11" i="19"/>
  <c r="DK12" i="19"/>
  <c r="DK13" i="19"/>
  <c r="DK14" i="19"/>
  <c r="DK15" i="19"/>
  <c r="DK16" i="19"/>
  <c r="DK17" i="19"/>
  <c r="DK18" i="19"/>
  <c r="DK19" i="19"/>
  <c r="DK20" i="19"/>
  <c r="DK21" i="19"/>
  <c r="DK22" i="19"/>
  <c r="DK23" i="19"/>
  <c r="DK24" i="19"/>
  <c r="DK25" i="19"/>
  <c r="DK26" i="19"/>
  <c r="DK27" i="19"/>
  <c r="DK28" i="19"/>
  <c r="DK29" i="19"/>
  <c r="DK30" i="19"/>
  <c r="DK31" i="19"/>
  <c r="DK32" i="19"/>
  <c r="DK33" i="19"/>
  <c r="DK34" i="19"/>
  <c r="DK35" i="19"/>
  <c r="DK36" i="19"/>
  <c r="DK37" i="19"/>
  <c r="DK38" i="19"/>
  <c r="DK39" i="19"/>
  <c r="DK40" i="19"/>
  <c r="DK41" i="19"/>
  <c r="DK42" i="19"/>
  <c r="DK43" i="19"/>
  <c r="DK44" i="19"/>
  <c r="DK45" i="19"/>
  <c r="DK46" i="19"/>
  <c r="DK47" i="19"/>
  <c r="DK48" i="19"/>
  <c r="DK49" i="19"/>
  <c r="DK50" i="19"/>
  <c r="DK51" i="19"/>
  <c r="DK52" i="19"/>
  <c r="DK53" i="19"/>
  <c r="DK54" i="19"/>
  <c r="DK55" i="19"/>
  <c r="DK56" i="19"/>
  <c r="DK57" i="19"/>
  <c r="DK58" i="19"/>
  <c r="DK59" i="19"/>
  <c r="DK60" i="19"/>
  <c r="DK61" i="19"/>
  <c r="DK62" i="19"/>
  <c r="DK63" i="19"/>
  <c r="DK64" i="19"/>
  <c r="DK65" i="19"/>
  <c r="DK66" i="19"/>
  <c r="DK67" i="19"/>
  <c r="DK68" i="19"/>
  <c r="DK69" i="19"/>
  <c r="DK70" i="19"/>
  <c r="DK71" i="19"/>
  <c r="DK72" i="19"/>
  <c r="DK73" i="19"/>
  <c r="DK74" i="19"/>
  <c r="DK75" i="19"/>
  <c r="DK76" i="19"/>
  <c r="DK77" i="19"/>
  <c r="DK78" i="19"/>
  <c r="DK7" i="19"/>
  <c r="DG8" i="19"/>
  <c r="DG9" i="19"/>
  <c r="DG10" i="19"/>
  <c r="DG11" i="19"/>
  <c r="DG12" i="19"/>
  <c r="DG13" i="19"/>
  <c r="DG14" i="19"/>
  <c r="DG15" i="19"/>
  <c r="DG16" i="19"/>
  <c r="DG17" i="19"/>
  <c r="DG18" i="19"/>
  <c r="DG19" i="19"/>
  <c r="DG20" i="19"/>
  <c r="DG21" i="19"/>
  <c r="DG22" i="19"/>
  <c r="DG23" i="19"/>
  <c r="DG24" i="19"/>
  <c r="DG25" i="19"/>
  <c r="DG26" i="19"/>
  <c r="DG27" i="19"/>
  <c r="DG28" i="19"/>
  <c r="DG29" i="19"/>
  <c r="DG30" i="19"/>
  <c r="DG31" i="19"/>
  <c r="DG32" i="19"/>
  <c r="DG33" i="19"/>
  <c r="DG34" i="19"/>
  <c r="DG35" i="19"/>
  <c r="DG36" i="19"/>
  <c r="DG37" i="19"/>
  <c r="DG38" i="19"/>
  <c r="DG39" i="19"/>
  <c r="DG40" i="19"/>
  <c r="DG41" i="19"/>
  <c r="DG42" i="19"/>
  <c r="DG43" i="19"/>
  <c r="DG44" i="19"/>
  <c r="DG45" i="19"/>
  <c r="DG46" i="19"/>
  <c r="DG47" i="19"/>
  <c r="DG48" i="19"/>
  <c r="DG49" i="19"/>
  <c r="DG50" i="19"/>
  <c r="DG51" i="19"/>
  <c r="DG52" i="19"/>
  <c r="DG53" i="19"/>
  <c r="DG54" i="19"/>
  <c r="DG55" i="19"/>
  <c r="DG56" i="19"/>
  <c r="DG57" i="19"/>
  <c r="DG58" i="19"/>
  <c r="DG59" i="19"/>
  <c r="DG60" i="19"/>
  <c r="DG61" i="19"/>
  <c r="DG62" i="19"/>
  <c r="DG63" i="19"/>
  <c r="DG64" i="19"/>
  <c r="DG65" i="19"/>
  <c r="DG66" i="19"/>
  <c r="DG67" i="19"/>
  <c r="DG68" i="19"/>
  <c r="DG69" i="19"/>
  <c r="DG70" i="19"/>
  <c r="DG71" i="19"/>
  <c r="DG72" i="19"/>
  <c r="DG73" i="19"/>
  <c r="DG74" i="19"/>
  <c r="DG75" i="19"/>
  <c r="DG76" i="19"/>
  <c r="DG77" i="19"/>
  <c r="DG78" i="19"/>
  <c r="DG7" i="19"/>
  <c r="DS4" i="19" l="1"/>
  <c r="DO4" i="19"/>
  <c r="DK4" i="19"/>
  <c r="DG4" i="19"/>
  <c r="ID4" i="19"/>
  <c r="IA4" i="19"/>
  <c r="HX4" i="19"/>
  <c r="HU4" i="19"/>
  <c r="K15" i="17" l="1" a="1"/>
  <c r="K15" i="17" s="1"/>
  <c r="IJ4" i="19" l="1"/>
  <c r="K18" i="17"/>
  <c r="K17" i="17"/>
  <c r="K16" i="17"/>
  <c r="IL89" i="19"/>
  <c r="IF78" i="19" l="1"/>
  <c r="IE78" i="19"/>
  <c r="ID78" i="19"/>
  <c r="IC78" i="19"/>
  <c r="IB78" i="19"/>
  <c r="IA78" i="19"/>
  <c r="HZ78" i="19"/>
  <c r="HY78" i="19"/>
  <c r="HX78" i="19"/>
  <c r="IF77" i="19"/>
  <c r="IE77" i="19"/>
  <c r="ID77" i="19"/>
  <c r="IC77" i="19"/>
  <c r="IB77" i="19"/>
  <c r="IA77" i="19"/>
  <c r="HZ77" i="19"/>
  <c r="HY77" i="19"/>
  <c r="HX77" i="19"/>
  <c r="IF76" i="19"/>
  <c r="IE76" i="19"/>
  <c r="ID76" i="19"/>
  <c r="IC76" i="19"/>
  <c r="IB76" i="19"/>
  <c r="IA76" i="19"/>
  <c r="HZ76" i="19"/>
  <c r="HY76" i="19"/>
  <c r="HX76" i="19"/>
  <c r="IF75" i="19"/>
  <c r="IE75" i="19"/>
  <c r="ID75" i="19"/>
  <c r="IC75" i="19"/>
  <c r="IB75" i="19"/>
  <c r="IA75" i="19"/>
  <c r="HZ75" i="19"/>
  <c r="HY75" i="19"/>
  <c r="HX75" i="19"/>
  <c r="IF74" i="19"/>
  <c r="IE74" i="19"/>
  <c r="ID74" i="19"/>
  <c r="IC74" i="19"/>
  <c r="IB74" i="19"/>
  <c r="IA74" i="19"/>
  <c r="IF73" i="19"/>
  <c r="IE73" i="19"/>
  <c r="ID73" i="19"/>
  <c r="IC73" i="19"/>
  <c r="IB73" i="19"/>
  <c r="IA73" i="19"/>
  <c r="IF72" i="19"/>
  <c r="IE72" i="19"/>
  <c r="ID72" i="19"/>
  <c r="IC72" i="19"/>
  <c r="IB72" i="19"/>
  <c r="IA72" i="19"/>
  <c r="HZ72" i="19"/>
  <c r="HY72" i="19"/>
  <c r="HX72" i="19"/>
  <c r="HW72" i="19"/>
  <c r="EH72" i="19"/>
  <c r="EG72" i="19"/>
  <c r="EF72" i="19"/>
  <c r="EE72" i="19"/>
  <c r="ED72" i="19"/>
  <c r="EC72" i="19"/>
  <c r="EB72" i="19"/>
  <c r="EA72" i="19"/>
  <c r="DZ72" i="19"/>
  <c r="DY72" i="19"/>
  <c r="DX72" i="19"/>
  <c r="IF71" i="19"/>
  <c r="IE71" i="19"/>
  <c r="ID71" i="19"/>
  <c r="IC71" i="19"/>
  <c r="IB71" i="19"/>
  <c r="IA71" i="19"/>
  <c r="HZ71" i="19"/>
  <c r="HY71" i="19"/>
  <c r="HX71" i="19"/>
  <c r="HW71" i="19"/>
  <c r="EH71" i="19"/>
  <c r="EG71" i="19"/>
  <c r="EF71" i="19"/>
  <c r="EE71" i="19"/>
  <c r="ED71" i="19"/>
  <c r="EC71" i="19"/>
  <c r="EB71" i="19"/>
  <c r="EA71" i="19"/>
  <c r="DZ71" i="19"/>
  <c r="DY71" i="19"/>
  <c r="DX71" i="19"/>
  <c r="IF70" i="19"/>
  <c r="IE70" i="19"/>
  <c r="ID70" i="19"/>
  <c r="IC70" i="19"/>
  <c r="IB70" i="19"/>
  <c r="IA70" i="19"/>
  <c r="HZ70" i="19"/>
  <c r="HY70" i="19"/>
  <c r="HX70" i="19"/>
  <c r="HW70" i="19"/>
  <c r="EH70" i="19"/>
  <c r="EG70" i="19"/>
  <c r="EF70" i="19"/>
  <c r="EE70" i="19"/>
  <c r="ED70" i="19"/>
  <c r="EC70" i="19"/>
  <c r="EB70" i="19"/>
  <c r="EA70" i="19"/>
  <c r="DZ70" i="19"/>
  <c r="DY70" i="19"/>
  <c r="DX70" i="19"/>
  <c r="IF69" i="19"/>
  <c r="IE69" i="19"/>
  <c r="ID69" i="19"/>
  <c r="IC69" i="19"/>
  <c r="IB69" i="19"/>
  <c r="IA69" i="19"/>
  <c r="HZ69" i="19"/>
  <c r="HY69" i="19"/>
  <c r="HX69" i="19"/>
  <c r="HW69" i="19"/>
  <c r="EH69" i="19"/>
  <c r="EG69" i="19"/>
  <c r="EF69" i="19"/>
  <c r="EE69" i="19"/>
  <c r="ED69" i="19"/>
  <c r="EC69" i="19"/>
  <c r="EB69" i="19"/>
  <c r="EA69" i="19"/>
  <c r="DZ69" i="19"/>
  <c r="DY69" i="19"/>
  <c r="DX69" i="19"/>
  <c r="IF68" i="19"/>
  <c r="IE68" i="19"/>
  <c r="ID68" i="19"/>
  <c r="IC68" i="19"/>
  <c r="IB68" i="19"/>
  <c r="IA68" i="19"/>
  <c r="HZ68" i="19"/>
  <c r="HY68" i="19"/>
  <c r="HX68" i="19"/>
  <c r="HW68" i="19"/>
  <c r="EH68" i="19"/>
  <c r="EG68" i="19"/>
  <c r="EF68" i="19"/>
  <c r="EE68" i="19"/>
  <c r="ED68" i="19"/>
  <c r="EC68" i="19"/>
  <c r="EB68" i="19"/>
  <c r="EA68" i="19"/>
  <c r="DZ68" i="19"/>
  <c r="DY68" i="19"/>
  <c r="DX68" i="19"/>
  <c r="IF67" i="19"/>
  <c r="IE67" i="19"/>
  <c r="ID67" i="19"/>
  <c r="IC67" i="19"/>
  <c r="IB67" i="19"/>
  <c r="IA67" i="19"/>
  <c r="HZ67" i="19"/>
  <c r="HY67" i="19"/>
  <c r="HX67" i="19"/>
  <c r="HW67" i="19"/>
  <c r="EH67" i="19"/>
  <c r="EG67" i="19"/>
  <c r="EF67" i="19"/>
  <c r="EE67" i="19"/>
  <c r="ED67" i="19"/>
  <c r="EC67" i="19"/>
  <c r="EB67" i="19"/>
  <c r="EA67" i="19"/>
  <c r="DZ67" i="19"/>
  <c r="DY67" i="19"/>
  <c r="DX67" i="19"/>
  <c r="IF66" i="19"/>
  <c r="IE66" i="19"/>
  <c r="ID66" i="19"/>
  <c r="IC66" i="19"/>
  <c r="IB66" i="19"/>
  <c r="IA66" i="19"/>
  <c r="HZ66" i="19"/>
  <c r="HY66" i="19"/>
  <c r="HX66" i="19"/>
  <c r="HW66" i="19"/>
  <c r="EH66" i="19"/>
  <c r="EG66" i="19"/>
  <c r="EF66" i="19"/>
  <c r="EE66" i="19"/>
  <c r="ED66" i="19"/>
  <c r="EC66" i="19"/>
  <c r="EB66" i="19"/>
  <c r="EA66" i="19"/>
  <c r="DZ66" i="19"/>
  <c r="DY66" i="19"/>
  <c r="DX66" i="19"/>
  <c r="IF65" i="19"/>
  <c r="IE65" i="19"/>
  <c r="ID65" i="19"/>
  <c r="IC65" i="19"/>
  <c r="IB65" i="19"/>
  <c r="IA65" i="19"/>
  <c r="HZ65" i="19"/>
  <c r="HY65" i="19"/>
  <c r="HX65" i="19"/>
  <c r="HW65" i="19"/>
  <c r="EH65" i="19"/>
  <c r="EG65" i="19"/>
  <c r="EF65" i="19"/>
  <c r="EE65" i="19"/>
  <c r="ED65" i="19"/>
  <c r="EC65" i="19"/>
  <c r="EB65" i="19"/>
  <c r="EA65" i="19"/>
  <c r="DZ65" i="19"/>
  <c r="DY65" i="19"/>
  <c r="DX65" i="19"/>
  <c r="IF64" i="19"/>
  <c r="IE64" i="19"/>
  <c r="ID64" i="19"/>
  <c r="IC64" i="19"/>
  <c r="IB64" i="19"/>
  <c r="IA64" i="19"/>
  <c r="HZ64" i="19"/>
  <c r="HY64" i="19"/>
  <c r="HX64" i="19"/>
  <c r="HW64" i="19"/>
  <c r="EH64" i="19"/>
  <c r="EG64" i="19"/>
  <c r="EF64" i="19"/>
  <c r="EE64" i="19"/>
  <c r="ED64" i="19"/>
  <c r="EC64" i="19"/>
  <c r="EB64" i="19"/>
  <c r="EA64" i="19"/>
  <c r="DZ64" i="19"/>
  <c r="DY64" i="19"/>
  <c r="DX64" i="19"/>
  <c r="IF63" i="19"/>
  <c r="IE63" i="19"/>
  <c r="ID63" i="19"/>
  <c r="IC63" i="19"/>
  <c r="IB63" i="19"/>
  <c r="IA63" i="19"/>
  <c r="HZ63" i="19"/>
  <c r="HY63" i="19"/>
  <c r="HX63" i="19"/>
  <c r="HW63" i="19"/>
  <c r="EH63" i="19"/>
  <c r="EG63" i="19"/>
  <c r="EF63" i="19"/>
  <c r="EE63" i="19"/>
  <c r="ED63" i="19"/>
  <c r="EC63" i="19"/>
  <c r="EB63" i="19"/>
  <c r="EA63" i="19"/>
  <c r="DZ63" i="19"/>
  <c r="DY63" i="19"/>
  <c r="DX63" i="19"/>
  <c r="IF62" i="19"/>
  <c r="IE62" i="19"/>
  <c r="ID62" i="19"/>
  <c r="IC62" i="19"/>
  <c r="IB62" i="19"/>
  <c r="IA62" i="19"/>
  <c r="HZ62" i="19"/>
  <c r="HY62" i="19"/>
  <c r="HX62" i="19"/>
  <c r="HW62" i="19"/>
  <c r="EH62" i="19"/>
  <c r="EG62" i="19"/>
  <c r="EF62" i="19"/>
  <c r="EE62" i="19"/>
  <c r="ED62" i="19"/>
  <c r="EC62" i="19"/>
  <c r="EB62" i="19"/>
  <c r="EA62" i="19"/>
  <c r="DZ62" i="19"/>
  <c r="DY62" i="19"/>
  <c r="DX62" i="19"/>
  <c r="IF61" i="19"/>
  <c r="IE61" i="19"/>
  <c r="ID61" i="19"/>
  <c r="IC61" i="19"/>
  <c r="IB61" i="19"/>
  <c r="IA61" i="19"/>
  <c r="HZ61" i="19"/>
  <c r="HY61" i="19"/>
  <c r="HX61" i="19"/>
  <c r="HW61" i="19"/>
  <c r="EH61" i="19"/>
  <c r="EG61" i="19"/>
  <c r="EF61" i="19"/>
  <c r="EE61" i="19"/>
  <c r="ED61" i="19"/>
  <c r="EC61" i="19"/>
  <c r="EB61" i="19"/>
  <c r="EA61" i="19"/>
  <c r="DZ61" i="19"/>
  <c r="DY61" i="19"/>
  <c r="DX61" i="19"/>
  <c r="IF60" i="19"/>
  <c r="IE60" i="19"/>
  <c r="ID60" i="19"/>
  <c r="IC60" i="19"/>
  <c r="IB60" i="19"/>
  <c r="IA60" i="19"/>
  <c r="HZ60" i="19"/>
  <c r="HY60" i="19"/>
  <c r="HX60" i="19"/>
  <c r="HW60" i="19"/>
  <c r="EH60" i="19"/>
  <c r="EG60" i="19"/>
  <c r="EF60" i="19"/>
  <c r="EE60" i="19"/>
  <c r="ED60" i="19"/>
  <c r="EC60" i="19"/>
  <c r="EB60" i="19"/>
  <c r="EA60" i="19"/>
  <c r="DZ60" i="19"/>
  <c r="DY60" i="19"/>
  <c r="DX60" i="19"/>
  <c r="IF59" i="19"/>
  <c r="IE59" i="19"/>
  <c r="ID59" i="19"/>
  <c r="IC59" i="19"/>
  <c r="IB59" i="19"/>
  <c r="IA59" i="19"/>
  <c r="HZ59" i="19"/>
  <c r="HY59" i="19"/>
  <c r="HX59" i="19"/>
  <c r="HW59" i="19"/>
  <c r="EH59" i="19"/>
  <c r="EG59" i="19"/>
  <c r="EF59" i="19"/>
  <c r="EE59" i="19"/>
  <c r="ED59" i="19"/>
  <c r="EC59" i="19"/>
  <c r="EB59" i="19"/>
  <c r="EA59" i="19"/>
  <c r="DZ59" i="19"/>
  <c r="DY59" i="19"/>
  <c r="DX59" i="19"/>
  <c r="IF58" i="19"/>
  <c r="IE58" i="19"/>
  <c r="ID58" i="19"/>
  <c r="IC58" i="19"/>
  <c r="IB58" i="19"/>
  <c r="IA58" i="19"/>
  <c r="HZ58" i="19"/>
  <c r="HY58" i="19"/>
  <c r="HX58" i="19"/>
  <c r="HW58" i="19"/>
  <c r="EH58" i="19"/>
  <c r="EG58" i="19"/>
  <c r="EF58" i="19"/>
  <c r="EE58" i="19"/>
  <c r="ED58" i="19"/>
  <c r="EC58" i="19"/>
  <c r="EB58" i="19"/>
  <c r="EA58" i="19"/>
  <c r="DZ58" i="19"/>
  <c r="DY58" i="19"/>
  <c r="DX58" i="19"/>
  <c r="IF57" i="19"/>
  <c r="IE57" i="19"/>
  <c r="ID57" i="19"/>
  <c r="IC57" i="19"/>
  <c r="IB57" i="19"/>
  <c r="IA57" i="19"/>
  <c r="HZ57" i="19"/>
  <c r="HY57" i="19"/>
  <c r="HX57" i="19"/>
  <c r="HW57" i="19"/>
  <c r="EH57" i="19"/>
  <c r="EG57" i="19"/>
  <c r="EF57" i="19"/>
  <c r="EE57" i="19"/>
  <c r="ED57" i="19"/>
  <c r="EC57" i="19"/>
  <c r="EB57" i="19"/>
  <c r="EA57" i="19"/>
  <c r="DZ57" i="19"/>
  <c r="DY57" i="19"/>
  <c r="DX57" i="19"/>
  <c r="IF56" i="19"/>
  <c r="IE56" i="19"/>
  <c r="ID56" i="19"/>
  <c r="IC56" i="19"/>
  <c r="IB56" i="19"/>
  <c r="IA56" i="19"/>
  <c r="HZ56" i="19"/>
  <c r="HY56" i="19"/>
  <c r="HX56" i="19"/>
  <c r="HW56" i="19"/>
  <c r="EH56" i="19"/>
  <c r="EG56" i="19"/>
  <c r="EF56" i="19"/>
  <c r="EE56" i="19"/>
  <c r="ED56" i="19"/>
  <c r="EC56" i="19"/>
  <c r="EB56" i="19"/>
  <c r="EA56" i="19"/>
  <c r="DZ56" i="19"/>
  <c r="DY56" i="19"/>
  <c r="DX56" i="19"/>
  <c r="IF55" i="19"/>
  <c r="IE55" i="19"/>
  <c r="ID55" i="19"/>
  <c r="IC55" i="19"/>
  <c r="IB55" i="19"/>
  <c r="IA55" i="19"/>
  <c r="HZ55" i="19"/>
  <c r="HY55" i="19"/>
  <c r="HX55" i="19"/>
  <c r="HW55" i="19"/>
  <c r="EH55" i="19"/>
  <c r="EG55" i="19"/>
  <c r="EF55" i="19"/>
  <c r="EE55" i="19"/>
  <c r="ED55" i="19"/>
  <c r="EC55" i="19"/>
  <c r="EB55" i="19"/>
  <c r="EA55" i="19"/>
  <c r="DZ55" i="19"/>
  <c r="DY55" i="19"/>
  <c r="DX55" i="19"/>
  <c r="IF39" i="19"/>
  <c r="IE39" i="19"/>
  <c r="ID39" i="19"/>
  <c r="IC39" i="19"/>
  <c r="IB39" i="19"/>
  <c r="IA39" i="19"/>
  <c r="HZ39" i="19"/>
  <c r="HY39" i="19"/>
  <c r="HX39" i="19"/>
  <c r="HW39" i="19"/>
  <c r="EH39" i="19"/>
  <c r="EG39" i="19"/>
  <c r="EF39" i="19"/>
  <c r="EE39" i="19"/>
  <c r="ED39" i="19"/>
  <c r="EC39" i="19"/>
  <c r="EB39" i="19"/>
  <c r="EA39" i="19"/>
  <c r="DZ39" i="19"/>
  <c r="DY39" i="19"/>
  <c r="DX39" i="19"/>
  <c r="IF38" i="19"/>
  <c r="IE38" i="19"/>
  <c r="ID38" i="19"/>
  <c r="IC38" i="19"/>
  <c r="IB38" i="19"/>
  <c r="IA38" i="19"/>
  <c r="HZ38" i="19"/>
  <c r="HY38" i="19"/>
  <c r="HX38" i="19"/>
  <c r="HW38" i="19"/>
  <c r="EH38" i="19"/>
  <c r="EG38" i="19"/>
  <c r="EF38" i="19"/>
  <c r="EE38" i="19"/>
  <c r="ED38" i="19"/>
  <c r="EC38" i="19"/>
  <c r="EB38" i="19"/>
  <c r="EA38" i="19"/>
  <c r="DZ38" i="19"/>
  <c r="DY38" i="19"/>
  <c r="DX38" i="19"/>
  <c r="IF37" i="19"/>
  <c r="IE37" i="19"/>
  <c r="ID37" i="19"/>
  <c r="IC37" i="19"/>
  <c r="IB37" i="19"/>
  <c r="IA37" i="19"/>
  <c r="HZ37" i="19"/>
  <c r="HY37" i="19"/>
  <c r="HX37" i="19"/>
  <c r="HW37" i="19"/>
  <c r="EH37" i="19"/>
  <c r="EG37" i="19"/>
  <c r="EF37" i="19"/>
  <c r="EE37" i="19"/>
  <c r="ED37" i="19"/>
  <c r="EC37" i="19"/>
  <c r="EB37" i="19"/>
  <c r="EA37" i="19"/>
  <c r="DZ37" i="19"/>
  <c r="DY37" i="19"/>
  <c r="DX37" i="19"/>
  <c r="IF36" i="19"/>
  <c r="IE36" i="19"/>
  <c r="ID36" i="19"/>
  <c r="IC36" i="19"/>
  <c r="IB36" i="19"/>
  <c r="IA36" i="19"/>
  <c r="HZ36" i="19"/>
  <c r="HY36" i="19"/>
  <c r="HX36" i="19"/>
  <c r="HW36" i="19"/>
  <c r="EH36" i="19"/>
  <c r="EG36" i="19"/>
  <c r="EF36" i="19"/>
  <c r="EE36" i="19"/>
  <c r="ED36" i="19"/>
  <c r="EC36" i="19"/>
  <c r="EB36" i="19"/>
  <c r="EA36" i="19"/>
  <c r="DZ36" i="19"/>
  <c r="DY36" i="19"/>
  <c r="DX36" i="19"/>
  <c r="IF35" i="19"/>
  <c r="IE35" i="19"/>
  <c r="ID35" i="19"/>
  <c r="IC35" i="19"/>
  <c r="IB35" i="19"/>
  <c r="IA35" i="19"/>
  <c r="HZ35" i="19"/>
  <c r="HY35" i="19"/>
  <c r="HX35" i="19"/>
  <c r="HW35" i="19"/>
  <c r="EH35" i="19"/>
  <c r="EG35" i="19"/>
  <c r="EF35" i="19"/>
  <c r="EE35" i="19"/>
  <c r="ED35" i="19"/>
  <c r="EC35" i="19"/>
  <c r="EB35" i="19"/>
  <c r="EA35" i="19"/>
  <c r="DZ35" i="19"/>
  <c r="DY35" i="19"/>
  <c r="DX35" i="19"/>
  <c r="IF34" i="19"/>
  <c r="IE34" i="19"/>
  <c r="ID34" i="19"/>
  <c r="IC34" i="19"/>
  <c r="IB34" i="19"/>
  <c r="IA34" i="19"/>
  <c r="HZ34" i="19"/>
  <c r="HY34" i="19"/>
  <c r="HX34" i="19"/>
  <c r="HW34" i="19"/>
  <c r="EH34" i="19"/>
  <c r="EG34" i="19"/>
  <c r="EF34" i="19"/>
  <c r="EE34" i="19"/>
  <c r="ED34" i="19"/>
  <c r="EC34" i="19"/>
  <c r="EB34" i="19"/>
  <c r="EA34" i="19"/>
  <c r="DZ34" i="19"/>
  <c r="DY34" i="19"/>
  <c r="DX34" i="19"/>
  <c r="IF33" i="19"/>
  <c r="IE33" i="19"/>
  <c r="ID33" i="19"/>
  <c r="IC33" i="19"/>
  <c r="IB33" i="19"/>
  <c r="IA33" i="19"/>
  <c r="HZ33" i="19"/>
  <c r="HY33" i="19"/>
  <c r="HX33" i="19"/>
  <c r="HW33" i="19"/>
  <c r="EH33" i="19"/>
  <c r="EG33" i="19"/>
  <c r="EF33" i="19"/>
  <c r="EE33" i="19"/>
  <c r="ED33" i="19"/>
  <c r="EC33" i="19"/>
  <c r="EB33" i="19"/>
  <c r="EA33" i="19"/>
  <c r="DZ33" i="19"/>
  <c r="DY33" i="19"/>
  <c r="DX33" i="19"/>
  <c r="IF32" i="19"/>
  <c r="IE32" i="19"/>
  <c r="ID32" i="19"/>
  <c r="IC32" i="19"/>
  <c r="IB32" i="19"/>
  <c r="IA32" i="19"/>
  <c r="HZ32" i="19"/>
  <c r="HY32" i="19"/>
  <c r="HX32" i="19"/>
  <c r="HW32" i="19"/>
  <c r="EH32" i="19"/>
  <c r="EG32" i="19"/>
  <c r="EF32" i="19"/>
  <c r="EE32" i="19"/>
  <c r="ED32" i="19"/>
  <c r="EC32" i="19"/>
  <c r="EB32" i="19"/>
  <c r="EA32" i="19"/>
  <c r="DZ32" i="19"/>
  <c r="DY32" i="19"/>
  <c r="DX32" i="19"/>
  <c r="IF31" i="19"/>
  <c r="IE31" i="19"/>
  <c r="ID31" i="19"/>
  <c r="IC31" i="19"/>
  <c r="IB31" i="19"/>
  <c r="IA31" i="19"/>
  <c r="HZ31" i="19"/>
  <c r="HY31" i="19"/>
  <c r="HX31" i="19"/>
  <c r="HW31" i="19"/>
  <c r="EH31" i="19"/>
  <c r="EG31" i="19"/>
  <c r="EF31" i="19"/>
  <c r="EE31" i="19"/>
  <c r="ED31" i="19"/>
  <c r="EC31" i="19"/>
  <c r="EB31" i="19"/>
  <c r="EA31" i="19"/>
  <c r="DZ31" i="19"/>
  <c r="DY31" i="19"/>
  <c r="DX31" i="19"/>
  <c r="IF30" i="19"/>
  <c r="IE30" i="19"/>
  <c r="ID30" i="19"/>
  <c r="IC30" i="19"/>
  <c r="IB30" i="19"/>
  <c r="IA30" i="19"/>
  <c r="IF29" i="19"/>
  <c r="IE29" i="19"/>
  <c r="ID29" i="19"/>
  <c r="IC29" i="19"/>
  <c r="IB29" i="19"/>
  <c r="IA29" i="19"/>
  <c r="IF28" i="19"/>
  <c r="IE28" i="19"/>
  <c r="ID28" i="19"/>
  <c r="IC28" i="19"/>
  <c r="IB28" i="19"/>
  <c r="IA28" i="19"/>
  <c r="EH28" i="19"/>
  <c r="EG28" i="19"/>
  <c r="EF28" i="19"/>
  <c r="EE28" i="19"/>
  <c r="ED28" i="19"/>
  <c r="EC28" i="19"/>
  <c r="EB28" i="19"/>
  <c r="EA28" i="19"/>
  <c r="DZ28" i="19"/>
  <c r="DY28" i="19"/>
  <c r="DX28" i="19"/>
  <c r="IF27" i="19"/>
  <c r="IE27" i="19"/>
  <c r="ID27" i="19"/>
  <c r="IC27" i="19"/>
  <c r="IB27" i="19"/>
  <c r="IA27" i="19"/>
  <c r="IF26" i="19"/>
  <c r="IE26" i="19"/>
  <c r="ID26" i="19"/>
  <c r="IC26" i="19"/>
  <c r="IB26" i="19"/>
  <c r="IA26" i="19"/>
  <c r="IF25" i="19"/>
  <c r="IE25" i="19"/>
  <c r="ID25" i="19"/>
  <c r="IC25" i="19"/>
  <c r="IB25" i="19"/>
  <c r="IA25" i="19"/>
  <c r="IF24" i="19"/>
  <c r="IE24" i="19"/>
  <c r="ID24" i="19"/>
  <c r="IC24" i="19"/>
  <c r="IB24" i="19"/>
  <c r="IA24" i="19"/>
  <c r="IF23" i="19"/>
  <c r="IE23" i="19"/>
  <c r="ID23" i="19"/>
  <c r="IC23" i="19"/>
  <c r="IB23" i="19"/>
  <c r="IA23" i="19"/>
  <c r="IF22" i="19"/>
  <c r="IE22" i="19"/>
  <c r="ID22" i="19"/>
  <c r="IC22" i="19"/>
  <c r="IB22" i="19"/>
  <c r="IA22" i="19"/>
  <c r="HZ22" i="19"/>
  <c r="HY22" i="19"/>
  <c r="HX22" i="19"/>
  <c r="IF21" i="19"/>
  <c r="IE21" i="19"/>
  <c r="ID21" i="19"/>
  <c r="IC21" i="19"/>
  <c r="IB21" i="19"/>
  <c r="IA21" i="19"/>
  <c r="HZ21" i="19"/>
  <c r="HY21" i="19"/>
  <c r="HX21" i="19"/>
  <c r="IF20" i="19"/>
  <c r="IE20" i="19"/>
  <c r="ID20" i="19"/>
  <c r="IC20" i="19"/>
  <c r="IB20" i="19"/>
  <c r="IA20" i="19"/>
  <c r="HZ20" i="19"/>
  <c r="HY20" i="19"/>
  <c r="HX20" i="19"/>
  <c r="IF19" i="19"/>
  <c r="IE19" i="19"/>
  <c r="ID19" i="19"/>
  <c r="IC19" i="19"/>
  <c r="IB19" i="19"/>
  <c r="IA19" i="19"/>
  <c r="HZ19" i="19"/>
  <c r="HY19" i="19"/>
  <c r="HX19" i="19"/>
  <c r="IF18" i="19"/>
  <c r="IE18" i="19"/>
  <c r="ID18" i="19"/>
  <c r="IC18" i="19"/>
  <c r="IB18" i="19"/>
  <c r="IA18" i="19"/>
  <c r="HZ18" i="19"/>
  <c r="HY18" i="19"/>
  <c r="HX18" i="19"/>
  <c r="IF17" i="19"/>
  <c r="IE17" i="19"/>
  <c r="ID17" i="19"/>
  <c r="IC17" i="19"/>
  <c r="IB17" i="19"/>
  <c r="IA17" i="19"/>
  <c r="HZ17" i="19"/>
  <c r="HY17" i="19"/>
  <c r="HX17" i="19"/>
  <c r="IF16" i="19"/>
  <c r="IE16" i="19"/>
  <c r="ID16" i="19"/>
  <c r="IC16" i="19"/>
  <c r="IB16" i="19"/>
  <c r="IA16" i="19"/>
  <c r="HZ16" i="19"/>
  <c r="HY16" i="19"/>
  <c r="HX16" i="19"/>
  <c r="IF15" i="19"/>
  <c r="IE15" i="19"/>
  <c r="ID15" i="19"/>
  <c r="IC15" i="19"/>
  <c r="IB15" i="19"/>
  <c r="IA15" i="19"/>
  <c r="IF14" i="19"/>
  <c r="IE14" i="19"/>
  <c r="ID14" i="19"/>
  <c r="IC14" i="19"/>
  <c r="IB14" i="19"/>
  <c r="IA14" i="19"/>
  <c r="IF13" i="19"/>
  <c r="IE13" i="19"/>
  <c r="ID13" i="19"/>
  <c r="IC13" i="19"/>
  <c r="IB13" i="19"/>
  <c r="IA13" i="19"/>
  <c r="IF12" i="19"/>
  <c r="IE12" i="19"/>
  <c r="ID12" i="19"/>
  <c r="IC12" i="19"/>
  <c r="IB12" i="19"/>
  <c r="IA12" i="19"/>
  <c r="IF11" i="19"/>
  <c r="IE11" i="19"/>
  <c r="ID11" i="19"/>
  <c r="IC11" i="19"/>
  <c r="IB11" i="19"/>
  <c r="IA11" i="19"/>
  <c r="IF10" i="19"/>
  <c r="IE10" i="19"/>
  <c r="ID10" i="19"/>
  <c r="IC10" i="19"/>
  <c r="IB10" i="19"/>
  <c r="IA10" i="19"/>
  <c r="IF9" i="19"/>
  <c r="IE9" i="19"/>
  <c r="ID9" i="19"/>
  <c r="IC9" i="19"/>
  <c r="IB9" i="19"/>
  <c r="IA9" i="19"/>
  <c r="HZ9" i="19"/>
  <c r="HY9" i="19"/>
  <c r="HX9" i="19"/>
  <c r="HW9" i="19"/>
  <c r="EH9" i="19"/>
  <c r="EG9" i="19"/>
  <c r="EF9" i="19"/>
  <c r="EE9" i="19"/>
  <c r="ED9" i="19"/>
  <c r="EC9" i="19"/>
  <c r="EB9" i="19"/>
  <c r="EA9" i="19"/>
  <c r="DZ9" i="19"/>
  <c r="DY9" i="19"/>
  <c r="DX9" i="19"/>
  <c r="IF8" i="19"/>
  <c r="IE8" i="19"/>
  <c r="ID8" i="19"/>
  <c r="IC8" i="19"/>
  <c r="IB8" i="19"/>
  <c r="IA8" i="19"/>
  <c r="HZ8" i="19"/>
  <c r="HY8" i="19"/>
  <c r="HX8" i="19"/>
  <c r="HW8" i="19"/>
  <c r="EH8" i="19"/>
  <c r="EG8" i="19"/>
  <c r="EF8" i="19"/>
  <c r="EE8" i="19"/>
  <c r="ED8" i="19"/>
  <c r="EC8" i="19"/>
  <c r="EB8" i="19"/>
  <c r="EA8" i="19"/>
  <c r="DZ8" i="19"/>
  <c r="DY8" i="19"/>
  <c r="DX8" i="19"/>
  <c r="IF7" i="19"/>
  <c r="IE7" i="19"/>
  <c r="ID7" i="19"/>
  <c r="IC7" i="19"/>
  <c r="IB7" i="19"/>
  <c r="IA7" i="19"/>
  <c r="HZ7" i="19"/>
  <c r="HY7" i="19"/>
  <c r="HX7" i="19"/>
  <c r="HW7" i="19"/>
  <c r="EH7" i="19"/>
  <c r="EG7" i="19"/>
  <c r="EF7" i="19"/>
  <c r="EE7" i="19"/>
  <c r="ED7" i="19"/>
  <c r="EC7" i="19"/>
  <c r="EB7" i="19"/>
  <c r="EA7" i="19"/>
  <c r="DZ7" i="19"/>
  <c r="DY7" i="19"/>
  <c r="DX7" i="19"/>
  <c r="IF6" i="19"/>
  <c r="IE6" i="19"/>
  <c r="ID6" i="19"/>
  <c r="IC6" i="19"/>
  <c r="IB6" i="19"/>
  <c r="IA6" i="19"/>
  <c r="HZ6" i="19"/>
  <c r="HY6" i="19"/>
  <c r="HX6" i="19"/>
  <c r="HW6" i="19"/>
  <c r="EH6" i="19"/>
  <c r="EG6" i="19"/>
  <c r="EF6" i="19"/>
  <c r="EE6" i="19"/>
  <c r="ED6" i="19"/>
  <c r="EC6" i="19"/>
  <c r="EB6" i="19"/>
  <c r="EA6" i="19"/>
  <c r="DZ6" i="19"/>
  <c r="DY6" i="19"/>
  <c r="DX6" i="19"/>
  <c r="ID5" i="19"/>
  <c r="IA5" i="19"/>
  <c r="HX5" i="19"/>
  <c r="HU5" i="19"/>
  <c r="EH5" i="19"/>
  <c r="EG5" i="19"/>
  <c r="EF5" i="19"/>
  <c r="EE5" i="19"/>
  <c r="ED5" i="19"/>
  <c r="EC5" i="19"/>
  <c r="EB5" i="19"/>
  <c r="EA5" i="19"/>
  <c r="DZ5" i="19"/>
  <c r="DY5" i="19"/>
  <c r="DX5" i="19"/>
  <c r="I5" i="19"/>
  <c r="EG78" i="19" s="1"/>
  <c r="DX2" i="19"/>
  <c r="ET76" i="8"/>
  <c r="ES76" i="8"/>
  <c r="ER76" i="8"/>
  <c r="EQ76" i="8"/>
  <c r="EP76" i="8"/>
  <c r="EO76" i="8"/>
  <c r="EN76" i="8"/>
  <c r="EM76" i="8"/>
  <c r="EL76" i="8"/>
  <c r="EK76" i="8"/>
  <c r="ET75" i="8"/>
  <c r="ES75" i="8"/>
  <c r="ER75" i="8"/>
  <c r="EQ75" i="8"/>
  <c r="EP75" i="8"/>
  <c r="EO75" i="8"/>
  <c r="EN75" i="8"/>
  <c r="EM75" i="8"/>
  <c r="EL75" i="8"/>
  <c r="EK75" i="8"/>
  <c r="ET74" i="8"/>
  <c r="ES74" i="8"/>
  <c r="ER74" i="8"/>
  <c r="EQ74" i="8"/>
  <c r="EP74" i="8"/>
  <c r="EO74" i="8"/>
  <c r="EN74" i="8"/>
  <c r="EM74" i="8"/>
  <c r="EL74" i="8"/>
  <c r="EK74" i="8"/>
  <c r="ET73" i="8"/>
  <c r="ES73" i="8"/>
  <c r="ER73" i="8"/>
  <c r="EQ73" i="8"/>
  <c r="EP73" i="8"/>
  <c r="EO73" i="8"/>
  <c r="EN73" i="8"/>
  <c r="EM73" i="8"/>
  <c r="EL73" i="8"/>
  <c r="EK73" i="8"/>
  <c r="ET85" i="8"/>
  <c r="ES85" i="8"/>
  <c r="ER85" i="8"/>
  <c r="EQ85" i="8"/>
  <c r="EP85" i="8"/>
  <c r="EO85" i="8"/>
  <c r="EN85" i="8"/>
  <c r="EM85" i="8"/>
  <c r="EL85" i="8"/>
  <c r="EK85" i="8"/>
  <c r="ET84" i="8"/>
  <c r="ES84" i="8"/>
  <c r="ER84" i="8"/>
  <c r="EQ84" i="8"/>
  <c r="EP84" i="8"/>
  <c r="EO84" i="8"/>
  <c r="EN84" i="8"/>
  <c r="EM84" i="8"/>
  <c r="EL84" i="8"/>
  <c r="EK84" i="8"/>
  <c r="ET71" i="8"/>
  <c r="ES71" i="8"/>
  <c r="ER71" i="8"/>
  <c r="EQ71" i="8"/>
  <c r="EP71" i="8"/>
  <c r="EO71" i="8"/>
  <c r="EN71" i="8"/>
  <c r="EM71" i="8"/>
  <c r="EL71" i="8"/>
  <c r="EK71" i="8"/>
  <c r="ET70" i="8"/>
  <c r="ES70" i="8"/>
  <c r="ER70" i="8"/>
  <c r="EQ70" i="8"/>
  <c r="EP70" i="8"/>
  <c r="EO70" i="8"/>
  <c r="EN70" i="8"/>
  <c r="EM70" i="8"/>
  <c r="EL70" i="8"/>
  <c r="EK70" i="8"/>
  <c r="ET83" i="8"/>
  <c r="ES83" i="8"/>
  <c r="ER83" i="8"/>
  <c r="EQ83" i="8"/>
  <c r="EP83" i="8"/>
  <c r="EO83" i="8"/>
  <c r="EN83" i="8"/>
  <c r="EM83" i="8"/>
  <c r="EL83" i="8"/>
  <c r="EK83" i="8"/>
  <c r="ET82" i="8"/>
  <c r="ES82" i="8"/>
  <c r="ER82" i="8"/>
  <c r="EQ82" i="8"/>
  <c r="EP82" i="8"/>
  <c r="EO82" i="8"/>
  <c r="EN82" i="8"/>
  <c r="EM82" i="8"/>
  <c r="EL82" i="8"/>
  <c r="EK82" i="8"/>
  <c r="ET69" i="8"/>
  <c r="ES69" i="8"/>
  <c r="ER69" i="8"/>
  <c r="EQ69" i="8"/>
  <c r="EP69" i="8"/>
  <c r="EO69" i="8"/>
  <c r="EN69" i="8"/>
  <c r="EM69" i="8"/>
  <c r="EL69" i="8"/>
  <c r="EK69" i="8"/>
  <c r="ET68" i="8"/>
  <c r="ES68" i="8"/>
  <c r="ER68" i="8"/>
  <c r="EQ68" i="8"/>
  <c r="EP68" i="8"/>
  <c r="EO68" i="8"/>
  <c r="EN68" i="8"/>
  <c r="EM68" i="8"/>
  <c r="EL68" i="8"/>
  <c r="EK68" i="8"/>
  <c r="ET67" i="8"/>
  <c r="ES67" i="8"/>
  <c r="ER67" i="8"/>
  <c r="EQ67" i="8"/>
  <c r="EP67" i="8"/>
  <c r="EO67" i="8"/>
  <c r="EN67" i="8"/>
  <c r="EM67" i="8"/>
  <c r="EL67" i="8"/>
  <c r="EK67" i="8"/>
  <c r="ET81" i="8"/>
  <c r="ES81" i="8"/>
  <c r="ER81" i="8"/>
  <c r="EQ81" i="8"/>
  <c r="EP81" i="8"/>
  <c r="EO81" i="8"/>
  <c r="EN81" i="8"/>
  <c r="EM81" i="8"/>
  <c r="EL81" i="8"/>
  <c r="EK81" i="8"/>
  <c r="ET80" i="8"/>
  <c r="ES80" i="8"/>
  <c r="ER80" i="8"/>
  <c r="EQ80" i="8"/>
  <c r="EP80" i="8"/>
  <c r="EO80" i="8"/>
  <c r="EN80" i="8"/>
  <c r="EM80" i="8"/>
  <c r="EL80" i="8"/>
  <c r="EK80" i="8"/>
  <c r="ET63" i="8"/>
  <c r="ES63" i="8"/>
  <c r="ER63" i="8"/>
  <c r="EQ63" i="8"/>
  <c r="EP63" i="8"/>
  <c r="EO63" i="8"/>
  <c r="EN63" i="8"/>
  <c r="EM63" i="8"/>
  <c r="EL63" i="8"/>
  <c r="EK63" i="8"/>
  <c r="ET66" i="8"/>
  <c r="ES66" i="8"/>
  <c r="ER66" i="8"/>
  <c r="EQ66" i="8"/>
  <c r="EP66" i="8"/>
  <c r="EO66" i="8"/>
  <c r="EN66" i="8"/>
  <c r="EM66" i="8"/>
  <c r="EL66" i="8"/>
  <c r="EK66" i="8"/>
  <c r="ET65" i="8"/>
  <c r="ES65" i="8"/>
  <c r="ER65" i="8"/>
  <c r="EQ65" i="8"/>
  <c r="EP65" i="8"/>
  <c r="EO65" i="8"/>
  <c r="EN65" i="8"/>
  <c r="EM65" i="8"/>
  <c r="EL65" i="8"/>
  <c r="EK65" i="8"/>
  <c r="ET64" i="8"/>
  <c r="ES64" i="8"/>
  <c r="ER64" i="8"/>
  <c r="EQ64" i="8"/>
  <c r="EP64" i="8"/>
  <c r="EO64" i="8"/>
  <c r="EN64" i="8"/>
  <c r="EM64" i="8"/>
  <c r="EL64" i="8"/>
  <c r="EK64" i="8"/>
  <c r="ET79" i="8"/>
  <c r="ES79" i="8"/>
  <c r="ER79" i="8"/>
  <c r="EQ79" i="8"/>
  <c r="EP79" i="8"/>
  <c r="EO79" i="8"/>
  <c r="EN79" i="8"/>
  <c r="EM79" i="8"/>
  <c r="EL79" i="8"/>
  <c r="EK79" i="8"/>
  <c r="ET78" i="8"/>
  <c r="ES78" i="8"/>
  <c r="ER78" i="8"/>
  <c r="EQ78" i="8"/>
  <c r="EP78" i="8"/>
  <c r="EO78" i="8"/>
  <c r="EN78" i="8"/>
  <c r="EM78" i="8"/>
  <c r="EL78" i="8"/>
  <c r="EK78" i="8"/>
  <c r="ET62" i="8"/>
  <c r="ES62" i="8"/>
  <c r="ER62" i="8"/>
  <c r="EQ62" i="8"/>
  <c r="EP62" i="8"/>
  <c r="EO62" i="8"/>
  <c r="EN62" i="8"/>
  <c r="EM62" i="8"/>
  <c r="EL62" i="8"/>
  <c r="EK62" i="8"/>
  <c r="ET60" i="8"/>
  <c r="ES60" i="8"/>
  <c r="ER60" i="8"/>
  <c r="EQ60" i="8"/>
  <c r="EP60" i="8"/>
  <c r="EO60" i="8"/>
  <c r="EN60" i="8"/>
  <c r="EM60" i="8"/>
  <c r="EL60" i="8"/>
  <c r="EK60" i="8"/>
  <c r="ET59" i="8"/>
  <c r="ES59" i="8"/>
  <c r="ER59" i="8"/>
  <c r="EQ59" i="8"/>
  <c r="EP59" i="8"/>
  <c r="EO59" i="8"/>
  <c r="EN59" i="8"/>
  <c r="EM59" i="8"/>
  <c r="EL59" i="8"/>
  <c r="EK59" i="8"/>
  <c r="ET58" i="8"/>
  <c r="ES58" i="8"/>
  <c r="ER58" i="8"/>
  <c r="EQ58" i="8"/>
  <c r="EP58" i="8"/>
  <c r="EO58" i="8"/>
  <c r="EN58" i="8"/>
  <c r="EM58" i="8"/>
  <c r="EL58" i="8"/>
  <c r="EK58" i="8"/>
  <c r="ET57" i="8"/>
  <c r="ES57" i="8"/>
  <c r="ER57" i="8"/>
  <c r="EQ57" i="8"/>
  <c r="EP57" i="8"/>
  <c r="EO57" i="8"/>
  <c r="EN57" i="8"/>
  <c r="EM57" i="8"/>
  <c r="EL57" i="8"/>
  <c r="EK57" i="8"/>
  <c r="ET56" i="8"/>
  <c r="ES56" i="8"/>
  <c r="ER56" i="8"/>
  <c r="EQ56" i="8"/>
  <c r="EP56" i="8"/>
  <c r="EO56" i="8"/>
  <c r="EN56" i="8"/>
  <c r="EM56" i="8"/>
  <c r="EL56" i="8"/>
  <c r="EK56" i="8"/>
  <c r="ET55" i="8"/>
  <c r="ES55" i="8"/>
  <c r="ER55" i="8"/>
  <c r="EQ55" i="8"/>
  <c r="EP55" i="8"/>
  <c r="EO55" i="8"/>
  <c r="EN55" i="8"/>
  <c r="EM55" i="8"/>
  <c r="EL55" i="8"/>
  <c r="EK55" i="8"/>
  <c r="ET54" i="8"/>
  <c r="ES54" i="8"/>
  <c r="ER54" i="8"/>
  <c r="EQ54" i="8"/>
  <c r="EP54" i="8"/>
  <c r="EO54" i="8"/>
  <c r="EN54" i="8"/>
  <c r="EM54" i="8"/>
  <c r="EL54" i="8"/>
  <c r="EK54" i="8"/>
  <c r="ET53" i="8"/>
  <c r="ES53" i="8"/>
  <c r="ER53" i="8"/>
  <c r="EQ53" i="8"/>
  <c r="EP53" i="8"/>
  <c r="EO53" i="8"/>
  <c r="EN53" i="8"/>
  <c r="EM53" i="8"/>
  <c r="EL53" i="8"/>
  <c r="EK53" i="8"/>
  <c r="ET44" i="8"/>
  <c r="ES44" i="8"/>
  <c r="ER44" i="8"/>
  <c r="EQ44" i="8"/>
  <c r="EP44" i="8"/>
  <c r="EO44" i="8"/>
  <c r="EN44" i="8"/>
  <c r="EM44" i="8"/>
  <c r="EL44" i="8"/>
  <c r="EK44" i="8"/>
  <c r="ET43" i="8"/>
  <c r="ES43" i="8"/>
  <c r="ER43" i="8"/>
  <c r="EQ43" i="8"/>
  <c r="EP43" i="8"/>
  <c r="EO43" i="8"/>
  <c r="EN43" i="8"/>
  <c r="EM43" i="8"/>
  <c r="EL43" i="8"/>
  <c r="EK43" i="8"/>
  <c r="ET42" i="8"/>
  <c r="ES42" i="8"/>
  <c r="ER42" i="8"/>
  <c r="EQ42" i="8"/>
  <c r="EP42" i="8"/>
  <c r="EO42" i="8"/>
  <c r="EN42" i="8"/>
  <c r="EM42" i="8"/>
  <c r="EL42" i="8"/>
  <c r="EK42" i="8"/>
  <c r="ET39" i="8"/>
  <c r="ES39" i="8"/>
  <c r="ER39" i="8"/>
  <c r="EQ39" i="8"/>
  <c r="EP39" i="8"/>
  <c r="EO39" i="8"/>
  <c r="EN39" i="8"/>
  <c r="EM39" i="8"/>
  <c r="EL39" i="8"/>
  <c r="EK39" i="8"/>
  <c r="ET38" i="8"/>
  <c r="ES38" i="8"/>
  <c r="ER38" i="8"/>
  <c r="EQ38" i="8"/>
  <c r="EP38" i="8"/>
  <c r="EO38" i="8"/>
  <c r="EN38" i="8"/>
  <c r="EM38" i="8"/>
  <c r="EL38" i="8"/>
  <c r="EK38" i="8"/>
  <c r="ET37" i="8"/>
  <c r="ES37" i="8"/>
  <c r="ER37" i="8"/>
  <c r="EQ37" i="8"/>
  <c r="EP37" i="8"/>
  <c r="EO37" i="8"/>
  <c r="EN37" i="8"/>
  <c r="EM37" i="8"/>
  <c r="EL37" i="8"/>
  <c r="EK37" i="8"/>
  <c r="ET36" i="8"/>
  <c r="ES36" i="8"/>
  <c r="ER36" i="8"/>
  <c r="EQ36" i="8"/>
  <c r="EP36" i="8"/>
  <c r="EO36" i="8"/>
  <c r="EN36" i="8"/>
  <c r="EM36" i="8"/>
  <c r="EL36" i="8"/>
  <c r="EK36" i="8"/>
  <c r="ET35" i="8"/>
  <c r="ES35" i="8"/>
  <c r="ER35" i="8"/>
  <c r="EQ35" i="8"/>
  <c r="EP35" i="8"/>
  <c r="EO35" i="8"/>
  <c r="EN35" i="8"/>
  <c r="EM35" i="8"/>
  <c r="EL35" i="8"/>
  <c r="EK35" i="8"/>
  <c r="ET25" i="8"/>
  <c r="ES25" i="8"/>
  <c r="ER25" i="8"/>
  <c r="EQ25" i="8"/>
  <c r="EP25" i="8"/>
  <c r="EO25" i="8"/>
  <c r="EN25" i="8"/>
  <c r="EM25" i="8"/>
  <c r="EL25" i="8"/>
  <c r="EK25" i="8"/>
  <c r="ET24" i="8"/>
  <c r="ES24" i="8"/>
  <c r="ER24" i="8"/>
  <c r="EQ24" i="8"/>
  <c r="EP24" i="8"/>
  <c r="EO24" i="8"/>
  <c r="EN24" i="8"/>
  <c r="EM24" i="8"/>
  <c r="EL24" i="8"/>
  <c r="EK24" i="8"/>
  <c r="ET23" i="8"/>
  <c r="ES23" i="8"/>
  <c r="ER23" i="8"/>
  <c r="EQ23" i="8"/>
  <c r="EP23" i="8"/>
  <c r="EO23" i="8"/>
  <c r="EN23" i="8"/>
  <c r="EM23" i="8"/>
  <c r="EL23" i="8"/>
  <c r="EK23" i="8"/>
  <c r="ET22" i="8"/>
  <c r="ES22" i="8"/>
  <c r="ER22" i="8"/>
  <c r="EQ22" i="8"/>
  <c r="EP22" i="8"/>
  <c r="EO22" i="8"/>
  <c r="EN22" i="8"/>
  <c r="EM22" i="8"/>
  <c r="EL22" i="8"/>
  <c r="EK22" i="8"/>
  <c r="ET21" i="8"/>
  <c r="ES21" i="8"/>
  <c r="ER21" i="8"/>
  <c r="EQ21" i="8"/>
  <c r="EP21" i="8"/>
  <c r="EO21" i="8"/>
  <c r="EN21" i="8"/>
  <c r="EM21" i="8"/>
  <c r="EL21" i="8"/>
  <c r="EK21" i="8"/>
  <c r="ET20" i="8"/>
  <c r="ES20" i="8"/>
  <c r="ER20" i="8"/>
  <c r="EQ20" i="8"/>
  <c r="EP20" i="8"/>
  <c r="EO20" i="8"/>
  <c r="EN20" i="8"/>
  <c r="EM20" i="8"/>
  <c r="EL20" i="8"/>
  <c r="EK20" i="8"/>
  <c r="ET19" i="8"/>
  <c r="ES19" i="8"/>
  <c r="ER19" i="8"/>
  <c r="EQ19" i="8"/>
  <c r="EP19" i="8"/>
  <c r="EO19" i="8"/>
  <c r="EN19" i="8"/>
  <c r="EM19" i="8"/>
  <c r="EL19" i="8"/>
  <c r="EK19" i="8"/>
  <c r="ET10" i="8"/>
  <c r="ES10" i="8"/>
  <c r="ER10" i="8"/>
  <c r="EQ10" i="8"/>
  <c r="EP10" i="8"/>
  <c r="EO10" i="8"/>
  <c r="EN10" i="8"/>
  <c r="EM10" i="8"/>
  <c r="EL10" i="8"/>
  <c r="EK10" i="8"/>
  <c r="ET9" i="8"/>
  <c r="ES9" i="8"/>
  <c r="ER9" i="8"/>
  <c r="EQ9" i="8"/>
  <c r="EP9" i="8"/>
  <c r="EO9" i="8"/>
  <c r="EN9" i="8"/>
  <c r="EM9" i="8"/>
  <c r="EL9" i="8"/>
  <c r="EK9" i="8"/>
  <c r="ET8" i="8"/>
  <c r="ES8" i="8"/>
  <c r="ER8" i="8"/>
  <c r="EQ8" i="8"/>
  <c r="EP8" i="8"/>
  <c r="EO8" i="8"/>
  <c r="EN8" i="8"/>
  <c r="EM8" i="8"/>
  <c r="EL8" i="8"/>
  <c r="EK8" i="8"/>
  <c r="IJ134" i="19"/>
  <c r="IL42" i="19"/>
  <c r="IJ34" i="19"/>
  <c r="IL100" i="19"/>
  <c r="IL135" i="19"/>
  <c r="IL39" i="19"/>
  <c r="IL64" i="19"/>
  <c r="IK132" i="19"/>
  <c r="IL82" i="19"/>
  <c r="II61" i="19"/>
  <c r="IL83" i="19"/>
  <c r="IL68" i="19"/>
  <c r="II56" i="19"/>
  <c r="II62" i="19"/>
  <c r="II59" i="19"/>
  <c r="IL33" i="19"/>
  <c r="II107" i="19"/>
  <c r="IJ119" i="19"/>
  <c r="IJ60" i="19"/>
  <c r="II100" i="19"/>
  <c r="IL18" i="19"/>
  <c r="IJ133" i="19"/>
  <c r="II32" i="19"/>
  <c r="IL48" i="19"/>
  <c r="IJ130" i="19"/>
  <c r="II46" i="19"/>
  <c r="IL115" i="19"/>
  <c r="IL77" i="19"/>
  <c r="IK33" i="19"/>
  <c r="IK120" i="19"/>
  <c r="IL124" i="19"/>
  <c r="IJ136" i="19"/>
  <c r="IL16" i="19"/>
  <c r="IJ32" i="19"/>
  <c r="IJ107" i="19"/>
  <c r="IL71" i="19"/>
  <c r="IL15" i="19"/>
  <c r="IL129" i="19"/>
  <c r="IL62" i="19"/>
  <c r="IK136" i="19"/>
  <c r="II43" i="19"/>
  <c r="II136" i="19"/>
  <c r="IK61" i="19"/>
  <c r="IJ89" i="19"/>
  <c r="IL98" i="19"/>
  <c r="IJ84" i="19"/>
  <c r="IL41" i="19"/>
  <c r="II70" i="19"/>
  <c r="IJ81" i="19"/>
  <c r="II50" i="19"/>
  <c r="IL102" i="19"/>
  <c r="IL132" i="19"/>
  <c r="IK48" i="19"/>
  <c r="IL81" i="19"/>
  <c r="IK8" i="19"/>
  <c r="IK31" i="19"/>
  <c r="IL51" i="19"/>
  <c r="II31" i="19"/>
  <c r="IJ35" i="19"/>
  <c r="IL36" i="19"/>
  <c r="IL55" i="19"/>
  <c r="IL44" i="19"/>
  <c r="IL91" i="19"/>
  <c r="IK135" i="19"/>
  <c r="IK124" i="19"/>
  <c r="II86" i="19"/>
  <c r="IL108" i="19"/>
  <c r="IJ44" i="19"/>
  <c r="IJ113" i="19"/>
  <c r="IK53" i="19"/>
  <c r="IJ116" i="19"/>
  <c r="IK37" i="19"/>
  <c r="II112" i="19"/>
  <c r="IJ106" i="19"/>
  <c r="IK41" i="19"/>
  <c r="IJ7" i="19"/>
  <c r="IL107" i="19"/>
  <c r="IJ79" i="19"/>
  <c r="IJ57" i="19"/>
  <c r="IL49" i="19"/>
  <c r="IL109" i="19"/>
  <c r="IL120" i="19"/>
  <c r="IL12" i="19"/>
  <c r="IL104" i="19"/>
  <c r="IK36" i="19"/>
  <c r="IJ102" i="19"/>
  <c r="IL58" i="19"/>
  <c r="II53" i="19"/>
  <c r="IK45" i="19"/>
  <c r="II129" i="19"/>
  <c r="II71" i="19"/>
  <c r="IJ50" i="19"/>
  <c r="IL93" i="19"/>
  <c r="IL125" i="19"/>
  <c r="II104" i="19"/>
  <c r="IK60" i="19"/>
  <c r="II39" i="19"/>
  <c r="IL47" i="19"/>
  <c r="IJ42" i="19"/>
  <c r="IJ40" i="19"/>
  <c r="IJ91" i="19"/>
  <c r="IL72" i="19"/>
  <c r="IK59" i="19"/>
  <c r="IJ46" i="19"/>
  <c r="II92" i="19"/>
  <c r="IL23" i="19"/>
  <c r="IL29" i="19"/>
  <c r="IL114" i="19"/>
  <c r="IL26" i="19"/>
  <c r="IK127" i="19"/>
  <c r="IJ83" i="19"/>
  <c r="II102" i="19"/>
  <c r="IL94" i="19"/>
  <c r="IL14" i="19"/>
  <c r="IL127" i="19"/>
  <c r="II7" i="19"/>
  <c r="IJ31" i="19"/>
  <c r="II9" i="19"/>
  <c r="IL70" i="19"/>
  <c r="II55" i="19"/>
  <c r="IJ58" i="19"/>
  <c r="II115" i="19"/>
  <c r="IL73" i="19"/>
  <c r="II72" i="19"/>
  <c r="II68" i="19"/>
  <c r="II49" i="19"/>
  <c r="II40" i="19"/>
  <c r="IJ114" i="19"/>
  <c r="IL40" i="19"/>
  <c r="IK32" i="19"/>
  <c r="II87" i="19"/>
  <c r="IJ69" i="19"/>
  <c r="II41" i="19"/>
  <c r="IJ99" i="19"/>
  <c r="IL78" i="19"/>
  <c r="IK134" i="19"/>
  <c r="IL13" i="19"/>
  <c r="IJ109" i="19"/>
  <c r="IK67" i="19"/>
  <c r="IJ101" i="19"/>
  <c r="IL56" i="19"/>
  <c r="II116" i="19"/>
  <c r="IJ98" i="19"/>
  <c r="IJ117" i="19"/>
  <c r="II83" i="19"/>
  <c r="IJ62" i="19"/>
  <c r="IL76" i="19"/>
  <c r="IK47" i="19"/>
  <c r="IJ86" i="19"/>
  <c r="II134" i="19"/>
  <c r="II69" i="19"/>
  <c r="IJ131" i="19"/>
  <c r="II108" i="19"/>
  <c r="IL31" i="19"/>
  <c r="II37" i="19"/>
  <c r="IL46" i="19"/>
  <c r="II97" i="19"/>
  <c r="IL101" i="19"/>
  <c r="II126" i="19"/>
  <c r="IK72" i="19"/>
  <c r="II94" i="19"/>
  <c r="IK121" i="19"/>
  <c r="II101" i="19"/>
  <c r="IL50" i="19"/>
  <c r="IK55" i="19"/>
  <c r="IL113" i="19"/>
  <c r="IJ41" i="19"/>
  <c r="IJ70" i="19"/>
  <c r="IK119" i="19"/>
  <c r="IK9" i="19"/>
  <c r="IL134" i="19"/>
  <c r="IK63" i="19"/>
  <c r="IL137" i="19"/>
  <c r="IL17" i="19"/>
  <c r="IL32" i="19"/>
  <c r="IL28" i="19"/>
  <c r="IL85" i="19"/>
  <c r="IL21" i="19"/>
  <c r="IJ118" i="19"/>
  <c r="IK68" i="19"/>
  <c r="IL119" i="19"/>
  <c r="II96" i="19"/>
  <c r="IL111" i="19"/>
  <c r="IL133" i="19"/>
  <c r="IL19" i="19"/>
  <c r="IL74" i="19"/>
  <c r="IJ105" i="19"/>
  <c r="IK64" i="19"/>
  <c r="IL123" i="19"/>
  <c r="IJ9" i="19"/>
  <c r="IJ120" i="19"/>
  <c r="IL54" i="19"/>
  <c r="II133" i="19"/>
  <c r="II8" i="19"/>
  <c r="IJ71" i="19"/>
  <c r="II124" i="19"/>
  <c r="II65" i="19"/>
  <c r="IK58" i="19"/>
  <c r="IJ125" i="19"/>
  <c r="IJ47" i="19"/>
  <c r="IL57" i="19"/>
  <c r="IJ53" i="19"/>
  <c r="II64" i="19"/>
  <c r="IL136" i="19"/>
  <c r="II103" i="19"/>
  <c r="II42" i="19"/>
  <c r="IK7" i="19"/>
  <c r="IK57" i="19"/>
  <c r="II54" i="19"/>
  <c r="IK69" i="19"/>
  <c r="IJ115" i="19"/>
  <c r="II89" i="19"/>
  <c r="IJ37" i="19"/>
  <c r="IJ137" i="19"/>
  <c r="IK66" i="19"/>
  <c r="IJ8" i="19"/>
  <c r="II98" i="19"/>
  <c r="IJ128" i="19"/>
  <c r="II118" i="19"/>
  <c r="II120" i="19"/>
  <c r="IL45" i="19"/>
  <c r="IJ45" i="19"/>
  <c r="IJ93" i="19"/>
  <c r="IL103" i="19"/>
  <c r="IL92" i="19"/>
  <c r="II106" i="19"/>
  <c r="IL67" i="19"/>
  <c r="II82" i="19"/>
  <c r="IJ95" i="19"/>
  <c r="II48" i="19"/>
  <c r="IL105" i="19"/>
  <c r="IL66" i="19"/>
  <c r="IL20" i="19"/>
  <c r="IJ103" i="19"/>
  <c r="IL110" i="19"/>
  <c r="IL128" i="19"/>
  <c r="IK50" i="19"/>
  <c r="IJ87" i="19"/>
  <c r="IL43" i="19"/>
  <c r="IJ111" i="19"/>
  <c r="IJ48" i="19"/>
  <c r="IJ112" i="19"/>
  <c r="IJ135" i="19"/>
  <c r="IJ127" i="19"/>
  <c r="IJ68" i="19"/>
  <c r="IJ121" i="19"/>
  <c r="IL35" i="19"/>
  <c r="II45" i="19"/>
  <c r="II52" i="19"/>
  <c r="IK122" i="19"/>
  <c r="IL84" i="19"/>
  <c r="IK125" i="19"/>
  <c r="IJ43" i="19"/>
  <c r="II80" i="19"/>
  <c r="IK117" i="19"/>
  <c r="IK34" i="19"/>
  <c r="II117" i="19"/>
  <c r="II111" i="19"/>
  <c r="II128" i="19"/>
  <c r="IJ132" i="19"/>
  <c r="IL9" i="19"/>
  <c r="IJ72" i="19"/>
  <c r="IK137" i="19"/>
  <c r="IJ122" i="19"/>
  <c r="II91" i="19"/>
  <c r="IK42" i="19"/>
  <c r="II93" i="19"/>
  <c r="II51" i="19"/>
  <c r="IL52" i="19"/>
  <c r="II60" i="19"/>
  <c r="IJ49" i="19"/>
  <c r="IL80" i="19"/>
  <c r="IJ90" i="19"/>
  <c r="IL63" i="19"/>
  <c r="IJ82" i="19"/>
  <c r="II109" i="19"/>
  <c r="IJ66" i="19"/>
  <c r="IK43" i="19"/>
  <c r="IL112" i="19"/>
  <c r="II85" i="19"/>
  <c r="IL121" i="19"/>
  <c r="II84" i="19"/>
  <c r="IL96" i="19"/>
  <c r="IL65" i="19"/>
  <c r="IJ94" i="19"/>
  <c r="IJ36" i="19"/>
  <c r="II130" i="19"/>
  <c r="IJ108" i="19"/>
  <c r="IK35" i="19"/>
  <c r="IK38" i="19"/>
  <c r="IK51" i="19"/>
  <c r="IL30" i="19"/>
  <c r="IK128" i="19"/>
  <c r="IL59" i="19"/>
  <c r="IJ96" i="19"/>
  <c r="IJ64" i="19"/>
  <c r="IL106" i="19"/>
  <c r="IL97" i="19"/>
  <c r="IK118" i="19"/>
  <c r="II44" i="19"/>
  <c r="IK65" i="19"/>
  <c r="II34" i="19"/>
  <c r="II95" i="19"/>
  <c r="IL69" i="19"/>
  <c r="II127" i="19"/>
  <c r="II47" i="19"/>
  <c r="IK123" i="19"/>
  <c r="II66" i="19"/>
  <c r="II99" i="19"/>
  <c r="IK40" i="19"/>
  <c r="IL34" i="19"/>
  <c r="II88" i="19"/>
  <c r="II90" i="19"/>
  <c r="IL37" i="19"/>
  <c r="IK131" i="19"/>
  <c r="II105" i="19"/>
  <c r="IK62" i="19"/>
  <c r="IK129" i="19"/>
  <c r="IL38" i="19"/>
  <c r="II114" i="19"/>
  <c r="IJ65" i="19"/>
  <c r="IK71" i="19"/>
  <c r="IK130" i="19"/>
  <c r="IL60" i="19"/>
  <c r="IL22" i="19"/>
  <c r="IL122" i="19"/>
  <c r="II67" i="19"/>
  <c r="IL11" i="19"/>
  <c r="IL86" i="19"/>
  <c r="IL130" i="19"/>
  <c r="IL75" i="19"/>
  <c r="IJ85" i="19"/>
  <c r="IL8" i="19"/>
  <c r="IK44" i="19"/>
  <c r="IK54" i="19"/>
  <c r="II57" i="19"/>
  <c r="II123" i="19"/>
  <c r="IJ104" i="19"/>
  <c r="IJ61" i="19"/>
  <c r="IJ100" i="19"/>
  <c r="II119" i="19"/>
  <c r="II122" i="19"/>
  <c r="IL27" i="19"/>
  <c r="IK39" i="19"/>
  <c r="IL131" i="19"/>
  <c r="IL7" i="19"/>
  <c r="IJ88" i="19"/>
  <c r="IK126" i="19"/>
  <c r="IJ97" i="19"/>
  <c r="IJ52" i="19"/>
  <c r="IL87" i="19"/>
  <c r="IJ54" i="19"/>
  <c r="IL25" i="19"/>
  <c r="IJ123" i="19"/>
  <c r="II135" i="19"/>
  <c r="IL61" i="19"/>
  <c r="IL117" i="19"/>
  <c r="IJ110" i="19"/>
  <c r="IL10" i="19"/>
  <c r="II113" i="19"/>
  <c r="IK52" i="19"/>
  <c r="IL118" i="19"/>
  <c r="II38" i="19"/>
  <c r="II33" i="19"/>
  <c r="IL24" i="19"/>
  <c r="IJ67" i="19"/>
  <c r="II58" i="19"/>
  <c r="IJ55" i="19"/>
  <c r="IK70" i="19"/>
  <c r="IJ39" i="19"/>
  <c r="IJ80" i="19"/>
  <c r="IL53" i="19"/>
  <c r="IL126" i="19"/>
  <c r="IJ124" i="19"/>
  <c r="II110" i="19"/>
  <c r="II131" i="19"/>
  <c r="IL90" i="19"/>
  <c r="IJ38" i="19"/>
  <c r="IJ92" i="19"/>
  <c r="IK116" i="19"/>
  <c r="IJ56" i="19"/>
  <c r="IJ59" i="19"/>
  <c r="IJ33" i="19"/>
  <c r="IL116" i="19"/>
  <c r="IK49" i="19"/>
  <c r="IK133" i="19"/>
  <c r="II35" i="19"/>
  <c r="IK56" i="19"/>
  <c r="II81" i="19"/>
  <c r="II36" i="19"/>
  <c r="IL88" i="19"/>
  <c r="IJ126" i="19"/>
  <c r="II121" i="19"/>
  <c r="IL99" i="19"/>
  <c r="IL95" i="19"/>
  <c r="IL79" i="19"/>
  <c r="II125" i="19"/>
  <c r="II63" i="19"/>
  <c r="IJ51" i="19"/>
  <c r="II79" i="19"/>
  <c r="IJ129" i="19"/>
  <c r="II137" i="19"/>
  <c r="II132" i="19"/>
  <c r="IK46" i="19"/>
  <c r="IJ63" i="19"/>
  <c r="DY21" i="19" l="1"/>
  <c r="EC18" i="19"/>
  <c r="EA22" i="19"/>
  <c r="EE18" i="19"/>
  <c r="EE19" i="19"/>
  <c r="EA21" i="19"/>
  <c r="EE16" i="19"/>
  <c r="EA19" i="19"/>
  <c r="EE17" i="19"/>
  <c r="EG17" i="19"/>
  <c r="EA20" i="19"/>
  <c r="EC20" i="19"/>
  <c r="EC16" i="19"/>
  <c r="EA18" i="19"/>
  <c r="EG21" i="19"/>
  <c r="DY17" i="19"/>
  <c r="EE20" i="19"/>
  <c r="EC22" i="19"/>
  <c r="EA17" i="19"/>
  <c r="DY19" i="19"/>
  <c r="EE22" i="19"/>
  <c r="EA16" i="19"/>
  <c r="EG19" i="19"/>
  <c r="EE21" i="19"/>
  <c r="EG16" i="19"/>
  <c r="DY18" i="19"/>
  <c r="EC19" i="19"/>
  <c r="EG20" i="19"/>
  <c r="DY22" i="19"/>
  <c r="DY16" i="19"/>
  <c r="EC17" i="19"/>
  <c r="EG18" i="19"/>
  <c r="DY20" i="19"/>
  <c r="EC21" i="19"/>
  <c r="EG22" i="19"/>
  <c r="DZ16" i="19"/>
  <c r="EH16" i="19"/>
  <c r="ED17" i="19"/>
  <c r="DZ18" i="19"/>
  <c r="EH18" i="19"/>
  <c r="ED19" i="19"/>
  <c r="DZ20" i="19"/>
  <c r="EH20" i="19"/>
  <c r="ED21" i="19"/>
  <c r="DZ22" i="19"/>
  <c r="EH22" i="19"/>
  <c r="DX75" i="19"/>
  <c r="EF75" i="19"/>
  <c r="EB76" i="19"/>
  <c r="DX77" i="19"/>
  <c r="EF77" i="19"/>
  <c r="EB78" i="19"/>
  <c r="DY75" i="19"/>
  <c r="EG75" i="19"/>
  <c r="EC76" i="19"/>
  <c r="DY77" i="19"/>
  <c r="EG77" i="19"/>
  <c r="EC78" i="19"/>
  <c r="EB16" i="19"/>
  <c r="DX17" i="19"/>
  <c r="EF17" i="19"/>
  <c r="EB18" i="19"/>
  <c r="DX19" i="19"/>
  <c r="EF19" i="19"/>
  <c r="EB20" i="19"/>
  <c r="DX21" i="19"/>
  <c r="EF21" i="19"/>
  <c r="EB22" i="19"/>
  <c r="DZ75" i="19"/>
  <c r="EH75" i="19"/>
  <c r="ED76" i="19"/>
  <c r="DZ77" i="19"/>
  <c r="EH77" i="19"/>
  <c r="ED78" i="19"/>
  <c r="EA75" i="19"/>
  <c r="EE76" i="19"/>
  <c r="EA77" i="19"/>
  <c r="EE78" i="19"/>
  <c r="ED16" i="19"/>
  <c r="DZ17" i="19"/>
  <c r="EH17" i="19"/>
  <c r="ED18" i="19"/>
  <c r="DZ19" i="19"/>
  <c r="EH19" i="19"/>
  <c r="ED20" i="19"/>
  <c r="DZ21" i="19"/>
  <c r="EH21" i="19"/>
  <c r="ED22" i="19"/>
  <c r="EB75" i="19"/>
  <c r="DX76" i="19"/>
  <c r="EF76" i="19"/>
  <c r="EB77" i="19"/>
  <c r="DX78" i="19"/>
  <c r="EF78" i="19"/>
  <c r="EC75" i="19"/>
  <c r="DY76" i="19"/>
  <c r="EG76" i="19"/>
  <c r="EC77" i="19"/>
  <c r="DY78" i="19"/>
  <c r="HT113" i="19"/>
  <c r="HT105" i="19"/>
  <c r="HT97" i="19"/>
  <c r="HT89" i="19"/>
  <c r="HT81" i="19"/>
  <c r="HT18" i="19"/>
  <c r="HT10" i="19"/>
  <c r="HQ115" i="19"/>
  <c r="HI115" i="19"/>
  <c r="HA115" i="19"/>
  <c r="GS115" i="19"/>
  <c r="GK115" i="19"/>
  <c r="GC115" i="19"/>
  <c r="HM114" i="19"/>
  <c r="HE114" i="19"/>
  <c r="GW114" i="19"/>
  <c r="GO114" i="19"/>
  <c r="GG114" i="19"/>
  <c r="HQ113" i="19"/>
  <c r="HI113" i="19"/>
  <c r="HA113" i="19"/>
  <c r="GS113" i="19"/>
  <c r="GK113" i="19"/>
  <c r="GC113" i="19"/>
  <c r="HM112" i="19"/>
  <c r="HE112" i="19"/>
  <c r="GW112" i="19"/>
  <c r="GO112" i="19"/>
  <c r="GG112" i="19"/>
  <c r="HQ111" i="19"/>
  <c r="HI111" i="19"/>
  <c r="HA111" i="19"/>
  <c r="GS111" i="19"/>
  <c r="GK111" i="19"/>
  <c r="GC111" i="19"/>
  <c r="HM110" i="19"/>
  <c r="HE110" i="19"/>
  <c r="GW110" i="19"/>
  <c r="GO110" i="19"/>
  <c r="GG110" i="19"/>
  <c r="HQ109" i="19"/>
  <c r="HI109" i="19"/>
  <c r="HA109" i="19"/>
  <c r="GS109" i="19"/>
  <c r="GK109" i="19"/>
  <c r="GC109" i="19"/>
  <c r="HM108" i="19"/>
  <c r="HE108" i="19"/>
  <c r="GW108" i="19"/>
  <c r="GO108" i="19"/>
  <c r="GG108" i="19"/>
  <c r="HQ107" i="19"/>
  <c r="HI107" i="19"/>
  <c r="HA107" i="19"/>
  <c r="GS107" i="19"/>
  <c r="GK107" i="19"/>
  <c r="GC107" i="19"/>
  <c r="HM106" i="19"/>
  <c r="HE106" i="19"/>
  <c r="GW106" i="19"/>
  <c r="GO106" i="19"/>
  <c r="GG106" i="19"/>
  <c r="HQ105" i="19"/>
  <c r="HI105" i="19"/>
  <c r="HA105" i="19"/>
  <c r="GS105" i="19"/>
  <c r="GK105" i="19"/>
  <c r="GC105" i="19"/>
  <c r="HM104" i="19"/>
  <c r="HE104" i="19"/>
  <c r="GW104" i="19"/>
  <c r="GO104" i="19"/>
  <c r="GG104" i="19"/>
  <c r="HQ103" i="19"/>
  <c r="HI103" i="19"/>
  <c r="HA103" i="19"/>
  <c r="GS103" i="19"/>
  <c r="GK103" i="19"/>
  <c r="GC103" i="19"/>
  <c r="HM102" i="19"/>
  <c r="HE102" i="19"/>
  <c r="GW102" i="19"/>
  <c r="GO102" i="19"/>
  <c r="GG102" i="19"/>
  <c r="HQ101" i="19"/>
  <c r="HI101" i="19"/>
  <c r="HA101" i="19"/>
  <c r="GS101" i="19"/>
  <c r="GK101" i="19"/>
  <c r="GC101" i="19"/>
  <c r="HM100" i="19"/>
  <c r="HE100" i="19"/>
  <c r="GW100" i="19"/>
  <c r="GO100" i="19"/>
  <c r="GG100" i="19"/>
  <c r="HQ99" i="19"/>
  <c r="HI99" i="19"/>
  <c r="HA99" i="19"/>
  <c r="GS99" i="19"/>
  <c r="GK99" i="19"/>
  <c r="GC99" i="19"/>
  <c r="HM98" i="19"/>
  <c r="HE98" i="19"/>
  <c r="GW98" i="19"/>
  <c r="GO98" i="19"/>
  <c r="GG98" i="19"/>
  <c r="HQ97" i="19"/>
  <c r="HI97" i="19"/>
  <c r="HA97" i="19"/>
  <c r="HT112" i="19"/>
  <c r="HT104" i="19"/>
  <c r="HT96" i="19"/>
  <c r="HT88" i="19"/>
  <c r="HT80" i="19"/>
  <c r="HT17" i="19"/>
  <c r="HP115" i="19"/>
  <c r="HH115" i="19"/>
  <c r="GZ115" i="19"/>
  <c r="GR115" i="19"/>
  <c r="GJ115" i="19"/>
  <c r="GB115" i="19"/>
  <c r="HL114" i="19"/>
  <c r="HD114" i="19"/>
  <c r="GV114" i="19"/>
  <c r="GN114" i="19"/>
  <c r="GF114" i="19"/>
  <c r="HP113" i="19"/>
  <c r="HH113" i="19"/>
  <c r="GZ113" i="19"/>
  <c r="GR113" i="19"/>
  <c r="GJ113" i="19"/>
  <c r="GB113" i="19"/>
  <c r="HL112" i="19"/>
  <c r="HD112" i="19"/>
  <c r="GV112" i="19"/>
  <c r="GN112" i="19"/>
  <c r="GF112" i="19"/>
  <c r="HP111" i="19"/>
  <c r="HH111" i="19"/>
  <c r="GZ111" i="19"/>
  <c r="GR111" i="19"/>
  <c r="GJ111" i="19"/>
  <c r="GB111" i="19"/>
  <c r="HL110" i="19"/>
  <c r="HD110" i="19"/>
  <c r="GV110" i="19"/>
  <c r="GN110" i="19"/>
  <c r="GF110" i="19"/>
  <c r="HP109" i="19"/>
  <c r="HH109" i="19"/>
  <c r="GZ109" i="19"/>
  <c r="GR109" i="19"/>
  <c r="GJ109" i="19"/>
  <c r="GB109" i="19"/>
  <c r="HL108" i="19"/>
  <c r="HD108" i="19"/>
  <c r="GV108" i="19"/>
  <c r="GN108" i="19"/>
  <c r="GF108" i="19"/>
  <c r="HP107" i="19"/>
  <c r="HH107" i="19"/>
  <c r="GZ107" i="19"/>
  <c r="GR107" i="19"/>
  <c r="GJ107" i="19"/>
  <c r="GB107" i="19"/>
  <c r="HL106" i="19"/>
  <c r="HD106" i="19"/>
  <c r="GV106" i="19"/>
  <c r="GN106" i="19"/>
  <c r="GF106" i="19"/>
  <c r="HP105" i="19"/>
  <c r="HH105" i="19"/>
  <c r="GZ105" i="19"/>
  <c r="GR105" i="19"/>
  <c r="GJ105" i="19"/>
  <c r="GB105" i="19"/>
  <c r="HL104" i="19"/>
  <c r="HD104" i="19"/>
  <c r="GV104" i="19"/>
  <c r="GN104" i="19"/>
  <c r="GF104" i="19"/>
  <c r="HP103" i="19"/>
  <c r="HH103" i="19"/>
  <c r="GZ103" i="19"/>
  <c r="GR103" i="19"/>
  <c r="GJ103" i="19"/>
  <c r="GB103" i="19"/>
  <c r="HL102" i="19"/>
  <c r="HD102" i="19"/>
  <c r="GV102" i="19"/>
  <c r="GN102" i="19"/>
  <c r="GF102" i="19"/>
  <c r="HP101" i="19"/>
  <c r="HH101" i="19"/>
  <c r="GZ101" i="19"/>
  <c r="GR101" i="19"/>
  <c r="GJ101" i="19"/>
  <c r="GB101" i="19"/>
  <c r="HL100" i="19"/>
  <c r="HD100" i="19"/>
  <c r="GV100" i="19"/>
  <c r="GN100" i="19"/>
  <c r="GF100" i="19"/>
  <c r="HP99" i="19"/>
  <c r="HH99" i="19"/>
  <c r="GZ99" i="19"/>
  <c r="GR99" i="19"/>
  <c r="GJ99" i="19"/>
  <c r="GB99" i="19"/>
  <c r="HL98" i="19"/>
  <c r="HD98" i="19"/>
  <c r="GV98" i="19"/>
  <c r="GN98" i="19"/>
  <c r="GF98" i="19"/>
  <c r="HP97" i="19"/>
  <c r="HH97" i="19"/>
  <c r="GZ97" i="19"/>
  <c r="GR97" i="19"/>
  <c r="GJ97" i="19"/>
  <c r="GB97" i="19"/>
  <c r="HL96" i="19"/>
  <c r="HD96" i="19"/>
  <c r="GV96" i="19"/>
  <c r="GN96" i="19"/>
  <c r="GF96" i="19"/>
  <c r="HP95" i="19"/>
  <c r="HH95" i="19"/>
  <c r="GZ95" i="19"/>
  <c r="GR95" i="19"/>
  <c r="GJ95" i="19"/>
  <c r="GB95" i="19"/>
  <c r="HL94" i="19"/>
  <c r="HD94" i="19"/>
  <c r="GV94" i="19"/>
  <c r="GN94" i="19"/>
  <c r="GF94" i="19"/>
  <c r="HP93" i="19"/>
  <c r="HH93" i="19"/>
  <c r="GZ93" i="19"/>
  <c r="GR93" i="19"/>
  <c r="GJ93" i="19"/>
  <c r="GB93" i="19"/>
  <c r="HL92" i="19"/>
  <c r="HD92" i="19"/>
  <c r="GV92" i="19"/>
  <c r="GN92" i="19"/>
  <c r="GF92" i="19"/>
  <c r="HP91" i="19"/>
  <c r="HH91" i="19"/>
  <c r="GZ91" i="19"/>
  <c r="GR91" i="19"/>
  <c r="GJ91" i="19"/>
  <c r="GB91" i="19"/>
  <c r="HL90" i="19"/>
  <c r="HD90" i="19"/>
  <c r="GV90" i="19"/>
  <c r="GN90" i="19"/>
  <c r="GF90" i="19"/>
  <c r="HP89" i="19"/>
  <c r="HH89" i="19"/>
  <c r="GZ89" i="19"/>
  <c r="GR89" i="19"/>
  <c r="GJ89" i="19"/>
  <c r="GB89" i="19"/>
  <c r="HL88" i="19"/>
  <c r="HD88" i="19"/>
  <c r="GV88" i="19"/>
  <c r="GN88" i="19"/>
  <c r="GF88" i="19"/>
  <c r="HP87" i="19"/>
  <c r="HH87" i="19"/>
  <c r="GZ87" i="19"/>
  <c r="GR87" i="19"/>
  <c r="GJ87" i="19"/>
  <c r="GB87" i="19"/>
  <c r="HL86" i="19"/>
  <c r="HD86" i="19"/>
  <c r="GV86" i="19"/>
  <c r="HT111" i="19"/>
  <c r="HT103" i="19"/>
  <c r="HT95" i="19"/>
  <c r="HT87" i="19"/>
  <c r="HT79" i="19"/>
  <c r="HT16" i="19"/>
  <c r="HO115" i="19"/>
  <c r="HG115" i="19"/>
  <c r="GY115" i="19"/>
  <c r="GQ115" i="19"/>
  <c r="GI115" i="19"/>
  <c r="HS114" i="19"/>
  <c r="HK114" i="19"/>
  <c r="HC114" i="19"/>
  <c r="GU114" i="19"/>
  <c r="GM114" i="19"/>
  <c r="GE114" i="19"/>
  <c r="HO113" i="19"/>
  <c r="HG113" i="19"/>
  <c r="GY113" i="19"/>
  <c r="GQ113" i="19"/>
  <c r="GI113" i="19"/>
  <c r="HS112" i="19"/>
  <c r="HK112" i="19"/>
  <c r="HC112" i="19"/>
  <c r="GU112" i="19"/>
  <c r="GM112" i="19"/>
  <c r="GE112" i="19"/>
  <c r="HO111" i="19"/>
  <c r="HG111" i="19"/>
  <c r="GY111" i="19"/>
  <c r="GQ111" i="19"/>
  <c r="GI111" i="19"/>
  <c r="HS110" i="19"/>
  <c r="HK110" i="19"/>
  <c r="HC110" i="19"/>
  <c r="GU110" i="19"/>
  <c r="GM110" i="19"/>
  <c r="GE110" i="19"/>
  <c r="HO109" i="19"/>
  <c r="HG109" i="19"/>
  <c r="GY109" i="19"/>
  <c r="GQ109" i="19"/>
  <c r="GI109" i="19"/>
  <c r="HS108" i="19"/>
  <c r="HK108" i="19"/>
  <c r="HC108" i="19"/>
  <c r="GU108" i="19"/>
  <c r="GM108" i="19"/>
  <c r="GE108" i="19"/>
  <c r="HO107" i="19"/>
  <c r="HG107" i="19"/>
  <c r="GY107" i="19"/>
  <c r="GQ107" i="19"/>
  <c r="GI107" i="19"/>
  <c r="HS106" i="19"/>
  <c r="HK106" i="19"/>
  <c r="HC106" i="19"/>
  <c r="GU106" i="19"/>
  <c r="GM106" i="19"/>
  <c r="GE106" i="19"/>
  <c r="HO105" i="19"/>
  <c r="HG105" i="19"/>
  <c r="GY105" i="19"/>
  <c r="GQ105" i="19"/>
  <c r="GI105" i="19"/>
  <c r="HS104" i="19"/>
  <c r="HK104" i="19"/>
  <c r="HC104" i="19"/>
  <c r="HT110" i="19"/>
  <c r="HT102" i="19"/>
  <c r="HT94" i="19"/>
  <c r="HT86" i="19"/>
  <c r="HT78" i="19"/>
  <c r="HT23" i="19"/>
  <c r="HT15" i="19"/>
  <c r="HN115" i="19"/>
  <c r="HF115" i="19"/>
  <c r="GX115" i="19"/>
  <c r="GP115" i="19"/>
  <c r="GH115" i="19"/>
  <c r="HR114" i="19"/>
  <c r="HJ114" i="19"/>
  <c r="HB114" i="19"/>
  <c r="GT114" i="19"/>
  <c r="GL114" i="19"/>
  <c r="GD114" i="19"/>
  <c r="HN113" i="19"/>
  <c r="HF113" i="19"/>
  <c r="GX113" i="19"/>
  <c r="GP113" i="19"/>
  <c r="GH113" i="19"/>
  <c r="HR112" i="19"/>
  <c r="HJ112" i="19"/>
  <c r="HB112" i="19"/>
  <c r="GT112" i="19"/>
  <c r="GL112" i="19"/>
  <c r="GD112" i="19"/>
  <c r="HN111" i="19"/>
  <c r="HF111" i="19"/>
  <c r="GX111" i="19"/>
  <c r="GP111" i="19"/>
  <c r="GH111" i="19"/>
  <c r="HR110" i="19"/>
  <c r="HJ110" i="19"/>
  <c r="HB110" i="19"/>
  <c r="GT110" i="19"/>
  <c r="GL110" i="19"/>
  <c r="GD110" i="19"/>
  <c r="HN109" i="19"/>
  <c r="HF109" i="19"/>
  <c r="GX109" i="19"/>
  <c r="GP109" i="19"/>
  <c r="GH109" i="19"/>
  <c r="HR108" i="19"/>
  <c r="HJ108" i="19"/>
  <c r="HB108" i="19"/>
  <c r="GT108" i="19"/>
  <c r="GL108" i="19"/>
  <c r="GD108" i="19"/>
  <c r="HN107" i="19"/>
  <c r="HF107" i="19"/>
  <c r="GX107" i="19"/>
  <c r="GP107" i="19"/>
  <c r="GH107" i="19"/>
  <c r="HR106" i="19"/>
  <c r="HJ106" i="19"/>
  <c r="HB106" i="19"/>
  <c r="GT106" i="19"/>
  <c r="GL106" i="19"/>
  <c r="GD106" i="19"/>
  <c r="HN105" i="19"/>
  <c r="HF105" i="19"/>
  <c r="GX105" i="19"/>
  <c r="GP105" i="19"/>
  <c r="GH105" i="19"/>
  <c r="HR104" i="19"/>
  <c r="HJ104" i="19"/>
  <c r="HB104" i="19"/>
  <c r="GT104" i="19"/>
  <c r="GL104" i="19"/>
  <c r="GD104" i="19"/>
  <c r="HN103" i="19"/>
  <c r="HF103" i="19"/>
  <c r="GX103" i="19"/>
  <c r="GP103" i="19"/>
  <c r="GH103" i="19"/>
  <c r="HR102" i="19"/>
  <c r="HJ102" i="19"/>
  <c r="HB102" i="19"/>
  <c r="GT102" i="19"/>
  <c r="GL102" i="19"/>
  <c r="GD102" i="19"/>
  <c r="HN101" i="19"/>
  <c r="HF101" i="19"/>
  <c r="GX101" i="19"/>
  <c r="GP101" i="19"/>
  <c r="GH101" i="19"/>
  <c r="HR100" i="19"/>
  <c r="HJ100" i="19"/>
  <c r="HB100" i="19"/>
  <c r="GT100" i="19"/>
  <c r="GL100" i="19"/>
  <c r="GD100" i="19"/>
  <c r="HN99" i="19"/>
  <c r="HF99" i="19"/>
  <c r="GX99" i="19"/>
  <c r="GP99" i="19"/>
  <c r="GH99" i="19"/>
  <c r="HR98" i="19"/>
  <c r="HJ98" i="19"/>
  <c r="HB98" i="19"/>
  <c r="GT98" i="19"/>
  <c r="GL98" i="19"/>
  <c r="GD98" i="19"/>
  <c r="HN97" i="19"/>
  <c r="HF97" i="19"/>
  <c r="GX97" i="19"/>
  <c r="GP97" i="19"/>
  <c r="GH97" i="19"/>
  <c r="HR96" i="19"/>
  <c r="HJ96" i="19"/>
  <c r="HB96" i="19"/>
  <c r="GT96" i="19"/>
  <c r="GL96" i="19"/>
  <c r="GD96" i="19"/>
  <c r="HN95" i="19"/>
  <c r="HF95" i="19"/>
  <c r="GX95" i="19"/>
  <c r="GP95" i="19"/>
  <c r="GH95" i="19"/>
  <c r="HR94" i="19"/>
  <c r="HJ94" i="19"/>
  <c r="HB94" i="19"/>
  <c r="GT94" i="19"/>
  <c r="GL94" i="19"/>
  <c r="GD94" i="19"/>
  <c r="HN93" i="19"/>
  <c r="HF93" i="19"/>
  <c r="GX93" i="19"/>
  <c r="GP93" i="19"/>
  <c r="GH93" i="19"/>
  <c r="HR92" i="19"/>
  <c r="HJ92" i="19"/>
  <c r="HB92" i="19"/>
  <c r="GT92" i="19"/>
  <c r="GL92" i="19"/>
  <c r="GD92" i="19"/>
  <c r="HN91" i="19"/>
  <c r="HF91" i="19"/>
  <c r="GX91" i="19"/>
  <c r="GP91" i="19"/>
  <c r="GH91" i="19"/>
  <c r="HR90" i="19"/>
  <c r="HJ90" i="19"/>
  <c r="HB90" i="19"/>
  <c r="GT90" i="19"/>
  <c r="GL90" i="19"/>
  <c r="GD90" i="19"/>
  <c r="HN89" i="19"/>
  <c r="HF89" i="19"/>
  <c r="GX89" i="19"/>
  <c r="GP89" i="19"/>
  <c r="GH89" i="19"/>
  <c r="HR88" i="19"/>
  <c r="HJ88" i="19"/>
  <c r="HB88" i="19"/>
  <c r="GT88" i="19"/>
  <c r="GL88" i="19"/>
  <c r="GD88" i="19"/>
  <c r="HN87" i="19"/>
  <c r="HF87" i="19"/>
  <c r="GX87" i="19"/>
  <c r="GP87" i="19"/>
  <c r="GH87" i="19"/>
  <c r="HR86" i="19"/>
  <c r="HJ86" i="19"/>
  <c r="HB86" i="19"/>
  <c r="GT86" i="19"/>
  <c r="HT109" i="19"/>
  <c r="HT101" i="19"/>
  <c r="HT93" i="19"/>
  <c r="HT85" i="19"/>
  <c r="HT77" i="19"/>
  <c r="HT22" i="19"/>
  <c r="HT14" i="19"/>
  <c r="HM115" i="19"/>
  <c r="HE115" i="19"/>
  <c r="GW115" i="19"/>
  <c r="GO115" i="19"/>
  <c r="GG115" i="19"/>
  <c r="HQ114" i="19"/>
  <c r="HI114" i="19"/>
  <c r="HA114" i="19"/>
  <c r="GS114" i="19"/>
  <c r="GK114" i="19"/>
  <c r="GC114" i="19"/>
  <c r="HM113" i="19"/>
  <c r="HE113" i="19"/>
  <c r="GW113" i="19"/>
  <c r="GO113" i="19"/>
  <c r="GG113" i="19"/>
  <c r="HQ112" i="19"/>
  <c r="HI112" i="19"/>
  <c r="HA112" i="19"/>
  <c r="GS112" i="19"/>
  <c r="GK112" i="19"/>
  <c r="GC112" i="19"/>
  <c r="HM111" i="19"/>
  <c r="HE111" i="19"/>
  <c r="GW111" i="19"/>
  <c r="GO111" i="19"/>
  <c r="GG111" i="19"/>
  <c r="HQ110" i="19"/>
  <c r="HI110" i="19"/>
  <c r="HA110" i="19"/>
  <c r="GS110" i="19"/>
  <c r="GK110" i="19"/>
  <c r="GC110" i="19"/>
  <c r="HM109" i="19"/>
  <c r="HE109" i="19"/>
  <c r="GW109" i="19"/>
  <c r="GO109" i="19"/>
  <c r="GG109" i="19"/>
  <c r="HQ108" i="19"/>
  <c r="HI108" i="19"/>
  <c r="HA108" i="19"/>
  <c r="GS108" i="19"/>
  <c r="GK108" i="19"/>
  <c r="GC108" i="19"/>
  <c r="HM107" i="19"/>
  <c r="HE107" i="19"/>
  <c r="GW107" i="19"/>
  <c r="GO107" i="19"/>
  <c r="GG107" i="19"/>
  <c r="HQ106" i="19"/>
  <c r="HI106" i="19"/>
  <c r="HA106" i="19"/>
  <c r="GS106" i="19"/>
  <c r="GK106" i="19"/>
  <c r="GC106" i="19"/>
  <c r="HM105" i="19"/>
  <c r="HE105" i="19"/>
  <c r="GW105" i="19"/>
  <c r="GO105" i="19"/>
  <c r="GG105" i="19"/>
  <c r="HQ104" i="19"/>
  <c r="HI104" i="19"/>
  <c r="HA104" i="19"/>
  <c r="GS104" i="19"/>
  <c r="GK104" i="19"/>
  <c r="GC104" i="19"/>
  <c r="HM103" i="19"/>
  <c r="HE103" i="19"/>
  <c r="GW103" i="19"/>
  <c r="GO103" i="19"/>
  <c r="GG103" i="19"/>
  <c r="HQ102" i="19"/>
  <c r="HI102" i="19"/>
  <c r="HA102" i="19"/>
  <c r="GS102" i="19"/>
  <c r="GK102" i="19"/>
  <c r="GC102" i="19"/>
  <c r="HM101" i="19"/>
  <c r="HE101" i="19"/>
  <c r="GW101" i="19"/>
  <c r="GO101" i="19"/>
  <c r="GG101" i="19"/>
  <c r="HQ100" i="19"/>
  <c r="HI100" i="19"/>
  <c r="HA100" i="19"/>
  <c r="GS100" i="19"/>
  <c r="GK100" i="19"/>
  <c r="GC100" i="19"/>
  <c r="HM99" i="19"/>
  <c r="HE99" i="19"/>
  <c r="GW99" i="19"/>
  <c r="GO99" i="19"/>
  <c r="GG99" i="19"/>
  <c r="HQ98" i="19"/>
  <c r="HI98" i="19"/>
  <c r="HA98" i="19"/>
  <c r="GS98" i="19"/>
  <c r="GK98" i="19"/>
  <c r="GC98" i="19"/>
  <c r="HM97" i="19"/>
  <c r="HE97" i="19"/>
  <c r="GW97" i="19"/>
  <c r="HT108" i="19"/>
  <c r="HT100" i="19"/>
  <c r="HT92" i="19"/>
  <c r="HT84" i="19"/>
  <c r="HT76" i="19"/>
  <c r="HT21" i="19"/>
  <c r="HT13" i="19"/>
  <c r="HL115" i="19"/>
  <c r="HD115" i="19"/>
  <c r="GV115" i="19"/>
  <c r="GN115" i="19"/>
  <c r="GF115" i="19"/>
  <c r="HP114" i="19"/>
  <c r="HH114" i="19"/>
  <c r="GZ114" i="19"/>
  <c r="GR114" i="19"/>
  <c r="GJ114" i="19"/>
  <c r="GB114" i="19"/>
  <c r="HL113" i="19"/>
  <c r="HD113" i="19"/>
  <c r="GV113" i="19"/>
  <c r="GN113" i="19"/>
  <c r="GF113" i="19"/>
  <c r="HP112" i="19"/>
  <c r="HH112" i="19"/>
  <c r="GZ112" i="19"/>
  <c r="GR112" i="19"/>
  <c r="GJ112" i="19"/>
  <c r="GB112" i="19"/>
  <c r="HL111" i="19"/>
  <c r="HD111" i="19"/>
  <c r="GV111" i="19"/>
  <c r="GN111" i="19"/>
  <c r="GF111" i="19"/>
  <c r="HP110" i="19"/>
  <c r="HH110" i="19"/>
  <c r="GZ110" i="19"/>
  <c r="GR110" i="19"/>
  <c r="GJ110" i="19"/>
  <c r="GB110" i="19"/>
  <c r="HL109" i="19"/>
  <c r="HD109" i="19"/>
  <c r="GV109" i="19"/>
  <c r="GN109" i="19"/>
  <c r="GF109" i="19"/>
  <c r="HP108" i="19"/>
  <c r="HH108" i="19"/>
  <c r="GZ108" i="19"/>
  <c r="GR108" i="19"/>
  <c r="GJ108" i="19"/>
  <c r="GB108" i="19"/>
  <c r="HL107" i="19"/>
  <c r="HD107" i="19"/>
  <c r="GV107" i="19"/>
  <c r="GN107" i="19"/>
  <c r="GF107" i="19"/>
  <c r="HP106" i="19"/>
  <c r="HH106" i="19"/>
  <c r="GZ106" i="19"/>
  <c r="GR106" i="19"/>
  <c r="GJ106" i="19"/>
  <c r="GB106" i="19"/>
  <c r="HL105" i="19"/>
  <c r="HD105" i="19"/>
  <c r="GV105" i="19"/>
  <c r="GN105" i="19"/>
  <c r="GF105" i="19"/>
  <c r="HP104" i="19"/>
  <c r="HH104" i="19"/>
  <c r="GZ104" i="19"/>
  <c r="GR104" i="19"/>
  <c r="GJ104" i="19"/>
  <c r="GB104" i="19"/>
  <c r="HL103" i="19"/>
  <c r="HD103" i="19"/>
  <c r="GV103" i="19"/>
  <c r="GN103" i="19"/>
  <c r="GF103" i="19"/>
  <c r="HP102" i="19"/>
  <c r="HH102" i="19"/>
  <c r="GZ102" i="19"/>
  <c r="GR102" i="19"/>
  <c r="GJ102" i="19"/>
  <c r="GB102" i="19"/>
  <c r="HL101" i="19"/>
  <c r="HD101" i="19"/>
  <c r="GV101" i="19"/>
  <c r="GN101" i="19"/>
  <c r="GF101" i="19"/>
  <c r="HP100" i="19"/>
  <c r="HH100" i="19"/>
  <c r="GZ100" i="19"/>
  <c r="GR100" i="19"/>
  <c r="GJ100" i="19"/>
  <c r="GB100" i="19"/>
  <c r="HL99" i="19"/>
  <c r="HD99" i="19"/>
  <c r="GV99" i="19"/>
  <c r="GN99" i="19"/>
  <c r="GF99" i="19"/>
  <c r="HP98" i="19"/>
  <c r="HH98" i="19"/>
  <c r="GZ98" i="19"/>
  <c r="GR98" i="19"/>
  <c r="GJ98" i="19"/>
  <c r="GB98" i="19"/>
  <c r="HL97" i="19"/>
  <c r="HD97" i="19"/>
  <c r="GV97" i="19"/>
  <c r="GN97" i="19"/>
  <c r="GF97" i="19"/>
  <c r="HP96" i="19"/>
  <c r="HH96" i="19"/>
  <c r="GZ96" i="19"/>
  <c r="GR96" i="19"/>
  <c r="GJ96" i="19"/>
  <c r="GB96" i="19"/>
  <c r="HL95" i="19"/>
  <c r="HD95" i="19"/>
  <c r="GV95" i="19"/>
  <c r="GN95" i="19"/>
  <c r="GF95" i="19"/>
  <c r="HP94" i="19"/>
  <c r="HH94" i="19"/>
  <c r="GZ94" i="19"/>
  <c r="GR94" i="19"/>
  <c r="GJ94" i="19"/>
  <c r="GB94" i="19"/>
  <c r="HL93" i="19"/>
  <c r="HD93" i="19"/>
  <c r="GV93" i="19"/>
  <c r="GN93" i="19"/>
  <c r="GF93" i="19"/>
  <c r="HP92" i="19"/>
  <c r="HH92" i="19"/>
  <c r="GZ92" i="19"/>
  <c r="GR92" i="19"/>
  <c r="GJ92" i="19"/>
  <c r="GB92" i="19"/>
  <c r="HL91" i="19"/>
  <c r="HT115" i="19"/>
  <c r="HT107" i="19"/>
  <c r="HT99" i="19"/>
  <c r="HT91" i="19"/>
  <c r="HT83" i="19"/>
  <c r="HT75" i="19"/>
  <c r="HT20" i="19"/>
  <c r="HT12" i="19"/>
  <c r="HS115" i="19"/>
  <c r="HK115" i="19"/>
  <c r="HC115" i="19"/>
  <c r="GU115" i="19"/>
  <c r="GM115" i="19"/>
  <c r="GE115" i="19"/>
  <c r="HO114" i="19"/>
  <c r="HG114" i="19"/>
  <c r="GY114" i="19"/>
  <c r="GQ114" i="19"/>
  <c r="GI114" i="19"/>
  <c r="HS113" i="19"/>
  <c r="HK113" i="19"/>
  <c r="HC113" i="19"/>
  <c r="GU113" i="19"/>
  <c r="GM113" i="19"/>
  <c r="GE113" i="19"/>
  <c r="HO112" i="19"/>
  <c r="HG112" i="19"/>
  <c r="GY112" i="19"/>
  <c r="GQ112" i="19"/>
  <c r="GI112" i="19"/>
  <c r="HS111" i="19"/>
  <c r="HK111" i="19"/>
  <c r="HC111" i="19"/>
  <c r="GU111" i="19"/>
  <c r="GM111" i="19"/>
  <c r="GE111" i="19"/>
  <c r="HO110" i="19"/>
  <c r="HG110" i="19"/>
  <c r="GY110" i="19"/>
  <c r="GQ110" i="19"/>
  <c r="GI110" i="19"/>
  <c r="HS109" i="19"/>
  <c r="HK109" i="19"/>
  <c r="HC109" i="19"/>
  <c r="GU109" i="19"/>
  <c r="GM109" i="19"/>
  <c r="GE109" i="19"/>
  <c r="HO108" i="19"/>
  <c r="HG108" i="19"/>
  <c r="GY108" i="19"/>
  <c r="GQ108" i="19"/>
  <c r="GI108" i="19"/>
  <c r="HS107" i="19"/>
  <c r="HK107" i="19"/>
  <c r="HC107" i="19"/>
  <c r="GU107" i="19"/>
  <c r="GM107" i="19"/>
  <c r="GE107" i="19"/>
  <c r="HO106" i="19"/>
  <c r="HG106" i="19"/>
  <c r="GY106" i="19"/>
  <c r="GQ106" i="19"/>
  <c r="GI106" i="19"/>
  <c r="HS105" i="19"/>
  <c r="HK105" i="19"/>
  <c r="HC105" i="19"/>
  <c r="GU105" i="19"/>
  <c r="GM105" i="19"/>
  <c r="GE105" i="19"/>
  <c r="HO104" i="19"/>
  <c r="HG104" i="19"/>
  <c r="GY104" i="19"/>
  <c r="GQ104" i="19"/>
  <c r="HT114" i="19"/>
  <c r="HT106" i="19"/>
  <c r="HT98" i="19"/>
  <c r="HT90" i="19"/>
  <c r="HT82" i="19"/>
  <c r="HT74" i="19"/>
  <c r="HT19" i="19"/>
  <c r="HT11" i="19"/>
  <c r="HR115" i="19"/>
  <c r="HJ115" i="19"/>
  <c r="HB115" i="19"/>
  <c r="GT115" i="19"/>
  <c r="GL115" i="19"/>
  <c r="GD115" i="19"/>
  <c r="HN114" i="19"/>
  <c r="HF114" i="19"/>
  <c r="GX114" i="19"/>
  <c r="GP114" i="19"/>
  <c r="GH114" i="19"/>
  <c r="HR113" i="19"/>
  <c r="HJ113" i="19"/>
  <c r="HB113" i="19"/>
  <c r="GT113" i="19"/>
  <c r="GL113" i="19"/>
  <c r="GD113" i="19"/>
  <c r="HN112" i="19"/>
  <c r="HF112" i="19"/>
  <c r="GX112" i="19"/>
  <c r="GP112" i="19"/>
  <c r="GH112" i="19"/>
  <c r="HR111" i="19"/>
  <c r="HJ111" i="19"/>
  <c r="HB111" i="19"/>
  <c r="GT111" i="19"/>
  <c r="GL111" i="19"/>
  <c r="GD111" i="19"/>
  <c r="HN110" i="19"/>
  <c r="HF110" i="19"/>
  <c r="GX110" i="19"/>
  <c r="GP110" i="19"/>
  <c r="GH110" i="19"/>
  <c r="HR109" i="19"/>
  <c r="HJ109" i="19"/>
  <c r="HB109" i="19"/>
  <c r="GT109" i="19"/>
  <c r="GL109" i="19"/>
  <c r="GD109" i="19"/>
  <c r="HN108" i="19"/>
  <c r="HF108" i="19"/>
  <c r="GX108" i="19"/>
  <c r="GP108" i="19"/>
  <c r="GH108" i="19"/>
  <c r="HR107" i="19"/>
  <c r="HJ107" i="19"/>
  <c r="HB107" i="19"/>
  <c r="GT107" i="19"/>
  <c r="GL107" i="19"/>
  <c r="GD107" i="19"/>
  <c r="HN106" i="19"/>
  <c r="HF106" i="19"/>
  <c r="GX106" i="19"/>
  <c r="GP106" i="19"/>
  <c r="GH106" i="19"/>
  <c r="HR105" i="19"/>
  <c r="HJ105" i="19"/>
  <c r="HB105" i="19"/>
  <c r="GT105" i="19"/>
  <c r="GL105" i="19"/>
  <c r="GD105" i="19"/>
  <c r="HN104" i="19"/>
  <c r="HF104" i="19"/>
  <c r="GX104" i="19"/>
  <c r="GP104" i="19"/>
  <c r="GH104" i="19"/>
  <c r="HR103" i="19"/>
  <c r="HJ103" i="19"/>
  <c r="HB103" i="19"/>
  <c r="GT103" i="19"/>
  <c r="GL103" i="19"/>
  <c r="GD103" i="19"/>
  <c r="HN102" i="19"/>
  <c r="HF102" i="19"/>
  <c r="GX102" i="19"/>
  <c r="GP102" i="19"/>
  <c r="GH102" i="19"/>
  <c r="HR101" i="19"/>
  <c r="HJ101" i="19"/>
  <c r="HB101" i="19"/>
  <c r="GT101" i="19"/>
  <c r="GL101" i="19"/>
  <c r="GD101" i="19"/>
  <c r="HN100" i="19"/>
  <c r="HF100" i="19"/>
  <c r="GX100" i="19"/>
  <c r="GP100" i="19"/>
  <c r="GH100" i="19"/>
  <c r="HR99" i="19"/>
  <c r="HJ99" i="19"/>
  <c r="HB99" i="19"/>
  <c r="GT99" i="19"/>
  <c r="GL99" i="19"/>
  <c r="GD99" i="19"/>
  <c r="HN98" i="19"/>
  <c r="HF98" i="19"/>
  <c r="GX98" i="19"/>
  <c r="GP98" i="19"/>
  <c r="GH98" i="19"/>
  <c r="HR97" i="19"/>
  <c r="HJ97" i="19"/>
  <c r="HB97" i="19"/>
  <c r="GT97" i="19"/>
  <c r="GL97" i="19"/>
  <c r="GD97" i="19"/>
  <c r="HN96" i="19"/>
  <c r="HF96" i="19"/>
  <c r="GX96" i="19"/>
  <c r="GP96" i="19"/>
  <c r="GH96" i="19"/>
  <c r="HR95" i="19"/>
  <c r="HJ95" i="19"/>
  <c r="HB95" i="19"/>
  <c r="GT95" i="19"/>
  <c r="GL95" i="19"/>
  <c r="GD95" i="19"/>
  <c r="HN94" i="19"/>
  <c r="HF94" i="19"/>
  <c r="GX94" i="19"/>
  <c r="GP94" i="19"/>
  <c r="GH94" i="19"/>
  <c r="HR93" i="19"/>
  <c r="HJ93" i="19"/>
  <c r="HB93" i="19"/>
  <c r="GT93" i="19"/>
  <c r="GL93" i="19"/>
  <c r="GD93" i="19"/>
  <c r="HN92" i="19"/>
  <c r="HF92" i="19"/>
  <c r="GX92" i="19"/>
  <c r="GP92" i="19"/>
  <c r="GH92" i="19"/>
  <c r="HR91" i="19"/>
  <c r="HJ91" i="19"/>
  <c r="HB91" i="19"/>
  <c r="GT91" i="19"/>
  <c r="GL91" i="19"/>
  <c r="GD91" i="19"/>
  <c r="HN90" i="19"/>
  <c r="HF90" i="19"/>
  <c r="GX90" i="19"/>
  <c r="GP90" i="19"/>
  <c r="GH90" i="19"/>
  <c r="HR89" i="19"/>
  <c r="HJ89" i="19"/>
  <c r="HB89" i="19"/>
  <c r="GT89" i="19"/>
  <c r="GL89" i="19"/>
  <c r="GD89" i="19"/>
  <c r="HN88" i="19"/>
  <c r="HF88" i="19"/>
  <c r="GX88" i="19"/>
  <c r="GP88" i="19"/>
  <c r="GH88" i="19"/>
  <c r="HR87" i="19"/>
  <c r="HJ87" i="19"/>
  <c r="HB87" i="19"/>
  <c r="GT87" i="19"/>
  <c r="GL87" i="19"/>
  <c r="GD87" i="19"/>
  <c r="HN86" i="19"/>
  <c r="HF86" i="19"/>
  <c r="GX86" i="19"/>
  <c r="GP86" i="19"/>
  <c r="GI104" i="19"/>
  <c r="GU103" i="19"/>
  <c r="HG102" i="19"/>
  <c r="HS101" i="19"/>
  <c r="GM101" i="19"/>
  <c r="GY100" i="19"/>
  <c r="HK99" i="19"/>
  <c r="GE99" i="19"/>
  <c r="GQ98" i="19"/>
  <c r="HC97" i="19"/>
  <c r="GI97" i="19"/>
  <c r="HK96" i="19"/>
  <c r="GU96" i="19"/>
  <c r="GE96" i="19"/>
  <c r="HG95" i="19"/>
  <c r="GQ95" i="19"/>
  <c r="HS94" i="19"/>
  <c r="HC94" i="19"/>
  <c r="GM94" i="19"/>
  <c r="HO93" i="19"/>
  <c r="GY93" i="19"/>
  <c r="GI93" i="19"/>
  <c r="HK92" i="19"/>
  <c r="GU92" i="19"/>
  <c r="GE92" i="19"/>
  <c r="HG91" i="19"/>
  <c r="GU91" i="19"/>
  <c r="GG91" i="19"/>
  <c r="HM90" i="19"/>
  <c r="GZ90" i="19"/>
  <c r="GM90" i="19"/>
  <c r="HS89" i="19"/>
  <c r="HE89" i="19"/>
  <c r="GS89" i="19"/>
  <c r="GF89" i="19"/>
  <c r="HK88" i="19"/>
  <c r="GY88" i="19"/>
  <c r="GK88" i="19"/>
  <c r="HQ87" i="19"/>
  <c r="HD87" i="19"/>
  <c r="GQ87" i="19"/>
  <c r="GE87" i="19"/>
  <c r="HI86" i="19"/>
  <c r="GW86" i="19"/>
  <c r="GL86" i="19"/>
  <c r="GD86" i="19"/>
  <c r="HN85" i="19"/>
  <c r="HF85" i="19"/>
  <c r="GX85" i="19"/>
  <c r="GP85" i="19"/>
  <c r="GH85" i="19"/>
  <c r="HR84" i="19"/>
  <c r="HJ84" i="19"/>
  <c r="HB84" i="19"/>
  <c r="GT84" i="19"/>
  <c r="GL84" i="19"/>
  <c r="GD84" i="19"/>
  <c r="HN83" i="19"/>
  <c r="HF83" i="19"/>
  <c r="GX83" i="19"/>
  <c r="GP83" i="19"/>
  <c r="GH83" i="19"/>
  <c r="HR82" i="19"/>
  <c r="HJ82" i="19"/>
  <c r="HB82" i="19"/>
  <c r="GT82" i="19"/>
  <c r="GL82" i="19"/>
  <c r="GD82" i="19"/>
  <c r="HN81" i="19"/>
  <c r="HF81" i="19"/>
  <c r="GX81" i="19"/>
  <c r="GP81" i="19"/>
  <c r="GH81" i="19"/>
  <c r="HR80" i="19"/>
  <c r="HJ80" i="19"/>
  <c r="HB80" i="19"/>
  <c r="GT80" i="19"/>
  <c r="GL80" i="19"/>
  <c r="GD80" i="19"/>
  <c r="HN79" i="19"/>
  <c r="HF79" i="19"/>
  <c r="GX79" i="19"/>
  <c r="GP79" i="19"/>
  <c r="GH79" i="19"/>
  <c r="HR78" i="19"/>
  <c r="HJ78" i="19"/>
  <c r="HB78" i="19"/>
  <c r="GT78" i="19"/>
  <c r="GL78" i="19"/>
  <c r="GD78" i="19"/>
  <c r="HN77" i="19"/>
  <c r="HF77" i="19"/>
  <c r="GX77" i="19"/>
  <c r="GP77" i="19"/>
  <c r="GH77" i="19"/>
  <c r="HR76" i="19"/>
  <c r="HJ76" i="19"/>
  <c r="HB76" i="19"/>
  <c r="GT76" i="19"/>
  <c r="GL76" i="19"/>
  <c r="GD76" i="19"/>
  <c r="HN75" i="19"/>
  <c r="HF75" i="19"/>
  <c r="GX75" i="19"/>
  <c r="GP75" i="19"/>
  <c r="GH75" i="19"/>
  <c r="HR74" i="19"/>
  <c r="HJ74" i="19"/>
  <c r="HB74" i="19"/>
  <c r="GT74" i="19"/>
  <c r="GL74" i="19"/>
  <c r="GD74" i="19"/>
  <c r="HR23" i="19"/>
  <c r="HJ23" i="19"/>
  <c r="HB23" i="19"/>
  <c r="GT23" i="19"/>
  <c r="GL23" i="19"/>
  <c r="GD23" i="19"/>
  <c r="HN22" i="19"/>
  <c r="HF22" i="19"/>
  <c r="GX22" i="19"/>
  <c r="GP22" i="19"/>
  <c r="GH22" i="19"/>
  <c r="HR21" i="19"/>
  <c r="HJ21" i="19"/>
  <c r="HB21" i="19"/>
  <c r="GT21" i="19"/>
  <c r="GL21" i="19"/>
  <c r="GD21" i="19"/>
  <c r="HN20" i="19"/>
  <c r="HF20" i="19"/>
  <c r="GX20" i="19"/>
  <c r="GP20" i="19"/>
  <c r="GH20" i="19"/>
  <c r="HR19" i="19"/>
  <c r="HJ19" i="19"/>
  <c r="HB19" i="19"/>
  <c r="GT19" i="19"/>
  <c r="GL19" i="19"/>
  <c r="GD19" i="19"/>
  <c r="HN18" i="19"/>
  <c r="HF18" i="19"/>
  <c r="GX18" i="19"/>
  <c r="GP18" i="19"/>
  <c r="GH18" i="19"/>
  <c r="HR17" i="19"/>
  <c r="HJ17" i="19"/>
  <c r="HB17" i="19"/>
  <c r="GT17" i="19"/>
  <c r="GL17" i="19"/>
  <c r="GD17" i="19"/>
  <c r="HN16" i="19"/>
  <c r="HF16" i="19"/>
  <c r="GX16" i="19"/>
  <c r="GP16" i="19"/>
  <c r="GH16" i="19"/>
  <c r="HR15" i="19"/>
  <c r="HJ15" i="19"/>
  <c r="HB15" i="19"/>
  <c r="GT15" i="19"/>
  <c r="GL15" i="19"/>
  <c r="GD15" i="19"/>
  <c r="HN14" i="19"/>
  <c r="HF14" i="19"/>
  <c r="GX14" i="19"/>
  <c r="GP14" i="19"/>
  <c r="GH14" i="19"/>
  <c r="HR13" i="19"/>
  <c r="HJ13" i="19"/>
  <c r="HB13" i="19"/>
  <c r="GE104" i="19"/>
  <c r="GQ103" i="19"/>
  <c r="HC102" i="19"/>
  <c r="HO101" i="19"/>
  <c r="GI101" i="19"/>
  <c r="GU100" i="19"/>
  <c r="HG99" i="19"/>
  <c r="HS98" i="19"/>
  <c r="GM98" i="19"/>
  <c r="GY97" i="19"/>
  <c r="GG97" i="19"/>
  <c r="HI96" i="19"/>
  <c r="GS96" i="19"/>
  <c r="GC96" i="19"/>
  <c r="HE95" i="19"/>
  <c r="GO95" i="19"/>
  <c r="HQ94" i="19"/>
  <c r="HA94" i="19"/>
  <c r="GK94" i="19"/>
  <c r="HM93" i="19"/>
  <c r="GW93" i="19"/>
  <c r="GG93" i="19"/>
  <c r="HI92" i="19"/>
  <c r="GS92" i="19"/>
  <c r="GC92" i="19"/>
  <c r="HE91" i="19"/>
  <c r="GS91" i="19"/>
  <c r="GF91" i="19"/>
  <c r="HK90" i="19"/>
  <c r="GY90" i="19"/>
  <c r="GK90" i="19"/>
  <c r="HQ89" i="19"/>
  <c r="HD89" i="19"/>
  <c r="GQ89" i="19"/>
  <c r="GE89" i="19"/>
  <c r="HI88" i="19"/>
  <c r="GW88" i="19"/>
  <c r="GJ88" i="19"/>
  <c r="HO87" i="19"/>
  <c r="HC87" i="19"/>
  <c r="GO87" i="19"/>
  <c r="GC87" i="19"/>
  <c r="HH86" i="19"/>
  <c r="GU86" i="19"/>
  <c r="GK86" i="19"/>
  <c r="GC86" i="19"/>
  <c r="HM85" i="19"/>
  <c r="HE85" i="19"/>
  <c r="GW85" i="19"/>
  <c r="GO85" i="19"/>
  <c r="GG85" i="19"/>
  <c r="HQ84" i="19"/>
  <c r="HI84" i="19"/>
  <c r="HA84" i="19"/>
  <c r="GS84" i="19"/>
  <c r="GK84" i="19"/>
  <c r="GC84" i="19"/>
  <c r="HM83" i="19"/>
  <c r="HE83" i="19"/>
  <c r="GW83" i="19"/>
  <c r="GO83" i="19"/>
  <c r="GG83" i="19"/>
  <c r="HQ82" i="19"/>
  <c r="HI82" i="19"/>
  <c r="HA82" i="19"/>
  <c r="GS82" i="19"/>
  <c r="GK82" i="19"/>
  <c r="GC82" i="19"/>
  <c r="HM81" i="19"/>
  <c r="HE81" i="19"/>
  <c r="GW81" i="19"/>
  <c r="GO81" i="19"/>
  <c r="GG81" i="19"/>
  <c r="HQ80" i="19"/>
  <c r="HI80" i="19"/>
  <c r="HA80" i="19"/>
  <c r="GS80" i="19"/>
  <c r="GK80" i="19"/>
  <c r="GC80" i="19"/>
  <c r="HM79" i="19"/>
  <c r="HE79" i="19"/>
  <c r="GW79" i="19"/>
  <c r="GO79" i="19"/>
  <c r="GG79" i="19"/>
  <c r="HQ78" i="19"/>
  <c r="HI78" i="19"/>
  <c r="HA78" i="19"/>
  <c r="GS78" i="19"/>
  <c r="GK78" i="19"/>
  <c r="GC78" i="19"/>
  <c r="HM77" i="19"/>
  <c r="HE77" i="19"/>
  <c r="GW77" i="19"/>
  <c r="GO77" i="19"/>
  <c r="GG77" i="19"/>
  <c r="HQ76" i="19"/>
  <c r="HI76" i="19"/>
  <c r="HA76" i="19"/>
  <c r="GS76" i="19"/>
  <c r="GK76" i="19"/>
  <c r="GC76" i="19"/>
  <c r="HM75" i="19"/>
  <c r="HE75" i="19"/>
  <c r="GW75" i="19"/>
  <c r="GO75" i="19"/>
  <c r="GG75" i="19"/>
  <c r="HQ74" i="19"/>
  <c r="HI74" i="19"/>
  <c r="HA74" i="19"/>
  <c r="GS74" i="19"/>
  <c r="GK74" i="19"/>
  <c r="GC74" i="19"/>
  <c r="HQ23" i="19"/>
  <c r="HI23" i="19"/>
  <c r="HA23" i="19"/>
  <c r="GS23" i="19"/>
  <c r="GK23" i="19"/>
  <c r="GC23" i="19"/>
  <c r="HM22" i="19"/>
  <c r="HE22" i="19"/>
  <c r="GW22" i="19"/>
  <c r="GO22" i="19"/>
  <c r="GG22" i="19"/>
  <c r="HQ21" i="19"/>
  <c r="HI21" i="19"/>
  <c r="HA21" i="19"/>
  <c r="GS21" i="19"/>
  <c r="GK21" i="19"/>
  <c r="GC21" i="19"/>
  <c r="HM20" i="19"/>
  <c r="HE20" i="19"/>
  <c r="GW20" i="19"/>
  <c r="GO20" i="19"/>
  <c r="GG20" i="19"/>
  <c r="HQ19" i="19"/>
  <c r="HI19" i="19"/>
  <c r="HA19" i="19"/>
  <c r="GS19" i="19"/>
  <c r="GK19" i="19"/>
  <c r="GC19" i="19"/>
  <c r="HM18" i="19"/>
  <c r="HE18" i="19"/>
  <c r="GW18" i="19"/>
  <c r="GO18" i="19"/>
  <c r="GG18" i="19"/>
  <c r="HQ17" i="19"/>
  <c r="HI17" i="19"/>
  <c r="HA17" i="19"/>
  <c r="GS17" i="19"/>
  <c r="GK17" i="19"/>
  <c r="GC17" i="19"/>
  <c r="HM16" i="19"/>
  <c r="HE16" i="19"/>
  <c r="GW16" i="19"/>
  <c r="GO16" i="19"/>
  <c r="GG16" i="19"/>
  <c r="HQ15" i="19"/>
  <c r="HI15" i="19"/>
  <c r="HA15" i="19"/>
  <c r="GS15" i="19"/>
  <c r="GK15" i="19"/>
  <c r="GC15" i="19"/>
  <c r="HM14" i="19"/>
  <c r="HE14" i="19"/>
  <c r="GW14" i="19"/>
  <c r="GO14" i="19"/>
  <c r="GG14" i="19"/>
  <c r="HQ13" i="19"/>
  <c r="HI13" i="19"/>
  <c r="HA13" i="19"/>
  <c r="HS103" i="19"/>
  <c r="GM103" i="19"/>
  <c r="GY102" i="19"/>
  <c r="HK101" i="19"/>
  <c r="GE101" i="19"/>
  <c r="GQ100" i="19"/>
  <c r="HC99" i="19"/>
  <c r="HO98" i="19"/>
  <c r="GI98" i="19"/>
  <c r="GU97" i="19"/>
  <c r="GE97" i="19"/>
  <c r="HG96" i="19"/>
  <c r="GQ96" i="19"/>
  <c r="HS95" i="19"/>
  <c r="HC95" i="19"/>
  <c r="GM95" i="19"/>
  <c r="HO94" i="19"/>
  <c r="GY94" i="19"/>
  <c r="GI94" i="19"/>
  <c r="HK93" i="19"/>
  <c r="GU93" i="19"/>
  <c r="GE93" i="19"/>
  <c r="HG92" i="19"/>
  <c r="GQ92" i="19"/>
  <c r="HS91" i="19"/>
  <c r="HD91" i="19"/>
  <c r="GQ91" i="19"/>
  <c r="GE91" i="19"/>
  <c r="HI90" i="19"/>
  <c r="GW90" i="19"/>
  <c r="GJ90" i="19"/>
  <c r="HO89" i="19"/>
  <c r="HC89" i="19"/>
  <c r="GO89" i="19"/>
  <c r="GC89" i="19"/>
  <c r="HH88" i="19"/>
  <c r="GU88" i="19"/>
  <c r="GI88" i="19"/>
  <c r="HM87" i="19"/>
  <c r="HA87" i="19"/>
  <c r="GN87" i="19"/>
  <c r="HS86" i="19"/>
  <c r="HG86" i="19"/>
  <c r="GS86" i="19"/>
  <c r="GJ86" i="19"/>
  <c r="GB86" i="19"/>
  <c r="HL85" i="19"/>
  <c r="HD85" i="19"/>
  <c r="GV85" i="19"/>
  <c r="GN85" i="19"/>
  <c r="GF85" i="19"/>
  <c r="HP84" i="19"/>
  <c r="HH84" i="19"/>
  <c r="GZ84" i="19"/>
  <c r="GR84" i="19"/>
  <c r="GJ84" i="19"/>
  <c r="GB84" i="19"/>
  <c r="HL83" i="19"/>
  <c r="HD83" i="19"/>
  <c r="GV83" i="19"/>
  <c r="GN83" i="19"/>
  <c r="GF83" i="19"/>
  <c r="HP82" i="19"/>
  <c r="HH82" i="19"/>
  <c r="GZ82" i="19"/>
  <c r="GR82" i="19"/>
  <c r="GJ82" i="19"/>
  <c r="GB82" i="19"/>
  <c r="HL81" i="19"/>
  <c r="HD81" i="19"/>
  <c r="GV81" i="19"/>
  <c r="GN81" i="19"/>
  <c r="GF81" i="19"/>
  <c r="HP80" i="19"/>
  <c r="HH80" i="19"/>
  <c r="GZ80" i="19"/>
  <c r="GR80" i="19"/>
  <c r="GJ80" i="19"/>
  <c r="GB80" i="19"/>
  <c r="HL79" i="19"/>
  <c r="HD79" i="19"/>
  <c r="GV79" i="19"/>
  <c r="GN79" i="19"/>
  <c r="GF79" i="19"/>
  <c r="HP78" i="19"/>
  <c r="HH78" i="19"/>
  <c r="GZ78" i="19"/>
  <c r="GR78" i="19"/>
  <c r="GJ78" i="19"/>
  <c r="GB78" i="19"/>
  <c r="HL77" i="19"/>
  <c r="HD77" i="19"/>
  <c r="GV77" i="19"/>
  <c r="GN77" i="19"/>
  <c r="GF77" i="19"/>
  <c r="HP76" i="19"/>
  <c r="HH76" i="19"/>
  <c r="GZ76" i="19"/>
  <c r="GR76" i="19"/>
  <c r="GJ76" i="19"/>
  <c r="GB76" i="19"/>
  <c r="HL75" i="19"/>
  <c r="HD75" i="19"/>
  <c r="GV75" i="19"/>
  <c r="GN75" i="19"/>
  <c r="GF75" i="19"/>
  <c r="HP74" i="19"/>
  <c r="HH74" i="19"/>
  <c r="GZ74" i="19"/>
  <c r="GR74" i="19"/>
  <c r="GJ74" i="19"/>
  <c r="GB74" i="19"/>
  <c r="HP23" i="19"/>
  <c r="HH23" i="19"/>
  <c r="GZ23" i="19"/>
  <c r="GR23" i="19"/>
  <c r="GJ23" i="19"/>
  <c r="GB23" i="19"/>
  <c r="HL22" i="19"/>
  <c r="HD22" i="19"/>
  <c r="GV22" i="19"/>
  <c r="GN22" i="19"/>
  <c r="GF22" i="19"/>
  <c r="HP21" i="19"/>
  <c r="HH21" i="19"/>
  <c r="GZ21" i="19"/>
  <c r="GR21" i="19"/>
  <c r="GJ21" i="19"/>
  <c r="GB21" i="19"/>
  <c r="HL20" i="19"/>
  <c r="HD20" i="19"/>
  <c r="GV20" i="19"/>
  <c r="GN20" i="19"/>
  <c r="GF20" i="19"/>
  <c r="HP19" i="19"/>
  <c r="HH19" i="19"/>
  <c r="GZ19" i="19"/>
  <c r="GR19" i="19"/>
  <c r="GJ19" i="19"/>
  <c r="GB19" i="19"/>
  <c r="HL18" i="19"/>
  <c r="HD18" i="19"/>
  <c r="GV18" i="19"/>
  <c r="GN18" i="19"/>
  <c r="GF18" i="19"/>
  <c r="HP17" i="19"/>
  <c r="HH17" i="19"/>
  <c r="GZ17" i="19"/>
  <c r="GR17" i="19"/>
  <c r="GJ17" i="19"/>
  <c r="GB17" i="19"/>
  <c r="HL16" i="19"/>
  <c r="HD16" i="19"/>
  <c r="GV16" i="19"/>
  <c r="GN16" i="19"/>
  <c r="GF16" i="19"/>
  <c r="HP15" i="19"/>
  <c r="HH15" i="19"/>
  <c r="GZ15" i="19"/>
  <c r="GR15" i="19"/>
  <c r="GJ15" i="19"/>
  <c r="GB15" i="19"/>
  <c r="HL14" i="19"/>
  <c r="HD14" i="19"/>
  <c r="GV14" i="19"/>
  <c r="GN14" i="19"/>
  <c r="GF14" i="19"/>
  <c r="HP13" i="19"/>
  <c r="HH13" i="19"/>
  <c r="GZ13" i="19"/>
  <c r="HO103" i="19"/>
  <c r="GI103" i="19"/>
  <c r="GU102" i="19"/>
  <c r="HG101" i="19"/>
  <c r="HS100" i="19"/>
  <c r="GM100" i="19"/>
  <c r="GY99" i="19"/>
  <c r="HK98" i="19"/>
  <c r="GE98" i="19"/>
  <c r="GS97" i="19"/>
  <c r="GC97" i="19"/>
  <c r="HE96" i="19"/>
  <c r="GO96" i="19"/>
  <c r="HQ95" i="19"/>
  <c r="HA95" i="19"/>
  <c r="GK95" i="19"/>
  <c r="HM94" i="19"/>
  <c r="GW94" i="19"/>
  <c r="GG94" i="19"/>
  <c r="HI93" i="19"/>
  <c r="GS93" i="19"/>
  <c r="GC93" i="19"/>
  <c r="HE92" i="19"/>
  <c r="GO92" i="19"/>
  <c r="HQ91" i="19"/>
  <c r="HC91" i="19"/>
  <c r="GO91" i="19"/>
  <c r="GC91" i="19"/>
  <c r="HH90" i="19"/>
  <c r="GU90" i="19"/>
  <c r="GI90" i="19"/>
  <c r="HM89" i="19"/>
  <c r="HA89" i="19"/>
  <c r="GN89" i="19"/>
  <c r="HS88" i="19"/>
  <c r="HG88" i="19"/>
  <c r="GS88" i="19"/>
  <c r="GG88" i="19"/>
  <c r="HL87" i="19"/>
  <c r="GY87" i="19"/>
  <c r="GM87" i="19"/>
  <c r="HQ86" i="19"/>
  <c r="HE86" i="19"/>
  <c r="GR86" i="19"/>
  <c r="GI86" i="19"/>
  <c r="HS85" i="19"/>
  <c r="HK85" i="19"/>
  <c r="HC85" i="19"/>
  <c r="GU85" i="19"/>
  <c r="GM85" i="19"/>
  <c r="GE85" i="19"/>
  <c r="HO84" i="19"/>
  <c r="HG84" i="19"/>
  <c r="GY84" i="19"/>
  <c r="GQ84" i="19"/>
  <c r="GI84" i="19"/>
  <c r="HS83" i="19"/>
  <c r="HK83" i="19"/>
  <c r="HC83" i="19"/>
  <c r="GU83" i="19"/>
  <c r="GM83" i="19"/>
  <c r="GE83" i="19"/>
  <c r="HO82" i="19"/>
  <c r="HG82" i="19"/>
  <c r="GY82" i="19"/>
  <c r="GQ82" i="19"/>
  <c r="GI82" i="19"/>
  <c r="HS81" i="19"/>
  <c r="HK81" i="19"/>
  <c r="HC81" i="19"/>
  <c r="GU81" i="19"/>
  <c r="GM81" i="19"/>
  <c r="GE81" i="19"/>
  <c r="HO80" i="19"/>
  <c r="HG80" i="19"/>
  <c r="GY80" i="19"/>
  <c r="GQ80" i="19"/>
  <c r="GI80" i="19"/>
  <c r="HS79" i="19"/>
  <c r="HK79" i="19"/>
  <c r="HC79" i="19"/>
  <c r="GU79" i="19"/>
  <c r="GM79" i="19"/>
  <c r="GE79" i="19"/>
  <c r="HO78" i="19"/>
  <c r="HG78" i="19"/>
  <c r="GY78" i="19"/>
  <c r="GQ78" i="19"/>
  <c r="GI78" i="19"/>
  <c r="HS77" i="19"/>
  <c r="HK77" i="19"/>
  <c r="HC77" i="19"/>
  <c r="GU77" i="19"/>
  <c r="GM77" i="19"/>
  <c r="GE77" i="19"/>
  <c r="HO76" i="19"/>
  <c r="HG76" i="19"/>
  <c r="GY76" i="19"/>
  <c r="GQ76" i="19"/>
  <c r="GI76" i="19"/>
  <c r="HS75" i="19"/>
  <c r="HK75" i="19"/>
  <c r="HC75" i="19"/>
  <c r="GU75" i="19"/>
  <c r="GM75" i="19"/>
  <c r="GE75" i="19"/>
  <c r="HO74" i="19"/>
  <c r="HG74" i="19"/>
  <c r="GY74" i="19"/>
  <c r="GQ74" i="19"/>
  <c r="GI74" i="19"/>
  <c r="HO23" i="19"/>
  <c r="HG23" i="19"/>
  <c r="GY23" i="19"/>
  <c r="GQ23" i="19"/>
  <c r="GI23" i="19"/>
  <c r="HS22" i="19"/>
  <c r="HK22" i="19"/>
  <c r="HC22" i="19"/>
  <c r="GU22" i="19"/>
  <c r="GM22" i="19"/>
  <c r="GE22" i="19"/>
  <c r="HO21" i="19"/>
  <c r="HG21" i="19"/>
  <c r="GY21" i="19"/>
  <c r="GQ21" i="19"/>
  <c r="GI21" i="19"/>
  <c r="HS20" i="19"/>
  <c r="HK20" i="19"/>
  <c r="HC20" i="19"/>
  <c r="GU20" i="19"/>
  <c r="GM20" i="19"/>
  <c r="GE20" i="19"/>
  <c r="HO19" i="19"/>
  <c r="HG19" i="19"/>
  <c r="GY19" i="19"/>
  <c r="GQ19" i="19"/>
  <c r="GI19" i="19"/>
  <c r="HS18" i="19"/>
  <c r="HK18" i="19"/>
  <c r="HC18" i="19"/>
  <c r="GU18" i="19"/>
  <c r="GM18" i="19"/>
  <c r="GE18" i="19"/>
  <c r="HO17" i="19"/>
  <c r="HG17" i="19"/>
  <c r="GY17" i="19"/>
  <c r="GQ17" i="19"/>
  <c r="GI17" i="19"/>
  <c r="HS16" i="19"/>
  <c r="HK16" i="19"/>
  <c r="HC16" i="19"/>
  <c r="GU16" i="19"/>
  <c r="GM16" i="19"/>
  <c r="GE16" i="19"/>
  <c r="HO15" i="19"/>
  <c r="HK103" i="19"/>
  <c r="GE103" i="19"/>
  <c r="GQ102" i="19"/>
  <c r="HC101" i="19"/>
  <c r="HO100" i="19"/>
  <c r="GI100" i="19"/>
  <c r="GU99" i="19"/>
  <c r="HG98" i="19"/>
  <c r="HS97" i="19"/>
  <c r="GQ97" i="19"/>
  <c r="HS96" i="19"/>
  <c r="HC96" i="19"/>
  <c r="GM96" i="19"/>
  <c r="HO95" i="19"/>
  <c r="GY95" i="19"/>
  <c r="GI95" i="19"/>
  <c r="HK94" i="19"/>
  <c r="GU94" i="19"/>
  <c r="GE94" i="19"/>
  <c r="HG93" i="19"/>
  <c r="GQ93" i="19"/>
  <c r="HS92" i="19"/>
  <c r="HC92" i="19"/>
  <c r="GM92" i="19"/>
  <c r="HO91" i="19"/>
  <c r="HA91" i="19"/>
  <c r="GN91" i="19"/>
  <c r="HS90" i="19"/>
  <c r="HG90" i="19"/>
  <c r="GS90" i="19"/>
  <c r="GG90" i="19"/>
  <c r="HL89" i="19"/>
  <c r="GY89" i="19"/>
  <c r="GM89" i="19"/>
  <c r="HQ88" i="19"/>
  <c r="HE88" i="19"/>
  <c r="GR88" i="19"/>
  <c r="GE88" i="19"/>
  <c r="HK87" i="19"/>
  <c r="GW87" i="19"/>
  <c r="GK87" i="19"/>
  <c r="HP86" i="19"/>
  <c r="HC86" i="19"/>
  <c r="GQ86" i="19"/>
  <c r="GH86" i="19"/>
  <c r="HR85" i="19"/>
  <c r="HJ85" i="19"/>
  <c r="HB85" i="19"/>
  <c r="GT85" i="19"/>
  <c r="GL85" i="19"/>
  <c r="GD85" i="19"/>
  <c r="HN84" i="19"/>
  <c r="HF84" i="19"/>
  <c r="GX84" i="19"/>
  <c r="GP84" i="19"/>
  <c r="GH84" i="19"/>
  <c r="HR83" i="19"/>
  <c r="HJ83" i="19"/>
  <c r="HB83" i="19"/>
  <c r="GT83" i="19"/>
  <c r="GL83" i="19"/>
  <c r="GD83" i="19"/>
  <c r="HN82" i="19"/>
  <c r="HF82" i="19"/>
  <c r="GX82" i="19"/>
  <c r="GP82" i="19"/>
  <c r="GH82" i="19"/>
  <c r="HR81" i="19"/>
  <c r="HJ81" i="19"/>
  <c r="HB81" i="19"/>
  <c r="GT81" i="19"/>
  <c r="GL81" i="19"/>
  <c r="GD81" i="19"/>
  <c r="HN80" i="19"/>
  <c r="HF80" i="19"/>
  <c r="GX80" i="19"/>
  <c r="GP80" i="19"/>
  <c r="GH80" i="19"/>
  <c r="HR79" i="19"/>
  <c r="HJ79" i="19"/>
  <c r="HB79" i="19"/>
  <c r="GT79" i="19"/>
  <c r="GL79" i="19"/>
  <c r="GD79" i="19"/>
  <c r="HN78" i="19"/>
  <c r="HF78" i="19"/>
  <c r="GX78" i="19"/>
  <c r="GP78" i="19"/>
  <c r="GH78" i="19"/>
  <c r="HR77" i="19"/>
  <c r="HJ77" i="19"/>
  <c r="HB77" i="19"/>
  <c r="GT77" i="19"/>
  <c r="GL77" i="19"/>
  <c r="GD77" i="19"/>
  <c r="HN76" i="19"/>
  <c r="HF76" i="19"/>
  <c r="GX76" i="19"/>
  <c r="GP76" i="19"/>
  <c r="GH76" i="19"/>
  <c r="HR75" i="19"/>
  <c r="HJ75" i="19"/>
  <c r="HB75" i="19"/>
  <c r="GT75" i="19"/>
  <c r="GL75" i="19"/>
  <c r="GD75" i="19"/>
  <c r="HN74" i="19"/>
  <c r="HF74" i="19"/>
  <c r="GX74" i="19"/>
  <c r="GP74" i="19"/>
  <c r="GH74" i="19"/>
  <c r="HN23" i="19"/>
  <c r="HF23" i="19"/>
  <c r="GX23" i="19"/>
  <c r="GP23" i="19"/>
  <c r="GH23" i="19"/>
  <c r="HR22" i="19"/>
  <c r="HJ22" i="19"/>
  <c r="HB22" i="19"/>
  <c r="GT22" i="19"/>
  <c r="GL22" i="19"/>
  <c r="GD22" i="19"/>
  <c r="HN21" i="19"/>
  <c r="HF21" i="19"/>
  <c r="GX21" i="19"/>
  <c r="GP21" i="19"/>
  <c r="GH21" i="19"/>
  <c r="HR20" i="19"/>
  <c r="HJ20" i="19"/>
  <c r="HB20" i="19"/>
  <c r="GT20" i="19"/>
  <c r="GL20" i="19"/>
  <c r="GD20" i="19"/>
  <c r="HN19" i="19"/>
  <c r="HF19" i="19"/>
  <c r="GX19" i="19"/>
  <c r="GP19" i="19"/>
  <c r="GH19" i="19"/>
  <c r="HR18" i="19"/>
  <c r="HJ18" i="19"/>
  <c r="HB18" i="19"/>
  <c r="GT18" i="19"/>
  <c r="GL18" i="19"/>
  <c r="GD18" i="19"/>
  <c r="HN17" i="19"/>
  <c r="HF17" i="19"/>
  <c r="GX17" i="19"/>
  <c r="GP17" i="19"/>
  <c r="GH17" i="19"/>
  <c r="HR16" i="19"/>
  <c r="HJ16" i="19"/>
  <c r="HB16" i="19"/>
  <c r="GT16" i="19"/>
  <c r="GL16" i="19"/>
  <c r="GD16" i="19"/>
  <c r="HN15" i="19"/>
  <c r="HF15" i="19"/>
  <c r="GX15" i="19"/>
  <c r="GP15" i="19"/>
  <c r="GH15" i="19"/>
  <c r="HR14" i="19"/>
  <c r="HJ14" i="19"/>
  <c r="HB14" i="19"/>
  <c r="GT14" i="19"/>
  <c r="GL14" i="19"/>
  <c r="GD14" i="19"/>
  <c r="HN13" i="19"/>
  <c r="HF13" i="19"/>
  <c r="GX13" i="19"/>
  <c r="HG103" i="19"/>
  <c r="HS102" i="19"/>
  <c r="GM102" i="19"/>
  <c r="GY101" i="19"/>
  <c r="HK100" i="19"/>
  <c r="GE100" i="19"/>
  <c r="GQ99" i="19"/>
  <c r="HC98" i="19"/>
  <c r="HO97" i="19"/>
  <c r="GO97" i="19"/>
  <c r="HQ96" i="19"/>
  <c r="HA96" i="19"/>
  <c r="GK96" i="19"/>
  <c r="HM95" i="19"/>
  <c r="GW95" i="19"/>
  <c r="GG95" i="19"/>
  <c r="HI94" i="19"/>
  <c r="GS94" i="19"/>
  <c r="GC94" i="19"/>
  <c r="HE93" i="19"/>
  <c r="GO93" i="19"/>
  <c r="HQ92" i="19"/>
  <c r="HA92" i="19"/>
  <c r="GK92" i="19"/>
  <c r="HM91" i="19"/>
  <c r="GY91" i="19"/>
  <c r="GM91" i="19"/>
  <c r="HQ90" i="19"/>
  <c r="HE90" i="19"/>
  <c r="GR90" i="19"/>
  <c r="GE90" i="19"/>
  <c r="HK89" i="19"/>
  <c r="GW89" i="19"/>
  <c r="GK89" i="19"/>
  <c r="HP88" i="19"/>
  <c r="HC88" i="19"/>
  <c r="GQ88" i="19"/>
  <c r="GC88" i="19"/>
  <c r="HI87" i="19"/>
  <c r="GV87" i="19"/>
  <c r="GI87" i="19"/>
  <c r="HO86" i="19"/>
  <c r="HA86" i="19"/>
  <c r="GO86" i="19"/>
  <c r="GG86" i="19"/>
  <c r="HQ85" i="19"/>
  <c r="HI85" i="19"/>
  <c r="HA85" i="19"/>
  <c r="GS85" i="19"/>
  <c r="GK85" i="19"/>
  <c r="GC85" i="19"/>
  <c r="HM84" i="19"/>
  <c r="HE84" i="19"/>
  <c r="GW84" i="19"/>
  <c r="GO84" i="19"/>
  <c r="GG84" i="19"/>
  <c r="HQ83" i="19"/>
  <c r="HI83" i="19"/>
  <c r="HA83" i="19"/>
  <c r="GS83" i="19"/>
  <c r="GK83" i="19"/>
  <c r="GC83" i="19"/>
  <c r="HM82" i="19"/>
  <c r="HE82" i="19"/>
  <c r="GW82" i="19"/>
  <c r="GO82" i="19"/>
  <c r="GG82" i="19"/>
  <c r="HQ81" i="19"/>
  <c r="HI81" i="19"/>
  <c r="HA81" i="19"/>
  <c r="GS81" i="19"/>
  <c r="GK81" i="19"/>
  <c r="GC81" i="19"/>
  <c r="HM80" i="19"/>
  <c r="HE80" i="19"/>
  <c r="GW80" i="19"/>
  <c r="GO80" i="19"/>
  <c r="GG80" i="19"/>
  <c r="HQ79" i="19"/>
  <c r="HI79" i="19"/>
  <c r="HA79" i="19"/>
  <c r="GS79" i="19"/>
  <c r="GK79" i="19"/>
  <c r="GC79" i="19"/>
  <c r="HM78" i="19"/>
  <c r="HE78" i="19"/>
  <c r="GW78" i="19"/>
  <c r="GO78" i="19"/>
  <c r="GG78" i="19"/>
  <c r="HQ77" i="19"/>
  <c r="HI77" i="19"/>
  <c r="HA77" i="19"/>
  <c r="GS77" i="19"/>
  <c r="GK77" i="19"/>
  <c r="GC77" i="19"/>
  <c r="HM76" i="19"/>
  <c r="HE76" i="19"/>
  <c r="GW76" i="19"/>
  <c r="GO76" i="19"/>
  <c r="GG76" i="19"/>
  <c r="HQ75" i="19"/>
  <c r="HI75" i="19"/>
  <c r="HA75" i="19"/>
  <c r="GS75" i="19"/>
  <c r="GK75" i="19"/>
  <c r="GC75" i="19"/>
  <c r="HM74" i="19"/>
  <c r="HE74" i="19"/>
  <c r="GW74" i="19"/>
  <c r="GO74" i="19"/>
  <c r="GG74" i="19"/>
  <c r="HM23" i="19"/>
  <c r="HE23" i="19"/>
  <c r="GW23" i="19"/>
  <c r="GO23" i="19"/>
  <c r="GG23" i="19"/>
  <c r="HQ22" i="19"/>
  <c r="HI22" i="19"/>
  <c r="HA22" i="19"/>
  <c r="GS22" i="19"/>
  <c r="GK22" i="19"/>
  <c r="GC22" i="19"/>
  <c r="HM21" i="19"/>
  <c r="HE21" i="19"/>
  <c r="GW21" i="19"/>
  <c r="GO21" i="19"/>
  <c r="GG21" i="19"/>
  <c r="HQ20" i="19"/>
  <c r="HI20" i="19"/>
  <c r="HA20" i="19"/>
  <c r="GS20" i="19"/>
  <c r="GK20" i="19"/>
  <c r="GC20" i="19"/>
  <c r="HM19" i="19"/>
  <c r="HE19" i="19"/>
  <c r="GW19" i="19"/>
  <c r="GO19" i="19"/>
  <c r="GG19" i="19"/>
  <c r="HQ18" i="19"/>
  <c r="HI18" i="19"/>
  <c r="HA18" i="19"/>
  <c r="GS18" i="19"/>
  <c r="GK18" i="19"/>
  <c r="GC18" i="19"/>
  <c r="HM17" i="19"/>
  <c r="HE17" i="19"/>
  <c r="GW17" i="19"/>
  <c r="GO17" i="19"/>
  <c r="GG17" i="19"/>
  <c r="HQ16" i="19"/>
  <c r="HI16" i="19"/>
  <c r="HA16" i="19"/>
  <c r="GS16" i="19"/>
  <c r="GK16" i="19"/>
  <c r="GC16" i="19"/>
  <c r="HM15" i="19"/>
  <c r="HE15" i="19"/>
  <c r="GW15" i="19"/>
  <c r="GO15" i="19"/>
  <c r="GG15" i="19"/>
  <c r="HQ14" i="19"/>
  <c r="HI14" i="19"/>
  <c r="HA14" i="19"/>
  <c r="GS14" i="19"/>
  <c r="GK14" i="19"/>
  <c r="GC14" i="19"/>
  <c r="HM13" i="19"/>
  <c r="HE13" i="19"/>
  <c r="GW13" i="19"/>
  <c r="GU104" i="19"/>
  <c r="HC103" i="19"/>
  <c r="HO102" i="19"/>
  <c r="GI102" i="19"/>
  <c r="GU101" i="19"/>
  <c r="HG100" i="19"/>
  <c r="HS99" i="19"/>
  <c r="GM99" i="19"/>
  <c r="GY98" i="19"/>
  <c r="HK97" i="19"/>
  <c r="GM97" i="19"/>
  <c r="HO96" i="19"/>
  <c r="GY96" i="19"/>
  <c r="GI96" i="19"/>
  <c r="HK95" i="19"/>
  <c r="GU95" i="19"/>
  <c r="GE95" i="19"/>
  <c r="HG94" i="19"/>
  <c r="GQ94" i="19"/>
  <c r="HS93" i="19"/>
  <c r="HC93" i="19"/>
  <c r="GM93" i="19"/>
  <c r="HO92" i="19"/>
  <c r="GY92" i="19"/>
  <c r="GI92" i="19"/>
  <c r="HK91" i="19"/>
  <c r="GW91" i="19"/>
  <c r="GK91" i="19"/>
  <c r="HP90" i="19"/>
  <c r="HC90" i="19"/>
  <c r="GQ90" i="19"/>
  <c r="GC90" i="19"/>
  <c r="HI89" i="19"/>
  <c r="GV89" i="19"/>
  <c r="GI89" i="19"/>
  <c r="HO88" i="19"/>
  <c r="HA88" i="19"/>
  <c r="GO88" i="19"/>
  <c r="GB88" i="19"/>
  <c r="HG87" i="19"/>
  <c r="GU87" i="19"/>
  <c r="GG87" i="19"/>
  <c r="HM86" i="19"/>
  <c r="GZ86" i="19"/>
  <c r="GN86" i="19"/>
  <c r="GF86" i="19"/>
  <c r="HP85" i="19"/>
  <c r="HH85" i="19"/>
  <c r="GZ85" i="19"/>
  <c r="GR85" i="19"/>
  <c r="GJ85" i="19"/>
  <c r="GB85" i="19"/>
  <c r="HL84" i="19"/>
  <c r="HD84" i="19"/>
  <c r="GV84" i="19"/>
  <c r="GN84" i="19"/>
  <c r="GF84" i="19"/>
  <c r="HP83" i="19"/>
  <c r="HH83" i="19"/>
  <c r="GZ83" i="19"/>
  <c r="GR83" i="19"/>
  <c r="GJ83" i="19"/>
  <c r="GB83" i="19"/>
  <c r="HL82" i="19"/>
  <c r="HD82" i="19"/>
  <c r="GV82" i="19"/>
  <c r="GN82" i="19"/>
  <c r="GF82" i="19"/>
  <c r="HP81" i="19"/>
  <c r="HH81" i="19"/>
  <c r="GZ81" i="19"/>
  <c r="GR81" i="19"/>
  <c r="GJ81" i="19"/>
  <c r="GB81" i="19"/>
  <c r="HL80" i="19"/>
  <c r="HD80" i="19"/>
  <c r="GV80" i="19"/>
  <c r="GN80" i="19"/>
  <c r="GF80" i="19"/>
  <c r="HP79" i="19"/>
  <c r="HH79" i="19"/>
  <c r="GZ79" i="19"/>
  <c r="GR79" i="19"/>
  <c r="GJ79" i="19"/>
  <c r="GB79" i="19"/>
  <c r="HL78" i="19"/>
  <c r="HD78" i="19"/>
  <c r="GV78" i="19"/>
  <c r="GN78" i="19"/>
  <c r="GF78" i="19"/>
  <c r="HP77" i="19"/>
  <c r="HH77" i="19"/>
  <c r="GZ77" i="19"/>
  <c r="GR77" i="19"/>
  <c r="GJ77" i="19"/>
  <c r="GB77" i="19"/>
  <c r="HL76" i="19"/>
  <c r="HD76" i="19"/>
  <c r="GV76" i="19"/>
  <c r="GN76" i="19"/>
  <c r="GF76" i="19"/>
  <c r="HP75" i="19"/>
  <c r="HH75" i="19"/>
  <c r="GZ75" i="19"/>
  <c r="GR75" i="19"/>
  <c r="GJ75" i="19"/>
  <c r="GB75" i="19"/>
  <c r="HL74" i="19"/>
  <c r="HD74" i="19"/>
  <c r="GV74" i="19"/>
  <c r="GN74" i="19"/>
  <c r="GF74" i="19"/>
  <c r="HL23" i="19"/>
  <c r="HD23" i="19"/>
  <c r="GV23" i="19"/>
  <c r="GN23" i="19"/>
  <c r="GF23" i="19"/>
  <c r="HP22" i="19"/>
  <c r="HH22" i="19"/>
  <c r="GZ22" i="19"/>
  <c r="GR22" i="19"/>
  <c r="GJ22" i="19"/>
  <c r="GB22" i="19"/>
  <c r="HL21" i="19"/>
  <c r="HD21" i="19"/>
  <c r="GV21" i="19"/>
  <c r="GN21" i="19"/>
  <c r="GF21" i="19"/>
  <c r="HP20" i="19"/>
  <c r="HH20" i="19"/>
  <c r="GZ20" i="19"/>
  <c r="GR20" i="19"/>
  <c r="GJ20" i="19"/>
  <c r="GB20" i="19"/>
  <c r="HL19" i="19"/>
  <c r="HD19" i="19"/>
  <c r="GV19" i="19"/>
  <c r="GN19" i="19"/>
  <c r="GF19" i="19"/>
  <c r="HP18" i="19"/>
  <c r="HH18" i="19"/>
  <c r="GZ18" i="19"/>
  <c r="GR18" i="19"/>
  <c r="GJ18" i="19"/>
  <c r="GB18" i="19"/>
  <c r="HL17" i="19"/>
  <c r="HD17" i="19"/>
  <c r="GV17" i="19"/>
  <c r="GN17" i="19"/>
  <c r="GF17" i="19"/>
  <c r="HP16" i="19"/>
  <c r="HH16" i="19"/>
  <c r="GZ16" i="19"/>
  <c r="GR16" i="19"/>
  <c r="GJ16" i="19"/>
  <c r="GB16" i="19"/>
  <c r="HL15" i="19"/>
  <c r="HK102" i="19"/>
  <c r="GK97" i="19"/>
  <c r="GO94" i="19"/>
  <c r="GV91" i="19"/>
  <c r="GG89" i="19"/>
  <c r="HK86" i="19"/>
  <c r="GI85" i="19"/>
  <c r="HG83" i="19"/>
  <c r="GM82" i="19"/>
  <c r="HK80" i="19"/>
  <c r="GQ79" i="19"/>
  <c r="HO77" i="19"/>
  <c r="GU76" i="19"/>
  <c r="HS74" i="19"/>
  <c r="HO22" i="19"/>
  <c r="GU21" i="19"/>
  <c r="HS19" i="19"/>
  <c r="GY18" i="19"/>
  <c r="GE17" i="19"/>
  <c r="HG15" i="19"/>
  <c r="GM15" i="19"/>
  <c r="HH14" i="19"/>
  <c r="GM14" i="19"/>
  <c r="HK13" i="19"/>
  <c r="GS13" i="19"/>
  <c r="GK13" i="19"/>
  <c r="GC13" i="19"/>
  <c r="HM12" i="19"/>
  <c r="HE12" i="19"/>
  <c r="GW12" i="19"/>
  <c r="GO12" i="19"/>
  <c r="GG12" i="19"/>
  <c r="HQ11" i="19"/>
  <c r="HI11" i="19"/>
  <c r="HA11" i="19"/>
  <c r="GS11" i="19"/>
  <c r="GK11" i="19"/>
  <c r="GC11" i="19"/>
  <c r="HM10" i="19"/>
  <c r="HE10" i="19"/>
  <c r="GW10" i="19"/>
  <c r="GO10" i="19"/>
  <c r="GG10" i="19"/>
  <c r="GA115" i="19"/>
  <c r="FS115" i="19"/>
  <c r="FK115" i="19"/>
  <c r="FC115" i="19"/>
  <c r="EU115" i="19"/>
  <c r="FT114" i="19"/>
  <c r="FL114" i="19"/>
  <c r="FD114" i="19"/>
  <c r="EV114" i="19"/>
  <c r="FU113" i="19"/>
  <c r="FM113" i="19"/>
  <c r="FE113" i="19"/>
  <c r="EW113" i="19"/>
  <c r="FV112" i="19"/>
  <c r="FN112" i="19"/>
  <c r="FF112" i="19"/>
  <c r="EX112" i="19"/>
  <c r="FW111" i="19"/>
  <c r="FO111" i="19"/>
  <c r="FG111" i="19"/>
  <c r="EY111" i="19"/>
  <c r="FX110" i="19"/>
  <c r="FP110" i="19"/>
  <c r="FH110" i="19"/>
  <c r="EZ110" i="19"/>
  <c r="FY109" i="19"/>
  <c r="FQ109" i="19"/>
  <c r="FI109" i="19"/>
  <c r="FA109" i="19"/>
  <c r="FZ108" i="19"/>
  <c r="FR108" i="19"/>
  <c r="FJ108" i="19"/>
  <c r="FB108" i="19"/>
  <c r="GA107" i="19"/>
  <c r="FS107" i="19"/>
  <c r="FK107" i="19"/>
  <c r="FC107" i="19"/>
  <c r="EU107" i="19"/>
  <c r="FT106" i="19"/>
  <c r="FL106" i="19"/>
  <c r="FD106" i="19"/>
  <c r="EV106" i="19"/>
  <c r="FU105" i="19"/>
  <c r="FM105" i="19"/>
  <c r="FE105" i="19"/>
  <c r="EW105" i="19"/>
  <c r="FV104" i="19"/>
  <c r="FN104" i="19"/>
  <c r="FF104" i="19"/>
  <c r="EX104" i="19"/>
  <c r="FW103" i="19"/>
  <c r="FO103" i="19"/>
  <c r="GE102" i="19"/>
  <c r="HM96" i="19"/>
  <c r="HQ93" i="19"/>
  <c r="GI91" i="19"/>
  <c r="HM88" i="19"/>
  <c r="GY86" i="19"/>
  <c r="HS84" i="19"/>
  <c r="GY83" i="19"/>
  <c r="GE82" i="19"/>
  <c r="HC80" i="19"/>
  <c r="GI79" i="19"/>
  <c r="HG77" i="19"/>
  <c r="GM76" i="19"/>
  <c r="HK74" i="19"/>
  <c r="HG22" i="19"/>
  <c r="GM21" i="19"/>
  <c r="HK19" i="19"/>
  <c r="GQ18" i="19"/>
  <c r="HO16" i="19"/>
  <c r="HD15" i="19"/>
  <c r="GI15" i="19"/>
  <c r="HG14" i="19"/>
  <c r="GJ14" i="19"/>
  <c r="HG13" i="19"/>
  <c r="GR13" i="19"/>
  <c r="GJ13" i="19"/>
  <c r="GB13" i="19"/>
  <c r="HL12" i="19"/>
  <c r="HD12" i="19"/>
  <c r="GV12" i="19"/>
  <c r="GN12" i="19"/>
  <c r="GF12" i="19"/>
  <c r="HP11" i="19"/>
  <c r="HH11" i="19"/>
  <c r="GZ11" i="19"/>
  <c r="GR11" i="19"/>
  <c r="GJ11" i="19"/>
  <c r="GB11" i="19"/>
  <c r="HL10" i="19"/>
  <c r="HD10" i="19"/>
  <c r="GV10" i="19"/>
  <c r="GN10" i="19"/>
  <c r="GF10" i="19"/>
  <c r="FZ115" i="19"/>
  <c r="FR115" i="19"/>
  <c r="FJ115" i="19"/>
  <c r="FB115" i="19"/>
  <c r="GA114" i="19"/>
  <c r="FS114" i="19"/>
  <c r="FK114" i="19"/>
  <c r="FC114" i="19"/>
  <c r="EU114" i="19"/>
  <c r="FT113" i="19"/>
  <c r="FL113" i="19"/>
  <c r="FD113" i="19"/>
  <c r="EV113" i="19"/>
  <c r="FU112" i="19"/>
  <c r="FM112" i="19"/>
  <c r="FE112" i="19"/>
  <c r="EW112" i="19"/>
  <c r="FV111" i="19"/>
  <c r="FN111" i="19"/>
  <c r="FF111" i="19"/>
  <c r="EX111" i="19"/>
  <c r="FW110" i="19"/>
  <c r="FO110" i="19"/>
  <c r="FG110" i="19"/>
  <c r="EY110" i="19"/>
  <c r="FX109" i="19"/>
  <c r="FP109" i="19"/>
  <c r="FH109" i="19"/>
  <c r="EZ109" i="19"/>
  <c r="FY108" i="19"/>
  <c r="FQ108" i="19"/>
  <c r="FI108" i="19"/>
  <c r="FA108" i="19"/>
  <c r="FZ107" i="19"/>
  <c r="FR107" i="19"/>
  <c r="FJ107" i="19"/>
  <c r="FB107" i="19"/>
  <c r="GA106" i="19"/>
  <c r="FS106" i="19"/>
  <c r="FK106" i="19"/>
  <c r="FC106" i="19"/>
  <c r="EU106" i="19"/>
  <c r="FT105" i="19"/>
  <c r="FL105" i="19"/>
  <c r="FD105" i="19"/>
  <c r="EV105" i="19"/>
  <c r="FU104" i="19"/>
  <c r="FM104" i="19"/>
  <c r="FE104" i="19"/>
  <c r="EW104" i="19"/>
  <c r="FV103" i="19"/>
  <c r="FN103" i="19"/>
  <c r="FF103" i="19"/>
  <c r="EX103" i="19"/>
  <c r="FW102" i="19"/>
  <c r="FO102" i="19"/>
  <c r="FG102" i="19"/>
  <c r="EY102" i="19"/>
  <c r="FX101" i="19"/>
  <c r="FP101" i="19"/>
  <c r="FH101" i="19"/>
  <c r="EZ101" i="19"/>
  <c r="FY100" i="19"/>
  <c r="FQ100" i="19"/>
  <c r="FI100" i="19"/>
  <c r="FA100" i="19"/>
  <c r="FZ99" i="19"/>
  <c r="FR99" i="19"/>
  <c r="FJ99" i="19"/>
  <c r="FB99" i="19"/>
  <c r="GA98" i="19"/>
  <c r="FS98" i="19"/>
  <c r="FK98" i="19"/>
  <c r="FC98" i="19"/>
  <c r="EU98" i="19"/>
  <c r="FT97" i="19"/>
  <c r="FL97" i="19"/>
  <c r="FD97" i="19"/>
  <c r="EV97" i="19"/>
  <c r="FU96" i="19"/>
  <c r="FM96" i="19"/>
  <c r="FE96" i="19"/>
  <c r="EW96" i="19"/>
  <c r="FV95" i="19"/>
  <c r="FN95" i="19"/>
  <c r="FF95" i="19"/>
  <c r="EX95" i="19"/>
  <c r="FW94" i="19"/>
  <c r="FO94" i="19"/>
  <c r="FG94" i="19"/>
  <c r="EY94" i="19"/>
  <c r="FX93" i="19"/>
  <c r="FP93" i="19"/>
  <c r="FH93" i="19"/>
  <c r="EZ93" i="19"/>
  <c r="FY92" i="19"/>
  <c r="FQ92" i="19"/>
  <c r="FI92" i="19"/>
  <c r="FA92" i="19"/>
  <c r="FZ91" i="19"/>
  <c r="FR91" i="19"/>
  <c r="FJ91" i="19"/>
  <c r="FB91" i="19"/>
  <c r="GA90" i="19"/>
  <c r="FS90" i="19"/>
  <c r="FK90" i="19"/>
  <c r="FC90" i="19"/>
  <c r="EU90" i="19"/>
  <c r="FT89" i="19"/>
  <c r="FL89" i="19"/>
  <c r="FD89" i="19"/>
  <c r="EV89" i="19"/>
  <c r="FU88" i="19"/>
  <c r="FM88" i="19"/>
  <c r="FE88" i="19"/>
  <c r="EW88" i="19"/>
  <c r="FV87" i="19"/>
  <c r="FN87" i="19"/>
  <c r="FF87" i="19"/>
  <c r="EX87" i="19"/>
  <c r="FW86" i="19"/>
  <c r="FO86" i="19"/>
  <c r="FG86" i="19"/>
  <c r="EY86" i="19"/>
  <c r="FX85" i="19"/>
  <c r="FP85" i="19"/>
  <c r="FH85" i="19"/>
  <c r="GQ101" i="19"/>
  <c r="GW96" i="19"/>
  <c r="HA93" i="19"/>
  <c r="HO90" i="19"/>
  <c r="GZ88" i="19"/>
  <c r="GM86" i="19"/>
  <c r="HK84" i="19"/>
  <c r="GQ83" i="19"/>
  <c r="HO81" i="19"/>
  <c r="GU80" i="19"/>
  <c r="HS78" i="19"/>
  <c r="GY77" i="19"/>
  <c r="GE76" i="19"/>
  <c r="HC74" i="19"/>
  <c r="HS23" i="19"/>
  <c r="GY22" i="19"/>
  <c r="GE21" i="19"/>
  <c r="HC19" i="19"/>
  <c r="GI18" i="19"/>
  <c r="HG16" i="19"/>
  <c r="HC15" i="19"/>
  <c r="GF15" i="19"/>
  <c r="HC14" i="19"/>
  <c r="GI14" i="19"/>
  <c r="HD13" i="19"/>
  <c r="GQ13" i="19"/>
  <c r="GI13" i="19"/>
  <c r="HS12" i="19"/>
  <c r="HK12" i="19"/>
  <c r="HC12" i="19"/>
  <c r="GU12" i="19"/>
  <c r="GM12" i="19"/>
  <c r="GE12" i="19"/>
  <c r="HO11" i="19"/>
  <c r="HG11" i="19"/>
  <c r="GY11" i="19"/>
  <c r="GQ11" i="19"/>
  <c r="GI11" i="19"/>
  <c r="HS10" i="19"/>
  <c r="HK10" i="19"/>
  <c r="HC10" i="19"/>
  <c r="GU10" i="19"/>
  <c r="GM10" i="19"/>
  <c r="GE10" i="19"/>
  <c r="HC100" i="19"/>
  <c r="GG96" i="19"/>
  <c r="GK93" i="19"/>
  <c r="HA90" i="19"/>
  <c r="GM88" i="19"/>
  <c r="GE86" i="19"/>
  <c r="HC84" i="19"/>
  <c r="GI83" i="19"/>
  <c r="HG81" i="19"/>
  <c r="GM80" i="19"/>
  <c r="HK78" i="19"/>
  <c r="GQ77" i="19"/>
  <c r="HO75" i="19"/>
  <c r="GU74" i="19"/>
  <c r="HK23" i="19"/>
  <c r="GQ22" i="19"/>
  <c r="HO20" i="19"/>
  <c r="GU19" i="19"/>
  <c r="HS17" i="19"/>
  <c r="GY16" i="19"/>
  <c r="GY15" i="19"/>
  <c r="GE15" i="19"/>
  <c r="GZ14" i="19"/>
  <c r="GE14" i="19"/>
  <c r="HC13" i="19"/>
  <c r="GP13" i="19"/>
  <c r="GH13" i="19"/>
  <c r="HR12" i="19"/>
  <c r="HJ12" i="19"/>
  <c r="HB12" i="19"/>
  <c r="GT12" i="19"/>
  <c r="GL12" i="19"/>
  <c r="GD12" i="19"/>
  <c r="HN11" i="19"/>
  <c r="HF11" i="19"/>
  <c r="GX11" i="19"/>
  <c r="GP11" i="19"/>
  <c r="GH11" i="19"/>
  <c r="HR10" i="19"/>
  <c r="HJ10" i="19"/>
  <c r="HB10" i="19"/>
  <c r="GT10" i="19"/>
  <c r="GL10" i="19"/>
  <c r="GD10" i="19"/>
  <c r="FX115" i="19"/>
  <c r="FP115" i="19"/>
  <c r="FH115" i="19"/>
  <c r="EZ115" i="19"/>
  <c r="FY114" i="19"/>
  <c r="FQ114" i="19"/>
  <c r="FI114" i="19"/>
  <c r="FA114" i="19"/>
  <c r="FZ113" i="19"/>
  <c r="FR113" i="19"/>
  <c r="FJ113" i="19"/>
  <c r="FB113" i="19"/>
  <c r="GA112" i="19"/>
  <c r="FS112" i="19"/>
  <c r="FK112" i="19"/>
  <c r="FC112" i="19"/>
  <c r="EU112" i="19"/>
  <c r="FT111" i="19"/>
  <c r="FL111" i="19"/>
  <c r="FD111" i="19"/>
  <c r="EV111" i="19"/>
  <c r="FU110" i="19"/>
  <c r="FM110" i="19"/>
  <c r="FE110" i="19"/>
  <c r="EW110" i="19"/>
  <c r="FV109" i="19"/>
  <c r="FN109" i="19"/>
  <c r="FF109" i="19"/>
  <c r="EX109" i="19"/>
  <c r="FW108" i="19"/>
  <c r="FO108" i="19"/>
  <c r="FG108" i="19"/>
  <c r="EY108" i="19"/>
  <c r="FX107" i="19"/>
  <c r="FP107" i="19"/>
  <c r="FH107" i="19"/>
  <c r="EZ107" i="19"/>
  <c r="FY106" i="19"/>
  <c r="FQ106" i="19"/>
  <c r="FI106" i="19"/>
  <c r="FA106" i="19"/>
  <c r="FZ105" i="19"/>
  <c r="FR105" i="19"/>
  <c r="FJ105" i="19"/>
  <c r="FB105" i="19"/>
  <c r="GA104" i="19"/>
  <c r="FS104" i="19"/>
  <c r="FK104" i="19"/>
  <c r="FC104" i="19"/>
  <c r="EU104" i="19"/>
  <c r="FT103" i="19"/>
  <c r="FL103" i="19"/>
  <c r="FD103" i="19"/>
  <c r="EV103" i="19"/>
  <c r="FU102" i="19"/>
  <c r="FM102" i="19"/>
  <c r="FE102" i="19"/>
  <c r="EW102" i="19"/>
  <c r="FV101" i="19"/>
  <c r="FN101" i="19"/>
  <c r="FF101" i="19"/>
  <c r="EX101" i="19"/>
  <c r="FW100" i="19"/>
  <c r="FO100" i="19"/>
  <c r="FG100" i="19"/>
  <c r="EY100" i="19"/>
  <c r="FX99" i="19"/>
  <c r="FP99" i="19"/>
  <c r="FH99" i="19"/>
  <c r="EZ99" i="19"/>
  <c r="FY98" i="19"/>
  <c r="FQ98" i="19"/>
  <c r="FI98" i="19"/>
  <c r="FA98" i="19"/>
  <c r="FZ97" i="19"/>
  <c r="FR97" i="19"/>
  <c r="FJ97" i="19"/>
  <c r="FB97" i="19"/>
  <c r="GA96" i="19"/>
  <c r="FS96" i="19"/>
  <c r="FK96" i="19"/>
  <c r="FC96" i="19"/>
  <c r="EU96" i="19"/>
  <c r="FT95" i="19"/>
  <c r="FL95" i="19"/>
  <c r="FD95" i="19"/>
  <c r="EV95" i="19"/>
  <c r="FU94" i="19"/>
  <c r="FM94" i="19"/>
  <c r="FE94" i="19"/>
  <c r="EW94" i="19"/>
  <c r="FV93" i="19"/>
  <c r="FN93" i="19"/>
  <c r="FF93" i="19"/>
  <c r="EX93" i="19"/>
  <c r="FW92" i="19"/>
  <c r="FO92" i="19"/>
  <c r="FG92" i="19"/>
  <c r="EY92" i="19"/>
  <c r="FX91" i="19"/>
  <c r="FP91" i="19"/>
  <c r="FH91" i="19"/>
  <c r="EZ91" i="19"/>
  <c r="FY90" i="19"/>
  <c r="FQ90" i="19"/>
  <c r="FI90" i="19"/>
  <c r="FA90" i="19"/>
  <c r="FZ89" i="19"/>
  <c r="FR89" i="19"/>
  <c r="FJ89" i="19"/>
  <c r="FB89" i="19"/>
  <c r="GA88" i="19"/>
  <c r="FS88" i="19"/>
  <c r="FK88" i="19"/>
  <c r="FC88" i="19"/>
  <c r="EU88" i="19"/>
  <c r="FT87" i="19"/>
  <c r="FL87" i="19"/>
  <c r="FD87" i="19"/>
  <c r="EV87" i="19"/>
  <c r="FU86" i="19"/>
  <c r="FM86" i="19"/>
  <c r="FE86" i="19"/>
  <c r="EW86" i="19"/>
  <c r="FV85" i="19"/>
  <c r="FN85" i="19"/>
  <c r="FF85" i="19"/>
  <c r="HO99" i="19"/>
  <c r="HI95" i="19"/>
  <c r="HM92" i="19"/>
  <c r="GO90" i="19"/>
  <c r="HS87" i="19"/>
  <c r="HO85" i="19"/>
  <c r="GU84" i="19"/>
  <c r="HS82" i="19"/>
  <c r="GY81" i="19"/>
  <c r="GE80" i="19"/>
  <c r="HC78" i="19"/>
  <c r="GI77" i="19"/>
  <c r="HG75" i="19"/>
  <c r="GM74" i="19"/>
  <c r="HC23" i="19"/>
  <c r="GI22" i="19"/>
  <c r="HG20" i="19"/>
  <c r="GM19" i="19"/>
  <c r="HK17" i="19"/>
  <c r="GQ16" i="19"/>
  <c r="GV15" i="19"/>
  <c r="HS14" i="19"/>
  <c r="GY14" i="19"/>
  <c r="GB14" i="19"/>
  <c r="GY13" i="19"/>
  <c r="GO13" i="19"/>
  <c r="GG13" i="19"/>
  <c r="HQ12" i="19"/>
  <c r="HI12" i="19"/>
  <c r="HA12" i="19"/>
  <c r="GS12" i="19"/>
  <c r="GK12" i="19"/>
  <c r="GC12" i="19"/>
  <c r="HM11" i="19"/>
  <c r="HE11" i="19"/>
  <c r="GW11" i="19"/>
  <c r="GO11" i="19"/>
  <c r="GG11" i="19"/>
  <c r="HQ10" i="19"/>
  <c r="HI10" i="19"/>
  <c r="HA10" i="19"/>
  <c r="GS10" i="19"/>
  <c r="GK10" i="19"/>
  <c r="GC10" i="19"/>
  <c r="FW115" i="19"/>
  <c r="FO115" i="19"/>
  <c r="FG115" i="19"/>
  <c r="EY115" i="19"/>
  <c r="FX114" i="19"/>
  <c r="FP114" i="19"/>
  <c r="FH114" i="19"/>
  <c r="EZ114" i="19"/>
  <c r="FY113" i="19"/>
  <c r="FQ113" i="19"/>
  <c r="FI113" i="19"/>
  <c r="FA113" i="19"/>
  <c r="FZ112" i="19"/>
  <c r="FR112" i="19"/>
  <c r="FJ112" i="19"/>
  <c r="FB112" i="19"/>
  <c r="GA111" i="19"/>
  <c r="FS111" i="19"/>
  <c r="FK111" i="19"/>
  <c r="FC111" i="19"/>
  <c r="EU111" i="19"/>
  <c r="FT110" i="19"/>
  <c r="FL110" i="19"/>
  <c r="FD110" i="19"/>
  <c r="EV110" i="19"/>
  <c r="FU109" i="19"/>
  <c r="FM109" i="19"/>
  <c r="FE109" i="19"/>
  <c r="EW109" i="19"/>
  <c r="FV108" i="19"/>
  <c r="FN108" i="19"/>
  <c r="FF108" i="19"/>
  <c r="EX108" i="19"/>
  <c r="FW107" i="19"/>
  <c r="FO107" i="19"/>
  <c r="FG107" i="19"/>
  <c r="EY107" i="19"/>
  <c r="FX106" i="19"/>
  <c r="FP106" i="19"/>
  <c r="FH106" i="19"/>
  <c r="EZ106" i="19"/>
  <c r="FY105" i="19"/>
  <c r="FQ105" i="19"/>
  <c r="FI105" i="19"/>
  <c r="FA105" i="19"/>
  <c r="FZ104" i="19"/>
  <c r="FR104" i="19"/>
  <c r="FJ104" i="19"/>
  <c r="FB104" i="19"/>
  <c r="GA103" i="19"/>
  <c r="FS103" i="19"/>
  <c r="GI99" i="19"/>
  <c r="GS95" i="19"/>
  <c r="GW92" i="19"/>
  <c r="GB90" i="19"/>
  <c r="HE87" i="19"/>
  <c r="HG85" i="19"/>
  <c r="GM84" i="19"/>
  <c r="HK82" i="19"/>
  <c r="GQ81" i="19"/>
  <c r="HO79" i="19"/>
  <c r="GU78" i="19"/>
  <c r="HS76" i="19"/>
  <c r="GY75" i="19"/>
  <c r="GE74" i="19"/>
  <c r="GU23" i="19"/>
  <c r="HS21" i="19"/>
  <c r="GY20" i="19"/>
  <c r="GE19" i="19"/>
  <c r="HC17" i="19"/>
  <c r="GI16" i="19"/>
  <c r="GU15" i="19"/>
  <c r="HP14" i="19"/>
  <c r="GU14" i="19"/>
  <c r="HS13" i="19"/>
  <c r="GV13" i="19"/>
  <c r="GN13" i="19"/>
  <c r="GF13" i="19"/>
  <c r="HP12" i="19"/>
  <c r="HH12" i="19"/>
  <c r="GZ12" i="19"/>
  <c r="GR12" i="19"/>
  <c r="GJ12" i="19"/>
  <c r="GB12" i="19"/>
  <c r="HL11" i="19"/>
  <c r="HD11" i="19"/>
  <c r="GV11" i="19"/>
  <c r="GN11" i="19"/>
  <c r="GF11" i="19"/>
  <c r="HP10" i="19"/>
  <c r="HH10" i="19"/>
  <c r="GZ10" i="19"/>
  <c r="GR10" i="19"/>
  <c r="GJ10" i="19"/>
  <c r="GB10" i="19"/>
  <c r="FV115" i="19"/>
  <c r="FN115" i="19"/>
  <c r="FF115" i="19"/>
  <c r="EX115" i="19"/>
  <c r="FW114" i="19"/>
  <c r="FO114" i="19"/>
  <c r="FG114" i="19"/>
  <c r="EY114" i="19"/>
  <c r="FX113" i="19"/>
  <c r="FP113" i="19"/>
  <c r="FH113" i="19"/>
  <c r="EZ113" i="19"/>
  <c r="FY112" i="19"/>
  <c r="FQ112" i="19"/>
  <c r="FI112" i="19"/>
  <c r="FA112" i="19"/>
  <c r="FZ111" i="19"/>
  <c r="FR111" i="19"/>
  <c r="FJ111" i="19"/>
  <c r="FB111" i="19"/>
  <c r="GA110" i="19"/>
  <c r="FS110" i="19"/>
  <c r="FK110" i="19"/>
  <c r="FC110" i="19"/>
  <c r="EU110" i="19"/>
  <c r="FT109" i="19"/>
  <c r="FL109" i="19"/>
  <c r="FD109" i="19"/>
  <c r="EV109" i="19"/>
  <c r="FU108" i="19"/>
  <c r="FM108" i="19"/>
  <c r="FE108" i="19"/>
  <c r="EW108" i="19"/>
  <c r="FV107" i="19"/>
  <c r="FN107" i="19"/>
  <c r="FF107" i="19"/>
  <c r="EX107" i="19"/>
  <c r="FW106" i="19"/>
  <c r="FO106" i="19"/>
  <c r="FG106" i="19"/>
  <c r="EY106" i="19"/>
  <c r="FX105" i="19"/>
  <c r="FP105" i="19"/>
  <c r="FH105" i="19"/>
  <c r="EZ105" i="19"/>
  <c r="FY104" i="19"/>
  <c r="FQ104" i="19"/>
  <c r="FI104" i="19"/>
  <c r="FA104" i="19"/>
  <c r="FZ103" i="19"/>
  <c r="FR103" i="19"/>
  <c r="FJ103" i="19"/>
  <c r="FB103" i="19"/>
  <c r="GA102" i="19"/>
  <c r="FS102" i="19"/>
  <c r="FK102" i="19"/>
  <c r="FC102" i="19"/>
  <c r="EU102" i="19"/>
  <c r="FT101" i="19"/>
  <c r="FL101" i="19"/>
  <c r="FD101" i="19"/>
  <c r="EV101" i="19"/>
  <c r="FU100" i="19"/>
  <c r="FM100" i="19"/>
  <c r="FE100" i="19"/>
  <c r="EW100" i="19"/>
  <c r="FV99" i="19"/>
  <c r="FN99" i="19"/>
  <c r="FF99" i="19"/>
  <c r="EX99" i="19"/>
  <c r="FW98" i="19"/>
  <c r="FO98" i="19"/>
  <c r="FG98" i="19"/>
  <c r="EY98" i="19"/>
  <c r="FX97" i="19"/>
  <c r="FP97" i="19"/>
  <c r="FH97" i="19"/>
  <c r="EZ97" i="19"/>
  <c r="FY96" i="19"/>
  <c r="FQ96" i="19"/>
  <c r="FI96" i="19"/>
  <c r="FA96" i="19"/>
  <c r="FZ95" i="19"/>
  <c r="FR95" i="19"/>
  <c r="FJ95" i="19"/>
  <c r="FB95" i="19"/>
  <c r="GA94" i="19"/>
  <c r="FS94" i="19"/>
  <c r="FK94" i="19"/>
  <c r="FC94" i="19"/>
  <c r="EU94" i="19"/>
  <c r="FT93" i="19"/>
  <c r="FL93" i="19"/>
  <c r="FD93" i="19"/>
  <c r="EV93" i="19"/>
  <c r="FU92" i="19"/>
  <c r="FM92" i="19"/>
  <c r="FE92" i="19"/>
  <c r="EW92" i="19"/>
  <c r="FV91" i="19"/>
  <c r="FN91" i="19"/>
  <c r="FF91" i="19"/>
  <c r="EX91" i="19"/>
  <c r="FW90" i="19"/>
  <c r="FO90" i="19"/>
  <c r="FG90" i="19"/>
  <c r="EY90" i="19"/>
  <c r="FX89" i="19"/>
  <c r="FP89" i="19"/>
  <c r="FH89" i="19"/>
  <c r="EZ89" i="19"/>
  <c r="FY88" i="19"/>
  <c r="FQ88" i="19"/>
  <c r="FI88" i="19"/>
  <c r="FA88" i="19"/>
  <c r="FZ87" i="19"/>
  <c r="FR87" i="19"/>
  <c r="FJ87" i="19"/>
  <c r="FB87" i="19"/>
  <c r="GA86" i="19"/>
  <c r="FS86" i="19"/>
  <c r="FK86" i="19"/>
  <c r="FC86" i="19"/>
  <c r="EU86" i="19"/>
  <c r="FT85" i="19"/>
  <c r="FL85" i="19"/>
  <c r="GM104" i="19"/>
  <c r="GU98" i="19"/>
  <c r="GC95" i="19"/>
  <c r="GG92" i="19"/>
  <c r="HG89" i="19"/>
  <c r="GS87" i="19"/>
  <c r="GY85" i="19"/>
  <c r="GE84" i="19"/>
  <c r="HC82" i="19"/>
  <c r="GI81" i="19"/>
  <c r="HG79" i="19"/>
  <c r="GM78" i="19"/>
  <c r="HK76" i="19"/>
  <c r="GQ75" i="19"/>
  <c r="GM23" i="19"/>
  <c r="HK21" i="19"/>
  <c r="GQ20" i="19"/>
  <c r="HO18" i="19"/>
  <c r="GU17" i="19"/>
  <c r="HS15" i="19"/>
  <c r="GQ15" i="19"/>
  <c r="HO14" i="19"/>
  <c r="GR14" i="19"/>
  <c r="HO13" i="19"/>
  <c r="GU13" i="19"/>
  <c r="GM13" i="19"/>
  <c r="GE13" i="19"/>
  <c r="HO12" i="19"/>
  <c r="HG12" i="19"/>
  <c r="GY12" i="19"/>
  <c r="GQ12" i="19"/>
  <c r="GI12" i="19"/>
  <c r="HS11" i="19"/>
  <c r="HK11" i="19"/>
  <c r="HC11" i="19"/>
  <c r="GU11" i="19"/>
  <c r="GM11" i="19"/>
  <c r="GE11" i="19"/>
  <c r="HO10" i="19"/>
  <c r="HG10" i="19"/>
  <c r="GY10" i="19"/>
  <c r="GQ10" i="19"/>
  <c r="GI10" i="19"/>
  <c r="FU115" i="19"/>
  <c r="FM115" i="19"/>
  <c r="FE115" i="19"/>
  <c r="EW115" i="19"/>
  <c r="FV114" i="19"/>
  <c r="FN114" i="19"/>
  <c r="FF114" i="19"/>
  <c r="EX114" i="19"/>
  <c r="FW113" i="19"/>
  <c r="FO113" i="19"/>
  <c r="FG113" i="19"/>
  <c r="EY113" i="19"/>
  <c r="FX112" i="19"/>
  <c r="FP112" i="19"/>
  <c r="FH112" i="19"/>
  <c r="EZ112" i="19"/>
  <c r="FY111" i="19"/>
  <c r="FQ111" i="19"/>
  <c r="FI111" i="19"/>
  <c r="FA111" i="19"/>
  <c r="FZ110" i="19"/>
  <c r="FR110" i="19"/>
  <c r="FJ110" i="19"/>
  <c r="FB110" i="19"/>
  <c r="GA109" i="19"/>
  <c r="FS109" i="19"/>
  <c r="FK109" i="19"/>
  <c r="FC109" i="19"/>
  <c r="EU109" i="19"/>
  <c r="FT108" i="19"/>
  <c r="FL108" i="19"/>
  <c r="FD108" i="19"/>
  <c r="EV108" i="19"/>
  <c r="FU107" i="19"/>
  <c r="FM107" i="19"/>
  <c r="FE107" i="19"/>
  <c r="EW107" i="19"/>
  <c r="FV106" i="19"/>
  <c r="FN106" i="19"/>
  <c r="FF106" i="19"/>
  <c r="EX106" i="19"/>
  <c r="FW105" i="19"/>
  <c r="FO105" i="19"/>
  <c r="FG105" i="19"/>
  <c r="EY105" i="19"/>
  <c r="FX104" i="19"/>
  <c r="FP104" i="19"/>
  <c r="FH104" i="19"/>
  <c r="EZ104" i="19"/>
  <c r="FY103" i="19"/>
  <c r="FQ103" i="19"/>
  <c r="FI103" i="19"/>
  <c r="FA103" i="19"/>
  <c r="FZ102" i="19"/>
  <c r="FR102" i="19"/>
  <c r="FJ102" i="19"/>
  <c r="FB102" i="19"/>
  <c r="GA101" i="19"/>
  <c r="FS101" i="19"/>
  <c r="FK101" i="19"/>
  <c r="FC101" i="19"/>
  <c r="EU101" i="19"/>
  <c r="FT100" i="19"/>
  <c r="FL100" i="19"/>
  <c r="FD100" i="19"/>
  <c r="EV100" i="19"/>
  <c r="FU99" i="19"/>
  <c r="FM99" i="19"/>
  <c r="FE99" i="19"/>
  <c r="EW99" i="19"/>
  <c r="FV98" i="19"/>
  <c r="FN98" i="19"/>
  <c r="FF98" i="19"/>
  <c r="EX98" i="19"/>
  <c r="FW97" i="19"/>
  <c r="FO97" i="19"/>
  <c r="FG97" i="19"/>
  <c r="EY97" i="19"/>
  <c r="FX96" i="19"/>
  <c r="FP96" i="19"/>
  <c r="FH96" i="19"/>
  <c r="EZ96" i="19"/>
  <c r="FY95" i="19"/>
  <c r="FQ95" i="19"/>
  <c r="FI95" i="19"/>
  <c r="FA95" i="19"/>
  <c r="FZ94" i="19"/>
  <c r="FR94" i="19"/>
  <c r="FJ94" i="19"/>
  <c r="FB94" i="19"/>
  <c r="GA93" i="19"/>
  <c r="FS93" i="19"/>
  <c r="FK93" i="19"/>
  <c r="FC93" i="19"/>
  <c r="EU93" i="19"/>
  <c r="FT92" i="19"/>
  <c r="FL92" i="19"/>
  <c r="FD92" i="19"/>
  <c r="EV92" i="19"/>
  <c r="FU91" i="19"/>
  <c r="FM91" i="19"/>
  <c r="FE91" i="19"/>
  <c r="EW91" i="19"/>
  <c r="FV90" i="19"/>
  <c r="FN90" i="19"/>
  <c r="FF90" i="19"/>
  <c r="EX90" i="19"/>
  <c r="FW89" i="19"/>
  <c r="FO89" i="19"/>
  <c r="FG89" i="19"/>
  <c r="EY89" i="19"/>
  <c r="FX88" i="19"/>
  <c r="FP88" i="19"/>
  <c r="FH88" i="19"/>
  <c r="EZ88" i="19"/>
  <c r="FY87" i="19"/>
  <c r="FQ87" i="19"/>
  <c r="FI87" i="19"/>
  <c r="FA87" i="19"/>
  <c r="FZ86" i="19"/>
  <c r="FR86" i="19"/>
  <c r="FJ86" i="19"/>
  <c r="FB86" i="19"/>
  <c r="GA85" i="19"/>
  <c r="FS85" i="19"/>
  <c r="FK85" i="19"/>
  <c r="GY103" i="19"/>
  <c r="HG97" i="19"/>
  <c r="HE94" i="19"/>
  <c r="HI91" i="19"/>
  <c r="GU89" i="19"/>
  <c r="GF87" i="19"/>
  <c r="GQ85" i="19"/>
  <c r="HO83" i="19"/>
  <c r="GU82" i="19"/>
  <c r="HS80" i="19"/>
  <c r="GY79" i="19"/>
  <c r="GE78" i="19"/>
  <c r="HC76" i="19"/>
  <c r="GI75" i="19"/>
  <c r="GE23" i="19"/>
  <c r="HC21" i="19"/>
  <c r="GI20" i="19"/>
  <c r="HG18" i="19"/>
  <c r="GM17" i="19"/>
  <c r="HK15" i="19"/>
  <c r="GN15" i="19"/>
  <c r="HK14" i="19"/>
  <c r="GQ14" i="19"/>
  <c r="HL13" i="19"/>
  <c r="GT13" i="19"/>
  <c r="GL13" i="19"/>
  <c r="GD13" i="19"/>
  <c r="HN12" i="19"/>
  <c r="HF12" i="19"/>
  <c r="GX12" i="19"/>
  <c r="GP12" i="19"/>
  <c r="GH12" i="19"/>
  <c r="HR11" i="19"/>
  <c r="HJ11" i="19"/>
  <c r="HB11" i="19"/>
  <c r="GT11" i="19"/>
  <c r="GL11" i="19"/>
  <c r="GD11" i="19"/>
  <c r="HN10" i="19"/>
  <c r="HF10" i="19"/>
  <c r="GX10" i="19"/>
  <c r="GP10" i="19"/>
  <c r="GH10" i="19"/>
  <c r="FT115" i="19"/>
  <c r="FL115" i="19"/>
  <c r="FD115" i="19"/>
  <c r="EV115" i="19"/>
  <c r="FU114" i="19"/>
  <c r="FM114" i="19"/>
  <c r="FE114" i="19"/>
  <c r="EW114" i="19"/>
  <c r="FV113" i="19"/>
  <c r="FN113" i="19"/>
  <c r="FF113" i="19"/>
  <c r="EX113" i="19"/>
  <c r="FW112" i="19"/>
  <c r="FO112" i="19"/>
  <c r="FG112" i="19"/>
  <c r="EY112" i="19"/>
  <c r="FX111" i="19"/>
  <c r="FP111" i="19"/>
  <c r="FH111" i="19"/>
  <c r="EZ111" i="19"/>
  <c r="FY110" i="19"/>
  <c r="FQ110" i="19"/>
  <c r="FI110" i="19"/>
  <c r="FA110" i="19"/>
  <c r="FZ109" i="19"/>
  <c r="FR109" i="19"/>
  <c r="FJ109" i="19"/>
  <c r="FB109" i="19"/>
  <c r="GA108" i="19"/>
  <c r="FS108" i="19"/>
  <c r="FK108" i="19"/>
  <c r="FC108" i="19"/>
  <c r="EU108" i="19"/>
  <c r="FT107" i="19"/>
  <c r="FL107" i="19"/>
  <c r="FD107" i="19"/>
  <c r="EV107" i="19"/>
  <c r="FU106" i="19"/>
  <c r="FM106" i="19"/>
  <c r="FE106" i="19"/>
  <c r="EW106" i="19"/>
  <c r="FV105" i="19"/>
  <c r="FN105" i="19"/>
  <c r="FF105" i="19"/>
  <c r="EX105" i="19"/>
  <c r="FW104" i="19"/>
  <c r="FO104" i="19"/>
  <c r="FG104" i="19"/>
  <c r="EY104" i="19"/>
  <c r="FX103" i="19"/>
  <c r="FP103" i="19"/>
  <c r="FH103" i="19"/>
  <c r="EZ103" i="19"/>
  <c r="FY102" i="19"/>
  <c r="FQ102" i="19"/>
  <c r="FI102" i="19"/>
  <c r="FA102" i="19"/>
  <c r="FZ101" i="19"/>
  <c r="FR101" i="19"/>
  <c r="FJ101" i="19"/>
  <c r="FB101" i="19"/>
  <c r="GA100" i="19"/>
  <c r="FS100" i="19"/>
  <c r="FK100" i="19"/>
  <c r="FC100" i="19"/>
  <c r="EU100" i="19"/>
  <c r="FT99" i="19"/>
  <c r="FL99" i="19"/>
  <c r="FD99" i="19"/>
  <c r="EV99" i="19"/>
  <c r="FU98" i="19"/>
  <c r="FM98" i="19"/>
  <c r="FE98" i="19"/>
  <c r="EW98" i="19"/>
  <c r="FV97" i="19"/>
  <c r="FN97" i="19"/>
  <c r="FF97" i="19"/>
  <c r="EX97" i="19"/>
  <c r="FW96" i="19"/>
  <c r="FO96" i="19"/>
  <c r="FG96" i="19"/>
  <c r="EY96" i="19"/>
  <c r="FX95" i="19"/>
  <c r="FP95" i="19"/>
  <c r="FH95" i="19"/>
  <c r="EZ95" i="19"/>
  <c r="FY94" i="19"/>
  <c r="FQ94" i="19"/>
  <c r="FI94" i="19"/>
  <c r="FA94" i="19"/>
  <c r="FZ93" i="19"/>
  <c r="FR93" i="19"/>
  <c r="FJ93" i="19"/>
  <c r="FB93" i="19"/>
  <c r="GA92" i="19"/>
  <c r="FS92" i="19"/>
  <c r="FK92" i="19"/>
  <c r="FC92" i="19"/>
  <c r="EU92" i="19"/>
  <c r="FT91" i="19"/>
  <c r="FL91" i="19"/>
  <c r="FD91" i="19"/>
  <c r="EV91" i="19"/>
  <c r="FU90" i="19"/>
  <c r="FM90" i="19"/>
  <c r="FE90" i="19"/>
  <c r="EW90" i="19"/>
  <c r="FV89" i="19"/>
  <c r="FN89" i="19"/>
  <c r="FF89" i="19"/>
  <c r="EX89" i="19"/>
  <c r="FW88" i="19"/>
  <c r="FO88" i="19"/>
  <c r="FG88" i="19"/>
  <c r="EY88" i="19"/>
  <c r="FX87" i="19"/>
  <c r="FP87" i="19"/>
  <c r="FH87" i="19"/>
  <c r="EZ87" i="19"/>
  <c r="FY86" i="19"/>
  <c r="FQ86" i="19"/>
  <c r="FI86" i="19"/>
  <c r="FA86" i="19"/>
  <c r="FZ85" i="19"/>
  <c r="FR85" i="19"/>
  <c r="FJ85" i="19"/>
  <c r="FZ114" i="19"/>
  <c r="EU113" i="19"/>
  <c r="EW111" i="19"/>
  <c r="EY109" i="19"/>
  <c r="FA107" i="19"/>
  <c r="FC105" i="19"/>
  <c r="FK103" i="19"/>
  <c r="FV102" i="19"/>
  <c r="EZ102" i="19"/>
  <c r="FM101" i="19"/>
  <c r="FX100" i="19"/>
  <c r="FB100" i="19"/>
  <c r="FO99" i="19"/>
  <c r="FZ98" i="19"/>
  <c r="FD98" i="19"/>
  <c r="FQ97" i="19"/>
  <c r="EU97" i="19"/>
  <c r="FF96" i="19"/>
  <c r="FS95" i="19"/>
  <c r="EW95" i="19"/>
  <c r="FH94" i="19"/>
  <c r="FU93" i="19"/>
  <c r="EY93" i="19"/>
  <c r="FJ92" i="19"/>
  <c r="FW91" i="19"/>
  <c r="FA91" i="19"/>
  <c r="FL90" i="19"/>
  <c r="FY89" i="19"/>
  <c r="FC89" i="19"/>
  <c r="FN88" i="19"/>
  <c r="GA87" i="19"/>
  <c r="FE87" i="19"/>
  <c r="FP86" i="19"/>
  <c r="EV86" i="19"/>
  <c r="FG85" i="19"/>
  <c r="EX85" i="19"/>
  <c r="FW84" i="19"/>
  <c r="FO84" i="19"/>
  <c r="FG84" i="19"/>
  <c r="EY84" i="19"/>
  <c r="FX83" i="19"/>
  <c r="FP83" i="19"/>
  <c r="FH83" i="19"/>
  <c r="EZ83" i="19"/>
  <c r="FY82" i="19"/>
  <c r="FQ82" i="19"/>
  <c r="FI82" i="19"/>
  <c r="FA82" i="19"/>
  <c r="FZ81" i="19"/>
  <c r="FR81" i="19"/>
  <c r="FJ81" i="19"/>
  <c r="FB81" i="19"/>
  <c r="GA80" i="19"/>
  <c r="FS80" i="19"/>
  <c r="FK80" i="19"/>
  <c r="FC80" i="19"/>
  <c r="EU80" i="19"/>
  <c r="FT79" i="19"/>
  <c r="FL79" i="19"/>
  <c r="FD79" i="19"/>
  <c r="EV79" i="19"/>
  <c r="FU78" i="19"/>
  <c r="FM78" i="19"/>
  <c r="FE78" i="19"/>
  <c r="EW78" i="19"/>
  <c r="FV77" i="19"/>
  <c r="FN77" i="19"/>
  <c r="FF77" i="19"/>
  <c r="EX77" i="19"/>
  <c r="FW76" i="19"/>
  <c r="FO76" i="19"/>
  <c r="FG76" i="19"/>
  <c r="EY76" i="19"/>
  <c r="FX75" i="19"/>
  <c r="FP75" i="19"/>
  <c r="FH75" i="19"/>
  <c r="EZ75" i="19"/>
  <c r="FY74" i="19"/>
  <c r="FQ74" i="19"/>
  <c r="FI74" i="19"/>
  <c r="FA74" i="19"/>
  <c r="FU23" i="19"/>
  <c r="FM23" i="19"/>
  <c r="FE23" i="19"/>
  <c r="EW23" i="19"/>
  <c r="FV22" i="19"/>
  <c r="FN22" i="19"/>
  <c r="FF22" i="19"/>
  <c r="EX22" i="19"/>
  <c r="FW21" i="19"/>
  <c r="FO21" i="19"/>
  <c r="FG21" i="19"/>
  <c r="EY21" i="19"/>
  <c r="FX20" i="19"/>
  <c r="FP20" i="19"/>
  <c r="FH20" i="19"/>
  <c r="EZ20" i="19"/>
  <c r="FY19" i="19"/>
  <c r="FQ19" i="19"/>
  <c r="FI19" i="19"/>
  <c r="FA19" i="19"/>
  <c r="FZ18" i="19"/>
  <c r="FR18" i="19"/>
  <c r="FJ18" i="19"/>
  <c r="FB18" i="19"/>
  <c r="GA17" i="19"/>
  <c r="FS17" i="19"/>
  <c r="FK17" i="19"/>
  <c r="FC17" i="19"/>
  <c r="EU17" i="19"/>
  <c r="FT16" i="19"/>
  <c r="FL16" i="19"/>
  <c r="FD16" i="19"/>
  <c r="EV16" i="19"/>
  <c r="FU15" i="19"/>
  <c r="FM15" i="19"/>
  <c r="FE15" i="19"/>
  <c r="EW15" i="19"/>
  <c r="FV14" i="19"/>
  <c r="FN14" i="19"/>
  <c r="FF14" i="19"/>
  <c r="EX14" i="19"/>
  <c r="FW13" i="19"/>
  <c r="FO13" i="19"/>
  <c r="FG13" i="19"/>
  <c r="EY13" i="19"/>
  <c r="FX12" i="19"/>
  <c r="FP12" i="19"/>
  <c r="FH12" i="19"/>
  <c r="EZ12" i="19"/>
  <c r="FY11" i="19"/>
  <c r="FQ11" i="19"/>
  <c r="FI11" i="19"/>
  <c r="FA11" i="19"/>
  <c r="FZ10" i="19"/>
  <c r="FR10" i="19"/>
  <c r="FJ10" i="19"/>
  <c r="FB10" i="19"/>
  <c r="EQ115" i="19"/>
  <c r="EI115" i="19"/>
  <c r="EM114" i="19"/>
  <c r="EQ113" i="19"/>
  <c r="EI113" i="19"/>
  <c r="EM112" i="19"/>
  <c r="EQ111" i="19"/>
  <c r="EI111" i="19"/>
  <c r="EM110" i="19"/>
  <c r="EQ109" i="19"/>
  <c r="EI109" i="19"/>
  <c r="EM108" i="19"/>
  <c r="EQ107" i="19"/>
  <c r="EI107" i="19"/>
  <c r="EM106" i="19"/>
  <c r="EQ105" i="19"/>
  <c r="EI105" i="19"/>
  <c r="EM104" i="19"/>
  <c r="EQ103" i="19"/>
  <c r="EI103" i="19"/>
  <c r="EM102" i="19"/>
  <c r="EQ101" i="19"/>
  <c r="EI101" i="19"/>
  <c r="EM100" i="19"/>
  <c r="FR114" i="19"/>
  <c r="FT112" i="19"/>
  <c r="FV110" i="19"/>
  <c r="FX108" i="19"/>
  <c r="FZ106" i="19"/>
  <c r="EU105" i="19"/>
  <c r="FG103" i="19"/>
  <c r="FT102" i="19"/>
  <c r="EX102" i="19"/>
  <c r="FI101" i="19"/>
  <c r="FV100" i="19"/>
  <c r="EZ100" i="19"/>
  <c r="FK99" i="19"/>
  <c r="FX98" i="19"/>
  <c r="FB98" i="19"/>
  <c r="FM97" i="19"/>
  <c r="FZ96" i="19"/>
  <c r="FD96" i="19"/>
  <c r="FO95" i="19"/>
  <c r="EU95" i="19"/>
  <c r="FF94" i="19"/>
  <c r="FQ93" i="19"/>
  <c r="EW93" i="19"/>
  <c r="FH92" i="19"/>
  <c r="FS91" i="19"/>
  <c r="EY91" i="19"/>
  <c r="FJ90" i="19"/>
  <c r="FU89" i="19"/>
  <c r="FA89" i="19"/>
  <c r="FL88" i="19"/>
  <c r="FW87" i="19"/>
  <c r="FC87" i="19"/>
  <c r="FN86" i="19"/>
  <c r="FY85" i="19"/>
  <c r="FE85" i="19"/>
  <c r="EW85" i="19"/>
  <c r="FV84" i="19"/>
  <c r="FN84" i="19"/>
  <c r="FF84" i="19"/>
  <c r="EX84" i="19"/>
  <c r="FW83" i="19"/>
  <c r="FO83" i="19"/>
  <c r="FG83" i="19"/>
  <c r="EY83" i="19"/>
  <c r="FX82" i="19"/>
  <c r="FP82" i="19"/>
  <c r="FH82" i="19"/>
  <c r="EZ82" i="19"/>
  <c r="FY81" i="19"/>
  <c r="FQ81" i="19"/>
  <c r="FI81" i="19"/>
  <c r="FA81" i="19"/>
  <c r="FZ80" i="19"/>
  <c r="FR80" i="19"/>
  <c r="FJ80" i="19"/>
  <c r="FB80" i="19"/>
  <c r="GA79" i="19"/>
  <c r="FS79" i="19"/>
  <c r="FK79" i="19"/>
  <c r="FC79" i="19"/>
  <c r="EU79" i="19"/>
  <c r="FT78" i="19"/>
  <c r="FL78" i="19"/>
  <c r="FD78" i="19"/>
  <c r="EV78" i="19"/>
  <c r="FU77" i="19"/>
  <c r="FM77" i="19"/>
  <c r="FE77" i="19"/>
  <c r="EW77" i="19"/>
  <c r="FV76" i="19"/>
  <c r="FN76" i="19"/>
  <c r="FF76" i="19"/>
  <c r="EX76" i="19"/>
  <c r="FW75" i="19"/>
  <c r="FO75" i="19"/>
  <c r="FG75" i="19"/>
  <c r="EY75" i="19"/>
  <c r="FX74" i="19"/>
  <c r="FP74" i="19"/>
  <c r="FH74" i="19"/>
  <c r="EZ74" i="19"/>
  <c r="FJ114" i="19"/>
  <c r="FL112" i="19"/>
  <c r="FN110" i="19"/>
  <c r="FP108" i="19"/>
  <c r="FR106" i="19"/>
  <c r="FT104" i="19"/>
  <c r="FE103" i="19"/>
  <c r="FP102" i="19"/>
  <c r="EV102" i="19"/>
  <c r="FG101" i="19"/>
  <c r="FR100" i="19"/>
  <c r="EX100" i="19"/>
  <c r="FI99" i="19"/>
  <c r="FT98" i="19"/>
  <c r="EZ98" i="19"/>
  <c r="FK97" i="19"/>
  <c r="FV96" i="19"/>
  <c r="FB96" i="19"/>
  <c r="FM95" i="19"/>
  <c r="FX94" i="19"/>
  <c r="FD94" i="19"/>
  <c r="FO93" i="19"/>
  <c r="FZ92" i="19"/>
  <c r="FF92" i="19"/>
  <c r="FQ91" i="19"/>
  <c r="EU91" i="19"/>
  <c r="FH90" i="19"/>
  <c r="FS89" i="19"/>
  <c r="EW89" i="19"/>
  <c r="FJ88" i="19"/>
  <c r="FU87" i="19"/>
  <c r="EY87" i="19"/>
  <c r="FL86" i="19"/>
  <c r="FW85" i="19"/>
  <c r="FD85" i="19"/>
  <c r="EV85" i="19"/>
  <c r="FU84" i="19"/>
  <c r="FM84" i="19"/>
  <c r="FE84" i="19"/>
  <c r="EW84" i="19"/>
  <c r="FV83" i="19"/>
  <c r="FN83" i="19"/>
  <c r="FF83" i="19"/>
  <c r="EX83" i="19"/>
  <c r="FW82" i="19"/>
  <c r="FO82" i="19"/>
  <c r="FG82" i="19"/>
  <c r="EY82" i="19"/>
  <c r="FX81" i="19"/>
  <c r="FP81" i="19"/>
  <c r="FH81" i="19"/>
  <c r="EZ81" i="19"/>
  <c r="FY80" i="19"/>
  <c r="FQ80" i="19"/>
  <c r="FI80" i="19"/>
  <c r="FA80" i="19"/>
  <c r="FZ79" i="19"/>
  <c r="FR79" i="19"/>
  <c r="FJ79" i="19"/>
  <c r="FB79" i="19"/>
  <c r="GA78" i="19"/>
  <c r="FS78" i="19"/>
  <c r="FK78" i="19"/>
  <c r="FC78" i="19"/>
  <c r="EU78" i="19"/>
  <c r="FT77" i="19"/>
  <c r="FL77" i="19"/>
  <c r="FD77" i="19"/>
  <c r="EV77" i="19"/>
  <c r="FU76" i="19"/>
  <c r="FM76" i="19"/>
  <c r="FE76" i="19"/>
  <c r="EW76" i="19"/>
  <c r="FV75" i="19"/>
  <c r="FN75" i="19"/>
  <c r="FF75" i="19"/>
  <c r="EX75" i="19"/>
  <c r="FW74" i="19"/>
  <c r="FO74" i="19"/>
  <c r="FG74" i="19"/>
  <c r="EY74" i="19"/>
  <c r="GA23" i="19"/>
  <c r="FS23" i="19"/>
  <c r="FK23" i="19"/>
  <c r="FC23" i="19"/>
  <c r="EU23" i="19"/>
  <c r="FT22" i="19"/>
  <c r="FL22" i="19"/>
  <c r="FD22" i="19"/>
  <c r="EV22" i="19"/>
  <c r="FU21" i="19"/>
  <c r="FM21" i="19"/>
  <c r="FE21" i="19"/>
  <c r="EW21" i="19"/>
  <c r="FV20" i="19"/>
  <c r="FN20" i="19"/>
  <c r="FF20" i="19"/>
  <c r="EX20" i="19"/>
  <c r="FW19" i="19"/>
  <c r="FO19" i="19"/>
  <c r="FG19" i="19"/>
  <c r="EY19" i="19"/>
  <c r="FX18" i="19"/>
  <c r="FP18" i="19"/>
  <c r="FH18" i="19"/>
  <c r="EZ18" i="19"/>
  <c r="FY17" i="19"/>
  <c r="FQ17" i="19"/>
  <c r="FI17" i="19"/>
  <c r="FA17" i="19"/>
  <c r="FZ16" i="19"/>
  <c r="FR16" i="19"/>
  <c r="FJ16" i="19"/>
  <c r="FB16" i="19"/>
  <c r="GA15" i="19"/>
  <c r="FS15" i="19"/>
  <c r="FK15" i="19"/>
  <c r="FC15" i="19"/>
  <c r="EU15" i="19"/>
  <c r="FT14" i="19"/>
  <c r="FL14" i="19"/>
  <c r="FD14" i="19"/>
  <c r="EV14" i="19"/>
  <c r="FU13" i="19"/>
  <c r="FM13" i="19"/>
  <c r="FE13" i="19"/>
  <c r="EW13" i="19"/>
  <c r="FV12" i="19"/>
  <c r="FN12" i="19"/>
  <c r="FF12" i="19"/>
  <c r="EX12" i="19"/>
  <c r="FW11" i="19"/>
  <c r="FO11" i="19"/>
  <c r="FG11" i="19"/>
  <c r="EY11" i="19"/>
  <c r="FX10" i="19"/>
  <c r="FP10" i="19"/>
  <c r="FB114" i="19"/>
  <c r="FD112" i="19"/>
  <c r="FF110" i="19"/>
  <c r="FH108" i="19"/>
  <c r="FJ106" i="19"/>
  <c r="FL104" i="19"/>
  <c r="FC103" i="19"/>
  <c r="FN102" i="19"/>
  <c r="FY101" i="19"/>
  <c r="FE101" i="19"/>
  <c r="FP100" i="19"/>
  <c r="GA99" i="19"/>
  <c r="FG99" i="19"/>
  <c r="FR98" i="19"/>
  <c r="EV98" i="19"/>
  <c r="FI97" i="19"/>
  <c r="FT96" i="19"/>
  <c r="EX96" i="19"/>
  <c r="FK95" i="19"/>
  <c r="FV94" i="19"/>
  <c r="EZ94" i="19"/>
  <c r="FM93" i="19"/>
  <c r="FX92" i="19"/>
  <c r="FB92" i="19"/>
  <c r="FO91" i="19"/>
  <c r="FZ90" i="19"/>
  <c r="FD90" i="19"/>
  <c r="FQ89" i="19"/>
  <c r="EU89" i="19"/>
  <c r="FF88" i="19"/>
  <c r="FS87" i="19"/>
  <c r="EW87" i="19"/>
  <c r="FH86" i="19"/>
  <c r="FU85" i="19"/>
  <c r="FC85" i="19"/>
  <c r="EU85" i="19"/>
  <c r="FT84" i="19"/>
  <c r="FL84" i="19"/>
  <c r="FD84" i="19"/>
  <c r="EV84" i="19"/>
  <c r="FU83" i="19"/>
  <c r="FM83" i="19"/>
  <c r="FE83" i="19"/>
  <c r="EW83" i="19"/>
  <c r="FV82" i="19"/>
  <c r="FN82" i="19"/>
  <c r="FF82" i="19"/>
  <c r="EX82" i="19"/>
  <c r="FW81" i="19"/>
  <c r="FO81" i="19"/>
  <c r="FG81" i="19"/>
  <c r="EY81" i="19"/>
  <c r="FX80" i="19"/>
  <c r="FP80" i="19"/>
  <c r="FH80" i="19"/>
  <c r="EZ80" i="19"/>
  <c r="FY79" i="19"/>
  <c r="FQ79" i="19"/>
  <c r="FI79" i="19"/>
  <c r="FA79" i="19"/>
  <c r="FZ78" i="19"/>
  <c r="FR78" i="19"/>
  <c r="FJ78" i="19"/>
  <c r="FB78" i="19"/>
  <c r="GA77" i="19"/>
  <c r="FS77" i="19"/>
  <c r="FK77" i="19"/>
  <c r="FC77" i="19"/>
  <c r="EU77" i="19"/>
  <c r="FT76" i="19"/>
  <c r="FL76" i="19"/>
  <c r="FD76" i="19"/>
  <c r="EV76" i="19"/>
  <c r="FU75" i="19"/>
  <c r="FM75" i="19"/>
  <c r="FE75" i="19"/>
  <c r="EW75" i="19"/>
  <c r="FV74" i="19"/>
  <c r="FN74" i="19"/>
  <c r="FF74" i="19"/>
  <c r="EX74" i="19"/>
  <c r="FZ23" i="19"/>
  <c r="FR23" i="19"/>
  <c r="FJ23" i="19"/>
  <c r="FB23" i="19"/>
  <c r="GA22" i="19"/>
  <c r="FS22" i="19"/>
  <c r="FK22" i="19"/>
  <c r="FC22" i="19"/>
  <c r="EU22" i="19"/>
  <c r="FT21" i="19"/>
  <c r="FL21" i="19"/>
  <c r="FD21" i="19"/>
  <c r="EV21" i="19"/>
  <c r="FU20" i="19"/>
  <c r="FM20" i="19"/>
  <c r="FE20" i="19"/>
  <c r="EW20" i="19"/>
  <c r="FV19" i="19"/>
  <c r="FN19" i="19"/>
  <c r="FF19" i="19"/>
  <c r="EX19" i="19"/>
  <c r="FW18" i="19"/>
  <c r="FO18" i="19"/>
  <c r="FG18" i="19"/>
  <c r="EY18" i="19"/>
  <c r="FX17" i="19"/>
  <c r="FP17" i="19"/>
  <c r="FH17" i="19"/>
  <c r="EZ17" i="19"/>
  <c r="FY16" i="19"/>
  <c r="FQ16" i="19"/>
  <c r="FI16" i="19"/>
  <c r="FA16" i="19"/>
  <c r="FZ15" i="19"/>
  <c r="FR15" i="19"/>
  <c r="FJ15" i="19"/>
  <c r="FB15" i="19"/>
  <c r="GA14" i="19"/>
  <c r="FS14" i="19"/>
  <c r="FK14" i="19"/>
  <c r="FC14" i="19"/>
  <c r="EU14" i="19"/>
  <c r="FT13" i="19"/>
  <c r="FL13" i="19"/>
  <c r="FD13" i="19"/>
  <c r="EV13" i="19"/>
  <c r="FU12" i="19"/>
  <c r="FM12" i="19"/>
  <c r="FE12" i="19"/>
  <c r="EW12" i="19"/>
  <c r="FV11" i="19"/>
  <c r="FN11" i="19"/>
  <c r="FF11" i="19"/>
  <c r="EX11" i="19"/>
  <c r="FW10" i="19"/>
  <c r="FO10" i="19"/>
  <c r="FG10" i="19"/>
  <c r="EY10" i="19"/>
  <c r="FY115" i="19"/>
  <c r="GA113" i="19"/>
  <c r="EV112" i="19"/>
  <c r="EX110" i="19"/>
  <c r="EZ108" i="19"/>
  <c r="FB106" i="19"/>
  <c r="FD104" i="19"/>
  <c r="EY103" i="19"/>
  <c r="FL102" i="19"/>
  <c r="FW101" i="19"/>
  <c r="FA101" i="19"/>
  <c r="FN100" i="19"/>
  <c r="FY99" i="19"/>
  <c r="FC99" i="19"/>
  <c r="FP98" i="19"/>
  <c r="GA97" i="19"/>
  <c r="FE97" i="19"/>
  <c r="FR96" i="19"/>
  <c r="EV96" i="19"/>
  <c r="FG95" i="19"/>
  <c r="FT94" i="19"/>
  <c r="EX94" i="19"/>
  <c r="FI93" i="19"/>
  <c r="FV92" i="19"/>
  <c r="EZ92" i="19"/>
  <c r="FK91" i="19"/>
  <c r="FX90" i="19"/>
  <c r="FB90" i="19"/>
  <c r="FM89" i="19"/>
  <c r="FZ88" i="19"/>
  <c r="FD88" i="19"/>
  <c r="FO87" i="19"/>
  <c r="EU87" i="19"/>
  <c r="FF86" i="19"/>
  <c r="FQ85" i="19"/>
  <c r="FB85" i="19"/>
  <c r="GA84" i="19"/>
  <c r="FS84" i="19"/>
  <c r="FK84" i="19"/>
  <c r="FC84" i="19"/>
  <c r="EU84" i="19"/>
  <c r="FT83" i="19"/>
  <c r="FL83" i="19"/>
  <c r="FD83" i="19"/>
  <c r="EV83" i="19"/>
  <c r="FU82" i="19"/>
  <c r="FM82" i="19"/>
  <c r="FE82" i="19"/>
  <c r="EW82" i="19"/>
  <c r="FV81" i="19"/>
  <c r="FN81" i="19"/>
  <c r="FF81" i="19"/>
  <c r="EX81" i="19"/>
  <c r="FW80" i="19"/>
  <c r="FO80" i="19"/>
  <c r="FG80" i="19"/>
  <c r="EY80" i="19"/>
  <c r="FX79" i="19"/>
  <c r="FP79" i="19"/>
  <c r="FH79" i="19"/>
  <c r="EZ79" i="19"/>
  <c r="FY78" i="19"/>
  <c r="FQ78" i="19"/>
  <c r="FI78" i="19"/>
  <c r="FA78" i="19"/>
  <c r="FZ77" i="19"/>
  <c r="FR77" i="19"/>
  <c r="FJ77" i="19"/>
  <c r="FB77" i="19"/>
  <c r="GA76" i="19"/>
  <c r="FS76" i="19"/>
  <c r="FK76" i="19"/>
  <c r="FC76" i="19"/>
  <c r="EU76" i="19"/>
  <c r="FT75" i="19"/>
  <c r="FL75" i="19"/>
  <c r="FD75" i="19"/>
  <c r="EV75" i="19"/>
  <c r="FU74" i="19"/>
  <c r="FM74" i="19"/>
  <c r="FE74" i="19"/>
  <c r="EW74" i="19"/>
  <c r="FY23" i="19"/>
  <c r="FQ23" i="19"/>
  <c r="FI23" i="19"/>
  <c r="FA23" i="19"/>
  <c r="FZ22" i="19"/>
  <c r="FR22" i="19"/>
  <c r="FJ22" i="19"/>
  <c r="FB22" i="19"/>
  <c r="GA21" i="19"/>
  <c r="FS21" i="19"/>
  <c r="FK21" i="19"/>
  <c r="FC21" i="19"/>
  <c r="EU21" i="19"/>
  <c r="FT20" i="19"/>
  <c r="FL20" i="19"/>
  <c r="FD20" i="19"/>
  <c r="EV20" i="19"/>
  <c r="FU19" i="19"/>
  <c r="FM19" i="19"/>
  <c r="FE19" i="19"/>
  <c r="EW19" i="19"/>
  <c r="FV18" i="19"/>
  <c r="FN18" i="19"/>
  <c r="FF18" i="19"/>
  <c r="EX18" i="19"/>
  <c r="FW17" i="19"/>
  <c r="FO17" i="19"/>
  <c r="FG17" i="19"/>
  <c r="EY17" i="19"/>
  <c r="FX16" i="19"/>
  <c r="FP16" i="19"/>
  <c r="FH16" i="19"/>
  <c r="EZ16" i="19"/>
  <c r="FY15" i="19"/>
  <c r="FQ15" i="19"/>
  <c r="FI15" i="19"/>
  <c r="FA15" i="19"/>
  <c r="FZ14" i="19"/>
  <c r="FR14" i="19"/>
  <c r="FJ14" i="19"/>
  <c r="FB14" i="19"/>
  <c r="GA13" i="19"/>
  <c r="FS13" i="19"/>
  <c r="FK13" i="19"/>
  <c r="FC13" i="19"/>
  <c r="EU13" i="19"/>
  <c r="FT12" i="19"/>
  <c r="FL12" i="19"/>
  <c r="FD12" i="19"/>
  <c r="EV12" i="19"/>
  <c r="FU11" i="19"/>
  <c r="FM11" i="19"/>
  <c r="FE11" i="19"/>
  <c r="EW11" i="19"/>
  <c r="FV10" i="19"/>
  <c r="FN10" i="19"/>
  <c r="FF10" i="19"/>
  <c r="EX10" i="19"/>
  <c r="EM115" i="19"/>
  <c r="EQ114" i="19"/>
  <c r="EI114" i="19"/>
  <c r="EM113" i="19"/>
  <c r="EQ112" i="19"/>
  <c r="EI112" i="19"/>
  <c r="EM111" i="19"/>
  <c r="EQ110" i="19"/>
  <c r="EI110" i="19"/>
  <c r="EM109" i="19"/>
  <c r="EQ108" i="19"/>
  <c r="EI108" i="19"/>
  <c r="EM107" i="19"/>
  <c r="EQ106" i="19"/>
  <c r="EI106" i="19"/>
  <c r="EM105" i="19"/>
  <c r="EQ104" i="19"/>
  <c r="EI104" i="19"/>
  <c r="EM103" i="19"/>
  <c r="EQ102" i="19"/>
  <c r="EI102" i="19"/>
  <c r="EM101" i="19"/>
  <c r="EQ100" i="19"/>
  <c r="EI100" i="19"/>
  <c r="EM99" i="19"/>
  <c r="EQ98" i="19"/>
  <c r="EI98" i="19"/>
  <c r="EM97" i="19"/>
  <c r="EQ96" i="19"/>
  <c r="EI96" i="19"/>
  <c r="FQ115" i="19"/>
  <c r="FS113" i="19"/>
  <c r="FU111" i="19"/>
  <c r="FW109" i="19"/>
  <c r="FY107" i="19"/>
  <c r="GA105" i="19"/>
  <c r="EV104" i="19"/>
  <c r="EW103" i="19"/>
  <c r="FH102" i="19"/>
  <c r="FU101" i="19"/>
  <c r="EY101" i="19"/>
  <c r="FJ100" i="19"/>
  <c r="FW99" i="19"/>
  <c r="FA99" i="19"/>
  <c r="FL98" i="19"/>
  <c r="FY97" i="19"/>
  <c r="FC97" i="19"/>
  <c r="FN96" i="19"/>
  <c r="GA95" i="19"/>
  <c r="FE95" i="19"/>
  <c r="FP94" i="19"/>
  <c r="EV94" i="19"/>
  <c r="FG93" i="19"/>
  <c r="FR92" i="19"/>
  <c r="EX92" i="19"/>
  <c r="FI91" i="19"/>
  <c r="FT90" i="19"/>
  <c r="EZ90" i="19"/>
  <c r="FK89" i="19"/>
  <c r="FV88" i="19"/>
  <c r="FB88" i="19"/>
  <c r="FM87" i="19"/>
  <c r="FX86" i="19"/>
  <c r="FD86" i="19"/>
  <c r="FO85" i="19"/>
  <c r="FA85" i="19"/>
  <c r="FZ84" i="19"/>
  <c r="FR84" i="19"/>
  <c r="FJ84" i="19"/>
  <c r="FB84" i="19"/>
  <c r="GA83" i="19"/>
  <c r="FS83" i="19"/>
  <c r="FK83" i="19"/>
  <c r="FC83" i="19"/>
  <c r="EU83" i="19"/>
  <c r="FT82" i="19"/>
  <c r="FL82" i="19"/>
  <c r="FD82" i="19"/>
  <c r="EV82" i="19"/>
  <c r="FU81" i="19"/>
  <c r="FM81" i="19"/>
  <c r="FE81" i="19"/>
  <c r="EW81" i="19"/>
  <c r="FV80" i="19"/>
  <c r="FN80" i="19"/>
  <c r="FF80" i="19"/>
  <c r="EX80" i="19"/>
  <c r="FW79" i="19"/>
  <c r="FO79" i="19"/>
  <c r="FG79" i="19"/>
  <c r="EY79" i="19"/>
  <c r="FX78" i="19"/>
  <c r="FP78" i="19"/>
  <c r="FH78" i="19"/>
  <c r="EZ78" i="19"/>
  <c r="FY77" i="19"/>
  <c r="FQ77" i="19"/>
  <c r="FI77" i="19"/>
  <c r="FA77" i="19"/>
  <c r="FZ76" i="19"/>
  <c r="FR76" i="19"/>
  <c r="FJ76" i="19"/>
  <c r="FB76" i="19"/>
  <c r="GA75" i="19"/>
  <c r="FS75" i="19"/>
  <c r="FK75" i="19"/>
  <c r="FC75" i="19"/>
  <c r="EU75" i="19"/>
  <c r="FT74" i="19"/>
  <c r="FL74" i="19"/>
  <c r="FD74" i="19"/>
  <c r="EV74" i="19"/>
  <c r="FX23" i="19"/>
  <c r="FP23" i="19"/>
  <c r="FH23" i="19"/>
  <c r="EZ23" i="19"/>
  <c r="FY22" i="19"/>
  <c r="FQ22" i="19"/>
  <c r="FI22" i="19"/>
  <c r="FA22" i="19"/>
  <c r="FZ21" i="19"/>
  <c r="FR21" i="19"/>
  <c r="FJ21" i="19"/>
  <c r="FB21" i="19"/>
  <c r="GA20" i="19"/>
  <c r="FS20" i="19"/>
  <c r="FK20" i="19"/>
  <c r="FC20" i="19"/>
  <c r="EU20" i="19"/>
  <c r="FT19" i="19"/>
  <c r="FL19" i="19"/>
  <c r="FD19" i="19"/>
  <c r="EV19" i="19"/>
  <c r="FU18" i="19"/>
  <c r="FM18" i="19"/>
  <c r="FE18" i="19"/>
  <c r="EW18" i="19"/>
  <c r="FV17" i="19"/>
  <c r="FN17" i="19"/>
  <c r="FF17" i="19"/>
  <c r="EX17" i="19"/>
  <c r="FW16" i="19"/>
  <c r="FO16" i="19"/>
  <c r="FG16" i="19"/>
  <c r="EY16" i="19"/>
  <c r="FX15" i="19"/>
  <c r="FP15" i="19"/>
  <c r="FH15" i="19"/>
  <c r="EZ15" i="19"/>
  <c r="FY14" i="19"/>
  <c r="FQ14" i="19"/>
  <c r="FI14" i="19"/>
  <c r="FA14" i="19"/>
  <c r="FZ13" i="19"/>
  <c r="FR13" i="19"/>
  <c r="FJ13" i="19"/>
  <c r="FB13" i="19"/>
  <c r="GA12" i="19"/>
  <c r="FS12" i="19"/>
  <c r="FK12" i="19"/>
  <c r="FC12" i="19"/>
  <c r="EU12" i="19"/>
  <c r="FT11" i="19"/>
  <c r="FL11" i="19"/>
  <c r="FD11" i="19"/>
  <c r="EV11" i="19"/>
  <c r="FU10" i="19"/>
  <c r="FM10" i="19"/>
  <c r="FE10" i="19"/>
  <c r="EW10" i="19"/>
  <c r="FI115" i="19"/>
  <c r="FK113" i="19"/>
  <c r="FM111" i="19"/>
  <c r="FO109" i="19"/>
  <c r="FQ107" i="19"/>
  <c r="FS105" i="19"/>
  <c r="FU103" i="19"/>
  <c r="EU103" i="19"/>
  <c r="FF102" i="19"/>
  <c r="FQ101" i="19"/>
  <c r="EW101" i="19"/>
  <c r="FH100" i="19"/>
  <c r="FS99" i="19"/>
  <c r="EY99" i="19"/>
  <c r="FJ98" i="19"/>
  <c r="FU97" i="19"/>
  <c r="FA97" i="19"/>
  <c r="FL96" i="19"/>
  <c r="FW95" i="19"/>
  <c r="FC95" i="19"/>
  <c r="FN94" i="19"/>
  <c r="FY93" i="19"/>
  <c r="FE93" i="19"/>
  <c r="FP92" i="19"/>
  <c r="GA91" i="19"/>
  <c r="FG91" i="19"/>
  <c r="FR90" i="19"/>
  <c r="EV90" i="19"/>
  <c r="FI89" i="19"/>
  <c r="FT88" i="19"/>
  <c r="EX88" i="19"/>
  <c r="FK87" i="19"/>
  <c r="FV86" i="19"/>
  <c r="EZ86" i="19"/>
  <c r="FM85" i="19"/>
  <c r="EZ85" i="19"/>
  <c r="FY84" i="19"/>
  <c r="FQ84" i="19"/>
  <c r="FI84" i="19"/>
  <c r="FA84" i="19"/>
  <c r="FZ83" i="19"/>
  <c r="FR83" i="19"/>
  <c r="FJ83" i="19"/>
  <c r="FB83" i="19"/>
  <c r="GA82" i="19"/>
  <c r="FS82" i="19"/>
  <c r="FK82" i="19"/>
  <c r="FC82" i="19"/>
  <c r="EU82" i="19"/>
  <c r="FT81" i="19"/>
  <c r="FL81" i="19"/>
  <c r="FD81" i="19"/>
  <c r="EV81" i="19"/>
  <c r="FU80" i="19"/>
  <c r="FM80" i="19"/>
  <c r="FE80" i="19"/>
  <c r="EW80" i="19"/>
  <c r="FV79" i="19"/>
  <c r="FN79" i="19"/>
  <c r="FF79" i="19"/>
  <c r="EX79" i="19"/>
  <c r="FW78" i="19"/>
  <c r="FO78" i="19"/>
  <c r="FG78" i="19"/>
  <c r="EY78" i="19"/>
  <c r="FX77" i="19"/>
  <c r="FP77" i="19"/>
  <c r="FH77" i="19"/>
  <c r="EZ77" i="19"/>
  <c r="FY76" i="19"/>
  <c r="FQ76" i="19"/>
  <c r="FI76" i="19"/>
  <c r="FA76" i="19"/>
  <c r="FZ75" i="19"/>
  <c r="FR75" i="19"/>
  <c r="FJ75" i="19"/>
  <c r="FB75" i="19"/>
  <c r="GA74" i="19"/>
  <c r="FS74" i="19"/>
  <c r="FK74" i="19"/>
  <c r="FC74" i="19"/>
  <c r="EU74" i="19"/>
  <c r="FW23" i="19"/>
  <c r="FO23" i="19"/>
  <c r="FG23" i="19"/>
  <c r="EY23" i="19"/>
  <c r="FX22" i="19"/>
  <c r="FP22" i="19"/>
  <c r="FH22" i="19"/>
  <c r="EZ22" i="19"/>
  <c r="FY21" i="19"/>
  <c r="FQ21" i="19"/>
  <c r="FI21" i="19"/>
  <c r="FA21" i="19"/>
  <c r="FZ20" i="19"/>
  <c r="FR20" i="19"/>
  <c r="FJ20" i="19"/>
  <c r="FB20" i="19"/>
  <c r="GA19" i="19"/>
  <c r="FS19" i="19"/>
  <c r="FK19" i="19"/>
  <c r="FC19" i="19"/>
  <c r="EU19" i="19"/>
  <c r="FT18" i="19"/>
  <c r="FL18" i="19"/>
  <c r="FD18" i="19"/>
  <c r="EV18" i="19"/>
  <c r="FU17" i="19"/>
  <c r="FM17" i="19"/>
  <c r="FE17" i="19"/>
  <c r="EW17" i="19"/>
  <c r="FV16" i="19"/>
  <c r="FN16" i="19"/>
  <c r="FF16" i="19"/>
  <c r="EX16" i="19"/>
  <c r="FW15" i="19"/>
  <c r="FO15" i="19"/>
  <c r="FG15" i="19"/>
  <c r="EY15" i="19"/>
  <c r="FX14" i="19"/>
  <c r="FP14" i="19"/>
  <c r="FH14" i="19"/>
  <c r="EZ14" i="19"/>
  <c r="FY13" i="19"/>
  <c r="FQ13" i="19"/>
  <c r="FI13" i="19"/>
  <c r="FA13" i="19"/>
  <c r="FZ12" i="19"/>
  <c r="FA115" i="19"/>
  <c r="FC113" i="19"/>
  <c r="FE111" i="19"/>
  <c r="FG109" i="19"/>
  <c r="FI107" i="19"/>
  <c r="FK105" i="19"/>
  <c r="FM103" i="19"/>
  <c r="FX102" i="19"/>
  <c r="FD102" i="19"/>
  <c r="FO101" i="19"/>
  <c r="FZ100" i="19"/>
  <c r="FF100" i="19"/>
  <c r="FQ99" i="19"/>
  <c r="EU99" i="19"/>
  <c r="FH98" i="19"/>
  <c r="FS97" i="19"/>
  <c r="EW97" i="19"/>
  <c r="FJ96" i="19"/>
  <c r="FU95" i="19"/>
  <c r="EY95" i="19"/>
  <c r="FL94" i="19"/>
  <c r="FW93" i="19"/>
  <c r="FA93" i="19"/>
  <c r="FN92" i="19"/>
  <c r="FY91" i="19"/>
  <c r="FC91" i="19"/>
  <c r="FP90" i="19"/>
  <c r="GA89" i="19"/>
  <c r="FE89" i="19"/>
  <c r="FR88" i="19"/>
  <c r="EV88" i="19"/>
  <c r="FG87" i="19"/>
  <c r="FT86" i="19"/>
  <c r="EX86" i="19"/>
  <c r="FI85" i="19"/>
  <c r="EY85" i="19"/>
  <c r="FX84" i="19"/>
  <c r="FP84" i="19"/>
  <c r="FH84" i="19"/>
  <c r="EZ84" i="19"/>
  <c r="FY83" i="19"/>
  <c r="FQ83" i="19"/>
  <c r="FI83" i="19"/>
  <c r="FA83" i="19"/>
  <c r="FZ82" i="19"/>
  <c r="FR82" i="19"/>
  <c r="FJ82" i="19"/>
  <c r="FB82" i="19"/>
  <c r="GA81" i="19"/>
  <c r="FS81" i="19"/>
  <c r="FK81" i="19"/>
  <c r="FC81" i="19"/>
  <c r="EU81" i="19"/>
  <c r="FT80" i="19"/>
  <c r="FL80" i="19"/>
  <c r="FD80" i="19"/>
  <c r="EV80" i="19"/>
  <c r="FU79" i="19"/>
  <c r="FM79" i="19"/>
  <c r="FE79" i="19"/>
  <c r="EW79" i="19"/>
  <c r="FV78" i="19"/>
  <c r="FN78" i="19"/>
  <c r="FF78" i="19"/>
  <c r="EX78" i="19"/>
  <c r="FW77" i="19"/>
  <c r="FO77" i="19"/>
  <c r="FG77" i="19"/>
  <c r="EY77" i="19"/>
  <c r="FX76" i="19"/>
  <c r="FP76" i="19"/>
  <c r="FH76" i="19"/>
  <c r="EZ76" i="19"/>
  <c r="FY75" i="19"/>
  <c r="FQ75" i="19"/>
  <c r="FI75" i="19"/>
  <c r="FA75" i="19"/>
  <c r="FZ74" i="19"/>
  <c r="FR74" i="19"/>
  <c r="FJ74" i="19"/>
  <c r="FB74" i="19"/>
  <c r="FV23" i="19"/>
  <c r="FN23" i="19"/>
  <c r="FF23" i="19"/>
  <c r="EX23" i="19"/>
  <c r="FW22" i="19"/>
  <c r="FO22" i="19"/>
  <c r="FG22" i="19"/>
  <c r="EY22" i="19"/>
  <c r="FX21" i="19"/>
  <c r="FP21" i="19"/>
  <c r="FH21" i="19"/>
  <c r="EZ21" i="19"/>
  <c r="FY20" i="19"/>
  <c r="FQ20" i="19"/>
  <c r="FI20" i="19"/>
  <c r="FA20" i="19"/>
  <c r="FZ19" i="19"/>
  <c r="FR19" i="19"/>
  <c r="FJ19" i="19"/>
  <c r="FB19" i="19"/>
  <c r="GA18" i="19"/>
  <c r="FS18" i="19"/>
  <c r="FK18" i="19"/>
  <c r="FC18" i="19"/>
  <c r="EU18" i="19"/>
  <c r="FT17" i="19"/>
  <c r="FL17" i="19"/>
  <c r="FD17" i="19"/>
  <c r="EV17" i="19"/>
  <c r="FU16" i="19"/>
  <c r="FM16" i="19"/>
  <c r="FE16" i="19"/>
  <c r="EW16" i="19"/>
  <c r="FV15" i="19"/>
  <c r="FN15" i="19"/>
  <c r="FF15" i="19"/>
  <c r="EX15" i="19"/>
  <c r="FW14" i="19"/>
  <c r="FO14" i="19"/>
  <c r="FG14" i="19"/>
  <c r="EY14" i="19"/>
  <c r="FX13" i="19"/>
  <c r="FP13" i="19"/>
  <c r="FH13" i="19"/>
  <c r="EZ13" i="19"/>
  <c r="FY12" i="19"/>
  <c r="FQ12" i="19"/>
  <c r="FI12" i="19"/>
  <c r="FA12" i="19"/>
  <c r="FZ11" i="19"/>
  <c r="FR11" i="19"/>
  <c r="FJ11" i="19"/>
  <c r="FB11" i="19"/>
  <c r="GA10" i="19"/>
  <c r="FS10" i="19"/>
  <c r="FK10" i="19"/>
  <c r="FC10" i="19"/>
  <c r="EU10" i="19"/>
  <c r="ER115" i="19"/>
  <c r="EJ115" i="19"/>
  <c r="EN114" i="19"/>
  <c r="ER113" i="19"/>
  <c r="EJ113" i="19"/>
  <c r="EN112" i="19"/>
  <c r="ER111" i="19"/>
  <c r="EJ111" i="19"/>
  <c r="EN110" i="19"/>
  <c r="ER109" i="19"/>
  <c r="EJ109" i="19"/>
  <c r="EN108" i="19"/>
  <c r="ER107" i="19"/>
  <c r="EJ107" i="19"/>
  <c r="EN106" i="19"/>
  <c r="ER105" i="19"/>
  <c r="EJ105" i="19"/>
  <c r="EN104" i="19"/>
  <c r="ER103" i="19"/>
  <c r="EJ103" i="19"/>
  <c r="EN102" i="19"/>
  <c r="ER101" i="19"/>
  <c r="FL23" i="19"/>
  <c r="FN21" i="19"/>
  <c r="FP19" i="19"/>
  <c r="FR17" i="19"/>
  <c r="FT15" i="19"/>
  <c r="FV13" i="19"/>
  <c r="FG12" i="19"/>
  <c r="FH11" i="19"/>
  <c r="FI10" i="19"/>
  <c r="EL115" i="19"/>
  <c r="EK114" i="19"/>
  <c r="EK113" i="19"/>
  <c r="EJ112" i="19"/>
  <c r="ET110" i="19"/>
  <c r="ET109" i="19"/>
  <c r="ES108" i="19"/>
  <c r="ES107" i="19"/>
  <c r="ER106" i="19"/>
  <c r="EP105" i="19"/>
  <c r="EP104" i="19"/>
  <c r="EO103" i="19"/>
  <c r="EO102" i="19"/>
  <c r="EN101" i="19"/>
  <c r="EO100" i="19"/>
  <c r="EQ99" i="19"/>
  <c r="ET98" i="19"/>
  <c r="EK98" i="19"/>
  <c r="EN97" i="19"/>
  <c r="EP96" i="19"/>
  <c r="ES95" i="19"/>
  <c r="EK95" i="19"/>
  <c r="EO94" i="19"/>
  <c r="ES93" i="19"/>
  <c r="EK93" i="19"/>
  <c r="EO92" i="19"/>
  <c r="ES91" i="19"/>
  <c r="EK91" i="19"/>
  <c r="EO90" i="19"/>
  <c r="ES89" i="19"/>
  <c r="EK89" i="19"/>
  <c r="EO88" i="19"/>
  <c r="ES87" i="19"/>
  <c r="EK87" i="19"/>
  <c r="EO86" i="19"/>
  <c r="ES85" i="19"/>
  <c r="EK85" i="19"/>
  <c r="EO84" i="19"/>
  <c r="ES83" i="19"/>
  <c r="EK83" i="19"/>
  <c r="EO82" i="19"/>
  <c r="ES81" i="19"/>
  <c r="EK81" i="19"/>
  <c r="EO80" i="19"/>
  <c r="ES79" i="19"/>
  <c r="EK79" i="19"/>
  <c r="EO78" i="19"/>
  <c r="ES77" i="19"/>
  <c r="EK77" i="19"/>
  <c r="EO76" i="19"/>
  <c r="ES75" i="19"/>
  <c r="EK75" i="19"/>
  <c r="EO74" i="19"/>
  <c r="EO23" i="19"/>
  <c r="ES22" i="19"/>
  <c r="EK22" i="19"/>
  <c r="EO21" i="19"/>
  <c r="ES20" i="19"/>
  <c r="EK20" i="19"/>
  <c r="EO19" i="19"/>
  <c r="ES18" i="19"/>
  <c r="EK18" i="19"/>
  <c r="EO17" i="19"/>
  <c r="ES16" i="19"/>
  <c r="EK16" i="19"/>
  <c r="EO15" i="19"/>
  <c r="ES14" i="19"/>
  <c r="EK14" i="19"/>
  <c r="EO13" i="19"/>
  <c r="ES12" i="19"/>
  <c r="EK12" i="19"/>
  <c r="EO11" i="19"/>
  <c r="ES10" i="19"/>
  <c r="EK10" i="19"/>
  <c r="FD23" i="19"/>
  <c r="FF21" i="19"/>
  <c r="FH19" i="19"/>
  <c r="FJ17" i="19"/>
  <c r="FL15" i="19"/>
  <c r="FN13" i="19"/>
  <c r="FB12" i="19"/>
  <c r="FC11" i="19"/>
  <c r="FH10" i="19"/>
  <c r="EK115" i="19"/>
  <c r="EJ114" i="19"/>
  <c r="ET112" i="19"/>
  <c r="ET111" i="19"/>
  <c r="ES110" i="19"/>
  <c r="ES109" i="19"/>
  <c r="ER108" i="19"/>
  <c r="EP107" i="19"/>
  <c r="EP106" i="19"/>
  <c r="EO105" i="19"/>
  <c r="EO104" i="19"/>
  <c r="EN103" i="19"/>
  <c r="EL102" i="19"/>
  <c r="EL101" i="19"/>
  <c r="EN100" i="19"/>
  <c r="EP99" i="19"/>
  <c r="ES98" i="19"/>
  <c r="EJ98" i="19"/>
  <c r="EL97" i="19"/>
  <c r="EO96" i="19"/>
  <c r="ER95" i="19"/>
  <c r="EJ95" i="19"/>
  <c r="EN94" i="19"/>
  <c r="ER93" i="19"/>
  <c r="EJ93" i="19"/>
  <c r="EN92" i="19"/>
  <c r="ER91" i="19"/>
  <c r="EJ91" i="19"/>
  <c r="EN90" i="19"/>
  <c r="ER89" i="19"/>
  <c r="EJ89" i="19"/>
  <c r="EN88" i="19"/>
  <c r="ER87" i="19"/>
  <c r="EJ87" i="19"/>
  <c r="EN86" i="19"/>
  <c r="ER85" i="19"/>
  <c r="EJ85" i="19"/>
  <c r="EN84" i="19"/>
  <c r="ER83" i="19"/>
  <c r="EJ83" i="19"/>
  <c r="EN82" i="19"/>
  <c r="ER81" i="19"/>
  <c r="EJ81" i="19"/>
  <c r="EN80" i="19"/>
  <c r="ER79" i="19"/>
  <c r="EJ79" i="19"/>
  <c r="EN78" i="19"/>
  <c r="ER77" i="19"/>
  <c r="EJ77" i="19"/>
  <c r="EN76" i="19"/>
  <c r="ER75" i="19"/>
  <c r="EJ75" i="19"/>
  <c r="EN74" i="19"/>
  <c r="EN23" i="19"/>
  <c r="ER22" i="19"/>
  <c r="EJ22" i="19"/>
  <c r="EN21" i="19"/>
  <c r="ER20" i="19"/>
  <c r="EJ20" i="19"/>
  <c r="EN19" i="19"/>
  <c r="ER18" i="19"/>
  <c r="EJ18" i="19"/>
  <c r="EN17" i="19"/>
  <c r="ER16" i="19"/>
  <c r="EJ16" i="19"/>
  <c r="EN15" i="19"/>
  <c r="ER14" i="19"/>
  <c r="EJ14" i="19"/>
  <c r="EN13" i="19"/>
  <c r="ER12" i="19"/>
  <c r="EJ12" i="19"/>
  <c r="EN11" i="19"/>
  <c r="ER10" i="19"/>
  <c r="EJ10" i="19"/>
  <c r="EV23" i="19"/>
  <c r="EX21" i="19"/>
  <c r="EZ19" i="19"/>
  <c r="FB17" i="19"/>
  <c r="FD15" i="19"/>
  <c r="FF13" i="19"/>
  <c r="EY12" i="19"/>
  <c r="EZ11" i="19"/>
  <c r="FD10" i="19"/>
  <c r="ET114" i="19"/>
  <c r="ET113" i="19"/>
  <c r="ES112" i="19"/>
  <c r="ES111" i="19"/>
  <c r="ER110" i="19"/>
  <c r="EP109" i="19"/>
  <c r="EP108" i="19"/>
  <c r="EO107" i="19"/>
  <c r="EO106" i="19"/>
  <c r="EN105" i="19"/>
  <c r="EL104" i="19"/>
  <c r="EL103" i="19"/>
  <c r="EK102" i="19"/>
  <c r="EK101" i="19"/>
  <c r="EL100" i="19"/>
  <c r="EO99" i="19"/>
  <c r="ER98" i="19"/>
  <c r="ET97" i="19"/>
  <c r="EK97" i="19"/>
  <c r="EN96" i="19"/>
  <c r="EQ95" i="19"/>
  <c r="EI95" i="19"/>
  <c r="EM94" i="19"/>
  <c r="EQ93" i="19"/>
  <c r="EI93" i="19"/>
  <c r="EM92" i="19"/>
  <c r="EQ91" i="19"/>
  <c r="EI91" i="19"/>
  <c r="EM90" i="19"/>
  <c r="EQ89" i="19"/>
  <c r="EI89" i="19"/>
  <c r="EM88" i="19"/>
  <c r="EQ87" i="19"/>
  <c r="EI87" i="19"/>
  <c r="EM86" i="19"/>
  <c r="EQ85" i="19"/>
  <c r="EI85" i="19"/>
  <c r="EM84" i="19"/>
  <c r="EQ83" i="19"/>
  <c r="EI83" i="19"/>
  <c r="EM82" i="19"/>
  <c r="EQ81" i="19"/>
  <c r="EI81" i="19"/>
  <c r="EM80" i="19"/>
  <c r="EQ79" i="19"/>
  <c r="EI79" i="19"/>
  <c r="EM78" i="19"/>
  <c r="EQ77" i="19"/>
  <c r="EI77" i="19"/>
  <c r="EM76" i="19"/>
  <c r="EQ75" i="19"/>
  <c r="EI75" i="19"/>
  <c r="EM74" i="19"/>
  <c r="EM23" i="19"/>
  <c r="EQ22" i="19"/>
  <c r="EI22" i="19"/>
  <c r="EM21" i="19"/>
  <c r="EQ20" i="19"/>
  <c r="EI20" i="19"/>
  <c r="EM19" i="19"/>
  <c r="EQ18" i="19"/>
  <c r="EI18" i="19"/>
  <c r="EM17" i="19"/>
  <c r="EQ16" i="19"/>
  <c r="EI16" i="19"/>
  <c r="EM15" i="19"/>
  <c r="EQ14" i="19"/>
  <c r="EI14" i="19"/>
  <c r="EM13" i="19"/>
  <c r="EQ12" i="19"/>
  <c r="EI12" i="19"/>
  <c r="EM11" i="19"/>
  <c r="EQ10" i="19"/>
  <c r="EI10" i="19"/>
  <c r="FU22" i="19"/>
  <c r="FW20" i="19"/>
  <c r="FY18" i="19"/>
  <c r="GA16" i="19"/>
  <c r="EV15" i="19"/>
  <c r="EX13" i="19"/>
  <c r="GA11" i="19"/>
  <c r="EU11" i="19"/>
  <c r="FA10" i="19"/>
  <c r="ET115" i="19"/>
  <c r="ES114" i="19"/>
  <c r="ES113" i="19"/>
  <c r="ER112" i="19"/>
  <c r="EP111" i="19"/>
  <c r="EP110" i="19"/>
  <c r="EO109" i="19"/>
  <c r="EO108" i="19"/>
  <c r="EN107" i="19"/>
  <c r="EL106" i="19"/>
  <c r="EL105" i="19"/>
  <c r="EK104" i="19"/>
  <c r="EK103" i="19"/>
  <c r="EJ102" i="19"/>
  <c r="EJ101" i="19"/>
  <c r="EK100" i="19"/>
  <c r="EN99" i="19"/>
  <c r="EP98" i="19"/>
  <c r="ES97" i="19"/>
  <c r="EJ97" i="19"/>
  <c r="EM96" i="19"/>
  <c r="EP95" i="19"/>
  <c r="ET94" i="19"/>
  <c r="EL94" i="19"/>
  <c r="EP93" i="19"/>
  <c r="ET92" i="19"/>
  <c r="EL92" i="19"/>
  <c r="EP91" i="19"/>
  <c r="ET90" i="19"/>
  <c r="EL90" i="19"/>
  <c r="EP89" i="19"/>
  <c r="ET88" i="19"/>
  <c r="EL88" i="19"/>
  <c r="EP87" i="19"/>
  <c r="ET86" i="19"/>
  <c r="EL86" i="19"/>
  <c r="EP85" i="19"/>
  <c r="ET84" i="19"/>
  <c r="EL84" i="19"/>
  <c r="EP83" i="19"/>
  <c r="ET82" i="19"/>
  <c r="EL82" i="19"/>
  <c r="EP81" i="19"/>
  <c r="ET80" i="19"/>
  <c r="EL80" i="19"/>
  <c r="EP79" i="19"/>
  <c r="ET78" i="19"/>
  <c r="EL78" i="19"/>
  <c r="EP77" i="19"/>
  <c r="ET76" i="19"/>
  <c r="EL76" i="19"/>
  <c r="EP75" i="19"/>
  <c r="ET74" i="19"/>
  <c r="EL74" i="19"/>
  <c r="ET23" i="19"/>
  <c r="EL23" i="19"/>
  <c r="EP22" i="19"/>
  <c r="ET21" i="19"/>
  <c r="EL21" i="19"/>
  <c r="EP20" i="19"/>
  <c r="ET19" i="19"/>
  <c r="EL19" i="19"/>
  <c r="EP18" i="19"/>
  <c r="ET17" i="19"/>
  <c r="EL17" i="19"/>
  <c r="EP16" i="19"/>
  <c r="ET15" i="19"/>
  <c r="EL15" i="19"/>
  <c r="EP14" i="19"/>
  <c r="ET13" i="19"/>
  <c r="EL13" i="19"/>
  <c r="EP12" i="19"/>
  <c r="ET11" i="19"/>
  <c r="EL11" i="19"/>
  <c r="EP10" i="19"/>
  <c r="FM22" i="19"/>
  <c r="FO20" i="19"/>
  <c r="FQ18" i="19"/>
  <c r="FS16" i="19"/>
  <c r="FU14" i="19"/>
  <c r="FW12" i="19"/>
  <c r="FX11" i="19"/>
  <c r="FY10" i="19"/>
  <c r="EZ10" i="19"/>
  <c r="ES115" i="19"/>
  <c r="ER114" i="19"/>
  <c r="EP113" i="19"/>
  <c r="EP112" i="19"/>
  <c r="EO111" i="19"/>
  <c r="EO110" i="19"/>
  <c r="EN109" i="19"/>
  <c r="EL108" i="19"/>
  <c r="EL107" i="19"/>
  <c r="EK106" i="19"/>
  <c r="EK105" i="19"/>
  <c r="EJ104" i="19"/>
  <c r="ET102" i="19"/>
  <c r="ET101" i="19"/>
  <c r="ET100" i="19"/>
  <c r="EJ100" i="19"/>
  <c r="EL99" i="19"/>
  <c r="EO98" i="19"/>
  <c r="ER97" i="19"/>
  <c r="EI97" i="19"/>
  <c r="EL96" i="19"/>
  <c r="EO95" i="19"/>
  <c r="ES94" i="19"/>
  <c r="EK94" i="19"/>
  <c r="EO93" i="19"/>
  <c r="ES92" i="19"/>
  <c r="EK92" i="19"/>
  <c r="EO91" i="19"/>
  <c r="ES90" i="19"/>
  <c r="EK90" i="19"/>
  <c r="EO89" i="19"/>
  <c r="ES88" i="19"/>
  <c r="EK88" i="19"/>
  <c r="EO87" i="19"/>
  <c r="ES86" i="19"/>
  <c r="EK86" i="19"/>
  <c r="EO85" i="19"/>
  <c r="ES84" i="19"/>
  <c r="EK84" i="19"/>
  <c r="EO83" i="19"/>
  <c r="ES82" i="19"/>
  <c r="EK82" i="19"/>
  <c r="EO81" i="19"/>
  <c r="ES80" i="19"/>
  <c r="EK80" i="19"/>
  <c r="EO79" i="19"/>
  <c r="ES78" i="19"/>
  <c r="EK78" i="19"/>
  <c r="EO77" i="19"/>
  <c r="ES76" i="19"/>
  <c r="EK76" i="19"/>
  <c r="EO75" i="19"/>
  <c r="ES74" i="19"/>
  <c r="EK74" i="19"/>
  <c r="ES23" i="19"/>
  <c r="EK23" i="19"/>
  <c r="EO22" i="19"/>
  <c r="ES21" i="19"/>
  <c r="EK21" i="19"/>
  <c r="EO20" i="19"/>
  <c r="ES19" i="19"/>
  <c r="EK19" i="19"/>
  <c r="EO18" i="19"/>
  <c r="ES17" i="19"/>
  <c r="EK17" i="19"/>
  <c r="EO16" i="19"/>
  <c r="ES15" i="19"/>
  <c r="EK15" i="19"/>
  <c r="EO14" i="19"/>
  <c r="ES13" i="19"/>
  <c r="EK13" i="19"/>
  <c r="EO12" i="19"/>
  <c r="ES11" i="19"/>
  <c r="EK11" i="19"/>
  <c r="EO10" i="19"/>
  <c r="FE22" i="19"/>
  <c r="FG20" i="19"/>
  <c r="FI18" i="19"/>
  <c r="FK16" i="19"/>
  <c r="FM14" i="19"/>
  <c r="FR12" i="19"/>
  <c r="FS11" i="19"/>
  <c r="FT10" i="19"/>
  <c r="EV10" i="19"/>
  <c r="EP115" i="19"/>
  <c r="EP114" i="19"/>
  <c r="EO113" i="19"/>
  <c r="EO112" i="19"/>
  <c r="EN111" i="19"/>
  <c r="EL110" i="19"/>
  <c r="EL109" i="19"/>
  <c r="EK108" i="19"/>
  <c r="EK107" i="19"/>
  <c r="EJ106" i="19"/>
  <c r="ET104" i="19"/>
  <c r="ET103" i="19"/>
  <c r="ES102" i="19"/>
  <c r="ES101" i="19"/>
  <c r="ES100" i="19"/>
  <c r="ET99" i="19"/>
  <c r="EK99" i="19"/>
  <c r="EN98" i="19"/>
  <c r="EQ97" i="19"/>
  <c r="ET96" i="19"/>
  <c r="EK96" i="19"/>
  <c r="EN95" i="19"/>
  <c r="ER94" i="19"/>
  <c r="EJ94" i="19"/>
  <c r="EN93" i="19"/>
  <c r="ER92" i="19"/>
  <c r="EJ92" i="19"/>
  <c r="EN91" i="19"/>
  <c r="ER90" i="19"/>
  <c r="EJ90" i="19"/>
  <c r="EN89" i="19"/>
  <c r="ER88" i="19"/>
  <c r="EJ88" i="19"/>
  <c r="EN87" i="19"/>
  <c r="ER86" i="19"/>
  <c r="EJ86" i="19"/>
  <c r="EN85" i="19"/>
  <c r="ER84" i="19"/>
  <c r="EJ84" i="19"/>
  <c r="EN83" i="19"/>
  <c r="ER82" i="19"/>
  <c r="EJ82" i="19"/>
  <c r="EN81" i="19"/>
  <c r="ER80" i="19"/>
  <c r="EJ80" i="19"/>
  <c r="EN79" i="19"/>
  <c r="ER78" i="19"/>
  <c r="EJ78" i="19"/>
  <c r="EN77" i="19"/>
  <c r="ER76" i="19"/>
  <c r="EJ76" i="19"/>
  <c r="EN75" i="19"/>
  <c r="ER74" i="19"/>
  <c r="EJ74" i="19"/>
  <c r="ER23" i="19"/>
  <c r="EJ23" i="19"/>
  <c r="EN22" i="19"/>
  <c r="ER21" i="19"/>
  <c r="EJ21" i="19"/>
  <c r="EN20" i="19"/>
  <c r="ER19" i="19"/>
  <c r="EJ19" i="19"/>
  <c r="EN18" i="19"/>
  <c r="ER17" i="19"/>
  <c r="EJ17" i="19"/>
  <c r="EN16" i="19"/>
  <c r="ER15" i="19"/>
  <c r="EJ15" i="19"/>
  <c r="EN14" i="19"/>
  <c r="ER13" i="19"/>
  <c r="EJ13" i="19"/>
  <c r="EN12" i="19"/>
  <c r="ER11" i="19"/>
  <c r="EJ11" i="19"/>
  <c r="EN10" i="19"/>
  <c r="EW22" i="19"/>
  <c r="FE14" i="19"/>
  <c r="EL114" i="19"/>
  <c r="EJ110" i="19"/>
  <c r="ES105" i="19"/>
  <c r="EO101" i="19"/>
  <c r="EL98" i="19"/>
  <c r="EL95" i="19"/>
  <c r="EP92" i="19"/>
  <c r="ET89" i="19"/>
  <c r="EL87" i="19"/>
  <c r="EP84" i="19"/>
  <c r="ET81" i="19"/>
  <c r="EL79" i="19"/>
  <c r="EP76" i="19"/>
  <c r="EM22" i="19"/>
  <c r="EQ19" i="19"/>
  <c r="EI17" i="19"/>
  <c r="EM14" i="19"/>
  <c r="EQ11" i="19"/>
  <c r="FV21" i="19"/>
  <c r="EW14" i="19"/>
  <c r="EN113" i="19"/>
  <c r="EK109" i="19"/>
  <c r="ES104" i="19"/>
  <c r="ER100" i="19"/>
  <c r="EP97" i="19"/>
  <c r="EQ94" i="19"/>
  <c r="EI92" i="19"/>
  <c r="EM89" i="19"/>
  <c r="EQ86" i="19"/>
  <c r="EI84" i="19"/>
  <c r="EM81" i="19"/>
  <c r="EQ78" i="19"/>
  <c r="EI76" i="19"/>
  <c r="EL22" i="19"/>
  <c r="EP19" i="19"/>
  <c r="ET16" i="19"/>
  <c r="EL14" i="19"/>
  <c r="EP11" i="19"/>
  <c r="FL10" i="19"/>
  <c r="EP101" i="19"/>
  <c r="EI90" i="19"/>
  <c r="EM79" i="19"/>
  <c r="EL20" i="19"/>
  <c r="EY20" i="19"/>
  <c r="FO12" i="19"/>
  <c r="EL113" i="19"/>
  <c r="ET108" i="19"/>
  <c r="ER104" i="19"/>
  <c r="EP100" i="19"/>
  <c r="EO97" i="19"/>
  <c r="EP94" i="19"/>
  <c r="ET91" i="19"/>
  <c r="EL89" i="19"/>
  <c r="EP86" i="19"/>
  <c r="ET83" i="19"/>
  <c r="EL81" i="19"/>
  <c r="EP78" i="19"/>
  <c r="ET75" i="19"/>
  <c r="EQ21" i="19"/>
  <c r="EI19" i="19"/>
  <c r="EM16" i="19"/>
  <c r="EQ13" i="19"/>
  <c r="EI11" i="19"/>
  <c r="FC16" i="19"/>
  <c r="EI99" i="19"/>
  <c r="ET87" i="19"/>
  <c r="EP74" i="19"/>
  <c r="EI15" i="19"/>
  <c r="FX19" i="19"/>
  <c r="FJ12" i="19"/>
  <c r="EL112" i="19"/>
  <c r="EJ108" i="19"/>
  <c r="ES103" i="19"/>
  <c r="ES99" i="19"/>
  <c r="ES96" i="19"/>
  <c r="EI94" i="19"/>
  <c r="EM91" i="19"/>
  <c r="EQ88" i="19"/>
  <c r="EI86" i="19"/>
  <c r="EM83" i="19"/>
  <c r="EQ80" i="19"/>
  <c r="EI78" i="19"/>
  <c r="EM75" i="19"/>
  <c r="EP21" i="19"/>
  <c r="ET18" i="19"/>
  <c r="EL16" i="19"/>
  <c r="EP13" i="19"/>
  <c r="ET10" i="19"/>
  <c r="FQ10" i="19"/>
  <c r="EP102" i="19"/>
  <c r="EP90" i="19"/>
  <c r="EL77" i="19"/>
  <c r="EI23" i="19"/>
  <c r="FA18" i="19"/>
  <c r="FP11" i="19"/>
  <c r="EK112" i="19"/>
  <c r="ET107" i="19"/>
  <c r="EP103" i="19"/>
  <c r="ER99" i="19"/>
  <c r="ER96" i="19"/>
  <c r="ET93" i="19"/>
  <c r="EL91" i="19"/>
  <c r="EP88" i="19"/>
  <c r="ET85" i="19"/>
  <c r="EL83" i="19"/>
  <c r="EP80" i="19"/>
  <c r="ET77" i="19"/>
  <c r="EL75" i="19"/>
  <c r="EQ23" i="19"/>
  <c r="EI21" i="19"/>
  <c r="EM18" i="19"/>
  <c r="EQ15" i="19"/>
  <c r="EI13" i="19"/>
  <c r="EM10" i="19"/>
  <c r="EN115" i="19"/>
  <c r="ET95" i="19"/>
  <c r="EL85" i="19"/>
  <c r="EQ17" i="19"/>
  <c r="EK110" i="19"/>
  <c r="EM95" i="19"/>
  <c r="EQ84" i="19"/>
  <c r="EI74" i="19"/>
  <c r="ET22" i="19"/>
  <c r="ET14" i="19"/>
  <c r="FZ17" i="19"/>
  <c r="FK11" i="19"/>
  <c r="EO115" i="19"/>
  <c r="EL111" i="19"/>
  <c r="ET106" i="19"/>
  <c r="ER102" i="19"/>
  <c r="EJ99" i="19"/>
  <c r="EJ96" i="19"/>
  <c r="EM93" i="19"/>
  <c r="EQ90" i="19"/>
  <c r="EI88" i="19"/>
  <c r="EM85" i="19"/>
  <c r="EQ82" i="19"/>
  <c r="EI80" i="19"/>
  <c r="EM77" i="19"/>
  <c r="EQ74" i="19"/>
  <c r="EP23" i="19"/>
  <c r="ET20" i="19"/>
  <c r="EL18" i="19"/>
  <c r="EP15" i="19"/>
  <c r="ET12" i="19"/>
  <c r="EL10" i="19"/>
  <c r="ES106" i="19"/>
  <c r="EL93" i="19"/>
  <c r="EP82" i="19"/>
  <c r="EM12" i="19"/>
  <c r="EU16" i="19"/>
  <c r="EO114" i="19"/>
  <c r="EM98" i="19"/>
  <c r="EM87" i="19"/>
  <c r="EQ76" i="19"/>
  <c r="EL12" i="19"/>
  <c r="EK111" i="19"/>
  <c r="ET79" i="19"/>
  <c r="EM20" i="19"/>
  <c r="FT23" i="19"/>
  <c r="ET105" i="19"/>
  <c r="EQ92" i="19"/>
  <c r="EI82" i="19"/>
  <c r="EP17" i="19"/>
  <c r="DX79" i="19"/>
  <c r="EF79" i="19"/>
  <c r="EC80" i="19"/>
  <c r="DZ81" i="19"/>
  <c r="EH81" i="19"/>
  <c r="EE82" i="19"/>
  <c r="EB83" i="19"/>
  <c r="DY84" i="19"/>
  <c r="EG84" i="19"/>
  <c r="ED85" i="19"/>
  <c r="EA86" i="19"/>
  <c r="DX87" i="19"/>
  <c r="EF87" i="19"/>
  <c r="EC88" i="19"/>
  <c r="DZ89" i="19"/>
  <c r="EH89" i="19"/>
  <c r="EE90" i="19"/>
  <c r="EB91" i="19"/>
  <c r="DY92" i="19"/>
  <c r="EG92" i="19"/>
  <c r="ED93" i="19"/>
  <c r="EA94" i="19"/>
  <c r="DX95" i="19"/>
  <c r="EF95" i="19"/>
  <c r="EC96" i="19"/>
  <c r="DZ97" i="19"/>
  <c r="EH97" i="19"/>
  <c r="EE98" i="19"/>
  <c r="EB99" i="19"/>
  <c r="DY100" i="19"/>
  <c r="EG100" i="19"/>
  <c r="ED101" i="19"/>
  <c r="EA102" i="19"/>
  <c r="DX103" i="19"/>
  <c r="EF103" i="19"/>
  <c r="EC104" i="19"/>
  <c r="DZ105" i="19"/>
  <c r="EH105" i="19"/>
  <c r="EE106" i="19"/>
  <c r="EB107" i="19"/>
  <c r="DY108" i="19"/>
  <c r="EG108" i="19"/>
  <c r="ED109" i="19"/>
  <c r="EA110" i="19"/>
  <c r="DX111" i="19"/>
  <c r="EF111" i="19"/>
  <c r="EC112" i="19"/>
  <c r="DZ113" i="19"/>
  <c r="EH113" i="19"/>
  <c r="EE114" i="19"/>
  <c r="EB115" i="19"/>
  <c r="DY79" i="19"/>
  <c r="EG79" i="19"/>
  <c r="ED80" i="19"/>
  <c r="EA81" i="19"/>
  <c r="DX82" i="19"/>
  <c r="EF82" i="19"/>
  <c r="EC83" i="19"/>
  <c r="DZ84" i="19"/>
  <c r="EH84" i="19"/>
  <c r="EE85" i="19"/>
  <c r="EB86" i="19"/>
  <c r="DY87" i="19"/>
  <c r="EG87" i="19"/>
  <c r="ED88" i="19"/>
  <c r="EA89" i="19"/>
  <c r="DX90" i="19"/>
  <c r="EF90" i="19"/>
  <c r="EC91" i="19"/>
  <c r="DZ92" i="19"/>
  <c r="EH92" i="19"/>
  <c r="EE93" i="19"/>
  <c r="EB94" i="19"/>
  <c r="DY95" i="19"/>
  <c r="EG95" i="19"/>
  <c r="ED96" i="19"/>
  <c r="EA97" i="19"/>
  <c r="DX98" i="19"/>
  <c r="EF98" i="19"/>
  <c r="EC99" i="19"/>
  <c r="DZ100" i="19"/>
  <c r="EH100" i="19"/>
  <c r="EE101" i="19"/>
  <c r="EB102" i="19"/>
  <c r="DY103" i="19"/>
  <c r="EG103" i="19"/>
  <c r="ED104" i="19"/>
  <c r="EA105" i="19"/>
  <c r="DX106" i="19"/>
  <c r="EF106" i="19"/>
  <c r="EC107" i="19"/>
  <c r="DZ108" i="19"/>
  <c r="EH108" i="19"/>
  <c r="EE109" i="19"/>
  <c r="EB110" i="19"/>
  <c r="DY111" i="19"/>
  <c r="EG111" i="19"/>
  <c r="ED112" i="19"/>
  <c r="EA113" i="19"/>
  <c r="DX114" i="19"/>
  <c r="EF114" i="19"/>
  <c r="EC115" i="19"/>
  <c r="DZ79" i="19"/>
  <c r="EH79" i="19"/>
  <c r="EE80" i="19"/>
  <c r="EB81" i="19"/>
  <c r="DY82" i="19"/>
  <c r="EG82" i="19"/>
  <c r="ED83" i="19"/>
  <c r="EA84" i="19"/>
  <c r="DX85" i="19"/>
  <c r="EF85" i="19"/>
  <c r="EC86" i="19"/>
  <c r="DZ87" i="19"/>
  <c r="EH87" i="19"/>
  <c r="EE88" i="19"/>
  <c r="EB89" i="19"/>
  <c r="DY90" i="19"/>
  <c r="EG90" i="19"/>
  <c r="ED91" i="19"/>
  <c r="EA92" i="19"/>
  <c r="DX93" i="19"/>
  <c r="EF93" i="19"/>
  <c r="EC94" i="19"/>
  <c r="DZ95" i="19"/>
  <c r="EH95" i="19"/>
  <c r="EE96" i="19"/>
  <c r="EB97" i="19"/>
  <c r="DY98" i="19"/>
  <c r="EG98" i="19"/>
  <c r="ED99" i="19"/>
  <c r="EA100" i="19"/>
  <c r="DX101" i="19"/>
  <c r="EF101" i="19"/>
  <c r="EC102" i="19"/>
  <c r="DZ103" i="19"/>
  <c r="EH103" i="19"/>
  <c r="EE104" i="19"/>
  <c r="EB105" i="19"/>
  <c r="DY106" i="19"/>
  <c r="EG106" i="19"/>
  <c r="ED107" i="19"/>
  <c r="EA108" i="19"/>
  <c r="DX109" i="19"/>
  <c r="EF109" i="19"/>
  <c r="EC110" i="19"/>
  <c r="DZ111" i="19"/>
  <c r="EH111" i="19"/>
  <c r="EE112" i="19"/>
  <c r="EB113" i="19"/>
  <c r="DY114" i="19"/>
  <c r="EG114" i="19"/>
  <c r="ED115" i="19"/>
  <c r="EA79" i="19"/>
  <c r="DX80" i="19"/>
  <c r="EF80" i="19"/>
  <c r="EC81" i="19"/>
  <c r="DZ82" i="19"/>
  <c r="EH82" i="19"/>
  <c r="EE83" i="19"/>
  <c r="EB84" i="19"/>
  <c r="DY85" i="19"/>
  <c r="EG85" i="19"/>
  <c r="ED86" i="19"/>
  <c r="EA87" i="19"/>
  <c r="DX88" i="19"/>
  <c r="EF88" i="19"/>
  <c r="EC89" i="19"/>
  <c r="DZ90" i="19"/>
  <c r="EH90" i="19"/>
  <c r="EE91" i="19"/>
  <c r="EB92" i="19"/>
  <c r="DY93" i="19"/>
  <c r="EG93" i="19"/>
  <c r="ED94" i="19"/>
  <c r="EA95" i="19"/>
  <c r="DX96" i="19"/>
  <c r="EF96" i="19"/>
  <c r="EC97" i="19"/>
  <c r="DZ98" i="19"/>
  <c r="EH98" i="19"/>
  <c r="EE99" i="19"/>
  <c r="EB100" i="19"/>
  <c r="DY101" i="19"/>
  <c r="EG101" i="19"/>
  <c r="ED102" i="19"/>
  <c r="EA103" i="19"/>
  <c r="DX104" i="19"/>
  <c r="EF104" i="19"/>
  <c r="EC105" i="19"/>
  <c r="DZ106" i="19"/>
  <c r="EH106" i="19"/>
  <c r="EE107" i="19"/>
  <c r="EB108" i="19"/>
  <c r="DY109" i="19"/>
  <c r="EG109" i="19"/>
  <c r="ED110" i="19"/>
  <c r="EA111" i="19"/>
  <c r="DX112" i="19"/>
  <c r="EF112" i="19"/>
  <c r="EC113" i="19"/>
  <c r="DZ114" i="19"/>
  <c r="EH114" i="19"/>
  <c r="EE115" i="19"/>
  <c r="EB79" i="19"/>
  <c r="DY80" i="19"/>
  <c r="EG80" i="19"/>
  <c r="ED81" i="19"/>
  <c r="EA82" i="19"/>
  <c r="DX83" i="19"/>
  <c r="EF83" i="19"/>
  <c r="EC84" i="19"/>
  <c r="DZ85" i="19"/>
  <c r="EH85" i="19"/>
  <c r="EE86" i="19"/>
  <c r="EB87" i="19"/>
  <c r="DY88" i="19"/>
  <c r="EG88" i="19"/>
  <c r="ED89" i="19"/>
  <c r="EA90" i="19"/>
  <c r="DX91" i="19"/>
  <c r="EF91" i="19"/>
  <c r="EC92" i="19"/>
  <c r="DZ93" i="19"/>
  <c r="EH93" i="19"/>
  <c r="EE94" i="19"/>
  <c r="EB95" i="19"/>
  <c r="DY96" i="19"/>
  <c r="EG96" i="19"/>
  <c r="ED97" i="19"/>
  <c r="EA98" i="19"/>
  <c r="DX99" i="19"/>
  <c r="EF99" i="19"/>
  <c r="EC100" i="19"/>
  <c r="DZ101" i="19"/>
  <c r="EH101" i="19"/>
  <c r="EE102" i="19"/>
  <c r="EB103" i="19"/>
  <c r="DY104" i="19"/>
  <c r="EG104" i="19"/>
  <c r="ED105" i="19"/>
  <c r="EA106" i="19"/>
  <c r="DX107" i="19"/>
  <c r="EF107" i="19"/>
  <c r="EC108" i="19"/>
  <c r="DZ109" i="19"/>
  <c r="EH109" i="19"/>
  <c r="EE110" i="19"/>
  <c r="EB111" i="19"/>
  <c r="DY112" i="19"/>
  <c r="EG112" i="19"/>
  <c r="ED113" i="19"/>
  <c r="EA114" i="19"/>
  <c r="DX115" i="19"/>
  <c r="EF115" i="19"/>
  <c r="EC79" i="19"/>
  <c r="DZ80" i="19"/>
  <c r="EH80" i="19"/>
  <c r="EE81" i="19"/>
  <c r="EB82" i="19"/>
  <c r="DY83" i="19"/>
  <c r="EG83" i="19"/>
  <c r="ED84" i="19"/>
  <c r="EA85" i="19"/>
  <c r="DX86" i="19"/>
  <c r="EF86" i="19"/>
  <c r="EC87" i="19"/>
  <c r="DZ88" i="19"/>
  <c r="EH88" i="19"/>
  <c r="EE89" i="19"/>
  <c r="EB90" i="19"/>
  <c r="DY91" i="19"/>
  <c r="EG91" i="19"/>
  <c r="ED92" i="19"/>
  <c r="EA93" i="19"/>
  <c r="DX94" i="19"/>
  <c r="EF94" i="19"/>
  <c r="EC95" i="19"/>
  <c r="DZ96" i="19"/>
  <c r="EH96" i="19"/>
  <c r="EE97" i="19"/>
  <c r="EB98" i="19"/>
  <c r="DY99" i="19"/>
  <c r="EG99" i="19"/>
  <c r="ED100" i="19"/>
  <c r="EA101" i="19"/>
  <c r="DX102" i="19"/>
  <c r="EF102" i="19"/>
  <c r="EC103" i="19"/>
  <c r="DZ104" i="19"/>
  <c r="EH104" i="19"/>
  <c r="EE105" i="19"/>
  <c r="EB106" i="19"/>
  <c r="DY107" i="19"/>
  <c r="EG107" i="19"/>
  <c r="ED108" i="19"/>
  <c r="EA109" i="19"/>
  <c r="DX110" i="19"/>
  <c r="EF110" i="19"/>
  <c r="EC111" i="19"/>
  <c r="DZ112" i="19"/>
  <c r="EH112" i="19"/>
  <c r="EE113" i="19"/>
  <c r="EB114" i="19"/>
  <c r="DY115" i="19"/>
  <c r="EG115" i="19"/>
  <c r="ED79" i="19"/>
  <c r="EA80" i="19"/>
  <c r="DX81" i="19"/>
  <c r="EF81" i="19"/>
  <c r="EC82" i="19"/>
  <c r="DZ83" i="19"/>
  <c r="EH83" i="19"/>
  <c r="EE84" i="19"/>
  <c r="EB85" i="19"/>
  <c r="DY86" i="19"/>
  <c r="EG86" i="19"/>
  <c r="ED87" i="19"/>
  <c r="EA88" i="19"/>
  <c r="DX89" i="19"/>
  <c r="EF89" i="19"/>
  <c r="EC90" i="19"/>
  <c r="DZ91" i="19"/>
  <c r="EH91" i="19"/>
  <c r="EE92" i="19"/>
  <c r="EB93" i="19"/>
  <c r="DY94" i="19"/>
  <c r="EG94" i="19"/>
  <c r="ED95" i="19"/>
  <c r="EA96" i="19"/>
  <c r="DX97" i="19"/>
  <c r="EF97" i="19"/>
  <c r="EC98" i="19"/>
  <c r="DZ99" i="19"/>
  <c r="EH99" i="19"/>
  <c r="EE100" i="19"/>
  <c r="EB101" i="19"/>
  <c r="DY102" i="19"/>
  <c r="EG102" i="19"/>
  <c r="ED103" i="19"/>
  <c r="EA104" i="19"/>
  <c r="DX105" i="19"/>
  <c r="EF105" i="19"/>
  <c r="EC106" i="19"/>
  <c r="DZ107" i="19"/>
  <c r="EH107" i="19"/>
  <c r="EE108" i="19"/>
  <c r="EB109" i="19"/>
  <c r="DY110" i="19"/>
  <c r="EG110" i="19"/>
  <c r="ED111" i="19"/>
  <c r="EA112" i="19"/>
  <c r="DX113" i="19"/>
  <c r="EF113" i="19"/>
  <c r="EC114" i="19"/>
  <c r="DZ115" i="19"/>
  <c r="EH115" i="19"/>
  <c r="EE79" i="19"/>
  <c r="EB80" i="19"/>
  <c r="DY81" i="19"/>
  <c r="EG81" i="19"/>
  <c r="ED82" i="19"/>
  <c r="EA83" i="19"/>
  <c r="DX84" i="19"/>
  <c r="EF84" i="19"/>
  <c r="EC85" i="19"/>
  <c r="DZ86" i="19"/>
  <c r="EH86" i="19"/>
  <c r="EE87" i="19"/>
  <c r="EB88" i="19"/>
  <c r="DY89" i="19"/>
  <c r="EG89" i="19"/>
  <c r="ED90" i="19"/>
  <c r="EA91" i="19"/>
  <c r="DX92" i="19"/>
  <c r="EF92" i="19"/>
  <c r="EC93" i="19"/>
  <c r="DZ94" i="19"/>
  <c r="EH94" i="19"/>
  <c r="EE95" i="19"/>
  <c r="EB96" i="19"/>
  <c r="DY97" i="19"/>
  <c r="EG97" i="19"/>
  <c r="ED98" i="19"/>
  <c r="EA99" i="19"/>
  <c r="DX100" i="19"/>
  <c r="EF100" i="19"/>
  <c r="EC101" i="19"/>
  <c r="DZ102" i="19"/>
  <c r="EH102" i="19"/>
  <c r="EE103" i="19"/>
  <c r="EB104" i="19"/>
  <c r="DY105" i="19"/>
  <c r="EG105" i="19"/>
  <c r="ED106" i="19"/>
  <c r="EA107" i="19"/>
  <c r="DX108" i="19"/>
  <c r="EF108" i="19"/>
  <c r="EC109" i="19"/>
  <c r="DZ110" i="19"/>
  <c r="EH110" i="19"/>
  <c r="EE111" i="19"/>
  <c r="EB112" i="19"/>
  <c r="DY113" i="19"/>
  <c r="EG113" i="19"/>
  <c r="ED114" i="19"/>
  <c r="EA115" i="19"/>
  <c r="DX16" i="19"/>
  <c r="EF16" i="19"/>
  <c r="EB17" i="19"/>
  <c r="DX18" i="19"/>
  <c r="EF18" i="19"/>
  <c r="EB19" i="19"/>
  <c r="DX20" i="19"/>
  <c r="EF20" i="19"/>
  <c r="EB21" i="19"/>
  <c r="DX22" i="19"/>
  <c r="EF22" i="19"/>
  <c r="ED75" i="19"/>
  <c r="DZ76" i="19"/>
  <c r="EH76" i="19"/>
  <c r="ED77" i="19"/>
  <c r="DZ78" i="19"/>
  <c r="EH78" i="19"/>
  <c r="EE75" i="19"/>
  <c r="EA76" i="19"/>
  <c r="EE77" i="19"/>
  <c r="EA78" i="19"/>
  <c r="IO96" i="19"/>
  <c r="IN96" i="19"/>
  <c r="IN113" i="19"/>
  <c r="IO113" i="19"/>
  <c r="IP133" i="19"/>
  <c r="IO102" i="19"/>
  <c r="IN102" i="19"/>
  <c r="IQ125" i="19"/>
  <c r="IO118" i="19"/>
  <c r="IN118" i="19"/>
  <c r="IR118" i="19" s="1"/>
  <c r="IO90" i="19"/>
  <c r="IN90" i="19"/>
  <c r="IQ129" i="19"/>
  <c r="IP121" i="19"/>
  <c r="IP130" i="19"/>
  <c r="IN87" i="19"/>
  <c r="IO87" i="19"/>
  <c r="IQ119" i="19"/>
  <c r="IP123" i="19"/>
  <c r="IO130" i="19"/>
  <c r="IN130" i="19"/>
  <c r="IR130" i="19" s="1"/>
  <c r="IQ130" i="19"/>
  <c r="IQ120" i="19"/>
  <c r="IO131" i="19"/>
  <c r="IN131" i="19"/>
  <c r="IR131" i="19" s="1"/>
  <c r="IP120" i="19"/>
  <c r="IQ127" i="19"/>
  <c r="IO115" i="19"/>
  <c r="IN115" i="19"/>
  <c r="IQ131" i="19"/>
  <c r="IN109" i="19"/>
  <c r="IO109" i="19"/>
  <c r="IO108" i="19"/>
  <c r="IN108" i="19"/>
  <c r="IO112" i="19"/>
  <c r="IN112" i="19"/>
  <c r="IO85" i="19"/>
  <c r="IN85" i="19"/>
  <c r="IN89" i="19"/>
  <c r="IO89" i="19"/>
  <c r="IP119" i="19"/>
  <c r="IO81" i="19"/>
  <c r="IN81" i="19"/>
  <c r="IP117" i="19"/>
  <c r="IN135" i="19"/>
  <c r="IR135" i="19" s="1"/>
  <c r="IO135" i="19"/>
  <c r="IQ137" i="19"/>
  <c r="IO92" i="19"/>
  <c r="IN92" i="19"/>
  <c r="IN79" i="19"/>
  <c r="IO79" i="19"/>
  <c r="IP125" i="19"/>
  <c r="IO123" i="19"/>
  <c r="IN123" i="19"/>
  <c r="IR123" i="19" s="1"/>
  <c r="IO101" i="19"/>
  <c r="IN101" i="19"/>
  <c r="IO110" i="19"/>
  <c r="IN110" i="19"/>
  <c r="IO80" i="19"/>
  <c r="IN80" i="19"/>
  <c r="IP116" i="19"/>
  <c r="IP129" i="19"/>
  <c r="IP131" i="19"/>
  <c r="IQ132" i="19"/>
  <c r="IN117" i="19"/>
  <c r="IR117" i="19" s="1"/>
  <c r="IO117" i="19"/>
  <c r="IQ116" i="19"/>
  <c r="IO98" i="19"/>
  <c r="IN98" i="19"/>
  <c r="IO105" i="19"/>
  <c r="IN105" i="19"/>
  <c r="IP134" i="19"/>
  <c r="IO124" i="19"/>
  <c r="IN124" i="19"/>
  <c r="IR124" i="19" s="1"/>
  <c r="IO111" i="19"/>
  <c r="IN111" i="19"/>
  <c r="IP127" i="19"/>
  <c r="IQ135" i="19"/>
  <c r="IP124" i="19"/>
  <c r="IO100" i="19"/>
  <c r="IN100" i="19"/>
  <c r="IO104" i="19"/>
  <c r="IN104" i="19"/>
  <c r="IO88" i="19"/>
  <c r="IN88" i="19"/>
  <c r="IO83" i="19"/>
  <c r="IN83" i="19"/>
  <c r="IO120" i="19"/>
  <c r="IN120" i="19"/>
  <c r="IR120" i="19" s="1"/>
  <c r="IQ124" i="19"/>
  <c r="IN137" i="19"/>
  <c r="IR137" i="19" s="1"/>
  <c r="IO137" i="19"/>
  <c r="IO119" i="19"/>
  <c r="IN119" i="19"/>
  <c r="IR119" i="19" s="1"/>
  <c r="IQ136" i="19"/>
  <c r="IN121" i="19"/>
  <c r="IR121" i="19" s="1"/>
  <c r="IO121" i="19"/>
  <c r="IN91" i="19"/>
  <c r="IO91" i="19"/>
  <c r="IQ128" i="19"/>
  <c r="IQ121" i="19"/>
  <c r="IP137" i="19"/>
  <c r="IP126" i="19"/>
  <c r="IN103" i="19"/>
  <c r="IO103" i="19"/>
  <c r="IQ134" i="19"/>
  <c r="IQ126" i="19"/>
  <c r="IO82" i="19"/>
  <c r="IN82" i="19"/>
  <c r="IQ118" i="19"/>
  <c r="IO114" i="19"/>
  <c r="IN114" i="19"/>
  <c r="IO84" i="19"/>
  <c r="IN84" i="19"/>
  <c r="IO107" i="19"/>
  <c r="IN107" i="19"/>
  <c r="IQ117" i="19"/>
  <c r="IN97" i="19"/>
  <c r="IO97" i="19"/>
  <c r="IP128" i="19"/>
  <c r="IQ123" i="19"/>
  <c r="IO133" i="19"/>
  <c r="IN133" i="19"/>
  <c r="IR133" i="19" s="1"/>
  <c r="IO134" i="19"/>
  <c r="IN134" i="19"/>
  <c r="IR134" i="19" s="1"/>
  <c r="IN95" i="19"/>
  <c r="IO95" i="19"/>
  <c r="IO106" i="19"/>
  <c r="IN106" i="19"/>
  <c r="IQ122" i="19"/>
  <c r="IO128" i="19"/>
  <c r="IN128" i="19"/>
  <c r="IR128" i="19" s="1"/>
  <c r="IN129" i="19"/>
  <c r="IR129" i="19" s="1"/>
  <c r="IO129" i="19"/>
  <c r="IO127" i="19"/>
  <c r="IN127" i="19"/>
  <c r="IR127" i="19" s="1"/>
  <c r="IO132" i="19"/>
  <c r="IN132" i="19"/>
  <c r="IR132" i="19" s="1"/>
  <c r="IP132" i="19"/>
  <c r="IN125" i="19"/>
  <c r="IR125" i="19" s="1"/>
  <c r="IO125" i="19"/>
  <c r="IO122" i="19"/>
  <c r="IN122" i="19"/>
  <c r="IR122" i="19" s="1"/>
  <c r="IP135" i="19"/>
  <c r="IP118" i="19"/>
  <c r="IP122" i="19"/>
  <c r="IO126" i="19"/>
  <c r="IN126" i="19"/>
  <c r="IR126" i="19" s="1"/>
  <c r="IO99" i="19"/>
  <c r="IN99" i="19"/>
  <c r="IO94" i="19"/>
  <c r="IN94" i="19"/>
  <c r="IO136" i="19"/>
  <c r="IN136" i="19"/>
  <c r="IR136" i="19" s="1"/>
  <c r="IO116" i="19"/>
  <c r="IN116" i="19"/>
  <c r="IR116" i="19" s="1"/>
  <c r="IO86" i="19"/>
  <c r="IN86" i="19"/>
  <c r="IQ133" i="19"/>
  <c r="IO93" i="19"/>
  <c r="IN93" i="19"/>
  <c r="IP136" i="19"/>
  <c r="IC139" i="19"/>
  <c r="IA139" i="19"/>
  <c r="IF139" i="19"/>
  <c r="ID139" i="19"/>
  <c r="IE139" i="19"/>
  <c r="IB139" i="19"/>
  <c r="DX27" i="19"/>
  <c r="HW82" i="19"/>
  <c r="HW86" i="19"/>
  <c r="HW90" i="19"/>
  <c r="HW94" i="19"/>
  <c r="HW98" i="19"/>
  <c r="HW102" i="19"/>
  <c r="HW106" i="19"/>
  <c r="HW110" i="19"/>
  <c r="HW114" i="19"/>
  <c r="HW77" i="19"/>
  <c r="HW83" i="19"/>
  <c r="HW91" i="19"/>
  <c r="HW95" i="19"/>
  <c r="HW107" i="19"/>
  <c r="HW115" i="19"/>
  <c r="HW81" i="19"/>
  <c r="HW85" i="19"/>
  <c r="HW89" i="19"/>
  <c r="HW93" i="19"/>
  <c r="HW97" i="19"/>
  <c r="HW101" i="19"/>
  <c r="HW105" i="19"/>
  <c r="HW109" i="19"/>
  <c r="HW113" i="19"/>
  <c r="HW80" i="19"/>
  <c r="HW84" i="19"/>
  <c r="HW88" i="19"/>
  <c r="HW92" i="19"/>
  <c r="HW96" i="19"/>
  <c r="HW100" i="19"/>
  <c r="HW104" i="19"/>
  <c r="HW108" i="19"/>
  <c r="HW112" i="19"/>
  <c r="HW79" i="19"/>
  <c r="HW87" i="19"/>
  <c r="HW99" i="19"/>
  <c r="HW103" i="19"/>
  <c r="HW111" i="19"/>
  <c r="HW78" i="19"/>
  <c r="HW17" i="19"/>
  <c r="HW21" i="19"/>
  <c r="HW16" i="19"/>
  <c r="HW20" i="19"/>
  <c r="HW19" i="19"/>
  <c r="HW76" i="19"/>
  <c r="HW18" i="19"/>
  <c r="HW22" i="19"/>
  <c r="HW75" i="19"/>
  <c r="IQ8" i="19"/>
  <c r="IQ9" i="19"/>
  <c r="IQ7" i="19"/>
  <c r="IN7" i="19"/>
  <c r="EA11" i="19"/>
  <c r="HY11" i="19"/>
  <c r="EH12" i="19"/>
  <c r="EB13" i="19"/>
  <c r="EB14" i="19"/>
  <c r="EA15" i="19"/>
  <c r="HW23" i="19"/>
  <c r="EA25" i="19"/>
  <c r="EH26" i="19"/>
  <c r="DY10" i="19"/>
  <c r="EC10" i="19"/>
  <c r="EG10" i="19"/>
  <c r="HW10" i="19"/>
  <c r="DX11" i="19"/>
  <c r="EB11" i="19"/>
  <c r="EF11" i="19"/>
  <c r="HZ11" i="19"/>
  <c r="EC12" i="19"/>
  <c r="HW12" i="19"/>
  <c r="EC13" i="19"/>
  <c r="HW13" i="19"/>
  <c r="EE14" i="19"/>
  <c r="HY14" i="19"/>
  <c r="ED15" i="19"/>
  <c r="HX15" i="19"/>
  <c r="DY23" i="19"/>
  <c r="EE25" i="19"/>
  <c r="HX26" i="19"/>
  <c r="EE29" i="19"/>
  <c r="HX30" i="19"/>
  <c r="DX10" i="19"/>
  <c r="EF24" i="19"/>
  <c r="DZ10" i="19"/>
  <c r="ED10" i="19"/>
  <c r="EH10" i="19"/>
  <c r="HX10" i="19"/>
  <c r="DY11" i="19"/>
  <c r="EC11" i="19"/>
  <c r="EG11" i="19"/>
  <c r="HW11" i="19"/>
  <c r="ED12" i="19"/>
  <c r="HX12" i="19"/>
  <c r="DX13" i="19"/>
  <c r="EF13" i="19"/>
  <c r="HZ13" i="19"/>
  <c r="DX14" i="19"/>
  <c r="EF14" i="19"/>
  <c r="HZ14" i="19"/>
  <c r="EE15" i="19"/>
  <c r="HY15" i="19"/>
  <c r="EC23" i="19"/>
  <c r="DX24" i="19"/>
  <c r="HZ24" i="19"/>
  <c r="DZ26" i="19"/>
  <c r="HY74" i="19"/>
  <c r="EE74" i="19"/>
  <c r="EA74" i="19"/>
  <c r="HZ73" i="19"/>
  <c r="EF73" i="19"/>
  <c r="EB73" i="19"/>
  <c r="DX73" i="19"/>
  <c r="HX74" i="19"/>
  <c r="EH74" i="19"/>
  <c r="ED74" i="19"/>
  <c r="DZ74" i="19"/>
  <c r="HY73" i="19"/>
  <c r="EE73" i="19"/>
  <c r="EA73" i="19"/>
  <c r="HW74" i="19"/>
  <c r="EG74" i="19"/>
  <c r="EC74" i="19"/>
  <c r="DY74" i="19"/>
  <c r="HX73" i="19"/>
  <c r="EH73" i="19"/>
  <c r="ED73" i="19"/>
  <c r="DZ73" i="19"/>
  <c r="HZ74" i="19"/>
  <c r="DX74" i="19"/>
  <c r="EC73" i="19"/>
  <c r="HW30" i="19"/>
  <c r="EG30" i="19"/>
  <c r="EC30" i="19"/>
  <c r="DY30" i="19"/>
  <c r="HX29" i="19"/>
  <c r="EH29" i="19"/>
  <c r="ED29" i="19"/>
  <c r="DZ29" i="19"/>
  <c r="HY28" i="19"/>
  <c r="DY73" i="19"/>
  <c r="HZ30" i="19"/>
  <c r="EF30" i="19"/>
  <c r="EB30" i="19"/>
  <c r="DX30" i="19"/>
  <c r="HW29" i="19"/>
  <c r="EG29" i="19"/>
  <c r="EC29" i="19"/>
  <c r="DY29" i="19"/>
  <c r="HX28" i="19"/>
  <c r="HY27" i="19"/>
  <c r="EE27" i="19"/>
  <c r="EA27" i="19"/>
  <c r="HZ26" i="19"/>
  <c r="EF74" i="19"/>
  <c r="HW73" i="19"/>
  <c r="HY30" i="19"/>
  <c r="EE30" i="19"/>
  <c r="EA30" i="19"/>
  <c r="HZ29" i="19"/>
  <c r="EF29" i="19"/>
  <c r="EB29" i="19"/>
  <c r="DX29" i="19"/>
  <c r="HW28" i="19"/>
  <c r="HX27" i="19"/>
  <c r="EH27" i="19"/>
  <c r="ED27" i="19"/>
  <c r="DZ27" i="19"/>
  <c r="HY26" i="19"/>
  <c r="EB74" i="19"/>
  <c r="EH30" i="19"/>
  <c r="EA29" i="19"/>
  <c r="HW27" i="19"/>
  <c r="EC27" i="19"/>
  <c r="HW26" i="19"/>
  <c r="EG26" i="19"/>
  <c r="EC26" i="19"/>
  <c r="DY26" i="19"/>
  <c r="HX25" i="19"/>
  <c r="EH25" i="19"/>
  <c r="ED25" i="19"/>
  <c r="DZ25" i="19"/>
  <c r="HY24" i="19"/>
  <c r="EE24" i="19"/>
  <c r="EA24" i="19"/>
  <c r="HZ23" i="19"/>
  <c r="EF23" i="19"/>
  <c r="EB23" i="19"/>
  <c r="DX23" i="19"/>
  <c r="HW15" i="19"/>
  <c r="EG15" i="19"/>
  <c r="EC15" i="19"/>
  <c r="DY15" i="19"/>
  <c r="HX14" i="19"/>
  <c r="EH14" i="19"/>
  <c r="ED14" i="19"/>
  <c r="DZ14" i="19"/>
  <c r="HY13" i="19"/>
  <c r="EE13" i="19"/>
  <c r="EA13" i="19"/>
  <c r="HZ12" i="19"/>
  <c r="EF12" i="19"/>
  <c r="EB12" i="19"/>
  <c r="DX12" i="19"/>
  <c r="EG73" i="19"/>
  <c r="ED30" i="19"/>
  <c r="HY29" i="19"/>
  <c r="EB27" i="19"/>
  <c r="EF26" i="19"/>
  <c r="EB26" i="19"/>
  <c r="DX26" i="19"/>
  <c r="HW25" i="19"/>
  <c r="EG25" i="19"/>
  <c r="EC25" i="19"/>
  <c r="DY25" i="19"/>
  <c r="HX24" i="19"/>
  <c r="EH24" i="19"/>
  <c r="ED24" i="19"/>
  <c r="DZ24" i="19"/>
  <c r="HY23" i="19"/>
  <c r="EE23" i="19"/>
  <c r="EA23" i="19"/>
  <c r="HZ15" i="19"/>
  <c r="EF15" i="19"/>
  <c r="EB15" i="19"/>
  <c r="DX15" i="19"/>
  <c r="HW14" i="19"/>
  <c r="EG14" i="19"/>
  <c r="EC14" i="19"/>
  <c r="DY14" i="19"/>
  <c r="HX13" i="19"/>
  <c r="EH13" i="19"/>
  <c r="ED13" i="19"/>
  <c r="DZ13" i="19"/>
  <c r="HY12" i="19"/>
  <c r="EE12" i="19"/>
  <c r="EA12" i="19"/>
  <c r="DZ30" i="19"/>
  <c r="HZ28" i="19"/>
  <c r="EG27" i="19"/>
  <c r="DY27" i="19"/>
  <c r="EE26" i="19"/>
  <c r="EA26" i="19"/>
  <c r="HZ25" i="19"/>
  <c r="EF25" i="19"/>
  <c r="EB25" i="19"/>
  <c r="DX25" i="19"/>
  <c r="HW24" i="19"/>
  <c r="EG24" i="19"/>
  <c r="EC24" i="19"/>
  <c r="DY24" i="19"/>
  <c r="HX23" i="19"/>
  <c r="EH23" i="19"/>
  <c r="ED23" i="19"/>
  <c r="DZ23" i="19"/>
  <c r="EB10" i="19"/>
  <c r="EF10" i="19"/>
  <c r="HZ10" i="19"/>
  <c r="EE11" i="19"/>
  <c r="DZ12" i="19"/>
  <c r="HZ27" i="19"/>
  <c r="EA10" i="19"/>
  <c r="EE10" i="19"/>
  <c r="HY10" i="19"/>
  <c r="DZ11" i="19"/>
  <c r="ED11" i="19"/>
  <c r="EH11" i="19"/>
  <c r="HX11" i="19"/>
  <c r="DY12" i="19"/>
  <c r="EG12" i="19"/>
  <c r="DY13" i="19"/>
  <c r="EG13" i="19"/>
  <c r="EA14" i="19"/>
  <c r="DZ15" i="19"/>
  <c r="EH15" i="19"/>
  <c r="EG23" i="19"/>
  <c r="EB24" i="19"/>
  <c r="HY25" i="19"/>
  <c r="ED26" i="19"/>
  <c r="EF27" i="19"/>
  <c r="IK30" i="19"/>
  <c r="IK86" i="19"/>
  <c r="IJ26" i="19"/>
  <c r="IK115" i="19"/>
  <c r="IK95" i="19"/>
  <c r="IK111" i="19"/>
  <c r="IK109" i="19"/>
  <c r="II22" i="19"/>
  <c r="IK17" i="19"/>
  <c r="IJ20" i="19"/>
  <c r="IJ23" i="19"/>
  <c r="II30" i="19"/>
  <c r="IJ10" i="19"/>
  <c r="II10" i="19"/>
  <c r="IJ13" i="19"/>
  <c r="II26" i="19"/>
  <c r="II12" i="19"/>
  <c r="IK104" i="19"/>
  <c r="IK18" i="19"/>
  <c r="II77" i="19"/>
  <c r="IK13" i="19"/>
  <c r="IJ24" i="19"/>
  <c r="II20" i="19"/>
  <c r="IK25" i="19"/>
  <c r="IJ17" i="19"/>
  <c r="IK82" i="19"/>
  <c r="IJ29" i="19"/>
  <c r="IK73" i="19"/>
  <c r="IJ77" i="19"/>
  <c r="IJ11" i="19"/>
  <c r="IJ22" i="19"/>
  <c r="IJ12" i="19"/>
  <c r="II17" i="19"/>
  <c r="II24" i="19"/>
  <c r="II18" i="19"/>
  <c r="IJ16" i="19"/>
  <c r="IK26" i="19"/>
  <c r="IK91" i="19"/>
  <c r="IK106" i="19"/>
  <c r="II15" i="19"/>
  <c r="IK24" i="19"/>
  <c r="IK75" i="19"/>
  <c r="IK87" i="19"/>
  <c r="II21" i="19"/>
  <c r="IK88" i="19"/>
  <c r="II13" i="19"/>
  <c r="IK84" i="19"/>
  <c r="IK23" i="19"/>
  <c r="IK12" i="19"/>
  <c r="IK77" i="19"/>
  <c r="IK14" i="19"/>
  <c r="IJ30" i="19"/>
  <c r="IK22" i="19"/>
  <c r="IK114" i="19"/>
  <c r="II78" i="19"/>
  <c r="IK21" i="19"/>
  <c r="IK19" i="19"/>
  <c r="IK81" i="19"/>
  <c r="II27" i="19"/>
  <c r="IJ27" i="19"/>
  <c r="IK83" i="19"/>
  <c r="IK103" i="19"/>
  <c r="IK97" i="19"/>
  <c r="IJ74" i="19"/>
  <c r="IK107" i="19"/>
  <c r="IJ73" i="19"/>
  <c r="IK108" i="19"/>
  <c r="II11" i="19"/>
  <c r="IK76" i="19"/>
  <c r="II14" i="19"/>
  <c r="IK89" i="19"/>
  <c r="IK102" i="19"/>
  <c r="IK78" i="19"/>
  <c r="IK101" i="19"/>
  <c r="IK105" i="19"/>
  <c r="IK11" i="19"/>
  <c r="IK10" i="19"/>
  <c r="IK29" i="19"/>
  <c r="II28" i="19"/>
  <c r="IK74" i="19"/>
  <c r="IK85" i="19"/>
  <c r="IJ25" i="19"/>
  <c r="IK112" i="19"/>
  <c r="IK100" i="19"/>
  <c r="IK79" i="19"/>
  <c r="IK96" i="19"/>
  <c r="IJ14" i="19"/>
  <c r="IK99" i="19"/>
  <c r="II74" i="19"/>
  <c r="IK20" i="19"/>
  <c r="II29" i="19"/>
  <c r="IK93" i="19"/>
  <c r="II16" i="19"/>
  <c r="IJ19" i="19"/>
  <c r="II73" i="19"/>
  <c r="IK90" i="19"/>
  <c r="II75" i="19"/>
  <c r="IJ78" i="19"/>
  <c r="IK28" i="19"/>
  <c r="IK110" i="19"/>
  <c r="IK16" i="19"/>
  <c r="IJ18" i="19"/>
  <c r="IK113" i="19"/>
  <c r="II23" i="19"/>
  <c r="IK80" i="19"/>
  <c r="IK92" i="19"/>
  <c r="IK15" i="19"/>
  <c r="IJ28" i="19"/>
  <c r="IK98" i="19"/>
  <c r="II19" i="19"/>
  <c r="IJ75" i="19"/>
  <c r="IJ76" i="19"/>
  <c r="IK27" i="19"/>
  <c r="II25" i="19"/>
  <c r="IJ21" i="19"/>
  <c r="II76" i="19"/>
  <c r="IJ15" i="19"/>
  <c r="IK94" i="19"/>
  <c r="FQ139" i="19" l="1"/>
  <c r="FD139" i="19"/>
  <c r="GZ139" i="19"/>
  <c r="FL139" i="19"/>
  <c r="EZ139" i="19"/>
  <c r="HH139" i="19"/>
  <c r="HQ139" i="19"/>
  <c r="EV139" i="19"/>
  <c r="GX139" i="19"/>
  <c r="GB139" i="19"/>
  <c r="GK139" i="19"/>
  <c r="HN139" i="19"/>
  <c r="HA139" i="19"/>
  <c r="GH139" i="19"/>
  <c r="EK139" i="19"/>
  <c r="FN139" i="19"/>
  <c r="FJ139" i="19"/>
  <c r="GP139" i="19"/>
  <c r="GI139" i="19"/>
  <c r="GC139" i="19"/>
  <c r="HR139" i="19"/>
  <c r="GM139" i="19"/>
  <c r="FA139" i="19"/>
  <c r="ES139" i="19"/>
  <c r="EU139" i="19"/>
  <c r="FV139" i="19"/>
  <c r="FR139" i="19"/>
  <c r="GQ139" i="19"/>
  <c r="GU139" i="19"/>
  <c r="GG139" i="19"/>
  <c r="HT139" i="19"/>
  <c r="EL139" i="19"/>
  <c r="EM139" i="19"/>
  <c r="FT139" i="19"/>
  <c r="EO139" i="19"/>
  <c r="EI139" i="19"/>
  <c r="FI139" i="19"/>
  <c r="FC139" i="19"/>
  <c r="EY139" i="19"/>
  <c r="FZ139" i="19"/>
  <c r="HF139" i="19"/>
  <c r="GY139" i="19"/>
  <c r="GJ139" i="19"/>
  <c r="GS139" i="19"/>
  <c r="HC139" i="19"/>
  <c r="GF139" i="19"/>
  <c r="GO139" i="19"/>
  <c r="EQ139" i="19"/>
  <c r="FK139" i="19"/>
  <c r="FG139" i="19"/>
  <c r="HG139" i="19"/>
  <c r="GR139" i="19"/>
  <c r="GD139" i="19"/>
  <c r="HK139" i="19"/>
  <c r="GN139" i="19"/>
  <c r="GW139" i="19"/>
  <c r="ET139" i="19"/>
  <c r="FS139" i="19"/>
  <c r="EW139" i="19"/>
  <c r="FO139" i="19"/>
  <c r="HO139" i="19"/>
  <c r="HI139" i="19"/>
  <c r="GL139" i="19"/>
  <c r="HS139" i="19"/>
  <c r="GV139" i="19"/>
  <c r="HE139" i="19"/>
  <c r="EJ139" i="19"/>
  <c r="GA139" i="19"/>
  <c r="FE139" i="19"/>
  <c r="FW139" i="19"/>
  <c r="FP139" i="19"/>
  <c r="GT139" i="19"/>
  <c r="HD139" i="19"/>
  <c r="HM139" i="19"/>
  <c r="EN139" i="19"/>
  <c r="FY139" i="19"/>
  <c r="EP139" i="19"/>
  <c r="ER139" i="19"/>
  <c r="FM139" i="19"/>
  <c r="EX139" i="19"/>
  <c r="FX139" i="19"/>
  <c r="HP139" i="19"/>
  <c r="HB139" i="19"/>
  <c r="HL139" i="19"/>
  <c r="FH139" i="19"/>
  <c r="FU139" i="19"/>
  <c r="FF139" i="19"/>
  <c r="FB139" i="19"/>
  <c r="HJ139" i="19"/>
  <c r="GE139" i="19"/>
  <c r="IQ103" i="19"/>
  <c r="IP103" i="19"/>
  <c r="IQ112" i="19"/>
  <c r="IP112" i="19"/>
  <c r="IQ96" i="19"/>
  <c r="IP96" i="19"/>
  <c r="IQ80" i="19"/>
  <c r="IP80" i="19"/>
  <c r="IQ101" i="19"/>
  <c r="IP101" i="19"/>
  <c r="IQ85" i="19"/>
  <c r="IP85" i="19"/>
  <c r="IQ95" i="19"/>
  <c r="IP95" i="19"/>
  <c r="IQ114" i="19"/>
  <c r="IP114" i="19"/>
  <c r="IQ98" i="19"/>
  <c r="IP98" i="19"/>
  <c r="IQ82" i="19"/>
  <c r="IP82" i="19"/>
  <c r="IQ99" i="19"/>
  <c r="IP99" i="19"/>
  <c r="IQ108" i="19"/>
  <c r="IP108" i="19"/>
  <c r="IQ92" i="19"/>
  <c r="IP92" i="19"/>
  <c r="IQ113" i="19"/>
  <c r="IP113" i="19"/>
  <c r="IQ97" i="19"/>
  <c r="IP97" i="19"/>
  <c r="IQ81" i="19"/>
  <c r="IP81" i="19"/>
  <c r="IQ91" i="19"/>
  <c r="IP91" i="19"/>
  <c r="IQ110" i="19"/>
  <c r="IP110" i="19"/>
  <c r="IQ94" i="19"/>
  <c r="IP94" i="19"/>
  <c r="IQ87" i="19"/>
  <c r="IP87" i="19"/>
  <c r="IQ104" i="19"/>
  <c r="IP104" i="19"/>
  <c r="IQ88" i="19"/>
  <c r="IP88" i="19"/>
  <c r="IQ109" i="19"/>
  <c r="IP109" i="19"/>
  <c r="IQ93" i="19"/>
  <c r="IP93" i="19"/>
  <c r="IQ115" i="19"/>
  <c r="IP115" i="19"/>
  <c r="IQ83" i="19"/>
  <c r="IP83" i="19"/>
  <c r="IQ106" i="19"/>
  <c r="IP106" i="19"/>
  <c r="IQ90" i="19"/>
  <c r="IP90" i="19"/>
  <c r="IQ111" i="19"/>
  <c r="IP111" i="19"/>
  <c r="IQ79" i="19"/>
  <c r="IP79" i="19"/>
  <c r="IQ100" i="19"/>
  <c r="IP100" i="19"/>
  <c r="IQ84" i="19"/>
  <c r="IP84" i="19"/>
  <c r="IQ105" i="19"/>
  <c r="IP105" i="19"/>
  <c r="IQ89" i="19"/>
  <c r="IP89" i="19"/>
  <c r="IQ107" i="19"/>
  <c r="IP107" i="19"/>
  <c r="IQ102" i="19"/>
  <c r="IP102" i="19"/>
  <c r="IQ86" i="19"/>
  <c r="IP86" i="19"/>
  <c r="HX139" i="19"/>
  <c r="HY139" i="19"/>
  <c r="HZ139" i="19"/>
  <c r="EF139" i="19"/>
  <c r="EH139" i="19"/>
  <c r="DY139" i="19"/>
  <c r="EA139" i="19"/>
  <c r="EC139" i="19"/>
  <c r="EB139" i="19"/>
  <c r="ED139" i="19"/>
  <c r="DX139" i="19"/>
  <c r="EE139" i="19"/>
  <c r="DZ139" i="19"/>
  <c r="EG139" i="19"/>
  <c r="HW139" i="19"/>
  <c r="IP8" i="19"/>
  <c r="IP15" i="19"/>
  <c r="IP12" i="19"/>
  <c r="IO37" i="19"/>
  <c r="IN37" i="19"/>
  <c r="IP77" i="19"/>
  <c r="IQ45" i="19"/>
  <c r="IQ30" i="19"/>
  <c r="IQ46" i="19"/>
  <c r="IO59" i="19"/>
  <c r="IN59" i="19"/>
  <c r="IP52" i="19"/>
  <c r="IP64" i="19"/>
  <c r="IQ57" i="19"/>
  <c r="IP73" i="19"/>
  <c r="IP44" i="19"/>
  <c r="IP7" i="19"/>
  <c r="IO7" i="19"/>
  <c r="IQ24" i="19"/>
  <c r="IO12" i="19"/>
  <c r="IN12" i="19"/>
  <c r="IP16" i="19"/>
  <c r="IP20" i="19"/>
  <c r="IQ43" i="19"/>
  <c r="IN13" i="19"/>
  <c r="IO13" i="19"/>
  <c r="IQ17" i="19"/>
  <c r="IQ21" i="19"/>
  <c r="IO26" i="19"/>
  <c r="IN26" i="19"/>
  <c r="IO30" i="19"/>
  <c r="IN30" i="19"/>
  <c r="IO34" i="19"/>
  <c r="IN34" i="19"/>
  <c r="IO38" i="19"/>
  <c r="IN38" i="19"/>
  <c r="IO42" i="19"/>
  <c r="IN42" i="19"/>
  <c r="IO46" i="19"/>
  <c r="IN46" i="19"/>
  <c r="IO50" i="19"/>
  <c r="IN50" i="19"/>
  <c r="IP26" i="19"/>
  <c r="IP30" i="19"/>
  <c r="IP34" i="19"/>
  <c r="IP38" i="19"/>
  <c r="IP42" i="19"/>
  <c r="IP46" i="19"/>
  <c r="IP50" i="19"/>
  <c r="IP78" i="19"/>
  <c r="IQ31" i="19"/>
  <c r="IQ35" i="19"/>
  <c r="IP39" i="19"/>
  <c r="IP43" i="19"/>
  <c r="IQ47" i="19"/>
  <c r="IQ51" i="19"/>
  <c r="IO52" i="19"/>
  <c r="IN52" i="19"/>
  <c r="IO56" i="19"/>
  <c r="IN56" i="19"/>
  <c r="IO60" i="19"/>
  <c r="IN60" i="19"/>
  <c r="IO64" i="19"/>
  <c r="IN64" i="19"/>
  <c r="IO68" i="19"/>
  <c r="IN68" i="19"/>
  <c r="IO72" i="19"/>
  <c r="IN72" i="19"/>
  <c r="IQ76" i="19"/>
  <c r="IP53" i="19"/>
  <c r="IP57" i="19"/>
  <c r="IP61" i="19"/>
  <c r="IP65" i="19"/>
  <c r="IP69" i="19"/>
  <c r="IO73" i="19"/>
  <c r="IN73" i="19"/>
  <c r="IQ54" i="19"/>
  <c r="IQ58" i="19"/>
  <c r="IQ62" i="19"/>
  <c r="IQ66" i="19"/>
  <c r="IQ70" i="19"/>
  <c r="IN74" i="19"/>
  <c r="IO74" i="19"/>
  <c r="IN78" i="19"/>
  <c r="IO78" i="19"/>
  <c r="IP13" i="19"/>
  <c r="IP10" i="19"/>
  <c r="IP24" i="19"/>
  <c r="IO20" i="19"/>
  <c r="IN20" i="19"/>
  <c r="IO16" i="19"/>
  <c r="IN16" i="19"/>
  <c r="IN14" i="19"/>
  <c r="IO14" i="19"/>
  <c r="IQ10" i="19"/>
  <c r="IO11" i="19"/>
  <c r="IN11" i="19"/>
  <c r="IP19" i="19"/>
  <c r="IQ16" i="19"/>
  <c r="IN24" i="19"/>
  <c r="IO24" i="19"/>
  <c r="IP29" i="19"/>
  <c r="IP41" i="19"/>
  <c r="IO49" i="19"/>
  <c r="IN49" i="19"/>
  <c r="IQ29" i="19"/>
  <c r="IP37" i="19"/>
  <c r="IQ34" i="19"/>
  <c r="IQ38" i="19"/>
  <c r="IQ50" i="19"/>
  <c r="IP75" i="19"/>
  <c r="IO63" i="19"/>
  <c r="IN63" i="19"/>
  <c r="IO71" i="19"/>
  <c r="IN71" i="19"/>
  <c r="IP56" i="19"/>
  <c r="IP72" i="19"/>
  <c r="IQ65" i="19"/>
  <c r="IQ69" i="19"/>
  <c r="IP28" i="19"/>
  <c r="IN10" i="19"/>
  <c r="IO10" i="19"/>
  <c r="IO21" i="19"/>
  <c r="IN21" i="19"/>
  <c r="IP25" i="19"/>
  <c r="IQ39" i="19"/>
  <c r="IQ73" i="19"/>
  <c r="IP17" i="19"/>
  <c r="IP21" i="19"/>
  <c r="IQ25" i="19"/>
  <c r="IO45" i="19"/>
  <c r="IN45" i="19"/>
  <c r="IQ18" i="19"/>
  <c r="IQ22" i="19"/>
  <c r="IQ26" i="19"/>
  <c r="IO31" i="19"/>
  <c r="IN31" i="19"/>
  <c r="IO35" i="19"/>
  <c r="IN35" i="19"/>
  <c r="IO47" i="19"/>
  <c r="IN47" i="19"/>
  <c r="IN51" i="19"/>
  <c r="IO51" i="19"/>
  <c r="IN27" i="19"/>
  <c r="IO27" i="19"/>
  <c r="IP31" i="19"/>
  <c r="IP35" i="19"/>
  <c r="IO39" i="19"/>
  <c r="IN39" i="19"/>
  <c r="IO43" i="19"/>
  <c r="IN43" i="19"/>
  <c r="IP47" i="19"/>
  <c r="IP51" i="19"/>
  <c r="IN28" i="19"/>
  <c r="IO28" i="19"/>
  <c r="IQ32" i="19"/>
  <c r="IQ36" i="19"/>
  <c r="IN40" i="19"/>
  <c r="IO40" i="19"/>
  <c r="IN44" i="19"/>
  <c r="IO44" i="19"/>
  <c r="IQ48" i="19"/>
  <c r="IO53" i="19"/>
  <c r="IN53" i="19"/>
  <c r="IO57" i="19"/>
  <c r="IN57" i="19"/>
  <c r="IO61" i="19"/>
  <c r="IN61" i="19"/>
  <c r="IO65" i="19"/>
  <c r="IN65" i="19"/>
  <c r="IO69" i="19"/>
  <c r="IN69" i="19"/>
  <c r="IQ77" i="19"/>
  <c r="IP54" i="19"/>
  <c r="IP58" i="19"/>
  <c r="IP62" i="19"/>
  <c r="IP66" i="19"/>
  <c r="IP70" i="19"/>
  <c r="IQ55" i="19"/>
  <c r="IQ59" i="19"/>
  <c r="IQ63" i="19"/>
  <c r="IQ67" i="19"/>
  <c r="IQ71" i="19"/>
  <c r="IN75" i="19"/>
  <c r="IO75" i="19"/>
  <c r="IP14" i="19"/>
  <c r="IQ13" i="19"/>
  <c r="IQ11" i="19"/>
  <c r="IO19" i="19"/>
  <c r="IN19" i="19"/>
  <c r="IO15" i="19"/>
  <c r="IN15" i="19"/>
  <c r="IQ12" i="19"/>
  <c r="IQ23" i="19"/>
  <c r="IP11" i="19"/>
  <c r="IO23" i="19"/>
  <c r="IN23" i="19"/>
  <c r="IQ20" i="19"/>
  <c r="IO33" i="19"/>
  <c r="IN33" i="19"/>
  <c r="IP45" i="19"/>
  <c r="IP33" i="19"/>
  <c r="IQ41" i="19"/>
  <c r="IP49" i="19"/>
  <c r="IP74" i="19"/>
  <c r="IQ42" i="19"/>
  <c r="IO55" i="19"/>
  <c r="IN55" i="19"/>
  <c r="IO67" i="19"/>
  <c r="IN67" i="19"/>
  <c r="IQ75" i="19"/>
  <c r="IP60" i="19"/>
  <c r="IP68" i="19"/>
  <c r="IQ53" i="19"/>
  <c r="IQ61" i="19"/>
  <c r="IN77" i="19"/>
  <c r="IO77" i="19"/>
  <c r="IO25" i="19"/>
  <c r="IN25" i="19"/>
  <c r="IO8" i="19"/>
  <c r="IN8" i="19"/>
  <c r="IO17" i="19"/>
  <c r="IN17" i="19"/>
  <c r="IQ27" i="19"/>
  <c r="IP9" i="19"/>
  <c r="IO22" i="19"/>
  <c r="IN22" i="19"/>
  <c r="IO29" i="19"/>
  <c r="IN29" i="19"/>
  <c r="IO41" i="19"/>
  <c r="IN41" i="19"/>
  <c r="IP76" i="19"/>
  <c r="IQ14" i="19"/>
  <c r="IP18" i="19"/>
  <c r="IP22" i="19"/>
  <c r="IQ15" i="19"/>
  <c r="IQ19" i="19"/>
  <c r="IP23" i="19"/>
  <c r="IP27" i="19"/>
  <c r="IP40" i="19"/>
  <c r="IQ28" i="19"/>
  <c r="IO32" i="19"/>
  <c r="IN32" i="19"/>
  <c r="IO36" i="19"/>
  <c r="IN36" i="19"/>
  <c r="IQ40" i="19"/>
  <c r="IQ44" i="19"/>
  <c r="IO48" i="19"/>
  <c r="IN48" i="19"/>
  <c r="IP32" i="19"/>
  <c r="IP36" i="19"/>
  <c r="IP48" i="19"/>
  <c r="IQ33" i="19"/>
  <c r="IQ37" i="19"/>
  <c r="IQ49" i="19"/>
  <c r="IO54" i="19"/>
  <c r="IN54" i="19"/>
  <c r="IO58" i="19"/>
  <c r="IN58" i="19"/>
  <c r="IO62" i="19"/>
  <c r="IN62" i="19"/>
  <c r="IO66" i="19"/>
  <c r="IN66" i="19"/>
  <c r="IO70" i="19"/>
  <c r="IN70" i="19"/>
  <c r="IQ74" i="19"/>
  <c r="IQ78" i="19"/>
  <c r="IP55" i="19"/>
  <c r="IP59" i="19"/>
  <c r="IP63" i="19"/>
  <c r="IP67" i="19"/>
  <c r="IP71" i="19"/>
  <c r="IQ52" i="19"/>
  <c r="IQ56" i="19"/>
  <c r="IQ60" i="19"/>
  <c r="IQ64" i="19"/>
  <c r="IQ68" i="19"/>
  <c r="IQ72" i="19"/>
  <c r="IN76" i="19"/>
  <c r="IO76" i="19"/>
  <c r="IO9" i="19"/>
  <c r="IN9" i="19"/>
  <c r="IO18" i="19"/>
  <c r="IN18" i="19"/>
  <c r="IR102" i="19" l="1"/>
  <c r="IR89" i="19"/>
  <c r="IR84" i="19"/>
  <c r="IR79" i="19"/>
  <c r="IR90" i="19"/>
  <c r="IR83" i="19"/>
  <c r="IR93" i="19"/>
  <c r="IR88" i="19"/>
  <c r="IR87" i="19"/>
  <c r="IR110" i="19"/>
  <c r="IR81" i="19"/>
  <c r="IR113" i="19"/>
  <c r="IR108" i="19"/>
  <c r="IR82" i="19"/>
  <c r="IR114" i="19"/>
  <c r="IR85" i="19"/>
  <c r="IR80" i="19"/>
  <c r="IR112" i="19"/>
  <c r="IR86" i="19"/>
  <c r="IR107" i="19"/>
  <c r="IR105" i="19"/>
  <c r="IR100" i="19"/>
  <c r="IR111" i="19"/>
  <c r="IR106" i="19"/>
  <c r="IR115" i="19"/>
  <c r="IR109" i="19"/>
  <c r="IR104" i="19"/>
  <c r="IR94" i="19"/>
  <c r="IR91" i="19"/>
  <c r="IR97" i="19"/>
  <c r="IR92" i="19"/>
  <c r="IR99" i="19"/>
  <c r="IR98" i="19"/>
  <c r="IR95" i="19"/>
  <c r="IR101" i="19"/>
  <c r="IR96" i="19"/>
  <c r="IR103" i="19"/>
  <c r="IR18" i="19"/>
  <c r="IR77" i="19"/>
  <c r="IR69" i="19"/>
  <c r="IR21" i="19"/>
  <c r="IR7" i="19"/>
  <c r="IR24" i="19"/>
  <c r="IR33" i="19"/>
  <c r="IR75" i="19"/>
  <c r="IR61" i="19"/>
  <c r="IR53" i="19"/>
  <c r="IR44" i="19"/>
  <c r="IR45" i="19"/>
  <c r="IR16" i="19"/>
  <c r="IR78" i="19"/>
  <c r="IR73" i="19"/>
  <c r="IR38" i="19"/>
  <c r="IR72" i="19"/>
  <c r="IR65" i="19"/>
  <c r="IR57" i="19"/>
  <c r="IR55" i="19"/>
  <c r="IR76" i="19"/>
  <c r="IR66" i="19"/>
  <c r="IR58" i="19"/>
  <c r="IR32" i="19"/>
  <c r="IR41" i="19"/>
  <c r="IR22" i="19"/>
  <c r="IR17" i="19"/>
  <c r="IR25" i="19"/>
  <c r="IR43" i="19"/>
  <c r="IR35" i="19"/>
  <c r="IR71" i="19"/>
  <c r="IR59" i="19"/>
  <c r="IR64" i="19"/>
  <c r="IR46" i="19"/>
  <c r="IR30" i="19"/>
  <c r="IR9" i="19"/>
  <c r="IR67" i="19"/>
  <c r="IR19" i="19"/>
  <c r="IR40" i="19"/>
  <c r="IR28" i="19"/>
  <c r="IR51" i="19"/>
  <c r="IR20" i="19"/>
  <c r="IR74" i="19"/>
  <c r="IR68" i="19"/>
  <c r="IR60" i="19"/>
  <c r="IR52" i="19"/>
  <c r="IR50" i="19"/>
  <c r="IR42" i="19"/>
  <c r="IR34" i="19"/>
  <c r="IR26" i="19"/>
  <c r="IR15" i="19"/>
  <c r="IR27" i="19"/>
  <c r="IR56" i="19"/>
  <c r="IR70" i="19"/>
  <c r="IR62" i="19"/>
  <c r="IR54" i="19"/>
  <c r="IR48" i="19"/>
  <c r="IR36" i="19"/>
  <c r="IR29" i="19"/>
  <c r="IR8" i="19"/>
  <c r="IR23" i="19"/>
  <c r="IR39" i="19"/>
  <c r="IR47" i="19"/>
  <c r="IR31" i="19"/>
  <c r="IR10" i="19"/>
  <c r="IR63" i="19"/>
  <c r="IR49" i="19"/>
  <c r="IR11" i="19"/>
  <c r="IR14" i="19"/>
  <c r="IR13" i="19"/>
  <c r="IR12" i="19"/>
  <c r="IR37" i="19"/>
  <c r="IG9" i="8" l="1"/>
  <c r="IG10" i="8"/>
  <c r="IG19" i="8"/>
  <c r="IG20" i="8"/>
  <c r="IG21" i="8"/>
  <c r="IG22" i="8"/>
  <c r="IG23" i="8"/>
  <c r="IG24" i="8"/>
  <c r="IG25" i="8"/>
  <c r="IG35" i="8"/>
  <c r="IG36" i="8"/>
  <c r="IG37" i="8"/>
  <c r="IG38" i="8"/>
  <c r="IG39" i="8"/>
  <c r="IG42" i="8"/>
  <c r="IG43" i="8"/>
  <c r="IG44" i="8"/>
  <c r="IG53" i="8"/>
  <c r="IG54" i="8"/>
  <c r="IG55" i="8"/>
  <c r="IG56" i="8"/>
  <c r="IG57" i="8"/>
  <c r="IG58" i="8"/>
  <c r="IG59" i="8"/>
  <c r="IG60" i="8"/>
  <c r="IG62" i="8"/>
  <c r="IG78" i="8"/>
  <c r="IG79" i="8"/>
  <c r="IG64" i="8"/>
  <c r="IG65" i="8"/>
  <c r="IG66" i="8"/>
  <c r="IG63" i="8"/>
  <c r="IG80" i="8"/>
  <c r="IG81" i="8"/>
  <c r="IG67" i="8"/>
  <c r="IG68" i="8"/>
  <c r="IG69" i="8"/>
  <c r="IG82" i="8"/>
  <c r="IG83" i="8"/>
  <c r="IG70" i="8"/>
  <c r="IG71" i="8"/>
  <c r="IG84" i="8"/>
  <c r="IG85" i="8"/>
  <c r="IG73" i="8"/>
  <c r="IG74" i="8"/>
  <c r="IG75" i="8"/>
  <c r="IG76" i="8"/>
  <c r="IY9" i="8"/>
  <c r="IY10" i="8"/>
  <c r="IY19" i="8"/>
  <c r="IY20" i="8"/>
  <c r="IY21" i="8"/>
  <c r="IY22" i="8"/>
  <c r="IY23" i="8"/>
  <c r="IY24" i="8"/>
  <c r="IY25" i="8"/>
  <c r="IY35" i="8"/>
  <c r="IY36" i="8"/>
  <c r="IY37" i="8"/>
  <c r="IY38" i="8"/>
  <c r="IY39" i="8"/>
  <c r="IY42" i="8"/>
  <c r="IY43" i="8"/>
  <c r="IY44" i="8"/>
  <c r="IY53" i="8"/>
  <c r="IY54" i="8"/>
  <c r="IY55" i="8"/>
  <c r="IY56" i="8"/>
  <c r="IY57" i="8"/>
  <c r="IY58" i="8"/>
  <c r="IY59" i="8"/>
  <c r="IY60" i="8"/>
  <c r="IY62" i="8"/>
  <c r="IY78" i="8"/>
  <c r="IY79" i="8"/>
  <c r="IY64" i="8"/>
  <c r="IY65" i="8"/>
  <c r="IY66" i="8"/>
  <c r="IY63" i="8"/>
  <c r="IY80" i="8"/>
  <c r="IY81" i="8"/>
  <c r="IY67" i="8"/>
  <c r="IY68" i="8"/>
  <c r="IY69" i="8"/>
  <c r="IY82" i="8"/>
  <c r="IY83" i="8"/>
  <c r="IY70" i="8"/>
  <c r="IY71" i="8"/>
  <c r="IY84" i="8"/>
  <c r="IY85" i="8"/>
  <c r="IY73" i="8"/>
  <c r="IY74" i="8"/>
  <c r="IY75" i="8"/>
  <c r="IY76" i="8"/>
  <c r="IS9" i="8"/>
  <c r="IS10" i="8"/>
  <c r="IS19" i="8"/>
  <c r="IS20" i="8"/>
  <c r="IS21" i="8"/>
  <c r="IS22" i="8"/>
  <c r="IS23" i="8"/>
  <c r="IS24" i="8"/>
  <c r="IS25" i="8"/>
  <c r="IS35" i="8"/>
  <c r="IS36" i="8"/>
  <c r="IS37" i="8"/>
  <c r="IS38" i="8"/>
  <c r="IS39" i="8"/>
  <c r="IS42" i="8"/>
  <c r="IS43" i="8"/>
  <c r="IS44" i="8"/>
  <c r="IS53" i="8"/>
  <c r="IS54" i="8"/>
  <c r="IS55" i="8"/>
  <c r="IS56" i="8"/>
  <c r="IS57" i="8"/>
  <c r="IS58" i="8"/>
  <c r="IS59" i="8"/>
  <c r="IS60" i="8"/>
  <c r="IS62" i="8"/>
  <c r="IS78" i="8"/>
  <c r="IS79" i="8"/>
  <c r="IS64" i="8"/>
  <c r="IS65" i="8"/>
  <c r="IS66" i="8"/>
  <c r="IS63" i="8"/>
  <c r="IS80" i="8"/>
  <c r="IS81" i="8"/>
  <c r="IS67" i="8"/>
  <c r="IS68" i="8"/>
  <c r="IS69" i="8"/>
  <c r="IS82" i="8"/>
  <c r="IS83" i="8"/>
  <c r="IS70" i="8"/>
  <c r="IS71" i="8"/>
  <c r="IS84" i="8"/>
  <c r="IS85" i="8"/>
  <c r="IS73" i="8"/>
  <c r="IS74" i="8"/>
  <c r="IS75" i="8"/>
  <c r="IS76" i="8"/>
  <c r="IM9" i="8"/>
  <c r="IM10" i="8"/>
  <c r="IM19" i="8"/>
  <c r="IM20" i="8"/>
  <c r="IM21" i="8"/>
  <c r="IM22" i="8"/>
  <c r="IM23" i="8"/>
  <c r="IM24" i="8"/>
  <c r="IM25" i="8"/>
  <c r="IM35" i="8"/>
  <c r="IM36" i="8"/>
  <c r="IM37" i="8"/>
  <c r="IM38" i="8"/>
  <c r="IM39" i="8"/>
  <c r="IM42" i="8"/>
  <c r="IM43" i="8"/>
  <c r="IM44" i="8"/>
  <c r="IM53" i="8"/>
  <c r="IM54" i="8"/>
  <c r="IM55" i="8"/>
  <c r="IM56" i="8"/>
  <c r="IM57" i="8"/>
  <c r="IM58" i="8"/>
  <c r="IM59" i="8"/>
  <c r="IM60" i="8"/>
  <c r="IM62" i="8"/>
  <c r="IM78" i="8"/>
  <c r="IM79" i="8"/>
  <c r="IM64" i="8"/>
  <c r="IM65" i="8"/>
  <c r="IM66" i="8"/>
  <c r="IM63" i="8"/>
  <c r="IM80" i="8"/>
  <c r="IM81" i="8"/>
  <c r="IM67" i="8"/>
  <c r="IM68" i="8"/>
  <c r="IM69" i="8"/>
  <c r="IM82" i="8"/>
  <c r="IM83" i="8"/>
  <c r="IM70" i="8"/>
  <c r="IM71" i="8"/>
  <c r="IM84" i="8"/>
  <c r="IM85" i="8"/>
  <c r="IM73" i="8"/>
  <c r="IM74" i="8"/>
  <c r="IM75" i="8"/>
  <c r="IM76" i="8"/>
  <c r="IY8" i="8"/>
  <c r="IS8" i="8"/>
  <c r="IM8" i="8"/>
  <c r="EJ2" i="8"/>
  <c r="EI33" i="8"/>
  <c r="EI17" i="8"/>
  <c r="I5" i="8" l="1"/>
  <c r="EI87" i="8"/>
  <c r="EI86" i="8"/>
  <c r="EI46" i="8"/>
  <c r="EI47" i="8"/>
  <c r="EI48" i="8"/>
  <c r="EI49" i="8"/>
  <c r="EI50" i="8"/>
  <c r="EI51" i="8"/>
  <c r="EI52" i="8"/>
  <c r="EI45" i="8"/>
  <c r="EI27" i="8"/>
  <c r="EI28" i="8"/>
  <c r="EI29" i="8"/>
  <c r="EI30" i="8"/>
  <c r="EI31" i="8"/>
  <c r="EI32" i="8"/>
  <c r="EI26" i="8"/>
  <c r="EI13" i="8"/>
  <c r="EI14" i="8"/>
  <c r="EI15" i="8"/>
  <c r="EI12" i="8"/>
  <c r="EI16" i="8"/>
  <c r="EJ12" i="8" l="1"/>
  <c r="ID191" i="8"/>
  <c r="HV191" i="8"/>
  <c r="HN191" i="8"/>
  <c r="HF191" i="8"/>
  <c r="GX191" i="8"/>
  <c r="GP191" i="8"/>
  <c r="GH191" i="8"/>
  <c r="FZ191" i="8"/>
  <c r="FR191" i="8"/>
  <c r="FJ191" i="8"/>
  <c r="FB191" i="8"/>
  <c r="ET191" i="8"/>
  <c r="EL191" i="8"/>
  <c r="ID190" i="8"/>
  <c r="HV190" i="8"/>
  <c r="HN190" i="8"/>
  <c r="HF190" i="8"/>
  <c r="GX190" i="8"/>
  <c r="GP190" i="8"/>
  <c r="GH190" i="8"/>
  <c r="FZ190" i="8"/>
  <c r="FR190" i="8"/>
  <c r="FJ190" i="8"/>
  <c r="FB190" i="8"/>
  <c r="ET190" i="8"/>
  <c r="EL190" i="8"/>
  <c r="ID189" i="8"/>
  <c r="HV189" i="8"/>
  <c r="HN189" i="8"/>
  <c r="HF189" i="8"/>
  <c r="GX189" i="8"/>
  <c r="GP189" i="8"/>
  <c r="GH189" i="8"/>
  <c r="FZ189" i="8"/>
  <c r="FR189" i="8"/>
  <c r="FJ189" i="8"/>
  <c r="FB189" i="8"/>
  <c r="ET189" i="8"/>
  <c r="EL189" i="8"/>
  <c r="ID188" i="8"/>
  <c r="HV188" i="8"/>
  <c r="HN188" i="8"/>
  <c r="HF188" i="8"/>
  <c r="GX188" i="8"/>
  <c r="GP188" i="8"/>
  <c r="GH188" i="8"/>
  <c r="FZ188" i="8"/>
  <c r="FR188" i="8"/>
  <c r="FJ188" i="8"/>
  <c r="FB188" i="8"/>
  <c r="ET188" i="8"/>
  <c r="EL188" i="8"/>
  <c r="ID187" i="8"/>
  <c r="HV187" i="8"/>
  <c r="HN187" i="8"/>
  <c r="HF187" i="8"/>
  <c r="GX187" i="8"/>
  <c r="GP187" i="8"/>
  <c r="GH187" i="8"/>
  <c r="FZ187" i="8"/>
  <c r="FR187" i="8"/>
  <c r="FJ187" i="8"/>
  <c r="FB187" i="8"/>
  <c r="ET187" i="8"/>
  <c r="EL187" i="8"/>
  <c r="ID186" i="8"/>
  <c r="HV186" i="8"/>
  <c r="HN186" i="8"/>
  <c r="HF186" i="8"/>
  <c r="GX186" i="8"/>
  <c r="GP186" i="8"/>
  <c r="GH186" i="8"/>
  <c r="FZ186" i="8"/>
  <c r="FR186" i="8"/>
  <c r="FJ186" i="8"/>
  <c r="FB186" i="8"/>
  <c r="ET186" i="8"/>
  <c r="EL186" i="8"/>
  <c r="ID185" i="8"/>
  <c r="HV185" i="8"/>
  <c r="HN185" i="8"/>
  <c r="HF185" i="8"/>
  <c r="GX185" i="8"/>
  <c r="GP185" i="8"/>
  <c r="GH185" i="8"/>
  <c r="IC191" i="8"/>
  <c r="HU191" i="8"/>
  <c r="HM191" i="8"/>
  <c r="HE191" i="8"/>
  <c r="GW191" i="8"/>
  <c r="GO191" i="8"/>
  <c r="GG191" i="8"/>
  <c r="FY191" i="8"/>
  <c r="FQ191" i="8"/>
  <c r="FI191" i="8"/>
  <c r="FA191" i="8"/>
  <c r="ES191" i="8"/>
  <c r="EK191" i="8"/>
  <c r="IC190" i="8"/>
  <c r="HU190" i="8"/>
  <c r="HM190" i="8"/>
  <c r="HE190" i="8"/>
  <c r="GW190" i="8"/>
  <c r="GO190" i="8"/>
  <c r="GG190" i="8"/>
  <c r="FY190" i="8"/>
  <c r="FQ190" i="8"/>
  <c r="FI190" i="8"/>
  <c r="FA190" i="8"/>
  <c r="ES190" i="8"/>
  <c r="EK190" i="8"/>
  <c r="IC189" i="8"/>
  <c r="HU189" i="8"/>
  <c r="HM189" i="8"/>
  <c r="HE189" i="8"/>
  <c r="GW189" i="8"/>
  <c r="GO189" i="8"/>
  <c r="GG189" i="8"/>
  <c r="FY189" i="8"/>
  <c r="FQ189" i="8"/>
  <c r="FI189" i="8"/>
  <c r="FA189" i="8"/>
  <c r="ES189" i="8"/>
  <c r="EK189" i="8"/>
  <c r="IC188" i="8"/>
  <c r="HU188" i="8"/>
  <c r="HM188" i="8"/>
  <c r="HE188" i="8"/>
  <c r="GW188" i="8"/>
  <c r="GO188" i="8"/>
  <c r="GG188" i="8"/>
  <c r="FY188" i="8"/>
  <c r="FQ188" i="8"/>
  <c r="FI188" i="8"/>
  <c r="FA188" i="8"/>
  <c r="ES188" i="8"/>
  <c r="EK188" i="8"/>
  <c r="IC187" i="8"/>
  <c r="HU187" i="8"/>
  <c r="HM187" i="8"/>
  <c r="HE187" i="8"/>
  <c r="GW187" i="8"/>
  <c r="GO187" i="8"/>
  <c r="GG187" i="8"/>
  <c r="FY187" i="8"/>
  <c r="FQ187" i="8"/>
  <c r="FI187" i="8"/>
  <c r="FA187" i="8"/>
  <c r="ES187" i="8"/>
  <c r="EK187" i="8"/>
  <c r="IC186" i="8"/>
  <c r="HU186" i="8"/>
  <c r="HM186" i="8"/>
  <c r="HE186" i="8"/>
  <c r="GW186" i="8"/>
  <c r="GO186" i="8"/>
  <c r="GG186" i="8"/>
  <c r="FY186" i="8"/>
  <c r="FQ186" i="8"/>
  <c r="FI186" i="8"/>
  <c r="FA186" i="8"/>
  <c r="ES186" i="8"/>
  <c r="EK186" i="8"/>
  <c r="IC185" i="8"/>
  <c r="HU185" i="8"/>
  <c r="HM185" i="8"/>
  <c r="HE185" i="8"/>
  <c r="GW185" i="8"/>
  <c r="GO185" i="8"/>
  <c r="GG185" i="8"/>
  <c r="HZ191" i="8"/>
  <c r="HR191" i="8"/>
  <c r="HJ191" i="8"/>
  <c r="HB191" i="8"/>
  <c r="GT191" i="8"/>
  <c r="GL191" i="8"/>
  <c r="GD191" i="8"/>
  <c r="FV191" i="8"/>
  <c r="FN191" i="8"/>
  <c r="FF191" i="8"/>
  <c r="EX191" i="8"/>
  <c r="EP191" i="8"/>
  <c r="HZ190" i="8"/>
  <c r="HR190" i="8"/>
  <c r="HJ190" i="8"/>
  <c r="HB190" i="8"/>
  <c r="GT190" i="8"/>
  <c r="GL190" i="8"/>
  <c r="GD190" i="8"/>
  <c r="FV190" i="8"/>
  <c r="FN190" i="8"/>
  <c r="FF190" i="8"/>
  <c r="EX190" i="8"/>
  <c r="EP190" i="8"/>
  <c r="HZ189" i="8"/>
  <c r="HR189" i="8"/>
  <c r="HJ189" i="8"/>
  <c r="HB189" i="8"/>
  <c r="GT189" i="8"/>
  <c r="GL189" i="8"/>
  <c r="GD189" i="8"/>
  <c r="FV189" i="8"/>
  <c r="FN189" i="8"/>
  <c r="FF189" i="8"/>
  <c r="EX189" i="8"/>
  <c r="EP189" i="8"/>
  <c r="HZ188" i="8"/>
  <c r="HR188" i="8"/>
  <c r="HJ188" i="8"/>
  <c r="HB188" i="8"/>
  <c r="GT188" i="8"/>
  <c r="GL188" i="8"/>
  <c r="GD188" i="8"/>
  <c r="FV188" i="8"/>
  <c r="FN188" i="8"/>
  <c r="FF188" i="8"/>
  <c r="EX188" i="8"/>
  <c r="EP188" i="8"/>
  <c r="HZ187" i="8"/>
  <c r="HR187" i="8"/>
  <c r="HJ187" i="8"/>
  <c r="HB187" i="8"/>
  <c r="GT187" i="8"/>
  <c r="GL187" i="8"/>
  <c r="GD187" i="8"/>
  <c r="FV187" i="8"/>
  <c r="FN187" i="8"/>
  <c r="FF187" i="8"/>
  <c r="EX187" i="8"/>
  <c r="EP187" i="8"/>
  <c r="HZ186" i="8"/>
  <c r="HR186" i="8"/>
  <c r="HJ186" i="8"/>
  <c r="HB186" i="8"/>
  <c r="GT186" i="8"/>
  <c r="GL186" i="8"/>
  <c r="GD186" i="8"/>
  <c r="FV186" i="8"/>
  <c r="FN186" i="8"/>
  <c r="FF186" i="8"/>
  <c r="EX186" i="8"/>
  <c r="EP186" i="8"/>
  <c r="HZ185" i="8"/>
  <c r="HR185" i="8"/>
  <c r="HJ185" i="8"/>
  <c r="HB185" i="8"/>
  <c r="GT185" i="8"/>
  <c r="GL185" i="8"/>
  <c r="GD185" i="8"/>
  <c r="HY191" i="8"/>
  <c r="HQ191" i="8"/>
  <c r="HI191" i="8"/>
  <c r="HA191" i="8"/>
  <c r="GS191" i="8"/>
  <c r="GK191" i="8"/>
  <c r="GC191" i="8"/>
  <c r="FU191" i="8"/>
  <c r="FM191" i="8"/>
  <c r="FE191" i="8"/>
  <c r="EW191" i="8"/>
  <c r="EO191" i="8"/>
  <c r="HY190" i="8"/>
  <c r="HQ190" i="8"/>
  <c r="HI190" i="8"/>
  <c r="HA190" i="8"/>
  <c r="GS190" i="8"/>
  <c r="GK190" i="8"/>
  <c r="GC190" i="8"/>
  <c r="FU190" i="8"/>
  <c r="FM190" i="8"/>
  <c r="FE190" i="8"/>
  <c r="EW190" i="8"/>
  <c r="EO190" i="8"/>
  <c r="HY189" i="8"/>
  <c r="HQ189" i="8"/>
  <c r="HI189" i="8"/>
  <c r="HA189" i="8"/>
  <c r="GS189" i="8"/>
  <c r="GK189" i="8"/>
  <c r="GC189" i="8"/>
  <c r="FU189" i="8"/>
  <c r="FM189" i="8"/>
  <c r="FE189" i="8"/>
  <c r="EW189" i="8"/>
  <c r="EO189" i="8"/>
  <c r="HY188" i="8"/>
  <c r="HQ188" i="8"/>
  <c r="HI188" i="8"/>
  <c r="HA188" i="8"/>
  <c r="GS188" i="8"/>
  <c r="GK188" i="8"/>
  <c r="GC188" i="8"/>
  <c r="FU188" i="8"/>
  <c r="FM188" i="8"/>
  <c r="FE188" i="8"/>
  <c r="EW188" i="8"/>
  <c r="EO188" i="8"/>
  <c r="HY187" i="8"/>
  <c r="HQ187" i="8"/>
  <c r="HI187" i="8"/>
  <c r="HA187" i="8"/>
  <c r="GS187" i="8"/>
  <c r="GK187" i="8"/>
  <c r="GC187" i="8"/>
  <c r="FU187" i="8"/>
  <c r="FM187" i="8"/>
  <c r="FE187" i="8"/>
  <c r="EW187" i="8"/>
  <c r="EO187" i="8"/>
  <c r="HY186" i="8"/>
  <c r="HQ186" i="8"/>
  <c r="HI186" i="8"/>
  <c r="HA186" i="8"/>
  <c r="GS186" i="8"/>
  <c r="GK186" i="8"/>
  <c r="GC186" i="8"/>
  <c r="FU186" i="8"/>
  <c r="FM186" i="8"/>
  <c r="FE186" i="8"/>
  <c r="EW186" i="8"/>
  <c r="EO186" i="8"/>
  <c r="HY185" i="8"/>
  <c r="HQ185" i="8"/>
  <c r="HI185" i="8"/>
  <c r="HA185" i="8"/>
  <c r="GS185" i="8"/>
  <c r="GK185" i="8"/>
  <c r="IF191" i="8"/>
  <c r="HX191" i="8"/>
  <c r="HP191" i="8"/>
  <c r="HH191" i="8"/>
  <c r="GZ191" i="8"/>
  <c r="GR191" i="8"/>
  <c r="GJ191" i="8"/>
  <c r="GB191" i="8"/>
  <c r="FT191" i="8"/>
  <c r="FL191" i="8"/>
  <c r="FD191" i="8"/>
  <c r="EV191" i="8"/>
  <c r="EN191" i="8"/>
  <c r="IF190" i="8"/>
  <c r="HX190" i="8"/>
  <c r="HP190" i="8"/>
  <c r="HH190" i="8"/>
  <c r="GZ190" i="8"/>
  <c r="GR190" i="8"/>
  <c r="GJ190" i="8"/>
  <c r="GB190" i="8"/>
  <c r="FT190" i="8"/>
  <c r="FL190" i="8"/>
  <c r="FD190" i="8"/>
  <c r="EV190" i="8"/>
  <c r="EN190" i="8"/>
  <c r="IF189" i="8"/>
  <c r="HX189" i="8"/>
  <c r="HP189" i="8"/>
  <c r="HH189" i="8"/>
  <c r="GZ189" i="8"/>
  <c r="GR189" i="8"/>
  <c r="GJ189" i="8"/>
  <c r="GB189" i="8"/>
  <c r="FT189" i="8"/>
  <c r="FL189" i="8"/>
  <c r="FD189" i="8"/>
  <c r="EV189" i="8"/>
  <c r="EN189" i="8"/>
  <c r="IF188" i="8"/>
  <c r="HX188" i="8"/>
  <c r="HP188" i="8"/>
  <c r="HH188" i="8"/>
  <c r="GZ188" i="8"/>
  <c r="GR188" i="8"/>
  <c r="GJ188" i="8"/>
  <c r="GB188" i="8"/>
  <c r="FT188" i="8"/>
  <c r="FL188" i="8"/>
  <c r="FD188" i="8"/>
  <c r="EV188" i="8"/>
  <c r="EN188" i="8"/>
  <c r="IF187" i="8"/>
  <c r="HX187" i="8"/>
  <c r="HP187" i="8"/>
  <c r="HH187" i="8"/>
  <c r="GZ187" i="8"/>
  <c r="GR187" i="8"/>
  <c r="GJ187" i="8"/>
  <c r="GB187" i="8"/>
  <c r="FT187" i="8"/>
  <c r="FL187" i="8"/>
  <c r="FD187" i="8"/>
  <c r="EV187" i="8"/>
  <c r="EN187" i="8"/>
  <c r="IF186" i="8"/>
  <c r="HX186" i="8"/>
  <c r="HP186" i="8"/>
  <c r="HH186" i="8"/>
  <c r="GZ186" i="8"/>
  <c r="GR186" i="8"/>
  <c r="GJ186" i="8"/>
  <c r="GB186" i="8"/>
  <c r="FT186" i="8"/>
  <c r="FL186" i="8"/>
  <c r="FD186" i="8"/>
  <c r="EV186" i="8"/>
  <c r="EN186" i="8"/>
  <c r="IF185" i="8"/>
  <c r="HX185" i="8"/>
  <c r="HP185" i="8"/>
  <c r="HH185" i="8"/>
  <c r="GZ185" i="8"/>
  <c r="GR185" i="8"/>
  <c r="GJ185" i="8"/>
  <c r="IE191" i="8"/>
  <c r="HW191" i="8"/>
  <c r="HO191" i="8"/>
  <c r="HG191" i="8"/>
  <c r="GY191" i="8"/>
  <c r="GQ191" i="8"/>
  <c r="GI191" i="8"/>
  <c r="GA191" i="8"/>
  <c r="FS191" i="8"/>
  <c r="FK191" i="8"/>
  <c r="FC191" i="8"/>
  <c r="EU191" i="8"/>
  <c r="EM191" i="8"/>
  <c r="IE190" i="8"/>
  <c r="HW190" i="8"/>
  <c r="HO190" i="8"/>
  <c r="HG190" i="8"/>
  <c r="GY190" i="8"/>
  <c r="GQ190" i="8"/>
  <c r="GI190" i="8"/>
  <c r="GA190" i="8"/>
  <c r="FS190" i="8"/>
  <c r="FK190" i="8"/>
  <c r="FC190" i="8"/>
  <c r="EU190" i="8"/>
  <c r="EM190" i="8"/>
  <c r="IE189" i="8"/>
  <c r="HW189" i="8"/>
  <c r="HO189" i="8"/>
  <c r="HG189" i="8"/>
  <c r="GY189" i="8"/>
  <c r="GQ189" i="8"/>
  <c r="GI189" i="8"/>
  <c r="GA189" i="8"/>
  <c r="FS189" i="8"/>
  <c r="FK189" i="8"/>
  <c r="FC189" i="8"/>
  <c r="EU189" i="8"/>
  <c r="EM189" i="8"/>
  <c r="IE188" i="8"/>
  <c r="HW188" i="8"/>
  <c r="HO188" i="8"/>
  <c r="HG188" i="8"/>
  <c r="GY188" i="8"/>
  <c r="GQ188" i="8"/>
  <c r="GI188" i="8"/>
  <c r="GA188" i="8"/>
  <c r="FS188" i="8"/>
  <c r="FK188" i="8"/>
  <c r="FC188" i="8"/>
  <c r="EU188" i="8"/>
  <c r="EM188" i="8"/>
  <c r="IE187" i="8"/>
  <c r="HW187" i="8"/>
  <c r="HO187" i="8"/>
  <c r="HG187" i="8"/>
  <c r="GY187" i="8"/>
  <c r="GQ187" i="8"/>
  <c r="GI187" i="8"/>
  <c r="GA187" i="8"/>
  <c r="FS187" i="8"/>
  <c r="FK187" i="8"/>
  <c r="FC187" i="8"/>
  <c r="EU187" i="8"/>
  <c r="EM187" i="8"/>
  <c r="IE186" i="8"/>
  <c r="HW186" i="8"/>
  <c r="HO186" i="8"/>
  <c r="HG186" i="8"/>
  <c r="GY186" i="8"/>
  <c r="GQ186" i="8"/>
  <c r="GI186" i="8"/>
  <c r="GA186" i="8"/>
  <c r="FS186" i="8"/>
  <c r="FK186" i="8"/>
  <c r="FC186" i="8"/>
  <c r="EU186" i="8"/>
  <c r="EM186" i="8"/>
  <c r="IE185" i="8"/>
  <c r="HW185" i="8"/>
  <c r="HO185" i="8"/>
  <c r="HG185" i="8"/>
  <c r="GY185" i="8"/>
  <c r="GQ185" i="8"/>
  <c r="GI185" i="8"/>
  <c r="HT191" i="8"/>
  <c r="GN191" i="8"/>
  <c r="FH191" i="8"/>
  <c r="HD190" i="8"/>
  <c r="FX190" i="8"/>
  <c r="ER190" i="8"/>
  <c r="HT189" i="8"/>
  <c r="GN189" i="8"/>
  <c r="FH189" i="8"/>
  <c r="HD188" i="8"/>
  <c r="FX188" i="8"/>
  <c r="ER188" i="8"/>
  <c r="HT187" i="8"/>
  <c r="GN187" i="8"/>
  <c r="FH187" i="8"/>
  <c r="HD186" i="8"/>
  <c r="FX186" i="8"/>
  <c r="ER186" i="8"/>
  <c r="HT185" i="8"/>
  <c r="GN185" i="8"/>
  <c r="FY185" i="8"/>
  <c r="FQ185" i="8"/>
  <c r="FI185" i="8"/>
  <c r="FA185" i="8"/>
  <c r="ES185" i="8"/>
  <c r="EK185" i="8"/>
  <c r="IC184" i="8"/>
  <c r="HU184" i="8"/>
  <c r="HM184" i="8"/>
  <c r="HE184" i="8"/>
  <c r="GW184" i="8"/>
  <c r="GO184" i="8"/>
  <c r="GG184" i="8"/>
  <c r="FY184" i="8"/>
  <c r="FQ184" i="8"/>
  <c r="FI184" i="8"/>
  <c r="FA184" i="8"/>
  <c r="ES184" i="8"/>
  <c r="EK184" i="8"/>
  <c r="IE179" i="8"/>
  <c r="HW179" i="8"/>
  <c r="HO179" i="8"/>
  <c r="HG179" i="8"/>
  <c r="GY179" i="8"/>
  <c r="GQ179" i="8"/>
  <c r="GI179" i="8"/>
  <c r="GA179" i="8"/>
  <c r="FS179" i="8"/>
  <c r="FK179" i="8"/>
  <c r="FC179" i="8"/>
  <c r="EU179" i="8"/>
  <c r="EM179" i="8"/>
  <c r="IE178" i="8"/>
  <c r="HW178" i="8"/>
  <c r="HO178" i="8"/>
  <c r="HG178" i="8"/>
  <c r="GY178" i="8"/>
  <c r="GQ178" i="8"/>
  <c r="GI178" i="8"/>
  <c r="GA178" i="8"/>
  <c r="FS178" i="8"/>
  <c r="FK178" i="8"/>
  <c r="FC178" i="8"/>
  <c r="EU178" i="8"/>
  <c r="EM178" i="8"/>
  <c r="IE177" i="8"/>
  <c r="HW177" i="8"/>
  <c r="HO177" i="8"/>
  <c r="HG177" i="8"/>
  <c r="GY177" i="8"/>
  <c r="GQ177" i="8"/>
  <c r="GI177" i="8"/>
  <c r="GA177" i="8"/>
  <c r="FS177" i="8"/>
  <c r="FK177" i="8"/>
  <c r="FC177" i="8"/>
  <c r="EU177" i="8"/>
  <c r="EM177" i="8"/>
  <c r="IE176" i="8"/>
  <c r="HW176" i="8"/>
  <c r="HO176" i="8"/>
  <c r="HG176" i="8"/>
  <c r="GY176" i="8"/>
  <c r="GQ176" i="8"/>
  <c r="GI176" i="8"/>
  <c r="HS191" i="8"/>
  <c r="GM191" i="8"/>
  <c r="FG191" i="8"/>
  <c r="HC190" i="8"/>
  <c r="FW190" i="8"/>
  <c r="EQ190" i="8"/>
  <c r="HS189" i="8"/>
  <c r="GM189" i="8"/>
  <c r="FG189" i="8"/>
  <c r="HC188" i="8"/>
  <c r="FW188" i="8"/>
  <c r="EQ188" i="8"/>
  <c r="HS187" i="8"/>
  <c r="GM187" i="8"/>
  <c r="FG187" i="8"/>
  <c r="HC186" i="8"/>
  <c r="FW186" i="8"/>
  <c r="EQ186" i="8"/>
  <c r="HS185" i="8"/>
  <c r="GM185" i="8"/>
  <c r="FX185" i="8"/>
  <c r="HL191" i="8"/>
  <c r="GF191" i="8"/>
  <c r="EZ191" i="8"/>
  <c r="HK191" i="8"/>
  <c r="GE191" i="8"/>
  <c r="EY191" i="8"/>
  <c r="HD191" i="8"/>
  <c r="FX191" i="8"/>
  <c r="ER191" i="8"/>
  <c r="HT190" i="8"/>
  <c r="GN190" i="8"/>
  <c r="FH190" i="8"/>
  <c r="HD189" i="8"/>
  <c r="FX189" i="8"/>
  <c r="ER189" i="8"/>
  <c r="HT188" i="8"/>
  <c r="GN188" i="8"/>
  <c r="FH188" i="8"/>
  <c r="HD187" i="8"/>
  <c r="FX187" i="8"/>
  <c r="ER187" i="8"/>
  <c r="HT186" i="8"/>
  <c r="GN186" i="8"/>
  <c r="FH186" i="8"/>
  <c r="HD185" i="8"/>
  <c r="GC185" i="8"/>
  <c r="FU185" i="8"/>
  <c r="FM185" i="8"/>
  <c r="FE185" i="8"/>
  <c r="EW185" i="8"/>
  <c r="EO185" i="8"/>
  <c r="HY184" i="8"/>
  <c r="HQ184" i="8"/>
  <c r="HI184" i="8"/>
  <c r="HA184" i="8"/>
  <c r="GS184" i="8"/>
  <c r="GK184" i="8"/>
  <c r="GC184" i="8"/>
  <c r="FU184" i="8"/>
  <c r="FM184" i="8"/>
  <c r="FE184" i="8"/>
  <c r="EW184" i="8"/>
  <c r="EO184" i="8"/>
  <c r="IA179" i="8"/>
  <c r="HS179" i="8"/>
  <c r="HK179" i="8"/>
  <c r="HC179" i="8"/>
  <c r="GU179" i="8"/>
  <c r="GM179" i="8"/>
  <c r="GE179" i="8"/>
  <c r="FW179" i="8"/>
  <c r="FO179" i="8"/>
  <c r="FG179" i="8"/>
  <c r="EY179" i="8"/>
  <c r="EQ179" i="8"/>
  <c r="IA178" i="8"/>
  <c r="HS178" i="8"/>
  <c r="HK178" i="8"/>
  <c r="HC178" i="8"/>
  <c r="GU178" i="8"/>
  <c r="GM178" i="8"/>
  <c r="GE178" i="8"/>
  <c r="FW178" i="8"/>
  <c r="FO178" i="8"/>
  <c r="FG178" i="8"/>
  <c r="EY178" i="8"/>
  <c r="EQ178" i="8"/>
  <c r="IA177" i="8"/>
  <c r="HS177" i="8"/>
  <c r="HK177" i="8"/>
  <c r="HC191" i="8"/>
  <c r="FW191" i="8"/>
  <c r="EQ191" i="8"/>
  <c r="HS190" i="8"/>
  <c r="GM190" i="8"/>
  <c r="FG190" i="8"/>
  <c r="HC189" i="8"/>
  <c r="FW189" i="8"/>
  <c r="EQ189" i="8"/>
  <c r="HS188" i="8"/>
  <c r="GM188" i="8"/>
  <c r="FG188" i="8"/>
  <c r="HC187" i="8"/>
  <c r="FW187" i="8"/>
  <c r="EQ187" i="8"/>
  <c r="HS186" i="8"/>
  <c r="GM186" i="8"/>
  <c r="FG186" i="8"/>
  <c r="HC185" i="8"/>
  <c r="GB185" i="8"/>
  <c r="FT185" i="8"/>
  <c r="FL185" i="8"/>
  <c r="FD185" i="8"/>
  <c r="EV185" i="8"/>
  <c r="EN185" i="8"/>
  <c r="IF184" i="8"/>
  <c r="HX184" i="8"/>
  <c r="HP184" i="8"/>
  <c r="HH184" i="8"/>
  <c r="GZ184" i="8"/>
  <c r="GR184" i="8"/>
  <c r="GJ184" i="8"/>
  <c r="GB184" i="8"/>
  <c r="FT184" i="8"/>
  <c r="FL184" i="8"/>
  <c r="FD184" i="8"/>
  <c r="EV184" i="8"/>
  <c r="EN184" i="8"/>
  <c r="HZ179" i="8"/>
  <c r="HR179" i="8"/>
  <c r="HJ179" i="8"/>
  <c r="HB179" i="8"/>
  <c r="GT179" i="8"/>
  <c r="GL179" i="8"/>
  <c r="GD179" i="8"/>
  <c r="FV179" i="8"/>
  <c r="FN179" i="8"/>
  <c r="FF179" i="8"/>
  <c r="EX179" i="8"/>
  <c r="EP179" i="8"/>
  <c r="HZ178" i="8"/>
  <c r="HR178" i="8"/>
  <c r="HJ178" i="8"/>
  <c r="HB178" i="8"/>
  <c r="GT178" i="8"/>
  <c r="GL178" i="8"/>
  <c r="GD178" i="8"/>
  <c r="FV178" i="8"/>
  <c r="FN178" i="8"/>
  <c r="FF178" i="8"/>
  <c r="EX178" i="8"/>
  <c r="EP178" i="8"/>
  <c r="HZ177" i="8"/>
  <c r="HR177" i="8"/>
  <c r="HJ177" i="8"/>
  <c r="HB177" i="8"/>
  <c r="GT177" i="8"/>
  <c r="GL177" i="8"/>
  <c r="GD177" i="8"/>
  <c r="FV177" i="8"/>
  <c r="FN177" i="8"/>
  <c r="FF177" i="8"/>
  <c r="EX177" i="8"/>
  <c r="EP177" i="8"/>
  <c r="HZ176" i="8"/>
  <c r="HR176" i="8"/>
  <c r="HJ176" i="8"/>
  <c r="HB176" i="8"/>
  <c r="GT176" i="8"/>
  <c r="GL176" i="8"/>
  <c r="GD176" i="8"/>
  <c r="IB191" i="8"/>
  <c r="GV191" i="8"/>
  <c r="FP191" i="8"/>
  <c r="HL190" i="8"/>
  <c r="GF190" i="8"/>
  <c r="EZ190" i="8"/>
  <c r="IB189" i="8"/>
  <c r="GV189" i="8"/>
  <c r="FP189" i="8"/>
  <c r="HL188" i="8"/>
  <c r="GF188" i="8"/>
  <c r="EZ188" i="8"/>
  <c r="IB187" i="8"/>
  <c r="GV187" i="8"/>
  <c r="FP187" i="8"/>
  <c r="HL186" i="8"/>
  <c r="IA191" i="8"/>
  <c r="GU191" i="8"/>
  <c r="FO191" i="8"/>
  <c r="HK190" i="8"/>
  <c r="GE190" i="8"/>
  <c r="EY190" i="8"/>
  <c r="IA189" i="8"/>
  <c r="GU189" i="8"/>
  <c r="FO189" i="8"/>
  <c r="HK188" i="8"/>
  <c r="GE188" i="8"/>
  <c r="EY188" i="8"/>
  <c r="IA187" i="8"/>
  <c r="GU187" i="8"/>
  <c r="FO187" i="8"/>
  <c r="HK186" i="8"/>
  <c r="GE186" i="8"/>
  <c r="EY186" i="8"/>
  <c r="IA185" i="8"/>
  <c r="GU185" i="8"/>
  <c r="FZ185" i="8"/>
  <c r="FR185" i="8"/>
  <c r="FJ185" i="8"/>
  <c r="FB185" i="8"/>
  <c r="ET185" i="8"/>
  <c r="EL185" i="8"/>
  <c r="ID184" i="8"/>
  <c r="HV184" i="8"/>
  <c r="HN184" i="8"/>
  <c r="HF184" i="8"/>
  <c r="GX184" i="8"/>
  <c r="GP184" i="8"/>
  <c r="GH184" i="8"/>
  <c r="FZ184" i="8"/>
  <c r="FR184" i="8"/>
  <c r="FJ184" i="8"/>
  <c r="FB184" i="8"/>
  <c r="ET184" i="8"/>
  <c r="EL184" i="8"/>
  <c r="IF179" i="8"/>
  <c r="HX179" i="8"/>
  <c r="HP179" i="8"/>
  <c r="HH179" i="8"/>
  <c r="GZ179" i="8"/>
  <c r="GR179" i="8"/>
  <c r="GJ179" i="8"/>
  <c r="GB179" i="8"/>
  <c r="FT179" i="8"/>
  <c r="FL179" i="8"/>
  <c r="FD179" i="8"/>
  <c r="EV179" i="8"/>
  <c r="EN179" i="8"/>
  <c r="IF178" i="8"/>
  <c r="HX178" i="8"/>
  <c r="HP178" i="8"/>
  <c r="HH178" i="8"/>
  <c r="GZ178" i="8"/>
  <c r="GR178" i="8"/>
  <c r="GJ178" i="8"/>
  <c r="GB178" i="8"/>
  <c r="FT178" i="8"/>
  <c r="FL178" i="8"/>
  <c r="FD178" i="8"/>
  <c r="EV178" i="8"/>
  <c r="EN178" i="8"/>
  <c r="IF177" i="8"/>
  <c r="HX177" i="8"/>
  <c r="HP177" i="8"/>
  <c r="HH177" i="8"/>
  <c r="GV190" i="8"/>
  <c r="HL189" i="8"/>
  <c r="EZ187" i="8"/>
  <c r="GV186" i="8"/>
  <c r="GA185" i="8"/>
  <c r="FH185" i="8"/>
  <c r="ER185" i="8"/>
  <c r="IE184" i="8"/>
  <c r="HO184" i="8"/>
  <c r="GY184" i="8"/>
  <c r="GI184" i="8"/>
  <c r="FS184" i="8"/>
  <c r="FC184" i="8"/>
  <c r="EM184" i="8"/>
  <c r="IC179" i="8"/>
  <c r="HM179" i="8"/>
  <c r="GW179" i="8"/>
  <c r="GG179" i="8"/>
  <c r="FQ179" i="8"/>
  <c r="FA179" i="8"/>
  <c r="EK179" i="8"/>
  <c r="HY178" i="8"/>
  <c r="HI178" i="8"/>
  <c r="GS178" i="8"/>
  <c r="GC178" i="8"/>
  <c r="FM178" i="8"/>
  <c r="EW178" i="8"/>
  <c r="HU177" i="8"/>
  <c r="HE177" i="8"/>
  <c r="GU177" i="8"/>
  <c r="GJ177" i="8"/>
  <c r="FY177" i="8"/>
  <c r="FO177" i="8"/>
  <c r="FD177" i="8"/>
  <c r="ES177" i="8"/>
  <c r="HY176" i="8"/>
  <c r="HN176" i="8"/>
  <c r="HD176" i="8"/>
  <c r="GS176" i="8"/>
  <c r="GH176" i="8"/>
  <c r="FY176" i="8"/>
  <c r="FQ176" i="8"/>
  <c r="FI176" i="8"/>
  <c r="FA176" i="8"/>
  <c r="ES176" i="8"/>
  <c r="EK176" i="8"/>
  <c r="IC175" i="8"/>
  <c r="HU175" i="8"/>
  <c r="HM175" i="8"/>
  <c r="HE175" i="8"/>
  <c r="GW175" i="8"/>
  <c r="GO175" i="8"/>
  <c r="GG175" i="8"/>
  <c r="FY175" i="8"/>
  <c r="FQ175" i="8"/>
  <c r="FI175" i="8"/>
  <c r="FA175" i="8"/>
  <c r="ES175" i="8"/>
  <c r="EK175" i="8"/>
  <c r="IC174" i="8"/>
  <c r="HU174" i="8"/>
  <c r="HM174" i="8"/>
  <c r="HE174" i="8"/>
  <c r="GW174" i="8"/>
  <c r="GO174" i="8"/>
  <c r="GG174" i="8"/>
  <c r="FY174" i="8"/>
  <c r="FQ174" i="8"/>
  <c r="FI174" i="8"/>
  <c r="FA174" i="8"/>
  <c r="ES174" i="8"/>
  <c r="EK174" i="8"/>
  <c r="IC173" i="8"/>
  <c r="HU173" i="8"/>
  <c r="HM173" i="8"/>
  <c r="HE173" i="8"/>
  <c r="GW173" i="8"/>
  <c r="GO173" i="8"/>
  <c r="GG173" i="8"/>
  <c r="FY173" i="8"/>
  <c r="FQ173" i="8"/>
  <c r="FI173" i="8"/>
  <c r="FA173" i="8"/>
  <c r="ES173" i="8"/>
  <c r="EK173" i="8"/>
  <c r="FO190" i="8"/>
  <c r="GE189" i="8"/>
  <c r="IA188" i="8"/>
  <c r="FP186" i="8"/>
  <c r="HL185" i="8"/>
  <c r="FS185" i="8"/>
  <c r="FC185" i="8"/>
  <c r="EM185" i="8"/>
  <c r="HZ184" i="8"/>
  <c r="HJ184" i="8"/>
  <c r="GT184" i="8"/>
  <c r="GD184" i="8"/>
  <c r="FN184" i="8"/>
  <c r="EX184" i="8"/>
  <c r="HV179" i="8"/>
  <c r="HF179" i="8"/>
  <c r="GP179" i="8"/>
  <c r="FZ179" i="8"/>
  <c r="FJ179" i="8"/>
  <c r="ET179" i="8"/>
  <c r="HT178" i="8"/>
  <c r="HD178" i="8"/>
  <c r="GN178" i="8"/>
  <c r="FX178" i="8"/>
  <c r="FH178" i="8"/>
  <c r="ER178" i="8"/>
  <c r="ID177" i="8"/>
  <c r="HN177" i="8"/>
  <c r="HA177" i="8"/>
  <c r="GP177" i="8"/>
  <c r="GF177" i="8"/>
  <c r="FU177" i="8"/>
  <c r="FJ177" i="8"/>
  <c r="EZ177" i="8"/>
  <c r="EO177" i="8"/>
  <c r="IF176" i="8"/>
  <c r="HU176" i="8"/>
  <c r="HK176" i="8"/>
  <c r="GZ176" i="8"/>
  <c r="GO176" i="8"/>
  <c r="GE176" i="8"/>
  <c r="FV176" i="8"/>
  <c r="FN176" i="8"/>
  <c r="FF176" i="8"/>
  <c r="EX176" i="8"/>
  <c r="EP176" i="8"/>
  <c r="HZ175" i="8"/>
  <c r="HR175" i="8"/>
  <c r="HJ175" i="8"/>
  <c r="HB175" i="8"/>
  <c r="GT175" i="8"/>
  <c r="GL175" i="8"/>
  <c r="GD175" i="8"/>
  <c r="FV175" i="8"/>
  <c r="FN175" i="8"/>
  <c r="FF175" i="8"/>
  <c r="EX175" i="8"/>
  <c r="EP175" i="8"/>
  <c r="HZ174" i="8"/>
  <c r="HR174" i="8"/>
  <c r="HJ174" i="8"/>
  <c r="HB174" i="8"/>
  <c r="GT174" i="8"/>
  <c r="GL174" i="8"/>
  <c r="GD174" i="8"/>
  <c r="FV174" i="8"/>
  <c r="FO186" i="8"/>
  <c r="GV185" i="8"/>
  <c r="FK185" i="8"/>
  <c r="EP185" i="8"/>
  <c r="HT184" i="8"/>
  <c r="HB184" i="8"/>
  <c r="GE184" i="8"/>
  <c r="FH184" i="8"/>
  <c r="EP184" i="8"/>
  <c r="IB179" i="8"/>
  <c r="HE179" i="8"/>
  <c r="GK179" i="8"/>
  <c r="FP179" i="8"/>
  <c r="ES179" i="8"/>
  <c r="ID178" i="8"/>
  <c r="HL178" i="8"/>
  <c r="GO178" i="8"/>
  <c r="FR178" i="8"/>
  <c r="EZ178" i="8"/>
  <c r="HM177" i="8"/>
  <c r="GW177" i="8"/>
  <c r="GH177" i="8"/>
  <c r="FT177" i="8"/>
  <c r="FG177" i="8"/>
  <c r="ER177" i="8"/>
  <c r="HS176" i="8"/>
  <c r="HE176" i="8"/>
  <c r="GP176" i="8"/>
  <c r="GB176" i="8"/>
  <c r="FR176" i="8"/>
  <c r="FG176" i="8"/>
  <c r="EV176" i="8"/>
  <c r="EL176" i="8"/>
  <c r="IB175" i="8"/>
  <c r="HQ175" i="8"/>
  <c r="HG175" i="8"/>
  <c r="GV175" i="8"/>
  <c r="GK175" i="8"/>
  <c r="GA175" i="8"/>
  <c r="FP175" i="8"/>
  <c r="FE175" i="8"/>
  <c r="EU175" i="8"/>
  <c r="IA174" i="8"/>
  <c r="HP174" i="8"/>
  <c r="HF174" i="8"/>
  <c r="GU174" i="8"/>
  <c r="GJ174" i="8"/>
  <c r="FZ174" i="8"/>
  <c r="FO174" i="8"/>
  <c r="FF174" i="8"/>
  <c r="EW174" i="8"/>
  <c r="EN174" i="8"/>
  <c r="IE173" i="8"/>
  <c r="HV173" i="8"/>
  <c r="HL173" i="8"/>
  <c r="HC173" i="8"/>
  <c r="GT173" i="8"/>
  <c r="GK173" i="8"/>
  <c r="GB173" i="8"/>
  <c r="FS173" i="8"/>
  <c r="FJ173" i="8"/>
  <c r="EZ173" i="8"/>
  <c r="EQ173" i="8"/>
  <c r="EZ186" i="8"/>
  <c r="GF185" i="8"/>
  <c r="FG185" i="8"/>
  <c r="HS184" i="8"/>
  <c r="GV184" i="8"/>
  <c r="GA184" i="8"/>
  <c r="FG184" i="8"/>
  <c r="HY179" i="8"/>
  <c r="HD179" i="8"/>
  <c r="GH179" i="8"/>
  <c r="FM179" i="8"/>
  <c r="ER179" i="8"/>
  <c r="IC178" i="8"/>
  <c r="HF178" i="8"/>
  <c r="GK178" i="8"/>
  <c r="FQ178" i="8"/>
  <c r="ET178" i="8"/>
  <c r="HL177" i="8"/>
  <c r="GV177" i="8"/>
  <c r="GG177" i="8"/>
  <c r="FR177" i="8"/>
  <c r="FE177" i="8"/>
  <c r="EQ177" i="8"/>
  <c r="ID176" i="8"/>
  <c r="HQ176" i="8"/>
  <c r="HC176" i="8"/>
  <c r="GN176" i="8"/>
  <c r="GA176" i="8"/>
  <c r="FP176" i="8"/>
  <c r="FE176" i="8"/>
  <c r="EU176" i="8"/>
  <c r="IA175" i="8"/>
  <c r="HP175" i="8"/>
  <c r="HF175" i="8"/>
  <c r="GU175" i="8"/>
  <c r="GJ175" i="8"/>
  <c r="FZ175" i="8"/>
  <c r="FO175" i="8"/>
  <c r="FD175" i="8"/>
  <c r="ET175" i="8"/>
  <c r="HY174" i="8"/>
  <c r="HO174" i="8"/>
  <c r="HD174" i="8"/>
  <c r="GS174" i="8"/>
  <c r="GI174" i="8"/>
  <c r="FX174" i="8"/>
  <c r="FN174" i="8"/>
  <c r="FE174" i="8"/>
  <c r="EV174" i="8"/>
  <c r="EM174" i="8"/>
  <c r="ID173" i="8"/>
  <c r="HT173" i="8"/>
  <c r="HK173" i="8"/>
  <c r="HB173" i="8"/>
  <c r="GS173" i="8"/>
  <c r="GJ173" i="8"/>
  <c r="GA173" i="8"/>
  <c r="FR173" i="8"/>
  <c r="FH173" i="8"/>
  <c r="EY173" i="8"/>
  <c r="EP173" i="8"/>
  <c r="IB190" i="8"/>
  <c r="HK189" i="8"/>
  <c r="IB188" i="8"/>
  <c r="GE185" i="8"/>
  <c r="FF185" i="8"/>
  <c r="HR184" i="8"/>
  <c r="GU184" i="8"/>
  <c r="FX184" i="8"/>
  <c r="FF184" i="8"/>
  <c r="HU179" i="8"/>
  <c r="HA179" i="8"/>
  <c r="GF179" i="8"/>
  <c r="FI179" i="8"/>
  <c r="EO179" i="8"/>
  <c r="IB178" i="8"/>
  <c r="HE178" i="8"/>
  <c r="GH178" i="8"/>
  <c r="FP178" i="8"/>
  <c r="ES178" i="8"/>
  <c r="IC177" i="8"/>
  <c r="HI177" i="8"/>
  <c r="GS177" i="8"/>
  <c r="GE177" i="8"/>
  <c r="FQ177" i="8"/>
  <c r="FB177" i="8"/>
  <c r="EN177" i="8"/>
  <c r="IC176" i="8"/>
  <c r="HP176" i="8"/>
  <c r="HA176" i="8"/>
  <c r="GM176" i="8"/>
  <c r="FZ176" i="8"/>
  <c r="FO176" i="8"/>
  <c r="FD176" i="8"/>
  <c r="ET176" i="8"/>
  <c r="HY175" i="8"/>
  <c r="HO175" i="8"/>
  <c r="HD175" i="8"/>
  <c r="GS175" i="8"/>
  <c r="GI175" i="8"/>
  <c r="FX175" i="8"/>
  <c r="FM175" i="8"/>
  <c r="FC175" i="8"/>
  <c r="ER175" i="8"/>
  <c r="HX174" i="8"/>
  <c r="HN174" i="8"/>
  <c r="HC174" i="8"/>
  <c r="GR174" i="8"/>
  <c r="GH174" i="8"/>
  <c r="FW174" i="8"/>
  <c r="FM174" i="8"/>
  <c r="FD174" i="8"/>
  <c r="EU174" i="8"/>
  <c r="EL174" i="8"/>
  <c r="IB173" i="8"/>
  <c r="HS173" i="8"/>
  <c r="HJ173" i="8"/>
  <c r="HA173" i="8"/>
  <c r="GR173" i="8"/>
  <c r="GI173" i="8"/>
  <c r="FZ173" i="8"/>
  <c r="FP173" i="8"/>
  <c r="FG173" i="8"/>
  <c r="EX173" i="8"/>
  <c r="EO173" i="8"/>
  <c r="IA190" i="8"/>
  <c r="GF189" i="8"/>
  <c r="GV188" i="8"/>
  <c r="HL187" i="8"/>
  <c r="FW185" i="8"/>
  <c r="EZ185" i="8"/>
  <c r="HL184" i="8"/>
  <c r="GQ184" i="8"/>
  <c r="FW184" i="8"/>
  <c r="EZ184" i="8"/>
  <c r="HT179" i="8"/>
  <c r="GX179" i="8"/>
  <c r="GC179" i="8"/>
  <c r="FH179" i="8"/>
  <c r="EL179" i="8"/>
  <c r="HV178" i="8"/>
  <c r="HA178" i="8"/>
  <c r="GG178" i="8"/>
  <c r="FJ178" i="8"/>
  <c r="EO178" i="8"/>
  <c r="IB177" i="8"/>
  <c r="HF177" i="8"/>
  <c r="GR177" i="8"/>
  <c r="GC177" i="8"/>
  <c r="FP177" i="8"/>
  <c r="FA177" i="8"/>
  <c r="EL177" i="8"/>
  <c r="IB176" i="8"/>
  <c r="HM176" i="8"/>
  <c r="GX176" i="8"/>
  <c r="GK176" i="8"/>
  <c r="FX176" i="8"/>
  <c r="FM176" i="8"/>
  <c r="FC176" i="8"/>
  <c r="ER176" i="8"/>
  <c r="HX175" i="8"/>
  <c r="HN175" i="8"/>
  <c r="HC175" i="8"/>
  <c r="GR175" i="8"/>
  <c r="GH175" i="8"/>
  <c r="FW175" i="8"/>
  <c r="FL175" i="8"/>
  <c r="FB175" i="8"/>
  <c r="EQ175" i="8"/>
  <c r="HW174" i="8"/>
  <c r="HL174" i="8"/>
  <c r="HA174" i="8"/>
  <c r="GQ174" i="8"/>
  <c r="GF174" i="8"/>
  <c r="FU174" i="8"/>
  <c r="FL174" i="8"/>
  <c r="FC174" i="8"/>
  <c r="ET174" i="8"/>
  <c r="IA173" i="8"/>
  <c r="HR173" i="8"/>
  <c r="HI173" i="8"/>
  <c r="GZ173" i="8"/>
  <c r="GQ173" i="8"/>
  <c r="GH173" i="8"/>
  <c r="FX173" i="8"/>
  <c r="FO173" i="8"/>
  <c r="FF173" i="8"/>
  <c r="EW173" i="8"/>
  <c r="EN173" i="8"/>
  <c r="IB153" i="8"/>
  <c r="HT153" i="8"/>
  <c r="HL153" i="8"/>
  <c r="HD153" i="8"/>
  <c r="GV153" i="8"/>
  <c r="GN153" i="8"/>
  <c r="GF153" i="8"/>
  <c r="FX153" i="8"/>
  <c r="FP153" i="8"/>
  <c r="FH153" i="8"/>
  <c r="EZ153" i="8"/>
  <c r="ER153" i="8"/>
  <c r="IB152" i="8"/>
  <c r="HT152" i="8"/>
  <c r="HL152" i="8"/>
  <c r="HD152" i="8"/>
  <c r="GV152" i="8"/>
  <c r="GN152" i="8"/>
  <c r="GF152" i="8"/>
  <c r="FX152" i="8"/>
  <c r="GU190" i="8"/>
  <c r="EZ189" i="8"/>
  <c r="GU188" i="8"/>
  <c r="HK187" i="8"/>
  <c r="IB186" i="8"/>
  <c r="FV185" i="8"/>
  <c r="EY185" i="8"/>
  <c r="HK184" i="8"/>
  <c r="GN184" i="8"/>
  <c r="FV184" i="8"/>
  <c r="EY184" i="8"/>
  <c r="HQ179" i="8"/>
  <c r="GV179" i="8"/>
  <c r="FY179" i="8"/>
  <c r="FE179" i="8"/>
  <c r="HU178" i="8"/>
  <c r="GX178" i="8"/>
  <c r="GF178" i="8"/>
  <c r="FI178" i="8"/>
  <c r="EL178" i="8"/>
  <c r="HY177" i="8"/>
  <c r="HD177" i="8"/>
  <c r="GO177" i="8"/>
  <c r="GB177" i="8"/>
  <c r="FM177" i="8"/>
  <c r="EY177" i="8"/>
  <c r="EK177" i="8"/>
  <c r="IA176" i="8"/>
  <c r="HL176" i="8"/>
  <c r="GW176" i="8"/>
  <c r="GJ176" i="8"/>
  <c r="FW176" i="8"/>
  <c r="FL176" i="8"/>
  <c r="FB176" i="8"/>
  <c r="EQ176" i="8"/>
  <c r="HW175" i="8"/>
  <c r="HL175" i="8"/>
  <c r="HA175" i="8"/>
  <c r="GQ175" i="8"/>
  <c r="GF175" i="8"/>
  <c r="FU175" i="8"/>
  <c r="FK175" i="8"/>
  <c r="EZ175" i="8"/>
  <c r="EO175" i="8"/>
  <c r="IF174" i="8"/>
  <c r="HV174" i="8"/>
  <c r="HK174" i="8"/>
  <c r="GZ174" i="8"/>
  <c r="GP174" i="8"/>
  <c r="GE174" i="8"/>
  <c r="FT174" i="8"/>
  <c r="FK174" i="8"/>
  <c r="FB174" i="8"/>
  <c r="ER174" i="8"/>
  <c r="HZ173" i="8"/>
  <c r="HQ173" i="8"/>
  <c r="HH173" i="8"/>
  <c r="GY173" i="8"/>
  <c r="GP173" i="8"/>
  <c r="GF173" i="8"/>
  <c r="FW173" i="8"/>
  <c r="FN173" i="8"/>
  <c r="FE173" i="8"/>
  <c r="EV173" i="8"/>
  <c r="EM173" i="8"/>
  <c r="FP190" i="8"/>
  <c r="EY189" i="8"/>
  <c r="FP188" i="8"/>
  <c r="GF187" i="8"/>
  <c r="IA186" i="8"/>
  <c r="FP185" i="8"/>
  <c r="EX185" i="8"/>
  <c r="IB184" i="8"/>
  <c r="HG184" i="8"/>
  <c r="GM184" i="8"/>
  <c r="FP184" i="8"/>
  <c r="EU184" i="8"/>
  <c r="HN179" i="8"/>
  <c r="GS179" i="8"/>
  <c r="FX179" i="8"/>
  <c r="FB179" i="8"/>
  <c r="HQ178" i="8"/>
  <c r="GW178" i="8"/>
  <c r="FZ178" i="8"/>
  <c r="FE178" i="8"/>
  <c r="EK178" i="8"/>
  <c r="HV177" i="8"/>
  <c r="HC177" i="8"/>
  <c r="GN177" i="8"/>
  <c r="FZ177" i="8"/>
  <c r="FL177" i="8"/>
  <c r="EW177" i="8"/>
  <c r="HX176" i="8"/>
  <c r="HI176" i="8"/>
  <c r="GV176" i="8"/>
  <c r="GG176" i="8"/>
  <c r="FU176" i="8"/>
  <c r="FK176" i="8"/>
  <c r="EZ176" i="8"/>
  <c r="EO176" i="8"/>
  <c r="IF175" i="8"/>
  <c r="HV175" i="8"/>
  <c r="HK175" i="8"/>
  <c r="GZ175" i="8"/>
  <c r="GP175" i="8"/>
  <c r="GE175" i="8"/>
  <c r="FT175" i="8"/>
  <c r="FJ175" i="8"/>
  <c r="EY175" i="8"/>
  <c r="EN175" i="8"/>
  <c r="IE174" i="8"/>
  <c r="HT174" i="8"/>
  <c r="HI174" i="8"/>
  <c r="GY174" i="8"/>
  <c r="GN174" i="8"/>
  <c r="GC174" i="8"/>
  <c r="FS174" i="8"/>
  <c r="FJ174" i="8"/>
  <c r="EZ174" i="8"/>
  <c r="EQ174" i="8"/>
  <c r="HY173" i="8"/>
  <c r="HP173" i="8"/>
  <c r="HG173" i="8"/>
  <c r="GX173" i="8"/>
  <c r="GN173" i="8"/>
  <c r="GE173" i="8"/>
  <c r="FV173" i="8"/>
  <c r="FM173" i="8"/>
  <c r="FD173" i="8"/>
  <c r="EU173" i="8"/>
  <c r="EL173" i="8"/>
  <c r="FO188" i="8"/>
  <c r="GE187" i="8"/>
  <c r="GU186" i="8"/>
  <c r="IB185" i="8"/>
  <c r="FO185" i="8"/>
  <c r="EU185" i="8"/>
  <c r="IA184" i="8"/>
  <c r="HD184" i="8"/>
  <c r="GL184" i="8"/>
  <c r="FO184" i="8"/>
  <c r="ER184" i="8"/>
  <c r="HL179" i="8"/>
  <c r="GO179" i="8"/>
  <c r="FU179" i="8"/>
  <c r="EZ179" i="8"/>
  <c r="HN178" i="8"/>
  <c r="GV178" i="8"/>
  <c r="FY178" i="8"/>
  <c r="FB178" i="8"/>
  <c r="HT177" i="8"/>
  <c r="GZ177" i="8"/>
  <c r="GM177" i="8"/>
  <c r="FX177" i="8"/>
  <c r="FI177" i="8"/>
  <c r="EV177" i="8"/>
  <c r="HV176" i="8"/>
  <c r="HH176" i="8"/>
  <c r="GU176" i="8"/>
  <c r="GF176" i="8"/>
  <c r="FT176" i="8"/>
  <c r="FJ176" i="8"/>
  <c r="EY176" i="8"/>
  <c r="EN176" i="8"/>
  <c r="IE175" i="8"/>
  <c r="HT175" i="8"/>
  <c r="HI175" i="8"/>
  <c r="GY175" i="8"/>
  <c r="GN175" i="8"/>
  <c r="GC175" i="8"/>
  <c r="FS175" i="8"/>
  <c r="FH175" i="8"/>
  <c r="EW175" i="8"/>
  <c r="EM175" i="8"/>
  <c r="ID174" i="8"/>
  <c r="HS174" i="8"/>
  <c r="HH174" i="8"/>
  <c r="GX174" i="8"/>
  <c r="GM174" i="8"/>
  <c r="GB174" i="8"/>
  <c r="FR174" i="8"/>
  <c r="FH174" i="8"/>
  <c r="EY174" i="8"/>
  <c r="EP174" i="8"/>
  <c r="HX173" i="8"/>
  <c r="HO173" i="8"/>
  <c r="HF173" i="8"/>
  <c r="GV173" i="8"/>
  <c r="GM173" i="8"/>
  <c r="GD173" i="8"/>
  <c r="FU173" i="8"/>
  <c r="FL173" i="8"/>
  <c r="FC173" i="8"/>
  <c r="ET173" i="8"/>
  <c r="EY187" i="8"/>
  <c r="GF186" i="8"/>
  <c r="HK185" i="8"/>
  <c r="FN185" i="8"/>
  <c r="EQ185" i="8"/>
  <c r="HW184" i="8"/>
  <c r="HC184" i="8"/>
  <c r="GF184" i="8"/>
  <c r="FK184" i="8"/>
  <c r="EQ184" i="8"/>
  <c r="ID179" i="8"/>
  <c r="HI179" i="8"/>
  <c r="GN179" i="8"/>
  <c r="FR179" i="8"/>
  <c r="EW179" i="8"/>
  <c r="HM178" i="8"/>
  <c r="GP178" i="8"/>
  <c r="FU178" i="8"/>
  <c r="FA178" i="8"/>
  <c r="HQ177" i="8"/>
  <c r="GX177" i="8"/>
  <c r="GK177" i="8"/>
  <c r="FW177" i="8"/>
  <c r="FH177" i="8"/>
  <c r="ET177" i="8"/>
  <c r="HT176" i="8"/>
  <c r="HF176" i="8"/>
  <c r="GR176" i="8"/>
  <c r="GC176" i="8"/>
  <c r="FS176" i="8"/>
  <c r="FH176" i="8"/>
  <c r="EW176" i="8"/>
  <c r="EM176" i="8"/>
  <c r="ID175" i="8"/>
  <c r="HS175" i="8"/>
  <c r="HH175" i="8"/>
  <c r="GX175" i="8"/>
  <c r="GM175" i="8"/>
  <c r="GB175" i="8"/>
  <c r="FR175" i="8"/>
  <c r="FG175" i="8"/>
  <c r="EV175" i="8"/>
  <c r="EL175" i="8"/>
  <c r="IB174" i="8"/>
  <c r="HQ174" i="8"/>
  <c r="HG174" i="8"/>
  <c r="GV174" i="8"/>
  <c r="GK174" i="8"/>
  <c r="GA174" i="8"/>
  <c r="FP174" i="8"/>
  <c r="FG174" i="8"/>
  <c r="EX174" i="8"/>
  <c r="EO174" i="8"/>
  <c r="IF173" i="8"/>
  <c r="HW173" i="8"/>
  <c r="HN173" i="8"/>
  <c r="HD173" i="8"/>
  <c r="GU173" i="8"/>
  <c r="GL173" i="8"/>
  <c r="GC173" i="8"/>
  <c r="FT173" i="8"/>
  <c r="FK173" i="8"/>
  <c r="FB173" i="8"/>
  <c r="ER173" i="8"/>
  <c r="IF153" i="8"/>
  <c r="HX153" i="8"/>
  <c r="HP153" i="8"/>
  <c r="HH153" i="8"/>
  <c r="GZ153" i="8"/>
  <c r="GR153" i="8"/>
  <c r="GJ153" i="8"/>
  <c r="GB153" i="8"/>
  <c r="FT153" i="8"/>
  <c r="FL153" i="8"/>
  <c r="FD153" i="8"/>
  <c r="EV153" i="8"/>
  <c r="EN153" i="8"/>
  <c r="IF152" i="8"/>
  <c r="HX152" i="8"/>
  <c r="HP152" i="8"/>
  <c r="HH152" i="8"/>
  <c r="GZ152" i="8"/>
  <c r="GR152" i="8"/>
  <c r="GJ152" i="8"/>
  <c r="GB152" i="8"/>
  <c r="IE153" i="8"/>
  <c r="HU153" i="8"/>
  <c r="HJ153" i="8"/>
  <c r="GY153" i="8"/>
  <c r="GO153" i="8"/>
  <c r="GD153" i="8"/>
  <c r="FS153" i="8"/>
  <c r="FI153" i="8"/>
  <c r="EX153" i="8"/>
  <c r="EM153" i="8"/>
  <c r="ID152" i="8"/>
  <c r="HS152" i="8"/>
  <c r="HI152" i="8"/>
  <c r="GX152" i="8"/>
  <c r="GM152" i="8"/>
  <c r="GC152" i="8"/>
  <c r="FS152" i="8"/>
  <c r="FK152" i="8"/>
  <c r="FC152" i="8"/>
  <c r="EU152" i="8"/>
  <c r="EM152" i="8"/>
  <c r="IE151" i="8"/>
  <c r="HW151" i="8"/>
  <c r="HO151" i="8"/>
  <c r="HG151" i="8"/>
  <c r="GY151" i="8"/>
  <c r="GQ151" i="8"/>
  <c r="GI151" i="8"/>
  <c r="GA151" i="8"/>
  <c r="FS151" i="8"/>
  <c r="FK151" i="8"/>
  <c r="FC151" i="8"/>
  <c r="EU151" i="8"/>
  <c r="EM151" i="8"/>
  <c r="IE150" i="8"/>
  <c r="HW150" i="8"/>
  <c r="HO150" i="8"/>
  <c r="HG150" i="8"/>
  <c r="GY150" i="8"/>
  <c r="GQ150" i="8"/>
  <c r="GI150" i="8"/>
  <c r="GA150" i="8"/>
  <c r="FS150" i="8"/>
  <c r="FK150" i="8"/>
  <c r="FC150" i="8"/>
  <c r="EU150" i="8"/>
  <c r="EM150" i="8"/>
  <c r="IE149" i="8"/>
  <c r="HW149" i="8"/>
  <c r="HO149" i="8"/>
  <c r="HG149" i="8"/>
  <c r="GY149" i="8"/>
  <c r="GQ149" i="8"/>
  <c r="GI149" i="8"/>
  <c r="GA149" i="8"/>
  <c r="FS149" i="8"/>
  <c r="IC153" i="8"/>
  <c r="HR153" i="8"/>
  <c r="HG153" i="8"/>
  <c r="GW153" i="8"/>
  <c r="GL153" i="8"/>
  <c r="GA153" i="8"/>
  <c r="FQ153" i="8"/>
  <c r="FF153" i="8"/>
  <c r="EU153" i="8"/>
  <c r="EK153" i="8"/>
  <c r="IA152" i="8"/>
  <c r="HQ152" i="8"/>
  <c r="HF152" i="8"/>
  <c r="GU152" i="8"/>
  <c r="GK152" i="8"/>
  <c r="FZ152" i="8"/>
  <c r="FQ152" i="8"/>
  <c r="FI152" i="8"/>
  <c r="FA152" i="8"/>
  <c r="ES152" i="8"/>
  <c r="EK152" i="8"/>
  <c r="IC151" i="8"/>
  <c r="HU151" i="8"/>
  <c r="HM151" i="8"/>
  <c r="HE151" i="8"/>
  <c r="GW151" i="8"/>
  <c r="GO151" i="8"/>
  <c r="GG151" i="8"/>
  <c r="FY151" i="8"/>
  <c r="FQ151" i="8"/>
  <c r="FI151" i="8"/>
  <c r="FA151" i="8"/>
  <c r="ES151" i="8"/>
  <c r="EK151" i="8"/>
  <c r="IC150" i="8"/>
  <c r="HU150" i="8"/>
  <c r="HM150" i="8"/>
  <c r="HE150" i="8"/>
  <c r="GW150" i="8"/>
  <c r="GO150" i="8"/>
  <c r="GG150" i="8"/>
  <c r="FY150" i="8"/>
  <c r="FQ150" i="8"/>
  <c r="FI150" i="8"/>
  <c r="FA150" i="8"/>
  <c r="ES150" i="8"/>
  <c r="EK150" i="8"/>
  <c r="IC149" i="8"/>
  <c r="HU149" i="8"/>
  <c r="HM149" i="8"/>
  <c r="HE149" i="8"/>
  <c r="GW149" i="8"/>
  <c r="GO149" i="8"/>
  <c r="GG149" i="8"/>
  <c r="FY149" i="8"/>
  <c r="FQ149" i="8"/>
  <c r="FI149" i="8"/>
  <c r="FA149" i="8"/>
  <c r="ES149" i="8"/>
  <c r="EK149" i="8"/>
  <c r="ID145" i="8"/>
  <c r="HV145" i="8"/>
  <c r="HN145" i="8"/>
  <c r="HF145" i="8"/>
  <c r="GX145" i="8"/>
  <c r="GP145" i="8"/>
  <c r="GH145" i="8"/>
  <c r="FZ145" i="8"/>
  <c r="FR145" i="8"/>
  <c r="FJ145" i="8"/>
  <c r="FB145" i="8"/>
  <c r="ET145" i="8"/>
  <c r="EL145" i="8"/>
  <c r="ID144" i="8"/>
  <c r="HV144" i="8"/>
  <c r="HN144" i="8"/>
  <c r="HF144" i="8"/>
  <c r="GX144" i="8"/>
  <c r="GP144" i="8"/>
  <c r="GH144" i="8"/>
  <c r="FZ144" i="8"/>
  <c r="FR144" i="8"/>
  <c r="FJ144" i="8"/>
  <c r="FB144" i="8"/>
  <c r="ET144" i="8"/>
  <c r="HZ153" i="8"/>
  <c r="HO153" i="8"/>
  <c r="HE153" i="8"/>
  <c r="GT153" i="8"/>
  <c r="GI153" i="8"/>
  <c r="FY153" i="8"/>
  <c r="FN153" i="8"/>
  <c r="FC153" i="8"/>
  <c r="ES153" i="8"/>
  <c r="HY152" i="8"/>
  <c r="HN152" i="8"/>
  <c r="HC152" i="8"/>
  <c r="GS152" i="8"/>
  <c r="GH152" i="8"/>
  <c r="FW152" i="8"/>
  <c r="FO152" i="8"/>
  <c r="FG152" i="8"/>
  <c r="EY152" i="8"/>
  <c r="EQ152" i="8"/>
  <c r="IA151" i="8"/>
  <c r="HS151" i="8"/>
  <c r="HK151" i="8"/>
  <c r="HC151" i="8"/>
  <c r="GU151" i="8"/>
  <c r="GM151" i="8"/>
  <c r="GE151" i="8"/>
  <c r="FW151" i="8"/>
  <c r="FO151" i="8"/>
  <c r="FG151" i="8"/>
  <c r="EY151" i="8"/>
  <c r="EQ151" i="8"/>
  <c r="IA150" i="8"/>
  <c r="HS150" i="8"/>
  <c r="HK150" i="8"/>
  <c r="HC150" i="8"/>
  <c r="GU150" i="8"/>
  <c r="GM150" i="8"/>
  <c r="GE150" i="8"/>
  <c r="FW150" i="8"/>
  <c r="FO150" i="8"/>
  <c r="FG150" i="8"/>
  <c r="EY150" i="8"/>
  <c r="EQ150" i="8"/>
  <c r="IA149" i="8"/>
  <c r="HS149" i="8"/>
  <c r="HK149" i="8"/>
  <c r="HC149" i="8"/>
  <c r="GU149" i="8"/>
  <c r="GM149" i="8"/>
  <c r="HW153" i="8"/>
  <c r="HM153" i="8"/>
  <c r="HB153" i="8"/>
  <c r="GQ153" i="8"/>
  <c r="GG153" i="8"/>
  <c r="FV153" i="8"/>
  <c r="FK153" i="8"/>
  <c r="FA153" i="8"/>
  <c r="EP153" i="8"/>
  <c r="HV152" i="8"/>
  <c r="HK152" i="8"/>
  <c r="HA152" i="8"/>
  <c r="GP152" i="8"/>
  <c r="GE152" i="8"/>
  <c r="FU152" i="8"/>
  <c r="FM152" i="8"/>
  <c r="FE152" i="8"/>
  <c r="EW152" i="8"/>
  <c r="EO152" i="8"/>
  <c r="HY151" i="8"/>
  <c r="HQ151" i="8"/>
  <c r="HI151" i="8"/>
  <c r="HA151" i="8"/>
  <c r="GS151" i="8"/>
  <c r="GK151" i="8"/>
  <c r="GC151" i="8"/>
  <c r="FU151" i="8"/>
  <c r="FM151" i="8"/>
  <c r="FE151" i="8"/>
  <c r="EW151" i="8"/>
  <c r="EO151" i="8"/>
  <c r="HY150" i="8"/>
  <c r="HQ150" i="8"/>
  <c r="HI150" i="8"/>
  <c r="HA150" i="8"/>
  <c r="GS150" i="8"/>
  <c r="GK150" i="8"/>
  <c r="GC150" i="8"/>
  <c r="FU150" i="8"/>
  <c r="FM150" i="8"/>
  <c r="FE150" i="8"/>
  <c r="EW150" i="8"/>
  <c r="EO150" i="8"/>
  <c r="HY149" i="8"/>
  <c r="HQ149" i="8"/>
  <c r="HI149" i="8"/>
  <c r="HA149" i="8"/>
  <c r="GS149" i="8"/>
  <c r="GK149" i="8"/>
  <c r="GC149" i="8"/>
  <c r="FU149" i="8"/>
  <c r="FM149" i="8"/>
  <c r="FE149" i="8"/>
  <c r="EW149" i="8"/>
  <c r="EO149" i="8"/>
  <c r="HZ145" i="8"/>
  <c r="HR145" i="8"/>
  <c r="HJ145" i="8"/>
  <c r="HB145" i="8"/>
  <c r="GT145" i="8"/>
  <c r="GL145" i="8"/>
  <c r="GD145" i="8"/>
  <c r="FV145" i="8"/>
  <c r="FN145" i="8"/>
  <c r="FF145" i="8"/>
  <c r="EX145" i="8"/>
  <c r="EP145" i="8"/>
  <c r="HZ144" i="8"/>
  <c r="HR144" i="8"/>
  <c r="HJ144" i="8"/>
  <c r="HB144" i="8"/>
  <c r="GT144" i="8"/>
  <c r="GL144" i="8"/>
  <c r="GD144" i="8"/>
  <c r="FV144" i="8"/>
  <c r="FN144" i="8"/>
  <c r="FF144" i="8"/>
  <c r="EX144" i="8"/>
  <c r="EP144" i="8"/>
  <c r="HZ143" i="8"/>
  <c r="HR143" i="8"/>
  <c r="HJ143" i="8"/>
  <c r="HB143" i="8"/>
  <c r="GT143" i="8"/>
  <c r="GL143" i="8"/>
  <c r="GD143" i="8"/>
  <c r="FV143" i="8"/>
  <c r="FN143" i="8"/>
  <c r="FF143" i="8"/>
  <c r="HK153" i="8"/>
  <c r="GP153" i="8"/>
  <c r="FU153" i="8"/>
  <c r="EY153" i="8"/>
  <c r="HO152" i="8"/>
  <c r="GT152" i="8"/>
  <c r="FY152" i="8"/>
  <c r="FH152" i="8"/>
  <c r="ER152" i="8"/>
  <c r="IF151" i="8"/>
  <c r="HP151" i="8"/>
  <c r="GZ151" i="8"/>
  <c r="GJ151" i="8"/>
  <c r="FT151" i="8"/>
  <c r="FD151" i="8"/>
  <c r="EN151" i="8"/>
  <c r="IB150" i="8"/>
  <c r="HL150" i="8"/>
  <c r="GV150" i="8"/>
  <c r="GF150" i="8"/>
  <c r="FP150" i="8"/>
  <c r="EZ150" i="8"/>
  <c r="HX149" i="8"/>
  <c r="HH149" i="8"/>
  <c r="GR149" i="8"/>
  <c r="GD149" i="8"/>
  <c r="FP149" i="8"/>
  <c r="FF149" i="8"/>
  <c r="EU149" i="8"/>
  <c r="IB145" i="8"/>
  <c r="HQ145" i="8"/>
  <c r="HG145" i="8"/>
  <c r="GV145" i="8"/>
  <c r="GK145" i="8"/>
  <c r="GA145" i="8"/>
  <c r="FP145" i="8"/>
  <c r="FE145" i="8"/>
  <c r="EU145" i="8"/>
  <c r="IA144" i="8"/>
  <c r="HP144" i="8"/>
  <c r="HE144" i="8"/>
  <c r="GU144" i="8"/>
  <c r="GJ144" i="8"/>
  <c r="FY144" i="8"/>
  <c r="FO144" i="8"/>
  <c r="FD144" i="8"/>
  <c r="ES144" i="8"/>
  <c r="IB143" i="8"/>
  <c r="HS143" i="8"/>
  <c r="HI143" i="8"/>
  <c r="GZ143" i="8"/>
  <c r="GQ143" i="8"/>
  <c r="GH143" i="8"/>
  <c r="FY143" i="8"/>
  <c r="FP143" i="8"/>
  <c r="FG143" i="8"/>
  <c r="EX143" i="8"/>
  <c r="EP143" i="8"/>
  <c r="HZ142" i="8"/>
  <c r="HR142" i="8"/>
  <c r="HJ142" i="8"/>
  <c r="HB142" i="8"/>
  <c r="GT142" i="8"/>
  <c r="GL142" i="8"/>
  <c r="GD142" i="8"/>
  <c r="FV142" i="8"/>
  <c r="FN142" i="8"/>
  <c r="FF142" i="8"/>
  <c r="EX142" i="8"/>
  <c r="EP142" i="8"/>
  <c r="HZ141" i="8"/>
  <c r="HR141" i="8"/>
  <c r="HJ141" i="8"/>
  <c r="HB141" i="8"/>
  <c r="GT141" i="8"/>
  <c r="GL141" i="8"/>
  <c r="GD141" i="8"/>
  <c r="FV141" i="8"/>
  <c r="ID153" i="8"/>
  <c r="HI153" i="8"/>
  <c r="GM153" i="8"/>
  <c r="FR153" i="8"/>
  <c r="EW153" i="8"/>
  <c r="HM152" i="8"/>
  <c r="GQ152" i="8"/>
  <c r="FV152" i="8"/>
  <c r="FF152" i="8"/>
  <c r="EP152" i="8"/>
  <c r="ID151" i="8"/>
  <c r="HN151" i="8"/>
  <c r="GX151" i="8"/>
  <c r="GH151" i="8"/>
  <c r="FR151" i="8"/>
  <c r="FB151" i="8"/>
  <c r="EL151" i="8"/>
  <c r="HZ150" i="8"/>
  <c r="HJ150" i="8"/>
  <c r="GT150" i="8"/>
  <c r="GD150" i="8"/>
  <c r="FN150" i="8"/>
  <c r="EX150" i="8"/>
  <c r="HV149" i="8"/>
  <c r="HF149" i="8"/>
  <c r="GP149" i="8"/>
  <c r="GB149" i="8"/>
  <c r="FO149" i="8"/>
  <c r="FD149" i="8"/>
  <c r="ET149" i="8"/>
  <c r="IA145" i="8"/>
  <c r="HP145" i="8"/>
  <c r="HE145" i="8"/>
  <c r="GU145" i="8"/>
  <c r="GJ145" i="8"/>
  <c r="FY145" i="8"/>
  <c r="FO145" i="8"/>
  <c r="FD145" i="8"/>
  <c r="ES145" i="8"/>
  <c r="HY144" i="8"/>
  <c r="HO144" i="8"/>
  <c r="HD144" i="8"/>
  <c r="GS144" i="8"/>
  <c r="GI144" i="8"/>
  <c r="FX144" i="8"/>
  <c r="FM144" i="8"/>
  <c r="FC144" i="8"/>
  <c r="ER144" i="8"/>
  <c r="IA143" i="8"/>
  <c r="HQ143" i="8"/>
  <c r="HH143" i="8"/>
  <c r="GY143" i="8"/>
  <c r="GP143" i="8"/>
  <c r="GG143" i="8"/>
  <c r="FX143" i="8"/>
  <c r="FO143" i="8"/>
  <c r="FE143" i="8"/>
  <c r="EW143" i="8"/>
  <c r="EO143" i="8"/>
  <c r="HY142" i="8"/>
  <c r="HQ142" i="8"/>
  <c r="HI142" i="8"/>
  <c r="HA142" i="8"/>
  <c r="GS142" i="8"/>
  <c r="GK142" i="8"/>
  <c r="GC142" i="8"/>
  <c r="FU142" i="8"/>
  <c r="FM142" i="8"/>
  <c r="FE142" i="8"/>
  <c r="EW142" i="8"/>
  <c r="EO142" i="8"/>
  <c r="HY141" i="8"/>
  <c r="HQ141" i="8"/>
  <c r="HI141" i="8"/>
  <c r="HA141" i="8"/>
  <c r="GS141" i="8"/>
  <c r="GK141" i="8"/>
  <c r="GC141" i="8"/>
  <c r="FU141" i="8"/>
  <c r="FM141" i="8"/>
  <c r="FE141" i="8"/>
  <c r="IA153" i="8"/>
  <c r="HF153" i="8"/>
  <c r="GK153" i="8"/>
  <c r="FO153" i="8"/>
  <c r="ET153" i="8"/>
  <c r="IE152" i="8"/>
  <c r="HJ152" i="8"/>
  <c r="GO152" i="8"/>
  <c r="FT152" i="8"/>
  <c r="FD152" i="8"/>
  <c r="EN152" i="8"/>
  <c r="IB151" i="8"/>
  <c r="HL151" i="8"/>
  <c r="GV151" i="8"/>
  <c r="GF151" i="8"/>
  <c r="FP151" i="8"/>
  <c r="EZ151" i="8"/>
  <c r="HX150" i="8"/>
  <c r="HH150" i="8"/>
  <c r="GR150" i="8"/>
  <c r="GB150" i="8"/>
  <c r="FL150" i="8"/>
  <c r="EV150" i="8"/>
  <c r="HT149" i="8"/>
  <c r="HD149" i="8"/>
  <c r="GN149" i="8"/>
  <c r="FZ149" i="8"/>
  <c r="FN149" i="8"/>
  <c r="FC149" i="8"/>
  <c r="ER149" i="8"/>
  <c r="HY145" i="8"/>
  <c r="HO145" i="8"/>
  <c r="HD145" i="8"/>
  <c r="GS145" i="8"/>
  <c r="GI145" i="8"/>
  <c r="FX145" i="8"/>
  <c r="FM145" i="8"/>
  <c r="FC145" i="8"/>
  <c r="ER145" i="8"/>
  <c r="HX144" i="8"/>
  <c r="HM144" i="8"/>
  <c r="HC144" i="8"/>
  <c r="GR144" i="8"/>
  <c r="GG144" i="8"/>
  <c r="FW144" i="8"/>
  <c r="FL144" i="8"/>
  <c r="FA144" i="8"/>
  <c r="EQ144" i="8"/>
  <c r="HY143" i="8"/>
  <c r="HP143" i="8"/>
  <c r="HG143" i="8"/>
  <c r="GX143" i="8"/>
  <c r="GO143" i="8"/>
  <c r="GF143" i="8"/>
  <c r="FW143" i="8"/>
  <c r="FM143" i="8"/>
  <c r="FD143" i="8"/>
  <c r="EV143" i="8"/>
  <c r="EN143" i="8"/>
  <c r="IF142" i="8"/>
  <c r="HX142" i="8"/>
  <c r="HP142" i="8"/>
  <c r="HH142" i="8"/>
  <c r="GZ142" i="8"/>
  <c r="GR142" i="8"/>
  <c r="HY153" i="8"/>
  <c r="HC153" i="8"/>
  <c r="GH153" i="8"/>
  <c r="FM153" i="8"/>
  <c r="EQ153" i="8"/>
  <c r="IC152" i="8"/>
  <c r="HG152" i="8"/>
  <c r="GL152" i="8"/>
  <c r="FR152" i="8"/>
  <c r="FB152" i="8"/>
  <c r="EL152" i="8"/>
  <c r="HZ151" i="8"/>
  <c r="HJ151" i="8"/>
  <c r="GT151" i="8"/>
  <c r="GD151" i="8"/>
  <c r="FN151" i="8"/>
  <c r="EX151" i="8"/>
  <c r="HV150" i="8"/>
  <c r="HF150" i="8"/>
  <c r="GP150" i="8"/>
  <c r="FZ150" i="8"/>
  <c r="FJ150" i="8"/>
  <c r="ET150" i="8"/>
  <c r="HR149" i="8"/>
  <c r="HB149" i="8"/>
  <c r="GL149" i="8"/>
  <c r="FX149" i="8"/>
  <c r="FL149" i="8"/>
  <c r="FB149" i="8"/>
  <c r="EQ149" i="8"/>
  <c r="HX145" i="8"/>
  <c r="HM145" i="8"/>
  <c r="HC145" i="8"/>
  <c r="GR145" i="8"/>
  <c r="GG145" i="8"/>
  <c r="FW145" i="8"/>
  <c r="FL145" i="8"/>
  <c r="FA145" i="8"/>
  <c r="EQ145" i="8"/>
  <c r="HW144" i="8"/>
  <c r="HL144" i="8"/>
  <c r="HA144" i="8"/>
  <c r="GQ144" i="8"/>
  <c r="GF144" i="8"/>
  <c r="FU144" i="8"/>
  <c r="FK144" i="8"/>
  <c r="EZ144" i="8"/>
  <c r="EO144" i="8"/>
  <c r="HX143" i="8"/>
  <c r="HO143" i="8"/>
  <c r="HF143" i="8"/>
  <c r="GW143" i="8"/>
  <c r="GN143" i="8"/>
  <c r="GE143" i="8"/>
  <c r="FU143" i="8"/>
  <c r="FL143" i="8"/>
  <c r="FC143" i="8"/>
  <c r="EU143" i="8"/>
  <c r="EM143" i="8"/>
  <c r="IE142" i="8"/>
  <c r="HW142" i="8"/>
  <c r="HO142" i="8"/>
  <c r="HG142" i="8"/>
  <c r="GY142" i="8"/>
  <c r="GQ142" i="8"/>
  <c r="GI142" i="8"/>
  <c r="GA142" i="8"/>
  <c r="FS142" i="8"/>
  <c r="FK142" i="8"/>
  <c r="FC142" i="8"/>
  <c r="EU142" i="8"/>
  <c r="EM142" i="8"/>
  <c r="IE141" i="8"/>
  <c r="HW141" i="8"/>
  <c r="HO141" i="8"/>
  <c r="HG141" i="8"/>
  <c r="GY141" i="8"/>
  <c r="GQ141" i="8"/>
  <c r="GI141" i="8"/>
  <c r="GA141" i="8"/>
  <c r="FS141" i="8"/>
  <c r="FK141" i="8"/>
  <c r="FC141" i="8"/>
  <c r="EU141" i="8"/>
  <c r="EM141" i="8"/>
  <c r="IE140" i="8"/>
  <c r="HW140" i="8"/>
  <c r="HO140" i="8"/>
  <c r="HG140" i="8"/>
  <c r="GY140" i="8"/>
  <c r="GQ140" i="8"/>
  <c r="GI140" i="8"/>
  <c r="GA140" i="8"/>
  <c r="FS140" i="8"/>
  <c r="FK140" i="8"/>
  <c r="FC140" i="8"/>
  <c r="EU140" i="8"/>
  <c r="EM140" i="8"/>
  <c r="IE139" i="8"/>
  <c r="HW139" i="8"/>
  <c r="HO139" i="8"/>
  <c r="HG139" i="8"/>
  <c r="GY139" i="8"/>
  <c r="GQ139" i="8"/>
  <c r="GI139" i="8"/>
  <c r="GA139" i="8"/>
  <c r="FS139" i="8"/>
  <c r="FK139" i="8"/>
  <c r="FC139" i="8"/>
  <c r="EU139" i="8"/>
  <c r="EM139" i="8"/>
  <c r="IE138" i="8"/>
  <c r="HW138" i="8"/>
  <c r="HO138" i="8"/>
  <c r="HG138" i="8"/>
  <c r="GY138" i="8"/>
  <c r="GQ138" i="8"/>
  <c r="GI138" i="8"/>
  <c r="GA138" i="8"/>
  <c r="FS138" i="8"/>
  <c r="FK138" i="8"/>
  <c r="FC138" i="8"/>
  <c r="EU138" i="8"/>
  <c r="EM138" i="8"/>
  <c r="IE137" i="8"/>
  <c r="HW137" i="8"/>
  <c r="HO137" i="8"/>
  <c r="HG137" i="8"/>
  <c r="GY137" i="8"/>
  <c r="GQ137" i="8"/>
  <c r="GI137" i="8"/>
  <c r="GA137" i="8"/>
  <c r="FS137" i="8"/>
  <c r="FK137" i="8"/>
  <c r="FC137" i="8"/>
  <c r="EU137" i="8"/>
  <c r="EM137" i="8"/>
  <c r="HV153" i="8"/>
  <c r="HA153" i="8"/>
  <c r="GE153" i="8"/>
  <c r="FJ153" i="8"/>
  <c r="EO153" i="8"/>
  <c r="HZ152" i="8"/>
  <c r="HE152" i="8"/>
  <c r="GI152" i="8"/>
  <c r="FP152" i="8"/>
  <c r="EZ152" i="8"/>
  <c r="HX151" i="8"/>
  <c r="HH151" i="8"/>
  <c r="GR151" i="8"/>
  <c r="GB151" i="8"/>
  <c r="FL151" i="8"/>
  <c r="EV151" i="8"/>
  <c r="HT150" i="8"/>
  <c r="HD150" i="8"/>
  <c r="GN150" i="8"/>
  <c r="FX150" i="8"/>
  <c r="FH150" i="8"/>
  <c r="ER150" i="8"/>
  <c r="IF149" i="8"/>
  <c r="HP149" i="8"/>
  <c r="GZ149" i="8"/>
  <c r="GJ149" i="8"/>
  <c r="FW149" i="8"/>
  <c r="FK149" i="8"/>
  <c r="EZ149" i="8"/>
  <c r="EP149" i="8"/>
  <c r="HW145" i="8"/>
  <c r="HL145" i="8"/>
  <c r="HA145" i="8"/>
  <c r="GQ145" i="8"/>
  <c r="GF145" i="8"/>
  <c r="FU145" i="8"/>
  <c r="FK145" i="8"/>
  <c r="EZ145" i="8"/>
  <c r="EO145" i="8"/>
  <c r="IF144" i="8"/>
  <c r="HU144" i="8"/>
  <c r="HK144" i="8"/>
  <c r="GZ144" i="8"/>
  <c r="GO144" i="8"/>
  <c r="GE144" i="8"/>
  <c r="FT144" i="8"/>
  <c r="FI144" i="8"/>
  <c r="EY144" i="8"/>
  <c r="EN144" i="8"/>
  <c r="IF143" i="8"/>
  <c r="HW143" i="8"/>
  <c r="HN143" i="8"/>
  <c r="HE143" i="8"/>
  <c r="GV143" i="8"/>
  <c r="GM143" i="8"/>
  <c r="GC143" i="8"/>
  <c r="FT143" i="8"/>
  <c r="FK143" i="8"/>
  <c r="FB143" i="8"/>
  <c r="ET143" i="8"/>
  <c r="EL143" i="8"/>
  <c r="ID142" i="8"/>
  <c r="HV142" i="8"/>
  <c r="HN142" i="8"/>
  <c r="HF142" i="8"/>
  <c r="GX142" i="8"/>
  <c r="GP142" i="8"/>
  <c r="GH142" i="8"/>
  <c r="FZ142" i="8"/>
  <c r="FR142" i="8"/>
  <c r="FJ142" i="8"/>
  <c r="FB142" i="8"/>
  <c r="ET142" i="8"/>
  <c r="EL142" i="8"/>
  <c r="ID141" i="8"/>
  <c r="HV141" i="8"/>
  <c r="HN141" i="8"/>
  <c r="HF141" i="8"/>
  <c r="GX141" i="8"/>
  <c r="GP141" i="8"/>
  <c r="GH141" i="8"/>
  <c r="FZ141" i="8"/>
  <c r="HS153" i="8"/>
  <c r="GX153" i="8"/>
  <c r="GC153" i="8"/>
  <c r="FG153" i="8"/>
  <c r="EL153" i="8"/>
  <c r="HW152" i="8"/>
  <c r="HB152" i="8"/>
  <c r="GG152" i="8"/>
  <c r="FN152" i="8"/>
  <c r="EX152" i="8"/>
  <c r="HV151" i="8"/>
  <c r="HF151" i="8"/>
  <c r="GP151" i="8"/>
  <c r="FZ151" i="8"/>
  <c r="FJ151" i="8"/>
  <c r="ET151" i="8"/>
  <c r="HR150" i="8"/>
  <c r="HB150" i="8"/>
  <c r="GL150" i="8"/>
  <c r="FV150" i="8"/>
  <c r="FF150" i="8"/>
  <c r="EP150" i="8"/>
  <c r="ID149" i="8"/>
  <c r="HN149" i="8"/>
  <c r="GX149" i="8"/>
  <c r="GH149" i="8"/>
  <c r="FV149" i="8"/>
  <c r="FJ149" i="8"/>
  <c r="EY149" i="8"/>
  <c r="EN149" i="8"/>
  <c r="IF145" i="8"/>
  <c r="HU145" i="8"/>
  <c r="HK145" i="8"/>
  <c r="GZ145" i="8"/>
  <c r="GO145" i="8"/>
  <c r="GE145" i="8"/>
  <c r="FT145" i="8"/>
  <c r="FI145" i="8"/>
  <c r="EY145" i="8"/>
  <c r="EN145" i="8"/>
  <c r="IE144" i="8"/>
  <c r="HT144" i="8"/>
  <c r="HI144" i="8"/>
  <c r="GY144" i="8"/>
  <c r="GN144" i="8"/>
  <c r="GC144" i="8"/>
  <c r="FS144" i="8"/>
  <c r="FH144" i="8"/>
  <c r="EW144" i="8"/>
  <c r="EM144" i="8"/>
  <c r="IE143" i="8"/>
  <c r="HV143" i="8"/>
  <c r="HM143" i="8"/>
  <c r="HD143" i="8"/>
  <c r="GU143" i="8"/>
  <c r="GK143" i="8"/>
  <c r="GB143" i="8"/>
  <c r="FS143" i="8"/>
  <c r="FJ143" i="8"/>
  <c r="FA143" i="8"/>
  <c r="ES143" i="8"/>
  <c r="EK143" i="8"/>
  <c r="IC142" i="8"/>
  <c r="HU142" i="8"/>
  <c r="HM142" i="8"/>
  <c r="HE142" i="8"/>
  <c r="GW142" i="8"/>
  <c r="GO142" i="8"/>
  <c r="GG142" i="8"/>
  <c r="FY142" i="8"/>
  <c r="FQ142" i="8"/>
  <c r="FI142" i="8"/>
  <c r="FA142" i="8"/>
  <c r="ES142" i="8"/>
  <c r="EK142" i="8"/>
  <c r="IC141" i="8"/>
  <c r="HU141" i="8"/>
  <c r="HM141" i="8"/>
  <c r="HE141" i="8"/>
  <c r="GW141" i="8"/>
  <c r="GO141" i="8"/>
  <c r="GG141" i="8"/>
  <c r="FY141" i="8"/>
  <c r="FQ141" i="8"/>
  <c r="FI141" i="8"/>
  <c r="HQ153" i="8"/>
  <c r="GU153" i="8"/>
  <c r="FZ153" i="8"/>
  <c r="FE153" i="8"/>
  <c r="HU152" i="8"/>
  <c r="GY152" i="8"/>
  <c r="GD152" i="8"/>
  <c r="FL152" i="8"/>
  <c r="EV152" i="8"/>
  <c r="HT151" i="8"/>
  <c r="HD151" i="8"/>
  <c r="GN151" i="8"/>
  <c r="FX151" i="8"/>
  <c r="FH151" i="8"/>
  <c r="ER151" i="8"/>
  <c r="IF150" i="8"/>
  <c r="HP150" i="8"/>
  <c r="GZ150" i="8"/>
  <c r="GJ150" i="8"/>
  <c r="FT150" i="8"/>
  <c r="FD150" i="8"/>
  <c r="EN150" i="8"/>
  <c r="IB149" i="8"/>
  <c r="HL149" i="8"/>
  <c r="GV149" i="8"/>
  <c r="GF149" i="8"/>
  <c r="FT149" i="8"/>
  <c r="FH149" i="8"/>
  <c r="EX149" i="8"/>
  <c r="EM149" i="8"/>
  <c r="IE145" i="8"/>
  <c r="HT145" i="8"/>
  <c r="HI145" i="8"/>
  <c r="GY145" i="8"/>
  <c r="GN145" i="8"/>
  <c r="GC145" i="8"/>
  <c r="FS145" i="8"/>
  <c r="FH145" i="8"/>
  <c r="EW145" i="8"/>
  <c r="EM145" i="8"/>
  <c r="IC144" i="8"/>
  <c r="HS144" i="8"/>
  <c r="HH144" i="8"/>
  <c r="GW144" i="8"/>
  <c r="GM144" i="8"/>
  <c r="GB144" i="8"/>
  <c r="FQ144" i="8"/>
  <c r="FG144" i="8"/>
  <c r="EV144" i="8"/>
  <c r="EL144" i="8"/>
  <c r="ID143" i="8"/>
  <c r="HU143" i="8"/>
  <c r="HL143" i="8"/>
  <c r="HC143" i="8"/>
  <c r="GS143" i="8"/>
  <c r="GJ143" i="8"/>
  <c r="GA143" i="8"/>
  <c r="FR143" i="8"/>
  <c r="FI143" i="8"/>
  <c r="EZ143" i="8"/>
  <c r="ER143" i="8"/>
  <c r="IB142" i="8"/>
  <c r="HT142" i="8"/>
  <c r="HL142" i="8"/>
  <c r="HD142" i="8"/>
  <c r="GV142" i="8"/>
  <c r="GN142" i="8"/>
  <c r="HN153" i="8"/>
  <c r="GS153" i="8"/>
  <c r="FW153" i="8"/>
  <c r="FB153" i="8"/>
  <c r="HR152" i="8"/>
  <c r="GW152" i="8"/>
  <c r="GA152" i="8"/>
  <c r="FJ152" i="8"/>
  <c r="ET152" i="8"/>
  <c r="HR151" i="8"/>
  <c r="HB151" i="8"/>
  <c r="GL151" i="8"/>
  <c r="FV151" i="8"/>
  <c r="FF151" i="8"/>
  <c r="EP151" i="8"/>
  <c r="ID150" i="8"/>
  <c r="HN150" i="8"/>
  <c r="GX150" i="8"/>
  <c r="GH150" i="8"/>
  <c r="FR150" i="8"/>
  <c r="FB150" i="8"/>
  <c r="EL150" i="8"/>
  <c r="HZ149" i="8"/>
  <c r="HJ149" i="8"/>
  <c r="GT149" i="8"/>
  <c r="GE149" i="8"/>
  <c r="FR149" i="8"/>
  <c r="FG149" i="8"/>
  <c r="EV149" i="8"/>
  <c r="EL149" i="8"/>
  <c r="IC145" i="8"/>
  <c r="HS145" i="8"/>
  <c r="HH145" i="8"/>
  <c r="GW145" i="8"/>
  <c r="GM145" i="8"/>
  <c r="GB145" i="8"/>
  <c r="FQ145" i="8"/>
  <c r="FG145" i="8"/>
  <c r="EV145" i="8"/>
  <c r="EK145" i="8"/>
  <c r="IB144" i="8"/>
  <c r="HQ144" i="8"/>
  <c r="HG144" i="8"/>
  <c r="GV144" i="8"/>
  <c r="GK144" i="8"/>
  <c r="GA144" i="8"/>
  <c r="FP144" i="8"/>
  <c r="FE144" i="8"/>
  <c r="EU144" i="8"/>
  <c r="EK144" i="8"/>
  <c r="IC143" i="8"/>
  <c r="HT143" i="8"/>
  <c r="HK143" i="8"/>
  <c r="HA143" i="8"/>
  <c r="GR143" i="8"/>
  <c r="GI143" i="8"/>
  <c r="FZ143" i="8"/>
  <c r="FQ143" i="8"/>
  <c r="FH143" i="8"/>
  <c r="EY143" i="8"/>
  <c r="EQ143" i="8"/>
  <c r="IA142" i="8"/>
  <c r="HS142" i="8"/>
  <c r="HK142" i="8"/>
  <c r="HC142" i="8"/>
  <c r="GU142" i="8"/>
  <c r="GM142" i="8"/>
  <c r="GE142" i="8"/>
  <c r="FW142" i="8"/>
  <c r="FO142" i="8"/>
  <c r="FG142" i="8"/>
  <c r="EY142" i="8"/>
  <c r="EQ142" i="8"/>
  <c r="IA141" i="8"/>
  <c r="HS141" i="8"/>
  <c r="HK141" i="8"/>
  <c r="HC141" i="8"/>
  <c r="GU141" i="8"/>
  <c r="GM141" i="8"/>
  <c r="GE141" i="8"/>
  <c r="FW141" i="8"/>
  <c r="FO141" i="8"/>
  <c r="FG141" i="8"/>
  <c r="EY141" i="8"/>
  <c r="EQ141" i="8"/>
  <c r="IA140" i="8"/>
  <c r="HS140" i="8"/>
  <c r="HK140" i="8"/>
  <c r="HC140" i="8"/>
  <c r="GU140" i="8"/>
  <c r="GM140" i="8"/>
  <c r="GE140" i="8"/>
  <c r="FW140" i="8"/>
  <c r="FO140" i="8"/>
  <c r="FG140" i="8"/>
  <c r="EY140" i="8"/>
  <c r="EQ140" i="8"/>
  <c r="IA139" i="8"/>
  <c r="HS139" i="8"/>
  <c r="HK139" i="8"/>
  <c r="HC139" i="8"/>
  <c r="GU139" i="8"/>
  <c r="GM139" i="8"/>
  <c r="GE139" i="8"/>
  <c r="FW139" i="8"/>
  <c r="FO139" i="8"/>
  <c r="FG139" i="8"/>
  <c r="EY139" i="8"/>
  <c r="EQ139" i="8"/>
  <c r="IA138" i="8"/>
  <c r="HS138" i="8"/>
  <c r="HK138" i="8"/>
  <c r="HC138" i="8"/>
  <c r="GU138" i="8"/>
  <c r="GM138" i="8"/>
  <c r="GE138" i="8"/>
  <c r="FW138" i="8"/>
  <c r="FO138" i="8"/>
  <c r="FG138" i="8"/>
  <c r="EY138" i="8"/>
  <c r="EQ138" i="8"/>
  <c r="IA137" i="8"/>
  <c r="HS137" i="8"/>
  <c r="HK137" i="8"/>
  <c r="HC137" i="8"/>
  <c r="GU137" i="8"/>
  <c r="GM137" i="8"/>
  <c r="GE137" i="8"/>
  <c r="FW137" i="8"/>
  <c r="FO137" i="8"/>
  <c r="FG137" i="8"/>
  <c r="EY137" i="8"/>
  <c r="EQ137" i="8"/>
  <c r="FL142" i="8"/>
  <c r="HL141" i="8"/>
  <c r="GF141" i="8"/>
  <c r="FJ141" i="8"/>
  <c r="EW141" i="8"/>
  <c r="EL141" i="8"/>
  <c r="IC140" i="8"/>
  <c r="HR140" i="8"/>
  <c r="HH140" i="8"/>
  <c r="GW140" i="8"/>
  <c r="GL140" i="8"/>
  <c r="GB140" i="8"/>
  <c r="FQ140" i="8"/>
  <c r="FF140" i="8"/>
  <c r="EV140" i="8"/>
  <c r="EK140" i="8"/>
  <c r="IB139" i="8"/>
  <c r="HQ139" i="8"/>
  <c r="HF139" i="8"/>
  <c r="GV139" i="8"/>
  <c r="GK139" i="8"/>
  <c r="FZ139" i="8"/>
  <c r="FP139" i="8"/>
  <c r="FE139" i="8"/>
  <c r="ET139" i="8"/>
  <c r="HZ138" i="8"/>
  <c r="HP138" i="8"/>
  <c r="HE138" i="8"/>
  <c r="GT138" i="8"/>
  <c r="GJ138" i="8"/>
  <c r="FY138" i="8"/>
  <c r="FN138" i="8"/>
  <c r="FD138" i="8"/>
  <c r="ES138" i="8"/>
  <c r="HY137" i="8"/>
  <c r="HN137" i="8"/>
  <c r="HD137" i="8"/>
  <c r="GS137" i="8"/>
  <c r="GH137" i="8"/>
  <c r="FX137" i="8"/>
  <c r="FM137" i="8"/>
  <c r="FB137" i="8"/>
  <c r="ER137" i="8"/>
  <c r="FH142" i="8"/>
  <c r="HH141" i="8"/>
  <c r="GB141" i="8"/>
  <c r="FH141" i="8"/>
  <c r="EV141" i="8"/>
  <c r="EK141" i="8"/>
  <c r="IB140" i="8"/>
  <c r="HQ140" i="8"/>
  <c r="HF140" i="8"/>
  <c r="GV140" i="8"/>
  <c r="GK140" i="8"/>
  <c r="FZ140" i="8"/>
  <c r="FP140" i="8"/>
  <c r="FE140" i="8"/>
  <c r="ET140" i="8"/>
  <c r="HZ139" i="8"/>
  <c r="HP139" i="8"/>
  <c r="HE139" i="8"/>
  <c r="GT139" i="8"/>
  <c r="GJ139" i="8"/>
  <c r="FY139" i="8"/>
  <c r="FN139" i="8"/>
  <c r="FD139" i="8"/>
  <c r="ES139" i="8"/>
  <c r="HY138" i="8"/>
  <c r="HN138" i="8"/>
  <c r="HD138" i="8"/>
  <c r="GS138" i="8"/>
  <c r="GH138" i="8"/>
  <c r="FX138" i="8"/>
  <c r="FM138" i="8"/>
  <c r="FB138" i="8"/>
  <c r="ER138" i="8"/>
  <c r="HX137" i="8"/>
  <c r="HM137" i="8"/>
  <c r="HB137" i="8"/>
  <c r="GR137" i="8"/>
  <c r="GG137" i="8"/>
  <c r="FV137" i="8"/>
  <c r="FL137" i="8"/>
  <c r="FA137" i="8"/>
  <c r="EP137" i="8"/>
  <c r="GJ142" i="8"/>
  <c r="FD142" i="8"/>
  <c r="HD141" i="8"/>
  <c r="FX141" i="8"/>
  <c r="FF141" i="8"/>
  <c r="ET141" i="8"/>
  <c r="HZ140" i="8"/>
  <c r="HP140" i="8"/>
  <c r="HE140" i="8"/>
  <c r="GT140" i="8"/>
  <c r="GJ140" i="8"/>
  <c r="FY140" i="8"/>
  <c r="FN140" i="8"/>
  <c r="FD140" i="8"/>
  <c r="ES140" i="8"/>
  <c r="HY139" i="8"/>
  <c r="HN139" i="8"/>
  <c r="HD139" i="8"/>
  <c r="GS139" i="8"/>
  <c r="GH139" i="8"/>
  <c r="FX139" i="8"/>
  <c r="FM139" i="8"/>
  <c r="FB139" i="8"/>
  <c r="ER139" i="8"/>
  <c r="HX138" i="8"/>
  <c r="HM138" i="8"/>
  <c r="HB138" i="8"/>
  <c r="GR138" i="8"/>
  <c r="GG138" i="8"/>
  <c r="FV138" i="8"/>
  <c r="FL138" i="8"/>
  <c r="FA138" i="8"/>
  <c r="EP138" i="8"/>
  <c r="HV137" i="8"/>
  <c r="HL137" i="8"/>
  <c r="HA137" i="8"/>
  <c r="GP137" i="8"/>
  <c r="GF137" i="8"/>
  <c r="FU137" i="8"/>
  <c r="FJ137" i="8"/>
  <c r="EZ137" i="8"/>
  <c r="EO137" i="8"/>
  <c r="GF142" i="8"/>
  <c r="EZ142" i="8"/>
  <c r="IF141" i="8"/>
  <c r="GZ141" i="8"/>
  <c r="FT141" i="8"/>
  <c r="FD141" i="8"/>
  <c r="ES141" i="8"/>
  <c r="HY140" i="8"/>
  <c r="HN140" i="8"/>
  <c r="HD140" i="8"/>
  <c r="GS140" i="8"/>
  <c r="GH140" i="8"/>
  <c r="FX140" i="8"/>
  <c r="FM140" i="8"/>
  <c r="FB140" i="8"/>
  <c r="ER140" i="8"/>
  <c r="HX139" i="8"/>
  <c r="HM139" i="8"/>
  <c r="HB139" i="8"/>
  <c r="GR139" i="8"/>
  <c r="GG139" i="8"/>
  <c r="FV139" i="8"/>
  <c r="FL139" i="8"/>
  <c r="FA139" i="8"/>
  <c r="EP139" i="8"/>
  <c r="HV138" i="8"/>
  <c r="HL138" i="8"/>
  <c r="HA138" i="8"/>
  <c r="GP138" i="8"/>
  <c r="GF138" i="8"/>
  <c r="FU138" i="8"/>
  <c r="FJ138" i="8"/>
  <c r="EZ138" i="8"/>
  <c r="EO138" i="8"/>
  <c r="IF137" i="8"/>
  <c r="HU137" i="8"/>
  <c r="HJ137" i="8"/>
  <c r="GZ137" i="8"/>
  <c r="GO137" i="8"/>
  <c r="GD137" i="8"/>
  <c r="FT137" i="8"/>
  <c r="FI137" i="8"/>
  <c r="EX137" i="8"/>
  <c r="EN137" i="8"/>
  <c r="IE115" i="8"/>
  <c r="HW115" i="8"/>
  <c r="HO115" i="8"/>
  <c r="HG115" i="8"/>
  <c r="GY115" i="8"/>
  <c r="GQ115" i="8"/>
  <c r="GI115" i="8"/>
  <c r="GA115" i="8"/>
  <c r="FS115" i="8"/>
  <c r="FK115" i="8"/>
  <c r="FC115" i="8"/>
  <c r="EU115" i="8"/>
  <c r="EM115" i="8"/>
  <c r="IF114" i="8"/>
  <c r="HX114" i="8"/>
  <c r="HP114" i="8"/>
  <c r="HH114" i="8"/>
  <c r="GZ114" i="8"/>
  <c r="GR114" i="8"/>
  <c r="GJ114" i="8"/>
  <c r="GB114" i="8"/>
  <c r="FT114" i="8"/>
  <c r="FL114" i="8"/>
  <c r="FD114" i="8"/>
  <c r="EV114" i="8"/>
  <c r="EN114" i="8"/>
  <c r="HY113" i="8"/>
  <c r="HQ113" i="8"/>
  <c r="HI113" i="8"/>
  <c r="HA113" i="8"/>
  <c r="GS113" i="8"/>
  <c r="GK113" i="8"/>
  <c r="GC113" i="8"/>
  <c r="FU113" i="8"/>
  <c r="FM113" i="8"/>
  <c r="FE113" i="8"/>
  <c r="EW113" i="8"/>
  <c r="EO113" i="8"/>
  <c r="HZ112" i="8"/>
  <c r="HR112" i="8"/>
  <c r="HJ112" i="8"/>
  <c r="HB112" i="8"/>
  <c r="GT112" i="8"/>
  <c r="GL112" i="8"/>
  <c r="GD112" i="8"/>
  <c r="FV112" i="8"/>
  <c r="FN112" i="8"/>
  <c r="FF112" i="8"/>
  <c r="EX112" i="8"/>
  <c r="EP112" i="8"/>
  <c r="IA111" i="8"/>
  <c r="HS111" i="8"/>
  <c r="HK111" i="8"/>
  <c r="HC111" i="8"/>
  <c r="GU111" i="8"/>
  <c r="GM111" i="8"/>
  <c r="GE111" i="8"/>
  <c r="FW111" i="8"/>
  <c r="FO111" i="8"/>
  <c r="FG111" i="8"/>
  <c r="EY111" i="8"/>
  <c r="EQ111" i="8"/>
  <c r="HZ102" i="8"/>
  <c r="HR102" i="8"/>
  <c r="HJ102" i="8"/>
  <c r="HB102" i="8"/>
  <c r="GT102" i="8"/>
  <c r="GL102" i="8"/>
  <c r="GD102" i="8"/>
  <c r="FV102" i="8"/>
  <c r="FN102" i="8"/>
  <c r="FF102" i="8"/>
  <c r="EX102" i="8"/>
  <c r="EP102" i="8"/>
  <c r="IA101" i="8"/>
  <c r="HS101" i="8"/>
  <c r="HK101" i="8"/>
  <c r="HC101" i="8"/>
  <c r="GU101" i="8"/>
  <c r="GM101" i="8"/>
  <c r="GE101" i="8"/>
  <c r="FW101" i="8"/>
  <c r="FO101" i="8"/>
  <c r="FG101" i="8"/>
  <c r="EY101" i="8"/>
  <c r="EQ101" i="8"/>
  <c r="IB100" i="8"/>
  <c r="HT100" i="8"/>
  <c r="HL100" i="8"/>
  <c r="HD100" i="8"/>
  <c r="GV100" i="8"/>
  <c r="GN100" i="8"/>
  <c r="GF100" i="8"/>
  <c r="FX100" i="8"/>
  <c r="FP100" i="8"/>
  <c r="FH100" i="8"/>
  <c r="EZ100" i="8"/>
  <c r="ER100" i="8"/>
  <c r="EJ100" i="8"/>
  <c r="IC99" i="8"/>
  <c r="HU99" i="8"/>
  <c r="HM99" i="8"/>
  <c r="HE99" i="8"/>
  <c r="GW99" i="8"/>
  <c r="GO99" i="8"/>
  <c r="GG99" i="8"/>
  <c r="FY99" i="8"/>
  <c r="FQ99" i="8"/>
  <c r="FI99" i="8"/>
  <c r="FA99" i="8"/>
  <c r="ES99" i="8"/>
  <c r="EK99" i="8"/>
  <c r="ID98" i="8"/>
  <c r="HV98" i="8"/>
  <c r="HN98" i="8"/>
  <c r="HF98" i="8"/>
  <c r="GX98" i="8"/>
  <c r="GP98" i="8"/>
  <c r="GH98" i="8"/>
  <c r="FZ98" i="8"/>
  <c r="FR98" i="8"/>
  <c r="FJ98" i="8"/>
  <c r="FB98" i="8"/>
  <c r="ET98" i="8"/>
  <c r="GB142" i="8"/>
  <c r="EV142" i="8"/>
  <c r="IB141" i="8"/>
  <c r="GV141" i="8"/>
  <c r="FR141" i="8"/>
  <c r="FB141" i="8"/>
  <c r="ER141" i="8"/>
  <c r="HX140" i="8"/>
  <c r="HM140" i="8"/>
  <c r="HB140" i="8"/>
  <c r="GR140" i="8"/>
  <c r="GG140" i="8"/>
  <c r="FV140" i="8"/>
  <c r="FL140" i="8"/>
  <c r="FA140" i="8"/>
  <c r="EP140" i="8"/>
  <c r="HV139" i="8"/>
  <c r="HL139" i="8"/>
  <c r="HA139" i="8"/>
  <c r="GP139" i="8"/>
  <c r="GF139" i="8"/>
  <c r="FU139" i="8"/>
  <c r="FJ139" i="8"/>
  <c r="EZ139" i="8"/>
  <c r="EO139" i="8"/>
  <c r="IF138" i="8"/>
  <c r="HU138" i="8"/>
  <c r="HJ138" i="8"/>
  <c r="GZ138" i="8"/>
  <c r="GO138" i="8"/>
  <c r="GD138" i="8"/>
  <c r="FT138" i="8"/>
  <c r="FI138" i="8"/>
  <c r="EX138" i="8"/>
  <c r="EN138" i="8"/>
  <c r="ID137" i="8"/>
  <c r="HT137" i="8"/>
  <c r="HI137" i="8"/>
  <c r="GX137" i="8"/>
  <c r="GN137" i="8"/>
  <c r="GC137" i="8"/>
  <c r="FR137" i="8"/>
  <c r="FH137" i="8"/>
  <c r="EW137" i="8"/>
  <c r="EL137" i="8"/>
  <c r="FX142" i="8"/>
  <c r="ER142" i="8"/>
  <c r="HX141" i="8"/>
  <c r="GR141" i="8"/>
  <c r="FP141" i="8"/>
  <c r="FA141" i="8"/>
  <c r="EP141" i="8"/>
  <c r="HV140" i="8"/>
  <c r="HL140" i="8"/>
  <c r="HA140" i="8"/>
  <c r="GP140" i="8"/>
  <c r="GF140" i="8"/>
  <c r="FU140" i="8"/>
  <c r="FJ140" i="8"/>
  <c r="EZ140" i="8"/>
  <c r="EO140" i="8"/>
  <c r="IF139" i="8"/>
  <c r="HU139" i="8"/>
  <c r="HJ139" i="8"/>
  <c r="GZ139" i="8"/>
  <c r="GO139" i="8"/>
  <c r="GD139" i="8"/>
  <c r="FT139" i="8"/>
  <c r="FI139" i="8"/>
  <c r="EX139" i="8"/>
  <c r="EN139" i="8"/>
  <c r="ID138" i="8"/>
  <c r="HT138" i="8"/>
  <c r="HI138" i="8"/>
  <c r="GX138" i="8"/>
  <c r="GN138" i="8"/>
  <c r="GC138" i="8"/>
  <c r="FR138" i="8"/>
  <c r="FH138" i="8"/>
  <c r="EW138" i="8"/>
  <c r="EL138" i="8"/>
  <c r="IC137" i="8"/>
  <c r="HR137" i="8"/>
  <c r="HH137" i="8"/>
  <c r="GW137" i="8"/>
  <c r="GL137" i="8"/>
  <c r="GB137" i="8"/>
  <c r="FQ137" i="8"/>
  <c r="FF137" i="8"/>
  <c r="EV137" i="8"/>
  <c r="EK137" i="8"/>
  <c r="FT142" i="8"/>
  <c r="EN142" i="8"/>
  <c r="HT141" i="8"/>
  <c r="GN141" i="8"/>
  <c r="FN141" i="8"/>
  <c r="EZ141" i="8"/>
  <c r="EO141" i="8"/>
  <c r="IF140" i="8"/>
  <c r="HU140" i="8"/>
  <c r="HJ140" i="8"/>
  <c r="GZ140" i="8"/>
  <c r="GO140" i="8"/>
  <c r="GD140" i="8"/>
  <c r="FT140" i="8"/>
  <c r="FI140" i="8"/>
  <c r="EX140" i="8"/>
  <c r="EN140" i="8"/>
  <c r="ID139" i="8"/>
  <c r="HT139" i="8"/>
  <c r="HI139" i="8"/>
  <c r="GX139" i="8"/>
  <c r="GN139" i="8"/>
  <c r="GC139" i="8"/>
  <c r="FR139" i="8"/>
  <c r="FH139" i="8"/>
  <c r="EW139" i="8"/>
  <c r="EL139" i="8"/>
  <c r="IC138" i="8"/>
  <c r="HR138" i="8"/>
  <c r="HH138" i="8"/>
  <c r="GW138" i="8"/>
  <c r="GL138" i="8"/>
  <c r="GB138" i="8"/>
  <c r="FQ138" i="8"/>
  <c r="FF138" i="8"/>
  <c r="EV138" i="8"/>
  <c r="EK138" i="8"/>
  <c r="IB137" i="8"/>
  <c r="HQ137" i="8"/>
  <c r="HF137" i="8"/>
  <c r="GV137" i="8"/>
  <c r="GK137" i="8"/>
  <c r="FZ137" i="8"/>
  <c r="FP137" i="8"/>
  <c r="FE137" i="8"/>
  <c r="ET137" i="8"/>
  <c r="FP142" i="8"/>
  <c r="HP141" i="8"/>
  <c r="GJ141" i="8"/>
  <c r="FL141" i="8"/>
  <c r="EX141" i="8"/>
  <c r="EN141" i="8"/>
  <c r="ID140" i="8"/>
  <c r="HT140" i="8"/>
  <c r="HI140" i="8"/>
  <c r="GX140" i="8"/>
  <c r="GN140" i="8"/>
  <c r="GC140" i="8"/>
  <c r="FR140" i="8"/>
  <c r="FH140" i="8"/>
  <c r="EW140" i="8"/>
  <c r="EL140" i="8"/>
  <c r="IC139" i="8"/>
  <c r="HR139" i="8"/>
  <c r="HH139" i="8"/>
  <c r="GW139" i="8"/>
  <c r="GL139" i="8"/>
  <c r="GB139" i="8"/>
  <c r="FQ139" i="8"/>
  <c r="FF139" i="8"/>
  <c r="EV139" i="8"/>
  <c r="EK139" i="8"/>
  <c r="IB138" i="8"/>
  <c r="HQ138" i="8"/>
  <c r="HF138" i="8"/>
  <c r="GV138" i="8"/>
  <c r="GK138" i="8"/>
  <c r="FZ138" i="8"/>
  <c r="FP138" i="8"/>
  <c r="FE138" i="8"/>
  <c r="ET138" i="8"/>
  <c r="HZ137" i="8"/>
  <c r="HP137" i="8"/>
  <c r="HE137" i="8"/>
  <c r="GT137" i="8"/>
  <c r="GJ137" i="8"/>
  <c r="FY137" i="8"/>
  <c r="FN137" i="8"/>
  <c r="FD137" i="8"/>
  <c r="ES137" i="8"/>
  <c r="IA115" i="8"/>
  <c r="HS115" i="8"/>
  <c r="HK115" i="8"/>
  <c r="HC115" i="8"/>
  <c r="GU115" i="8"/>
  <c r="GM115" i="8"/>
  <c r="GE115" i="8"/>
  <c r="FW115" i="8"/>
  <c r="FO115" i="8"/>
  <c r="FG115" i="8"/>
  <c r="EY115" i="8"/>
  <c r="EQ115" i="8"/>
  <c r="IB114" i="8"/>
  <c r="HT114" i="8"/>
  <c r="HL114" i="8"/>
  <c r="HD114" i="8"/>
  <c r="GV114" i="8"/>
  <c r="GN114" i="8"/>
  <c r="GF114" i="8"/>
  <c r="FX114" i="8"/>
  <c r="FP114" i="8"/>
  <c r="FH114" i="8"/>
  <c r="EZ114" i="8"/>
  <c r="ER114" i="8"/>
  <c r="EJ114" i="8"/>
  <c r="IC113" i="8"/>
  <c r="HU113" i="8"/>
  <c r="HM113" i="8"/>
  <c r="HE113" i="8"/>
  <c r="GW113" i="8"/>
  <c r="GO113" i="8"/>
  <c r="GG113" i="8"/>
  <c r="FY113" i="8"/>
  <c r="FQ113" i="8"/>
  <c r="FI113" i="8"/>
  <c r="FA113" i="8"/>
  <c r="ES113" i="8"/>
  <c r="EK113" i="8"/>
  <c r="ID112" i="8"/>
  <c r="HV112" i="8"/>
  <c r="HN112" i="8"/>
  <c r="HF112" i="8"/>
  <c r="GX112" i="8"/>
  <c r="GP112" i="8"/>
  <c r="GH112" i="8"/>
  <c r="FZ112" i="8"/>
  <c r="FR112" i="8"/>
  <c r="FJ112" i="8"/>
  <c r="FB112" i="8"/>
  <c r="ET112" i="8"/>
  <c r="EL112" i="8"/>
  <c r="IE111" i="8"/>
  <c r="HW111" i="8"/>
  <c r="HO111" i="8"/>
  <c r="HG111" i="8"/>
  <c r="GY111" i="8"/>
  <c r="GQ111" i="8"/>
  <c r="GI111" i="8"/>
  <c r="GA111" i="8"/>
  <c r="FS111" i="8"/>
  <c r="FK111" i="8"/>
  <c r="FC111" i="8"/>
  <c r="EU111" i="8"/>
  <c r="EM111" i="8"/>
  <c r="ID102" i="8"/>
  <c r="HV102" i="8"/>
  <c r="HN102" i="8"/>
  <c r="HF102" i="8"/>
  <c r="GX102" i="8"/>
  <c r="GP102" i="8"/>
  <c r="GH102" i="8"/>
  <c r="FZ102" i="8"/>
  <c r="FR102" i="8"/>
  <c r="FJ102" i="8"/>
  <c r="FB102" i="8"/>
  <c r="ET102" i="8"/>
  <c r="EL102" i="8"/>
  <c r="IE101" i="8"/>
  <c r="HW101" i="8"/>
  <c r="HO101" i="8"/>
  <c r="HG101" i="8"/>
  <c r="GY101" i="8"/>
  <c r="GQ101" i="8"/>
  <c r="GI101" i="8"/>
  <c r="GA101" i="8"/>
  <c r="FS101" i="8"/>
  <c r="FK101" i="8"/>
  <c r="FC101" i="8"/>
  <c r="EU101" i="8"/>
  <c r="EM101" i="8"/>
  <c r="IF100" i="8"/>
  <c r="HX100" i="8"/>
  <c r="HP100" i="8"/>
  <c r="HH100" i="8"/>
  <c r="GZ100" i="8"/>
  <c r="GR100" i="8"/>
  <c r="GJ100" i="8"/>
  <c r="GB100" i="8"/>
  <c r="FT100" i="8"/>
  <c r="FL100" i="8"/>
  <c r="FD100" i="8"/>
  <c r="EV100" i="8"/>
  <c r="EN100" i="8"/>
  <c r="HY99" i="8"/>
  <c r="HQ99" i="8"/>
  <c r="HI99" i="8"/>
  <c r="HA99" i="8"/>
  <c r="GS99" i="8"/>
  <c r="GK99" i="8"/>
  <c r="GC99" i="8"/>
  <c r="FU99" i="8"/>
  <c r="FM99" i="8"/>
  <c r="FE99" i="8"/>
  <c r="EW99" i="8"/>
  <c r="EO99" i="8"/>
  <c r="HZ98" i="8"/>
  <c r="HR98" i="8"/>
  <c r="HJ98" i="8"/>
  <c r="HB98" i="8"/>
  <c r="GT98" i="8"/>
  <c r="GL98" i="8"/>
  <c r="GD98" i="8"/>
  <c r="FV98" i="8"/>
  <c r="FN98" i="8"/>
  <c r="FF98" i="8"/>
  <c r="EX98" i="8"/>
  <c r="HX115" i="8"/>
  <c r="HM115" i="8"/>
  <c r="HB115" i="8"/>
  <c r="GR115" i="8"/>
  <c r="GG115" i="8"/>
  <c r="FV115" i="8"/>
  <c r="FL115" i="8"/>
  <c r="FA115" i="8"/>
  <c r="EP115" i="8"/>
  <c r="HW114" i="8"/>
  <c r="HM114" i="8"/>
  <c r="HB114" i="8"/>
  <c r="GQ114" i="8"/>
  <c r="GG114" i="8"/>
  <c r="FV114" i="8"/>
  <c r="FK114" i="8"/>
  <c r="FA114" i="8"/>
  <c r="EP114" i="8"/>
  <c r="HW113" i="8"/>
  <c r="HL113" i="8"/>
  <c r="HB113" i="8"/>
  <c r="GQ113" i="8"/>
  <c r="GF113" i="8"/>
  <c r="FV113" i="8"/>
  <c r="FK113" i="8"/>
  <c r="EZ113" i="8"/>
  <c r="EP113" i="8"/>
  <c r="HW112" i="8"/>
  <c r="HL112" i="8"/>
  <c r="HA112" i="8"/>
  <c r="GQ112" i="8"/>
  <c r="GF112" i="8"/>
  <c r="FU112" i="8"/>
  <c r="FK112" i="8"/>
  <c r="EZ112" i="8"/>
  <c r="EO112" i="8"/>
  <c r="HV111" i="8"/>
  <c r="HL111" i="8"/>
  <c r="HA111" i="8"/>
  <c r="GP111" i="8"/>
  <c r="GF111" i="8"/>
  <c r="FU111" i="8"/>
  <c r="FJ111" i="8"/>
  <c r="EZ111" i="8"/>
  <c r="EO111" i="8"/>
  <c r="HV115" i="8"/>
  <c r="HL115" i="8"/>
  <c r="HA115" i="8"/>
  <c r="GP115" i="8"/>
  <c r="GF115" i="8"/>
  <c r="FU115" i="8"/>
  <c r="FJ115" i="8"/>
  <c r="EZ115" i="8"/>
  <c r="EO115" i="8"/>
  <c r="HV114" i="8"/>
  <c r="HK114" i="8"/>
  <c r="HA114" i="8"/>
  <c r="GP114" i="8"/>
  <c r="GE114" i="8"/>
  <c r="FU114" i="8"/>
  <c r="FJ114" i="8"/>
  <c r="EY114" i="8"/>
  <c r="EO114" i="8"/>
  <c r="IF113" i="8"/>
  <c r="HV113" i="8"/>
  <c r="HK113" i="8"/>
  <c r="GZ113" i="8"/>
  <c r="GP113" i="8"/>
  <c r="GE113" i="8"/>
  <c r="FT113" i="8"/>
  <c r="FJ113" i="8"/>
  <c r="EY113" i="8"/>
  <c r="EN113" i="8"/>
  <c r="IF112" i="8"/>
  <c r="HU112" i="8"/>
  <c r="HK112" i="8"/>
  <c r="GZ112" i="8"/>
  <c r="GO112" i="8"/>
  <c r="GE112" i="8"/>
  <c r="FT112" i="8"/>
  <c r="FI112" i="8"/>
  <c r="EY112" i="8"/>
  <c r="EN112" i="8"/>
  <c r="IF111" i="8"/>
  <c r="HU111" i="8"/>
  <c r="HJ111" i="8"/>
  <c r="GZ111" i="8"/>
  <c r="GO111" i="8"/>
  <c r="GD111" i="8"/>
  <c r="FT111" i="8"/>
  <c r="FI111" i="8"/>
  <c r="EX111" i="8"/>
  <c r="EN111" i="8"/>
  <c r="IC102" i="8"/>
  <c r="HS102" i="8"/>
  <c r="HH102" i="8"/>
  <c r="GW102" i="8"/>
  <c r="GM102" i="8"/>
  <c r="GB102" i="8"/>
  <c r="FQ102" i="8"/>
  <c r="FG102" i="8"/>
  <c r="EV102" i="8"/>
  <c r="EK102" i="8"/>
  <c r="IC101" i="8"/>
  <c r="HR101" i="8"/>
  <c r="HH101" i="8"/>
  <c r="GW101" i="8"/>
  <c r="GL101" i="8"/>
  <c r="GB101" i="8"/>
  <c r="FQ101" i="8"/>
  <c r="FF101" i="8"/>
  <c r="EV101" i="8"/>
  <c r="EK101" i="8"/>
  <c r="IC100" i="8"/>
  <c r="HR100" i="8"/>
  <c r="HG100" i="8"/>
  <c r="GW100" i="8"/>
  <c r="GL100" i="8"/>
  <c r="GA100" i="8"/>
  <c r="FQ100" i="8"/>
  <c r="FF100" i="8"/>
  <c r="EU100" i="8"/>
  <c r="EK100" i="8"/>
  <c r="IB99" i="8"/>
  <c r="HR99" i="8"/>
  <c r="HG99" i="8"/>
  <c r="GV99" i="8"/>
  <c r="GL99" i="8"/>
  <c r="GA99" i="8"/>
  <c r="FP99" i="8"/>
  <c r="IF115" i="8"/>
  <c r="HU115" i="8"/>
  <c r="HJ115" i="8"/>
  <c r="GZ115" i="8"/>
  <c r="GO115" i="8"/>
  <c r="GD115" i="8"/>
  <c r="FT115" i="8"/>
  <c r="FI115" i="8"/>
  <c r="EX115" i="8"/>
  <c r="EN115" i="8"/>
  <c r="IE114" i="8"/>
  <c r="HU114" i="8"/>
  <c r="HJ114" i="8"/>
  <c r="GY114" i="8"/>
  <c r="GO114" i="8"/>
  <c r="GD114" i="8"/>
  <c r="FS114" i="8"/>
  <c r="FI114" i="8"/>
  <c r="EX114" i="8"/>
  <c r="EM114" i="8"/>
  <c r="IE113" i="8"/>
  <c r="HT113" i="8"/>
  <c r="HJ113" i="8"/>
  <c r="GY113" i="8"/>
  <c r="GN113" i="8"/>
  <c r="GD113" i="8"/>
  <c r="FS113" i="8"/>
  <c r="FH113" i="8"/>
  <c r="EX113" i="8"/>
  <c r="EM113" i="8"/>
  <c r="IE112" i="8"/>
  <c r="HT112" i="8"/>
  <c r="HI112" i="8"/>
  <c r="GY112" i="8"/>
  <c r="GN112" i="8"/>
  <c r="GC112" i="8"/>
  <c r="FS112" i="8"/>
  <c r="FH112" i="8"/>
  <c r="EW112" i="8"/>
  <c r="ID115" i="8"/>
  <c r="HT115" i="8"/>
  <c r="HI115" i="8"/>
  <c r="GX115" i="8"/>
  <c r="GN115" i="8"/>
  <c r="GC115" i="8"/>
  <c r="FR115" i="8"/>
  <c r="FH115" i="8"/>
  <c r="EW115" i="8"/>
  <c r="EL115" i="8"/>
  <c r="ID114" i="8"/>
  <c r="HS114" i="8"/>
  <c r="HI114" i="8"/>
  <c r="GX114" i="8"/>
  <c r="GM114" i="8"/>
  <c r="GC114" i="8"/>
  <c r="FR114" i="8"/>
  <c r="FG114" i="8"/>
  <c r="EW114" i="8"/>
  <c r="EL114" i="8"/>
  <c r="ID113" i="8"/>
  <c r="HS113" i="8"/>
  <c r="HH113" i="8"/>
  <c r="GX113" i="8"/>
  <c r="GM113" i="8"/>
  <c r="GB113" i="8"/>
  <c r="FR113" i="8"/>
  <c r="FG113" i="8"/>
  <c r="EV113" i="8"/>
  <c r="EL113" i="8"/>
  <c r="IC112" i="8"/>
  <c r="HS112" i="8"/>
  <c r="HH112" i="8"/>
  <c r="GW112" i="8"/>
  <c r="GM112" i="8"/>
  <c r="GB112" i="8"/>
  <c r="FQ112" i="8"/>
  <c r="FG112" i="8"/>
  <c r="EV112" i="8"/>
  <c r="EK112" i="8"/>
  <c r="IC111" i="8"/>
  <c r="HR111" i="8"/>
  <c r="HH111" i="8"/>
  <c r="GW111" i="8"/>
  <c r="GL111" i="8"/>
  <c r="GB111" i="8"/>
  <c r="FQ111" i="8"/>
  <c r="FF111" i="8"/>
  <c r="EV111" i="8"/>
  <c r="EK111" i="8"/>
  <c r="IC115" i="8"/>
  <c r="HR115" i="8"/>
  <c r="HH115" i="8"/>
  <c r="GW115" i="8"/>
  <c r="GL115" i="8"/>
  <c r="GB115" i="8"/>
  <c r="FQ115" i="8"/>
  <c r="FF115" i="8"/>
  <c r="EV115" i="8"/>
  <c r="EK115" i="8"/>
  <c r="IC114" i="8"/>
  <c r="HR114" i="8"/>
  <c r="HG114" i="8"/>
  <c r="GW114" i="8"/>
  <c r="GL114" i="8"/>
  <c r="GA114" i="8"/>
  <c r="FQ114" i="8"/>
  <c r="FF114" i="8"/>
  <c r="EU114" i="8"/>
  <c r="EK114" i="8"/>
  <c r="IB113" i="8"/>
  <c r="HR113" i="8"/>
  <c r="HG113" i="8"/>
  <c r="GV113" i="8"/>
  <c r="GL113" i="8"/>
  <c r="GA113" i="8"/>
  <c r="FP113" i="8"/>
  <c r="FF113" i="8"/>
  <c r="EU113" i="8"/>
  <c r="EJ113" i="8"/>
  <c r="IB115" i="8"/>
  <c r="HQ115" i="8"/>
  <c r="HF115" i="8"/>
  <c r="GV115" i="8"/>
  <c r="GK115" i="8"/>
  <c r="FZ115" i="8"/>
  <c r="FP115" i="8"/>
  <c r="FE115" i="8"/>
  <c r="ET115" i="8"/>
  <c r="EJ115" i="8"/>
  <c r="IA114" i="8"/>
  <c r="HQ114" i="8"/>
  <c r="HF114" i="8"/>
  <c r="GU114" i="8"/>
  <c r="GK114" i="8"/>
  <c r="FZ114" i="8"/>
  <c r="FO114" i="8"/>
  <c r="FE114" i="8"/>
  <c r="ET114" i="8"/>
  <c r="IA113" i="8"/>
  <c r="HP113" i="8"/>
  <c r="HF113" i="8"/>
  <c r="GU113" i="8"/>
  <c r="GJ113" i="8"/>
  <c r="FZ113" i="8"/>
  <c r="FO113" i="8"/>
  <c r="FD113" i="8"/>
  <c r="ET113" i="8"/>
  <c r="IA112" i="8"/>
  <c r="HP112" i="8"/>
  <c r="HE112" i="8"/>
  <c r="GU112" i="8"/>
  <c r="GJ112" i="8"/>
  <c r="FY112" i="8"/>
  <c r="FO112" i="8"/>
  <c r="FD112" i="8"/>
  <c r="ES112" i="8"/>
  <c r="HZ111" i="8"/>
  <c r="HP111" i="8"/>
  <c r="HE111" i="8"/>
  <c r="GT111" i="8"/>
  <c r="GJ111" i="8"/>
  <c r="FY111" i="8"/>
  <c r="FN111" i="8"/>
  <c r="FD111" i="8"/>
  <c r="ES111" i="8"/>
  <c r="HX102" i="8"/>
  <c r="HM102" i="8"/>
  <c r="HC102" i="8"/>
  <c r="GR102" i="8"/>
  <c r="GG102" i="8"/>
  <c r="FW102" i="8"/>
  <c r="FL102" i="8"/>
  <c r="FA102" i="8"/>
  <c r="EQ102" i="8"/>
  <c r="HX101" i="8"/>
  <c r="HM101" i="8"/>
  <c r="HB101" i="8"/>
  <c r="GR101" i="8"/>
  <c r="GG101" i="8"/>
  <c r="FV101" i="8"/>
  <c r="FL101" i="8"/>
  <c r="FA101" i="8"/>
  <c r="EP101" i="8"/>
  <c r="HW100" i="8"/>
  <c r="HM100" i="8"/>
  <c r="HB100" i="8"/>
  <c r="GQ100" i="8"/>
  <c r="GG100" i="8"/>
  <c r="FV100" i="8"/>
  <c r="FK100" i="8"/>
  <c r="FA100" i="8"/>
  <c r="EP100" i="8"/>
  <c r="HW99" i="8"/>
  <c r="HL99" i="8"/>
  <c r="HB99" i="8"/>
  <c r="GQ99" i="8"/>
  <c r="GF99" i="8"/>
  <c r="FV99" i="8"/>
  <c r="FK99" i="8"/>
  <c r="EZ99" i="8"/>
  <c r="EP99" i="8"/>
  <c r="HW98" i="8"/>
  <c r="HL98" i="8"/>
  <c r="HA98" i="8"/>
  <c r="GQ98" i="8"/>
  <c r="GF98" i="8"/>
  <c r="FU98" i="8"/>
  <c r="FK98" i="8"/>
  <c r="EZ98" i="8"/>
  <c r="EP98" i="8"/>
  <c r="IA97" i="8"/>
  <c r="HS97" i="8"/>
  <c r="HK97" i="8"/>
  <c r="HC97" i="8"/>
  <c r="GU97" i="8"/>
  <c r="GM97" i="8"/>
  <c r="GE97" i="8"/>
  <c r="FW97" i="8"/>
  <c r="FO97" i="8"/>
  <c r="FG97" i="8"/>
  <c r="EY97" i="8"/>
  <c r="EQ97" i="8"/>
  <c r="IB96" i="8"/>
  <c r="HT96" i="8"/>
  <c r="HL96" i="8"/>
  <c r="HD96" i="8"/>
  <c r="GV96" i="8"/>
  <c r="GN96" i="8"/>
  <c r="GF96" i="8"/>
  <c r="FX96" i="8"/>
  <c r="FP96" i="8"/>
  <c r="FH96" i="8"/>
  <c r="EZ96" i="8"/>
  <c r="ER96" i="8"/>
  <c r="EJ96" i="8"/>
  <c r="IC95" i="8"/>
  <c r="HU95" i="8"/>
  <c r="HM95" i="8"/>
  <c r="HE95" i="8"/>
  <c r="GW95" i="8"/>
  <c r="GO95" i="8"/>
  <c r="GG95" i="8"/>
  <c r="FY95" i="8"/>
  <c r="FQ95" i="8"/>
  <c r="FI95" i="8"/>
  <c r="FA95" i="8"/>
  <c r="ES95" i="8"/>
  <c r="EK95" i="8"/>
  <c r="ID94" i="8"/>
  <c r="HV94" i="8"/>
  <c r="HN94" i="8"/>
  <c r="HF94" i="8"/>
  <c r="GX94" i="8"/>
  <c r="GP94" i="8"/>
  <c r="GH94" i="8"/>
  <c r="FZ94" i="8"/>
  <c r="FR94" i="8"/>
  <c r="FJ94" i="8"/>
  <c r="FB94" i="8"/>
  <c r="ET94" i="8"/>
  <c r="EL94" i="8"/>
  <c r="HZ115" i="8"/>
  <c r="HP115" i="8"/>
  <c r="HE115" i="8"/>
  <c r="GT115" i="8"/>
  <c r="GJ115" i="8"/>
  <c r="FY115" i="8"/>
  <c r="FN115" i="8"/>
  <c r="FD115" i="8"/>
  <c r="ES115" i="8"/>
  <c r="HZ114" i="8"/>
  <c r="HO114" i="8"/>
  <c r="HE114" i="8"/>
  <c r="GT114" i="8"/>
  <c r="GI114" i="8"/>
  <c r="FY114" i="8"/>
  <c r="FN114" i="8"/>
  <c r="FC114" i="8"/>
  <c r="ES114" i="8"/>
  <c r="HZ113" i="8"/>
  <c r="HO113" i="8"/>
  <c r="HD113" i="8"/>
  <c r="GT113" i="8"/>
  <c r="GI113" i="8"/>
  <c r="FX113" i="8"/>
  <c r="FN113" i="8"/>
  <c r="FC113" i="8"/>
  <c r="ER113" i="8"/>
  <c r="HY112" i="8"/>
  <c r="HO112" i="8"/>
  <c r="HD112" i="8"/>
  <c r="GS112" i="8"/>
  <c r="GI112" i="8"/>
  <c r="FX112" i="8"/>
  <c r="FM112" i="8"/>
  <c r="FC112" i="8"/>
  <c r="ER112" i="8"/>
  <c r="HY111" i="8"/>
  <c r="HN111" i="8"/>
  <c r="HD111" i="8"/>
  <c r="GS111" i="8"/>
  <c r="GH111" i="8"/>
  <c r="FX111" i="8"/>
  <c r="FM111" i="8"/>
  <c r="FB111" i="8"/>
  <c r="ER111" i="8"/>
  <c r="HY115" i="8"/>
  <c r="HN115" i="8"/>
  <c r="HD115" i="8"/>
  <c r="GS115" i="8"/>
  <c r="GH115" i="8"/>
  <c r="FX115" i="8"/>
  <c r="FM115" i="8"/>
  <c r="FB115" i="8"/>
  <c r="ER115" i="8"/>
  <c r="HY114" i="8"/>
  <c r="HN114" i="8"/>
  <c r="HC114" i="8"/>
  <c r="GS114" i="8"/>
  <c r="GH114" i="8"/>
  <c r="FW114" i="8"/>
  <c r="FM114" i="8"/>
  <c r="FB114" i="8"/>
  <c r="EQ114" i="8"/>
  <c r="HX113" i="8"/>
  <c r="HN113" i="8"/>
  <c r="HC113" i="8"/>
  <c r="HG112" i="8"/>
  <c r="FP112" i="8"/>
  <c r="HQ111" i="8"/>
  <c r="GN111" i="8"/>
  <c r="FL111" i="8"/>
  <c r="EJ111" i="8"/>
  <c r="HW102" i="8"/>
  <c r="GU102" i="8"/>
  <c r="FS102" i="8"/>
  <c r="EO102" i="8"/>
  <c r="HQ101" i="8"/>
  <c r="GO101" i="8"/>
  <c r="FM101" i="8"/>
  <c r="EJ101" i="8"/>
  <c r="GX100" i="8"/>
  <c r="FU100" i="8"/>
  <c r="ES100" i="8"/>
  <c r="HF99" i="8"/>
  <c r="FO99" i="8"/>
  <c r="EQ99" i="8"/>
  <c r="HI98" i="8"/>
  <c r="GK98" i="8"/>
  <c r="FM98" i="8"/>
  <c r="EO98" i="8"/>
  <c r="HG97" i="8"/>
  <c r="GO97" i="8"/>
  <c r="FV97" i="8"/>
  <c r="FD97" i="8"/>
  <c r="EL97" i="8"/>
  <c r="HV96" i="8"/>
  <c r="HC96" i="8"/>
  <c r="GK96" i="8"/>
  <c r="FS96" i="8"/>
  <c r="FA96" i="8"/>
  <c r="HH95" i="8"/>
  <c r="GP95" i="8"/>
  <c r="FW95" i="8"/>
  <c r="FE95" i="8"/>
  <c r="EM95" i="8"/>
  <c r="HU94" i="8"/>
  <c r="HC94" i="8"/>
  <c r="GK94" i="8"/>
  <c r="FS94" i="8"/>
  <c r="EZ94" i="8"/>
  <c r="FY94" i="8"/>
  <c r="EX94" i="8"/>
  <c r="HQ102" i="8"/>
  <c r="HC112" i="8"/>
  <c r="FL112" i="8"/>
  <c r="HM111" i="8"/>
  <c r="GK111" i="8"/>
  <c r="FH111" i="8"/>
  <c r="HU102" i="8"/>
  <c r="HG102" i="8"/>
  <c r="GS102" i="8"/>
  <c r="GE102" i="8"/>
  <c r="FP102" i="8"/>
  <c r="FC102" i="8"/>
  <c r="EN102" i="8"/>
  <c r="ID101" i="8"/>
  <c r="HP101" i="8"/>
  <c r="HA101" i="8"/>
  <c r="GN101" i="8"/>
  <c r="FY101" i="8"/>
  <c r="FJ101" i="8"/>
  <c r="EW101" i="8"/>
  <c r="HY100" i="8"/>
  <c r="HJ100" i="8"/>
  <c r="GU100" i="8"/>
  <c r="GH100" i="8"/>
  <c r="FS100" i="8"/>
  <c r="FE100" i="8"/>
  <c r="EQ100" i="8"/>
  <c r="IF99" i="8"/>
  <c r="HS99" i="8"/>
  <c r="HD99" i="8"/>
  <c r="GP99" i="8"/>
  <c r="GB99" i="8"/>
  <c r="FN99" i="8"/>
  <c r="FB99" i="8"/>
  <c r="EN99" i="8"/>
  <c r="IF98" i="8"/>
  <c r="HT98" i="8"/>
  <c r="HH98" i="8"/>
  <c r="GV98" i="8"/>
  <c r="GJ98" i="8"/>
  <c r="FX98" i="8"/>
  <c r="FL98" i="8"/>
  <c r="EY98" i="8"/>
  <c r="EN98" i="8"/>
  <c r="HX97" i="8"/>
  <c r="HO97" i="8"/>
  <c r="HF97" i="8"/>
  <c r="GW97" i="8"/>
  <c r="GN97" i="8"/>
  <c r="GD97" i="8"/>
  <c r="FU97" i="8"/>
  <c r="FL97" i="8"/>
  <c r="FC97" i="8"/>
  <c r="ET97" i="8"/>
  <c r="EK97" i="8"/>
  <c r="ID96" i="8"/>
  <c r="HU96" i="8"/>
  <c r="HK96" i="8"/>
  <c r="HB96" i="8"/>
  <c r="GS96" i="8"/>
  <c r="GJ96" i="8"/>
  <c r="GA96" i="8"/>
  <c r="FR96" i="8"/>
  <c r="FI96" i="8"/>
  <c r="EY96" i="8"/>
  <c r="EP96" i="8"/>
  <c r="HY95" i="8"/>
  <c r="HP95" i="8"/>
  <c r="HG95" i="8"/>
  <c r="GX95" i="8"/>
  <c r="GN95" i="8"/>
  <c r="GE95" i="8"/>
  <c r="FV95" i="8"/>
  <c r="FM95" i="8"/>
  <c r="FD95" i="8"/>
  <c r="EU95" i="8"/>
  <c r="EL95" i="8"/>
  <c r="IC94" i="8"/>
  <c r="HT94" i="8"/>
  <c r="HK94" i="8"/>
  <c r="HB94" i="8"/>
  <c r="GS94" i="8"/>
  <c r="GJ94" i="8"/>
  <c r="GA94" i="8"/>
  <c r="FQ94" i="8"/>
  <c r="FH94" i="8"/>
  <c r="EY94" i="8"/>
  <c r="EP94" i="8"/>
  <c r="HA94" i="8"/>
  <c r="EO94" i="8"/>
  <c r="HD102" i="8"/>
  <c r="GR113" i="8"/>
  <c r="GV112" i="8"/>
  <c r="FE112" i="8"/>
  <c r="HI111" i="8"/>
  <c r="GG111" i="8"/>
  <c r="FE111" i="8"/>
  <c r="HT102" i="8"/>
  <c r="HE102" i="8"/>
  <c r="GQ102" i="8"/>
  <c r="GC102" i="8"/>
  <c r="FO102" i="8"/>
  <c r="EZ102" i="8"/>
  <c r="EM102" i="8"/>
  <c r="IB101" i="8"/>
  <c r="HN101" i="8"/>
  <c r="GZ101" i="8"/>
  <c r="GK101" i="8"/>
  <c r="FX101" i="8"/>
  <c r="FI101" i="8"/>
  <c r="ET101" i="8"/>
  <c r="HV100" i="8"/>
  <c r="HI100" i="8"/>
  <c r="GT100" i="8"/>
  <c r="GE100" i="8"/>
  <c r="FR100" i="8"/>
  <c r="FC100" i="8"/>
  <c r="EO100" i="8"/>
  <c r="IE99" i="8"/>
  <c r="HP99" i="8"/>
  <c r="HC99" i="8"/>
  <c r="GN99" i="8"/>
  <c r="FZ99" i="8"/>
  <c r="FL99" i="8"/>
  <c r="EY99" i="8"/>
  <c r="EM99" i="8"/>
  <c r="IE98" i="8"/>
  <c r="HS98" i="8"/>
  <c r="HG98" i="8"/>
  <c r="GU98" i="8"/>
  <c r="GI98" i="8"/>
  <c r="FW98" i="8"/>
  <c r="FI98" i="8"/>
  <c r="EW98" i="8"/>
  <c r="EM98" i="8"/>
  <c r="IF97" i="8"/>
  <c r="HW97" i="8"/>
  <c r="HN97" i="8"/>
  <c r="HE97" i="8"/>
  <c r="GV97" i="8"/>
  <c r="GL97" i="8"/>
  <c r="GC97" i="8"/>
  <c r="FT97" i="8"/>
  <c r="FK97" i="8"/>
  <c r="FB97" i="8"/>
  <c r="ES97" i="8"/>
  <c r="EJ97" i="8"/>
  <c r="IC96" i="8"/>
  <c r="HS96" i="8"/>
  <c r="HJ96" i="8"/>
  <c r="HA96" i="8"/>
  <c r="GR96" i="8"/>
  <c r="GI96" i="8"/>
  <c r="FZ96" i="8"/>
  <c r="FQ96" i="8"/>
  <c r="FG96" i="8"/>
  <c r="EX96" i="8"/>
  <c r="EO96" i="8"/>
  <c r="HX95" i="8"/>
  <c r="HO95" i="8"/>
  <c r="HF95" i="8"/>
  <c r="GV95" i="8"/>
  <c r="GM95" i="8"/>
  <c r="GD95" i="8"/>
  <c r="FU95" i="8"/>
  <c r="FL95" i="8"/>
  <c r="FC95" i="8"/>
  <c r="ET95" i="8"/>
  <c r="EJ95" i="8"/>
  <c r="IB94" i="8"/>
  <c r="HS94" i="8"/>
  <c r="HJ94" i="8"/>
  <c r="GR94" i="8"/>
  <c r="FP94" i="8"/>
  <c r="FG94" i="8"/>
  <c r="IF102" i="8"/>
  <c r="GH113" i="8"/>
  <c r="GR112" i="8"/>
  <c r="FA112" i="8"/>
  <c r="HF111" i="8"/>
  <c r="GC111" i="8"/>
  <c r="FA111" i="8"/>
  <c r="GA102" i="8"/>
  <c r="FM102" i="8"/>
  <c r="EY102" i="8"/>
  <c r="EJ102" i="8"/>
  <c r="HZ101" i="8"/>
  <c r="HL101" i="8"/>
  <c r="GX101" i="8"/>
  <c r="GJ101" i="8"/>
  <c r="FW113" i="8"/>
  <c r="IB112" i="8"/>
  <c r="GK112" i="8"/>
  <c r="EU112" i="8"/>
  <c r="ID111" i="8"/>
  <c r="HB111" i="8"/>
  <c r="FZ111" i="8"/>
  <c r="EW111" i="8"/>
  <c r="IE102" i="8"/>
  <c r="HP102" i="8"/>
  <c r="HA102" i="8"/>
  <c r="GN102" i="8"/>
  <c r="FY102" i="8"/>
  <c r="FK102" i="8"/>
  <c r="EW102" i="8"/>
  <c r="HY101" i="8"/>
  <c r="HJ101" i="8"/>
  <c r="GV101" i="8"/>
  <c r="GH101" i="8"/>
  <c r="FT101" i="8"/>
  <c r="FE101" i="8"/>
  <c r="ER101" i="8"/>
  <c r="HS100" i="8"/>
  <c r="HE100" i="8"/>
  <c r="GP100" i="8"/>
  <c r="GC100" i="8"/>
  <c r="FN100" i="8"/>
  <c r="EY100" i="8"/>
  <c r="EL100" i="8"/>
  <c r="IA99" i="8"/>
  <c r="HN99" i="8"/>
  <c r="GY99" i="8"/>
  <c r="GJ99" i="8"/>
  <c r="FW99" i="8"/>
  <c r="FH99" i="8"/>
  <c r="EV99" i="8"/>
  <c r="EJ99" i="8"/>
  <c r="IB98" i="8"/>
  <c r="HP98" i="8"/>
  <c r="HD98" i="8"/>
  <c r="GR98" i="8"/>
  <c r="GE98" i="8"/>
  <c r="FS98" i="8"/>
  <c r="FG98" i="8"/>
  <c r="EU98" i="8"/>
  <c r="EK98" i="8"/>
  <c r="ID97" i="8"/>
  <c r="HU97" i="8"/>
  <c r="HL97" i="8"/>
  <c r="HB97" i="8"/>
  <c r="GS97" i="8"/>
  <c r="GJ97" i="8"/>
  <c r="GA97" i="8"/>
  <c r="FR97" i="8"/>
  <c r="FI97" i="8"/>
  <c r="EZ97" i="8"/>
  <c r="EP97" i="8"/>
  <c r="HZ96" i="8"/>
  <c r="HQ96" i="8"/>
  <c r="HH96" i="8"/>
  <c r="GY96" i="8"/>
  <c r="GP96" i="8"/>
  <c r="GG96" i="8"/>
  <c r="FW96" i="8"/>
  <c r="FN96" i="8"/>
  <c r="FE96" i="8"/>
  <c r="EV96" i="8"/>
  <c r="EM96" i="8"/>
  <c r="IE95" i="8"/>
  <c r="HV95" i="8"/>
  <c r="HL95" i="8"/>
  <c r="HC95" i="8"/>
  <c r="GT95" i="8"/>
  <c r="GK95" i="8"/>
  <c r="GB95" i="8"/>
  <c r="FS95" i="8"/>
  <c r="FJ95" i="8"/>
  <c r="EZ95" i="8"/>
  <c r="EQ95" i="8"/>
  <c r="HZ94" i="8"/>
  <c r="HQ94" i="8"/>
  <c r="HH94" i="8"/>
  <c r="GY94" i="8"/>
  <c r="GO94" i="8"/>
  <c r="GF94" i="8"/>
  <c r="FW94" i="8"/>
  <c r="FN94" i="8"/>
  <c r="FE94" i="8"/>
  <c r="EV94" i="8"/>
  <c r="EM94" i="8"/>
  <c r="HY96" i="8"/>
  <c r="GO96" i="8"/>
  <c r="FV96" i="8"/>
  <c r="EU96" i="8"/>
  <c r="ID95" i="8"/>
  <c r="HK95" i="8"/>
  <c r="GS95" i="8"/>
  <c r="GA95" i="8"/>
  <c r="FH95" i="8"/>
  <c r="EP95" i="8"/>
  <c r="HY94" i="8"/>
  <c r="HP94" i="8"/>
  <c r="GW94" i="8"/>
  <c r="GE94" i="8"/>
  <c r="FM94" i="8"/>
  <c r="EU94" i="8"/>
  <c r="IA102" i="8"/>
  <c r="GY102" i="8"/>
  <c r="FU102" i="8"/>
  <c r="ES102" i="8"/>
  <c r="GS101" i="8"/>
  <c r="FB101" i="8"/>
  <c r="HA100" i="8"/>
  <c r="FJ100" i="8"/>
  <c r="HX99" i="8"/>
  <c r="GU99" i="8"/>
  <c r="FF99" i="8"/>
  <c r="HY98" i="8"/>
  <c r="GN98" i="8"/>
  <c r="FD98" i="8"/>
  <c r="IB97" i="8"/>
  <c r="GZ97" i="8"/>
  <c r="FY97" i="8"/>
  <c r="FF97" i="8"/>
  <c r="GW96" i="8"/>
  <c r="FU96" i="8"/>
  <c r="ET96" i="8"/>
  <c r="HJ95" i="8"/>
  <c r="GI95" i="8"/>
  <c r="FG95" i="8"/>
  <c r="GV94" i="8"/>
  <c r="FU94" i="8"/>
  <c r="ES94" i="8"/>
  <c r="FL113" i="8"/>
  <c r="HX112" i="8"/>
  <c r="GG112" i="8"/>
  <c r="EQ112" i="8"/>
  <c r="IB111" i="8"/>
  <c r="GX111" i="8"/>
  <c r="FV111" i="8"/>
  <c r="ET111" i="8"/>
  <c r="IB102" i="8"/>
  <c r="HO102" i="8"/>
  <c r="GZ102" i="8"/>
  <c r="GK102" i="8"/>
  <c r="FX102" i="8"/>
  <c r="FI102" i="8"/>
  <c r="EU102" i="8"/>
  <c r="HV101" i="8"/>
  <c r="HI101" i="8"/>
  <c r="GT101" i="8"/>
  <c r="GF101" i="8"/>
  <c r="FR101" i="8"/>
  <c r="FD101" i="8"/>
  <c r="EO101" i="8"/>
  <c r="IE100" i="8"/>
  <c r="HQ100" i="8"/>
  <c r="HC100" i="8"/>
  <c r="GO100" i="8"/>
  <c r="FZ100" i="8"/>
  <c r="FM100" i="8"/>
  <c r="EX100" i="8"/>
  <c r="HZ99" i="8"/>
  <c r="HK99" i="8"/>
  <c r="GX99" i="8"/>
  <c r="GI99" i="8"/>
  <c r="FT99" i="8"/>
  <c r="FG99" i="8"/>
  <c r="EU99" i="8"/>
  <c r="IA98" i="8"/>
  <c r="HO98" i="8"/>
  <c r="HC98" i="8"/>
  <c r="GO98" i="8"/>
  <c r="GC98" i="8"/>
  <c r="FQ98" i="8"/>
  <c r="FE98" i="8"/>
  <c r="ES98" i="8"/>
  <c r="EJ98" i="8"/>
  <c r="IC97" i="8"/>
  <c r="HT97" i="8"/>
  <c r="HJ97" i="8"/>
  <c r="HA97" i="8"/>
  <c r="GR97" i="8"/>
  <c r="GI97" i="8"/>
  <c r="FZ97" i="8"/>
  <c r="FQ97" i="8"/>
  <c r="FH97" i="8"/>
  <c r="EX97" i="8"/>
  <c r="EO97" i="8"/>
  <c r="HP96" i="8"/>
  <c r="HG96" i="8"/>
  <c r="GX96" i="8"/>
  <c r="GE96" i="8"/>
  <c r="FM96" i="8"/>
  <c r="FD96" i="8"/>
  <c r="EL96" i="8"/>
  <c r="HT95" i="8"/>
  <c r="HB95" i="8"/>
  <c r="GJ95" i="8"/>
  <c r="FR95" i="8"/>
  <c r="EY95" i="8"/>
  <c r="HG94" i="8"/>
  <c r="GN94" i="8"/>
  <c r="FV94" i="8"/>
  <c r="FD94" i="8"/>
  <c r="EK94" i="8"/>
  <c r="GJ102" i="8"/>
  <c r="HU101" i="8"/>
  <c r="GD101" i="8"/>
  <c r="EN101" i="8"/>
  <c r="HO100" i="8"/>
  <c r="FY100" i="8"/>
  <c r="EW100" i="8"/>
  <c r="HJ99" i="8"/>
  <c r="FS99" i="8"/>
  <c r="GZ98" i="8"/>
  <c r="FP98" i="8"/>
  <c r="HI97" i="8"/>
  <c r="FP97" i="8"/>
  <c r="EN97" i="8"/>
  <c r="HX96" i="8"/>
  <c r="HF96" i="8"/>
  <c r="GD96" i="8"/>
  <c r="FC96" i="8"/>
  <c r="EK96" i="8"/>
  <c r="HS95" i="8"/>
  <c r="GR95" i="8"/>
  <c r="FP95" i="8"/>
  <c r="EX95" i="8"/>
  <c r="HX94" i="8"/>
  <c r="HE94" i="8"/>
  <c r="GD94" i="8"/>
  <c r="FC94" i="8"/>
  <c r="FB113" i="8"/>
  <c r="HQ112" i="8"/>
  <c r="GA112" i="8"/>
  <c r="EM112" i="8"/>
  <c r="HX111" i="8"/>
  <c r="GV111" i="8"/>
  <c r="FR111" i="8"/>
  <c r="EP111" i="8"/>
  <c r="HL102" i="8"/>
  <c r="FH102" i="8"/>
  <c r="HF101" i="8"/>
  <c r="FP101" i="8"/>
  <c r="ID100" i="8"/>
  <c r="GM100" i="8"/>
  <c r="GH99" i="8"/>
  <c r="ET99" i="8"/>
  <c r="HM98" i="8"/>
  <c r="GB98" i="8"/>
  <c r="ER98" i="8"/>
  <c r="HR97" i="8"/>
  <c r="GQ97" i="8"/>
  <c r="GH97" i="8"/>
  <c r="EW97" i="8"/>
  <c r="HO96" i="8"/>
  <c r="GM96" i="8"/>
  <c r="FL96" i="8"/>
  <c r="IB95" i="8"/>
  <c r="HA95" i="8"/>
  <c r="FZ95" i="8"/>
  <c r="EO95" i="8"/>
  <c r="HO94" i="8"/>
  <c r="GM94" i="8"/>
  <c r="FL94" i="8"/>
  <c r="EJ94" i="8"/>
  <c r="EQ113" i="8"/>
  <c r="HM112" i="8"/>
  <c r="FW112" i="8"/>
  <c r="EJ112" i="8"/>
  <c r="HT111" i="8"/>
  <c r="GR111" i="8"/>
  <c r="FP111" i="8"/>
  <c r="EL111" i="8"/>
  <c r="HY102" i="8"/>
  <c r="HK102" i="8"/>
  <c r="GV102" i="8"/>
  <c r="GI102" i="8"/>
  <c r="FT102" i="8"/>
  <c r="FE102" i="8"/>
  <c r="ER102" i="8"/>
  <c r="HT101" i="8"/>
  <c r="HE101" i="8"/>
  <c r="GP101" i="8"/>
  <c r="GC101" i="8"/>
  <c r="FN101" i="8"/>
  <c r="EZ101" i="8"/>
  <c r="EL101" i="8"/>
  <c r="IA100" i="8"/>
  <c r="HN100" i="8"/>
  <c r="GY100" i="8"/>
  <c r="GK100" i="8"/>
  <c r="FW100" i="8"/>
  <c r="FI100" i="8"/>
  <c r="ET100" i="8"/>
  <c r="HV99" i="8"/>
  <c r="HH99" i="8"/>
  <c r="GT99" i="8"/>
  <c r="GE99" i="8"/>
  <c r="FR99" i="8"/>
  <c r="FD99" i="8"/>
  <c r="ER99" i="8"/>
  <c r="HX98" i="8"/>
  <c r="HK98" i="8"/>
  <c r="GY98" i="8"/>
  <c r="GM98" i="8"/>
  <c r="GA98" i="8"/>
  <c r="FO98" i="8"/>
  <c r="FC98" i="8"/>
  <c r="EQ98" i="8"/>
  <c r="HZ97" i="8"/>
  <c r="HQ97" i="8"/>
  <c r="HH97" i="8"/>
  <c r="GY97" i="8"/>
  <c r="GP97" i="8"/>
  <c r="GG97" i="8"/>
  <c r="FX97" i="8"/>
  <c r="FN97" i="8"/>
  <c r="FE97" i="8"/>
  <c r="EV97" i="8"/>
  <c r="EM97" i="8"/>
  <c r="IF96" i="8"/>
  <c r="HW96" i="8"/>
  <c r="HN96" i="8"/>
  <c r="HE96" i="8"/>
  <c r="GU96" i="8"/>
  <c r="GL96" i="8"/>
  <c r="GC96" i="8"/>
  <c r="FT96" i="8"/>
  <c r="FK96" i="8"/>
  <c r="FB96" i="8"/>
  <c r="ES96" i="8"/>
  <c r="IA95" i="8"/>
  <c r="HR95" i="8"/>
  <c r="HI95" i="8"/>
  <c r="GZ95" i="8"/>
  <c r="GQ95" i="8"/>
  <c r="GH95" i="8"/>
  <c r="FX95" i="8"/>
  <c r="FO95" i="8"/>
  <c r="FF95" i="8"/>
  <c r="EW95" i="8"/>
  <c r="EN95" i="8"/>
  <c r="IF94" i="8"/>
  <c r="HW94" i="8"/>
  <c r="HM94" i="8"/>
  <c r="HD94" i="8"/>
  <c r="GU94" i="8"/>
  <c r="GL94" i="8"/>
  <c r="GC94" i="8"/>
  <c r="FT94" i="8"/>
  <c r="FK94" i="8"/>
  <c r="FA94" i="8"/>
  <c r="ER94" i="8"/>
  <c r="HI102" i="8"/>
  <c r="GF102" i="8"/>
  <c r="FD102" i="8"/>
  <c r="IF101" i="8"/>
  <c r="HD101" i="8"/>
  <c r="FZ101" i="8"/>
  <c r="EX101" i="8"/>
  <c r="HZ100" i="8"/>
  <c r="HK100" i="8"/>
  <c r="GI100" i="8"/>
  <c r="FG100" i="8"/>
  <c r="HT99" i="8"/>
  <c r="GR99" i="8"/>
  <c r="GD99" i="8"/>
  <c r="FC99" i="8"/>
  <c r="HU98" i="8"/>
  <c r="GW98" i="8"/>
  <c r="FY98" i="8"/>
  <c r="FA98" i="8"/>
  <c r="HY97" i="8"/>
  <c r="HP97" i="8"/>
  <c r="GX97" i="8"/>
  <c r="GF97" i="8"/>
  <c r="FM97" i="8"/>
  <c r="EU97" i="8"/>
  <c r="IE96" i="8"/>
  <c r="HM96" i="8"/>
  <c r="GT96" i="8"/>
  <c r="GB96" i="8"/>
  <c r="FJ96" i="8"/>
  <c r="EQ96" i="8"/>
  <c r="HZ95" i="8"/>
  <c r="HQ95" i="8"/>
  <c r="GY95" i="8"/>
  <c r="GF95" i="8"/>
  <c r="FN95" i="8"/>
  <c r="EV95" i="8"/>
  <c r="IE94" i="8"/>
  <c r="HL94" i="8"/>
  <c r="GT94" i="8"/>
  <c r="GB94" i="8"/>
  <c r="FI94" i="8"/>
  <c r="EQ94" i="8"/>
  <c r="GI94" i="8"/>
  <c r="GO102" i="8"/>
  <c r="ES101" i="8"/>
  <c r="FF96" i="8"/>
  <c r="EN94" i="8"/>
  <c r="FH101" i="8"/>
  <c r="GG98" i="8"/>
  <c r="ID99" i="8"/>
  <c r="IA96" i="8"/>
  <c r="FO100" i="8"/>
  <c r="HO99" i="8"/>
  <c r="FT98" i="8"/>
  <c r="IE97" i="8"/>
  <c r="FJ97" i="8"/>
  <c r="HR96" i="8"/>
  <c r="EW96" i="8"/>
  <c r="HN95" i="8"/>
  <c r="ER95" i="8"/>
  <c r="GZ94" i="8"/>
  <c r="FB100" i="8"/>
  <c r="GZ99" i="8"/>
  <c r="FH98" i="8"/>
  <c r="HV97" i="8"/>
  <c r="FA97" i="8"/>
  <c r="HI96" i="8"/>
  <c r="EN96" i="8"/>
  <c r="HD95" i="8"/>
  <c r="GQ94" i="8"/>
  <c r="EM100" i="8"/>
  <c r="GM99" i="8"/>
  <c r="EV98" i="8"/>
  <c r="HM97" i="8"/>
  <c r="ER97" i="8"/>
  <c r="GZ96" i="8"/>
  <c r="GU95" i="8"/>
  <c r="GG94" i="8"/>
  <c r="FX99" i="8"/>
  <c r="EL98" i="8"/>
  <c r="HD97" i="8"/>
  <c r="GQ96" i="8"/>
  <c r="GL95" i="8"/>
  <c r="FX94" i="8"/>
  <c r="EW94" i="8"/>
  <c r="HW95" i="8"/>
  <c r="GD100" i="8"/>
  <c r="FS97" i="8"/>
  <c r="HI94" i="8"/>
  <c r="IC98" i="8"/>
  <c r="HU100" i="8"/>
  <c r="FJ99" i="8"/>
  <c r="HQ98" i="8"/>
  <c r="GT97" i="8"/>
  <c r="GH96" i="8"/>
  <c r="GC95" i="8"/>
  <c r="FO94" i="8"/>
  <c r="FU101" i="8"/>
  <c r="HF100" i="8"/>
  <c r="EX99" i="8"/>
  <c r="HE98" i="8"/>
  <c r="GK97" i="8"/>
  <c r="FY96" i="8"/>
  <c r="FT95" i="8"/>
  <c r="IA94" i="8"/>
  <c r="FF94" i="8"/>
  <c r="GS100" i="8"/>
  <c r="EL99" i="8"/>
  <c r="GS98" i="8"/>
  <c r="GB97" i="8"/>
  <c r="FO96" i="8"/>
  <c r="IF95" i="8"/>
  <c r="FK95" i="8"/>
  <c r="HR94" i="8"/>
  <c r="FB95" i="8"/>
  <c r="HZ52" i="8"/>
  <c r="HR52" i="8"/>
  <c r="HJ52" i="8"/>
  <c r="HB52" i="8"/>
  <c r="GT52" i="8"/>
  <c r="GL52" i="8"/>
  <c r="GD52" i="8"/>
  <c r="FV52" i="8"/>
  <c r="FN52" i="8"/>
  <c r="FF52" i="8"/>
  <c r="EX52" i="8"/>
  <c r="EP52" i="8"/>
  <c r="HZ51" i="8"/>
  <c r="HR51" i="8"/>
  <c r="HJ51" i="8"/>
  <c r="HB51" i="8"/>
  <c r="GT51" i="8"/>
  <c r="GL51" i="8"/>
  <c r="GD51" i="8"/>
  <c r="FV51" i="8"/>
  <c r="FN51" i="8"/>
  <c r="FF51" i="8"/>
  <c r="EX51" i="8"/>
  <c r="EP51" i="8"/>
  <c r="HZ50" i="8"/>
  <c r="HR50" i="8"/>
  <c r="HJ50" i="8"/>
  <c r="HB50" i="8"/>
  <c r="GT50" i="8"/>
  <c r="GL50" i="8"/>
  <c r="GD50" i="8"/>
  <c r="FV50" i="8"/>
  <c r="FN50" i="8"/>
  <c r="FF50" i="8"/>
  <c r="EP50" i="8"/>
  <c r="HZ49" i="8"/>
  <c r="HR49" i="8"/>
  <c r="HJ49" i="8"/>
  <c r="HB49" i="8"/>
  <c r="GT49" i="8"/>
  <c r="GL49" i="8"/>
  <c r="GD49" i="8"/>
  <c r="FV49" i="8"/>
  <c r="FN49" i="8"/>
  <c r="EX49" i="8"/>
  <c r="EP49" i="8"/>
  <c r="HR48" i="8"/>
  <c r="HB48" i="8"/>
  <c r="GL48" i="8"/>
  <c r="FV48" i="8"/>
  <c r="FF48" i="8"/>
  <c r="EP48" i="8"/>
  <c r="HZ47" i="8"/>
  <c r="HJ47" i="8"/>
  <c r="GT47" i="8"/>
  <c r="GD47" i="8"/>
  <c r="FN47" i="8"/>
  <c r="EX47" i="8"/>
  <c r="HR46" i="8"/>
  <c r="HB46" i="8"/>
  <c r="GL46" i="8"/>
  <c r="FV46" i="8"/>
  <c r="FF46" i="8"/>
  <c r="EP46" i="8"/>
  <c r="HZ45" i="8"/>
  <c r="HJ45" i="8"/>
  <c r="GT45" i="8"/>
  <c r="GD45" i="8"/>
  <c r="FN45" i="8"/>
  <c r="EP45" i="8"/>
  <c r="GJ49" i="8"/>
  <c r="EV48" i="8"/>
  <c r="GJ47" i="8"/>
  <c r="FD47" i="8"/>
  <c r="HX46" i="8"/>
  <c r="GR46" i="8"/>
  <c r="FL46" i="8"/>
  <c r="EV46" i="8"/>
  <c r="HP45" i="8"/>
  <c r="GJ45" i="8"/>
  <c r="FD45" i="8"/>
  <c r="HY52" i="8"/>
  <c r="HQ52" i="8"/>
  <c r="HI52" i="8"/>
  <c r="HA52" i="8"/>
  <c r="GS52" i="8"/>
  <c r="GK52" i="8"/>
  <c r="GC52" i="8"/>
  <c r="FU52" i="8"/>
  <c r="FM52" i="8"/>
  <c r="FE52" i="8"/>
  <c r="EW52" i="8"/>
  <c r="EO52" i="8"/>
  <c r="HY51" i="8"/>
  <c r="HQ51" i="8"/>
  <c r="HI51" i="8"/>
  <c r="HA51" i="8"/>
  <c r="GS51" i="8"/>
  <c r="GK51" i="8"/>
  <c r="GC51" i="8"/>
  <c r="FU51" i="8"/>
  <c r="FM51" i="8"/>
  <c r="FE51" i="8"/>
  <c r="EW51" i="8"/>
  <c r="EO51" i="8"/>
  <c r="HY50" i="8"/>
  <c r="HQ50" i="8"/>
  <c r="HI50" i="8"/>
  <c r="HA50" i="8"/>
  <c r="GS50" i="8"/>
  <c r="GK50" i="8"/>
  <c r="GC50" i="8"/>
  <c r="FU50" i="8"/>
  <c r="FM50" i="8"/>
  <c r="FE50" i="8"/>
  <c r="EW50" i="8"/>
  <c r="EO50" i="8"/>
  <c r="HY49" i="8"/>
  <c r="HQ49" i="8"/>
  <c r="HI49" i="8"/>
  <c r="HA49" i="8"/>
  <c r="GS49" i="8"/>
  <c r="GK49" i="8"/>
  <c r="GC49" i="8"/>
  <c r="FU49" i="8"/>
  <c r="FM49" i="8"/>
  <c r="FE49" i="8"/>
  <c r="EW49" i="8"/>
  <c r="EO49" i="8"/>
  <c r="HY48" i="8"/>
  <c r="HQ48" i="8"/>
  <c r="HI48" i="8"/>
  <c r="HA48" i="8"/>
  <c r="GS48" i="8"/>
  <c r="GK48" i="8"/>
  <c r="GC48" i="8"/>
  <c r="FU48" i="8"/>
  <c r="FM48" i="8"/>
  <c r="FE48" i="8"/>
  <c r="EW48" i="8"/>
  <c r="EO48" i="8"/>
  <c r="HY47" i="8"/>
  <c r="HQ47" i="8"/>
  <c r="HI47" i="8"/>
  <c r="HA47" i="8"/>
  <c r="GS47" i="8"/>
  <c r="GK47" i="8"/>
  <c r="GC47" i="8"/>
  <c r="FU47" i="8"/>
  <c r="FM47" i="8"/>
  <c r="FE47" i="8"/>
  <c r="EW47" i="8"/>
  <c r="EO47" i="8"/>
  <c r="HY46" i="8"/>
  <c r="HQ46" i="8"/>
  <c r="HI46" i="8"/>
  <c r="HA46" i="8"/>
  <c r="GS46" i="8"/>
  <c r="GK46" i="8"/>
  <c r="GC46" i="8"/>
  <c r="FU46" i="8"/>
  <c r="FM46" i="8"/>
  <c r="FE46" i="8"/>
  <c r="EW46" i="8"/>
  <c r="EO46" i="8"/>
  <c r="HY45" i="8"/>
  <c r="HQ45" i="8"/>
  <c r="HI45" i="8"/>
  <c r="HA45" i="8"/>
  <c r="GS45" i="8"/>
  <c r="GK45" i="8"/>
  <c r="GC45" i="8"/>
  <c r="FU45" i="8"/>
  <c r="FM45" i="8"/>
  <c r="FE45" i="8"/>
  <c r="EW45" i="8"/>
  <c r="EO45" i="8"/>
  <c r="EJ49" i="8"/>
  <c r="FL52" i="8"/>
  <c r="EN52" i="8"/>
  <c r="HX51" i="8"/>
  <c r="HH51" i="8"/>
  <c r="GZ51" i="8"/>
  <c r="GJ51" i="8"/>
  <c r="FT51" i="8"/>
  <c r="FD51" i="8"/>
  <c r="EN51" i="8"/>
  <c r="HX50" i="8"/>
  <c r="HH50" i="8"/>
  <c r="GZ50" i="8"/>
  <c r="GJ50" i="8"/>
  <c r="FT50" i="8"/>
  <c r="FD50" i="8"/>
  <c r="EN50" i="8"/>
  <c r="HX49" i="8"/>
  <c r="HH49" i="8"/>
  <c r="GR49" i="8"/>
  <c r="FL49" i="8"/>
  <c r="EV49" i="8"/>
  <c r="IF48" i="8"/>
  <c r="HP48" i="8"/>
  <c r="GZ48" i="8"/>
  <c r="GJ48" i="8"/>
  <c r="FT48" i="8"/>
  <c r="EN48" i="8"/>
  <c r="HP47" i="8"/>
  <c r="GR47" i="8"/>
  <c r="FL47" i="8"/>
  <c r="IF46" i="8"/>
  <c r="GZ46" i="8"/>
  <c r="FT46" i="8"/>
  <c r="EN46" i="8"/>
  <c r="HH45" i="8"/>
  <c r="GB45" i="8"/>
  <c r="EV45" i="8"/>
  <c r="IF52" i="8"/>
  <c r="HX52" i="8"/>
  <c r="HP52" i="8"/>
  <c r="HH52" i="8"/>
  <c r="GZ52" i="8"/>
  <c r="GR52" i="8"/>
  <c r="GJ52" i="8"/>
  <c r="GB52" i="8"/>
  <c r="FT52" i="8"/>
  <c r="FD52" i="8"/>
  <c r="EV52" i="8"/>
  <c r="IF51" i="8"/>
  <c r="HP51" i="8"/>
  <c r="GR51" i="8"/>
  <c r="GB51" i="8"/>
  <c r="FL51" i="8"/>
  <c r="EV51" i="8"/>
  <c r="IF50" i="8"/>
  <c r="HP50" i="8"/>
  <c r="GR50" i="8"/>
  <c r="GB50" i="8"/>
  <c r="FL50" i="8"/>
  <c r="EV50" i="8"/>
  <c r="IF49" i="8"/>
  <c r="HP49" i="8"/>
  <c r="GZ49" i="8"/>
  <c r="GB49" i="8"/>
  <c r="FD49" i="8"/>
  <c r="EN49" i="8"/>
  <c r="HX48" i="8"/>
  <c r="HH48" i="8"/>
  <c r="GR48" i="8"/>
  <c r="GB48" i="8"/>
  <c r="FD48" i="8"/>
  <c r="IF47" i="8"/>
  <c r="HH47" i="8"/>
  <c r="GB47" i="8"/>
  <c r="EN47" i="8"/>
  <c r="HH46" i="8"/>
  <c r="GB46" i="8"/>
  <c r="IF45" i="8"/>
  <c r="GR45" i="8"/>
  <c r="FL45" i="8"/>
  <c r="EJ48" i="8"/>
  <c r="IE52" i="8"/>
  <c r="HW52" i="8"/>
  <c r="HO52" i="8"/>
  <c r="HG52" i="8"/>
  <c r="GY52" i="8"/>
  <c r="GQ52" i="8"/>
  <c r="GI52" i="8"/>
  <c r="GA52" i="8"/>
  <c r="FS52" i="8"/>
  <c r="FK52" i="8"/>
  <c r="FC52" i="8"/>
  <c r="EU52" i="8"/>
  <c r="EM52" i="8"/>
  <c r="IE51" i="8"/>
  <c r="HW51" i="8"/>
  <c r="HO51" i="8"/>
  <c r="HG51" i="8"/>
  <c r="GY51" i="8"/>
  <c r="GQ51" i="8"/>
  <c r="GI51" i="8"/>
  <c r="GA51" i="8"/>
  <c r="FS51" i="8"/>
  <c r="FK51" i="8"/>
  <c r="FC51" i="8"/>
  <c r="EU51" i="8"/>
  <c r="EM51" i="8"/>
  <c r="IE50" i="8"/>
  <c r="HW50" i="8"/>
  <c r="HO50" i="8"/>
  <c r="HG50" i="8"/>
  <c r="GY50" i="8"/>
  <c r="GQ50" i="8"/>
  <c r="GI50" i="8"/>
  <c r="GA50" i="8"/>
  <c r="FS50" i="8"/>
  <c r="FK50" i="8"/>
  <c r="FC50" i="8"/>
  <c r="EU50" i="8"/>
  <c r="EM50" i="8"/>
  <c r="IE49" i="8"/>
  <c r="HW49" i="8"/>
  <c r="HO49" i="8"/>
  <c r="HG49" i="8"/>
  <c r="GY49" i="8"/>
  <c r="GQ49" i="8"/>
  <c r="GI49" i="8"/>
  <c r="GA49" i="8"/>
  <c r="FS49" i="8"/>
  <c r="FK49" i="8"/>
  <c r="FC49" i="8"/>
  <c r="EU49" i="8"/>
  <c r="EM49" i="8"/>
  <c r="IE48" i="8"/>
  <c r="HW48" i="8"/>
  <c r="HO48" i="8"/>
  <c r="HG48" i="8"/>
  <c r="GY48" i="8"/>
  <c r="GQ48" i="8"/>
  <c r="GI48" i="8"/>
  <c r="GA48" i="8"/>
  <c r="FS48" i="8"/>
  <c r="FK48" i="8"/>
  <c r="FC48" i="8"/>
  <c r="EU48" i="8"/>
  <c r="EM48" i="8"/>
  <c r="IE47" i="8"/>
  <c r="HW47" i="8"/>
  <c r="HO47" i="8"/>
  <c r="HG47" i="8"/>
  <c r="GY47" i="8"/>
  <c r="GQ47" i="8"/>
  <c r="GI47" i="8"/>
  <c r="GA47" i="8"/>
  <c r="FS47" i="8"/>
  <c r="FK47" i="8"/>
  <c r="FC47" i="8"/>
  <c r="EU47" i="8"/>
  <c r="EM47" i="8"/>
  <c r="IE46" i="8"/>
  <c r="HW46" i="8"/>
  <c r="HO46" i="8"/>
  <c r="HG46" i="8"/>
  <c r="GY46" i="8"/>
  <c r="GQ46" i="8"/>
  <c r="GI46" i="8"/>
  <c r="GA46" i="8"/>
  <c r="FS46" i="8"/>
  <c r="FK46" i="8"/>
  <c r="FC46" i="8"/>
  <c r="EU46" i="8"/>
  <c r="EM46" i="8"/>
  <c r="IE45" i="8"/>
  <c r="HW45" i="8"/>
  <c r="HO45" i="8"/>
  <c r="HG45" i="8"/>
  <c r="GY45" i="8"/>
  <c r="GQ45" i="8"/>
  <c r="GI45" i="8"/>
  <c r="GA45" i="8"/>
  <c r="FS45" i="8"/>
  <c r="FK45" i="8"/>
  <c r="FC45" i="8"/>
  <c r="EU45" i="8"/>
  <c r="EM45" i="8"/>
  <c r="EJ47" i="8"/>
  <c r="ET50" i="8"/>
  <c r="FB49" i="8"/>
  <c r="ID48" i="8"/>
  <c r="HN48" i="8"/>
  <c r="GX48" i="8"/>
  <c r="GH48" i="8"/>
  <c r="FR48" i="8"/>
  <c r="FB48" i="8"/>
  <c r="EL48" i="8"/>
  <c r="HV47" i="8"/>
  <c r="HF47" i="8"/>
  <c r="GP47" i="8"/>
  <c r="FZ47" i="8"/>
  <c r="FJ47" i="8"/>
  <c r="ET47" i="8"/>
  <c r="ID46" i="8"/>
  <c r="HN46" i="8"/>
  <c r="GX46" i="8"/>
  <c r="GH46" i="8"/>
  <c r="FR46" i="8"/>
  <c r="FB46" i="8"/>
  <c r="EL46" i="8"/>
  <c r="HV45" i="8"/>
  <c r="HF45" i="8"/>
  <c r="GP45" i="8"/>
  <c r="FZ45" i="8"/>
  <c r="FJ45" i="8"/>
  <c r="FB45" i="8"/>
  <c r="EL45" i="8"/>
  <c r="FP49" i="8"/>
  <c r="EZ48" i="8"/>
  <c r="HL47" i="8"/>
  <c r="GF47" i="8"/>
  <c r="EZ47" i="8"/>
  <c r="HT46" i="8"/>
  <c r="GN46" i="8"/>
  <c r="FH46" i="8"/>
  <c r="IB45" i="8"/>
  <c r="HD45" i="8"/>
  <c r="FX45" i="8"/>
  <c r="EJ52" i="8"/>
  <c r="ID52" i="8"/>
  <c r="HV52" i="8"/>
  <c r="HN52" i="8"/>
  <c r="HF52" i="8"/>
  <c r="GX52" i="8"/>
  <c r="GP52" i="8"/>
  <c r="GH52" i="8"/>
  <c r="FZ52" i="8"/>
  <c r="FR52" i="8"/>
  <c r="FJ52" i="8"/>
  <c r="FB52" i="8"/>
  <c r="ET52" i="8"/>
  <c r="EL52" i="8"/>
  <c r="ID51" i="8"/>
  <c r="HV51" i="8"/>
  <c r="HN51" i="8"/>
  <c r="HF51" i="8"/>
  <c r="GX51" i="8"/>
  <c r="GP51" i="8"/>
  <c r="GH51" i="8"/>
  <c r="FZ51" i="8"/>
  <c r="FR51" i="8"/>
  <c r="FJ51" i="8"/>
  <c r="FB51" i="8"/>
  <c r="ET51" i="8"/>
  <c r="EL51" i="8"/>
  <c r="ID50" i="8"/>
  <c r="HV50" i="8"/>
  <c r="HN50" i="8"/>
  <c r="HF50" i="8"/>
  <c r="GX50" i="8"/>
  <c r="GP50" i="8"/>
  <c r="GH50" i="8"/>
  <c r="FZ50" i="8"/>
  <c r="FR50" i="8"/>
  <c r="FJ50" i="8"/>
  <c r="FB50" i="8"/>
  <c r="EL50" i="8"/>
  <c r="ID49" i="8"/>
  <c r="HV49" i="8"/>
  <c r="HN49" i="8"/>
  <c r="HF49" i="8"/>
  <c r="GX49" i="8"/>
  <c r="GP49" i="8"/>
  <c r="GH49" i="8"/>
  <c r="FZ49" i="8"/>
  <c r="FR49" i="8"/>
  <c r="FJ49" i="8"/>
  <c r="ET49" i="8"/>
  <c r="EL49" i="8"/>
  <c r="HV48" i="8"/>
  <c r="HF48" i="8"/>
  <c r="GP48" i="8"/>
  <c r="FZ48" i="8"/>
  <c r="FJ48" i="8"/>
  <c r="ET48" i="8"/>
  <c r="ID47" i="8"/>
  <c r="HN47" i="8"/>
  <c r="GX47" i="8"/>
  <c r="GH47" i="8"/>
  <c r="FR47" i="8"/>
  <c r="FB47" i="8"/>
  <c r="EL47" i="8"/>
  <c r="HV46" i="8"/>
  <c r="HF46" i="8"/>
  <c r="GP46" i="8"/>
  <c r="FZ46" i="8"/>
  <c r="FJ46" i="8"/>
  <c r="ET46" i="8"/>
  <c r="ID45" i="8"/>
  <c r="HN45" i="8"/>
  <c r="GX45" i="8"/>
  <c r="GH45" i="8"/>
  <c r="FR45" i="8"/>
  <c r="ET45" i="8"/>
  <c r="EJ46" i="8"/>
  <c r="IB48" i="8"/>
  <c r="FH48" i="8"/>
  <c r="IB47" i="8"/>
  <c r="GV47" i="8"/>
  <c r="FX47" i="8"/>
  <c r="ER47" i="8"/>
  <c r="HL46" i="8"/>
  <c r="GF46" i="8"/>
  <c r="EZ46" i="8"/>
  <c r="HT45" i="8"/>
  <c r="GN45" i="8"/>
  <c r="FH45" i="8"/>
  <c r="IC52" i="8"/>
  <c r="HU52" i="8"/>
  <c r="HM52" i="8"/>
  <c r="HE52" i="8"/>
  <c r="GW52" i="8"/>
  <c r="GO52" i="8"/>
  <c r="GG52" i="8"/>
  <c r="FY52" i="8"/>
  <c r="FQ52" i="8"/>
  <c r="FI52" i="8"/>
  <c r="FA52" i="8"/>
  <c r="ES52" i="8"/>
  <c r="EK52" i="8"/>
  <c r="IC51" i="8"/>
  <c r="HU51" i="8"/>
  <c r="HM51" i="8"/>
  <c r="HE51" i="8"/>
  <c r="GW51" i="8"/>
  <c r="GO51" i="8"/>
  <c r="GG51" i="8"/>
  <c r="FY51" i="8"/>
  <c r="FQ51" i="8"/>
  <c r="FI51" i="8"/>
  <c r="FA51" i="8"/>
  <c r="ES51" i="8"/>
  <c r="EK51" i="8"/>
  <c r="IC50" i="8"/>
  <c r="HU50" i="8"/>
  <c r="HM50" i="8"/>
  <c r="HE50" i="8"/>
  <c r="GW50" i="8"/>
  <c r="GO50" i="8"/>
  <c r="GG50" i="8"/>
  <c r="FY50" i="8"/>
  <c r="FQ50" i="8"/>
  <c r="FI50" i="8"/>
  <c r="FA50" i="8"/>
  <c r="ES50" i="8"/>
  <c r="EK50" i="8"/>
  <c r="IC49" i="8"/>
  <c r="HU49" i="8"/>
  <c r="HM49" i="8"/>
  <c r="HE49" i="8"/>
  <c r="GW49" i="8"/>
  <c r="GO49" i="8"/>
  <c r="GG49" i="8"/>
  <c r="FY49" i="8"/>
  <c r="FQ49" i="8"/>
  <c r="FI49" i="8"/>
  <c r="FA49" i="8"/>
  <c r="ES49" i="8"/>
  <c r="EK49" i="8"/>
  <c r="IC48" i="8"/>
  <c r="HU48" i="8"/>
  <c r="HM48" i="8"/>
  <c r="HE48" i="8"/>
  <c r="GW48" i="8"/>
  <c r="GO48" i="8"/>
  <c r="GG48" i="8"/>
  <c r="FY48" i="8"/>
  <c r="FQ48" i="8"/>
  <c r="FI48" i="8"/>
  <c r="FA48" i="8"/>
  <c r="ES48" i="8"/>
  <c r="EK48" i="8"/>
  <c r="IC47" i="8"/>
  <c r="HU47" i="8"/>
  <c r="HM47" i="8"/>
  <c r="HE47" i="8"/>
  <c r="GW47" i="8"/>
  <c r="GO47" i="8"/>
  <c r="GG47" i="8"/>
  <c r="FY47" i="8"/>
  <c r="FQ47" i="8"/>
  <c r="FI47" i="8"/>
  <c r="FA47" i="8"/>
  <c r="ES47" i="8"/>
  <c r="EK47" i="8"/>
  <c r="IC46" i="8"/>
  <c r="HU46" i="8"/>
  <c r="HM46" i="8"/>
  <c r="HE46" i="8"/>
  <c r="GW46" i="8"/>
  <c r="GO46" i="8"/>
  <c r="GG46" i="8"/>
  <c r="FY46" i="8"/>
  <c r="FQ46" i="8"/>
  <c r="FI46" i="8"/>
  <c r="FA46" i="8"/>
  <c r="ES46" i="8"/>
  <c r="EK46" i="8"/>
  <c r="IC45" i="8"/>
  <c r="HU45" i="8"/>
  <c r="HM45" i="8"/>
  <c r="HE45" i="8"/>
  <c r="GW45" i="8"/>
  <c r="GO45" i="8"/>
  <c r="GG45" i="8"/>
  <c r="FY45" i="8"/>
  <c r="FQ45" i="8"/>
  <c r="FI45" i="8"/>
  <c r="FA45" i="8"/>
  <c r="ES45" i="8"/>
  <c r="EK45" i="8"/>
  <c r="EJ45" i="8"/>
  <c r="HL52" i="8"/>
  <c r="ER52" i="8"/>
  <c r="IB51" i="8"/>
  <c r="HL51" i="8"/>
  <c r="GV51" i="8"/>
  <c r="GN51" i="8"/>
  <c r="FX51" i="8"/>
  <c r="FP51" i="8"/>
  <c r="EZ51" i="8"/>
  <c r="HT50" i="8"/>
  <c r="GV50" i="8"/>
  <c r="GF50" i="8"/>
  <c r="FP50" i="8"/>
  <c r="EZ50" i="8"/>
  <c r="HT49" i="8"/>
  <c r="HD49" i="8"/>
  <c r="GV49" i="8"/>
  <c r="GF49" i="8"/>
  <c r="FH49" i="8"/>
  <c r="ER49" i="8"/>
  <c r="HT48" i="8"/>
  <c r="HD48" i="8"/>
  <c r="GN48" i="8"/>
  <c r="FX48" i="8"/>
  <c r="ER48" i="8"/>
  <c r="HT47" i="8"/>
  <c r="GN47" i="8"/>
  <c r="FH47" i="8"/>
  <c r="IB46" i="8"/>
  <c r="GV46" i="8"/>
  <c r="FP46" i="8"/>
  <c r="GV45" i="8"/>
  <c r="FP45" i="8"/>
  <c r="ER45" i="8"/>
  <c r="IB52" i="8"/>
  <c r="HT52" i="8"/>
  <c r="HD52" i="8"/>
  <c r="GV52" i="8"/>
  <c r="GN52" i="8"/>
  <c r="GF52" i="8"/>
  <c r="FX52" i="8"/>
  <c r="FP52" i="8"/>
  <c r="FH52" i="8"/>
  <c r="EZ52" i="8"/>
  <c r="HT51" i="8"/>
  <c r="HD51" i="8"/>
  <c r="GF51" i="8"/>
  <c r="FH51" i="8"/>
  <c r="ER51" i="8"/>
  <c r="IB50" i="8"/>
  <c r="HL50" i="8"/>
  <c r="HD50" i="8"/>
  <c r="GN50" i="8"/>
  <c r="FX50" i="8"/>
  <c r="FH50" i="8"/>
  <c r="ER50" i="8"/>
  <c r="IB49" i="8"/>
  <c r="HL49" i="8"/>
  <c r="GN49" i="8"/>
  <c r="FX49" i="8"/>
  <c r="EZ49" i="8"/>
  <c r="HL48" i="8"/>
  <c r="GV48" i="8"/>
  <c r="GF48" i="8"/>
  <c r="FP48" i="8"/>
  <c r="HD47" i="8"/>
  <c r="FP47" i="8"/>
  <c r="HD46" i="8"/>
  <c r="FX46" i="8"/>
  <c r="ER46" i="8"/>
  <c r="HL45" i="8"/>
  <c r="GF45" i="8"/>
  <c r="EZ45" i="8"/>
  <c r="IA52" i="8"/>
  <c r="HS52" i="8"/>
  <c r="HK52" i="8"/>
  <c r="HC52" i="8"/>
  <c r="GU52" i="8"/>
  <c r="GM52" i="8"/>
  <c r="GE52" i="8"/>
  <c r="FW52" i="8"/>
  <c r="FO52" i="8"/>
  <c r="FG52" i="8"/>
  <c r="EY52" i="8"/>
  <c r="EQ52" i="8"/>
  <c r="IA51" i="8"/>
  <c r="HS51" i="8"/>
  <c r="HK51" i="8"/>
  <c r="HC51" i="8"/>
  <c r="GU51" i="8"/>
  <c r="GM51" i="8"/>
  <c r="GE51" i="8"/>
  <c r="FW51" i="8"/>
  <c r="FO51" i="8"/>
  <c r="FG51" i="8"/>
  <c r="EY51" i="8"/>
  <c r="EQ51" i="8"/>
  <c r="IA50" i="8"/>
  <c r="HS50" i="8"/>
  <c r="HK50" i="8"/>
  <c r="HC50" i="8"/>
  <c r="GU50" i="8"/>
  <c r="GM50" i="8"/>
  <c r="GE50" i="8"/>
  <c r="FW50" i="8"/>
  <c r="FO50" i="8"/>
  <c r="FG50" i="8"/>
  <c r="EY50" i="8"/>
  <c r="EQ50" i="8"/>
  <c r="IA49" i="8"/>
  <c r="HS49" i="8"/>
  <c r="HK49" i="8"/>
  <c r="HC49" i="8"/>
  <c r="GU49" i="8"/>
  <c r="GM49" i="8"/>
  <c r="GE49" i="8"/>
  <c r="FW49" i="8"/>
  <c r="FO49" i="8"/>
  <c r="FG49" i="8"/>
  <c r="EY49" i="8"/>
  <c r="EQ49" i="8"/>
  <c r="IA48" i="8"/>
  <c r="HS48" i="8"/>
  <c r="HK48" i="8"/>
  <c r="HC48" i="8"/>
  <c r="GU48" i="8"/>
  <c r="GM48" i="8"/>
  <c r="GE48" i="8"/>
  <c r="FW48" i="8"/>
  <c r="FO48" i="8"/>
  <c r="FG48" i="8"/>
  <c r="EY48" i="8"/>
  <c r="EQ48" i="8"/>
  <c r="IA47" i="8"/>
  <c r="HS47" i="8"/>
  <c r="HK47" i="8"/>
  <c r="HC47" i="8"/>
  <c r="GU47" i="8"/>
  <c r="GM47" i="8"/>
  <c r="GE47" i="8"/>
  <c r="FW47" i="8"/>
  <c r="FO47" i="8"/>
  <c r="FG47" i="8"/>
  <c r="EY47" i="8"/>
  <c r="EQ47" i="8"/>
  <c r="IA46" i="8"/>
  <c r="HS46" i="8"/>
  <c r="HK46" i="8"/>
  <c r="HC46" i="8"/>
  <c r="GU46" i="8"/>
  <c r="GM46" i="8"/>
  <c r="GE46" i="8"/>
  <c r="FW46" i="8"/>
  <c r="FO46" i="8"/>
  <c r="FG46" i="8"/>
  <c r="EY46" i="8"/>
  <c r="EQ46" i="8"/>
  <c r="IA45" i="8"/>
  <c r="HS45" i="8"/>
  <c r="HK45" i="8"/>
  <c r="HC45" i="8"/>
  <c r="GU45" i="8"/>
  <c r="GM45" i="8"/>
  <c r="GE45" i="8"/>
  <c r="FW45" i="8"/>
  <c r="FO45" i="8"/>
  <c r="FG45" i="8"/>
  <c r="EY45" i="8"/>
  <c r="EQ45" i="8"/>
  <c r="EJ51" i="8"/>
  <c r="EX50" i="8"/>
  <c r="FF49" i="8"/>
  <c r="HZ48" i="8"/>
  <c r="HJ48" i="8"/>
  <c r="GT48" i="8"/>
  <c r="GD48" i="8"/>
  <c r="FN48" i="8"/>
  <c r="EX48" i="8"/>
  <c r="HR47" i="8"/>
  <c r="HB47" i="8"/>
  <c r="GL47" i="8"/>
  <c r="FV47" i="8"/>
  <c r="FF47" i="8"/>
  <c r="EP47" i="8"/>
  <c r="HZ46" i="8"/>
  <c r="HJ46" i="8"/>
  <c r="GT46" i="8"/>
  <c r="GD46" i="8"/>
  <c r="FN46" i="8"/>
  <c r="EX46" i="8"/>
  <c r="HR45" i="8"/>
  <c r="HB45" i="8"/>
  <c r="GL45" i="8"/>
  <c r="FV45" i="8"/>
  <c r="FF45" i="8"/>
  <c r="EX45" i="8"/>
  <c r="EJ50" i="8"/>
  <c r="FT49" i="8"/>
  <c r="FL48" i="8"/>
  <c r="HX47" i="8"/>
  <c r="GZ47" i="8"/>
  <c r="FT47" i="8"/>
  <c r="EV47" i="8"/>
  <c r="HP46" i="8"/>
  <c r="GJ46" i="8"/>
  <c r="FD46" i="8"/>
  <c r="HX45" i="8"/>
  <c r="GZ45" i="8"/>
  <c r="FT45" i="8"/>
  <c r="EN45" i="8"/>
  <c r="EJ32" i="8"/>
  <c r="EJ15" i="8"/>
  <c r="EJ87" i="8"/>
  <c r="EJ31" i="8"/>
  <c r="EJ14" i="8"/>
  <c r="EJ86" i="8"/>
  <c r="EJ30" i="8"/>
  <c r="EJ13" i="8"/>
  <c r="EJ29" i="8"/>
  <c r="EJ28" i="8"/>
  <c r="EJ27" i="8"/>
  <c r="EJ26" i="8"/>
  <c r="EJ17" i="8"/>
  <c r="EJ33" i="8"/>
  <c r="EJ16" i="8"/>
  <c r="IE87" i="8"/>
  <c r="IE31" i="8"/>
  <c r="IE27" i="8"/>
  <c r="IE14" i="8"/>
  <c r="HY87" i="8"/>
  <c r="HQ87" i="8"/>
  <c r="HI87" i="8"/>
  <c r="HA87" i="8"/>
  <c r="GS87" i="8"/>
  <c r="GK87" i="8"/>
  <c r="IB86" i="8"/>
  <c r="HT86" i="8"/>
  <c r="HL86" i="8"/>
  <c r="HD86" i="8"/>
  <c r="GV86" i="8"/>
  <c r="GN86" i="8"/>
  <c r="GF86" i="8"/>
  <c r="IA33" i="8"/>
  <c r="HS33" i="8"/>
  <c r="HK33" i="8"/>
  <c r="HC33" i="8"/>
  <c r="GU33" i="8"/>
  <c r="GM33" i="8"/>
  <c r="ID32" i="8"/>
  <c r="HV32" i="8"/>
  <c r="HN32" i="8"/>
  <c r="HF32" i="8"/>
  <c r="GX32" i="8"/>
  <c r="GP32" i="8"/>
  <c r="GH32" i="8"/>
  <c r="HY31" i="8"/>
  <c r="HQ31" i="8"/>
  <c r="HI31" i="8"/>
  <c r="HA31" i="8"/>
  <c r="GS31" i="8"/>
  <c r="GK31" i="8"/>
  <c r="IB30" i="8"/>
  <c r="HT30" i="8"/>
  <c r="HL30" i="8"/>
  <c r="HD30" i="8"/>
  <c r="GV30" i="8"/>
  <c r="GN30" i="8"/>
  <c r="GF30" i="8"/>
  <c r="HW29" i="8"/>
  <c r="HO29" i="8"/>
  <c r="HG29" i="8"/>
  <c r="GY29" i="8"/>
  <c r="GQ29" i="8"/>
  <c r="GI29" i="8"/>
  <c r="HZ28" i="8"/>
  <c r="HR28" i="8"/>
  <c r="HJ28" i="8"/>
  <c r="HB28" i="8"/>
  <c r="GT28" i="8"/>
  <c r="GL28" i="8"/>
  <c r="IC27" i="8"/>
  <c r="HU27" i="8"/>
  <c r="HM27" i="8"/>
  <c r="HE27" i="8"/>
  <c r="GW27" i="8"/>
  <c r="GO27" i="8"/>
  <c r="GG27" i="8"/>
  <c r="HX26" i="8"/>
  <c r="HP26" i="8"/>
  <c r="HH26" i="8"/>
  <c r="GZ26" i="8"/>
  <c r="GR26" i="8"/>
  <c r="GJ26" i="8"/>
  <c r="HX17" i="8"/>
  <c r="HP17" i="8"/>
  <c r="HH17" i="8"/>
  <c r="GZ17" i="8"/>
  <c r="GR17" i="8"/>
  <c r="GJ17" i="8"/>
  <c r="IA16" i="8"/>
  <c r="HS16" i="8"/>
  <c r="HK16" i="8"/>
  <c r="HC16" i="8"/>
  <c r="GU16" i="8"/>
  <c r="GM16" i="8"/>
  <c r="ID15" i="8"/>
  <c r="HV15" i="8"/>
  <c r="HN15" i="8"/>
  <c r="HF15" i="8"/>
  <c r="GX15" i="8"/>
  <c r="GP15" i="8"/>
  <c r="GH15" i="8"/>
  <c r="IF86" i="8"/>
  <c r="IF30" i="8"/>
  <c r="IF26" i="8"/>
  <c r="IF17" i="8"/>
  <c r="IF13" i="8"/>
  <c r="HX87" i="8"/>
  <c r="HP87" i="8"/>
  <c r="HH87" i="8"/>
  <c r="GZ87" i="8"/>
  <c r="GR87" i="8"/>
  <c r="GJ87" i="8"/>
  <c r="IA86" i="8"/>
  <c r="HS86" i="8"/>
  <c r="HK86" i="8"/>
  <c r="HC86" i="8"/>
  <c r="GU86" i="8"/>
  <c r="GM86" i="8"/>
  <c r="HZ33" i="8"/>
  <c r="HR33" i="8"/>
  <c r="HJ33" i="8"/>
  <c r="HB33" i="8"/>
  <c r="GT33" i="8"/>
  <c r="GL33" i="8"/>
  <c r="IC32" i="8"/>
  <c r="HU32" i="8"/>
  <c r="HM32" i="8"/>
  <c r="HE32" i="8"/>
  <c r="GW32" i="8"/>
  <c r="GO32" i="8"/>
  <c r="GG32" i="8"/>
  <c r="HX31" i="8"/>
  <c r="HP31" i="8"/>
  <c r="HH31" i="8"/>
  <c r="GZ31" i="8"/>
  <c r="GR31" i="8"/>
  <c r="GJ31" i="8"/>
  <c r="IA30" i="8"/>
  <c r="HS30" i="8"/>
  <c r="HK30" i="8"/>
  <c r="HC30" i="8"/>
  <c r="GU30" i="8"/>
  <c r="GM30" i="8"/>
  <c r="ID29" i="8"/>
  <c r="HV29" i="8"/>
  <c r="HN29" i="8"/>
  <c r="HF29" i="8"/>
  <c r="GX29" i="8"/>
  <c r="GP29" i="8"/>
  <c r="GH29" i="8"/>
  <c r="HY28" i="8"/>
  <c r="HQ28" i="8"/>
  <c r="HI28" i="8"/>
  <c r="HA28" i="8"/>
  <c r="GS28" i="8"/>
  <c r="GK28" i="8"/>
  <c r="IB27" i="8"/>
  <c r="HT27" i="8"/>
  <c r="HL27" i="8"/>
  <c r="HD27" i="8"/>
  <c r="GV27" i="8"/>
  <c r="GN27" i="8"/>
  <c r="GF27" i="8"/>
  <c r="HW26" i="8"/>
  <c r="HO26" i="8"/>
  <c r="HG26" i="8"/>
  <c r="GY26" i="8"/>
  <c r="GQ26" i="8"/>
  <c r="GI26" i="8"/>
  <c r="HW17" i="8"/>
  <c r="HO17" i="8"/>
  <c r="HG17" i="8"/>
  <c r="GY17" i="8"/>
  <c r="GQ17" i="8"/>
  <c r="GI17" i="8"/>
  <c r="HZ16" i="8"/>
  <c r="HR16" i="8"/>
  <c r="HJ16" i="8"/>
  <c r="HB16" i="8"/>
  <c r="GT16" i="8"/>
  <c r="GL16" i="8"/>
  <c r="IC15" i="8"/>
  <c r="HU15" i="8"/>
  <c r="HM15" i="8"/>
  <c r="HE15" i="8"/>
  <c r="GW15" i="8"/>
  <c r="GO15" i="8"/>
  <c r="IE86" i="8"/>
  <c r="IE30" i="8"/>
  <c r="IE26" i="8"/>
  <c r="IE17" i="8"/>
  <c r="IE13" i="8"/>
  <c r="HW87" i="8"/>
  <c r="HO87" i="8"/>
  <c r="HG87" i="8"/>
  <c r="GY87" i="8"/>
  <c r="GQ87" i="8"/>
  <c r="GI87" i="8"/>
  <c r="HZ86" i="8"/>
  <c r="HR86" i="8"/>
  <c r="HJ86" i="8"/>
  <c r="HB86" i="8"/>
  <c r="GT86" i="8"/>
  <c r="GL86" i="8"/>
  <c r="HY33" i="8"/>
  <c r="HQ33" i="8"/>
  <c r="HI33" i="8"/>
  <c r="HA33" i="8"/>
  <c r="GS33" i="8"/>
  <c r="GK33" i="8"/>
  <c r="IB32" i="8"/>
  <c r="HT32" i="8"/>
  <c r="HL32" i="8"/>
  <c r="HD32" i="8"/>
  <c r="GV32" i="8"/>
  <c r="GN32" i="8"/>
  <c r="GF32" i="8"/>
  <c r="HW31" i="8"/>
  <c r="HO31" i="8"/>
  <c r="HG31" i="8"/>
  <c r="GY31" i="8"/>
  <c r="GQ31" i="8"/>
  <c r="GI31" i="8"/>
  <c r="HZ30" i="8"/>
  <c r="HR30" i="8"/>
  <c r="HJ30" i="8"/>
  <c r="HB30" i="8"/>
  <c r="GT30" i="8"/>
  <c r="GL30" i="8"/>
  <c r="IC29" i="8"/>
  <c r="HU29" i="8"/>
  <c r="HM29" i="8"/>
  <c r="HE29" i="8"/>
  <c r="GW29" i="8"/>
  <c r="GO29" i="8"/>
  <c r="GG29" i="8"/>
  <c r="HX28" i="8"/>
  <c r="HP28" i="8"/>
  <c r="HH28" i="8"/>
  <c r="GZ28" i="8"/>
  <c r="GR28" i="8"/>
  <c r="GJ28" i="8"/>
  <c r="IA27" i="8"/>
  <c r="HS27" i="8"/>
  <c r="HK27" i="8"/>
  <c r="HC27" i="8"/>
  <c r="GU27" i="8"/>
  <c r="GM27" i="8"/>
  <c r="ID26" i="8"/>
  <c r="HV26" i="8"/>
  <c r="HN26" i="8"/>
  <c r="HF26" i="8"/>
  <c r="GX26" i="8"/>
  <c r="GP26" i="8"/>
  <c r="GH26" i="8"/>
  <c r="ID17" i="8"/>
  <c r="HV17" i="8"/>
  <c r="HN17" i="8"/>
  <c r="HF17" i="8"/>
  <c r="GX17" i="8"/>
  <c r="GP17" i="8"/>
  <c r="GH17" i="8"/>
  <c r="HY16" i="8"/>
  <c r="HQ16" i="8"/>
  <c r="HI16" i="8"/>
  <c r="HA16" i="8"/>
  <c r="GS16" i="8"/>
  <c r="GK16" i="8"/>
  <c r="IB15" i="8"/>
  <c r="HT15" i="8"/>
  <c r="HL15" i="8"/>
  <c r="HD15" i="8"/>
  <c r="GV15" i="8"/>
  <c r="GN15" i="8"/>
  <c r="IF33" i="8"/>
  <c r="IF29" i="8"/>
  <c r="IF16" i="8"/>
  <c r="IF12" i="8"/>
  <c r="ID87" i="8"/>
  <c r="HV87" i="8"/>
  <c r="HN87" i="8"/>
  <c r="HF87" i="8"/>
  <c r="GX87" i="8"/>
  <c r="GP87" i="8"/>
  <c r="GH87" i="8"/>
  <c r="HY86" i="8"/>
  <c r="HQ86" i="8"/>
  <c r="HI86" i="8"/>
  <c r="HA86" i="8"/>
  <c r="GS86" i="8"/>
  <c r="GK86" i="8"/>
  <c r="HX33" i="8"/>
  <c r="HP33" i="8"/>
  <c r="HH33" i="8"/>
  <c r="GZ33" i="8"/>
  <c r="GR33" i="8"/>
  <c r="GJ33" i="8"/>
  <c r="IA32" i="8"/>
  <c r="HS32" i="8"/>
  <c r="HK32" i="8"/>
  <c r="HC32" i="8"/>
  <c r="GU32" i="8"/>
  <c r="GM32" i="8"/>
  <c r="ID31" i="8"/>
  <c r="HV31" i="8"/>
  <c r="HN31" i="8"/>
  <c r="HF31" i="8"/>
  <c r="GX31" i="8"/>
  <c r="GP31" i="8"/>
  <c r="GH31" i="8"/>
  <c r="HY30" i="8"/>
  <c r="HQ30" i="8"/>
  <c r="HI30" i="8"/>
  <c r="HA30" i="8"/>
  <c r="GS30" i="8"/>
  <c r="GK30" i="8"/>
  <c r="IB29" i="8"/>
  <c r="HT29" i="8"/>
  <c r="HL29" i="8"/>
  <c r="HD29" i="8"/>
  <c r="GV29" i="8"/>
  <c r="GN29" i="8"/>
  <c r="GF29" i="8"/>
  <c r="HW28" i="8"/>
  <c r="HO28" i="8"/>
  <c r="HG28" i="8"/>
  <c r="GY28" i="8"/>
  <c r="GQ28" i="8"/>
  <c r="GI28" i="8"/>
  <c r="HZ27" i="8"/>
  <c r="HR27" i="8"/>
  <c r="HJ27" i="8"/>
  <c r="HB27" i="8"/>
  <c r="GT27" i="8"/>
  <c r="GL27" i="8"/>
  <c r="IC26" i="8"/>
  <c r="HU26" i="8"/>
  <c r="HM26" i="8"/>
  <c r="HE26" i="8"/>
  <c r="GW26" i="8"/>
  <c r="GO26" i="8"/>
  <c r="GG26" i="8"/>
  <c r="IC17" i="8"/>
  <c r="HU17" i="8"/>
  <c r="HM17" i="8"/>
  <c r="HE17" i="8"/>
  <c r="GW17" i="8"/>
  <c r="GO17" i="8"/>
  <c r="GG17" i="8"/>
  <c r="HX16" i="8"/>
  <c r="HP16" i="8"/>
  <c r="HH16" i="8"/>
  <c r="GZ16" i="8"/>
  <c r="GR16" i="8"/>
  <c r="GJ16" i="8"/>
  <c r="IA15" i="8"/>
  <c r="HS15" i="8"/>
  <c r="HK15" i="8"/>
  <c r="HC15" i="8"/>
  <c r="GU15" i="8"/>
  <c r="GM15" i="8"/>
  <c r="IE33" i="8"/>
  <c r="IE29" i="8"/>
  <c r="IE16" i="8"/>
  <c r="IE12" i="8"/>
  <c r="IC87" i="8"/>
  <c r="HU87" i="8"/>
  <c r="HM87" i="8"/>
  <c r="HE87" i="8"/>
  <c r="GW87" i="8"/>
  <c r="GO87" i="8"/>
  <c r="GG87" i="8"/>
  <c r="HX86" i="8"/>
  <c r="HP86" i="8"/>
  <c r="HH86" i="8"/>
  <c r="GZ86" i="8"/>
  <c r="GR86" i="8"/>
  <c r="GJ86" i="8"/>
  <c r="HW33" i="8"/>
  <c r="HO33" i="8"/>
  <c r="HG33" i="8"/>
  <c r="GY33" i="8"/>
  <c r="GQ33" i="8"/>
  <c r="GI33" i="8"/>
  <c r="HZ32" i="8"/>
  <c r="HR32" i="8"/>
  <c r="HJ32" i="8"/>
  <c r="HB32" i="8"/>
  <c r="GT32" i="8"/>
  <c r="GL32" i="8"/>
  <c r="IC31" i="8"/>
  <c r="HU31" i="8"/>
  <c r="HM31" i="8"/>
  <c r="HE31" i="8"/>
  <c r="GW31" i="8"/>
  <c r="GO31" i="8"/>
  <c r="GG31" i="8"/>
  <c r="HX30" i="8"/>
  <c r="HP30" i="8"/>
  <c r="HH30" i="8"/>
  <c r="GZ30" i="8"/>
  <c r="GR30" i="8"/>
  <c r="GJ30" i="8"/>
  <c r="IA29" i="8"/>
  <c r="HS29" i="8"/>
  <c r="HK29" i="8"/>
  <c r="HC29" i="8"/>
  <c r="GU29" i="8"/>
  <c r="GM29" i="8"/>
  <c r="ID28" i="8"/>
  <c r="HV28" i="8"/>
  <c r="HN28" i="8"/>
  <c r="HF28" i="8"/>
  <c r="GX28" i="8"/>
  <c r="GP28" i="8"/>
  <c r="GH28" i="8"/>
  <c r="HY27" i="8"/>
  <c r="HQ27" i="8"/>
  <c r="HI27" i="8"/>
  <c r="HA27" i="8"/>
  <c r="GS27" i="8"/>
  <c r="GK27" i="8"/>
  <c r="IB26" i="8"/>
  <c r="HT26" i="8"/>
  <c r="HL26" i="8"/>
  <c r="HD26" i="8"/>
  <c r="GV26" i="8"/>
  <c r="GN26" i="8"/>
  <c r="GF26" i="8"/>
  <c r="IB17" i="8"/>
  <c r="HT17" i="8"/>
  <c r="HL17" i="8"/>
  <c r="HD17" i="8"/>
  <c r="GV17" i="8"/>
  <c r="GN17" i="8"/>
  <c r="GF17" i="8"/>
  <c r="HW16" i="8"/>
  <c r="HO16" i="8"/>
  <c r="HG16" i="8"/>
  <c r="GY16" i="8"/>
  <c r="GQ16" i="8"/>
  <c r="GI16" i="8"/>
  <c r="HZ15" i="8"/>
  <c r="HR15" i="8"/>
  <c r="HJ15" i="8"/>
  <c r="HB15" i="8"/>
  <c r="GT15" i="8"/>
  <c r="GL15" i="8"/>
  <c r="IF32" i="8"/>
  <c r="IF28" i="8"/>
  <c r="IF15" i="8"/>
  <c r="IB87" i="8"/>
  <c r="HT87" i="8"/>
  <c r="HL87" i="8"/>
  <c r="HD87" i="8"/>
  <c r="GV87" i="8"/>
  <c r="GN87" i="8"/>
  <c r="GF87" i="8"/>
  <c r="HW86" i="8"/>
  <c r="HO86" i="8"/>
  <c r="HG86" i="8"/>
  <c r="GY86" i="8"/>
  <c r="GQ86" i="8"/>
  <c r="GI86" i="8"/>
  <c r="ID33" i="8"/>
  <c r="HV33" i="8"/>
  <c r="HN33" i="8"/>
  <c r="HF33" i="8"/>
  <c r="GX33" i="8"/>
  <c r="GP33" i="8"/>
  <c r="GH33" i="8"/>
  <c r="HY32" i="8"/>
  <c r="HQ32" i="8"/>
  <c r="HI32" i="8"/>
  <c r="HA32" i="8"/>
  <c r="GS32" i="8"/>
  <c r="GK32" i="8"/>
  <c r="IB31" i="8"/>
  <c r="HT31" i="8"/>
  <c r="HL31" i="8"/>
  <c r="HD31" i="8"/>
  <c r="GV31" i="8"/>
  <c r="GN31" i="8"/>
  <c r="GF31" i="8"/>
  <c r="HW30" i="8"/>
  <c r="HO30" i="8"/>
  <c r="HG30" i="8"/>
  <c r="GY30" i="8"/>
  <c r="GQ30" i="8"/>
  <c r="GI30" i="8"/>
  <c r="HZ29" i="8"/>
  <c r="HR29" i="8"/>
  <c r="HJ29" i="8"/>
  <c r="HB29" i="8"/>
  <c r="GT29" i="8"/>
  <c r="GL29" i="8"/>
  <c r="IC28" i="8"/>
  <c r="HU28" i="8"/>
  <c r="HM28" i="8"/>
  <c r="HE28" i="8"/>
  <c r="GW28" i="8"/>
  <c r="GO28" i="8"/>
  <c r="GG28" i="8"/>
  <c r="HX27" i="8"/>
  <c r="HP27" i="8"/>
  <c r="HH27" i="8"/>
  <c r="GZ27" i="8"/>
  <c r="GR27" i="8"/>
  <c r="GJ27" i="8"/>
  <c r="IA26" i="8"/>
  <c r="HS26" i="8"/>
  <c r="HK26" i="8"/>
  <c r="HC26" i="8"/>
  <c r="GU26" i="8"/>
  <c r="GM26" i="8"/>
  <c r="IA17" i="8"/>
  <c r="HS17" i="8"/>
  <c r="HK17" i="8"/>
  <c r="HC17" i="8"/>
  <c r="GU17" i="8"/>
  <c r="GM17" i="8"/>
  <c r="ID16" i="8"/>
  <c r="HV16" i="8"/>
  <c r="HN16" i="8"/>
  <c r="HF16" i="8"/>
  <c r="GX16" i="8"/>
  <c r="GP16" i="8"/>
  <c r="GH16" i="8"/>
  <c r="HY15" i="8"/>
  <c r="HQ15" i="8"/>
  <c r="HI15" i="8"/>
  <c r="HA15" i="8"/>
  <c r="GS15" i="8"/>
  <c r="GK15" i="8"/>
  <c r="HR87" i="8"/>
  <c r="GL87" i="8"/>
  <c r="HE86" i="8"/>
  <c r="HL33" i="8"/>
  <c r="GF33" i="8"/>
  <c r="GY32" i="8"/>
  <c r="HR31" i="8"/>
  <c r="GL31" i="8"/>
  <c r="HE30" i="8"/>
  <c r="HX29" i="8"/>
  <c r="GR29" i="8"/>
  <c r="HK28" i="8"/>
  <c r="ID27" i="8"/>
  <c r="GX27" i="8"/>
  <c r="HQ26" i="8"/>
  <c r="GK26" i="8"/>
  <c r="HR17" i="8"/>
  <c r="GL17" i="8"/>
  <c r="HE16" i="8"/>
  <c r="HX15" i="8"/>
  <c r="GR15" i="8"/>
  <c r="IB14" i="8"/>
  <c r="HT14" i="8"/>
  <c r="HL14" i="8"/>
  <c r="HD14" i="8"/>
  <c r="GV14" i="8"/>
  <c r="GN14" i="8"/>
  <c r="GF14" i="8"/>
  <c r="HW13" i="8"/>
  <c r="HO13" i="8"/>
  <c r="HG13" i="8"/>
  <c r="GY13" i="8"/>
  <c r="GQ13" i="8"/>
  <c r="GI13" i="8"/>
  <c r="HZ12" i="8"/>
  <c r="HR12" i="8"/>
  <c r="HJ12" i="8"/>
  <c r="HB12" i="8"/>
  <c r="GT12" i="8"/>
  <c r="GL12" i="8"/>
  <c r="FY87" i="8"/>
  <c r="FQ87" i="8"/>
  <c r="FI87" i="8"/>
  <c r="FA87" i="8"/>
  <c r="GD86" i="8"/>
  <c r="FV86" i="8"/>
  <c r="FN86" i="8"/>
  <c r="FF86" i="8"/>
  <c r="EX86" i="8"/>
  <c r="GE33" i="8"/>
  <c r="FW33" i="8"/>
  <c r="FO33" i="8"/>
  <c r="FG33" i="8"/>
  <c r="EY33" i="8"/>
  <c r="GB32" i="8"/>
  <c r="FT32" i="8"/>
  <c r="FL32" i="8"/>
  <c r="FD32" i="8"/>
  <c r="EV32" i="8"/>
  <c r="FY31" i="8"/>
  <c r="FQ31" i="8"/>
  <c r="FI31" i="8"/>
  <c r="FA31" i="8"/>
  <c r="GD30" i="8"/>
  <c r="FV30" i="8"/>
  <c r="FN30" i="8"/>
  <c r="FF30" i="8"/>
  <c r="EX30" i="8"/>
  <c r="GA29" i="8"/>
  <c r="FS29" i="8"/>
  <c r="FK29" i="8"/>
  <c r="FC29" i="8"/>
  <c r="EU29" i="8"/>
  <c r="FX28" i="8"/>
  <c r="FP28" i="8"/>
  <c r="FH28" i="8"/>
  <c r="EZ28" i="8"/>
  <c r="GC27" i="8"/>
  <c r="FU27" i="8"/>
  <c r="FM27" i="8"/>
  <c r="FE27" i="8"/>
  <c r="EW27" i="8"/>
  <c r="FZ26" i="8"/>
  <c r="FR26" i="8"/>
  <c r="FJ26" i="8"/>
  <c r="FB26" i="8"/>
  <c r="FZ17" i="8"/>
  <c r="FR17" i="8"/>
  <c r="FJ17" i="8"/>
  <c r="FB17" i="8"/>
  <c r="GE16" i="8"/>
  <c r="FW16" i="8"/>
  <c r="FO16" i="8"/>
  <c r="FG16" i="8"/>
  <c r="EY16" i="8"/>
  <c r="GB15" i="8"/>
  <c r="FT15" i="8"/>
  <c r="FL15" i="8"/>
  <c r="FD15" i="8"/>
  <c r="EV15" i="8"/>
  <c r="FY14" i="8"/>
  <c r="FQ14" i="8"/>
  <c r="FI14" i="8"/>
  <c r="FA14" i="8"/>
  <c r="GD13" i="8"/>
  <c r="FV13" i="8"/>
  <c r="FN13" i="8"/>
  <c r="FF13" i="8"/>
  <c r="EX13" i="8"/>
  <c r="GA12" i="8"/>
  <c r="FS12" i="8"/>
  <c r="FK12" i="8"/>
  <c r="FC12" i="8"/>
  <c r="EU12" i="8"/>
  <c r="FT33" i="8"/>
  <c r="FY32" i="8"/>
  <c r="FV31" i="8"/>
  <c r="FS30" i="8"/>
  <c r="FX29" i="8"/>
  <c r="GC28" i="8"/>
  <c r="EW28" i="8"/>
  <c r="GE26" i="8"/>
  <c r="FW17" i="8"/>
  <c r="GB16" i="8"/>
  <c r="EV16" i="8"/>
  <c r="FI15" i="8"/>
  <c r="FN14" i="8"/>
  <c r="FS13" i="8"/>
  <c r="FX12" i="8"/>
  <c r="GD32" i="8"/>
  <c r="FC31" i="8"/>
  <c r="FM29" i="8"/>
  <c r="GE27" i="8"/>
  <c r="FL26" i="8"/>
  <c r="FD17" i="8"/>
  <c r="FA16" i="8"/>
  <c r="GA14" i="8"/>
  <c r="FP13" i="8"/>
  <c r="FE12" i="8"/>
  <c r="HL28" i="8"/>
  <c r="GW14" i="8"/>
  <c r="FO86" i="8"/>
  <c r="FP33" i="8"/>
  <c r="FM32" i="8"/>
  <c r="FB31" i="8"/>
  <c r="GB29" i="8"/>
  <c r="FQ28" i="8"/>
  <c r="EX27" i="8"/>
  <c r="GA17" i="8"/>
  <c r="FH16" i="8"/>
  <c r="HK87" i="8"/>
  <c r="ID86" i="8"/>
  <c r="GX86" i="8"/>
  <c r="HE33" i="8"/>
  <c r="HX32" i="8"/>
  <c r="GR32" i="8"/>
  <c r="HK31" i="8"/>
  <c r="ID30" i="8"/>
  <c r="GX30" i="8"/>
  <c r="HQ29" i="8"/>
  <c r="GK29" i="8"/>
  <c r="HD28" i="8"/>
  <c r="HW27" i="8"/>
  <c r="GQ27" i="8"/>
  <c r="HJ26" i="8"/>
  <c r="HQ17" i="8"/>
  <c r="GK17" i="8"/>
  <c r="HD16" i="8"/>
  <c r="HW15" i="8"/>
  <c r="GQ15" i="8"/>
  <c r="IA14" i="8"/>
  <c r="HS14" i="8"/>
  <c r="HK14" i="8"/>
  <c r="HC14" i="8"/>
  <c r="GU14" i="8"/>
  <c r="GM14" i="8"/>
  <c r="ID13" i="8"/>
  <c r="HV13" i="8"/>
  <c r="HN13" i="8"/>
  <c r="HF13" i="8"/>
  <c r="GX13" i="8"/>
  <c r="GP13" i="8"/>
  <c r="GH13" i="8"/>
  <c r="HY12" i="8"/>
  <c r="HQ12" i="8"/>
  <c r="HI12" i="8"/>
  <c r="HA12" i="8"/>
  <c r="GS12" i="8"/>
  <c r="GK12" i="8"/>
  <c r="FX87" i="8"/>
  <c r="FP87" i="8"/>
  <c r="FH87" i="8"/>
  <c r="EZ87" i="8"/>
  <c r="GC86" i="8"/>
  <c r="FU86" i="8"/>
  <c r="FM86" i="8"/>
  <c r="FE86" i="8"/>
  <c r="EW86" i="8"/>
  <c r="GD33" i="8"/>
  <c r="FV33" i="8"/>
  <c r="FN33" i="8"/>
  <c r="FF33" i="8"/>
  <c r="EX33" i="8"/>
  <c r="GA32" i="8"/>
  <c r="FS32" i="8"/>
  <c r="FK32" i="8"/>
  <c r="FC32" i="8"/>
  <c r="EU32" i="8"/>
  <c r="FX31" i="8"/>
  <c r="FP31" i="8"/>
  <c r="FH31" i="8"/>
  <c r="EZ31" i="8"/>
  <c r="GC30" i="8"/>
  <c r="FU30" i="8"/>
  <c r="FM30" i="8"/>
  <c r="FE30" i="8"/>
  <c r="EW30" i="8"/>
  <c r="FZ29" i="8"/>
  <c r="FR29" i="8"/>
  <c r="FJ29" i="8"/>
  <c r="FB29" i="8"/>
  <c r="GE28" i="8"/>
  <c r="FW28" i="8"/>
  <c r="FO28" i="8"/>
  <c r="FG28" i="8"/>
  <c r="EY28" i="8"/>
  <c r="GB27" i="8"/>
  <c r="FT27" i="8"/>
  <c r="FL27" i="8"/>
  <c r="FD27" i="8"/>
  <c r="EV27" i="8"/>
  <c r="FY26" i="8"/>
  <c r="FQ26" i="8"/>
  <c r="FI26" i="8"/>
  <c r="FA26" i="8"/>
  <c r="FY17" i="8"/>
  <c r="FQ17" i="8"/>
  <c r="FI17" i="8"/>
  <c r="FA17" i="8"/>
  <c r="GD16" i="8"/>
  <c r="FV16" i="8"/>
  <c r="FN16" i="8"/>
  <c r="FF16" i="8"/>
  <c r="EX16" i="8"/>
  <c r="GA15" i="8"/>
  <c r="FS15" i="8"/>
  <c r="FK15" i="8"/>
  <c r="FC15" i="8"/>
  <c r="EU15" i="8"/>
  <c r="FX14" i="8"/>
  <c r="FP14" i="8"/>
  <c r="FH14" i="8"/>
  <c r="EZ14" i="8"/>
  <c r="GC13" i="8"/>
  <c r="FU13" i="8"/>
  <c r="FM13" i="8"/>
  <c r="FE13" i="8"/>
  <c r="EW13" i="8"/>
  <c r="FZ12" i="8"/>
  <c r="FR12" i="8"/>
  <c r="FJ12" i="8"/>
  <c r="FB12" i="8"/>
  <c r="FH26" i="8"/>
  <c r="FX17" i="8"/>
  <c r="FH17" i="8"/>
  <c r="GC16" i="8"/>
  <c r="FM16" i="8"/>
  <c r="FE16" i="8"/>
  <c r="FZ15" i="8"/>
  <c r="FJ15" i="8"/>
  <c r="FB15" i="8"/>
  <c r="FW14" i="8"/>
  <c r="FG14" i="8"/>
  <c r="GB13" i="8"/>
  <c r="FT13" i="8"/>
  <c r="FD13" i="8"/>
  <c r="FY12" i="8"/>
  <c r="FI12" i="8"/>
  <c r="FA12" i="8"/>
  <c r="FD33" i="8"/>
  <c r="FA32" i="8"/>
  <c r="EX31" i="8"/>
  <c r="EU30" i="8"/>
  <c r="EZ29" i="8"/>
  <c r="FE28" i="8"/>
  <c r="FJ27" i="8"/>
  <c r="FG26" i="8"/>
  <c r="GE17" i="8"/>
  <c r="EY17" i="8"/>
  <c r="FD16" i="8"/>
  <c r="FA15" i="8"/>
  <c r="FF14" i="8"/>
  <c r="FK13" i="8"/>
  <c r="FH12" i="8"/>
  <c r="HZ31" i="8"/>
  <c r="HF14" i="8"/>
  <c r="HA13" i="8"/>
  <c r="GV12" i="8"/>
  <c r="GA87" i="8"/>
  <c r="FP86" i="8"/>
  <c r="FY33" i="8"/>
  <c r="FN32" i="8"/>
  <c r="FK31" i="8"/>
  <c r="FH30" i="8"/>
  <c r="EW29" i="8"/>
  <c r="FW27" i="8"/>
  <c r="FT26" i="8"/>
  <c r="FY16" i="8"/>
  <c r="FN15" i="8"/>
  <c r="FC14" i="8"/>
  <c r="GC12" i="8"/>
  <c r="GM87" i="8"/>
  <c r="GG33" i="8"/>
  <c r="GM31" i="8"/>
  <c r="GF28" i="8"/>
  <c r="GF16" i="8"/>
  <c r="HM14" i="8"/>
  <c r="HX13" i="8"/>
  <c r="GJ13" i="8"/>
  <c r="HC12" i="8"/>
  <c r="FR87" i="8"/>
  <c r="FG86" i="8"/>
  <c r="FX33" i="8"/>
  <c r="FU32" i="8"/>
  <c r="FJ31" i="8"/>
  <c r="EY30" i="8"/>
  <c r="FY28" i="8"/>
  <c r="GD27" i="8"/>
  <c r="FS26" i="8"/>
  <c r="FS17" i="8"/>
  <c r="FX16" i="8"/>
  <c r="FM15" i="8"/>
  <c r="IF87" i="8"/>
  <c r="HJ87" i="8"/>
  <c r="IC86" i="8"/>
  <c r="GW86" i="8"/>
  <c r="HD33" i="8"/>
  <c r="HW32" i="8"/>
  <c r="GQ32" i="8"/>
  <c r="HJ31" i="8"/>
  <c r="IC30" i="8"/>
  <c r="GW30" i="8"/>
  <c r="HP29" i="8"/>
  <c r="GJ29" i="8"/>
  <c r="HC28" i="8"/>
  <c r="HV27" i="8"/>
  <c r="GP27" i="8"/>
  <c r="HI26" i="8"/>
  <c r="HJ17" i="8"/>
  <c r="IC16" i="8"/>
  <c r="GW16" i="8"/>
  <c r="HP15" i="8"/>
  <c r="GJ15" i="8"/>
  <c r="HZ14" i="8"/>
  <c r="HR14" i="8"/>
  <c r="HJ14" i="8"/>
  <c r="HB14" i="8"/>
  <c r="GT14" i="8"/>
  <c r="GL14" i="8"/>
  <c r="IC13" i="8"/>
  <c r="HU13" i="8"/>
  <c r="HM13" i="8"/>
  <c r="HE13" i="8"/>
  <c r="GW13" i="8"/>
  <c r="GO13" i="8"/>
  <c r="GG13" i="8"/>
  <c r="HX12" i="8"/>
  <c r="HP12" i="8"/>
  <c r="HH12" i="8"/>
  <c r="GZ12" i="8"/>
  <c r="GR12" i="8"/>
  <c r="GJ12" i="8"/>
  <c r="GE87" i="8"/>
  <c r="FW87" i="8"/>
  <c r="FO87" i="8"/>
  <c r="FG87" i="8"/>
  <c r="EY87" i="8"/>
  <c r="GB86" i="8"/>
  <c r="FT86" i="8"/>
  <c r="FL86" i="8"/>
  <c r="FD86" i="8"/>
  <c r="EV86" i="8"/>
  <c r="GC33" i="8"/>
  <c r="FU33" i="8"/>
  <c r="FM33" i="8"/>
  <c r="FE33" i="8"/>
  <c r="EW33" i="8"/>
  <c r="FZ32" i="8"/>
  <c r="FR32" i="8"/>
  <c r="FJ32" i="8"/>
  <c r="FB32" i="8"/>
  <c r="GE31" i="8"/>
  <c r="FW31" i="8"/>
  <c r="FO31" i="8"/>
  <c r="FG31" i="8"/>
  <c r="EY31" i="8"/>
  <c r="GB30" i="8"/>
  <c r="FT30" i="8"/>
  <c r="FL30" i="8"/>
  <c r="FD30" i="8"/>
  <c r="EV30" i="8"/>
  <c r="FY29" i="8"/>
  <c r="FQ29" i="8"/>
  <c r="FI29" i="8"/>
  <c r="FA29" i="8"/>
  <c r="GD28" i="8"/>
  <c r="FV28" i="8"/>
  <c r="FN28" i="8"/>
  <c r="FF28" i="8"/>
  <c r="EX28" i="8"/>
  <c r="GA27" i="8"/>
  <c r="FS27" i="8"/>
  <c r="FK27" i="8"/>
  <c r="FC27" i="8"/>
  <c r="EU27" i="8"/>
  <c r="FX26" i="8"/>
  <c r="FP26" i="8"/>
  <c r="EZ26" i="8"/>
  <c r="FP17" i="8"/>
  <c r="EZ17" i="8"/>
  <c r="FU16" i="8"/>
  <c r="EW16" i="8"/>
  <c r="FR15" i="8"/>
  <c r="GE14" i="8"/>
  <c r="FO14" i="8"/>
  <c r="EY14" i="8"/>
  <c r="FL13" i="8"/>
  <c r="EV13" i="8"/>
  <c r="FQ12" i="8"/>
  <c r="EV33" i="8"/>
  <c r="FI32" i="8"/>
  <c r="GD31" i="8"/>
  <c r="FF31" i="8"/>
  <c r="FK30" i="8"/>
  <c r="FP29" i="8"/>
  <c r="FU28" i="8"/>
  <c r="FZ27" i="8"/>
  <c r="FB27" i="8"/>
  <c r="FO26" i="8"/>
  <c r="FO17" i="8"/>
  <c r="FT16" i="8"/>
  <c r="FY15" i="8"/>
  <c r="GD14" i="8"/>
  <c r="EX14" i="8"/>
  <c r="FC13" i="8"/>
  <c r="FP12" i="8"/>
  <c r="HM86" i="8"/>
  <c r="HT33" i="8"/>
  <c r="HM30" i="8"/>
  <c r="HF27" i="8"/>
  <c r="HZ17" i="8"/>
  <c r="HN14" i="8"/>
  <c r="HY13" i="8"/>
  <c r="IB12" i="8"/>
  <c r="GF12" i="8"/>
  <c r="FC87" i="8"/>
  <c r="IE32" i="8"/>
  <c r="HC87" i="8"/>
  <c r="HV86" i="8"/>
  <c r="GP86" i="8"/>
  <c r="IC33" i="8"/>
  <c r="GW33" i="8"/>
  <c r="HP32" i="8"/>
  <c r="GJ32" i="8"/>
  <c r="HC31" i="8"/>
  <c r="HV30" i="8"/>
  <c r="GP30" i="8"/>
  <c r="HI29" i="8"/>
  <c r="IB28" i="8"/>
  <c r="GV28" i="8"/>
  <c r="HO27" i="8"/>
  <c r="GI27" i="8"/>
  <c r="HB26" i="8"/>
  <c r="HI17" i="8"/>
  <c r="IB16" i="8"/>
  <c r="GV16" i="8"/>
  <c r="HO15" i="8"/>
  <c r="GI15" i="8"/>
  <c r="HY14" i="8"/>
  <c r="HQ14" i="8"/>
  <c r="HI14" i="8"/>
  <c r="HA14" i="8"/>
  <c r="GS14" i="8"/>
  <c r="GK14" i="8"/>
  <c r="IB13" i="8"/>
  <c r="HT13" i="8"/>
  <c r="HL13" i="8"/>
  <c r="HD13" i="8"/>
  <c r="GV13" i="8"/>
  <c r="GN13" i="8"/>
  <c r="GF13" i="8"/>
  <c r="HW12" i="8"/>
  <c r="HO12" i="8"/>
  <c r="HG12" i="8"/>
  <c r="GY12" i="8"/>
  <c r="GQ12" i="8"/>
  <c r="GI12" i="8"/>
  <c r="GD87" i="8"/>
  <c r="FV87" i="8"/>
  <c r="FN87" i="8"/>
  <c r="FF87" i="8"/>
  <c r="EX87" i="8"/>
  <c r="GA86" i="8"/>
  <c r="FS86" i="8"/>
  <c r="FK86" i="8"/>
  <c r="FC86" i="8"/>
  <c r="EU86" i="8"/>
  <c r="GB33" i="8"/>
  <c r="FL33" i="8"/>
  <c r="FQ32" i="8"/>
  <c r="FN31" i="8"/>
  <c r="GA30" i="8"/>
  <c r="FC30" i="8"/>
  <c r="FH29" i="8"/>
  <c r="FM28" i="8"/>
  <c r="FR27" i="8"/>
  <c r="FW26" i="8"/>
  <c r="EY26" i="8"/>
  <c r="FG17" i="8"/>
  <c r="FL16" i="8"/>
  <c r="FQ15" i="8"/>
  <c r="FV14" i="8"/>
  <c r="GA13" i="8"/>
  <c r="EU13" i="8"/>
  <c r="EZ12" i="8"/>
  <c r="IF14" i="8"/>
  <c r="GG86" i="8"/>
  <c r="GN33" i="8"/>
  <c r="GG30" i="8"/>
  <c r="HY26" i="8"/>
  <c r="GG16" i="8"/>
  <c r="GX14" i="8"/>
  <c r="HI13" i="8"/>
  <c r="HT12" i="8"/>
  <c r="FX86" i="8"/>
  <c r="FI33" i="8"/>
  <c r="FS31" i="8"/>
  <c r="EZ30" i="8"/>
  <c r="FR28" i="8"/>
  <c r="GB26" i="8"/>
  <c r="FL17" i="8"/>
  <c r="GD15" i="8"/>
  <c r="FS14" i="8"/>
  <c r="FH13" i="8"/>
  <c r="GZ13" i="8"/>
  <c r="FB87" i="8"/>
  <c r="FH33" i="8"/>
  <c r="EW32" i="8"/>
  <c r="FW30" i="8"/>
  <c r="FL29" i="8"/>
  <c r="FA28" i="8"/>
  <c r="GA26" i="8"/>
  <c r="EZ16" i="8"/>
  <c r="IF31" i="8"/>
  <c r="HB87" i="8"/>
  <c r="HU86" i="8"/>
  <c r="GO86" i="8"/>
  <c r="IB33" i="8"/>
  <c r="GV33" i="8"/>
  <c r="HO32" i="8"/>
  <c r="GI32" i="8"/>
  <c r="HB31" i="8"/>
  <c r="HU30" i="8"/>
  <c r="GO30" i="8"/>
  <c r="HH29" i="8"/>
  <c r="IA28" i="8"/>
  <c r="GU28" i="8"/>
  <c r="HN27" i="8"/>
  <c r="GH27" i="8"/>
  <c r="HA26" i="8"/>
  <c r="HB17" i="8"/>
  <c r="HU16" i="8"/>
  <c r="GO16" i="8"/>
  <c r="HH15" i="8"/>
  <c r="GG15" i="8"/>
  <c r="HX14" i="8"/>
  <c r="HP14" i="8"/>
  <c r="HH14" i="8"/>
  <c r="GZ14" i="8"/>
  <c r="GR14" i="8"/>
  <c r="GJ14" i="8"/>
  <c r="IA13" i="8"/>
  <c r="HS13" i="8"/>
  <c r="HK13" i="8"/>
  <c r="HC13" i="8"/>
  <c r="GU13" i="8"/>
  <c r="GM13" i="8"/>
  <c r="ID12" i="8"/>
  <c r="HV12" i="8"/>
  <c r="HN12" i="8"/>
  <c r="HF12" i="8"/>
  <c r="GX12" i="8"/>
  <c r="GP12" i="8"/>
  <c r="GH12" i="8"/>
  <c r="GC87" i="8"/>
  <c r="FU87" i="8"/>
  <c r="FM87" i="8"/>
  <c r="FE87" i="8"/>
  <c r="EW87" i="8"/>
  <c r="FZ86" i="8"/>
  <c r="FR86" i="8"/>
  <c r="FJ86" i="8"/>
  <c r="FB86" i="8"/>
  <c r="GA33" i="8"/>
  <c r="FS33" i="8"/>
  <c r="FK33" i="8"/>
  <c r="FC33" i="8"/>
  <c r="EU33" i="8"/>
  <c r="FX32" i="8"/>
  <c r="FP32" i="8"/>
  <c r="FH32" i="8"/>
  <c r="EZ32" i="8"/>
  <c r="GC31" i="8"/>
  <c r="FU31" i="8"/>
  <c r="FM31" i="8"/>
  <c r="FE31" i="8"/>
  <c r="EW31" i="8"/>
  <c r="FZ30" i="8"/>
  <c r="FR30" i="8"/>
  <c r="FJ30" i="8"/>
  <c r="FB30" i="8"/>
  <c r="GE29" i="8"/>
  <c r="FW29" i="8"/>
  <c r="FO29" i="8"/>
  <c r="FG29" i="8"/>
  <c r="EY29" i="8"/>
  <c r="GB28" i="8"/>
  <c r="FT28" i="8"/>
  <c r="FL28" i="8"/>
  <c r="FD28" i="8"/>
  <c r="EV28" i="8"/>
  <c r="FY27" i="8"/>
  <c r="FQ27" i="8"/>
  <c r="FI27" i="8"/>
  <c r="FA27" i="8"/>
  <c r="GD26" i="8"/>
  <c r="FV26" i="8"/>
  <c r="FN26" i="8"/>
  <c r="FF26" i="8"/>
  <c r="EX26" i="8"/>
  <c r="GD17" i="8"/>
  <c r="FV17" i="8"/>
  <c r="FN17" i="8"/>
  <c r="FF17" i="8"/>
  <c r="EX17" i="8"/>
  <c r="GA16" i="8"/>
  <c r="FS16" i="8"/>
  <c r="FK16" i="8"/>
  <c r="FC16" i="8"/>
  <c r="EU16" i="8"/>
  <c r="FX15" i="8"/>
  <c r="FP15" i="8"/>
  <c r="FH15" i="8"/>
  <c r="EZ15" i="8"/>
  <c r="GC14" i="8"/>
  <c r="FU14" i="8"/>
  <c r="FM14" i="8"/>
  <c r="FE14" i="8"/>
  <c r="EW14" i="8"/>
  <c r="FZ13" i="8"/>
  <c r="FR13" i="8"/>
  <c r="FJ13" i="8"/>
  <c r="FB13" i="8"/>
  <c r="GE12" i="8"/>
  <c r="FW12" i="8"/>
  <c r="FO12" i="8"/>
  <c r="FG12" i="8"/>
  <c r="EY12" i="8"/>
  <c r="IF27" i="8"/>
  <c r="HZ87" i="8"/>
  <c r="HG32" i="8"/>
  <c r="HS28" i="8"/>
  <c r="GS26" i="8"/>
  <c r="HM16" i="8"/>
  <c r="HV14" i="8"/>
  <c r="GH14" i="8"/>
  <c r="GK13" i="8"/>
  <c r="GN12" i="8"/>
  <c r="EU87" i="8"/>
  <c r="FA33" i="8"/>
  <c r="EX32" i="8"/>
  <c r="FX30" i="8"/>
  <c r="FU29" i="8"/>
  <c r="FJ28" i="8"/>
  <c r="FG27" i="8"/>
  <c r="EV26" i="8"/>
  <c r="FT17" i="8"/>
  <c r="FI16" i="8"/>
  <c r="EX15" i="8"/>
  <c r="EU14" i="8"/>
  <c r="FU12" i="8"/>
  <c r="HF86" i="8"/>
  <c r="GZ32" i="8"/>
  <c r="HY29" i="8"/>
  <c r="HR26" i="8"/>
  <c r="HY17" i="8"/>
  <c r="GY15" i="8"/>
  <c r="HE14" i="8"/>
  <c r="HP13" i="8"/>
  <c r="IA12" i="8"/>
  <c r="GU12" i="8"/>
  <c r="FZ87" i="8"/>
  <c r="GE86" i="8"/>
  <c r="GC32" i="8"/>
  <c r="FR31" i="8"/>
  <c r="FG30" i="8"/>
  <c r="EV29" i="8"/>
  <c r="FN27" i="8"/>
  <c r="EU17" i="8"/>
  <c r="FU15" i="8"/>
  <c r="IE28" i="8"/>
  <c r="IE15" i="8"/>
  <c r="IA87" i="8"/>
  <c r="GU87" i="8"/>
  <c r="HN86" i="8"/>
  <c r="GH86" i="8"/>
  <c r="HU33" i="8"/>
  <c r="GO33" i="8"/>
  <c r="HH32" i="8"/>
  <c r="IA31" i="8"/>
  <c r="GU31" i="8"/>
  <c r="HN30" i="8"/>
  <c r="GH30" i="8"/>
  <c r="HA29" i="8"/>
  <c r="HT28" i="8"/>
  <c r="GN28" i="8"/>
  <c r="HG27" i="8"/>
  <c r="HZ26" i="8"/>
  <c r="GT26" i="8"/>
  <c r="HA17" i="8"/>
  <c r="HT16" i="8"/>
  <c r="GN16" i="8"/>
  <c r="HG15" i="8"/>
  <c r="GF15" i="8"/>
  <c r="HW14" i="8"/>
  <c r="HO14" i="8"/>
  <c r="HG14" i="8"/>
  <c r="GY14" i="8"/>
  <c r="GQ14" i="8"/>
  <c r="GI14" i="8"/>
  <c r="HZ13" i="8"/>
  <c r="HR13" i="8"/>
  <c r="HJ13" i="8"/>
  <c r="HB13" i="8"/>
  <c r="GT13" i="8"/>
  <c r="GL13" i="8"/>
  <c r="IC12" i="8"/>
  <c r="HU12" i="8"/>
  <c r="HM12" i="8"/>
  <c r="HE12" i="8"/>
  <c r="GW12" i="8"/>
  <c r="GO12" i="8"/>
  <c r="GG12" i="8"/>
  <c r="GB87" i="8"/>
  <c r="FT87" i="8"/>
  <c r="FL87" i="8"/>
  <c r="FD87" i="8"/>
  <c r="EV87" i="8"/>
  <c r="FY86" i="8"/>
  <c r="FQ86" i="8"/>
  <c r="FI86" i="8"/>
  <c r="FA86" i="8"/>
  <c r="FZ33" i="8"/>
  <c r="FR33" i="8"/>
  <c r="FJ33" i="8"/>
  <c r="FB33" i="8"/>
  <c r="GE32" i="8"/>
  <c r="FW32" i="8"/>
  <c r="FO32" i="8"/>
  <c r="FG32" i="8"/>
  <c r="EY32" i="8"/>
  <c r="GB31" i="8"/>
  <c r="FT31" i="8"/>
  <c r="FL31" i="8"/>
  <c r="FD31" i="8"/>
  <c r="EV31" i="8"/>
  <c r="FY30" i="8"/>
  <c r="FQ30" i="8"/>
  <c r="FI30" i="8"/>
  <c r="FA30" i="8"/>
  <c r="GD29" i="8"/>
  <c r="FV29" i="8"/>
  <c r="FN29" i="8"/>
  <c r="FF29" i="8"/>
  <c r="EX29" i="8"/>
  <c r="GA28" i="8"/>
  <c r="FS28" i="8"/>
  <c r="FK28" i="8"/>
  <c r="FC28" i="8"/>
  <c r="EU28" i="8"/>
  <c r="FX27" i="8"/>
  <c r="FP27" i="8"/>
  <c r="FH27" i="8"/>
  <c r="EZ27" i="8"/>
  <c r="GC26" i="8"/>
  <c r="FU26" i="8"/>
  <c r="FM26" i="8"/>
  <c r="FE26" i="8"/>
  <c r="EW26" i="8"/>
  <c r="GC17" i="8"/>
  <c r="FU17" i="8"/>
  <c r="FM17" i="8"/>
  <c r="FE17" i="8"/>
  <c r="EW17" i="8"/>
  <c r="FZ16" i="8"/>
  <c r="FR16" i="8"/>
  <c r="FJ16" i="8"/>
  <c r="FB16" i="8"/>
  <c r="GE15" i="8"/>
  <c r="FW15" i="8"/>
  <c r="FO15" i="8"/>
  <c r="FG15" i="8"/>
  <c r="EY15" i="8"/>
  <c r="GB14" i="8"/>
  <c r="FT14" i="8"/>
  <c r="FL14" i="8"/>
  <c r="FD14" i="8"/>
  <c r="EV14" i="8"/>
  <c r="FY13" i="8"/>
  <c r="FQ13" i="8"/>
  <c r="FI13" i="8"/>
  <c r="FA13" i="8"/>
  <c r="GD12" i="8"/>
  <c r="FV12" i="8"/>
  <c r="FN12" i="8"/>
  <c r="FF12" i="8"/>
  <c r="EX12" i="8"/>
  <c r="GT87" i="8"/>
  <c r="GT31" i="8"/>
  <c r="GM28" i="8"/>
  <c r="GT17" i="8"/>
  <c r="ID14" i="8"/>
  <c r="GP14" i="8"/>
  <c r="GS13" i="8"/>
  <c r="HD12" i="8"/>
  <c r="FK87" i="8"/>
  <c r="EZ86" i="8"/>
  <c r="FV32" i="8"/>
  <c r="GA31" i="8"/>
  <c r="FP30" i="8"/>
  <c r="FE29" i="8"/>
  <c r="FB28" i="8"/>
  <c r="EY27" i="8"/>
  <c r="GB17" i="8"/>
  <c r="FQ16" i="8"/>
  <c r="FF15" i="8"/>
  <c r="FX13" i="8"/>
  <c r="FM12" i="8"/>
  <c r="HS87" i="8"/>
  <c r="HS31" i="8"/>
  <c r="GS29" i="8"/>
  <c r="GL26" i="8"/>
  <c r="HL16" i="8"/>
  <c r="IC14" i="8"/>
  <c r="GO14" i="8"/>
  <c r="HH13" i="8"/>
  <c r="HS12" i="8"/>
  <c r="GM12" i="8"/>
  <c r="FW86" i="8"/>
  <c r="EZ33" i="8"/>
  <c r="FZ31" i="8"/>
  <c r="FO30" i="8"/>
  <c r="FD29" i="8"/>
  <c r="FV27" i="8"/>
  <c r="EU26" i="8"/>
  <c r="FC17" i="8"/>
  <c r="GC15" i="8"/>
  <c r="GZ29" i="8"/>
  <c r="GZ15" i="8"/>
  <c r="HQ13" i="8"/>
  <c r="HL12" i="8"/>
  <c r="FS87" i="8"/>
  <c r="FH86" i="8"/>
  <c r="FQ33" i="8"/>
  <c r="FF32" i="8"/>
  <c r="EU31" i="8"/>
  <c r="GC29" i="8"/>
  <c r="FZ28" i="8"/>
  <c r="FO27" i="8"/>
  <c r="FD26" i="8"/>
  <c r="EV17" i="8"/>
  <c r="FV15" i="8"/>
  <c r="FK14" i="8"/>
  <c r="EZ13" i="8"/>
  <c r="EW12" i="8"/>
  <c r="HM33" i="8"/>
  <c r="HF30" i="8"/>
  <c r="GY27" i="8"/>
  <c r="GS17" i="8"/>
  <c r="HU14" i="8"/>
  <c r="GG14" i="8"/>
  <c r="GR13" i="8"/>
  <c r="HK12" i="8"/>
  <c r="FJ87" i="8"/>
  <c r="EY86" i="8"/>
  <c r="FE32" i="8"/>
  <c r="GE30" i="8"/>
  <c r="FT29" i="8"/>
  <c r="FI28" i="8"/>
  <c r="FF27" i="8"/>
  <c r="FC26" i="8"/>
  <c r="FK17" i="8"/>
  <c r="FP16" i="8"/>
  <c r="FE15" i="8"/>
  <c r="FK26" i="8"/>
  <c r="FB14" i="8"/>
  <c r="FL12" i="8"/>
  <c r="GE13" i="8"/>
  <c r="FD12" i="8"/>
  <c r="FW13" i="8"/>
  <c r="EV12" i="8"/>
  <c r="FG13" i="8"/>
  <c r="FO13" i="8"/>
  <c r="EY13" i="8"/>
  <c r="EW15" i="8"/>
  <c r="FJ14" i="8"/>
  <c r="FZ14" i="8"/>
  <c r="FR14" i="8"/>
  <c r="GB12" i="8"/>
  <c r="FT12" i="8"/>
  <c r="ES31" i="8"/>
  <c r="ER31" i="8"/>
  <c r="EQ31" i="8"/>
  <c r="EP31" i="8"/>
  <c r="EO31" i="8"/>
  <c r="EN31" i="8"/>
  <c r="EM31" i="8"/>
  <c r="ET31" i="8"/>
  <c r="EL31" i="8"/>
  <c r="EK31" i="8"/>
  <c r="EJ185" i="8"/>
  <c r="EJ175" i="8"/>
  <c r="EJ153" i="8"/>
  <c r="EJ143" i="8"/>
  <c r="EJ186" i="8"/>
  <c r="EJ184" i="8"/>
  <c r="EJ174" i="8"/>
  <c r="EJ152" i="8"/>
  <c r="EJ142" i="8"/>
  <c r="EJ144" i="8"/>
  <c r="EJ191" i="8"/>
  <c r="EJ173" i="8"/>
  <c r="EJ151" i="8"/>
  <c r="EJ141" i="8"/>
  <c r="EJ190" i="8"/>
  <c r="EJ150" i="8"/>
  <c r="EJ140" i="8"/>
  <c r="EJ189" i="8"/>
  <c r="EJ179" i="8"/>
  <c r="EJ149" i="8"/>
  <c r="EJ139" i="8"/>
  <c r="EJ188" i="8"/>
  <c r="EJ178" i="8"/>
  <c r="EJ138" i="8"/>
  <c r="EJ176" i="8"/>
  <c r="EJ187" i="8"/>
  <c r="EJ177" i="8"/>
  <c r="EJ145" i="8"/>
  <c r="EJ137" i="8"/>
  <c r="IY14" i="8"/>
  <c r="IY27" i="8"/>
  <c r="IY31" i="8"/>
  <c r="IS15" i="8"/>
  <c r="IS28" i="8"/>
  <c r="IS32" i="8"/>
  <c r="IS86" i="8"/>
  <c r="IY13" i="8"/>
  <c r="IY17" i="8"/>
  <c r="IY26" i="8"/>
  <c r="IY30" i="8"/>
  <c r="IS14" i="8"/>
  <c r="IS27" i="8"/>
  <c r="IS31" i="8"/>
  <c r="IY12" i="8"/>
  <c r="IY16" i="8"/>
  <c r="IY29" i="8"/>
  <c r="IY33" i="8"/>
  <c r="IY87" i="8"/>
  <c r="IS13" i="8"/>
  <c r="IS17" i="8"/>
  <c r="IS26" i="8"/>
  <c r="IS30" i="8"/>
  <c r="IY15" i="8"/>
  <c r="IY28" i="8"/>
  <c r="IY32" i="8"/>
  <c r="IY86" i="8"/>
  <c r="IS12" i="8"/>
  <c r="IS16" i="8"/>
  <c r="IS29" i="8"/>
  <c r="IS33" i="8"/>
  <c r="IS87" i="8"/>
  <c r="EQ87" i="8"/>
  <c r="EM87" i="8"/>
  <c r="ET86" i="8"/>
  <c r="EP86" i="8"/>
  <c r="EL86" i="8"/>
  <c r="EQ33" i="8"/>
  <c r="EM33" i="8"/>
  <c r="ET32" i="8"/>
  <c r="EP32" i="8"/>
  <c r="EL32" i="8"/>
  <c r="ER30" i="8"/>
  <c r="EN30" i="8"/>
  <c r="EQ29" i="8"/>
  <c r="EM29" i="8"/>
  <c r="ET28" i="8"/>
  <c r="EP28" i="8"/>
  <c r="EL28" i="8"/>
  <c r="ES27" i="8"/>
  <c r="EO27" i="8"/>
  <c r="EK27" i="8"/>
  <c r="ER26" i="8"/>
  <c r="EN26" i="8"/>
  <c r="ER17" i="8"/>
  <c r="EN17" i="8"/>
  <c r="EQ16" i="8"/>
  <c r="EM16" i="8"/>
  <c r="ET15" i="8"/>
  <c r="EP15" i="8"/>
  <c r="EL15" i="8"/>
  <c r="ES14" i="8"/>
  <c r="EO14" i="8"/>
  <c r="EK14" i="8"/>
  <c r="ER13" i="8"/>
  <c r="EN13" i="8"/>
  <c r="EQ12" i="8"/>
  <c r="EM12" i="8"/>
  <c r="ER33" i="8"/>
  <c r="EM32" i="8"/>
  <c r="ES30" i="8"/>
  <c r="EN29" i="8"/>
  <c r="ET27" i="8"/>
  <c r="EO26" i="8"/>
  <c r="EO17" i="8"/>
  <c r="EN16" i="8"/>
  <c r="ET14" i="8"/>
  <c r="EO13" i="8"/>
  <c r="ET87" i="8"/>
  <c r="EP87" i="8"/>
  <c r="EL87" i="8"/>
  <c r="ES86" i="8"/>
  <c r="EO86" i="8"/>
  <c r="EK86" i="8"/>
  <c r="ET33" i="8"/>
  <c r="EP33" i="8"/>
  <c r="EL33" i="8"/>
  <c r="ES32" i="8"/>
  <c r="EO32" i="8"/>
  <c r="EK32" i="8"/>
  <c r="EQ30" i="8"/>
  <c r="EM30" i="8"/>
  <c r="ET29" i="8"/>
  <c r="EP29" i="8"/>
  <c r="EL29" i="8"/>
  <c r="ES28" i="8"/>
  <c r="EO28" i="8"/>
  <c r="EK28" i="8"/>
  <c r="ER27" i="8"/>
  <c r="EN27" i="8"/>
  <c r="EQ26" i="8"/>
  <c r="EM26" i="8"/>
  <c r="EQ17" i="8"/>
  <c r="EM17" i="8"/>
  <c r="ET16" i="8"/>
  <c r="EP16" i="8"/>
  <c r="EL16" i="8"/>
  <c r="ES15" i="8"/>
  <c r="EO15" i="8"/>
  <c r="EK15" i="8"/>
  <c r="ER14" i="8"/>
  <c r="EN14" i="8"/>
  <c r="EQ13" i="8"/>
  <c r="EM13" i="8"/>
  <c r="ET12" i="8"/>
  <c r="EP12" i="8"/>
  <c r="EL12" i="8"/>
  <c r="EQ32" i="8"/>
  <c r="ER29" i="8"/>
  <c r="EM28" i="8"/>
  <c r="ES26" i="8"/>
  <c r="ER16" i="8"/>
  <c r="EM15" i="8"/>
  <c r="ES13" i="8"/>
  <c r="EN12" i="8"/>
  <c r="ES87" i="8"/>
  <c r="EO87" i="8"/>
  <c r="EK87" i="8"/>
  <c r="ER86" i="8"/>
  <c r="EN86" i="8"/>
  <c r="ES33" i="8"/>
  <c r="EO33" i="8"/>
  <c r="EK33" i="8"/>
  <c r="ER32" i="8"/>
  <c r="EN32" i="8"/>
  <c r="ET30" i="8"/>
  <c r="EP30" i="8"/>
  <c r="EL30" i="8"/>
  <c r="ES29" i="8"/>
  <c r="EO29" i="8"/>
  <c r="EK29" i="8"/>
  <c r="ER28" i="8"/>
  <c r="EN28" i="8"/>
  <c r="EQ27" i="8"/>
  <c r="EM27" i="8"/>
  <c r="ET26" i="8"/>
  <c r="EP26" i="8"/>
  <c r="EL26" i="8"/>
  <c r="ET17" i="8"/>
  <c r="EP17" i="8"/>
  <c r="EL17" i="8"/>
  <c r="ES16" i="8"/>
  <c r="EO16" i="8"/>
  <c r="EK16" i="8"/>
  <c r="ER15" i="8"/>
  <c r="EN15" i="8"/>
  <c r="EQ14" i="8"/>
  <c r="EM14" i="8"/>
  <c r="ET13" i="8"/>
  <c r="EP13" i="8"/>
  <c r="EL13" i="8"/>
  <c r="ES12" i="8"/>
  <c r="EO12" i="8"/>
  <c r="EK12" i="8"/>
  <c r="EK30" i="8"/>
  <c r="EQ28" i="8"/>
  <c r="EL27" i="8"/>
  <c r="EK17" i="8"/>
  <c r="EQ15" i="8"/>
  <c r="EL14" i="8"/>
  <c r="ER12" i="8"/>
  <c r="ER87" i="8"/>
  <c r="EN87" i="8"/>
  <c r="EQ86" i="8"/>
  <c r="EM86" i="8"/>
  <c r="EN33" i="8"/>
  <c r="EO30" i="8"/>
  <c r="EP27" i="8"/>
  <c r="EK26" i="8"/>
  <c r="ES17" i="8"/>
  <c r="EP14" i="8"/>
  <c r="EK13" i="8"/>
  <c r="IM12" i="8"/>
  <c r="IM16" i="8"/>
  <c r="IM29" i="8"/>
  <c r="IM33" i="8"/>
  <c r="IM87" i="8"/>
  <c r="IM15" i="8"/>
  <c r="IM28" i="8"/>
  <c r="IM32" i="8"/>
  <c r="IM86" i="8"/>
  <c r="IM14" i="8"/>
  <c r="IM27" i="8"/>
  <c r="IM31" i="8"/>
  <c r="IM13" i="8"/>
  <c r="IM17" i="8"/>
  <c r="IM26" i="8"/>
  <c r="IM30" i="8"/>
  <c r="IG14" i="8"/>
  <c r="IG27" i="8"/>
  <c r="IG31" i="8"/>
  <c r="IG15" i="8"/>
  <c r="IG28" i="8"/>
  <c r="IG32" i="8"/>
  <c r="IG86" i="8"/>
  <c r="IG17" i="8"/>
  <c r="IG26" i="8"/>
  <c r="IG12" i="8"/>
  <c r="IG16" i="8"/>
  <c r="IG29" i="8"/>
  <c r="IG33" i="8"/>
  <c r="IG87" i="8"/>
  <c r="IG13" i="8"/>
  <c r="IG30" i="8"/>
  <c r="HK194" i="8" l="1"/>
  <c r="GU194" i="8"/>
  <c r="HV194" i="8"/>
  <c r="HD194" i="8"/>
  <c r="GH194" i="8"/>
  <c r="HE194" i="8"/>
  <c r="HN194" i="8"/>
  <c r="HT194" i="8"/>
  <c r="HG194" i="8"/>
  <c r="FP194" i="8"/>
  <c r="FH194" i="8"/>
  <c r="FI194" i="8"/>
  <c r="HB194" i="8"/>
  <c r="IB194" i="8"/>
  <c r="GA194" i="8"/>
  <c r="FB194" i="8"/>
  <c r="HM194" i="8"/>
  <c r="EZ194" i="8"/>
  <c r="HO194" i="8"/>
  <c r="FQ194" i="8"/>
  <c r="FY194" i="8"/>
  <c r="FJ194" i="8"/>
  <c r="GK194" i="8"/>
  <c r="HJ194" i="8"/>
  <c r="FD194" i="8"/>
  <c r="EW194" i="8"/>
  <c r="HU194" i="8"/>
  <c r="IA194" i="8"/>
  <c r="EY194" i="8"/>
  <c r="ID194" i="8"/>
  <c r="HW194" i="8"/>
  <c r="GJ194" i="8"/>
  <c r="FR194" i="8"/>
  <c r="GS194" i="8"/>
  <c r="HR194" i="8"/>
  <c r="GN194" i="8"/>
  <c r="FL194" i="8"/>
  <c r="EX194" i="8"/>
  <c r="IC194" i="8"/>
  <c r="FU194" i="8"/>
  <c r="FG194" i="8"/>
  <c r="GR194" i="8"/>
  <c r="FZ194" i="8"/>
  <c r="HA194" i="8"/>
  <c r="FE194" i="8"/>
  <c r="HZ194" i="8"/>
  <c r="GM194" i="8"/>
  <c r="FF194" i="8"/>
  <c r="FO194" i="8"/>
  <c r="GZ194" i="8"/>
  <c r="GV194" i="8"/>
  <c r="HI194" i="8"/>
  <c r="EU194" i="8"/>
  <c r="HS194" i="8"/>
  <c r="FN194" i="8"/>
  <c r="GG194" i="8"/>
  <c r="FW194" i="8"/>
  <c r="GP194" i="8"/>
  <c r="GI194" i="8"/>
  <c r="HH194" i="8"/>
  <c r="HQ194" i="8"/>
  <c r="FX194" i="8"/>
  <c r="FC194" i="8"/>
  <c r="FM194" i="8"/>
  <c r="FV194" i="8"/>
  <c r="GO194" i="8"/>
  <c r="GE194" i="8"/>
  <c r="GX194" i="8"/>
  <c r="GQ194" i="8"/>
  <c r="HP194" i="8"/>
  <c r="HC194" i="8"/>
  <c r="HY194" i="8"/>
  <c r="FK194" i="8"/>
  <c r="GL194" i="8"/>
  <c r="IF194" i="8"/>
  <c r="FT194" i="8"/>
  <c r="GB194" i="8"/>
  <c r="EV194" i="8"/>
  <c r="HL194" i="8"/>
  <c r="GD194" i="8"/>
  <c r="GW194" i="8"/>
  <c r="HF194" i="8"/>
  <c r="GY194" i="8"/>
  <c r="GF194" i="8"/>
  <c r="HX194" i="8"/>
  <c r="GC194" i="8"/>
  <c r="FA194" i="8"/>
  <c r="FS194" i="8"/>
  <c r="GT194" i="8"/>
  <c r="IE194" i="8"/>
  <c r="IM194" i="8"/>
  <c r="IY194" i="8"/>
  <c r="IG194" i="8"/>
  <c r="IS194" i="8"/>
  <c r="EJ194" i="8"/>
  <c r="EO194" i="8"/>
  <c r="ER194" i="8"/>
  <c r="EN194" i="8"/>
  <c r="EL194" i="8"/>
  <c r="EK194" i="8"/>
  <c r="EP194" i="8"/>
  <c r="EM194" i="8"/>
  <c r="ET194" i="8"/>
  <c r="EQ194" i="8"/>
  <c r="ES194" i="8"/>
  <c r="K2" i="17" a="1"/>
  <c r="K2" i="17" l="1"/>
  <c r="K5" i="17"/>
  <c r="K4" i="17"/>
  <c r="K3" i="17"/>
  <c r="JH4" i="8" l="1"/>
  <c r="JJ109" i="8"/>
  <c r="JJ124" i="8"/>
  <c r="JI176" i="8"/>
  <c r="JI140" i="8"/>
  <c r="JH142" i="8"/>
  <c r="JJ160" i="8"/>
  <c r="JH118" i="8"/>
  <c r="JI107" i="8"/>
  <c r="JG177" i="8"/>
  <c r="JI157" i="8"/>
  <c r="JH158" i="8"/>
  <c r="JJ125" i="8"/>
  <c r="JH102" i="8"/>
  <c r="JI182" i="8"/>
  <c r="JJ123" i="8"/>
  <c r="JJ94" i="8"/>
  <c r="JH171" i="8"/>
  <c r="JG114" i="8"/>
  <c r="JJ122" i="8"/>
  <c r="JI105" i="8"/>
  <c r="JI101" i="8"/>
  <c r="JG123" i="8"/>
  <c r="JI174" i="8"/>
  <c r="JG103" i="8"/>
  <c r="JI94" i="8"/>
  <c r="JH133" i="8"/>
  <c r="JH185" i="8"/>
  <c r="JI110" i="8"/>
  <c r="JH156" i="8"/>
  <c r="JG143" i="8"/>
  <c r="JH177" i="8"/>
  <c r="JJ141" i="8"/>
  <c r="JH161" i="8"/>
  <c r="JJ118" i="8"/>
  <c r="JG153" i="8"/>
  <c r="JH165" i="8"/>
  <c r="JI122" i="8"/>
  <c r="JG174" i="8"/>
  <c r="JG100" i="8"/>
  <c r="JG139" i="8"/>
  <c r="JH122" i="8"/>
  <c r="JH170" i="8"/>
  <c r="JJ175" i="8"/>
  <c r="JG105" i="8"/>
  <c r="JJ157" i="8"/>
  <c r="JH100" i="8"/>
  <c r="JJ150" i="8"/>
  <c r="JJ174" i="8"/>
  <c r="JG185" i="8"/>
  <c r="JG110" i="8"/>
  <c r="JJ172" i="8"/>
  <c r="JI148" i="8"/>
  <c r="JI141" i="8"/>
  <c r="JI128" i="8"/>
  <c r="JH184" i="8"/>
  <c r="JG186" i="8"/>
  <c r="JG166" i="8"/>
  <c r="JH149" i="8"/>
  <c r="JI116" i="8"/>
  <c r="JG106" i="8"/>
  <c r="JJ121" i="8"/>
  <c r="JG111" i="8"/>
  <c r="JJ126" i="8"/>
  <c r="JH128" i="8"/>
  <c r="JG138" i="8"/>
  <c r="JI138" i="8"/>
  <c r="JH101" i="8"/>
  <c r="JI93" i="8"/>
  <c r="JG184" i="8"/>
  <c r="JG132" i="8"/>
  <c r="JJ132" i="8"/>
  <c r="JH150" i="8"/>
  <c r="JJ176" i="8"/>
  <c r="JH173" i="8"/>
  <c r="JG176" i="8"/>
  <c r="JJ171" i="8"/>
  <c r="JH189" i="8"/>
  <c r="JI144" i="8"/>
  <c r="JJ99" i="8"/>
  <c r="JH160" i="8"/>
  <c r="JJ139" i="8"/>
  <c r="JG145" i="8"/>
  <c r="JJ101" i="8"/>
  <c r="JG191" i="8"/>
  <c r="JH103" i="8"/>
  <c r="JG175" i="8"/>
  <c r="JG192" i="8"/>
  <c r="JG141" i="8"/>
  <c r="JH192" i="8"/>
  <c r="JI172" i="8"/>
  <c r="JH190" i="8"/>
  <c r="JI188" i="8"/>
  <c r="JG128" i="8"/>
  <c r="JI121" i="8"/>
  <c r="JG160" i="8"/>
  <c r="JJ137" i="8"/>
  <c r="JH106" i="8"/>
  <c r="JJ110" i="8"/>
  <c r="JH94" i="8"/>
  <c r="JJ155" i="8"/>
  <c r="JG154" i="8"/>
  <c r="JI127" i="8"/>
  <c r="JI190" i="8"/>
  <c r="JI170" i="8"/>
  <c r="JJ102" i="8"/>
  <c r="JG149" i="8"/>
  <c r="JJ189" i="8"/>
  <c r="JJ104" i="8"/>
  <c r="JJ115" i="8"/>
  <c r="JI150" i="8"/>
  <c r="JJ185" i="8"/>
  <c r="JG155" i="8"/>
  <c r="JJ180" i="8"/>
  <c r="JJ192" i="8"/>
  <c r="JH143" i="8"/>
  <c r="JJ131" i="8"/>
  <c r="JG121" i="8"/>
  <c r="JI115" i="8"/>
  <c r="JG190" i="8"/>
  <c r="JG150" i="8"/>
  <c r="JH127" i="8"/>
  <c r="JG171" i="8"/>
  <c r="JI133" i="8"/>
  <c r="JH105" i="8"/>
  <c r="JJ114" i="8"/>
  <c r="JG95" i="8"/>
  <c r="JG119" i="8"/>
  <c r="JH144" i="8"/>
  <c r="JG161" i="8"/>
  <c r="JJ149" i="8"/>
  <c r="JI154" i="8"/>
  <c r="JJ127" i="8"/>
  <c r="JG101" i="8"/>
  <c r="JH155" i="8"/>
  <c r="JI166" i="8"/>
  <c r="JI95" i="8"/>
  <c r="JJ143" i="8"/>
  <c r="JI125" i="8"/>
  <c r="JG126" i="8"/>
  <c r="JJ165" i="8"/>
  <c r="JJ140" i="8"/>
  <c r="JG144" i="8"/>
  <c r="JJ106" i="8"/>
  <c r="JI155" i="8"/>
  <c r="JJ116" i="8"/>
  <c r="JI132" i="8"/>
  <c r="JJ156" i="8"/>
  <c r="JH174" i="8"/>
  <c r="JI126" i="8"/>
  <c r="JG98" i="8"/>
  <c r="JI100" i="8"/>
  <c r="JI186" i="8"/>
  <c r="JH104" i="8"/>
  <c r="JI118" i="8"/>
  <c r="JI143" i="8"/>
  <c r="JI167" i="8"/>
  <c r="JI111" i="8"/>
  <c r="JI160" i="8"/>
  <c r="JH154" i="8"/>
  <c r="JG118" i="8"/>
  <c r="JI104" i="8"/>
  <c r="JJ105" i="8"/>
  <c r="JH187" i="8"/>
  <c r="JJ111" i="8"/>
  <c r="JJ153" i="8"/>
  <c r="JH121" i="8"/>
  <c r="JH167" i="8"/>
  <c r="JJ166" i="8"/>
  <c r="JI165" i="8"/>
  <c r="JG122" i="8"/>
  <c r="JH176" i="8"/>
  <c r="JH148" i="8"/>
  <c r="JH157" i="8"/>
  <c r="JG104" i="8"/>
  <c r="JH109" i="8"/>
  <c r="JJ190" i="8"/>
  <c r="JG137" i="8"/>
  <c r="JI137" i="8"/>
  <c r="JG172" i="8"/>
  <c r="JI123" i="8"/>
  <c r="JG116" i="8"/>
  <c r="JI156" i="8"/>
  <c r="JI192" i="8"/>
  <c r="JI136" i="8"/>
  <c r="JJ100" i="8"/>
  <c r="JJ182" i="8"/>
  <c r="JH99" i="8"/>
  <c r="JG94" i="8"/>
  <c r="JJ191" i="8"/>
  <c r="JH138" i="8"/>
  <c r="JL192" i="8" l="1"/>
  <c r="JM192" i="8"/>
  <c r="JN192" i="8"/>
  <c r="JO192" i="8"/>
  <c r="JL94" i="8"/>
  <c r="JM94" i="8"/>
  <c r="JO100" i="8"/>
  <c r="JN101" i="8"/>
  <c r="JL110" i="8"/>
  <c r="JO116" i="8"/>
  <c r="JL118" i="8"/>
  <c r="JM118" i="8"/>
  <c r="JL126" i="8"/>
  <c r="JO132" i="8"/>
  <c r="JN133" i="8"/>
  <c r="JO140" i="8"/>
  <c r="JO148" i="8"/>
  <c r="JL150" i="8"/>
  <c r="JM150" i="8"/>
  <c r="JO156" i="8"/>
  <c r="JN157" i="8"/>
  <c r="JN165" i="8"/>
  <c r="JL166" i="8"/>
  <c r="JO172" i="8"/>
  <c r="JM174" i="8"/>
  <c r="JL174" i="8"/>
  <c r="JN94" i="8"/>
  <c r="JL95" i="8"/>
  <c r="JO101" i="8"/>
  <c r="JM103" i="8"/>
  <c r="JL103" i="8"/>
  <c r="JL111" i="8"/>
  <c r="JN118" i="8"/>
  <c r="JL119" i="8"/>
  <c r="JO125" i="8"/>
  <c r="JO133" i="8"/>
  <c r="JO141" i="8"/>
  <c r="JM143" i="8"/>
  <c r="JL143" i="8"/>
  <c r="JN150" i="8"/>
  <c r="JO157" i="8"/>
  <c r="JO165" i="8"/>
  <c r="JN174" i="8"/>
  <c r="JL175" i="8"/>
  <c r="JO94" i="8"/>
  <c r="JL104" i="8"/>
  <c r="JM104" i="8"/>
  <c r="JO110" i="8"/>
  <c r="JO118" i="8"/>
  <c r="JO126" i="8"/>
  <c r="JN127" i="8"/>
  <c r="JM128" i="8"/>
  <c r="JL128" i="8"/>
  <c r="JN143" i="8"/>
  <c r="JL144" i="8"/>
  <c r="JM144" i="8"/>
  <c r="JO150" i="8"/>
  <c r="JL160" i="8"/>
  <c r="JM160" i="8"/>
  <c r="JO166" i="8"/>
  <c r="JN167" i="8"/>
  <c r="JO174" i="8"/>
  <c r="JL176" i="8"/>
  <c r="JM176" i="8"/>
  <c r="JO182" i="8"/>
  <c r="JO95" i="8"/>
  <c r="JN104" i="8"/>
  <c r="JM105" i="8"/>
  <c r="JL105" i="8"/>
  <c r="JO111" i="8"/>
  <c r="JM121" i="8"/>
  <c r="JL121" i="8"/>
  <c r="JO127" i="8"/>
  <c r="JN128" i="8"/>
  <c r="JL137" i="8"/>
  <c r="JO143" i="8"/>
  <c r="JN144" i="8"/>
  <c r="JL145" i="8"/>
  <c r="JL153" i="8"/>
  <c r="JN160" i="8"/>
  <c r="JM161" i="8"/>
  <c r="JL161" i="8"/>
  <c r="JO167" i="8"/>
  <c r="JN176" i="8"/>
  <c r="JM177" i="8"/>
  <c r="JL177" i="8"/>
  <c r="JL98" i="8"/>
  <c r="JO104" i="8"/>
  <c r="JN105" i="8"/>
  <c r="JL106" i="8"/>
  <c r="JM106" i="8"/>
  <c r="JL114" i="8"/>
  <c r="JN121" i="8"/>
  <c r="JL122" i="8"/>
  <c r="JM122" i="8"/>
  <c r="JO128" i="8"/>
  <c r="JO136" i="8"/>
  <c r="JL138" i="8"/>
  <c r="JM138" i="8"/>
  <c r="JO144" i="8"/>
  <c r="JL154" i="8"/>
  <c r="JM154" i="8"/>
  <c r="JO160" i="8"/>
  <c r="JO176" i="8"/>
  <c r="JO105" i="8"/>
  <c r="JO121" i="8"/>
  <c r="JN122" i="8"/>
  <c r="JL123" i="8"/>
  <c r="JO137" i="8"/>
  <c r="JN138" i="8"/>
  <c r="JL139" i="8"/>
  <c r="JN154" i="8"/>
  <c r="JM155" i="8"/>
  <c r="JL155" i="8"/>
  <c r="JN170" i="8"/>
  <c r="JM171" i="8"/>
  <c r="JL171" i="8"/>
  <c r="JM100" i="8"/>
  <c r="JL100" i="8"/>
  <c r="JL116" i="8"/>
  <c r="JO122" i="8"/>
  <c r="JL132" i="8"/>
  <c r="JO138" i="8"/>
  <c r="JO154" i="8"/>
  <c r="JN155" i="8"/>
  <c r="JO170" i="8"/>
  <c r="JL172" i="8"/>
  <c r="JO186" i="8"/>
  <c r="JO188" i="8"/>
  <c r="JM190" i="8"/>
  <c r="JL190" i="8"/>
  <c r="JL141" i="8"/>
  <c r="JN148" i="8"/>
  <c r="JO155" i="8"/>
  <c r="JN190" i="8"/>
  <c r="JL191" i="8"/>
  <c r="JO123" i="8"/>
  <c r="JL149" i="8"/>
  <c r="JM149" i="8"/>
  <c r="JN156" i="8"/>
  <c r="JL184" i="8"/>
  <c r="JM184" i="8"/>
  <c r="JO190" i="8"/>
  <c r="JN100" i="8"/>
  <c r="JO107" i="8"/>
  <c r="JM185" i="8"/>
  <c r="JL185" i="8"/>
  <c r="JL101" i="8"/>
  <c r="JM101" i="8"/>
  <c r="JO115" i="8"/>
  <c r="JL186" i="8"/>
  <c r="JO93" i="8"/>
  <c r="IS6" i="8"/>
  <c r="IM6" i="8"/>
  <c r="ET6" i="8"/>
  <c r="ET5" i="8"/>
  <c r="ES6" i="8"/>
  <c r="ES5" i="8"/>
  <c r="ER6" i="8"/>
  <c r="ER5" i="8"/>
  <c r="EQ6" i="8"/>
  <c r="EQ5" i="8"/>
  <c r="EP6" i="8"/>
  <c r="EP5" i="8"/>
  <c r="EO6" i="8"/>
  <c r="EO5" i="8"/>
  <c r="EN6" i="8"/>
  <c r="EN5" i="8"/>
  <c r="EB4" i="8"/>
  <c r="JB4" i="8" s="1"/>
  <c r="DU4" i="8"/>
  <c r="IV4" i="8" s="1"/>
  <c r="DN4" i="8"/>
  <c r="IP4" i="8" s="1"/>
  <c r="DG4" i="8"/>
  <c r="IJ4" i="8" s="1"/>
  <c r="JI183" i="8"/>
  <c r="JJ186" i="8"/>
  <c r="JJ129" i="8"/>
  <c r="JG124" i="8"/>
  <c r="JJ169" i="8"/>
  <c r="JG131" i="8"/>
  <c r="JG129" i="8"/>
  <c r="JH180" i="8"/>
  <c r="JH111" i="8"/>
  <c r="JG156" i="8"/>
  <c r="JJ170" i="8"/>
  <c r="JG168" i="8"/>
  <c r="JJ187" i="8"/>
  <c r="JI149" i="8"/>
  <c r="JG162" i="8"/>
  <c r="JG182" i="8"/>
  <c r="JI151" i="8"/>
  <c r="JH153" i="8"/>
  <c r="JI153" i="8"/>
  <c r="JH114" i="8"/>
  <c r="JJ98" i="8"/>
  <c r="JG115" i="8"/>
  <c r="JJ158" i="8"/>
  <c r="JH178" i="8"/>
  <c r="JG163" i="8"/>
  <c r="JG170" i="8"/>
  <c r="JI162" i="8"/>
  <c r="JH175" i="8"/>
  <c r="JG97" i="8"/>
  <c r="JH124" i="8"/>
  <c r="JH186" i="8"/>
  <c r="JI168" i="8"/>
  <c r="JJ184" i="8"/>
  <c r="JI146" i="8"/>
  <c r="JI106" i="8"/>
  <c r="JI152" i="8"/>
  <c r="JI131" i="8"/>
  <c r="JH146" i="8"/>
  <c r="JH110" i="8"/>
  <c r="JG173" i="8"/>
  <c r="JI177" i="8"/>
  <c r="JJ178" i="8"/>
  <c r="JH168" i="8"/>
  <c r="JJ163" i="8"/>
  <c r="JI145" i="8"/>
  <c r="JH97" i="8"/>
  <c r="JG157" i="8"/>
  <c r="JI178" i="8"/>
  <c r="JI187" i="8"/>
  <c r="JI173" i="8"/>
  <c r="JH162" i="8"/>
  <c r="JH191" i="8"/>
  <c r="JH98" i="8"/>
  <c r="JG96" i="8"/>
  <c r="JG113" i="8"/>
  <c r="JJ95" i="8"/>
  <c r="JI179" i="8"/>
  <c r="JG148" i="8"/>
  <c r="JI158" i="8"/>
  <c r="JH112" i="8"/>
  <c r="JJ152" i="8"/>
  <c r="JG109" i="8"/>
  <c r="JH96" i="8"/>
  <c r="JH119" i="8"/>
  <c r="JG133" i="8"/>
  <c r="JG180" i="8"/>
  <c r="JI161" i="8"/>
  <c r="JG188" i="8"/>
  <c r="JI169" i="8"/>
  <c r="JG179" i="8"/>
  <c r="JH125" i="8"/>
  <c r="JJ154" i="8"/>
  <c r="JG178" i="8"/>
  <c r="JI97" i="8"/>
  <c r="JI180" i="8"/>
  <c r="JH123" i="8"/>
  <c r="JH137" i="8"/>
  <c r="JI189" i="8"/>
  <c r="JG93" i="8"/>
  <c r="JI175" i="8"/>
  <c r="JJ144" i="8"/>
  <c r="JH136" i="8"/>
  <c r="JI102" i="8"/>
  <c r="JG142" i="8"/>
  <c r="JH183" i="8"/>
  <c r="JG167" i="8"/>
  <c r="JJ179" i="8"/>
  <c r="JH152" i="8"/>
  <c r="JI130" i="8"/>
  <c r="JI124" i="8"/>
  <c r="JJ146" i="8"/>
  <c r="JG125" i="8"/>
  <c r="JG136" i="8"/>
  <c r="JI109" i="8"/>
  <c r="JG165" i="8"/>
  <c r="JJ138" i="8"/>
  <c r="JI98" i="8"/>
  <c r="JJ113" i="8"/>
  <c r="JH166" i="8"/>
  <c r="JJ103" i="8"/>
  <c r="JG146" i="8"/>
  <c r="JH188" i="8"/>
  <c r="JI163" i="8"/>
  <c r="JG187" i="8"/>
  <c r="JH132" i="8"/>
  <c r="JH131" i="8"/>
  <c r="JH151" i="8"/>
  <c r="JH107" i="8"/>
  <c r="JH169" i="8"/>
  <c r="JJ151" i="8"/>
  <c r="JG183" i="8"/>
  <c r="JH163" i="8"/>
  <c r="JJ177" i="8"/>
  <c r="JH115" i="8"/>
  <c r="JH113" i="8"/>
  <c r="JG130" i="8"/>
  <c r="JJ128" i="8"/>
  <c r="JI142" i="8"/>
  <c r="JI119" i="8"/>
  <c r="JH130" i="8"/>
  <c r="JG152" i="8"/>
  <c r="JH141" i="8"/>
  <c r="JJ168" i="8"/>
  <c r="JG189" i="8"/>
  <c r="JJ107" i="8"/>
  <c r="JH172" i="8"/>
  <c r="JH129" i="8"/>
  <c r="JJ119" i="8"/>
  <c r="JI114" i="8"/>
  <c r="JI112" i="8"/>
  <c r="JH140" i="8"/>
  <c r="JH179" i="8"/>
  <c r="JJ161" i="8"/>
  <c r="JI96" i="8"/>
  <c r="JI184" i="8"/>
  <c r="JG107" i="8"/>
  <c r="JJ167" i="8"/>
  <c r="JH95" i="8"/>
  <c r="JJ130" i="8"/>
  <c r="JJ97" i="8"/>
  <c r="JJ133" i="8"/>
  <c r="JI113" i="8"/>
  <c r="JH93" i="8"/>
  <c r="JJ145" i="8"/>
  <c r="JI171" i="8"/>
  <c r="JG151" i="8"/>
  <c r="JI139" i="8"/>
  <c r="JI185" i="8"/>
  <c r="JG169" i="8"/>
  <c r="JG112" i="8"/>
  <c r="JI191" i="8"/>
  <c r="JI103" i="8"/>
  <c r="JJ148" i="8"/>
  <c r="JG99" i="8"/>
  <c r="JJ136" i="8"/>
  <c r="JH182" i="8"/>
  <c r="JJ173" i="8"/>
  <c r="JH126" i="8"/>
  <c r="JG140" i="8"/>
  <c r="JI99" i="8"/>
  <c r="JJ162" i="8"/>
  <c r="JI129" i="8"/>
  <c r="JJ96" i="8"/>
  <c r="JH145" i="8"/>
  <c r="JH139" i="8"/>
  <c r="JJ142" i="8"/>
  <c r="JJ112" i="8"/>
  <c r="JH116" i="8"/>
  <c r="JG102" i="8"/>
  <c r="JJ188" i="8"/>
  <c r="JG127" i="8"/>
  <c r="JG158" i="8"/>
  <c r="JJ183" i="8"/>
  <c r="JJ93" i="8"/>
  <c r="JP101" i="8" l="1"/>
  <c r="JP100" i="8"/>
  <c r="JP121" i="8"/>
  <c r="JP176" i="8"/>
  <c r="JP144" i="8"/>
  <c r="JP143" i="8"/>
  <c r="JP122" i="8"/>
  <c r="JP104" i="8"/>
  <c r="JP154" i="8"/>
  <c r="JP105" i="8"/>
  <c r="JP128" i="8"/>
  <c r="JP94" i="8"/>
  <c r="JP190" i="8"/>
  <c r="JP118" i="8"/>
  <c r="JP155" i="8"/>
  <c r="JP138" i="8"/>
  <c r="JP160" i="8"/>
  <c r="JP174" i="8"/>
  <c r="JP150" i="8"/>
  <c r="JP192" i="8"/>
  <c r="JO189" i="8"/>
  <c r="JN189" i="8"/>
  <c r="JO98" i="8"/>
  <c r="JM137" i="8"/>
  <c r="JN137" i="8"/>
  <c r="JM175" i="8"/>
  <c r="JN175" i="8"/>
  <c r="JL187" i="8"/>
  <c r="JM187" i="8"/>
  <c r="JO131" i="8"/>
  <c r="JN130" i="8"/>
  <c r="JM169" i="8"/>
  <c r="JL169" i="8"/>
  <c r="JL112" i="8"/>
  <c r="JM112" i="8"/>
  <c r="JM142" i="8"/>
  <c r="JL142" i="8"/>
  <c r="JL124" i="8"/>
  <c r="JM124" i="8"/>
  <c r="JN112" i="8"/>
  <c r="JM116" i="8"/>
  <c r="JN116" i="8"/>
  <c r="JN161" i="8"/>
  <c r="JO161" i="8"/>
  <c r="JO169" i="8"/>
  <c r="JN158" i="8"/>
  <c r="JO158" i="8"/>
  <c r="JM131" i="8"/>
  <c r="JL131" i="8"/>
  <c r="JO178" i="8"/>
  <c r="JO162" i="8"/>
  <c r="JO113" i="8"/>
  <c r="JN152" i="8"/>
  <c r="JL96" i="8"/>
  <c r="JM96" i="8"/>
  <c r="JN125" i="8"/>
  <c r="JO139" i="8"/>
  <c r="JN107" i="8"/>
  <c r="JL146" i="8"/>
  <c r="JM146" i="8"/>
  <c r="JN96" i="8"/>
  <c r="JN126" i="8"/>
  <c r="JM126" i="8"/>
  <c r="JL165" i="8"/>
  <c r="JM165" i="8"/>
  <c r="JM188" i="8"/>
  <c r="JL188" i="8"/>
  <c r="JO184" i="8"/>
  <c r="JN184" i="8"/>
  <c r="JO153" i="8"/>
  <c r="JN142" i="8"/>
  <c r="JO142" i="8"/>
  <c r="JN182" i="8"/>
  <c r="JN163" i="8"/>
  <c r="JM114" i="8"/>
  <c r="JN114" i="8"/>
  <c r="JM186" i="8"/>
  <c r="JN186" i="8"/>
  <c r="JO97" i="8"/>
  <c r="JN136" i="8"/>
  <c r="JL167" i="8"/>
  <c r="JM167" i="8"/>
  <c r="JL180" i="8"/>
  <c r="JM180" i="8"/>
  <c r="JN178" i="8"/>
  <c r="JN129" i="8"/>
  <c r="JM168" i="8"/>
  <c r="JL168" i="8"/>
  <c r="JO109" i="8"/>
  <c r="JN109" i="8"/>
  <c r="JO191" i="8"/>
  <c r="JN187" i="8"/>
  <c r="JO187" i="8"/>
  <c r="JN179" i="8"/>
  <c r="JO175" i="8"/>
  <c r="JM119" i="8"/>
  <c r="JN119" i="8"/>
  <c r="JL125" i="8"/>
  <c r="JM125" i="8"/>
  <c r="JO146" i="8"/>
  <c r="JM98" i="8"/>
  <c r="JN98" i="8"/>
  <c r="JN180" i="8"/>
  <c r="JO168" i="8"/>
  <c r="JM113" i="8"/>
  <c r="JL113" i="8"/>
  <c r="JO149" i="8"/>
  <c r="JN149" i="8"/>
  <c r="JL93" i="8"/>
  <c r="JM93" i="8"/>
  <c r="JN162" i="8"/>
  <c r="JO112" i="8"/>
  <c r="JN151" i="8"/>
  <c r="JM157" i="8"/>
  <c r="JL157" i="8"/>
  <c r="JM156" i="8"/>
  <c r="JL156" i="8"/>
  <c r="JL107" i="8"/>
  <c r="JM107" i="8"/>
  <c r="JO183" i="8"/>
  <c r="JM115" i="8"/>
  <c r="JL115" i="8"/>
  <c r="JN102" i="8"/>
  <c r="JO102" i="8"/>
  <c r="JM182" i="8"/>
  <c r="JL182" i="8"/>
  <c r="JO130" i="8"/>
  <c r="JN169" i="8"/>
  <c r="JO179" i="8"/>
  <c r="JM97" i="8"/>
  <c r="JL97" i="8"/>
  <c r="JL127" i="8"/>
  <c r="JM127" i="8"/>
  <c r="JN172" i="8"/>
  <c r="JM172" i="8"/>
  <c r="JL133" i="8"/>
  <c r="JM133" i="8"/>
  <c r="JO145" i="8"/>
  <c r="JO96" i="8"/>
  <c r="JL158" i="8"/>
  <c r="JM158" i="8"/>
  <c r="JM191" i="8"/>
  <c r="JN191" i="8"/>
  <c r="JN139" i="8"/>
  <c r="JM139" i="8"/>
  <c r="JL178" i="8"/>
  <c r="JM178" i="8"/>
  <c r="JL189" i="8"/>
  <c r="JM189" i="8"/>
  <c r="JL148" i="8"/>
  <c r="JM148" i="8"/>
  <c r="JM99" i="8"/>
  <c r="JL99" i="8"/>
  <c r="JN173" i="8"/>
  <c r="JO173" i="8"/>
  <c r="JN188" i="8"/>
  <c r="JO114" i="8"/>
  <c r="JO152" i="8"/>
  <c r="JM183" i="8"/>
  <c r="JL183" i="8"/>
  <c r="JL179" i="8"/>
  <c r="JM179" i="8"/>
  <c r="JL130" i="8"/>
  <c r="JM130" i="8"/>
  <c r="JN110" i="8"/>
  <c r="JM110" i="8"/>
  <c r="JL173" i="8"/>
  <c r="JM173" i="8"/>
  <c r="JN124" i="8"/>
  <c r="JO129" i="8"/>
  <c r="JN168" i="8"/>
  <c r="JN111" i="8"/>
  <c r="JM111" i="8"/>
  <c r="JN141" i="8"/>
  <c r="JM141" i="8"/>
  <c r="JO163" i="8"/>
  <c r="JN123" i="8"/>
  <c r="JM123" i="8"/>
  <c r="JL162" i="8"/>
  <c r="JM162" i="8"/>
  <c r="JN183" i="8"/>
  <c r="JN131" i="8"/>
  <c r="JM170" i="8"/>
  <c r="JL170" i="8"/>
  <c r="JO119" i="8"/>
  <c r="JL151" i="8"/>
  <c r="JM151" i="8"/>
  <c r="JN93" i="8"/>
  <c r="JM132" i="8"/>
  <c r="JN132" i="8"/>
  <c r="JL163" i="8"/>
  <c r="JM163" i="8"/>
  <c r="JN113" i="8"/>
  <c r="JL152" i="8"/>
  <c r="JM152" i="8"/>
  <c r="JO180" i="8"/>
  <c r="JO171" i="8"/>
  <c r="JN171" i="8"/>
  <c r="JO151" i="8"/>
  <c r="JN95" i="8"/>
  <c r="JM95" i="8"/>
  <c r="JO124" i="8"/>
  <c r="JO185" i="8"/>
  <c r="JN185" i="8"/>
  <c r="JN106" i="8"/>
  <c r="JO106" i="8"/>
  <c r="JM145" i="8"/>
  <c r="JN145" i="8"/>
  <c r="JN99" i="8"/>
  <c r="JO99" i="8"/>
  <c r="JN115" i="8"/>
  <c r="JM153" i="8"/>
  <c r="JN153" i="8"/>
  <c r="JO103" i="8"/>
  <c r="JN103" i="8"/>
  <c r="JN140" i="8"/>
  <c r="JN146" i="8"/>
  <c r="JN97" i="8"/>
  <c r="JL136" i="8"/>
  <c r="JM136" i="8"/>
  <c r="JL109" i="8"/>
  <c r="JM109" i="8"/>
  <c r="JL140" i="8"/>
  <c r="JM140" i="8"/>
  <c r="JM129" i="8"/>
  <c r="JL129" i="8"/>
  <c r="JN166" i="8"/>
  <c r="JM166" i="8"/>
  <c r="JL102" i="8"/>
  <c r="JM102" i="8"/>
  <c r="JN177" i="8"/>
  <c r="JO177" i="8"/>
  <c r="EM5" i="8"/>
  <c r="EL5" i="8"/>
  <c r="EK5" i="8"/>
  <c r="EJ5" i="8"/>
  <c r="IG6" i="8"/>
  <c r="EM6" i="8"/>
  <c r="EL6" i="8"/>
  <c r="EK6" i="8"/>
  <c r="EJ6" i="8"/>
  <c r="JG19" i="8"/>
  <c r="JG69" i="8"/>
  <c r="JJ30" i="8"/>
  <c r="JG56" i="8"/>
  <c r="JG66" i="8"/>
  <c r="JJ19" i="8"/>
  <c r="JJ76" i="8"/>
  <c r="JG33" i="8"/>
  <c r="JG75" i="8"/>
  <c r="JI87" i="8"/>
  <c r="JI35" i="8"/>
  <c r="JJ39" i="8"/>
  <c r="JH86" i="8"/>
  <c r="JH33" i="8"/>
  <c r="JI8" i="8"/>
  <c r="JI49" i="8"/>
  <c r="JI28" i="8"/>
  <c r="JG67" i="8"/>
  <c r="JJ86" i="8"/>
  <c r="JJ24" i="8"/>
  <c r="JH54" i="8"/>
  <c r="JG52" i="8"/>
  <c r="JG70" i="8"/>
  <c r="JH42" i="8"/>
  <c r="JJ47" i="8"/>
  <c r="JH14" i="8"/>
  <c r="JG43" i="8"/>
  <c r="JH60" i="8"/>
  <c r="JH29" i="8"/>
  <c r="JH36" i="8"/>
  <c r="JH27" i="8"/>
  <c r="JG64" i="8"/>
  <c r="JH25" i="8"/>
  <c r="JH82" i="8"/>
  <c r="JJ70" i="8"/>
  <c r="JI71" i="8"/>
  <c r="JI67" i="8"/>
  <c r="JH20" i="8"/>
  <c r="JJ84" i="8"/>
  <c r="JG27" i="8"/>
  <c r="JJ48" i="8"/>
  <c r="JG65" i="8"/>
  <c r="JJ55" i="8"/>
  <c r="JI24" i="8"/>
  <c r="JG71" i="8"/>
  <c r="JJ81" i="8"/>
  <c r="JH73" i="8"/>
  <c r="JH74" i="8"/>
  <c r="JH69" i="8"/>
  <c r="JI10" i="8"/>
  <c r="JI76" i="8"/>
  <c r="JG83" i="8"/>
  <c r="JJ16" i="8"/>
  <c r="JG63" i="8"/>
  <c r="JI59" i="8"/>
  <c r="JH48" i="8"/>
  <c r="JH47" i="8"/>
  <c r="JG50" i="8"/>
  <c r="JI62" i="8"/>
  <c r="JG35" i="8"/>
  <c r="JH63" i="8"/>
  <c r="JG22" i="8"/>
  <c r="JJ58" i="8"/>
  <c r="JJ80" i="8"/>
  <c r="JG78" i="8"/>
  <c r="JG15" i="8"/>
  <c r="JI51" i="8"/>
  <c r="JJ36" i="8"/>
  <c r="JI68" i="8"/>
  <c r="JG57" i="8"/>
  <c r="JH59" i="8"/>
  <c r="JG48" i="8"/>
  <c r="JI38" i="8"/>
  <c r="JJ28" i="8"/>
  <c r="JI30" i="8"/>
  <c r="JG24" i="8"/>
  <c r="JG62" i="8"/>
  <c r="JI48" i="8"/>
  <c r="JH19" i="8"/>
  <c r="JJ17" i="8"/>
  <c r="JH57" i="8"/>
  <c r="JG23" i="8"/>
  <c r="JH84" i="8"/>
  <c r="JI74" i="8"/>
  <c r="JH87" i="8"/>
  <c r="JG42" i="8"/>
  <c r="JJ43" i="8"/>
  <c r="JI83" i="8"/>
  <c r="JG26" i="8"/>
  <c r="JI12" i="8"/>
  <c r="JH13" i="8"/>
  <c r="JI17" i="8"/>
  <c r="JJ22" i="8"/>
  <c r="JI33" i="8"/>
  <c r="JG55" i="8"/>
  <c r="JG81" i="8"/>
  <c r="JG73" i="8"/>
  <c r="JH50" i="8"/>
  <c r="JH51" i="8"/>
  <c r="JJ71" i="8"/>
  <c r="JH76" i="8"/>
  <c r="JI85" i="8"/>
  <c r="JJ21" i="8"/>
  <c r="JG30" i="8"/>
  <c r="JH66" i="8"/>
  <c r="JG32" i="8"/>
  <c r="JI47" i="8"/>
  <c r="JJ53" i="8"/>
  <c r="JG53" i="8"/>
  <c r="JI66" i="8"/>
  <c r="JI14" i="8"/>
  <c r="JH12" i="8"/>
  <c r="JI15" i="8"/>
  <c r="JJ56" i="8"/>
  <c r="JI58" i="8"/>
  <c r="JI25" i="8"/>
  <c r="JG13" i="8"/>
  <c r="JJ57" i="8"/>
  <c r="JG29" i="8"/>
  <c r="JJ51" i="8"/>
  <c r="JJ9" i="8"/>
  <c r="JI55" i="8"/>
  <c r="JJ14" i="8"/>
  <c r="JH26" i="8"/>
  <c r="JH38" i="8"/>
  <c r="JJ62" i="8"/>
  <c r="JJ12" i="8"/>
  <c r="JH58" i="8"/>
  <c r="JI29" i="8"/>
  <c r="JJ8" i="8"/>
  <c r="JI36" i="8"/>
  <c r="JG17" i="8"/>
  <c r="JJ38" i="8"/>
  <c r="JJ46" i="8"/>
  <c r="JJ29" i="8"/>
  <c r="JJ60" i="8"/>
  <c r="JI44" i="8"/>
  <c r="JG46" i="8"/>
  <c r="JH64" i="8"/>
  <c r="JI73" i="8"/>
  <c r="JJ87" i="8"/>
  <c r="JH28" i="8"/>
  <c r="JJ15" i="8"/>
  <c r="JJ37" i="8"/>
  <c r="JH10" i="8"/>
  <c r="JG31" i="8"/>
  <c r="JI75" i="8"/>
  <c r="JG36" i="8"/>
  <c r="JH44" i="8"/>
  <c r="JJ27" i="8"/>
  <c r="JJ42" i="8"/>
  <c r="JG12" i="8"/>
  <c r="JH56" i="8"/>
  <c r="JH45" i="8"/>
  <c r="JG10" i="8"/>
  <c r="JJ79" i="8"/>
  <c r="JI45" i="8"/>
  <c r="JG49" i="8"/>
  <c r="JH71" i="8"/>
  <c r="JJ64" i="8"/>
  <c r="JH83" i="8"/>
  <c r="JH39" i="8"/>
  <c r="JH62" i="8"/>
  <c r="JI80" i="8"/>
  <c r="JI46" i="8"/>
  <c r="JH9" i="8"/>
  <c r="JG86" i="8"/>
  <c r="JJ45" i="8"/>
  <c r="JI26" i="8"/>
  <c r="JJ33" i="8"/>
  <c r="JI82" i="8"/>
  <c r="JJ52" i="8"/>
  <c r="JJ73" i="8"/>
  <c r="JJ10" i="8"/>
  <c r="JH70" i="8"/>
  <c r="JI50" i="8"/>
  <c r="JG85" i="8"/>
  <c r="JJ44" i="8"/>
  <c r="JJ68" i="8"/>
  <c r="JH21" i="8"/>
  <c r="JI43" i="8"/>
  <c r="JG59" i="8"/>
  <c r="JG39" i="8"/>
  <c r="JI52" i="8"/>
  <c r="JH35" i="8"/>
  <c r="JH80" i="8"/>
  <c r="JI57" i="8"/>
  <c r="JJ26" i="8"/>
  <c r="JJ66" i="8"/>
  <c r="JG58" i="8"/>
  <c r="JG60" i="8"/>
  <c r="JH23" i="8"/>
  <c r="JG38" i="8"/>
  <c r="JH37" i="8"/>
  <c r="JG44" i="8"/>
  <c r="JI21" i="8"/>
  <c r="JJ69" i="8"/>
  <c r="JI37" i="8"/>
  <c r="JH16" i="8"/>
  <c r="JG47" i="8"/>
  <c r="JI13" i="8"/>
  <c r="JH22" i="8"/>
  <c r="JI56" i="8"/>
  <c r="JI19" i="8"/>
  <c r="JH52" i="8"/>
  <c r="JG14" i="8"/>
  <c r="JI84" i="8"/>
  <c r="JI86" i="8"/>
  <c r="JJ74" i="8"/>
  <c r="JJ63" i="8"/>
  <c r="JI22" i="8"/>
  <c r="JH24" i="8"/>
  <c r="JG28" i="8"/>
  <c r="JG80" i="8"/>
  <c r="JG79" i="8"/>
  <c r="JJ23" i="8"/>
  <c r="JG54" i="8"/>
  <c r="JI20" i="8"/>
  <c r="JH55" i="8"/>
  <c r="JI53" i="8"/>
  <c r="JH8" i="8"/>
  <c r="JJ50" i="8"/>
  <c r="JG9" i="8"/>
  <c r="JG84" i="8"/>
  <c r="JI78" i="8"/>
  <c r="JI39" i="8"/>
  <c r="JI23" i="8"/>
  <c r="JH78" i="8"/>
  <c r="JJ31" i="8"/>
  <c r="JH46" i="8"/>
  <c r="JG37" i="8"/>
  <c r="JJ49" i="8"/>
  <c r="JH15" i="8"/>
  <c r="JJ13" i="8"/>
  <c r="JJ54" i="8"/>
  <c r="JH75" i="8"/>
  <c r="JJ65" i="8"/>
  <c r="JJ85" i="8"/>
  <c r="JJ67" i="8"/>
  <c r="JH31" i="8"/>
  <c r="JJ75" i="8"/>
  <c r="JH43" i="8"/>
  <c r="JI9" i="8"/>
  <c r="JI54" i="8"/>
  <c r="JG16" i="8"/>
  <c r="JI79" i="8"/>
  <c r="JJ25" i="8"/>
  <c r="JH68" i="8"/>
  <c r="JH49" i="8"/>
  <c r="JG45" i="8"/>
  <c r="JH79" i="8"/>
  <c r="JG8" i="8"/>
  <c r="JG82" i="8"/>
  <c r="JI63" i="8"/>
  <c r="JJ59" i="8"/>
  <c r="JI65" i="8"/>
  <c r="JH81" i="8"/>
  <c r="JI32" i="8"/>
  <c r="JI42" i="8"/>
  <c r="JJ20" i="8"/>
  <c r="JI31" i="8"/>
  <c r="JG51" i="8"/>
  <c r="JH17" i="8"/>
  <c r="JI16" i="8"/>
  <c r="JJ35" i="8"/>
  <c r="JG20" i="8"/>
  <c r="JH53" i="8"/>
  <c r="JG74" i="8"/>
  <c r="JG87" i="8"/>
  <c r="JI64" i="8"/>
  <c r="JH30" i="8"/>
  <c r="JG25" i="8"/>
  <c r="JI27" i="8"/>
  <c r="JJ78" i="8"/>
  <c r="JI69" i="8"/>
  <c r="JI70" i="8"/>
  <c r="JH65" i="8"/>
  <c r="JI60" i="8"/>
  <c r="JJ83" i="8"/>
  <c r="JG21" i="8"/>
  <c r="JJ82" i="8"/>
  <c r="JJ32" i="8"/>
  <c r="JH67" i="8"/>
  <c r="JH85" i="8"/>
  <c r="JH32" i="8"/>
  <c r="JG68" i="8"/>
  <c r="JI81" i="8"/>
  <c r="JG76" i="8"/>
  <c r="JP145" i="8" l="1"/>
  <c r="JP177" i="8"/>
  <c r="JP166" i="8"/>
  <c r="JP95" i="8"/>
  <c r="JP139" i="8"/>
  <c r="JP137" i="8"/>
  <c r="JP149" i="8"/>
  <c r="JP185" i="8"/>
  <c r="JP123" i="8"/>
  <c r="JP111" i="8"/>
  <c r="JP184" i="8"/>
  <c r="JP171" i="8"/>
  <c r="JP141" i="8"/>
  <c r="JP110" i="8"/>
  <c r="JP148" i="8"/>
  <c r="JP191" i="8"/>
  <c r="JP172" i="8"/>
  <c r="JP182" i="8"/>
  <c r="JP107" i="8"/>
  <c r="JP126" i="8"/>
  <c r="JP119" i="8"/>
  <c r="JP103" i="8"/>
  <c r="JP96" i="8"/>
  <c r="JP124" i="8"/>
  <c r="JP106" i="8"/>
  <c r="JP98" i="8"/>
  <c r="JP186" i="8"/>
  <c r="JP127" i="8"/>
  <c r="JP153" i="8"/>
  <c r="JP157" i="8"/>
  <c r="JP114" i="8"/>
  <c r="JP161" i="8"/>
  <c r="JP175" i="8"/>
  <c r="JP116" i="8"/>
  <c r="JP132" i="8"/>
  <c r="JP170" i="8"/>
  <c r="JP165" i="8"/>
  <c r="JP102" i="8"/>
  <c r="JP109" i="8"/>
  <c r="JP156" i="8"/>
  <c r="JP93" i="8"/>
  <c r="JP142" i="8"/>
  <c r="JP189" i="8"/>
  <c r="JP158" i="8"/>
  <c r="JP187" i="8"/>
  <c r="JP136" i="8"/>
  <c r="JP162" i="8"/>
  <c r="JP130" i="8"/>
  <c r="JP97" i="8"/>
  <c r="JP180" i="8"/>
  <c r="JP188" i="8"/>
  <c r="JP146" i="8"/>
  <c r="JP152" i="8"/>
  <c r="JP151" i="8"/>
  <c r="JP178" i="8"/>
  <c r="JP115" i="8"/>
  <c r="JP113" i="8"/>
  <c r="JP125" i="8"/>
  <c r="JP112" i="8"/>
  <c r="JP129" i="8"/>
  <c r="JP179" i="8"/>
  <c r="JP99" i="8"/>
  <c r="JP167" i="8"/>
  <c r="JP131" i="8"/>
  <c r="JP169" i="8"/>
  <c r="JP183" i="8"/>
  <c r="JP133" i="8"/>
  <c r="JP168" i="8"/>
  <c r="JP140" i="8"/>
  <c r="JP163" i="8"/>
  <c r="JP173" i="8"/>
  <c r="JL71" i="8"/>
  <c r="JM71" i="8"/>
  <c r="JN33" i="8"/>
  <c r="JN59" i="8"/>
  <c r="JO20" i="8"/>
  <c r="JL63" i="8"/>
  <c r="JM63" i="8"/>
  <c r="JN69" i="8"/>
  <c r="JM14" i="8"/>
  <c r="JL14" i="8"/>
  <c r="JO52" i="8"/>
  <c r="JN60" i="8"/>
  <c r="JO82" i="8"/>
  <c r="JO66" i="8"/>
  <c r="JO17" i="8"/>
  <c r="JM36" i="8"/>
  <c r="JL36" i="8"/>
  <c r="JM57" i="8"/>
  <c r="JL57" i="8"/>
  <c r="JN55" i="8"/>
  <c r="JO31" i="8"/>
  <c r="JO23" i="8"/>
  <c r="JM51" i="8"/>
  <c r="JL51" i="8"/>
  <c r="JN45" i="8"/>
  <c r="JO64" i="8"/>
  <c r="JO48" i="8"/>
  <c r="JN84" i="8"/>
  <c r="JN47" i="8"/>
  <c r="JO35" i="8"/>
  <c r="JO33" i="8"/>
  <c r="JO14" i="8"/>
  <c r="JM58" i="8"/>
  <c r="JL58" i="8"/>
  <c r="JN9" i="8"/>
  <c r="JO58" i="8"/>
  <c r="JO49" i="8"/>
  <c r="JN75" i="8"/>
  <c r="JN50" i="8"/>
  <c r="JL47" i="8"/>
  <c r="JM47" i="8"/>
  <c r="JN16" i="8"/>
  <c r="JN24" i="8"/>
  <c r="JO19" i="8"/>
  <c r="JO74" i="8"/>
  <c r="JM79" i="8"/>
  <c r="JL79" i="8"/>
  <c r="JM74" i="8"/>
  <c r="JL74" i="8"/>
  <c r="JO50" i="8"/>
  <c r="JM32" i="8"/>
  <c r="JL32" i="8"/>
  <c r="JL29" i="8"/>
  <c r="JM29" i="8"/>
  <c r="JO39" i="8"/>
  <c r="JN46" i="8"/>
  <c r="JO37" i="8"/>
  <c r="JM39" i="8"/>
  <c r="JL39" i="8"/>
  <c r="JN17" i="8"/>
  <c r="JN54" i="8"/>
  <c r="JO21" i="8"/>
  <c r="JL28" i="8"/>
  <c r="JM28" i="8"/>
  <c r="JM37" i="8"/>
  <c r="JL37" i="8"/>
  <c r="JN81" i="8"/>
  <c r="JN65" i="8"/>
  <c r="JL25" i="8"/>
  <c r="JM25" i="8"/>
  <c r="JN37" i="8"/>
  <c r="JM15" i="8"/>
  <c r="JL15" i="8"/>
  <c r="JO67" i="8"/>
  <c r="JO51" i="8"/>
  <c r="JN13" i="8"/>
  <c r="JM62" i="8"/>
  <c r="JL62" i="8"/>
  <c r="JO60" i="8"/>
  <c r="JN79" i="8"/>
  <c r="JM30" i="8"/>
  <c r="JL30" i="8"/>
  <c r="JL67" i="8"/>
  <c r="JM67" i="8"/>
  <c r="JL53" i="8"/>
  <c r="JM53" i="8"/>
  <c r="JN19" i="8"/>
  <c r="JN38" i="8"/>
  <c r="JN28" i="8"/>
  <c r="JM66" i="8"/>
  <c r="JL66" i="8"/>
  <c r="JN53" i="8"/>
  <c r="JM33" i="8"/>
  <c r="JL33" i="8"/>
  <c r="JM48" i="8"/>
  <c r="JL48" i="8"/>
  <c r="JO43" i="8"/>
  <c r="JO81" i="8"/>
  <c r="JN58" i="8"/>
  <c r="JO12" i="8"/>
  <c r="JM56" i="8"/>
  <c r="JL56" i="8"/>
  <c r="JO70" i="8"/>
  <c r="JM84" i="8"/>
  <c r="JL84" i="8"/>
  <c r="JN74" i="8"/>
  <c r="JO44" i="8"/>
  <c r="JO38" i="8"/>
  <c r="JM49" i="8"/>
  <c r="JL49" i="8"/>
  <c r="JN29" i="8"/>
  <c r="JO65" i="8"/>
  <c r="JO68" i="8"/>
  <c r="JN15" i="8"/>
  <c r="JO85" i="8"/>
  <c r="JN48" i="8"/>
  <c r="JL83" i="8"/>
  <c r="JM83" i="8"/>
  <c r="JO28" i="8"/>
  <c r="JN27" i="8"/>
  <c r="JO86" i="8"/>
  <c r="JM38" i="8"/>
  <c r="JL38" i="8"/>
  <c r="JL68" i="8"/>
  <c r="JM68" i="8"/>
  <c r="JO46" i="8"/>
  <c r="JM19" i="8"/>
  <c r="JL19" i="8"/>
  <c r="JN49" i="8"/>
  <c r="JL12" i="8"/>
  <c r="JM12" i="8"/>
  <c r="JN86" i="8"/>
  <c r="JO29" i="8"/>
  <c r="JN57" i="8"/>
  <c r="JL24" i="8"/>
  <c r="JM24" i="8"/>
  <c r="JM78" i="8"/>
  <c r="JL78" i="8"/>
  <c r="JM73" i="8"/>
  <c r="JL73" i="8"/>
  <c r="JO25" i="8"/>
  <c r="JN39" i="8"/>
  <c r="JN64" i="8"/>
  <c r="JL81" i="8"/>
  <c r="JM81" i="8"/>
  <c r="JM44" i="8"/>
  <c r="JL44" i="8"/>
  <c r="JN32" i="8"/>
  <c r="JN12" i="8"/>
  <c r="JO8" i="8"/>
  <c r="JN76" i="8"/>
  <c r="JN56" i="8"/>
  <c r="JM86" i="8"/>
  <c r="JL86" i="8"/>
  <c r="JN66" i="8"/>
  <c r="JO9" i="8"/>
  <c r="JN51" i="8"/>
  <c r="JN10" i="8"/>
  <c r="JL80" i="8"/>
  <c r="JM80" i="8"/>
  <c r="JN87" i="8"/>
  <c r="JO62" i="8"/>
  <c r="JO79" i="8"/>
  <c r="JL17" i="8"/>
  <c r="JM17" i="8"/>
  <c r="JO42" i="8"/>
  <c r="JO78" i="8"/>
  <c r="JN30" i="8"/>
  <c r="JN62" i="8"/>
  <c r="JO69" i="8"/>
  <c r="JM45" i="8"/>
  <c r="JL45" i="8"/>
  <c r="JM60" i="8"/>
  <c r="JL60" i="8"/>
  <c r="JL52" i="8"/>
  <c r="JM52" i="8"/>
  <c r="JN70" i="8"/>
  <c r="JN44" i="8"/>
  <c r="JO87" i="8"/>
  <c r="JO26" i="8"/>
  <c r="JN80" i="8"/>
  <c r="JO63" i="8"/>
  <c r="JN71" i="8"/>
  <c r="JN82" i="8"/>
  <c r="JO55" i="8"/>
  <c r="JN25" i="8"/>
  <c r="JL87" i="8"/>
  <c r="JM87" i="8"/>
  <c r="JL21" i="8"/>
  <c r="JM21" i="8"/>
  <c r="JN26" i="8"/>
  <c r="JO56" i="8"/>
  <c r="JN67" i="8"/>
  <c r="JN83" i="8"/>
  <c r="JO13" i="8"/>
  <c r="JO10" i="8"/>
  <c r="JO27" i="8"/>
  <c r="JL10" i="8"/>
  <c r="JM10" i="8"/>
  <c r="JM82" i="8"/>
  <c r="JL82" i="8"/>
  <c r="JO76" i="8"/>
  <c r="JN52" i="8"/>
  <c r="JO30" i="8"/>
  <c r="JM54" i="8"/>
  <c r="JL54" i="8"/>
  <c r="JO45" i="8"/>
  <c r="JN20" i="8"/>
  <c r="JM8" i="8"/>
  <c r="JL8" i="8"/>
  <c r="JN85" i="8"/>
  <c r="JM9" i="8"/>
  <c r="JL9" i="8"/>
  <c r="JO84" i="8"/>
  <c r="JM31" i="8"/>
  <c r="JL31" i="8"/>
  <c r="JN35" i="8"/>
  <c r="JL22" i="8"/>
  <c r="JM22" i="8"/>
  <c r="JN23" i="8"/>
  <c r="JL59" i="8"/>
  <c r="JM59" i="8"/>
  <c r="JM70" i="8"/>
  <c r="JL70" i="8"/>
  <c r="JN22" i="8"/>
  <c r="JL64" i="8"/>
  <c r="JM64" i="8"/>
  <c r="JM16" i="8"/>
  <c r="JL16" i="8"/>
  <c r="JO36" i="8"/>
  <c r="JO16" i="8"/>
  <c r="JL20" i="8"/>
  <c r="JM20" i="8"/>
  <c r="JL50" i="8"/>
  <c r="JM50" i="8"/>
  <c r="JO71" i="8"/>
  <c r="JM75" i="8"/>
  <c r="JL75" i="8"/>
  <c r="JN43" i="8"/>
  <c r="JM27" i="8"/>
  <c r="JL27" i="8"/>
  <c r="JO15" i="8"/>
  <c r="JO75" i="8"/>
  <c r="JN68" i="8"/>
  <c r="JO24" i="8"/>
  <c r="JO80" i="8"/>
  <c r="JN73" i="8"/>
  <c r="JO22" i="8"/>
  <c r="JL65" i="8"/>
  <c r="JM65" i="8"/>
  <c r="JN14" i="8"/>
  <c r="JL46" i="8"/>
  <c r="JM46" i="8"/>
  <c r="JN21" i="8"/>
  <c r="JL69" i="8"/>
  <c r="JM69" i="8"/>
  <c r="JM76" i="8"/>
  <c r="JL76" i="8"/>
  <c r="JO59" i="8"/>
  <c r="JM13" i="8"/>
  <c r="JL13" i="8"/>
  <c r="JO47" i="8"/>
  <c r="JO83" i="8"/>
  <c r="JM55" i="8"/>
  <c r="JL55" i="8"/>
  <c r="JL85" i="8"/>
  <c r="JM85" i="8"/>
  <c r="JM43" i="8"/>
  <c r="JL43" i="8"/>
  <c r="JN78" i="8"/>
  <c r="JO32" i="8"/>
  <c r="JO53" i="8"/>
  <c r="JN63" i="8"/>
  <c r="JO54" i="8"/>
  <c r="JN31" i="8"/>
  <c r="JN42" i="8"/>
  <c r="JN8" i="8"/>
  <c r="JN36" i="8"/>
  <c r="JO57" i="8"/>
  <c r="JL42" i="8"/>
  <c r="JM42" i="8"/>
  <c r="JL26" i="8"/>
  <c r="JM26" i="8"/>
  <c r="JO73" i="8"/>
  <c r="JL23" i="8"/>
  <c r="JM23" i="8"/>
  <c r="JM35" i="8"/>
  <c r="JL35" i="8"/>
  <c r="JP64" i="8" l="1"/>
  <c r="JP85" i="8"/>
  <c r="JP19" i="8"/>
  <c r="JP50" i="8"/>
  <c r="JP17" i="8"/>
  <c r="JP31" i="8"/>
  <c r="JP48" i="8"/>
  <c r="JP51" i="8"/>
  <c r="JP42" i="8"/>
  <c r="JP47" i="8"/>
  <c r="JP35" i="8"/>
  <c r="JP70" i="8"/>
  <c r="JP81" i="8"/>
  <c r="JP23" i="8"/>
  <c r="JP20" i="8"/>
  <c r="JP45" i="8"/>
  <c r="JP37" i="8"/>
  <c r="JP69" i="8"/>
  <c r="JP52" i="8"/>
  <c r="JP80" i="8"/>
  <c r="JP24" i="8"/>
  <c r="JP28" i="8"/>
  <c r="JP79" i="8"/>
  <c r="JP75" i="8"/>
  <c r="JP54" i="8"/>
  <c r="JP10" i="8"/>
  <c r="JP60" i="8"/>
  <c r="JP49" i="8"/>
  <c r="JP56" i="8"/>
  <c r="JP33" i="8"/>
  <c r="JP62" i="8"/>
  <c r="JP63" i="8"/>
  <c r="JP43" i="8"/>
  <c r="JP13" i="8"/>
  <c r="JP16" i="8"/>
  <c r="JP59" i="8"/>
  <c r="JP9" i="8"/>
  <c r="JP21" i="8"/>
  <c r="JP83" i="8"/>
  <c r="JP53" i="8"/>
  <c r="JP25" i="8"/>
  <c r="JP29" i="8"/>
  <c r="JP73" i="8"/>
  <c r="JP68" i="8"/>
  <c r="JP32" i="8"/>
  <c r="JP87" i="8"/>
  <c r="JP44" i="8"/>
  <c r="JP38" i="8"/>
  <c r="JP66" i="8"/>
  <c r="JP67" i="8"/>
  <c r="JP39" i="8"/>
  <c r="JP57" i="8"/>
  <c r="JP46" i="8"/>
  <c r="JP26" i="8"/>
  <c r="JP76" i="8"/>
  <c r="JP22" i="8"/>
  <c r="JP8" i="8"/>
  <c r="JP86" i="8"/>
  <c r="JP78" i="8"/>
  <c r="JP12" i="8"/>
  <c r="JP30" i="8"/>
  <c r="JP58" i="8"/>
  <c r="JP14" i="8"/>
  <c r="JP55" i="8"/>
  <c r="JP65" i="8"/>
  <c r="JP27" i="8"/>
  <c r="JP82" i="8"/>
  <c r="JP84" i="8"/>
  <c r="JP15" i="8"/>
  <c r="JP74" i="8"/>
  <c r="JP36" i="8"/>
  <c r="JP71" i="8"/>
</calcChain>
</file>

<file path=xl/sharedStrings.xml><?xml version="1.0" encoding="utf-8"?>
<sst xmlns="http://schemas.openxmlformats.org/spreadsheetml/2006/main" count="49127" uniqueCount="943">
  <si>
    <t>Instructions</t>
  </si>
  <si>
    <t>Activate "Admin" rights by going to "KPI Count-SHARE" sheet and click to "Admin" button.
Password will be provided by an internal email.</t>
  </si>
  <si>
    <t>Clear the workbook --&gt;</t>
  </si>
  <si>
    <t>Bottom Quartile</t>
  </si>
  <si>
    <t>Median</t>
  </si>
  <si>
    <t>Top Quartile</t>
  </si>
  <si>
    <t>Check the box to let the tool remove the data from those KPI's with less than 5 data points</t>
  </si>
  <si>
    <t>Create a "ToShare" file, this can be shared with CST</t>
  </si>
  <si>
    <t>KPI / Parameter</t>
  </si>
  <si>
    <t>Description</t>
  </si>
  <si>
    <t>KPI01</t>
  </si>
  <si>
    <t>SALES ROI (Gross margin/sales cost)</t>
  </si>
  <si>
    <t>KPI02</t>
  </si>
  <si>
    <t>Gross margin net of sales cost/revenue</t>
  </si>
  <si>
    <t>KPI03</t>
  </si>
  <si>
    <t>Gross margin/revenue</t>
  </si>
  <si>
    <t>KPI04</t>
  </si>
  <si>
    <t>Gross margin/sales FTE</t>
  </si>
  <si>
    <t>KPI05</t>
  </si>
  <si>
    <t>Gross margin/account owner FTE</t>
  </si>
  <si>
    <t>KPI06</t>
  </si>
  <si>
    <t>Revenue/sales FTE</t>
  </si>
  <si>
    <t>KPI07</t>
  </si>
  <si>
    <t>Revenue/account owner FTE</t>
  </si>
  <si>
    <t>KPI08</t>
  </si>
  <si>
    <t>Gross margin per account</t>
  </si>
  <si>
    <t>KPI09</t>
  </si>
  <si>
    <t>Revenue per account</t>
  </si>
  <si>
    <t>KPI10</t>
  </si>
  <si>
    <t>Sales cost/revenue</t>
  </si>
  <si>
    <t>KPI11</t>
  </si>
  <si>
    <t>Personnel cost/revenue</t>
  </si>
  <si>
    <t>KPI12</t>
  </si>
  <si>
    <t>Non-Personnel cost/revenue</t>
  </si>
  <si>
    <t>KPI13</t>
  </si>
  <si>
    <t>Travel &amp; entertainment/revenue</t>
  </si>
  <si>
    <t>KPI14</t>
  </si>
  <si>
    <t>Support infrastructure cost/revenue</t>
  </si>
  <si>
    <t>KPI15</t>
  </si>
  <si>
    <t>Commissions and incentives to third parties/revenue</t>
  </si>
  <si>
    <t>KPI16</t>
  </si>
  <si>
    <t>Other non-personnel cost/revenue</t>
  </si>
  <si>
    <t>KPI17</t>
  </si>
  <si>
    <t>Sales cost/sales FTE</t>
  </si>
  <si>
    <t>KPI18</t>
  </si>
  <si>
    <t>Personnel cost/sales FTE</t>
  </si>
  <si>
    <t>KPI19</t>
  </si>
  <si>
    <t>Non-Personnel cost/sales FTE</t>
  </si>
  <si>
    <t>KPI20</t>
  </si>
  <si>
    <t>Travel &amp; entertainment cost/sales FTE</t>
  </si>
  <si>
    <t>KPI21</t>
  </si>
  <si>
    <t>Support infrastructure cost/sales FTE</t>
  </si>
  <si>
    <t>KPI22</t>
  </si>
  <si>
    <t>Commissions and incentives to third parties/sales FTE</t>
  </si>
  <si>
    <t>KPI23</t>
  </si>
  <si>
    <t>Other non-personnel cost/revenue/sales FTE</t>
  </si>
  <si>
    <t>KPI24</t>
  </si>
  <si>
    <t>Sales cost/account</t>
  </si>
  <si>
    <t>KPI25</t>
  </si>
  <si>
    <t>Account owner FTE/sales FTE</t>
  </si>
  <si>
    <t>KPI26</t>
  </si>
  <si>
    <t>Sales enablement FTE/sales FTE</t>
  </si>
  <si>
    <t>KPI27</t>
  </si>
  <si>
    <t>Commercial sales enablement FTE/sales FTE</t>
  </si>
  <si>
    <t>KPI28</t>
  </si>
  <si>
    <t>Technical sales enablement FTE/sales FTE</t>
  </si>
  <si>
    <t>KPI29</t>
  </si>
  <si>
    <t>Sales operations FTE/sales FTE</t>
  </si>
  <si>
    <t>KPI30</t>
  </si>
  <si>
    <t>Transaction support FTE/sales FTE</t>
  </si>
  <si>
    <t>KPI31</t>
  </si>
  <si>
    <t>Sales administration and other sales support FTE/sales FTE</t>
  </si>
  <si>
    <t>KPI32</t>
  </si>
  <si>
    <t>Sales management FTE/sales FTE</t>
  </si>
  <si>
    <t>KPI33</t>
  </si>
  <si>
    <t>Account owner sales management FTE/sales FTE</t>
  </si>
  <si>
    <t>KPI34</t>
  </si>
  <si>
    <t>Sales enablement management FTE/sales FTE</t>
  </si>
  <si>
    <t>KPI35</t>
  </si>
  <si>
    <t>Account owner FTE/revenue</t>
  </si>
  <si>
    <t>KPI36</t>
  </si>
  <si>
    <t>Sales enablement FTE/revenue</t>
  </si>
  <si>
    <t>KPI37</t>
  </si>
  <si>
    <t>Commercial sales enablement FTE/revenue</t>
  </si>
  <si>
    <t>KPI38</t>
  </si>
  <si>
    <t>Technical sales enablement FTE/revenue</t>
  </si>
  <si>
    <t>KPI39</t>
  </si>
  <si>
    <t>Sales operations FTE/revenue</t>
  </si>
  <si>
    <t>KPI40</t>
  </si>
  <si>
    <t>Sales management FTE/revenue</t>
  </si>
  <si>
    <t>KPI41</t>
  </si>
  <si>
    <t>Account owner sales management FTE/revenue</t>
  </si>
  <si>
    <t>KPI42</t>
  </si>
  <si>
    <t>Sales enablement management FTE/revenue</t>
  </si>
  <si>
    <t>KPI43</t>
  </si>
  <si>
    <t>Account owner and sales enablement FTE/Sales management FTE</t>
  </si>
  <si>
    <t>KPI44</t>
  </si>
  <si>
    <t>Account owner FTE/non-management sales FTE</t>
  </si>
  <si>
    <t>KPI45</t>
  </si>
  <si>
    <t>Account owner FTE/sales enablement FTE</t>
  </si>
  <si>
    <t>KPI46</t>
  </si>
  <si>
    <t>Account owner FTE/frontline sales management FTE</t>
  </si>
  <si>
    <t>KPI47</t>
  </si>
  <si>
    <t>Sales enablement FTE/sales enablement management FTE</t>
  </si>
  <si>
    <t>KPI48</t>
  </si>
  <si>
    <t>Account owner FTE/commercial sales enablement FTE</t>
  </si>
  <si>
    <t>KPI49</t>
  </si>
  <si>
    <t>Account owner FTE/technical sales enablement FTE</t>
  </si>
  <si>
    <t>KPI50</t>
  </si>
  <si>
    <t>Account owner FTE/sales operations FTE</t>
  </si>
  <si>
    <t>KPI51</t>
  </si>
  <si>
    <t>Accounts/sales FTE</t>
  </si>
  <si>
    <t>KPI52</t>
  </si>
  <si>
    <t>Number of leads/sales FTE</t>
  </si>
  <si>
    <t>KPI53</t>
  </si>
  <si>
    <t>Number of proposals/sales FTE</t>
  </si>
  <si>
    <t>KPI54</t>
  </si>
  <si>
    <t>Number of orders/sales FTE</t>
  </si>
  <si>
    <t>KPI55</t>
  </si>
  <si>
    <t>Number of orderlines/sales FTE</t>
  </si>
  <si>
    <t>KPI56</t>
  </si>
  <si>
    <t>Number of customer interactions/sales FTE</t>
  </si>
  <si>
    <t>KPI57</t>
  </si>
  <si>
    <t>Accounts/account owner FTE</t>
  </si>
  <si>
    <t>KPI58</t>
  </si>
  <si>
    <t>Number of leads/account owner FTE</t>
  </si>
  <si>
    <t>KPI59</t>
  </si>
  <si>
    <t>Number of proposals/account owner FTE</t>
  </si>
  <si>
    <t>KPI60</t>
  </si>
  <si>
    <t>Number of orders/account owner FTE</t>
  </si>
  <si>
    <t>KPI61</t>
  </si>
  <si>
    <t>Number of orderlines/account owner FTE</t>
  </si>
  <si>
    <t>KPI62</t>
  </si>
  <si>
    <t>Number of customer interactions/account owner FTE</t>
  </si>
  <si>
    <t>KPI63</t>
  </si>
  <si>
    <t>Number of proposals/technical sales enablement FTE</t>
  </si>
  <si>
    <t>KPI64</t>
  </si>
  <si>
    <t>Number of proposals/commercial sales enablement FTE</t>
  </si>
  <si>
    <t>KPI65</t>
  </si>
  <si>
    <t>Number of orders/transaction support FTE</t>
  </si>
  <si>
    <t>KPI66</t>
  </si>
  <si>
    <t>Number of orderlines/transaction support FTE</t>
  </si>
  <si>
    <t>KPI67</t>
  </si>
  <si>
    <t>Proposal rate (proposals/lead)</t>
  </si>
  <si>
    <t>KPI68</t>
  </si>
  <si>
    <t>Conversion rate (orders/proposal)</t>
  </si>
  <si>
    <t>KPI69</t>
  </si>
  <si>
    <t>Revenue/order</t>
  </si>
  <si>
    <t>KPI70</t>
  </si>
  <si>
    <t>Revenue/orderline</t>
  </si>
  <si>
    <t>KPI71</t>
  </si>
  <si>
    <t>Revenue YoY growth (FY)</t>
  </si>
  <si>
    <t>KPI72</t>
  </si>
  <si>
    <t>Revenue YoY growth (FY-1)</t>
  </si>
  <si>
    <t>KPI73</t>
  </si>
  <si>
    <t>Gross margin YoY growth (FY)</t>
  </si>
  <si>
    <t>KPI74</t>
  </si>
  <si>
    <t>Gross margin YoY growth (FY-1)</t>
  </si>
  <si>
    <t>Par01</t>
  </si>
  <si>
    <t>D1. Revenue (FY)</t>
  </si>
  <si>
    <t>Par01a</t>
  </si>
  <si>
    <t>D1.1 Revenue FY-1</t>
  </si>
  <si>
    <t>Par01b</t>
  </si>
  <si>
    <t>D1.2 Revenue FY-2</t>
  </si>
  <si>
    <t>Par02</t>
  </si>
  <si>
    <t>D2. Standard Gross Margin</t>
  </si>
  <si>
    <t>Par02a</t>
  </si>
  <si>
    <t>D2.1 Standard Gross Margin FY-1</t>
  </si>
  <si>
    <t>Par02b</t>
  </si>
  <si>
    <t>D2.2 Standard Gross Margin FY-2</t>
  </si>
  <si>
    <t>Par03</t>
  </si>
  <si>
    <t>D3. Total Sales Cost</t>
  </si>
  <si>
    <t>Par04</t>
  </si>
  <si>
    <t>D3.1. Personnel Cost</t>
  </si>
  <si>
    <t>Par05</t>
  </si>
  <si>
    <t>D3.2. Non-Personnel Cost</t>
  </si>
  <si>
    <t>Par06</t>
  </si>
  <si>
    <t>D3.2.1. Travel &amp; Entertainment Cost</t>
  </si>
  <si>
    <t>Par07</t>
  </si>
  <si>
    <t>D3.2.2. Support infrastructure cost</t>
  </si>
  <si>
    <t>Par08</t>
  </si>
  <si>
    <t>D3.2.3. Commissions and Incentives to third parties</t>
  </si>
  <si>
    <t>Par09</t>
  </si>
  <si>
    <t>D3.2.4. Other Non-Personnel cost</t>
  </si>
  <si>
    <t>Par10</t>
  </si>
  <si>
    <t>D4. Direct cost as part of Non-Personnel Cost</t>
  </si>
  <si>
    <t>Par11</t>
  </si>
  <si>
    <t>E. Total Sales</t>
  </si>
  <si>
    <t>Par12</t>
  </si>
  <si>
    <t>E1. Account owner</t>
  </si>
  <si>
    <t>Par13</t>
  </si>
  <si>
    <t>E2. Sales Enablement</t>
  </si>
  <si>
    <t>Par14</t>
  </si>
  <si>
    <t>E2.1. Commercial sales enablement</t>
  </si>
  <si>
    <t>Par15</t>
  </si>
  <si>
    <t>E2.2. Technical sales enablement</t>
  </si>
  <si>
    <t>Par16</t>
  </si>
  <si>
    <t>E2.3. Order registration</t>
  </si>
  <si>
    <t>Par17</t>
  </si>
  <si>
    <t>E2.4. Order handling</t>
  </si>
  <si>
    <t>Par18</t>
  </si>
  <si>
    <t>E2.5. Customer revenue management</t>
  </si>
  <si>
    <t>Par19</t>
  </si>
  <si>
    <t>E2.5.1. Billing and invoicing business customers</t>
  </si>
  <si>
    <t>Par20</t>
  </si>
  <si>
    <t>E2.5.2. Accounts receivables</t>
  </si>
  <si>
    <t>Par21</t>
  </si>
  <si>
    <t>E2.5.3. Credit collection business customers</t>
  </si>
  <si>
    <t>Par22</t>
  </si>
  <si>
    <t>E2.6. Sales administration</t>
  </si>
  <si>
    <t>Par23</t>
  </si>
  <si>
    <t>E2.6.1. Time collection, attendance, and payroll admin</t>
  </si>
  <si>
    <t>Par24</t>
  </si>
  <si>
    <t>E2.6.2 Financial planning and analysis</t>
  </si>
  <si>
    <t>Par25</t>
  </si>
  <si>
    <t>E2.6.3. Performance-tracking of sales organization and other sales administration</t>
  </si>
  <si>
    <t>Par26</t>
  </si>
  <si>
    <t>E2.6. Other</t>
  </si>
  <si>
    <t>Par27</t>
  </si>
  <si>
    <t>E3. Sales Management</t>
  </si>
  <si>
    <t>Par28</t>
  </si>
  <si>
    <t>E3.1. Sales Management</t>
  </si>
  <si>
    <t>Par29</t>
  </si>
  <si>
    <t>E3.2. Sales Enablement Management</t>
  </si>
  <si>
    <t>Par30</t>
  </si>
  <si>
    <t xml:space="preserve">E3.2.1 Regular Sales Support Management </t>
  </si>
  <si>
    <t>Par31</t>
  </si>
  <si>
    <t>E3.2.2. Process interventions of Sales Support Management (corrective)</t>
  </si>
  <si>
    <t>Par32</t>
  </si>
  <si>
    <t>F1. Number of accounts (customer or channel)</t>
  </si>
  <si>
    <t>Par33</t>
  </si>
  <si>
    <t>F2. Number of leads</t>
  </si>
  <si>
    <t>Par34</t>
  </si>
  <si>
    <t>F3. Number of proposals</t>
  </si>
  <si>
    <t>Par35</t>
  </si>
  <si>
    <t>F4. Number of orders</t>
  </si>
  <si>
    <t>Par36</t>
  </si>
  <si>
    <t>F5. Number of orderlines</t>
  </si>
  <si>
    <t>Par37</t>
  </si>
  <si>
    <t>F6. Number of customer interactions</t>
  </si>
  <si>
    <t>Par42</t>
  </si>
  <si>
    <t>Frontline and Sales Support FTE (E1+E2)</t>
  </si>
  <si>
    <t>Par43</t>
  </si>
  <si>
    <t>Sales admin and other Sales support FTE (E2.4+E2.6)</t>
  </si>
  <si>
    <t>Par44</t>
  </si>
  <si>
    <t>Gross margin net of sales cost</t>
  </si>
  <si>
    <t>Par45</t>
  </si>
  <si>
    <t>Revenue delta (FY, FY-1)</t>
  </si>
  <si>
    <t>Par46</t>
  </si>
  <si>
    <t>Revenue delta (FY-1, FY-2)</t>
  </si>
  <si>
    <t>Par47</t>
  </si>
  <si>
    <t>Gross margin delta (FY, FY-1)</t>
  </si>
  <si>
    <t>Par48</t>
  </si>
  <si>
    <t>Gross margin delta (FY-1, FY-2)</t>
  </si>
  <si>
    <t>Par49</t>
  </si>
  <si>
    <t>E2.3 Transaction support</t>
  </si>
  <si>
    <t>Par50</t>
  </si>
  <si>
    <t>E2.4 Sales Administration</t>
  </si>
  <si>
    <t>Par51</t>
  </si>
  <si>
    <t>E2.5 Sales Operations</t>
  </si>
  <si>
    <t>Count of datasets per metric</t>
  </si>
  <si>
    <t>*Grayed out metrics have too few datapoints to benchmark</t>
  </si>
  <si>
    <t>SALES BENCHMARK</t>
  </si>
  <si>
    <t>MARKETING BENCHMARK</t>
  </si>
  <si>
    <t>Select Currency</t>
  </si>
  <si>
    <t>USD</t>
  </si>
  <si>
    <t>Reference Set 2</t>
  </si>
  <si>
    <t>Reference Set 3</t>
  </si>
  <si>
    <t>Reference Set 4</t>
  </si>
  <si>
    <t>Overall B2B</t>
  </si>
  <si>
    <t>Enter Exchange Rate</t>
  </si>
  <si>
    <t>Marketing ROI (Gross Profit / Marketing Cost)</t>
  </si>
  <si>
    <t>Gross Profit Net of Marketing Cost/Revenue</t>
  </si>
  <si>
    <t>Marketing Cost/Revenue</t>
  </si>
  <si>
    <t>Gross Profit / Marketing Employee</t>
  </si>
  <si>
    <t>Revenue / Marketing Employee</t>
  </si>
  <si>
    <t>Gross Profit / Product Marketing Employee</t>
  </si>
  <si>
    <t>Gross Profit / Customer Marketing Employee</t>
  </si>
  <si>
    <t>Gross Profit / Corporate Marketing Employee</t>
  </si>
  <si>
    <t>Gross Profit / Marketing Operations Employee</t>
  </si>
  <si>
    <t>Gross Profit/(Marketing Non-management employees)</t>
  </si>
  <si>
    <t>Gross Profit/Marketing Manager</t>
  </si>
  <si>
    <t>Revenue / Product Marketing Employee</t>
  </si>
  <si>
    <t>Revenue / Customer Marketing Employee</t>
  </si>
  <si>
    <t>Revenue / Corporate Marketing Employee</t>
  </si>
  <si>
    <t>Revenue / Marketing Operations Employee</t>
  </si>
  <si>
    <t>Revenue/(Marketing Non-management Employees)</t>
  </si>
  <si>
    <t>Revenue/Marketing Manager</t>
  </si>
  <si>
    <t>Customer Marketing Employee/Marketing Employee</t>
  </si>
  <si>
    <t>Product Marketing Employee/Marketing Employee</t>
  </si>
  <si>
    <t>Corporate Marketing Employee/Marketing Employee</t>
  </si>
  <si>
    <t>Marketing Operations Employee/Marketing Employee</t>
  </si>
  <si>
    <t>Customer Marketing Managers/Marketing Employee</t>
  </si>
  <si>
    <t>Customer Marketing Non-Management Employee/Marketing Employee</t>
  </si>
  <si>
    <t>Customer Marketing Non-Management Employees/Customer Marketing Manager</t>
  </si>
  <si>
    <t>Product Marketing Managers/Marketing Employee</t>
  </si>
  <si>
    <t>Product Marketing Non-Management Employee/Marketing Employee</t>
  </si>
  <si>
    <t>Product Marketing Non-Manager Employees/Product Marketing Manager</t>
  </si>
  <si>
    <t>Marketing Operations Managers/Marketing Employee</t>
  </si>
  <si>
    <t>Marketing Operations Non-Management Employee/Marketing Employee</t>
  </si>
  <si>
    <t>Marketing Operations Non-Management Employees/Marketing Operations Manager</t>
  </si>
  <si>
    <t>Corporate Marketing Managers/Marketing Employee</t>
  </si>
  <si>
    <t>Corporate Marketing Non-Management Employee/Marketing Employee</t>
  </si>
  <si>
    <t>Corporate Marketing Non-Management Employees/ Corporate Marketing Manager</t>
  </si>
  <si>
    <t>Marketing Employees/Revenue</t>
  </si>
  <si>
    <t>Customer Marketing Employee/Revenue</t>
  </si>
  <si>
    <t>Customer Marketing Managers/Revenue</t>
  </si>
  <si>
    <t>Customer Marketing Non-Management Employee/Revenue</t>
  </si>
  <si>
    <t>Product Marketing Employee/Revenue</t>
  </si>
  <si>
    <t>Product Marketing Managers/Revenue</t>
  </si>
  <si>
    <t>Product Marketing Non-Management Employee/Revenue</t>
  </si>
  <si>
    <t>Marketing Operations Employee/Revenue</t>
  </si>
  <si>
    <t>Marketing Operations Managers/Revenue</t>
  </si>
  <si>
    <t>Marketing Operations Non-Management Employee/Revenue</t>
  </si>
  <si>
    <t>Corporate Marketing Employee/Revenue</t>
  </si>
  <si>
    <t>Corporate Marketing Managers/Revenue</t>
  </si>
  <si>
    <t>Account owner FTE/account owner sales management FTE</t>
  </si>
  <si>
    <t>Corporate Marketing Non-Management Employee/Revenue</t>
  </si>
  <si>
    <t>Marketing Managers/Revenue</t>
  </si>
  <si>
    <t>Marketing Non-Management Employees/Revenue</t>
  </si>
  <si>
    <t>Marketing Personnel Cost/Revenue</t>
  </si>
  <si>
    <t>Marketing Non-Personnel Cost/Revenue</t>
  </si>
  <si>
    <t>Customer Marketing Personnel Cost/Revenue</t>
  </si>
  <si>
    <t>Product Marketing Personnel Cost/Revenue</t>
  </si>
  <si>
    <t>Marketing Operations Personnel Cost/Revenue</t>
  </si>
  <si>
    <t>Corporate Marketing Personnel Cost/Revenue</t>
  </si>
  <si>
    <t>Advertising &amp; Promotion Cost/Revenue</t>
  </si>
  <si>
    <t>Marketing Operations Cost/Revenue</t>
  </si>
  <si>
    <t>Digital Advertising &amp; Promotion Channel Cost/Revenue</t>
  </si>
  <si>
    <t>Traditional Advertising &amp; Promotion Channel Cost/Revenue</t>
  </si>
  <si>
    <t>Conferences &amp; Events Cost/ Revenue</t>
  </si>
  <si>
    <t>Content Creation Cost / Revenue</t>
  </si>
  <si>
    <t>Travel &amp; Entertainment Cost in Marketing/Revenue</t>
  </si>
  <si>
    <t>Support Infrastructure Cost in Marketing/Revenue</t>
  </si>
  <si>
    <t>Insights, Market Research &amp; Data Sourcing Cost/Revenue</t>
  </si>
  <si>
    <t>Other Marketing Operations Cost/Revenue</t>
  </si>
  <si>
    <t>Software &amp; IT Licenses Cost in Marketing/Revenue</t>
  </si>
  <si>
    <t>Telecommunications Cost in Marketing/Revenue</t>
  </si>
  <si>
    <t>Facilities Cost in Marketing/Revenue</t>
  </si>
  <si>
    <t>Marketing Cost/Marketing Employee</t>
  </si>
  <si>
    <t>Marketing Personnel Cost/Marketing Employee</t>
  </si>
  <si>
    <t>Marketing Non-Personnel Cost/Marketing Employee</t>
  </si>
  <si>
    <t>Customer Marketing Personnel Cost/Marketing Employee</t>
  </si>
  <si>
    <t>Product Marketing Personnel Cost/Marketing Employee</t>
  </si>
  <si>
    <t>Marketing Operations Personnel Cost/Marketing Employee</t>
  </si>
  <si>
    <t>Corporate Marketing Personnel Cost/Marketing Employee</t>
  </si>
  <si>
    <t>Advertising &amp; Promotion Cost/Marketing Employee</t>
  </si>
  <si>
    <t>Marketing Operations Cost/Marketing Employee</t>
  </si>
  <si>
    <t>Travel &amp; Entertainment Cost in Marketing/Marketing Employee</t>
  </si>
  <si>
    <t>Support Infrastructure Cost in Marketing/Marketing Employee</t>
  </si>
  <si>
    <t>Insights, Market Research &amp; Data Sourcing Cost/Marketing Employee</t>
  </si>
  <si>
    <t>Other Marketing Operations Cost/Marketing Employee</t>
  </si>
  <si>
    <t>Software &amp; IT Licenses Cost in Marketing/Marketing Employee</t>
  </si>
  <si>
    <t>Telecommunications Cost in Marketing/Marketing Employee</t>
  </si>
  <si>
    <t>Facilities Cost in Marketing/Marketing Employee</t>
  </si>
  <si>
    <t>Marketing Cost/Account</t>
  </si>
  <si>
    <t>Marketing Personnel Cost/Account</t>
  </si>
  <si>
    <t>Marketing Non-Personnel Cost/Account</t>
  </si>
  <si>
    <t>Customer Marketing Personnel Cost/Account</t>
  </si>
  <si>
    <t>Product Marketing Personnel Cost/Account</t>
  </si>
  <si>
    <t>Marketing Operations Personnel Cost/Account</t>
  </si>
  <si>
    <t>Corporate Marketing Personnel Cost/Account</t>
  </si>
  <si>
    <t>Advertising &amp; Promotion Cost/Account</t>
  </si>
  <si>
    <t>Marketing Operations Cost/Account</t>
  </si>
  <si>
    <t>Digital Advertising &amp; Promotion Channel Cost/Account</t>
  </si>
  <si>
    <t>Traditional Advertising &amp; Promotion Channel Cost/Account</t>
  </si>
  <si>
    <t>Conferences &amp; Events Cost/ Account</t>
  </si>
  <si>
    <t>Content Creation Cost / Account</t>
  </si>
  <si>
    <t>Marketing Cost/Brand</t>
  </si>
  <si>
    <t>Marketing Personnel Cost/Brand</t>
  </si>
  <si>
    <t>Marketing Non-Personnel Cost/Brand</t>
  </si>
  <si>
    <t>Customer Marketing Personnel Cost/Brand</t>
  </si>
  <si>
    <t>Product Marketing Personnel Cost/Brand</t>
  </si>
  <si>
    <t>Marketing Operations Personnel Cost/Brand</t>
  </si>
  <si>
    <t>Corporate Marketing Personnel Cost/Brand</t>
  </si>
  <si>
    <t>Advertising &amp; Promotion Cost/Brand</t>
  </si>
  <si>
    <t>Marketing Operations Cost/Brand</t>
  </si>
  <si>
    <t>Digital Advertising &amp; Promotion Channel Cost/Brand</t>
  </si>
  <si>
    <t>Traditional Advertising &amp; Promotion Channel Cost/Brand</t>
  </si>
  <si>
    <t>Conferences &amp; Events Cost/ Brand</t>
  </si>
  <si>
    <t>Content Creation Cost / Brand</t>
  </si>
  <si>
    <t>Accounts/Marketing Employee</t>
  </si>
  <si>
    <t>Accounts/Customer Marketing Employee</t>
  </si>
  <si>
    <t>Accounts/Marketing Operations Employee</t>
  </si>
  <si>
    <t>Accounts/Product Marketing Employee</t>
  </si>
  <si>
    <t>Accounts/Corporate Marketing Employee</t>
  </si>
  <si>
    <t>Accounts/Marketing Managers</t>
  </si>
  <si>
    <t>Accounts/Marketing Non-Management Employees</t>
  </si>
  <si>
    <t>Marketing Employees/Account</t>
  </si>
  <si>
    <t>Customer Marketing Employees/Account</t>
  </si>
  <si>
    <t>Marketing Operations Employees/Account</t>
  </si>
  <si>
    <t>Product Marketing Employees/Account</t>
  </si>
  <si>
    <t>Corporate Marketing Employees/Account</t>
  </si>
  <si>
    <t>Brands/Markting Employees</t>
  </si>
  <si>
    <t>Brands/Product Marketing Employees</t>
  </si>
  <si>
    <t>Brands/Marketing Operations Employees</t>
  </si>
  <si>
    <t>Brands/Customer Marketing Employees</t>
  </si>
  <si>
    <t>Brands/Corporate Marketing Employees</t>
  </si>
  <si>
    <t>Marketing Employees/Brand</t>
  </si>
  <si>
    <t>Product Marketing Employees/Brand</t>
  </si>
  <si>
    <t>Marketing Operations Employees/Brand</t>
  </si>
  <si>
    <t>Customer Marketing Employees/Brand</t>
  </si>
  <si>
    <t>Corporate Marketing Employees/Brand</t>
  </si>
  <si>
    <t>Client vs PG analysis</t>
  </si>
  <si>
    <t>Select reference peer set</t>
  </si>
  <si>
    <t>in EUR 000</t>
  </si>
  <si>
    <t>EUR</t>
  </si>
  <si>
    <t>Company</t>
  </si>
  <si>
    <t>in USD 000</t>
  </si>
  <si>
    <t>Peer Set</t>
  </si>
  <si>
    <t>Total</t>
  </si>
  <si>
    <t>BU 1</t>
  </si>
  <si>
    <t>BU 2</t>
  </si>
  <si>
    <t>BU 3</t>
  </si>
  <si>
    <t>BU 4</t>
  </si>
  <si>
    <t>BU 5</t>
  </si>
  <si>
    <t>BU 6</t>
  </si>
  <si>
    <t>BU 7</t>
  </si>
  <si>
    <t>BU 8</t>
  </si>
  <si>
    <t>BU 9</t>
  </si>
  <si>
    <t>BU 10</t>
  </si>
  <si>
    <t>BU 11</t>
  </si>
  <si>
    <t>BU 12</t>
  </si>
  <si>
    <t>BU 13</t>
  </si>
  <si>
    <t>BU 14</t>
  </si>
  <si>
    <t>BU 15</t>
  </si>
  <si>
    <t>BU 16</t>
  </si>
  <si>
    <t>BU 17</t>
  </si>
  <si>
    <t>BU 18</t>
  </si>
  <si>
    <t>BU 19</t>
  </si>
  <si>
    <t>BU 20</t>
  </si>
  <si>
    <t>BU 21</t>
  </si>
  <si>
    <t>BU 22</t>
  </si>
  <si>
    <t>BU 23</t>
  </si>
  <si>
    <t>BU 24</t>
  </si>
  <si>
    <t>BU 25</t>
  </si>
  <si>
    <t>BU 26</t>
  </si>
  <si>
    <t>BU 27</t>
  </si>
  <si>
    <t>BU 28</t>
  </si>
  <si>
    <t>BU 29</t>
  </si>
  <si>
    <t>BU 30</t>
  </si>
  <si>
    <t>BU 31</t>
  </si>
  <si>
    <t>BU 32</t>
  </si>
  <si>
    <t>BU 33</t>
  </si>
  <si>
    <t>BU 34</t>
  </si>
  <si>
    <t>BU 35</t>
  </si>
  <si>
    <t>BU 36</t>
  </si>
  <si>
    <t>BU 37</t>
  </si>
  <si>
    <t>BU 38</t>
  </si>
  <si>
    <t>BU 39</t>
  </si>
  <si>
    <t>BU 40</t>
  </si>
  <si>
    <t>BU 41</t>
  </si>
  <si>
    <t>BU 42</t>
  </si>
  <si>
    <t>BU 43</t>
  </si>
  <si>
    <t>BU 44</t>
  </si>
  <si>
    <t>BU 45</t>
  </si>
  <si>
    <t>BU 46</t>
  </si>
  <si>
    <t>BU 47</t>
  </si>
  <si>
    <t>BU 48</t>
  </si>
  <si>
    <t>BU 49</t>
  </si>
  <si>
    <t>BU 50</t>
  </si>
  <si>
    <t>BU 51</t>
  </si>
  <si>
    <t>BU 52</t>
  </si>
  <si>
    <t>BU 53</t>
  </si>
  <si>
    <t>BU 54</t>
  </si>
  <si>
    <t>BU 55</t>
  </si>
  <si>
    <t>BU 56</t>
  </si>
  <si>
    <t>BU 57</t>
  </si>
  <si>
    <t>BU 58</t>
  </si>
  <si>
    <t>BU 59</t>
  </si>
  <si>
    <t>BU 60</t>
  </si>
  <si>
    <t>BU 61</t>
  </si>
  <si>
    <t>BU 62</t>
  </si>
  <si>
    <t>BU 63</t>
  </si>
  <si>
    <t>BU 64</t>
  </si>
  <si>
    <t>BU 65</t>
  </si>
  <si>
    <t>BU 66</t>
  </si>
  <si>
    <t>BU 67</t>
  </si>
  <si>
    <t>BU 68</t>
  </si>
  <si>
    <t>BU 69</t>
  </si>
  <si>
    <t>BU 70</t>
  </si>
  <si>
    <t>BU 71</t>
  </si>
  <si>
    <t>BU 72</t>
  </si>
  <si>
    <t>BU 73</t>
  </si>
  <si>
    <t>BU 74</t>
  </si>
  <si>
    <t>BU 75</t>
  </si>
  <si>
    <t>BU 76</t>
  </si>
  <si>
    <t>BU 77</t>
  </si>
  <si>
    <t>BU 78</t>
  </si>
  <si>
    <t>BU 79</t>
  </si>
  <si>
    <t>BU 80</t>
  </si>
  <si>
    <t>BU 81</t>
  </si>
  <si>
    <t>BU 82</t>
  </si>
  <si>
    <t>BU 83</t>
  </si>
  <si>
    <t>BU 84</t>
  </si>
  <si>
    <t>BU 85</t>
  </si>
  <si>
    <t>BU 86</t>
  </si>
  <si>
    <t>BU 87</t>
  </si>
  <si>
    <t>BU 88</t>
  </si>
  <si>
    <t>BU 89</t>
  </si>
  <si>
    <t>BU 90</t>
  </si>
  <si>
    <t>BU 91</t>
  </si>
  <si>
    <t>BU 92</t>
  </si>
  <si>
    <t>BU 93</t>
  </si>
  <si>
    <t>BU 94</t>
  </si>
  <si>
    <t>BU 95</t>
  </si>
  <si>
    <t>BU 96</t>
  </si>
  <si>
    <t>BU 97</t>
  </si>
  <si>
    <t>BU 98</t>
  </si>
  <si>
    <t>BU 99</t>
  </si>
  <si>
    <t>BU 100</t>
  </si>
  <si>
    <t>at the company level</t>
  </si>
  <si>
    <t>RED</t>
  </si>
  <si>
    <t>ORANGE</t>
  </si>
  <si>
    <t>YELLOW</t>
  </si>
  <si>
    <t>GREEN</t>
  </si>
  <si>
    <t>Quick</t>
  </si>
  <si>
    <t>Standard</t>
  </si>
  <si>
    <t>Full</t>
  </si>
  <si>
    <t>KPI</t>
  </si>
  <si>
    <t>What is better?</t>
  </si>
  <si>
    <t>UoM</t>
  </si>
  <si>
    <t>Count</t>
  </si>
  <si>
    <t>Row Num</t>
  </si>
  <si>
    <t>Q1</t>
  </si>
  <si>
    <t>Q2</t>
  </si>
  <si>
    <t>Q3</t>
  </si>
  <si>
    <t>COUNT</t>
  </si>
  <si>
    <t>Q4</t>
  </si>
  <si>
    <t>SUM</t>
  </si>
  <si>
    <t>Bigger better</t>
  </si>
  <si>
    <t>none</t>
  </si>
  <si>
    <t>n</t>
  </si>
  <si>
    <t>%</t>
  </si>
  <si>
    <t>p</t>
  </si>
  <si>
    <t>EUR '000 per FTE</t>
  </si>
  <si>
    <t>c</t>
  </si>
  <si>
    <t>Gross margin/Account Owner FTE</t>
  </si>
  <si>
    <t>Revenue/Account Owner FTE</t>
  </si>
  <si>
    <t>EUR '000 per account</t>
  </si>
  <si>
    <t>Smaller better</t>
  </si>
  <si>
    <t>Other non-personnel cost/sales FTE</t>
  </si>
  <si>
    <t>Neutral</t>
  </si>
  <si>
    <t>FTE per EUR '000</t>
  </si>
  <si>
    <t>r</t>
  </si>
  <si>
    <t>Accounts per FTE</t>
  </si>
  <si>
    <t>Leads per FTE</t>
  </si>
  <si>
    <t>Proposals per FTE</t>
  </si>
  <si>
    <t>Orders per FTE</t>
  </si>
  <si>
    <t>Orderlines per FTE</t>
  </si>
  <si>
    <t>Customer interactions per FTE</t>
  </si>
  <si>
    <t>Proposals per lead</t>
  </si>
  <si>
    <t>Orders per proposal</t>
  </si>
  <si>
    <t>EUR '000 per order</t>
  </si>
  <si>
    <t>EUR '000 per orderline</t>
  </si>
  <si>
    <t>f</t>
  </si>
  <si>
    <t>EUR '000 per brand</t>
  </si>
  <si>
    <t>FTE's per account</t>
  </si>
  <si>
    <t>Brands per FTE</t>
  </si>
  <si>
    <t>FTE's per brand</t>
  </si>
  <si>
    <t>Peer Set Name</t>
  </si>
  <si>
    <t>AnswerID</t>
  </si>
  <si>
    <t>Region</t>
  </si>
  <si>
    <t>ChannelType</t>
  </si>
  <si>
    <t>Industry</t>
  </si>
  <si>
    <t>IndustrySubsector</t>
  </si>
  <si>
    <t>CURRENCY</t>
  </si>
  <si>
    <t>SIGN</t>
  </si>
  <si>
    <t>PEER SETS</t>
  </si>
  <si>
    <t>REFERENCE</t>
  </si>
  <si>
    <t>Bottom Percentile</t>
  </si>
  <si>
    <t>EMEA</t>
  </si>
  <si>
    <t>Field Sales</t>
  </si>
  <si>
    <t>Computers &amp; Electronics</t>
  </si>
  <si>
    <t>Computer hardware</t>
  </si>
  <si>
    <t>$</t>
  </si>
  <si>
    <t>PEER 1</t>
  </si>
  <si>
    <t>Inside Sales</t>
  </si>
  <si>
    <t>€</t>
  </si>
  <si>
    <t>PEER 2</t>
  </si>
  <si>
    <t>Value-added resellers</t>
  </si>
  <si>
    <t>GBP</t>
  </si>
  <si>
    <t>£</t>
  </si>
  <si>
    <t>PEER 3</t>
  </si>
  <si>
    <t>Mix of Channel</t>
  </si>
  <si>
    <t>SEK</t>
  </si>
  <si>
    <t>kr</t>
  </si>
  <si>
    <t>PEER 4</t>
  </si>
  <si>
    <t>Top Percentile</t>
  </si>
  <si>
    <t>JPY</t>
  </si>
  <si>
    <t>¥</t>
  </si>
  <si>
    <t>HU</t>
  </si>
  <si>
    <t>HV</t>
  </si>
  <si>
    <t>HW</t>
  </si>
  <si>
    <t>DG</t>
  </si>
  <si>
    <t>HX</t>
  </si>
  <si>
    <t>HY</t>
  </si>
  <si>
    <t>HZ</t>
  </si>
  <si>
    <t>DK</t>
  </si>
  <si>
    <t>Industrial Equipment &amp; Components</t>
  </si>
  <si>
    <t>Power, electrical equipment &amp; components</t>
  </si>
  <si>
    <t>IA</t>
  </si>
  <si>
    <t>IB</t>
  </si>
  <si>
    <t>IC</t>
  </si>
  <si>
    <t>DO</t>
  </si>
  <si>
    <t>KAM</t>
  </si>
  <si>
    <t>ID</t>
  </si>
  <si>
    <t>IE</t>
  </si>
  <si>
    <t>IF</t>
  </si>
  <si>
    <t>DS</t>
  </si>
  <si>
    <t>Global</t>
  </si>
  <si>
    <t>North America</t>
  </si>
  <si>
    <t>Telecommunications</t>
  </si>
  <si>
    <t>Telecommunications equipment</t>
  </si>
  <si>
    <t>MKT</t>
  </si>
  <si>
    <t>Electronic equipment &amp; components</t>
  </si>
  <si>
    <t>XPEER 1</t>
  </si>
  <si>
    <t>Outsourced agents</t>
  </si>
  <si>
    <t>XPEER 2</t>
  </si>
  <si>
    <t>3rd party retail stores</t>
  </si>
  <si>
    <t>XPEER 3</t>
  </si>
  <si>
    <t>Travel, Transport &amp; Logistics</t>
  </si>
  <si>
    <t>Hotels &amp; resorts</t>
  </si>
  <si>
    <t>XPEER 4</t>
  </si>
  <si>
    <t>Distributors or wholesalers</t>
  </si>
  <si>
    <t>Wireless telecommunications</t>
  </si>
  <si>
    <t>Own online-sales or e-commerce</t>
  </si>
  <si>
    <t>Retailers or Stores</t>
  </si>
  <si>
    <t>Integrated communications</t>
  </si>
  <si>
    <t>Machinery, manufacturing &amp; transportation equipment</t>
  </si>
  <si>
    <t>Aerospace &amp; Defense</t>
  </si>
  <si>
    <t>Aerospace equipment &amp; products</t>
  </si>
  <si>
    <t>Metals &amp; Mining</t>
  </si>
  <si>
    <t>Metal &amp; mining products</t>
  </si>
  <si>
    <t>APAC</t>
  </si>
  <si>
    <t>Paper &amp; Packaging</t>
  </si>
  <si>
    <t>Paper</t>
  </si>
  <si>
    <t>Software</t>
  </si>
  <si>
    <t>Computer &amp; electronic services</t>
  </si>
  <si>
    <t>Chemicals</t>
  </si>
  <si>
    <t>Paints &amp; coatings</t>
  </si>
  <si>
    <t>Americas</t>
  </si>
  <si>
    <t>South America</t>
  </si>
  <si>
    <t>Energy</t>
  </si>
  <si>
    <t>Multi-utilities</t>
  </si>
  <si>
    <t>Call Center</t>
  </si>
  <si>
    <t>Specialty chemicals</t>
  </si>
  <si>
    <t>Distributors or Wholesalers</t>
  </si>
  <si>
    <t>Field sales</t>
  </si>
  <si>
    <t>Engineering &amp; construction</t>
  </si>
  <si>
    <t>Inside sales</t>
  </si>
  <si>
    <t>Media</t>
  </si>
  <si>
    <t>Advertising</t>
  </si>
  <si>
    <t>Semiconductor equipment &amp; components</t>
  </si>
  <si>
    <t>Agrochemicals</t>
  </si>
  <si>
    <t>Call center</t>
  </si>
  <si>
    <t>Automotive</t>
  </si>
  <si>
    <t>Automotive components &amp; suppliers</t>
  </si>
  <si>
    <t>Airlines</t>
  </si>
  <si>
    <t>Medical Products</t>
  </si>
  <si>
    <t>Medical devices</t>
  </si>
  <si>
    <t>Automotive aftermarket &amp; services</t>
  </si>
  <si>
    <t>Own retail</t>
  </si>
  <si>
    <t>Consumer Products</t>
  </si>
  <si>
    <t>Food</t>
  </si>
  <si>
    <t>Systems integrators</t>
  </si>
  <si>
    <t>Motor vehicles &amp; equipment</t>
  </si>
  <si>
    <t>0</t>
  </si>
  <si>
    <t>3rd party online sales or e-commerce</t>
  </si>
  <si>
    <t>Shipping</t>
  </si>
  <si>
    <t>Publishing</t>
  </si>
  <si>
    <t>Packaging</t>
  </si>
  <si>
    <t>Broadcasting</t>
  </si>
  <si>
    <t>Banking</t>
  </si>
  <si>
    <t>Payments</t>
  </si>
  <si>
    <t>Automotive retailing</t>
  </si>
  <si>
    <t>Rail</t>
  </si>
  <si>
    <t>Industrial inorganic chemicals</t>
  </si>
  <si>
    <t>Post &amp; parcel services</t>
  </si>
  <si>
    <t>Personal care products</t>
  </si>
  <si>
    <t>Petrochemicals</t>
  </si>
  <si>
    <t>Pharmaceuticals</t>
  </si>
  <si>
    <t>Diseases &amp; conditions</t>
  </si>
  <si>
    <t>Office equipment &amp; supplies</t>
  </si>
  <si>
    <t>Mining support activities</t>
  </si>
  <si>
    <t>Defense equipment &amp; products</t>
  </si>
  <si>
    <t>Renewables</t>
  </si>
  <si>
    <t>Household durables</t>
  </si>
  <si>
    <t>Market research</t>
  </si>
  <si>
    <t>Household cleaning products</t>
  </si>
  <si>
    <t>Medical supplies</t>
  </si>
  <si>
    <t>Trucking, forwarding &amp; logistics</t>
  </si>
  <si>
    <t>Oil &amp; natural gas upstream</t>
  </si>
  <si>
    <t>Drugs &amp; medication</t>
  </si>
  <si>
    <t>Furniture</t>
  </si>
  <si>
    <t xml:space="preserve">Third party retail </t>
  </si>
  <si>
    <t>Clothing &amp; textiles</t>
  </si>
  <si>
    <t>Health Services</t>
  </si>
  <si>
    <t>Health care payors</t>
  </si>
  <si>
    <t>Tobacco</t>
  </si>
  <si>
    <t>Emea</t>
  </si>
  <si>
    <t>Reference Set 1</t>
  </si>
  <si>
    <t>Overall selling efficiency</t>
  </si>
  <si>
    <t>Productivity</t>
  </si>
  <si>
    <t>Costs</t>
  </si>
  <si>
    <t>Organization</t>
  </si>
  <si>
    <t>Coverage</t>
  </si>
  <si>
    <t>Growth</t>
  </si>
  <si>
    <t>Pipeline</t>
  </si>
  <si>
    <t>Acquisition</t>
  </si>
  <si>
    <t>Acquisition Productivity</t>
  </si>
  <si>
    <t>Sales cost/bookings</t>
  </si>
  <si>
    <t>Bookings/sales FTE</t>
  </si>
  <si>
    <t>Bookings/account owner</t>
  </si>
  <si>
    <t>Bookings per quota bearing seller</t>
  </si>
  <si>
    <t>New account bookings/new account reps (hunter)</t>
  </si>
  <si>
    <t>New account revenue/new account reps (hunter)</t>
  </si>
  <si>
    <t>New account bookings/new accounts</t>
  </si>
  <si>
    <t>New account revenue/new accounts</t>
  </si>
  <si>
    <t>New account revenue per quota bearing seller</t>
  </si>
  <si>
    <t>New account bookings per quota bearing seller</t>
  </si>
  <si>
    <t>% of revenue from new accounts</t>
  </si>
  <si>
    <t>Bookings YoY Growth (FY)</t>
  </si>
  <si>
    <t>Bookings YoY Growth (FY-1)</t>
  </si>
  <si>
    <t>Acquisition Growth Efficiency</t>
  </si>
  <si>
    <t>Bookings growth/total sales spend</t>
  </si>
  <si>
    <t>Revenue growth/total sales spend</t>
  </si>
  <si>
    <t>Sales cost/new account</t>
  </si>
  <si>
    <t>Sales cost/new account reps (hunter)</t>
  </si>
  <si>
    <t>Account owner personnel cost/FTE</t>
  </si>
  <si>
    <t>Sales enablement personnel cost/FTE</t>
  </si>
  <si>
    <t>Sales manager personnel cost/FTE</t>
  </si>
  <si>
    <t>Acquisition Coverage</t>
  </si>
  <si>
    <t>New accounts/new account rep (hunter)</t>
  </si>
  <si>
    <t xml:space="preserve">Hunters/sales FTEs </t>
  </si>
  <si>
    <t>Farmer/sales FTEs</t>
  </si>
  <si>
    <t>Channel rep/sales FTEs</t>
  </si>
  <si>
    <t>Hunters/account owners</t>
  </si>
  <si>
    <t>Farmers/account owners</t>
  </si>
  <si>
    <t>Channel rep/account owners</t>
  </si>
  <si>
    <t>Quota bearing seller/sales FTEs</t>
  </si>
  <si>
    <t>Quota bearing seller/sales enablement</t>
  </si>
  <si>
    <t>Hunters/technical sales FTEs</t>
  </si>
  <si>
    <t>Hunters/product and/or industry specialists</t>
  </si>
  <si>
    <t>Account owners/technical sales FTEs</t>
  </si>
  <si>
    <t>Account owners/product and/or industry specialists</t>
  </si>
  <si>
    <t>Renewal Engine</t>
  </si>
  <si>
    <t>Renewal Productivity</t>
  </si>
  <si>
    <t>Sales cost / recurring revenue</t>
  </si>
  <si>
    <t>Recurring revenue / renewal engine FTEs</t>
  </si>
  <si>
    <t>Recurring revenue / customer success FTEs</t>
  </si>
  <si>
    <t>Recurring revenue / renewals FTEs</t>
  </si>
  <si>
    <t>Cross-sell /upsell revenue per farmer</t>
  </si>
  <si>
    <t>Cross-sell/upsell revenue per customer success</t>
  </si>
  <si>
    <t>Cross-sell /upsell bookings per farmer</t>
  </si>
  <si>
    <t>Cross-sell/upsell bookings per customer success</t>
  </si>
  <si>
    <t>Renewal Efficiency</t>
  </si>
  <si>
    <t>Renewal engine personnel cost</t>
  </si>
  <si>
    <t>Personnel cost per renewals rep</t>
  </si>
  <si>
    <t>Customer success + renewals all-in cost per FTE</t>
  </si>
  <si>
    <t>Total customer success costs/recurring revenue</t>
  </si>
  <si>
    <t>Total renewal costs/recurring revenue</t>
  </si>
  <si>
    <t>Total customer success costs/renewal bookings</t>
  </si>
  <si>
    <t>Total renewal costs/renewal bookings</t>
  </si>
  <si>
    <t>Renewal Coverage</t>
  </si>
  <si>
    <t xml:space="preserve">Renewal engine FTEs/sales FTEs </t>
  </si>
  <si>
    <t>Farmers/renewal engine FTEs</t>
  </si>
  <si>
    <t>Customer success FTEs/renewal engine FTEs</t>
  </si>
  <si>
    <t>Renewals FTEs/renewal engine FTEs</t>
  </si>
  <si>
    <t>Customer success reps/managers</t>
  </si>
  <si>
    <t>Renewal reps/managers</t>
  </si>
  <si>
    <t>Customer Success Organization</t>
  </si>
  <si>
    <t>Customer success and renewal cost/FTE</t>
  </si>
  <si>
    <t>Customer success rep cost/FTE</t>
  </si>
  <si>
    <t>Renewal rep cost/FTE</t>
  </si>
  <si>
    <t>Customer success and renewals mgmt cost/FTE</t>
  </si>
  <si>
    <t>Customer success mgmt cost/FTE</t>
  </si>
  <si>
    <t>Renewal mgmt cost/FTE</t>
  </si>
  <si>
    <t>Customer success and renewal non-personal cost/FTE</t>
  </si>
  <si>
    <t>Additional Metrics</t>
  </si>
  <si>
    <t>Technical sales FTEs/technical and product sales enablement</t>
  </si>
  <si>
    <t>Product and industry FTEs/technical and product sales enablement</t>
  </si>
  <si>
    <t>New account owner cost/FTE</t>
  </si>
  <si>
    <t>Channel rep cost/FTE</t>
  </si>
  <si>
    <t>Commercial sales enablement cost/FTE</t>
  </si>
  <si>
    <t>Technical sales enablement cost/FTE</t>
  </si>
  <si>
    <t>Sales ops cost/FTE</t>
  </si>
  <si>
    <t>Account owner mgmt cost/FTE</t>
  </si>
  <si>
    <t>Sales enablement mgmt cost/FTE</t>
  </si>
  <si>
    <t>Recurring Revenue</t>
  </si>
  <si>
    <t>EUR '000 per bearing</t>
  </si>
  <si>
    <t>% of revenue from existing accounts</t>
  </si>
  <si>
    <t>Acquisition Organization</t>
  </si>
  <si>
    <t>Existing account bookings / renewal engine FTEs</t>
  </si>
  <si>
    <t>Existing account bookings / Existing account reps (farmer)</t>
  </si>
  <si>
    <t>Existing revenue growth/renewal spend</t>
  </si>
  <si>
    <t>Existing customer rep (farmer) personnel cost</t>
  </si>
  <si>
    <t>Personnel cost per customer success FTE</t>
  </si>
  <si>
    <t>Existing accounts/renewal engine FTEs</t>
  </si>
  <si>
    <t>Existing accounts/customer success rep</t>
  </si>
  <si>
    <t>Existing accounts/renewal rep</t>
  </si>
  <si>
    <t>Renewal Organization</t>
  </si>
  <si>
    <t>Existing account owner cost/FTE</t>
  </si>
  <si>
    <t>Import data from client dataloder</t>
  </si>
  <si>
    <t>X</t>
  </si>
  <si>
    <t/>
  </si>
  <si>
    <t>Average</t>
  </si>
  <si>
    <t>Worst Percentile</t>
  </si>
  <si>
    <t>Best Percentile</t>
  </si>
  <si>
    <t>Select "Yes" for the aggregation columns you want for your peer set</t>
  </si>
  <si>
    <t>Yes</t>
  </si>
  <si>
    <t>Net retention revenue</t>
  </si>
  <si>
    <t>KPI ID</t>
  </si>
  <si>
    <t>KPI NAME</t>
  </si>
  <si>
    <t>KPI1</t>
  </si>
  <si>
    <t>KPI2</t>
  </si>
  <si>
    <t>KPI3</t>
  </si>
  <si>
    <t>KPI4</t>
  </si>
  <si>
    <t>KPI5</t>
  </si>
  <si>
    <t>KPI6</t>
  </si>
  <si>
    <t>KPI7</t>
  </si>
  <si>
    <t>KPI8</t>
  </si>
  <si>
    <t>KPI9</t>
  </si>
  <si>
    <t>Cost</t>
  </si>
  <si>
    <t>Recurring revenue</t>
  </si>
  <si>
    <t>KPI75</t>
  </si>
  <si>
    <t>KPI76</t>
  </si>
  <si>
    <t>KPI77</t>
  </si>
  <si>
    <t>KPI78</t>
  </si>
  <si>
    <t>KPI79</t>
  </si>
  <si>
    <t>KPI80</t>
  </si>
  <si>
    <t>KPI81</t>
  </si>
  <si>
    <t>KPI82</t>
  </si>
  <si>
    <t>KPI83</t>
  </si>
  <si>
    <t>KPI84</t>
  </si>
  <si>
    <t>KPI85</t>
  </si>
  <si>
    <t>KPI86</t>
  </si>
  <si>
    <t>KPI87</t>
  </si>
  <si>
    <t>KPI88</t>
  </si>
  <si>
    <t>KPI89</t>
  </si>
  <si>
    <t>KPI90</t>
  </si>
  <si>
    <t>KPI91</t>
  </si>
  <si>
    <t>KPI92</t>
  </si>
  <si>
    <t>KPI93</t>
  </si>
  <si>
    <t>KPI94</t>
  </si>
  <si>
    <t>KPI95</t>
  </si>
  <si>
    <t>KPI96</t>
  </si>
  <si>
    <t>KPI97</t>
  </si>
  <si>
    <t>KPI98</t>
  </si>
  <si>
    <t>KPI99</t>
  </si>
  <si>
    <t>KPI100</t>
  </si>
  <si>
    <t>KPI101</t>
  </si>
  <si>
    <t>KPI102</t>
  </si>
  <si>
    <t>KPI103</t>
  </si>
  <si>
    <t>KPI104</t>
  </si>
  <si>
    <t>KPI105</t>
  </si>
  <si>
    <t>KPI106</t>
  </si>
  <si>
    <t>KPI107</t>
  </si>
  <si>
    <t>KPI108</t>
  </si>
  <si>
    <t>KPI109</t>
  </si>
  <si>
    <t>KPI110</t>
  </si>
  <si>
    <t>KPI111</t>
  </si>
  <si>
    <t>KPI112</t>
  </si>
  <si>
    <t>KPI113</t>
  </si>
  <si>
    <t>KPI114</t>
  </si>
  <si>
    <t>KPI115</t>
  </si>
  <si>
    <t>KPI116</t>
  </si>
  <si>
    <t>KPI117</t>
  </si>
  <si>
    <t>KPI118</t>
  </si>
  <si>
    <t>KPI119</t>
  </si>
  <si>
    <t>KPI121</t>
  </si>
  <si>
    <t>KPI122</t>
  </si>
  <si>
    <t>KPI123</t>
  </si>
  <si>
    <t>KPI124</t>
  </si>
  <si>
    <t>KPI125</t>
  </si>
  <si>
    <t>KPI126</t>
  </si>
  <si>
    <t>KPI127</t>
  </si>
  <si>
    <t>KPI128</t>
  </si>
  <si>
    <t>KPI129</t>
  </si>
  <si>
    <t>KPI130</t>
  </si>
  <si>
    <t>KPI131</t>
  </si>
  <si>
    <t>KPI132</t>
  </si>
  <si>
    <t>KPI133</t>
  </si>
  <si>
    <t>KPI134</t>
  </si>
  <si>
    <t>KPI135</t>
  </si>
  <si>
    <t>KPI136</t>
  </si>
  <si>
    <t>KPI137</t>
  </si>
  <si>
    <t>KPI138</t>
  </si>
  <si>
    <t>KPI139</t>
  </si>
  <si>
    <t>KPI140</t>
  </si>
  <si>
    <t>KPI141</t>
  </si>
  <si>
    <t>KPI142</t>
  </si>
  <si>
    <t>KPI143</t>
  </si>
  <si>
    <t>KPI144</t>
  </si>
  <si>
    <t>KPI145</t>
  </si>
  <si>
    <t>KPI146</t>
  </si>
  <si>
    <t>KPI147</t>
  </si>
  <si>
    <t>KPI148</t>
  </si>
  <si>
    <t>KPI149</t>
  </si>
  <si>
    <t>KPI150</t>
  </si>
  <si>
    <t>KPI151</t>
  </si>
  <si>
    <t>KPI152</t>
  </si>
  <si>
    <t>KPI153</t>
  </si>
  <si>
    <t>KPI154</t>
  </si>
  <si>
    <t>KPI155</t>
  </si>
  <si>
    <t>KPI287</t>
  </si>
  <si>
    <t>II</t>
  </si>
  <si>
    <t>IJ</t>
  </si>
  <si>
    <t>IK</t>
  </si>
  <si>
    <t>IO</t>
  </si>
  <si>
    <t>IP</t>
  </si>
  <si>
    <t>IQ</t>
  </si>
  <si>
    <t>DN</t>
  </si>
  <si>
    <t>IU</t>
  </si>
  <si>
    <t>IV</t>
  </si>
  <si>
    <t>IW</t>
  </si>
  <si>
    <t>DU</t>
  </si>
  <si>
    <t>JA</t>
  </si>
  <si>
    <t>JB</t>
  </si>
  <si>
    <t>JC</t>
  </si>
  <si>
    <t>EB</t>
  </si>
  <si>
    <t>Nexeo</t>
  </si>
  <si>
    <t>No</t>
  </si>
  <si>
    <t>Distributors</t>
  </si>
  <si>
    <t>Peer Group Details</t>
  </si>
  <si>
    <t>Lowest Q</t>
  </si>
  <si>
    <t>Highest Q</t>
  </si>
  <si>
    <t>Sales FTEs</t>
  </si>
  <si>
    <t>Margin</t>
  </si>
  <si>
    <t>Channel Split</t>
  </si>
  <si>
    <t>Channel</t>
  </si>
  <si>
    <t>Region Split</t>
  </si>
  <si>
    <t>Industry Split</t>
  </si>
  <si>
    <t>Retail</t>
  </si>
  <si>
    <t>Nexeo Gross Margin</t>
  </si>
  <si>
    <t>Nexeo Selling cost</t>
  </si>
  <si>
    <t>Gross Margin Impact</t>
  </si>
  <si>
    <t>Revenue Impact</t>
  </si>
  <si>
    <t>Revenue</t>
  </si>
  <si>
    <t>Nexeo - NA</t>
  </si>
  <si>
    <t>Nexeo - EMEA</t>
  </si>
  <si>
    <t>Nexeo - Asia</t>
  </si>
  <si>
    <t># of companies ( 10 )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</si>
</sst>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"/>
    <numFmt numFmtId="166" formatCode="&quot;$&quot;#,##0.00"/>
    <numFmt numFmtId="167" formatCode="0.0%"/>
    <numFmt numFmtId="168" formatCode="0.000"/>
    <numFmt numFmtId="169" formatCode="0.000000"/>
    <numFmt numFmtId="170" formatCode="_([$€-2]\ * #,##0.0_);_([$€-2]\ * \(#,##0.0\);_([$€-2]\ * &quot;-&quot;??_);_(@_)"/>
    <numFmt numFmtId="171" formatCode="[$€-2]\ #,##0.0"/>
  </numFmts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9"/>
      <name val="Calibri"/>
      <family val="2"/>
      <charset val="204"/>
    </font>
    <font>
      <b/>
      <sz val="11"/>
      <color indexed="9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charset val="204"/>
    </font>
    <font>
      <sz val="11"/>
      <color indexed="60"/>
      <name val="Calibri"/>
      <family val="2"/>
      <charset val="204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20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1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theme="5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Dot">
        <color indexed="64"/>
      </left>
      <right style="mediumDashDot">
        <color indexed="64"/>
      </right>
      <top style="mediumDashDot">
        <color indexed="64"/>
      </top>
      <bottom style="mediumDashDot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</borders>
  <cellStyleXfs count="22">
    <xf numFmtId="0" fontId="0" fillId="0" borderId="0"/>
    <xf numFmtId="0" fontId="2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9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5" fillId="14" borderId="0" applyNumberFormat="0" applyBorder="0" applyAlignment="0" applyProtection="0"/>
    <xf numFmtId="0" fontId="7" fillId="15" borderId="0" applyNumberFormat="0" applyBorder="0" applyAlignment="0" applyProtection="0"/>
    <xf numFmtId="0" fontId="15" fillId="0" borderId="0"/>
    <xf numFmtId="0" fontId="23" fillId="0" borderId="0" applyNumberFormat="0" applyFill="0" applyBorder="0" applyAlignment="0" applyProtection="0"/>
    <xf numFmtId="0" fontId="7" fillId="35" borderId="0" applyNumberFormat="0" applyBorder="0" applyAlignment="0" applyProtection="0"/>
  </cellStyleXfs>
  <cellXfs count="393">
    <xf numFmtId="0" fontId="0" fillId="0" borderId="0" xfId="0"/>
    <xf numFmtId="0" fontId="0" fillId="0" borderId="0" xfId="0" applyBorder="1"/>
    <xf numFmtId="0" fontId="0" fillId="0" borderId="0" xfId="0" applyFill="1"/>
    <xf numFmtId="0" fontId="4" fillId="0" borderId="0" xfId="2" applyFill="1" applyBorder="1"/>
    <xf numFmtId="0" fontId="4" fillId="0" borderId="0" xfId="2" applyBorder="1"/>
    <xf numFmtId="0" fontId="4" fillId="0" borderId="0" xfId="2"/>
    <xf numFmtId="0" fontId="0" fillId="0" borderId="0" xfId="0" applyFill="1" applyAlignment="1">
      <alignment wrapText="1"/>
    </xf>
    <xf numFmtId="0" fontId="4" fillId="0" borderId="0" xfId="3" applyFont="1" applyBorder="1"/>
    <xf numFmtId="0" fontId="4" fillId="0" borderId="0" xfId="3" applyFont="1" applyFill="1" applyBorder="1"/>
    <xf numFmtId="0" fontId="9" fillId="0" borderId="0" xfId="8" applyFont="1" applyFill="1" applyBorder="1" applyAlignment="1">
      <alignment wrapText="1"/>
    </xf>
    <xf numFmtId="0" fontId="1" fillId="7" borderId="0" xfId="11" applyFont="1" applyAlignment="1">
      <alignment horizontal="center"/>
    </xf>
    <xf numFmtId="0" fontId="1" fillId="5" borderId="0" xfId="9" applyFont="1"/>
    <xf numFmtId="0" fontId="1" fillId="8" borderId="0" xfId="12" applyFont="1" applyBorder="1"/>
    <xf numFmtId="0" fontId="3" fillId="12" borderId="0" xfId="15" applyFont="1"/>
    <xf numFmtId="0" fontId="12" fillId="8" borderId="0" xfId="12" applyFont="1" applyBorder="1"/>
    <xf numFmtId="0" fontId="1" fillId="0" borderId="0" xfId="12" applyFont="1" applyFill="1" applyBorder="1"/>
    <xf numFmtId="0" fontId="12" fillId="0" borderId="0" xfId="12" applyFont="1" applyFill="1" applyBorder="1"/>
    <xf numFmtId="0" fontId="1" fillId="14" borderId="0" xfId="17" applyFont="1"/>
    <xf numFmtId="165" fontId="5" fillId="14" borderId="1" xfId="17" applyNumberFormat="1" applyBorder="1"/>
    <xf numFmtId="0" fontId="1" fillId="7" borderId="0" xfId="11" applyFont="1" applyAlignment="1"/>
    <xf numFmtId="0" fontId="0" fillId="0" borderId="0" xfId="0" applyFill="1" applyBorder="1" applyAlignment="1">
      <alignment wrapText="1"/>
    </xf>
    <xf numFmtId="166" fontId="0" fillId="0" borderId="0" xfId="0" applyNumberFormat="1"/>
    <xf numFmtId="2" fontId="0" fillId="0" borderId="0" xfId="0" applyNumberFormat="1"/>
    <xf numFmtId="2" fontId="0" fillId="0" borderId="0" xfId="7" applyNumberFormat="1" applyFont="1"/>
    <xf numFmtId="2" fontId="0" fillId="0" borderId="0" xfId="6" applyNumberFormat="1" applyFont="1" applyAlignment="1">
      <alignment horizontal="center"/>
    </xf>
    <xf numFmtId="2" fontId="0" fillId="0" borderId="5" xfId="6" applyNumberFormat="1" applyFont="1" applyBorder="1" applyAlignment="1">
      <alignment horizontal="center"/>
    </xf>
    <xf numFmtId="2" fontId="0" fillId="0" borderId="0" xfId="6" applyNumberFormat="1" applyFont="1" applyBorder="1" applyAlignment="1">
      <alignment horizontal="center"/>
    </xf>
    <xf numFmtId="2" fontId="0" fillId="0" borderId="6" xfId="6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5" fillId="19" borderId="0" xfId="0" applyFont="1" applyFill="1"/>
    <xf numFmtId="0" fontId="0" fillId="0" borderId="0" xfId="0" applyAlignment="1">
      <alignment horizontal="left"/>
    </xf>
    <xf numFmtId="0" fontId="14" fillId="20" borderId="8" xfId="19" applyFont="1" applyFill="1" applyBorder="1" applyAlignment="1">
      <alignment horizontal="left"/>
    </xf>
    <xf numFmtId="0" fontId="14" fillId="0" borderId="9" xfId="19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13" fillId="0" borderId="0" xfId="12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5" fillId="19" borderId="0" xfId="0" applyFont="1" applyFill="1" applyAlignment="1">
      <alignment horizontal="left"/>
    </xf>
    <xf numFmtId="0" fontId="13" fillId="0" borderId="7" xfId="12" applyFont="1" applyFill="1" applyBorder="1" applyAlignment="1">
      <alignment horizontal="center" vertical="center"/>
    </xf>
    <xf numFmtId="0" fontId="1" fillId="5" borderId="0" xfId="9" applyFont="1" applyAlignment="1">
      <alignment horizontal="left"/>
    </xf>
    <xf numFmtId="167" fontId="0" fillId="0" borderId="0" xfId="7" applyNumberFormat="1" applyFont="1" applyAlignment="1">
      <alignment horizontal="center"/>
    </xf>
    <xf numFmtId="165" fontId="0" fillId="0" borderId="0" xfId="6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5" xfId="0" applyNumberFormat="1" applyBorder="1" applyAlignment="1">
      <alignment horizontal="center"/>
    </xf>
    <xf numFmtId="169" fontId="0" fillId="0" borderId="0" xfId="0" applyNumberFormat="1" applyBorder="1" applyAlignment="1">
      <alignment horizontal="center"/>
    </xf>
    <xf numFmtId="169" fontId="0" fillId="0" borderId="6" xfId="0" applyNumberFormat="1" applyBorder="1" applyAlignment="1">
      <alignment horizontal="center"/>
    </xf>
    <xf numFmtId="0" fontId="16" fillId="0" borderId="0" xfId="0" applyFont="1" applyAlignment="1">
      <alignment horizontal="left"/>
    </xf>
    <xf numFmtId="0" fontId="17" fillId="0" borderId="0" xfId="0" applyFont="1"/>
    <xf numFmtId="170" fontId="0" fillId="0" borderId="0" xfId="6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69" fontId="0" fillId="0" borderId="0" xfId="6" applyNumberFormat="1" applyFont="1" applyAlignment="1">
      <alignment horizontal="center"/>
    </xf>
    <xf numFmtId="0" fontId="1" fillId="8" borderId="0" xfId="12" applyFont="1" applyBorder="1" applyAlignment="1">
      <alignment horizontal="center"/>
    </xf>
    <xf numFmtId="0" fontId="1" fillId="0" borderId="0" xfId="12" applyFont="1" applyFill="1" applyBorder="1" applyAlignment="1">
      <alignment horizontal="center"/>
    </xf>
    <xf numFmtId="0" fontId="0" fillId="0" borderId="0" xfId="0" applyFill="1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7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7" applyFont="1" applyAlignment="1">
      <alignment horizontal="center"/>
    </xf>
    <xf numFmtId="0" fontId="13" fillId="0" borderId="0" xfId="12" applyFont="1" applyFill="1" applyBorder="1"/>
    <xf numFmtId="0" fontId="13" fillId="0" borderId="0" xfId="12" applyFont="1" applyFill="1" applyBorder="1" applyAlignment="1">
      <alignment horizontal="center"/>
    </xf>
    <xf numFmtId="0" fontId="13" fillId="21" borderId="0" xfId="12" applyFont="1" applyFill="1" applyBorder="1" applyAlignment="1">
      <alignment horizontal="center"/>
    </xf>
    <xf numFmtId="0" fontId="13" fillId="21" borderId="0" xfId="12" applyFont="1" applyFill="1" applyBorder="1" applyAlignment="1">
      <alignment horizontal="left"/>
    </xf>
    <xf numFmtId="0" fontId="9" fillId="21" borderId="0" xfId="0" applyFont="1" applyFill="1" applyAlignment="1">
      <alignment horizontal="center"/>
    </xf>
    <xf numFmtId="0" fontId="9" fillId="21" borderId="0" xfId="0" applyFont="1" applyFill="1" applyAlignment="1">
      <alignment horizontal="left"/>
    </xf>
    <xf numFmtId="0" fontId="9" fillId="21" borderId="0" xfId="0" applyFont="1" applyFill="1" applyAlignment="1">
      <alignment horizontal="center" wrapText="1"/>
    </xf>
    <xf numFmtId="0" fontId="1" fillId="22" borderId="0" xfId="12" applyFont="1" applyFill="1" applyBorder="1"/>
    <xf numFmtId="0" fontId="1" fillId="22" borderId="0" xfId="12" applyFont="1" applyFill="1" applyBorder="1" applyAlignment="1">
      <alignment horizont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0" fillId="22" borderId="0" xfId="0" applyFill="1" applyAlignment="1">
      <alignment horizontal="center" wrapText="1"/>
    </xf>
    <xf numFmtId="165" fontId="0" fillId="22" borderId="0" xfId="0" applyNumberFormat="1" applyFill="1" applyAlignment="1">
      <alignment horizontal="center"/>
    </xf>
    <xf numFmtId="2" fontId="0" fillId="22" borderId="0" xfId="0" applyNumberFormat="1" applyFill="1" applyAlignment="1">
      <alignment horizontal="center"/>
    </xf>
    <xf numFmtId="169" fontId="0" fillId="22" borderId="0" xfId="6" applyNumberFormat="1" applyFont="1" applyFill="1" applyAlignment="1">
      <alignment horizontal="center"/>
    </xf>
    <xf numFmtId="9" fontId="0" fillId="22" borderId="0" xfId="7" applyFont="1" applyFill="1" applyAlignment="1">
      <alignment horizontal="center"/>
    </xf>
    <xf numFmtId="167" fontId="0" fillId="22" borderId="0" xfId="7" applyNumberFormat="1" applyFont="1" applyFill="1" applyAlignment="1">
      <alignment horizontal="center"/>
    </xf>
    <xf numFmtId="167" fontId="9" fillId="21" borderId="0" xfId="7" applyNumberFormat="1" applyFont="1" applyFill="1" applyAlignment="1">
      <alignment horizontal="center"/>
    </xf>
    <xf numFmtId="0" fontId="9" fillId="21" borderId="0" xfId="0" applyFont="1" applyFill="1" applyBorder="1" applyAlignment="1">
      <alignment horizontal="center"/>
    </xf>
    <xf numFmtId="165" fontId="0" fillId="22" borderId="0" xfId="0" applyNumberFormat="1" applyFill="1" applyBorder="1" applyAlignment="1">
      <alignment horizontal="center"/>
    </xf>
    <xf numFmtId="2" fontId="0" fillId="22" borderId="0" xfId="0" applyNumberFormat="1" applyFill="1" applyBorder="1" applyAlignment="1">
      <alignment horizontal="center"/>
    </xf>
    <xf numFmtId="167" fontId="0" fillId="0" borderId="5" xfId="7" applyNumberFormat="1" applyFont="1" applyBorder="1" applyAlignment="1">
      <alignment horizontal="center"/>
    </xf>
    <xf numFmtId="167" fontId="0" fillId="0" borderId="0" xfId="7" applyNumberFormat="1" applyFont="1" applyBorder="1" applyAlignment="1">
      <alignment horizontal="center"/>
    </xf>
    <xf numFmtId="167" fontId="0" fillId="0" borderId="6" xfId="7" applyNumberFormat="1" applyFont="1" applyBorder="1" applyAlignment="1">
      <alignment horizontal="center"/>
    </xf>
    <xf numFmtId="0" fontId="0" fillId="18" borderId="0" xfId="0" applyFill="1" applyAlignment="1">
      <alignment horizontal="left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165" fontId="0" fillId="0" borderId="5" xfId="7" applyNumberFormat="1" applyFont="1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5" fontId="0" fillId="0" borderId="6" xfId="7" applyNumberFormat="1" applyFont="1" applyBorder="1" applyAlignment="1">
      <alignment horizontal="center"/>
    </xf>
    <xf numFmtId="165" fontId="0" fillId="0" borderId="5" xfId="6" applyNumberFormat="1" applyFont="1" applyBorder="1" applyAlignment="1">
      <alignment horizontal="center"/>
    </xf>
    <xf numFmtId="165" fontId="0" fillId="0" borderId="0" xfId="6" applyNumberFormat="1" applyFont="1" applyBorder="1" applyAlignment="1">
      <alignment horizontal="center"/>
    </xf>
    <xf numFmtId="165" fontId="0" fillId="0" borderId="6" xfId="6" applyNumberFormat="1" applyFont="1" applyBorder="1" applyAlignment="1">
      <alignment horizontal="center"/>
    </xf>
    <xf numFmtId="169" fontId="0" fillId="0" borderId="5" xfId="7" applyNumberFormat="1" applyFont="1" applyBorder="1" applyAlignment="1">
      <alignment horizontal="center"/>
    </xf>
    <xf numFmtId="169" fontId="0" fillId="0" borderId="0" xfId="7" applyNumberFormat="1" applyFont="1" applyBorder="1" applyAlignment="1">
      <alignment horizontal="center"/>
    </xf>
    <xf numFmtId="169" fontId="0" fillId="0" borderId="6" xfId="7" applyNumberFormat="1" applyFont="1" applyBorder="1" applyAlignment="1">
      <alignment horizontal="center"/>
    </xf>
    <xf numFmtId="169" fontId="0" fillId="0" borderId="5" xfId="6" applyNumberFormat="1" applyFont="1" applyBorder="1" applyAlignment="1">
      <alignment horizontal="center"/>
    </xf>
    <xf numFmtId="169" fontId="0" fillId="0" borderId="0" xfId="6" applyNumberFormat="1" applyFont="1" applyBorder="1" applyAlignment="1">
      <alignment horizontal="center"/>
    </xf>
    <xf numFmtId="169" fontId="0" fillId="0" borderId="6" xfId="6" applyNumberFormat="1" applyFont="1" applyBorder="1" applyAlignment="1">
      <alignment horizontal="center"/>
    </xf>
    <xf numFmtId="165" fontId="0" fillId="0" borderId="0" xfId="0" applyNumberFormat="1" applyAlignment="1"/>
    <xf numFmtId="167" fontId="0" fillId="0" borderId="0" xfId="7" applyNumberFormat="1" applyFont="1" applyAlignment="1"/>
    <xf numFmtId="170" fontId="0" fillId="0" borderId="0" xfId="0" applyNumberFormat="1" applyAlignment="1"/>
    <xf numFmtId="169" fontId="0" fillId="0" borderId="0" xfId="0" applyNumberFormat="1" applyAlignment="1"/>
    <xf numFmtId="2" fontId="0" fillId="0" borderId="0" xfId="0" applyNumberFormat="1" applyAlignment="1"/>
    <xf numFmtId="9" fontId="0" fillId="0" borderId="0" xfId="7" applyFont="1" applyAlignment="1"/>
    <xf numFmtId="171" fontId="0" fillId="0" borderId="0" xfId="6" applyNumberFormat="1" applyFont="1" applyAlignment="1">
      <alignment horizontal="center"/>
    </xf>
    <xf numFmtId="171" fontId="0" fillId="0" borderId="0" xfId="7" applyNumberFormat="1" applyFont="1" applyAlignment="1">
      <alignment horizontal="center"/>
    </xf>
    <xf numFmtId="171" fontId="0" fillId="0" borderId="0" xfId="6" applyNumberFormat="1" applyFont="1" applyBorder="1" applyAlignment="1">
      <alignment horizontal="center"/>
    </xf>
    <xf numFmtId="171" fontId="0" fillId="0" borderId="0" xfId="0" applyNumberFormat="1"/>
    <xf numFmtId="171" fontId="0" fillId="0" borderId="0" xfId="0" applyNumberFormat="1" applyAlignment="1"/>
    <xf numFmtId="171" fontId="0" fillId="0" borderId="0" xfId="7" applyNumberFormat="1" applyFont="1" applyAlignment="1"/>
    <xf numFmtId="171" fontId="0" fillId="0" borderId="0" xfId="0" applyNumberFormat="1" applyBorder="1" applyAlignment="1"/>
    <xf numFmtId="171" fontId="4" fillId="0" borderId="0" xfId="7" applyNumberFormat="1" applyFont="1" applyFill="1" applyBorder="1" applyAlignment="1"/>
    <xf numFmtId="171" fontId="0" fillId="0" borderId="0" xfId="0" applyNumberFormat="1" applyAlignment="1">
      <alignment horizontal="center"/>
    </xf>
    <xf numFmtId="171" fontId="0" fillId="0" borderId="0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19" borderId="0" xfId="9" applyFont="1" applyFill="1" applyAlignment="1">
      <alignment horizontal="center" vertical="center" wrapText="1"/>
    </xf>
    <xf numFmtId="0" fontId="1" fillId="28" borderId="0" xfId="9" applyFont="1" applyFill="1" applyAlignment="1">
      <alignment horizontal="center" vertical="center" wrapText="1"/>
    </xf>
    <xf numFmtId="0" fontId="1" fillId="29" borderId="0" xfId="9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4" fillId="0" borderId="0" xfId="2" applyFill="1" applyBorder="1" applyAlignment="1">
      <alignment horizontal="center"/>
    </xf>
    <xf numFmtId="0" fontId="1" fillId="8" borderId="0" xfId="12" applyFont="1" applyBorder="1" applyAlignment="1">
      <alignment horizontal="center" vertical="center"/>
    </xf>
    <xf numFmtId="0" fontId="0" fillId="27" borderId="0" xfId="0" applyFill="1" applyAlignment="1">
      <alignment horizontal="center"/>
    </xf>
    <xf numFmtId="0" fontId="0" fillId="27" borderId="0" xfId="0" applyFill="1"/>
    <xf numFmtId="0" fontId="0" fillId="27" borderId="0" xfId="0" applyFill="1" applyBorder="1"/>
    <xf numFmtId="0" fontId="4" fillId="27" borderId="0" xfId="2" applyFill="1" applyBorder="1"/>
    <xf numFmtId="0" fontId="4" fillId="27" borderId="0" xfId="2" applyFill="1"/>
    <xf numFmtId="166" fontId="0" fillId="27" borderId="0" xfId="0" applyNumberFormat="1" applyFill="1"/>
    <xf numFmtId="2" fontId="0" fillId="27" borderId="0" xfId="7" applyNumberFormat="1" applyFont="1" applyFill="1"/>
    <xf numFmtId="2" fontId="0" fillId="27" borderId="0" xfId="7" applyNumberFormat="1" applyFont="1" applyFill="1" applyAlignment="1">
      <alignment horizontal="center"/>
    </xf>
    <xf numFmtId="2" fontId="0" fillId="27" borderId="0" xfId="6" applyNumberFormat="1" applyFont="1" applyFill="1" applyAlignment="1">
      <alignment horizontal="center"/>
    </xf>
    <xf numFmtId="0" fontId="9" fillId="27" borderId="0" xfId="0" applyFont="1" applyFill="1" applyAlignment="1">
      <alignment horizontal="center"/>
    </xf>
    <xf numFmtId="9" fontId="0" fillId="27" borderId="0" xfId="7" applyFont="1" applyFill="1" applyAlignment="1">
      <alignment horizontal="center"/>
    </xf>
    <xf numFmtId="0" fontId="0" fillId="0" borderId="0" xfId="0" applyAlignment="1">
      <alignment vertical="top"/>
    </xf>
    <xf numFmtId="0" fontId="1" fillId="5" borderId="0" xfId="9" applyFont="1" applyAlignment="1">
      <alignment horizontal="center"/>
    </xf>
    <xf numFmtId="0" fontId="1" fillId="8" borderId="0" xfId="12" applyFont="1" applyBorder="1" applyAlignment="1">
      <alignment horizontal="left"/>
    </xf>
    <xf numFmtId="0" fontId="4" fillId="0" borderId="0" xfId="2" applyBorder="1" applyAlignment="1">
      <alignment horizontal="center"/>
    </xf>
    <xf numFmtId="0" fontId="0" fillId="19" borderId="10" xfId="0" applyFill="1" applyBorder="1" applyAlignment="1">
      <alignment vertical="top"/>
    </xf>
    <xf numFmtId="0" fontId="0" fillId="19" borderId="10" xfId="0" applyFill="1" applyBorder="1" applyAlignment="1">
      <alignment vertical="center"/>
    </xf>
    <xf numFmtId="0" fontId="1" fillId="8" borderId="0" xfId="12" applyFont="1" applyBorder="1" applyAlignment="1">
      <alignment vertical="center"/>
    </xf>
    <xf numFmtId="0" fontId="12" fillId="8" borderId="0" xfId="12" applyFont="1" applyBorder="1" applyAlignment="1">
      <alignment vertical="center"/>
    </xf>
    <xf numFmtId="0" fontId="19" fillId="19" borderId="1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/>
    </xf>
    <xf numFmtId="0" fontId="1" fillId="8" borderId="2" xfId="12" applyFont="1" applyBorder="1" applyAlignment="1">
      <alignment horizontal="center"/>
    </xf>
    <xf numFmtId="0" fontId="1" fillId="8" borderId="3" xfId="12" applyFont="1" applyBorder="1" applyAlignment="1">
      <alignment horizontal="center"/>
    </xf>
    <xf numFmtId="0" fontId="1" fillId="8" borderId="4" xfId="12" applyFont="1" applyBorder="1" applyAlignment="1">
      <alignment horizontal="center"/>
    </xf>
    <xf numFmtId="0" fontId="1" fillId="0" borderId="5" xfId="12" applyFont="1" applyFill="1" applyBorder="1" applyAlignment="1">
      <alignment horizontal="center"/>
    </xf>
    <xf numFmtId="0" fontId="1" fillId="0" borderId="6" xfId="12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6" xfId="0" applyFill="1" applyBorder="1" applyAlignment="1">
      <alignment horizont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4" fillId="0" borderId="0" xfId="2" applyFill="1"/>
    <xf numFmtId="169" fontId="0" fillId="0" borderId="0" xfId="6" applyNumberFormat="1" applyFont="1" applyFill="1" applyAlignment="1">
      <alignment horizontal="center"/>
    </xf>
    <xf numFmtId="169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169" fontId="0" fillId="0" borderId="5" xfId="0" applyNumberFormat="1" applyFill="1" applyBorder="1" applyAlignment="1">
      <alignment horizontal="center"/>
    </xf>
    <xf numFmtId="169" fontId="0" fillId="0" borderId="0" xfId="0" applyNumberFormat="1" applyFill="1" applyBorder="1" applyAlignment="1">
      <alignment horizontal="center"/>
    </xf>
    <xf numFmtId="169" fontId="0" fillId="0" borderId="6" xfId="0" applyNumberForma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9" fontId="0" fillId="0" borderId="0" xfId="0" applyNumberFormat="1" applyFill="1" applyAlignment="1"/>
    <xf numFmtId="165" fontId="0" fillId="0" borderId="0" xfId="6" applyNumberFormat="1" applyFont="1" applyFill="1" applyAlignment="1">
      <alignment horizontal="center"/>
    </xf>
    <xf numFmtId="165" fontId="0" fillId="0" borderId="0" xfId="0" applyNumberFormat="1" applyFill="1" applyAlignment="1"/>
    <xf numFmtId="168" fontId="0" fillId="0" borderId="0" xfId="0" applyNumberFormat="1" applyFill="1" applyAlignment="1">
      <alignment horizontal="center"/>
    </xf>
    <xf numFmtId="167" fontId="0" fillId="0" borderId="0" xfId="7" applyNumberFormat="1" applyFont="1" applyFill="1" applyAlignment="1">
      <alignment horizontal="center"/>
    </xf>
    <xf numFmtId="167" fontId="0" fillId="0" borderId="0" xfId="7" applyNumberFormat="1" applyFont="1" applyFill="1" applyAlignment="1"/>
    <xf numFmtId="0" fontId="0" fillId="19" borderId="0" xfId="0" applyFill="1"/>
    <xf numFmtId="3" fontId="0" fillId="0" borderId="7" xfId="6" applyNumberFormat="1" applyFont="1" applyBorder="1" applyAlignment="1">
      <alignment horizontal="center" vertical="center"/>
    </xf>
    <xf numFmtId="1" fontId="0" fillId="0" borderId="7" xfId="6" applyNumberFormat="1" applyFont="1" applyBorder="1" applyAlignment="1">
      <alignment horizontal="center"/>
    </xf>
    <xf numFmtId="9" fontId="0" fillId="0" borderId="7" xfId="7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 applyAlignment="1"/>
    <xf numFmtId="0" fontId="0" fillId="0" borderId="0" xfId="0" applyBorder="1" applyAlignment="1"/>
    <xf numFmtId="0" fontId="5" fillId="28" borderId="11" xfId="0" applyFont="1" applyFill="1" applyBorder="1" applyAlignment="1">
      <alignment vertical="center"/>
    </xf>
    <xf numFmtId="0" fontId="0" fillId="19" borderId="0" xfId="0" applyFill="1" applyAlignment="1">
      <alignment vertical="center"/>
    </xf>
    <xf numFmtId="0" fontId="5" fillId="19" borderId="0" xfId="0" applyFont="1" applyFill="1" applyAlignment="1">
      <alignment horizontal="center"/>
    </xf>
    <xf numFmtId="0" fontId="9" fillId="30" borderId="7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5" fillId="0" borderId="1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2" xfId="0" applyFont="1" applyBorder="1" applyAlignment="1">
      <alignment horizontal="center"/>
    </xf>
    <xf numFmtId="0" fontId="9" fillId="0" borderId="14" xfId="0" applyFont="1" applyBorder="1" applyAlignment="1">
      <alignment horizontal="left"/>
    </xf>
    <xf numFmtId="0" fontId="5" fillId="0" borderId="0" xfId="0" applyFont="1"/>
    <xf numFmtId="0" fontId="5" fillId="0" borderId="0" xfId="0" applyFont="1" applyAlignment="1">
      <alignment vertical="center"/>
    </xf>
    <xf numFmtId="167" fontId="0" fillId="0" borderId="0" xfId="0" applyNumberFormat="1"/>
    <xf numFmtId="10" fontId="0" fillId="0" borderId="0" xfId="7" applyNumberFormat="1" applyFont="1" applyAlignment="1">
      <alignment horizontal="center"/>
    </xf>
    <xf numFmtId="10" fontId="0" fillId="0" borderId="0" xfId="0" applyNumberFormat="1"/>
    <xf numFmtId="0" fontId="0" fillId="18" borderId="0" xfId="0" applyFill="1" applyAlignment="1">
      <alignment horizontal="center"/>
    </xf>
    <xf numFmtId="0" fontId="8" fillId="0" borderId="0" xfId="0" applyFont="1"/>
    <xf numFmtId="0" fontId="0" fillId="0" borderId="0" xfId="0" applyFont="1"/>
    <xf numFmtId="0" fontId="4" fillId="0" borderId="0" xfId="2" applyFont="1"/>
    <xf numFmtId="0" fontId="4" fillId="0" borderId="0" xfId="2" applyFont="1" applyBorder="1"/>
    <xf numFmtId="165" fontId="7" fillId="0" borderId="0" xfId="6" applyNumberFormat="1" applyFont="1" applyAlignment="1">
      <alignment horizontal="center"/>
    </xf>
    <xf numFmtId="0" fontId="0" fillId="0" borderId="0" xfId="0" applyFont="1" applyAlignment="1">
      <alignment horizontal="center"/>
    </xf>
    <xf numFmtId="165" fontId="0" fillId="0" borderId="0" xfId="0" applyNumberFormat="1" applyFont="1" applyAlignment="1">
      <alignment horizontal="right"/>
    </xf>
    <xf numFmtId="0" fontId="0" fillId="0" borderId="0" xfId="0" applyFont="1" applyAlignment="1">
      <alignment horizontal="left"/>
    </xf>
    <xf numFmtId="167" fontId="7" fillId="0" borderId="0" xfId="7" applyNumberFormat="1" applyFont="1" applyAlignment="1">
      <alignment horizontal="center"/>
    </xf>
    <xf numFmtId="167" fontId="7" fillId="0" borderId="0" xfId="7" applyNumberFormat="1" applyFont="1" applyAlignment="1">
      <alignment horizontal="right"/>
    </xf>
    <xf numFmtId="170" fontId="7" fillId="0" borderId="0" xfId="6" applyNumberFormat="1" applyFont="1" applyAlignment="1">
      <alignment horizontal="center"/>
    </xf>
    <xf numFmtId="170" fontId="0" fillId="0" borderId="0" xfId="0" applyNumberFormat="1" applyFont="1" applyAlignment="1">
      <alignment horizontal="right"/>
    </xf>
    <xf numFmtId="0" fontId="0" fillId="0" borderId="0" xfId="0" applyFont="1" applyBorder="1"/>
    <xf numFmtId="170" fontId="7" fillId="0" borderId="0" xfId="6" applyNumberFormat="1" applyFont="1" applyBorder="1" applyAlignment="1">
      <alignment horizontal="center"/>
    </xf>
    <xf numFmtId="170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9" fillId="0" borderId="0" xfId="0" applyFont="1" applyFill="1"/>
    <xf numFmtId="0" fontId="9" fillId="0" borderId="0" xfId="0" applyFont="1" applyFill="1" applyBorder="1"/>
    <xf numFmtId="0" fontId="0" fillId="2" borderId="0" xfId="0" applyFont="1" applyFill="1" applyBorder="1"/>
    <xf numFmtId="0" fontId="0" fillId="0" borderId="0" xfId="0" applyFont="1" applyFill="1"/>
    <xf numFmtId="0" fontId="4" fillId="0" borderId="0" xfId="2" applyFont="1" applyFill="1"/>
    <xf numFmtId="0" fontId="4" fillId="0" borderId="0" xfId="2" applyFont="1" applyFill="1" applyBorder="1"/>
    <xf numFmtId="169" fontId="7" fillId="0" borderId="0" xfId="6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69" fontId="0" fillId="0" borderId="0" xfId="0" applyNumberFormat="1" applyFont="1" applyFill="1" applyAlignment="1">
      <alignment horizontal="right"/>
    </xf>
    <xf numFmtId="0" fontId="0" fillId="0" borderId="0" xfId="0" applyFont="1" applyFill="1" applyAlignment="1">
      <alignment horizontal="left"/>
    </xf>
    <xf numFmtId="0" fontId="0" fillId="21" borderId="10" xfId="0" applyFill="1" applyBorder="1" applyProtection="1">
      <protection locked="0"/>
    </xf>
    <xf numFmtId="0" fontId="0" fillId="0" borderId="0" xfId="0" applyNumberFormat="1" applyAlignment="1">
      <alignment horizontal="center"/>
    </xf>
    <xf numFmtId="0" fontId="0" fillId="0" borderId="0" xfId="7" applyNumberFormat="1" applyFont="1" applyAlignment="1">
      <alignment horizontal="center"/>
    </xf>
    <xf numFmtId="169" fontId="0" fillId="0" borderId="0" xfId="7" applyNumberFormat="1" applyFont="1" applyAlignment="1">
      <alignment horizontal="center"/>
    </xf>
    <xf numFmtId="0" fontId="9" fillId="0" borderId="0" xfId="0" applyFont="1" applyBorder="1" applyAlignment="1">
      <alignment horizontal="left"/>
    </xf>
    <xf numFmtId="0" fontId="0" fillId="0" borderId="19" xfId="0" applyBorder="1"/>
    <xf numFmtId="0" fontId="5" fillId="0" borderId="13" xfId="0" applyFont="1" applyBorder="1"/>
    <xf numFmtId="0" fontId="5" fillId="0" borderId="15" xfId="0" applyFont="1" applyBorder="1"/>
    <xf numFmtId="0" fontId="9" fillId="0" borderId="16" xfId="0" applyFont="1" applyBorder="1" applyAlignment="1">
      <alignment horizontal="left"/>
    </xf>
    <xf numFmtId="0" fontId="0" fillId="0" borderId="20" xfId="0" applyBorder="1"/>
    <xf numFmtId="0" fontId="5" fillId="0" borderId="17" xfId="0" applyFont="1" applyBorder="1"/>
    <xf numFmtId="2" fontId="0" fillId="0" borderId="0" xfId="0" applyNumberFormat="1" applyBorder="1" applyAlignment="1">
      <alignment horizontal="center"/>
    </xf>
    <xf numFmtId="39" fontId="0" fillId="0" borderId="0" xfId="6" applyNumberFormat="1" applyFont="1" applyAlignment="1">
      <alignment horizontal="center"/>
    </xf>
    <xf numFmtId="39" fontId="0" fillId="0" borderId="0" xfId="6" applyNumberFormat="1" applyFont="1" applyBorder="1" applyAlignment="1">
      <alignment horizontal="center"/>
    </xf>
    <xf numFmtId="0" fontId="1" fillId="6" borderId="0" xfId="10" applyFont="1" applyAlignment="1">
      <alignment horizontal="center" vertical="center" wrapText="1"/>
    </xf>
    <xf numFmtId="0" fontId="22" fillId="9" borderId="0" xfId="0" applyFont="1" applyFill="1"/>
    <xf numFmtId="0" fontId="4" fillId="9" borderId="0" xfId="2" applyFont="1" applyFill="1"/>
    <xf numFmtId="0" fontId="4" fillId="9" borderId="0" xfId="2" applyFont="1" applyFill="1" applyBorder="1"/>
    <xf numFmtId="0" fontId="4" fillId="9" borderId="0" xfId="2" applyFill="1" applyBorder="1" applyAlignment="1">
      <alignment horizontal="center"/>
    </xf>
    <xf numFmtId="0" fontId="0" fillId="9" borderId="0" xfId="0" applyFill="1"/>
    <xf numFmtId="0" fontId="24" fillId="0" borderId="0" xfId="20" applyFont="1" applyFill="1" applyBorder="1" applyAlignment="1" applyProtection="1">
      <alignment horizontal="left" vertical="top"/>
    </xf>
    <xf numFmtId="0" fontId="4" fillId="0" borderId="0" xfId="4" applyFill="1"/>
    <xf numFmtId="0" fontId="0" fillId="31" borderId="0" xfId="0" applyFill="1"/>
    <xf numFmtId="0" fontId="22" fillId="31" borderId="0" xfId="0" applyFont="1" applyFill="1"/>
    <xf numFmtId="0" fontId="0" fillId="32" borderId="0" xfId="0" applyFill="1"/>
    <xf numFmtId="0" fontId="25" fillId="32" borderId="0" xfId="0" applyFont="1" applyFill="1"/>
    <xf numFmtId="0" fontId="0" fillId="32" borderId="0" xfId="0" applyFill="1" applyBorder="1"/>
    <xf numFmtId="0" fontId="4" fillId="32" borderId="0" xfId="2" applyFont="1" applyFill="1"/>
    <xf numFmtId="0" fontId="4" fillId="32" borderId="0" xfId="2" applyFont="1" applyFill="1" applyBorder="1"/>
    <xf numFmtId="0" fontId="0" fillId="33" borderId="0" xfId="0" applyFill="1" applyBorder="1"/>
    <xf numFmtId="0" fontId="26" fillId="33" borderId="0" xfId="0" applyFont="1" applyFill="1"/>
    <xf numFmtId="0" fontId="4" fillId="33" borderId="0" xfId="2" applyFont="1" applyFill="1"/>
    <xf numFmtId="0" fontId="4" fillId="33" borderId="0" xfId="2" applyFont="1" applyFill="1" applyBorder="1"/>
    <xf numFmtId="0" fontId="5" fillId="34" borderId="0" xfId="0" applyFont="1" applyFill="1"/>
    <xf numFmtId="0" fontId="5" fillId="34" borderId="0" xfId="0" applyFont="1" applyFill="1" applyAlignment="1">
      <alignment horizontal="center"/>
    </xf>
    <xf numFmtId="0" fontId="1" fillId="7" borderId="0" xfId="11" applyFont="1" applyAlignment="1">
      <alignment horizontal="left"/>
    </xf>
    <xf numFmtId="0" fontId="4" fillId="33" borderId="0" xfId="2" applyFont="1" applyFill="1" applyBorder="1" applyAlignment="1">
      <alignment horizontal="center"/>
    </xf>
    <xf numFmtId="0" fontId="4" fillId="32" borderId="0" xfId="2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4" fillId="9" borderId="0" xfId="2" applyFont="1" applyFill="1" applyBorder="1" applyAlignment="1">
      <alignment horizontal="center"/>
    </xf>
    <xf numFmtId="165" fontId="0" fillId="0" borderId="0" xfId="6" applyNumberFormat="1" applyFont="1" applyAlignment="1">
      <alignment horizontal="left"/>
    </xf>
    <xf numFmtId="0" fontId="1" fillId="5" borderId="0" xfId="9" applyFont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" fillId="5" borderId="0" xfId="9" applyFont="1" applyAlignment="1">
      <alignment vertical="center"/>
    </xf>
    <xf numFmtId="0" fontId="0" fillId="0" borderId="0" xfId="0" applyFill="1" applyAlignment="1">
      <alignment vertical="center" wrapText="1"/>
    </xf>
    <xf numFmtId="0" fontId="9" fillId="0" borderId="0" xfId="8" applyFont="1" applyFill="1" applyBorder="1" applyAlignment="1">
      <alignment horizontal="center" vertical="center" wrapText="1"/>
    </xf>
    <xf numFmtId="0" fontId="9" fillId="0" borderId="0" xfId="8" applyFont="1" applyFill="1" applyBorder="1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0" fontId="9" fillId="21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0" fontId="0" fillId="9" borderId="0" xfId="0" applyFill="1" applyBorder="1"/>
    <xf numFmtId="0" fontId="0" fillId="31" borderId="0" xfId="0" applyFill="1" applyBorder="1"/>
    <xf numFmtId="0" fontId="5" fillId="34" borderId="0" xfId="0" applyFont="1" applyFill="1" applyBorder="1" applyAlignment="1">
      <alignment horizontal="center"/>
    </xf>
    <xf numFmtId="0" fontId="0" fillId="0" borderId="22" xfId="0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18" borderId="21" xfId="0" applyFill="1" applyBorder="1" applyAlignment="1">
      <alignment vertical="center" wrapText="1"/>
    </xf>
    <xf numFmtId="0" fontId="0" fillId="0" borderId="21" xfId="0" applyFill="1" applyBorder="1" applyAlignment="1">
      <alignment horizontal="center" vertical="center" wrapText="1"/>
    </xf>
    <xf numFmtId="0" fontId="0" fillId="18" borderId="21" xfId="0" applyFill="1" applyBorder="1" applyAlignment="1">
      <alignment horizontal="center" vertical="center" wrapText="1"/>
    </xf>
    <xf numFmtId="0" fontId="1" fillId="5" borderId="21" xfId="9" applyFont="1" applyBorder="1" applyAlignment="1">
      <alignment horizontal="left" vertical="center"/>
    </xf>
    <xf numFmtId="0" fontId="1" fillId="8" borderId="23" xfId="12" applyFont="1" applyBorder="1" applyAlignment="1">
      <alignment horizontal="center"/>
    </xf>
    <xf numFmtId="0" fontId="1" fillId="8" borderId="24" xfId="12" applyFont="1" applyBorder="1" applyAlignment="1">
      <alignment horizontal="center"/>
    </xf>
    <xf numFmtId="0" fontId="1" fillId="8" borderId="25" xfId="12" applyFont="1" applyBorder="1" applyAlignment="1">
      <alignment horizontal="center"/>
    </xf>
    <xf numFmtId="0" fontId="1" fillId="0" borderId="26" xfId="12" applyFont="1" applyFill="1" applyBorder="1" applyAlignment="1">
      <alignment horizontal="center"/>
    </xf>
    <xf numFmtId="0" fontId="1" fillId="0" borderId="27" xfId="12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 wrapText="1"/>
    </xf>
    <xf numFmtId="0" fontId="4" fillId="9" borderId="26" xfId="2" applyFill="1" applyBorder="1" applyAlignment="1">
      <alignment horizontal="center"/>
    </xf>
    <xf numFmtId="0" fontId="4" fillId="9" borderId="27" xfId="2" applyFill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167" fontId="0" fillId="0" borderId="26" xfId="7" applyNumberFormat="1" applyFont="1" applyBorder="1" applyAlignment="1">
      <alignment horizontal="center"/>
    </xf>
    <xf numFmtId="167" fontId="0" fillId="0" borderId="27" xfId="7" applyNumberFormat="1" applyFont="1" applyBorder="1" applyAlignment="1">
      <alignment horizontal="center"/>
    </xf>
    <xf numFmtId="0" fontId="4" fillId="9" borderId="26" xfId="2" applyFont="1" applyFill="1" applyBorder="1"/>
    <xf numFmtId="0" fontId="4" fillId="9" borderId="27" xfId="2" applyFont="1" applyFill="1" applyBorder="1"/>
    <xf numFmtId="169" fontId="0" fillId="0" borderId="26" xfId="7" applyNumberFormat="1" applyFont="1" applyBorder="1" applyAlignment="1">
      <alignment horizontal="center"/>
    </xf>
    <xf numFmtId="169" fontId="0" fillId="0" borderId="27" xfId="7" applyNumberFormat="1" applyFont="1" applyBorder="1" applyAlignment="1">
      <alignment horizontal="center"/>
    </xf>
    <xf numFmtId="165" fontId="0" fillId="0" borderId="26" xfId="7" applyNumberFormat="1" applyFont="1" applyBorder="1" applyAlignment="1">
      <alignment horizontal="center"/>
    </xf>
    <xf numFmtId="165" fontId="0" fillId="0" borderId="27" xfId="7" applyNumberFormat="1" applyFon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39" fontId="0" fillId="0" borderId="26" xfId="6" applyNumberFormat="1" applyFont="1" applyBorder="1" applyAlignment="1">
      <alignment horizontal="center"/>
    </xf>
    <xf numFmtId="39" fontId="0" fillId="0" borderId="27" xfId="6" applyNumberFormat="1" applyFont="1" applyBorder="1" applyAlignment="1">
      <alignment horizontal="center"/>
    </xf>
    <xf numFmtId="0" fontId="4" fillId="33" borderId="26" xfId="2" applyFont="1" applyFill="1" applyBorder="1"/>
    <xf numFmtId="0" fontId="4" fillId="33" borderId="27" xfId="2" applyFont="1" applyFill="1" applyBorder="1"/>
    <xf numFmtId="0" fontId="0" fillId="0" borderId="26" xfId="0" applyBorder="1"/>
    <xf numFmtId="0" fontId="0" fillId="0" borderId="27" xfId="0" applyBorder="1"/>
    <xf numFmtId="0" fontId="4" fillId="32" borderId="26" xfId="2" applyFont="1" applyFill="1" applyBorder="1"/>
    <xf numFmtId="0" fontId="4" fillId="32" borderId="27" xfId="2" applyFont="1" applyFill="1" applyBorder="1"/>
    <xf numFmtId="0" fontId="0" fillId="9" borderId="26" xfId="0" applyFill="1" applyBorder="1"/>
    <xf numFmtId="0" fontId="0" fillId="9" borderId="27" xfId="0" applyFill="1" applyBorder="1"/>
    <xf numFmtId="0" fontId="0" fillId="31" borderId="26" xfId="0" applyFill="1" applyBorder="1"/>
    <xf numFmtId="0" fontId="0" fillId="31" borderId="27" xfId="0" applyFill="1" applyBorder="1"/>
    <xf numFmtId="0" fontId="0" fillId="32" borderId="26" xfId="0" applyFill="1" applyBorder="1"/>
    <xf numFmtId="0" fontId="0" fillId="32" borderId="27" xfId="0" applyFill="1" applyBorder="1"/>
    <xf numFmtId="0" fontId="5" fillId="34" borderId="26" xfId="0" applyFont="1" applyFill="1" applyBorder="1" applyAlignment="1">
      <alignment horizontal="center"/>
    </xf>
    <xf numFmtId="0" fontId="5" fillId="34" borderId="27" xfId="0" applyFont="1" applyFill="1" applyBorder="1" applyAlignment="1">
      <alignment horizontal="center"/>
    </xf>
    <xf numFmtId="0" fontId="5" fillId="36" borderId="0" xfId="0" applyFont="1" applyFill="1" applyAlignment="1">
      <alignment horizontal="center" vertical="center" wrapText="1"/>
    </xf>
    <xf numFmtId="0" fontId="1" fillId="37" borderId="22" xfId="0" applyFont="1" applyFill="1" applyBorder="1" applyAlignment="1">
      <alignment vertical="center"/>
    </xf>
    <xf numFmtId="0" fontId="1" fillId="38" borderId="0" xfId="0" applyFont="1" applyFill="1"/>
    <xf numFmtId="0" fontId="1" fillId="19" borderId="0" xfId="0" applyFont="1" applyFill="1"/>
    <xf numFmtId="0" fontId="1" fillId="39" borderId="0" xfId="0" applyFont="1" applyFill="1"/>
    <xf numFmtId="0" fontId="13" fillId="6" borderId="23" xfId="10" applyFont="1" applyBorder="1" applyAlignment="1"/>
    <xf numFmtId="0" fontId="13" fillId="6" borderId="24" xfId="10" applyFont="1" applyBorder="1" applyAlignment="1"/>
    <xf numFmtId="0" fontId="13" fillId="6" borderId="25" xfId="10" applyFont="1" applyBorder="1" applyAlignment="1"/>
    <xf numFmtId="0" fontId="13" fillId="6" borderId="28" xfId="10" applyFont="1" applyBorder="1" applyAlignment="1"/>
    <xf numFmtId="0" fontId="13" fillId="6" borderId="29" xfId="10" applyFont="1" applyBorder="1" applyAlignment="1"/>
    <xf numFmtId="0" fontId="13" fillId="6" borderId="30" xfId="10" applyFont="1" applyBorder="1" applyAlignment="1"/>
    <xf numFmtId="0" fontId="13" fillId="9" borderId="23" xfId="10" applyFont="1" applyFill="1" applyBorder="1" applyAlignment="1"/>
    <xf numFmtId="0" fontId="13" fillId="9" borderId="24" xfId="10" applyFont="1" applyFill="1" applyBorder="1" applyAlignment="1"/>
    <xf numFmtId="0" fontId="13" fillId="9" borderId="25" xfId="10" applyFont="1" applyFill="1" applyBorder="1" applyAlignment="1"/>
    <xf numFmtId="0" fontId="13" fillId="9" borderId="28" xfId="10" applyFont="1" applyFill="1" applyBorder="1" applyAlignment="1"/>
    <xf numFmtId="0" fontId="13" fillId="9" borderId="29" xfId="10" applyFont="1" applyFill="1" applyBorder="1" applyAlignment="1"/>
    <xf numFmtId="0" fontId="13" fillId="9" borderId="30" xfId="10" applyFont="1" applyFill="1" applyBorder="1" applyAlignment="1"/>
    <xf numFmtId="0" fontId="13" fillId="16" borderId="23" xfId="10" applyFont="1" applyFill="1" applyBorder="1" applyAlignment="1"/>
    <xf numFmtId="0" fontId="13" fillId="16" borderId="24" xfId="10" applyFont="1" applyFill="1" applyBorder="1" applyAlignment="1"/>
    <xf numFmtId="0" fontId="13" fillId="16" borderId="25" xfId="10" applyFont="1" applyFill="1" applyBorder="1" applyAlignment="1"/>
    <xf numFmtId="0" fontId="13" fillId="16" borderId="28" xfId="10" applyFont="1" applyFill="1" applyBorder="1" applyAlignment="1"/>
    <xf numFmtId="0" fontId="13" fillId="16" borderId="29" xfId="10" applyFont="1" applyFill="1" applyBorder="1" applyAlignment="1"/>
    <xf numFmtId="0" fontId="13" fillId="16" borderId="30" xfId="10" applyFont="1" applyFill="1" applyBorder="1" applyAlignment="1"/>
    <xf numFmtId="0" fontId="13" fillId="17" borderId="23" xfId="10" applyFont="1" applyFill="1" applyBorder="1" applyAlignment="1"/>
    <xf numFmtId="0" fontId="13" fillId="17" borderId="24" xfId="10" applyFont="1" applyFill="1" applyBorder="1" applyAlignment="1"/>
    <xf numFmtId="0" fontId="13" fillId="17" borderId="25" xfId="10" applyFont="1" applyFill="1" applyBorder="1" applyAlignment="1"/>
    <xf numFmtId="0" fontId="13" fillId="17" borderId="28" xfId="10" applyFont="1" applyFill="1" applyBorder="1" applyAlignment="1"/>
    <xf numFmtId="0" fontId="13" fillId="17" borderId="29" xfId="10" applyFont="1" applyFill="1" applyBorder="1" applyAlignment="1"/>
    <xf numFmtId="0" fontId="13" fillId="17" borderId="30" xfId="10" applyFont="1" applyFill="1" applyBorder="1" applyAlignment="1"/>
    <xf numFmtId="0" fontId="0" fillId="40" borderId="0" xfId="0" applyFill="1"/>
    <xf numFmtId="164" fontId="0" fillId="0" borderId="0" xfId="6" applyFont="1"/>
    <xf numFmtId="164" fontId="0" fillId="0" borderId="0" xfId="0" applyNumberFormat="1"/>
    <xf numFmtId="9" fontId="0" fillId="0" borderId="0" xfId="0" applyNumberFormat="1"/>
    <xf numFmtId="9" fontId="0" fillId="0" borderId="0" xfId="7" applyFont="1"/>
    <xf numFmtId="0" fontId="18" fillId="19" borderId="0" xfId="0" applyFont="1" applyFill="1" applyAlignment="1">
      <alignment horizontal="left" vertical="center"/>
    </xf>
    <xf numFmtId="0" fontId="1" fillId="17" borderId="0" xfId="9" applyFont="1" applyFill="1" applyAlignment="1">
      <alignment horizontal="center" vertical="center" wrapText="1"/>
    </xf>
    <xf numFmtId="0" fontId="5" fillId="17" borderId="29" xfId="9" applyFill="1" applyBorder="1" applyAlignment="1">
      <alignment horizontal="center" vertical="center" wrapText="1"/>
    </xf>
    <xf numFmtId="0" fontId="1" fillId="6" borderId="0" xfId="10" applyFont="1" applyAlignment="1">
      <alignment horizontal="center" vertical="center" wrapText="1"/>
    </xf>
    <xf numFmtId="0" fontId="5" fillId="6" borderId="0" xfId="10" applyAlignment="1">
      <alignment horizontal="center" vertical="center" wrapText="1"/>
    </xf>
    <xf numFmtId="0" fontId="1" fillId="9" borderId="0" xfId="9" applyFont="1" applyFill="1" applyAlignment="1">
      <alignment horizontal="center" vertical="center" wrapText="1"/>
    </xf>
    <xf numFmtId="0" fontId="5" fillId="9" borderId="29" xfId="9" applyFill="1" applyBorder="1" applyAlignment="1">
      <alignment horizontal="center" vertical="center" wrapText="1"/>
    </xf>
    <xf numFmtId="0" fontId="1" fillId="16" borderId="0" xfId="9" applyFont="1" applyFill="1" applyAlignment="1">
      <alignment horizontal="center" vertical="center" wrapText="1"/>
    </xf>
    <xf numFmtId="0" fontId="5" fillId="16" borderId="29" xfId="9" applyFill="1" applyBorder="1" applyAlignment="1">
      <alignment horizontal="center" vertical="center" wrapText="1"/>
    </xf>
    <xf numFmtId="0" fontId="13" fillId="17" borderId="5" xfId="10" applyFont="1" applyFill="1" applyBorder="1" applyAlignment="1">
      <alignment horizontal="center"/>
    </xf>
    <xf numFmtId="0" fontId="13" fillId="17" borderId="0" xfId="10" applyFont="1" applyFill="1" applyBorder="1" applyAlignment="1">
      <alignment horizontal="center"/>
    </xf>
    <xf numFmtId="0" fontId="13" fillId="17" borderId="6" xfId="10" applyFont="1" applyFill="1" applyBorder="1" applyAlignment="1">
      <alignment horizontal="center"/>
    </xf>
    <xf numFmtId="0" fontId="13" fillId="9" borderId="5" xfId="10" applyFont="1" applyFill="1" applyBorder="1" applyAlignment="1">
      <alignment horizontal="center"/>
    </xf>
    <xf numFmtId="0" fontId="13" fillId="9" borderId="0" xfId="10" applyFont="1" applyFill="1" applyBorder="1" applyAlignment="1">
      <alignment horizontal="center"/>
    </xf>
    <xf numFmtId="0" fontId="13" fillId="9" borderId="6" xfId="10" applyFont="1" applyFill="1" applyBorder="1" applyAlignment="1">
      <alignment horizontal="center"/>
    </xf>
    <xf numFmtId="0" fontId="13" fillId="16" borderId="5" xfId="10" applyFont="1" applyFill="1" applyBorder="1" applyAlignment="1">
      <alignment horizontal="center"/>
    </xf>
    <xf numFmtId="0" fontId="13" fillId="16" borderId="0" xfId="10" applyFont="1" applyFill="1" applyBorder="1" applyAlignment="1">
      <alignment horizontal="center"/>
    </xf>
    <xf numFmtId="0" fontId="13" fillId="16" borderId="6" xfId="10" applyFont="1" applyFill="1" applyBorder="1" applyAlignment="1">
      <alignment horizontal="center"/>
    </xf>
    <xf numFmtId="0" fontId="5" fillId="9" borderId="0" xfId="9" applyFill="1" applyAlignment="1">
      <alignment horizontal="center" vertical="center" wrapText="1"/>
    </xf>
    <xf numFmtId="0" fontId="5" fillId="16" borderId="0" xfId="9" applyFill="1" applyAlignment="1">
      <alignment horizontal="center" vertical="center" wrapText="1"/>
    </xf>
    <xf numFmtId="0" fontId="5" fillId="17" borderId="0" xfId="9" applyFill="1" applyAlignment="1">
      <alignment horizontal="center" vertical="center" wrapText="1"/>
    </xf>
    <xf numFmtId="0" fontId="13" fillId="6" borderId="5" xfId="10" applyFont="1" applyBorder="1" applyAlignment="1">
      <alignment horizontal="center"/>
    </xf>
    <xf numFmtId="0" fontId="13" fillId="6" borderId="0" xfId="10" applyFont="1" applyBorder="1" applyAlignment="1">
      <alignment horizontal="center"/>
    </xf>
    <xf numFmtId="0" fontId="13" fillId="6" borderId="6" xfId="10" applyFont="1" applyBorder="1" applyAlignment="1">
      <alignment horizontal="center"/>
    </xf>
    <xf numFmtId="0" fontId="0" fillId="0" borderId="7" xfId="0" applyBorder="1" applyAlignment="1">
      <alignment horizontal="center" vertical="center"/>
    </xf>
  </cellXfs>
  <cellStyles count="22">
    <cellStyle name="20% - Accent1 2" xfId="21" xr:uid="{8824D662-A517-4856-83D4-60EAC8539951}"/>
    <cellStyle name="20% - Accent5 2" xfId="18" xr:uid="{00000000-0005-0000-0000-000000000000}"/>
    <cellStyle name="40% - Accent6 2" xfId="13" xr:uid="{00000000-0005-0000-0000-000001000000}"/>
    <cellStyle name="60% - Accent1 2" xfId="1" xr:uid="{00000000-0005-0000-0000-000002000000}"/>
    <cellStyle name="Accent1" xfId="9" builtinId="29"/>
    <cellStyle name="Accent2" xfId="8" builtinId="33"/>
    <cellStyle name="Accent3" xfId="10" builtinId="37"/>
    <cellStyle name="Accent3 2" xfId="16" xr:uid="{00000000-0005-0000-0000-000006000000}"/>
    <cellStyle name="Accent4" xfId="11" builtinId="41"/>
    <cellStyle name="Accent5" xfId="12" builtinId="45"/>
    <cellStyle name="Accent6" xfId="17" builtinId="49"/>
    <cellStyle name="Accent6 2" xfId="15" xr:uid="{00000000-0005-0000-0000-00000A000000}"/>
    <cellStyle name="Comma" xfId="6" builtinId="3"/>
    <cellStyle name="Hyperlink 2" xfId="20" xr:uid="{4C5CFA6A-9CF5-4AE8-9293-F936882776E2}"/>
    <cellStyle name="Neutral 2" xfId="14" xr:uid="{00000000-0005-0000-0000-00000C000000}"/>
    <cellStyle name="Normal" xfId="0" builtinId="0"/>
    <cellStyle name="Normal 2 2" xfId="4" xr:uid="{00000000-0005-0000-0000-00000E000000}"/>
    <cellStyle name="Normal 2 3" xfId="2" xr:uid="{00000000-0005-0000-0000-00000F000000}"/>
    <cellStyle name="Normal 3" xfId="3" xr:uid="{00000000-0005-0000-0000-000010000000}"/>
    <cellStyle name="Normal_Sheet1" xfId="19" xr:uid="{00000000-0005-0000-0000-000011000000}"/>
    <cellStyle name="Percent" xfId="7" builtinId="5"/>
    <cellStyle name="Percent 5" xfId="5" xr:uid="{00000000-0005-0000-0000-000013000000}"/>
  </cellStyles>
  <dxfs count="1737"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1" formatCode="[$€-2]\ #,##0.0"/>
    </dxf>
    <dxf>
      <numFmt numFmtId="173" formatCode="[$¥-804]#,##0.0"/>
    </dxf>
    <dxf>
      <numFmt numFmtId="174" formatCode="[$£-809]#,##0.0"/>
    </dxf>
    <dxf>
      <numFmt numFmtId="172" formatCode="&quot;$&quot;#,##0.0"/>
      <fill>
        <patternFill>
          <bgColor theme="0"/>
        </patternFill>
      </fill>
    </dxf>
    <dxf>
      <font>
        <color theme="0" tint="-0.34998626667073579"/>
      </font>
    </dxf>
    <dxf>
      <font>
        <color theme="0" tint="-0.34998626667073579"/>
      </font>
    </dxf>
    <dxf>
      <numFmt numFmtId="4" formatCode="#,##0.00"/>
    </dxf>
    <dxf>
      <numFmt numFmtId="14" formatCode="0.00%"/>
    </dxf>
    <dxf>
      <numFmt numFmtId="176" formatCode="#,##0.000000"/>
    </dxf>
    <dxf>
      <font>
        <color theme="0" tint="-0.34998626667073579"/>
      </font>
    </dxf>
    <dxf>
      <numFmt numFmtId="177" formatCode="[$€-2]\ #,##0"/>
    </dxf>
    <dxf>
      <font>
        <color theme="0" tint="-0.34998626667073579"/>
      </font>
    </dxf>
    <dxf>
      <font>
        <color theme="0" tint="-0.34998626667073579"/>
      </font>
    </dxf>
    <dxf>
      <numFmt numFmtId="4" formatCode="#,##0.00"/>
    </dxf>
    <dxf>
      <numFmt numFmtId="14" formatCode="0.00%"/>
    </dxf>
    <dxf>
      <numFmt numFmtId="176" formatCode="#,##0.000000"/>
    </dxf>
    <dxf>
      <font>
        <color theme="0" tint="-0.34998626667073579"/>
      </font>
    </dxf>
    <dxf>
      <numFmt numFmtId="177" formatCode="[$€-2]\ #,##0"/>
    </dxf>
    <dxf>
      <font>
        <color theme="0" tint="-0.34998626667073579"/>
      </font>
    </dxf>
    <dxf>
      <font>
        <color theme="0" tint="-0.34998626667073579"/>
      </font>
    </dxf>
    <dxf>
      <numFmt numFmtId="4" formatCode="#,##0.00"/>
    </dxf>
    <dxf>
      <numFmt numFmtId="14" formatCode="0.00%"/>
    </dxf>
    <dxf>
      <numFmt numFmtId="176" formatCode="#,##0.000000"/>
    </dxf>
    <dxf>
      <numFmt numFmtId="178" formatCode="[$€-2]\ #,##0.00"/>
    </dxf>
    <dxf>
      <font>
        <color theme="0" tint="-0.34998626667073579"/>
      </font>
    </dxf>
    <dxf>
      <font>
        <color theme="0" tint="-0.34998626667073579"/>
      </font>
    </dxf>
    <dxf>
      <numFmt numFmtId="177" formatCode="[$€-2]\ #,##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5" formatCode="#,##0.0\ [$kr-143B]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fill>
        <patternFill>
          <bgColor rgb="FF00B050"/>
        </patternFill>
      </fill>
    </dxf>
    <dxf>
      <fill>
        <patternFill>
          <bgColor rgb="FFC2E707"/>
        </patternFill>
      </fill>
    </dxf>
    <dxf>
      <fill>
        <patternFill>
          <bgColor rgb="FFFFFF00"/>
        </patternFill>
      </fill>
    </dxf>
    <dxf>
      <fill>
        <patternFill>
          <bgColor rgb="FFEB6C15"/>
        </patternFill>
      </fill>
    </dxf>
    <dxf>
      <font>
        <color theme="0"/>
      </font>
      <fill>
        <patternFill>
          <bgColor rgb="FFFF0000"/>
        </patternFill>
      </fill>
    </dxf>
    <dxf>
      <numFmt numFmtId="172" formatCode="&quot;$&quot;#,##0.0"/>
    </dxf>
    <dxf>
      <numFmt numFmtId="173" formatCode="[$¥-804]#,##0.0"/>
    </dxf>
    <dxf>
      <numFmt numFmtId="171" formatCode="[$€-2]\ #,##0.0"/>
    </dxf>
    <dxf>
      <numFmt numFmtId="174" formatCode="[$£-809]#,##0.0"/>
    </dxf>
    <dxf>
      <numFmt numFmtId="172" formatCode="&quot;$&quot;#,##0.0"/>
      <fill>
        <patternFill>
          <bgColor theme="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3BAA0E"/>
      <color rgb="FFA6EE32"/>
      <color rgb="FFD3FC6C"/>
      <color rgb="FFFFFF00"/>
      <color rgb="FFFF9900"/>
      <color rgb="FFEB6C15"/>
      <color rgb="FFC2E707"/>
      <color rgb="FFB4DE86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'Reference Set'!$B$14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B08-4DF7-A9D6-839DD4224FF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08-4DF7-A9D6-839DD4224FF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B08-4DF7-A9D6-839DD4224FF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B08-4DF7-A9D6-839DD4224FF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B08-4DF7-A9D6-839DD4224F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'Reference Set'!$A$15:$A$19</c:f>
              <c:strCache>
                <c:ptCount val="5"/>
                <c:pt idx="0">
                  <c:v>Mix of Channel</c:v>
                </c:pt>
                <c:pt idx="1">
                  <c:v>Field Sales</c:v>
                </c:pt>
                <c:pt idx="2">
                  <c:v>KAM</c:v>
                </c:pt>
                <c:pt idx="3">
                  <c:v>Distributors or Wholesalers</c:v>
                </c:pt>
                <c:pt idx="4">
                  <c:v>Own retail</c:v>
                </c:pt>
              </c:strCache>
            </c:strRef>
          </c:cat>
          <c:val>
            <c:numRef>
              <c:f>'Reference Set'!$B$15:$B$19</c:f>
              <c:numCache>
                <c:formatCode>0.0%</c:formatCode>
                <c:ptCount val="5"/>
                <c:pt idx="0">
                  <c:v>0.25685475823177079</c:v>
                </c:pt>
                <c:pt idx="1">
                  <c:v>0.23758994542492246</c:v>
                </c:pt>
                <c:pt idx="2">
                  <c:v>1.7572602082658803E-3</c:v>
                </c:pt>
                <c:pt idx="3">
                  <c:v>0.44285365038116975</c:v>
                </c:pt>
                <c:pt idx="4">
                  <c:v>6.0944385753871143E-2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1-467F-9C01-AFC6F80FF677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'Reference Set'!$B$34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12-4407-A0E3-40F3FDE601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6C4-40CD-93F5-2E466BD909F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A4-4228-A397-1F77F1BB5C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A4-4228-A397-1F77F1BB5C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'Reference Set'!$A$35:$A$38</c:f>
              <c:strCache>
                <c:ptCount val="4"/>
                <c:pt idx="0">
                  <c:v>Americas</c:v>
                </c:pt>
                <c:pt idx="1">
                  <c:v>EMEA</c:v>
                </c:pt>
                <c:pt idx="2">
                  <c:v>APAC</c:v>
                </c:pt>
                <c:pt idx="3">
                  <c:v>Global</c:v>
                </c:pt>
              </c:strCache>
            </c:strRef>
          </c:cat>
          <c:val>
            <c:numRef>
              <c:f>'Reference Set'!$B$35:$B$38</c:f>
              <c:numCache>
                <c:formatCode>0.0%</c:formatCode>
                <c:ptCount val="4"/>
                <c:pt idx="0">
                  <c:v>0.56816584072504039</c:v>
                </c:pt>
                <c:pt idx="1">
                  <c:v>0.28785446719274327</c:v>
                </c:pt>
                <c:pt idx="2">
                  <c:v>9.3764476478142872E-2</c:v>
                </c:pt>
                <c:pt idx="3">
                  <c:v>5.0215215604073472E-2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5A-44F4-81EF-46C2A5E3A89F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'Reference Set'!$B$54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FA-4E5B-99C0-3200277A4E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3C9-485F-B54F-2EB728F6FBE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3C9-485F-B54F-2EB728F6FBE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3C9-485F-B54F-2EB728F6FBE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3C9-485F-B54F-2EB728F6FBE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3C9-485F-B54F-2EB728F6FBE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3C9-485F-B54F-2EB728F6FB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'Reference Set'!$A$55:$A$61</c:f>
              <c:strCache>
                <c:ptCount val="7"/>
                <c:pt idx="0">
                  <c:v>Industrial Equipment &amp; Components</c:v>
                </c:pt>
                <c:pt idx="1">
                  <c:v>Retail</c:v>
                </c:pt>
                <c:pt idx="2">
                  <c:v>Chemicals</c:v>
                </c:pt>
                <c:pt idx="3">
                  <c:v>Travel, Transport &amp; Logistics</c:v>
                </c:pt>
                <c:pt idx="4">
                  <c:v>Medical Products</c:v>
                </c:pt>
                <c:pt idx="5">
                  <c:v>Paper &amp; Packaging</c:v>
                </c:pt>
                <c:pt idx="6">
                  <c:v>Automotive</c:v>
                </c:pt>
              </c:strCache>
            </c:strRef>
          </c:cat>
          <c:val>
            <c:numRef>
              <c:f>'Reference Set'!$B$55:$B$61</c:f>
              <c:numCache>
                <c:formatCode>0.0%</c:formatCode>
                <c:ptCount val="7"/>
                <c:pt idx="0">
                  <c:v>0.25132101360111164</c:v>
                </c:pt>
                <c:pt idx="1">
                  <c:v>1.7572602082658803E-3</c:v>
                </c:pt>
                <c:pt idx="2">
                  <c:v>0.34273780847575019</c:v>
                </c:pt>
                <c:pt idx="3">
                  <c:v>7.6802835098816344E-2</c:v>
                </c:pt>
                <c:pt idx="4">
                  <c:v>0.14069121660496589</c:v>
                </c:pt>
                <c:pt idx="5">
                  <c:v>0.12574548025721893</c:v>
                </c:pt>
                <c:pt idx="6">
                  <c:v>6.0944385753871143E-2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A-4869-83D9-31CA5884451D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B6B-4643-A1F9-A3C8C4378D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B6B-4643-A1F9-A3C8C4378D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B6B-4643-A1F9-A3C8C4378D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Set'!$I$15:$I$17</c:f>
              <c:numCache>
                <c:formatCode>0.00%</c:formatCode>
                <c:ptCount val="3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'Reference Set'!$H$15:$H$17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853-47DC-B604-C0BF0504478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B2-4F20-BD74-34812CBD94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B2-4F20-BD74-34812CBD94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B2-4F20-BD74-34812CBD94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9B2-4F20-BD74-34812CBD94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Set'!$I$35:$I$38</c:f>
              <c:numCache>
                <c:formatCode>0.0%</c:formatCode>
                <c:ptCount val="4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'Reference Set'!$H$35:$H$38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E2C-47D9-A0A2-B8199DC4440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67A-4E23-A259-AD546EBA99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67A-4E23-A259-AD546EBA99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67A-4E23-A259-AD546EBA99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Set'!$I$55:$I$57</c:f>
              <c:numCache>
                <c:formatCode>0.0%</c:formatCode>
                <c:ptCount val="3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'Reference Set'!$H$55:$H$57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241-4C87-9F2A-3D301F41106E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DF-4720-A27B-C2507526D3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ADF-4720-A27B-C2507526D3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ADF-4720-A27B-C2507526D3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ADF-4720-A27B-C2507526D3A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ADF-4720-A27B-C2507526D3A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ADF-4720-A27B-C2507526D3A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ADF-4720-A27B-C2507526D3A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ADF-4720-A27B-C2507526D3A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ADF-4720-A27B-C2507526D3A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ADF-4720-A27B-C2507526D3A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ADF-4720-A27B-C2507526D3A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ADF-4720-A27B-C2507526D3A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ADF-4720-A27B-C2507526D3A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ADF-4720-A27B-C2507526D3A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6ADF-4720-A27B-C2507526D3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Set'!$P$15:$P$29</c:f>
              <c:numCache>
                <c:formatCode>0.00%</c:formatCode>
                <c:ptCount val="1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'Reference Set'!$O$15:$O$29</c15:sqref>
                        </c15:formulaRef>
                      </c:ext>
                    </c:extLst>
                    <c:numCache>
                      <c:formatCode>General</c:formatCode>
                      <c:ptCount val="15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2D0A-4C35-B3CB-2FE4DC4D3BE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A41-439D-9BDA-31B8EB292B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A41-439D-9BDA-31B8EB292B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A41-439D-9BDA-31B8EB292B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A41-439D-9BDA-31B8EB292B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A41-439D-9BDA-31B8EB292B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A41-439D-9BDA-31B8EB292B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Set'!$P$35:$P$40</c:f>
              <c:numCache>
                <c:formatCode>0.0%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'Reference Set'!$O$35:$O$40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60E9-4E4D-9BA5-B6FE9A596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E0-4EF1-8FB6-FB5423B09E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E0-4EF1-8FB6-FB5423B09E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E0-4EF1-8FB6-FB5423B09E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E0-4EF1-8FB6-FB5423B09E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E0-4EF1-8FB6-FB5423B09E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E0-4EF1-8FB6-FB5423B09E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8E0-4EF1-8FB6-FB5423B09E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8E0-4EF1-8FB6-FB5423B09E0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8E0-4EF1-8FB6-FB5423B09E0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8E0-4EF1-8FB6-FB5423B09E0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8E0-4EF1-8FB6-FB5423B09E0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8E0-4EF1-8FB6-FB5423B09E0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8E0-4EF1-8FB6-FB5423B09E0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8E0-4EF1-8FB6-FB5423B09E0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8E0-4EF1-8FB6-FB5423B09E0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8E0-4EF1-8FB6-FB5423B09E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Set'!$P$55:$P$70</c:f>
              <c:numCache>
                <c:formatCode>0.0%</c:formatCode>
                <c:ptCount val="1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'Reference Set'!$O$55:$O$70</c15:sqref>
                        </c15:formulaRef>
                      </c:ext>
                    </c:extLst>
                    <c:numCache>
                      <c:formatCode>General</c:formatCode>
                      <c:ptCount val="1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E4F-4304-9432-021FD1EDEEDA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E9-4ECF-A9E3-B3921F46B0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E9-4ECF-A9E3-B3921F46B0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E9-4ECF-A9E3-B3921F46B03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E9-4ECF-A9E3-B3921F46B03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E9-4ECF-A9E3-B3921F46B03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4E9-4ECF-A9E3-B3921F46B03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4E9-4ECF-A9E3-B3921F46B03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4E9-4ECF-A9E3-B3921F46B03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4E9-4ECF-A9E3-B3921F46B03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4E9-4ECF-A9E3-B3921F46B03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4E9-4ECF-A9E3-B3921F46B03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4E9-4ECF-A9E3-B3921F46B03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4E9-4ECF-A9E3-B3921F46B03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4E9-4ECF-A9E3-B3921F46B03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84E9-4ECF-A9E3-B3921F46B0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Set'!$W$15:$W$29</c:f>
              <c:numCache>
                <c:formatCode>0.00%</c:formatCode>
                <c:ptCount val="15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'Reference Set'!$V$15:$V$29</c15:sqref>
                        </c15:formulaRef>
                      </c:ext>
                    </c:extLst>
                    <c:numCache>
                      <c:formatCode>General</c:formatCode>
                      <c:ptCount val="15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103-4EE6-A77F-B4B4E212C4D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EE-4FB3-A789-316E4DEAFE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EE-4FB3-A789-316E4DEAFE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EE-4FB3-A789-316E4DEAFE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FEE-4FB3-A789-316E4DEAFE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FEE-4FB3-A789-316E4DEAFED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FEE-4FB3-A789-316E4DEAFE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Set'!$W$35:$W$40</c:f>
              <c:numCache>
                <c:formatCode>0.0%</c:formatCode>
                <c:ptCount val="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'Reference Set'!$V$35:$V$40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6F0-43D9-9142-F037C88E8AE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A9D-43E7-A797-5219D57EC0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A9D-43E7-A797-5219D57EC0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A9D-43E7-A797-5219D57EC01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A9D-43E7-A797-5219D57EC01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A9D-43E7-A797-5219D57EC01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A9D-43E7-A797-5219D57EC01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A9D-43E7-A797-5219D57EC01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A9D-43E7-A797-5219D57EC01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A9D-43E7-A797-5219D57EC01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A9D-43E7-A797-5219D57EC01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A9D-43E7-A797-5219D57EC01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A9D-43E7-A797-5219D57EC01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A9D-43E7-A797-5219D57EC01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A9D-43E7-A797-5219D57EC01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A9D-43E7-A797-5219D57EC014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A9D-43E7-A797-5219D57EC0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'Reference Set'!$W$55:$W$70</c:f>
              <c:numCache>
                <c:formatCode>0.0%</c:formatCode>
                <c:ptCount val="16"/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'Reference Set'!$V$55:$V$70</c15:sqref>
                        </c15:formulaRef>
                      </c:ext>
                    </c:extLst>
                    <c:numCache>
                      <c:formatCode>General</c:formatCode>
                      <c:ptCount val="16"/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10B-4F14-A35B-4F7F574C87D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D$11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63500</xdr:rowOff>
        </xdr:from>
        <xdr:to>
          <xdr:col>3</xdr:col>
          <xdr:colOff>990600</xdr:colOff>
          <xdr:row>4</xdr:row>
          <xdr:rowOff>336550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wbk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69850</xdr:colOff>
          <xdr:row>11</xdr:row>
          <xdr:rowOff>44450</xdr:rowOff>
        </xdr:from>
        <xdr:to>
          <xdr:col>3</xdr:col>
          <xdr:colOff>996950</xdr:colOff>
          <xdr:row>11</xdr:row>
          <xdr:rowOff>336550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CreateToShare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425450</xdr:colOff>
          <xdr:row>10</xdr:row>
          <xdr:rowOff>101600</xdr:rowOff>
        </xdr:from>
        <xdr:to>
          <xdr:col>3</xdr:col>
          <xdr:colOff>717550</xdr:colOff>
          <xdr:row>10</xdr:row>
          <xdr:rowOff>330200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Box 4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4605338</xdr:colOff>
      <xdr:row>9</xdr:row>
      <xdr:rowOff>119063</xdr:rowOff>
    </xdr:from>
    <xdr:to>
      <xdr:col>3</xdr:col>
      <xdr:colOff>871537</xdr:colOff>
      <xdr:row>9</xdr:row>
      <xdr:rowOff>290513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53038" y="7158038"/>
          <a:ext cx="2066924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63500</xdr:rowOff>
        </xdr:from>
        <xdr:to>
          <xdr:col>3</xdr:col>
          <xdr:colOff>990600</xdr:colOff>
          <xdr:row>6</xdr:row>
          <xdr:rowOff>336550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0</xdr:row>
          <xdr:rowOff>63500</xdr:rowOff>
        </xdr:from>
        <xdr:to>
          <xdr:col>0</xdr:col>
          <xdr:colOff>806450</xdr:colOff>
          <xdr:row>0</xdr:row>
          <xdr:rowOff>336550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82550</xdr:rowOff>
        </xdr:from>
        <xdr:to>
          <xdr:col>5</xdr:col>
          <xdr:colOff>863600</xdr:colOff>
          <xdr:row>1</xdr:row>
          <xdr:rowOff>304800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111</xdr:col>
          <xdr:colOff>196850</xdr:colOff>
          <xdr:row>1</xdr:row>
          <xdr:rowOff>69850</xdr:rowOff>
        </xdr:from>
        <xdr:to>
          <xdr:col>111</xdr:col>
          <xdr:colOff>914400</xdr:colOff>
          <xdr:row>2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118</xdr:col>
          <xdr:colOff>196850</xdr:colOff>
          <xdr:row>1</xdr:row>
          <xdr:rowOff>69850</xdr:rowOff>
        </xdr:from>
        <xdr:to>
          <xdr:col>118</xdr:col>
          <xdr:colOff>914400</xdr:colOff>
          <xdr:row>2</xdr:row>
          <xdr:rowOff>152400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125</xdr:col>
          <xdr:colOff>196850</xdr:colOff>
          <xdr:row>1</xdr:row>
          <xdr:rowOff>69850</xdr:rowOff>
        </xdr:from>
        <xdr:to>
          <xdr:col>125</xdr:col>
          <xdr:colOff>914400</xdr:colOff>
          <xdr:row>2</xdr:row>
          <xdr:rowOff>152400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132</xdr:col>
          <xdr:colOff>196850</xdr:colOff>
          <xdr:row>1</xdr:row>
          <xdr:rowOff>69850</xdr:rowOff>
        </xdr:from>
        <xdr:to>
          <xdr:col>132</xdr:col>
          <xdr:colOff>914400</xdr:colOff>
          <xdr:row>2</xdr:row>
          <xdr:rowOff>152400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266700</xdr:rowOff>
        </xdr:from>
        <xdr:to>
          <xdr:col>0</xdr:col>
          <xdr:colOff>2959100</xdr:colOff>
          <xdr:row>1</xdr:row>
          <xdr:rowOff>533400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</xdr:row>
          <xdr:rowOff>266700</xdr:rowOff>
        </xdr:from>
        <xdr:to>
          <xdr:col>7</xdr:col>
          <xdr:colOff>2959100</xdr:colOff>
          <xdr:row>1</xdr:row>
          <xdr:rowOff>533400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1</xdr:row>
          <xdr:rowOff>266700</xdr:rowOff>
        </xdr:from>
        <xdr:to>
          <xdr:col>14</xdr:col>
          <xdr:colOff>2959100</xdr:colOff>
          <xdr:row>1</xdr:row>
          <xdr:rowOff>533400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1</xdr:row>
          <xdr:rowOff>266700</xdr:rowOff>
        </xdr:from>
        <xdr:to>
          <xdr:col>21</xdr:col>
          <xdr:colOff>2959100</xdr:colOff>
          <xdr:row>1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86591</xdr:colOff>
      <xdr:row>13</xdr:row>
      <xdr:rowOff>39829</xdr:rowOff>
    </xdr:from>
    <xdr:to>
      <xdr:col>3</xdr:col>
      <xdr:colOff>1749135</xdr:colOff>
      <xdr:row>30</xdr:row>
      <xdr:rowOff>129887</xdr:rowOff>
    </xdr:to>
    <xdr:graphicFrame macro="">
      <xdr:nvGraphicFramePr>
        <xdr:cNvPr id="3" name="ChartPeer1a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76200</xdr:rowOff>
        </xdr:from>
        <xdr:to>
          <xdr:col>0</xdr:col>
          <xdr:colOff>2921000</xdr:colOff>
          <xdr:row>0</xdr:row>
          <xdr:rowOff>342900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69273</xdr:colOff>
      <xdr:row>33</xdr:row>
      <xdr:rowOff>48487</xdr:rowOff>
    </xdr:from>
    <xdr:to>
      <xdr:col>3</xdr:col>
      <xdr:colOff>1766453</xdr:colOff>
      <xdr:row>50</xdr:row>
      <xdr:rowOff>129885</xdr:rowOff>
    </xdr:to>
    <xdr:graphicFrame macro="">
      <xdr:nvGraphicFramePr>
        <xdr:cNvPr id="5" name="ChartPeer1b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77931</xdr:colOff>
      <xdr:row>53</xdr:row>
      <xdr:rowOff>17418</xdr:rowOff>
    </xdr:from>
    <xdr:to>
      <xdr:col>3</xdr:col>
      <xdr:colOff>1801090</xdr:colOff>
      <xdr:row>69</xdr:row>
      <xdr:rowOff>107473</xdr:rowOff>
    </xdr:to>
    <xdr:graphicFrame macro="">
      <xdr:nvGraphicFramePr>
        <xdr:cNvPr id="6" name="ChartPeer1c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86589</xdr:colOff>
      <xdr:row>13</xdr:row>
      <xdr:rowOff>65806</xdr:rowOff>
    </xdr:from>
    <xdr:to>
      <xdr:col>10</xdr:col>
      <xdr:colOff>1757794</xdr:colOff>
      <xdr:row>30</xdr:row>
      <xdr:rowOff>121228</xdr:rowOff>
    </xdr:to>
    <xdr:graphicFrame macro="">
      <xdr:nvGraphicFramePr>
        <xdr:cNvPr id="7" name="ChartPeer2a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43295</xdr:colOff>
      <xdr:row>33</xdr:row>
      <xdr:rowOff>57149</xdr:rowOff>
    </xdr:from>
    <xdr:to>
      <xdr:col>10</xdr:col>
      <xdr:colOff>1775113</xdr:colOff>
      <xdr:row>50</xdr:row>
      <xdr:rowOff>129886</xdr:rowOff>
    </xdr:to>
    <xdr:graphicFrame macro="">
      <xdr:nvGraphicFramePr>
        <xdr:cNvPr id="8" name="ChartPeer2b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51954</xdr:colOff>
      <xdr:row>53</xdr:row>
      <xdr:rowOff>109103</xdr:rowOff>
    </xdr:from>
    <xdr:to>
      <xdr:col>10</xdr:col>
      <xdr:colOff>1766454</xdr:colOff>
      <xdr:row>69</xdr:row>
      <xdr:rowOff>121226</xdr:rowOff>
    </xdr:to>
    <xdr:graphicFrame macro="">
      <xdr:nvGraphicFramePr>
        <xdr:cNvPr id="9" name="ChartPeer2c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13</xdr:row>
      <xdr:rowOff>142874</xdr:rowOff>
    </xdr:from>
    <xdr:to>
      <xdr:col>17</xdr:col>
      <xdr:colOff>1733550</xdr:colOff>
      <xdr:row>30</xdr:row>
      <xdr:rowOff>76200</xdr:rowOff>
    </xdr:to>
    <xdr:graphicFrame macro="">
      <xdr:nvGraphicFramePr>
        <xdr:cNvPr id="10" name="ChartPeer3a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114300</xdr:colOff>
      <xdr:row>33</xdr:row>
      <xdr:rowOff>104774</xdr:rowOff>
    </xdr:from>
    <xdr:to>
      <xdr:col>17</xdr:col>
      <xdr:colOff>1695450</xdr:colOff>
      <xdr:row>50</xdr:row>
      <xdr:rowOff>95250</xdr:rowOff>
    </xdr:to>
    <xdr:graphicFrame macro="">
      <xdr:nvGraphicFramePr>
        <xdr:cNvPr id="12" name="ChartPeer3b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57150</xdr:colOff>
      <xdr:row>53</xdr:row>
      <xdr:rowOff>85724</xdr:rowOff>
    </xdr:from>
    <xdr:to>
      <xdr:col>17</xdr:col>
      <xdr:colOff>1752600</xdr:colOff>
      <xdr:row>69</xdr:row>
      <xdr:rowOff>114300</xdr:rowOff>
    </xdr:to>
    <xdr:graphicFrame macro="">
      <xdr:nvGraphicFramePr>
        <xdr:cNvPr id="13" name="ChartPeer3c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23</xdr:col>
      <xdr:colOff>76200</xdr:colOff>
      <xdr:row>13</xdr:row>
      <xdr:rowOff>47624</xdr:rowOff>
    </xdr:from>
    <xdr:to>
      <xdr:col>24</xdr:col>
      <xdr:colOff>1733550</xdr:colOff>
      <xdr:row>30</xdr:row>
      <xdr:rowOff>76200</xdr:rowOff>
    </xdr:to>
    <xdr:graphicFrame macro="">
      <xdr:nvGraphicFramePr>
        <xdr:cNvPr id="14" name="ChartPeer4a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23</xdr:col>
      <xdr:colOff>152400</xdr:colOff>
      <xdr:row>33</xdr:row>
      <xdr:rowOff>180974</xdr:rowOff>
    </xdr:from>
    <xdr:to>
      <xdr:col>24</xdr:col>
      <xdr:colOff>1714500</xdr:colOff>
      <xdr:row>50</xdr:row>
      <xdr:rowOff>95250</xdr:rowOff>
    </xdr:to>
    <xdr:graphicFrame macro="">
      <xdr:nvGraphicFramePr>
        <xdr:cNvPr id="15" name="ChartPeer4b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133350</xdr:colOff>
      <xdr:row>53</xdr:row>
      <xdr:rowOff>66674</xdr:rowOff>
    </xdr:from>
    <xdr:to>
      <xdr:col>24</xdr:col>
      <xdr:colOff>1733550</xdr:colOff>
      <xdr:row>69</xdr:row>
      <xdr:rowOff>133350</xdr:rowOff>
    </xdr:to>
    <xdr:graphicFrame macro="">
      <xdr:nvGraphicFramePr>
        <xdr:cNvPr id="16" name="ChartPeer4c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%20Sanchez/Box%20Sync/M&amp;S%20suite/2%20-%20Operations/4%20-%20Sales%20Navigator/10%20-%20Internal%20Development/Recurrent%20Revenue/2021_SN_DataLoader_RR%20-%20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nnes%20Raes/AppData/Local/Box/Box%20Edit/Documents/6FrA8B5YYkq6rB7dqRHCWw==/20170608_InputTemplate_wLinks_v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chaelRusso/Dropbox%20(Latchable,%20Inc)/Latch%20Investor%20Relations/Board%20Materials/2020_Q1/BoD_Deck_05202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chaelRusso/Dropbox%20(Latchable,%20Inc)/Latch%20Investor%20Relations/Board%20Materials/2020_Q2/Board_Financial_Presentation_Backend_072120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therine%20Piwonski/Desktop/Sales%20Navigator/Semi-Report_v10n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microsoft.com/office/2019/04/relationships/externalLinkLongPath" Target="/Users/Christopher%20Sanchez/Box%20Sync/M&amp;S%20suite/2%20-%20Operations/4%20-%20Sales%20Navigator/10%20-%20Internal%20Development/Sales%20Navigator%20for%20Tech%20&amp;%20Recurring%20Revenue/Templates/Versions%20for%20frequentlyusedlinks/2021_SN_InputFile_ToSentToClient_RecurringRevenue.xlsx?D878A132" TargetMode="External"/><Relationship Id="rId1" Type="http://schemas.openxmlformats.org/officeDocument/2006/relationships/externalLinkPath" Target="file:///\\D878A132\2021_SN_InputFile_ToSentToClient_RecurringRevenu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Loader"/>
      <sheetName val="Drop Downs"/>
      <sheetName val="Lists"/>
      <sheetName val="Firm Taxonomy"/>
      <sheetName val="ParameterDD"/>
    </sheetNames>
    <sheetDataSet>
      <sheetData sheetId="0"/>
      <sheetData sheetId="1">
        <row r="1">
          <cell r="B1" t="str">
            <v>*Please Select*</v>
          </cell>
        </row>
        <row r="2">
          <cell r="B2" t="str">
            <v>Functional</v>
          </cell>
          <cell r="E2" t="str">
            <v>*Please Select*</v>
          </cell>
        </row>
        <row r="3">
          <cell r="B3" t="str">
            <v>Industry</v>
          </cell>
          <cell r="E3" t="str">
            <v>Yes</v>
          </cell>
        </row>
        <row r="4">
          <cell r="E4" t="str">
            <v>No</v>
          </cell>
        </row>
      </sheetData>
      <sheetData sheetId="2">
        <row r="4">
          <cell r="H4">
            <v>21</v>
          </cell>
          <cell r="J4">
            <v>4</v>
          </cell>
        </row>
        <row r="6">
          <cell r="G6" t="str">
            <v>Advanced Electronics</v>
          </cell>
          <cell r="I6" t="str">
            <v>Global</v>
          </cell>
        </row>
      </sheetData>
      <sheetData sheetId="3" refreshError="1"/>
      <sheetData sheetId="4">
        <row r="2">
          <cell r="B2" t="str">
            <v>D1.1 Revenue</v>
          </cell>
        </row>
        <row r="3">
          <cell r="B3" t="str">
            <v>D1.1.1 Revenue from New Accounts</v>
          </cell>
        </row>
        <row r="4">
          <cell r="B4" t="str">
            <v>D1.1.2 Revenue from Existing Accounts</v>
          </cell>
        </row>
        <row r="5">
          <cell r="B5" t="str">
            <v>D1.1.2.1 Revenue from Cross-sell/Up-sell</v>
          </cell>
        </row>
        <row r="6">
          <cell r="B6" t="str">
            <v>D1.1.2.2 Other/Recurring Revenue from Existing Accounts</v>
          </cell>
        </row>
        <row r="7">
          <cell r="B7" t="str">
            <v>D1.1.3 Revenue from Existing Accounts FY-1</v>
          </cell>
        </row>
        <row r="8">
          <cell r="B8" t="str">
            <v>D1.1.3 Revenue from Existing Accounts FY-2</v>
          </cell>
        </row>
        <row r="9">
          <cell r="B9" t="str">
            <v>D1.2 Revenue (Most Recent Fiscal Year -1)</v>
          </cell>
        </row>
        <row r="10">
          <cell r="B10" t="str">
            <v>D1.2 Revenue (Most Recent Fiscal Year -2)</v>
          </cell>
        </row>
        <row r="11">
          <cell r="B11" t="str">
            <v>D1.3 Total Bookings</v>
          </cell>
        </row>
        <row r="12">
          <cell r="B12" t="str">
            <v>D1.3.1 Bookings from New Accounts (Annual Contract Value)</v>
          </cell>
        </row>
        <row r="13">
          <cell r="B13" t="str">
            <v>D1.3.2 Bookings from Existing Accounts (Annual Contract Value)</v>
          </cell>
        </row>
        <row r="14">
          <cell r="B14" t="str">
            <v>D1.3.2.1 Bookings from Cross-sell/Up-sell</v>
          </cell>
        </row>
        <row r="15">
          <cell r="B15" t="str">
            <v>D1.3.2.2 Other/Renewal Bookings from Existing Accounts</v>
          </cell>
        </row>
        <row r="16">
          <cell r="B16" t="str">
            <v>D1.3.3 New Bookings (Total Contract Value)</v>
          </cell>
        </row>
        <row r="17">
          <cell r="B17" t="str">
            <v>D1.4 Total Bookings (Most Recent Fiscal Year -1)</v>
          </cell>
        </row>
        <row r="18">
          <cell r="B18" t="str">
            <v>D1.4 Total Bookings (Most Recent Fiscal Year -2)</v>
          </cell>
        </row>
        <row r="19">
          <cell r="B19" t="str">
            <v>D2.1 Standard Gross Profit</v>
          </cell>
        </row>
        <row r="20">
          <cell r="B20" t="str">
            <v>D2.2 Standard Gross Profit (Most Recent Fiscal Year-1)</v>
          </cell>
        </row>
        <row r="21">
          <cell r="B21" t="str">
            <v>D2.3 Standard Gross Profit (Most Recent Fiscal Year -2)</v>
          </cell>
        </row>
        <row r="22">
          <cell r="B22" t="str">
            <v>D3. Selling Cost</v>
          </cell>
        </row>
        <row r="23">
          <cell r="B23" t="str">
            <v>D3.1. Total Selling Personnel Cost</v>
          </cell>
        </row>
        <row r="24">
          <cell r="B24" t="str">
            <v>D3.1.1 Account Owner Personnel Cost</v>
          </cell>
        </row>
        <row r="25">
          <cell r="B25" t="str">
            <v>D3.1.1.1 Account Owner-New Accounts Personnel Cost</v>
          </cell>
        </row>
        <row r="26">
          <cell r="B26" t="str">
            <v>D3.1.1.2 Account Owner-Existing Accounts Personnel Cost</v>
          </cell>
        </row>
        <row r="27">
          <cell r="B27" t="str">
            <v>D3.1.1.3 Account Owner-Channel Rep Personnel Cost</v>
          </cell>
        </row>
        <row r="28">
          <cell r="B28" t="str">
            <v>D3.1.2 Sales Enablement Personnel Cost</v>
          </cell>
        </row>
        <row r="29">
          <cell r="B29" t="str">
            <v>D3.1.2.1 Commercial Sales Enablement Personnel Cost</v>
          </cell>
        </row>
        <row r="30">
          <cell r="B30" t="str">
            <v>D3.1.2.2 Technical Sales Enablement Personnel Cost</v>
          </cell>
        </row>
        <row r="31">
          <cell r="B31" t="str">
            <v>D3.1.2.3 Sales Operations Personnel Cost</v>
          </cell>
        </row>
        <row r="32">
          <cell r="B32" t="str">
            <v>D3.1.3 Sales Manager Personnel Cost</v>
          </cell>
        </row>
        <row r="33">
          <cell r="B33" t="str">
            <v>D3.1.3.1 Account Owner Management Personnel Cost</v>
          </cell>
        </row>
        <row r="34">
          <cell r="B34" t="str">
            <v>D3.1.3.2 Sales Enablement Management Personnel Cost</v>
          </cell>
        </row>
        <row r="35">
          <cell r="B35" t="str">
            <v>D3.2. Selling Non-Personnel Cost</v>
          </cell>
        </row>
        <row r="36">
          <cell r="B36" t="str">
            <v>D3.2.1. Travel &amp; Entertainment Cost in Sales</v>
          </cell>
        </row>
        <row r="37">
          <cell r="B37" t="str">
            <v>D3.2.2. Support infrastructure Cost in Sales</v>
          </cell>
        </row>
        <row r="38">
          <cell r="B38" t="str">
            <v>D3.2.3. Commissions and Sales Incentives to Third Parties</v>
          </cell>
        </row>
        <row r="39">
          <cell r="B39" t="str">
            <v>D3.2.4. Other Selling Non-Personnel Cost</v>
          </cell>
        </row>
        <row r="40">
          <cell r="B40" t="str">
            <v>D4. Customer Success and Renewals Cost</v>
          </cell>
        </row>
        <row r="41">
          <cell r="B41" t="str">
            <v>D4.1 Total Customer Success and Renewals Personnel Cost</v>
          </cell>
        </row>
        <row r="42">
          <cell r="B42" t="str">
            <v>D4.1.1 Customer Success Reps Personnel Cost</v>
          </cell>
        </row>
        <row r="43">
          <cell r="B43" t="str">
            <v>D4.1.2 Renewal Reps Personnel Cost</v>
          </cell>
        </row>
        <row r="44">
          <cell r="B44" t="str">
            <v>D4.2 Total Customer Success and Renewals Management Cost</v>
          </cell>
        </row>
        <row r="45">
          <cell r="B45" t="str">
            <v>D4.2.1 Customer Success Management Personnel Cost</v>
          </cell>
        </row>
        <row r="46">
          <cell r="B46" t="str">
            <v>D4.2.2 Renewal Management Personnel Cost</v>
          </cell>
        </row>
        <row r="47">
          <cell r="B47" t="str">
            <v>D4.3 Total Customer Success and Renewals Non-Personnel Cost</v>
          </cell>
        </row>
        <row r="48">
          <cell r="B48" t="str">
            <v>D5. Marketing Cost</v>
          </cell>
        </row>
        <row r="49">
          <cell r="B49" t="str">
            <v>D5.1 Marketing Personnel Cost</v>
          </cell>
        </row>
        <row r="50">
          <cell r="B50" t="str">
            <v>D5.1.1 Customer Marketing Personnel Cost</v>
          </cell>
        </row>
        <row r="51">
          <cell r="B51" t="str">
            <v>D5.1.2 Product Marketing Personnel Cost</v>
          </cell>
        </row>
        <row r="52">
          <cell r="B52" t="str">
            <v>D5.1.3 Marketing Operations Personnel Cost</v>
          </cell>
        </row>
        <row r="53">
          <cell r="B53" t="str">
            <v>D5.1.4 Corporate Marketing Personnel Cost</v>
          </cell>
        </row>
        <row r="54">
          <cell r="B54" t="str">
            <v>D5.2 Marketing Non-Personnel Cost</v>
          </cell>
        </row>
        <row r="55">
          <cell r="B55" t="str">
            <v>D5.2.1 Advertising &amp; Promotion Cost</v>
          </cell>
        </row>
        <row r="56">
          <cell r="B56" t="str">
            <v>D5.2.1.1 Digital Advertising &amp; Promotion Channel Cost</v>
          </cell>
        </row>
        <row r="57">
          <cell r="B57" t="str">
            <v>D5.2.1.2 Traditional Advertising &amp; Promotion Channel Cost</v>
          </cell>
        </row>
        <row r="58">
          <cell r="B58" t="str">
            <v>D5.2.1.3 Conferences &amp; Events</v>
          </cell>
        </row>
        <row r="59">
          <cell r="B59" t="str">
            <v>D5.2.1.4 Content Creation Cost</v>
          </cell>
        </row>
        <row r="60">
          <cell r="B60" t="str">
            <v>D5.2.2 Marketing Operations Cost</v>
          </cell>
        </row>
        <row r="61">
          <cell r="B61" t="str">
            <v>D5.2.2.1 Travel &amp; Entertainment Cost in Marketing</v>
          </cell>
        </row>
        <row r="62">
          <cell r="B62" t="str">
            <v>D5.2.2.2 Support Infrastructure Cost in Marketing</v>
          </cell>
        </row>
        <row r="63">
          <cell r="B63" t="str">
            <v>D5.2.2.2.1. Software &amp; IT Licenses Cost in Marketing</v>
          </cell>
        </row>
        <row r="64">
          <cell r="B64" t="str">
            <v>D5.2.2.2.2. Telecommunications Cost in Marketing</v>
          </cell>
        </row>
        <row r="65">
          <cell r="B65" t="str">
            <v>D5.2.2.2.3 Facilities Cost in Marketing</v>
          </cell>
        </row>
        <row r="66">
          <cell r="B66" t="str">
            <v>D5.2.2.3 Insights, Market Research &amp; Data Sourcing Cost</v>
          </cell>
        </row>
        <row r="67">
          <cell r="B67" t="str">
            <v>D5.2.2.4 Other Marketing Operations Cost</v>
          </cell>
        </row>
        <row r="68">
          <cell r="B68" t="str">
            <v>E1. Sales Employees</v>
          </cell>
        </row>
        <row r="69">
          <cell r="B69" t="str">
            <v>E1.1. Account owner</v>
          </cell>
        </row>
        <row r="70">
          <cell r="B70" t="str">
            <v>E1.1.1 Account Owner/Sales Rep-New Accounts (Hunter)</v>
          </cell>
        </row>
        <row r="71">
          <cell r="B71" t="str">
            <v>E1.1.2 Account Owner/Sales Rep-Existing Accounts (Farmer)</v>
          </cell>
        </row>
        <row r="72">
          <cell r="B72" t="str">
            <v>E1.1.3 Channel Rep</v>
          </cell>
        </row>
        <row r="73">
          <cell r="B73" t="str">
            <v>E1.2. Sales Enablement</v>
          </cell>
        </row>
        <row r="74">
          <cell r="B74" t="str">
            <v>E1.2.1. Commercial Sales Enablement</v>
          </cell>
        </row>
        <row r="75">
          <cell r="B75" t="str">
            <v>E1.2.2. Technical and Product/Industry Sales Enablement</v>
          </cell>
        </row>
        <row r="76">
          <cell r="B76" t="str">
            <v>E1.2.2.1 Technical Sales</v>
          </cell>
        </row>
        <row r="77">
          <cell r="B77" t="str">
            <v>E1.2.2.2 Product and/or Industry Specialists</v>
          </cell>
        </row>
        <row r="78">
          <cell r="B78" t="str">
            <v>E1.2.3. Transaction support</v>
          </cell>
        </row>
        <row r="79">
          <cell r="B79" t="str">
            <v>E1.2.4. Sales Administration</v>
          </cell>
        </row>
        <row r="80">
          <cell r="B80" t="str">
            <v>E1.2.5. Sales Operations</v>
          </cell>
        </row>
        <row r="81">
          <cell r="B81" t="str">
            <v>E1.2.6. Other</v>
          </cell>
        </row>
        <row r="82">
          <cell r="B82" t="str">
            <v>E1.3. Sales Management</v>
          </cell>
        </row>
        <row r="83">
          <cell r="B83" t="str">
            <v>E1.3.1. Account Owner Sales Management</v>
          </cell>
        </row>
        <row r="84">
          <cell r="B84" t="str">
            <v>E1.3.2. Sales Enablement Management</v>
          </cell>
        </row>
        <row r="85">
          <cell r="B85" t="str">
            <v>E2. Customer Success and Renewals FTEs</v>
          </cell>
        </row>
        <row r="86">
          <cell r="B86" t="str">
            <v>E2.1. Customer Success</v>
          </cell>
        </row>
        <row r="87">
          <cell r="B87" t="str">
            <v>E2.1.2 Customer Success Reps</v>
          </cell>
        </row>
        <row r="88">
          <cell r="B88" t="str">
            <v>E2.1.3 Customer Success Management</v>
          </cell>
        </row>
        <row r="89">
          <cell r="B89" t="str">
            <v>E2.2 Renewals</v>
          </cell>
        </row>
        <row r="90">
          <cell r="B90" t="str">
            <v>E2.2.1 Renewal Reps</v>
          </cell>
        </row>
        <row r="91">
          <cell r="B91" t="str">
            <v>E2.2.2 Renewal Management</v>
          </cell>
        </row>
        <row r="92">
          <cell r="B92" t="str">
            <v>E3. Marketing Employees</v>
          </cell>
        </row>
        <row r="93">
          <cell r="B93" t="str">
            <v>E3.1 Customer Marketing Employees</v>
          </cell>
        </row>
        <row r="94">
          <cell r="B94" t="str">
            <v>E.2.1.1 Customer Marketing Managers</v>
          </cell>
        </row>
        <row r="95">
          <cell r="B95" t="str">
            <v>E.2.1.2 Customer Marketing Non-Management Employees</v>
          </cell>
        </row>
        <row r="96">
          <cell r="B96" t="str">
            <v>E3.2 Product Marketing Employees</v>
          </cell>
        </row>
        <row r="97">
          <cell r="B97" t="str">
            <v>E3.2.1 Product Marketing Managers</v>
          </cell>
        </row>
        <row r="98">
          <cell r="B98" t="str">
            <v>E.2.2.2 Product Marketing Non-Management Employees</v>
          </cell>
        </row>
        <row r="99">
          <cell r="B99" t="str">
            <v>E3.3 Marketing Operations Employees</v>
          </cell>
        </row>
        <row r="100">
          <cell r="B100" t="str">
            <v>E3.3.1 Marketing Operations Managers</v>
          </cell>
        </row>
        <row r="101">
          <cell r="B101" t="str">
            <v>E3.3.2 Marketing Operations Non-Management Employees</v>
          </cell>
        </row>
        <row r="102">
          <cell r="B102" t="str">
            <v>E3.4 Corporate Marketing Employees</v>
          </cell>
        </row>
        <row r="103">
          <cell r="B103" t="str">
            <v>E3.4.1 Corporate Marketing Managers</v>
          </cell>
        </row>
        <row r="104">
          <cell r="B104" t="str">
            <v>E3.4.2 Corporate Marketing Non-Management Employees</v>
          </cell>
        </row>
        <row r="105">
          <cell r="B105" t="str">
            <v>F1. Number of Accounts (Customer or Channel)</v>
          </cell>
        </row>
        <row r="106">
          <cell r="B106" t="str">
            <v>F1.1. Number of New Accounts (Customer or Channel)</v>
          </cell>
        </row>
        <row r="107">
          <cell r="B107" t="str">
            <v>F1.2. Number of Existing Accounts (Customer or Channel)</v>
          </cell>
        </row>
        <row r="108">
          <cell r="B108" t="str">
            <v>F2. Number of Opportunities</v>
          </cell>
        </row>
        <row r="109">
          <cell r="B109" t="str">
            <v>F2.1. Number of Opportunities for Existing Accounts</v>
          </cell>
        </row>
        <row r="110">
          <cell r="B110" t="str">
            <v>F2.2. Number of Opportunities for New Accounts</v>
          </cell>
        </row>
        <row r="111">
          <cell r="B111" t="str">
            <v>F3. Number of Channel Partners</v>
          </cell>
        </row>
        <row r="112">
          <cell r="B112" t="str">
            <v>F4. Number of Leads</v>
          </cell>
        </row>
        <row r="113">
          <cell r="B113" t="str">
            <v>F4.1. Number of website visits</v>
          </cell>
        </row>
        <row r="114">
          <cell r="B114" t="str">
            <v>F4.2. Number of inquiries</v>
          </cell>
        </row>
        <row r="115">
          <cell r="B115" t="str">
            <v>F4.3. Tele-prospecting accepted leads</v>
          </cell>
        </row>
        <row r="116">
          <cell r="B116" t="str">
            <v>F4.4. Tele-prospecting/marketing qualified leads (MQL)</v>
          </cell>
        </row>
        <row r="117">
          <cell r="B117" t="str">
            <v>F4.5. Sales accepted leads</v>
          </cell>
        </row>
        <row r="118">
          <cell r="B118" t="str">
            <v>F4.6. Sales qualified leads (SQL)</v>
          </cell>
        </row>
        <row r="119">
          <cell r="B119" t="str">
            <v>F5. Number of Proposals</v>
          </cell>
        </row>
        <row r="120">
          <cell r="B120" t="str">
            <v>F5.1. Number of Proposals for Existing Accounts</v>
          </cell>
        </row>
        <row r="121">
          <cell r="B121" t="str">
            <v>F5.2. Number of Proposals for New Accounts</v>
          </cell>
        </row>
        <row r="122">
          <cell r="B122" t="str">
            <v>F6. Number of Closed Deals (Won Proposals)</v>
          </cell>
        </row>
        <row r="123">
          <cell r="B123" t="str">
            <v>F6.1. Number of Deals for Existing Accounts</v>
          </cell>
        </row>
        <row r="124">
          <cell r="B124" t="str">
            <v>F6.2. Number of Deals for New Accounts</v>
          </cell>
        </row>
        <row r="125">
          <cell r="B125" t="str">
            <v>F7. Customer Churn Rate</v>
          </cell>
        </row>
        <row r="126">
          <cell r="B126" t="str">
            <v>F8. Number of Orders</v>
          </cell>
        </row>
        <row r="127">
          <cell r="B127" t="str">
            <v>F9. Number of Orderlines</v>
          </cell>
        </row>
        <row r="128">
          <cell r="B128" t="str">
            <v>F10. Number of Customer Interactions</v>
          </cell>
        </row>
        <row r="129">
          <cell r="B129" t="str">
            <v>F11. Number of Brands</v>
          </cell>
        </row>
        <row r="130">
          <cell r="B130" t="str">
            <v>Frontline and Sales Support FTE (E1.1+E1.2)</v>
          </cell>
        </row>
        <row r="131">
          <cell r="B131" t="str">
            <v>Sales admin and other Sales support FTE (E1.2.4+E1.2.6)</v>
          </cell>
        </row>
        <row r="132">
          <cell r="B132" t="str">
            <v>Gross profit net of sales cost</v>
          </cell>
        </row>
        <row r="133">
          <cell r="B133" t="str">
            <v>Revenue delta (FY, FY-1)</v>
          </cell>
        </row>
        <row r="134">
          <cell r="B134" t="str">
            <v>Revenue delta (FY-1, FY-2)</v>
          </cell>
        </row>
        <row r="135">
          <cell r="B135" t="str">
            <v>Gross margin delta (FY, FY-1)</v>
          </cell>
        </row>
        <row r="136">
          <cell r="B136" t="str">
            <v>Gross margin delta (FY-1, FY-2)</v>
          </cell>
        </row>
        <row r="137">
          <cell r="B137" t="str">
            <v>Marketing non-management employees (E.2.1.2+E.2.2.2+E.2.3.2+E.2.4.2)</v>
          </cell>
        </row>
        <row r="138">
          <cell r="B138" t="str">
            <v>Marketing managers (E.2.1.1+E.2.2.1+E.2.3.1+E.2.4.1)</v>
          </cell>
        </row>
        <row r="139">
          <cell r="B139" t="str">
            <v>Grosss profit net of marketing cost</v>
          </cell>
        </row>
        <row r="140">
          <cell r="B140" t="str">
            <v>Renewal engine FTEs</v>
          </cell>
        </row>
        <row r="141">
          <cell r="B141" t="str">
            <v>Quota bearing sellers</v>
          </cell>
        </row>
        <row r="142">
          <cell r="B142" t="str">
            <v>Bookings delta (FY, FY-1)</v>
          </cell>
        </row>
        <row r="143">
          <cell r="B143" t="str">
            <v>Bookings delta (FY-1, FY-2)</v>
          </cell>
        </row>
        <row r="144">
          <cell r="B144" t="str">
            <v>Exsiting revenue delta (FY, FY-1)</v>
          </cell>
        </row>
        <row r="145">
          <cell r="B145" t="str">
            <v>Exsiting revenue delta (FY-1,FY-2)</v>
          </cell>
        </row>
        <row r="146">
          <cell r="B146" t="str">
            <v>D4. Customer Success and Renewals Cost + D3.1.1.2 Account Owner-Existing Accounts Personnel Cost</v>
          </cell>
        </row>
        <row r="147">
          <cell r="B147" t="str">
            <v>D4.1 Total Customer Success and Renewals Personnel Cost + D4.2 Total Customer Success and Renewals Management Cost + D3.1.1.2 Account Owner-Existing Accounts Personnel Cost</v>
          </cell>
        </row>
        <row r="148">
          <cell r="B148" t="str">
            <v xml:space="preserve">E1.2.3. Transaction support + E1.2.4. Sales Administration + E1.2.5. Sales Operations + E1.2.6. Other </v>
          </cell>
        </row>
        <row r="149">
          <cell r="B149" t="str">
            <v>E2. Customer Success and Renewals Employees + E1.1.2 Account Owner/Sales Rep-Existing Accounts (Farmer)</v>
          </cell>
        </row>
        <row r="150">
          <cell r="B150" t="str">
            <v>E2.1.3 Customer Success Management + E2.2.2 Renewal Management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Template Full"/>
      <sheetName val="Instructions"/>
      <sheetName val="Lists"/>
      <sheetName val="KPI's Full List"/>
    </sheetNames>
    <sheetDataSet>
      <sheetData sheetId="0"/>
      <sheetData sheetId="1"/>
      <sheetData sheetId="2">
        <row r="4">
          <cell r="D4">
            <v>15</v>
          </cell>
        </row>
        <row r="6">
          <cell r="C6" t="str">
            <v>NO CHANNEL INFO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dcount"/>
      <sheetName val="Financials"/>
      <sheetName val="2020 Financials Output"/>
      <sheetName val="Financial_Chart"/>
      <sheetName val="Pipeline"/>
      <sheetName val="Mapping"/>
      <sheetName val="Closed Deals"/>
      <sheetName val="Charts"/>
      <sheetName val="Adjacent_Locks"/>
      <sheetName val="Customer Support Tickets"/>
      <sheetName val="Unlock_Method"/>
      <sheetName val="AVG daily app use"/>
      <sheetName val="Unlock by User Type"/>
      <sheetName val="Unlock_Type_OLD"/>
      <sheetName val="OLD--&gt;"/>
      <sheetName val="2019 Financials"/>
      <sheetName val="Sales_Funnel"/>
    </sheetNames>
    <sheetDataSet>
      <sheetData sheetId="0"/>
      <sheetData sheetId="1"/>
      <sheetData sheetId="2">
        <row r="2">
          <cell r="C2" t="str">
            <v>FY20 Operating Plan</v>
          </cell>
        </row>
      </sheetData>
      <sheetData sheetId="3">
        <row r="11">
          <cell r="V11" t="str">
            <v>Q1'19A</v>
          </cell>
        </row>
      </sheetData>
      <sheetData sheetId="4"/>
      <sheetData sheetId="5"/>
      <sheetData sheetId="6">
        <row r="2">
          <cell r="B2" t="str">
            <v>Q1 2019</v>
          </cell>
          <cell r="C2"/>
          <cell r="D2"/>
          <cell r="E2"/>
          <cell r="F2"/>
          <cell r="G2"/>
          <cell r="H2"/>
          <cell r="I2"/>
          <cell r="J2"/>
          <cell r="K2"/>
          <cell r="L2"/>
        </row>
        <row r="4">
          <cell r="C4"/>
          <cell r="D4"/>
          <cell r="E4"/>
          <cell r="F4"/>
          <cell r="G4" t="str">
            <v>Gross</v>
          </cell>
          <cell r="H4"/>
          <cell r="I4"/>
          <cell r="J4"/>
          <cell r="K4"/>
          <cell r="L4"/>
        </row>
        <row r="5">
          <cell r="C5" t="str">
            <v>Name</v>
          </cell>
          <cell r="D5" t="str">
            <v># Locks</v>
          </cell>
          <cell r="E5"/>
          <cell r="F5"/>
          <cell r="G5" t="str">
            <v>Deal Value</v>
          </cell>
          <cell r="H5" t="str">
            <v>Duration</v>
          </cell>
          <cell r="I5" t="str">
            <v>Region</v>
          </cell>
          <cell r="J5" t="str">
            <v>Install Date</v>
          </cell>
          <cell r="K5" t="str">
            <v>Type</v>
          </cell>
          <cell r="L5" t="str">
            <v>Lead Source</v>
          </cell>
        </row>
        <row r="6">
          <cell r="C6" t="str">
            <v>Brookfield : Integrated Deal (4 properties)</v>
          </cell>
          <cell r="D6">
            <v>3070</v>
          </cell>
          <cell r="E6"/>
          <cell r="F6"/>
          <cell r="G6">
            <v>2759330</v>
          </cell>
          <cell r="H6" t="str">
            <v>10yr</v>
          </cell>
          <cell r="I6" t="str">
            <v>NYC Area, Mid-Atlantic</v>
          </cell>
          <cell r="J6" t="str">
            <v>Q1'20 -  Q1'21</v>
          </cell>
          <cell r="K6" t="str">
            <v>New Constructions</v>
          </cell>
          <cell r="L6" t="str">
            <v>Existing account / upsell</v>
          </cell>
        </row>
        <row r="7">
          <cell r="C7" t="str">
            <v>Garden Homes : Integrated Deal (8 properties)</v>
          </cell>
          <cell r="D7">
            <v>1304</v>
          </cell>
          <cell r="E7"/>
          <cell r="F7"/>
          <cell r="G7">
            <v>1044496</v>
          </cell>
          <cell r="H7" t="str">
            <v>5yr</v>
          </cell>
          <cell r="I7" t="str">
            <v>NYC Area</v>
          </cell>
          <cell r="J7" t="str">
            <v>Q3'19 - Q1'21</v>
          </cell>
          <cell r="K7" t="str">
            <v>Mix of NC and Retrofit</v>
          </cell>
          <cell r="L7" t="str">
            <v>Investor Referral</v>
          </cell>
        </row>
        <row r="8">
          <cell r="C8" t="str">
            <v>Garden Communities CA : Integrated Deal (3 properties)</v>
          </cell>
          <cell r="D8">
            <v>1403</v>
          </cell>
          <cell r="E8"/>
          <cell r="F8"/>
          <cell r="G8">
            <v>980697</v>
          </cell>
          <cell r="H8" t="str">
            <v>5yr</v>
          </cell>
          <cell r="I8" t="str">
            <v>CA / HI</v>
          </cell>
          <cell r="J8" t="str">
            <v>Q1'20 -  Q1'21</v>
          </cell>
          <cell r="K8" t="str">
            <v>New Constructions</v>
          </cell>
          <cell r="L8" t="str">
            <v>Investor Referral</v>
          </cell>
        </row>
        <row r="9">
          <cell r="C9" t="str">
            <v>Baystone : Integrated Deal (7 properties)</v>
          </cell>
          <cell r="D9">
            <v>1255</v>
          </cell>
          <cell r="E9"/>
          <cell r="F9"/>
          <cell r="G9">
            <v>931245</v>
          </cell>
          <cell r="H9" t="str">
            <v>5yr</v>
          </cell>
          <cell r="I9" t="str">
            <v>Northeast</v>
          </cell>
          <cell r="J9" t="str">
            <v>Q1'20 - Q1'21</v>
          </cell>
          <cell r="K9" t="str">
            <v>New Constructions</v>
          </cell>
          <cell r="L9" t="str">
            <v>Enterprise outbound</v>
          </cell>
        </row>
        <row r="10">
          <cell r="C10" t="str">
            <v>Stellar Communities : Integrated Deal (4 properties)</v>
          </cell>
          <cell r="D10">
            <v>1143</v>
          </cell>
          <cell r="E10"/>
          <cell r="F10"/>
          <cell r="G10">
            <v>834157</v>
          </cell>
          <cell r="H10" t="str">
            <v>5yr</v>
          </cell>
          <cell r="I10" t="str">
            <v>Southeast</v>
          </cell>
          <cell r="J10" t="str">
            <v>Q4'19 - Q1'21</v>
          </cell>
          <cell r="K10" t="str">
            <v>New Constructions</v>
          </cell>
          <cell r="L10" t="str">
            <v>Inbound</v>
          </cell>
        </row>
        <row r="11">
          <cell r="C11" t="str">
            <v>Combined Properties : Integrated Deal (2 properties)</v>
          </cell>
          <cell r="D11">
            <v>900</v>
          </cell>
          <cell r="E11"/>
          <cell r="F11"/>
          <cell r="G11">
            <v>819100</v>
          </cell>
          <cell r="H11" t="str">
            <v>10yr</v>
          </cell>
          <cell r="I11" t="str">
            <v>Mid-Atlantic</v>
          </cell>
          <cell r="J11" t="str">
            <v>Q1'21</v>
          </cell>
          <cell r="K11" t="str">
            <v>New Constructions</v>
          </cell>
          <cell r="L11" t="str">
            <v>Enterprise outbound</v>
          </cell>
        </row>
        <row r="12">
          <cell r="C12" t="str">
            <v>Brookfield : The Eugene</v>
          </cell>
          <cell r="D12">
            <v>902</v>
          </cell>
          <cell r="E12"/>
          <cell r="F12"/>
          <cell r="G12">
            <v>797698</v>
          </cell>
          <cell r="H12" t="str">
            <v>10yr</v>
          </cell>
          <cell r="I12" t="str">
            <v>NYC Area</v>
          </cell>
          <cell r="J12" t="str">
            <v>Q1'19 - Q2'19</v>
          </cell>
          <cell r="K12" t="str">
            <v>Retrofit</v>
          </cell>
          <cell r="L12" t="str">
            <v>Existing account / upsell</v>
          </cell>
        </row>
        <row r="13">
          <cell r="C13" t="str">
            <v>Encore : Plantation Walk</v>
          </cell>
          <cell r="D13">
            <v>677</v>
          </cell>
          <cell r="E13"/>
          <cell r="F13"/>
          <cell r="G13">
            <v>513223</v>
          </cell>
          <cell r="H13" t="str">
            <v>5yr</v>
          </cell>
          <cell r="I13" t="str">
            <v>Southeast</v>
          </cell>
          <cell r="J13" t="str">
            <v>Q1'20</v>
          </cell>
          <cell r="K13" t="str">
            <v>New Constructions</v>
          </cell>
          <cell r="L13" t="str">
            <v>Existing account / upsell</v>
          </cell>
        </row>
        <row r="14">
          <cell r="C14" t="str">
            <v>JEMB Realty : Herald Towers</v>
          </cell>
          <cell r="D14">
            <v>690</v>
          </cell>
          <cell r="E14"/>
          <cell r="F14"/>
          <cell r="G14">
            <v>482310</v>
          </cell>
          <cell r="H14" t="str">
            <v>10yr</v>
          </cell>
          <cell r="I14" t="str">
            <v>NYC Area</v>
          </cell>
          <cell r="J14" t="str">
            <v>Q2'19 - Q4'19</v>
          </cell>
          <cell r="K14" t="str">
            <v>Retrofit</v>
          </cell>
          <cell r="L14" t="str">
            <v>Investor Referral</v>
          </cell>
        </row>
        <row r="15">
          <cell r="C15" t="str">
            <v>Hines Midwest : Wolfpoint East</v>
          </cell>
          <cell r="D15">
            <v>739</v>
          </cell>
          <cell r="E15"/>
          <cell r="F15"/>
          <cell r="G15">
            <v>463161</v>
          </cell>
          <cell r="H15" t="str">
            <v>5yr</v>
          </cell>
          <cell r="I15" t="str">
            <v>Midwest</v>
          </cell>
          <cell r="J15" t="str">
            <v>Q2'19</v>
          </cell>
          <cell r="K15" t="str">
            <v>New Constructions</v>
          </cell>
          <cell r="L15" t="str">
            <v>Channel</v>
          </cell>
        </row>
        <row r="16">
          <cell r="C16" t="str">
            <v>Leon Capital Group : Integrated Deal (3 properties)</v>
          </cell>
          <cell r="D16">
            <v>736</v>
          </cell>
          <cell r="E16"/>
          <cell r="F16"/>
          <cell r="G16">
            <v>448364</v>
          </cell>
          <cell r="H16" t="str">
            <v>TBD</v>
          </cell>
          <cell r="I16" t="str">
            <v>South</v>
          </cell>
          <cell r="J16" t="str">
            <v>Q1'21</v>
          </cell>
          <cell r="K16" t="str">
            <v>New Constructions</v>
          </cell>
          <cell r="L16" t="str">
            <v>Enterprise outbound</v>
          </cell>
        </row>
        <row r="17">
          <cell r="C17" t="str">
            <v>Presidio Bay Ventures : Integrated Deal (3 properties)</v>
          </cell>
          <cell r="D17">
            <v>562</v>
          </cell>
          <cell r="E17"/>
          <cell r="F17"/>
          <cell r="G17">
            <v>422438</v>
          </cell>
          <cell r="H17" t="str">
            <v>TBD</v>
          </cell>
          <cell r="I17" t="str">
            <v>CA / HI</v>
          </cell>
          <cell r="J17" t="str">
            <v>Q1'20 - Q3'21</v>
          </cell>
          <cell r="K17" t="str">
            <v>New Constructions</v>
          </cell>
          <cell r="L17" t="str">
            <v>Enterprise outbound</v>
          </cell>
        </row>
        <row r="18">
          <cell r="C18" t="str">
            <v>Camrost-Felcorp : Integrated Deal (2 properties)</v>
          </cell>
          <cell r="D18">
            <v>580</v>
          </cell>
          <cell r="E18"/>
          <cell r="F18"/>
          <cell r="G18">
            <v>413420</v>
          </cell>
          <cell r="H18" t="str">
            <v>TBD</v>
          </cell>
          <cell r="I18" t="str">
            <v>Eastern Canada</v>
          </cell>
          <cell r="J18" t="str">
            <v>Q1'20 -  Q1'21</v>
          </cell>
          <cell r="K18" t="str">
            <v>New Constructions</v>
          </cell>
          <cell r="L18" t="str">
            <v>Enterprise outbound</v>
          </cell>
        </row>
        <row r="19">
          <cell r="C19" t="str">
            <v>Confluence Companies : Zia Sunnyside</v>
          </cell>
          <cell r="D19">
            <v>545</v>
          </cell>
          <cell r="E19"/>
          <cell r="F19"/>
          <cell r="G19">
            <v>370955</v>
          </cell>
          <cell r="H19" t="str">
            <v>5yr</v>
          </cell>
          <cell r="I19" t="str">
            <v>Rockies Pac NW</v>
          </cell>
          <cell r="J19" t="str">
            <v>Q1'20</v>
          </cell>
          <cell r="K19" t="str">
            <v>New Constructions</v>
          </cell>
          <cell r="L19" t="str">
            <v>Conference</v>
          </cell>
        </row>
        <row r="20">
          <cell r="C20"/>
          <cell r="D20"/>
          <cell r="E20"/>
          <cell r="F20"/>
          <cell r="G20"/>
          <cell r="H20"/>
          <cell r="I20"/>
          <cell r="J20"/>
          <cell r="K20"/>
          <cell r="L20"/>
        </row>
        <row r="21">
          <cell r="B21" t="str">
            <v>Q2 2019</v>
          </cell>
          <cell r="C21"/>
          <cell r="D21"/>
          <cell r="E21"/>
          <cell r="F21"/>
          <cell r="G21"/>
          <cell r="H21"/>
          <cell r="I21"/>
          <cell r="J21"/>
          <cell r="K21"/>
          <cell r="L21"/>
        </row>
        <row r="22">
          <cell r="B22"/>
          <cell r="C22"/>
          <cell r="D22"/>
          <cell r="E22"/>
          <cell r="F22"/>
          <cell r="G22"/>
          <cell r="H22"/>
          <cell r="I22"/>
          <cell r="J22"/>
          <cell r="K22"/>
          <cell r="L22"/>
        </row>
        <row r="23">
          <cell r="C23"/>
          <cell r="D23"/>
          <cell r="E23"/>
          <cell r="F23"/>
          <cell r="G23" t="str">
            <v>Gross</v>
          </cell>
          <cell r="H23"/>
          <cell r="I23"/>
          <cell r="J23"/>
          <cell r="K23"/>
          <cell r="L23"/>
        </row>
        <row r="24">
          <cell r="C24" t="str">
            <v>Name</v>
          </cell>
          <cell r="D24" t="str">
            <v># Locks</v>
          </cell>
          <cell r="E24" t="str">
            <v>HW</v>
          </cell>
          <cell r="F24" t="str">
            <v>SW</v>
          </cell>
          <cell r="G24" t="str">
            <v>Deal Value</v>
          </cell>
          <cell r="H24" t="str">
            <v>Duration</v>
          </cell>
          <cell r="I24" t="str">
            <v>Region</v>
          </cell>
          <cell r="J24" t="str">
            <v>Install Date</v>
          </cell>
          <cell r="K24" t="str">
            <v>Type</v>
          </cell>
          <cell r="L24" t="str">
            <v>Lead Source</v>
          </cell>
          <cell r="O24"/>
        </row>
        <row r="25">
          <cell r="C25" t="str">
            <v>Campus Apartments : 150 properties</v>
          </cell>
          <cell r="D25">
            <v>14397</v>
          </cell>
          <cell r="E25">
            <v>4738403</v>
          </cell>
          <cell r="F25">
            <v>3980700</v>
          </cell>
          <cell r="G25">
            <v>8719103</v>
          </cell>
          <cell r="H25" t="str">
            <v>10yr</v>
          </cell>
          <cell r="I25" t="str">
            <v>Mideast</v>
          </cell>
          <cell r="J25" t="str">
            <v>Q3'19 - Q3'20</v>
          </cell>
          <cell r="K25" t="str">
            <v>Retrofit</v>
          </cell>
          <cell r="L25" t="str">
            <v>Real Estate Team Outbound</v>
          </cell>
        </row>
        <row r="26">
          <cell r="C26" t="str">
            <v>Ironstate Development : 6 properties</v>
          </cell>
          <cell r="D26">
            <v>2712</v>
          </cell>
          <cell r="E26">
            <v>1094588</v>
          </cell>
          <cell r="F26">
            <v>15065</v>
          </cell>
          <cell r="G26">
            <v>1109653</v>
          </cell>
          <cell r="H26" t="str">
            <v>Monthly</v>
          </cell>
          <cell r="I26" t="str">
            <v>NYC</v>
          </cell>
          <cell r="J26" t="str">
            <v>2Q'19 - Q3'21</v>
          </cell>
          <cell r="K26" t="str">
            <v>NC &amp; Retrofit</v>
          </cell>
          <cell r="L26" t="str">
            <v>Investor Referral</v>
          </cell>
        </row>
        <row r="27">
          <cell r="C27" t="str">
            <v>Southern Land : 10 properties</v>
          </cell>
          <cell r="D27">
            <v>2673</v>
          </cell>
          <cell r="E27">
            <v>1024327</v>
          </cell>
          <cell r="F27">
            <v>1328850</v>
          </cell>
          <cell r="G27">
            <v>2353177</v>
          </cell>
          <cell r="H27" t="str">
            <v>10yr</v>
          </cell>
          <cell r="I27" t="str">
            <v>South &amp; Mideast</v>
          </cell>
          <cell r="J27" t="str">
            <v>Q3'19 - Q1'21</v>
          </cell>
          <cell r="K27" t="str">
            <v>New Construction</v>
          </cell>
          <cell r="L27" t="str">
            <v>Channel</v>
          </cell>
        </row>
        <row r="28">
          <cell r="C28" t="str">
            <v>Alatus : 5 properties</v>
          </cell>
          <cell r="D28">
            <v>2210</v>
          </cell>
          <cell r="E28">
            <v>901690</v>
          </cell>
          <cell r="F28">
            <v>1036050</v>
          </cell>
          <cell r="G28">
            <v>1937740</v>
          </cell>
          <cell r="H28" t="str">
            <v>10yr</v>
          </cell>
          <cell r="I28" t="str">
            <v>Midwest</v>
          </cell>
          <cell r="J28" t="str">
            <v>Q4'19 - Q1'21</v>
          </cell>
          <cell r="K28" t="str">
            <v>New Construction</v>
          </cell>
          <cell r="L28" t="str">
            <v>Channel</v>
          </cell>
        </row>
        <row r="29">
          <cell r="C29" t="str">
            <v>Summerhill Apartments : 6 properties</v>
          </cell>
          <cell r="D29">
            <v>2165</v>
          </cell>
          <cell r="E29">
            <v>863865</v>
          </cell>
          <cell r="F29">
            <v>1101600</v>
          </cell>
          <cell r="G29">
            <v>1965465</v>
          </cell>
          <cell r="H29" t="str">
            <v>10yr</v>
          </cell>
          <cell r="I29" t="str">
            <v>CA / HI</v>
          </cell>
          <cell r="J29" t="str">
            <v>Q4'19 - Q2'21</v>
          </cell>
          <cell r="K29" t="str">
            <v>New Construction</v>
          </cell>
          <cell r="L29" t="str">
            <v>Investor Referral</v>
          </cell>
        </row>
        <row r="30">
          <cell r="C30" t="str">
            <v>Panther Residential Management : 5 properties</v>
          </cell>
          <cell r="D30">
            <v>1551</v>
          </cell>
          <cell r="E30">
            <v>633949</v>
          </cell>
          <cell r="F30">
            <v>402776</v>
          </cell>
          <cell r="G30">
            <v>1036725</v>
          </cell>
          <cell r="H30" t="str">
            <v>5yr *</v>
          </cell>
          <cell r="I30" t="str">
            <v>Southeast</v>
          </cell>
          <cell r="J30" t="str">
            <v>Q4'19 - 4Q'20</v>
          </cell>
          <cell r="K30" t="str">
            <v>New Construction</v>
          </cell>
          <cell r="L30" t="str">
            <v>Existing / Upsell</v>
          </cell>
        </row>
        <row r="31">
          <cell r="C31" t="str">
            <v>Trent Development : 6 properties</v>
          </cell>
          <cell r="D31">
            <v>1370</v>
          </cell>
          <cell r="E31">
            <v>558130</v>
          </cell>
          <cell r="F31">
            <v>498960</v>
          </cell>
          <cell r="G31">
            <v>1057090</v>
          </cell>
          <cell r="H31" t="str">
            <v>5yr *</v>
          </cell>
          <cell r="I31" t="str">
            <v>PNW &amp; Western Canada</v>
          </cell>
          <cell r="J31" t="str">
            <v>Q2'20 - Q3'20</v>
          </cell>
          <cell r="K31" t="str">
            <v>New Construction</v>
          </cell>
          <cell r="L31" t="str">
            <v>Channel</v>
          </cell>
        </row>
        <row r="32">
          <cell r="C32" t="str">
            <v>Salmanson Capital : SW 5th Ave</v>
          </cell>
          <cell r="D32">
            <v>1176</v>
          </cell>
          <cell r="E32">
            <v>386724</v>
          </cell>
          <cell r="F32">
            <v>343728</v>
          </cell>
          <cell r="G32">
            <v>730452</v>
          </cell>
          <cell r="H32" t="str">
            <v>5yr *</v>
          </cell>
          <cell r="I32" t="str">
            <v>Southeast</v>
          </cell>
          <cell r="J32" t="str">
            <v>Q1'21</v>
          </cell>
          <cell r="K32" t="str">
            <v>New Construction</v>
          </cell>
          <cell r="L32" t="str">
            <v>Investor Referral</v>
          </cell>
        </row>
        <row r="33">
          <cell r="C33" t="str">
            <v>Metro Detroit Living : 11 properties</v>
          </cell>
          <cell r="D33">
            <v>840</v>
          </cell>
          <cell r="E33">
            <v>273560</v>
          </cell>
          <cell r="F33">
            <v>3870</v>
          </cell>
          <cell r="G33">
            <v>277430</v>
          </cell>
          <cell r="H33" t="str">
            <v>Monthly</v>
          </cell>
          <cell r="I33" t="str">
            <v>Mideast</v>
          </cell>
          <cell r="J33" t="str">
            <v>Q3'19 - Q3'20</v>
          </cell>
          <cell r="K33" t="str">
            <v>Retrofit</v>
          </cell>
          <cell r="L33" t="str">
            <v>Inbound</v>
          </cell>
        </row>
        <row r="34">
          <cell r="C34" t="str">
            <v>Garden Homes : 3 properties</v>
          </cell>
          <cell r="D34">
            <v>751</v>
          </cell>
          <cell r="E34">
            <v>270949</v>
          </cell>
          <cell r="F34">
            <v>225000</v>
          </cell>
          <cell r="G34">
            <v>495949</v>
          </cell>
          <cell r="H34" t="str">
            <v xml:space="preserve">5yr </v>
          </cell>
          <cell r="I34" t="str">
            <v>NYC &amp; Midwest</v>
          </cell>
          <cell r="J34" t="str">
            <v>Q2'19 - Q2'21</v>
          </cell>
          <cell r="K34" t="str">
            <v>NC &amp; Retrofit</v>
          </cell>
          <cell r="L34" t="str">
            <v>Investor Referral</v>
          </cell>
        </row>
        <row r="35">
          <cell r="C35" t="str">
            <v>DeNunzio Group : 3 properties</v>
          </cell>
          <cell r="D35">
            <v>733</v>
          </cell>
          <cell r="E35">
            <v>296067</v>
          </cell>
          <cell r="F35">
            <v>258384</v>
          </cell>
          <cell r="G35">
            <v>554451</v>
          </cell>
          <cell r="H35" t="str">
            <v>5yr *</v>
          </cell>
          <cell r="I35" t="str">
            <v>Northeast</v>
          </cell>
          <cell r="J35" t="str">
            <v>Q1'20 - Q1'21</v>
          </cell>
          <cell r="K35" t="str">
            <v>New Construction</v>
          </cell>
          <cell r="L35" t="str">
            <v>Enterprise Outbound</v>
          </cell>
        </row>
        <row r="36">
          <cell r="C36" t="str">
            <v>BB Living : 3 properties</v>
          </cell>
          <cell r="D36">
            <v>505</v>
          </cell>
          <cell r="E36">
            <v>152195</v>
          </cell>
          <cell r="F36">
            <v>229950</v>
          </cell>
          <cell r="G36">
            <v>382145</v>
          </cell>
          <cell r="H36" t="str">
            <v>10yr</v>
          </cell>
          <cell r="I36" t="str">
            <v>South</v>
          </cell>
          <cell r="J36" t="str">
            <v>Q3'19</v>
          </cell>
          <cell r="K36" t="str">
            <v>New Construction</v>
          </cell>
          <cell r="L36" t="str">
            <v>Real Estate Team Outbound</v>
          </cell>
        </row>
        <row r="38">
          <cell r="B38" t="str">
            <v>Q3 2019</v>
          </cell>
          <cell r="C38"/>
          <cell r="D38"/>
          <cell r="E38"/>
          <cell r="F38"/>
          <cell r="G38"/>
          <cell r="H38"/>
          <cell r="I38"/>
          <cell r="J38"/>
          <cell r="K38"/>
          <cell r="L38"/>
        </row>
        <row r="39">
          <cell r="B39"/>
          <cell r="C39"/>
          <cell r="D39"/>
          <cell r="E39"/>
          <cell r="F39"/>
          <cell r="G39"/>
          <cell r="H39"/>
          <cell r="I39"/>
          <cell r="J39"/>
          <cell r="K39"/>
          <cell r="L39"/>
        </row>
        <row r="40">
          <cell r="C40"/>
          <cell r="D40"/>
          <cell r="E40"/>
          <cell r="F40"/>
          <cell r="G40" t="str">
            <v>Gross</v>
          </cell>
          <cell r="H40"/>
          <cell r="I40"/>
          <cell r="J40"/>
          <cell r="K40"/>
          <cell r="L40"/>
        </row>
        <row r="41">
          <cell r="C41" t="str">
            <v>Name</v>
          </cell>
          <cell r="D41" t="str">
            <v># Locks</v>
          </cell>
          <cell r="E41" t="str">
            <v>HW</v>
          </cell>
          <cell r="F41" t="str">
            <v>SW</v>
          </cell>
          <cell r="G41" t="str">
            <v>Deal Value</v>
          </cell>
          <cell r="H41" t="str">
            <v>Duration</v>
          </cell>
          <cell r="I41" t="str">
            <v>Region</v>
          </cell>
          <cell r="J41" t="str">
            <v>Install Date</v>
          </cell>
          <cell r="K41" t="str">
            <v>Type</v>
          </cell>
          <cell r="L41" t="str">
            <v>Lead Source</v>
          </cell>
        </row>
        <row r="42">
          <cell r="C42" t="str">
            <v>Toll Brothers</v>
          </cell>
          <cell r="D42">
            <v>7452</v>
          </cell>
          <cell r="E42">
            <v>3012448</v>
          </cell>
          <cell r="F42">
            <v>2235600</v>
          </cell>
          <cell r="G42">
            <v>5248048</v>
          </cell>
          <cell r="H42" t="str">
            <v>5yr *</v>
          </cell>
          <cell r="I42" t="str">
            <v>Multi-Territory</v>
          </cell>
          <cell r="J42" t="str">
            <v>Q3'19 - Q1'22</v>
          </cell>
          <cell r="K42" t="str">
            <v>New Construction</v>
          </cell>
          <cell r="L42" t="str">
            <v>Existing Customer / Investor</v>
          </cell>
          <cell r="N42"/>
        </row>
        <row r="43">
          <cell r="C43" t="str">
            <v>RISE</v>
          </cell>
          <cell r="D43">
            <v>1917</v>
          </cell>
          <cell r="E43">
            <v>755483</v>
          </cell>
          <cell r="F43">
            <v>912150</v>
          </cell>
          <cell r="G43">
            <v>1667633</v>
          </cell>
          <cell r="H43" t="str">
            <v>10yr</v>
          </cell>
          <cell r="I43" t="str">
            <v>Southeast</v>
          </cell>
          <cell r="J43" t="str">
            <v>Q2'20 - Q3'21</v>
          </cell>
          <cell r="K43" t="str">
            <v>New Construction</v>
          </cell>
          <cell r="L43" t="str">
            <v>Real Estate Team</v>
          </cell>
        </row>
        <row r="44">
          <cell r="C44" t="str">
            <v>Legacy Partners</v>
          </cell>
          <cell r="D44">
            <v>1782</v>
          </cell>
          <cell r="E44">
            <v>552418</v>
          </cell>
          <cell r="F44">
            <v>564000</v>
          </cell>
          <cell r="G44">
            <v>1116418</v>
          </cell>
          <cell r="H44" t="str">
            <v>5yr</v>
          </cell>
          <cell r="I44" t="str">
            <v>South</v>
          </cell>
          <cell r="J44" t="str">
            <v>Q3'20 - Q3'21</v>
          </cell>
          <cell r="K44" t="str">
            <v>New Constuction</v>
          </cell>
          <cell r="L44" t="str">
            <v>Enterprise Outbound</v>
          </cell>
        </row>
        <row r="45">
          <cell r="C45" t="str">
            <v>Golub &amp; Company</v>
          </cell>
          <cell r="D45">
            <v>1715</v>
          </cell>
          <cell r="E45">
            <v>515785</v>
          </cell>
          <cell r="F45">
            <v>772800</v>
          </cell>
          <cell r="G45">
            <v>1288585</v>
          </cell>
          <cell r="H45" t="str">
            <v>10yr</v>
          </cell>
          <cell r="I45" t="str">
            <v>Midwest</v>
          </cell>
          <cell r="J45" t="str">
            <v>Q3'19</v>
          </cell>
          <cell r="K45" t="str">
            <v>Retrofit</v>
          </cell>
          <cell r="L45" t="str">
            <v>Channel</v>
          </cell>
        </row>
        <row r="46">
          <cell r="C46" t="str">
            <v>H2 Real Estate</v>
          </cell>
          <cell r="D46">
            <v>1311</v>
          </cell>
          <cell r="E46">
            <v>396589</v>
          </cell>
          <cell r="F46">
            <v>600300</v>
          </cell>
          <cell r="G46">
            <v>996889</v>
          </cell>
          <cell r="H46" t="str">
            <v>10yr</v>
          </cell>
          <cell r="I46" t="str">
            <v>Southeast</v>
          </cell>
          <cell r="J46" t="str">
            <v>Q1'20</v>
          </cell>
          <cell r="K46" t="str">
            <v>Retrofit</v>
          </cell>
          <cell r="L46" t="str">
            <v>Inbound</v>
          </cell>
        </row>
        <row r="47">
          <cell r="C47" t="str">
            <v>Palisades Capital Partners</v>
          </cell>
          <cell r="D47">
            <v>1148</v>
          </cell>
          <cell r="E47">
            <v>475852</v>
          </cell>
          <cell r="F47">
            <v>596700</v>
          </cell>
          <cell r="G47">
            <v>1072552</v>
          </cell>
          <cell r="H47" t="str">
            <v>10yr</v>
          </cell>
          <cell r="I47" t="str">
            <v>CA / HI</v>
          </cell>
          <cell r="J47" t="str">
            <v>Q4'19 - Q3'24</v>
          </cell>
          <cell r="K47" t="str">
            <v>New Construction</v>
          </cell>
          <cell r="L47"/>
        </row>
        <row r="48">
          <cell r="C48" t="str">
            <v>JDL Development</v>
          </cell>
          <cell r="D48">
            <v>773</v>
          </cell>
          <cell r="E48">
            <v>238127</v>
          </cell>
          <cell r="F48">
            <v>677250</v>
          </cell>
          <cell r="G48">
            <v>915377</v>
          </cell>
          <cell r="H48" t="str">
            <v>10yr</v>
          </cell>
          <cell r="I48" t="str">
            <v>Midwest</v>
          </cell>
          <cell r="J48" t="str">
            <v>Q3'19</v>
          </cell>
          <cell r="K48" t="str">
            <v>Retrofit</v>
          </cell>
          <cell r="L48" t="str">
            <v>Enterprise Outbound</v>
          </cell>
        </row>
        <row r="49">
          <cell r="C49" t="str">
            <v>Capstone Collegiate Communities</v>
          </cell>
          <cell r="D49">
            <v>627</v>
          </cell>
          <cell r="E49">
            <v>187473</v>
          </cell>
          <cell r="F49">
            <v>90915</v>
          </cell>
          <cell r="G49">
            <v>278388</v>
          </cell>
          <cell r="H49" t="str">
            <v>2yr</v>
          </cell>
          <cell r="I49" t="str">
            <v>South</v>
          </cell>
          <cell r="J49" t="str">
            <v>Q3'19</v>
          </cell>
          <cell r="K49" t="str">
            <v>Retrofit</v>
          </cell>
          <cell r="L49" t="str">
            <v>Real Estate Team</v>
          </cell>
        </row>
        <row r="50">
          <cell r="C50" t="str">
            <v>LCOR</v>
          </cell>
          <cell r="D50">
            <v>619</v>
          </cell>
          <cell r="E50">
            <v>251581</v>
          </cell>
          <cell r="F50">
            <v>185700</v>
          </cell>
          <cell r="G50">
            <v>437281</v>
          </cell>
          <cell r="H50" t="str">
            <v>5yr *</v>
          </cell>
          <cell r="I50" t="str">
            <v>Mid-Atlantic</v>
          </cell>
          <cell r="J50" t="str">
            <v>Q2'20 - Q1'21</v>
          </cell>
          <cell r="K50" t="str">
            <v>New Construction</v>
          </cell>
          <cell r="L50" t="str">
            <v>Enterprise Outbound</v>
          </cell>
        </row>
        <row r="51">
          <cell r="C51" t="str">
            <v>Celmark Development Group</v>
          </cell>
          <cell r="D51">
            <v>510</v>
          </cell>
          <cell r="E51">
            <v>164490</v>
          </cell>
          <cell r="F51">
            <v>171000</v>
          </cell>
          <cell r="G51">
            <v>335490</v>
          </cell>
          <cell r="H51" t="str">
            <v>5yr</v>
          </cell>
          <cell r="I51" t="str">
            <v>Mideast / South</v>
          </cell>
          <cell r="J51" t="str">
            <v>Q4'19 - Q3'21</v>
          </cell>
          <cell r="K51" t="str">
            <v>New Construction</v>
          </cell>
          <cell r="L51" t="str">
            <v>Enterprise Outbound</v>
          </cell>
        </row>
        <row r="52">
          <cell r="C52" t="str">
            <v>Brookfield Properties</v>
          </cell>
          <cell r="D52">
            <v>460</v>
          </cell>
          <cell r="E52">
            <v>187740</v>
          </cell>
          <cell r="F52">
            <v>138000</v>
          </cell>
          <cell r="G52">
            <v>325740</v>
          </cell>
          <cell r="H52" t="str">
            <v>5yr *</v>
          </cell>
          <cell r="I52" t="str">
            <v>CA / HI</v>
          </cell>
          <cell r="J52" t="str">
            <v>Q3'20</v>
          </cell>
          <cell r="K52" t="str">
            <v>New Construction</v>
          </cell>
          <cell r="L52" t="str">
            <v>Investor Referral</v>
          </cell>
        </row>
        <row r="54">
          <cell r="C54" t="str">
            <v>*Yet to be determined SW Contracts assumed at 5yrs given avg of 4.7yrs for 2019</v>
          </cell>
        </row>
        <row r="57">
          <cell r="B57" t="str">
            <v>Q4 2019</v>
          </cell>
          <cell r="C57"/>
          <cell r="D57"/>
          <cell r="E57"/>
          <cell r="F57"/>
          <cell r="G57"/>
          <cell r="H57"/>
          <cell r="I57"/>
          <cell r="J57"/>
          <cell r="K57"/>
          <cell r="L57"/>
        </row>
        <row r="59">
          <cell r="B59"/>
          <cell r="C59" t="str">
            <v>Name</v>
          </cell>
          <cell r="D59" t="str">
            <v># Locks</v>
          </cell>
          <cell r="E59" t="str">
            <v>HW</v>
          </cell>
          <cell r="F59" t="str">
            <v>SW</v>
          </cell>
          <cell r="G59" t="str">
            <v>Gross 
Deal Value</v>
          </cell>
          <cell r="H59" t="str">
            <v>Duration</v>
          </cell>
          <cell r="I59" t="str">
            <v>Region</v>
          </cell>
          <cell r="J59" t="str">
            <v>Install Date</v>
          </cell>
          <cell r="K59" t="str">
            <v>Type</v>
          </cell>
          <cell r="L59" t="str">
            <v>Account Type</v>
          </cell>
        </row>
        <row r="60">
          <cell r="B60">
            <v>1</v>
          </cell>
          <cell r="C60" t="str">
            <v>Marquette Companies</v>
          </cell>
          <cell r="D60">
            <v>6176</v>
          </cell>
          <cell r="E60">
            <v>1909000</v>
          </cell>
          <cell r="F60">
            <v>2985000</v>
          </cell>
          <cell r="G60">
            <v>4894000</v>
          </cell>
          <cell r="H60" t="str">
            <v>10yr</v>
          </cell>
          <cell r="I60" t="str">
            <v>South, Midwest</v>
          </cell>
          <cell r="J60" t="str">
            <v>Q4'20 - Q1'21</v>
          </cell>
          <cell r="K60" t="str">
            <v>Mixed</v>
          </cell>
          <cell r="L60" t="str">
            <v>National Account</v>
          </cell>
        </row>
        <row r="61">
          <cell r="B61">
            <v>2</v>
          </cell>
          <cell r="C61" t="str">
            <v>Toll Brothers</v>
          </cell>
          <cell r="D61">
            <v>5172</v>
          </cell>
          <cell r="E61">
            <v>2113000</v>
          </cell>
          <cell r="F61">
            <v>2534000</v>
          </cell>
          <cell r="G61">
            <v>4647000</v>
          </cell>
          <cell r="H61" t="str">
            <v>10yr</v>
          </cell>
          <cell r="I61" t="str">
            <v>National</v>
          </cell>
          <cell r="J61" t="str">
            <v>Q2'21 - Q2'22</v>
          </cell>
          <cell r="K61" t="str">
            <v>New Construction</v>
          </cell>
          <cell r="L61" t="str">
            <v>Key Account</v>
          </cell>
          <cell r="M61"/>
        </row>
        <row r="62">
          <cell r="B62">
            <v>3</v>
          </cell>
          <cell r="C62" t="str">
            <v>RangeWater Real Estate</v>
          </cell>
          <cell r="D62">
            <v>5037</v>
          </cell>
          <cell r="E62">
            <v>1514000</v>
          </cell>
          <cell r="F62">
            <v>736000</v>
          </cell>
          <cell r="G62">
            <v>2250000</v>
          </cell>
          <cell r="H62" t="str">
            <v>2yr</v>
          </cell>
          <cell r="I62" t="str">
            <v>National</v>
          </cell>
          <cell r="J62" t="str">
            <v>Q4'20 - Q1'22</v>
          </cell>
          <cell r="K62" t="str">
            <v>New Construction</v>
          </cell>
          <cell r="L62" t="str">
            <v>Regional</v>
          </cell>
          <cell r="M62"/>
        </row>
        <row r="63">
          <cell r="B63">
            <v>4</v>
          </cell>
          <cell r="C63" t="str">
            <v>Lynd</v>
          </cell>
          <cell r="D63">
            <v>3735</v>
          </cell>
          <cell r="E63">
            <v>1354000</v>
          </cell>
          <cell r="F63">
            <v>1154000</v>
          </cell>
          <cell r="G63">
            <v>2508000</v>
          </cell>
          <cell r="H63" t="str">
            <v>5yr</v>
          </cell>
          <cell r="I63" t="str">
            <v>South, Southeast</v>
          </cell>
          <cell r="J63" t="str">
            <v>Q4'20 - Q1'22</v>
          </cell>
          <cell r="K63" t="str">
            <v>Mixed</v>
          </cell>
          <cell r="L63" t="str">
            <v>National Account</v>
          </cell>
          <cell r="M63"/>
        </row>
        <row r="64">
          <cell r="B64">
            <v>5</v>
          </cell>
          <cell r="C64" t="str">
            <v>Harbor Bay Real Estate</v>
          </cell>
          <cell r="D64">
            <v>3328</v>
          </cell>
          <cell r="E64">
            <v>1105000</v>
          </cell>
          <cell r="F64">
            <v>1684000</v>
          </cell>
          <cell r="G64">
            <v>2789000</v>
          </cell>
          <cell r="H64" t="str">
            <v>10yr</v>
          </cell>
          <cell r="I64" t="str">
            <v>Mideast, Midwest</v>
          </cell>
          <cell r="J64" t="str">
            <v>Q4'20 - Q2'21</v>
          </cell>
          <cell r="K64" t="str">
            <v>Retrofit</v>
          </cell>
          <cell r="L64" t="str">
            <v>Regional</v>
          </cell>
          <cell r="M64"/>
        </row>
        <row r="65">
          <cell r="B65">
            <v>6</v>
          </cell>
          <cell r="C65" t="str">
            <v>Leon Capital Group</v>
          </cell>
          <cell r="D65">
            <v>2727</v>
          </cell>
          <cell r="E65">
            <v>842000</v>
          </cell>
          <cell r="F65">
            <v>553000</v>
          </cell>
          <cell r="G65">
            <v>1395000</v>
          </cell>
          <cell r="H65" t="str">
            <v>5yr</v>
          </cell>
          <cell r="I65" t="str">
            <v>South</v>
          </cell>
          <cell r="J65" t="str">
            <v>Q1'21 - Q1'22</v>
          </cell>
          <cell r="K65" t="str">
            <v>New Construction</v>
          </cell>
          <cell r="L65" t="str">
            <v>National Account</v>
          </cell>
          <cell r="M65"/>
        </row>
        <row r="66">
          <cell r="B66">
            <v>7</v>
          </cell>
          <cell r="C66" t="str">
            <v>Skyline Development Group</v>
          </cell>
          <cell r="D66">
            <v>783</v>
          </cell>
          <cell r="E66">
            <v>324000</v>
          </cell>
          <cell r="F66">
            <v>386000</v>
          </cell>
          <cell r="G66">
            <v>710000</v>
          </cell>
          <cell r="H66" t="str">
            <v>10yr</v>
          </cell>
          <cell r="I66" t="str">
            <v>Northeast</v>
          </cell>
          <cell r="J66" t="str">
            <v>Q4'20 - Q1'22</v>
          </cell>
          <cell r="K66" t="str">
            <v>Retrofit</v>
          </cell>
          <cell r="L66" t="str">
            <v>Regional</v>
          </cell>
          <cell r="M66"/>
        </row>
        <row r="67">
          <cell r="B67">
            <v>8</v>
          </cell>
          <cell r="C67" t="str">
            <v>Brookfield Properties</v>
          </cell>
          <cell r="D67">
            <v>445</v>
          </cell>
          <cell r="E67">
            <v>184000</v>
          </cell>
          <cell r="F67">
            <v>226000</v>
          </cell>
          <cell r="G67">
            <v>410000</v>
          </cell>
          <cell r="H67" t="str">
            <v>10yr</v>
          </cell>
          <cell r="I67" t="str">
            <v>Northeast</v>
          </cell>
          <cell r="J67" t="str">
            <v>Q1'20 - Q4'20</v>
          </cell>
          <cell r="K67" t="str">
            <v>New Construction</v>
          </cell>
          <cell r="L67" t="str">
            <v>Key Account</v>
          </cell>
          <cell r="M67"/>
        </row>
        <row r="72">
          <cell r="O72" t="str">
            <v>Type</v>
          </cell>
          <cell r="P72" t="str">
            <v>HW</v>
          </cell>
        </row>
        <row r="73">
          <cell r="O73" t="str">
            <v>Unit Mapping</v>
          </cell>
          <cell r="P73" t="str">
            <v>(Multiple Items)</v>
          </cell>
        </row>
        <row r="74">
          <cell r="O74" t="str">
            <v>Approved/Open/Won</v>
          </cell>
          <cell r="P74">
            <v>1</v>
          </cell>
        </row>
        <row r="75">
          <cell r="O75" t="str">
            <v>Loi Date</v>
          </cell>
          <cell r="P75" t="str">
            <v>(Multiple Items)</v>
          </cell>
        </row>
        <row r="76">
          <cell r="O76" t="str">
            <v>Reported Probability</v>
          </cell>
          <cell r="P76" t="str">
            <v>(Multiple Items)</v>
          </cell>
        </row>
        <row r="78">
          <cell r="O78" t="str">
            <v>Row Labels</v>
          </cell>
          <cell r="P78" t="str">
            <v>Sum of Reporting Item Count</v>
          </cell>
          <cell r="Q78"/>
        </row>
        <row r="79">
          <cell r="O79" t="str">
            <v>Marquette Companies</v>
          </cell>
          <cell r="P79">
            <v>6175</v>
          </cell>
          <cell r="Q79"/>
        </row>
        <row r="80">
          <cell r="O80" t="str">
            <v>Toll Brothers</v>
          </cell>
          <cell r="P80">
            <v>5172</v>
          </cell>
          <cell r="Q80"/>
        </row>
        <row r="81">
          <cell r="O81" t="str">
            <v>RangeWater Real Estate</v>
          </cell>
          <cell r="P81">
            <v>5037</v>
          </cell>
          <cell r="Q81"/>
        </row>
        <row r="82">
          <cell r="O82" t="str">
            <v>Lynd</v>
          </cell>
          <cell r="P82">
            <v>3735</v>
          </cell>
          <cell r="Q82"/>
        </row>
        <row r="83">
          <cell r="O83" t="str">
            <v>Harbor Bay Real Estate Advisors</v>
          </cell>
          <cell r="P83">
            <v>3327</v>
          </cell>
          <cell r="Q83"/>
        </row>
        <row r="84">
          <cell r="O84" t="str">
            <v>Leon Capital Group</v>
          </cell>
          <cell r="P84">
            <v>2727</v>
          </cell>
          <cell r="Q84"/>
        </row>
        <row r="85">
          <cell r="O85" t="str">
            <v>(blank)</v>
          </cell>
          <cell r="P85">
            <v>1347</v>
          </cell>
          <cell r="Q85"/>
        </row>
        <row r="86">
          <cell r="O86" t="str">
            <v>Skyline Development Group</v>
          </cell>
          <cell r="P86">
            <v>783</v>
          </cell>
          <cell r="Q86"/>
        </row>
        <row r="87">
          <cell r="O87" t="str">
            <v>Brookfield Properties</v>
          </cell>
          <cell r="P87">
            <v>445</v>
          </cell>
          <cell r="Q87"/>
        </row>
        <row r="88">
          <cell r="O88" t="str">
            <v>Miami Management</v>
          </cell>
          <cell r="P88">
            <v>404</v>
          </cell>
          <cell r="Q88"/>
        </row>
        <row r="89">
          <cell r="O89" t="str">
            <v>The Preiss Company</v>
          </cell>
          <cell r="P89">
            <v>312</v>
          </cell>
          <cell r="Q89"/>
        </row>
        <row r="90">
          <cell r="O90" t="str">
            <v>Metro Detroit Living</v>
          </cell>
          <cell r="P90">
            <v>213</v>
          </cell>
          <cell r="Q90"/>
        </row>
        <row r="91">
          <cell r="O91" t="str">
            <v>BPGS</v>
          </cell>
          <cell r="P91">
            <v>175</v>
          </cell>
          <cell r="Q91"/>
        </row>
        <row r="92">
          <cell r="O92" t="str">
            <v>Baxter Built</v>
          </cell>
          <cell r="P92">
            <v>163</v>
          </cell>
          <cell r="Q92"/>
        </row>
        <row r="93">
          <cell r="O93" t="str">
            <v>Dermot Company</v>
          </cell>
          <cell r="P93">
            <v>154</v>
          </cell>
          <cell r="Q93"/>
        </row>
        <row r="94">
          <cell r="O94" t="str">
            <v>Dalmark</v>
          </cell>
          <cell r="P94">
            <v>150</v>
          </cell>
          <cell r="Q94"/>
        </row>
        <row r="95">
          <cell r="O95" t="str">
            <v>Launch Properties</v>
          </cell>
          <cell r="P95">
            <v>120</v>
          </cell>
          <cell r="Q95"/>
        </row>
        <row r="96">
          <cell r="O96" t="str">
            <v>North Park Ventures</v>
          </cell>
          <cell r="P96">
            <v>118</v>
          </cell>
          <cell r="Q96"/>
        </row>
        <row r="97">
          <cell r="O97" t="str">
            <v>Prometheus Real Estate Group</v>
          </cell>
          <cell r="P97">
            <v>111</v>
          </cell>
          <cell r="Q97"/>
        </row>
        <row r="98">
          <cell r="O98" t="str">
            <v>Ascent Development</v>
          </cell>
          <cell r="P98">
            <v>102</v>
          </cell>
          <cell r="Q98"/>
        </row>
        <row r="99">
          <cell r="O99" t="str">
            <v>3L Properties</v>
          </cell>
          <cell r="P99">
            <v>90</v>
          </cell>
          <cell r="Q99"/>
        </row>
        <row r="100">
          <cell r="O100" t="str">
            <v>Common Spaces</v>
          </cell>
          <cell r="P100">
            <v>88</v>
          </cell>
          <cell r="Q100"/>
        </row>
        <row r="101">
          <cell r="O101" t="str">
            <v>Next Realty</v>
          </cell>
          <cell r="P101">
            <v>82</v>
          </cell>
          <cell r="Q101"/>
        </row>
        <row r="102">
          <cell r="O102" t="str">
            <v>Common Living Inc</v>
          </cell>
          <cell r="P102">
            <v>81</v>
          </cell>
          <cell r="Q102"/>
        </row>
        <row r="103">
          <cell r="O103" t="str">
            <v>JDL Development</v>
          </cell>
          <cell r="P103">
            <v>74</v>
          </cell>
          <cell r="Q103"/>
        </row>
        <row r="104">
          <cell r="O104" t="str">
            <v>D3 Developers</v>
          </cell>
          <cell r="P104">
            <v>52</v>
          </cell>
          <cell r="Q104"/>
        </row>
        <row r="105">
          <cell r="O105" t="str">
            <v>MM Partners</v>
          </cell>
          <cell r="P105">
            <v>45</v>
          </cell>
          <cell r="Q105"/>
        </row>
        <row r="106">
          <cell r="O106" t="str">
            <v>Omicron Land Development, LLC.</v>
          </cell>
          <cell r="P106">
            <v>42</v>
          </cell>
          <cell r="Q106"/>
        </row>
        <row r="107">
          <cell r="O107" t="str">
            <v>Spirit on Pine LP</v>
          </cell>
          <cell r="P107">
            <v>41</v>
          </cell>
          <cell r="Q107"/>
        </row>
        <row r="108">
          <cell r="O108" t="str">
            <v>Encore Capital Management</v>
          </cell>
          <cell r="P108">
            <v>34</v>
          </cell>
          <cell r="Q108"/>
        </row>
        <row r="109">
          <cell r="O109" t="str">
            <v>Newport Development Company</v>
          </cell>
          <cell r="P109">
            <v>29</v>
          </cell>
          <cell r="Q109"/>
        </row>
        <row r="110">
          <cell r="O110" t="str">
            <v>Akelius Real Estate Management LLC</v>
          </cell>
          <cell r="P110">
            <v>21</v>
          </cell>
          <cell r="Q110"/>
        </row>
        <row r="111">
          <cell r="O111" t="str">
            <v>Zia Sunnyside SPE, LLC</v>
          </cell>
          <cell r="P111">
            <v>18</v>
          </cell>
          <cell r="Q111"/>
        </row>
        <row r="112">
          <cell r="O112" t="str">
            <v>Delshah Management LLC</v>
          </cell>
          <cell r="P112">
            <v>16</v>
          </cell>
          <cell r="Q112"/>
        </row>
        <row r="113">
          <cell r="O113" t="str">
            <v>Perino Properties</v>
          </cell>
          <cell r="P113">
            <v>16</v>
          </cell>
          <cell r="Q113"/>
        </row>
        <row r="114">
          <cell r="O114" t="str">
            <v>Tishman Speyer</v>
          </cell>
          <cell r="P114">
            <v>14</v>
          </cell>
          <cell r="Q114"/>
        </row>
        <row r="115">
          <cell r="O115" t="str">
            <v>Core Redevelopment</v>
          </cell>
          <cell r="P115">
            <v>13</v>
          </cell>
          <cell r="Q115"/>
        </row>
        <row r="116">
          <cell r="O116" t="str">
            <v>Twining Properties</v>
          </cell>
          <cell r="P116">
            <v>12</v>
          </cell>
          <cell r="Q116"/>
        </row>
        <row r="117">
          <cell r="O117" t="str">
            <v>6555 North LLC CMV Development</v>
          </cell>
          <cell r="P117">
            <v>11</v>
          </cell>
          <cell r="Q117"/>
        </row>
        <row r="118">
          <cell r="O118" t="str">
            <v>Schreiber properties</v>
          </cell>
          <cell r="P118">
            <v>10</v>
          </cell>
          <cell r="Q118"/>
        </row>
        <row r="119">
          <cell r="O119" t="str">
            <v>Niido</v>
          </cell>
          <cell r="P119">
            <v>10</v>
          </cell>
          <cell r="Q119"/>
        </row>
        <row r="120">
          <cell r="O120" t="str">
            <v>Summerhill Apartments</v>
          </cell>
          <cell r="P120">
            <v>10</v>
          </cell>
          <cell r="Q120"/>
        </row>
        <row r="121">
          <cell r="O121" t="str">
            <v>Highpoint Property Group</v>
          </cell>
          <cell r="P121">
            <v>10</v>
          </cell>
          <cell r="Q121"/>
        </row>
        <row r="122">
          <cell r="O122" t="str">
            <v>Living &amp; Co</v>
          </cell>
          <cell r="P122">
            <v>9</v>
          </cell>
          <cell r="Q122"/>
        </row>
        <row r="123">
          <cell r="O123" t="str">
            <v>AvalonBay Communities, Inc.</v>
          </cell>
          <cell r="P123">
            <v>8</v>
          </cell>
          <cell r="Q123"/>
        </row>
        <row r="124">
          <cell r="O124" t="str">
            <v>Hines</v>
          </cell>
          <cell r="P124">
            <v>8</v>
          </cell>
          <cell r="Q124"/>
        </row>
        <row r="125">
          <cell r="O125" t="str">
            <v>MMC Properties LLC</v>
          </cell>
          <cell r="P125">
            <v>7</v>
          </cell>
          <cell r="Q125"/>
        </row>
        <row r="126">
          <cell r="O126" t="str">
            <v>Garden Homes</v>
          </cell>
          <cell r="P126">
            <v>7</v>
          </cell>
          <cell r="Q126"/>
        </row>
        <row r="127">
          <cell r="O127" t="str">
            <v>East River Partners</v>
          </cell>
          <cell r="P127">
            <v>7</v>
          </cell>
          <cell r="Q127"/>
        </row>
        <row r="128">
          <cell r="O128" t="str">
            <v>The Martin Group</v>
          </cell>
          <cell r="P128">
            <v>6</v>
          </cell>
          <cell r="Q128"/>
        </row>
        <row r="129">
          <cell r="O129" t="str">
            <v>The Address Company</v>
          </cell>
          <cell r="P129">
            <v>6</v>
          </cell>
          <cell r="Q129"/>
        </row>
        <row r="130">
          <cell r="O130" t="str">
            <v>MRH Communications LLC</v>
          </cell>
          <cell r="P130">
            <v>6</v>
          </cell>
          <cell r="Q130"/>
        </row>
        <row r="131">
          <cell r="O131" t="str">
            <v>AMAC Holdings</v>
          </cell>
          <cell r="P131">
            <v>5</v>
          </cell>
          <cell r="Q131"/>
        </row>
        <row r="132">
          <cell r="O132" t="str">
            <v>Sudler Property Management</v>
          </cell>
          <cell r="P132">
            <v>5</v>
          </cell>
          <cell r="Q132"/>
        </row>
        <row r="133">
          <cell r="O133" t="str">
            <v>River Village Lofts Condo Association</v>
          </cell>
          <cell r="P133">
            <v>5</v>
          </cell>
          <cell r="Q133"/>
        </row>
        <row r="134">
          <cell r="O134" t="str">
            <v>Outlook Development Group</v>
          </cell>
          <cell r="P134">
            <v>5</v>
          </cell>
          <cell r="Q134"/>
        </row>
        <row r="135">
          <cell r="O135" t="str">
            <v>InDo Nashville</v>
          </cell>
          <cell r="P135">
            <v>5</v>
          </cell>
          <cell r="Q135"/>
        </row>
        <row r="136">
          <cell r="O136" t="str">
            <v>Align Real Estate</v>
          </cell>
          <cell r="P136">
            <v>4</v>
          </cell>
          <cell r="Q136"/>
        </row>
        <row r="137">
          <cell r="O137" t="str">
            <v>First Move Network Consulting LLC DBA NetLink</v>
          </cell>
          <cell r="P137">
            <v>4</v>
          </cell>
          <cell r="Q137"/>
        </row>
        <row r="138">
          <cell r="O138" t="str">
            <v>Migdal Properties</v>
          </cell>
          <cell r="P138">
            <v>3</v>
          </cell>
          <cell r="Q138"/>
        </row>
        <row r="139">
          <cell r="O139" t="str">
            <v>Greenpointe</v>
          </cell>
          <cell r="P139">
            <v>3</v>
          </cell>
          <cell r="Q139"/>
        </row>
        <row r="140">
          <cell r="O140" t="str">
            <v>Panther Residential Management</v>
          </cell>
          <cell r="P140">
            <v>3</v>
          </cell>
          <cell r="Q140"/>
        </row>
        <row r="141">
          <cell r="O141" t="str">
            <v>MRP Realty</v>
          </cell>
          <cell r="P141">
            <v>3</v>
          </cell>
          <cell r="Q141"/>
        </row>
        <row r="142">
          <cell r="O142" t="str">
            <v>MD Squared Property Management</v>
          </cell>
          <cell r="P142">
            <v>2</v>
          </cell>
          <cell r="Q142"/>
        </row>
        <row r="143">
          <cell r="O143" t="str">
            <v>BBRE Management</v>
          </cell>
          <cell r="P143">
            <v>2</v>
          </cell>
          <cell r="Q143"/>
        </row>
        <row r="144">
          <cell r="O144" t="str">
            <v>Greystar</v>
          </cell>
          <cell r="P144">
            <v>2</v>
          </cell>
          <cell r="Q144"/>
        </row>
        <row r="145">
          <cell r="O145" t="str">
            <v>520 West 43rd St REIT, LLC</v>
          </cell>
          <cell r="P145">
            <v>1</v>
          </cell>
          <cell r="Q145"/>
        </row>
        <row r="146">
          <cell r="O146" t="str">
            <v>Plaza Midtown LLC</v>
          </cell>
          <cell r="P146">
            <v>1</v>
          </cell>
          <cell r="Q146"/>
        </row>
        <row r="147">
          <cell r="O147" t="str">
            <v>Kibel Companies</v>
          </cell>
          <cell r="P147">
            <v>1</v>
          </cell>
          <cell r="Q147"/>
        </row>
        <row r="148">
          <cell r="O148" t="str">
            <v>Greenbrook Partners</v>
          </cell>
          <cell r="P148">
            <v>1</v>
          </cell>
          <cell r="Q148"/>
        </row>
        <row r="149">
          <cell r="O149" t="str">
            <v>La Maison Soma HOA</v>
          </cell>
          <cell r="P149">
            <v>1</v>
          </cell>
          <cell r="Q149"/>
        </row>
        <row r="150">
          <cell r="O150" t="str">
            <v>Redgate</v>
          </cell>
          <cell r="P150">
            <v>1</v>
          </cell>
          <cell r="Q150"/>
        </row>
        <row r="151">
          <cell r="O151" t="str">
            <v>Birch Coffee</v>
          </cell>
          <cell r="P151">
            <v>1</v>
          </cell>
          <cell r="Q151"/>
        </row>
        <row r="152">
          <cell r="O152" t="str">
            <v>95 Dikeman Condo Association</v>
          </cell>
          <cell r="P152">
            <v>1</v>
          </cell>
          <cell r="Q152"/>
        </row>
        <row r="153">
          <cell r="O153" t="str">
            <v>Eddy, LLC.</v>
          </cell>
          <cell r="P153">
            <v>1</v>
          </cell>
          <cell r="Q153"/>
        </row>
        <row r="154">
          <cell r="O154" t="str">
            <v>1817 N Marshfield Ave</v>
          </cell>
          <cell r="P154">
            <v>1</v>
          </cell>
          <cell r="Q154"/>
        </row>
        <row r="155">
          <cell r="O155" t="str">
            <v>Roomrs</v>
          </cell>
          <cell r="P155">
            <v>1</v>
          </cell>
          <cell r="Q155"/>
        </row>
        <row r="156">
          <cell r="O156" t="str">
            <v>Madigan Development, LLC</v>
          </cell>
          <cell r="P156">
            <v>1</v>
          </cell>
          <cell r="Q156"/>
        </row>
        <row r="157">
          <cell r="O157" t="str">
            <v>RXR Realty</v>
          </cell>
          <cell r="P157">
            <v>1</v>
          </cell>
          <cell r="Q157"/>
        </row>
        <row r="158">
          <cell r="O158" t="str">
            <v>Onex Real Estate Partners</v>
          </cell>
          <cell r="P158">
            <v>1</v>
          </cell>
          <cell r="Q158"/>
        </row>
        <row r="159">
          <cell r="O159" t="str">
            <v>Ironstate Development</v>
          </cell>
          <cell r="P159">
            <v>1</v>
          </cell>
          <cell r="Q159"/>
        </row>
        <row r="160">
          <cell r="O160" t="str">
            <v>Grand Total</v>
          </cell>
          <cell r="P160">
            <v>31719</v>
          </cell>
          <cell r="Q160"/>
        </row>
        <row r="161">
          <cell r="O161"/>
          <cell r="P161"/>
          <cell r="Q161"/>
        </row>
        <row r="162">
          <cell r="O162"/>
          <cell r="P162"/>
          <cell r="Q162"/>
        </row>
        <row r="163">
          <cell r="O163"/>
          <cell r="P163"/>
          <cell r="Q163"/>
        </row>
        <row r="164">
          <cell r="O164"/>
          <cell r="P164"/>
          <cell r="Q164"/>
        </row>
        <row r="165">
          <cell r="O165"/>
          <cell r="P165"/>
          <cell r="Q165"/>
        </row>
        <row r="166">
          <cell r="O166"/>
          <cell r="P166"/>
          <cell r="Q166"/>
        </row>
        <row r="167">
          <cell r="O167"/>
          <cell r="P167"/>
          <cell r="Q167"/>
        </row>
        <row r="168">
          <cell r="O168"/>
          <cell r="P168"/>
          <cell r="Q168"/>
        </row>
        <row r="169">
          <cell r="O169"/>
          <cell r="P169"/>
          <cell r="Q169"/>
        </row>
        <row r="170">
          <cell r="O170"/>
          <cell r="P170"/>
          <cell r="Q170"/>
        </row>
        <row r="171">
          <cell r="O171"/>
          <cell r="P171"/>
          <cell r="Q171"/>
        </row>
        <row r="172">
          <cell r="O172"/>
          <cell r="P172"/>
          <cell r="Q172"/>
        </row>
        <row r="173">
          <cell r="O173"/>
          <cell r="P173"/>
          <cell r="Q173"/>
        </row>
        <row r="174">
          <cell r="O174"/>
          <cell r="P174"/>
          <cell r="Q174"/>
        </row>
        <row r="175">
          <cell r="O175"/>
          <cell r="P175"/>
          <cell r="Q175"/>
        </row>
        <row r="176">
          <cell r="O176"/>
          <cell r="P176"/>
          <cell r="Q176"/>
        </row>
        <row r="177">
          <cell r="O177"/>
          <cell r="P177"/>
          <cell r="Q177"/>
        </row>
        <row r="178">
          <cell r="O178"/>
          <cell r="P178"/>
          <cell r="Q178"/>
        </row>
        <row r="179">
          <cell r="O179"/>
          <cell r="P179"/>
          <cell r="Q179"/>
        </row>
        <row r="180">
          <cell r="O180"/>
          <cell r="P180"/>
          <cell r="Q180"/>
        </row>
        <row r="181">
          <cell r="O181"/>
          <cell r="P181"/>
          <cell r="Q181"/>
        </row>
        <row r="182">
          <cell r="O182"/>
          <cell r="P182"/>
          <cell r="Q182"/>
        </row>
        <row r="183">
          <cell r="O183"/>
          <cell r="P183"/>
          <cell r="Q183"/>
        </row>
        <row r="184">
          <cell r="O184"/>
          <cell r="P184"/>
          <cell r="Q184"/>
        </row>
        <row r="185">
          <cell r="O185"/>
          <cell r="P185"/>
          <cell r="Q185"/>
        </row>
        <row r="186">
          <cell r="O186"/>
          <cell r="P186"/>
          <cell r="Q186"/>
        </row>
        <row r="187">
          <cell r="O187"/>
          <cell r="P187"/>
          <cell r="Q187"/>
        </row>
        <row r="188">
          <cell r="O188"/>
          <cell r="P188"/>
          <cell r="Q188"/>
        </row>
        <row r="189">
          <cell r="O189"/>
          <cell r="P189"/>
          <cell r="Q189"/>
        </row>
        <row r="190">
          <cell r="O190"/>
          <cell r="P190"/>
          <cell r="Q190"/>
        </row>
        <row r="191">
          <cell r="O191"/>
          <cell r="P191"/>
          <cell r="Q191"/>
        </row>
        <row r="192">
          <cell r="O192"/>
          <cell r="P192"/>
          <cell r="Q192"/>
        </row>
        <row r="193">
          <cell r="O193"/>
          <cell r="P193"/>
          <cell r="Q193"/>
        </row>
        <row r="194">
          <cell r="O194"/>
          <cell r="P194"/>
          <cell r="Q194"/>
        </row>
        <row r="195">
          <cell r="O195"/>
          <cell r="P195"/>
          <cell r="Q195"/>
        </row>
        <row r="196">
          <cell r="O196"/>
          <cell r="P196"/>
          <cell r="Q196"/>
        </row>
        <row r="197">
          <cell r="O197"/>
          <cell r="P197"/>
          <cell r="Q197"/>
        </row>
        <row r="198">
          <cell r="O198"/>
          <cell r="P198"/>
          <cell r="Q198"/>
        </row>
        <row r="199">
          <cell r="O199"/>
          <cell r="P199"/>
          <cell r="Q199"/>
        </row>
        <row r="200">
          <cell r="O200"/>
          <cell r="P200"/>
          <cell r="Q200"/>
        </row>
        <row r="201">
          <cell r="O201"/>
          <cell r="P201"/>
          <cell r="Q201"/>
        </row>
        <row r="202">
          <cell r="O202"/>
          <cell r="P202"/>
          <cell r="Q202"/>
        </row>
        <row r="203">
          <cell r="O203"/>
          <cell r="P203"/>
          <cell r="Q203"/>
        </row>
        <row r="204">
          <cell r="O204"/>
          <cell r="P204"/>
          <cell r="Q204"/>
        </row>
        <row r="205">
          <cell r="O205"/>
          <cell r="P205"/>
          <cell r="Q205"/>
        </row>
        <row r="206">
          <cell r="O206"/>
          <cell r="P206"/>
          <cell r="Q206"/>
        </row>
        <row r="207">
          <cell r="O207"/>
          <cell r="P207"/>
          <cell r="Q207"/>
        </row>
        <row r="208">
          <cell r="O208"/>
          <cell r="P208"/>
          <cell r="Q208"/>
        </row>
        <row r="209">
          <cell r="O209"/>
          <cell r="P209"/>
          <cell r="Q209"/>
        </row>
        <row r="210">
          <cell r="O210"/>
          <cell r="P210"/>
          <cell r="Q210"/>
        </row>
        <row r="211">
          <cell r="O211"/>
          <cell r="P211"/>
          <cell r="Q211"/>
        </row>
        <row r="212">
          <cell r="O212"/>
          <cell r="P212"/>
          <cell r="Q212"/>
        </row>
        <row r="213">
          <cell r="O213"/>
          <cell r="P213"/>
          <cell r="Q213"/>
        </row>
        <row r="214">
          <cell r="O214"/>
          <cell r="P214"/>
          <cell r="Q214"/>
        </row>
        <row r="215">
          <cell r="O215"/>
          <cell r="P215"/>
          <cell r="Q215"/>
        </row>
        <row r="216">
          <cell r="O216"/>
          <cell r="P216"/>
          <cell r="Q216"/>
        </row>
        <row r="217">
          <cell r="O217"/>
          <cell r="P217"/>
          <cell r="Q217"/>
        </row>
        <row r="218">
          <cell r="O218"/>
          <cell r="P218"/>
          <cell r="Q218"/>
        </row>
        <row r="219">
          <cell r="O219"/>
          <cell r="P219"/>
          <cell r="Q219"/>
        </row>
        <row r="220">
          <cell r="O220"/>
          <cell r="P220"/>
          <cell r="Q220"/>
        </row>
        <row r="221">
          <cell r="O221"/>
          <cell r="P221"/>
          <cell r="Q221"/>
        </row>
        <row r="222">
          <cell r="O222"/>
          <cell r="P222"/>
          <cell r="Q222"/>
        </row>
        <row r="223">
          <cell r="O223"/>
          <cell r="P223"/>
          <cell r="Q223"/>
        </row>
        <row r="224">
          <cell r="O224"/>
          <cell r="P224"/>
          <cell r="Q224"/>
        </row>
        <row r="225">
          <cell r="O225"/>
          <cell r="P225"/>
          <cell r="Q225"/>
        </row>
        <row r="226">
          <cell r="O226"/>
          <cell r="P226"/>
          <cell r="Q226"/>
        </row>
        <row r="227">
          <cell r="O227"/>
          <cell r="P227"/>
          <cell r="Q227"/>
        </row>
        <row r="228">
          <cell r="O228"/>
          <cell r="P228"/>
          <cell r="Q228"/>
        </row>
        <row r="229">
          <cell r="O229"/>
          <cell r="P229"/>
          <cell r="Q229"/>
        </row>
        <row r="230">
          <cell r="O230"/>
          <cell r="P230"/>
          <cell r="Q230"/>
        </row>
        <row r="231">
          <cell r="O231"/>
          <cell r="P231"/>
          <cell r="Q231"/>
        </row>
        <row r="232">
          <cell r="O232"/>
          <cell r="P232"/>
          <cell r="Q232"/>
        </row>
        <row r="233">
          <cell r="O233"/>
          <cell r="P233"/>
          <cell r="Q233"/>
        </row>
        <row r="234">
          <cell r="O234"/>
          <cell r="P234"/>
          <cell r="Q234"/>
        </row>
        <row r="235">
          <cell r="O235"/>
          <cell r="P235"/>
          <cell r="Q235"/>
        </row>
        <row r="236">
          <cell r="O236"/>
          <cell r="P236"/>
          <cell r="Q236"/>
        </row>
        <row r="237">
          <cell r="O237"/>
          <cell r="P237"/>
          <cell r="Q237"/>
        </row>
        <row r="238">
          <cell r="O238"/>
          <cell r="P238"/>
          <cell r="Q238"/>
        </row>
        <row r="239">
          <cell r="O239"/>
          <cell r="P239"/>
          <cell r="Q239"/>
        </row>
        <row r="240">
          <cell r="O240"/>
          <cell r="P240"/>
          <cell r="Q240"/>
        </row>
        <row r="241">
          <cell r="O241"/>
          <cell r="P241"/>
          <cell r="Q241"/>
        </row>
        <row r="242">
          <cell r="O242"/>
          <cell r="P242"/>
          <cell r="Q242"/>
        </row>
        <row r="243">
          <cell r="O243"/>
          <cell r="P243"/>
          <cell r="Q243"/>
        </row>
        <row r="244">
          <cell r="O244"/>
          <cell r="P244"/>
          <cell r="Q244"/>
        </row>
        <row r="245">
          <cell r="O245"/>
          <cell r="P245"/>
          <cell r="Q245"/>
        </row>
        <row r="246">
          <cell r="O246"/>
          <cell r="P246"/>
          <cell r="Q246"/>
        </row>
        <row r="247">
          <cell r="O247"/>
          <cell r="P247"/>
          <cell r="Q247"/>
        </row>
        <row r="248">
          <cell r="O248"/>
          <cell r="P248"/>
          <cell r="Q248"/>
        </row>
        <row r="249">
          <cell r="O249"/>
          <cell r="P249"/>
          <cell r="Q249"/>
        </row>
        <row r="250">
          <cell r="O250"/>
          <cell r="P250"/>
          <cell r="Q250"/>
        </row>
        <row r="251">
          <cell r="O251"/>
          <cell r="P251"/>
          <cell r="Q251"/>
        </row>
        <row r="252">
          <cell r="O252"/>
          <cell r="P252"/>
          <cell r="Q252"/>
        </row>
        <row r="253">
          <cell r="O253"/>
          <cell r="P253"/>
          <cell r="Q253"/>
        </row>
        <row r="254">
          <cell r="O254"/>
          <cell r="P254"/>
          <cell r="Q254"/>
        </row>
        <row r="255">
          <cell r="O255"/>
          <cell r="P255"/>
          <cell r="Q255"/>
        </row>
        <row r="256">
          <cell r="O256"/>
          <cell r="P256"/>
          <cell r="Q256"/>
        </row>
        <row r="257">
          <cell r="O257"/>
          <cell r="P257"/>
          <cell r="Q257"/>
        </row>
        <row r="258">
          <cell r="O258"/>
          <cell r="P258"/>
          <cell r="Q258"/>
        </row>
        <row r="259">
          <cell r="O259"/>
          <cell r="P259"/>
          <cell r="Q259"/>
        </row>
        <row r="260">
          <cell r="O260"/>
          <cell r="P260"/>
          <cell r="Q260"/>
        </row>
        <row r="261">
          <cell r="O261"/>
          <cell r="P261"/>
          <cell r="Q261"/>
        </row>
        <row r="262">
          <cell r="O262"/>
          <cell r="P262"/>
          <cell r="Q262"/>
        </row>
        <row r="263">
          <cell r="O263"/>
          <cell r="P263"/>
          <cell r="Q263"/>
        </row>
        <row r="264">
          <cell r="O264"/>
          <cell r="P264"/>
          <cell r="Q264"/>
        </row>
        <row r="265">
          <cell r="O265"/>
          <cell r="P265"/>
          <cell r="Q265"/>
        </row>
        <row r="266">
          <cell r="O266"/>
          <cell r="P266"/>
          <cell r="Q266"/>
        </row>
        <row r="267">
          <cell r="O267"/>
          <cell r="P267"/>
          <cell r="Q267"/>
        </row>
        <row r="268">
          <cell r="O268"/>
          <cell r="P268"/>
          <cell r="Q268"/>
        </row>
        <row r="269">
          <cell r="O269"/>
          <cell r="P269"/>
          <cell r="Q269"/>
        </row>
        <row r="270">
          <cell r="O270"/>
          <cell r="P270"/>
          <cell r="Q270"/>
        </row>
        <row r="271">
          <cell r="O271"/>
          <cell r="P271"/>
          <cell r="Q271"/>
        </row>
        <row r="272">
          <cell r="O272"/>
          <cell r="P272"/>
          <cell r="Q272"/>
        </row>
        <row r="273">
          <cell r="O273"/>
          <cell r="P273"/>
          <cell r="Q273"/>
        </row>
        <row r="274">
          <cell r="O274"/>
          <cell r="P274"/>
          <cell r="Q274"/>
        </row>
        <row r="275">
          <cell r="O275"/>
          <cell r="P275"/>
          <cell r="Q275"/>
        </row>
        <row r="276">
          <cell r="O276"/>
          <cell r="P276"/>
          <cell r="Q276"/>
        </row>
        <row r="277">
          <cell r="O277"/>
          <cell r="P277"/>
          <cell r="Q277"/>
        </row>
        <row r="278">
          <cell r="O278"/>
          <cell r="P278"/>
          <cell r="Q278"/>
        </row>
        <row r="279">
          <cell r="O279"/>
          <cell r="P279"/>
          <cell r="Q279"/>
        </row>
        <row r="280">
          <cell r="O280"/>
          <cell r="P280"/>
          <cell r="Q280"/>
        </row>
        <row r="281">
          <cell r="O281"/>
          <cell r="P281"/>
          <cell r="Q281"/>
        </row>
        <row r="282">
          <cell r="O282"/>
          <cell r="P282"/>
          <cell r="Q282"/>
        </row>
        <row r="283">
          <cell r="O283"/>
          <cell r="P283"/>
          <cell r="Q283"/>
        </row>
        <row r="284">
          <cell r="O284"/>
          <cell r="P284"/>
          <cell r="Q284"/>
        </row>
        <row r="285">
          <cell r="O285"/>
          <cell r="P285"/>
          <cell r="Q285"/>
        </row>
        <row r="286">
          <cell r="O286"/>
          <cell r="P286"/>
          <cell r="Q286"/>
        </row>
        <row r="287">
          <cell r="O287"/>
          <cell r="P287"/>
          <cell r="Q287"/>
        </row>
        <row r="288">
          <cell r="O288"/>
          <cell r="P288"/>
          <cell r="Q288"/>
        </row>
        <row r="289">
          <cell r="O289"/>
          <cell r="P289"/>
          <cell r="Q289"/>
        </row>
        <row r="290">
          <cell r="O290"/>
          <cell r="P290"/>
          <cell r="Q290"/>
        </row>
        <row r="291">
          <cell r="O291"/>
          <cell r="P291"/>
          <cell r="Q291"/>
        </row>
        <row r="292">
          <cell r="O292"/>
          <cell r="P292"/>
          <cell r="Q292"/>
        </row>
        <row r="293">
          <cell r="O293"/>
          <cell r="P293"/>
          <cell r="Q293"/>
        </row>
        <row r="294">
          <cell r="O294"/>
          <cell r="P294"/>
          <cell r="Q294"/>
        </row>
        <row r="295">
          <cell r="O295"/>
          <cell r="P295"/>
          <cell r="Q295"/>
        </row>
        <row r="296">
          <cell r="O296"/>
          <cell r="P296"/>
          <cell r="Q296"/>
        </row>
        <row r="297">
          <cell r="O297"/>
          <cell r="P297"/>
          <cell r="Q297"/>
        </row>
        <row r="298">
          <cell r="O298"/>
          <cell r="P298"/>
          <cell r="Q298"/>
        </row>
        <row r="299">
          <cell r="O299"/>
          <cell r="P299"/>
          <cell r="Q299"/>
        </row>
        <row r="300">
          <cell r="O300"/>
          <cell r="P300"/>
          <cell r="Q300"/>
        </row>
        <row r="301">
          <cell r="O301"/>
          <cell r="P301"/>
          <cell r="Q301"/>
        </row>
        <row r="302">
          <cell r="O302"/>
          <cell r="P302"/>
          <cell r="Q302"/>
        </row>
        <row r="303">
          <cell r="O303"/>
          <cell r="P303"/>
          <cell r="Q303"/>
        </row>
        <row r="304">
          <cell r="O304"/>
          <cell r="P304"/>
          <cell r="Q304"/>
        </row>
        <row r="305">
          <cell r="O305"/>
          <cell r="P305"/>
          <cell r="Q305"/>
        </row>
        <row r="306">
          <cell r="O306"/>
          <cell r="P306"/>
          <cell r="Q306"/>
        </row>
        <row r="307">
          <cell r="O307"/>
          <cell r="P307"/>
          <cell r="Q307"/>
        </row>
        <row r="308">
          <cell r="O308"/>
          <cell r="P308"/>
          <cell r="Q308"/>
        </row>
        <row r="309">
          <cell r="O309"/>
          <cell r="P309"/>
          <cell r="Q309"/>
        </row>
        <row r="310">
          <cell r="O310"/>
          <cell r="P310"/>
          <cell r="Q310"/>
        </row>
        <row r="311">
          <cell r="O311"/>
          <cell r="P311"/>
          <cell r="Q311"/>
        </row>
        <row r="312">
          <cell r="O312"/>
          <cell r="P312"/>
          <cell r="Q312"/>
        </row>
        <row r="313">
          <cell r="O313"/>
          <cell r="P313"/>
          <cell r="Q313"/>
        </row>
        <row r="314">
          <cell r="O314"/>
          <cell r="P314"/>
          <cell r="Q314"/>
        </row>
        <row r="315">
          <cell r="O315"/>
          <cell r="P315"/>
          <cell r="Q315"/>
        </row>
        <row r="316">
          <cell r="O316"/>
          <cell r="P316"/>
          <cell r="Q316"/>
        </row>
        <row r="317">
          <cell r="O317"/>
          <cell r="P317"/>
          <cell r="Q317"/>
        </row>
        <row r="318">
          <cell r="O318"/>
          <cell r="P318"/>
          <cell r="Q318"/>
        </row>
        <row r="319">
          <cell r="O319"/>
          <cell r="P319"/>
          <cell r="Q319"/>
        </row>
        <row r="320">
          <cell r="O320"/>
          <cell r="P320"/>
          <cell r="Q320"/>
        </row>
        <row r="321">
          <cell r="O321"/>
          <cell r="P321"/>
          <cell r="Q321"/>
        </row>
        <row r="322">
          <cell r="O322"/>
          <cell r="P322"/>
          <cell r="Q322"/>
        </row>
        <row r="323">
          <cell r="O323"/>
          <cell r="P323"/>
          <cell r="Q323"/>
        </row>
        <row r="324">
          <cell r="O324"/>
          <cell r="P324"/>
          <cell r="Q324"/>
        </row>
        <row r="325">
          <cell r="O325"/>
          <cell r="P325"/>
          <cell r="Q325"/>
        </row>
        <row r="326">
          <cell r="O326"/>
          <cell r="P326"/>
          <cell r="Q326"/>
        </row>
        <row r="327">
          <cell r="O327"/>
          <cell r="P327"/>
          <cell r="Q327"/>
        </row>
        <row r="328">
          <cell r="O328"/>
          <cell r="P328"/>
          <cell r="Q328"/>
        </row>
        <row r="329">
          <cell r="O329"/>
          <cell r="P329"/>
          <cell r="Q329"/>
        </row>
        <row r="330">
          <cell r="O330"/>
          <cell r="P330"/>
          <cell r="Q330"/>
        </row>
        <row r="331">
          <cell r="O331"/>
          <cell r="P331"/>
          <cell r="Q331"/>
        </row>
        <row r="332">
          <cell r="O332"/>
          <cell r="P332"/>
          <cell r="Q332"/>
        </row>
        <row r="333">
          <cell r="O333"/>
          <cell r="P333"/>
          <cell r="Q333"/>
        </row>
        <row r="334">
          <cell r="O334"/>
          <cell r="P334"/>
          <cell r="Q334"/>
        </row>
        <row r="335">
          <cell r="O335"/>
          <cell r="P335"/>
          <cell r="Q335"/>
        </row>
        <row r="336">
          <cell r="O336"/>
          <cell r="P336"/>
          <cell r="Q336"/>
        </row>
        <row r="337">
          <cell r="O337"/>
          <cell r="P337"/>
          <cell r="Q337"/>
        </row>
        <row r="338">
          <cell r="O338"/>
          <cell r="P338"/>
          <cell r="Q338"/>
        </row>
        <row r="339">
          <cell r="O339"/>
          <cell r="P339"/>
          <cell r="Q339"/>
        </row>
        <row r="340">
          <cell r="O340"/>
          <cell r="P340"/>
          <cell r="Q340"/>
        </row>
        <row r="341">
          <cell r="O341"/>
          <cell r="P341"/>
          <cell r="Q341"/>
        </row>
        <row r="342">
          <cell r="O342"/>
          <cell r="P342"/>
          <cell r="Q342"/>
        </row>
        <row r="343">
          <cell r="O343"/>
          <cell r="P343"/>
          <cell r="Q343"/>
        </row>
        <row r="344">
          <cell r="O344"/>
          <cell r="P344"/>
          <cell r="Q344"/>
        </row>
        <row r="345">
          <cell r="O345"/>
          <cell r="P345"/>
          <cell r="Q345"/>
        </row>
        <row r="346">
          <cell r="O346"/>
          <cell r="P346"/>
          <cell r="Q346"/>
        </row>
        <row r="347">
          <cell r="O347"/>
          <cell r="P347"/>
          <cell r="Q347"/>
        </row>
        <row r="348">
          <cell r="O348"/>
          <cell r="P348"/>
          <cell r="Q348"/>
        </row>
        <row r="349">
          <cell r="O349"/>
          <cell r="P349"/>
          <cell r="Q349"/>
        </row>
        <row r="350">
          <cell r="O350"/>
          <cell r="P350"/>
          <cell r="Q350"/>
        </row>
        <row r="351">
          <cell r="O351"/>
          <cell r="P351"/>
          <cell r="Q351"/>
        </row>
        <row r="352">
          <cell r="O352"/>
          <cell r="P352"/>
          <cell r="Q352"/>
        </row>
        <row r="353">
          <cell r="O353"/>
          <cell r="P353"/>
          <cell r="Q353"/>
        </row>
        <row r="354">
          <cell r="O354"/>
          <cell r="P354"/>
          <cell r="Q354"/>
        </row>
        <row r="355">
          <cell r="O355"/>
          <cell r="P355"/>
          <cell r="Q355"/>
        </row>
        <row r="356">
          <cell r="O356"/>
          <cell r="P356"/>
          <cell r="Q356"/>
        </row>
        <row r="357">
          <cell r="O357"/>
          <cell r="P357"/>
          <cell r="Q357"/>
        </row>
        <row r="358">
          <cell r="O358"/>
          <cell r="P358"/>
          <cell r="Q358"/>
        </row>
        <row r="359">
          <cell r="O359"/>
          <cell r="P359"/>
          <cell r="Q359"/>
        </row>
        <row r="360">
          <cell r="O360"/>
          <cell r="P360"/>
          <cell r="Q360"/>
        </row>
        <row r="361">
          <cell r="O361"/>
          <cell r="P361"/>
          <cell r="Q361"/>
        </row>
        <row r="362">
          <cell r="O362"/>
          <cell r="P362"/>
          <cell r="Q362"/>
        </row>
        <row r="363">
          <cell r="O363"/>
          <cell r="P363"/>
          <cell r="Q363"/>
        </row>
        <row r="364">
          <cell r="O364"/>
          <cell r="P364"/>
          <cell r="Q364"/>
        </row>
        <row r="365">
          <cell r="O365"/>
          <cell r="P365"/>
          <cell r="Q365"/>
        </row>
        <row r="366">
          <cell r="O366"/>
          <cell r="P366"/>
          <cell r="Q366"/>
        </row>
        <row r="367">
          <cell r="O367"/>
          <cell r="P367"/>
          <cell r="Q367"/>
        </row>
        <row r="368">
          <cell r="O368"/>
          <cell r="P368"/>
          <cell r="Q368"/>
        </row>
        <row r="369">
          <cell r="O369"/>
          <cell r="P369"/>
          <cell r="Q369"/>
        </row>
        <row r="370">
          <cell r="O370"/>
          <cell r="P370"/>
          <cell r="Q370"/>
        </row>
        <row r="371">
          <cell r="O371"/>
          <cell r="P371"/>
          <cell r="Q371"/>
        </row>
        <row r="372">
          <cell r="O372"/>
          <cell r="P372"/>
          <cell r="Q372"/>
        </row>
        <row r="373">
          <cell r="O373"/>
          <cell r="P373"/>
          <cell r="Q373"/>
        </row>
        <row r="374">
          <cell r="O374"/>
          <cell r="P374"/>
          <cell r="Q374"/>
        </row>
        <row r="375">
          <cell r="O375"/>
          <cell r="P375"/>
          <cell r="Q375"/>
        </row>
        <row r="376">
          <cell r="O376"/>
          <cell r="P376"/>
          <cell r="Q376"/>
        </row>
        <row r="377">
          <cell r="O377"/>
          <cell r="P377"/>
          <cell r="Q377"/>
        </row>
        <row r="378">
          <cell r="O378"/>
          <cell r="P378"/>
          <cell r="Q378"/>
        </row>
        <row r="379">
          <cell r="O379"/>
          <cell r="P379"/>
          <cell r="Q379"/>
        </row>
        <row r="380">
          <cell r="O380"/>
          <cell r="P380"/>
        </row>
        <row r="381">
          <cell r="O381"/>
          <cell r="P381"/>
        </row>
        <row r="382">
          <cell r="O382"/>
          <cell r="P382"/>
        </row>
        <row r="383">
          <cell r="O383"/>
          <cell r="P383"/>
        </row>
        <row r="384">
          <cell r="O384"/>
          <cell r="P384"/>
        </row>
        <row r="385">
          <cell r="O385"/>
          <cell r="P385"/>
        </row>
        <row r="386">
          <cell r="O386"/>
          <cell r="P386"/>
        </row>
        <row r="387">
          <cell r="O387"/>
          <cell r="P387"/>
        </row>
        <row r="388">
          <cell r="O388"/>
          <cell r="P388"/>
        </row>
        <row r="389">
          <cell r="O389"/>
          <cell r="P389"/>
        </row>
        <row r="390">
          <cell r="O390"/>
          <cell r="P390"/>
        </row>
        <row r="391">
          <cell r="O391"/>
          <cell r="P391"/>
        </row>
        <row r="392">
          <cell r="O392"/>
          <cell r="P392"/>
        </row>
        <row r="393">
          <cell r="O393"/>
          <cell r="P393"/>
        </row>
        <row r="394">
          <cell r="O394"/>
          <cell r="P394"/>
        </row>
        <row r="395">
          <cell r="O395"/>
          <cell r="P395"/>
        </row>
        <row r="396">
          <cell r="O396"/>
          <cell r="P396"/>
        </row>
        <row r="397">
          <cell r="O397"/>
          <cell r="P397"/>
        </row>
        <row r="398">
          <cell r="O398"/>
          <cell r="P398"/>
        </row>
        <row r="399">
          <cell r="O399"/>
          <cell r="P399"/>
        </row>
        <row r="400">
          <cell r="O400"/>
          <cell r="P400"/>
        </row>
        <row r="401">
          <cell r="O401"/>
          <cell r="P401"/>
        </row>
        <row r="402">
          <cell r="O402"/>
          <cell r="P402"/>
        </row>
        <row r="403">
          <cell r="O403"/>
          <cell r="P403"/>
        </row>
        <row r="404">
          <cell r="O404"/>
          <cell r="P404"/>
        </row>
        <row r="405">
          <cell r="O405"/>
          <cell r="P405"/>
        </row>
        <row r="406">
          <cell r="O406"/>
          <cell r="P406"/>
        </row>
        <row r="407">
          <cell r="O407"/>
          <cell r="P407"/>
        </row>
        <row r="408">
          <cell r="O408"/>
          <cell r="P408"/>
        </row>
        <row r="409">
          <cell r="O409"/>
          <cell r="P409"/>
        </row>
        <row r="410">
          <cell r="O410"/>
          <cell r="P410"/>
        </row>
        <row r="411">
          <cell r="O411"/>
          <cell r="P411"/>
        </row>
        <row r="412">
          <cell r="O412"/>
          <cell r="P412"/>
        </row>
        <row r="413">
          <cell r="O413"/>
          <cell r="P413"/>
        </row>
        <row r="414">
          <cell r="O414"/>
          <cell r="P414"/>
        </row>
        <row r="415">
          <cell r="O415"/>
          <cell r="P415"/>
        </row>
        <row r="416">
          <cell r="O416"/>
          <cell r="P416"/>
        </row>
        <row r="417">
          <cell r="O417"/>
          <cell r="P417"/>
        </row>
        <row r="418">
          <cell r="O418"/>
          <cell r="P418"/>
        </row>
        <row r="419">
          <cell r="O419"/>
          <cell r="P419"/>
        </row>
        <row r="420">
          <cell r="O420"/>
          <cell r="P420"/>
        </row>
        <row r="421">
          <cell r="O421"/>
          <cell r="P421"/>
        </row>
        <row r="422">
          <cell r="O422"/>
          <cell r="P422"/>
        </row>
        <row r="423">
          <cell r="O423"/>
          <cell r="P423"/>
        </row>
        <row r="424">
          <cell r="O424"/>
          <cell r="P424"/>
        </row>
        <row r="425">
          <cell r="O425"/>
          <cell r="P425"/>
        </row>
        <row r="426">
          <cell r="O426"/>
          <cell r="P426"/>
        </row>
        <row r="427">
          <cell r="O427"/>
          <cell r="P427"/>
        </row>
        <row r="428">
          <cell r="O428"/>
          <cell r="P428"/>
        </row>
        <row r="429">
          <cell r="O429"/>
          <cell r="P429"/>
        </row>
        <row r="430">
          <cell r="O430"/>
          <cell r="P430"/>
        </row>
        <row r="431">
          <cell r="O431"/>
          <cell r="P431"/>
        </row>
        <row r="432">
          <cell r="O432"/>
          <cell r="P432"/>
        </row>
        <row r="433">
          <cell r="O433"/>
          <cell r="P433"/>
        </row>
        <row r="434">
          <cell r="O434"/>
          <cell r="P434"/>
        </row>
        <row r="435">
          <cell r="O435"/>
          <cell r="P435"/>
        </row>
        <row r="436">
          <cell r="O436"/>
          <cell r="P436"/>
        </row>
        <row r="437">
          <cell r="O437"/>
          <cell r="P437"/>
        </row>
        <row r="438">
          <cell r="O438"/>
          <cell r="P438"/>
        </row>
        <row r="439">
          <cell r="O439"/>
          <cell r="P439"/>
        </row>
        <row r="440">
          <cell r="O440"/>
          <cell r="P440"/>
        </row>
        <row r="441">
          <cell r="O441"/>
          <cell r="P441"/>
        </row>
        <row r="442">
          <cell r="O442"/>
          <cell r="P442"/>
        </row>
        <row r="443">
          <cell r="O443"/>
          <cell r="P443"/>
        </row>
        <row r="444">
          <cell r="O444"/>
          <cell r="P444"/>
        </row>
        <row r="445">
          <cell r="O445"/>
          <cell r="P445"/>
        </row>
        <row r="446">
          <cell r="O446"/>
          <cell r="P446"/>
        </row>
        <row r="447">
          <cell r="O447"/>
          <cell r="P447"/>
        </row>
        <row r="448">
          <cell r="O448"/>
          <cell r="P448"/>
        </row>
        <row r="449">
          <cell r="O449"/>
          <cell r="P449"/>
        </row>
        <row r="450">
          <cell r="O450"/>
          <cell r="P450"/>
        </row>
        <row r="451">
          <cell r="O451"/>
          <cell r="P451"/>
        </row>
        <row r="452">
          <cell r="O452"/>
          <cell r="P452"/>
        </row>
        <row r="453">
          <cell r="O453"/>
          <cell r="P453"/>
        </row>
        <row r="454">
          <cell r="O454"/>
          <cell r="P454"/>
        </row>
        <row r="455">
          <cell r="O455"/>
          <cell r="P455"/>
        </row>
        <row r="456">
          <cell r="O456"/>
          <cell r="P456"/>
        </row>
        <row r="457">
          <cell r="O457"/>
          <cell r="P457"/>
        </row>
        <row r="458">
          <cell r="O458"/>
          <cell r="P458"/>
        </row>
        <row r="459">
          <cell r="O459"/>
          <cell r="P459"/>
        </row>
        <row r="460">
          <cell r="O460"/>
          <cell r="P460"/>
        </row>
        <row r="461">
          <cell r="O461"/>
          <cell r="P461"/>
        </row>
        <row r="462">
          <cell r="O462"/>
          <cell r="P462"/>
        </row>
        <row r="463">
          <cell r="O463"/>
          <cell r="P463"/>
        </row>
        <row r="464">
          <cell r="O464"/>
          <cell r="P464"/>
        </row>
        <row r="465">
          <cell r="O465"/>
          <cell r="P465"/>
        </row>
        <row r="466">
          <cell r="O466"/>
          <cell r="P466"/>
        </row>
        <row r="467">
          <cell r="O467"/>
          <cell r="P467"/>
        </row>
        <row r="468">
          <cell r="O468"/>
          <cell r="P468"/>
        </row>
        <row r="469">
          <cell r="O469"/>
          <cell r="P469"/>
        </row>
        <row r="470">
          <cell r="O470"/>
          <cell r="P470"/>
        </row>
        <row r="471">
          <cell r="O471"/>
          <cell r="P471"/>
        </row>
        <row r="472">
          <cell r="O472"/>
          <cell r="P472"/>
        </row>
        <row r="473">
          <cell r="O473"/>
          <cell r="P473"/>
        </row>
        <row r="474">
          <cell r="O474"/>
          <cell r="P474"/>
        </row>
        <row r="475">
          <cell r="O475"/>
          <cell r="P475"/>
        </row>
        <row r="476">
          <cell r="O476"/>
          <cell r="P476"/>
        </row>
        <row r="477">
          <cell r="O477"/>
          <cell r="P477"/>
        </row>
        <row r="478">
          <cell r="O478"/>
          <cell r="P478"/>
        </row>
        <row r="479">
          <cell r="O479"/>
          <cell r="P479"/>
        </row>
        <row r="480">
          <cell r="O480"/>
          <cell r="P480"/>
        </row>
        <row r="481">
          <cell r="O481"/>
          <cell r="P481"/>
        </row>
        <row r="482">
          <cell r="O482"/>
          <cell r="P482"/>
        </row>
        <row r="483">
          <cell r="O483"/>
          <cell r="P483"/>
        </row>
        <row r="484">
          <cell r="O484"/>
          <cell r="P484"/>
        </row>
        <row r="485">
          <cell r="O485"/>
          <cell r="P485"/>
        </row>
        <row r="486">
          <cell r="O486"/>
          <cell r="P486"/>
        </row>
        <row r="487">
          <cell r="O487"/>
          <cell r="P487"/>
        </row>
        <row r="488">
          <cell r="O488"/>
          <cell r="P488"/>
        </row>
        <row r="489">
          <cell r="O489"/>
          <cell r="P489"/>
        </row>
        <row r="490">
          <cell r="O490"/>
          <cell r="P490"/>
        </row>
        <row r="491">
          <cell r="O491"/>
          <cell r="P491"/>
        </row>
        <row r="492">
          <cell r="O492"/>
          <cell r="P492"/>
        </row>
        <row r="493">
          <cell r="O493"/>
          <cell r="P493"/>
        </row>
        <row r="494">
          <cell r="O494"/>
          <cell r="P494"/>
        </row>
        <row r="495">
          <cell r="O495"/>
          <cell r="P495"/>
        </row>
        <row r="496">
          <cell r="O496"/>
          <cell r="P496"/>
        </row>
        <row r="497">
          <cell r="O497"/>
          <cell r="P497"/>
        </row>
        <row r="498">
          <cell r="O498"/>
          <cell r="P498"/>
        </row>
        <row r="499">
          <cell r="O499"/>
          <cell r="P499"/>
        </row>
        <row r="500">
          <cell r="O500"/>
          <cell r="P500"/>
        </row>
        <row r="501">
          <cell r="O501"/>
          <cell r="P501"/>
        </row>
        <row r="502">
          <cell r="O502"/>
          <cell r="P502"/>
        </row>
        <row r="503">
          <cell r="O503"/>
          <cell r="P503"/>
        </row>
        <row r="504">
          <cell r="O504"/>
          <cell r="P504"/>
        </row>
        <row r="505">
          <cell r="O505"/>
          <cell r="P505"/>
        </row>
        <row r="506">
          <cell r="O506"/>
          <cell r="P506"/>
        </row>
        <row r="507">
          <cell r="O507"/>
          <cell r="P507"/>
        </row>
        <row r="508">
          <cell r="O508"/>
          <cell r="P508"/>
        </row>
        <row r="509">
          <cell r="O509"/>
          <cell r="P509"/>
        </row>
        <row r="510">
          <cell r="O510"/>
          <cell r="P510"/>
        </row>
        <row r="511">
          <cell r="O511"/>
          <cell r="P511"/>
        </row>
        <row r="512">
          <cell r="O512"/>
          <cell r="P512"/>
        </row>
        <row r="513">
          <cell r="O513"/>
          <cell r="P513"/>
        </row>
        <row r="514">
          <cell r="O514"/>
          <cell r="P514"/>
        </row>
        <row r="515">
          <cell r="O515"/>
          <cell r="P515"/>
        </row>
        <row r="516">
          <cell r="O516"/>
          <cell r="P516"/>
        </row>
        <row r="517">
          <cell r="O517"/>
          <cell r="P517"/>
        </row>
        <row r="518">
          <cell r="O518"/>
          <cell r="P518"/>
        </row>
        <row r="519">
          <cell r="O519"/>
          <cell r="P519"/>
        </row>
        <row r="520">
          <cell r="O520"/>
          <cell r="P520"/>
        </row>
        <row r="521">
          <cell r="O521"/>
          <cell r="P521"/>
        </row>
        <row r="522">
          <cell r="O522"/>
          <cell r="P522"/>
        </row>
        <row r="523">
          <cell r="O523"/>
          <cell r="P523"/>
        </row>
        <row r="524">
          <cell r="O524"/>
          <cell r="P524"/>
        </row>
        <row r="525">
          <cell r="O525"/>
          <cell r="P525"/>
        </row>
        <row r="526">
          <cell r="O526"/>
          <cell r="P526"/>
        </row>
        <row r="527">
          <cell r="O527"/>
          <cell r="P527"/>
        </row>
        <row r="528">
          <cell r="O528"/>
          <cell r="P528"/>
        </row>
        <row r="529">
          <cell r="O529"/>
          <cell r="P529"/>
        </row>
        <row r="530">
          <cell r="O530"/>
          <cell r="P530"/>
        </row>
        <row r="531">
          <cell r="O531"/>
          <cell r="P531"/>
        </row>
        <row r="532">
          <cell r="O532"/>
          <cell r="P532"/>
        </row>
        <row r="533">
          <cell r="O533"/>
          <cell r="P533"/>
        </row>
        <row r="534">
          <cell r="O534"/>
          <cell r="P534"/>
        </row>
        <row r="535">
          <cell r="O535"/>
          <cell r="P535"/>
        </row>
        <row r="536">
          <cell r="O536"/>
          <cell r="P536"/>
        </row>
        <row r="537">
          <cell r="O537"/>
          <cell r="P537"/>
        </row>
        <row r="538">
          <cell r="O538"/>
          <cell r="P538"/>
        </row>
        <row r="539">
          <cell r="O539"/>
          <cell r="P539"/>
        </row>
        <row r="540">
          <cell r="O540"/>
          <cell r="P540"/>
        </row>
        <row r="541">
          <cell r="O541"/>
          <cell r="P541"/>
        </row>
        <row r="542">
          <cell r="O542"/>
          <cell r="P542"/>
        </row>
        <row r="543">
          <cell r="O543"/>
          <cell r="P543"/>
        </row>
        <row r="544">
          <cell r="O544"/>
          <cell r="P544"/>
        </row>
        <row r="545">
          <cell r="O545"/>
          <cell r="P545"/>
        </row>
        <row r="546">
          <cell r="O546"/>
          <cell r="P546"/>
        </row>
        <row r="547">
          <cell r="O547"/>
          <cell r="P547"/>
        </row>
        <row r="548">
          <cell r="O548"/>
          <cell r="P548"/>
        </row>
        <row r="549">
          <cell r="O549"/>
          <cell r="P549"/>
        </row>
        <row r="550">
          <cell r="O550"/>
          <cell r="P550"/>
        </row>
        <row r="551">
          <cell r="O551"/>
          <cell r="P551"/>
        </row>
        <row r="552">
          <cell r="O552"/>
          <cell r="P552"/>
        </row>
        <row r="553">
          <cell r="O553"/>
          <cell r="P553"/>
        </row>
        <row r="554">
          <cell r="O554"/>
          <cell r="P554"/>
        </row>
        <row r="555">
          <cell r="O555"/>
          <cell r="P555"/>
        </row>
        <row r="556">
          <cell r="O556"/>
          <cell r="P556"/>
        </row>
        <row r="557">
          <cell r="O557"/>
          <cell r="P557"/>
        </row>
        <row r="558">
          <cell r="O558"/>
          <cell r="P558"/>
        </row>
        <row r="559">
          <cell r="O559"/>
          <cell r="P559"/>
        </row>
        <row r="560">
          <cell r="O560"/>
          <cell r="P560"/>
        </row>
        <row r="561">
          <cell r="O561"/>
          <cell r="P561"/>
        </row>
        <row r="562">
          <cell r="O562"/>
          <cell r="P562"/>
        </row>
        <row r="563">
          <cell r="O563"/>
          <cell r="P563"/>
        </row>
        <row r="564">
          <cell r="O564"/>
          <cell r="P564"/>
        </row>
        <row r="565">
          <cell r="O565"/>
          <cell r="P565"/>
        </row>
        <row r="566">
          <cell r="O566"/>
          <cell r="P566"/>
        </row>
        <row r="567">
          <cell r="O567"/>
          <cell r="P567"/>
        </row>
        <row r="568">
          <cell r="O568"/>
          <cell r="P568"/>
        </row>
        <row r="569">
          <cell r="O569"/>
          <cell r="P569"/>
        </row>
        <row r="570">
          <cell r="O570"/>
          <cell r="P570"/>
        </row>
        <row r="571">
          <cell r="O571"/>
          <cell r="P571"/>
        </row>
        <row r="572">
          <cell r="O572"/>
          <cell r="P572"/>
        </row>
        <row r="573">
          <cell r="O573"/>
          <cell r="P573"/>
        </row>
        <row r="574">
          <cell r="O574"/>
          <cell r="P574"/>
        </row>
        <row r="575">
          <cell r="O575"/>
          <cell r="P575"/>
        </row>
        <row r="576">
          <cell r="O576"/>
          <cell r="P576"/>
        </row>
        <row r="577">
          <cell r="O577"/>
          <cell r="P577"/>
        </row>
        <row r="578">
          <cell r="O578"/>
          <cell r="P578"/>
        </row>
        <row r="579">
          <cell r="O579"/>
          <cell r="P579"/>
        </row>
        <row r="580">
          <cell r="O580"/>
          <cell r="P580"/>
        </row>
        <row r="581">
          <cell r="O581"/>
          <cell r="P581"/>
        </row>
        <row r="582">
          <cell r="O582"/>
          <cell r="P582"/>
        </row>
        <row r="583">
          <cell r="O583"/>
          <cell r="P583"/>
        </row>
        <row r="584">
          <cell r="O584"/>
          <cell r="P584"/>
        </row>
        <row r="585">
          <cell r="O585"/>
          <cell r="P585"/>
        </row>
        <row r="586">
          <cell r="O586"/>
          <cell r="P586"/>
        </row>
        <row r="587">
          <cell r="O587"/>
          <cell r="P587"/>
        </row>
        <row r="588">
          <cell r="O588"/>
          <cell r="P588"/>
        </row>
        <row r="589">
          <cell r="O589"/>
          <cell r="P589"/>
        </row>
        <row r="590">
          <cell r="O590"/>
          <cell r="P590"/>
        </row>
        <row r="591">
          <cell r="O591"/>
          <cell r="P591"/>
        </row>
        <row r="592">
          <cell r="O592"/>
          <cell r="P592"/>
        </row>
        <row r="593">
          <cell r="O593"/>
          <cell r="P593"/>
        </row>
        <row r="594">
          <cell r="O594"/>
          <cell r="P594"/>
        </row>
        <row r="595">
          <cell r="O595"/>
          <cell r="P595"/>
        </row>
        <row r="596">
          <cell r="O596"/>
          <cell r="P596"/>
        </row>
        <row r="597">
          <cell r="O597"/>
          <cell r="P597"/>
        </row>
        <row r="598">
          <cell r="O598"/>
          <cell r="P598"/>
        </row>
        <row r="599">
          <cell r="O599"/>
          <cell r="P599"/>
        </row>
        <row r="600">
          <cell r="O600"/>
          <cell r="P600"/>
        </row>
        <row r="601">
          <cell r="O601"/>
          <cell r="P601"/>
        </row>
        <row r="602">
          <cell r="O602"/>
          <cell r="P602"/>
        </row>
        <row r="603">
          <cell r="O603"/>
          <cell r="P603"/>
        </row>
        <row r="604">
          <cell r="O604"/>
          <cell r="P604"/>
        </row>
        <row r="605">
          <cell r="O605"/>
          <cell r="P605"/>
        </row>
        <row r="606">
          <cell r="O606"/>
          <cell r="P606"/>
        </row>
        <row r="607">
          <cell r="O607"/>
          <cell r="P607"/>
        </row>
        <row r="608">
          <cell r="O608"/>
          <cell r="P608"/>
        </row>
        <row r="609">
          <cell r="O609"/>
          <cell r="P609"/>
        </row>
        <row r="610">
          <cell r="O610"/>
          <cell r="P610"/>
        </row>
        <row r="611">
          <cell r="O611"/>
          <cell r="P611"/>
        </row>
        <row r="612">
          <cell r="O612"/>
          <cell r="P612"/>
        </row>
        <row r="613">
          <cell r="O613"/>
          <cell r="P613"/>
        </row>
        <row r="614">
          <cell r="O614"/>
          <cell r="P614"/>
        </row>
        <row r="615">
          <cell r="O615"/>
          <cell r="P615"/>
        </row>
        <row r="616">
          <cell r="O616"/>
          <cell r="P616"/>
        </row>
        <row r="617">
          <cell r="O617"/>
          <cell r="P617"/>
        </row>
        <row r="618">
          <cell r="O618"/>
          <cell r="P618"/>
        </row>
        <row r="619">
          <cell r="O619"/>
          <cell r="P619"/>
        </row>
        <row r="620">
          <cell r="O620"/>
          <cell r="P620"/>
        </row>
        <row r="621">
          <cell r="O621"/>
          <cell r="P621"/>
        </row>
        <row r="622">
          <cell r="O622"/>
          <cell r="P622"/>
        </row>
        <row r="623">
          <cell r="O623"/>
          <cell r="P623"/>
        </row>
        <row r="624">
          <cell r="O624"/>
          <cell r="P624"/>
        </row>
        <row r="625">
          <cell r="O625"/>
          <cell r="P625"/>
        </row>
        <row r="626">
          <cell r="O626"/>
          <cell r="P626"/>
        </row>
        <row r="627">
          <cell r="O627"/>
          <cell r="P627"/>
        </row>
        <row r="628">
          <cell r="O628"/>
          <cell r="P628"/>
        </row>
        <row r="629">
          <cell r="O629"/>
          <cell r="P629"/>
        </row>
        <row r="630">
          <cell r="O630"/>
          <cell r="P630"/>
        </row>
        <row r="631">
          <cell r="O631"/>
          <cell r="P631"/>
        </row>
        <row r="632">
          <cell r="O632"/>
          <cell r="P632"/>
        </row>
        <row r="633">
          <cell r="O633"/>
          <cell r="P633"/>
        </row>
        <row r="634">
          <cell r="O634"/>
          <cell r="P634"/>
        </row>
        <row r="635">
          <cell r="O635"/>
          <cell r="P635"/>
        </row>
        <row r="636">
          <cell r="O636"/>
          <cell r="P636"/>
        </row>
        <row r="637">
          <cell r="O637"/>
          <cell r="P637"/>
        </row>
        <row r="638">
          <cell r="O638"/>
          <cell r="P638"/>
        </row>
        <row r="639">
          <cell r="O639"/>
          <cell r="P639"/>
        </row>
        <row r="640">
          <cell r="O640"/>
          <cell r="P640"/>
        </row>
        <row r="641">
          <cell r="O641"/>
          <cell r="P641"/>
        </row>
        <row r="642">
          <cell r="O642"/>
          <cell r="P642"/>
        </row>
        <row r="643">
          <cell r="O643"/>
          <cell r="P643"/>
        </row>
        <row r="644">
          <cell r="O644"/>
          <cell r="P644"/>
        </row>
        <row r="645">
          <cell r="O645"/>
          <cell r="P645"/>
        </row>
        <row r="646">
          <cell r="O646"/>
          <cell r="P646"/>
        </row>
        <row r="647">
          <cell r="O647"/>
          <cell r="P647"/>
        </row>
        <row r="648">
          <cell r="O648"/>
          <cell r="P648"/>
        </row>
        <row r="649">
          <cell r="O649"/>
          <cell r="P649"/>
        </row>
        <row r="650">
          <cell r="O650"/>
          <cell r="P650"/>
        </row>
        <row r="651">
          <cell r="O651"/>
          <cell r="P651"/>
        </row>
        <row r="652">
          <cell r="O652"/>
          <cell r="P652"/>
        </row>
        <row r="653">
          <cell r="O653"/>
          <cell r="P653"/>
        </row>
        <row r="654">
          <cell r="O654"/>
          <cell r="P654"/>
        </row>
        <row r="655">
          <cell r="O655"/>
          <cell r="P655"/>
        </row>
        <row r="656">
          <cell r="O656"/>
          <cell r="P656"/>
        </row>
        <row r="657">
          <cell r="O657"/>
          <cell r="P657"/>
        </row>
        <row r="658">
          <cell r="O658"/>
          <cell r="P658"/>
        </row>
        <row r="659">
          <cell r="O659"/>
          <cell r="P659"/>
        </row>
        <row r="660">
          <cell r="O660"/>
          <cell r="P660"/>
        </row>
        <row r="661">
          <cell r="O661"/>
          <cell r="P661"/>
        </row>
        <row r="662">
          <cell r="O662"/>
          <cell r="P662"/>
        </row>
        <row r="663">
          <cell r="O663"/>
          <cell r="P663"/>
        </row>
        <row r="664">
          <cell r="O664"/>
          <cell r="P664"/>
        </row>
        <row r="665">
          <cell r="O665"/>
          <cell r="P665"/>
        </row>
        <row r="666">
          <cell r="O666"/>
          <cell r="P666"/>
        </row>
        <row r="667">
          <cell r="O667"/>
          <cell r="P667"/>
        </row>
        <row r="668">
          <cell r="O668"/>
          <cell r="P668"/>
        </row>
        <row r="669">
          <cell r="O669"/>
          <cell r="P669"/>
        </row>
        <row r="670">
          <cell r="O670"/>
          <cell r="P670"/>
        </row>
        <row r="671">
          <cell r="O671"/>
          <cell r="P671"/>
        </row>
        <row r="672">
          <cell r="O672"/>
          <cell r="P672"/>
        </row>
        <row r="673">
          <cell r="O673"/>
          <cell r="P673"/>
        </row>
        <row r="674">
          <cell r="O674"/>
          <cell r="P674"/>
        </row>
        <row r="675">
          <cell r="O675"/>
          <cell r="P675"/>
        </row>
        <row r="676">
          <cell r="O676"/>
          <cell r="P676"/>
        </row>
        <row r="677">
          <cell r="O677"/>
          <cell r="P677"/>
        </row>
        <row r="678">
          <cell r="O678"/>
          <cell r="P678"/>
        </row>
        <row r="679">
          <cell r="O679"/>
          <cell r="P679"/>
        </row>
        <row r="680">
          <cell r="O680"/>
          <cell r="P680"/>
        </row>
        <row r="681">
          <cell r="O681"/>
          <cell r="P681"/>
        </row>
        <row r="682">
          <cell r="O682"/>
          <cell r="P682"/>
        </row>
        <row r="683">
          <cell r="O683"/>
          <cell r="P683"/>
        </row>
        <row r="684">
          <cell r="O684"/>
          <cell r="P684"/>
        </row>
        <row r="685">
          <cell r="O685"/>
          <cell r="P685"/>
        </row>
        <row r="686">
          <cell r="O686"/>
          <cell r="P686"/>
        </row>
        <row r="687">
          <cell r="O687"/>
          <cell r="P687"/>
        </row>
        <row r="688">
          <cell r="O688"/>
          <cell r="P688"/>
        </row>
        <row r="689">
          <cell r="O689"/>
          <cell r="P689"/>
        </row>
        <row r="690">
          <cell r="O690"/>
          <cell r="P690"/>
        </row>
        <row r="691">
          <cell r="O691"/>
          <cell r="P691"/>
        </row>
        <row r="692">
          <cell r="O692"/>
          <cell r="P692"/>
        </row>
        <row r="693">
          <cell r="O693"/>
          <cell r="P693"/>
        </row>
        <row r="694">
          <cell r="O694"/>
          <cell r="P694"/>
        </row>
        <row r="695">
          <cell r="O695"/>
          <cell r="P695"/>
        </row>
        <row r="696">
          <cell r="O696"/>
          <cell r="P696"/>
        </row>
        <row r="697">
          <cell r="O697"/>
          <cell r="P697"/>
        </row>
        <row r="698">
          <cell r="O698"/>
          <cell r="P698"/>
        </row>
        <row r="699">
          <cell r="O699"/>
          <cell r="P699"/>
        </row>
        <row r="700">
          <cell r="O700"/>
          <cell r="P700"/>
        </row>
        <row r="701">
          <cell r="O701"/>
          <cell r="P701"/>
        </row>
        <row r="702">
          <cell r="O702"/>
          <cell r="P702"/>
        </row>
        <row r="703">
          <cell r="O703"/>
          <cell r="P703"/>
        </row>
        <row r="704">
          <cell r="O704"/>
          <cell r="P704"/>
        </row>
        <row r="705">
          <cell r="O705"/>
          <cell r="P705"/>
        </row>
        <row r="706">
          <cell r="O706"/>
          <cell r="P706"/>
        </row>
        <row r="707">
          <cell r="O707"/>
          <cell r="P707"/>
        </row>
        <row r="708">
          <cell r="O708"/>
          <cell r="P708"/>
        </row>
        <row r="709">
          <cell r="O709"/>
          <cell r="P709"/>
        </row>
        <row r="710">
          <cell r="O710"/>
          <cell r="P710"/>
        </row>
        <row r="711">
          <cell r="O711"/>
          <cell r="P711"/>
        </row>
        <row r="712">
          <cell r="O712"/>
          <cell r="P712"/>
        </row>
        <row r="713">
          <cell r="O713"/>
          <cell r="P713"/>
        </row>
        <row r="714">
          <cell r="O714"/>
          <cell r="P714"/>
        </row>
        <row r="715">
          <cell r="O715"/>
          <cell r="P715"/>
        </row>
        <row r="716">
          <cell r="O716"/>
          <cell r="P716"/>
        </row>
        <row r="717">
          <cell r="O717"/>
          <cell r="P717"/>
        </row>
        <row r="718">
          <cell r="O718"/>
          <cell r="P718"/>
        </row>
        <row r="719">
          <cell r="O719"/>
          <cell r="P719"/>
        </row>
        <row r="720">
          <cell r="O720"/>
          <cell r="P720"/>
        </row>
        <row r="721">
          <cell r="O721"/>
          <cell r="P721"/>
        </row>
        <row r="722">
          <cell r="O722"/>
          <cell r="P722"/>
        </row>
        <row r="723">
          <cell r="O723"/>
          <cell r="P723"/>
        </row>
        <row r="724">
          <cell r="O724"/>
          <cell r="P724"/>
        </row>
        <row r="725">
          <cell r="O725"/>
          <cell r="P725"/>
        </row>
        <row r="726">
          <cell r="O726"/>
          <cell r="P726"/>
        </row>
        <row r="727">
          <cell r="O727"/>
          <cell r="P727"/>
        </row>
        <row r="728">
          <cell r="O728"/>
          <cell r="P728"/>
        </row>
        <row r="729">
          <cell r="O729"/>
          <cell r="P729"/>
        </row>
        <row r="730">
          <cell r="O730"/>
          <cell r="P730"/>
        </row>
        <row r="731">
          <cell r="O731"/>
          <cell r="P731"/>
        </row>
        <row r="732">
          <cell r="O732"/>
          <cell r="P732"/>
        </row>
        <row r="733">
          <cell r="O733"/>
          <cell r="P733"/>
        </row>
        <row r="734">
          <cell r="O734"/>
          <cell r="P734"/>
        </row>
        <row r="735">
          <cell r="O735"/>
          <cell r="P735"/>
        </row>
        <row r="736">
          <cell r="O736"/>
          <cell r="P736"/>
        </row>
        <row r="737">
          <cell r="O737"/>
          <cell r="P737"/>
        </row>
        <row r="738">
          <cell r="O738"/>
          <cell r="P738"/>
        </row>
        <row r="739">
          <cell r="O739"/>
          <cell r="P739"/>
        </row>
        <row r="740">
          <cell r="O740"/>
          <cell r="P740"/>
        </row>
        <row r="741">
          <cell r="O741"/>
          <cell r="P741"/>
        </row>
        <row r="742">
          <cell r="O742"/>
          <cell r="P742"/>
        </row>
        <row r="743">
          <cell r="O743"/>
          <cell r="P743"/>
        </row>
        <row r="744">
          <cell r="O744"/>
          <cell r="P744"/>
        </row>
        <row r="745">
          <cell r="O745"/>
          <cell r="P745"/>
        </row>
        <row r="746">
          <cell r="O746"/>
          <cell r="P746"/>
        </row>
        <row r="747">
          <cell r="O747"/>
          <cell r="P747"/>
        </row>
        <row r="748">
          <cell r="O748"/>
          <cell r="P748"/>
        </row>
        <row r="749">
          <cell r="O749"/>
          <cell r="P749"/>
        </row>
        <row r="750">
          <cell r="O750"/>
          <cell r="P750"/>
        </row>
        <row r="751">
          <cell r="O751"/>
          <cell r="P751"/>
        </row>
        <row r="752">
          <cell r="O752"/>
          <cell r="P752"/>
        </row>
        <row r="753">
          <cell r="O753"/>
          <cell r="P753"/>
        </row>
        <row r="754">
          <cell r="O754"/>
          <cell r="P754"/>
        </row>
        <row r="755">
          <cell r="O755"/>
          <cell r="P755"/>
        </row>
        <row r="756">
          <cell r="O756"/>
          <cell r="P756"/>
        </row>
        <row r="757">
          <cell r="O757"/>
          <cell r="P757"/>
        </row>
        <row r="758">
          <cell r="O758"/>
          <cell r="P758"/>
        </row>
        <row r="759">
          <cell r="O759"/>
          <cell r="P759"/>
        </row>
        <row r="760">
          <cell r="O760"/>
          <cell r="P760"/>
        </row>
        <row r="761">
          <cell r="O761"/>
          <cell r="P761"/>
        </row>
        <row r="762">
          <cell r="O762"/>
          <cell r="P762"/>
        </row>
        <row r="763">
          <cell r="O763"/>
          <cell r="P763"/>
        </row>
        <row r="764">
          <cell r="O764"/>
          <cell r="P764"/>
        </row>
        <row r="765">
          <cell r="O765"/>
          <cell r="P765"/>
        </row>
        <row r="766">
          <cell r="O766"/>
          <cell r="P766"/>
        </row>
        <row r="767">
          <cell r="O767"/>
          <cell r="P767"/>
        </row>
        <row r="768">
          <cell r="O768"/>
          <cell r="P768"/>
        </row>
        <row r="769">
          <cell r="O769"/>
          <cell r="P769"/>
        </row>
        <row r="770">
          <cell r="O770"/>
          <cell r="P770"/>
        </row>
        <row r="771">
          <cell r="O771"/>
          <cell r="P771"/>
        </row>
        <row r="772">
          <cell r="O772"/>
          <cell r="P772"/>
        </row>
        <row r="773">
          <cell r="O773"/>
          <cell r="P773"/>
        </row>
        <row r="774">
          <cell r="O774"/>
          <cell r="P774"/>
        </row>
        <row r="775">
          <cell r="O775"/>
          <cell r="P775"/>
        </row>
        <row r="776">
          <cell r="O776"/>
          <cell r="P776"/>
        </row>
        <row r="777">
          <cell r="O777"/>
          <cell r="P777"/>
        </row>
        <row r="778">
          <cell r="O778"/>
          <cell r="P778"/>
        </row>
        <row r="779">
          <cell r="O779"/>
          <cell r="P779"/>
        </row>
        <row r="780">
          <cell r="O780"/>
          <cell r="P780"/>
        </row>
        <row r="781">
          <cell r="O781"/>
          <cell r="P781"/>
        </row>
        <row r="782">
          <cell r="O782"/>
          <cell r="P782"/>
        </row>
        <row r="783">
          <cell r="O783"/>
          <cell r="P783"/>
        </row>
        <row r="784">
          <cell r="O784"/>
          <cell r="P784"/>
        </row>
        <row r="785">
          <cell r="O785"/>
          <cell r="P785"/>
        </row>
        <row r="786">
          <cell r="O786"/>
          <cell r="P786"/>
        </row>
        <row r="787">
          <cell r="O787"/>
          <cell r="P787"/>
        </row>
        <row r="788">
          <cell r="O788"/>
          <cell r="P788"/>
        </row>
        <row r="789">
          <cell r="O789"/>
          <cell r="P789"/>
        </row>
        <row r="790">
          <cell r="O790"/>
          <cell r="P790"/>
        </row>
        <row r="791">
          <cell r="O791"/>
          <cell r="P791"/>
        </row>
        <row r="792">
          <cell r="O792"/>
          <cell r="P792"/>
        </row>
        <row r="793">
          <cell r="O793"/>
          <cell r="P793"/>
        </row>
        <row r="794">
          <cell r="O794"/>
          <cell r="P794"/>
        </row>
        <row r="795">
          <cell r="O795"/>
          <cell r="P795"/>
        </row>
        <row r="796">
          <cell r="O796"/>
          <cell r="P796"/>
        </row>
        <row r="797">
          <cell r="O797"/>
          <cell r="P797"/>
        </row>
        <row r="798">
          <cell r="O798"/>
          <cell r="P798"/>
        </row>
        <row r="799">
          <cell r="O799"/>
          <cell r="P799"/>
        </row>
        <row r="800">
          <cell r="O800"/>
          <cell r="P800"/>
        </row>
        <row r="801">
          <cell r="O801"/>
          <cell r="P801"/>
        </row>
        <row r="802">
          <cell r="O802"/>
          <cell r="P802"/>
        </row>
        <row r="803">
          <cell r="O803"/>
          <cell r="P803"/>
        </row>
        <row r="804">
          <cell r="O804"/>
          <cell r="P804"/>
        </row>
        <row r="805">
          <cell r="O805"/>
          <cell r="P805"/>
        </row>
        <row r="806">
          <cell r="O806"/>
          <cell r="P806"/>
        </row>
        <row r="807">
          <cell r="O807"/>
          <cell r="P807"/>
        </row>
        <row r="808">
          <cell r="O808"/>
          <cell r="P808"/>
        </row>
        <row r="809">
          <cell r="O809"/>
          <cell r="P809"/>
        </row>
        <row r="810">
          <cell r="O810"/>
          <cell r="P810"/>
        </row>
        <row r="811">
          <cell r="O811"/>
          <cell r="P811"/>
        </row>
        <row r="812">
          <cell r="O812"/>
          <cell r="P812"/>
        </row>
        <row r="813">
          <cell r="O813"/>
          <cell r="P813"/>
        </row>
        <row r="814">
          <cell r="O814"/>
          <cell r="P814"/>
        </row>
        <row r="815">
          <cell r="O815"/>
          <cell r="P815"/>
        </row>
        <row r="816">
          <cell r="O816"/>
          <cell r="P816"/>
        </row>
        <row r="817">
          <cell r="O817"/>
          <cell r="P817"/>
        </row>
        <row r="818">
          <cell r="O818"/>
          <cell r="P818"/>
        </row>
        <row r="819">
          <cell r="O819"/>
          <cell r="P819"/>
        </row>
        <row r="820">
          <cell r="O820"/>
          <cell r="P820"/>
        </row>
        <row r="821">
          <cell r="O821"/>
          <cell r="P821"/>
        </row>
        <row r="822">
          <cell r="O822"/>
          <cell r="P822"/>
        </row>
        <row r="823">
          <cell r="O823"/>
          <cell r="P823"/>
        </row>
        <row r="824">
          <cell r="O824"/>
          <cell r="P824"/>
        </row>
        <row r="825">
          <cell r="O825"/>
          <cell r="P825"/>
        </row>
        <row r="826">
          <cell r="O826"/>
          <cell r="P826"/>
        </row>
        <row r="827">
          <cell r="O827"/>
          <cell r="P827"/>
        </row>
        <row r="828">
          <cell r="O828"/>
          <cell r="P828"/>
        </row>
        <row r="829">
          <cell r="O829"/>
          <cell r="P829"/>
        </row>
        <row r="830">
          <cell r="O830"/>
          <cell r="P830"/>
        </row>
        <row r="831">
          <cell r="O831"/>
          <cell r="P831"/>
        </row>
        <row r="832">
          <cell r="O832"/>
          <cell r="P832"/>
        </row>
        <row r="833">
          <cell r="O833"/>
          <cell r="P833"/>
        </row>
        <row r="834">
          <cell r="O834"/>
          <cell r="P834"/>
        </row>
        <row r="835">
          <cell r="O835"/>
          <cell r="P835"/>
        </row>
        <row r="836">
          <cell r="O836"/>
          <cell r="P836"/>
        </row>
        <row r="837">
          <cell r="O837"/>
          <cell r="P837"/>
        </row>
        <row r="838">
          <cell r="O838"/>
          <cell r="P838"/>
        </row>
        <row r="839">
          <cell r="O839"/>
          <cell r="P839"/>
        </row>
        <row r="840">
          <cell r="O840"/>
          <cell r="P840"/>
        </row>
        <row r="841">
          <cell r="O841"/>
          <cell r="P841"/>
        </row>
        <row r="842">
          <cell r="O842"/>
          <cell r="P842"/>
        </row>
        <row r="843">
          <cell r="O843"/>
          <cell r="P843"/>
        </row>
        <row r="844">
          <cell r="O844"/>
          <cell r="P844"/>
        </row>
        <row r="845">
          <cell r="O845"/>
          <cell r="P845"/>
        </row>
        <row r="846">
          <cell r="O846"/>
          <cell r="P846"/>
        </row>
        <row r="847">
          <cell r="O847"/>
          <cell r="P847"/>
        </row>
        <row r="848">
          <cell r="O848"/>
          <cell r="P848"/>
        </row>
        <row r="849">
          <cell r="O849"/>
          <cell r="P849"/>
        </row>
        <row r="850">
          <cell r="O850"/>
          <cell r="P850"/>
        </row>
        <row r="851">
          <cell r="O851"/>
          <cell r="P851"/>
        </row>
        <row r="852">
          <cell r="O852"/>
          <cell r="P852"/>
        </row>
        <row r="853">
          <cell r="O853"/>
          <cell r="P853"/>
        </row>
        <row r="854">
          <cell r="O854"/>
          <cell r="P854"/>
        </row>
        <row r="855">
          <cell r="O855"/>
          <cell r="P855"/>
        </row>
        <row r="856">
          <cell r="O856"/>
          <cell r="P856"/>
        </row>
        <row r="857">
          <cell r="O857"/>
          <cell r="P857"/>
        </row>
        <row r="858">
          <cell r="O858"/>
          <cell r="P858"/>
        </row>
        <row r="859">
          <cell r="O859"/>
          <cell r="P859"/>
        </row>
        <row r="860">
          <cell r="O860"/>
          <cell r="P860"/>
        </row>
        <row r="861">
          <cell r="O861"/>
          <cell r="P861"/>
        </row>
        <row r="862">
          <cell r="O862"/>
          <cell r="P862"/>
        </row>
        <row r="863">
          <cell r="O863"/>
          <cell r="P863"/>
        </row>
        <row r="864">
          <cell r="O864"/>
          <cell r="P864"/>
        </row>
        <row r="865">
          <cell r="O865"/>
          <cell r="P865"/>
        </row>
        <row r="866">
          <cell r="O866"/>
          <cell r="P866"/>
        </row>
        <row r="867">
          <cell r="O867"/>
          <cell r="P867"/>
        </row>
        <row r="868">
          <cell r="O868"/>
          <cell r="P868"/>
        </row>
        <row r="869">
          <cell r="O869"/>
          <cell r="P869"/>
        </row>
        <row r="870">
          <cell r="O870"/>
          <cell r="P870"/>
        </row>
        <row r="871">
          <cell r="O871"/>
          <cell r="P871"/>
        </row>
        <row r="872">
          <cell r="O872"/>
          <cell r="P872"/>
        </row>
        <row r="873">
          <cell r="O873"/>
          <cell r="P873"/>
        </row>
        <row r="874">
          <cell r="O874"/>
          <cell r="P874"/>
        </row>
        <row r="875">
          <cell r="O875"/>
          <cell r="P875"/>
        </row>
        <row r="876">
          <cell r="O876"/>
          <cell r="P876"/>
        </row>
        <row r="877">
          <cell r="O877"/>
          <cell r="P877"/>
        </row>
        <row r="878">
          <cell r="O878"/>
          <cell r="P878"/>
        </row>
        <row r="879">
          <cell r="O879"/>
          <cell r="P879"/>
        </row>
        <row r="880">
          <cell r="O880"/>
          <cell r="P880"/>
        </row>
        <row r="881">
          <cell r="O881"/>
          <cell r="P881"/>
        </row>
        <row r="882">
          <cell r="O882"/>
          <cell r="P882"/>
        </row>
        <row r="883">
          <cell r="O883"/>
          <cell r="P883"/>
        </row>
        <row r="884">
          <cell r="O884"/>
          <cell r="P884"/>
        </row>
        <row r="885">
          <cell r="O885"/>
          <cell r="P885"/>
        </row>
        <row r="886">
          <cell r="O886"/>
          <cell r="P886"/>
        </row>
        <row r="887">
          <cell r="O887"/>
          <cell r="P887"/>
        </row>
        <row r="888">
          <cell r="O888"/>
          <cell r="P888"/>
        </row>
        <row r="889">
          <cell r="O889"/>
          <cell r="P889"/>
        </row>
        <row r="890">
          <cell r="O890"/>
          <cell r="P890"/>
        </row>
        <row r="891">
          <cell r="O891"/>
          <cell r="P891"/>
        </row>
        <row r="892">
          <cell r="O892"/>
          <cell r="P892"/>
        </row>
        <row r="893">
          <cell r="O893"/>
          <cell r="P893"/>
        </row>
        <row r="894">
          <cell r="O894"/>
          <cell r="P894"/>
        </row>
        <row r="895">
          <cell r="O895"/>
          <cell r="P895"/>
        </row>
        <row r="896">
          <cell r="O896"/>
          <cell r="P896"/>
        </row>
        <row r="897">
          <cell r="O897"/>
          <cell r="P897"/>
        </row>
        <row r="898">
          <cell r="O898"/>
          <cell r="P898"/>
        </row>
        <row r="899">
          <cell r="O899"/>
          <cell r="P899"/>
        </row>
        <row r="900">
          <cell r="O900"/>
          <cell r="P900"/>
        </row>
        <row r="901">
          <cell r="O901"/>
          <cell r="P901"/>
        </row>
        <row r="902">
          <cell r="O902"/>
          <cell r="P902"/>
        </row>
        <row r="903">
          <cell r="O903"/>
          <cell r="P903"/>
        </row>
        <row r="904">
          <cell r="O904"/>
          <cell r="P904"/>
        </row>
        <row r="905">
          <cell r="O905"/>
          <cell r="P905"/>
        </row>
        <row r="906">
          <cell r="O906"/>
          <cell r="P906"/>
        </row>
        <row r="907">
          <cell r="O907"/>
          <cell r="P907"/>
        </row>
        <row r="908">
          <cell r="O908"/>
          <cell r="P908"/>
        </row>
        <row r="909">
          <cell r="O909"/>
          <cell r="P909"/>
        </row>
        <row r="910">
          <cell r="O910"/>
          <cell r="P910"/>
        </row>
        <row r="911">
          <cell r="O911"/>
          <cell r="P911"/>
        </row>
        <row r="912">
          <cell r="O912"/>
          <cell r="P912"/>
        </row>
        <row r="913">
          <cell r="O913"/>
          <cell r="P913"/>
        </row>
        <row r="914">
          <cell r="O914"/>
          <cell r="P914"/>
        </row>
        <row r="915">
          <cell r="O915"/>
          <cell r="P915"/>
        </row>
        <row r="916">
          <cell r="O916"/>
          <cell r="P916"/>
        </row>
        <row r="917">
          <cell r="O917"/>
          <cell r="P917"/>
        </row>
        <row r="918">
          <cell r="O918"/>
          <cell r="P918"/>
        </row>
        <row r="919">
          <cell r="O919"/>
          <cell r="P919"/>
        </row>
        <row r="920">
          <cell r="O920"/>
          <cell r="P920"/>
        </row>
        <row r="921">
          <cell r="O921"/>
          <cell r="P921"/>
        </row>
        <row r="922">
          <cell r="O922"/>
          <cell r="P922"/>
        </row>
        <row r="923">
          <cell r="O923"/>
          <cell r="P923"/>
        </row>
        <row r="924">
          <cell r="O924"/>
          <cell r="P924"/>
        </row>
        <row r="925">
          <cell r="O925"/>
          <cell r="P925"/>
        </row>
        <row r="926">
          <cell r="O926"/>
          <cell r="P926"/>
        </row>
        <row r="927">
          <cell r="O927"/>
          <cell r="P927"/>
        </row>
        <row r="928">
          <cell r="O928"/>
          <cell r="P928"/>
        </row>
        <row r="929">
          <cell r="O929"/>
          <cell r="P929"/>
        </row>
        <row r="930">
          <cell r="O930"/>
          <cell r="P930"/>
        </row>
        <row r="931">
          <cell r="O931"/>
          <cell r="P931"/>
        </row>
        <row r="932">
          <cell r="O932"/>
          <cell r="P932"/>
        </row>
        <row r="933">
          <cell r="O933"/>
          <cell r="P933"/>
        </row>
        <row r="934">
          <cell r="O934"/>
          <cell r="P934"/>
        </row>
        <row r="935">
          <cell r="O935"/>
          <cell r="P935"/>
        </row>
        <row r="936">
          <cell r="O936"/>
          <cell r="P936"/>
        </row>
        <row r="937">
          <cell r="O937"/>
          <cell r="P937"/>
        </row>
        <row r="938">
          <cell r="O938"/>
          <cell r="P938"/>
        </row>
        <row r="939">
          <cell r="O939"/>
          <cell r="P939"/>
        </row>
        <row r="940">
          <cell r="O940"/>
          <cell r="P940"/>
        </row>
        <row r="941">
          <cell r="O941"/>
          <cell r="P941"/>
        </row>
        <row r="942">
          <cell r="O942"/>
          <cell r="P942"/>
        </row>
        <row r="943">
          <cell r="O943"/>
          <cell r="P943"/>
        </row>
        <row r="944">
          <cell r="O944"/>
          <cell r="P944"/>
        </row>
        <row r="945">
          <cell r="O945"/>
          <cell r="P945"/>
        </row>
        <row r="946">
          <cell r="O946"/>
          <cell r="P946"/>
        </row>
        <row r="947">
          <cell r="O947"/>
          <cell r="P947"/>
        </row>
        <row r="948">
          <cell r="O948"/>
          <cell r="P948"/>
        </row>
        <row r="949">
          <cell r="O949"/>
          <cell r="P949"/>
        </row>
        <row r="950">
          <cell r="O950"/>
          <cell r="P950"/>
        </row>
        <row r="951">
          <cell r="O951"/>
          <cell r="P951"/>
        </row>
        <row r="952">
          <cell r="O952"/>
          <cell r="P952"/>
        </row>
        <row r="953">
          <cell r="O953"/>
          <cell r="P953"/>
        </row>
        <row r="954">
          <cell r="O954"/>
          <cell r="P954"/>
        </row>
        <row r="955">
          <cell r="O955"/>
          <cell r="P955"/>
        </row>
        <row r="956">
          <cell r="O956"/>
          <cell r="P956"/>
        </row>
        <row r="957">
          <cell r="O957"/>
          <cell r="P957"/>
        </row>
        <row r="958">
          <cell r="O958"/>
          <cell r="P958"/>
        </row>
        <row r="959">
          <cell r="O959"/>
          <cell r="P959"/>
        </row>
        <row r="960">
          <cell r="O960"/>
          <cell r="P960"/>
        </row>
        <row r="961">
          <cell r="O961"/>
          <cell r="P961"/>
        </row>
        <row r="962">
          <cell r="O962"/>
          <cell r="P962"/>
        </row>
        <row r="963">
          <cell r="O963"/>
          <cell r="P963"/>
        </row>
        <row r="964">
          <cell r="O964"/>
          <cell r="P964"/>
        </row>
        <row r="965">
          <cell r="O965"/>
          <cell r="P965"/>
        </row>
        <row r="966">
          <cell r="O966"/>
          <cell r="P966"/>
        </row>
        <row r="967">
          <cell r="O967"/>
          <cell r="P967"/>
        </row>
        <row r="968">
          <cell r="O968"/>
          <cell r="P968"/>
        </row>
        <row r="969">
          <cell r="O969"/>
          <cell r="P969"/>
        </row>
        <row r="970">
          <cell r="O970"/>
          <cell r="P970"/>
        </row>
        <row r="971">
          <cell r="O971"/>
          <cell r="P971"/>
        </row>
        <row r="972">
          <cell r="O972"/>
          <cell r="P972"/>
        </row>
        <row r="973">
          <cell r="O973"/>
          <cell r="P973"/>
        </row>
        <row r="974">
          <cell r="O974"/>
          <cell r="P974"/>
        </row>
        <row r="975">
          <cell r="O975"/>
          <cell r="P975"/>
        </row>
        <row r="976">
          <cell r="O976"/>
          <cell r="P976"/>
        </row>
        <row r="977">
          <cell r="O977"/>
          <cell r="P977"/>
        </row>
        <row r="978">
          <cell r="O978"/>
          <cell r="P978"/>
        </row>
        <row r="979">
          <cell r="O979"/>
          <cell r="P979"/>
        </row>
        <row r="980">
          <cell r="O980"/>
          <cell r="P980"/>
        </row>
        <row r="981">
          <cell r="O981"/>
          <cell r="P981"/>
        </row>
        <row r="982">
          <cell r="O982"/>
          <cell r="P982"/>
        </row>
        <row r="983">
          <cell r="O983"/>
          <cell r="P983"/>
        </row>
        <row r="984">
          <cell r="O984"/>
          <cell r="P984"/>
        </row>
        <row r="985">
          <cell r="O985"/>
          <cell r="P985"/>
        </row>
        <row r="986">
          <cell r="O986"/>
          <cell r="P986"/>
        </row>
        <row r="987">
          <cell r="O987"/>
          <cell r="P987"/>
        </row>
        <row r="988">
          <cell r="O988"/>
          <cell r="P988"/>
        </row>
        <row r="989">
          <cell r="O989"/>
          <cell r="P989"/>
        </row>
        <row r="990">
          <cell r="O990"/>
          <cell r="P990"/>
        </row>
        <row r="991">
          <cell r="O991"/>
          <cell r="P991"/>
        </row>
        <row r="992">
          <cell r="O992"/>
          <cell r="P992"/>
        </row>
        <row r="993">
          <cell r="O993"/>
          <cell r="P993"/>
        </row>
        <row r="994">
          <cell r="O994"/>
          <cell r="P994"/>
        </row>
        <row r="995">
          <cell r="O995"/>
          <cell r="P995"/>
        </row>
        <row r="996">
          <cell r="O996"/>
          <cell r="P996"/>
        </row>
        <row r="997">
          <cell r="O997"/>
          <cell r="P997"/>
        </row>
        <row r="998">
          <cell r="O998"/>
          <cell r="P998"/>
        </row>
        <row r="999">
          <cell r="O999"/>
          <cell r="P999"/>
        </row>
        <row r="1000">
          <cell r="O1000"/>
          <cell r="P1000"/>
        </row>
        <row r="1001">
          <cell r="O1001"/>
          <cell r="P1001"/>
        </row>
        <row r="1002">
          <cell r="O1002"/>
          <cell r="P1002"/>
        </row>
        <row r="1003">
          <cell r="O1003"/>
          <cell r="P1003"/>
        </row>
        <row r="1004">
          <cell r="O1004"/>
          <cell r="P1004"/>
        </row>
        <row r="1005">
          <cell r="O1005"/>
          <cell r="P1005"/>
        </row>
        <row r="1006">
          <cell r="O1006"/>
          <cell r="P1006"/>
        </row>
        <row r="1007">
          <cell r="O1007"/>
          <cell r="P1007"/>
        </row>
        <row r="1008">
          <cell r="O1008"/>
          <cell r="P1008"/>
        </row>
        <row r="1009">
          <cell r="O1009"/>
          <cell r="P1009"/>
        </row>
        <row r="1010">
          <cell r="O1010"/>
          <cell r="P1010"/>
        </row>
        <row r="1011">
          <cell r="O1011"/>
          <cell r="P1011"/>
        </row>
        <row r="1012">
          <cell r="O1012"/>
          <cell r="P1012"/>
        </row>
        <row r="1013">
          <cell r="O1013"/>
          <cell r="P1013"/>
        </row>
        <row r="1014">
          <cell r="O1014"/>
          <cell r="P1014"/>
        </row>
        <row r="1015">
          <cell r="O1015"/>
          <cell r="P1015"/>
        </row>
        <row r="1016">
          <cell r="O1016"/>
          <cell r="P1016"/>
        </row>
        <row r="1017">
          <cell r="O1017"/>
          <cell r="P1017"/>
        </row>
        <row r="1018">
          <cell r="O1018"/>
          <cell r="P1018"/>
        </row>
        <row r="1019">
          <cell r="O1019"/>
          <cell r="P1019"/>
        </row>
        <row r="1020">
          <cell r="O1020"/>
          <cell r="P1020"/>
        </row>
        <row r="1021">
          <cell r="O1021"/>
          <cell r="P1021"/>
        </row>
        <row r="1022">
          <cell r="O1022"/>
          <cell r="P1022"/>
        </row>
        <row r="1023">
          <cell r="O1023"/>
          <cell r="P1023"/>
        </row>
        <row r="1024">
          <cell r="O1024"/>
          <cell r="P1024"/>
        </row>
        <row r="1025">
          <cell r="O1025"/>
          <cell r="P1025"/>
        </row>
        <row r="1026">
          <cell r="O1026"/>
          <cell r="P1026"/>
        </row>
        <row r="1027">
          <cell r="O1027"/>
          <cell r="P1027"/>
        </row>
        <row r="1028">
          <cell r="O1028"/>
          <cell r="P1028"/>
        </row>
        <row r="1029">
          <cell r="O1029"/>
          <cell r="P1029"/>
        </row>
        <row r="1030">
          <cell r="O1030"/>
          <cell r="P1030"/>
        </row>
        <row r="1031">
          <cell r="O1031"/>
          <cell r="P1031"/>
        </row>
        <row r="1032">
          <cell r="O1032"/>
          <cell r="P1032"/>
        </row>
        <row r="1033">
          <cell r="O1033"/>
          <cell r="P1033"/>
        </row>
        <row r="1034">
          <cell r="O1034"/>
          <cell r="P1034"/>
        </row>
        <row r="1035">
          <cell r="O1035"/>
          <cell r="P1035"/>
        </row>
        <row r="1036">
          <cell r="O1036"/>
          <cell r="P1036"/>
        </row>
        <row r="1037">
          <cell r="O1037"/>
          <cell r="P1037"/>
        </row>
        <row r="1038">
          <cell r="O1038"/>
          <cell r="P1038"/>
        </row>
        <row r="1039">
          <cell r="O1039"/>
          <cell r="P1039"/>
        </row>
        <row r="1040">
          <cell r="O1040"/>
          <cell r="P1040"/>
        </row>
        <row r="1041">
          <cell r="O1041"/>
          <cell r="P1041"/>
        </row>
        <row r="1042">
          <cell r="O1042"/>
          <cell r="P1042"/>
        </row>
        <row r="1043">
          <cell r="O1043"/>
          <cell r="P1043"/>
        </row>
        <row r="1044">
          <cell r="O1044"/>
          <cell r="P1044"/>
        </row>
        <row r="1045">
          <cell r="O1045"/>
          <cell r="P1045"/>
        </row>
        <row r="1046">
          <cell r="O1046"/>
          <cell r="P1046"/>
        </row>
        <row r="1047">
          <cell r="O1047"/>
          <cell r="P1047"/>
        </row>
        <row r="1048">
          <cell r="O1048"/>
          <cell r="P1048"/>
        </row>
        <row r="1049">
          <cell r="O1049"/>
          <cell r="P1049"/>
        </row>
        <row r="1050">
          <cell r="O1050"/>
          <cell r="P1050"/>
        </row>
        <row r="1051">
          <cell r="O1051"/>
          <cell r="P1051"/>
        </row>
        <row r="1052">
          <cell r="O1052"/>
          <cell r="P1052"/>
        </row>
        <row r="1053">
          <cell r="O1053"/>
          <cell r="P1053"/>
        </row>
        <row r="1054">
          <cell r="O1054"/>
          <cell r="P1054"/>
        </row>
        <row r="1055">
          <cell r="O1055"/>
          <cell r="P1055"/>
        </row>
        <row r="1056">
          <cell r="O1056"/>
          <cell r="P1056"/>
        </row>
        <row r="1057">
          <cell r="O1057"/>
          <cell r="P1057"/>
        </row>
        <row r="1058">
          <cell r="O1058"/>
          <cell r="P1058"/>
        </row>
        <row r="1059">
          <cell r="O1059"/>
          <cell r="P1059"/>
        </row>
        <row r="1060">
          <cell r="O1060"/>
          <cell r="P1060"/>
        </row>
        <row r="1061">
          <cell r="O1061"/>
          <cell r="P1061"/>
        </row>
        <row r="1062">
          <cell r="O1062"/>
          <cell r="P1062"/>
        </row>
        <row r="1063">
          <cell r="O1063"/>
          <cell r="P1063"/>
        </row>
        <row r="1064">
          <cell r="O1064"/>
          <cell r="P1064"/>
        </row>
        <row r="1065">
          <cell r="O1065"/>
          <cell r="P1065"/>
        </row>
        <row r="1066">
          <cell r="O1066"/>
          <cell r="P1066"/>
        </row>
        <row r="1067">
          <cell r="O1067"/>
          <cell r="P1067"/>
        </row>
        <row r="1068">
          <cell r="O1068"/>
          <cell r="P1068"/>
        </row>
        <row r="1069">
          <cell r="O1069"/>
          <cell r="P1069"/>
        </row>
        <row r="1070">
          <cell r="O1070"/>
          <cell r="P1070"/>
        </row>
        <row r="1071">
          <cell r="O1071"/>
          <cell r="P1071"/>
        </row>
        <row r="1072">
          <cell r="O1072"/>
          <cell r="P1072"/>
        </row>
        <row r="1073">
          <cell r="O1073"/>
          <cell r="P1073"/>
        </row>
        <row r="1074">
          <cell r="O1074"/>
          <cell r="P1074"/>
        </row>
        <row r="1075">
          <cell r="O1075"/>
          <cell r="P1075"/>
        </row>
        <row r="1076">
          <cell r="O1076"/>
          <cell r="P1076"/>
        </row>
        <row r="1077">
          <cell r="O1077"/>
          <cell r="P1077"/>
        </row>
        <row r="1078">
          <cell r="O1078"/>
          <cell r="P1078"/>
        </row>
        <row r="1079">
          <cell r="O1079"/>
          <cell r="P1079"/>
        </row>
        <row r="1080">
          <cell r="O1080"/>
          <cell r="P1080"/>
        </row>
        <row r="1081">
          <cell r="O1081"/>
          <cell r="P1081"/>
        </row>
        <row r="1082">
          <cell r="O1082"/>
          <cell r="P1082"/>
        </row>
        <row r="1083">
          <cell r="O1083"/>
          <cell r="P1083"/>
        </row>
        <row r="1084">
          <cell r="O1084"/>
          <cell r="P1084"/>
        </row>
        <row r="1085">
          <cell r="O1085"/>
          <cell r="P1085"/>
        </row>
        <row r="1086">
          <cell r="O1086"/>
          <cell r="P1086"/>
        </row>
        <row r="1087">
          <cell r="O1087"/>
          <cell r="P1087"/>
        </row>
        <row r="1088">
          <cell r="O1088"/>
          <cell r="P1088"/>
        </row>
        <row r="1089">
          <cell r="O1089"/>
          <cell r="P1089"/>
        </row>
        <row r="1090">
          <cell r="O1090"/>
          <cell r="P1090"/>
        </row>
        <row r="1091">
          <cell r="O1091"/>
          <cell r="P1091"/>
        </row>
        <row r="1092">
          <cell r="O1092"/>
          <cell r="P1092"/>
        </row>
        <row r="1093">
          <cell r="O1093"/>
          <cell r="P1093"/>
        </row>
        <row r="1094">
          <cell r="O1094"/>
          <cell r="P1094"/>
        </row>
        <row r="1095">
          <cell r="O1095"/>
          <cell r="P1095"/>
        </row>
        <row r="1096">
          <cell r="O1096"/>
          <cell r="P1096"/>
        </row>
        <row r="1097">
          <cell r="O1097"/>
          <cell r="P1097"/>
        </row>
        <row r="1098">
          <cell r="O1098"/>
          <cell r="P1098"/>
        </row>
        <row r="1099">
          <cell r="O1099"/>
          <cell r="P1099"/>
        </row>
        <row r="1100">
          <cell r="O1100"/>
          <cell r="P1100"/>
        </row>
        <row r="1101">
          <cell r="O1101"/>
          <cell r="P1101"/>
        </row>
        <row r="1102">
          <cell r="O1102"/>
          <cell r="P1102"/>
        </row>
        <row r="1103">
          <cell r="O1103"/>
          <cell r="P1103"/>
        </row>
        <row r="1104">
          <cell r="O1104"/>
          <cell r="P1104"/>
        </row>
        <row r="1105">
          <cell r="O1105"/>
          <cell r="P1105"/>
        </row>
        <row r="1106">
          <cell r="O1106"/>
          <cell r="P1106"/>
        </row>
        <row r="1107">
          <cell r="O1107"/>
          <cell r="P1107"/>
        </row>
        <row r="1108">
          <cell r="O1108"/>
          <cell r="P1108"/>
        </row>
        <row r="1109">
          <cell r="O1109"/>
          <cell r="P1109"/>
        </row>
        <row r="1110">
          <cell r="O1110"/>
          <cell r="P1110"/>
        </row>
        <row r="1111">
          <cell r="O1111"/>
          <cell r="P1111"/>
        </row>
        <row r="1112">
          <cell r="O1112"/>
          <cell r="P1112"/>
        </row>
        <row r="1113">
          <cell r="O1113"/>
          <cell r="P1113"/>
        </row>
        <row r="1114">
          <cell r="O1114"/>
          <cell r="P1114"/>
        </row>
        <row r="1115">
          <cell r="O1115"/>
          <cell r="P1115"/>
        </row>
        <row r="1116">
          <cell r="O1116"/>
          <cell r="P1116"/>
        </row>
        <row r="1117">
          <cell r="O1117"/>
          <cell r="P1117"/>
        </row>
        <row r="1118">
          <cell r="O1118"/>
          <cell r="P1118"/>
        </row>
        <row r="1119">
          <cell r="O1119"/>
          <cell r="P1119"/>
        </row>
        <row r="1120">
          <cell r="O1120"/>
          <cell r="P1120"/>
        </row>
        <row r="1121">
          <cell r="O1121"/>
          <cell r="P1121"/>
        </row>
        <row r="1122">
          <cell r="O1122"/>
          <cell r="P1122"/>
        </row>
        <row r="1123">
          <cell r="O1123"/>
          <cell r="P1123"/>
        </row>
        <row r="1124">
          <cell r="O1124"/>
          <cell r="P1124"/>
        </row>
        <row r="1125">
          <cell r="O1125"/>
          <cell r="P1125"/>
        </row>
        <row r="1126">
          <cell r="O1126"/>
          <cell r="P1126"/>
        </row>
        <row r="1127">
          <cell r="O1127"/>
          <cell r="P1127"/>
        </row>
        <row r="1128">
          <cell r="O1128"/>
          <cell r="P1128"/>
        </row>
        <row r="1129">
          <cell r="O1129"/>
          <cell r="P1129"/>
        </row>
        <row r="1130">
          <cell r="O1130"/>
          <cell r="P1130"/>
        </row>
        <row r="1131">
          <cell r="O1131"/>
          <cell r="P1131"/>
        </row>
        <row r="1132">
          <cell r="O1132"/>
          <cell r="P1132"/>
        </row>
        <row r="1133">
          <cell r="O1133"/>
          <cell r="P1133"/>
        </row>
        <row r="1134">
          <cell r="O1134"/>
          <cell r="P1134"/>
        </row>
        <row r="1135">
          <cell r="O1135"/>
          <cell r="P1135"/>
        </row>
        <row r="1136">
          <cell r="O1136"/>
          <cell r="P1136"/>
        </row>
        <row r="1137">
          <cell r="O1137"/>
          <cell r="P1137"/>
        </row>
        <row r="1138">
          <cell r="O1138"/>
          <cell r="P1138"/>
        </row>
        <row r="1139">
          <cell r="O1139"/>
          <cell r="P1139"/>
        </row>
        <row r="1140">
          <cell r="O1140"/>
          <cell r="P1140"/>
        </row>
        <row r="1141">
          <cell r="O1141"/>
          <cell r="P1141"/>
        </row>
        <row r="1142">
          <cell r="O1142"/>
          <cell r="P1142"/>
        </row>
        <row r="1143">
          <cell r="O1143"/>
          <cell r="P1143"/>
        </row>
        <row r="1144">
          <cell r="O1144"/>
          <cell r="P1144"/>
        </row>
        <row r="1145">
          <cell r="O1145"/>
          <cell r="P1145"/>
        </row>
        <row r="1146">
          <cell r="O1146"/>
          <cell r="P1146"/>
        </row>
        <row r="1147">
          <cell r="O1147"/>
          <cell r="P1147"/>
        </row>
        <row r="1148">
          <cell r="O1148"/>
          <cell r="P1148"/>
        </row>
        <row r="1149">
          <cell r="O1149"/>
          <cell r="P1149"/>
        </row>
        <row r="1150">
          <cell r="O1150"/>
          <cell r="P1150"/>
        </row>
        <row r="1151">
          <cell r="O1151"/>
          <cell r="P1151"/>
        </row>
        <row r="1152">
          <cell r="O1152"/>
          <cell r="P1152"/>
        </row>
        <row r="1153">
          <cell r="O1153"/>
          <cell r="P1153"/>
        </row>
        <row r="1154">
          <cell r="O1154"/>
          <cell r="P1154"/>
        </row>
        <row r="1155">
          <cell r="O1155"/>
          <cell r="P1155"/>
        </row>
        <row r="1156">
          <cell r="O1156"/>
          <cell r="P1156"/>
        </row>
        <row r="1157">
          <cell r="O1157"/>
          <cell r="P1157"/>
        </row>
        <row r="1158">
          <cell r="O1158"/>
          <cell r="P1158"/>
        </row>
        <row r="1159">
          <cell r="O1159"/>
          <cell r="P1159"/>
        </row>
        <row r="1160">
          <cell r="O1160"/>
          <cell r="P1160"/>
        </row>
        <row r="1161">
          <cell r="O1161"/>
          <cell r="P1161"/>
        </row>
        <row r="1162">
          <cell r="O1162"/>
          <cell r="P1162"/>
        </row>
        <row r="1163">
          <cell r="O1163"/>
          <cell r="P1163"/>
        </row>
        <row r="1164">
          <cell r="O1164"/>
          <cell r="P1164"/>
        </row>
        <row r="1165">
          <cell r="O1165"/>
          <cell r="P1165"/>
        </row>
        <row r="1166">
          <cell r="O1166"/>
          <cell r="P1166"/>
        </row>
        <row r="1167">
          <cell r="O1167"/>
          <cell r="P1167"/>
        </row>
        <row r="1168">
          <cell r="O1168"/>
          <cell r="P1168"/>
        </row>
        <row r="1169">
          <cell r="O1169"/>
          <cell r="P1169"/>
        </row>
        <row r="1170">
          <cell r="O1170"/>
          <cell r="P1170"/>
        </row>
        <row r="1171">
          <cell r="O1171"/>
          <cell r="P1171"/>
        </row>
        <row r="1172">
          <cell r="O1172"/>
          <cell r="P1172"/>
        </row>
        <row r="1173">
          <cell r="O1173"/>
          <cell r="P1173"/>
        </row>
        <row r="1174">
          <cell r="O1174"/>
          <cell r="P1174"/>
        </row>
        <row r="1175">
          <cell r="O1175"/>
          <cell r="P1175"/>
        </row>
        <row r="1176">
          <cell r="O1176"/>
          <cell r="P1176"/>
        </row>
        <row r="1177">
          <cell r="O1177"/>
          <cell r="P1177"/>
        </row>
        <row r="1178">
          <cell r="O1178"/>
          <cell r="P1178"/>
        </row>
        <row r="1179">
          <cell r="O1179"/>
          <cell r="P1179"/>
        </row>
        <row r="1180">
          <cell r="O1180"/>
          <cell r="P1180"/>
        </row>
        <row r="1181">
          <cell r="O1181"/>
          <cell r="P1181"/>
        </row>
        <row r="1182">
          <cell r="O1182"/>
          <cell r="P1182"/>
        </row>
        <row r="1183">
          <cell r="O1183"/>
          <cell r="P1183"/>
        </row>
        <row r="1184">
          <cell r="O1184"/>
          <cell r="P1184"/>
        </row>
        <row r="1185">
          <cell r="O1185"/>
          <cell r="P1185"/>
        </row>
        <row r="1186">
          <cell r="O1186"/>
          <cell r="P1186"/>
        </row>
        <row r="1187">
          <cell r="O1187"/>
          <cell r="P1187"/>
        </row>
        <row r="1188">
          <cell r="O1188"/>
          <cell r="P1188"/>
        </row>
        <row r="1189">
          <cell r="O1189"/>
          <cell r="P1189"/>
        </row>
        <row r="1190">
          <cell r="O1190"/>
          <cell r="P1190"/>
        </row>
        <row r="1191">
          <cell r="O1191"/>
          <cell r="P1191"/>
        </row>
        <row r="1192">
          <cell r="O1192"/>
          <cell r="P1192"/>
        </row>
        <row r="1193">
          <cell r="O1193"/>
          <cell r="P1193"/>
        </row>
        <row r="1194">
          <cell r="O1194"/>
          <cell r="P1194"/>
        </row>
        <row r="1195">
          <cell r="O1195"/>
          <cell r="P1195"/>
        </row>
        <row r="1196">
          <cell r="O1196"/>
          <cell r="P1196"/>
        </row>
        <row r="1197">
          <cell r="O1197"/>
          <cell r="P1197"/>
        </row>
        <row r="1198">
          <cell r="O1198"/>
          <cell r="P1198"/>
        </row>
        <row r="1199">
          <cell r="O1199"/>
          <cell r="P1199"/>
        </row>
        <row r="1200">
          <cell r="O1200"/>
          <cell r="P1200"/>
        </row>
        <row r="1201">
          <cell r="O1201"/>
          <cell r="P1201"/>
        </row>
        <row r="1202">
          <cell r="O1202"/>
          <cell r="P1202"/>
        </row>
        <row r="1203">
          <cell r="O1203"/>
          <cell r="P1203"/>
        </row>
        <row r="1204">
          <cell r="O1204"/>
          <cell r="P1204"/>
        </row>
        <row r="1205">
          <cell r="O1205"/>
          <cell r="P1205"/>
        </row>
        <row r="1206">
          <cell r="O1206"/>
          <cell r="P1206"/>
        </row>
        <row r="1207">
          <cell r="O1207"/>
          <cell r="P1207"/>
        </row>
        <row r="1208">
          <cell r="O1208"/>
          <cell r="P1208"/>
        </row>
        <row r="1209">
          <cell r="O1209"/>
          <cell r="P1209"/>
        </row>
        <row r="1210">
          <cell r="O1210"/>
          <cell r="P1210"/>
        </row>
        <row r="1211">
          <cell r="O1211"/>
          <cell r="P1211"/>
        </row>
        <row r="1212">
          <cell r="O1212"/>
          <cell r="P1212"/>
        </row>
        <row r="1213">
          <cell r="O1213"/>
          <cell r="P1213"/>
        </row>
        <row r="1214">
          <cell r="O1214"/>
          <cell r="P1214"/>
        </row>
        <row r="1215">
          <cell r="O1215"/>
          <cell r="P1215"/>
        </row>
        <row r="1216">
          <cell r="O1216"/>
          <cell r="P1216"/>
        </row>
        <row r="1217">
          <cell r="O1217"/>
          <cell r="P1217"/>
        </row>
        <row r="1218">
          <cell r="O1218"/>
          <cell r="P1218"/>
        </row>
        <row r="1219">
          <cell r="O1219"/>
          <cell r="P1219"/>
        </row>
        <row r="1220">
          <cell r="O1220"/>
          <cell r="P1220"/>
        </row>
        <row r="1221">
          <cell r="O1221"/>
          <cell r="P1221"/>
        </row>
        <row r="1222">
          <cell r="O1222"/>
          <cell r="P1222"/>
        </row>
        <row r="1223">
          <cell r="O1223"/>
          <cell r="P1223"/>
        </row>
        <row r="1224">
          <cell r="O1224"/>
          <cell r="P1224"/>
        </row>
        <row r="1225">
          <cell r="O1225"/>
          <cell r="P1225"/>
        </row>
        <row r="1226">
          <cell r="O1226"/>
          <cell r="P1226"/>
        </row>
        <row r="1227">
          <cell r="O1227"/>
          <cell r="P1227"/>
        </row>
        <row r="1228">
          <cell r="O1228"/>
          <cell r="P1228"/>
        </row>
        <row r="1229">
          <cell r="O1229"/>
          <cell r="P1229"/>
        </row>
        <row r="1230">
          <cell r="O1230"/>
          <cell r="P1230"/>
        </row>
        <row r="1231">
          <cell r="O1231"/>
          <cell r="P1231"/>
        </row>
        <row r="1232">
          <cell r="O1232"/>
          <cell r="P1232"/>
        </row>
        <row r="1233">
          <cell r="O1233"/>
          <cell r="P1233"/>
        </row>
        <row r="1234">
          <cell r="O1234"/>
          <cell r="P1234"/>
        </row>
        <row r="1235">
          <cell r="O1235"/>
          <cell r="P1235"/>
        </row>
        <row r="1236">
          <cell r="O1236"/>
          <cell r="P1236"/>
        </row>
        <row r="1237">
          <cell r="O1237"/>
          <cell r="P1237"/>
        </row>
        <row r="1238">
          <cell r="O1238"/>
          <cell r="P1238"/>
        </row>
        <row r="1239">
          <cell r="O1239"/>
          <cell r="P1239"/>
        </row>
        <row r="1240">
          <cell r="O1240"/>
          <cell r="P1240"/>
        </row>
        <row r="1241">
          <cell r="O1241"/>
          <cell r="P1241"/>
        </row>
        <row r="1242">
          <cell r="O1242"/>
          <cell r="P1242"/>
        </row>
        <row r="1243">
          <cell r="O1243"/>
          <cell r="P1243"/>
        </row>
        <row r="1244">
          <cell r="O1244"/>
          <cell r="P1244"/>
        </row>
        <row r="1245">
          <cell r="O1245"/>
          <cell r="P1245"/>
        </row>
        <row r="1246">
          <cell r="O1246"/>
          <cell r="P1246"/>
        </row>
        <row r="1247">
          <cell r="O1247"/>
          <cell r="P1247"/>
        </row>
        <row r="1248">
          <cell r="O1248"/>
          <cell r="P1248"/>
        </row>
        <row r="1249">
          <cell r="O1249"/>
          <cell r="P1249"/>
        </row>
        <row r="1250">
          <cell r="O1250"/>
          <cell r="P1250"/>
        </row>
        <row r="1251">
          <cell r="O1251"/>
          <cell r="P1251"/>
        </row>
        <row r="1252">
          <cell r="O1252"/>
          <cell r="P1252"/>
        </row>
        <row r="1253">
          <cell r="O1253"/>
          <cell r="P1253"/>
        </row>
        <row r="1254">
          <cell r="O1254"/>
          <cell r="P1254"/>
        </row>
        <row r="1255">
          <cell r="O1255"/>
          <cell r="P1255"/>
        </row>
        <row r="1256">
          <cell r="O1256"/>
          <cell r="P1256"/>
        </row>
        <row r="1257">
          <cell r="O1257"/>
          <cell r="P1257"/>
        </row>
        <row r="1258">
          <cell r="O1258"/>
          <cell r="P1258"/>
        </row>
        <row r="1259">
          <cell r="O1259"/>
          <cell r="P1259"/>
        </row>
        <row r="1260">
          <cell r="O1260"/>
          <cell r="P1260"/>
        </row>
        <row r="1261">
          <cell r="O1261"/>
          <cell r="P1261"/>
        </row>
        <row r="1262">
          <cell r="O1262"/>
          <cell r="P1262"/>
        </row>
        <row r="1263">
          <cell r="O1263"/>
          <cell r="P1263"/>
        </row>
        <row r="1264">
          <cell r="O1264"/>
          <cell r="P1264"/>
        </row>
        <row r="1265">
          <cell r="O1265"/>
          <cell r="P1265"/>
        </row>
        <row r="1266">
          <cell r="O1266"/>
          <cell r="P1266"/>
        </row>
        <row r="1267">
          <cell r="O1267"/>
          <cell r="P1267"/>
        </row>
        <row r="1268">
          <cell r="O1268"/>
          <cell r="P1268"/>
        </row>
        <row r="1269">
          <cell r="O1269"/>
          <cell r="P1269"/>
        </row>
        <row r="1270">
          <cell r="O1270"/>
          <cell r="P1270"/>
        </row>
        <row r="1271">
          <cell r="O1271"/>
          <cell r="P1271"/>
        </row>
        <row r="1272">
          <cell r="O1272"/>
          <cell r="P1272"/>
        </row>
        <row r="1273">
          <cell r="O1273"/>
          <cell r="P1273"/>
        </row>
        <row r="1274">
          <cell r="O1274"/>
          <cell r="P1274"/>
        </row>
        <row r="1275">
          <cell r="O1275"/>
          <cell r="P1275"/>
        </row>
        <row r="1276">
          <cell r="O1276"/>
          <cell r="P1276"/>
        </row>
        <row r="1277">
          <cell r="O1277"/>
          <cell r="P1277"/>
        </row>
        <row r="1278">
          <cell r="O1278"/>
          <cell r="P1278"/>
        </row>
        <row r="1279">
          <cell r="O1279"/>
          <cell r="P1279"/>
        </row>
        <row r="1280">
          <cell r="O1280"/>
          <cell r="P1280"/>
        </row>
        <row r="1281">
          <cell r="O1281"/>
          <cell r="P1281"/>
        </row>
        <row r="1282">
          <cell r="O1282"/>
          <cell r="P1282"/>
        </row>
        <row r="1283">
          <cell r="O1283"/>
          <cell r="P1283"/>
        </row>
        <row r="1284">
          <cell r="O1284"/>
          <cell r="P1284"/>
        </row>
        <row r="1285">
          <cell r="O1285"/>
          <cell r="P1285"/>
        </row>
        <row r="1286">
          <cell r="O1286"/>
          <cell r="P1286"/>
        </row>
        <row r="1287">
          <cell r="O1287"/>
          <cell r="P1287"/>
        </row>
        <row r="1288">
          <cell r="O1288"/>
          <cell r="P1288"/>
        </row>
        <row r="1289">
          <cell r="O1289"/>
          <cell r="P1289"/>
        </row>
        <row r="1290">
          <cell r="O1290"/>
          <cell r="P1290"/>
        </row>
        <row r="1291">
          <cell r="O1291"/>
          <cell r="P1291"/>
        </row>
        <row r="1292">
          <cell r="O1292"/>
          <cell r="P1292"/>
        </row>
        <row r="1293">
          <cell r="O1293"/>
          <cell r="P1293"/>
        </row>
        <row r="1294">
          <cell r="O1294"/>
          <cell r="P1294"/>
        </row>
        <row r="1295">
          <cell r="O1295"/>
          <cell r="P1295"/>
        </row>
        <row r="1296">
          <cell r="O1296"/>
          <cell r="P1296"/>
        </row>
        <row r="1297">
          <cell r="O1297"/>
          <cell r="P1297"/>
        </row>
        <row r="1298">
          <cell r="O1298"/>
          <cell r="P1298"/>
        </row>
        <row r="1299">
          <cell r="O1299"/>
          <cell r="P1299"/>
        </row>
        <row r="1300">
          <cell r="O1300"/>
          <cell r="P1300"/>
        </row>
        <row r="1301">
          <cell r="O1301"/>
          <cell r="P1301"/>
        </row>
        <row r="1302">
          <cell r="O1302"/>
          <cell r="P1302"/>
        </row>
        <row r="1303">
          <cell r="O1303"/>
          <cell r="P1303"/>
        </row>
        <row r="1304">
          <cell r="O1304"/>
          <cell r="P1304"/>
        </row>
        <row r="1305">
          <cell r="O1305"/>
          <cell r="P1305"/>
        </row>
        <row r="1306">
          <cell r="O1306"/>
          <cell r="P1306"/>
        </row>
        <row r="1307">
          <cell r="O1307"/>
          <cell r="P1307"/>
        </row>
        <row r="1308">
          <cell r="O1308"/>
          <cell r="P1308"/>
        </row>
        <row r="1309">
          <cell r="O1309"/>
          <cell r="P1309"/>
        </row>
        <row r="1310">
          <cell r="O1310"/>
          <cell r="P1310"/>
        </row>
        <row r="1311">
          <cell r="O1311"/>
          <cell r="P1311"/>
        </row>
        <row r="1312">
          <cell r="O1312"/>
          <cell r="P1312"/>
        </row>
        <row r="1313">
          <cell r="O1313"/>
          <cell r="P1313"/>
        </row>
        <row r="1314">
          <cell r="O1314"/>
          <cell r="P1314"/>
        </row>
        <row r="1315">
          <cell r="O1315"/>
          <cell r="P1315"/>
        </row>
        <row r="1316">
          <cell r="O1316"/>
          <cell r="P1316"/>
        </row>
        <row r="1317">
          <cell r="O1317"/>
          <cell r="P1317"/>
        </row>
        <row r="1318">
          <cell r="O1318"/>
          <cell r="P1318"/>
        </row>
        <row r="1319">
          <cell r="O1319"/>
          <cell r="P1319"/>
        </row>
        <row r="1320">
          <cell r="O1320"/>
          <cell r="P1320"/>
        </row>
        <row r="1321">
          <cell r="O1321"/>
          <cell r="P1321"/>
        </row>
        <row r="1322">
          <cell r="O1322"/>
          <cell r="P1322"/>
        </row>
        <row r="1323">
          <cell r="O1323"/>
          <cell r="P1323"/>
        </row>
        <row r="1324">
          <cell r="O1324"/>
          <cell r="P1324"/>
        </row>
        <row r="1325">
          <cell r="O1325"/>
          <cell r="P1325"/>
        </row>
        <row r="1326">
          <cell r="O1326"/>
          <cell r="P1326"/>
        </row>
        <row r="1327">
          <cell r="O1327"/>
          <cell r="P1327"/>
        </row>
        <row r="1328">
          <cell r="O1328"/>
          <cell r="P1328"/>
        </row>
        <row r="1329">
          <cell r="O1329"/>
          <cell r="P1329"/>
        </row>
        <row r="1330">
          <cell r="O1330"/>
          <cell r="P1330"/>
        </row>
        <row r="1331">
          <cell r="O1331"/>
          <cell r="P1331"/>
        </row>
        <row r="1332">
          <cell r="O1332"/>
          <cell r="P1332"/>
        </row>
        <row r="1333">
          <cell r="O1333"/>
          <cell r="P1333"/>
        </row>
        <row r="1334">
          <cell r="O1334"/>
          <cell r="P1334"/>
        </row>
        <row r="1335">
          <cell r="O1335"/>
          <cell r="P1335"/>
        </row>
        <row r="1336">
          <cell r="O1336"/>
          <cell r="P1336"/>
        </row>
        <row r="1337">
          <cell r="O1337"/>
          <cell r="P1337"/>
        </row>
        <row r="1338">
          <cell r="O1338"/>
          <cell r="P1338"/>
        </row>
        <row r="1339">
          <cell r="O1339"/>
          <cell r="P1339"/>
        </row>
        <row r="1340">
          <cell r="O1340"/>
          <cell r="P1340"/>
        </row>
        <row r="1341">
          <cell r="O1341"/>
          <cell r="P1341"/>
        </row>
        <row r="1342">
          <cell r="O1342"/>
          <cell r="P1342"/>
        </row>
        <row r="1343">
          <cell r="O1343"/>
          <cell r="P1343"/>
        </row>
        <row r="1344">
          <cell r="O1344"/>
          <cell r="P1344"/>
        </row>
        <row r="1345">
          <cell r="O1345"/>
          <cell r="P1345"/>
        </row>
        <row r="1346">
          <cell r="O1346"/>
          <cell r="P1346"/>
        </row>
        <row r="1347">
          <cell r="O1347"/>
          <cell r="P1347"/>
        </row>
        <row r="1348">
          <cell r="O1348"/>
          <cell r="P1348"/>
        </row>
        <row r="1349">
          <cell r="O1349"/>
          <cell r="P1349"/>
        </row>
        <row r="1350">
          <cell r="O1350"/>
          <cell r="P1350"/>
        </row>
        <row r="1351">
          <cell r="O1351"/>
          <cell r="P1351"/>
        </row>
        <row r="1352">
          <cell r="O1352"/>
          <cell r="P1352"/>
        </row>
        <row r="1353">
          <cell r="O1353"/>
          <cell r="P1353"/>
        </row>
        <row r="1354">
          <cell r="O1354"/>
          <cell r="P1354"/>
        </row>
        <row r="1355">
          <cell r="O1355"/>
          <cell r="P1355"/>
        </row>
        <row r="1356">
          <cell r="O1356"/>
          <cell r="P1356"/>
        </row>
        <row r="1357">
          <cell r="O1357"/>
          <cell r="P1357"/>
        </row>
        <row r="1358">
          <cell r="O1358"/>
          <cell r="P1358"/>
        </row>
        <row r="1359">
          <cell r="O1359"/>
          <cell r="P1359"/>
        </row>
        <row r="1360">
          <cell r="O1360"/>
          <cell r="P1360"/>
        </row>
        <row r="1361">
          <cell r="O1361"/>
          <cell r="P1361"/>
        </row>
        <row r="1362">
          <cell r="O1362"/>
          <cell r="P1362"/>
        </row>
        <row r="1363">
          <cell r="O1363"/>
          <cell r="P1363"/>
        </row>
        <row r="1364">
          <cell r="O1364"/>
          <cell r="P1364"/>
        </row>
        <row r="1365">
          <cell r="O1365"/>
          <cell r="P1365"/>
        </row>
        <row r="1366">
          <cell r="O1366"/>
          <cell r="P1366"/>
        </row>
        <row r="1367">
          <cell r="O1367"/>
          <cell r="P1367"/>
        </row>
        <row r="1368">
          <cell r="O1368"/>
          <cell r="P1368"/>
        </row>
        <row r="1369">
          <cell r="O1369"/>
          <cell r="P1369"/>
        </row>
        <row r="1370">
          <cell r="O1370"/>
          <cell r="P1370"/>
        </row>
        <row r="1371">
          <cell r="O1371"/>
          <cell r="P1371"/>
        </row>
        <row r="1372">
          <cell r="O1372"/>
          <cell r="P1372"/>
        </row>
        <row r="1373">
          <cell r="O1373"/>
          <cell r="P1373"/>
        </row>
        <row r="1374">
          <cell r="O1374"/>
          <cell r="P1374"/>
        </row>
        <row r="1375">
          <cell r="O1375"/>
          <cell r="P1375"/>
        </row>
        <row r="1376">
          <cell r="O1376"/>
          <cell r="P1376"/>
        </row>
        <row r="1377">
          <cell r="O1377"/>
          <cell r="P1377"/>
        </row>
        <row r="1378">
          <cell r="O1378"/>
          <cell r="P1378"/>
        </row>
        <row r="1379">
          <cell r="O1379"/>
          <cell r="P1379"/>
        </row>
        <row r="1380">
          <cell r="O1380"/>
          <cell r="P1380"/>
        </row>
        <row r="1381">
          <cell r="O1381"/>
          <cell r="P1381"/>
        </row>
        <row r="1382">
          <cell r="O1382"/>
          <cell r="P1382"/>
        </row>
        <row r="1383">
          <cell r="O1383"/>
          <cell r="P1383"/>
        </row>
        <row r="1384">
          <cell r="O1384"/>
          <cell r="P1384"/>
        </row>
        <row r="1385">
          <cell r="O1385"/>
          <cell r="P1385"/>
        </row>
        <row r="1386">
          <cell r="O1386"/>
          <cell r="P1386"/>
        </row>
        <row r="1387">
          <cell r="O1387"/>
          <cell r="P1387"/>
        </row>
        <row r="1388">
          <cell r="O1388"/>
          <cell r="P1388"/>
        </row>
        <row r="1389">
          <cell r="O1389"/>
          <cell r="P1389"/>
        </row>
        <row r="1390">
          <cell r="O1390"/>
          <cell r="P1390"/>
        </row>
        <row r="1391">
          <cell r="O1391"/>
          <cell r="P1391"/>
        </row>
        <row r="1392">
          <cell r="O1392"/>
          <cell r="P1392"/>
        </row>
        <row r="1393">
          <cell r="O1393"/>
          <cell r="P1393"/>
        </row>
        <row r="1394">
          <cell r="O1394"/>
          <cell r="P1394"/>
        </row>
        <row r="1395">
          <cell r="O1395"/>
          <cell r="P1395"/>
        </row>
        <row r="1396">
          <cell r="O1396"/>
          <cell r="P1396"/>
        </row>
        <row r="1397">
          <cell r="O1397"/>
          <cell r="P1397"/>
        </row>
        <row r="1398">
          <cell r="O1398"/>
          <cell r="P1398"/>
        </row>
        <row r="1399">
          <cell r="O1399"/>
          <cell r="P1399"/>
        </row>
        <row r="1400">
          <cell r="O1400"/>
          <cell r="P1400"/>
        </row>
        <row r="1401">
          <cell r="O1401"/>
          <cell r="P1401"/>
        </row>
        <row r="1402">
          <cell r="O1402"/>
          <cell r="P1402"/>
        </row>
        <row r="1403">
          <cell r="O1403"/>
          <cell r="P1403"/>
        </row>
        <row r="1404">
          <cell r="O1404"/>
          <cell r="P1404"/>
        </row>
        <row r="1405">
          <cell r="O1405"/>
          <cell r="P1405"/>
        </row>
        <row r="1406">
          <cell r="O1406"/>
          <cell r="P1406"/>
        </row>
        <row r="1407">
          <cell r="O1407"/>
          <cell r="P1407"/>
        </row>
        <row r="1408">
          <cell r="O1408"/>
          <cell r="P1408"/>
        </row>
        <row r="1409">
          <cell r="O1409"/>
          <cell r="P1409"/>
        </row>
        <row r="1410">
          <cell r="O1410"/>
          <cell r="P1410"/>
        </row>
        <row r="1411">
          <cell r="O1411"/>
          <cell r="P1411"/>
        </row>
        <row r="1412">
          <cell r="O1412"/>
          <cell r="P1412"/>
        </row>
        <row r="1413">
          <cell r="O1413"/>
          <cell r="P1413"/>
        </row>
        <row r="1414">
          <cell r="O1414"/>
          <cell r="P1414"/>
        </row>
        <row r="1415">
          <cell r="O1415"/>
          <cell r="P1415"/>
        </row>
        <row r="1416">
          <cell r="O1416"/>
          <cell r="P1416"/>
        </row>
        <row r="1417">
          <cell r="O1417"/>
          <cell r="P1417"/>
        </row>
        <row r="1418">
          <cell r="O1418"/>
          <cell r="P1418"/>
        </row>
        <row r="1419">
          <cell r="O1419"/>
          <cell r="P1419"/>
        </row>
        <row r="1420">
          <cell r="O1420"/>
          <cell r="P1420"/>
        </row>
        <row r="1421">
          <cell r="O1421"/>
          <cell r="P1421"/>
        </row>
        <row r="1422">
          <cell r="O1422"/>
          <cell r="P1422"/>
        </row>
        <row r="1423">
          <cell r="O1423"/>
          <cell r="P1423"/>
        </row>
        <row r="1424">
          <cell r="O1424"/>
          <cell r="P1424"/>
        </row>
        <row r="1425">
          <cell r="O1425"/>
          <cell r="P1425"/>
        </row>
        <row r="1426">
          <cell r="O1426"/>
          <cell r="P1426"/>
        </row>
        <row r="1427">
          <cell r="O1427"/>
          <cell r="P1427"/>
        </row>
        <row r="1428">
          <cell r="O1428"/>
          <cell r="P1428"/>
        </row>
        <row r="1429">
          <cell r="O1429"/>
          <cell r="P1429"/>
        </row>
        <row r="1430">
          <cell r="O1430"/>
          <cell r="P1430"/>
        </row>
        <row r="1431">
          <cell r="O1431"/>
          <cell r="P1431"/>
        </row>
        <row r="1432">
          <cell r="O1432"/>
          <cell r="P1432"/>
        </row>
        <row r="1433">
          <cell r="O1433"/>
          <cell r="P1433"/>
        </row>
        <row r="1434">
          <cell r="O1434"/>
          <cell r="P1434"/>
        </row>
        <row r="1435">
          <cell r="O1435"/>
          <cell r="P1435"/>
        </row>
        <row r="1436">
          <cell r="O1436"/>
          <cell r="P1436"/>
        </row>
        <row r="1437">
          <cell r="O1437"/>
          <cell r="P1437"/>
        </row>
        <row r="1438">
          <cell r="O1438"/>
          <cell r="P1438"/>
        </row>
        <row r="1439">
          <cell r="O1439"/>
          <cell r="P1439"/>
        </row>
        <row r="1440">
          <cell r="O1440"/>
          <cell r="P1440"/>
        </row>
        <row r="1441">
          <cell r="O1441"/>
          <cell r="P1441"/>
        </row>
      </sheetData>
      <sheetData sheetId="7">
        <row r="3">
          <cell r="C3" t="str">
            <v>Q1'17</v>
          </cell>
        </row>
      </sheetData>
      <sheetData sheetId="8">
        <row r="8">
          <cell r="K8" t="str">
            <v>Time Frame</v>
          </cell>
          <cell r="L8">
            <v>43921</v>
          </cell>
        </row>
        <row r="10">
          <cell r="C10" t="str">
            <v>Deliveries-to-Date</v>
          </cell>
          <cell r="D10" t="str">
            <v>Bookings</v>
          </cell>
          <cell r="E10" t="str">
            <v>Bookings-to-Date less Deliveries</v>
          </cell>
          <cell r="F10" t="str">
            <v>Total Portfolio</v>
          </cell>
          <cell r="G10" t="str">
            <v>Portfolio less Bookings</v>
          </cell>
        </row>
        <row r="11">
          <cell r="A11" t="str">
            <v>AvalonBay Communities, Inc.</v>
          </cell>
          <cell r="B11" t="str">
            <v>Avalon Bay</v>
          </cell>
          <cell r="C11">
            <v>664</v>
          </cell>
          <cell r="D11">
            <v>665</v>
          </cell>
          <cell r="E11">
            <v>1</v>
          </cell>
          <cell r="F11">
            <v>90000</v>
          </cell>
          <cell r="G11">
            <v>89335</v>
          </cell>
          <cell r="H11"/>
          <cell r="I11"/>
        </row>
        <row r="12">
          <cell r="A12" t="str">
            <v>Brookfield Properties</v>
          </cell>
          <cell r="B12" t="str">
            <v>Brookfield</v>
          </cell>
          <cell r="C12">
            <v>2325</v>
          </cell>
          <cell r="D12">
            <v>6300</v>
          </cell>
          <cell r="E12">
            <v>3975</v>
          </cell>
          <cell r="F12">
            <v>70000</v>
          </cell>
          <cell r="G12">
            <v>63700</v>
          </cell>
          <cell r="H12"/>
          <cell r="I12"/>
        </row>
        <row r="13">
          <cell r="B13" t="str">
            <v>Greystar</v>
          </cell>
          <cell r="C13">
            <v>0</v>
          </cell>
          <cell r="D13">
            <v>0</v>
          </cell>
          <cell r="E13">
            <v>0</v>
          </cell>
          <cell r="F13">
            <v>70000</v>
          </cell>
          <cell r="G13">
            <v>70000</v>
          </cell>
        </row>
        <row r="14">
          <cell r="A14" t="str">
            <v>Greystar Real Estate Partners</v>
          </cell>
          <cell r="C14">
            <v>0</v>
          </cell>
          <cell r="D14">
            <v>0</v>
          </cell>
          <cell r="F14"/>
          <cell r="G14"/>
          <cell r="H14"/>
          <cell r="I14"/>
        </row>
        <row r="15">
          <cell r="A15" t="str">
            <v>Greystar - Houston</v>
          </cell>
          <cell r="C15">
            <v>0</v>
          </cell>
          <cell r="D15">
            <v>0</v>
          </cell>
          <cell r="F15"/>
          <cell r="G15"/>
          <cell r="H15"/>
          <cell r="I15"/>
        </row>
        <row r="16">
          <cell r="A16" t="str">
            <v>BlackRock / Greystar</v>
          </cell>
          <cell r="C16">
            <v>0</v>
          </cell>
          <cell r="D16">
            <v>0</v>
          </cell>
          <cell r="F16"/>
          <cell r="G16"/>
          <cell r="H16"/>
          <cell r="I16"/>
        </row>
        <row r="17">
          <cell r="A17" t="str">
            <v>Greystar Management</v>
          </cell>
          <cell r="C17">
            <v>0</v>
          </cell>
          <cell r="D17">
            <v>0</v>
          </cell>
          <cell r="F17"/>
          <cell r="G17"/>
          <cell r="H17"/>
          <cell r="I17"/>
        </row>
        <row r="18">
          <cell r="A18" t="str">
            <v>Greystar - Central North</v>
          </cell>
          <cell r="C18">
            <v>0</v>
          </cell>
          <cell r="D18">
            <v>0</v>
          </cell>
          <cell r="F18"/>
          <cell r="G18"/>
          <cell r="H18"/>
          <cell r="I18"/>
        </row>
        <row r="19">
          <cell r="B19" t="str">
            <v>Garden Homes</v>
          </cell>
          <cell r="C19">
            <v>1246</v>
          </cell>
          <cell r="D19">
            <v>6285</v>
          </cell>
          <cell r="E19">
            <v>5039</v>
          </cell>
          <cell r="F19">
            <v>50000</v>
          </cell>
          <cell r="G19">
            <v>43715</v>
          </cell>
        </row>
        <row r="20">
          <cell r="A20" t="str">
            <v>Garden Homes</v>
          </cell>
          <cell r="C20">
            <v>1245</v>
          </cell>
          <cell r="D20">
            <v>4881</v>
          </cell>
          <cell r="F20"/>
          <cell r="G20"/>
          <cell r="H20"/>
          <cell r="I20"/>
        </row>
        <row r="21">
          <cell r="A21" t="str">
            <v>Garden Communities CA</v>
          </cell>
          <cell r="C21">
            <v>0</v>
          </cell>
          <cell r="D21">
            <v>1403</v>
          </cell>
          <cell r="F21"/>
          <cell r="G21"/>
          <cell r="H21"/>
          <cell r="I21"/>
        </row>
        <row r="22">
          <cell r="A22" t="str">
            <v>Garden Homes of Princeton</v>
          </cell>
          <cell r="C22">
            <v>1</v>
          </cell>
          <cell r="D22">
            <v>1</v>
          </cell>
          <cell r="F22"/>
          <cell r="G22"/>
          <cell r="H22"/>
          <cell r="I22"/>
        </row>
        <row r="23">
          <cell r="A23" t="str">
            <v>Alliance Residential</v>
          </cell>
          <cell r="B23" t="str">
            <v>Alliance</v>
          </cell>
          <cell r="C23">
            <v>431</v>
          </cell>
          <cell r="D23">
            <v>431</v>
          </cell>
          <cell r="E23">
            <v>0</v>
          </cell>
          <cell r="F23">
            <v>30000</v>
          </cell>
          <cell r="G23">
            <v>29569</v>
          </cell>
          <cell r="H23"/>
          <cell r="I23"/>
        </row>
        <row r="24">
          <cell r="A24" t="str">
            <v>AMLI Residential</v>
          </cell>
          <cell r="B24" t="str">
            <v>AMLI</v>
          </cell>
          <cell r="C24">
            <v>2594</v>
          </cell>
          <cell r="D24">
            <v>3427</v>
          </cell>
          <cell r="E24">
            <v>833</v>
          </cell>
          <cell r="F24">
            <v>30000</v>
          </cell>
          <cell r="G24">
            <v>26573</v>
          </cell>
          <cell r="H24"/>
          <cell r="I24"/>
          <cell r="L24"/>
        </row>
        <row r="25">
          <cell r="A25" t="str">
            <v>Wood Partners</v>
          </cell>
          <cell r="B25" t="str">
            <v>Wood Partners</v>
          </cell>
          <cell r="C25">
            <v>417</v>
          </cell>
          <cell r="D25">
            <v>4196</v>
          </cell>
          <cell r="E25">
            <v>3779</v>
          </cell>
          <cell r="F25">
            <v>30000</v>
          </cell>
          <cell r="G25">
            <v>25804</v>
          </cell>
          <cell r="H25"/>
          <cell r="I25"/>
          <cell r="L25"/>
        </row>
        <row r="26">
          <cell r="B26" t="str">
            <v>Toll Brothers</v>
          </cell>
          <cell r="C26">
            <v>2862</v>
          </cell>
          <cell r="D26">
            <v>15862</v>
          </cell>
          <cell r="E26">
            <v>13000</v>
          </cell>
          <cell r="F26">
            <v>20000</v>
          </cell>
          <cell r="G26">
            <v>4138</v>
          </cell>
          <cell r="L26"/>
        </row>
        <row r="27">
          <cell r="A27" t="str">
            <v>Toll Brothers</v>
          </cell>
          <cell r="C27">
            <v>2862</v>
          </cell>
          <cell r="D27">
            <v>15862</v>
          </cell>
          <cell r="F27"/>
          <cell r="G27"/>
          <cell r="H27"/>
          <cell r="I27"/>
          <cell r="L27"/>
        </row>
        <row r="28">
          <cell r="A28" t="str">
            <v>Toll Brothers City Living</v>
          </cell>
          <cell r="C28">
            <v>0</v>
          </cell>
          <cell r="D28">
            <v>0</v>
          </cell>
          <cell r="F28"/>
          <cell r="G28"/>
          <cell r="H28"/>
          <cell r="I28"/>
          <cell r="L28"/>
        </row>
        <row r="29">
          <cell r="A29" t="str">
            <v>Prometheus Real Estate Group</v>
          </cell>
          <cell r="B29" t="str">
            <v>Prometheus</v>
          </cell>
          <cell r="C29">
            <v>1980</v>
          </cell>
          <cell r="D29">
            <v>3509</v>
          </cell>
          <cell r="E29">
            <v>1529</v>
          </cell>
          <cell r="F29">
            <v>20000</v>
          </cell>
          <cell r="G29">
            <v>16491</v>
          </cell>
          <cell r="H29"/>
          <cell r="I29"/>
          <cell r="L29"/>
        </row>
        <row r="30">
          <cell r="A30" t="str">
            <v>Southern Land Company</v>
          </cell>
          <cell r="B30" t="str">
            <v>Southern Land</v>
          </cell>
          <cell r="C30">
            <v>672</v>
          </cell>
          <cell r="D30">
            <v>2804</v>
          </cell>
          <cell r="E30">
            <v>2132</v>
          </cell>
          <cell r="F30">
            <v>10000</v>
          </cell>
          <cell r="G30">
            <v>7196</v>
          </cell>
          <cell r="H30"/>
          <cell r="I30"/>
          <cell r="L30"/>
        </row>
        <row r="31">
          <cell r="L31"/>
        </row>
        <row r="32">
          <cell r="L32"/>
        </row>
        <row r="33">
          <cell r="L33"/>
        </row>
        <row r="34">
          <cell r="L34"/>
        </row>
        <row r="35">
          <cell r="L35"/>
        </row>
        <row r="36">
          <cell r="L36"/>
        </row>
        <row r="37">
          <cell r="L37"/>
        </row>
        <row r="38">
          <cell r="L38"/>
        </row>
        <row r="39">
          <cell r="L39"/>
        </row>
        <row r="40">
          <cell r="L40"/>
        </row>
        <row r="41">
          <cell r="L41"/>
        </row>
        <row r="42">
          <cell r="L42"/>
        </row>
        <row r="43">
          <cell r="L43"/>
        </row>
        <row r="44">
          <cell r="L44"/>
        </row>
        <row r="45">
          <cell r="L45"/>
        </row>
        <row r="46">
          <cell r="L46"/>
        </row>
        <row r="47">
          <cell r="L47"/>
        </row>
        <row r="48">
          <cell r="L48"/>
        </row>
        <row r="49">
          <cell r="L49"/>
        </row>
        <row r="50">
          <cell r="L50"/>
        </row>
        <row r="51">
          <cell r="L51"/>
        </row>
        <row r="52">
          <cell r="L52"/>
        </row>
        <row r="53">
          <cell r="L53"/>
        </row>
        <row r="54">
          <cell r="L54"/>
        </row>
        <row r="55">
          <cell r="L55"/>
        </row>
        <row r="56">
          <cell r="L56"/>
        </row>
        <row r="57">
          <cell r="L57"/>
        </row>
        <row r="58">
          <cell r="L58"/>
        </row>
        <row r="59">
          <cell r="L59"/>
        </row>
        <row r="60">
          <cell r="L60"/>
        </row>
        <row r="61">
          <cell r="L61"/>
        </row>
        <row r="62">
          <cell r="L62"/>
        </row>
        <row r="63">
          <cell r="L63"/>
        </row>
        <row r="64">
          <cell r="L64"/>
        </row>
        <row r="65">
          <cell r="L65"/>
        </row>
        <row r="66">
          <cell r="L66"/>
        </row>
        <row r="67">
          <cell r="L67"/>
        </row>
        <row r="68">
          <cell r="L68"/>
        </row>
        <row r="69">
          <cell r="L69"/>
        </row>
        <row r="70">
          <cell r="L70"/>
        </row>
        <row r="71">
          <cell r="L71"/>
        </row>
        <row r="72">
          <cell r="L72"/>
        </row>
        <row r="73">
          <cell r="L73"/>
        </row>
        <row r="74">
          <cell r="L74"/>
        </row>
        <row r="75">
          <cell r="L75"/>
        </row>
        <row r="76">
          <cell r="L76"/>
        </row>
        <row r="77">
          <cell r="L77"/>
        </row>
        <row r="78">
          <cell r="L78"/>
        </row>
        <row r="79">
          <cell r="L79"/>
        </row>
        <row r="80">
          <cell r="L80"/>
        </row>
        <row r="81">
          <cell r="L81"/>
        </row>
        <row r="82">
          <cell r="L82"/>
        </row>
        <row r="83">
          <cell r="L83"/>
        </row>
        <row r="84">
          <cell r="L84"/>
        </row>
        <row r="85">
          <cell r="L85"/>
        </row>
        <row r="86">
          <cell r="L86"/>
        </row>
        <row r="87">
          <cell r="L87"/>
        </row>
        <row r="88">
          <cell r="L88"/>
        </row>
        <row r="89">
          <cell r="L89"/>
        </row>
        <row r="90">
          <cell r="L90"/>
        </row>
        <row r="91">
          <cell r="L91"/>
        </row>
        <row r="92">
          <cell r="L92"/>
        </row>
        <row r="93">
          <cell r="L93"/>
        </row>
        <row r="94">
          <cell r="L94"/>
        </row>
        <row r="95">
          <cell r="L95"/>
        </row>
        <row r="96">
          <cell r="L96"/>
        </row>
        <row r="97">
          <cell r="L97"/>
        </row>
        <row r="98">
          <cell r="L98"/>
        </row>
        <row r="99">
          <cell r="L99"/>
        </row>
        <row r="100">
          <cell r="L100"/>
        </row>
        <row r="101">
          <cell r="L101"/>
        </row>
        <row r="102">
          <cell r="L102"/>
        </row>
        <row r="103">
          <cell r="L103"/>
        </row>
        <row r="104">
          <cell r="L104"/>
        </row>
        <row r="105">
          <cell r="L105"/>
        </row>
        <row r="106">
          <cell r="L106"/>
        </row>
        <row r="107">
          <cell r="L107"/>
        </row>
        <row r="108">
          <cell r="L108"/>
        </row>
        <row r="109">
          <cell r="L109"/>
        </row>
        <row r="110">
          <cell r="L110"/>
        </row>
        <row r="111">
          <cell r="L111"/>
        </row>
        <row r="112">
          <cell r="L112"/>
        </row>
        <row r="113">
          <cell r="L113"/>
        </row>
        <row r="114">
          <cell r="L114"/>
        </row>
        <row r="115">
          <cell r="L115"/>
        </row>
        <row r="116">
          <cell r="L116"/>
        </row>
        <row r="117">
          <cell r="L117"/>
        </row>
        <row r="118">
          <cell r="L118"/>
        </row>
        <row r="119">
          <cell r="L119"/>
        </row>
        <row r="120">
          <cell r="L120"/>
        </row>
        <row r="121">
          <cell r="L121"/>
        </row>
        <row r="122">
          <cell r="L122"/>
        </row>
        <row r="123">
          <cell r="L123"/>
        </row>
        <row r="124">
          <cell r="L124"/>
        </row>
        <row r="125">
          <cell r="L125"/>
        </row>
        <row r="126">
          <cell r="L126"/>
        </row>
        <row r="127">
          <cell r="L127"/>
        </row>
        <row r="128">
          <cell r="L128"/>
        </row>
        <row r="129">
          <cell r="L129"/>
        </row>
        <row r="130">
          <cell r="L130"/>
        </row>
        <row r="131">
          <cell r="L131"/>
        </row>
        <row r="132">
          <cell r="L132"/>
        </row>
        <row r="133">
          <cell r="L133"/>
        </row>
        <row r="134">
          <cell r="L134"/>
        </row>
        <row r="135">
          <cell r="L135"/>
        </row>
        <row r="136">
          <cell r="L136"/>
        </row>
        <row r="137">
          <cell r="L137"/>
        </row>
        <row r="138">
          <cell r="L138"/>
        </row>
        <row r="139">
          <cell r="L139"/>
        </row>
        <row r="140">
          <cell r="L140"/>
        </row>
        <row r="141">
          <cell r="L141"/>
        </row>
        <row r="142">
          <cell r="L142"/>
        </row>
      </sheetData>
      <sheetData sheetId="9">
        <row r="4">
          <cell r="B4" t="str">
            <v>Operations Pie Chart - Customer Support ticket type</v>
          </cell>
          <cell r="C4" t="str">
            <v>Q4</v>
          </cell>
        </row>
        <row r="5">
          <cell r="B5" t="str">
            <v>Category</v>
          </cell>
          <cell r="C5" t="str">
            <v># Solved Tickets</v>
          </cell>
        </row>
        <row r="6">
          <cell r="B6" t="str">
            <v>Unlock Error</v>
          </cell>
          <cell r="C6">
            <v>96</v>
          </cell>
          <cell r="D6">
            <v>0.1947261663286004</v>
          </cell>
        </row>
        <row r="7">
          <cell r="B7" t="str">
            <v>Change Doorcode Request</v>
          </cell>
          <cell r="C7">
            <v>65</v>
          </cell>
          <cell r="D7">
            <v>0.13184584178498987</v>
          </cell>
        </row>
        <row r="8">
          <cell r="B8" t="str">
            <v>Door Update Unsubscribe</v>
          </cell>
          <cell r="C8">
            <v>84</v>
          </cell>
          <cell r="D8">
            <v>0.17038539553752535</v>
          </cell>
        </row>
        <row r="9">
          <cell r="B9" t="str">
            <v>How to Perform Firmware Upgrade</v>
          </cell>
          <cell r="C9">
            <v>51</v>
          </cell>
          <cell r="D9">
            <v>0.10344827586206896</v>
          </cell>
        </row>
        <row r="10">
          <cell r="B10" t="str">
            <v>View Data</v>
          </cell>
          <cell r="C10">
            <v>44</v>
          </cell>
          <cell r="D10">
            <v>8.9249492900608518E-2</v>
          </cell>
        </row>
        <row r="11">
          <cell r="B11" t="str">
            <v>Account Setup</v>
          </cell>
          <cell r="C11">
            <v>42</v>
          </cell>
          <cell r="D11">
            <v>8.5192697768762676E-2</v>
          </cell>
        </row>
        <row r="12">
          <cell r="B12" t="str">
            <v>Sales Inquiry</v>
          </cell>
          <cell r="C12">
            <v>41</v>
          </cell>
          <cell r="D12">
            <v>8.3164300202839755E-2</v>
          </cell>
        </row>
        <row r="13">
          <cell r="B13" t="str">
            <v>Unlock Error</v>
          </cell>
          <cell r="C13">
            <v>35</v>
          </cell>
          <cell r="D13">
            <v>7.099391480730223E-2</v>
          </cell>
        </row>
        <row r="14">
          <cell r="B14" t="str">
            <v>Activation</v>
          </cell>
          <cell r="C14">
            <v>35</v>
          </cell>
          <cell r="D14">
            <v>7.099391480730223E-2</v>
          </cell>
        </row>
        <row r="15">
          <cell r="B15"/>
          <cell r="C15"/>
          <cell r="D15"/>
        </row>
        <row r="16">
          <cell r="B16"/>
          <cell r="C16"/>
          <cell r="D16"/>
        </row>
        <row r="32">
          <cell r="B32"/>
          <cell r="C32"/>
        </row>
        <row r="33">
          <cell r="B33"/>
          <cell r="C33"/>
        </row>
        <row r="34">
          <cell r="B34"/>
          <cell r="C34"/>
        </row>
        <row r="35">
          <cell r="B35"/>
          <cell r="C35"/>
        </row>
        <row r="36">
          <cell r="B36"/>
          <cell r="C36"/>
        </row>
        <row r="37">
          <cell r="B37"/>
          <cell r="C37"/>
        </row>
        <row r="38">
          <cell r="B38"/>
          <cell r="C38"/>
        </row>
        <row r="39">
          <cell r="B39"/>
          <cell r="C39"/>
        </row>
        <row r="40">
          <cell r="B40"/>
          <cell r="C40"/>
        </row>
        <row r="41">
          <cell r="B41"/>
          <cell r="C41"/>
        </row>
        <row r="42">
          <cell r="B42"/>
          <cell r="C42"/>
        </row>
        <row r="43">
          <cell r="B43"/>
          <cell r="C43"/>
        </row>
        <row r="44">
          <cell r="B44"/>
          <cell r="C44"/>
        </row>
        <row r="45">
          <cell r="B45"/>
          <cell r="C45"/>
        </row>
        <row r="46">
          <cell r="B46"/>
          <cell r="C46"/>
        </row>
        <row r="47">
          <cell r="B47"/>
          <cell r="C47"/>
        </row>
        <row r="48">
          <cell r="B48"/>
          <cell r="C48"/>
        </row>
        <row r="49">
          <cell r="B49"/>
          <cell r="C49"/>
        </row>
        <row r="50">
          <cell r="B50"/>
          <cell r="C50"/>
        </row>
        <row r="51">
          <cell r="B51"/>
          <cell r="C51"/>
        </row>
      </sheetData>
      <sheetData sheetId="10">
        <row r="1">
          <cell r="A1" t="str">
            <v>Mixpanel Export Unlock Type</v>
          </cell>
          <cell r="B1" t="str">
            <v>BLE</v>
          </cell>
          <cell r="C1" t="str">
            <v>MKO</v>
          </cell>
          <cell r="D1" t="str">
            <v>NFC</v>
          </cell>
          <cell r="E1" t="str">
            <v>PASSCODE</v>
          </cell>
        </row>
        <row r="2">
          <cell r="A2" t="str">
            <v>Mixpanel Export Time Month</v>
          </cell>
          <cell r="B2" t="str">
            <v>Mixpanel Export Count</v>
          </cell>
          <cell r="C2" t="str">
            <v>Mixpanel Export Count</v>
          </cell>
          <cell r="D2" t="str">
            <v>Mixpanel Export Count</v>
          </cell>
          <cell r="E2" t="str">
            <v>Mixpanel Export Count</v>
          </cell>
        </row>
        <row r="3">
          <cell r="A3" t="str">
            <v>2018-01</v>
          </cell>
          <cell r="B3">
            <v>46272</v>
          </cell>
          <cell r="C3">
            <v>11269</v>
          </cell>
          <cell r="D3">
            <v>13593</v>
          </cell>
          <cell r="E3">
            <v>27442</v>
          </cell>
          <cell r="G3">
            <v>3102</v>
          </cell>
          <cell r="H3">
            <v>0.49722759509993553</v>
          </cell>
          <cell r="I3"/>
        </row>
        <row r="4">
          <cell r="A4" t="str">
            <v>2018-02</v>
          </cell>
          <cell r="B4">
            <v>89127</v>
          </cell>
          <cell r="C4">
            <v>1153836</v>
          </cell>
          <cell r="D4">
            <v>27556</v>
          </cell>
          <cell r="E4">
            <v>612156</v>
          </cell>
          <cell r="G4">
            <v>3432</v>
          </cell>
          <cell r="H4">
            <v>0.86564685314685308</v>
          </cell>
          <cell r="K4"/>
          <cell r="L4"/>
          <cell r="M4"/>
          <cell r="N4"/>
          <cell r="O4"/>
          <cell r="P4"/>
          <cell r="Q4"/>
        </row>
        <row r="5">
          <cell r="A5" t="str">
            <v>2018-03</v>
          </cell>
          <cell r="B5">
            <v>112471</v>
          </cell>
          <cell r="C5">
            <v>1198519</v>
          </cell>
          <cell r="D5">
            <v>42953</v>
          </cell>
          <cell r="E5">
            <v>637325</v>
          </cell>
          <cell r="G5">
            <v>4098</v>
          </cell>
          <cell r="H5">
            <v>0.91484463966162355</v>
          </cell>
        </row>
        <row r="6">
          <cell r="A6" t="str">
            <v>2018-04</v>
          </cell>
          <cell r="B6">
            <v>146585</v>
          </cell>
          <cell r="C6">
            <v>27647</v>
          </cell>
          <cell r="D6">
            <v>49828</v>
          </cell>
          <cell r="E6">
            <v>61754</v>
          </cell>
          <cell r="G6">
            <v>4854</v>
          </cell>
          <cell r="H6">
            <v>1.0066268369729434</v>
          </cell>
        </row>
        <row r="7">
          <cell r="A7" t="str">
            <v>2018-05</v>
          </cell>
          <cell r="B7">
            <v>186129</v>
          </cell>
          <cell r="C7">
            <v>35348</v>
          </cell>
          <cell r="D7">
            <v>56661</v>
          </cell>
          <cell r="E7">
            <v>72368</v>
          </cell>
          <cell r="G7">
            <v>5780</v>
          </cell>
          <cell r="H7">
            <v>1.0734083044982698</v>
          </cell>
        </row>
        <row r="8">
          <cell r="A8" t="str">
            <v>2018-06</v>
          </cell>
          <cell r="B8">
            <v>225376</v>
          </cell>
          <cell r="C8">
            <v>41157</v>
          </cell>
          <cell r="D8">
            <v>65733</v>
          </cell>
          <cell r="E8">
            <v>91367</v>
          </cell>
          <cell r="G8">
            <v>7127</v>
          </cell>
          <cell r="H8">
            <v>1.0540947570272672</v>
          </cell>
          <cell r="X8" t="str">
            <v>ADJUSTED</v>
          </cell>
          <cell r="Y8"/>
          <cell r="Z8"/>
          <cell r="AA8"/>
        </row>
        <row r="9">
          <cell r="A9" t="str">
            <v>2018-07</v>
          </cell>
          <cell r="B9">
            <v>250897</v>
          </cell>
          <cell r="C9">
            <v>35414</v>
          </cell>
          <cell r="D9">
            <v>83504</v>
          </cell>
          <cell r="E9">
            <v>123894</v>
          </cell>
          <cell r="G9">
            <v>7843</v>
          </cell>
          <cell r="H9">
            <v>1.0663309107909389</v>
          </cell>
          <cell r="K9"/>
          <cell r="L9" t="str">
            <v>BLE</v>
          </cell>
          <cell r="M9" t="str">
            <v>MKO</v>
          </cell>
          <cell r="N9" t="str">
            <v>NFC</v>
          </cell>
          <cell r="O9" t="str">
            <v>Passcode</v>
          </cell>
          <cell r="P9" t="str">
            <v>Total</v>
          </cell>
          <cell r="Q9"/>
          <cell r="R9"/>
          <cell r="S9" t="str">
            <v>BLE</v>
          </cell>
          <cell r="T9" t="str">
            <v>MKO</v>
          </cell>
          <cell r="U9" t="str">
            <v>NFC</v>
          </cell>
          <cell r="V9" t="str">
            <v>Passcode</v>
          </cell>
          <cell r="X9" t="str">
            <v>BLE</v>
          </cell>
          <cell r="Y9" t="str">
            <v>MKO</v>
          </cell>
          <cell r="Z9" t="str">
            <v>NFC</v>
          </cell>
          <cell r="AA9" t="str">
            <v>Passcode</v>
          </cell>
        </row>
        <row r="10">
          <cell r="A10" t="str">
            <v>2018-08</v>
          </cell>
          <cell r="B10">
            <v>331978</v>
          </cell>
          <cell r="C10">
            <v>48843</v>
          </cell>
          <cell r="D10">
            <v>96527</v>
          </cell>
          <cell r="E10">
            <v>164019</v>
          </cell>
          <cell r="G10">
            <v>9905</v>
          </cell>
          <cell r="H10">
            <v>1.1172067979135116</v>
          </cell>
          <cell r="K10" t="str">
            <v>Q1'18</v>
          </cell>
          <cell r="L10">
            <v>247870</v>
          </cell>
          <cell r="M10">
            <v>2363624</v>
          </cell>
          <cell r="N10">
            <v>84102</v>
          </cell>
          <cell r="O10">
            <v>1276923</v>
          </cell>
          <cell r="P10">
            <v>3972519</v>
          </cell>
          <cell r="Q10"/>
          <cell r="R10" t="str">
            <v>Q1'18</v>
          </cell>
          <cell r="S10">
            <v>228785</v>
          </cell>
          <cell r="T10">
            <v>59049</v>
          </cell>
          <cell r="U10">
            <v>82529</v>
          </cell>
          <cell r="V10">
            <v>100337</v>
          </cell>
          <cell r="W10" t="str">
            <v>Q1'18</v>
          </cell>
          <cell r="X10">
            <v>228785</v>
          </cell>
          <cell r="Y10">
            <v>59049</v>
          </cell>
          <cell r="Z10">
            <v>82529</v>
          </cell>
          <cell r="AA10">
            <v>100337</v>
          </cell>
        </row>
        <row r="11">
          <cell r="A11" t="str">
            <v>2018-09</v>
          </cell>
          <cell r="B11">
            <v>375447</v>
          </cell>
          <cell r="C11">
            <v>52033</v>
          </cell>
          <cell r="D11">
            <v>112225</v>
          </cell>
          <cell r="E11">
            <v>195666</v>
          </cell>
          <cell r="G11">
            <v>11098</v>
          </cell>
          <cell r="H11">
            <v>1.127671652550009</v>
          </cell>
          <cell r="K11" t="str">
            <v>Q2'18</v>
          </cell>
          <cell r="L11">
            <v>558090</v>
          </cell>
          <cell r="M11">
            <v>104152</v>
          </cell>
          <cell r="N11">
            <v>172222</v>
          </cell>
          <cell r="O11">
            <v>225489</v>
          </cell>
          <cell r="P11">
            <v>1059953</v>
          </cell>
          <cell r="Q11"/>
          <cell r="R11" t="str">
            <v>Q2'18</v>
          </cell>
          <cell r="S11">
            <v>542658</v>
          </cell>
          <cell r="T11">
            <v>91963</v>
          </cell>
          <cell r="U11">
            <v>148509</v>
          </cell>
          <cell r="V11">
            <v>172324</v>
          </cell>
          <cell r="W11" t="str">
            <v>Q2'18</v>
          </cell>
          <cell r="X11">
            <v>558090</v>
          </cell>
          <cell r="Y11">
            <v>104152</v>
          </cell>
          <cell r="Z11">
            <v>172222</v>
          </cell>
          <cell r="AA11">
            <v>225489</v>
          </cell>
        </row>
        <row r="12">
          <cell r="A12" t="str">
            <v>2018-10</v>
          </cell>
          <cell r="B12">
            <v>498261</v>
          </cell>
          <cell r="C12">
            <v>86896</v>
          </cell>
          <cell r="D12">
            <v>132721</v>
          </cell>
          <cell r="E12">
            <v>266760</v>
          </cell>
          <cell r="G12">
            <v>13501</v>
          </cell>
          <cell r="H12">
            <v>1.2301829494111547</v>
          </cell>
          <cell r="K12" t="str">
            <v>Q3'18</v>
          </cell>
          <cell r="L12">
            <v>958322</v>
          </cell>
          <cell r="M12">
            <v>136290</v>
          </cell>
          <cell r="N12">
            <v>292256</v>
          </cell>
          <cell r="O12">
            <v>483579</v>
          </cell>
          <cell r="P12">
            <v>1870447</v>
          </cell>
          <cell r="Q12"/>
          <cell r="R12" t="str">
            <v>Q3'18</v>
          </cell>
          <cell r="S12">
            <v>946836</v>
          </cell>
          <cell r="T12">
            <v>128645</v>
          </cell>
          <cell r="U12">
            <v>267632</v>
          </cell>
          <cell r="V12">
            <v>371259</v>
          </cell>
          <cell r="W12" t="str">
            <v>Q3'18</v>
          </cell>
          <cell r="X12">
            <v>958322</v>
          </cell>
          <cell r="Y12">
            <v>136290</v>
          </cell>
          <cell r="Z12">
            <v>292256</v>
          </cell>
          <cell r="AA12">
            <v>483579</v>
          </cell>
        </row>
        <row r="13">
          <cell r="A13" t="str">
            <v>2018-11</v>
          </cell>
          <cell r="B13">
            <v>536865</v>
          </cell>
          <cell r="C13">
            <v>121256</v>
          </cell>
          <cell r="D13">
            <v>154456</v>
          </cell>
          <cell r="E13">
            <v>283543</v>
          </cell>
          <cell r="G13">
            <v>14255</v>
          </cell>
          <cell r="H13">
            <v>1.2553840757628902</v>
          </cell>
          <cell r="K13" t="str">
            <v>Q4'18</v>
          </cell>
          <cell r="L13">
            <v>1615781</v>
          </cell>
          <cell r="M13">
            <v>353238</v>
          </cell>
          <cell r="N13">
            <v>449762</v>
          </cell>
          <cell r="O13">
            <v>850626</v>
          </cell>
          <cell r="P13">
            <v>3269407</v>
          </cell>
          <cell r="Q13"/>
          <cell r="R13" t="str">
            <v>Q4'18</v>
          </cell>
          <cell r="S13">
            <v>1586721</v>
          </cell>
          <cell r="T13">
            <v>253886</v>
          </cell>
          <cell r="U13">
            <v>410735</v>
          </cell>
          <cell r="V13">
            <v>543264</v>
          </cell>
          <cell r="W13" t="str">
            <v>Q4'18</v>
          </cell>
          <cell r="X13">
            <v>1615781</v>
          </cell>
          <cell r="Y13">
            <v>353238</v>
          </cell>
          <cell r="Z13">
            <v>449762</v>
          </cell>
          <cell r="AA13">
            <v>850626</v>
          </cell>
        </row>
        <row r="14">
          <cell r="A14" t="str">
            <v>2018-12</v>
          </cell>
          <cell r="B14">
            <v>580655</v>
          </cell>
          <cell r="C14">
            <v>145086</v>
          </cell>
          <cell r="D14">
            <v>162585</v>
          </cell>
          <cell r="E14">
            <v>300323</v>
          </cell>
          <cell r="G14">
            <v>15388</v>
          </cell>
          <cell r="H14">
            <v>1.2578091153279614</v>
          </cell>
          <cell r="K14" t="str">
            <v>Q1'19</v>
          </cell>
          <cell r="L14">
            <v>2541870</v>
          </cell>
          <cell r="M14">
            <v>858938</v>
          </cell>
          <cell r="N14">
            <v>587638</v>
          </cell>
          <cell r="O14">
            <v>1343399</v>
          </cell>
          <cell r="P14">
            <v>5331845</v>
          </cell>
          <cell r="Q14"/>
          <cell r="R14" t="str">
            <v>Q1'19</v>
          </cell>
          <cell r="S14">
            <v>2419607</v>
          </cell>
          <cell r="T14">
            <v>521319</v>
          </cell>
          <cell r="U14">
            <v>528313</v>
          </cell>
          <cell r="V14">
            <v>705584</v>
          </cell>
          <cell r="W14" t="str">
            <v>Q1'19</v>
          </cell>
          <cell r="X14">
            <v>2541870</v>
          </cell>
          <cell r="Y14">
            <v>858938</v>
          </cell>
          <cell r="Z14">
            <v>587638</v>
          </cell>
          <cell r="AA14">
            <v>1343399</v>
          </cell>
        </row>
        <row r="15">
          <cell r="A15" t="str">
            <v>2019-01</v>
          </cell>
          <cell r="B15">
            <v>738172</v>
          </cell>
          <cell r="C15">
            <v>208860</v>
          </cell>
          <cell r="D15">
            <v>184098</v>
          </cell>
          <cell r="E15">
            <v>378667</v>
          </cell>
          <cell r="F15"/>
          <cell r="G15">
            <v>17457</v>
          </cell>
          <cell r="H15">
            <v>1.4095052605449581</v>
          </cell>
          <cell r="K15" t="str">
            <v>Q2'19</v>
          </cell>
          <cell r="L15">
            <v>3701218</v>
          </cell>
          <cell r="M15">
            <v>1263435</v>
          </cell>
          <cell r="N15">
            <v>732609</v>
          </cell>
          <cell r="O15">
            <v>1823767</v>
          </cell>
          <cell r="P15">
            <v>7521029</v>
          </cell>
          <cell r="Q15"/>
          <cell r="R15" t="str">
            <v>Q2'19</v>
          </cell>
          <cell r="S15">
            <v>3648339</v>
          </cell>
          <cell r="T15">
            <v>751704</v>
          </cell>
          <cell r="U15">
            <v>637078</v>
          </cell>
          <cell r="V15">
            <v>918119</v>
          </cell>
          <cell r="W15" t="str">
            <v>Q2'19</v>
          </cell>
          <cell r="X15">
            <v>3701218</v>
          </cell>
          <cell r="Y15">
            <v>1263435</v>
          </cell>
          <cell r="Z15">
            <v>732609</v>
          </cell>
          <cell r="AA15">
            <v>1823767</v>
          </cell>
        </row>
        <row r="16">
          <cell r="A16" t="str">
            <v>2019-02</v>
          </cell>
          <cell r="B16">
            <v>767158</v>
          </cell>
          <cell r="C16">
            <v>271368</v>
          </cell>
          <cell r="D16">
            <v>183257</v>
          </cell>
          <cell r="E16">
            <v>401883</v>
          </cell>
          <cell r="F16"/>
          <cell r="G16">
            <v>19312</v>
          </cell>
          <cell r="H16">
            <v>1.3241473349903343</v>
          </cell>
          <cell r="K16" t="str">
            <v>Q3'19</v>
          </cell>
          <cell r="L16">
            <v>5101439</v>
          </cell>
          <cell r="M16">
            <v>1703790</v>
          </cell>
          <cell r="N16">
            <v>822393</v>
          </cell>
          <cell r="O16">
            <v>2304233</v>
          </cell>
          <cell r="P16">
            <v>9931855</v>
          </cell>
          <cell r="Q16"/>
          <cell r="R16" t="str">
            <v>Q3'19</v>
          </cell>
          <cell r="S16"/>
          <cell r="T16"/>
          <cell r="U16"/>
          <cell r="V16"/>
          <cell r="W16" t="str">
            <v>Q3'19</v>
          </cell>
          <cell r="X16">
            <v>5101439</v>
          </cell>
          <cell r="Y16">
            <v>1703790</v>
          </cell>
          <cell r="Z16">
            <v>822393</v>
          </cell>
          <cell r="AA16">
            <v>2304233</v>
          </cell>
        </row>
        <row r="17">
          <cell r="A17" t="str">
            <v>2019-03</v>
          </cell>
          <cell r="B17">
            <v>1036540</v>
          </cell>
          <cell r="C17">
            <v>378710</v>
          </cell>
          <cell r="D17">
            <v>220283</v>
          </cell>
          <cell r="E17">
            <v>562849</v>
          </cell>
          <cell r="F17"/>
          <cell r="G17">
            <v>23334</v>
          </cell>
          <cell r="H17">
            <v>1.4807291220250851</v>
          </cell>
          <cell r="K17" t="str">
            <v>Q4'19</v>
          </cell>
          <cell r="L17">
            <v>5998519</v>
          </cell>
          <cell r="M17">
            <v>1796723</v>
          </cell>
          <cell r="N17">
            <v>849008</v>
          </cell>
          <cell r="O17">
            <v>2330092</v>
          </cell>
          <cell r="P17">
            <v>10974342</v>
          </cell>
          <cell r="Q17"/>
          <cell r="R17" t="str">
            <v>Q4'19</v>
          </cell>
          <cell r="W17" t="str">
            <v>Q4'19</v>
          </cell>
          <cell r="X17">
            <v>5998519</v>
          </cell>
          <cell r="Y17">
            <v>1796723</v>
          </cell>
          <cell r="Z17">
            <v>849008</v>
          </cell>
          <cell r="AA17">
            <v>2330092</v>
          </cell>
        </row>
        <row r="18">
          <cell r="A18" t="str">
            <v>2019-04</v>
          </cell>
          <cell r="B18">
            <v>1190748</v>
          </cell>
          <cell r="C18">
            <v>402639</v>
          </cell>
          <cell r="D18">
            <v>251770</v>
          </cell>
          <cell r="E18">
            <v>591519</v>
          </cell>
          <cell r="F18"/>
          <cell r="G18">
            <v>25341</v>
          </cell>
          <cell r="H18">
            <v>1.5662996724675429</v>
          </cell>
          <cell r="K18" t="str">
            <v>Q1'20</v>
          </cell>
          <cell r="L18">
            <v>6637223</v>
          </cell>
          <cell r="M18">
            <v>2154733</v>
          </cell>
          <cell r="N18">
            <v>828596</v>
          </cell>
          <cell r="O18">
            <v>2491691</v>
          </cell>
          <cell r="P18">
            <v>12112243</v>
          </cell>
          <cell r="W18" t="str">
            <v>Q1'20</v>
          </cell>
          <cell r="X18">
            <v>6637223</v>
          </cell>
          <cell r="Y18">
            <v>2154733</v>
          </cell>
          <cell r="Z18">
            <v>828596</v>
          </cell>
          <cell r="AA18">
            <v>2491691</v>
          </cell>
        </row>
        <row r="19">
          <cell r="A19" t="str">
            <v>2019-05</v>
          </cell>
          <cell r="B19">
            <v>1217527</v>
          </cell>
          <cell r="C19">
            <v>429675</v>
          </cell>
          <cell r="D19">
            <v>245487</v>
          </cell>
          <cell r="E19">
            <v>604152</v>
          </cell>
          <cell r="F19"/>
          <cell r="G19">
            <v>28278</v>
          </cell>
          <cell r="H19">
            <v>1.435187542730509</v>
          </cell>
        </row>
        <row r="20">
          <cell r="A20" t="str">
            <v>2019-06</v>
          </cell>
          <cell r="B20">
            <v>1292943</v>
          </cell>
          <cell r="C20">
            <v>431121</v>
          </cell>
          <cell r="D20">
            <v>235352</v>
          </cell>
          <cell r="E20">
            <v>628096</v>
          </cell>
          <cell r="F20"/>
          <cell r="G20">
            <v>29858</v>
          </cell>
          <cell r="H20">
            <v>1.4434355951503786</v>
          </cell>
        </row>
        <row r="21">
          <cell r="A21" t="str">
            <v>2019-07</v>
          </cell>
          <cell r="B21">
            <v>1503913</v>
          </cell>
          <cell r="C21">
            <v>521813</v>
          </cell>
          <cell r="D21">
            <v>258677</v>
          </cell>
          <cell r="E21">
            <v>743430</v>
          </cell>
          <cell r="F21"/>
          <cell r="G21">
            <v>32783</v>
          </cell>
          <cell r="H21">
            <v>1.5291594220581806</v>
          </cell>
        </row>
        <row r="22">
          <cell r="A22" t="str">
            <v>2019-08</v>
          </cell>
          <cell r="B22">
            <v>1690164</v>
          </cell>
          <cell r="C22">
            <v>569358</v>
          </cell>
          <cell r="D22">
            <v>275583</v>
          </cell>
          <cell r="E22">
            <v>771638</v>
          </cell>
          <cell r="F22"/>
          <cell r="G22">
            <v>38215</v>
          </cell>
          <cell r="H22">
            <v>1.474258798900955</v>
          </cell>
        </row>
        <row r="23">
          <cell r="A23" t="str">
            <v>2019-09</v>
          </cell>
          <cell r="B23">
            <v>1907362</v>
          </cell>
          <cell r="C23">
            <v>612619</v>
          </cell>
          <cell r="D23">
            <v>288133</v>
          </cell>
          <cell r="E23">
            <v>789165</v>
          </cell>
          <cell r="F23"/>
          <cell r="G23">
            <v>40783</v>
          </cell>
          <cell r="H23">
            <v>1.5589518508528881</v>
          </cell>
        </row>
        <row r="24">
          <cell r="A24" t="str">
            <v>2019-10</v>
          </cell>
          <cell r="B24">
            <v>2070439</v>
          </cell>
          <cell r="C24">
            <v>629117</v>
          </cell>
          <cell r="D24">
            <v>310708</v>
          </cell>
          <cell r="E24">
            <v>840194</v>
          </cell>
          <cell r="F24"/>
          <cell r="G24">
            <v>42999</v>
          </cell>
          <cell r="H24">
            <v>1.6050287991193595</v>
          </cell>
        </row>
        <row r="25">
          <cell r="A25" t="str">
            <v>2019-11</v>
          </cell>
          <cell r="B25">
            <v>1970727</v>
          </cell>
          <cell r="C25">
            <v>581763</v>
          </cell>
          <cell r="D25">
            <v>271251</v>
          </cell>
          <cell r="E25">
            <v>754041</v>
          </cell>
          <cell r="F25"/>
          <cell r="G25">
            <v>43451</v>
          </cell>
          <cell r="H25">
            <v>1.5118386228165059</v>
          </cell>
        </row>
        <row r="26">
          <cell r="A26" t="str">
            <v>2019-12</v>
          </cell>
          <cell r="B26">
            <v>1957353</v>
          </cell>
          <cell r="C26">
            <v>585843</v>
          </cell>
          <cell r="D26">
            <v>267049</v>
          </cell>
          <cell r="E26">
            <v>735857</v>
          </cell>
          <cell r="G26">
            <v>44698</v>
          </cell>
          <cell r="H26">
            <v>1.4596872343281579</v>
          </cell>
        </row>
        <row r="27">
          <cell r="A27" t="str">
            <v>2019-12</v>
          </cell>
          <cell r="B27">
            <v>2208451</v>
          </cell>
          <cell r="C27">
            <v>721052</v>
          </cell>
          <cell r="D27">
            <v>294715</v>
          </cell>
          <cell r="E27">
            <v>852646</v>
          </cell>
          <cell r="G27">
            <v>48316</v>
          </cell>
          <cell r="H27">
            <v>1.5236160554129756</v>
          </cell>
        </row>
        <row r="28">
          <cell r="A28" t="str">
            <v>2019-12</v>
          </cell>
          <cell r="B28">
            <v>2301941</v>
          </cell>
          <cell r="C28">
            <v>763408</v>
          </cell>
          <cell r="D28">
            <v>278446</v>
          </cell>
          <cell r="E28">
            <v>885049</v>
          </cell>
          <cell r="G28">
            <v>49664</v>
          </cell>
          <cell r="H28">
            <v>1.5450097991838487</v>
          </cell>
        </row>
        <row r="29">
          <cell r="A29" t="str">
            <v>2019-12</v>
          </cell>
          <cell r="B29">
            <v>2126831</v>
          </cell>
          <cell r="C29">
            <v>670273</v>
          </cell>
          <cell r="D29">
            <v>255435</v>
          </cell>
          <cell r="E29">
            <v>753996</v>
          </cell>
          <cell r="G29">
            <v>47841</v>
          </cell>
          <cell r="H29">
            <v>1.4818746821067006</v>
          </cell>
        </row>
        <row r="30">
          <cell r="I30" t="str">
            <v>Q1'18</v>
          </cell>
          <cell r="J30">
            <v>2.2777190879084124</v>
          </cell>
        </row>
        <row r="31">
          <cell r="I31" t="str">
            <v>Q2'18</v>
          </cell>
          <cell r="J31">
            <v>3.1341298984984802</v>
          </cell>
          <cell r="K31">
            <v>0.37599492190957329</v>
          </cell>
        </row>
        <row r="32">
          <cell r="I32" t="str">
            <v>Q3'18</v>
          </cell>
          <cell r="J32">
            <v>3.3112093612544595</v>
          </cell>
          <cell r="K32">
            <v>5.6500358469767198E-2</v>
          </cell>
        </row>
        <row r="33">
          <cell r="I33" t="str">
            <v>Q4'18</v>
          </cell>
          <cell r="J33">
            <v>3.7433761405020061</v>
          </cell>
          <cell r="K33">
            <v>0.13051629543709042</v>
          </cell>
        </row>
        <row r="34">
          <cell r="I34" t="str">
            <v>Q1'19</v>
          </cell>
          <cell r="J34">
            <v>4.2143817175603777</v>
          </cell>
          <cell r="K34">
            <v>0.12582373755131315</v>
          </cell>
        </row>
        <row r="35">
          <cell r="I35" t="str">
            <v>Q2'19</v>
          </cell>
          <cell r="J35">
            <v>4.4449228103484302</v>
          </cell>
          <cell r="K35">
            <v>5.4703419917431662E-2</v>
          </cell>
        </row>
        <row r="36">
          <cell r="I36" t="str">
            <v>Q3'19</v>
          </cell>
          <cell r="J36">
            <v>4.5623700718120235</v>
          </cell>
          <cell r="K36">
            <v>2.642278988291058E-2</v>
          </cell>
        </row>
        <row r="37">
          <cell r="I37" t="str">
            <v>Q4'19</v>
          </cell>
          <cell r="J37">
            <v>4.5765546562640234</v>
          </cell>
          <cell r="K37">
            <v>3.1090385542456023E-3</v>
          </cell>
        </row>
        <row r="38">
          <cell r="I38" t="str">
            <v>Q1'19</v>
          </cell>
          <cell r="J38">
            <v>4.5505005367035247</v>
          </cell>
          <cell r="K38">
            <v>-5.69295496664457E-3</v>
          </cell>
        </row>
      </sheetData>
      <sheetData sheetId="11">
        <row r="1">
          <cell r="A1" t="str">
            <v>Date</v>
          </cell>
          <cell r="B1" t="str">
            <v>Event</v>
          </cell>
          <cell r="C1" t="str">
            <v>Jan 1 2018 - Dec 31 2018</v>
          </cell>
          <cell r="G1" t="str">
            <v>Q1'18</v>
          </cell>
          <cell r="H1" t="str">
            <v>Q2'18</v>
          </cell>
          <cell r="I1" t="str">
            <v>Q3'18</v>
          </cell>
          <cell r="J1" t="str">
            <v>Q4'18</v>
          </cell>
          <cell r="K1" t="str">
            <v>Q1'19</v>
          </cell>
          <cell r="L1" t="str">
            <v>Q2'19</v>
          </cell>
          <cell r="M1" t="str">
            <v>Q3'19</v>
          </cell>
          <cell r="N1" t="str">
            <v>Q4'19</v>
          </cell>
          <cell r="O1" t="str">
            <v>Q1'20</v>
          </cell>
        </row>
        <row r="2">
          <cell r="A2">
            <v>43101</v>
          </cell>
          <cell r="B2" t="str">
            <v>Ble Unlock - Total</v>
          </cell>
          <cell r="C2">
            <v>1478</v>
          </cell>
          <cell r="D2">
            <v>424</v>
          </cell>
          <cell r="E2">
            <v>3.4858490566037736</v>
          </cell>
          <cell r="G2">
            <v>3.58</v>
          </cell>
          <cell r="H2">
            <v>4.0549999999999997</v>
          </cell>
          <cell r="I2">
            <v>4.05</v>
          </cell>
          <cell r="J2">
            <v>4.05</v>
          </cell>
          <cell r="K2">
            <v>4.08</v>
          </cell>
          <cell r="L2">
            <v>4.22</v>
          </cell>
          <cell r="M2">
            <v>4.3315041733058823</v>
          </cell>
          <cell r="N2">
            <v>4.3449709867785664</v>
          </cell>
          <cell r="O2">
            <v>4.3202352626194589</v>
          </cell>
        </row>
        <row r="3">
          <cell r="A3">
            <v>43102</v>
          </cell>
          <cell r="B3" t="str">
            <v>Ble Unlock - Total</v>
          </cell>
          <cell r="C3">
            <v>2024</v>
          </cell>
          <cell r="D3">
            <v>631</v>
          </cell>
          <cell r="E3">
            <v>3.207606973058637</v>
          </cell>
        </row>
        <row r="4">
          <cell r="A4">
            <v>43103</v>
          </cell>
          <cell r="B4" t="str">
            <v>Ble Unlock - Total</v>
          </cell>
          <cell r="C4">
            <v>2156</v>
          </cell>
          <cell r="D4">
            <v>677</v>
          </cell>
          <cell r="E4">
            <v>3.1846381093057605</v>
          </cell>
        </row>
        <row r="5">
          <cell r="A5">
            <v>43104</v>
          </cell>
          <cell r="B5" t="str">
            <v>Ble Unlock - Total</v>
          </cell>
          <cell r="C5">
            <v>1848</v>
          </cell>
          <cell r="D5">
            <v>546</v>
          </cell>
          <cell r="E5">
            <v>3.3846153846153846</v>
          </cell>
        </row>
        <row r="6">
          <cell r="A6">
            <v>43105</v>
          </cell>
          <cell r="B6" t="str">
            <v>Ble Unlock - Total</v>
          </cell>
          <cell r="C6">
            <v>2273</v>
          </cell>
          <cell r="D6">
            <v>692</v>
          </cell>
          <cell r="E6">
            <v>3.2846820809248554</v>
          </cell>
        </row>
        <row r="7">
          <cell r="A7">
            <v>43106</v>
          </cell>
          <cell r="B7" t="str">
            <v>Ble Unlock - Total</v>
          </cell>
          <cell r="C7">
            <v>2099</v>
          </cell>
          <cell r="D7">
            <v>538</v>
          </cell>
          <cell r="E7">
            <v>3.9014869888475836</v>
          </cell>
        </row>
        <row r="8">
          <cell r="A8">
            <v>43107</v>
          </cell>
          <cell r="B8" t="str">
            <v>Ble Unlock - Total</v>
          </cell>
          <cell r="C8">
            <v>1829</v>
          </cell>
          <cell r="D8">
            <v>538</v>
          </cell>
          <cell r="E8">
            <v>3.3996282527881041</v>
          </cell>
        </row>
        <row r="9">
          <cell r="A9">
            <v>43108</v>
          </cell>
          <cell r="B9" t="str">
            <v>Ble Unlock - Total</v>
          </cell>
          <cell r="C9">
            <v>2461</v>
          </cell>
          <cell r="D9">
            <v>766</v>
          </cell>
          <cell r="E9">
            <v>3.2127937336814623</v>
          </cell>
        </row>
        <row r="10">
          <cell r="A10">
            <v>43109</v>
          </cell>
          <cell r="B10" t="str">
            <v>Ble Unlock - Total</v>
          </cell>
          <cell r="C10">
            <v>2480</v>
          </cell>
          <cell r="D10">
            <v>781</v>
          </cell>
          <cell r="E10">
            <v>3.1754161331626118</v>
          </cell>
        </row>
        <row r="11">
          <cell r="A11">
            <v>43110</v>
          </cell>
          <cell r="B11" t="str">
            <v>Ble Unlock - Total</v>
          </cell>
          <cell r="C11">
            <v>2556</v>
          </cell>
          <cell r="D11">
            <v>749</v>
          </cell>
          <cell r="E11">
            <v>3.4125500667556743</v>
          </cell>
        </row>
        <row r="12">
          <cell r="A12">
            <v>43111</v>
          </cell>
          <cell r="B12" t="str">
            <v>Ble Unlock - Total</v>
          </cell>
          <cell r="C12">
            <v>2515</v>
          </cell>
          <cell r="D12">
            <v>767</v>
          </cell>
          <cell r="E12">
            <v>3.2790091264667538</v>
          </cell>
        </row>
        <row r="13">
          <cell r="A13">
            <v>43112</v>
          </cell>
          <cell r="B13" t="str">
            <v>Ble Unlock - Total</v>
          </cell>
          <cell r="C13">
            <v>2439</v>
          </cell>
          <cell r="D13">
            <v>734</v>
          </cell>
          <cell r="E13">
            <v>3.3228882833787465</v>
          </cell>
        </row>
        <row r="14">
          <cell r="A14">
            <v>43113</v>
          </cell>
          <cell r="B14" t="str">
            <v>Ble Unlock - Total</v>
          </cell>
          <cell r="C14">
            <v>2030</v>
          </cell>
          <cell r="D14">
            <v>567</v>
          </cell>
          <cell r="E14">
            <v>3.5802469135802468</v>
          </cell>
        </row>
        <row r="15">
          <cell r="A15">
            <v>43114</v>
          </cell>
          <cell r="B15" t="str">
            <v>Ble Unlock - Total</v>
          </cell>
          <cell r="C15">
            <v>1818</v>
          </cell>
          <cell r="D15">
            <v>546</v>
          </cell>
          <cell r="E15">
            <v>3.3296703296703298</v>
          </cell>
        </row>
        <row r="16">
          <cell r="A16">
            <v>43115</v>
          </cell>
          <cell r="B16" t="str">
            <v>Ble Unlock - Total</v>
          </cell>
          <cell r="C16">
            <v>2345</v>
          </cell>
          <cell r="D16">
            <v>689</v>
          </cell>
          <cell r="E16">
            <v>3.4034833091436867</v>
          </cell>
        </row>
        <row r="17">
          <cell r="A17">
            <v>43116</v>
          </cell>
          <cell r="B17" t="str">
            <v>Ble Unlock - Total</v>
          </cell>
          <cell r="C17">
            <v>2544</v>
          </cell>
          <cell r="D17">
            <v>798</v>
          </cell>
          <cell r="E17">
            <v>3.1879699248120299</v>
          </cell>
        </row>
        <row r="18">
          <cell r="A18">
            <v>43117</v>
          </cell>
          <cell r="B18" t="str">
            <v>Ble Unlock - Total</v>
          </cell>
          <cell r="C18">
            <v>2558</v>
          </cell>
          <cell r="D18">
            <v>787</v>
          </cell>
          <cell r="E18">
            <v>3.2503176620076237</v>
          </cell>
        </row>
        <row r="19">
          <cell r="A19">
            <v>43118</v>
          </cell>
          <cell r="B19" t="str">
            <v>Ble Unlock - Total</v>
          </cell>
          <cell r="C19">
            <v>2702</v>
          </cell>
          <cell r="D19">
            <v>807</v>
          </cell>
          <cell r="E19">
            <v>3.34820322180917</v>
          </cell>
        </row>
        <row r="20">
          <cell r="A20">
            <v>43119</v>
          </cell>
          <cell r="B20" t="str">
            <v>Ble Unlock - Total</v>
          </cell>
          <cell r="C20">
            <v>2640</v>
          </cell>
          <cell r="D20">
            <v>743</v>
          </cell>
          <cell r="E20">
            <v>3.5531628532974429</v>
          </cell>
        </row>
        <row r="21">
          <cell r="A21">
            <v>43120</v>
          </cell>
          <cell r="B21" t="str">
            <v>Ble Unlock - Total</v>
          </cell>
          <cell r="C21">
            <v>2383</v>
          </cell>
          <cell r="D21">
            <v>591</v>
          </cell>
          <cell r="E21">
            <v>4.0321489001692044</v>
          </cell>
        </row>
        <row r="22">
          <cell r="A22">
            <v>43121</v>
          </cell>
          <cell r="B22" t="str">
            <v>Ble Unlock - Total</v>
          </cell>
          <cell r="C22">
            <v>2372</v>
          </cell>
          <cell r="D22">
            <v>638</v>
          </cell>
          <cell r="E22">
            <v>3.7178683385579938</v>
          </cell>
        </row>
        <row r="23">
          <cell r="A23">
            <v>43122</v>
          </cell>
          <cell r="B23" t="str">
            <v>Ble Unlock - Total</v>
          </cell>
          <cell r="C23">
            <v>3009</v>
          </cell>
          <cell r="D23">
            <v>928</v>
          </cell>
          <cell r="E23">
            <v>3.2424568965517242</v>
          </cell>
        </row>
        <row r="24">
          <cell r="A24">
            <v>43123</v>
          </cell>
          <cell r="B24" t="str">
            <v>Ble Unlock - Total</v>
          </cell>
          <cell r="C24">
            <v>3198</v>
          </cell>
          <cell r="D24">
            <v>952</v>
          </cell>
          <cell r="E24">
            <v>3.3592436974789917</v>
          </cell>
        </row>
        <row r="25">
          <cell r="A25">
            <v>43124</v>
          </cell>
          <cell r="B25" t="str">
            <v>Ble Unlock - Total</v>
          </cell>
          <cell r="C25">
            <v>3025</v>
          </cell>
          <cell r="D25">
            <v>944</v>
          </cell>
          <cell r="E25">
            <v>3.2044491525423728</v>
          </cell>
        </row>
        <row r="26">
          <cell r="A26">
            <v>43125</v>
          </cell>
          <cell r="B26" t="str">
            <v>Ble Unlock - Total</v>
          </cell>
          <cell r="C26">
            <v>2938</v>
          </cell>
          <cell r="D26">
            <v>916</v>
          </cell>
          <cell r="E26">
            <v>3.2074235807860263</v>
          </cell>
        </row>
        <row r="27">
          <cell r="A27">
            <v>43126</v>
          </cell>
          <cell r="B27" t="str">
            <v>Ble Unlock - Total</v>
          </cell>
          <cell r="C27">
            <v>2910</v>
          </cell>
          <cell r="D27">
            <v>881</v>
          </cell>
          <cell r="E27">
            <v>3.3030646992054482</v>
          </cell>
        </row>
        <row r="28">
          <cell r="A28">
            <v>43127</v>
          </cell>
          <cell r="B28" t="str">
            <v>Ble Unlock - Total</v>
          </cell>
          <cell r="C28">
            <v>2600</v>
          </cell>
          <cell r="D28">
            <v>709</v>
          </cell>
          <cell r="E28">
            <v>3.6671368124118477</v>
          </cell>
        </row>
        <row r="29">
          <cell r="A29">
            <v>43128</v>
          </cell>
          <cell r="B29" t="str">
            <v>Ble Unlock - Total</v>
          </cell>
          <cell r="C29">
            <v>2855</v>
          </cell>
          <cell r="D29">
            <v>758</v>
          </cell>
          <cell r="E29">
            <v>3.7664907651715041</v>
          </cell>
        </row>
        <row r="30">
          <cell r="A30">
            <v>43129</v>
          </cell>
          <cell r="B30" t="str">
            <v>Ble Unlock - Total</v>
          </cell>
          <cell r="C30">
            <v>3652</v>
          </cell>
          <cell r="D30">
            <v>974</v>
          </cell>
          <cell r="E30">
            <v>3.7494866529774127</v>
          </cell>
        </row>
        <row r="31">
          <cell r="A31">
            <v>43130</v>
          </cell>
          <cell r="B31" t="str">
            <v>Ble Unlock - Total</v>
          </cell>
          <cell r="C31">
            <v>4226</v>
          </cell>
          <cell r="D31">
            <v>959</v>
          </cell>
          <cell r="E31">
            <v>4.4066736183524506</v>
          </cell>
        </row>
        <row r="32">
          <cell r="A32">
            <v>43131</v>
          </cell>
          <cell r="B32" t="str">
            <v>Ble Unlock - Total</v>
          </cell>
          <cell r="C32">
            <v>3414</v>
          </cell>
          <cell r="D32">
            <v>984</v>
          </cell>
          <cell r="E32">
            <v>3.4695121951219514</v>
          </cell>
        </row>
        <row r="33">
          <cell r="A33">
            <v>43132</v>
          </cell>
          <cell r="B33" t="str">
            <v>Ble Unlock - Total</v>
          </cell>
          <cell r="C33">
            <v>3534</v>
          </cell>
          <cell r="D33">
            <v>989</v>
          </cell>
          <cell r="E33">
            <v>3.5733063700707786</v>
          </cell>
        </row>
        <row r="34">
          <cell r="A34">
            <v>43133</v>
          </cell>
          <cell r="B34" t="str">
            <v>Ble Unlock - Total</v>
          </cell>
          <cell r="C34">
            <v>3045</v>
          </cell>
          <cell r="D34">
            <v>886</v>
          </cell>
          <cell r="E34">
            <v>3.4367945823927766</v>
          </cell>
        </row>
        <row r="35">
          <cell r="A35">
            <v>43134</v>
          </cell>
          <cell r="B35" t="str">
            <v>Ble Unlock - Total</v>
          </cell>
          <cell r="C35">
            <v>2927</v>
          </cell>
          <cell r="D35">
            <v>743</v>
          </cell>
          <cell r="E35">
            <v>3.9394347240915208</v>
          </cell>
        </row>
        <row r="36">
          <cell r="A36">
            <v>43135</v>
          </cell>
          <cell r="B36" t="str">
            <v>Ble Unlock - Total</v>
          </cell>
          <cell r="C36">
            <v>2671</v>
          </cell>
          <cell r="D36">
            <v>714</v>
          </cell>
          <cell r="E36">
            <v>3.7408963585434174</v>
          </cell>
        </row>
        <row r="37">
          <cell r="A37">
            <v>43136</v>
          </cell>
          <cell r="B37" t="str">
            <v>Ble Unlock - Total</v>
          </cell>
          <cell r="C37">
            <v>3350</v>
          </cell>
          <cell r="D37">
            <v>1022</v>
          </cell>
          <cell r="E37">
            <v>3.2778864970645794</v>
          </cell>
        </row>
        <row r="38">
          <cell r="A38">
            <v>43137</v>
          </cell>
          <cell r="B38" t="str">
            <v>Ble Unlock - Total</v>
          </cell>
          <cell r="C38">
            <v>3327</v>
          </cell>
          <cell r="D38">
            <v>986</v>
          </cell>
          <cell r="E38">
            <v>3.374239350912779</v>
          </cell>
        </row>
        <row r="39">
          <cell r="A39">
            <v>43138</v>
          </cell>
          <cell r="B39" t="str">
            <v>Ble Unlock - Total</v>
          </cell>
          <cell r="C39">
            <v>3304</v>
          </cell>
          <cell r="D39">
            <v>980</v>
          </cell>
          <cell r="E39">
            <v>3.3714285714285714</v>
          </cell>
        </row>
        <row r="40">
          <cell r="A40">
            <v>43139</v>
          </cell>
          <cell r="B40" t="str">
            <v>Ble Unlock - Total</v>
          </cell>
          <cell r="C40">
            <v>3288</v>
          </cell>
          <cell r="D40">
            <v>984</v>
          </cell>
          <cell r="E40">
            <v>3.3414634146341462</v>
          </cell>
        </row>
        <row r="41">
          <cell r="A41">
            <v>43140</v>
          </cell>
          <cell r="B41" t="str">
            <v>Ble Unlock - Total</v>
          </cell>
          <cell r="C41">
            <v>3334</v>
          </cell>
          <cell r="D41">
            <v>932</v>
          </cell>
          <cell r="E41">
            <v>3.57725321888412</v>
          </cell>
        </row>
        <row r="42">
          <cell r="A42">
            <v>43141</v>
          </cell>
          <cell r="B42" t="str">
            <v>Ble Unlock - Total</v>
          </cell>
          <cell r="C42">
            <v>3015</v>
          </cell>
          <cell r="D42">
            <v>776</v>
          </cell>
          <cell r="E42">
            <v>3.8853092783505154</v>
          </cell>
        </row>
        <row r="43">
          <cell r="A43">
            <v>43142</v>
          </cell>
          <cell r="B43" t="str">
            <v>Ble Unlock - Total</v>
          </cell>
          <cell r="C43">
            <v>2957</v>
          </cell>
          <cell r="D43">
            <v>799</v>
          </cell>
          <cell r="E43">
            <v>3.7008760951188986</v>
          </cell>
        </row>
        <row r="44">
          <cell r="A44">
            <v>43143</v>
          </cell>
          <cell r="B44" t="str">
            <v>Ble Unlock - Total</v>
          </cell>
          <cell r="C44">
            <v>3605</v>
          </cell>
          <cell r="D44">
            <v>1006</v>
          </cell>
          <cell r="E44">
            <v>3.5834990059642147</v>
          </cell>
        </row>
        <row r="45">
          <cell r="A45">
            <v>43144</v>
          </cell>
          <cell r="B45" t="str">
            <v>Ble Unlock - Total</v>
          </cell>
          <cell r="C45">
            <v>3552</v>
          </cell>
          <cell r="D45">
            <v>994</v>
          </cell>
          <cell r="E45">
            <v>3.5734406438631789</v>
          </cell>
        </row>
        <row r="46">
          <cell r="A46">
            <v>43145</v>
          </cell>
          <cell r="B46" t="str">
            <v>Ble Unlock - Total</v>
          </cell>
          <cell r="C46">
            <v>3697</v>
          </cell>
          <cell r="D46">
            <v>1020</v>
          </cell>
          <cell r="E46">
            <v>3.6245098039215686</v>
          </cell>
        </row>
        <row r="47">
          <cell r="A47">
            <v>43146</v>
          </cell>
          <cell r="B47" t="str">
            <v>Ble Unlock - Total</v>
          </cell>
          <cell r="C47">
            <v>3481</v>
          </cell>
          <cell r="D47">
            <v>1003</v>
          </cell>
          <cell r="E47">
            <v>3.4705882352941178</v>
          </cell>
        </row>
        <row r="48">
          <cell r="A48">
            <v>43147</v>
          </cell>
          <cell r="B48" t="str">
            <v>Ble Unlock - Total</v>
          </cell>
          <cell r="C48">
            <v>3141</v>
          </cell>
          <cell r="D48">
            <v>896</v>
          </cell>
          <cell r="E48">
            <v>3.5055803571428572</v>
          </cell>
        </row>
        <row r="49">
          <cell r="A49">
            <v>43148</v>
          </cell>
          <cell r="B49" t="str">
            <v>Ble Unlock - Total</v>
          </cell>
          <cell r="C49">
            <v>2811</v>
          </cell>
          <cell r="D49">
            <v>688</v>
          </cell>
          <cell r="E49">
            <v>4.0857558139534884</v>
          </cell>
        </row>
        <row r="50">
          <cell r="A50">
            <v>43149</v>
          </cell>
          <cell r="B50" t="str">
            <v>Ble Unlock - Total</v>
          </cell>
          <cell r="C50">
            <v>2781</v>
          </cell>
          <cell r="D50">
            <v>703</v>
          </cell>
          <cell r="E50">
            <v>3.9559032716927454</v>
          </cell>
        </row>
        <row r="51">
          <cell r="A51">
            <v>43150</v>
          </cell>
          <cell r="B51" t="str">
            <v>Ble Unlock - Total</v>
          </cell>
          <cell r="C51">
            <v>2987</v>
          </cell>
          <cell r="D51">
            <v>858</v>
          </cell>
          <cell r="E51">
            <v>3.4813519813519815</v>
          </cell>
        </row>
        <row r="52">
          <cell r="A52">
            <v>43151</v>
          </cell>
          <cell r="B52" t="str">
            <v>Ble Unlock - Total</v>
          </cell>
          <cell r="C52">
            <v>3592</v>
          </cell>
          <cell r="D52">
            <v>998</v>
          </cell>
          <cell r="E52">
            <v>3.5991983967935872</v>
          </cell>
        </row>
        <row r="53">
          <cell r="A53">
            <v>43152</v>
          </cell>
          <cell r="B53" t="str">
            <v>Ble Unlock - Total</v>
          </cell>
          <cell r="C53">
            <v>3645</v>
          </cell>
          <cell r="D53">
            <v>1037</v>
          </cell>
          <cell r="E53">
            <v>3.5149469623915142</v>
          </cell>
        </row>
        <row r="54">
          <cell r="A54">
            <v>43153</v>
          </cell>
          <cell r="B54" t="str">
            <v>Ble Unlock - Total</v>
          </cell>
          <cell r="C54">
            <v>3418</v>
          </cell>
          <cell r="D54">
            <v>999</v>
          </cell>
          <cell r="E54">
            <v>3.4214214214214214</v>
          </cell>
        </row>
        <row r="55">
          <cell r="A55">
            <v>43154</v>
          </cell>
          <cell r="B55" t="str">
            <v>Ble Unlock - Total</v>
          </cell>
          <cell r="C55">
            <v>3321</v>
          </cell>
          <cell r="D55">
            <v>951</v>
          </cell>
          <cell r="E55">
            <v>3.4921135646687698</v>
          </cell>
        </row>
        <row r="56">
          <cell r="A56">
            <v>43155</v>
          </cell>
          <cell r="B56" t="str">
            <v>Ble Unlock - Total</v>
          </cell>
          <cell r="C56">
            <v>3140</v>
          </cell>
          <cell r="D56">
            <v>787</v>
          </cell>
          <cell r="E56">
            <v>3.9898348157560357</v>
          </cell>
        </row>
        <row r="57">
          <cell r="A57">
            <v>43156</v>
          </cell>
          <cell r="B57" t="str">
            <v>Ble Unlock - Total</v>
          </cell>
          <cell r="C57">
            <v>3301</v>
          </cell>
          <cell r="D57">
            <v>859</v>
          </cell>
          <cell r="E57">
            <v>3.8428405122235159</v>
          </cell>
        </row>
        <row r="58">
          <cell r="A58">
            <v>43157</v>
          </cell>
          <cell r="B58" t="str">
            <v>Ble Unlock - Total</v>
          </cell>
          <cell r="C58">
            <v>3607</v>
          </cell>
          <cell r="D58">
            <v>1050</v>
          </cell>
          <cell r="E58">
            <v>3.4352380952380952</v>
          </cell>
        </row>
        <row r="59">
          <cell r="A59">
            <v>43158</v>
          </cell>
          <cell r="B59" t="str">
            <v>Ble Unlock - Total</v>
          </cell>
          <cell r="C59">
            <v>3781</v>
          </cell>
          <cell r="D59">
            <v>1081</v>
          </cell>
          <cell r="E59">
            <v>3.497687326549491</v>
          </cell>
        </row>
        <row r="60">
          <cell r="A60">
            <v>43159</v>
          </cell>
          <cell r="B60" t="str">
            <v>Ble Unlock - Total</v>
          </cell>
          <cell r="C60">
            <v>3977</v>
          </cell>
          <cell r="D60">
            <v>1082</v>
          </cell>
          <cell r="E60">
            <v>3.675600739371534</v>
          </cell>
        </row>
        <row r="61">
          <cell r="A61">
            <v>43160</v>
          </cell>
          <cell r="B61" t="str">
            <v>Ble Unlock - Total</v>
          </cell>
          <cell r="C61">
            <v>3818</v>
          </cell>
          <cell r="D61">
            <v>1076</v>
          </cell>
          <cell r="E61">
            <v>3.5483271375464684</v>
          </cell>
        </row>
        <row r="62">
          <cell r="A62">
            <v>43161</v>
          </cell>
          <cell r="B62" t="str">
            <v>Ble Unlock - Total</v>
          </cell>
          <cell r="C62">
            <v>3426</v>
          </cell>
          <cell r="D62">
            <v>973</v>
          </cell>
          <cell r="E62">
            <v>3.5210688591983557</v>
          </cell>
        </row>
        <row r="63">
          <cell r="A63">
            <v>43162</v>
          </cell>
          <cell r="B63" t="str">
            <v>Ble Unlock - Total</v>
          </cell>
          <cell r="C63">
            <v>3315</v>
          </cell>
          <cell r="D63">
            <v>826</v>
          </cell>
          <cell r="E63">
            <v>4.013317191283293</v>
          </cell>
        </row>
        <row r="64">
          <cell r="A64">
            <v>43163</v>
          </cell>
          <cell r="B64" t="str">
            <v>Ble Unlock - Total</v>
          </cell>
          <cell r="C64">
            <v>3344</v>
          </cell>
          <cell r="D64">
            <v>852</v>
          </cell>
          <cell r="E64">
            <v>3.924882629107981</v>
          </cell>
        </row>
        <row r="65">
          <cell r="A65">
            <v>43164</v>
          </cell>
          <cell r="B65" t="str">
            <v>Ble Unlock - Total</v>
          </cell>
          <cell r="C65">
            <v>3882</v>
          </cell>
          <cell r="D65">
            <v>1069</v>
          </cell>
          <cell r="E65">
            <v>3.6314312441534145</v>
          </cell>
        </row>
        <row r="66">
          <cell r="A66">
            <v>43165</v>
          </cell>
          <cell r="B66" t="str">
            <v>Ble Unlock - Total</v>
          </cell>
          <cell r="C66">
            <v>3857</v>
          </cell>
          <cell r="D66">
            <v>1045</v>
          </cell>
          <cell r="E66">
            <v>3.6909090909090909</v>
          </cell>
        </row>
        <row r="67">
          <cell r="A67">
            <v>43166</v>
          </cell>
          <cell r="B67" t="str">
            <v>Ble Unlock - Total</v>
          </cell>
          <cell r="C67">
            <v>3191</v>
          </cell>
          <cell r="D67">
            <v>927</v>
          </cell>
          <cell r="E67">
            <v>3.4422869471413162</v>
          </cell>
        </row>
        <row r="68">
          <cell r="A68">
            <v>43167</v>
          </cell>
          <cell r="B68" t="str">
            <v>Ble Unlock - Total</v>
          </cell>
          <cell r="C68">
            <v>3708</v>
          </cell>
          <cell r="D68">
            <v>1065</v>
          </cell>
          <cell r="E68">
            <v>3.4816901408450702</v>
          </cell>
        </row>
        <row r="69">
          <cell r="A69">
            <v>43168</v>
          </cell>
          <cell r="B69" t="str">
            <v>Ble Unlock - Total</v>
          </cell>
          <cell r="C69">
            <v>3890</v>
          </cell>
          <cell r="D69">
            <v>1034</v>
          </cell>
          <cell r="E69">
            <v>3.7620889748549322</v>
          </cell>
        </row>
        <row r="70">
          <cell r="A70">
            <v>43169</v>
          </cell>
          <cell r="B70" t="str">
            <v>Ble Unlock - Total</v>
          </cell>
          <cell r="C70">
            <v>3589</v>
          </cell>
          <cell r="D70">
            <v>853</v>
          </cell>
          <cell r="E70">
            <v>4.2075029308323568</v>
          </cell>
        </row>
        <row r="71">
          <cell r="A71">
            <v>43170</v>
          </cell>
          <cell r="B71" t="str">
            <v>Ble Unlock - Total</v>
          </cell>
          <cell r="C71">
            <v>3111</v>
          </cell>
          <cell r="D71">
            <v>855</v>
          </cell>
          <cell r="E71">
            <v>3.6385964912280704</v>
          </cell>
        </row>
        <row r="72">
          <cell r="A72">
            <v>43171</v>
          </cell>
          <cell r="B72" t="str">
            <v>Ble Unlock - Total</v>
          </cell>
          <cell r="C72">
            <v>3672</v>
          </cell>
          <cell r="D72">
            <v>1061</v>
          </cell>
          <cell r="E72">
            <v>3.4608859566446748</v>
          </cell>
        </row>
        <row r="73">
          <cell r="A73">
            <v>43172</v>
          </cell>
          <cell r="B73" t="str">
            <v>Ble Unlock - Total</v>
          </cell>
          <cell r="C73">
            <v>3520</v>
          </cell>
          <cell r="D73">
            <v>1051</v>
          </cell>
          <cell r="E73">
            <v>3.3491912464319697</v>
          </cell>
        </row>
        <row r="74">
          <cell r="A74">
            <v>43173</v>
          </cell>
          <cell r="B74" t="str">
            <v>Ble Unlock - Total</v>
          </cell>
          <cell r="C74">
            <v>3922</v>
          </cell>
          <cell r="D74">
            <v>1072</v>
          </cell>
          <cell r="E74">
            <v>3.658582089552239</v>
          </cell>
        </row>
        <row r="75">
          <cell r="A75">
            <v>43174</v>
          </cell>
          <cell r="B75" t="str">
            <v>Ble Unlock - Total</v>
          </cell>
          <cell r="C75">
            <v>3819</v>
          </cell>
          <cell r="D75">
            <v>1066</v>
          </cell>
          <cell r="E75">
            <v>3.5825515947467168</v>
          </cell>
        </row>
        <row r="76">
          <cell r="A76">
            <v>43175</v>
          </cell>
          <cell r="B76" t="str">
            <v>Ble Unlock - Total</v>
          </cell>
          <cell r="C76">
            <v>3995</v>
          </cell>
          <cell r="D76">
            <v>1051</v>
          </cell>
          <cell r="E76">
            <v>3.801141769743102</v>
          </cell>
        </row>
        <row r="77">
          <cell r="A77">
            <v>43176</v>
          </cell>
          <cell r="B77" t="str">
            <v>Ble Unlock - Total</v>
          </cell>
          <cell r="C77">
            <v>3237</v>
          </cell>
          <cell r="D77">
            <v>834</v>
          </cell>
          <cell r="E77">
            <v>3.8812949640287768</v>
          </cell>
        </row>
        <row r="78">
          <cell r="A78">
            <v>43177</v>
          </cell>
          <cell r="B78" t="str">
            <v>Ble Unlock - Total</v>
          </cell>
          <cell r="C78">
            <v>3004</v>
          </cell>
          <cell r="D78">
            <v>853</v>
          </cell>
          <cell r="E78">
            <v>3.52168815943728</v>
          </cell>
        </row>
        <row r="79">
          <cell r="A79">
            <v>43178</v>
          </cell>
          <cell r="B79" t="str">
            <v>Ble Unlock - Total</v>
          </cell>
          <cell r="C79">
            <v>3874</v>
          </cell>
          <cell r="D79">
            <v>1123</v>
          </cell>
          <cell r="E79">
            <v>3.4496883348174534</v>
          </cell>
        </row>
        <row r="80">
          <cell r="A80">
            <v>43179</v>
          </cell>
          <cell r="B80" t="str">
            <v>Ble Unlock - Total</v>
          </cell>
          <cell r="C80">
            <v>3899</v>
          </cell>
          <cell r="D80">
            <v>1114</v>
          </cell>
          <cell r="E80">
            <v>3.5</v>
          </cell>
        </row>
        <row r="81">
          <cell r="A81">
            <v>43180</v>
          </cell>
          <cell r="B81" t="str">
            <v>Ble Unlock - Total</v>
          </cell>
          <cell r="C81">
            <v>3342</v>
          </cell>
          <cell r="D81">
            <v>923</v>
          </cell>
          <cell r="E81">
            <v>3.6208017334777898</v>
          </cell>
        </row>
        <row r="82">
          <cell r="A82">
            <v>43181</v>
          </cell>
          <cell r="B82" t="str">
            <v>Ble Unlock - Total</v>
          </cell>
          <cell r="C82">
            <v>3952</v>
          </cell>
          <cell r="D82">
            <v>1124</v>
          </cell>
          <cell r="E82">
            <v>3.5160142348754446</v>
          </cell>
        </row>
        <row r="83">
          <cell r="A83">
            <v>43182</v>
          </cell>
          <cell r="B83" t="str">
            <v>Ble Unlock - Total</v>
          </cell>
          <cell r="C83">
            <v>3952</v>
          </cell>
          <cell r="D83">
            <v>1092</v>
          </cell>
          <cell r="E83">
            <v>3.6190476190476191</v>
          </cell>
        </row>
        <row r="84">
          <cell r="A84">
            <v>43183</v>
          </cell>
          <cell r="B84" t="str">
            <v>Ble Unlock - Total</v>
          </cell>
          <cell r="C84">
            <v>3440</v>
          </cell>
          <cell r="D84">
            <v>889</v>
          </cell>
          <cell r="E84">
            <v>3.8695163104611923</v>
          </cell>
        </row>
        <row r="85">
          <cell r="A85">
            <v>43184</v>
          </cell>
          <cell r="B85" t="str">
            <v>Ble Unlock - Total</v>
          </cell>
          <cell r="C85">
            <v>3550</v>
          </cell>
          <cell r="D85">
            <v>934</v>
          </cell>
          <cell r="E85">
            <v>3.8008565310492504</v>
          </cell>
        </row>
        <row r="86">
          <cell r="A86">
            <v>43185</v>
          </cell>
          <cell r="B86" t="str">
            <v>Ble Unlock - Total</v>
          </cell>
          <cell r="C86">
            <v>4123</v>
          </cell>
          <cell r="D86">
            <v>1190</v>
          </cell>
          <cell r="E86">
            <v>3.4647058823529413</v>
          </cell>
        </row>
        <row r="87">
          <cell r="A87">
            <v>43186</v>
          </cell>
          <cell r="B87" t="str">
            <v>Ble Unlock - Total</v>
          </cell>
          <cell r="C87">
            <v>4132</v>
          </cell>
          <cell r="D87">
            <v>1189</v>
          </cell>
          <cell r="E87">
            <v>3.4751892346509674</v>
          </cell>
        </row>
        <row r="88">
          <cell r="A88">
            <v>43187</v>
          </cell>
          <cell r="B88" t="str">
            <v>Ble Unlock - Total</v>
          </cell>
          <cell r="C88">
            <v>4245</v>
          </cell>
          <cell r="D88">
            <v>1169</v>
          </cell>
          <cell r="E88">
            <v>3.6313088109495295</v>
          </cell>
        </row>
        <row r="89">
          <cell r="A89">
            <v>43188</v>
          </cell>
          <cell r="B89" t="str">
            <v>Ble Unlock - Total</v>
          </cell>
          <cell r="C89">
            <v>4198</v>
          </cell>
          <cell r="D89">
            <v>1132</v>
          </cell>
          <cell r="E89">
            <v>3.7084805653710249</v>
          </cell>
        </row>
        <row r="90">
          <cell r="A90">
            <v>43189</v>
          </cell>
          <cell r="B90" t="str">
            <v>Ble Unlock - Total</v>
          </cell>
          <cell r="C90">
            <v>4212</v>
          </cell>
          <cell r="D90">
            <v>1066</v>
          </cell>
          <cell r="E90">
            <v>3.9512195121951219</v>
          </cell>
          <cell r="F90" t="str">
            <v>Q1 2018</v>
          </cell>
        </row>
        <row r="91">
          <cell r="A91">
            <v>43190</v>
          </cell>
          <cell r="B91" t="str">
            <v>Ble Unlock - Total</v>
          </cell>
          <cell r="C91">
            <v>3872</v>
          </cell>
          <cell r="D91">
            <v>861</v>
          </cell>
          <cell r="E91">
            <v>4.4970963995354243</v>
          </cell>
          <cell r="F91">
            <v>3.5802215078755086</v>
          </cell>
        </row>
        <row r="92">
          <cell r="A92">
            <v>43191</v>
          </cell>
          <cell r="B92" t="str">
            <v>Ble Unlock - Total</v>
          </cell>
          <cell r="C92">
            <v>3434</v>
          </cell>
          <cell r="D92">
            <v>891</v>
          </cell>
          <cell r="E92">
            <v>3.8540965207631874</v>
          </cell>
        </row>
        <row r="93">
          <cell r="A93">
            <v>43192</v>
          </cell>
          <cell r="B93" t="str">
            <v>Ble Unlock - Total</v>
          </cell>
          <cell r="C93">
            <v>4141</v>
          </cell>
          <cell r="D93">
            <v>1169</v>
          </cell>
          <cell r="E93">
            <v>3.5423438836612489</v>
          </cell>
        </row>
        <row r="94">
          <cell r="A94">
            <v>43193</v>
          </cell>
          <cell r="B94" t="str">
            <v>Ble Unlock - Total</v>
          </cell>
          <cell r="C94">
            <v>4813</v>
          </cell>
          <cell r="D94">
            <v>1237</v>
          </cell>
          <cell r="E94">
            <v>3.8908649959579629</v>
          </cell>
        </row>
        <row r="95">
          <cell r="A95">
            <v>43194</v>
          </cell>
          <cell r="B95" t="str">
            <v>Ble Unlock - Total</v>
          </cell>
          <cell r="C95">
            <v>4953</v>
          </cell>
          <cell r="D95">
            <v>1239</v>
          </cell>
          <cell r="E95">
            <v>3.9975786924939469</v>
          </cell>
        </row>
        <row r="96">
          <cell r="A96">
            <v>43195</v>
          </cell>
          <cell r="B96" t="str">
            <v>Ble Unlock - Total</v>
          </cell>
          <cell r="C96">
            <v>4785</v>
          </cell>
          <cell r="D96">
            <v>1218</v>
          </cell>
          <cell r="E96">
            <v>3.9285714285714284</v>
          </cell>
        </row>
        <row r="97">
          <cell r="A97">
            <v>43196</v>
          </cell>
          <cell r="B97" t="str">
            <v>Ble Unlock - Total</v>
          </cell>
          <cell r="C97">
            <v>4554</v>
          </cell>
          <cell r="D97">
            <v>1144</v>
          </cell>
          <cell r="E97">
            <v>3.9807692307692308</v>
          </cell>
        </row>
        <row r="98">
          <cell r="A98">
            <v>43197</v>
          </cell>
          <cell r="B98" t="str">
            <v>Ble Unlock - Total</v>
          </cell>
          <cell r="C98">
            <v>4260</v>
          </cell>
          <cell r="D98">
            <v>1000</v>
          </cell>
          <cell r="E98">
            <v>4.26</v>
          </cell>
        </row>
        <row r="99">
          <cell r="A99">
            <v>43198</v>
          </cell>
          <cell r="B99" t="str">
            <v>Ble Unlock - Total</v>
          </cell>
          <cell r="C99">
            <v>4215</v>
          </cell>
          <cell r="D99">
            <v>1036</v>
          </cell>
          <cell r="E99">
            <v>4.0685328185328187</v>
          </cell>
        </row>
        <row r="100">
          <cell r="A100">
            <v>43199</v>
          </cell>
          <cell r="B100" t="str">
            <v>Ble Unlock - Total</v>
          </cell>
          <cell r="C100">
            <v>4753</v>
          </cell>
          <cell r="D100">
            <v>1308</v>
          </cell>
          <cell r="E100">
            <v>3.6337920489296636</v>
          </cell>
        </row>
        <row r="101">
          <cell r="A101">
            <v>43200</v>
          </cell>
          <cell r="B101" t="str">
            <v>Ble Unlock - Total</v>
          </cell>
          <cell r="C101">
            <v>4998</v>
          </cell>
          <cell r="D101">
            <v>1308</v>
          </cell>
          <cell r="E101">
            <v>3.8211009174311927</v>
          </cell>
        </row>
        <row r="102">
          <cell r="A102">
            <v>43201</v>
          </cell>
          <cell r="B102" t="str">
            <v>Ble Unlock - Total</v>
          </cell>
          <cell r="C102">
            <v>5096</v>
          </cell>
          <cell r="D102">
            <v>1322</v>
          </cell>
          <cell r="E102">
            <v>3.8547655068078668</v>
          </cell>
        </row>
        <row r="103">
          <cell r="A103">
            <v>43202</v>
          </cell>
          <cell r="B103" t="str">
            <v>Ble Unlock - Total</v>
          </cell>
          <cell r="C103">
            <v>5052</v>
          </cell>
          <cell r="D103">
            <v>1317</v>
          </cell>
          <cell r="E103">
            <v>3.8359908883826881</v>
          </cell>
        </row>
        <row r="104">
          <cell r="A104">
            <v>43203</v>
          </cell>
          <cell r="B104" t="str">
            <v>Ble Unlock - Total</v>
          </cell>
          <cell r="C104">
            <v>5522</v>
          </cell>
          <cell r="D104">
            <v>1284</v>
          </cell>
          <cell r="E104">
            <v>4.3006230529595015</v>
          </cell>
        </row>
        <row r="105">
          <cell r="A105">
            <v>43204</v>
          </cell>
          <cell r="B105" t="str">
            <v>Ble Unlock - Total</v>
          </cell>
          <cell r="C105">
            <v>4698</v>
          </cell>
          <cell r="D105">
            <v>1061</v>
          </cell>
          <cell r="E105">
            <v>4.4278982092365693</v>
          </cell>
        </row>
        <row r="106">
          <cell r="A106">
            <v>43205</v>
          </cell>
          <cell r="B106" t="str">
            <v>Ble Unlock - Total</v>
          </cell>
          <cell r="C106">
            <v>4201</v>
          </cell>
          <cell r="D106">
            <v>1078</v>
          </cell>
          <cell r="E106">
            <v>3.8970315398886828</v>
          </cell>
        </row>
        <row r="107">
          <cell r="A107">
            <v>43206</v>
          </cell>
          <cell r="B107" t="str">
            <v>Ble Unlock - Total</v>
          </cell>
          <cell r="C107">
            <v>5052</v>
          </cell>
          <cell r="D107">
            <v>1331</v>
          </cell>
          <cell r="E107">
            <v>3.7956423741547707</v>
          </cell>
        </row>
        <row r="108">
          <cell r="A108">
            <v>43207</v>
          </cell>
          <cell r="B108" t="str">
            <v>Ble Unlock - Total</v>
          </cell>
          <cell r="C108">
            <v>5086</v>
          </cell>
          <cell r="D108">
            <v>1367</v>
          </cell>
          <cell r="E108">
            <v>3.7205559619604975</v>
          </cell>
        </row>
        <row r="109">
          <cell r="A109">
            <v>43208</v>
          </cell>
          <cell r="B109" t="str">
            <v>Ble Unlock - Total</v>
          </cell>
          <cell r="C109">
            <v>5531</v>
          </cell>
          <cell r="D109">
            <v>1393</v>
          </cell>
          <cell r="E109">
            <v>3.9705671213208902</v>
          </cell>
        </row>
        <row r="110">
          <cell r="A110">
            <v>43209</v>
          </cell>
          <cell r="B110" t="str">
            <v>Ble Unlock - Total</v>
          </cell>
          <cell r="C110">
            <v>5542</v>
          </cell>
          <cell r="D110">
            <v>1394</v>
          </cell>
          <cell r="E110">
            <v>3.975609756097561</v>
          </cell>
        </row>
        <row r="111">
          <cell r="A111">
            <v>43210</v>
          </cell>
          <cell r="B111" t="str">
            <v>Ble Unlock - Total</v>
          </cell>
          <cell r="C111">
            <v>5462</v>
          </cell>
          <cell r="D111">
            <v>1359</v>
          </cell>
          <cell r="E111">
            <v>4.0191317144959529</v>
          </cell>
        </row>
        <row r="112">
          <cell r="A112">
            <v>43211</v>
          </cell>
          <cell r="B112" t="str">
            <v>Ble Unlock - Total</v>
          </cell>
          <cell r="C112">
            <v>4797</v>
          </cell>
          <cell r="D112">
            <v>1134</v>
          </cell>
          <cell r="E112">
            <v>4.2301587301587302</v>
          </cell>
        </row>
        <row r="113">
          <cell r="A113">
            <v>43212</v>
          </cell>
          <cell r="B113" t="str">
            <v>Ble Unlock - Total</v>
          </cell>
          <cell r="C113">
            <v>4939</v>
          </cell>
          <cell r="D113">
            <v>1188</v>
          </cell>
          <cell r="E113">
            <v>4.1574074074074074</v>
          </cell>
        </row>
        <row r="114">
          <cell r="A114">
            <v>43213</v>
          </cell>
          <cell r="B114" t="str">
            <v>Ble Unlock - Total</v>
          </cell>
          <cell r="C114">
            <v>5164</v>
          </cell>
          <cell r="D114">
            <v>1432</v>
          </cell>
          <cell r="E114">
            <v>3.6061452513966481</v>
          </cell>
        </row>
        <row r="115">
          <cell r="A115">
            <v>43214</v>
          </cell>
          <cell r="B115" t="str">
            <v>Ble Unlock - Total</v>
          </cell>
          <cell r="C115">
            <v>5537</v>
          </cell>
          <cell r="D115">
            <v>1489</v>
          </cell>
          <cell r="E115">
            <v>3.7186030893216926</v>
          </cell>
        </row>
        <row r="116">
          <cell r="A116">
            <v>43215</v>
          </cell>
          <cell r="B116" t="str">
            <v>Ble Unlock - Total</v>
          </cell>
          <cell r="C116">
            <v>5443</v>
          </cell>
          <cell r="D116">
            <v>1488</v>
          </cell>
          <cell r="E116">
            <v>3.6579301075268815</v>
          </cell>
        </row>
        <row r="117">
          <cell r="A117">
            <v>43216</v>
          </cell>
          <cell r="B117" t="str">
            <v>Ble Unlock - Total</v>
          </cell>
          <cell r="C117">
            <v>5839</v>
          </cell>
          <cell r="D117">
            <v>1531</v>
          </cell>
          <cell r="E117">
            <v>3.8138471587197911</v>
          </cell>
        </row>
        <row r="118">
          <cell r="A118">
            <v>43217</v>
          </cell>
          <cell r="B118" t="str">
            <v>Ble Unlock - Total</v>
          </cell>
          <cell r="C118">
            <v>5551</v>
          </cell>
          <cell r="D118">
            <v>1416</v>
          </cell>
          <cell r="E118">
            <v>3.9201977401129944</v>
          </cell>
        </row>
        <row r="119">
          <cell r="A119">
            <v>43218</v>
          </cell>
          <cell r="B119" t="str">
            <v>Ble Unlock - Total</v>
          </cell>
          <cell r="C119">
            <v>5549</v>
          </cell>
          <cell r="D119">
            <v>1238</v>
          </cell>
          <cell r="E119">
            <v>4.4822294022617122</v>
          </cell>
        </row>
        <row r="120">
          <cell r="A120">
            <v>43219</v>
          </cell>
          <cell r="B120" t="str">
            <v>Ble Unlock - Total</v>
          </cell>
          <cell r="C120">
            <v>5432</v>
          </cell>
          <cell r="D120">
            <v>1298</v>
          </cell>
          <cell r="E120">
            <v>4.184899845916795</v>
          </cell>
        </row>
        <row r="121">
          <cell r="A121">
            <v>43220</v>
          </cell>
          <cell r="B121" t="str">
            <v>Ble Unlock - Total</v>
          </cell>
          <cell r="C121">
            <v>5806</v>
          </cell>
          <cell r="D121">
            <v>1563</v>
          </cell>
          <cell r="E121">
            <v>3.7146513115802944</v>
          </cell>
        </row>
        <row r="122">
          <cell r="A122">
            <v>43221</v>
          </cell>
          <cell r="B122" t="str">
            <v>Ble Unlock - Total</v>
          </cell>
          <cell r="C122">
            <v>6699</v>
          </cell>
          <cell r="D122">
            <v>1649</v>
          </cell>
          <cell r="E122">
            <v>4.0624620982413582</v>
          </cell>
        </row>
        <row r="123">
          <cell r="A123">
            <v>43222</v>
          </cell>
          <cell r="B123" t="str">
            <v>Ble Unlock - Total</v>
          </cell>
          <cell r="C123">
            <v>6518</v>
          </cell>
          <cell r="D123">
            <v>1651</v>
          </cell>
          <cell r="E123">
            <v>3.9479103573591763</v>
          </cell>
        </row>
        <row r="124">
          <cell r="A124">
            <v>43223</v>
          </cell>
          <cell r="B124" t="str">
            <v>Ble Unlock - Total</v>
          </cell>
          <cell r="C124">
            <v>6561</v>
          </cell>
          <cell r="D124">
            <v>1647</v>
          </cell>
          <cell r="E124">
            <v>3.9836065573770494</v>
          </cell>
        </row>
        <row r="125">
          <cell r="A125">
            <v>43224</v>
          </cell>
          <cell r="B125" t="str">
            <v>Ble Unlock - Total</v>
          </cell>
          <cell r="C125">
            <v>6558</v>
          </cell>
          <cell r="D125">
            <v>1590</v>
          </cell>
          <cell r="E125">
            <v>4.1245283018867926</v>
          </cell>
        </row>
        <row r="126">
          <cell r="A126">
            <v>43225</v>
          </cell>
          <cell r="B126" t="str">
            <v>Ble Unlock - Total</v>
          </cell>
          <cell r="C126">
            <v>5736</v>
          </cell>
          <cell r="D126">
            <v>1318</v>
          </cell>
          <cell r="E126">
            <v>4.3520485584218509</v>
          </cell>
        </row>
        <row r="127">
          <cell r="A127">
            <v>43226</v>
          </cell>
          <cell r="B127" t="str">
            <v>Ble Unlock - Total</v>
          </cell>
          <cell r="C127">
            <v>5707</v>
          </cell>
          <cell r="D127">
            <v>1359</v>
          </cell>
          <cell r="E127">
            <v>4.199411331861663</v>
          </cell>
        </row>
        <row r="128">
          <cell r="A128">
            <v>43227</v>
          </cell>
          <cell r="B128" t="str">
            <v>Ble Unlock - Total</v>
          </cell>
          <cell r="C128">
            <v>6272</v>
          </cell>
          <cell r="D128">
            <v>1639</v>
          </cell>
          <cell r="E128">
            <v>3.8267236119585113</v>
          </cell>
        </row>
        <row r="129">
          <cell r="A129">
            <v>43228</v>
          </cell>
          <cell r="B129" t="str">
            <v>Ble Unlock - Total</v>
          </cell>
          <cell r="C129">
            <v>6359</v>
          </cell>
          <cell r="D129">
            <v>1674</v>
          </cell>
          <cell r="E129">
            <v>3.7986857825567504</v>
          </cell>
        </row>
        <row r="130">
          <cell r="A130">
            <v>43229</v>
          </cell>
          <cell r="B130" t="str">
            <v>Ble Unlock - Total</v>
          </cell>
          <cell r="C130">
            <v>6521</v>
          </cell>
          <cell r="D130">
            <v>1673</v>
          </cell>
          <cell r="E130">
            <v>3.8977884040645545</v>
          </cell>
        </row>
        <row r="131">
          <cell r="A131">
            <v>43230</v>
          </cell>
          <cell r="B131" t="str">
            <v>Ble Unlock - Total</v>
          </cell>
          <cell r="C131">
            <v>6319</v>
          </cell>
          <cell r="D131">
            <v>1616</v>
          </cell>
          <cell r="E131">
            <v>3.910272277227723</v>
          </cell>
        </row>
        <row r="132">
          <cell r="A132">
            <v>43231</v>
          </cell>
          <cell r="B132" t="str">
            <v>Ble Unlock - Total</v>
          </cell>
          <cell r="C132">
            <v>6597</v>
          </cell>
          <cell r="D132">
            <v>1565</v>
          </cell>
          <cell r="E132">
            <v>4.2153354632587856</v>
          </cell>
        </row>
        <row r="133">
          <cell r="A133">
            <v>43232</v>
          </cell>
          <cell r="B133" t="str">
            <v>Ble Unlock - Total</v>
          </cell>
          <cell r="C133">
            <v>5745</v>
          </cell>
          <cell r="D133">
            <v>1264</v>
          </cell>
          <cell r="E133">
            <v>4.5450949367088604</v>
          </cell>
        </row>
        <row r="134">
          <cell r="A134">
            <v>43233</v>
          </cell>
          <cell r="B134" t="str">
            <v>Ble Unlock - Total</v>
          </cell>
          <cell r="C134">
            <v>5380</v>
          </cell>
          <cell r="D134">
            <v>1308</v>
          </cell>
          <cell r="E134">
            <v>4.1131498470948014</v>
          </cell>
        </row>
        <row r="135">
          <cell r="A135">
            <v>43234</v>
          </cell>
          <cell r="B135" t="str">
            <v>Ble Unlock - Total</v>
          </cell>
          <cell r="C135">
            <v>6389</v>
          </cell>
          <cell r="D135">
            <v>1678</v>
          </cell>
          <cell r="E135">
            <v>3.8075089392133492</v>
          </cell>
        </row>
        <row r="136">
          <cell r="A136">
            <v>43235</v>
          </cell>
          <cell r="B136" t="str">
            <v>Ble Unlock - Total</v>
          </cell>
          <cell r="C136">
            <v>6751</v>
          </cell>
          <cell r="D136">
            <v>1756</v>
          </cell>
          <cell r="E136">
            <v>3.8445330296127564</v>
          </cell>
        </row>
        <row r="137">
          <cell r="A137">
            <v>43236</v>
          </cell>
          <cell r="B137" t="str">
            <v>Ble Unlock - Total</v>
          </cell>
          <cell r="C137">
            <v>6691</v>
          </cell>
          <cell r="D137">
            <v>1705</v>
          </cell>
          <cell r="E137">
            <v>3.9243401759530792</v>
          </cell>
        </row>
        <row r="138">
          <cell r="A138">
            <v>43237</v>
          </cell>
          <cell r="B138" t="str">
            <v>Ble Unlock - Total</v>
          </cell>
          <cell r="C138">
            <v>6749</v>
          </cell>
          <cell r="D138">
            <v>1701</v>
          </cell>
          <cell r="E138">
            <v>3.96766607877719</v>
          </cell>
        </row>
        <row r="139">
          <cell r="A139">
            <v>43238</v>
          </cell>
          <cell r="B139" t="str">
            <v>Ble Unlock - Total</v>
          </cell>
          <cell r="C139">
            <v>6747</v>
          </cell>
          <cell r="D139">
            <v>1631</v>
          </cell>
          <cell r="E139">
            <v>4.1367259350091965</v>
          </cell>
        </row>
        <row r="140">
          <cell r="A140">
            <v>43239</v>
          </cell>
          <cell r="B140" t="str">
            <v>Ble Unlock - Total</v>
          </cell>
          <cell r="C140">
            <v>5547</v>
          </cell>
          <cell r="D140">
            <v>1289</v>
          </cell>
          <cell r="E140">
            <v>4.3033359193173002</v>
          </cell>
        </row>
        <row r="141">
          <cell r="A141">
            <v>43240</v>
          </cell>
          <cell r="B141" t="str">
            <v>Ble Unlock - Total</v>
          </cell>
          <cell r="C141">
            <v>5945</v>
          </cell>
          <cell r="D141">
            <v>1393</v>
          </cell>
          <cell r="E141">
            <v>4.2677674084709256</v>
          </cell>
        </row>
        <row r="142">
          <cell r="A142">
            <v>43241</v>
          </cell>
          <cell r="B142" t="str">
            <v>Ble Unlock - Total</v>
          </cell>
          <cell r="C142">
            <v>6710</v>
          </cell>
          <cell r="D142">
            <v>1687</v>
          </cell>
          <cell r="E142">
            <v>3.9774748073503261</v>
          </cell>
        </row>
        <row r="143">
          <cell r="A143">
            <v>43242</v>
          </cell>
          <cell r="B143" t="str">
            <v>Ble Unlock - Total</v>
          </cell>
          <cell r="C143">
            <v>6878</v>
          </cell>
          <cell r="D143">
            <v>1749</v>
          </cell>
          <cell r="E143">
            <v>3.9325328759291023</v>
          </cell>
        </row>
        <row r="144">
          <cell r="A144">
            <v>43243</v>
          </cell>
          <cell r="B144" t="str">
            <v>Ble Unlock - Total</v>
          </cell>
          <cell r="C144">
            <v>6818</v>
          </cell>
          <cell r="D144">
            <v>1729</v>
          </cell>
          <cell r="E144">
            <v>3.9433198380566803</v>
          </cell>
        </row>
        <row r="145">
          <cell r="A145">
            <v>43244</v>
          </cell>
          <cell r="B145" t="str">
            <v>Ble Unlock - Total</v>
          </cell>
          <cell r="C145">
            <v>6897</v>
          </cell>
          <cell r="D145">
            <v>1720</v>
          </cell>
          <cell r="E145">
            <v>4.0098837209302323</v>
          </cell>
        </row>
        <row r="146">
          <cell r="A146">
            <v>43245</v>
          </cell>
          <cell r="B146" t="str">
            <v>Ble Unlock - Total</v>
          </cell>
          <cell r="C146">
            <v>6587</v>
          </cell>
          <cell r="D146">
            <v>1553</v>
          </cell>
          <cell r="E146">
            <v>4.2414681262073408</v>
          </cell>
        </row>
        <row r="147">
          <cell r="A147">
            <v>43246</v>
          </cell>
          <cell r="B147" t="str">
            <v>Ble Unlock - Total</v>
          </cell>
          <cell r="C147">
            <v>5386</v>
          </cell>
          <cell r="D147">
            <v>1186</v>
          </cell>
          <cell r="E147">
            <v>4.5413153456998314</v>
          </cell>
        </row>
        <row r="148">
          <cell r="A148">
            <v>43247</v>
          </cell>
          <cell r="B148" t="str">
            <v>Ble Unlock - Total</v>
          </cell>
          <cell r="C148">
            <v>4651</v>
          </cell>
          <cell r="D148">
            <v>1088</v>
          </cell>
          <cell r="E148">
            <v>4.2748161764705879</v>
          </cell>
        </row>
        <row r="149">
          <cell r="A149">
            <v>43248</v>
          </cell>
          <cell r="B149" t="str">
            <v>Ble Unlock - Total</v>
          </cell>
          <cell r="C149">
            <v>5244</v>
          </cell>
          <cell r="D149">
            <v>1333</v>
          </cell>
          <cell r="E149">
            <v>3.9339834958739686</v>
          </cell>
        </row>
        <row r="150">
          <cell r="A150">
            <v>43249</v>
          </cell>
          <cell r="B150" t="str">
            <v>Ble Unlock - Total</v>
          </cell>
          <cell r="C150">
            <v>7464</v>
          </cell>
          <cell r="D150">
            <v>1747</v>
          </cell>
          <cell r="E150">
            <v>4.2724670864338865</v>
          </cell>
        </row>
        <row r="151">
          <cell r="A151">
            <v>43250</v>
          </cell>
          <cell r="B151" t="str">
            <v>Ble Unlock - Total</v>
          </cell>
          <cell r="C151">
            <v>7319</v>
          </cell>
          <cell r="D151">
            <v>1818</v>
          </cell>
          <cell r="E151">
            <v>4.0258525852585256</v>
          </cell>
        </row>
        <row r="152">
          <cell r="A152">
            <v>43251</v>
          </cell>
          <cell r="B152" t="str">
            <v>Ble Unlock - Total</v>
          </cell>
          <cell r="C152">
            <v>7334</v>
          </cell>
          <cell r="D152">
            <v>1785</v>
          </cell>
          <cell r="E152">
            <v>4.1086834733893554</v>
          </cell>
        </row>
        <row r="153">
          <cell r="A153">
            <v>43252</v>
          </cell>
          <cell r="B153" t="str">
            <v>Ble Unlock - Total</v>
          </cell>
          <cell r="C153">
            <v>8350</v>
          </cell>
          <cell r="D153">
            <v>1829</v>
          </cell>
          <cell r="E153">
            <v>4.5653362493165668</v>
          </cell>
        </row>
        <row r="154">
          <cell r="A154">
            <v>43253</v>
          </cell>
          <cell r="B154" t="str">
            <v>Ble Unlock - Total</v>
          </cell>
          <cell r="C154">
            <v>7045</v>
          </cell>
          <cell r="D154">
            <v>1519</v>
          </cell>
          <cell r="E154">
            <v>4.6379196840026333</v>
          </cell>
        </row>
        <row r="155">
          <cell r="A155">
            <v>43254</v>
          </cell>
          <cell r="B155" t="str">
            <v>Ble Unlock - Total</v>
          </cell>
          <cell r="C155">
            <v>6788</v>
          </cell>
          <cell r="D155">
            <v>1548</v>
          </cell>
          <cell r="E155">
            <v>4.3850129198966412</v>
          </cell>
        </row>
        <row r="156">
          <cell r="A156">
            <v>43255</v>
          </cell>
          <cell r="B156" t="str">
            <v>Ble Unlock - Total</v>
          </cell>
          <cell r="C156">
            <v>8015</v>
          </cell>
          <cell r="D156">
            <v>1910</v>
          </cell>
          <cell r="E156">
            <v>4.1963350785340312</v>
          </cell>
        </row>
        <row r="157">
          <cell r="A157">
            <v>43256</v>
          </cell>
          <cell r="B157" t="str">
            <v>Ble Unlock - Total</v>
          </cell>
          <cell r="C157">
            <v>8127</v>
          </cell>
          <cell r="D157">
            <v>1944</v>
          </cell>
          <cell r="E157">
            <v>4.1805555555555554</v>
          </cell>
        </row>
        <row r="158">
          <cell r="A158">
            <v>43257</v>
          </cell>
          <cell r="B158" t="str">
            <v>Ble Unlock - Total</v>
          </cell>
          <cell r="C158">
            <v>8096</v>
          </cell>
          <cell r="D158">
            <v>1938</v>
          </cell>
          <cell r="E158">
            <v>4.1775025799793601</v>
          </cell>
        </row>
        <row r="159">
          <cell r="A159">
            <v>43258</v>
          </cell>
          <cell r="B159" t="str">
            <v>Ble Unlock - Total</v>
          </cell>
          <cell r="C159">
            <v>7825</v>
          </cell>
          <cell r="D159">
            <v>1920</v>
          </cell>
          <cell r="E159">
            <v>4.075520833333333</v>
          </cell>
        </row>
        <row r="160">
          <cell r="A160">
            <v>43259</v>
          </cell>
          <cell r="B160" t="str">
            <v>Ble Unlock - Total</v>
          </cell>
          <cell r="C160">
            <v>8308</v>
          </cell>
          <cell r="D160">
            <v>1934</v>
          </cell>
          <cell r="E160">
            <v>4.2957600827300935</v>
          </cell>
        </row>
        <row r="161">
          <cell r="A161">
            <v>43260</v>
          </cell>
          <cell r="B161" t="str">
            <v>Ble Unlock - Total</v>
          </cell>
          <cell r="C161">
            <v>7367</v>
          </cell>
          <cell r="D161">
            <v>1634</v>
          </cell>
          <cell r="E161">
            <v>4.5085679314565485</v>
          </cell>
        </row>
        <row r="162">
          <cell r="A162">
            <v>43261</v>
          </cell>
          <cell r="B162" t="str">
            <v>Ble Unlock - Total</v>
          </cell>
          <cell r="C162">
            <v>6966</v>
          </cell>
          <cell r="D162">
            <v>1639</v>
          </cell>
          <cell r="E162">
            <v>4.250152532031727</v>
          </cell>
        </row>
        <row r="163">
          <cell r="A163">
            <v>43262</v>
          </cell>
          <cell r="B163" t="str">
            <v>Ble Unlock - Total</v>
          </cell>
          <cell r="C163">
            <v>7847</v>
          </cell>
          <cell r="D163">
            <v>2011</v>
          </cell>
          <cell r="E163">
            <v>3.9020387866732968</v>
          </cell>
        </row>
        <row r="164">
          <cell r="A164">
            <v>43263</v>
          </cell>
          <cell r="B164" t="str">
            <v>Ble Unlock - Total</v>
          </cell>
          <cell r="C164">
            <v>7850</v>
          </cell>
          <cell r="D164">
            <v>2043</v>
          </cell>
          <cell r="E164">
            <v>3.8423886441507586</v>
          </cell>
        </row>
        <row r="165">
          <cell r="A165">
            <v>43264</v>
          </cell>
          <cell r="B165" t="str">
            <v>Ble Unlock - Total</v>
          </cell>
          <cell r="C165">
            <v>7688</v>
          </cell>
          <cell r="D165">
            <v>2004</v>
          </cell>
          <cell r="E165">
            <v>3.8363273453093814</v>
          </cell>
        </row>
        <row r="166">
          <cell r="A166">
            <v>43265</v>
          </cell>
          <cell r="B166" t="str">
            <v>Ble Unlock - Total</v>
          </cell>
          <cell r="C166">
            <v>8344</v>
          </cell>
          <cell r="D166">
            <v>2034</v>
          </cell>
          <cell r="E166">
            <v>4.1022615535889875</v>
          </cell>
        </row>
        <row r="167">
          <cell r="A167">
            <v>43266</v>
          </cell>
          <cell r="B167" t="str">
            <v>Ble Unlock - Total</v>
          </cell>
          <cell r="C167">
            <v>8337</v>
          </cell>
          <cell r="D167">
            <v>1946</v>
          </cell>
          <cell r="E167">
            <v>4.2841726618705032</v>
          </cell>
        </row>
        <row r="168">
          <cell r="A168">
            <v>43267</v>
          </cell>
          <cell r="B168" t="str">
            <v>Ble Unlock - Total</v>
          </cell>
          <cell r="C168">
            <v>7152</v>
          </cell>
          <cell r="D168">
            <v>1611</v>
          </cell>
          <cell r="E168">
            <v>4.4394785847299811</v>
          </cell>
        </row>
        <row r="169">
          <cell r="A169">
            <v>43268</v>
          </cell>
          <cell r="B169" t="str">
            <v>Ble Unlock - Total</v>
          </cell>
          <cell r="C169">
            <v>6972</v>
          </cell>
          <cell r="D169">
            <v>1715</v>
          </cell>
          <cell r="E169">
            <v>4.0653061224489795</v>
          </cell>
        </row>
        <row r="170">
          <cell r="A170">
            <v>43269</v>
          </cell>
          <cell r="B170" t="str">
            <v>Ble Unlock - Total</v>
          </cell>
          <cell r="C170">
            <v>7999</v>
          </cell>
          <cell r="D170">
            <v>2090</v>
          </cell>
          <cell r="E170">
            <v>3.8272727272727272</v>
          </cell>
        </row>
        <row r="171">
          <cell r="A171">
            <v>43270</v>
          </cell>
          <cell r="B171" t="str">
            <v>Ble Unlock - Total</v>
          </cell>
          <cell r="C171">
            <v>8214</v>
          </cell>
          <cell r="D171">
            <v>2113</v>
          </cell>
          <cell r="E171">
            <v>3.887363937529579</v>
          </cell>
        </row>
        <row r="172">
          <cell r="A172">
            <v>43271</v>
          </cell>
          <cell r="B172" t="str">
            <v>Ble Unlock - Total</v>
          </cell>
          <cell r="C172">
            <v>8408</v>
          </cell>
          <cell r="D172">
            <v>2160</v>
          </cell>
          <cell r="E172">
            <v>3.8925925925925924</v>
          </cell>
        </row>
        <row r="173">
          <cell r="A173">
            <v>43272</v>
          </cell>
          <cell r="B173" t="str">
            <v>Ble Unlock - Total</v>
          </cell>
          <cell r="C173">
            <v>8189</v>
          </cell>
          <cell r="D173">
            <v>2088</v>
          </cell>
          <cell r="E173">
            <v>3.9219348659003832</v>
          </cell>
        </row>
        <row r="174">
          <cell r="A174">
            <v>43273</v>
          </cell>
          <cell r="B174" t="str">
            <v>Ble Unlock - Total</v>
          </cell>
          <cell r="C174">
            <v>8216</v>
          </cell>
          <cell r="D174">
            <v>2042</v>
          </cell>
          <cell r="E174">
            <v>4.0235063663075419</v>
          </cell>
        </row>
        <row r="175">
          <cell r="A175">
            <v>43274</v>
          </cell>
          <cell r="B175" t="str">
            <v>Ble Unlock - Total</v>
          </cell>
          <cell r="C175">
            <v>7225</v>
          </cell>
          <cell r="D175">
            <v>1691</v>
          </cell>
          <cell r="E175">
            <v>4.272619751626257</v>
          </cell>
        </row>
        <row r="176">
          <cell r="A176">
            <v>43275</v>
          </cell>
          <cell r="B176" t="str">
            <v>Ble Unlock - Total</v>
          </cell>
          <cell r="C176">
            <v>7217</v>
          </cell>
          <cell r="D176">
            <v>1782</v>
          </cell>
          <cell r="E176">
            <v>4.0499438832772165</v>
          </cell>
        </row>
        <row r="177">
          <cell r="A177">
            <v>43276</v>
          </cell>
          <cell r="B177" t="str">
            <v>Ble Unlock - Total</v>
          </cell>
          <cell r="C177">
            <v>8327</v>
          </cell>
          <cell r="D177">
            <v>2138</v>
          </cell>
          <cell r="E177">
            <v>3.8947614593077642</v>
          </cell>
        </row>
        <row r="178">
          <cell r="A178">
            <v>43277</v>
          </cell>
          <cell r="B178" t="str">
            <v>Ble Unlock - Total</v>
          </cell>
          <cell r="C178">
            <v>7600</v>
          </cell>
          <cell r="D178">
            <v>2004</v>
          </cell>
          <cell r="E178">
            <v>3.7924151696606785</v>
          </cell>
        </row>
        <row r="179">
          <cell r="A179">
            <v>43278</v>
          </cell>
          <cell r="B179" t="str">
            <v>Ble Unlock - Total</v>
          </cell>
          <cell r="C179">
            <v>7495</v>
          </cell>
          <cell r="D179">
            <v>1864</v>
          </cell>
          <cell r="E179">
            <v>4.0209227467811157</v>
          </cell>
        </row>
        <row r="180">
          <cell r="A180">
            <v>43279</v>
          </cell>
          <cell r="B180" t="str">
            <v>Ble Unlock - Total</v>
          </cell>
          <cell r="C180">
            <v>7582</v>
          </cell>
          <cell r="D180">
            <v>1858</v>
          </cell>
          <cell r="E180">
            <v>4.0807319698600644</v>
          </cell>
        </row>
        <row r="181">
          <cell r="A181">
            <v>43280</v>
          </cell>
          <cell r="B181" t="str">
            <v>Ble Unlock - Total</v>
          </cell>
          <cell r="C181">
            <v>7947</v>
          </cell>
          <cell r="D181">
            <v>1872</v>
          </cell>
          <cell r="E181">
            <v>4.2451923076923075</v>
          </cell>
          <cell r="F181" t="str">
            <v>Q2 2018</v>
          </cell>
        </row>
        <row r="182">
          <cell r="A182">
            <v>43281</v>
          </cell>
          <cell r="B182" t="str">
            <v>Ble Unlock - Total</v>
          </cell>
          <cell r="C182">
            <v>7144</v>
          </cell>
          <cell r="D182">
            <v>1542</v>
          </cell>
          <cell r="E182">
            <v>4.632944228274968</v>
          </cell>
          <cell r="F182">
            <v>4.0553743780712264</v>
          </cell>
        </row>
        <row r="183">
          <cell r="A183">
            <v>43282</v>
          </cell>
          <cell r="B183" t="str">
            <v>Ble Unlock - Total</v>
          </cell>
          <cell r="C183">
            <v>7273</v>
          </cell>
          <cell r="D183">
            <v>1605</v>
          </cell>
          <cell r="E183">
            <v>4.531464174454829</v>
          </cell>
        </row>
        <row r="184">
          <cell r="A184">
            <v>43283</v>
          </cell>
          <cell r="B184" t="str">
            <v>Ble Unlock - Total</v>
          </cell>
          <cell r="C184">
            <v>8273</v>
          </cell>
          <cell r="D184">
            <v>1966</v>
          </cell>
          <cell r="E184">
            <v>4.2080366225839265</v>
          </cell>
        </row>
        <row r="185">
          <cell r="A185">
            <v>43284</v>
          </cell>
          <cell r="B185" t="str">
            <v>Ble Unlock - Total</v>
          </cell>
          <cell r="C185">
            <v>8197</v>
          </cell>
          <cell r="D185">
            <v>1915</v>
          </cell>
          <cell r="E185">
            <v>4.2804177545691902</v>
          </cell>
        </row>
        <row r="186">
          <cell r="A186">
            <v>43285</v>
          </cell>
          <cell r="B186" t="str">
            <v>Ble Unlock - Total</v>
          </cell>
          <cell r="C186">
            <v>6848</v>
          </cell>
          <cell r="D186">
            <v>1542</v>
          </cell>
          <cell r="E186">
            <v>4.4409857328145268</v>
          </cell>
        </row>
        <row r="187">
          <cell r="A187">
            <v>43286</v>
          </cell>
          <cell r="B187" t="str">
            <v>Ble Unlock - Total</v>
          </cell>
          <cell r="C187">
            <v>7813</v>
          </cell>
          <cell r="D187">
            <v>1865</v>
          </cell>
          <cell r="E187">
            <v>4.1892761394101878</v>
          </cell>
        </row>
        <row r="188">
          <cell r="A188">
            <v>43287</v>
          </cell>
          <cell r="B188" t="str">
            <v>Ble Unlock - Total</v>
          </cell>
          <cell r="C188">
            <v>7760</v>
          </cell>
          <cell r="D188">
            <v>1862</v>
          </cell>
          <cell r="E188">
            <v>4.1675617615467235</v>
          </cell>
        </row>
        <row r="189">
          <cell r="A189">
            <v>43288</v>
          </cell>
          <cell r="B189" t="str">
            <v>Ble Unlock - Total</v>
          </cell>
          <cell r="C189">
            <v>7228</v>
          </cell>
          <cell r="D189">
            <v>1573</v>
          </cell>
          <cell r="E189">
            <v>4.5950413223140494</v>
          </cell>
        </row>
        <row r="190">
          <cell r="A190">
            <v>43289</v>
          </cell>
          <cell r="B190" t="str">
            <v>Ble Unlock - Total</v>
          </cell>
          <cell r="C190">
            <v>7304</v>
          </cell>
          <cell r="D190">
            <v>1758</v>
          </cell>
          <cell r="E190">
            <v>4.1547212741751993</v>
          </cell>
        </row>
        <row r="191">
          <cell r="A191">
            <v>43290</v>
          </cell>
          <cell r="B191" t="str">
            <v>Ble Unlock - Total</v>
          </cell>
          <cell r="C191">
            <v>8418</v>
          </cell>
          <cell r="D191">
            <v>2161</v>
          </cell>
          <cell r="E191">
            <v>3.8954187875983339</v>
          </cell>
        </row>
        <row r="192">
          <cell r="A192">
            <v>43291</v>
          </cell>
          <cell r="B192" t="str">
            <v>Ble Unlock - Total</v>
          </cell>
          <cell r="C192">
            <v>8537</v>
          </cell>
          <cell r="D192">
            <v>2150</v>
          </cell>
          <cell r="E192">
            <v>3.9706976744186044</v>
          </cell>
        </row>
        <row r="193">
          <cell r="A193">
            <v>43292</v>
          </cell>
          <cell r="B193" t="str">
            <v>Ble Unlock - Total</v>
          </cell>
          <cell r="C193">
            <v>8365</v>
          </cell>
          <cell r="D193">
            <v>2185</v>
          </cell>
          <cell r="E193">
            <v>3.8283752860411902</v>
          </cell>
        </row>
        <row r="194">
          <cell r="A194">
            <v>43293</v>
          </cell>
          <cell r="B194" t="str">
            <v>Ble Unlock - Total</v>
          </cell>
          <cell r="C194">
            <v>8368</v>
          </cell>
          <cell r="D194">
            <v>2171</v>
          </cell>
          <cell r="E194">
            <v>3.8544449562413634</v>
          </cell>
        </row>
        <row r="195">
          <cell r="A195">
            <v>43294</v>
          </cell>
          <cell r="B195" t="str">
            <v>Ble Unlock - Total</v>
          </cell>
          <cell r="C195">
            <v>8589</v>
          </cell>
          <cell r="D195">
            <v>2172</v>
          </cell>
          <cell r="E195">
            <v>3.9544198895027622</v>
          </cell>
        </row>
        <row r="196">
          <cell r="A196">
            <v>43295</v>
          </cell>
          <cell r="B196" t="str">
            <v>Ble Unlock - Total</v>
          </cell>
          <cell r="C196">
            <v>7562</v>
          </cell>
          <cell r="D196">
            <v>1757</v>
          </cell>
          <cell r="E196">
            <v>4.3039271485486621</v>
          </cell>
        </row>
        <row r="197">
          <cell r="A197">
            <v>43296</v>
          </cell>
          <cell r="B197" t="str">
            <v>Ble Unlock - Total</v>
          </cell>
          <cell r="C197">
            <v>7641</v>
          </cell>
          <cell r="D197">
            <v>1837</v>
          </cell>
          <cell r="E197">
            <v>4.1594991834512793</v>
          </cell>
        </row>
        <row r="198">
          <cell r="A198">
            <v>43297</v>
          </cell>
          <cell r="B198" t="str">
            <v>Ble Unlock - Total</v>
          </cell>
          <cell r="C198">
            <v>8071</v>
          </cell>
          <cell r="D198">
            <v>2207</v>
          </cell>
          <cell r="E198">
            <v>3.6570004531037608</v>
          </cell>
        </row>
        <row r="199">
          <cell r="A199">
            <v>43298</v>
          </cell>
          <cell r="B199" t="str">
            <v>Ble Unlock - Total</v>
          </cell>
          <cell r="C199">
            <v>7958</v>
          </cell>
          <cell r="D199">
            <v>2211</v>
          </cell>
          <cell r="E199">
            <v>3.5992763455450021</v>
          </cell>
        </row>
        <row r="200">
          <cell r="A200">
            <v>43299</v>
          </cell>
          <cell r="B200" t="str">
            <v>Ble Unlock - Total</v>
          </cell>
          <cell r="C200">
            <v>8605</v>
          </cell>
          <cell r="D200">
            <v>2254</v>
          </cell>
          <cell r="E200">
            <v>3.8176574977817213</v>
          </cell>
        </row>
        <row r="201">
          <cell r="A201">
            <v>43300</v>
          </cell>
          <cell r="B201" t="str">
            <v>Ble Unlock - Total</v>
          </cell>
          <cell r="C201">
            <v>8754</v>
          </cell>
          <cell r="D201">
            <v>2245</v>
          </cell>
          <cell r="E201">
            <v>3.8993318485523387</v>
          </cell>
        </row>
        <row r="202">
          <cell r="A202">
            <v>43301</v>
          </cell>
          <cell r="B202" t="str">
            <v>Ble Unlock - Total</v>
          </cell>
          <cell r="C202">
            <v>8766</v>
          </cell>
          <cell r="D202">
            <v>2145</v>
          </cell>
          <cell r="E202">
            <v>4.0867132867132865</v>
          </cell>
        </row>
        <row r="203">
          <cell r="A203">
            <v>43302</v>
          </cell>
          <cell r="B203" t="str">
            <v>Ble Unlock - Total</v>
          </cell>
          <cell r="C203">
            <v>7633</v>
          </cell>
          <cell r="D203">
            <v>1777</v>
          </cell>
          <cell r="E203">
            <v>4.2954417557681488</v>
          </cell>
        </row>
        <row r="204">
          <cell r="A204">
            <v>43303</v>
          </cell>
          <cell r="B204" t="str">
            <v>Ble Unlock - Total</v>
          </cell>
          <cell r="C204">
            <v>7636</v>
          </cell>
          <cell r="D204">
            <v>1884</v>
          </cell>
          <cell r="E204">
            <v>4.0530785562632694</v>
          </cell>
        </row>
        <row r="205">
          <cell r="A205">
            <v>43304</v>
          </cell>
          <cell r="B205" t="str">
            <v>Ble Unlock - Total</v>
          </cell>
          <cell r="C205">
            <v>8825</v>
          </cell>
          <cell r="D205">
            <v>2318</v>
          </cell>
          <cell r="E205">
            <v>3.8071613459879208</v>
          </cell>
        </row>
        <row r="206">
          <cell r="A206">
            <v>43305</v>
          </cell>
          <cell r="B206" t="str">
            <v>Ble Unlock - Total</v>
          </cell>
          <cell r="C206">
            <v>9014</v>
          </cell>
          <cell r="D206">
            <v>2327</v>
          </cell>
          <cell r="E206">
            <v>3.8736570691877956</v>
          </cell>
        </row>
        <row r="207">
          <cell r="A207">
            <v>43306</v>
          </cell>
          <cell r="B207" t="str">
            <v>Ble Unlock - Total</v>
          </cell>
          <cell r="C207">
            <v>9568</v>
          </cell>
          <cell r="D207">
            <v>2396</v>
          </cell>
          <cell r="E207">
            <v>3.993322203672788</v>
          </cell>
        </row>
        <row r="208">
          <cell r="A208">
            <v>43307</v>
          </cell>
          <cell r="B208" t="str">
            <v>Ble Unlock - Total</v>
          </cell>
          <cell r="C208">
            <v>9413</v>
          </cell>
          <cell r="D208">
            <v>2357</v>
          </cell>
          <cell r="E208">
            <v>3.993635977938057</v>
          </cell>
        </row>
        <row r="209">
          <cell r="A209">
            <v>43308</v>
          </cell>
          <cell r="B209" t="str">
            <v>Ble Unlock - Total</v>
          </cell>
          <cell r="C209">
            <v>9243</v>
          </cell>
          <cell r="D209">
            <v>2249</v>
          </cell>
          <cell r="E209">
            <v>4.1098265895953761</v>
          </cell>
        </row>
        <row r="210">
          <cell r="A210">
            <v>43309</v>
          </cell>
          <cell r="B210" t="str">
            <v>Ble Unlock - Total</v>
          </cell>
          <cell r="C210">
            <v>9064</v>
          </cell>
          <cell r="D210">
            <v>1977</v>
          </cell>
          <cell r="E210">
            <v>4.584724329792615</v>
          </cell>
        </row>
        <row r="211">
          <cell r="A211">
            <v>43310</v>
          </cell>
          <cell r="B211" t="str">
            <v>Ble Unlock - Total</v>
          </cell>
          <cell r="C211">
            <v>8607</v>
          </cell>
          <cell r="D211">
            <v>2050</v>
          </cell>
          <cell r="E211">
            <v>4.1985365853658534</v>
          </cell>
        </row>
        <row r="212">
          <cell r="A212">
            <v>43311</v>
          </cell>
          <cell r="B212" t="str">
            <v>Ble Unlock - Total</v>
          </cell>
          <cell r="C212">
            <v>9934</v>
          </cell>
          <cell r="D212">
            <v>2482</v>
          </cell>
          <cell r="E212">
            <v>4.0024174053182913</v>
          </cell>
        </row>
        <row r="213">
          <cell r="A213">
            <v>43312</v>
          </cell>
          <cell r="B213" t="str">
            <v>Ble Unlock - Total</v>
          </cell>
          <cell r="C213">
            <v>10142</v>
          </cell>
          <cell r="D213">
            <v>2486</v>
          </cell>
          <cell r="E213">
            <v>4.0796460176991154</v>
          </cell>
        </row>
        <row r="214">
          <cell r="A214">
            <v>43313</v>
          </cell>
          <cell r="B214" t="str">
            <v>Ble Unlock - Total</v>
          </cell>
          <cell r="C214">
            <v>11214</v>
          </cell>
          <cell r="D214">
            <v>2671</v>
          </cell>
          <cell r="E214">
            <v>4.1984275552227635</v>
          </cell>
        </row>
        <row r="215">
          <cell r="A215">
            <v>43314</v>
          </cell>
          <cell r="B215" t="str">
            <v>Ble Unlock - Total</v>
          </cell>
          <cell r="C215">
            <v>10365</v>
          </cell>
          <cell r="D215">
            <v>2662</v>
          </cell>
          <cell r="E215">
            <v>3.8936889556724266</v>
          </cell>
        </row>
        <row r="216">
          <cell r="A216">
            <v>43315</v>
          </cell>
          <cell r="B216" t="str">
            <v>Ble Unlock - Total</v>
          </cell>
          <cell r="C216">
            <v>10260</v>
          </cell>
          <cell r="D216">
            <v>2531</v>
          </cell>
          <cell r="E216">
            <v>4.0537337020940338</v>
          </cell>
        </row>
        <row r="217">
          <cell r="A217">
            <v>43316</v>
          </cell>
          <cell r="B217" t="str">
            <v>Ble Unlock - Total</v>
          </cell>
          <cell r="C217">
            <v>9736</v>
          </cell>
          <cell r="D217">
            <v>2170</v>
          </cell>
          <cell r="E217">
            <v>4.4866359447004607</v>
          </cell>
        </row>
        <row r="218">
          <cell r="A218">
            <v>43317</v>
          </cell>
          <cell r="B218" t="str">
            <v>Ble Unlock - Total</v>
          </cell>
          <cell r="C218">
            <v>9473</v>
          </cell>
          <cell r="D218">
            <v>2258</v>
          </cell>
          <cell r="E218">
            <v>4.1953055801594328</v>
          </cell>
        </row>
        <row r="219">
          <cell r="A219">
            <v>43318</v>
          </cell>
          <cell r="B219" t="str">
            <v>Ble Unlock - Total</v>
          </cell>
          <cell r="C219">
            <v>10700</v>
          </cell>
          <cell r="D219">
            <v>2712</v>
          </cell>
          <cell r="E219">
            <v>3.9454277286135695</v>
          </cell>
        </row>
        <row r="220">
          <cell r="A220">
            <v>43319</v>
          </cell>
          <cell r="B220" t="str">
            <v>Ble Unlock - Total</v>
          </cell>
          <cell r="C220">
            <v>10884</v>
          </cell>
          <cell r="D220">
            <v>2779</v>
          </cell>
          <cell r="E220">
            <v>3.9165167326376396</v>
          </cell>
        </row>
        <row r="221">
          <cell r="A221">
            <v>43320</v>
          </cell>
          <cell r="B221" t="str">
            <v>Ble Unlock - Total</v>
          </cell>
          <cell r="C221">
            <v>11180</v>
          </cell>
          <cell r="D221">
            <v>2844</v>
          </cell>
          <cell r="E221">
            <v>3.931082981715893</v>
          </cell>
        </row>
        <row r="222">
          <cell r="A222">
            <v>43321</v>
          </cell>
          <cell r="B222" t="str">
            <v>Ble Unlock - Total</v>
          </cell>
          <cell r="C222">
            <v>10959</v>
          </cell>
          <cell r="D222">
            <v>2803</v>
          </cell>
          <cell r="E222">
            <v>3.9097395647520514</v>
          </cell>
        </row>
        <row r="223">
          <cell r="A223">
            <v>43322</v>
          </cell>
          <cell r="B223" t="str">
            <v>Ble Unlock - Total</v>
          </cell>
          <cell r="C223">
            <v>10914</v>
          </cell>
          <cell r="D223">
            <v>2675</v>
          </cell>
          <cell r="E223">
            <v>4.08</v>
          </cell>
        </row>
        <row r="224">
          <cell r="A224">
            <v>43323</v>
          </cell>
          <cell r="B224" t="str">
            <v>Ble Unlock - Total</v>
          </cell>
          <cell r="C224">
            <v>9620</v>
          </cell>
          <cell r="D224">
            <v>2227</v>
          </cell>
          <cell r="E224">
            <v>4.3197126178715761</v>
          </cell>
        </row>
        <row r="225">
          <cell r="A225">
            <v>43324</v>
          </cell>
          <cell r="B225" t="str">
            <v>Ble Unlock - Total</v>
          </cell>
          <cell r="C225">
            <v>9827</v>
          </cell>
          <cell r="D225">
            <v>2387</v>
          </cell>
          <cell r="E225">
            <v>4.116883116883117</v>
          </cell>
        </row>
        <row r="226">
          <cell r="A226">
            <v>43325</v>
          </cell>
          <cell r="B226" t="str">
            <v>Ble Unlock - Total</v>
          </cell>
          <cell r="C226">
            <v>10703</v>
          </cell>
          <cell r="D226">
            <v>2814</v>
          </cell>
          <cell r="E226">
            <v>3.8034825870646767</v>
          </cell>
        </row>
        <row r="227">
          <cell r="A227">
            <v>43326</v>
          </cell>
          <cell r="B227" t="str">
            <v>Ble Unlock - Total</v>
          </cell>
          <cell r="C227">
            <v>11045</v>
          </cell>
          <cell r="D227">
            <v>2854</v>
          </cell>
          <cell r="E227">
            <v>3.8700070077084794</v>
          </cell>
        </row>
        <row r="228">
          <cell r="A228">
            <v>43327</v>
          </cell>
          <cell r="B228" t="str">
            <v>Ble Unlock - Total</v>
          </cell>
          <cell r="C228">
            <v>11530</v>
          </cell>
          <cell r="D228">
            <v>2871</v>
          </cell>
          <cell r="E228">
            <v>4.0160222918843607</v>
          </cell>
        </row>
        <row r="229">
          <cell r="A229">
            <v>43328</v>
          </cell>
          <cell r="B229" t="str">
            <v>Ble Unlock - Total</v>
          </cell>
          <cell r="C229">
            <v>11575</v>
          </cell>
          <cell r="D229">
            <v>2899</v>
          </cell>
          <cell r="E229">
            <v>3.9927561228009658</v>
          </cell>
        </row>
        <row r="230">
          <cell r="A230">
            <v>43329</v>
          </cell>
          <cell r="B230" t="str">
            <v>Ble Unlock - Total</v>
          </cell>
          <cell r="C230">
            <v>11407</v>
          </cell>
          <cell r="D230">
            <v>2805</v>
          </cell>
          <cell r="E230">
            <v>4.0666666666666664</v>
          </cell>
        </row>
        <row r="231">
          <cell r="A231">
            <v>43330</v>
          </cell>
          <cell r="B231" t="str">
            <v>Ble Unlock - Total</v>
          </cell>
          <cell r="C231">
            <v>10438</v>
          </cell>
          <cell r="D231">
            <v>2401</v>
          </cell>
          <cell r="E231">
            <v>4.3473552686380676</v>
          </cell>
        </row>
        <row r="232">
          <cell r="A232">
            <v>43331</v>
          </cell>
          <cell r="B232" t="str">
            <v>Ble Unlock - Total</v>
          </cell>
          <cell r="C232">
            <v>10593</v>
          </cell>
          <cell r="D232">
            <v>2535</v>
          </cell>
          <cell r="E232">
            <v>4.178698224852071</v>
          </cell>
        </row>
        <row r="233">
          <cell r="A233">
            <v>43332</v>
          </cell>
          <cell r="B233" t="str">
            <v>Ble Unlock - Total</v>
          </cell>
          <cell r="C233">
            <v>12133</v>
          </cell>
          <cell r="D233">
            <v>3046</v>
          </cell>
          <cell r="E233">
            <v>3.9832567301378856</v>
          </cell>
        </row>
        <row r="234">
          <cell r="A234">
            <v>43333</v>
          </cell>
          <cell r="B234" t="str">
            <v>Ble Unlock - Total</v>
          </cell>
          <cell r="C234">
            <v>11960</v>
          </cell>
          <cell r="D234">
            <v>3068</v>
          </cell>
          <cell r="E234">
            <v>3.8983050847457625</v>
          </cell>
        </row>
        <row r="235">
          <cell r="A235">
            <v>43334</v>
          </cell>
          <cell r="B235" t="str">
            <v>Ble Unlock - Total</v>
          </cell>
          <cell r="C235">
            <v>12405</v>
          </cell>
          <cell r="D235">
            <v>3085</v>
          </cell>
          <cell r="E235">
            <v>4.0210696920583464</v>
          </cell>
        </row>
        <row r="236">
          <cell r="A236">
            <v>43335</v>
          </cell>
          <cell r="B236" t="str">
            <v>Ble Unlock - Total</v>
          </cell>
          <cell r="C236">
            <v>11816</v>
          </cell>
          <cell r="D236">
            <v>3044</v>
          </cell>
          <cell r="E236">
            <v>3.8817345597897503</v>
          </cell>
        </row>
        <row r="237">
          <cell r="A237">
            <v>43336</v>
          </cell>
          <cell r="B237" t="str">
            <v>Ble Unlock - Total</v>
          </cell>
          <cell r="C237">
            <v>11875</v>
          </cell>
          <cell r="D237">
            <v>2914</v>
          </cell>
          <cell r="E237">
            <v>4.0751544269045983</v>
          </cell>
        </row>
        <row r="238">
          <cell r="A238">
            <v>43337</v>
          </cell>
          <cell r="B238" t="str">
            <v>Ble Unlock - Total</v>
          </cell>
          <cell r="C238">
            <v>11518</v>
          </cell>
          <cell r="D238">
            <v>2551</v>
          </cell>
          <cell r="E238">
            <v>4.5150921207369663</v>
          </cell>
        </row>
        <row r="239">
          <cell r="A239">
            <v>43338</v>
          </cell>
          <cell r="B239" t="str">
            <v>Ble Unlock - Total</v>
          </cell>
          <cell r="C239">
            <v>11449</v>
          </cell>
          <cell r="D239">
            <v>2703</v>
          </cell>
          <cell r="E239">
            <v>4.2356640769515357</v>
          </cell>
        </row>
        <row r="240">
          <cell r="A240">
            <v>43339</v>
          </cell>
          <cell r="B240" t="str">
            <v>Ble Unlock - Total</v>
          </cell>
          <cell r="C240">
            <v>13144</v>
          </cell>
          <cell r="D240">
            <v>3208</v>
          </cell>
          <cell r="E240">
            <v>4.0972568578553616</v>
          </cell>
        </row>
        <row r="241">
          <cell r="A241">
            <v>43340</v>
          </cell>
          <cell r="B241" t="str">
            <v>Ble Unlock - Total</v>
          </cell>
          <cell r="C241">
            <v>12817</v>
          </cell>
          <cell r="D241">
            <v>3254</v>
          </cell>
          <cell r="E241">
            <v>3.9388444990780576</v>
          </cell>
        </row>
        <row r="242">
          <cell r="A242">
            <v>43341</v>
          </cell>
          <cell r="B242" t="str">
            <v>Ble Unlock - Total</v>
          </cell>
          <cell r="C242">
            <v>12909</v>
          </cell>
          <cell r="D242">
            <v>3224</v>
          </cell>
          <cell r="E242">
            <v>4.004032258064516</v>
          </cell>
        </row>
        <row r="243">
          <cell r="A243">
            <v>43342</v>
          </cell>
          <cell r="B243" t="str">
            <v>Ble Unlock - Total</v>
          </cell>
          <cell r="C243">
            <v>12776</v>
          </cell>
          <cell r="D243">
            <v>3184</v>
          </cell>
          <cell r="E243">
            <v>4.0125628140703515</v>
          </cell>
        </row>
        <row r="244">
          <cell r="A244">
            <v>43343</v>
          </cell>
          <cell r="B244" t="str">
            <v>Ble Unlock - Total</v>
          </cell>
          <cell r="C244">
            <v>12397</v>
          </cell>
          <cell r="D244">
            <v>3001</v>
          </cell>
          <cell r="E244">
            <v>4.1309563478840383</v>
          </cell>
        </row>
        <row r="245">
          <cell r="A245">
            <v>43344</v>
          </cell>
          <cell r="B245" t="str">
            <v>Ble Unlock - Total</v>
          </cell>
          <cell r="C245">
            <v>10370</v>
          </cell>
          <cell r="D245">
            <v>2433</v>
          </cell>
          <cell r="E245">
            <v>4.2622277024249895</v>
          </cell>
        </row>
        <row r="246">
          <cell r="A246">
            <v>43345</v>
          </cell>
          <cell r="B246" t="str">
            <v>Ble Unlock - Total</v>
          </cell>
          <cell r="C246">
            <v>9864</v>
          </cell>
          <cell r="D246">
            <v>2336</v>
          </cell>
          <cell r="E246">
            <v>4.2226027397260273</v>
          </cell>
        </row>
        <row r="247">
          <cell r="A247">
            <v>43346</v>
          </cell>
          <cell r="B247" t="str">
            <v>Ble Unlock - Total</v>
          </cell>
          <cell r="C247">
            <v>11201</v>
          </cell>
          <cell r="D247">
            <v>2776</v>
          </cell>
          <cell r="E247">
            <v>4.0349423631123917</v>
          </cell>
        </row>
        <row r="248">
          <cell r="A248">
            <v>43347</v>
          </cell>
          <cell r="B248" t="str">
            <v>Ble Unlock - Total</v>
          </cell>
          <cell r="C248">
            <v>13490</v>
          </cell>
          <cell r="D248">
            <v>3348</v>
          </cell>
          <cell r="E248">
            <v>4.0292712066905612</v>
          </cell>
        </row>
        <row r="249">
          <cell r="A249">
            <v>43348</v>
          </cell>
          <cell r="B249" t="str">
            <v>Ble Unlock - Total</v>
          </cell>
          <cell r="C249">
            <v>13575</v>
          </cell>
          <cell r="D249">
            <v>3439</v>
          </cell>
          <cell r="E249">
            <v>3.9473684210526314</v>
          </cell>
        </row>
        <row r="250">
          <cell r="A250">
            <v>43349</v>
          </cell>
          <cell r="B250" t="str">
            <v>Ble Unlock - Total</v>
          </cell>
          <cell r="C250">
            <v>13493</v>
          </cell>
          <cell r="D250">
            <v>3450</v>
          </cell>
          <cell r="E250">
            <v>3.911014492753623</v>
          </cell>
        </row>
        <row r="251">
          <cell r="A251">
            <v>43350</v>
          </cell>
          <cell r="B251" t="str">
            <v>Ble Unlock - Total</v>
          </cell>
          <cell r="C251">
            <v>13355</v>
          </cell>
          <cell r="D251">
            <v>3371</v>
          </cell>
          <cell r="E251">
            <v>3.9617324236131712</v>
          </cell>
        </row>
        <row r="252">
          <cell r="A252">
            <v>43351</v>
          </cell>
          <cell r="B252" t="str">
            <v>Ble Unlock - Total</v>
          </cell>
          <cell r="C252">
            <v>12060</v>
          </cell>
          <cell r="D252">
            <v>2929</v>
          </cell>
          <cell r="E252">
            <v>4.1174462273813592</v>
          </cell>
        </row>
        <row r="253">
          <cell r="A253">
            <v>43352</v>
          </cell>
          <cell r="B253" t="str">
            <v>Ble Unlock - Total</v>
          </cell>
          <cell r="C253">
            <v>11941</v>
          </cell>
          <cell r="D253">
            <v>2944</v>
          </cell>
          <cell r="E253">
            <v>4.0560461956521738</v>
          </cell>
        </row>
        <row r="254">
          <cell r="A254">
            <v>43353</v>
          </cell>
          <cell r="B254" t="str">
            <v>Ble Unlock - Total</v>
          </cell>
          <cell r="C254">
            <v>13370</v>
          </cell>
          <cell r="D254">
            <v>3441</v>
          </cell>
          <cell r="E254">
            <v>3.8854984016274341</v>
          </cell>
        </row>
        <row r="255">
          <cell r="A255">
            <v>43354</v>
          </cell>
          <cell r="B255" t="str">
            <v>Ble Unlock - Total</v>
          </cell>
          <cell r="C255">
            <v>13891</v>
          </cell>
          <cell r="D255">
            <v>3585</v>
          </cell>
          <cell r="E255">
            <v>3.8747559274755927</v>
          </cell>
        </row>
        <row r="256">
          <cell r="A256">
            <v>43355</v>
          </cell>
          <cell r="B256" t="str">
            <v>Ble Unlock - Total</v>
          </cell>
          <cell r="C256">
            <v>13973</v>
          </cell>
          <cell r="D256">
            <v>3627</v>
          </cell>
          <cell r="E256">
            <v>3.8524951750758203</v>
          </cell>
        </row>
        <row r="257">
          <cell r="A257">
            <v>43356</v>
          </cell>
          <cell r="B257" t="str">
            <v>Ble Unlock - Total</v>
          </cell>
          <cell r="C257">
            <v>14179</v>
          </cell>
          <cell r="D257">
            <v>3675</v>
          </cell>
          <cell r="E257">
            <v>3.8582312925170066</v>
          </cell>
        </row>
        <row r="258">
          <cell r="A258">
            <v>43357</v>
          </cell>
          <cell r="B258" t="str">
            <v>Ble Unlock - Total</v>
          </cell>
          <cell r="C258">
            <v>14050</v>
          </cell>
          <cell r="D258">
            <v>3515</v>
          </cell>
          <cell r="E258">
            <v>3.9971550497866288</v>
          </cell>
        </row>
        <row r="259">
          <cell r="A259">
            <v>43358</v>
          </cell>
          <cell r="B259" t="str">
            <v>Ble Unlock - Total</v>
          </cell>
          <cell r="C259">
            <v>13622</v>
          </cell>
          <cell r="D259">
            <v>3138</v>
          </cell>
          <cell r="E259">
            <v>4.3409815168897383</v>
          </cell>
        </row>
        <row r="260">
          <cell r="A260">
            <v>43359</v>
          </cell>
          <cell r="B260" t="str">
            <v>Ble Unlock - Total</v>
          </cell>
          <cell r="C260">
            <v>12898</v>
          </cell>
          <cell r="D260">
            <v>3241</v>
          </cell>
          <cell r="E260">
            <v>3.9796359148410985</v>
          </cell>
        </row>
        <row r="261">
          <cell r="A261">
            <v>43360</v>
          </cell>
          <cell r="B261" t="str">
            <v>Ble Unlock - Total</v>
          </cell>
          <cell r="C261">
            <v>14520</v>
          </cell>
          <cell r="D261">
            <v>3779</v>
          </cell>
          <cell r="E261">
            <v>3.8422863191320453</v>
          </cell>
        </row>
        <row r="262">
          <cell r="A262">
            <v>43361</v>
          </cell>
          <cell r="B262" t="str">
            <v>Ble Unlock - Total</v>
          </cell>
          <cell r="C262">
            <v>14725</v>
          </cell>
          <cell r="D262">
            <v>3714</v>
          </cell>
          <cell r="E262">
            <v>3.9647280560043079</v>
          </cell>
        </row>
        <row r="263">
          <cell r="A263">
            <v>43362</v>
          </cell>
          <cell r="B263" t="str">
            <v>Ble Unlock - Total</v>
          </cell>
          <cell r="C263">
            <v>15056</v>
          </cell>
          <cell r="D263">
            <v>3711</v>
          </cell>
          <cell r="E263">
            <v>4.0571274589059554</v>
          </cell>
        </row>
        <row r="264">
          <cell r="A264">
            <v>43363</v>
          </cell>
          <cell r="B264" t="str">
            <v>Ble Unlock - Total</v>
          </cell>
          <cell r="C264">
            <v>14891</v>
          </cell>
          <cell r="D264">
            <v>3794</v>
          </cell>
          <cell r="E264">
            <v>3.9248813916710596</v>
          </cell>
        </row>
        <row r="265">
          <cell r="A265">
            <v>43364</v>
          </cell>
          <cell r="B265" t="str">
            <v>Ble Unlock - Total</v>
          </cell>
          <cell r="C265">
            <v>14654</v>
          </cell>
          <cell r="D265">
            <v>3631</v>
          </cell>
          <cell r="E265">
            <v>4.0358028091434868</v>
          </cell>
        </row>
        <row r="266">
          <cell r="A266">
            <v>43365</v>
          </cell>
          <cell r="B266" t="str">
            <v>Ble Unlock - Total</v>
          </cell>
          <cell r="C266">
            <v>13737</v>
          </cell>
          <cell r="D266">
            <v>3137</v>
          </cell>
          <cell r="E266">
            <v>4.3790245457443415</v>
          </cell>
        </row>
        <row r="267">
          <cell r="A267">
            <v>43366</v>
          </cell>
          <cell r="B267" t="str">
            <v>Ble Unlock - Total</v>
          </cell>
          <cell r="C267">
            <v>12741</v>
          </cell>
          <cell r="D267">
            <v>3200</v>
          </cell>
          <cell r="E267">
            <v>3.9815624999999999</v>
          </cell>
        </row>
        <row r="268">
          <cell r="A268">
            <v>43367</v>
          </cell>
          <cell r="B268" t="str">
            <v>Ble Unlock - Total</v>
          </cell>
          <cell r="C268">
            <v>14844</v>
          </cell>
          <cell r="D268">
            <v>3807</v>
          </cell>
          <cell r="E268">
            <v>3.8991331757289203</v>
          </cell>
        </row>
        <row r="269">
          <cell r="A269">
            <v>43368</v>
          </cell>
          <cell r="B269" t="str">
            <v>Ble Unlock - Total</v>
          </cell>
          <cell r="C269">
            <v>14337</v>
          </cell>
          <cell r="D269">
            <v>3789</v>
          </cell>
          <cell r="E269">
            <v>3.7838479809976246</v>
          </cell>
        </row>
        <row r="270">
          <cell r="A270">
            <v>43369</v>
          </cell>
          <cell r="B270" t="str">
            <v>Ble Unlock - Total</v>
          </cell>
          <cell r="C270">
            <v>14774</v>
          </cell>
          <cell r="D270">
            <v>3861</v>
          </cell>
          <cell r="E270">
            <v>3.8264698264698263</v>
          </cell>
        </row>
        <row r="271">
          <cell r="A271">
            <v>43370</v>
          </cell>
          <cell r="B271" t="str">
            <v>Ble Unlock - Total</v>
          </cell>
          <cell r="C271">
            <v>14574</v>
          </cell>
          <cell r="D271">
            <v>3851</v>
          </cell>
          <cell r="E271">
            <v>3.784471565827058</v>
          </cell>
        </row>
        <row r="272">
          <cell r="A272">
            <v>43371</v>
          </cell>
          <cell r="B272" t="str">
            <v>Ble Unlock - Total</v>
          </cell>
          <cell r="C272">
            <v>14682</v>
          </cell>
          <cell r="D272">
            <v>3872</v>
          </cell>
          <cell r="E272">
            <v>3.7918388429752068</v>
          </cell>
        </row>
        <row r="273">
          <cell r="A273">
            <v>43372</v>
          </cell>
          <cell r="B273" t="str">
            <v>Ble Unlock - Total</v>
          </cell>
          <cell r="C273">
            <v>13843</v>
          </cell>
          <cell r="D273">
            <v>3300</v>
          </cell>
          <cell r="E273">
            <v>4.1948484848484853</v>
          </cell>
          <cell r="F273" t="str">
            <v>Q3 2018</v>
          </cell>
        </row>
        <row r="274">
          <cell r="A274">
            <v>43373</v>
          </cell>
          <cell r="B274" t="str">
            <v>Ble Unlock - Total</v>
          </cell>
          <cell r="C274">
            <v>13797</v>
          </cell>
          <cell r="D274">
            <v>3521</v>
          </cell>
          <cell r="E274">
            <v>3.9184890656063618</v>
          </cell>
          <cell r="F274">
            <v>4.0480185235635497</v>
          </cell>
        </row>
        <row r="275">
          <cell r="A275">
            <v>43374</v>
          </cell>
          <cell r="B275" t="str">
            <v>Ble Unlock - Total</v>
          </cell>
          <cell r="C275">
            <v>15950</v>
          </cell>
          <cell r="D275">
            <v>4028</v>
          </cell>
          <cell r="E275">
            <v>3.9597815292949354</v>
          </cell>
        </row>
        <row r="276">
          <cell r="A276">
            <v>43375</v>
          </cell>
          <cell r="B276" t="str">
            <v>Ble Unlock - Total</v>
          </cell>
          <cell r="C276">
            <v>15746</v>
          </cell>
          <cell r="D276">
            <v>4165</v>
          </cell>
          <cell r="E276">
            <v>3.7805522208883553</v>
          </cell>
        </row>
        <row r="277">
          <cell r="A277">
            <v>43376</v>
          </cell>
          <cell r="B277" t="str">
            <v>Ble Unlock - Total</v>
          </cell>
          <cell r="C277">
            <v>15881</v>
          </cell>
          <cell r="D277">
            <v>4210</v>
          </cell>
          <cell r="E277">
            <v>3.7722090261282659</v>
          </cell>
        </row>
        <row r="278">
          <cell r="A278">
            <v>43377</v>
          </cell>
          <cell r="B278" t="str">
            <v>Ble Unlock - Total</v>
          </cell>
          <cell r="C278">
            <v>15486</v>
          </cell>
          <cell r="D278">
            <v>4071</v>
          </cell>
          <cell r="E278">
            <v>3.8039793662490791</v>
          </cell>
        </row>
        <row r="279">
          <cell r="A279">
            <v>43378</v>
          </cell>
          <cell r="B279" t="str">
            <v>Ble Unlock - Total</v>
          </cell>
          <cell r="C279">
            <v>15664</v>
          </cell>
          <cell r="D279">
            <v>3971</v>
          </cell>
          <cell r="E279">
            <v>3.9445983379501386</v>
          </cell>
        </row>
        <row r="280">
          <cell r="A280">
            <v>43379</v>
          </cell>
          <cell r="B280" t="str">
            <v>Ble Unlock - Total</v>
          </cell>
          <cell r="C280">
            <v>14225</v>
          </cell>
          <cell r="D280">
            <v>3444</v>
          </cell>
          <cell r="E280">
            <v>4.1303716608594661</v>
          </cell>
        </row>
        <row r="281">
          <cell r="A281">
            <v>43380</v>
          </cell>
          <cell r="B281" t="str">
            <v>Ble Unlock - Total</v>
          </cell>
          <cell r="C281">
            <v>14355</v>
          </cell>
          <cell r="D281">
            <v>3598</v>
          </cell>
          <cell r="E281">
            <v>3.9897165091717621</v>
          </cell>
        </row>
        <row r="282">
          <cell r="A282">
            <v>43381</v>
          </cell>
          <cell r="B282" t="str">
            <v>Ble Unlock - Total</v>
          </cell>
          <cell r="C282">
            <v>15816</v>
          </cell>
          <cell r="D282">
            <v>4062</v>
          </cell>
          <cell r="E282">
            <v>3.8936484490398819</v>
          </cell>
        </row>
        <row r="283">
          <cell r="A283">
            <v>43382</v>
          </cell>
          <cell r="B283" t="str">
            <v>Ble Unlock - Total</v>
          </cell>
          <cell r="C283">
            <v>16190</v>
          </cell>
          <cell r="D283">
            <v>4268</v>
          </cell>
          <cell r="E283">
            <v>3.7933458294283038</v>
          </cell>
        </row>
        <row r="284">
          <cell r="A284">
            <v>43383</v>
          </cell>
          <cell r="B284" t="str">
            <v>Ble Unlock - Total</v>
          </cell>
          <cell r="C284">
            <v>16369</v>
          </cell>
          <cell r="D284">
            <v>4319</v>
          </cell>
          <cell r="E284">
            <v>3.7899976846492245</v>
          </cell>
        </row>
        <row r="285">
          <cell r="A285">
            <v>43384</v>
          </cell>
          <cell r="B285" t="str">
            <v>Ble Unlock - Total</v>
          </cell>
          <cell r="C285">
            <v>15961</v>
          </cell>
          <cell r="D285">
            <v>4230</v>
          </cell>
          <cell r="E285">
            <v>3.7732860520094564</v>
          </cell>
        </row>
        <row r="286">
          <cell r="A286">
            <v>43385</v>
          </cell>
          <cell r="B286" t="str">
            <v>Ble Unlock - Total</v>
          </cell>
          <cell r="C286">
            <v>15789</v>
          </cell>
          <cell r="D286">
            <v>4161</v>
          </cell>
          <cell r="E286">
            <v>3.7945205479452055</v>
          </cell>
        </row>
        <row r="287">
          <cell r="A287">
            <v>43386</v>
          </cell>
          <cell r="B287" t="str">
            <v>Ble Unlock - Total</v>
          </cell>
          <cell r="C287">
            <v>14864</v>
          </cell>
          <cell r="D287">
            <v>3585</v>
          </cell>
          <cell r="E287">
            <v>4.1461645746164573</v>
          </cell>
        </row>
        <row r="288">
          <cell r="A288">
            <v>43387</v>
          </cell>
          <cell r="B288" t="str">
            <v>Ble Unlock - Total</v>
          </cell>
          <cell r="C288">
            <v>14654</v>
          </cell>
          <cell r="D288">
            <v>3757</v>
          </cell>
          <cell r="E288">
            <v>3.9004524886877827</v>
          </cell>
        </row>
        <row r="289">
          <cell r="A289">
            <v>43388</v>
          </cell>
          <cell r="B289" t="str">
            <v>Ble Unlock - Total</v>
          </cell>
          <cell r="C289">
            <v>16330</v>
          </cell>
          <cell r="D289">
            <v>4348</v>
          </cell>
          <cell r="E289">
            <v>3.7557497700091997</v>
          </cell>
        </row>
        <row r="290">
          <cell r="A290">
            <v>43389</v>
          </cell>
          <cell r="B290" t="str">
            <v>Ble Unlock - Total</v>
          </cell>
          <cell r="C290">
            <v>16338</v>
          </cell>
          <cell r="D290">
            <v>4498</v>
          </cell>
          <cell r="E290">
            <v>3.6322810137839041</v>
          </cell>
        </row>
        <row r="291">
          <cell r="A291">
            <v>43390</v>
          </cell>
          <cell r="B291" t="str">
            <v>Ble Unlock - Total</v>
          </cell>
          <cell r="C291">
            <v>17049</v>
          </cell>
          <cell r="D291">
            <v>4501</v>
          </cell>
          <cell r="E291">
            <v>3.7878249277938236</v>
          </cell>
        </row>
        <row r="292">
          <cell r="A292">
            <v>43391</v>
          </cell>
          <cell r="B292" t="str">
            <v>Ble Unlock - Total</v>
          </cell>
          <cell r="C292">
            <v>17212</v>
          </cell>
          <cell r="D292">
            <v>4503</v>
          </cell>
          <cell r="E292">
            <v>3.8223406617810349</v>
          </cell>
        </row>
        <row r="293">
          <cell r="A293">
            <v>43392</v>
          </cell>
          <cell r="B293" t="str">
            <v>Ble Unlock - Total</v>
          </cell>
          <cell r="C293">
            <v>17478</v>
          </cell>
          <cell r="D293">
            <v>4383</v>
          </cell>
          <cell r="E293">
            <v>3.9876796714579057</v>
          </cell>
        </row>
        <row r="294">
          <cell r="A294">
            <v>43393</v>
          </cell>
          <cell r="B294" t="str">
            <v>Ble Unlock - Total</v>
          </cell>
          <cell r="C294">
            <v>15827</v>
          </cell>
          <cell r="D294">
            <v>3807</v>
          </cell>
          <cell r="E294">
            <v>4.1573417389020229</v>
          </cell>
        </row>
        <row r="295">
          <cell r="A295">
            <v>43394</v>
          </cell>
          <cell r="B295" t="str">
            <v>Ble Unlock - Total</v>
          </cell>
          <cell r="C295">
            <v>15877</v>
          </cell>
          <cell r="D295">
            <v>4025</v>
          </cell>
          <cell r="E295">
            <v>3.9445962732919253</v>
          </cell>
        </row>
        <row r="296">
          <cell r="A296">
            <v>43395</v>
          </cell>
          <cell r="B296" t="str">
            <v>Ble Unlock - Total</v>
          </cell>
          <cell r="C296">
            <v>17682</v>
          </cell>
          <cell r="D296">
            <v>4702</v>
          </cell>
          <cell r="E296">
            <v>3.7605274351339855</v>
          </cell>
        </row>
        <row r="297">
          <cell r="A297">
            <v>43396</v>
          </cell>
          <cell r="B297" t="str">
            <v>Ble Unlock - Total</v>
          </cell>
          <cell r="C297">
            <v>18083</v>
          </cell>
          <cell r="D297">
            <v>4829</v>
          </cell>
          <cell r="E297">
            <v>3.7446676330503208</v>
          </cell>
        </row>
        <row r="298">
          <cell r="A298">
            <v>43397</v>
          </cell>
          <cell r="B298" t="str">
            <v>Ble Unlock - Total</v>
          </cell>
          <cell r="C298">
            <v>19091</v>
          </cell>
          <cell r="D298">
            <v>4806</v>
          </cell>
          <cell r="E298">
            <v>3.972326258843113</v>
          </cell>
        </row>
        <row r="299">
          <cell r="A299">
            <v>43398</v>
          </cell>
          <cell r="B299" t="str">
            <v>Ble Unlock - Total</v>
          </cell>
          <cell r="C299">
            <v>18698</v>
          </cell>
          <cell r="D299">
            <v>4807</v>
          </cell>
          <cell r="E299">
            <v>3.8897441231537342</v>
          </cell>
        </row>
        <row r="300">
          <cell r="A300">
            <v>43399</v>
          </cell>
          <cell r="B300" t="str">
            <v>Ble Unlock - Total</v>
          </cell>
          <cell r="C300">
            <v>18672</v>
          </cell>
          <cell r="D300">
            <v>4616</v>
          </cell>
          <cell r="E300">
            <v>4.0450606585788558</v>
          </cell>
        </row>
        <row r="301">
          <cell r="A301">
            <v>43400</v>
          </cell>
          <cell r="B301" t="str">
            <v>Ble Unlock - Total</v>
          </cell>
          <cell r="C301">
            <v>16811</v>
          </cell>
          <cell r="D301">
            <v>3895</v>
          </cell>
          <cell r="E301">
            <v>4.3160462130937098</v>
          </cell>
        </row>
        <row r="302">
          <cell r="A302">
            <v>43401</v>
          </cell>
          <cell r="B302" t="str">
            <v>Ble Unlock - Total</v>
          </cell>
          <cell r="C302">
            <v>17367</v>
          </cell>
          <cell r="D302">
            <v>4226</v>
          </cell>
          <cell r="E302">
            <v>4.1095598674869853</v>
          </cell>
        </row>
        <row r="303">
          <cell r="A303">
            <v>43402</v>
          </cell>
          <cell r="B303" t="str">
            <v>Ble Unlock - Total</v>
          </cell>
          <cell r="C303">
            <v>19025</v>
          </cell>
          <cell r="D303">
            <v>4883</v>
          </cell>
          <cell r="E303">
            <v>3.8961703870571371</v>
          </cell>
        </row>
        <row r="304">
          <cell r="A304">
            <v>43403</v>
          </cell>
          <cell r="B304" t="str">
            <v>Ble Unlock - Total</v>
          </cell>
          <cell r="C304">
            <v>19689</v>
          </cell>
          <cell r="D304">
            <v>4988</v>
          </cell>
          <cell r="E304">
            <v>3.9472734562951084</v>
          </cell>
        </row>
        <row r="305">
          <cell r="A305">
            <v>43404</v>
          </cell>
          <cell r="B305" t="str">
            <v>Ble Unlock - Total</v>
          </cell>
          <cell r="C305">
            <v>20274</v>
          </cell>
          <cell r="D305">
            <v>4976</v>
          </cell>
          <cell r="E305">
            <v>4.07435691318328</v>
          </cell>
        </row>
        <row r="306">
          <cell r="A306">
            <v>43405</v>
          </cell>
          <cell r="B306" t="str">
            <v>Ble Unlock - Total</v>
          </cell>
          <cell r="C306">
            <v>20833</v>
          </cell>
          <cell r="D306">
            <v>5053</v>
          </cell>
          <cell r="E306">
            <v>4.1228972887393631</v>
          </cell>
        </row>
        <row r="307">
          <cell r="A307">
            <v>43406</v>
          </cell>
          <cell r="B307" t="str">
            <v>Ble Unlock - Total</v>
          </cell>
          <cell r="C307">
            <v>18852</v>
          </cell>
          <cell r="D307">
            <v>4782</v>
          </cell>
          <cell r="E307">
            <v>3.9422835633626097</v>
          </cell>
        </row>
        <row r="308">
          <cell r="A308">
            <v>43407</v>
          </cell>
          <cell r="B308" t="str">
            <v>Ble Unlock - Total</v>
          </cell>
          <cell r="C308">
            <v>17596</v>
          </cell>
          <cell r="D308">
            <v>4154</v>
          </cell>
          <cell r="E308">
            <v>4.2359171882522872</v>
          </cell>
        </row>
        <row r="309">
          <cell r="A309">
            <v>43408</v>
          </cell>
          <cell r="B309" t="str">
            <v>Ble Unlock - Total</v>
          </cell>
          <cell r="C309">
            <v>17767</v>
          </cell>
          <cell r="D309">
            <v>4343</v>
          </cell>
          <cell r="E309">
            <v>4.0909509555606727</v>
          </cell>
        </row>
        <row r="310">
          <cell r="A310">
            <v>43409</v>
          </cell>
          <cell r="B310" t="str">
            <v>Ble Unlock - Total</v>
          </cell>
          <cell r="C310">
            <v>19239</v>
          </cell>
          <cell r="D310">
            <v>4960</v>
          </cell>
          <cell r="E310">
            <v>3.8788306451612904</v>
          </cell>
        </row>
        <row r="311">
          <cell r="A311">
            <v>43410</v>
          </cell>
          <cell r="B311" t="str">
            <v>Ble Unlock - Total</v>
          </cell>
          <cell r="C311">
            <v>19468</v>
          </cell>
          <cell r="D311">
            <v>4919</v>
          </cell>
          <cell r="E311">
            <v>3.9577149827200651</v>
          </cell>
        </row>
        <row r="312">
          <cell r="A312">
            <v>43411</v>
          </cell>
          <cell r="B312" t="str">
            <v>Ble Unlock - Total</v>
          </cell>
          <cell r="C312">
            <v>19432</v>
          </cell>
          <cell r="D312">
            <v>5020</v>
          </cell>
          <cell r="E312">
            <v>3.8709163346613544</v>
          </cell>
        </row>
        <row r="313">
          <cell r="A313">
            <v>43412</v>
          </cell>
          <cell r="B313" t="str">
            <v>Ble Unlock - Total</v>
          </cell>
          <cell r="C313">
            <v>19427</v>
          </cell>
          <cell r="D313">
            <v>4951</v>
          </cell>
          <cell r="E313">
            <v>3.9238537669157747</v>
          </cell>
        </row>
        <row r="314">
          <cell r="A314">
            <v>43413</v>
          </cell>
          <cell r="B314" t="str">
            <v>Ble Unlock - Total</v>
          </cell>
          <cell r="C314">
            <v>18764</v>
          </cell>
          <cell r="D314">
            <v>4758</v>
          </cell>
          <cell r="E314">
            <v>3.9436738125262716</v>
          </cell>
        </row>
        <row r="315">
          <cell r="A315">
            <v>43414</v>
          </cell>
          <cell r="B315" t="str">
            <v>Ble Unlock - Total</v>
          </cell>
          <cell r="C315">
            <v>17580</v>
          </cell>
          <cell r="D315">
            <v>4153</v>
          </cell>
          <cell r="E315">
            <v>4.2330845172164704</v>
          </cell>
        </row>
        <row r="316">
          <cell r="A316">
            <v>43415</v>
          </cell>
          <cell r="B316" t="str">
            <v>Ble Unlock - Total</v>
          </cell>
          <cell r="C316">
            <v>17124</v>
          </cell>
          <cell r="D316">
            <v>4282</v>
          </cell>
          <cell r="E316">
            <v>3.9990658570761326</v>
          </cell>
        </row>
        <row r="317">
          <cell r="A317">
            <v>43416</v>
          </cell>
          <cell r="B317" t="str">
            <v>Ble Unlock - Total</v>
          </cell>
          <cell r="C317">
            <v>18591</v>
          </cell>
          <cell r="D317">
            <v>4933</v>
          </cell>
          <cell r="E317">
            <v>3.7687005878775595</v>
          </cell>
        </row>
        <row r="318">
          <cell r="A318">
            <v>43417</v>
          </cell>
          <cell r="B318" t="str">
            <v>Ble Unlock - Total</v>
          </cell>
          <cell r="C318">
            <v>19149</v>
          </cell>
          <cell r="D318">
            <v>5038</v>
          </cell>
          <cell r="E318">
            <v>3.8009130607383881</v>
          </cell>
        </row>
        <row r="319">
          <cell r="A319">
            <v>43418</v>
          </cell>
          <cell r="B319" t="str">
            <v>Ble Unlock - Total</v>
          </cell>
          <cell r="C319">
            <v>19418</v>
          </cell>
          <cell r="D319">
            <v>5112</v>
          </cell>
          <cell r="E319">
            <v>3.7985133020344288</v>
          </cell>
        </row>
        <row r="320">
          <cell r="A320">
            <v>43419</v>
          </cell>
          <cell r="B320" t="str">
            <v>Ble Unlock - Total</v>
          </cell>
          <cell r="C320">
            <v>18992</v>
          </cell>
          <cell r="D320">
            <v>4927</v>
          </cell>
          <cell r="E320">
            <v>3.8546783032271157</v>
          </cell>
        </row>
        <row r="321">
          <cell r="A321">
            <v>43420</v>
          </cell>
          <cell r="B321" t="str">
            <v>Ble Unlock - Total</v>
          </cell>
          <cell r="C321">
            <v>19968</v>
          </cell>
          <cell r="D321">
            <v>4846</v>
          </cell>
          <cell r="E321">
            <v>4.1205117622781673</v>
          </cell>
        </row>
        <row r="322">
          <cell r="A322">
            <v>43421</v>
          </cell>
          <cell r="B322" t="str">
            <v>Ble Unlock - Total</v>
          </cell>
          <cell r="C322">
            <v>18390</v>
          </cell>
          <cell r="D322">
            <v>4211</v>
          </cell>
          <cell r="E322">
            <v>4.3671336974590362</v>
          </cell>
        </row>
        <row r="323">
          <cell r="A323">
            <v>43422</v>
          </cell>
          <cell r="B323" t="str">
            <v>Ble Unlock - Total</v>
          </cell>
          <cell r="C323">
            <v>17698</v>
          </cell>
          <cell r="D323">
            <v>4241</v>
          </cell>
          <cell r="E323">
            <v>4.1730723885875971</v>
          </cell>
        </row>
        <row r="324">
          <cell r="A324">
            <v>43423</v>
          </cell>
          <cell r="B324" t="str">
            <v>Ble Unlock - Total</v>
          </cell>
          <cell r="C324">
            <v>19335</v>
          </cell>
          <cell r="D324">
            <v>4835</v>
          </cell>
          <cell r="E324">
            <v>3.9989658738366081</v>
          </cell>
        </row>
        <row r="325">
          <cell r="A325">
            <v>43424</v>
          </cell>
          <cell r="B325" t="str">
            <v>Ble Unlock - Total</v>
          </cell>
          <cell r="C325">
            <v>19203</v>
          </cell>
          <cell r="D325">
            <v>4694</v>
          </cell>
          <cell r="E325">
            <v>4.0909671921602042</v>
          </cell>
        </row>
        <row r="326">
          <cell r="A326">
            <v>43425</v>
          </cell>
          <cell r="B326" t="str">
            <v>Ble Unlock - Total</v>
          </cell>
          <cell r="C326">
            <v>17709</v>
          </cell>
          <cell r="D326">
            <v>4082</v>
          </cell>
          <cell r="E326">
            <v>4.3383145516903481</v>
          </cell>
        </row>
        <row r="327">
          <cell r="A327">
            <v>43426</v>
          </cell>
          <cell r="B327" t="str">
            <v>Ble Unlock - Total</v>
          </cell>
          <cell r="C327">
            <v>10254</v>
          </cell>
          <cell r="D327">
            <v>2663</v>
          </cell>
          <cell r="E327">
            <v>3.8505444986856929</v>
          </cell>
        </row>
        <row r="328">
          <cell r="A328">
            <v>43427</v>
          </cell>
          <cell r="B328" t="str">
            <v>Ble Unlock - Total</v>
          </cell>
          <cell r="C328">
            <v>11965</v>
          </cell>
          <cell r="D328">
            <v>2951</v>
          </cell>
          <cell r="E328">
            <v>4.054557777024737</v>
          </cell>
        </row>
        <row r="329">
          <cell r="A329">
            <v>43428</v>
          </cell>
          <cell r="B329" t="str">
            <v>Ble Unlock - Total</v>
          </cell>
          <cell r="C329">
            <v>13464</v>
          </cell>
          <cell r="D329">
            <v>3208</v>
          </cell>
          <cell r="E329">
            <v>4.1970074812967582</v>
          </cell>
        </row>
        <row r="330">
          <cell r="A330">
            <v>43429</v>
          </cell>
          <cell r="B330" t="str">
            <v>Ble Unlock - Total</v>
          </cell>
          <cell r="C330">
            <v>16880</v>
          </cell>
          <cell r="D330">
            <v>4143</v>
          </cell>
          <cell r="E330">
            <v>4.0743422640598599</v>
          </cell>
        </row>
        <row r="331">
          <cell r="A331">
            <v>43430</v>
          </cell>
          <cell r="B331" t="str">
            <v>Ble Unlock - Total</v>
          </cell>
          <cell r="C331">
            <v>19862</v>
          </cell>
          <cell r="D331">
            <v>4984</v>
          </cell>
          <cell r="E331">
            <v>3.9851524879614768</v>
          </cell>
        </row>
        <row r="332">
          <cell r="A332">
            <v>43431</v>
          </cell>
          <cell r="B332" t="str">
            <v>Ble Unlock - Total</v>
          </cell>
          <cell r="C332">
            <v>20729</v>
          </cell>
          <cell r="D332">
            <v>5144</v>
          </cell>
          <cell r="E332">
            <v>4.029743390357698</v>
          </cell>
        </row>
        <row r="333">
          <cell r="A333">
            <v>43432</v>
          </cell>
          <cell r="B333" t="str">
            <v>Ble Unlock - Total</v>
          </cell>
          <cell r="C333">
            <v>21603</v>
          </cell>
          <cell r="D333">
            <v>5223</v>
          </cell>
          <cell r="E333">
            <v>4.1361286616886845</v>
          </cell>
        </row>
        <row r="334">
          <cell r="A334">
            <v>43433</v>
          </cell>
          <cell r="B334" t="str">
            <v>Ble Unlock - Total</v>
          </cell>
          <cell r="C334">
            <v>21840</v>
          </cell>
          <cell r="D334">
            <v>5316</v>
          </cell>
          <cell r="E334">
            <v>4.1083521444695261</v>
          </cell>
        </row>
        <row r="335">
          <cell r="A335">
            <v>43434</v>
          </cell>
          <cell r="B335" t="str">
            <v>Ble Unlock - Total</v>
          </cell>
          <cell r="C335">
            <v>22425</v>
          </cell>
          <cell r="D335">
            <v>5150</v>
          </cell>
          <cell r="E335">
            <v>4.3543689320388346</v>
          </cell>
        </row>
        <row r="336">
          <cell r="A336">
            <v>43435</v>
          </cell>
          <cell r="B336" t="str">
            <v>Ble Unlock - Total</v>
          </cell>
          <cell r="C336">
            <v>20679</v>
          </cell>
          <cell r="D336">
            <v>4624</v>
          </cell>
          <cell r="E336">
            <v>4.4721020761245676</v>
          </cell>
        </row>
        <row r="337">
          <cell r="A337">
            <v>43436</v>
          </cell>
          <cell r="B337" t="str">
            <v>Ble Unlock - Total</v>
          </cell>
          <cell r="C337">
            <v>19547</v>
          </cell>
          <cell r="D337">
            <v>4628</v>
          </cell>
          <cell r="E337">
            <v>4.2236387208297321</v>
          </cell>
        </row>
        <row r="338">
          <cell r="A338">
            <v>43437</v>
          </cell>
          <cell r="B338" t="str">
            <v>Ble Unlock - Total</v>
          </cell>
          <cell r="C338">
            <v>22272</v>
          </cell>
          <cell r="D338">
            <v>5402</v>
          </cell>
          <cell r="E338">
            <v>4.1229174379859312</v>
          </cell>
        </row>
        <row r="339">
          <cell r="A339">
            <v>43438</v>
          </cell>
          <cell r="B339" t="str">
            <v>Ble Unlock - Total</v>
          </cell>
          <cell r="C339">
            <v>22592</v>
          </cell>
          <cell r="D339">
            <v>5417</v>
          </cell>
          <cell r="E339">
            <v>4.1705741185157841</v>
          </cell>
        </row>
        <row r="340">
          <cell r="A340">
            <v>43439</v>
          </cell>
          <cell r="B340" t="str">
            <v>Ble Unlock - Total</v>
          </cell>
          <cell r="C340">
            <v>22025</v>
          </cell>
          <cell r="D340">
            <v>5418</v>
          </cell>
          <cell r="E340">
            <v>4.0651531930601701</v>
          </cell>
        </row>
        <row r="341">
          <cell r="A341">
            <v>43440</v>
          </cell>
          <cell r="B341" t="str">
            <v>Ble Unlock - Total</v>
          </cell>
          <cell r="C341">
            <v>22335</v>
          </cell>
          <cell r="D341">
            <v>5428</v>
          </cell>
          <cell r="E341">
            <v>4.1147752394988943</v>
          </cell>
        </row>
        <row r="342">
          <cell r="A342">
            <v>43441</v>
          </cell>
          <cell r="B342" t="str">
            <v>Ble Unlock - Total</v>
          </cell>
          <cell r="C342">
            <v>22184</v>
          </cell>
          <cell r="D342">
            <v>5330</v>
          </cell>
          <cell r="E342">
            <v>4.1621013133208251</v>
          </cell>
        </row>
        <row r="343">
          <cell r="A343">
            <v>43442</v>
          </cell>
          <cell r="B343" t="str">
            <v>Ble Unlock - Total</v>
          </cell>
          <cell r="C343">
            <v>19987</v>
          </cell>
          <cell r="D343">
            <v>4653</v>
          </cell>
          <cell r="E343">
            <v>4.2955082742316781</v>
          </cell>
        </row>
        <row r="344">
          <cell r="A344">
            <v>43443</v>
          </cell>
          <cell r="B344" t="str">
            <v>Ble Unlock - Total</v>
          </cell>
          <cell r="C344">
            <v>18945</v>
          </cell>
          <cell r="D344">
            <v>4718</v>
          </cell>
          <cell r="E344">
            <v>4.0154726579058924</v>
          </cell>
        </row>
        <row r="345">
          <cell r="A345">
            <v>43444</v>
          </cell>
          <cell r="B345" t="str">
            <v>Ble Unlock - Total</v>
          </cell>
          <cell r="C345">
            <v>22206</v>
          </cell>
          <cell r="D345">
            <v>5493</v>
          </cell>
          <cell r="E345">
            <v>4.0425996723102129</v>
          </cell>
        </row>
        <row r="346">
          <cell r="A346">
            <v>43445</v>
          </cell>
          <cell r="B346" t="str">
            <v>Ble Unlock - Total</v>
          </cell>
          <cell r="C346">
            <v>21460</v>
          </cell>
          <cell r="D346">
            <v>5451</v>
          </cell>
          <cell r="E346">
            <v>3.9368923133370024</v>
          </cell>
        </row>
        <row r="347">
          <cell r="A347">
            <v>43446</v>
          </cell>
          <cell r="B347" t="str">
            <v>Ble Unlock - Total</v>
          </cell>
          <cell r="C347">
            <v>21852</v>
          </cell>
          <cell r="D347">
            <v>5389</v>
          </cell>
          <cell r="E347">
            <v>4.0549267025422155</v>
          </cell>
        </row>
        <row r="348">
          <cell r="A348">
            <v>43447</v>
          </cell>
          <cell r="B348" t="str">
            <v>Ble Unlock - Total</v>
          </cell>
          <cell r="C348">
            <v>21725</v>
          </cell>
          <cell r="D348">
            <v>5369</v>
          </cell>
          <cell r="E348">
            <v>4.0463773514620973</v>
          </cell>
        </row>
        <row r="349">
          <cell r="A349">
            <v>43448</v>
          </cell>
          <cell r="B349" t="str">
            <v>Ble Unlock - Total</v>
          </cell>
          <cell r="C349">
            <v>22123</v>
          </cell>
          <cell r="D349">
            <v>5300</v>
          </cell>
          <cell r="E349">
            <v>4.1741509433962261</v>
          </cell>
        </row>
        <row r="350">
          <cell r="A350">
            <v>43449</v>
          </cell>
          <cell r="B350" t="str">
            <v>Ble Unlock - Total</v>
          </cell>
          <cell r="C350">
            <v>20491</v>
          </cell>
          <cell r="D350">
            <v>4659</v>
          </cell>
          <cell r="E350">
            <v>4.3981541103241035</v>
          </cell>
        </row>
        <row r="351">
          <cell r="A351">
            <v>43450</v>
          </cell>
          <cell r="B351" t="str">
            <v>Ble Unlock - Total</v>
          </cell>
          <cell r="C351">
            <v>18726</v>
          </cell>
          <cell r="D351">
            <v>4522</v>
          </cell>
          <cell r="E351">
            <v>4.1410880141530297</v>
          </cell>
        </row>
        <row r="352">
          <cell r="A352">
            <v>43451</v>
          </cell>
          <cell r="B352" t="str">
            <v>Ble Unlock - Total</v>
          </cell>
          <cell r="C352">
            <v>22183</v>
          </cell>
          <cell r="D352">
            <v>5357</v>
          </cell>
          <cell r="E352">
            <v>4.1409370916557773</v>
          </cell>
        </row>
        <row r="353">
          <cell r="A353">
            <v>43452</v>
          </cell>
          <cell r="B353" t="str">
            <v>Ble Unlock - Total</v>
          </cell>
          <cell r="C353">
            <v>21905</v>
          </cell>
          <cell r="D353">
            <v>5413</v>
          </cell>
          <cell r="E353">
            <v>4.0467393312396087</v>
          </cell>
        </row>
        <row r="354">
          <cell r="A354">
            <v>43453</v>
          </cell>
          <cell r="B354" t="str">
            <v>Ble Unlock - Total</v>
          </cell>
          <cell r="C354">
            <v>21670</v>
          </cell>
          <cell r="D354">
            <v>5329</v>
          </cell>
          <cell r="E354">
            <v>4.0664289735410017</v>
          </cell>
        </row>
        <row r="355">
          <cell r="A355">
            <v>43454</v>
          </cell>
          <cell r="B355" t="str">
            <v>Ble Unlock - Total</v>
          </cell>
          <cell r="C355">
            <v>21085</v>
          </cell>
          <cell r="D355">
            <v>5118</v>
          </cell>
          <cell r="E355">
            <v>4.119773348964439</v>
          </cell>
        </row>
        <row r="356">
          <cell r="A356">
            <v>43455</v>
          </cell>
          <cell r="B356" t="str">
            <v>Ble Unlock - Total</v>
          </cell>
          <cell r="C356">
            <v>20671</v>
          </cell>
          <cell r="D356">
            <v>4749</v>
          </cell>
          <cell r="E356">
            <v>4.3527058328069064</v>
          </cell>
        </row>
        <row r="357">
          <cell r="A357">
            <v>43456</v>
          </cell>
          <cell r="B357" t="str">
            <v>Ble Unlock - Total</v>
          </cell>
          <cell r="C357">
            <v>16787</v>
          </cell>
          <cell r="D357">
            <v>3826</v>
          </cell>
          <cell r="E357">
            <v>4.3876110820700474</v>
          </cell>
        </row>
        <row r="358">
          <cell r="A358">
            <v>43457</v>
          </cell>
          <cell r="B358" t="str">
            <v>Ble Unlock - Total</v>
          </cell>
          <cell r="C358">
            <v>13805</v>
          </cell>
          <cell r="D358">
            <v>3293</v>
          </cell>
          <cell r="E358">
            <v>4.1922259337989676</v>
          </cell>
        </row>
        <row r="359">
          <cell r="A359">
            <v>43458</v>
          </cell>
          <cell r="B359" t="str">
            <v>Ble Unlock - Total</v>
          </cell>
          <cell r="C359">
            <v>12899</v>
          </cell>
          <cell r="D359">
            <v>3085</v>
          </cell>
          <cell r="E359">
            <v>4.1811993517017827</v>
          </cell>
        </row>
        <row r="360">
          <cell r="A360">
            <v>43459</v>
          </cell>
          <cell r="B360" t="str">
            <v>Ble Unlock - Total</v>
          </cell>
          <cell r="C360">
            <v>9620</v>
          </cell>
          <cell r="D360">
            <v>2574</v>
          </cell>
          <cell r="E360">
            <v>3.7373737373737375</v>
          </cell>
        </row>
        <row r="361">
          <cell r="A361">
            <v>43460</v>
          </cell>
          <cell r="B361" t="str">
            <v>Ble Unlock - Total</v>
          </cell>
          <cell r="C361">
            <v>16396</v>
          </cell>
          <cell r="D361">
            <v>3782</v>
          </cell>
          <cell r="E361">
            <v>4.3352723426758333</v>
          </cell>
        </row>
        <row r="362">
          <cell r="A362">
            <v>43461</v>
          </cell>
          <cell r="B362" t="str">
            <v>Ble Unlock - Total</v>
          </cell>
          <cell r="C362">
            <v>17848</v>
          </cell>
          <cell r="D362">
            <v>4137</v>
          </cell>
          <cell r="E362">
            <v>4.3142373700749337</v>
          </cell>
        </row>
        <row r="363">
          <cell r="A363">
            <v>43462</v>
          </cell>
          <cell r="B363" t="str">
            <v>Ble Unlock - Total</v>
          </cell>
          <cell r="C363">
            <v>18648</v>
          </cell>
          <cell r="D363">
            <v>4181</v>
          </cell>
          <cell r="E363">
            <v>4.4601769911504423</v>
          </cell>
        </row>
        <row r="364">
          <cell r="A364">
            <v>43463</v>
          </cell>
          <cell r="B364" t="str">
            <v>Ble Unlock - Total</v>
          </cell>
          <cell r="C364">
            <v>17414</v>
          </cell>
          <cell r="D364">
            <v>3914</v>
          </cell>
          <cell r="E364">
            <v>4.4491568727644353</v>
          </cell>
        </row>
        <row r="365">
          <cell r="A365">
            <v>43464</v>
          </cell>
          <cell r="B365" t="str">
            <v>Ble Unlock - Total</v>
          </cell>
          <cell r="C365">
            <v>17178</v>
          </cell>
          <cell r="D365">
            <v>4044</v>
          </cell>
          <cell r="E365">
            <v>4.2477744807121658</v>
          </cell>
          <cell r="F365" t="str">
            <v>Q4 2018</v>
          </cell>
        </row>
        <row r="366">
          <cell r="A366">
            <v>43465</v>
          </cell>
          <cell r="B366" t="str">
            <v>Ble Unlock - Total</v>
          </cell>
          <cell r="C366">
            <v>18790</v>
          </cell>
          <cell r="D366">
            <v>4314</v>
          </cell>
          <cell r="E366">
            <v>4.3555864626796472</v>
          </cell>
          <cell r="F366">
            <v>4.0482713031705151</v>
          </cell>
        </row>
        <row r="367">
          <cell r="A367">
            <v>43466</v>
          </cell>
          <cell r="B367" t="str">
            <v>Ble Unlock - Total</v>
          </cell>
          <cell r="C367">
            <v>18460</v>
          </cell>
          <cell r="D367">
            <v>4441</v>
          </cell>
          <cell r="E367">
            <v>4.1567214591308268</v>
          </cell>
        </row>
        <row r="368">
          <cell r="A368">
            <v>43467</v>
          </cell>
          <cell r="B368" t="str">
            <v>Ble Unlock - Total</v>
          </cell>
          <cell r="C368">
            <v>23386</v>
          </cell>
          <cell r="D368">
            <v>5600</v>
          </cell>
          <cell r="E368">
            <v>4.1760714285714284</v>
          </cell>
        </row>
        <row r="369">
          <cell r="A369">
            <v>43468</v>
          </cell>
          <cell r="B369" t="str">
            <v>Ble Unlock - Total</v>
          </cell>
          <cell r="C369">
            <v>23266</v>
          </cell>
          <cell r="D369">
            <v>5759</v>
          </cell>
          <cell r="E369">
            <v>4.0399374891474213</v>
          </cell>
        </row>
        <row r="370">
          <cell r="A370">
            <v>43469</v>
          </cell>
          <cell r="B370" t="str">
            <v>Ble Unlock - Total</v>
          </cell>
          <cell r="C370">
            <v>24121</v>
          </cell>
          <cell r="D370">
            <v>5681</v>
          </cell>
          <cell r="E370">
            <v>4.2459074106671357</v>
          </cell>
        </row>
        <row r="371">
          <cell r="A371">
            <v>43470</v>
          </cell>
          <cell r="B371" t="str">
            <v>Ble Unlock - Total</v>
          </cell>
          <cell r="C371">
            <v>22645</v>
          </cell>
          <cell r="D371">
            <v>5089</v>
          </cell>
          <cell r="E371">
            <v>4.4497936726272354</v>
          </cell>
        </row>
        <row r="372">
          <cell r="A372">
            <v>43471</v>
          </cell>
          <cell r="B372" t="str">
            <v>Ble Unlock - Total</v>
          </cell>
          <cell r="C372">
            <v>21929</v>
          </cell>
          <cell r="D372">
            <v>5204</v>
          </cell>
          <cell r="E372">
            <v>4.2138739431206762</v>
          </cell>
        </row>
        <row r="373">
          <cell r="A373">
            <v>43472</v>
          </cell>
          <cell r="B373" t="str">
            <v>Ble Unlock - Total</v>
          </cell>
          <cell r="C373">
            <v>24814</v>
          </cell>
          <cell r="D373">
            <v>6183</v>
          </cell>
          <cell r="E373">
            <v>4.013262170467411</v>
          </cell>
        </row>
        <row r="374">
          <cell r="A374">
            <v>43473</v>
          </cell>
          <cell r="B374" t="str">
            <v>Ble Unlock - Total</v>
          </cell>
          <cell r="C374">
            <v>25376</v>
          </cell>
          <cell r="D374">
            <v>6156</v>
          </cell>
          <cell r="E374">
            <v>4.1221572449642627</v>
          </cell>
        </row>
        <row r="375">
          <cell r="A375">
            <v>43474</v>
          </cell>
          <cell r="B375" t="str">
            <v>Ble Unlock - Total</v>
          </cell>
          <cell r="C375">
            <v>25433</v>
          </cell>
          <cell r="D375">
            <v>6290</v>
          </cell>
          <cell r="E375">
            <v>4.0434022257551669</v>
          </cell>
        </row>
        <row r="376">
          <cell r="A376">
            <v>43475</v>
          </cell>
          <cell r="B376" t="str">
            <v>Ble Unlock - Total</v>
          </cell>
          <cell r="C376">
            <v>25298</v>
          </cell>
          <cell r="D376">
            <v>6226</v>
          </cell>
          <cell r="E376">
            <v>4.0632830067459045</v>
          </cell>
        </row>
        <row r="377">
          <cell r="A377">
            <v>43476</v>
          </cell>
          <cell r="B377" t="str">
            <v>Ble Unlock - Total</v>
          </cell>
          <cell r="C377">
            <v>25252</v>
          </cell>
          <cell r="D377">
            <v>6152</v>
          </cell>
          <cell r="E377">
            <v>4.104681404421326</v>
          </cell>
        </row>
        <row r="378">
          <cell r="A378">
            <v>43477</v>
          </cell>
          <cell r="B378" t="str">
            <v>Ble Unlock - Total</v>
          </cell>
          <cell r="C378">
            <v>23299</v>
          </cell>
          <cell r="D378">
            <v>5327</v>
          </cell>
          <cell r="E378">
            <v>4.3737563356485829</v>
          </cell>
        </row>
        <row r="379">
          <cell r="A379">
            <v>43478</v>
          </cell>
          <cell r="B379" t="str">
            <v>Ble Unlock - Total</v>
          </cell>
          <cell r="C379">
            <v>22216</v>
          </cell>
          <cell r="D379">
            <v>5384</v>
          </cell>
          <cell r="E379">
            <v>4.1263001485884105</v>
          </cell>
        </row>
        <row r="380">
          <cell r="A380">
            <v>43479</v>
          </cell>
          <cell r="B380" t="str">
            <v>Ble Unlock - Total</v>
          </cell>
          <cell r="C380">
            <v>25853</v>
          </cell>
          <cell r="D380">
            <v>6417</v>
          </cell>
          <cell r="E380">
            <v>4.0288296711859122</v>
          </cell>
        </row>
        <row r="381">
          <cell r="A381">
            <v>43480</v>
          </cell>
          <cell r="B381" t="str">
            <v>Ble Unlock - Total</v>
          </cell>
          <cell r="C381">
            <v>26103</v>
          </cell>
          <cell r="D381">
            <v>6535</v>
          </cell>
          <cell r="E381">
            <v>3.9943381790359602</v>
          </cell>
        </row>
        <row r="382">
          <cell r="A382">
            <v>43481</v>
          </cell>
          <cell r="B382" t="str">
            <v>Ble Unlock - Total</v>
          </cell>
          <cell r="C382">
            <v>26325</v>
          </cell>
          <cell r="D382">
            <v>6609</v>
          </cell>
          <cell r="E382">
            <v>3.9832047208352246</v>
          </cell>
        </row>
        <row r="383">
          <cell r="A383">
            <v>43482</v>
          </cell>
          <cell r="B383" t="str">
            <v>Ble Unlock - Total</v>
          </cell>
          <cell r="C383">
            <v>26518</v>
          </cell>
          <cell r="D383">
            <v>6715</v>
          </cell>
          <cell r="E383">
            <v>3.9490692479523455</v>
          </cell>
        </row>
        <row r="384">
          <cell r="A384">
            <v>43483</v>
          </cell>
          <cell r="B384" t="str">
            <v>Ble Unlock - Total</v>
          </cell>
          <cell r="C384">
            <v>26381</v>
          </cell>
          <cell r="D384">
            <v>6453</v>
          </cell>
          <cell r="E384">
            <v>4.0881760421509377</v>
          </cell>
        </row>
        <row r="385">
          <cell r="A385">
            <v>43484</v>
          </cell>
          <cell r="B385" t="str">
            <v>Ble Unlock - Total</v>
          </cell>
          <cell r="C385">
            <v>23454</v>
          </cell>
          <cell r="D385">
            <v>5384</v>
          </cell>
          <cell r="E385">
            <v>4.3562407132243681</v>
          </cell>
        </row>
        <row r="386">
          <cell r="A386">
            <v>43485</v>
          </cell>
          <cell r="B386" t="str">
            <v>Ble Unlock - Total</v>
          </cell>
          <cell r="C386">
            <v>21037</v>
          </cell>
          <cell r="D386">
            <v>5161</v>
          </cell>
          <cell r="E386">
            <v>4.0761480333268745</v>
          </cell>
        </row>
        <row r="387">
          <cell r="A387">
            <v>43486</v>
          </cell>
          <cell r="B387" t="str">
            <v>Ble Unlock - Total</v>
          </cell>
          <cell r="C387">
            <v>23884</v>
          </cell>
          <cell r="D387">
            <v>6059</v>
          </cell>
          <cell r="E387">
            <v>3.9419046047202508</v>
          </cell>
        </row>
        <row r="388">
          <cell r="A388">
            <v>43487</v>
          </cell>
          <cell r="B388" t="str">
            <v>Ble Unlock - Total</v>
          </cell>
          <cell r="C388">
            <v>26290</v>
          </cell>
          <cell r="D388">
            <v>6719</v>
          </cell>
          <cell r="E388">
            <v>3.9127846405715134</v>
          </cell>
        </row>
        <row r="389">
          <cell r="A389">
            <v>43488</v>
          </cell>
          <cell r="B389" t="str">
            <v>Ble Unlock - Total</v>
          </cell>
          <cell r="C389">
            <v>26587</v>
          </cell>
          <cell r="D389">
            <v>6762</v>
          </cell>
          <cell r="E389">
            <v>3.9318249038745932</v>
          </cell>
        </row>
        <row r="390">
          <cell r="A390">
            <v>43489</v>
          </cell>
          <cell r="B390" t="str">
            <v>Ble Unlock - Total</v>
          </cell>
          <cell r="C390">
            <v>26711</v>
          </cell>
          <cell r="D390">
            <v>6727</v>
          </cell>
          <cell r="E390">
            <v>3.9707150289876618</v>
          </cell>
        </row>
        <row r="391">
          <cell r="A391">
            <v>43490</v>
          </cell>
          <cell r="B391" t="str">
            <v>Ble Unlock - Total</v>
          </cell>
          <cell r="C391">
            <v>27266</v>
          </cell>
          <cell r="D391">
            <v>6672</v>
          </cell>
          <cell r="E391">
            <v>4.0866306954436453</v>
          </cell>
        </row>
        <row r="392">
          <cell r="A392">
            <v>43491</v>
          </cell>
          <cell r="B392" t="str">
            <v>Ble Unlock - Total</v>
          </cell>
          <cell r="C392">
            <v>24883</v>
          </cell>
          <cell r="D392">
            <v>5705</v>
          </cell>
          <cell r="E392">
            <v>4.3616126205083257</v>
          </cell>
        </row>
        <row r="393">
          <cell r="A393">
            <v>43492</v>
          </cell>
          <cell r="B393" t="str">
            <v>Ble Unlock - Total</v>
          </cell>
          <cell r="C393">
            <v>24023</v>
          </cell>
          <cell r="D393">
            <v>5833</v>
          </cell>
          <cell r="E393">
            <v>4.1184639122235556</v>
          </cell>
        </row>
        <row r="394">
          <cell r="A394">
            <v>43493</v>
          </cell>
          <cell r="B394" t="str">
            <v>Ble Unlock - Total</v>
          </cell>
          <cell r="C394">
            <v>26553</v>
          </cell>
          <cell r="D394">
            <v>6879</v>
          </cell>
          <cell r="E394">
            <v>3.860008722197994</v>
          </cell>
        </row>
        <row r="395">
          <cell r="A395">
            <v>43494</v>
          </cell>
          <cell r="B395" t="str">
            <v>Ble Unlock - Total</v>
          </cell>
          <cell r="C395">
            <v>27316</v>
          </cell>
          <cell r="D395">
            <v>6922</v>
          </cell>
          <cell r="E395">
            <v>3.9462583068477319</v>
          </cell>
        </row>
        <row r="396">
          <cell r="A396">
            <v>43495</v>
          </cell>
          <cell r="B396" t="str">
            <v>Ble Unlock - Total</v>
          </cell>
          <cell r="C396">
            <v>26596</v>
          </cell>
          <cell r="D396">
            <v>6627</v>
          </cell>
          <cell r="E396">
            <v>4.0132790101101552</v>
          </cell>
        </row>
        <row r="397">
          <cell r="A397">
            <v>43496</v>
          </cell>
          <cell r="B397" t="str">
            <v>Ble Unlock - Total</v>
          </cell>
          <cell r="C397">
            <v>26538</v>
          </cell>
          <cell r="D397">
            <v>6732</v>
          </cell>
          <cell r="E397">
            <v>3.9420677361853831</v>
          </cell>
        </row>
        <row r="398">
          <cell r="A398">
            <v>43497</v>
          </cell>
          <cell r="B398" t="str">
            <v>Ble Unlock - Total</v>
          </cell>
          <cell r="C398">
            <v>27786</v>
          </cell>
          <cell r="D398">
            <v>6794</v>
          </cell>
          <cell r="E398">
            <v>4.0897851045039744</v>
          </cell>
        </row>
        <row r="399">
          <cell r="A399">
            <v>43498</v>
          </cell>
          <cell r="B399" t="str">
            <v>Ble Unlock - Total</v>
          </cell>
          <cell r="C399">
            <v>25332</v>
          </cell>
          <cell r="D399">
            <v>5946</v>
          </cell>
          <cell r="E399">
            <v>4.2603430877901109</v>
          </cell>
        </row>
        <row r="400">
          <cell r="A400">
            <v>43499</v>
          </cell>
          <cell r="B400" t="str">
            <v>Ble Unlock - Total</v>
          </cell>
          <cell r="C400">
            <v>26082</v>
          </cell>
          <cell r="D400">
            <v>6057</v>
          </cell>
          <cell r="E400">
            <v>4.3060921248142643</v>
          </cell>
        </row>
        <row r="401">
          <cell r="A401">
            <v>43500</v>
          </cell>
          <cell r="B401" t="str">
            <v>Ble Unlock - Total</v>
          </cell>
          <cell r="C401">
            <v>28554</v>
          </cell>
          <cell r="D401">
            <v>7119</v>
          </cell>
          <cell r="E401">
            <v>4.0109565950273911</v>
          </cell>
        </row>
        <row r="402">
          <cell r="A402">
            <v>43501</v>
          </cell>
          <cell r="B402" t="str">
            <v>Ble Unlock - Total</v>
          </cell>
          <cell r="C402">
            <v>27942</v>
          </cell>
          <cell r="D402">
            <v>7115</v>
          </cell>
          <cell r="E402">
            <v>3.9271960646521435</v>
          </cell>
        </row>
        <row r="403">
          <cell r="A403">
            <v>43502</v>
          </cell>
          <cell r="B403" t="str">
            <v>Ble Unlock - Total</v>
          </cell>
          <cell r="C403">
            <v>27723</v>
          </cell>
          <cell r="D403">
            <v>7147</v>
          </cell>
          <cell r="E403">
            <v>3.8789701972855744</v>
          </cell>
        </row>
        <row r="404">
          <cell r="A404">
            <v>43503</v>
          </cell>
          <cell r="B404" t="str">
            <v>Ble Unlock - Total</v>
          </cell>
          <cell r="C404">
            <v>28208</v>
          </cell>
          <cell r="D404">
            <v>7316</v>
          </cell>
          <cell r="E404">
            <v>3.8556588299617278</v>
          </cell>
        </row>
        <row r="405">
          <cell r="A405">
            <v>43504</v>
          </cell>
          <cell r="B405" t="str">
            <v>Ble Unlock - Total</v>
          </cell>
          <cell r="C405">
            <v>28061</v>
          </cell>
          <cell r="D405">
            <v>7042</v>
          </cell>
          <cell r="E405">
            <v>3.9848054529963077</v>
          </cell>
        </row>
        <row r="406">
          <cell r="A406">
            <v>43505</v>
          </cell>
          <cell r="B406" t="str">
            <v>Ble Unlock - Total</v>
          </cell>
          <cell r="C406">
            <v>25593</v>
          </cell>
          <cell r="D406">
            <v>5991</v>
          </cell>
          <cell r="E406">
            <v>4.2719078617926893</v>
          </cell>
        </row>
        <row r="407">
          <cell r="A407">
            <v>43506</v>
          </cell>
          <cell r="B407" t="str">
            <v>Ble Unlock - Total</v>
          </cell>
          <cell r="C407">
            <v>25102</v>
          </cell>
          <cell r="D407">
            <v>6244</v>
          </cell>
          <cell r="E407">
            <v>4.0201793721973091</v>
          </cell>
        </row>
        <row r="408">
          <cell r="A408">
            <v>43507</v>
          </cell>
          <cell r="B408" t="str">
            <v>Ble Unlock - Total</v>
          </cell>
          <cell r="C408">
            <v>27975</v>
          </cell>
          <cell r="D408">
            <v>7240</v>
          </cell>
          <cell r="E408">
            <v>3.8639502762430937</v>
          </cell>
        </row>
        <row r="409">
          <cell r="A409">
            <v>43508</v>
          </cell>
          <cell r="B409" t="str">
            <v>Ble Unlock - Total</v>
          </cell>
          <cell r="C409">
            <v>27585</v>
          </cell>
          <cell r="D409">
            <v>7075</v>
          </cell>
          <cell r="E409">
            <v>3.898939929328622</v>
          </cell>
        </row>
        <row r="410">
          <cell r="A410">
            <v>43509</v>
          </cell>
          <cell r="B410" t="str">
            <v>Ble Unlock - Total</v>
          </cell>
          <cell r="C410">
            <v>26820</v>
          </cell>
          <cell r="D410">
            <v>7068</v>
          </cell>
          <cell r="E410">
            <v>3.7945670628183361</v>
          </cell>
        </row>
        <row r="411">
          <cell r="A411">
            <v>43510</v>
          </cell>
          <cell r="B411" t="str">
            <v>Ble Unlock - Total</v>
          </cell>
          <cell r="C411">
            <v>30562</v>
          </cell>
          <cell r="D411">
            <v>7364</v>
          </cell>
          <cell r="E411">
            <v>4.1501901140684412</v>
          </cell>
        </row>
        <row r="412">
          <cell r="A412">
            <v>43511</v>
          </cell>
          <cell r="B412" t="str">
            <v>Ble Unlock - Total</v>
          </cell>
          <cell r="C412">
            <v>30508</v>
          </cell>
          <cell r="D412">
            <v>7212</v>
          </cell>
          <cell r="E412">
            <v>4.230171935662784</v>
          </cell>
        </row>
        <row r="413">
          <cell r="A413">
            <v>43512</v>
          </cell>
          <cell r="B413" t="str">
            <v>Ble Unlock - Total</v>
          </cell>
          <cell r="C413">
            <v>25827</v>
          </cell>
          <cell r="D413">
            <v>5890</v>
          </cell>
          <cell r="E413">
            <v>4.3848896434634979</v>
          </cell>
        </row>
        <row r="414">
          <cell r="A414">
            <v>43513</v>
          </cell>
          <cell r="B414" t="str">
            <v>Ble Unlock - Total</v>
          </cell>
          <cell r="C414">
            <v>24147</v>
          </cell>
          <cell r="D414">
            <v>5871</v>
          </cell>
          <cell r="E414">
            <v>4.1129279509453243</v>
          </cell>
        </row>
        <row r="415">
          <cell r="A415">
            <v>43514</v>
          </cell>
          <cell r="B415" t="str">
            <v>Ble Unlock - Total</v>
          </cell>
          <cell r="C415">
            <v>27603</v>
          </cell>
          <cell r="D415">
            <v>6878</v>
          </cell>
          <cell r="E415">
            <v>4.0132305902878747</v>
          </cell>
        </row>
        <row r="416">
          <cell r="A416">
            <v>43515</v>
          </cell>
          <cell r="B416" t="str">
            <v>Ble Unlock - Total</v>
          </cell>
          <cell r="C416">
            <v>28754</v>
          </cell>
          <cell r="D416">
            <v>7431</v>
          </cell>
          <cell r="E416">
            <v>3.8694657515812136</v>
          </cell>
        </row>
        <row r="417">
          <cell r="A417">
            <v>43516</v>
          </cell>
          <cell r="B417" t="str">
            <v>Ble Unlock - Total</v>
          </cell>
          <cell r="C417">
            <v>28053</v>
          </cell>
          <cell r="D417">
            <v>7489</v>
          </cell>
          <cell r="E417">
            <v>3.7458939778341569</v>
          </cell>
        </row>
        <row r="418">
          <cell r="A418">
            <v>43517</v>
          </cell>
          <cell r="B418" t="str">
            <v>Ble Unlock - Total</v>
          </cell>
          <cell r="C418">
            <v>29720</v>
          </cell>
          <cell r="D418">
            <v>7748</v>
          </cell>
          <cell r="E418">
            <v>3.8358286009292719</v>
          </cell>
        </row>
        <row r="419">
          <cell r="A419">
            <v>43518</v>
          </cell>
          <cell r="B419" t="str">
            <v>Ble Unlock - Total</v>
          </cell>
          <cell r="C419">
            <v>29830</v>
          </cell>
          <cell r="D419">
            <v>7554</v>
          </cell>
          <cell r="E419">
            <v>3.9489012443738418</v>
          </cell>
        </row>
        <row r="420">
          <cell r="A420">
            <v>43519</v>
          </cell>
          <cell r="B420" t="str">
            <v>Ble Unlock - Total</v>
          </cell>
          <cell r="C420">
            <v>28230</v>
          </cell>
          <cell r="D420">
            <v>6653</v>
          </cell>
          <cell r="E420">
            <v>4.2431985570419357</v>
          </cell>
        </row>
        <row r="421">
          <cell r="A421">
            <v>43520</v>
          </cell>
          <cell r="B421" t="str">
            <v>Ble Unlock - Total</v>
          </cell>
          <cell r="C421">
            <v>27265</v>
          </cell>
          <cell r="D421">
            <v>6757</v>
          </cell>
          <cell r="E421">
            <v>4.0350747373094569</v>
          </cell>
        </row>
        <row r="422">
          <cell r="A422">
            <v>43521</v>
          </cell>
          <cell r="B422" t="str">
            <v>Ble Unlock - Total</v>
          </cell>
          <cell r="C422">
            <v>30779</v>
          </cell>
          <cell r="D422">
            <v>7892</v>
          </cell>
          <cell r="E422">
            <v>3.9000253421186013</v>
          </cell>
        </row>
        <row r="423">
          <cell r="A423">
            <v>43522</v>
          </cell>
          <cell r="B423" t="str">
            <v>Ble Unlock - Total</v>
          </cell>
          <cell r="C423">
            <v>30950</v>
          </cell>
          <cell r="D423">
            <v>7967</v>
          </cell>
          <cell r="E423">
            <v>3.8847746956194302</v>
          </cell>
        </row>
        <row r="424">
          <cell r="A424">
            <v>43523</v>
          </cell>
          <cell r="B424" t="str">
            <v>Ble Unlock - Total</v>
          </cell>
          <cell r="C424">
            <v>30775</v>
          </cell>
          <cell r="D424">
            <v>7922</v>
          </cell>
          <cell r="E424">
            <v>3.8847513254228732</v>
          </cell>
        </row>
        <row r="425">
          <cell r="A425">
            <v>43524</v>
          </cell>
          <cell r="B425" t="str">
            <v>Ble Unlock - Total</v>
          </cell>
          <cell r="C425">
            <v>30359</v>
          </cell>
          <cell r="D425">
            <v>8059</v>
          </cell>
          <cell r="E425">
            <v>3.7670926914009182</v>
          </cell>
        </row>
        <row r="426">
          <cell r="A426">
            <v>43525</v>
          </cell>
          <cell r="B426" t="str">
            <v>Ble Unlock - Total</v>
          </cell>
          <cell r="C426">
            <v>30871</v>
          </cell>
          <cell r="D426">
            <v>7644</v>
          </cell>
          <cell r="E426">
            <v>4.0385923600209317</v>
          </cell>
        </row>
        <row r="427">
          <cell r="A427">
            <v>43526</v>
          </cell>
          <cell r="B427" t="str">
            <v>Ble Unlock - Total</v>
          </cell>
          <cell r="C427">
            <v>27677</v>
          </cell>
          <cell r="D427">
            <v>6523</v>
          </cell>
          <cell r="E427">
            <v>4.2429863559711789</v>
          </cell>
        </row>
        <row r="428">
          <cell r="A428">
            <v>43527</v>
          </cell>
          <cell r="B428" t="str">
            <v>Ble Unlock - Total</v>
          </cell>
          <cell r="C428">
            <v>26956</v>
          </cell>
          <cell r="D428">
            <v>6675</v>
          </cell>
          <cell r="E428">
            <v>4.0383520599250939</v>
          </cell>
        </row>
        <row r="429">
          <cell r="A429">
            <v>43528</v>
          </cell>
          <cell r="B429" t="str">
            <v>Ble Unlock - Total</v>
          </cell>
          <cell r="C429">
            <v>29430</v>
          </cell>
          <cell r="D429">
            <v>7690</v>
          </cell>
          <cell r="E429">
            <v>3.8270481144343305</v>
          </cell>
        </row>
        <row r="430">
          <cell r="A430">
            <v>43529</v>
          </cell>
          <cell r="B430" t="str">
            <v>Ble Unlock - Total</v>
          </cell>
          <cell r="C430">
            <v>30585</v>
          </cell>
          <cell r="D430">
            <v>7978</v>
          </cell>
          <cell r="E430">
            <v>3.833667585861118</v>
          </cell>
        </row>
        <row r="431">
          <cell r="A431">
            <v>43530</v>
          </cell>
          <cell r="B431" t="str">
            <v>Ble Unlock - Total</v>
          </cell>
          <cell r="C431">
            <v>31370</v>
          </cell>
          <cell r="D431">
            <v>8066</v>
          </cell>
          <cell r="E431">
            <v>3.8891643937515497</v>
          </cell>
        </row>
        <row r="432">
          <cell r="A432">
            <v>43531</v>
          </cell>
          <cell r="B432" t="str">
            <v>Ble Unlock - Total</v>
          </cell>
          <cell r="C432">
            <v>31804</v>
          </cell>
          <cell r="D432">
            <v>8076</v>
          </cell>
          <cell r="E432">
            <v>3.9380881624566619</v>
          </cell>
        </row>
        <row r="433">
          <cell r="A433">
            <v>43532</v>
          </cell>
          <cell r="B433" t="str">
            <v>Ble Unlock - Total</v>
          </cell>
          <cell r="C433">
            <v>32832</v>
          </cell>
          <cell r="D433">
            <v>7904</v>
          </cell>
          <cell r="E433">
            <v>4.1538461538461542</v>
          </cell>
        </row>
        <row r="434">
          <cell r="A434">
            <v>43533</v>
          </cell>
          <cell r="B434" t="str">
            <v>Ble Unlock - Total</v>
          </cell>
          <cell r="C434">
            <v>30352</v>
          </cell>
          <cell r="D434">
            <v>6957</v>
          </cell>
          <cell r="E434">
            <v>4.362800057496047</v>
          </cell>
        </row>
        <row r="435">
          <cell r="A435">
            <v>43534</v>
          </cell>
          <cell r="B435" t="str">
            <v>Ble Unlock - Total</v>
          </cell>
          <cell r="C435">
            <v>28758</v>
          </cell>
          <cell r="D435">
            <v>7036</v>
          </cell>
          <cell r="E435">
            <v>4.0872654917566802</v>
          </cell>
        </row>
        <row r="436">
          <cell r="A436">
            <v>43535</v>
          </cell>
          <cell r="B436" t="str">
            <v>Ble Unlock - Total</v>
          </cell>
          <cell r="C436">
            <v>35301</v>
          </cell>
          <cell r="D436">
            <v>8664</v>
          </cell>
          <cell r="E436">
            <v>4.0744459833795013</v>
          </cell>
        </row>
        <row r="437">
          <cell r="A437">
            <v>43536</v>
          </cell>
          <cell r="B437" t="str">
            <v>Ble Unlock - Total</v>
          </cell>
          <cell r="C437">
            <v>34558</v>
          </cell>
          <cell r="D437">
            <v>8776</v>
          </cell>
          <cell r="E437">
            <v>3.937784867821331</v>
          </cell>
        </row>
        <row r="438">
          <cell r="A438">
            <v>43537</v>
          </cell>
          <cell r="B438" t="str">
            <v>Ble Unlock - Total</v>
          </cell>
          <cell r="C438">
            <v>36051</v>
          </cell>
          <cell r="D438">
            <v>8934</v>
          </cell>
          <cell r="E438">
            <v>4.0352585627938211</v>
          </cell>
        </row>
        <row r="439">
          <cell r="A439">
            <v>43538</v>
          </cell>
          <cell r="B439" t="str">
            <v>Ble Unlock - Total</v>
          </cell>
          <cell r="C439">
            <v>36544</v>
          </cell>
          <cell r="D439">
            <v>8862</v>
          </cell>
          <cell r="E439">
            <v>4.1236741141954409</v>
          </cell>
        </row>
        <row r="440">
          <cell r="A440">
            <v>43539</v>
          </cell>
          <cell r="B440" t="str">
            <v>Ble Unlock - Total</v>
          </cell>
          <cell r="C440">
            <v>36873</v>
          </cell>
          <cell r="D440">
            <v>8761</v>
          </cell>
          <cell r="E440">
            <v>4.2087661225887452</v>
          </cell>
        </row>
        <row r="441">
          <cell r="A441">
            <v>43540</v>
          </cell>
          <cell r="B441" t="str">
            <v>Ble Unlock - Total</v>
          </cell>
          <cell r="C441">
            <v>33099</v>
          </cell>
          <cell r="D441">
            <v>7414</v>
          </cell>
          <cell r="E441">
            <v>4.4643916913946589</v>
          </cell>
        </row>
        <row r="442">
          <cell r="A442">
            <v>43541</v>
          </cell>
          <cell r="B442" t="str">
            <v>Ble Unlock - Total</v>
          </cell>
          <cell r="C442">
            <v>32130</v>
          </cell>
          <cell r="D442">
            <v>7607</v>
          </cell>
          <cell r="E442">
            <v>4.2237412909162613</v>
          </cell>
        </row>
        <row r="443">
          <cell r="A443">
            <v>43542</v>
          </cell>
          <cell r="B443" t="str">
            <v>Ble Unlock - Total</v>
          </cell>
          <cell r="C443">
            <v>36172</v>
          </cell>
          <cell r="D443">
            <v>8925</v>
          </cell>
          <cell r="E443">
            <v>4.0528851540616246</v>
          </cell>
        </row>
        <row r="444">
          <cell r="A444">
            <v>43543</v>
          </cell>
          <cell r="B444" t="str">
            <v>Ble Unlock - Total</v>
          </cell>
          <cell r="C444">
            <v>36007</v>
          </cell>
          <cell r="D444">
            <v>8964</v>
          </cell>
          <cell r="E444">
            <v>4.0168451584114235</v>
          </cell>
        </row>
        <row r="445">
          <cell r="A445">
            <v>43544</v>
          </cell>
          <cell r="B445" t="str">
            <v>Ble Unlock - Total</v>
          </cell>
          <cell r="C445">
            <v>36732</v>
          </cell>
          <cell r="D445">
            <v>8994</v>
          </cell>
          <cell r="E445">
            <v>4.0840560373582386</v>
          </cell>
        </row>
        <row r="446">
          <cell r="A446">
            <v>43545</v>
          </cell>
          <cell r="B446" t="str">
            <v>Ble Unlock - Total</v>
          </cell>
          <cell r="C446">
            <v>36394</v>
          </cell>
          <cell r="D446">
            <v>8917</v>
          </cell>
          <cell r="E446">
            <v>4.0814175171021647</v>
          </cell>
        </row>
        <row r="447">
          <cell r="A447">
            <v>43546</v>
          </cell>
          <cell r="B447" t="str">
            <v>Ble Unlock - Total</v>
          </cell>
          <cell r="C447">
            <v>36614</v>
          </cell>
          <cell r="D447">
            <v>8624</v>
          </cell>
          <cell r="E447">
            <v>4.2455936920222639</v>
          </cell>
        </row>
        <row r="448">
          <cell r="A448">
            <v>43547</v>
          </cell>
          <cell r="B448" t="str">
            <v>Ble Unlock - Total</v>
          </cell>
          <cell r="C448">
            <v>33699</v>
          </cell>
          <cell r="D448">
            <v>7598</v>
          </cell>
          <cell r="E448">
            <v>4.4352461173993154</v>
          </cell>
        </row>
        <row r="449">
          <cell r="A449">
            <v>43548</v>
          </cell>
          <cell r="B449" t="str">
            <v>Ble Unlock - Total</v>
          </cell>
          <cell r="C449">
            <v>34349</v>
          </cell>
          <cell r="D449">
            <v>8057</v>
          </cell>
          <cell r="E449">
            <v>4.2632493483927023</v>
          </cell>
        </row>
        <row r="450">
          <cell r="A450">
            <v>43549</v>
          </cell>
          <cell r="B450" t="str">
            <v>Ble Unlock - Total</v>
          </cell>
          <cell r="C450">
            <v>37709</v>
          </cell>
          <cell r="D450">
            <v>9209</v>
          </cell>
          <cell r="E450">
            <v>4.0947985666196116</v>
          </cell>
        </row>
        <row r="451">
          <cell r="A451">
            <v>43550</v>
          </cell>
          <cell r="B451" t="str">
            <v>Ble Unlock - Total</v>
          </cell>
          <cell r="C451">
            <v>38339</v>
          </cell>
          <cell r="D451">
            <v>9369</v>
          </cell>
          <cell r="E451">
            <v>4.0921122851958591</v>
          </cell>
        </row>
        <row r="452">
          <cell r="A452">
            <v>43551</v>
          </cell>
          <cell r="B452" t="str">
            <v>Ble Unlock - Total</v>
          </cell>
          <cell r="C452">
            <v>38979</v>
          </cell>
          <cell r="D452">
            <v>9432</v>
          </cell>
          <cell r="E452">
            <v>4.1326335877862599</v>
          </cell>
        </row>
        <row r="453">
          <cell r="A453">
            <v>43552</v>
          </cell>
          <cell r="B453" t="str">
            <v>Ble Unlock - Total</v>
          </cell>
          <cell r="C453">
            <v>39261</v>
          </cell>
          <cell r="D453">
            <v>9360</v>
          </cell>
          <cell r="E453">
            <v>4.1945512820512825</v>
          </cell>
        </row>
        <row r="454">
          <cell r="A454">
            <v>43553</v>
          </cell>
          <cell r="B454" t="str">
            <v>Ble Unlock - Total</v>
          </cell>
          <cell r="C454">
            <v>39839</v>
          </cell>
          <cell r="D454">
            <v>9158</v>
          </cell>
          <cell r="E454">
            <v>4.3501856300502295</v>
          </cell>
        </row>
        <row r="455">
          <cell r="A455">
            <v>43554</v>
          </cell>
          <cell r="B455" t="str">
            <v>Ble Unlock - Total</v>
          </cell>
          <cell r="C455">
            <v>37267</v>
          </cell>
          <cell r="D455">
            <v>8008</v>
          </cell>
          <cell r="E455">
            <v>4.6537212787212789</v>
          </cell>
          <cell r="F455" t="str">
            <v>Q1 2019</v>
          </cell>
        </row>
        <row r="456">
          <cell r="A456">
            <v>43555</v>
          </cell>
          <cell r="B456" t="str">
            <v>Ble Unlock - Total</v>
          </cell>
          <cell r="C456">
            <v>36335</v>
          </cell>
          <cell r="D456">
            <v>8333</v>
          </cell>
          <cell r="E456">
            <v>4.3603744149765991</v>
          </cell>
          <cell r="F456">
            <v>4.0822001920607542</v>
          </cell>
        </row>
        <row r="457">
          <cell r="A457">
            <v>43556</v>
          </cell>
          <cell r="B457" t="str">
            <v>Ble Unlock - Total</v>
          </cell>
          <cell r="C457">
            <v>41102</v>
          </cell>
          <cell r="D457">
            <v>9722</v>
          </cell>
          <cell r="E457">
            <v>4.2277309195638759</v>
          </cell>
        </row>
        <row r="458">
          <cell r="A458">
            <v>43557</v>
          </cell>
          <cell r="B458" t="str">
            <v>Ble Unlock - Total</v>
          </cell>
          <cell r="C458">
            <v>41099</v>
          </cell>
          <cell r="D458">
            <v>9719</v>
          </cell>
          <cell r="E458">
            <v>4.2287272353122747</v>
          </cell>
        </row>
        <row r="459">
          <cell r="A459">
            <v>43558</v>
          </cell>
          <cell r="B459" t="str">
            <v>Ble Unlock - Total</v>
          </cell>
          <cell r="C459">
            <v>40453</v>
          </cell>
          <cell r="D459">
            <v>9902</v>
          </cell>
          <cell r="E459">
            <v>4.0853362956978385</v>
          </cell>
        </row>
        <row r="460">
          <cell r="A460">
            <v>43559</v>
          </cell>
          <cell r="B460" t="str">
            <v>Ble Unlock - Total</v>
          </cell>
          <cell r="C460">
            <v>40914</v>
          </cell>
          <cell r="D460">
            <v>9861</v>
          </cell>
          <cell r="E460">
            <v>4.1490721022208703</v>
          </cell>
        </row>
        <row r="461">
          <cell r="A461">
            <v>43560</v>
          </cell>
          <cell r="B461" t="str">
            <v>Ble Unlock - Total</v>
          </cell>
          <cell r="C461">
            <v>40662</v>
          </cell>
          <cell r="D461">
            <v>9424</v>
          </cell>
          <cell r="E461">
            <v>4.3147283531409171</v>
          </cell>
        </row>
        <row r="462">
          <cell r="A462">
            <v>43561</v>
          </cell>
          <cell r="B462" t="str">
            <v>Ble Unlock - Total</v>
          </cell>
          <cell r="C462">
            <v>39215</v>
          </cell>
          <cell r="D462">
            <v>8290</v>
          </cell>
          <cell r="E462">
            <v>4.7303980699638117</v>
          </cell>
        </row>
        <row r="463">
          <cell r="A463">
            <v>43562</v>
          </cell>
          <cell r="B463" t="str">
            <v>Ble Unlock - Total</v>
          </cell>
          <cell r="C463">
            <v>38048</v>
          </cell>
          <cell r="D463">
            <v>8629</v>
          </cell>
          <cell r="E463">
            <v>4.4093174180090395</v>
          </cell>
        </row>
        <row r="464">
          <cell r="A464">
            <v>43563</v>
          </cell>
          <cell r="B464" t="str">
            <v>Ble Unlock - Total</v>
          </cell>
          <cell r="C464">
            <v>42384</v>
          </cell>
          <cell r="D464">
            <v>10006</v>
          </cell>
          <cell r="E464">
            <v>4.2358584849090546</v>
          </cell>
        </row>
        <row r="465">
          <cell r="A465">
            <v>43564</v>
          </cell>
          <cell r="B465" t="str">
            <v>Ble Unlock - Total</v>
          </cell>
          <cell r="C465">
            <v>41173</v>
          </cell>
          <cell r="D465">
            <v>9996</v>
          </cell>
          <cell r="E465">
            <v>4.1189475790316123</v>
          </cell>
        </row>
        <row r="466">
          <cell r="A466">
            <v>43565</v>
          </cell>
          <cell r="B466" t="str">
            <v>Ble Unlock - Total</v>
          </cell>
          <cell r="C466">
            <v>42787</v>
          </cell>
          <cell r="D466">
            <v>10069</v>
          </cell>
          <cell r="E466">
            <v>4.2493792829476611</v>
          </cell>
        </row>
        <row r="467">
          <cell r="A467">
            <v>43566</v>
          </cell>
          <cell r="B467" t="str">
            <v>Ble Unlock - Total</v>
          </cell>
          <cell r="C467">
            <v>41618</v>
          </cell>
          <cell r="D467">
            <v>9959</v>
          </cell>
          <cell r="E467">
            <v>4.1789336278742848</v>
          </cell>
        </row>
        <row r="468">
          <cell r="A468">
            <v>43567</v>
          </cell>
          <cell r="B468" t="str">
            <v>Ble Unlock - Total</v>
          </cell>
          <cell r="C468">
            <v>42073</v>
          </cell>
          <cell r="D468">
            <v>9653</v>
          </cell>
          <cell r="E468">
            <v>4.3585413860975866</v>
          </cell>
        </row>
        <row r="469">
          <cell r="A469">
            <v>43568</v>
          </cell>
          <cell r="B469" t="str">
            <v>Ble Unlock - Total</v>
          </cell>
          <cell r="C469">
            <v>39675</v>
          </cell>
          <cell r="D469">
            <v>8407</v>
          </cell>
          <cell r="E469">
            <v>4.719281551088379</v>
          </cell>
        </row>
        <row r="470">
          <cell r="A470">
            <v>43569</v>
          </cell>
          <cell r="B470" t="str">
            <v>Ble Unlock - Total</v>
          </cell>
          <cell r="C470">
            <v>38093</v>
          </cell>
          <cell r="D470">
            <v>8732</v>
          </cell>
          <cell r="E470">
            <v>4.3624599175446637</v>
          </cell>
        </row>
        <row r="471">
          <cell r="A471">
            <v>43570</v>
          </cell>
          <cell r="B471" t="str">
            <v>Ble Unlock - Total</v>
          </cell>
          <cell r="C471">
            <v>42211</v>
          </cell>
          <cell r="D471">
            <v>10086</v>
          </cell>
          <cell r="E471">
            <v>4.1851080705929009</v>
          </cell>
        </row>
        <row r="472">
          <cell r="A472">
            <v>43571</v>
          </cell>
          <cell r="B472" t="str">
            <v>Ble Unlock - Total</v>
          </cell>
          <cell r="C472">
            <v>43762</v>
          </cell>
          <cell r="D472">
            <v>10223</v>
          </cell>
          <cell r="E472">
            <v>4.2807395089504059</v>
          </cell>
        </row>
        <row r="473">
          <cell r="A473">
            <v>43572</v>
          </cell>
          <cell r="B473" t="str">
            <v>Ble Unlock - Total</v>
          </cell>
          <cell r="C473">
            <v>42560</v>
          </cell>
          <cell r="D473">
            <v>10195</v>
          </cell>
          <cell r="E473">
            <v>4.1745953898970081</v>
          </cell>
        </row>
        <row r="474">
          <cell r="A474">
            <v>43573</v>
          </cell>
          <cell r="B474" t="str">
            <v>Ble Unlock - Total</v>
          </cell>
          <cell r="C474">
            <v>41886</v>
          </cell>
          <cell r="D474">
            <v>9995</v>
          </cell>
          <cell r="E474">
            <v>4.1906953476738371</v>
          </cell>
        </row>
        <row r="475">
          <cell r="A475">
            <v>43574</v>
          </cell>
          <cell r="B475" t="str">
            <v>Ble Unlock - Total</v>
          </cell>
          <cell r="C475">
            <v>40835</v>
          </cell>
          <cell r="D475">
            <v>9267</v>
          </cell>
          <cell r="E475">
            <v>4.4064961692025468</v>
          </cell>
        </row>
        <row r="476">
          <cell r="A476">
            <v>43575</v>
          </cell>
          <cell r="B476" t="str">
            <v>Ble Unlock - Total</v>
          </cell>
          <cell r="C476">
            <v>36070</v>
          </cell>
          <cell r="D476">
            <v>7746</v>
          </cell>
          <cell r="E476">
            <v>4.6565969532662015</v>
          </cell>
        </row>
        <row r="477">
          <cell r="A477">
            <v>43576</v>
          </cell>
          <cell r="B477" t="str">
            <v>Ble Unlock - Total</v>
          </cell>
          <cell r="C477">
            <v>35066</v>
          </cell>
          <cell r="D477">
            <v>8258</v>
          </cell>
          <cell r="E477">
            <v>4.2463066117704047</v>
          </cell>
        </row>
        <row r="478">
          <cell r="A478">
            <v>43577</v>
          </cell>
          <cell r="B478" t="str">
            <v>Ble Unlock - Total</v>
          </cell>
          <cell r="C478">
            <v>41395</v>
          </cell>
          <cell r="D478">
            <v>9971</v>
          </cell>
          <cell r="E478">
            <v>4.1515394644468957</v>
          </cell>
        </row>
        <row r="479">
          <cell r="A479">
            <v>43578</v>
          </cell>
          <cell r="B479" t="str">
            <v>Ble Unlock - Total</v>
          </cell>
          <cell r="C479">
            <v>43036</v>
          </cell>
          <cell r="D479">
            <v>10183</v>
          </cell>
          <cell r="E479">
            <v>4.2262594520278896</v>
          </cell>
        </row>
        <row r="480">
          <cell r="A480">
            <v>43579</v>
          </cell>
          <cell r="B480" t="str">
            <v>Ble Unlock - Total</v>
          </cell>
          <cell r="C480">
            <v>42967</v>
          </cell>
          <cell r="D480">
            <v>10245</v>
          </cell>
          <cell r="E480">
            <v>4.193948267447535</v>
          </cell>
        </row>
        <row r="481">
          <cell r="A481">
            <v>43580</v>
          </cell>
          <cell r="B481" t="str">
            <v>Ble Unlock - Total</v>
          </cell>
          <cell r="C481">
            <v>42494</v>
          </cell>
          <cell r="D481">
            <v>10164</v>
          </cell>
          <cell r="E481">
            <v>4.1808343171979532</v>
          </cell>
        </row>
        <row r="482">
          <cell r="A482">
            <v>43581</v>
          </cell>
          <cell r="B482" t="str">
            <v>Ble Unlock - Total</v>
          </cell>
          <cell r="C482">
            <v>42658</v>
          </cell>
          <cell r="D482">
            <v>9813</v>
          </cell>
          <cell r="E482">
            <v>4.3470905941098543</v>
          </cell>
        </row>
        <row r="483">
          <cell r="A483">
            <v>43582</v>
          </cell>
          <cell r="B483" t="str">
            <v>Ble Unlock - Total</v>
          </cell>
          <cell r="C483">
            <v>41373</v>
          </cell>
          <cell r="D483">
            <v>8775</v>
          </cell>
          <cell r="E483">
            <v>4.7148717948717946</v>
          </cell>
        </row>
        <row r="484">
          <cell r="A484">
            <v>43583</v>
          </cell>
          <cell r="B484" t="str">
            <v>Ble Unlock - Total</v>
          </cell>
          <cell r="C484">
            <v>40271</v>
          </cell>
          <cell r="D484">
            <v>8988</v>
          </cell>
          <cell r="E484">
            <v>4.4805295950155761</v>
          </cell>
        </row>
        <row r="485">
          <cell r="A485">
            <v>43584</v>
          </cell>
          <cell r="B485" t="str">
            <v>Ble Unlock - Total</v>
          </cell>
          <cell r="C485">
            <v>44123</v>
          </cell>
          <cell r="D485">
            <v>10348</v>
          </cell>
          <cell r="E485">
            <v>4.2639157325086972</v>
          </cell>
          <cell r="F485" t="str">
            <v>Q2 incomplete</v>
          </cell>
        </row>
        <row r="486">
          <cell r="A486">
            <v>43585</v>
          </cell>
          <cell r="B486" t="str">
            <v>Ble Unlock - Total</v>
          </cell>
          <cell r="C486">
            <v>43314</v>
          </cell>
          <cell r="D486">
            <v>10178</v>
          </cell>
          <cell r="E486">
            <v>4.2556494399685594</v>
          </cell>
          <cell r="F486">
            <v>4.3107962977449983</v>
          </cell>
        </row>
      </sheetData>
      <sheetData sheetId="12">
        <row r="1">
          <cell r="A1" t="str">
            <v>View Accesses By User Type Time Date</v>
          </cell>
          <cell r="B1" t="str">
            <v>View Accesses By User Type User Type</v>
          </cell>
          <cell r="C1" t="str">
            <v>View Accesses By User Type Count</v>
          </cell>
        </row>
        <row r="2">
          <cell r="A2">
            <v>43677</v>
          </cell>
          <cell r="B2" t="str">
            <v>MANAGER</v>
          </cell>
          <cell r="C2">
            <v>4804</v>
          </cell>
        </row>
        <row r="3">
          <cell r="A3">
            <v>43677</v>
          </cell>
          <cell r="B3" t="str">
            <v>GUEST</v>
          </cell>
          <cell r="C3">
            <v>23964</v>
          </cell>
          <cell r="H3" t="str">
            <v>Q1'18</v>
          </cell>
          <cell r="I3" t="str">
            <v>Q2'18</v>
          </cell>
          <cell r="J3" t="str">
            <v>Q3'18</v>
          </cell>
          <cell r="K3" t="str">
            <v>Q4'18</v>
          </cell>
          <cell r="L3" t="str">
            <v>Q1'19</v>
          </cell>
          <cell r="M3" t="str">
            <v>Q2'19</v>
          </cell>
          <cell r="N3" t="str">
            <v>Q3'19</v>
          </cell>
          <cell r="O3" t="str">
            <v>Q4'19</v>
          </cell>
          <cell r="P3" t="str">
            <v>Q1'20</v>
          </cell>
        </row>
        <row r="4">
          <cell r="A4">
            <v>43677</v>
          </cell>
          <cell r="B4" t="str">
            <v>RESIDENT</v>
          </cell>
          <cell r="C4">
            <v>21973</v>
          </cell>
          <cell r="G4">
            <v>1</v>
          </cell>
          <cell r="H4">
            <v>43190</v>
          </cell>
          <cell r="I4">
            <v>43281</v>
          </cell>
          <cell r="J4">
            <v>43373</v>
          </cell>
          <cell r="K4">
            <v>43465</v>
          </cell>
          <cell r="L4">
            <v>43555</v>
          </cell>
          <cell r="M4">
            <v>43646</v>
          </cell>
          <cell r="N4">
            <v>43738</v>
          </cell>
          <cell r="O4">
            <v>43830</v>
          </cell>
          <cell r="P4">
            <v>43921</v>
          </cell>
          <cell r="Q4">
            <v>1</v>
          </cell>
          <cell r="R4">
            <v>43131</v>
          </cell>
          <cell r="S4">
            <v>43159</v>
          </cell>
          <cell r="T4">
            <v>43190</v>
          </cell>
          <cell r="U4">
            <v>43220</v>
          </cell>
          <cell r="V4">
            <v>43251</v>
          </cell>
          <cell r="W4">
            <v>43281</v>
          </cell>
          <cell r="X4">
            <v>43312</v>
          </cell>
          <cell r="Y4">
            <v>43343</v>
          </cell>
          <cell r="Z4">
            <v>43373</v>
          </cell>
          <cell r="AA4">
            <v>43404</v>
          </cell>
          <cell r="AB4">
            <v>43434</v>
          </cell>
          <cell r="AC4">
            <v>43465</v>
          </cell>
          <cell r="AD4">
            <v>43496</v>
          </cell>
          <cell r="AE4">
            <v>43524</v>
          </cell>
          <cell r="AF4">
            <v>43555</v>
          </cell>
          <cell r="AG4">
            <v>43585</v>
          </cell>
          <cell r="AH4">
            <v>43616</v>
          </cell>
          <cell r="AI4">
            <v>43646</v>
          </cell>
        </row>
        <row r="5">
          <cell r="A5">
            <v>43676</v>
          </cell>
          <cell r="B5" t="str">
            <v>MANAGER</v>
          </cell>
          <cell r="C5">
            <v>4394</v>
          </cell>
          <cell r="G5" t="str">
            <v>Manager</v>
          </cell>
          <cell r="H5">
            <v>54150</v>
          </cell>
          <cell r="I5">
            <v>112388</v>
          </cell>
          <cell r="J5">
            <v>175538</v>
          </cell>
          <cell r="K5">
            <v>244902</v>
          </cell>
          <cell r="L5">
            <v>336523</v>
          </cell>
          <cell r="M5">
            <v>424748</v>
          </cell>
          <cell r="N5">
            <v>532663.22366891417</v>
          </cell>
          <cell r="O5">
            <v>588573.67403824953</v>
          </cell>
          <cell r="P5">
            <v>649601.3486142559</v>
          </cell>
          <cell r="Q5" t="str">
            <v>Resident</v>
          </cell>
          <cell r="R5">
            <v>75762</v>
          </cell>
          <cell r="S5">
            <v>122185</v>
          </cell>
          <cell r="T5">
            <v>152377</v>
          </cell>
          <cell r="U5">
            <v>197300</v>
          </cell>
          <cell r="V5">
            <v>250594</v>
          </cell>
          <cell r="W5">
            <v>304608</v>
          </cell>
          <cell r="X5">
            <v>361797</v>
          </cell>
          <cell r="Y5">
            <v>476946</v>
          </cell>
          <cell r="Z5">
            <v>571186</v>
          </cell>
          <cell r="AA5">
            <v>704635</v>
          </cell>
          <cell r="AB5">
            <v>750672</v>
          </cell>
          <cell r="AC5">
            <v>799719</v>
          </cell>
          <cell r="AD5">
            <v>961222</v>
          </cell>
          <cell r="AE5">
            <v>973242</v>
          </cell>
          <cell r="AF5">
            <v>1252011</v>
          </cell>
          <cell r="AG5">
            <v>1419647</v>
          </cell>
          <cell r="AH5">
            <v>1402294</v>
          </cell>
          <cell r="AI5">
            <v>1262085</v>
          </cell>
        </row>
        <row r="6">
          <cell r="A6">
            <v>43676</v>
          </cell>
          <cell r="B6" t="str">
            <v>RESIDENT</v>
          </cell>
          <cell r="C6">
            <v>25488</v>
          </cell>
          <cell r="G6" t="str">
            <v>Guest</v>
          </cell>
          <cell r="H6">
            <v>162519</v>
          </cell>
          <cell r="I6">
            <v>310419</v>
          </cell>
          <cell r="J6">
            <v>518478</v>
          </cell>
          <cell r="K6">
            <v>849796</v>
          </cell>
          <cell r="L6">
            <v>1398582</v>
          </cell>
          <cell r="M6">
            <v>2346566</v>
          </cell>
          <cell r="N6">
            <v>3771111.6092327205</v>
          </cell>
          <cell r="O6">
            <v>4166942.4815294049</v>
          </cell>
          <cell r="P6">
            <v>4599001.9176828247</v>
          </cell>
          <cell r="Q6" t="str">
            <v>MAUs</v>
          </cell>
          <cell r="R6">
            <v>3102</v>
          </cell>
          <cell r="S6">
            <v>3432</v>
          </cell>
          <cell r="T6">
            <v>4098</v>
          </cell>
          <cell r="U6">
            <v>4854</v>
          </cell>
          <cell r="V6">
            <v>5780</v>
          </cell>
          <cell r="W6">
            <v>7127</v>
          </cell>
          <cell r="X6">
            <v>7843</v>
          </cell>
          <cell r="Y6">
            <v>9905</v>
          </cell>
          <cell r="Z6">
            <v>11098</v>
          </cell>
          <cell r="AA6">
            <v>13501</v>
          </cell>
          <cell r="AB6">
            <v>14255</v>
          </cell>
          <cell r="AC6">
            <v>15603</v>
          </cell>
          <cell r="AD6">
            <v>17688</v>
          </cell>
          <cell r="AE6">
            <v>19545</v>
          </cell>
          <cell r="AF6">
            <v>23586</v>
          </cell>
          <cell r="AG6">
            <v>25613</v>
          </cell>
          <cell r="AH6">
            <v>28416</v>
          </cell>
          <cell r="AI6">
            <v>30161</v>
          </cell>
        </row>
        <row r="7">
          <cell r="A7">
            <v>43676</v>
          </cell>
          <cell r="B7" t="str">
            <v>GUEST</v>
          </cell>
          <cell r="C7">
            <v>26738</v>
          </cell>
          <cell r="G7" t="str">
            <v>Resident</v>
          </cell>
          <cell r="H7">
            <v>350324</v>
          </cell>
          <cell r="I7">
            <v>752502</v>
          </cell>
          <cell r="J7">
            <v>1409929</v>
          </cell>
          <cell r="K7">
            <v>2255026</v>
          </cell>
          <cell r="L7">
            <v>3186475</v>
          </cell>
          <cell r="M7">
            <v>4084026</v>
          </cell>
          <cell r="N7">
            <v>5580134.369143866</v>
          </cell>
          <cell r="O7">
            <v>6165847.4648430757</v>
          </cell>
          <cell r="P7">
            <v>6805168.1636232305</v>
          </cell>
          <cell r="R7">
            <v>24.423597678916828</v>
          </cell>
          <cell r="S7">
            <v>35.601689976689975</v>
          </cell>
          <cell r="T7">
            <v>37.183260126891163</v>
          </cell>
          <cell r="U7">
            <v>40.646889163576432</v>
          </cell>
          <cell r="V7">
            <v>43.35536332179931</v>
          </cell>
          <cell r="W7">
            <v>42.740002806229832</v>
          </cell>
          <cell r="X7">
            <v>46.129924773683541</v>
          </cell>
          <cell r="Y7">
            <v>48.152044422009084</v>
          </cell>
          <cell r="Z7">
            <v>51.467471616507481</v>
          </cell>
          <cell r="AA7">
            <v>52.191319161543589</v>
          </cell>
          <cell r="AB7">
            <v>52.660259558049809</v>
          </cell>
          <cell r="AC7">
            <v>51.254181888098444</v>
          </cell>
          <cell r="AD7">
            <v>54.343170511080956</v>
          </cell>
          <cell r="AE7">
            <v>49.794934765924786</v>
          </cell>
          <cell r="AF7">
            <v>53.082803357924192</v>
          </cell>
          <cell r="AG7">
            <v>55.426814508257529</v>
          </cell>
          <cell r="AH7">
            <v>49.348747184684683</v>
          </cell>
          <cell r="AI7">
            <v>41.844932197208315</v>
          </cell>
        </row>
        <row r="8">
          <cell r="A8">
            <v>43675</v>
          </cell>
          <cell r="B8" t="str">
            <v>GUEST</v>
          </cell>
          <cell r="C8">
            <v>26368</v>
          </cell>
        </row>
        <row r="9">
          <cell r="A9">
            <v>43675</v>
          </cell>
          <cell r="B9" t="str">
            <v>MANAGER</v>
          </cell>
          <cell r="C9">
            <v>4598</v>
          </cell>
          <cell r="H9">
            <v>350324</v>
          </cell>
          <cell r="I9">
            <v>752502</v>
          </cell>
          <cell r="J9">
            <v>1409929</v>
          </cell>
          <cell r="K9">
            <v>2255026</v>
          </cell>
          <cell r="L9">
            <v>3186475</v>
          </cell>
          <cell r="M9">
            <v>4084026</v>
          </cell>
          <cell r="R9" t="str">
            <v>Q1'18</v>
          </cell>
          <cell r="S9" t="str">
            <v>Q2'18</v>
          </cell>
          <cell r="T9" t="str">
            <v>Q3'18</v>
          </cell>
          <cell r="U9" t="str">
            <v>Q4'18</v>
          </cell>
          <cell r="V9" t="str">
            <v>Q1'19</v>
          </cell>
          <cell r="W9" t="str">
            <v>Q2'19</v>
          </cell>
        </row>
        <row r="10">
          <cell r="A10">
            <v>43675</v>
          </cell>
          <cell r="B10" t="str">
            <v>RESIDENT</v>
          </cell>
          <cell r="C10">
            <v>26079</v>
          </cell>
          <cell r="H10">
            <v>3892.4888888888891</v>
          </cell>
          <cell r="I10">
            <v>8361.1333333333332</v>
          </cell>
          <cell r="J10">
            <v>15665.877777777778</v>
          </cell>
          <cell r="K10">
            <v>25055.844444444443</v>
          </cell>
          <cell r="L10">
            <v>35405.277777777781</v>
          </cell>
          <cell r="M10">
            <v>45378.066666666666</v>
          </cell>
          <cell r="Q10" t="str">
            <v>Unlocks</v>
          </cell>
          <cell r="R10">
            <v>566993</v>
          </cell>
          <cell r="S10">
            <v>1175309</v>
          </cell>
          <cell r="T10">
            <v>2103945</v>
          </cell>
          <cell r="U10">
            <v>3349724</v>
          </cell>
          <cell r="V10">
            <v>4921580</v>
          </cell>
          <cell r="W10">
            <v>6855340</v>
          </cell>
        </row>
        <row r="11">
          <cell r="A11">
            <v>43674</v>
          </cell>
          <cell r="B11" t="str">
            <v>GUEST</v>
          </cell>
          <cell r="C11">
            <v>24777</v>
          </cell>
          <cell r="Q11" t="str">
            <v>MAUs</v>
          </cell>
          <cell r="R11">
            <v>3544</v>
          </cell>
          <cell r="S11">
            <v>5920.333333333333</v>
          </cell>
          <cell r="T11">
            <v>9615.3333333333339</v>
          </cell>
          <cell r="U11">
            <v>14453</v>
          </cell>
          <cell r="V11">
            <v>20273</v>
          </cell>
          <cell r="W11">
            <v>28063.333333333332</v>
          </cell>
        </row>
        <row r="12">
          <cell r="A12">
            <v>43674</v>
          </cell>
          <cell r="B12" t="str">
            <v>RESIDENT</v>
          </cell>
          <cell r="C12">
            <v>25362</v>
          </cell>
          <cell r="H12">
            <v>566993</v>
          </cell>
          <cell r="I12">
            <v>1175309</v>
          </cell>
          <cell r="J12">
            <v>2103945</v>
          </cell>
          <cell r="K12">
            <v>3349724</v>
          </cell>
          <cell r="L12">
            <v>4921580</v>
          </cell>
          <cell r="M12">
            <v>6855340</v>
          </cell>
          <cell r="R12">
            <v>159.98673814898419</v>
          </cell>
          <cell r="S12">
            <v>198.52074770564721</v>
          </cell>
          <cell r="T12">
            <v>218.81144699438394</v>
          </cell>
          <cell r="U12">
            <v>231.76669203625545</v>
          </cell>
          <cell r="V12">
            <v>242.76525427909041</v>
          </cell>
          <cell r="W12">
            <v>244.28103100130659</v>
          </cell>
        </row>
        <row r="13">
          <cell r="A13">
            <v>43674</v>
          </cell>
          <cell r="B13" t="str">
            <v>MANAGER</v>
          </cell>
          <cell r="C13">
            <v>1934</v>
          </cell>
          <cell r="R13">
            <v>1.7776304238776022</v>
          </cell>
          <cell r="S13">
            <v>2.2057860856183025</v>
          </cell>
          <cell r="T13">
            <v>2.4312382999375992</v>
          </cell>
          <cell r="U13">
            <v>2.5751854670695051</v>
          </cell>
          <cell r="V13">
            <v>2.6973917142121158</v>
          </cell>
          <cell r="W13">
            <v>2.7142336777922953</v>
          </cell>
          <cell r="X13">
            <v>6.243795994271828E-3</v>
          </cell>
        </row>
        <row r="14">
          <cell r="A14">
            <v>43673</v>
          </cell>
          <cell r="B14" t="str">
            <v>RESIDENT</v>
          </cell>
          <cell r="C14">
            <v>24744</v>
          </cell>
        </row>
        <row r="15">
          <cell r="A15">
            <v>43673</v>
          </cell>
          <cell r="B15" t="str">
            <v>MANAGER</v>
          </cell>
          <cell r="C15">
            <v>2551</v>
          </cell>
        </row>
        <row r="16">
          <cell r="A16">
            <v>43673</v>
          </cell>
          <cell r="B16" t="str">
            <v>GUEST</v>
          </cell>
          <cell r="C16">
            <v>25516</v>
          </cell>
        </row>
        <row r="17">
          <cell r="A17">
            <v>43672</v>
          </cell>
          <cell r="B17" t="str">
            <v>RESIDENT</v>
          </cell>
          <cell r="C17">
            <v>25665</v>
          </cell>
        </row>
        <row r="18">
          <cell r="A18">
            <v>43672</v>
          </cell>
          <cell r="B18" t="str">
            <v>MANAGER</v>
          </cell>
          <cell r="C18">
            <v>4369</v>
          </cell>
        </row>
        <row r="19">
          <cell r="A19">
            <v>43672</v>
          </cell>
          <cell r="B19" t="str">
            <v>GUEST</v>
          </cell>
          <cell r="C19">
            <v>25940</v>
          </cell>
        </row>
        <row r="20">
          <cell r="A20">
            <v>43671</v>
          </cell>
          <cell r="B20" t="str">
            <v>GUEST</v>
          </cell>
          <cell r="C20">
            <v>25327</v>
          </cell>
        </row>
        <row r="21">
          <cell r="A21">
            <v>43671</v>
          </cell>
          <cell r="B21" t="str">
            <v>MANAGER</v>
          </cell>
          <cell r="C21">
            <v>4650</v>
          </cell>
        </row>
        <row r="22">
          <cell r="A22">
            <v>43671</v>
          </cell>
          <cell r="B22" t="str">
            <v>RESIDENT</v>
          </cell>
          <cell r="C22">
            <v>26489</v>
          </cell>
        </row>
        <row r="23">
          <cell r="A23">
            <v>43670</v>
          </cell>
          <cell r="B23" t="str">
            <v>GUEST</v>
          </cell>
          <cell r="C23">
            <v>25253</v>
          </cell>
        </row>
        <row r="24">
          <cell r="A24">
            <v>43670</v>
          </cell>
          <cell r="B24" t="str">
            <v>RESIDENT</v>
          </cell>
          <cell r="C24">
            <v>26605</v>
          </cell>
        </row>
        <row r="25">
          <cell r="A25">
            <v>43670</v>
          </cell>
          <cell r="B25" t="str">
            <v>MANAGER</v>
          </cell>
          <cell r="C25">
            <v>4752</v>
          </cell>
        </row>
        <row r="26">
          <cell r="A26">
            <v>43669</v>
          </cell>
          <cell r="B26" t="str">
            <v>MANAGER</v>
          </cell>
          <cell r="C26">
            <v>4382</v>
          </cell>
        </row>
        <row r="27">
          <cell r="A27">
            <v>43669</v>
          </cell>
          <cell r="B27" t="str">
            <v>RESIDENT</v>
          </cell>
          <cell r="C27">
            <v>26166</v>
          </cell>
        </row>
        <row r="28">
          <cell r="A28">
            <v>43669</v>
          </cell>
          <cell r="B28" t="str">
            <v>GUEST</v>
          </cell>
          <cell r="C28">
            <v>23574</v>
          </cell>
        </row>
        <row r="29">
          <cell r="A29">
            <v>43668</v>
          </cell>
          <cell r="B29" t="str">
            <v>MANAGER</v>
          </cell>
          <cell r="C29">
            <v>4533</v>
          </cell>
        </row>
        <row r="30">
          <cell r="A30">
            <v>43668</v>
          </cell>
          <cell r="B30" t="str">
            <v>GUEST</v>
          </cell>
          <cell r="C30">
            <v>23869</v>
          </cell>
        </row>
        <row r="31">
          <cell r="A31">
            <v>43668</v>
          </cell>
          <cell r="B31" t="str">
            <v>RESIDENT</v>
          </cell>
          <cell r="C31">
            <v>26253</v>
          </cell>
        </row>
        <row r="32">
          <cell r="A32">
            <v>43667</v>
          </cell>
          <cell r="B32" t="str">
            <v>MANAGER</v>
          </cell>
          <cell r="C32">
            <v>2188</v>
          </cell>
        </row>
        <row r="33">
          <cell r="A33">
            <v>43667</v>
          </cell>
          <cell r="B33" t="str">
            <v>RESIDENT</v>
          </cell>
          <cell r="C33">
            <v>25701</v>
          </cell>
        </row>
        <row r="34">
          <cell r="A34">
            <v>43667</v>
          </cell>
          <cell r="B34" t="str">
            <v>GUEST</v>
          </cell>
          <cell r="C34">
            <v>22908</v>
          </cell>
        </row>
        <row r="35">
          <cell r="A35">
            <v>43666</v>
          </cell>
          <cell r="B35" t="str">
            <v>RESIDENT</v>
          </cell>
          <cell r="C35">
            <v>25219</v>
          </cell>
        </row>
        <row r="36">
          <cell r="A36">
            <v>43666</v>
          </cell>
          <cell r="B36" t="str">
            <v>MANAGER</v>
          </cell>
          <cell r="C36">
            <v>2614</v>
          </cell>
        </row>
        <row r="37">
          <cell r="A37">
            <v>43666</v>
          </cell>
          <cell r="B37" t="str">
            <v>GUEST</v>
          </cell>
          <cell r="C37">
            <v>24581</v>
          </cell>
        </row>
        <row r="38">
          <cell r="A38">
            <v>43665</v>
          </cell>
          <cell r="B38" t="str">
            <v>MANAGER</v>
          </cell>
          <cell r="C38">
            <v>4545</v>
          </cell>
        </row>
        <row r="39">
          <cell r="A39">
            <v>43665</v>
          </cell>
          <cell r="B39" t="str">
            <v>GUEST</v>
          </cell>
          <cell r="C39">
            <v>25074</v>
          </cell>
        </row>
        <row r="40">
          <cell r="A40">
            <v>43665</v>
          </cell>
          <cell r="B40" t="str">
            <v>RESIDENT</v>
          </cell>
          <cell r="C40">
            <v>27080</v>
          </cell>
        </row>
        <row r="41">
          <cell r="A41">
            <v>43664</v>
          </cell>
          <cell r="B41" t="str">
            <v>RESIDENT</v>
          </cell>
          <cell r="C41">
            <v>26563</v>
          </cell>
        </row>
        <row r="42">
          <cell r="A42">
            <v>43664</v>
          </cell>
          <cell r="B42" t="str">
            <v>MANAGER</v>
          </cell>
          <cell r="C42">
            <v>4663</v>
          </cell>
        </row>
        <row r="43">
          <cell r="A43">
            <v>43664</v>
          </cell>
          <cell r="B43" t="str">
            <v>GUEST</v>
          </cell>
          <cell r="C43">
            <v>23315</v>
          </cell>
        </row>
        <row r="44">
          <cell r="A44">
            <v>43663</v>
          </cell>
          <cell r="B44" t="str">
            <v>RESIDENT</v>
          </cell>
          <cell r="C44">
            <v>26363</v>
          </cell>
        </row>
        <row r="45">
          <cell r="A45">
            <v>43663</v>
          </cell>
          <cell r="B45" t="str">
            <v>MANAGER</v>
          </cell>
          <cell r="C45">
            <v>4859</v>
          </cell>
        </row>
        <row r="46">
          <cell r="A46">
            <v>43663</v>
          </cell>
          <cell r="B46" t="str">
            <v>GUEST</v>
          </cell>
          <cell r="C46">
            <v>24919</v>
          </cell>
        </row>
        <row r="47">
          <cell r="A47">
            <v>43662</v>
          </cell>
          <cell r="B47" t="str">
            <v>RESIDENT</v>
          </cell>
          <cell r="C47">
            <v>26913</v>
          </cell>
        </row>
        <row r="48">
          <cell r="A48">
            <v>43662</v>
          </cell>
          <cell r="B48" t="str">
            <v>MANAGER</v>
          </cell>
          <cell r="C48">
            <v>4363</v>
          </cell>
        </row>
        <row r="49">
          <cell r="A49">
            <v>43662</v>
          </cell>
          <cell r="B49" t="str">
            <v>GUEST</v>
          </cell>
          <cell r="C49">
            <v>26682</v>
          </cell>
        </row>
        <row r="50">
          <cell r="A50">
            <v>43661</v>
          </cell>
          <cell r="B50" t="str">
            <v>MANAGER</v>
          </cell>
          <cell r="C50">
            <v>5105</v>
          </cell>
        </row>
        <row r="51">
          <cell r="A51">
            <v>43661</v>
          </cell>
          <cell r="B51" t="str">
            <v>GUEST</v>
          </cell>
          <cell r="C51">
            <v>34975</v>
          </cell>
        </row>
        <row r="52">
          <cell r="A52">
            <v>43661</v>
          </cell>
          <cell r="B52" t="str">
            <v>RESIDENT</v>
          </cell>
          <cell r="C52">
            <v>35480</v>
          </cell>
        </row>
        <row r="53">
          <cell r="A53">
            <v>43660</v>
          </cell>
          <cell r="B53" t="str">
            <v>MANAGER</v>
          </cell>
          <cell r="C53">
            <v>2731</v>
          </cell>
        </row>
        <row r="54">
          <cell r="A54">
            <v>43660</v>
          </cell>
          <cell r="B54" t="str">
            <v>RESIDENT</v>
          </cell>
          <cell r="C54">
            <v>35962</v>
          </cell>
        </row>
        <row r="55">
          <cell r="A55">
            <v>43660</v>
          </cell>
          <cell r="B55" t="str">
            <v>GUEST</v>
          </cell>
          <cell r="C55">
            <v>33970</v>
          </cell>
        </row>
        <row r="56">
          <cell r="A56">
            <v>43659</v>
          </cell>
          <cell r="B56" t="str">
            <v>RESIDENT</v>
          </cell>
          <cell r="C56">
            <v>36557</v>
          </cell>
        </row>
        <row r="57">
          <cell r="A57">
            <v>43659</v>
          </cell>
          <cell r="B57" t="str">
            <v>GUEST</v>
          </cell>
          <cell r="C57">
            <v>36635</v>
          </cell>
        </row>
        <row r="58">
          <cell r="A58">
            <v>43659</v>
          </cell>
          <cell r="B58" t="str">
            <v>MANAGER</v>
          </cell>
          <cell r="C58">
            <v>3477</v>
          </cell>
        </row>
        <row r="59">
          <cell r="A59">
            <v>43658</v>
          </cell>
          <cell r="B59" t="str">
            <v>GUEST</v>
          </cell>
          <cell r="C59">
            <v>39404</v>
          </cell>
        </row>
        <row r="60">
          <cell r="A60">
            <v>43658</v>
          </cell>
          <cell r="B60" t="str">
            <v>MANAGER</v>
          </cell>
          <cell r="C60">
            <v>6697</v>
          </cell>
        </row>
        <row r="61">
          <cell r="A61">
            <v>43658</v>
          </cell>
          <cell r="B61" t="str">
            <v>RESIDENT</v>
          </cell>
          <cell r="C61">
            <v>38738</v>
          </cell>
        </row>
        <row r="62">
          <cell r="A62">
            <v>43657</v>
          </cell>
          <cell r="B62" t="str">
            <v>RESIDENT</v>
          </cell>
          <cell r="C62">
            <v>38574</v>
          </cell>
        </row>
        <row r="63">
          <cell r="A63">
            <v>43657</v>
          </cell>
          <cell r="B63" t="str">
            <v>MANAGER</v>
          </cell>
          <cell r="C63">
            <v>6577</v>
          </cell>
        </row>
        <row r="64">
          <cell r="A64">
            <v>43657</v>
          </cell>
          <cell r="B64" t="str">
            <v>GUEST</v>
          </cell>
          <cell r="C64">
            <v>37979</v>
          </cell>
        </row>
        <row r="65">
          <cell r="A65">
            <v>43656</v>
          </cell>
          <cell r="B65" t="str">
            <v>MANAGER</v>
          </cell>
          <cell r="C65">
            <v>6196</v>
          </cell>
        </row>
        <row r="66">
          <cell r="A66">
            <v>43656</v>
          </cell>
          <cell r="B66" t="str">
            <v>RESIDENT</v>
          </cell>
          <cell r="C66">
            <v>38900</v>
          </cell>
        </row>
        <row r="67">
          <cell r="A67">
            <v>43656</v>
          </cell>
          <cell r="B67" t="str">
            <v>GUEST</v>
          </cell>
          <cell r="C67">
            <v>38160</v>
          </cell>
        </row>
        <row r="68">
          <cell r="A68">
            <v>43655</v>
          </cell>
          <cell r="B68" t="str">
            <v>RESIDENT</v>
          </cell>
          <cell r="C68">
            <v>39023</v>
          </cell>
        </row>
        <row r="69">
          <cell r="A69">
            <v>43655</v>
          </cell>
          <cell r="B69" t="str">
            <v>MANAGER</v>
          </cell>
          <cell r="C69">
            <v>5873</v>
          </cell>
        </row>
        <row r="70">
          <cell r="A70">
            <v>43655</v>
          </cell>
          <cell r="B70" t="str">
            <v>GUEST</v>
          </cell>
          <cell r="C70">
            <v>37119</v>
          </cell>
        </row>
        <row r="71">
          <cell r="A71">
            <v>43654</v>
          </cell>
          <cell r="B71" t="str">
            <v>RESIDENT</v>
          </cell>
          <cell r="C71">
            <v>39534</v>
          </cell>
        </row>
        <row r="72">
          <cell r="A72">
            <v>43654</v>
          </cell>
          <cell r="B72" t="str">
            <v>GUEST</v>
          </cell>
          <cell r="C72">
            <v>36857</v>
          </cell>
        </row>
        <row r="73">
          <cell r="A73">
            <v>43654</v>
          </cell>
          <cell r="B73" t="str">
            <v>MANAGER</v>
          </cell>
          <cell r="C73">
            <v>5840</v>
          </cell>
        </row>
        <row r="74">
          <cell r="A74">
            <v>43653</v>
          </cell>
          <cell r="B74" t="str">
            <v>MANAGER</v>
          </cell>
          <cell r="C74">
            <v>2399</v>
          </cell>
        </row>
        <row r="75">
          <cell r="A75">
            <v>43653</v>
          </cell>
          <cell r="B75" t="str">
            <v>RESIDENT</v>
          </cell>
          <cell r="C75">
            <v>35741</v>
          </cell>
        </row>
        <row r="76">
          <cell r="A76">
            <v>43653</v>
          </cell>
          <cell r="B76" t="str">
            <v>GUEST</v>
          </cell>
          <cell r="C76">
            <v>32043</v>
          </cell>
        </row>
        <row r="77">
          <cell r="A77">
            <v>43652</v>
          </cell>
          <cell r="B77" t="str">
            <v>MANAGER</v>
          </cell>
          <cell r="C77">
            <v>2977</v>
          </cell>
        </row>
        <row r="78">
          <cell r="A78">
            <v>43652</v>
          </cell>
          <cell r="B78" t="str">
            <v>GUEST</v>
          </cell>
          <cell r="C78">
            <v>30783</v>
          </cell>
        </row>
        <row r="79">
          <cell r="A79">
            <v>43652</v>
          </cell>
          <cell r="B79" t="str">
            <v>RESIDENT</v>
          </cell>
          <cell r="C79">
            <v>31805</v>
          </cell>
        </row>
        <row r="80">
          <cell r="A80">
            <v>43651</v>
          </cell>
          <cell r="B80" t="str">
            <v>RESIDENT</v>
          </cell>
          <cell r="C80">
            <v>34259</v>
          </cell>
        </row>
        <row r="81">
          <cell r="A81">
            <v>43651</v>
          </cell>
          <cell r="B81" t="str">
            <v>MANAGER</v>
          </cell>
          <cell r="C81">
            <v>4566</v>
          </cell>
        </row>
        <row r="82">
          <cell r="A82">
            <v>43651</v>
          </cell>
          <cell r="B82" t="str">
            <v>GUEST</v>
          </cell>
          <cell r="C82">
            <v>33894</v>
          </cell>
        </row>
        <row r="83">
          <cell r="A83">
            <v>43650</v>
          </cell>
          <cell r="B83" t="str">
            <v>GUEST</v>
          </cell>
          <cell r="C83">
            <v>32270</v>
          </cell>
        </row>
        <row r="84">
          <cell r="A84">
            <v>43650</v>
          </cell>
          <cell r="B84" t="str">
            <v>MANAGER</v>
          </cell>
          <cell r="C84">
            <v>1721</v>
          </cell>
        </row>
        <row r="85">
          <cell r="A85">
            <v>43650</v>
          </cell>
          <cell r="B85" t="str">
            <v>RESIDENT</v>
          </cell>
          <cell r="C85">
            <v>32980</v>
          </cell>
        </row>
        <row r="86">
          <cell r="A86">
            <v>43649</v>
          </cell>
          <cell r="B86" t="str">
            <v>MANAGER</v>
          </cell>
          <cell r="C86">
            <v>5938</v>
          </cell>
        </row>
        <row r="87">
          <cell r="A87">
            <v>43649</v>
          </cell>
          <cell r="B87" t="str">
            <v>RESIDENT</v>
          </cell>
          <cell r="C87">
            <v>40243</v>
          </cell>
        </row>
        <row r="88">
          <cell r="A88">
            <v>43649</v>
          </cell>
          <cell r="B88" t="str">
            <v>GUEST</v>
          </cell>
          <cell r="C88">
            <v>38570</v>
          </cell>
        </row>
        <row r="89">
          <cell r="A89">
            <v>43648</v>
          </cell>
          <cell r="B89" t="str">
            <v>RESIDENT</v>
          </cell>
          <cell r="C89">
            <v>40318</v>
          </cell>
        </row>
        <row r="90">
          <cell r="A90">
            <v>43648</v>
          </cell>
          <cell r="B90" t="str">
            <v>MANAGER</v>
          </cell>
          <cell r="C90">
            <v>5812</v>
          </cell>
        </row>
        <row r="91">
          <cell r="A91">
            <v>43648</v>
          </cell>
          <cell r="B91" t="str">
            <v>GUEST</v>
          </cell>
          <cell r="C91">
            <v>38712</v>
          </cell>
        </row>
        <row r="92">
          <cell r="A92">
            <v>43647</v>
          </cell>
          <cell r="B92" t="str">
            <v>RESIDENT</v>
          </cell>
          <cell r="C92">
            <v>41547</v>
          </cell>
        </row>
        <row r="93">
          <cell r="A93">
            <v>43647</v>
          </cell>
          <cell r="B93" t="str">
            <v>MANAGER</v>
          </cell>
          <cell r="C93">
            <v>6236</v>
          </cell>
        </row>
        <row r="94">
          <cell r="A94">
            <v>43647</v>
          </cell>
          <cell r="B94" t="str">
            <v>GUEST</v>
          </cell>
          <cell r="C94">
            <v>40146</v>
          </cell>
        </row>
        <row r="95">
          <cell r="A95">
            <v>43646</v>
          </cell>
          <cell r="B95" t="str">
            <v>MANAGER</v>
          </cell>
          <cell r="C95">
            <v>2940</v>
          </cell>
        </row>
        <row r="96">
          <cell r="A96">
            <v>43646</v>
          </cell>
          <cell r="B96" t="str">
            <v>RESIDENT</v>
          </cell>
          <cell r="C96">
            <v>39381</v>
          </cell>
        </row>
        <row r="97">
          <cell r="A97">
            <v>43646</v>
          </cell>
          <cell r="B97" t="str">
            <v>GUEST</v>
          </cell>
          <cell r="C97">
            <v>33184</v>
          </cell>
        </row>
        <row r="98">
          <cell r="A98">
            <v>43645</v>
          </cell>
          <cell r="B98" t="str">
            <v>GUEST</v>
          </cell>
          <cell r="C98">
            <v>34481</v>
          </cell>
        </row>
        <row r="99">
          <cell r="A99">
            <v>43645</v>
          </cell>
          <cell r="B99" t="str">
            <v>MANAGER</v>
          </cell>
          <cell r="C99">
            <v>3446</v>
          </cell>
        </row>
        <row r="100">
          <cell r="A100">
            <v>43645</v>
          </cell>
          <cell r="B100" t="str">
            <v>RESIDENT</v>
          </cell>
          <cell r="C100">
            <v>39368</v>
          </cell>
        </row>
        <row r="101">
          <cell r="A101">
            <v>43644</v>
          </cell>
          <cell r="B101" t="str">
            <v>MANAGER</v>
          </cell>
          <cell r="C101">
            <v>6025</v>
          </cell>
        </row>
        <row r="102">
          <cell r="A102">
            <v>43644</v>
          </cell>
          <cell r="B102" t="str">
            <v>RESIDENT</v>
          </cell>
          <cell r="C102">
            <v>41571</v>
          </cell>
        </row>
        <row r="103">
          <cell r="A103">
            <v>43644</v>
          </cell>
          <cell r="B103" t="str">
            <v>GUEST</v>
          </cell>
          <cell r="C103">
            <v>37250</v>
          </cell>
        </row>
        <row r="104">
          <cell r="A104">
            <v>43643</v>
          </cell>
          <cell r="B104" t="str">
            <v>MANAGER</v>
          </cell>
          <cell r="C104">
            <v>6496</v>
          </cell>
        </row>
        <row r="105">
          <cell r="A105">
            <v>43643</v>
          </cell>
          <cell r="B105" t="str">
            <v>RESIDENT</v>
          </cell>
          <cell r="C105">
            <v>40859</v>
          </cell>
        </row>
        <row r="106">
          <cell r="A106">
            <v>43643</v>
          </cell>
          <cell r="B106" t="str">
            <v>GUEST</v>
          </cell>
          <cell r="C106">
            <v>35331</v>
          </cell>
        </row>
        <row r="107">
          <cell r="A107">
            <v>43642</v>
          </cell>
          <cell r="B107" t="str">
            <v>RESIDENT</v>
          </cell>
          <cell r="C107">
            <v>42469</v>
          </cell>
        </row>
        <row r="108">
          <cell r="A108">
            <v>43642</v>
          </cell>
          <cell r="B108" t="str">
            <v>MANAGER</v>
          </cell>
          <cell r="C108">
            <v>6335</v>
          </cell>
        </row>
        <row r="109">
          <cell r="A109">
            <v>43642</v>
          </cell>
          <cell r="B109" t="str">
            <v>GUEST</v>
          </cell>
          <cell r="C109">
            <v>34163</v>
          </cell>
        </row>
        <row r="110">
          <cell r="A110">
            <v>43641</v>
          </cell>
          <cell r="B110" t="str">
            <v>GUEST</v>
          </cell>
          <cell r="C110">
            <v>34248</v>
          </cell>
        </row>
        <row r="111">
          <cell r="A111">
            <v>43641</v>
          </cell>
          <cell r="B111" t="str">
            <v>RESIDENT</v>
          </cell>
          <cell r="C111">
            <v>41457</v>
          </cell>
        </row>
        <row r="112">
          <cell r="A112">
            <v>43641</v>
          </cell>
          <cell r="B112" t="str">
            <v>MANAGER</v>
          </cell>
          <cell r="C112">
            <v>6270</v>
          </cell>
        </row>
        <row r="113">
          <cell r="A113">
            <v>43640</v>
          </cell>
          <cell r="B113" t="str">
            <v>MANAGER</v>
          </cell>
          <cell r="C113">
            <v>5398</v>
          </cell>
        </row>
        <row r="114">
          <cell r="A114">
            <v>43640</v>
          </cell>
          <cell r="B114" t="str">
            <v>GUEST</v>
          </cell>
          <cell r="C114">
            <v>34355</v>
          </cell>
        </row>
        <row r="115">
          <cell r="A115">
            <v>43640</v>
          </cell>
          <cell r="B115" t="str">
            <v>RESIDENT</v>
          </cell>
          <cell r="C115">
            <v>41936</v>
          </cell>
        </row>
        <row r="116">
          <cell r="A116">
            <v>43639</v>
          </cell>
          <cell r="B116" t="str">
            <v>GUEST</v>
          </cell>
          <cell r="C116">
            <v>29964</v>
          </cell>
        </row>
        <row r="117">
          <cell r="A117">
            <v>43639</v>
          </cell>
          <cell r="B117" t="str">
            <v>MANAGER</v>
          </cell>
          <cell r="C117">
            <v>2599</v>
          </cell>
        </row>
        <row r="118">
          <cell r="A118">
            <v>43639</v>
          </cell>
          <cell r="B118" t="str">
            <v>RESIDENT</v>
          </cell>
          <cell r="C118">
            <v>38948</v>
          </cell>
        </row>
        <row r="119">
          <cell r="A119">
            <v>43638</v>
          </cell>
          <cell r="B119" t="str">
            <v>GUEST</v>
          </cell>
          <cell r="C119">
            <v>31195</v>
          </cell>
        </row>
        <row r="120">
          <cell r="A120">
            <v>43638</v>
          </cell>
          <cell r="B120" t="str">
            <v>MANAGER</v>
          </cell>
          <cell r="C120">
            <v>3539</v>
          </cell>
        </row>
        <row r="121">
          <cell r="A121">
            <v>43638</v>
          </cell>
          <cell r="B121" t="str">
            <v>RESIDENT</v>
          </cell>
          <cell r="C121">
            <v>39055</v>
          </cell>
        </row>
        <row r="122">
          <cell r="A122">
            <v>43637</v>
          </cell>
          <cell r="B122" t="str">
            <v>GUEST</v>
          </cell>
          <cell r="C122">
            <v>36162</v>
          </cell>
        </row>
        <row r="123">
          <cell r="A123">
            <v>43637</v>
          </cell>
          <cell r="B123" t="str">
            <v>MANAGER</v>
          </cell>
          <cell r="C123">
            <v>5694</v>
          </cell>
        </row>
        <row r="124">
          <cell r="A124">
            <v>43637</v>
          </cell>
          <cell r="B124" t="str">
            <v>RESIDENT</v>
          </cell>
          <cell r="C124">
            <v>42567</v>
          </cell>
        </row>
        <row r="125">
          <cell r="A125">
            <v>43636</v>
          </cell>
          <cell r="B125" t="str">
            <v>GUEST</v>
          </cell>
          <cell r="C125">
            <v>33944</v>
          </cell>
        </row>
        <row r="126">
          <cell r="A126">
            <v>43636</v>
          </cell>
          <cell r="B126" t="str">
            <v>MANAGER</v>
          </cell>
          <cell r="C126">
            <v>5779</v>
          </cell>
        </row>
        <row r="127">
          <cell r="A127">
            <v>43636</v>
          </cell>
          <cell r="B127" t="str">
            <v>RESIDENT</v>
          </cell>
          <cell r="C127">
            <v>42013</v>
          </cell>
        </row>
        <row r="128">
          <cell r="A128">
            <v>43635</v>
          </cell>
          <cell r="B128" t="str">
            <v>MANAGER</v>
          </cell>
          <cell r="C128">
            <v>5681</v>
          </cell>
        </row>
        <row r="129">
          <cell r="A129">
            <v>43635</v>
          </cell>
          <cell r="B129" t="str">
            <v>RESIDENT</v>
          </cell>
          <cell r="C129">
            <v>42277</v>
          </cell>
        </row>
        <row r="130">
          <cell r="A130">
            <v>43635</v>
          </cell>
          <cell r="B130" t="str">
            <v>GUEST</v>
          </cell>
          <cell r="C130">
            <v>33484</v>
          </cell>
        </row>
        <row r="131">
          <cell r="A131">
            <v>43634</v>
          </cell>
          <cell r="B131" t="str">
            <v>MANAGER</v>
          </cell>
          <cell r="C131">
            <v>5081</v>
          </cell>
        </row>
        <row r="132">
          <cell r="A132">
            <v>43634</v>
          </cell>
          <cell r="B132" t="str">
            <v>RESIDENT</v>
          </cell>
          <cell r="C132">
            <v>41244</v>
          </cell>
        </row>
        <row r="133">
          <cell r="A133">
            <v>43634</v>
          </cell>
          <cell r="B133" t="str">
            <v>GUEST</v>
          </cell>
          <cell r="C133">
            <v>31532</v>
          </cell>
        </row>
        <row r="134">
          <cell r="A134">
            <v>43633</v>
          </cell>
          <cell r="B134" t="str">
            <v>RESIDENT</v>
          </cell>
          <cell r="C134">
            <v>42252</v>
          </cell>
        </row>
        <row r="135">
          <cell r="A135">
            <v>43633</v>
          </cell>
          <cell r="B135" t="str">
            <v>MANAGER</v>
          </cell>
          <cell r="C135">
            <v>4691</v>
          </cell>
        </row>
        <row r="136">
          <cell r="A136">
            <v>43633</v>
          </cell>
          <cell r="B136" t="str">
            <v>GUEST</v>
          </cell>
          <cell r="C136">
            <v>31659</v>
          </cell>
        </row>
        <row r="137">
          <cell r="A137">
            <v>43632</v>
          </cell>
          <cell r="B137" t="str">
            <v>MANAGER</v>
          </cell>
          <cell r="C137">
            <v>2305</v>
          </cell>
        </row>
        <row r="138">
          <cell r="A138">
            <v>43632</v>
          </cell>
          <cell r="B138" t="str">
            <v>RESIDENT</v>
          </cell>
          <cell r="C138">
            <v>38617</v>
          </cell>
        </row>
        <row r="139">
          <cell r="A139">
            <v>43632</v>
          </cell>
          <cell r="B139" t="str">
            <v>GUEST</v>
          </cell>
          <cell r="C139">
            <v>27183</v>
          </cell>
        </row>
        <row r="140">
          <cell r="A140">
            <v>43631</v>
          </cell>
          <cell r="B140" t="str">
            <v>GUEST</v>
          </cell>
          <cell r="C140">
            <v>29291</v>
          </cell>
        </row>
        <row r="141">
          <cell r="A141">
            <v>43631</v>
          </cell>
          <cell r="B141" t="str">
            <v>MANAGER</v>
          </cell>
          <cell r="C141">
            <v>3062</v>
          </cell>
        </row>
        <row r="142">
          <cell r="A142">
            <v>43631</v>
          </cell>
          <cell r="B142" t="str">
            <v>RESIDENT</v>
          </cell>
          <cell r="C142">
            <v>39089</v>
          </cell>
        </row>
        <row r="143">
          <cell r="A143">
            <v>43630</v>
          </cell>
          <cell r="B143" t="str">
            <v>GUEST</v>
          </cell>
          <cell r="C143">
            <v>32243</v>
          </cell>
        </row>
        <row r="144">
          <cell r="A144">
            <v>43630</v>
          </cell>
          <cell r="B144" t="str">
            <v>MANAGER</v>
          </cell>
          <cell r="C144">
            <v>5111</v>
          </cell>
        </row>
        <row r="145">
          <cell r="A145">
            <v>43630</v>
          </cell>
          <cell r="B145" t="str">
            <v>RESIDENT</v>
          </cell>
          <cell r="C145">
            <v>43850</v>
          </cell>
        </row>
        <row r="146">
          <cell r="A146">
            <v>43629</v>
          </cell>
          <cell r="B146" t="str">
            <v>MANAGER</v>
          </cell>
          <cell r="C146">
            <v>5227</v>
          </cell>
        </row>
        <row r="147">
          <cell r="A147">
            <v>43629</v>
          </cell>
          <cell r="B147" t="str">
            <v>RESIDENT</v>
          </cell>
          <cell r="C147">
            <v>42509</v>
          </cell>
        </row>
        <row r="148">
          <cell r="A148">
            <v>43629</v>
          </cell>
          <cell r="B148" t="str">
            <v>GUEST</v>
          </cell>
          <cell r="C148">
            <v>30898</v>
          </cell>
        </row>
        <row r="149">
          <cell r="A149">
            <v>43628</v>
          </cell>
          <cell r="B149" t="str">
            <v>RESIDENT</v>
          </cell>
          <cell r="C149">
            <v>43748</v>
          </cell>
        </row>
        <row r="150">
          <cell r="A150">
            <v>43628</v>
          </cell>
          <cell r="B150" t="str">
            <v>MANAGER</v>
          </cell>
          <cell r="C150">
            <v>5701</v>
          </cell>
        </row>
        <row r="151">
          <cell r="A151">
            <v>43628</v>
          </cell>
          <cell r="B151" t="str">
            <v>GUEST</v>
          </cell>
          <cell r="C151">
            <v>31438</v>
          </cell>
        </row>
        <row r="152">
          <cell r="A152">
            <v>43627</v>
          </cell>
          <cell r="B152" t="str">
            <v>GUEST</v>
          </cell>
          <cell r="C152">
            <v>31380</v>
          </cell>
        </row>
        <row r="153">
          <cell r="A153">
            <v>43627</v>
          </cell>
          <cell r="B153" t="str">
            <v>MANAGER</v>
          </cell>
          <cell r="C153">
            <v>5383</v>
          </cell>
        </row>
        <row r="154">
          <cell r="A154">
            <v>43627</v>
          </cell>
          <cell r="B154" t="str">
            <v>RESIDENT</v>
          </cell>
          <cell r="C154">
            <v>43692</v>
          </cell>
        </row>
        <row r="155">
          <cell r="A155">
            <v>43626</v>
          </cell>
          <cell r="B155" t="str">
            <v>RESIDENT</v>
          </cell>
          <cell r="C155">
            <v>42156</v>
          </cell>
        </row>
        <row r="156">
          <cell r="A156">
            <v>43626</v>
          </cell>
          <cell r="B156" t="str">
            <v>GUEST</v>
          </cell>
          <cell r="C156">
            <v>30413</v>
          </cell>
        </row>
        <row r="157">
          <cell r="A157">
            <v>43626</v>
          </cell>
          <cell r="B157" t="str">
            <v>MANAGER</v>
          </cell>
          <cell r="C157">
            <v>5119</v>
          </cell>
        </row>
        <row r="158">
          <cell r="A158">
            <v>43625</v>
          </cell>
          <cell r="B158" t="str">
            <v>MANAGER</v>
          </cell>
          <cell r="C158">
            <v>2442</v>
          </cell>
        </row>
        <row r="159">
          <cell r="A159">
            <v>43625</v>
          </cell>
          <cell r="B159" t="str">
            <v>GUEST</v>
          </cell>
          <cell r="C159">
            <v>26510</v>
          </cell>
        </row>
        <row r="160">
          <cell r="A160">
            <v>43625</v>
          </cell>
          <cell r="B160" t="str">
            <v>RESIDENT</v>
          </cell>
          <cell r="C160">
            <v>41179</v>
          </cell>
        </row>
        <row r="161">
          <cell r="A161">
            <v>43624</v>
          </cell>
          <cell r="B161" t="str">
            <v>MANAGER</v>
          </cell>
          <cell r="C161">
            <v>3125</v>
          </cell>
        </row>
        <row r="162">
          <cell r="A162">
            <v>43624</v>
          </cell>
          <cell r="B162" t="str">
            <v>RESIDENT</v>
          </cell>
          <cell r="C162">
            <v>42282</v>
          </cell>
        </row>
        <row r="163">
          <cell r="A163">
            <v>43624</v>
          </cell>
          <cell r="B163" t="str">
            <v>GUEST</v>
          </cell>
          <cell r="C163">
            <v>28826</v>
          </cell>
        </row>
        <row r="164">
          <cell r="A164">
            <v>43623</v>
          </cell>
          <cell r="B164" t="str">
            <v>MANAGER</v>
          </cell>
          <cell r="C164">
            <v>4648</v>
          </cell>
        </row>
        <row r="165">
          <cell r="A165">
            <v>43623</v>
          </cell>
          <cell r="B165" t="str">
            <v>RESIDENT</v>
          </cell>
          <cell r="C165">
            <v>44343</v>
          </cell>
        </row>
        <row r="166">
          <cell r="A166">
            <v>43623</v>
          </cell>
          <cell r="B166" t="str">
            <v>GUEST</v>
          </cell>
          <cell r="C166">
            <v>32069</v>
          </cell>
        </row>
        <row r="167">
          <cell r="A167">
            <v>43622</v>
          </cell>
          <cell r="B167" t="str">
            <v>MANAGER</v>
          </cell>
          <cell r="C167">
            <v>5037</v>
          </cell>
        </row>
        <row r="168">
          <cell r="A168">
            <v>43622</v>
          </cell>
          <cell r="B168" t="str">
            <v>RESIDENT</v>
          </cell>
          <cell r="C168">
            <v>44083</v>
          </cell>
        </row>
        <row r="169">
          <cell r="A169">
            <v>43622</v>
          </cell>
          <cell r="B169" t="str">
            <v>GUEST</v>
          </cell>
          <cell r="C169">
            <v>31022</v>
          </cell>
        </row>
        <row r="170">
          <cell r="A170">
            <v>43621</v>
          </cell>
          <cell r="B170" t="str">
            <v>MANAGER</v>
          </cell>
          <cell r="C170">
            <v>5458</v>
          </cell>
        </row>
        <row r="171">
          <cell r="A171">
            <v>43621</v>
          </cell>
          <cell r="B171" t="str">
            <v>GUEST</v>
          </cell>
          <cell r="C171">
            <v>30438</v>
          </cell>
        </row>
        <row r="172">
          <cell r="A172">
            <v>43621</v>
          </cell>
          <cell r="B172" t="str">
            <v>RESIDENT</v>
          </cell>
          <cell r="C172">
            <v>44438</v>
          </cell>
        </row>
        <row r="173">
          <cell r="A173">
            <v>43620</v>
          </cell>
          <cell r="B173" t="str">
            <v>MANAGER</v>
          </cell>
          <cell r="C173">
            <v>5538</v>
          </cell>
        </row>
        <row r="174">
          <cell r="A174">
            <v>43620</v>
          </cell>
          <cell r="B174" t="str">
            <v>RESIDENT</v>
          </cell>
          <cell r="C174">
            <v>43813</v>
          </cell>
        </row>
        <row r="175">
          <cell r="A175">
            <v>43620</v>
          </cell>
          <cell r="B175" t="str">
            <v>GUEST</v>
          </cell>
          <cell r="C175">
            <v>30333</v>
          </cell>
        </row>
        <row r="176">
          <cell r="A176">
            <v>43619</v>
          </cell>
          <cell r="B176" t="str">
            <v>MANAGER</v>
          </cell>
          <cell r="C176">
            <v>5515</v>
          </cell>
        </row>
        <row r="177">
          <cell r="A177">
            <v>43619</v>
          </cell>
          <cell r="B177" t="str">
            <v>GUEST</v>
          </cell>
          <cell r="C177">
            <v>30832</v>
          </cell>
        </row>
        <row r="178">
          <cell r="A178">
            <v>43619</v>
          </cell>
          <cell r="B178" t="str">
            <v>RESIDENT</v>
          </cell>
          <cell r="C178">
            <v>45767</v>
          </cell>
        </row>
        <row r="179">
          <cell r="A179">
            <v>43618</v>
          </cell>
          <cell r="B179" t="str">
            <v>MANAGER</v>
          </cell>
          <cell r="C179">
            <v>2983</v>
          </cell>
        </row>
        <row r="180">
          <cell r="A180">
            <v>43618</v>
          </cell>
          <cell r="B180" t="str">
            <v>GUEST</v>
          </cell>
          <cell r="C180">
            <v>26814</v>
          </cell>
        </row>
        <row r="181">
          <cell r="A181">
            <v>43618</v>
          </cell>
          <cell r="B181" t="str">
            <v>RESIDENT</v>
          </cell>
          <cell r="C181">
            <v>42791</v>
          </cell>
        </row>
        <row r="182">
          <cell r="A182">
            <v>43617</v>
          </cell>
          <cell r="B182" t="str">
            <v>RESIDENT</v>
          </cell>
          <cell r="C182">
            <v>44331</v>
          </cell>
        </row>
        <row r="183">
          <cell r="A183">
            <v>43617</v>
          </cell>
          <cell r="B183" t="str">
            <v>MANAGER</v>
          </cell>
          <cell r="C183">
            <v>3929</v>
          </cell>
        </row>
        <row r="184">
          <cell r="A184">
            <v>43617</v>
          </cell>
          <cell r="B184" t="str">
            <v>GUEST</v>
          </cell>
          <cell r="C184">
            <v>28851</v>
          </cell>
        </row>
        <row r="185">
          <cell r="A185">
            <v>43616</v>
          </cell>
          <cell r="B185" t="str">
            <v>MANAGER</v>
          </cell>
          <cell r="C185">
            <v>5762</v>
          </cell>
        </row>
        <row r="186">
          <cell r="A186">
            <v>43616</v>
          </cell>
          <cell r="B186" t="str">
            <v>GUEST</v>
          </cell>
          <cell r="C186">
            <v>30633</v>
          </cell>
        </row>
        <row r="187">
          <cell r="A187">
            <v>43616</v>
          </cell>
          <cell r="B187" t="str">
            <v>RESIDENT</v>
          </cell>
          <cell r="C187">
            <v>45625</v>
          </cell>
        </row>
        <row r="188">
          <cell r="A188">
            <v>43615</v>
          </cell>
          <cell r="B188" t="str">
            <v>GUEST</v>
          </cell>
          <cell r="C188">
            <v>28286</v>
          </cell>
        </row>
        <row r="189">
          <cell r="A189">
            <v>43615</v>
          </cell>
          <cell r="B189" t="str">
            <v>MANAGER</v>
          </cell>
          <cell r="C189">
            <v>5647</v>
          </cell>
        </row>
        <row r="190">
          <cell r="A190">
            <v>43615</v>
          </cell>
          <cell r="B190" t="str">
            <v>RESIDENT</v>
          </cell>
          <cell r="C190">
            <v>44470</v>
          </cell>
        </row>
        <row r="191">
          <cell r="A191">
            <v>43614</v>
          </cell>
          <cell r="B191" t="str">
            <v>RESIDENT</v>
          </cell>
          <cell r="C191">
            <v>44453</v>
          </cell>
        </row>
        <row r="192">
          <cell r="A192">
            <v>43614</v>
          </cell>
          <cell r="B192" t="str">
            <v>MANAGER</v>
          </cell>
          <cell r="C192">
            <v>5833</v>
          </cell>
        </row>
        <row r="193">
          <cell r="A193">
            <v>43614</v>
          </cell>
          <cell r="B193" t="str">
            <v>GUEST</v>
          </cell>
          <cell r="C193">
            <v>27556</v>
          </cell>
        </row>
        <row r="194">
          <cell r="A194">
            <v>43613</v>
          </cell>
          <cell r="B194" t="str">
            <v>GUEST</v>
          </cell>
          <cell r="C194">
            <v>26879</v>
          </cell>
        </row>
        <row r="195">
          <cell r="A195">
            <v>43613</v>
          </cell>
          <cell r="B195" t="str">
            <v>MANAGER</v>
          </cell>
          <cell r="C195">
            <v>4801</v>
          </cell>
        </row>
        <row r="196">
          <cell r="A196">
            <v>43613</v>
          </cell>
          <cell r="B196" t="str">
            <v>RESIDENT</v>
          </cell>
          <cell r="C196">
            <v>45184</v>
          </cell>
        </row>
        <row r="197">
          <cell r="A197">
            <v>43612</v>
          </cell>
          <cell r="B197" t="str">
            <v>MANAGER</v>
          </cell>
          <cell r="C197">
            <v>1500</v>
          </cell>
        </row>
        <row r="198">
          <cell r="A198">
            <v>43612</v>
          </cell>
          <cell r="B198" t="str">
            <v>GUEST</v>
          </cell>
          <cell r="C198">
            <v>22075</v>
          </cell>
        </row>
        <row r="199">
          <cell r="A199">
            <v>43612</v>
          </cell>
          <cell r="B199" t="str">
            <v>RESIDENT</v>
          </cell>
          <cell r="C199">
            <v>40971</v>
          </cell>
        </row>
        <row r="200">
          <cell r="A200">
            <v>43611</v>
          </cell>
          <cell r="B200" t="str">
            <v>RESIDENT</v>
          </cell>
          <cell r="C200">
            <v>35128</v>
          </cell>
        </row>
        <row r="201">
          <cell r="A201">
            <v>43611</v>
          </cell>
          <cell r="B201" t="str">
            <v>MANAGER</v>
          </cell>
          <cell r="C201">
            <v>1843</v>
          </cell>
        </row>
        <row r="202">
          <cell r="A202">
            <v>43611</v>
          </cell>
          <cell r="B202" t="str">
            <v>GUEST</v>
          </cell>
          <cell r="C202">
            <v>20274</v>
          </cell>
        </row>
        <row r="203">
          <cell r="A203">
            <v>43610</v>
          </cell>
          <cell r="B203" t="str">
            <v>MANAGER</v>
          </cell>
          <cell r="C203">
            <v>2786</v>
          </cell>
        </row>
        <row r="204">
          <cell r="A204">
            <v>43610</v>
          </cell>
          <cell r="B204" t="str">
            <v>RESIDENT</v>
          </cell>
          <cell r="C204">
            <v>38481</v>
          </cell>
        </row>
        <row r="205">
          <cell r="A205">
            <v>43610</v>
          </cell>
          <cell r="B205" t="str">
            <v>GUEST</v>
          </cell>
          <cell r="C205">
            <v>23076</v>
          </cell>
        </row>
        <row r="206">
          <cell r="A206">
            <v>43609</v>
          </cell>
          <cell r="B206" t="str">
            <v>GUEST</v>
          </cell>
          <cell r="C206">
            <v>27657</v>
          </cell>
        </row>
        <row r="207">
          <cell r="A207">
            <v>43609</v>
          </cell>
          <cell r="B207" t="str">
            <v>MANAGER</v>
          </cell>
          <cell r="C207">
            <v>4769</v>
          </cell>
        </row>
        <row r="208">
          <cell r="A208">
            <v>43609</v>
          </cell>
          <cell r="B208" t="str">
            <v>RESIDENT</v>
          </cell>
          <cell r="C208">
            <v>45692</v>
          </cell>
        </row>
        <row r="209">
          <cell r="A209">
            <v>43608</v>
          </cell>
          <cell r="B209" t="str">
            <v>RESIDENT</v>
          </cell>
          <cell r="C209">
            <v>45971</v>
          </cell>
        </row>
        <row r="210">
          <cell r="A210">
            <v>43608</v>
          </cell>
          <cell r="B210" t="str">
            <v>MANAGER</v>
          </cell>
          <cell r="C210">
            <v>5968</v>
          </cell>
        </row>
        <row r="211">
          <cell r="A211">
            <v>43608</v>
          </cell>
          <cell r="B211" t="str">
            <v>GUEST</v>
          </cell>
          <cell r="C211">
            <v>27873</v>
          </cell>
        </row>
        <row r="212">
          <cell r="A212">
            <v>43607</v>
          </cell>
          <cell r="B212" t="str">
            <v>RESIDENT</v>
          </cell>
          <cell r="C212">
            <v>46864</v>
          </cell>
        </row>
        <row r="213">
          <cell r="A213">
            <v>43607</v>
          </cell>
          <cell r="B213" t="str">
            <v>MANAGER</v>
          </cell>
          <cell r="C213">
            <v>5818</v>
          </cell>
        </row>
        <row r="214">
          <cell r="A214">
            <v>43607</v>
          </cell>
          <cell r="B214" t="str">
            <v>GUEST</v>
          </cell>
          <cell r="C214">
            <v>27078</v>
          </cell>
        </row>
        <row r="215">
          <cell r="A215">
            <v>43606</v>
          </cell>
          <cell r="B215" t="str">
            <v>GUEST</v>
          </cell>
          <cell r="C215">
            <v>26210</v>
          </cell>
        </row>
        <row r="216">
          <cell r="A216">
            <v>43606</v>
          </cell>
          <cell r="B216" t="str">
            <v>MANAGER</v>
          </cell>
          <cell r="C216">
            <v>6780</v>
          </cell>
        </row>
        <row r="217">
          <cell r="A217">
            <v>43606</v>
          </cell>
          <cell r="B217" t="str">
            <v>RESIDENT</v>
          </cell>
          <cell r="C217">
            <v>46212</v>
          </cell>
        </row>
        <row r="218">
          <cell r="A218">
            <v>43605</v>
          </cell>
          <cell r="B218" t="str">
            <v>MANAGER</v>
          </cell>
          <cell r="C218">
            <v>5529</v>
          </cell>
        </row>
        <row r="219">
          <cell r="A219">
            <v>43605</v>
          </cell>
          <cell r="B219" t="str">
            <v>GUEST</v>
          </cell>
          <cell r="C219">
            <v>26294</v>
          </cell>
        </row>
        <row r="220">
          <cell r="A220">
            <v>43605</v>
          </cell>
          <cell r="B220" t="str">
            <v>RESIDENT</v>
          </cell>
          <cell r="C220">
            <v>46308</v>
          </cell>
        </row>
        <row r="221">
          <cell r="A221">
            <v>43604</v>
          </cell>
          <cell r="B221" t="str">
            <v>MANAGER</v>
          </cell>
          <cell r="C221">
            <v>2720</v>
          </cell>
        </row>
        <row r="222">
          <cell r="A222">
            <v>43604</v>
          </cell>
          <cell r="B222" t="str">
            <v>RESIDENT</v>
          </cell>
          <cell r="C222">
            <v>43617</v>
          </cell>
        </row>
        <row r="223">
          <cell r="A223">
            <v>43604</v>
          </cell>
          <cell r="B223" t="str">
            <v>GUEST</v>
          </cell>
          <cell r="C223">
            <v>21808</v>
          </cell>
        </row>
        <row r="224">
          <cell r="A224">
            <v>43603</v>
          </cell>
          <cell r="B224" t="str">
            <v>MANAGER</v>
          </cell>
          <cell r="C224">
            <v>3421</v>
          </cell>
        </row>
        <row r="225">
          <cell r="A225">
            <v>43603</v>
          </cell>
          <cell r="B225" t="str">
            <v>RESIDENT</v>
          </cell>
          <cell r="C225">
            <v>43959</v>
          </cell>
        </row>
        <row r="226">
          <cell r="A226">
            <v>43603</v>
          </cell>
          <cell r="B226" t="str">
            <v>GUEST</v>
          </cell>
          <cell r="C226">
            <v>23243</v>
          </cell>
        </row>
        <row r="227">
          <cell r="A227">
            <v>43602</v>
          </cell>
          <cell r="B227" t="str">
            <v>MANAGER</v>
          </cell>
          <cell r="C227">
            <v>5750</v>
          </cell>
        </row>
        <row r="228">
          <cell r="A228">
            <v>43602</v>
          </cell>
          <cell r="B228" t="str">
            <v>GUEST</v>
          </cell>
          <cell r="C228">
            <v>27195</v>
          </cell>
        </row>
        <row r="229">
          <cell r="A229">
            <v>43602</v>
          </cell>
          <cell r="B229" t="str">
            <v>RESIDENT</v>
          </cell>
          <cell r="C229">
            <v>45246</v>
          </cell>
        </row>
        <row r="230">
          <cell r="A230">
            <v>43601</v>
          </cell>
          <cell r="B230" t="str">
            <v>MANAGER</v>
          </cell>
          <cell r="C230">
            <v>5203</v>
          </cell>
        </row>
        <row r="231">
          <cell r="A231">
            <v>43601</v>
          </cell>
          <cell r="B231" t="str">
            <v>RESIDENT</v>
          </cell>
          <cell r="C231">
            <v>46078</v>
          </cell>
        </row>
        <row r="232">
          <cell r="A232">
            <v>43601</v>
          </cell>
          <cell r="B232" t="str">
            <v>GUEST</v>
          </cell>
          <cell r="C232">
            <v>27714</v>
          </cell>
        </row>
        <row r="233">
          <cell r="A233">
            <v>43600</v>
          </cell>
          <cell r="B233" t="str">
            <v>RESIDENT</v>
          </cell>
          <cell r="C233">
            <v>46257</v>
          </cell>
        </row>
        <row r="234">
          <cell r="A234">
            <v>43600</v>
          </cell>
          <cell r="B234" t="str">
            <v>GUEST</v>
          </cell>
          <cell r="C234">
            <v>26953</v>
          </cell>
        </row>
        <row r="235">
          <cell r="A235">
            <v>43600</v>
          </cell>
          <cell r="B235" t="str">
            <v>MANAGER</v>
          </cell>
          <cell r="C235">
            <v>5189</v>
          </cell>
        </row>
        <row r="236">
          <cell r="A236">
            <v>43599</v>
          </cell>
          <cell r="B236" t="str">
            <v>MANAGER</v>
          </cell>
          <cell r="C236">
            <v>5268</v>
          </cell>
        </row>
        <row r="237">
          <cell r="A237">
            <v>43599</v>
          </cell>
          <cell r="B237" t="str">
            <v>RESIDENT</v>
          </cell>
          <cell r="C237">
            <v>44737</v>
          </cell>
        </row>
        <row r="238">
          <cell r="A238">
            <v>43599</v>
          </cell>
          <cell r="B238" t="str">
            <v>GUEST</v>
          </cell>
          <cell r="C238">
            <v>24332</v>
          </cell>
        </row>
        <row r="239">
          <cell r="A239">
            <v>43598</v>
          </cell>
          <cell r="B239" t="str">
            <v>MANAGER</v>
          </cell>
          <cell r="C239">
            <v>4934</v>
          </cell>
        </row>
        <row r="240">
          <cell r="A240">
            <v>43598</v>
          </cell>
          <cell r="B240" t="str">
            <v>GUEST</v>
          </cell>
          <cell r="C240">
            <v>23497</v>
          </cell>
        </row>
        <row r="241">
          <cell r="A241">
            <v>43598</v>
          </cell>
          <cell r="B241" t="str">
            <v>RESIDENT</v>
          </cell>
          <cell r="C241">
            <v>44716</v>
          </cell>
        </row>
        <row r="242">
          <cell r="A242">
            <v>43597</v>
          </cell>
          <cell r="B242" t="str">
            <v>GUEST</v>
          </cell>
          <cell r="C242">
            <v>17805</v>
          </cell>
        </row>
        <row r="243">
          <cell r="A243">
            <v>43597</v>
          </cell>
          <cell r="B243" t="str">
            <v>MANAGER</v>
          </cell>
          <cell r="C243">
            <v>2468</v>
          </cell>
        </row>
        <row r="244">
          <cell r="A244">
            <v>43597</v>
          </cell>
          <cell r="B244" t="str">
            <v>RESIDENT</v>
          </cell>
          <cell r="C244">
            <v>38881</v>
          </cell>
        </row>
        <row r="245">
          <cell r="A245">
            <v>43596</v>
          </cell>
          <cell r="B245" t="str">
            <v>GUEST</v>
          </cell>
          <cell r="C245">
            <v>20733</v>
          </cell>
        </row>
        <row r="246">
          <cell r="A246">
            <v>43596</v>
          </cell>
          <cell r="B246" t="str">
            <v>MANAGER</v>
          </cell>
          <cell r="C246">
            <v>2998</v>
          </cell>
        </row>
        <row r="247">
          <cell r="A247">
            <v>43596</v>
          </cell>
          <cell r="B247" t="str">
            <v>RESIDENT</v>
          </cell>
          <cell r="C247">
            <v>42871</v>
          </cell>
        </row>
        <row r="248">
          <cell r="A248">
            <v>43595</v>
          </cell>
          <cell r="B248" t="str">
            <v>MANAGER</v>
          </cell>
          <cell r="C248">
            <v>4730</v>
          </cell>
        </row>
        <row r="249">
          <cell r="A249">
            <v>43595</v>
          </cell>
          <cell r="B249" t="str">
            <v>RESIDENT</v>
          </cell>
          <cell r="C249">
            <v>47042</v>
          </cell>
        </row>
        <row r="250">
          <cell r="A250">
            <v>43595</v>
          </cell>
          <cell r="B250" t="str">
            <v>GUEST</v>
          </cell>
          <cell r="C250">
            <v>25226</v>
          </cell>
        </row>
        <row r="251">
          <cell r="A251">
            <v>43594</v>
          </cell>
          <cell r="B251" t="str">
            <v>RESIDENT</v>
          </cell>
          <cell r="C251">
            <v>47225</v>
          </cell>
        </row>
        <row r="252">
          <cell r="A252">
            <v>43594</v>
          </cell>
          <cell r="B252" t="str">
            <v>GUEST</v>
          </cell>
          <cell r="C252">
            <v>24309</v>
          </cell>
        </row>
        <row r="253">
          <cell r="A253">
            <v>43594</v>
          </cell>
          <cell r="B253" t="str">
            <v>MANAGER</v>
          </cell>
          <cell r="C253">
            <v>4977</v>
          </cell>
        </row>
        <row r="254">
          <cell r="A254">
            <v>43593</v>
          </cell>
          <cell r="B254" t="str">
            <v>GUEST</v>
          </cell>
          <cell r="C254">
            <v>24697</v>
          </cell>
        </row>
        <row r="255">
          <cell r="A255">
            <v>43593</v>
          </cell>
          <cell r="B255" t="str">
            <v>MANAGER</v>
          </cell>
          <cell r="C255">
            <v>5476</v>
          </cell>
        </row>
        <row r="256">
          <cell r="A256">
            <v>43593</v>
          </cell>
          <cell r="B256" t="str">
            <v>RESIDENT</v>
          </cell>
          <cell r="C256">
            <v>48438</v>
          </cell>
        </row>
        <row r="257">
          <cell r="A257">
            <v>43592</v>
          </cell>
          <cell r="B257" t="str">
            <v>RESIDENT</v>
          </cell>
          <cell r="C257">
            <v>48685</v>
          </cell>
        </row>
        <row r="258">
          <cell r="A258">
            <v>43592</v>
          </cell>
          <cell r="B258" t="str">
            <v>GUEST</v>
          </cell>
          <cell r="C258">
            <v>22826</v>
          </cell>
        </row>
        <row r="259">
          <cell r="A259">
            <v>43592</v>
          </cell>
          <cell r="B259" t="str">
            <v>MANAGER</v>
          </cell>
          <cell r="C259">
            <v>5405</v>
          </cell>
        </row>
        <row r="260">
          <cell r="A260">
            <v>43591</v>
          </cell>
          <cell r="B260" t="str">
            <v>RESIDENT</v>
          </cell>
          <cell r="C260">
            <v>47946</v>
          </cell>
        </row>
        <row r="261">
          <cell r="A261">
            <v>43591</v>
          </cell>
          <cell r="B261" t="str">
            <v>MANAGER</v>
          </cell>
          <cell r="C261">
            <v>5133</v>
          </cell>
        </row>
        <row r="262">
          <cell r="A262">
            <v>43591</v>
          </cell>
          <cell r="B262" t="str">
            <v>GUEST</v>
          </cell>
          <cell r="C262">
            <v>23396</v>
          </cell>
        </row>
        <row r="263">
          <cell r="A263">
            <v>43590</v>
          </cell>
          <cell r="B263" t="str">
            <v>MANAGER</v>
          </cell>
          <cell r="C263">
            <v>2297</v>
          </cell>
        </row>
        <row r="264">
          <cell r="A264">
            <v>43590</v>
          </cell>
          <cell r="B264" t="str">
            <v>RESIDENT</v>
          </cell>
          <cell r="C264">
            <v>43149</v>
          </cell>
        </row>
        <row r="265">
          <cell r="A265">
            <v>43590</v>
          </cell>
          <cell r="B265" t="str">
            <v>GUEST</v>
          </cell>
          <cell r="C265">
            <v>18177</v>
          </cell>
        </row>
        <row r="266">
          <cell r="A266">
            <v>43589</v>
          </cell>
          <cell r="B266" t="str">
            <v>GUEST</v>
          </cell>
          <cell r="C266">
            <v>20782</v>
          </cell>
        </row>
        <row r="267">
          <cell r="A267">
            <v>43589</v>
          </cell>
          <cell r="B267" t="str">
            <v>MANAGER</v>
          </cell>
          <cell r="C267">
            <v>3258</v>
          </cell>
        </row>
        <row r="268">
          <cell r="A268">
            <v>43589</v>
          </cell>
          <cell r="B268" t="str">
            <v>RESIDENT</v>
          </cell>
          <cell r="C268">
            <v>45944</v>
          </cell>
        </row>
        <row r="269">
          <cell r="A269">
            <v>43588</v>
          </cell>
          <cell r="B269" t="str">
            <v>MANAGER</v>
          </cell>
          <cell r="C269">
            <v>4950</v>
          </cell>
        </row>
        <row r="270">
          <cell r="A270">
            <v>43588</v>
          </cell>
          <cell r="B270" t="str">
            <v>RESIDENT</v>
          </cell>
          <cell r="C270">
            <v>49136</v>
          </cell>
        </row>
        <row r="271">
          <cell r="A271">
            <v>43588</v>
          </cell>
          <cell r="B271" t="str">
            <v>GUEST</v>
          </cell>
          <cell r="C271">
            <v>23833</v>
          </cell>
        </row>
        <row r="272">
          <cell r="A272">
            <v>43587</v>
          </cell>
          <cell r="B272" t="str">
            <v>MANAGER</v>
          </cell>
          <cell r="C272">
            <v>5373</v>
          </cell>
        </row>
        <row r="273">
          <cell r="A273">
            <v>43587</v>
          </cell>
          <cell r="B273" t="str">
            <v>RESIDENT</v>
          </cell>
          <cell r="C273">
            <v>50946</v>
          </cell>
        </row>
        <row r="274">
          <cell r="A274">
            <v>43587</v>
          </cell>
          <cell r="B274" t="str">
            <v>GUEST</v>
          </cell>
          <cell r="C274">
            <v>24637</v>
          </cell>
        </row>
        <row r="275">
          <cell r="A275">
            <v>43586</v>
          </cell>
          <cell r="B275" t="str">
            <v>GUEST</v>
          </cell>
          <cell r="C275">
            <v>23699</v>
          </cell>
        </row>
        <row r="276">
          <cell r="A276">
            <v>43586</v>
          </cell>
          <cell r="B276" t="str">
            <v>MANAGER</v>
          </cell>
          <cell r="C276">
            <v>5830</v>
          </cell>
        </row>
        <row r="277">
          <cell r="A277">
            <v>43586</v>
          </cell>
          <cell r="B277" t="str">
            <v>RESIDENT</v>
          </cell>
          <cell r="C277">
            <v>52062</v>
          </cell>
        </row>
        <row r="278">
          <cell r="A278">
            <v>43585</v>
          </cell>
          <cell r="B278" t="str">
            <v>MANAGER</v>
          </cell>
          <cell r="C278">
            <v>5453</v>
          </cell>
        </row>
        <row r="279">
          <cell r="A279">
            <v>43585</v>
          </cell>
          <cell r="B279" t="str">
            <v>GUEST</v>
          </cell>
          <cell r="C279">
            <v>22342</v>
          </cell>
        </row>
        <row r="280">
          <cell r="A280">
            <v>43585</v>
          </cell>
          <cell r="B280" t="str">
            <v>RESIDENT</v>
          </cell>
          <cell r="C280">
            <v>51822</v>
          </cell>
        </row>
        <row r="281">
          <cell r="A281">
            <v>43584</v>
          </cell>
          <cell r="B281" t="str">
            <v>RESIDENT</v>
          </cell>
          <cell r="C281">
            <v>50409</v>
          </cell>
        </row>
        <row r="282">
          <cell r="A282">
            <v>43584</v>
          </cell>
          <cell r="B282" t="str">
            <v>MANAGER</v>
          </cell>
          <cell r="C282">
            <v>5424</v>
          </cell>
        </row>
        <row r="283">
          <cell r="A283">
            <v>43584</v>
          </cell>
          <cell r="B283" t="str">
            <v>GUEST</v>
          </cell>
          <cell r="C283">
            <v>22293</v>
          </cell>
        </row>
        <row r="284">
          <cell r="A284">
            <v>43583</v>
          </cell>
          <cell r="B284" t="str">
            <v>RESIDENT</v>
          </cell>
          <cell r="C284">
            <v>46702</v>
          </cell>
        </row>
        <row r="285">
          <cell r="A285">
            <v>43583</v>
          </cell>
          <cell r="B285" t="str">
            <v>MANAGER</v>
          </cell>
          <cell r="C285">
            <v>2530</v>
          </cell>
        </row>
        <row r="286">
          <cell r="A286">
            <v>43583</v>
          </cell>
          <cell r="B286" t="str">
            <v>GUEST</v>
          </cell>
          <cell r="C286">
            <v>18539</v>
          </cell>
        </row>
        <row r="287">
          <cell r="A287">
            <v>43582</v>
          </cell>
          <cell r="B287" t="str">
            <v>RESIDENT</v>
          </cell>
          <cell r="C287">
            <v>46950</v>
          </cell>
        </row>
        <row r="288">
          <cell r="A288">
            <v>43582</v>
          </cell>
          <cell r="B288" t="str">
            <v>MANAGER</v>
          </cell>
          <cell r="C288">
            <v>4044</v>
          </cell>
        </row>
        <row r="289">
          <cell r="A289">
            <v>43582</v>
          </cell>
          <cell r="B289" t="str">
            <v>GUEST</v>
          </cell>
          <cell r="C289">
            <v>20741</v>
          </cell>
        </row>
        <row r="290">
          <cell r="A290">
            <v>43581</v>
          </cell>
          <cell r="B290" t="str">
            <v>MANAGER</v>
          </cell>
          <cell r="C290">
            <v>5042</v>
          </cell>
        </row>
        <row r="291">
          <cell r="A291">
            <v>43581</v>
          </cell>
          <cell r="B291" t="str">
            <v>RESIDENT</v>
          </cell>
          <cell r="C291">
            <v>47956</v>
          </cell>
        </row>
        <row r="292">
          <cell r="A292">
            <v>43581</v>
          </cell>
          <cell r="B292" t="str">
            <v>GUEST</v>
          </cell>
          <cell r="C292">
            <v>24037</v>
          </cell>
        </row>
        <row r="293">
          <cell r="A293">
            <v>43580</v>
          </cell>
          <cell r="B293" t="str">
            <v>MANAGER</v>
          </cell>
          <cell r="C293">
            <v>5696</v>
          </cell>
        </row>
        <row r="294">
          <cell r="A294">
            <v>43580</v>
          </cell>
          <cell r="B294" t="str">
            <v>RESIDENT</v>
          </cell>
          <cell r="C294">
            <v>48841</v>
          </cell>
        </row>
        <row r="295">
          <cell r="A295">
            <v>43580</v>
          </cell>
          <cell r="B295" t="str">
            <v>GUEST</v>
          </cell>
          <cell r="C295">
            <v>23139</v>
          </cell>
        </row>
        <row r="296">
          <cell r="A296">
            <v>43579</v>
          </cell>
          <cell r="B296" t="str">
            <v>MANAGER</v>
          </cell>
          <cell r="C296">
            <v>5437</v>
          </cell>
        </row>
        <row r="297">
          <cell r="A297">
            <v>43579</v>
          </cell>
          <cell r="B297" t="str">
            <v>GUEST</v>
          </cell>
          <cell r="C297">
            <v>23349</v>
          </cell>
        </row>
        <row r="298">
          <cell r="A298">
            <v>43579</v>
          </cell>
          <cell r="B298" t="str">
            <v>RESIDENT</v>
          </cell>
          <cell r="C298">
            <v>50282</v>
          </cell>
        </row>
        <row r="299">
          <cell r="A299">
            <v>43578</v>
          </cell>
          <cell r="B299" t="str">
            <v>GUEST</v>
          </cell>
          <cell r="C299">
            <v>22405</v>
          </cell>
        </row>
        <row r="300">
          <cell r="A300">
            <v>43578</v>
          </cell>
          <cell r="B300" t="str">
            <v>RESIDENT</v>
          </cell>
          <cell r="C300">
            <v>49378</v>
          </cell>
        </row>
        <row r="301">
          <cell r="A301">
            <v>43578</v>
          </cell>
          <cell r="B301" t="str">
            <v>MANAGER</v>
          </cell>
          <cell r="C301">
            <v>5594</v>
          </cell>
        </row>
        <row r="302">
          <cell r="A302">
            <v>43577</v>
          </cell>
          <cell r="B302" t="str">
            <v>RESIDENT</v>
          </cell>
          <cell r="C302">
            <v>47787</v>
          </cell>
        </row>
        <row r="303">
          <cell r="A303">
            <v>43577</v>
          </cell>
          <cell r="B303" t="str">
            <v>MANAGER</v>
          </cell>
          <cell r="C303">
            <v>4952</v>
          </cell>
        </row>
        <row r="304">
          <cell r="A304">
            <v>43577</v>
          </cell>
          <cell r="B304" t="str">
            <v>GUEST</v>
          </cell>
          <cell r="C304">
            <v>21853</v>
          </cell>
        </row>
        <row r="305">
          <cell r="A305">
            <v>43576</v>
          </cell>
          <cell r="B305" t="str">
            <v>RESIDENT</v>
          </cell>
          <cell r="C305">
            <v>42524</v>
          </cell>
        </row>
        <row r="306">
          <cell r="A306">
            <v>43576</v>
          </cell>
          <cell r="B306" t="str">
            <v>MANAGER</v>
          </cell>
          <cell r="C306">
            <v>1414</v>
          </cell>
        </row>
        <row r="307">
          <cell r="A307">
            <v>43576</v>
          </cell>
          <cell r="B307" t="str">
            <v>GUEST</v>
          </cell>
          <cell r="C307">
            <v>15969</v>
          </cell>
        </row>
        <row r="308">
          <cell r="A308">
            <v>43575</v>
          </cell>
          <cell r="B308" t="str">
            <v>RESIDENT</v>
          </cell>
          <cell r="C308">
            <v>42634</v>
          </cell>
        </row>
        <row r="309">
          <cell r="A309">
            <v>43575</v>
          </cell>
          <cell r="B309" t="str">
            <v>MANAGER</v>
          </cell>
          <cell r="C309">
            <v>3238</v>
          </cell>
        </row>
        <row r="310">
          <cell r="A310">
            <v>43575</v>
          </cell>
          <cell r="B310" t="str">
            <v>GUEST</v>
          </cell>
          <cell r="C310">
            <v>17612</v>
          </cell>
        </row>
        <row r="311">
          <cell r="A311">
            <v>43574</v>
          </cell>
          <cell r="B311" t="str">
            <v>MANAGER</v>
          </cell>
          <cell r="C311">
            <v>4923</v>
          </cell>
        </row>
        <row r="312">
          <cell r="A312">
            <v>43574</v>
          </cell>
          <cell r="B312" t="str">
            <v>RESIDENT</v>
          </cell>
          <cell r="C312">
            <v>47902</v>
          </cell>
        </row>
        <row r="313">
          <cell r="A313">
            <v>43574</v>
          </cell>
          <cell r="B313" t="str">
            <v>GUEST</v>
          </cell>
          <cell r="C313">
            <v>22215</v>
          </cell>
        </row>
        <row r="314">
          <cell r="A314">
            <v>43573</v>
          </cell>
          <cell r="B314" t="str">
            <v>MANAGER</v>
          </cell>
          <cell r="C314">
            <v>5579</v>
          </cell>
        </row>
        <row r="315">
          <cell r="A315">
            <v>43573</v>
          </cell>
          <cell r="B315" t="str">
            <v>GUEST</v>
          </cell>
          <cell r="C315">
            <v>23250</v>
          </cell>
        </row>
        <row r="316">
          <cell r="A316">
            <v>43573</v>
          </cell>
          <cell r="B316" t="str">
            <v>RESIDENT</v>
          </cell>
          <cell r="C316">
            <v>48506</v>
          </cell>
        </row>
        <row r="317">
          <cell r="A317">
            <v>43572</v>
          </cell>
          <cell r="B317" t="str">
            <v>RESIDENT</v>
          </cell>
          <cell r="C317">
            <v>49134</v>
          </cell>
        </row>
        <row r="318">
          <cell r="A318">
            <v>43572</v>
          </cell>
          <cell r="B318" t="str">
            <v>MANAGER</v>
          </cell>
          <cell r="C318">
            <v>5786</v>
          </cell>
        </row>
        <row r="319">
          <cell r="A319">
            <v>43572</v>
          </cell>
          <cell r="B319" t="str">
            <v>GUEST</v>
          </cell>
          <cell r="C319">
            <v>23062</v>
          </cell>
        </row>
        <row r="320">
          <cell r="A320">
            <v>43571</v>
          </cell>
          <cell r="B320" t="str">
            <v>MANAGER</v>
          </cell>
          <cell r="C320">
            <v>5694</v>
          </cell>
        </row>
        <row r="321">
          <cell r="A321">
            <v>43571</v>
          </cell>
          <cell r="B321" t="str">
            <v>RESIDENT</v>
          </cell>
          <cell r="C321">
            <v>49356</v>
          </cell>
        </row>
        <row r="322">
          <cell r="A322">
            <v>43571</v>
          </cell>
          <cell r="B322" t="str">
            <v>GUEST</v>
          </cell>
          <cell r="C322">
            <v>22915</v>
          </cell>
        </row>
        <row r="323">
          <cell r="A323">
            <v>43570</v>
          </cell>
          <cell r="B323" t="str">
            <v>MANAGER</v>
          </cell>
          <cell r="C323">
            <v>5210</v>
          </cell>
        </row>
        <row r="324">
          <cell r="A324">
            <v>43570</v>
          </cell>
          <cell r="B324" t="str">
            <v>GUEST</v>
          </cell>
          <cell r="C324">
            <v>23486</v>
          </cell>
        </row>
        <row r="325">
          <cell r="A325">
            <v>43570</v>
          </cell>
          <cell r="B325" t="str">
            <v>RESIDENT</v>
          </cell>
          <cell r="C325">
            <v>48379</v>
          </cell>
        </row>
        <row r="326">
          <cell r="A326">
            <v>43569</v>
          </cell>
          <cell r="B326" t="str">
            <v>MANAGER</v>
          </cell>
          <cell r="C326">
            <v>3039</v>
          </cell>
        </row>
        <row r="327">
          <cell r="A327">
            <v>43569</v>
          </cell>
          <cell r="B327" t="str">
            <v>RESIDENT</v>
          </cell>
          <cell r="C327">
            <v>44022</v>
          </cell>
        </row>
        <row r="328">
          <cell r="A328">
            <v>43569</v>
          </cell>
          <cell r="B328" t="str">
            <v>GUEST</v>
          </cell>
          <cell r="C328">
            <v>18066</v>
          </cell>
        </row>
        <row r="329">
          <cell r="A329">
            <v>43568</v>
          </cell>
          <cell r="B329" t="str">
            <v>MANAGER</v>
          </cell>
          <cell r="C329">
            <v>3391</v>
          </cell>
        </row>
        <row r="330">
          <cell r="A330">
            <v>43568</v>
          </cell>
          <cell r="B330" t="str">
            <v>GUEST</v>
          </cell>
          <cell r="C330">
            <v>19514</v>
          </cell>
        </row>
        <row r="331">
          <cell r="A331">
            <v>43568</v>
          </cell>
          <cell r="B331" t="str">
            <v>RESIDENT</v>
          </cell>
          <cell r="C331">
            <v>45617</v>
          </cell>
        </row>
        <row r="332">
          <cell r="A332">
            <v>43567</v>
          </cell>
          <cell r="B332" t="str">
            <v>GUEST</v>
          </cell>
          <cell r="C332">
            <v>22737</v>
          </cell>
        </row>
        <row r="333">
          <cell r="A333">
            <v>43567</v>
          </cell>
          <cell r="B333" t="str">
            <v>MANAGER</v>
          </cell>
          <cell r="C333">
            <v>5575</v>
          </cell>
        </row>
        <row r="334">
          <cell r="A334">
            <v>43567</v>
          </cell>
          <cell r="B334" t="str">
            <v>RESIDENT</v>
          </cell>
          <cell r="C334">
            <v>47631</v>
          </cell>
        </row>
        <row r="335">
          <cell r="A335">
            <v>43566</v>
          </cell>
          <cell r="B335" t="str">
            <v>MANAGER</v>
          </cell>
          <cell r="C335">
            <v>5396</v>
          </cell>
        </row>
        <row r="336">
          <cell r="A336">
            <v>43566</v>
          </cell>
          <cell r="B336" t="str">
            <v>GUEST</v>
          </cell>
          <cell r="C336">
            <v>21870</v>
          </cell>
        </row>
        <row r="337">
          <cell r="A337">
            <v>43566</v>
          </cell>
          <cell r="B337" t="str">
            <v>RESIDENT</v>
          </cell>
          <cell r="C337">
            <v>47996</v>
          </cell>
        </row>
        <row r="338">
          <cell r="A338">
            <v>43565</v>
          </cell>
          <cell r="B338" t="str">
            <v>GUEST</v>
          </cell>
          <cell r="C338">
            <v>21884</v>
          </cell>
        </row>
        <row r="339">
          <cell r="A339">
            <v>43565</v>
          </cell>
          <cell r="B339" t="str">
            <v>MANAGER</v>
          </cell>
          <cell r="C339">
            <v>6302</v>
          </cell>
        </row>
        <row r="340">
          <cell r="A340">
            <v>43565</v>
          </cell>
          <cell r="B340" t="str">
            <v>RESIDENT</v>
          </cell>
          <cell r="C340">
            <v>49349</v>
          </cell>
        </row>
        <row r="341">
          <cell r="A341">
            <v>43564</v>
          </cell>
          <cell r="B341" t="str">
            <v>MANAGER</v>
          </cell>
          <cell r="C341">
            <v>4690</v>
          </cell>
        </row>
        <row r="342">
          <cell r="A342">
            <v>43564</v>
          </cell>
          <cell r="B342" t="str">
            <v>RESIDENT</v>
          </cell>
          <cell r="C342">
            <v>47422</v>
          </cell>
        </row>
        <row r="343">
          <cell r="A343">
            <v>43564</v>
          </cell>
          <cell r="B343" t="str">
            <v>GUEST</v>
          </cell>
          <cell r="C343">
            <v>21871</v>
          </cell>
        </row>
        <row r="344">
          <cell r="A344">
            <v>43563</v>
          </cell>
          <cell r="B344" t="str">
            <v>RESIDENT</v>
          </cell>
          <cell r="C344">
            <v>48269</v>
          </cell>
        </row>
        <row r="345">
          <cell r="A345">
            <v>43563</v>
          </cell>
          <cell r="B345" t="str">
            <v>MANAGER</v>
          </cell>
          <cell r="C345">
            <v>5128</v>
          </cell>
        </row>
        <row r="346">
          <cell r="A346">
            <v>43563</v>
          </cell>
          <cell r="B346" t="str">
            <v>GUEST</v>
          </cell>
          <cell r="C346">
            <v>21351</v>
          </cell>
        </row>
        <row r="347">
          <cell r="A347">
            <v>43562</v>
          </cell>
          <cell r="B347" t="str">
            <v>MANAGER</v>
          </cell>
          <cell r="C347">
            <v>3126</v>
          </cell>
        </row>
        <row r="348">
          <cell r="A348">
            <v>43562</v>
          </cell>
          <cell r="B348" t="str">
            <v>GUEST</v>
          </cell>
          <cell r="C348">
            <v>17432</v>
          </cell>
        </row>
        <row r="349">
          <cell r="A349">
            <v>43562</v>
          </cell>
          <cell r="B349" t="str">
            <v>RESIDENT</v>
          </cell>
          <cell r="C349">
            <v>44462</v>
          </cell>
        </row>
        <row r="350">
          <cell r="A350">
            <v>43561</v>
          </cell>
          <cell r="B350" t="str">
            <v>MANAGER</v>
          </cell>
          <cell r="C350">
            <v>4135</v>
          </cell>
        </row>
        <row r="351">
          <cell r="A351">
            <v>43561</v>
          </cell>
          <cell r="B351" t="str">
            <v>RESIDENT</v>
          </cell>
          <cell r="C351">
            <v>44089</v>
          </cell>
        </row>
        <row r="352">
          <cell r="A352">
            <v>43561</v>
          </cell>
          <cell r="B352" t="str">
            <v>GUEST</v>
          </cell>
          <cell r="C352">
            <v>19048</v>
          </cell>
        </row>
        <row r="353">
          <cell r="A353">
            <v>43560</v>
          </cell>
          <cell r="B353" t="str">
            <v>MANAGER</v>
          </cell>
          <cell r="C353">
            <v>5257</v>
          </cell>
        </row>
        <row r="354">
          <cell r="A354">
            <v>43560</v>
          </cell>
          <cell r="B354" t="str">
            <v>GUEST</v>
          </cell>
          <cell r="C354">
            <v>21719</v>
          </cell>
        </row>
        <row r="355">
          <cell r="A355">
            <v>43560</v>
          </cell>
          <cell r="B355" t="str">
            <v>RESIDENT</v>
          </cell>
          <cell r="C355">
            <v>45456</v>
          </cell>
        </row>
        <row r="356">
          <cell r="A356">
            <v>43559</v>
          </cell>
          <cell r="B356" t="str">
            <v>RESIDENT</v>
          </cell>
          <cell r="C356">
            <v>46864</v>
          </cell>
        </row>
        <row r="357">
          <cell r="A357">
            <v>43559</v>
          </cell>
          <cell r="B357" t="str">
            <v>MANAGER</v>
          </cell>
          <cell r="C357">
            <v>4579</v>
          </cell>
        </row>
        <row r="358">
          <cell r="A358">
            <v>43559</v>
          </cell>
          <cell r="B358" t="str">
            <v>GUEST</v>
          </cell>
          <cell r="C358">
            <v>21634</v>
          </cell>
        </row>
        <row r="359">
          <cell r="A359">
            <v>43558</v>
          </cell>
          <cell r="B359" t="str">
            <v>MANAGER</v>
          </cell>
          <cell r="C359">
            <v>4977</v>
          </cell>
        </row>
        <row r="360">
          <cell r="A360">
            <v>43558</v>
          </cell>
          <cell r="B360" t="str">
            <v>GUEST</v>
          </cell>
          <cell r="C360">
            <v>21703</v>
          </cell>
        </row>
        <row r="361">
          <cell r="A361">
            <v>43558</v>
          </cell>
          <cell r="B361" t="str">
            <v>RESIDENT</v>
          </cell>
          <cell r="C361">
            <v>46435</v>
          </cell>
        </row>
        <row r="362">
          <cell r="A362">
            <v>43557</v>
          </cell>
          <cell r="B362" t="str">
            <v>GUEST</v>
          </cell>
          <cell r="C362">
            <v>20620</v>
          </cell>
        </row>
        <row r="363">
          <cell r="A363">
            <v>43557</v>
          </cell>
          <cell r="B363" t="str">
            <v>MANAGER</v>
          </cell>
          <cell r="C363">
            <v>5059</v>
          </cell>
        </row>
        <row r="364">
          <cell r="A364">
            <v>43557</v>
          </cell>
          <cell r="B364" t="str">
            <v>RESIDENT</v>
          </cell>
          <cell r="C364">
            <v>46728</v>
          </cell>
        </row>
        <row r="365">
          <cell r="A365">
            <v>43556</v>
          </cell>
          <cell r="B365" t="str">
            <v>MANAGER</v>
          </cell>
          <cell r="C365">
            <v>5105</v>
          </cell>
        </row>
        <row r="366">
          <cell r="A366">
            <v>43556</v>
          </cell>
          <cell r="B366" t="str">
            <v>RESIDENT</v>
          </cell>
          <cell r="C366">
            <v>46745</v>
          </cell>
        </row>
        <row r="367">
          <cell r="A367">
            <v>43556</v>
          </cell>
          <cell r="B367" t="str">
            <v>GUEST</v>
          </cell>
          <cell r="C367">
            <v>21664</v>
          </cell>
        </row>
        <row r="368">
          <cell r="A368">
            <v>43555</v>
          </cell>
          <cell r="B368" t="str">
            <v>MANAGER</v>
          </cell>
          <cell r="C368">
            <v>2808</v>
          </cell>
        </row>
        <row r="369">
          <cell r="A369">
            <v>43555</v>
          </cell>
          <cell r="B369" t="str">
            <v>RESIDENT</v>
          </cell>
          <cell r="C369">
            <v>42511</v>
          </cell>
        </row>
        <row r="370">
          <cell r="A370">
            <v>43555</v>
          </cell>
          <cell r="B370" t="str">
            <v>GUEST</v>
          </cell>
          <cell r="C370">
            <v>17104</v>
          </cell>
        </row>
        <row r="371">
          <cell r="A371">
            <v>43554</v>
          </cell>
          <cell r="B371" t="str">
            <v>MANAGER</v>
          </cell>
          <cell r="C371">
            <v>3652</v>
          </cell>
        </row>
        <row r="372">
          <cell r="A372">
            <v>43554</v>
          </cell>
          <cell r="B372" t="str">
            <v>RESIDENT</v>
          </cell>
          <cell r="C372">
            <v>43337</v>
          </cell>
        </row>
        <row r="373">
          <cell r="A373">
            <v>43554</v>
          </cell>
          <cell r="B373" t="str">
            <v>GUEST</v>
          </cell>
          <cell r="C373">
            <v>19133</v>
          </cell>
        </row>
        <row r="374">
          <cell r="A374">
            <v>43553</v>
          </cell>
          <cell r="B374" t="str">
            <v>MANAGER</v>
          </cell>
          <cell r="C374">
            <v>5224</v>
          </cell>
        </row>
        <row r="375">
          <cell r="A375">
            <v>43553</v>
          </cell>
          <cell r="B375" t="str">
            <v>RESIDENT</v>
          </cell>
          <cell r="C375">
            <v>45558</v>
          </cell>
        </row>
        <row r="376">
          <cell r="A376">
            <v>43553</v>
          </cell>
          <cell r="B376" t="str">
            <v>GUEST</v>
          </cell>
          <cell r="C376">
            <v>22769</v>
          </cell>
        </row>
        <row r="377">
          <cell r="A377">
            <v>43552</v>
          </cell>
          <cell r="B377" t="str">
            <v>MANAGER</v>
          </cell>
          <cell r="C377">
            <v>4948</v>
          </cell>
        </row>
        <row r="378">
          <cell r="A378">
            <v>43552</v>
          </cell>
          <cell r="B378" t="str">
            <v>RESIDENT</v>
          </cell>
          <cell r="C378">
            <v>45173</v>
          </cell>
        </row>
        <row r="379">
          <cell r="A379">
            <v>43552</v>
          </cell>
          <cell r="B379" t="str">
            <v>GUEST</v>
          </cell>
          <cell r="C379">
            <v>21020</v>
          </cell>
        </row>
        <row r="380">
          <cell r="A380">
            <v>43551</v>
          </cell>
          <cell r="B380" t="str">
            <v>RESIDENT</v>
          </cell>
          <cell r="C380">
            <v>45063</v>
          </cell>
        </row>
        <row r="381">
          <cell r="A381">
            <v>43551</v>
          </cell>
          <cell r="B381" t="str">
            <v>MANAGER</v>
          </cell>
          <cell r="C381">
            <v>5126</v>
          </cell>
        </row>
        <row r="382">
          <cell r="A382">
            <v>43551</v>
          </cell>
          <cell r="B382" t="str">
            <v>GUEST</v>
          </cell>
          <cell r="C382">
            <v>20489</v>
          </cell>
        </row>
        <row r="383">
          <cell r="A383">
            <v>43550</v>
          </cell>
          <cell r="B383" t="str">
            <v>RESIDENT</v>
          </cell>
          <cell r="C383">
            <v>44648</v>
          </cell>
        </row>
        <row r="384">
          <cell r="A384">
            <v>43550</v>
          </cell>
          <cell r="B384" t="str">
            <v>MANAGER</v>
          </cell>
          <cell r="C384">
            <v>5010</v>
          </cell>
        </row>
        <row r="385">
          <cell r="A385">
            <v>43550</v>
          </cell>
          <cell r="B385" t="str">
            <v>GUEST</v>
          </cell>
          <cell r="C385">
            <v>20893</v>
          </cell>
        </row>
        <row r="386">
          <cell r="A386">
            <v>43549</v>
          </cell>
          <cell r="B386" t="str">
            <v>MANAGER</v>
          </cell>
          <cell r="C386">
            <v>4164</v>
          </cell>
        </row>
        <row r="387">
          <cell r="A387">
            <v>43549</v>
          </cell>
          <cell r="B387" t="str">
            <v>RESIDENT</v>
          </cell>
          <cell r="C387">
            <v>43723</v>
          </cell>
        </row>
        <row r="388">
          <cell r="A388">
            <v>43549</v>
          </cell>
          <cell r="B388" t="str">
            <v>GUEST</v>
          </cell>
          <cell r="C388">
            <v>20863</v>
          </cell>
        </row>
        <row r="389">
          <cell r="A389">
            <v>43548</v>
          </cell>
          <cell r="B389" t="str">
            <v>RESIDENT</v>
          </cell>
          <cell r="C389">
            <v>40369</v>
          </cell>
        </row>
        <row r="390">
          <cell r="A390">
            <v>43548</v>
          </cell>
          <cell r="B390" t="str">
            <v>MANAGER</v>
          </cell>
          <cell r="C390">
            <v>2643</v>
          </cell>
        </row>
        <row r="391">
          <cell r="A391">
            <v>43548</v>
          </cell>
          <cell r="B391" t="str">
            <v>GUEST</v>
          </cell>
          <cell r="C391">
            <v>16377</v>
          </cell>
        </row>
        <row r="392">
          <cell r="A392">
            <v>43547</v>
          </cell>
          <cell r="B392" t="str">
            <v>MANAGER</v>
          </cell>
          <cell r="C392">
            <v>3576</v>
          </cell>
        </row>
        <row r="393">
          <cell r="A393">
            <v>43547</v>
          </cell>
          <cell r="B393" t="str">
            <v>GUEST</v>
          </cell>
          <cell r="C393">
            <v>18162</v>
          </cell>
        </row>
        <row r="394">
          <cell r="A394">
            <v>43547</v>
          </cell>
          <cell r="B394" t="str">
            <v>RESIDENT</v>
          </cell>
          <cell r="C394">
            <v>39557</v>
          </cell>
        </row>
        <row r="395">
          <cell r="A395">
            <v>43546</v>
          </cell>
          <cell r="B395" t="str">
            <v>RESIDENT</v>
          </cell>
          <cell r="C395">
            <v>42935</v>
          </cell>
        </row>
        <row r="396">
          <cell r="A396">
            <v>43546</v>
          </cell>
          <cell r="B396" t="str">
            <v>MANAGER</v>
          </cell>
          <cell r="C396">
            <v>4531</v>
          </cell>
        </row>
        <row r="397">
          <cell r="A397">
            <v>43546</v>
          </cell>
          <cell r="B397" t="str">
            <v>GUEST</v>
          </cell>
          <cell r="C397">
            <v>21640</v>
          </cell>
        </row>
        <row r="398">
          <cell r="A398">
            <v>43545</v>
          </cell>
          <cell r="B398" t="str">
            <v>MANAGER</v>
          </cell>
          <cell r="C398">
            <v>4834</v>
          </cell>
        </row>
        <row r="399">
          <cell r="A399">
            <v>43545</v>
          </cell>
          <cell r="B399" t="str">
            <v>RESIDENT</v>
          </cell>
          <cell r="C399">
            <v>42252</v>
          </cell>
        </row>
        <row r="400">
          <cell r="A400">
            <v>43545</v>
          </cell>
          <cell r="B400" t="str">
            <v>GUEST</v>
          </cell>
          <cell r="C400">
            <v>20359</v>
          </cell>
        </row>
        <row r="401">
          <cell r="A401">
            <v>43544</v>
          </cell>
          <cell r="B401" t="str">
            <v>RESIDENT</v>
          </cell>
          <cell r="C401">
            <v>43176</v>
          </cell>
        </row>
        <row r="402">
          <cell r="A402">
            <v>43544</v>
          </cell>
          <cell r="B402" t="str">
            <v>MANAGER</v>
          </cell>
          <cell r="C402">
            <v>5174</v>
          </cell>
        </row>
        <row r="403">
          <cell r="A403">
            <v>43544</v>
          </cell>
          <cell r="B403" t="str">
            <v>GUEST</v>
          </cell>
          <cell r="C403">
            <v>20637</v>
          </cell>
        </row>
        <row r="404">
          <cell r="A404">
            <v>43543</v>
          </cell>
          <cell r="B404" t="str">
            <v>GUEST</v>
          </cell>
          <cell r="C404">
            <v>20566</v>
          </cell>
        </row>
        <row r="405">
          <cell r="A405">
            <v>43543</v>
          </cell>
          <cell r="B405" t="str">
            <v>MANAGER</v>
          </cell>
          <cell r="C405">
            <v>5287</v>
          </cell>
        </row>
        <row r="406">
          <cell r="A406">
            <v>43543</v>
          </cell>
          <cell r="B406" t="str">
            <v>RESIDENT</v>
          </cell>
          <cell r="C406">
            <v>42132</v>
          </cell>
        </row>
        <row r="407">
          <cell r="A407">
            <v>43542</v>
          </cell>
          <cell r="B407" t="str">
            <v>GUEST</v>
          </cell>
          <cell r="C407">
            <v>19650</v>
          </cell>
        </row>
        <row r="408">
          <cell r="A408">
            <v>43542</v>
          </cell>
          <cell r="B408" t="str">
            <v>RESIDENT</v>
          </cell>
          <cell r="C408">
            <v>42230</v>
          </cell>
        </row>
        <row r="409">
          <cell r="A409">
            <v>43542</v>
          </cell>
          <cell r="B409" t="str">
            <v>MANAGER</v>
          </cell>
          <cell r="C409">
            <v>4738</v>
          </cell>
        </row>
        <row r="410">
          <cell r="A410">
            <v>43541</v>
          </cell>
          <cell r="B410" t="str">
            <v>MANAGER</v>
          </cell>
          <cell r="C410">
            <v>2364</v>
          </cell>
        </row>
        <row r="411">
          <cell r="A411">
            <v>43541</v>
          </cell>
          <cell r="B411" t="str">
            <v>RESIDENT</v>
          </cell>
          <cell r="C411">
            <v>38791</v>
          </cell>
        </row>
        <row r="412">
          <cell r="A412">
            <v>43541</v>
          </cell>
          <cell r="B412" t="str">
            <v>GUEST</v>
          </cell>
          <cell r="C412">
            <v>16260</v>
          </cell>
        </row>
        <row r="413">
          <cell r="A413">
            <v>43540</v>
          </cell>
          <cell r="B413" t="str">
            <v>MANAGER</v>
          </cell>
          <cell r="C413">
            <v>3034</v>
          </cell>
        </row>
        <row r="414">
          <cell r="A414">
            <v>43540</v>
          </cell>
          <cell r="B414" t="str">
            <v>GUEST</v>
          </cell>
          <cell r="C414">
            <v>17889</v>
          </cell>
        </row>
        <row r="415">
          <cell r="A415">
            <v>43540</v>
          </cell>
          <cell r="B415" t="str">
            <v>RESIDENT</v>
          </cell>
          <cell r="C415">
            <v>39641</v>
          </cell>
        </row>
        <row r="416">
          <cell r="A416">
            <v>43539</v>
          </cell>
          <cell r="B416" t="str">
            <v>GUEST</v>
          </cell>
          <cell r="C416">
            <v>20954</v>
          </cell>
        </row>
        <row r="417">
          <cell r="A417">
            <v>43539</v>
          </cell>
          <cell r="B417" t="str">
            <v>MANAGER</v>
          </cell>
          <cell r="C417">
            <v>5290</v>
          </cell>
        </row>
        <row r="418">
          <cell r="A418">
            <v>43539</v>
          </cell>
          <cell r="B418" t="str">
            <v>RESIDENT</v>
          </cell>
          <cell r="C418">
            <v>43031</v>
          </cell>
        </row>
        <row r="419">
          <cell r="A419">
            <v>43538</v>
          </cell>
          <cell r="B419" t="str">
            <v>MANAGER</v>
          </cell>
          <cell r="C419">
            <v>5114</v>
          </cell>
        </row>
        <row r="420">
          <cell r="A420">
            <v>43538</v>
          </cell>
          <cell r="B420" t="str">
            <v>RESIDENT</v>
          </cell>
          <cell r="C420">
            <v>42271</v>
          </cell>
        </row>
        <row r="421">
          <cell r="A421">
            <v>43538</v>
          </cell>
          <cell r="B421" t="str">
            <v>GUEST</v>
          </cell>
          <cell r="C421">
            <v>20544</v>
          </cell>
        </row>
        <row r="422">
          <cell r="A422">
            <v>43537</v>
          </cell>
          <cell r="B422" t="str">
            <v>MANAGER</v>
          </cell>
          <cell r="C422">
            <v>5279</v>
          </cell>
        </row>
        <row r="423">
          <cell r="A423">
            <v>43537</v>
          </cell>
          <cell r="B423" t="str">
            <v>RESIDENT</v>
          </cell>
          <cell r="C423">
            <v>42340</v>
          </cell>
        </row>
        <row r="424">
          <cell r="A424">
            <v>43537</v>
          </cell>
          <cell r="B424" t="str">
            <v>GUEST</v>
          </cell>
          <cell r="C424">
            <v>19463</v>
          </cell>
        </row>
        <row r="425">
          <cell r="A425">
            <v>43536</v>
          </cell>
          <cell r="B425" t="str">
            <v>RESIDENT</v>
          </cell>
          <cell r="C425">
            <v>40431</v>
          </cell>
        </row>
        <row r="426">
          <cell r="A426">
            <v>43536</v>
          </cell>
          <cell r="B426" t="str">
            <v>MANAGER</v>
          </cell>
          <cell r="C426">
            <v>5194</v>
          </cell>
        </row>
        <row r="427">
          <cell r="A427">
            <v>43536</v>
          </cell>
          <cell r="B427" t="str">
            <v>GUEST</v>
          </cell>
          <cell r="C427">
            <v>18362</v>
          </cell>
        </row>
        <row r="428">
          <cell r="A428">
            <v>43535</v>
          </cell>
          <cell r="B428" t="str">
            <v>MANAGER</v>
          </cell>
          <cell r="C428">
            <v>4603</v>
          </cell>
        </row>
        <row r="429">
          <cell r="A429">
            <v>43535</v>
          </cell>
          <cell r="B429" t="str">
            <v>GUEST</v>
          </cell>
          <cell r="C429">
            <v>18758</v>
          </cell>
        </row>
        <row r="430">
          <cell r="A430">
            <v>43535</v>
          </cell>
          <cell r="B430" t="str">
            <v>RESIDENT</v>
          </cell>
          <cell r="C430">
            <v>41500</v>
          </cell>
        </row>
        <row r="431">
          <cell r="A431">
            <v>43534</v>
          </cell>
          <cell r="B431" t="str">
            <v>GUEST</v>
          </cell>
          <cell r="C431">
            <v>14430</v>
          </cell>
        </row>
        <row r="432">
          <cell r="A432">
            <v>43534</v>
          </cell>
          <cell r="B432" t="str">
            <v>MANAGER</v>
          </cell>
          <cell r="C432">
            <v>2172</v>
          </cell>
        </row>
        <row r="433">
          <cell r="A433">
            <v>43534</v>
          </cell>
          <cell r="B433" t="str">
            <v>RESIDENT</v>
          </cell>
          <cell r="C433">
            <v>34857</v>
          </cell>
        </row>
        <row r="434">
          <cell r="A434">
            <v>43533</v>
          </cell>
          <cell r="B434" t="str">
            <v>MANAGER</v>
          </cell>
          <cell r="C434">
            <v>2486</v>
          </cell>
        </row>
        <row r="435">
          <cell r="A435">
            <v>43533</v>
          </cell>
          <cell r="B435" t="str">
            <v>RESIDENT</v>
          </cell>
          <cell r="C435">
            <v>36663</v>
          </cell>
        </row>
        <row r="436">
          <cell r="A436">
            <v>43533</v>
          </cell>
          <cell r="B436" t="str">
            <v>GUEST</v>
          </cell>
          <cell r="C436">
            <v>15927</v>
          </cell>
        </row>
        <row r="437">
          <cell r="A437">
            <v>43532</v>
          </cell>
          <cell r="B437" t="str">
            <v>GUEST</v>
          </cell>
          <cell r="C437">
            <v>19729</v>
          </cell>
        </row>
        <row r="438">
          <cell r="A438">
            <v>43532</v>
          </cell>
          <cell r="B438" t="str">
            <v>MANAGER</v>
          </cell>
          <cell r="C438">
            <v>4736</v>
          </cell>
        </row>
        <row r="439">
          <cell r="A439">
            <v>43532</v>
          </cell>
          <cell r="B439" t="str">
            <v>RESIDENT</v>
          </cell>
          <cell r="C439">
            <v>39207</v>
          </cell>
        </row>
        <row r="440">
          <cell r="A440">
            <v>43531</v>
          </cell>
          <cell r="B440" t="str">
            <v>RESIDENT</v>
          </cell>
          <cell r="C440">
            <v>37677</v>
          </cell>
        </row>
        <row r="441">
          <cell r="A441">
            <v>43531</v>
          </cell>
          <cell r="B441" t="str">
            <v>MANAGER</v>
          </cell>
          <cell r="C441">
            <v>4774</v>
          </cell>
        </row>
        <row r="442">
          <cell r="A442">
            <v>43531</v>
          </cell>
          <cell r="B442" t="str">
            <v>GUEST</v>
          </cell>
          <cell r="C442">
            <v>17983</v>
          </cell>
        </row>
        <row r="443">
          <cell r="A443">
            <v>43530</v>
          </cell>
          <cell r="B443" t="str">
            <v>RESIDENT</v>
          </cell>
          <cell r="C443">
            <v>36923</v>
          </cell>
        </row>
        <row r="444">
          <cell r="A444">
            <v>43530</v>
          </cell>
          <cell r="B444" t="str">
            <v>MANAGER</v>
          </cell>
          <cell r="C444">
            <v>6739</v>
          </cell>
        </row>
        <row r="445">
          <cell r="A445">
            <v>43530</v>
          </cell>
          <cell r="B445" t="str">
            <v>GUEST</v>
          </cell>
          <cell r="C445">
            <v>17484</v>
          </cell>
        </row>
        <row r="446">
          <cell r="A446">
            <v>43529</v>
          </cell>
          <cell r="B446" t="str">
            <v>MANAGER</v>
          </cell>
          <cell r="C446">
            <v>5488</v>
          </cell>
        </row>
        <row r="447">
          <cell r="A447">
            <v>43529</v>
          </cell>
          <cell r="B447" t="str">
            <v>GUEST</v>
          </cell>
          <cell r="C447">
            <v>17492</v>
          </cell>
        </row>
        <row r="448">
          <cell r="A448">
            <v>43529</v>
          </cell>
          <cell r="B448" t="str">
            <v>RESIDENT</v>
          </cell>
          <cell r="C448">
            <v>36226</v>
          </cell>
        </row>
        <row r="449">
          <cell r="A449">
            <v>43528</v>
          </cell>
          <cell r="B449" t="str">
            <v>GUEST</v>
          </cell>
          <cell r="C449">
            <v>16444</v>
          </cell>
        </row>
        <row r="450">
          <cell r="A450">
            <v>43528</v>
          </cell>
          <cell r="B450" t="str">
            <v>RESIDENT</v>
          </cell>
          <cell r="C450">
            <v>35494</v>
          </cell>
        </row>
        <row r="451">
          <cell r="A451">
            <v>43528</v>
          </cell>
          <cell r="B451" t="str">
            <v>MANAGER</v>
          </cell>
          <cell r="C451">
            <v>4424</v>
          </cell>
        </row>
        <row r="452">
          <cell r="A452">
            <v>43527</v>
          </cell>
          <cell r="B452" t="str">
            <v>MANAGER</v>
          </cell>
          <cell r="C452">
            <v>2009</v>
          </cell>
        </row>
        <row r="453">
          <cell r="A453">
            <v>43527</v>
          </cell>
          <cell r="B453" t="str">
            <v>RESIDENT</v>
          </cell>
          <cell r="C453">
            <v>33598</v>
          </cell>
        </row>
        <row r="454">
          <cell r="A454">
            <v>43527</v>
          </cell>
          <cell r="B454" t="str">
            <v>GUEST</v>
          </cell>
          <cell r="C454">
            <v>14044</v>
          </cell>
        </row>
        <row r="455">
          <cell r="A455">
            <v>43526</v>
          </cell>
          <cell r="B455" t="str">
            <v>GUEST</v>
          </cell>
          <cell r="C455">
            <v>15025</v>
          </cell>
        </row>
        <row r="456">
          <cell r="A456">
            <v>43526</v>
          </cell>
          <cell r="B456" t="str">
            <v>MANAGER</v>
          </cell>
          <cell r="C456">
            <v>2833</v>
          </cell>
        </row>
        <row r="457">
          <cell r="A457">
            <v>43526</v>
          </cell>
          <cell r="B457" t="str">
            <v>RESIDENT</v>
          </cell>
          <cell r="C457">
            <v>33604</v>
          </cell>
        </row>
        <row r="458">
          <cell r="A458">
            <v>43525</v>
          </cell>
          <cell r="B458" t="str">
            <v>RESIDENT</v>
          </cell>
          <cell r="C458">
            <v>37093</v>
          </cell>
        </row>
        <row r="459">
          <cell r="A459">
            <v>43525</v>
          </cell>
          <cell r="B459" t="str">
            <v>GUEST</v>
          </cell>
          <cell r="C459">
            <v>18172</v>
          </cell>
        </row>
        <row r="460">
          <cell r="A460">
            <v>43525</v>
          </cell>
          <cell r="B460" t="str">
            <v>MANAGER</v>
          </cell>
          <cell r="C460">
            <v>4710</v>
          </cell>
        </row>
        <row r="461">
          <cell r="A461">
            <v>43524</v>
          </cell>
          <cell r="B461" t="str">
            <v>MANAGER</v>
          </cell>
          <cell r="C461">
            <v>3987</v>
          </cell>
        </row>
        <row r="462">
          <cell r="A462">
            <v>43524</v>
          </cell>
          <cell r="B462" t="str">
            <v>GUEST</v>
          </cell>
          <cell r="C462">
            <v>17823</v>
          </cell>
        </row>
        <row r="463">
          <cell r="A463">
            <v>43524</v>
          </cell>
          <cell r="B463" t="str">
            <v>RESIDENT</v>
          </cell>
          <cell r="C463">
            <v>37020</v>
          </cell>
        </row>
        <row r="464">
          <cell r="A464">
            <v>43523</v>
          </cell>
          <cell r="B464" t="str">
            <v>GUEST</v>
          </cell>
          <cell r="C464">
            <v>18040</v>
          </cell>
        </row>
        <row r="465">
          <cell r="A465">
            <v>43523</v>
          </cell>
          <cell r="B465" t="str">
            <v>MANAGER</v>
          </cell>
          <cell r="C465">
            <v>5152</v>
          </cell>
        </row>
        <row r="466">
          <cell r="A466">
            <v>43523</v>
          </cell>
          <cell r="B466" t="str">
            <v>RESIDENT</v>
          </cell>
          <cell r="C466">
            <v>36857</v>
          </cell>
        </row>
        <row r="467">
          <cell r="A467">
            <v>43522</v>
          </cell>
          <cell r="B467" t="str">
            <v>GUEST</v>
          </cell>
          <cell r="C467">
            <v>17224</v>
          </cell>
        </row>
        <row r="468">
          <cell r="A468">
            <v>43522</v>
          </cell>
          <cell r="B468" t="str">
            <v>MANAGER</v>
          </cell>
          <cell r="C468">
            <v>5292</v>
          </cell>
        </row>
        <row r="469">
          <cell r="A469">
            <v>43522</v>
          </cell>
          <cell r="B469" t="str">
            <v>RESIDENT</v>
          </cell>
          <cell r="C469">
            <v>36675</v>
          </cell>
        </row>
        <row r="470">
          <cell r="A470">
            <v>43521</v>
          </cell>
          <cell r="B470" t="str">
            <v>RESIDENT</v>
          </cell>
          <cell r="C470">
            <v>37178</v>
          </cell>
        </row>
        <row r="471">
          <cell r="A471">
            <v>43521</v>
          </cell>
          <cell r="B471" t="str">
            <v>GUEST</v>
          </cell>
          <cell r="C471">
            <v>17720</v>
          </cell>
        </row>
        <row r="472">
          <cell r="A472">
            <v>43521</v>
          </cell>
          <cell r="B472" t="str">
            <v>MANAGER</v>
          </cell>
          <cell r="C472">
            <v>4698</v>
          </cell>
        </row>
        <row r="473">
          <cell r="A473">
            <v>43520</v>
          </cell>
          <cell r="B473" t="str">
            <v>GUEST</v>
          </cell>
          <cell r="C473">
            <v>13890</v>
          </cell>
        </row>
        <row r="474">
          <cell r="A474">
            <v>43520</v>
          </cell>
          <cell r="B474" t="str">
            <v>MANAGER</v>
          </cell>
          <cell r="C474">
            <v>1622</v>
          </cell>
        </row>
        <row r="475">
          <cell r="A475">
            <v>43520</v>
          </cell>
          <cell r="B475" t="str">
            <v>RESIDENT</v>
          </cell>
          <cell r="C475">
            <v>34213</v>
          </cell>
        </row>
        <row r="476">
          <cell r="A476">
            <v>43519</v>
          </cell>
          <cell r="B476" t="str">
            <v>MANAGER</v>
          </cell>
          <cell r="C476">
            <v>2941</v>
          </cell>
        </row>
        <row r="477">
          <cell r="A477">
            <v>43519</v>
          </cell>
          <cell r="B477" t="str">
            <v>GUEST</v>
          </cell>
          <cell r="C477">
            <v>15576</v>
          </cell>
        </row>
        <row r="478">
          <cell r="A478">
            <v>43519</v>
          </cell>
          <cell r="B478" t="str">
            <v>RESIDENT</v>
          </cell>
          <cell r="C478">
            <v>34786</v>
          </cell>
        </row>
        <row r="479">
          <cell r="A479">
            <v>43518</v>
          </cell>
          <cell r="B479" t="str">
            <v>MANAGER</v>
          </cell>
          <cell r="C479">
            <v>4225</v>
          </cell>
        </row>
        <row r="480">
          <cell r="A480">
            <v>43518</v>
          </cell>
          <cell r="B480" t="str">
            <v>RESIDENT</v>
          </cell>
          <cell r="C480">
            <v>36080</v>
          </cell>
        </row>
        <row r="481">
          <cell r="A481">
            <v>43518</v>
          </cell>
          <cell r="B481" t="str">
            <v>GUEST</v>
          </cell>
          <cell r="C481">
            <v>17998</v>
          </cell>
        </row>
        <row r="482">
          <cell r="A482">
            <v>43517</v>
          </cell>
          <cell r="B482" t="str">
            <v>GUEST</v>
          </cell>
          <cell r="C482">
            <v>18198</v>
          </cell>
        </row>
        <row r="483">
          <cell r="A483">
            <v>43517</v>
          </cell>
          <cell r="B483" t="str">
            <v>MANAGER</v>
          </cell>
          <cell r="C483">
            <v>4430</v>
          </cell>
        </row>
        <row r="484">
          <cell r="A484">
            <v>43517</v>
          </cell>
          <cell r="B484" t="str">
            <v>RESIDENT</v>
          </cell>
          <cell r="C484">
            <v>36492</v>
          </cell>
        </row>
        <row r="485">
          <cell r="A485">
            <v>43516</v>
          </cell>
          <cell r="B485" t="str">
            <v>GUEST</v>
          </cell>
          <cell r="C485">
            <v>15777</v>
          </cell>
        </row>
        <row r="486">
          <cell r="A486">
            <v>43516</v>
          </cell>
          <cell r="B486" t="str">
            <v>MANAGER</v>
          </cell>
          <cell r="C486">
            <v>3673</v>
          </cell>
        </row>
        <row r="487">
          <cell r="A487">
            <v>43516</v>
          </cell>
          <cell r="B487" t="str">
            <v>RESIDENT</v>
          </cell>
          <cell r="C487">
            <v>34223</v>
          </cell>
        </row>
        <row r="488">
          <cell r="A488">
            <v>43515</v>
          </cell>
          <cell r="B488" t="str">
            <v>MANAGER</v>
          </cell>
          <cell r="C488">
            <v>4135</v>
          </cell>
        </row>
        <row r="489">
          <cell r="A489">
            <v>43515</v>
          </cell>
          <cell r="B489" t="str">
            <v>RESIDENT</v>
          </cell>
          <cell r="C489">
            <v>34774</v>
          </cell>
        </row>
        <row r="490">
          <cell r="A490">
            <v>43515</v>
          </cell>
          <cell r="B490" t="str">
            <v>GUEST</v>
          </cell>
          <cell r="C490">
            <v>15642</v>
          </cell>
        </row>
        <row r="491">
          <cell r="A491">
            <v>43514</v>
          </cell>
          <cell r="B491" t="str">
            <v>GUEST</v>
          </cell>
          <cell r="C491">
            <v>14321</v>
          </cell>
        </row>
        <row r="492">
          <cell r="A492">
            <v>43514</v>
          </cell>
          <cell r="B492" t="str">
            <v>RESIDENT</v>
          </cell>
          <cell r="C492">
            <v>34326</v>
          </cell>
        </row>
        <row r="493">
          <cell r="A493">
            <v>43514</v>
          </cell>
          <cell r="B493" t="str">
            <v>MANAGER</v>
          </cell>
          <cell r="C493">
            <v>3192</v>
          </cell>
        </row>
        <row r="494">
          <cell r="A494">
            <v>43513</v>
          </cell>
          <cell r="B494" t="str">
            <v>RESIDENT</v>
          </cell>
          <cell r="C494">
            <v>30535</v>
          </cell>
        </row>
        <row r="495">
          <cell r="A495">
            <v>43513</v>
          </cell>
          <cell r="B495" t="str">
            <v>MANAGER</v>
          </cell>
          <cell r="C495">
            <v>2405</v>
          </cell>
        </row>
        <row r="496">
          <cell r="A496">
            <v>43513</v>
          </cell>
          <cell r="B496" t="str">
            <v>GUEST</v>
          </cell>
          <cell r="C496">
            <v>11887</v>
          </cell>
        </row>
        <row r="497">
          <cell r="A497">
            <v>43512</v>
          </cell>
          <cell r="B497" t="str">
            <v>GUEST</v>
          </cell>
          <cell r="C497">
            <v>13866</v>
          </cell>
        </row>
        <row r="498">
          <cell r="A498">
            <v>43512</v>
          </cell>
          <cell r="B498" t="str">
            <v>MANAGER</v>
          </cell>
          <cell r="C498">
            <v>2940</v>
          </cell>
        </row>
        <row r="499">
          <cell r="A499">
            <v>43512</v>
          </cell>
          <cell r="B499" t="str">
            <v>RESIDENT</v>
          </cell>
          <cell r="C499">
            <v>32472</v>
          </cell>
        </row>
        <row r="500">
          <cell r="A500">
            <v>43511</v>
          </cell>
          <cell r="B500" t="str">
            <v>RESIDENT</v>
          </cell>
          <cell r="C500">
            <v>38142</v>
          </cell>
        </row>
        <row r="501">
          <cell r="A501">
            <v>43511</v>
          </cell>
          <cell r="B501" t="str">
            <v>MANAGER</v>
          </cell>
          <cell r="C501">
            <v>4577</v>
          </cell>
        </row>
        <row r="502">
          <cell r="A502">
            <v>43511</v>
          </cell>
          <cell r="B502" t="str">
            <v>GUEST</v>
          </cell>
          <cell r="C502">
            <v>17357</v>
          </cell>
        </row>
        <row r="503">
          <cell r="A503">
            <v>43510</v>
          </cell>
          <cell r="B503" t="str">
            <v>GUEST</v>
          </cell>
          <cell r="C503">
            <v>17321</v>
          </cell>
        </row>
        <row r="504">
          <cell r="A504">
            <v>43510</v>
          </cell>
          <cell r="B504" t="str">
            <v>MANAGER</v>
          </cell>
          <cell r="C504">
            <v>4716</v>
          </cell>
        </row>
        <row r="505">
          <cell r="A505">
            <v>43510</v>
          </cell>
          <cell r="B505" t="str">
            <v>RESIDENT</v>
          </cell>
          <cell r="C505">
            <v>38780</v>
          </cell>
        </row>
        <row r="506">
          <cell r="A506">
            <v>43509</v>
          </cell>
          <cell r="B506" t="str">
            <v>MANAGER</v>
          </cell>
          <cell r="C506">
            <v>4425</v>
          </cell>
        </row>
        <row r="507">
          <cell r="A507">
            <v>43509</v>
          </cell>
          <cell r="B507" t="str">
            <v>RESIDENT</v>
          </cell>
          <cell r="C507">
            <v>34238</v>
          </cell>
        </row>
        <row r="508">
          <cell r="A508">
            <v>43509</v>
          </cell>
          <cell r="B508" t="str">
            <v>GUEST</v>
          </cell>
          <cell r="C508">
            <v>15561</v>
          </cell>
        </row>
        <row r="509">
          <cell r="A509">
            <v>43508</v>
          </cell>
          <cell r="B509" t="str">
            <v>MANAGER</v>
          </cell>
          <cell r="C509">
            <v>4021</v>
          </cell>
        </row>
        <row r="510">
          <cell r="A510">
            <v>43508</v>
          </cell>
          <cell r="B510" t="str">
            <v>GUEST</v>
          </cell>
          <cell r="C510">
            <v>15317</v>
          </cell>
        </row>
        <row r="511">
          <cell r="A511">
            <v>43508</v>
          </cell>
          <cell r="B511" t="str">
            <v>RESIDENT</v>
          </cell>
          <cell r="C511">
            <v>33962</v>
          </cell>
        </row>
        <row r="512">
          <cell r="A512">
            <v>43507</v>
          </cell>
          <cell r="B512" t="str">
            <v>GUEST</v>
          </cell>
          <cell r="C512">
            <v>14854</v>
          </cell>
        </row>
        <row r="513">
          <cell r="A513">
            <v>43507</v>
          </cell>
          <cell r="B513" t="str">
            <v>MANAGER</v>
          </cell>
          <cell r="C513">
            <v>3940</v>
          </cell>
        </row>
        <row r="514">
          <cell r="A514">
            <v>43507</v>
          </cell>
          <cell r="B514" t="str">
            <v>RESIDENT</v>
          </cell>
          <cell r="C514">
            <v>35506</v>
          </cell>
        </row>
        <row r="515">
          <cell r="A515">
            <v>43506</v>
          </cell>
          <cell r="B515" t="str">
            <v>RESIDENT</v>
          </cell>
          <cell r="C515">
            <v>31350</v>
          </cell>
        </row>
        <row r="516">
          <cell r="A516">
            <v>43506</v>
          </cell>
          <cell r="B516" t="str">
            <v>MANAGER</v>
          </cell>
          <cell r="C516">
            <v>2302</v>
          </cell>
        </row>
        <row r="517">
          <cell r="A517">
            <v>43506</v>
          </cell>
          <cell r="B517" t="str">
            <v>GUEST</v>
          </cell>
          <cell r="C517">
            <v>12572</v>
          </cell>
        </row>
        <row r="518">
          <cell r="A518">
            <v>43505</v>
          </cell>
          <cell r="B518" t="str">
            <v>MANAGER</v>
          </cell>
          <cell r="C518">
            <v>2739</v>
          </cell>
        </row>
        <row r="519">
          <cell r="A519">
            <v>43505</v>
          </cell>
          <cell r="B519" t="str">
            <v>RESIDENT</v>
          </cell>
          <cell r="C519">
            <v>32065</v>
          </cell>
        </row>
        <row r="520">
          <cell r="A520">
            <v>43505</v>
          </cell>
          <cell r="B520" t="str">
            <v>GUEST</v>
          </cell>
          <cell r="C520">
            <v>13142</v>
          </cell>
        </row>
        <row r="521">
          <cell r="A521">
            <v>43504</v>
          </cell>
          <cell r="B521" t="str">
            <v>MANAGER</v>
          </cell>
          <cell r="C521">
            <v>4004</v>
          </cell>
        </row>
        <row r="522">
          <cell r="A522">
            <v>43504</v>
          </cell>
          <cell r="B522" t="str">
            <v>RESIDENT</v>
          </cell>
          <cell r="C522">
            <v>35296</v>
          </cell>
        </row>
        <row r="523">
          <cell r="A523">
            <v>43504</v>
          </cell>
          <cell r="B523" t="str">
            <v>GUEST</v>
          </cell>
          <cell r="C523">
            <v>15446</v>
          </cell>
        </row>
        <row r="524">
          <cell r="A524">
            <v>43503</v>
          </cell>
          <cell r="B524" t="str">
            <v>GUEST</v>
          </cell>
          <cell r="C524">
            <v>15754</v>
          </cell>
        </row>
        <row r="525">
          <cell r="A525">
            <v>43503</v>
          </cell>
          <cell r="B525" t="str">
            <v>MANAGER</v>
          </cell>
          <cell r="C525">
            <v>4046</v>
          </cell>
        </row>
        <row r="526">
          <cell r="A526">
            <v>43503</v>
          </cell>
          <cell r="B526" t="str">
            <v>RESIDENT</v>
          </cell>
          <cell r="C526">
            <v>35285</v>
          </cell>
        </row>
        <row r="527">
          <cell r="A527">
            <v>43502</v>
          </cell>
          <cell r="B527" t="str">
            <v>GUEST</v>
          </cell>
          <cell r="C527">
            <v>15643</v>
          </cell>
        </row>
        <row r="528">
          <cell r="A528">
            <v>43502</v>
          </cell>
          <cell r="B528" t="str">
            <v>MANAGER</v>
          </cell>
          <cell r="C528">
            <v>3791</v>
          </cell>
        </row>
        <row r="529">
          <cell r="A529">
            <v>43502</v>
          </cell>
          <cell r="B529" t="str">
            <v>RESIDENT</v>
          </cell>
          <cell r="C529">
            <v>34603</v>
          </cell>
        </row>
        <row r="530">
          <cell r="A530">
            <v>43501</v>
          </cell>
          <cell r="B530" t="str">
            <v>GUEST</v>
          </cell>
          <cell r="C530">
            <v>14583</v>
          </cell>
        </row>
        <row r="531">
          <cell r="A531">
            <v>43501</v>
          </cell>
          <cell r="B531" t="str">
            <v>MANAGER</v>
          </cell>
          <cell r="C531">
            <v>4196</v>
          </cell>
        </row>
        <row r="532">
          <cell r="A532">
            <v>43501</v>
          </cell>
          <cell r="B532" t="str">
            <v>RESIDENT</v>
          </cell>
          <cell r="C532">
            <v>34738</v>
          </cell>
        </row>
        <row r="533">
          <cell r="A533">
            <v>43500</v>
          </cell>
          <cell r="B533" t="str">
            <v>GUEST</v>
          </cell>
          <cell r="C533">
            <v>14417</v>
          </cell>
        </row>
        <row r="534">
          <cell r="A534">
            <v>43500</v>
          </cell>
          <cell r="B534" t="str">
            <v>MANAGER</v>
          </cell>
          <cell r="C534">
            <v>3862</v>
          </cell>
        </row>
        <row r="535">
          <cell r="A535">
            <v>43500</v>
          </cell>
          <cell r="B535" t="str">
            <v>RESIDENT</v>
          </cell>
          <cell r="C535">
            <v>35535</v>
          </cell>
        </row>
        <row r="536">
          <cell r="A536">
            <v>43499</v>
          </cell>
          <cell r="B536" t="str">
            <v>MANAGER</v>
          </cell>
          <cell r="C536">
            <v>2488</v>
          </cell>
        </row>
        <row r="537">
          <cell r="A537">
            <v>43499</v>
          </cell>
          <cell r="B537" t="str">
            <v>RESIDENT</v>
          </cell>
          <cell r="C537">
            <v>32994</v>
          </cell>
        </row>
        <row r="538">
          <cell r="A538">
            <v>43499</v>
          </cell>
          <cell r="B538" t="str">
            <v>GUEST</v>
          </cell>
          <cell r="C538">
            <v>12411</v>
          </cell>
        </row>
        <row r="539">
          <cell r="A539">
            <v>43498</v>
          </cell>
          <cell r="B539" t="str">
            <v>MANAGER</v>
          </cell>
          <cell r="C539">
            <v>2807</v>
          </cell>
        </row>
        <row r="540">
          <cell r="A540">
            <v>43498</v>
          </cell>
          <cell r="B540" t="str">
            <v>GUEST</v>
          </cell>
          <cell r="C540">
            <v>12677</v>
          </cell>
        </row>
        <row r="541">
          <cell r="A541">
            <v>43498</v>
          </cell>
          <cell r="B541" t="str">
            <v>RESIDENT</v>
          </cell>
          <cell r="C541">
            <v>31736</v>
          </cell>
        </row>
        <row r="542">
          <cell r="A542">
            <v>43497</v>
          </cell>
          <cell r="B542" t="str">
            <v>GUEST</v>
          </cell>
          <cell r="C542">
            <v>15351</v>
          </cell>
        </row>
        <row r="543">
          <cell r="A543">
            <v>43497</v>
          </cell>
          <cell r="B543" t="str">
            <v>MANAGER</v>
          </cell>
          <cell r="C543">
            <v>4033</v>
          </cell>
        </row>
        <row r="544">
          <cell r="A544">
            <v>43497</v>
          </cell>
          <cell r="B544" t="str">
            <v>RESIDENT</v>
          </cell>
          <cell r="C544">
            <v>33381</v>
          </cell>
        </row>
        <row r="545">
          <cell r="A545">
            <v>43496</v>
          </cell>
          <cell r="B545" t="str">
            <v>GUEST</v>
          </cell>
          <cell r="C545">
            <v>13653</v>
          </cell>
        </row>
        <row r="546">
          <cell r="A546">
            <v>43496</v>
          </cell>
          <cell r="B546" t="str">
            <v>MANAGER</v>
          </cell>
          <cell r="C546">
            <v>3835</v>
          </cell>
        </row>
        <row r="547">
          <cell r="A547">
            <v>43496</v>
          </cell>
          <cell r="B547" t="str">
            <v>RESIDENT</v>
          </cell>
          <cell r="C547">
            <v>31511</v>
          </cell>
        </row>
        <row r="548">
          <cell r="A548">
            <v>43495</v>
          </cell>
          <cell r="B548" t="str">
            <v>MANAGER</v>
          </cell>
          <cell r="C548">
            <v>3996</v>
          </cell>
        </row>
        <row r="549">
          <cell r="A549">
            <v>43495</v>
          </cell>
          <cell r="B549" t="str">
            <v>GUEST</v>
          </cell>
          <cell r="C549">
            <v>13190</v>
          </cell>
        </row>
        <row r="550">
          <cell r="A550">
            <v>43495</v>
          </cell>
          <cell r="B550" t="str">
            <v>RESIDENT</v>
          </cell>
          <cell r="C550">
            <v>30673</v>
          </cell>
        </row>
        <row r="551">
          <cell r="A551">
            <v>43494</v>
          </cell>
          <cell r="B551" t="str">
            <v>MANAGER</v>
          </cell>
          <cell r="C551">
            <v>4372</v>
          </cell>
        </row>
        <row r="552">
          <cell r="A552">
            <v>43494</v>
          </cell>
          <cell r="B552" t="str">
            <v>RESIDENT</v>
          </cell>
          <cell r="C552">
            <v>32343</v>
          </cell>
        </row>
        <row r="553">
          <cell r="A553">
            <v>43494</v>
          </cell>
          <cell r="B553" t="str">
            <v>GUEST</v>
          </cell>
          <cell r="C553">
            <v>13330</v>
          </cell>
        </row>
        <row r="554">
          <cell r="A554">
            <v>43493</v>
          </cell>
          <cell r="B554" t="str">
            <v>MANAGER</v>
          </cell>
          <cell r="C554">
            <v>3355</v>
          </cell>
        </row>
        <row r="555">
          <cell r="A555">
            <v>43493</v>
          </cell>
          <cell r="B555" t="str">
            <v>RESIDENT</v>
          </cell>
          <cell r="C555">
            <v>33149</v>
          </cell>
        </row>
        <row r="556">
          <cell r="A556">
            <v>43493</v>
          </cell>
          <cell r="B556" t="str">
            <v>GUEST</v>
          </cell>
          <cell r="C556">
            <v>13606</v>
          </cell>
        </row>
        <row r="557">
          <cell r="A557">
            <v>43492</v>
          </cell>
          <cell r="B557" t="str">
            <v>GUEST</v>
          </cell>
          <cell r="C557">
            <v>11037</v>
          </cell>
        </row>
        <row r="558">
          <cell r="A558">
            <v>43492</v>
          </cell>
          <cell r="B558" t="str">
            <v>MANAGER</v>
          </cell>
          <cell r="C558">
            <v>2009</v>
          </cell>
        </row>
        <row r="559">
          <cell r="A559">
            <v>43492</v>
          </cell>
          <cell r="B559" t="str">
            <v>RESIDENT</v>
          </cell>
          <cell r="C559">
            <v>30420</v>
          </cell>
        </row>
        <row r="560">
          <cell r="A560">
            <v>43491</v>
          </cell>
          <cell r="B560" t="str">
            <v>RESIDENT</v>
          </cell>
          <cell r="C560">
            <v>31053</v>
          </cell>
        </row>
        <row r="561">
          <cell r="A561">
            <v>43491</v>
          </cell>
          <cell r="B561" t="str">
            <v>MANAGER</v>
          </cell>
          <cell r="C561">
            <v>3140</v>
          </cell>
        </row>
        <row r="562">
          <cell r="A562">
            <v>43491</v>
          </cell>
          <cell r="B562" t="str">
            <v>GUEST</v>
          </cell>
          <cell r="C562">
            <v>11850</v>
          </cell>
        </row>
        <row r="563">
          <cell r="A563">
            <v>43490</v>
          </cell>
          <cell r="B563" t="str">
            <v>RESIDENT</v>
          </cell>
          <cell r="C563">
            <v>33436</v>
          </cell>
        </row>
        <row r="564">
          <cell r="A564">
            <v>43490</v>
          </cell>
          <cell r="B564" t="str">
            <v>MANAGER</v>
          </cell>
          <cell r="C564">
            <v>3902</v>
          </cell>
        </row>
        <row r="565">
          <cell r="A565">
            <v>43490</v>
          </cell>
          <cell r="B565" t="str">
            <v>GUEST</v>
          </cell>
          <cell r="C565">
            <v>14050</v>
          </cell>
        </row>
        <row r="566">
          <cell r="A566">
            <v>43489</v>
          </cell>
          <cell r="B566" t="str">
            <v>MANAGER</v>
          </cell>
          <cell r="C566">
            <v>3776</v>
          </cell>
        </row>
        <row r="567">
          <cell r="A567">
            <v>43489</v>
          </cell>
          <cell r="B567" t="str">
            <v>RESIDENT</v>
          </cell>
          <cell r="C567">
            <v>32277</v>
          </cell>
        </row>
        <row r="568">
          <cell r="A568">
            <v>43489</v>
          </cell>
          <cell r="B568" t="str">
            <v>GUEST</v>
          </cell>
          <cell r="C568">
            <v>13613</v>
          </cell>
        </row>
        <row r="569">
          <cell r="A569">
            <v>43488</v>
          </cell>
          <cell r="B569" t="str">
            <v>MANAGER</v>
          </cell>
          <cell r="C569">
            <v>3974</v>
          </cell>
        </row>
        <row r="570">
          <cell r="A570">
            <v>43488</v>
          </cell>
          <cell r="B570" t="str">
            <v>RESIDENT</v>
          </cell>
          <cell r="C570">
            <v>32425</v>
          </cell>
        </row>
        <row r="571">
          <cell r="A571">
            <v>43488</v>
          </cell>
          <cell r="B571" t="str">
            <v>GUEST</v>
          </cell>
          <cell r="C571">
            <v>13797</v>
          </cell>
        </row>
        <row r="572">
          <cell r="A572">
            <v>43487</v>
          </cell>
          <cell r="B572" t="str">
            <v>GUEST</v>
          </cell>
          <cell r="C572">
            <v>13190</v>
          </cell>
        </row>
        <row r="573">
          <cell r="A573">
            <v>43487</v>
          </cell>
          <cell r="B573" t="str">
            <v>RESIDENT</v>
          </cell>
          <cell r="C573">
            <v>31959</v>
          </cell>
        </row>
        <row r="574">
          <cell r="A574">
            <v>43487</v>
          </cell>
          <cell r="B574" t="str">
            <v>MANAGER</v>
          </cell>
          <cell r="C574">
            <v>3600</v>
          </cell>
        </row>
        <row r="575">
          <cell r="A575">
            <v>43486</v>
          </cell>
          <cell r="B575" t="str">
            <v>RESIDENT</v>
          </cell>
          <cell r="C575">
            <v>29256</v>
          </cell>
        </row>
        <row r="576">
          <cell r="A576">
            <v>43486</v>
          </cell>
          <cell r="B576" t="str">
            <v>MANAGER</v>
          </cell>
          <cell r="C576">
            <v>2678</v>
          </cell>
        </row>
        <row r="577">
          <cell r="A577">
            <v>43486</v>
          </cell>
          <cell r="B577" t="str">
            <v>GUEST</v>
          </cell>
          <cell r="C577">
            <v>12769</v>
          </cell>
        </row>
        <row r="578">
          <cell r="A578">
            <v>43485</v>
          </cell>
          <cell r="B578" t="str">
            <v>RESIDENT</v>
          </cell>
          <cell r="C578">
            <v>27280</v>
          </cell>
        </row>
        <row r="579">
          <cell r="A579">
            <v>43485</v>
          </cell>
          <cell r="B579" t="str">
            <v>MANAGER</v>
          </cell>
          <cell r="C579">
            <v>1937</v>
          </cell>
        </row>
        <row r="580">
          <cell r="A580">
            <v>43485</v>
          </cell>
          <cell r="B580" t="str">
            <v>GUEST</v>
          </cell>
          <cell r="C580">
            <v>10160</v>
          </cell>
        </row>
        <row r="581">
          <cell r="A581">
            <v>43484</v>
          </cell>
          <cell r="B581" t="str">
            <v>RESIDENT</v>
          </cell>
          <cell r="C581">
            <v>29512</v>
          </cell>
        </row>
        <row r="582">
          <cell r="A582">
            <v>43484</v>
          </cell>
          <cell r="B582" t="str">
            <v>GUEST</v>
          </cell>
          <cell r="C582">
            <v>11825</v>
          </cell>
        </row>
        <row r="583">
          <cell r="A583">
            <v>43484</v>
          </cell>
          <cell r="B583" t="str">
            <v>MANAGER</v>
          </cell>
          <cell r="C583">
            <v>2699</v>
          </cell>
        </row>
        <row r="584">
          <cell r="A584">
            <v>43483</v>
          </cell>
          <cell r="B584" t="str">
            <v>MANAGER</v>
          </cell>
          <cell r="C584">
            <v>3614</v>
          </cell>
        </row>
        <row r="585">
          <cell r="A585">
            <v>43483</v>
          </cell>
          <cell r="B585" t="str">
            <v>GUEST</v>
          </cell>
          <cell r="C585">
            <v>14947</v>
          </cell>
        </row>
        <row r="586">
          <cell r="A586">
            <v>43483</v>
          </cell>
          <cell r="B586" t="str">
            <v>RESIDENT</v>
          </cell>
          <cell r="C586">
            <v>32443</v>
          </cell>
        </row>
        <row r="587">
          <cell r="A587">
            <v>43482</v>
          </cell>
          <cell r="B587" t="str">
            <v>MANAGER</v>
          </cell>
          <cell r="C587">
            <v>3471</v>
          </cell>
        </row>
        <row r="588">
          <cell r="A588">
            <v>43482</v>
          </cell>
          <cell r="B588" t="str">
            <v>GUEST</v>
          </cell>
          <cell r="C588">
            <v>14672</v>
          </cell>
        </row>
        <row r="589">
          <cell r="A589">
            <v>43482</v>
          </cell>
          <cell r="B589" t="str">
            <v>RESIDENT</v>
          </cell>
          <cell r="C589">
            <v>32093</v>
          </cell>
        </row>
        <row r="590">
          <cell r="A590">
            <v>43481</v>
          </cell>
          <cell r="B590" t="str">
            <v>MANAGER</v>
          </cell>
          <cell r="C590">
            <v>4163</v>
          </cell>
        </row>
        <row r="591">
          <cell r="A591">
            <v>43481</v>
          </cell>
          <cell r="B591" t="str">
            <v>GUEST</v>
          </cell>
          <cell r="C591">
            <v>14232</v>
          </cell>
        </row>
        <row r="592">
          <cell r="A592">
            <v>43481</v>
          </cell>
          <cell r="B592" t="str">
            <v>RESIDENT</v>
          </cell>
          <cell r="C592">
            <v>32106</v>
          </cell>
        </row>
        <row r="593">
          <cell r="A593">
            <v>43480</v>
          </cell>
          <cell r="B593" t="str">
            <v>MANAGER</v>
          </cell>
          <cell r="C593">
            <v>3723</v>
          </cell>
        </row>
        <row r="594">
          <cell r="A594">
            <v>43480</v>
          </cell>
          <cell r="B594" t="str">
            <v>RESIDENT</v>
          </cell>
          <cell r="C594">
            <v>32231</v>
          </cell>
        </row>
        <row r="595">
          <cell r="A595">
            <v>43480</v>
          </cell>
          <cell r="B595" t="str">
            <v>GUEST</v>
          </cell>
          <cell r="C595">
            <v>13461</v>
          </cell>
        </row>
        <row r="596">
          <cell r="A596">
            <v>43479</v>
          </cell>
          <cell r="B596" t="str">
            <v>MANAGER</v>
          </cell>
          <cell r="C596">
            <v>3199</v>
          </cell>
        </row>
        <row r="597">
          <cell r="A597">
            <v>43479</v>
          </cell>
          <cell r="B597" t="str">
            <v>GUEST</v>
          </cell>
          <cell r="C597">
            <v>13615</v>
          </cell>
        </row>
        <row r="598">
          <cell r="A598">
            <v>43479</v>
          </cell>
          <cell r="B598" t="str">
            <v>RESIDENT</v>
          </cell>
          <cell r="C598">
            <v>32330</v>
          </cell>
        </row>
        <row r="599">
          <cell r="A599">
            <v>43478</v>
          </cell>
          <cell r="B599" t="str">
            <v>MANAGER</v>
          </cell>
          <cell r="C599">
            <v>1701</v>
          </cell>
        </row>
        <row r="600">
          <cell r="A600">
            <v>43478</v>
          </cell>
          <cell r="B600" t="str">
            <v>GUEST</v>
          </cell>
          <cell r="C600">
            <v>9709</v>
          </cell>
        </row>
        <row r="601">
          <cell r="A601">
            <v>43478</v>
          </cell>
          <cell r="B601" t="str">
            <v>RESIDENT</v>
          </cell>
          <cell r="C601">
            <v>29101</v>
          </cell>
        </row>
        <row r="602">
          <cell r="A602">
            <v>43477</v>
          </cell>
          <cell r="B602" t="str">
            <v>RESIDENT</v>
          </cell>
          <cell r="C602">
            <v>29672</v>
          </cell>
        </row>
        <row r="603">
          <cell r="A603">
            <v>43477</v>
          </cell>
          <cell r="B603" t="str">
            <v>GUEST</v>
          </cell>
          <cell r="C603">
            <v>10861</v>
          </cell>
        </row>
        <row r="604">
          <cell r="A604">
            <v>43477</v>
          </cell>
          <cell r="B604" t="str">
            <v>MANAGER</v>
          </cell>
          <cell r="C604">
            <v>2774</v>
          </cell>
        </row>
        <row r="605">
          <cell r="A605">
            <v>43476</v>
          </cell>
          <cell r="B605" t="str">
            <v>RESIDENT</v>
          </cell>
          <cell r="C605">
            <v>31801</v>
          </cell>
        </row>
        <row r="606">
          <cell r="A606">
            <v>43476</v>
          </cell>
          <cell r="B606" t="str">
            <v>MANAGER</v>
          </cell>
          <cell r="C606">
            <v>3651</v>
          </cell>
        </row>
        <row r="607">
          <cell r="A607">
            <v>43476</v>
          </cell>
          <cell r="B607" t="str">
            <v>GUEST</v>
          </cell>
          <cell r="C607">
            <v>12839</v>
          </cell>
        </row>
        <row r="608">
          <cell r="A608">
            <v>43475</v>
          </cell>
          <cell r="B608" t="str">
            <v>MANAGER</v>
          </cell>
          <cell r="C608">
            <v>3525</v>
          </cell>
        </row>
        <row r="609">
          <cell r="A609">
            <v>43475</v>
          </cell>
          <cell r="B609" t="str">
            <v>RESIDENT</v>
          </cell>
          <cell r="C609">
            <v>32401</v>
          </cell>
        </row>
        <row r="610">
          <cell r="A610">
            <v>43475</v>
          </cell>
          <cell r="B610" t="str">
            <v>GUEST</v>
          </cell>
          <cell r="C610">
            <v>13177</v>
          </cell>
        </row>
        <row r="611">
          <cell r="A611">
            <v>43474</v>
          </cell>
          <cell r="B611" t="str">
            <v>GUEST</v>
          </cell>
          <cell r="C611">
            <v>12613</v>
          </cell>
        </row>
        <row r="612">
          <cell r="A612">
            <v>43474</v>
          </cell>
          <cell r="B612" t="str">
            <v>MANAGER</v>
          </cell>
          <cell r="C612">
            <v>3507</v>
          </cell>
        </row>
        <row r="613">
          <cell r="A613">
            <v>43474</v>
          </cell>
          <cell r="B613" t="str">
            <v>RESIDENT</v>
          </cell>
          <cell r="C613">
            <v>32544</v>
          </cell>
        </row>
        <row r="614">
          <cell r="A614">
            <v>43473</v>
          </cell>
          <cell r="B614" t="str">
            <v>RESIDENT</v>
          </cell>
          <cell r="C614">
            <v>32119</v>
          </cell>
        </row>
        <row r="615">
          <cell r="A615">
            <v>43473</v>
          </cell>
          <cell r="B615" t="str">
            <v>MANAGER</v>
          </cell>
          <cell r="C615">
            <v>3909</v>
          </cell>
        </row>
        <row r="616">
          <cell r="A616">
            <v>43473</v>
          </cell>
          <cell r="B616" t="str">
            <v>GUEST</v>
          </cell>
          <cell r="C616">
            <v>13151</v>
          </cell>
        </row>
        <row r="617">
          <cell r="A617">
            <v>43472</v>
          </cell>
          <cell r="B617" t="str">
            <v>RESIDENT</v>
          </cell>
          <cell r="C617">
            <v>31789</v>
          </cell>
        </row>
        <row r="618">
          <cell r="A618">
            <v>43472</v>
          </cell>
          <cell r="B618" t="str">
            <v>MANAGER</v>
          </cell>
          <cell r="C618">
            <v>3422</v>
          </cell>
        </row>
        <row r="619">
          <cell r="A619">
            <v>43472</v>
          </cell>
          <cell r="B619" t="str">
            <v>GUEST</v>
          </cell>
          <cell r="C619">
            <v>13025</v>
          </cell>
        </row>
        <row r="620">
          <cell r="A620">
            <v>43471</v>
          </cell>
          <cell r="B620" t="str">
            <v>GUEST</v>
          </cell>
          <cell r="C620">
            <v>9517</v>
          </cell>
        </row>
        <row r="621">
          <cell r="A621">
            <v>43471</v>
          </cell>
          <cell r="B621" t="str">
            <v>MANAGER</v>
          </cell>
          <cell r="C621">
            <v>1907</v>
          </cell>
        </row>
        <row r="622">
          <cell r="A622">
            <v>43471</v>
          </cell>
          <cell r="B622" t="str">
            <v>RESIDENT</v>
          </cell>
          <cell r="C622">
            <v>28832</v>
          </cell>
        </row>
        <row r="623">
          <cell r="A623">
            <v>43470</v>
          </cell>
          <cell r="B623" t="str">
            <v>MANAGER</v>
          </cell>
          <cell r="C623">
            <v>2471</v>
          </cell>
        </row>
        <row r="624">
          <cell r="A624">
            <v>43470</v>
          </cell>
          <cell r="B624" t="str">
            <v>RESIDENT</v>
          </cell>
          <cell r="C624">
            <v>29880</v>
          </cell>
        </row>
        <row r="625">
          <cell r="A625">
            <v>43470</v>
          </cell>
          <cell r="B625" t="str">
            <v>GUEST</v>
          </cell>
          <cell r="C625">
            <v>10872</v>
          </cell>
        </row>
        <row r="626">
          <cell r="A626">
            <v>43469</v>
          </cell>
          <cell r="B626" t="str">
            <v>MANAGER</v>
          </cell>
          <cell r="C626">
            <v>3302</v>
          </cell>
        </row>
        <row r="627">
          <cell r="A627">
            <v>43469</v>
          </cell>
          <cell r="B627" t="str">
            <v>RESIDENT</v>
          </cell>
          <cell r="C627">
            <v>31668</v>
          </cell>
        </row>
        <row r="628">
          <cell r="A628">
            <v>43469</v>
          </cell>
          <cell r="B628" t="str">
            <v>GUEST</v>
          </cell>
          <cell r="C628">
            <v>12537</v>
          </cell>
        </row>
        <row r="629">
          <cell r="A629">
            <v>43468</v>
          </cell>
          <cell r="B629" t="str">
            <v>MANAGER</v>
          </cell>
          <cell r="C629">
            <v>3166</v>
          </cell>
        </row>
        <row r="630">
          <cell r="A630">
            <v>43468</v>
          </cell>
          <cell r="B630" t="str">
            <v>RESIDENT</v>
          </cell>
          <cell r="C630">
            <v>30634</v>
          </cell>
        </row>
        <row r="631">
          <cell r="A631">
            <v>43468</v>
          </cell>
          <cell r="B631" t="str">
            <v>GUEST</v>
          </cell>
          <cell r="C631">
            <v>12634</v>
          </cell>
        </row>
        <row r="632">
          <cell r="A632">
            <v>43467</v>
          </cell>
          <cell r="B632" t="str">
            <v>MANAGER</v>
          </cell>
          <cell r="C632">
            <v>3255</v>
          </cell>
        </row>
        <row r="633">
          <cell r="A633">
            <v>43467</v>
          </cell>
          <cell r="B633" t="str">
            <v>RESIDENT</v>
          </cell>
          <cell r="C633">
            <v>29595</v>
          </cell>
        </row>
        <row r="634">
          <cell r="A634">
            <v>43467</v>
          </cell>
          <cell r="B634" t="str">
            <v>GUEST</v>
          </cell>
          <cell r="C634">
            <v>12377</v>
          </cell>
        </row>
        <row r="635">
          <cell r="A635">
            <v>43466</v>
          </cell>
          <cell r="B635" t="str">
            <v>RESIDENT</v>
          </cell>
          <cell r="C635">
            <v>24689</v>
          </cell>
        </row>
        <row r="636">
          <cell r="A636">
            <v>43466</v>
          </cell>
          <cell r="B636" t="str">
            <v>MANAGER</v>
          </cell>
          <cell r="C636">
            <v>887</v>
          </cell>
        </row>
        <row r="637">
          <cell r="A637">
            <v>43466</v>
          </cell>
          <cell r="B637" t="str">
            <v>GUEST</v>
          </cell>
          <cell r="C637">
            <v>9283</v>
          </cell>
        </row>
        <row r="638">
          <cell r="A638">
            <v>43465</v>
          </cell>
          <cell r="B638" t="str">
            <v>GUEST</v>
          </cell>
          <cell r="C638">
            <v>11007</v>
          </cell>
        </row>
        <row r="639">
          <cell r="A639">
            <v>43465</v>
          </cell>
          <cell r="B639" t="str">
            <v>RESIDENT</v>
          </cell>
          <cell r="C639">
            <v>24999</v>
          </cell>
        </row>
        <row r="640">
          <cell r="A640">
            <v>43465</v>
          </cell>
          <cell r="B640" t="str">
            <v>MANAGER</v>
          </cell>
          <cell r="C640">
            <v>1802</v>
          </cell>
        </row>
        <row r="641">
          <cell r="A641">
            <v>43464</v>
          </cell>
          <cell r="B641" t="str">
            <v>GUEST</v>
          </cell>
          <cell r="C641">
            <v>8674</v>
          </cell>
        </row>
        <row r="642">
          <cell r="A642">
            <v>43464</v>
          </cell>
          <cell r="B642" t="str">
            <v>MANAGER</v>
          </cell>
          <cell r="C642">
            <v>1230</v>
          </cell>
        </row>
        <row r="643">
          <cell r="A643">
            <v>43464</v>
          </cell>
          <cell r="B643" t="str">
            <v>RESIDENT</v>
          </cell>
          <cell r="C643">
            <v>22857</v>
          </cell>
        </row>
        <row r="644">
          <cell r="A644">
            <v>43463</v>
          </cell>
          <cell r="B644" t="str">
            <v>MANAGER</v>
          </cell>
          <cell r="C644">
            <v>1553</v>
          </cell>
        </row>
        <row r="645">
          <cell r="A645">
            <v>43463</v>
          </cell>
          <cell r="B645" t="str">
            <v>GUEST</v>
          </cell>
          <cell r="C645">
            <v>9821</v>
          </cell>
        </row>
        <row r="646">
          <cell r="A646">
            <v>43463</v>
          </cell>
          <cell r="B646" t="str">
            <v>RESIDENT</v>
          </cell>
          <cell r="C646">
            <v>23376</v>
          </cell>
        </row>
        <row r="647">
          <cell r="A647">
            <v>43462</v>
          </cell>
          <cell r="B647" t="str">
            <v>MANAGER</v>
          </cell>
          <cell r="C647">
            <v>2858</v>
          </cell>
        </row>
        <row r="648">
          <cell r="A648">
            <v>43462</v>
          </cell>
          <cell r="B648" t="str">
            <v>RESIDENT</v>
          </cell>
          <cell r="C648">
            <v>24445</v>
          </cell>
        </row>
        <row r="649">
          <cell r="A649">
            <v>43462</v>
          </cell>
          <cell r="B649" t="str">
            <v>GUEST</v>
          </cell>
          <cell r="C649">
            <v>10910</v>
          </cell>
        </row>
        <row r="650">
          <cell r="A650">
            <v>43461</v>
          </cell>
          <cell r="B650" t="str">
            <v>MANAGER</v>
          </cell>
          <cell r="C650">
            <v>2986</v>
          </cell>
        </row>
        <row r="651">
          <cell r="A651">
            <v>43461</v>
          </cell>
          <cell r="B651" t="str">
            <v>GUEST</v>
          </cell>
          <cell r="C651">
            <v>10753</v>
          </cell>
        </row>
        <row r="652">
          <cell r="A652">
            <v>43461</v>
          </cell>
          <cell r="B652" t="str">
            <v>RESIDENT</v>
          </cell>
          <cell r="C652">
            <v>23431</v>
          </cell>
        </row>
        <row r="653">
          <cell r="A653">
            <v>43460</v>
          </cell>
          <cell r="B653" t="str">
            <v>GUEST</v>
          </cell>
          <cell r="C653">
            <v>9646</v>
          </cell>
        </row>
        <row r="654">
          <cell r="A654">
            <v>43460</v>
          </cell>
          <cell r="B654" t="str">
            <v>RESIDENT</v>
          </cell>
          <cell r="C654">
            <v>21700</v>
          </cell>
        </row>
        <row r="655">
          <cell r="A655">
            <v>43460</v>
          </cell>
          <cell r="B655" t="str">
            <v>MANAGER</v>
          </cell>
          <cell r="C655">
            <v>2601</v>
          </cell>
        </row>
        <row r="656">
          <cell r="A656">
            <v>43459</v>
          </cell>
          <cell r="B656" t="str">
            <v>GUEST</v>
          </cell>
          <cell r="C656">
            <v>5730</v>
          </cell>
        </row>
        <row r="657">
          <cell r="A657">
            <v>43459</v>
          </cell>
          <cell r="B657" t="str">
            <v>MANAGER</v>
          </cell>
          <cell r="C657">
            <v>554</v>
          </cell>
        </row>
        <row r="658">
          <cell r="A658">
            <v>43459</v>
          </cell>
          <cell r="B658" t="str">
            <v>RESIDENT</v>
          </cell>
          <cell r="C658">
            <v>14584</v>
          </cell>
        </row>
        <row r="659">
          <cell r="A659">
            <v>43458</v>
          </cell>
          <cell r="B659" t="str">
            <v>GUEST</v>
          </cell>
          <cell r="C659">
            <v>7919</v>
          </cell>
        </row>
        <row r="660">
          <cell r="A660">
            <v>43458</v>
          </cell>
          <cell r="B660" t="str">
            <v>RESIDENT</v>
          </cell>
          <cell r="C660">
            <v>19212</v>
          </cell>
        </row>
        <row r="661">
          <cell r="A661">
            <v>43458</v>
          </cell>
          <cell r="B661" t="str">
            <v>MANAGER</v>
          </cell>
          <cell r="C661">
            <v>1143</v>
          </cell>
        </row>
        <row r="662">
          <cell r="A662">
            <v>43457</v>
          </cell>
          <cell r="B662" t="str">
            <v>GUEST</v>
          </cell>
          <cell r="C662">
            <v>7539</v>
          </cell>
        </row>
        <row r="663">
          <cell r="A663">
            <v>43457</v>
          </cell>
          <cell r="B663" t="str">
            <v>MANAGER</v>
          </cell>
          <cell r="C663">
            <v>1379</v>
          </cell>
        </row>
        <row r="664">
          <cell r="A664">
            <v>43457</v>
          </cell>
          <cell r="B664" t="str">
            <v>RESIDENT</v>
          </cell>
          <cell r="C664">
            <v>19606</v>
          </cell>
        </row>
        <row r="665">
          <cell r="A665">
            <v>43456</v>
          </cell>
          <cell r="B665" t="str">
            <v>GUEST</v>
          </cell>
          <cell r="C665">
            <v>9119</v>
          </cell>
        </row>
        <row r="666">
          <cell r="A666">
            <v>43456</v>
          </cell>
          <cell r="B666" t="str">
            <v>MANAGER</v>
          </cell>
          <cell r="C666">
            <v>1919</v>
          </cell>
        </row>
        <row r="667">
          <cell r="A667">
            <v>43456</v>
          </cell>
          <cell r="B667" t="str">
            <v>RESIDENT</v>
          </cell>
          <cell r="C667">
            <v>23233</v>
          </cell>
        </row>
        <row r="668">
          <cell r="A668">
            <v>43455</v>
          </cell>
          <cell r="B668" t="str">
            <v>MANAGER</v>
          </cell>
          <cell r="C668">
            <v>3351</v>
          </cell>
        </row>
        <row r="669">
          <cell r="A669">
            <v>43455</v>
          </cell>
          <cell r="B669" t="str">
            <v>GUEST</v>
          </cell>
          <cell r="C669">
            <v>12048</v>
          </cell>
        </row>
        <row r="670">
          <cell r="A670">
            <v>43455</v>
          </cell>
          <cell r="B670" t="str">
            <v>RESIDENT</v>
          </cell>
          <cell r="C670">
            <v>27221</v>
          </cell>
        </row>
        <row r="671">
          <cell r="A671">
            <v>43454</v>
          </cell>
          <cell r="B671" t="str">
            <v>MANAGER</v>
          </cell>
          <cell r="C671">
            <v>3444</v>
          </cell>
        </row>
        <row r="672">
          <cell r="A672">
            <v>43454</v>
          </cell>
          <cell r="B672" t="str">
            <v>GUEST</v>
          </cell>
          <cell r="C672">
            <v>12425</v>
          </cell>
        </row>
        <row r="673">
          <cell r="A673">
            <v>43454</v>
          </cell>
          <cell r="B673" t="str">
            <v>RESIDENT</v>
          </cell>
          <cell r="C673">
            <v>27350</v>
          </cell>
        </row>
        <row r="674">
          <cell r="A674">
            <v>43453</v>
          </cell>
          <cell r="B674" t="str">
            <v>RESIDENT</v>
          </cell>
          <cell r="C674">
            <v>27995</v>
          </cell>
        </row>
        <row r="675">
          <cell r="A675">
            <v>43453</v>
          </cell>
          <cell r="B675" t="str">
            <v>MANAGER</v>
          </cell>
          <cell r="C675">
            <v>3329</v>
          </cell>
        </row>
        <row r="676">
          <cell r="A676">
            <v>43453</v>
          </cell>
          <cell r="B676" t="str">
            <v>GUEST</v>
          </cell>
          <cell r="C676">
            <v>11925</v>
          </cell>
        </row>
        <row r="677">
          <cell r="A677">
            <v>43452</v>
          </cell>
          <cell r="B677" t="str">
            <v>MANAGER</v>
          </cell>
          <cell r="C677">
            <v>3435</v>
          </cell>
        </row>
        <row r="678">
          <cell r="A678">
            <v>43452</v>
          </cell>
          <cell r="B678" t="str">
            <v>RESIDENT</v>
          </cell>
          <cell r="C678">
            <v>27979</v>
          </cell>
        </row>
        <row r="679">
          <cell r="A679">
            <v>43452</v>
          </cell>
          <cell r="B679" t="str">
            <v>GUEST</v>
          </cell>
          <cell r="C679">
            <v>11591</v>
          </cell>
        </row>
        <row r="680">
          <cell r="A680">
            <v>43451</v>
          </cell>
          <cell r="B680" t="str">
            <v>MANAGER</v>
          </cell>
          <cell r="C680">
            <v>3319</v>
          </cell>
        </row>
        <row r="681">
          <cell r="A681">
            <v>43451</v>
          </cell>
          <cell r="B681" t="str">
            <v>RESIDENT</v>
          </cell>
          <cell r="C681">
            <v>27890</v>
          </cell>
        </row>
        <row r="682">
          <cell r="A682">
            <v>43451</v>
          </cell>
          <cell r="B682" t="str">
            <v>GUEST</v>
          </cell>
          <cell r="C682">
            <v>11911</v>
          </cell>
        </row>
        <row r="683">
          <cell r="A683">
            <v>43450</v>
          </cell>
          <cell r="B683" t="str">
            <v>RESIDENT</v>
          </cell>
          <cell r="C683">
            <v>24797</v>
          </cell>
        </row>
        <row r="684">
          <cell r="A684">
            <v>43450</v>
          </cell>
          <cell r="B684" t="str">
            <v>MANAGER</v>
          </cell>
          <cell r="C684">
            <v>1454</v>
          </cell>
        </row>
        <row r="685">
          <cell r="A685">
            <v>43450</v>
          </cell>
          <cell r="B685" t="str">
            <v>GUEST</v>
          </cell>
          <cell r="C685">
            <v>8172</v>
          </cell>
        </row>
        <row r="686">
          <cell r="A686">
            <v>43449</v>
          </cell>
          <cell r="B686" t="str">
            <v>MANAGER</v>
          </cell>
          <cell r="C686">
            <v>1866</v>
          </cell>
        </row>
        <row r="687">
          <cell r="A687">
            <v>43449</v>
          </cell>
          <cell r="B687" t="str">
            <v>RESIDENT</v>
          </cell>
          <cell r="C687">
            <v>26879</v>
          </cell>
        </row>
        <row r="688">
          <cell r="A688">
            <v>43449</v>
          </cell>
          <cell r="B688" t="str">
            <v>GUEST</v>
          </cell>
          <cell r="C688">
            <v>10172</v>
          </cell>
        </row>
        <row r="689">
          <cell r="A689">
            <v>43448</v>
          </cell>
          <cell r="B689" t="str">
            <v>RESIDENT</v>
          </cell>
          <cell r="C689">
            <v>28469</v>
          </cell>
        </row>
        <row r="690">
          <cell r="A690">
            <v>43448</v>
          </cell>
          <cell r="B690" t="str">
            <v>GUEST</v>
          </cell>
          <cell r="C690">
            <v>11714</v>
          </cell>
        </row>
        <row r="691">
          <cell r="A691">
            <v>43448</v>
          </cell>
          <cell r="B691" t="str">
            <v>MANAGER</v>
          </cell>
          <cell r="C691">
            <v>3461</v>
          </cell>
        </row>
        <row r="692">
          <cell r="A692">
            <v>43447</v>
          </cell>
          <cell r="B692" t="str">
            <v>RESIDENT</v>
          </cell>
          <cell r="C692">
            <v>27776</v>
          </cell>
        </row>
        <row r="693">
          <cell r="A693">
            <v>43447</v>
          </cell>
          <cell r="B693" t="str">
            <v>MANAGER</v>
          </cell>
          <cell r="C693">
            <v>3828</v>
          </cell>
        </row>
        <row r="694">
          <cell r="A694">
            <v>43447</v>
          </cell>
          <cell r="B694" t="str">
            <v>GUEST</v>
          </cell>
          <cell r="C694">
            <v>10876</v>
          </cell>
        </row>
        <row r="695">
          <cell r="A695">
            <v>43446</v>
          </cell>
          <cell r="B695" t="str">
            <v>RESIDENT</v>
          </cell>
          <cell r="C695">
            <v>28504</v>
          </cell>
        </row>
        <row r="696">
          <cell r="A696">
            <v>43446</v>
          </cell>
          <cell r="B696" t="str">
            <v>GUEST</v>
          </cell>
          <cell r="C696">
            <v>10715</v>
          </cell>
        </row>
        <row r="697">
          <cell r="A697">
            <v>43446</v>
          </cell>
          <cell r="B697" t="str">
            <v>MANAGER</v>
          </cell>
          <cell r="C697">
            <v>3539</v>
          </cell>
        </row>
        <row r="698">
          <cell r="A698">
            <v>43445</v>
          </cell>
          <cell r="B698" t="str">
            <v>MANAGER</v>
          </cell>
          <cell r="C698">
            <v>3712</v>
          </cell>
        </row>
        <row r="699">
          <cell r="A699">
            <v>43445</v>
          </cell>
          <cell r="B699" t="str">
            <v>RESIDENT</v>
          </cell>
          <cell r="C699">
            <v>27986</v>
          </cell>
        </row>
        <row r="700">
          <cell r="A700">
            <v>43445</v>
          </cell>
          <cell r="B700" t="str">
            <v>GUEST</v>
          </cell>
          <cell r="C700">
            <v>10657</v>
          </cell>
        </row>
        <row r="701">
          <cell r="A701">
            <v>43444</v>
          </cell>
          <cell r="B701" t="str">
            <v>GUEST</v>
          </cell>
          <cell r="C701">
            <v>11118</v>
          </cell>
        </row>
        <row r="702">
          <cell r="A702">
            <v>43444</v>
          </cell>
          <cell r="B702" t="str">
            <v>MANAGER</v>
          </cell>
          <cell r="C702">
            <v>3406</v>
          </cell>
        </row>
        <row r="703">
          <cell r="A703">
            <v>43444</v>
          </cell>
          <cell r="B703" t="str">
            <v>RESIDENT</v>
          </cell>
          <cell r="C703">
            <v>28840</v>
          </cell>
        </row>
        <row r="704">
          <cell r="A704">
            <v>43443</v>
          </cell>
          <cell r="B704" t="str">
            <v>MANAGER</v>
          </cell>
          <cell r="C704">
            <v>1531</v>
          </cell>
        </row>
        <row r="705">
          <cell r="A705">
            <v>43443</v>
          </cell>
          <cell r="B705" t="str">
            <v>RESIDENT</v>
          </cell>
          <cell r="C705">
            <v>25432</v>
          </cell>
        </row>
        <row r="706">
          <cell r="A706">
            <v>43443</v>
          </cell>
          <cell r="B706" t="str">
            <v>GUEST</v>
          </cell>
          <cell r="C706">
            <v>8147</v>
          </cell>
        </row>
        <row r="707">
          <cell r="A707">
            <v>43442</v>
          </cell>
          <cell r="B707" t="str">
            <v>MANAGER</v>
          </cell>
          <cell r="C707">
            <v>2391</v>
          </cell>
        </row>
        <row r="708">
          <cell r="A708">
            <v>43442</v>
          </cell>
          <cell r="B708" t="str">
            <v>RESIDENT</v>
          </cell>
          <cell r="C708">
            <v>26374</v>
          </cell>
        </row>
        <row r="709">
          <cell r="A709">
            <v>43442</v>
          </cell>
          <cell r="B709" t="str">
            <v>GUEST</v>
          </cell>
          <cell r="C709">
            <v>9297</v>
          </cell>
        </row>
        <row r="710">
          <cell r="A710">
            <v>43441</v>
          </cell>
          <cell r="B710" t="str">
            <v>RESIDENT</v>
          </cell>
          <cell r="C710">
            <v>29013</v>
          </cell>
        </row>
        <row r="711">
          <cell r="A711">
            <v>43441</v>
          </cell>
          <cell r="B711" t="str">
            <v>MANAGER</v>
          </cell>
          <cell r="C711">
            <v>3442</v>
          </cell>
        </row>
        <row r="712">
          <cell r="A712">
            <v>43441</v>
          </cell>
          <cell r="B712" t="str">
            <v>GUEST</v>
          </cell>
          <cell r="C712">
            <v>11309</v>
          </cell>
        </row>
        <row r="713">
          <cell r="A713">
            <v>43440</v>
          </cell>
          <cell r="B713" t="str">
            <v>GUEST</v>
          </cell>
          <cell r="C713">
            <v>10910</v>
          </cell>
        </row>
        <row r="714">
          <cell r="A714">
            <v>43440</v>
          </cell>
          <cell r="B714" t="str">
            <v>MANAGER</v>
          </cell>
          <cell r="C714">
            <v>3813</v>
          </cell>
        </row>
        <row r="715">
          <cell r="A715">
            <v>43440</v>
          </cell>
          <cell r="B715" t="str">
            <v>RESIDENT</v>
          </cell>
          <cell r="C715">
            <v>28981</v>
          </cell>
        </row>
        <row r="716">
          <cell r="A716">
            <v>43439</v>
          </cell>
          <cell r="B716" t="str">
            <v>MANAGER</v>
          </cell>
          <cell r="C716">
            <v>3408</v>
          </cell>
        </row>
        <row r="717">
          <cell r="A717">
            <v>43439</v>
          </cell>
          <cell r="B717" t="str">
            <v>GUEST</v>
          </cell>
          <cell r="C717">
            <v>10842</v>
          </cell>
        </row>
        <row r="718">
          <cell r="A718">
            <v>43439</v>
          </cell>
          <cell r="B718" t="str">
            <v>RESIDENT</v>
          </cell>
          <cell r="C718">
            <v>28542</v>
          </cell>
        </row>
        <row r="719">
          <cell r="A719">
            <v>43438</v>
          </cell>
          <cell r="B719" t="str">
            <v>RESIDENT</v>
          </cell>
          <cell r="C719">
            <v>28860</v>
          </cell>
        </row>
        <row r="720">
          <cell r="A720">
            <v>43438</v>
          </cell>
          <cell r="B720" t="str">
            <v>GUEST</v>
          </cell>
          <cell r="C720">
            <v>10896</v>
          </cell>
        </row>
        <row r="721">
          <cell r="A721">
            <v>43438</v>
          </cell>
          <cell r="B721" t="str">
            <v>MANAGER</v>
          </cell>
          <cell r="C721">
            <v>4558</v>
          </cell>
        </row>
        <row r="722">
          <cell r="A722">
            <v>43437</v>
          </cell>
          <cell r="B722" t="str">
            <v>GUEST</v>
          </cell>
          <cell r="C722">
            <v>11159</v>
          </cell>
        </row>
        <row r="723">
          <cell r="A723">
            <v>43437</v>
          </cell>
          <cell r="B723" t="str">
            <v>MANAGER</v>
          </cell>
          <cell r="C723">
            <v>3279</v>
          </cell>
        </row>
        <row r="724">
          <cell r="A724">
            <v>43437</v>
          </cell>
          <cell r="B724" t="str">
            <v>RESIDENT</v>
          </cell>
          <cell r="C724">
            <v>29224</v>
          </cell>
        </row>
        <row r="725">
          <cell r="A725">
            <v>43436</v>
          </cell>
          <cell r="B725" t="str">
            <v>MANAGER</v>
          </cell>
          <cell r="C725">
            <v>1598</v>
          </cell>
        </row>
        <row r="726">
          <cell r="A726">
            <v>43436</v>
          </cell>
          <cell r="B726" t="str">
            <v>RESIDENT</v>
          </cell>
          <cell r="C726">
            <v>26576</v>
          </cell>
        </row>
        <row r="727">
          <cell r="A727">
            <v>43436</v>
          </cell>
          <cell r="B727" t="str">
            <v>GUEST</v>
          </cell>
          <cell r="C727">
            <v>8282</v>
          </cell>
        </row>
        <row r="728">
          <cell r="A728">
            <v>43435</v>
          </cell>
          <cell r="B728" t="str">
            <v>RESIDENT</v>
          </cell>
          <cell r="C728">
            <v>27588</v>
          </cell>
        </row>
        <row r="729">
          <cell r="A729">
            <v>43435</v>
          </cell>
          <cell r="B729" t="str">
            <v>GUEST</v>
          </cell>
          <cell r="C729">
            <v>9799</v>
          </cell>
        </row>
        <row r="730">
          <cell r="A730">
            <v>43435</v>
          </cell>
          <cell r="B730" t="str">
            <v>MANAGER</v>
          </cell>
          <cell r="C730">
            <v>2527</v>
          </cell>
        </row>
        <row r="731">
          <cell r="A731">
            <v>43434</v>
          </cell>
          <cell r="B731" t="str">
            <v>MANAGER</v>
          </cell>
          <cell r="C731">
            <v>3468</v>
          </cell>
        </row>
        <row r="732">
          <cell r="A732">
            <v>43434</v>
          </cell>
          <cell r="B732" t="str">
            <v>GUEST</v>
          </cell>
          <cell r="C732">
            <v>11435</v>
          </cell>
        </row>
        <row r="733">
          <cell r="A733">
            <v>43434</v>
          </cell>
          <cell r="B733" t="str">
            <v>RESIDENT</v>
          </cell>
          <cell r="C733">
            <v>29580</v>
          </cell>
        </row>
        <row r="734">
          <cell r="A734">
            <v>43433</v>
          </cell>
          <cell r="B734" t="str">
            <v>GUEST</v>
          </cell>
          <cell r="C734">
            <v>10889</v>
          </cell>
        </row>
        <row r="735">
          <cell r="A735">
            <v>43433</v>
          </cell>
          <cell r="B735" t="str">
            <v>MANAGER</v>
          </cell>
          <cell r="C735">
            <v>3309</v>
          </cell>
        </row>
        <row r="736">
          <cell r="A736">
            <v>43433</v>
          </cell>
          <cell r="B736" t="str">
            <v>RESIDENT</v>
          </cell>
          <cell r="C736">
            <v>28563</v>
          </cell>
        </row>
        <row r="737">
          <cell r="A737">
            <v>43432</v>
          </cell>
          <cell r="B737" t="str">
            <v>GUEST</v>
          </cell>
          <cell r="C737">
            <v>10322</v>
          </cell>
        </row>
        <row r="738">
          <cell r="A738">
            <v>43432</v>
          </cell>
          <cell r="B738" t="str">
            <v>MANAGER</v>
          </cell>
          <cell r="C738">
            <v>3405</v>
          </cell>
        </row>
        <row r="739">
          <cell r="A739">
            <v>43432</v>
          </cell>
          <cell r="B739" t="str">
            <v>RESIDENT</v>
          </cell>
          <cell r="C739">
            <v>28412</v>
          </cell>
        </row>
        <row r="740">
          <cell r="A740">
            <v>43431</v>
          </cell>
          <cell r="B740" t="str">
            <v>MANAGER</v>
          </cell>
          <cell r="C740">
            <v>3183</v>
          </cell>
        </row>
        <row r="741">
          <cell r="A741">
            <v>43431</v>
          </cell>
          <cell r="B741" t="str">
            <v>RESIDENT</v>
          </cell>
          <cell r="C741">
            <v>27388</v>
          </cell>
        </row>
        <row r="742">
          <cell r="A742">
            <v>43431</v>
          </cell>
          <cell r="B742" t="str">
            <v>GUEST</v>
          </cell>
          <cell r="C742">
            <v>10129</v>
          </cell>
        </row>
        <row r="743">
          <cell r="A743">
            <v>43430</v>
          </cell>
          <cell r="B743" t="str">
            <v>MANAGER</v>
          </cell>
          <cell r="C743">
            <v>2896</v>
          </cell>
        </row>
        <row r="744">
          <cell r="A744">
            <v>43430</v>
          </cell>
          <cell r="B744" t="str">
            <v>RESIDENT</v>
          </cell>
          <cell r="C744">
            <v>26271</v>
          </cell>
        </row>
        <row r="745">
          <cell r="A745">
            <v>43430</v>
          </cell>
          <cell r="B745" t="str">
            <v>GUEST</v>
          </cell>
          <cell r="C745">
            <v>10111</v>
          </cell>
        </row>
        <row r="746">
          <cell r="A746">
            <v>43429</v>
          </cell>
          <cell r="B746" t="str">
            <v>RESIDENT</v>
          </cell>
          <cell r="C746">
            <v>22978</v>
          </cell>
        </row>
        <row r="747">
          <cell r="A747">
            <v>43429</v>
          </cell>
          <cell r="B747" t="str">
            <v>GUEST</v>
          </cell>
          <cell r="C747">
            <v>7192</v>
          </cell>
        </row>
        <row r="748">
          <cell r="A748">
            <v>43429</v>
          </cell>
          <cell r="B748" t="str">
            <v>MANAGER</v>
          </cell>
          <cell r="C748">
            <v>1373</v>
          </cell>
        </row>
        <row r="749">
          <cell r="A749">
            <v>43428</v>
          </cell>
          <cell r="B749" t="str">
            <v>MANAGER</v>
          </cell>
          <cell r="C749">
            <v>1471</v>
          </cell>
        </row>
        <row r="750">
          <cell r="A750">
            <v>43428</v>
          </cell>
          <cell r="B750" t="str">
            <v>GUEST</v>
          </cell>
          <cell r="C750">
            <v>7118</v>
          </cell>
        </row>
        <row r="751">
          <cell r="A751">
            <v>43428</v>
          </cell>
          <cell r="B751" t="str">
            <v>RESIDENT</v>
          </cell>
          <cell r="C751">
            <v>19334</v>
          </cell>
        </row>
        <row r="752">
          <cell r="A752">
            <v>43427</v>
          </cell>
          <cell r="B752" t="str">
            <v>RESIDENT</v>
          </cell>
          <cell r="C752">
            <v>17561</v>
          </cell>
        </row>
        <row r="753">
          <cell r="A753">
            <v>43427</v>
          </cell>
          <cell r="B753" t="str">
            <v>MANAGER</v>
          </cell>
          <cell r="C753">
            <v>1702</v>
          </cell>
        </row>
        <row r="754">
          <cell r="A754">
            <v>43427</v>
          </cell>
          <cell r="B754" t="str">
            <v>GUEST</v>
          </cell>
          <cell r="C754">
            <v>6832</v>
          </cell>
        </row>
        <row r="755">
          <cell r="A755">
            <v>43426</v>
          </cell>
          <cell r="B755" t="str">
            <v>RESIDENT</v>
          </cell>
          <cell r="C755">
            <v>15372</v>
          </cell>
        </row>
        <row r="756">
          <cell r="A756">
            <v>43426</v>
          </cell>
          <cell r="B756" t="str">
            <v>MANAGER</v>
          </cell>
          <cell r="C756">
            <v>1187</v>
          </cell>
        </row>
        <row r="757">
          <cell r="A757">
            <v>43426</v>
          </cell>
          <cell r="B757" t="str">
            <v>GUEST</v>
          </cell>
          <cell r="C757">
            <v>5691</v>
          </cell>
        </row>
        <row r="758">
          <cell r="A758">
            <v>43425</v>
          </cell>
          <cell r="B758" t="str">
            <v>MANAGER</v>
          </cell>
          <cell r="C758">
            <v>3025</v>
          </cell>
        </row>
        <row r="759">
          <cell r="A759">
            <v>43425</v>
          </cell>
          <cell r="B759" t="str">
            <v>RESIDENT</v>
          </cell>
          <cell r="C759">
            <v>24267</v>
          </cell>
        </row>
        <row r="760">
          <cell r="A760">
            <v>43425</v>
          </cell>
          <cell r="B760" t="str">
            <v>GUEST</v>
          </cell>
          <cell r="C760">
            <v>9898</v>
          </cell>
        </row>
        <row r="761">
          <cell r="A761">
            <v>43424</v>
          </cell>
          <cell r="B761" t="str">
            <v>RESIDENT</v>
          </cell>
          <cell r="C761">
            <v>25808</v>
          </cell>
        </row>
        <row r="762">
          <cell r="A762">
            <v>43424</v>
          </cell>
          <cell r="B762" t="str">
            <v>MANAGER</v>
          </cell>
          <cell r="C762">
            <v>3215</v>
          </cell>
        </row>
        <row r="763">
          <cell r="A763">
            <v>43424</v>
          </cell>
          <cell r="B763" t="str">
            <v>GUEST</v>
          </cell>
          <cell r="C763">
            <v>10123</v>
          </cell>
        </row>
        <row r="764">
          <cell r="A764">
            <v>43423</v>
          </cell>
          <cell r="B764" t="str">
            <v>RESIDENT</v>
          </cell>
          <cell r="C764">
            <v>26069</v>
          </cell>
        </row>
        <row r="765">
          <cell r="A765">
            <v>43423</v>
          </cell>
          <cell r="B765" t="str">
            <v>MANAGER</v>
          </cell>
          <cell r="C765">
            <v>3078</v>
          </cell>
        </row>
        <row r="766">
          <cell r="A766">
            <v>43423</v>
          </cell>
          <cell r="B766" t="str">
            <v>GUEST</v>
          </cell>
          <cell r="C766">
            <v>9984</v>
          </cell>
        </row>
        <row r="767">
          <cell r="A767">
            <v>43422</v>
          </cell>
          <cell r="B767" t="str">
            <v>MANAGER</v>
          </cell>
          <cell r="C767">
            <v>1628</v>
          </cell>
        </row>
        <row r="768">
          <cell r="A768">
            <v>43422</v>
          </cell>
          <cell r="B768" t="str">
            <v>RESIDENT</v>
          </cell>
          <cell r="C768">
            <v>23914</v>
          </cell>
        </row>
        <row r="769">
          <cell r="A769">
            <v>43422</v>
          </cell>
          <cell r="B769" t="str">
            <v>GUEST</v>
          </cell>
          <cell r="C769">
            <v>7669</v>
          </cell>
        </row>
        <row r="770">
          <cell r="A770">
            <v>43421</v>
          </cell>
          <cell r="B770" t="str">
            <v>MANAGER</v>
          </cell>
          <cell r="C770">
            <v>2076</v>
          </cell>
        </row>
        <row r="771">
          <cell r="A771">
            <v>43421</v>
          </cell>
          <cell r="B771" t="str">
            <v>GUEST</v>
          </cell>
          <cell r="C771">
            <v>8421</v>
          </cell>
        </row>
        <row r="772">
          <cell r="A772">
            <v>43421</v>
          </cell>
          <cell r="B772" t="str">
            <v>RESIDENT</v>
          </cell>
          <cell r="C772">
            <v>25128</v>
          </cell>
        </row>
        <row r="773">
          <cell r="A773">
            <v>43420</v>
          </cell>
          <cell r="B773" t="str">
            <v>RESIDENT</v>
          </cell>
          <cell r="C773">
            <v>26899</v>
          </cell>
        </row>
        <row r="774">
          <cell r="A774">
            <v>43420</v>
          </cell>
          <cell r="B774" t="str">
            <v>MANAGER</v>
          </cell>
          <cell r="C774">
            <v>3377</v>
          </cell>
        </row>
        <row r="775">
          <cell r="A775">
            <v>43420</v>
          </cell>
          <cell r="B775" t="str">
            <v>GUEST</v>
          </cell>
          <cell r="C775">
            <v>10199</v>
          </cell>
        </row>
        <row r="776">
          <cell r="A776">
            <v>43419</v>
          </cell>
          <cell r="B776" t="str">
            <v>RESIDENT</v>
          </cell>
          <cell r="C776">
            <v>25387</v>
          </cell>
        </row>
        <row r="777">
          <cell r="A777">
            <v>43419</v>
          </cell>
          <cell r="B777" t="str">
            <v>MANAGER</v>
          </cell>
          <cell r="C777">
            <v>3141</v>
          </cell>
        </row>
        <row r="778">
          <cell r="A778">
            <v>43419</v>
          </cell>
          <cell r="B778" t="str">
            <v>GUEST</v>
          </cell>
          <cell r="C778">
            <v>10185</v>
          </cell>
        </row>
        <row r="779">
          <cell r="A779">
            <v>43418</v>
          </cell>
          <cell r="B779" t="str">
            <v>RESIDENT</v>
          </cell>
          <cell r="C779">
            <v>25751</v>
          </cell>
        </row>
        <row r="780">
          <cell r="A780">
            <v>43418</v>
          </cell>
          <cell r="B780" t="str">
            <v>MANAGER</v>
          </cell>
          <cell r="C780">
            <v>3691</v>
          </cell>
        </row>
        <row r="781">
          <cell r="A781">
            <v>43418</v>
          </cell>
          <cell r="B781" t="str">
            <v>GUEST</v>
          </cell>
          <cell r="C781">
            <v>10151</v>
          </cell>
        </row>
        <row r="782">
          <cell r="A782">
            <v>43417</v>
          </cell>
          <cell r="B782" t="str">
            <v>MANAGER</v>
          </cell>
          <cell r="C782">
            <v>3332</v>
          </cell>
        </row>
        <row r="783">
          <cell r="A783">
            <v>43417</v>
          </cell>
          <cell r="B783" t="str">
            <v>GUEST</v>
          </cell>
          <cell r="C783">
            <v>10308</v>
          </cell>
        </row>
        <row r="784">
          <cell r="A784">
            <v>43417</v>
          </cell>
          <cell r="B784" t="str">
            <v>RESIDENT</v>
          </cell>
          <cell r="C784">
            <v>25895</v>
          </cell>
        </row>
        <row r="785">
          <cell r="A785">
            <v>43416</v>
          </cell>
          <cell r="B785" t="str">
            <v>RESIDENT</v>
          </cell>
          <cell r="C785">
            <v>25196</v>
          </cell>
        </row>
        <row r="786">
          <cell r="A786">
            <v>43416</v>
          </cell>
          <cell r="B786" t="str">
            <v>MANAGER</v>
          </cell>
          <cell r="C786">
            <v>3046</v>
          </cell>
        </row>
        <row r="787">
          <cell r="A787">
            <v>43416</v>
          </cell>
          <cell r="B787" t="str">
            <v>GUEST</v>
          </cell>
          <cell r="C787">
            <v>9797</v>
          </cell>
        </row>
        <row r="788">
          <cell r="A788">
            <v>43415</v>
          </cell>
          <cell r="B788" t="str">
            <v>MANAGER</v>
          </cell>
          <cell r="C788">
            <v>1785</v>
          </cell>
        </row>
        <row r="789">
          <cell r="A789">
            <v>43415</v>
          </cell>
          <cell r="B789" t="str">
            <v>RESIDENT</v>
          </cell>
          <cell r="C789">
            <v>23958</v>
          </cell>
        </row>
        <row r="790">
          <cell r="A790">
            <v>43415</v>
          </cell>
          <cell r="B790" t="str">
            <v>GUEST</v>
          </cell>
          <cell r="C790">
            <v>7660</v>
          </cell>
        </row>
        <row r="791">
          <cell r="A791">
            <v>43414</v>
          </cell>
          <cell r="B791" t="str">
            <v>MANAGER</v>
          </cell>
          <cell r="C791">
            <v>2202</v>
          </cell>
        </row>
        <row r="792">
          <cell r="A792">
            <v>43414</v>
          </cell>
          <cell r="B792" t="str">
            <v>RESIDENT</v>
          </cell>
          <cell r="C792">
            <v>24162</v>
          </cell>
        </row>
        <row r="793">
          <cell r="A793">
            <v>43414</v>
          </cell>
          <cell r="B793" t="str">
            <v>GUEST</v>
          </cell>
          <cell r="C793">
            <v>8540</v>
          </cell>
        </row>
        <row r="794">
          <cell r="A794">
            <v>43413</v>
          </cell>
          <cell r="B794" t="str">
            <v>GUEST</v>
          </cell>
          <cell r="C794">
            <v>9796</v>
          </cell>
        </row>
        <row r="795">
          <cell r="A795">
            <v>43413</v>
          </cell>
          <cell r="B795" t="str">
            <v>MANAGER</v>
          </cell>
          <cell r="C795">
            <v>3383</v>
          </cell>
        </row>
        <row r="796">
          <cell r="A796">
            <v>43413</v>
          </cell>
          <cell r="B796" t="str">
            <v>RESIDENT</v>
          </cell>
          <cell r="C796">
            <v>25252</v>
          </cell>
        </row>
        <row r="797">
          <cell r="A797">
            <v>43412</v>
          </cell>
          <cell r="B797" t="str">
            <v>RESIDENT</v>
          </cell>
          <cell r="C797">
            <v>26188</v>
          </cell>
        </row>
        <row r="798">
          <cell r="A798">
            <v>43412</v>
          </cell>
          <cell r="B798" t="str">
            <v>MANAGER</v>
          </cell>
          <cell r="C798">
            <v>3095</v>
          </cell>
        </row>
        <row r="799">
          <cell r="A799">
            <v>43412</v>
          </cell>
          <cell r="B799" t="str">
            <v>GUEST</v>
          </cell>
          <cell r="C799">
            <v>10796</v>
          </cell>
        </row>
        <row r="800">
          <cell r="A800">
            <v>43411</v>
          </cell>
          <cell r="B800" t="str">
            <v>GUEST</v>
          </cell>
          <cell r="C800">
            <v>10234</v>
          </cell>
        </row>
        <row r="801">
          <cell r="A801">
            <v>43411</v>
          </cell>
          <cell r="B801" t="str">
            <v>MANAGER</v>
          </cell>
          <cell r="C801">
            <v>2939</v>
          </cell>
        </row>
        <row r="802">
          <cell r="A802">
            <v>43411</v>
          </cell>
          <cell r="B802" t="str">
            <v>RESIDENT</v>
          </cell>
          <cell r="C802">
            <v>26494</v>
          </cell>
        </row>
        <row r="803">
          <cell r="A803">
            <v>43410</v>
          </cell>
          <cell r="B803" t="str">
            <v>MANAGER</v>
          </cell>
          <cell r="C803">
            <v>3311</v>
          </cell>
        </row>
        <row r="804">
          <cell r="A804">
            <v>43410</v>
          </cell>
          <cell r="B804" t="str">
            <v>GUEST</v>
          </cell>
          <cell r="C804">
            <v>9794</v>
          </cell>
        </row>
        <row r="805">
          <cell r="A805">
            <v>43410</v>
          </cell>
          <cell r="B805" t="str">
            <v>RESIDENT</v>
          </cell>
          <cell r="C805">
            <v>25628</v>
          </cell>
        </row>
        <row r="806">
          <cell r="A806">
            <v>43409</v>
          </cell>
          <cell r="B806" t="str">
            <v>RESIDENT</v>
          </cell>
          <cell r="C806">
            <v>26260</v>
          </cell>
        </row>
        <row r="807">
          <cell r="A807">
            <v>43409</v>
          </cell>
          <cell r="B807" t="str">
            <v>MANAGER</v>
          </cell>
          <cell r="C807">
            <v>2672</v>
          </cell>
        </row>
        <row r="808">
          <cell r="A808">
            <v>43409</v>
          </cell>
          <cell r="B808" t="str">
            <v>GUEST</v>
          </cell>
          <cell r="C808">
            <v>9548</v>
          </cell>
        </row>
        <row r="809">
          <cell r="A809">
            <v>43408</v>
          </cell>
          <cell r="B809" t="str">
            <v>GUEST</v>
          </cell>
          <cell r="C809">
            <v>8002</v>
          </cell>
        </row>
        <row r="810">
          <cell r="A810">
            <v>43408</v>
          </cell>
          <cell r="B810" t="str">
            <v>MANAGER</v>
          </cell>
          <cell r="C810">
            <v>1669</v>
          </cell>
        </row>
        <row r="811">
          <cell r="A811">
            <v>43408</v>
          </cell>
          <cell r="B811" t="str">
            <v>RESIDENT</v>
          </cell>
          <cell r="C811">
            <v>24704</v>
          </cell>
        </row>
        <row r="812">
          <cell r="A812">
            <v>43407</v>
          </cell>
          <cell r="B812" t="str">
            <v>RESIDENT</v>
          </cell>
          <cell r="C812">
            <v>24646</v>
          </cell>
        </row>
        <row r="813">
          <cell r="A813">
            <v>43407</v>
          </cell>
          <cell r="B813" t="str">
            <v>GUEST</v>
          </cell>
          <cell r="C813">
            <v>8646</v>
          </cell>
        </row>
        <row r="814">
          <cell r="A814">
            <v>43407</v>
          </cell>
          <cell r="B814" t="str">
            <v>MANAGER</v>
          </cell>
          <cell r="C814">
            <v>2152</v>
          </cell>
        </row>
        <row r="815">
          <cell r="A815">
            <v>43406</v>
          </cell>
          <cell r="B815" t="str">
            <v>MANAGER</v>
          </cell>
          <cell r="C815">
            <v>3055</v>
          </cell>
        </row>
        <row r="816">
          <cell r="A816">
            <v>43406</v>
          </cell>
          <cell r="B816" t="str">
            <v>GUEST</v>
          </cell>
          <cell r="C816">
            <v>10626</v>
          </cell>
        </row>
        <row r="817">
          <cell r="A817">
            <v>43406</v>
          </cell>
          <cell r="B817" t="str">
            <v>RESIDENT</v>
          </cell>
          <cell r="C817">
            <v>26031</v>
          </cell>
        </row>
        <row r="818">
          <cell r="A818">
            <v>43405</v>
          </cell>
          <cell r="B818" t="str">
            <v>RESIDENT</v>
          </cell>
          <cell r="C818">
            <v>27576</v>
          </cell>
        </row>
        <row r="819">
          <cell r="A819">
            <v>43405</v>
          </cell>
          <cell r="B819" t="str">
            <v>GUEST</v>
          </cell>
          <cell r="C819">
            <v>10734</v>
          </cell>
        </row>
        <row r="820">
          <cell r="A820">
            <v>43405</v>
          </cell>
          <cell r="B820" t="str">
            <v>MANAGER</v>
          </cell>
          <cell r="C820">
            <v>3673</v>
          </cell>
        </row>
        <row r="821">
          <cell r="A821">
            <v>43404</v>
          </cell>
          <cell r="B821" t="str">
            <v>GUEST</v>
          </cell>
          <cell r="C821">
            <v>10171</v>
          </cell>
        </row>
        <row r="822">
          <cell r="A822">
            <v>43404</v>
          </cell>
          <cell r="B822" t="str">
            <v>MANAGER</v>
          </cell>
          <cell r="C822">
            <v>3068</v>
          </cell>
        </row>
        <row r="823">
          <cell r="A823">
            <v>43404</v>
          </cell>
          <cell r="B823" t="str">
            <v>RESIDENT</v>
          </cell>
          <cell r="C823">
            <v>27664</v>
          </cell>
        </row>
        <row r="824">
          <cell r="A824">
            <v>43403</v>
          </cell>
          <cell r="B824" t="str">
            <v>RESIDENT</v>
          </cell>
          <cell r="C824">
            <v>26377</v>
          </cell>
        </row>
        <row r="825">
          <cell r="A825">
            <v>43403</v>
          </cell>
          <cell r="B825" t="str">
            <v>MANAGER</v>
          </cell>
          <cell r="C825">
            <v>3605</v>
          </cell>
        </row>
        <row r="826">
          <cell r="A826">
            <v>43403</v>
          </cell>
          <cell r="B826" t="str">
            <v>GUEST</v>
          </cell>
          <cell r="C826">
            <v>10500</v>
          </cell>
        </row>
        <row r="827">
          <cell r="A827">
            <v>43402</v>
          </cell>
          <cell r="B827" t="str">
            <v>GUEST</v>
          </cell>
          <cell r="C827">
            <v>9519</v>
          </cell>
        </row>
        <row r="828">
          <cell r="A828">
            <v>43402</v>
          </cell>
          <cell r="B828" t="str">
            <v>MANAGER</v>
          </cell>
          <cell r="C828">
            <v>3181</v>
          </cell>
        </row>
        <row r="829">
          <cell r="A829">
            <v>43402</v>
          </cell>
          <cell r="B829" t="str">
            <v>RESIDENT</v>
          </cell>
          <cell r="C829">
            <v>25814</v>
          </cell>
        </row>
        <row r="830">
          <cell r="A830">
            <v>43401</v>
          </cell>
          <cell r="B830" t="str">
            <v>MANAGER</v>
          </cell>
          <cell r="C830">
            <v>1549</v>
          </cell>
        </row>
        <row r="831">
          <cell r="A831">
            <v>43401</v>
          </cell>
          <cell r="B831" t="str">
            <v>RESIDENT</v>
          </cell>
          <cell r="C831">
            <v>24096</v>
          </cell>
        </row>
        <row r="832">
          <cell r="A832">
            <v>43401</v>
          </cell>
          <cell r="B832" t="str">
            <v>GUEST</v>
          </cell>
          <cell r="C832">
            <v>7536</v>
          </cell>
        </row>
        <row r="833">
          <cell r="A833">
            <v>43400</v>
          </cell>
          <cell r="B833" t="str">
            <v>RESIDENT</v>
          </cell>
          <cell r="C833">
            <v>23180</v>
          </cell>
        </row>
        <row r="834">
          <cell r="A834">
            <v>43400</v>
          </cell>
          <cell r="B834" t="str">
            <v>MANAGER</v>
          </cell>
          <cell r="C834">
            <v>2009</v>
          </cell>
        </row>
        <row r="835">
          <cell r="A835">
            <v>43400</v>
          </cell>
          <cell r="B835" t="str">
            <v>GUEST</v>
          </cell>
          <cell r="C835">
            <v>8039</v>
          </cell>
        </row>
        <row r="836">
          <cell r="A836">
            <v>43399</v>
          </cell>
          <cell r="B836" t="str">
            <v>GUEST</v>
          </cell>
          <cell r="C836">
            <v>9507</v>
          </cell>
        </row>
        <row r="837">
          <cell r="A837">
            <v>43399</v>
          </cell>
          <cell r="B837" t="str">
            <v>MANAGER</v>
          </cell>
          <cell r="C837">
            <v>3011</v>
          </cell>
        </row>
        <row r="838">
          <cell r="A838">
            <v>43399</v>
          </cell>
          <cell r="B838" t="str">
            <v>RESIDENT</v>
          </cell>
          <cell r="C838">
            <v>25101</v>
          </cell>
        </row>
        <row r="839">
          <cell r="A839">
            <v>43398</v>
          </cell>
          <cell r="B839" t="str">
            <v>RESIDENT</v>
          </cell>
          <cell r="C839">
            <v>25112</v>
          </cell>
        </row>
        <row r="840">
          <cell r="A840">
            <v>43398</v>
          </cell>
          <cell r="B840" t="str">
            <v>MANAGER</v>
          </cell>
          <cell r="C840">
            <v>3096</v>
          </cell>
        </row>
        <row r="841">
          <cell r="A841">
            <v>43398</v>
          </cell>
          <cell r="B841" t="str">
            <v>GUEST</v>
          </cell>
          <cell r="C841">
            <v>9322</v>
          </cell>
        </row>
        <row r="842">
          <cell r="A842">
            <v>43397</v>
          </cell>
          <cell r="B842" t="str">
            <v>RESIDENT</v>
          </cell>
          <cell r="C842">
            <v>24491</v>
          </cell>
        </row>
        <row r="843">
          <cell r="A843">
            <v>43397</v>
          </cell>
          <cell r="B843" t="str">
            <v>GUEST</v>
          </cell>
          <cell r="C843">
            <v>10006</v>
          </cell>
        </row>
        <row r="844">
          <cell r="A844">
            <v>43397</v>
          </cell>
          <cell r="B844" t="str">
            <v>MANAGER</v>
          </cell>
          <cell r="C844">
            <v>3315</v>
          </cell>
        </row>
        <row r="845">
          <cell r="A845">
            <v>43396</v>
          </cell>
          <cell r="B845" t="str">
            <v>MANAGER</v>
          </cell>
          <cell r="C845">
            <v>3039</v>
          </cell>
        </row>
        <row r="846">
          <cell r="A846">
            <v>43396</v>
          </cell>
          <cell r="B846" t="str">
            <v>RESIDENT</v>
          </cell>
          <cell r="C846">
            <v>24273</v>
          </cell>
        </row>
        <row r="847">
          <cell r="A847">
            <v>43396</v>
          </cell>
          <cell r="B847" t="str">
            <v>GUEST</v>
          </cell>
          <cell r="C847">
            <v>9239</v>
          </cell>
        </row>
        <row r="848">
          <cell r="A848">
            <v>43395</v>
          </cell>
          <cell r="B848" t="str">
            <v>MANAGER</v>
          </cell>
          <cell r="C848">
            <v>3096</v>
          </cell>
        </row>
        <row r="849">
          <cell r="A849">
            <v>43395</v>
          </cell>
          <cell r="B849" t="str">
            <v>RESIDENT</v>
          </cell>
          <cell r="C849">
            <v>23725</v>
          </cell>
        </row>
        <row r="850">
          <cell r="A850">
            <v>43395</v>
          </cell>
          <cell r="B850" t="str">
            <v>GUEST</v>
          </cell>
          <cell r="C850">
            <v>9031</v>
          </cell>
        </row>
        <row r="851">
          <cell r="A851">
            <v>43394</v>
          </cell>
          <cell r="B851" t="str">
            <v>MANAGER</v>
          </cell>
          <cell r="C851">
            <v>1758</v>
          </cell>
        </row>
        <row r="852">
          <cell r="A852">
            <v>43394</v>
          </cell>
          <cell r="B852" t="str">
            <v>RESIDENT</v>
          </cell>
          <cell r="C852">
            <v>22168</v>
          </cell>
        </row>
        <row r="853">
          <cell r="A853">
            <v>43394</v>
          </cell>
          <cell r="B853" t="str">
            <v>GUEST</v>
          </cell>
          <cell r="C853">
            <v>7107</v>
          </cell>
        </row>
        <row r="854">
          <cell r="A854">
            <v>43393</v>
          </cell>
          <cell r="B854" t="str">
            <v>RESIDENT</v>
          </cell>
          <cell r="C854">
            <v>21614</v>
          </cell>
        </row>
        <row r="855">
          <cell r="A855">
            <v>43393</v>
          </cell>
          <cell r="B855" t="str">
            <v>MANAGER</v>
          </cell>
          <cell r="C855">
            <v>1998</v>
          </cell>
        </row>
        <row r="856">
          <cell r="A856">
            <v>43393</v>
          </cell>
          <cell r="B856" t="str">
            <v>GUEST</v>
          </cell>
          <cell r="C856">
            <v>7557</v>
          </cell>
        </row>
        <row r="857">
          <cell r="A857">
            <v>43392</v>
          </cell>
          <cell r="B857" t="str">
            <v>GUEST</v>
          </cell>
          <cell r="C857">
            <v>9502</v>
          </cell>
        </row>
        <row r="858">
          <cell r="A858">
            <v>43392</v>
          </cell>
          <cell r="B858" t="str">
            <v>MANAGER</v>
          </cell>
          <cell r="C858">
            <v>3347</v>
          </cell>
        </row>
        <row r="859">
          <cell r="A859">
            <v>43392</v>
          </cell>
          <cell r="B859" t="str">
            <v>RESIDENT</v>
          </cell>
          <cell r="C859">
            <v>23071</v>
          </cell>
        </row>
        <row r="860">
          <cell r="A860">
            <v>43391</v>
          </cell>
          <cell r="B860" t="str">
            <v>RESIDENT</v>
          </cell>
          <cell r="C860">
            <v>23139</v>
          </cell>
        </row>
        <row r="861">
          <cell r="A861">
            <v>43391</v>
          </cell>
          <cell r="B861" t="str">
            <v>MANAGER</v>
          </cell>
          <cell r="C861">
            <v>2992</v>
          </cell>
        </row>
        <row r="862">
          <cell r="A862">
            <v>43391</v>
          </cell>
          <cell r="B862" t="str">
            <v>GUEST</v>
          </cell>
          <cell r="C862">
            <v>9007</v>
          </cell>
        </row>
        <row r="863">
          <cell r="A863">
            <v>43390</v>
          </cell>
          <cell r="B863" t="str">
            <v>RESIDENT</v>
          </cell>
          <cell r="C863">
            <v>22668</v>
          </cell>
        </row>
        <row r="864">
          <cell r="A864">
            <v>43390</v>
          </cell>
          <cell r="B864" t="str">
            <v>MANAGER</v>
          </cell>
          <cell r="C864">
            <v>3451</v>
          </cell>
        </row>
        <row r="865">
          <cell r="A865">
            <v>43390</v>
          </cell>
          <cell r="B865" t="str">
            <v>GUEST</v>
          </cell>
          <cell r="C865">
            <v>8493</v>
          </cell>
        </row>
        <row r="866">
          <cell r="A866">
            <v>43389</v>
          </cell>
          <cell r="B866" t="str">
            <v>MANAGER</v>
          </cell>
          <cell r="C866">
            <v>2723</v>
          </cell>
        </row>
        <row r="867">
          <cell r="A867">
            <v>43389</v>
          </cell>
          <cell r="B867" t="str">
            <v>GUEST</v>
          </cell>
          <cell r="C867">
            <v>8063</v>
          </cell>
        </row>
        <row r="868">
          <cell r="A868">
            <v>43389</v>
          </cell>
          <cell r="B868" t="str">
            <v>RESIDENT</v>
          </cell>
          <cell r="C868">
            <v>22407</v>
          </cell>
        </row>
        <row r="869">
          <cell r="A869">
            <v>43388</v>
          </cell>
          <cell r="B869" t="str">
            <v>GUEST</v>
          </cell>
          <cell r="C869">
            <v>7727</v>
          </cell>
        </row>
        <row r="870">
          <cell r="A870">
            <v>43388</v>
          </cell>
          <cell r="B870" t="str">
            <v>MANAGER</v>
          </cell>
          <cell r="C870">
            <v>2592</v>
          </cell>
        </row>
        <row r="871">
          <cell r="A871">
            <v>43388</v>
          </cell>
          <cell r="B871" t="str">
            <v>RESIDENT</v>
          </cell>
          <cell r="C871">
            <v>22214</v>
          </cell>
        </row>
        <row r="872">
          <cell r="A872">
            <v>43387</v>
          </cell>
          <cell r="B872" t="str">
            <v>MANAGER</v>
          </cell>
          <cell r="C872">
            <v>1679</v>
          </cell>
        </row>
        <row r="873">
          <cell r="A873">
            <v>43387</v>
          </cell>
          <cell r="B873" t="str">
            <v>RESIDENT</v>
          </cell>
          <cell r="C873">
            <v>20656</v>
          </cell>
        </row>
        <row r="874">
          <cell r="A874">
            <v>43387</v>
          </cell>
          <cell r="B874" t="str">
            <v>GUEST</v>
          </cell>
          <cell r="C874">
            <v>6284</v>
          </cell>
        </row>
        <row r="875">
          <cell r="A875">
            <v>43386</v>
          </cell>
          <cell r="B875" t="str">
            <v>RESIDENT</v>
          </cell>
          <cell r="C875">
            <v>20445</v>
          </cell>
        </row>
        <row r="876">
          <cell r="A876">
            <v>43386</v>
          </cell>
          <cell r="B876" t="str">
            <v>MANAGER</v>
          </cell>
          <cell r="C876">
            <v>2103</v>
          </cell>
        </row>
        <row r="877">
          <cell r="A877">
            <v>43386</v>
          </cell>
          <cell r="B877" t="str">
            <v>GUEST</v>
          </cell>
          <cell r="C877">
            <v>7117</v>
          </cell>
        </row>
        <row r="878">
          <cell r="A878">
            <v>43385</v>
          </cell>
          <cell r="B878" t="str">
            <v>RESIDENT</v>
          </cell>
          <cell r="C878">
            <v>21809</v>
          </cell>
        </row>
        <row r="879">
          <cell r="A879">
            <v>43385</v>
          </cell>
          <cell r="B879" t="str">
            <v>MANAGER</v>
          </cell>
          <cell r="C879">
            <v>2744</v>
          </cell>
        </row>
        <row r="880">
          <cell r="A880">
            <v>43385</v>
          </cell>
          <cell r="B880" t="str">
            <v>GUEST</v>
          </cell>
          <cell r="C880">
            <v>8200</v>
          </cell>
        </row>
        <row r="881">
          <cell r="A881">
            <v>43384</v>
          </cell>
          <cell r="B881" t="str">
            <v>MANAGER</v>
          </cell>
          <cell r="C881">
            <v>2315</v>
          </cell>
        </row>
        <row r="882">
          <cell r="A882">
            <v>43384</v>
          </cell>
          <cell r="B882" t="str">
            <v>GUEST</v>
          </cell>
          <cell r="C882">
            <v>7943</v>
          </cell>
        </row>
        <row r="883">
          <cell r="A883">
            <v>43384</v>
          </cell>
          <cell r="B883" t="str">
            <v>RESIDENT</v>
          </cell>
          <cell r="C883">
            <v>21572</v>
          </cell>
        </row>
        <row r="884">
          <cell r="A884">
            <v>43383</v>
          </cell>
          <cell r="B884" t="str">
            <v>MANAGER</v>
          </cell>
          <cell r="C884">
            <v>2581</v>
          </cell>
        </row>
        <row r="885">
          <cell r="A885">
            <v>43383</v>
          </cell>
          <cell r="B885" t="str">
            <v>RESIDENT</v>
          </cell>
          <cell r="C885">
            <v>22080</v>
          </cell>
        </row>
        <row r="886">
          <cell r="A886">
            <v>43383</v>
          </cell>
          <cell r="B886" t="str">
            <v>GUEST</v>
          </cell>
          <cell r="C886">
            <v>7761</v>
          </cell>
        </row>
        <row r="887">
          <cell r="A887">
            <v>43382</v>
          </cell>
          <cell r="B887" t="str">
            <v>GUEST</v>
          </cell>
          <cell r="C887">
            <v>7923</v>
          </cell>
        </row>
        <row r="888">
          <cell r="A888">
            <v>43382</v>
          </cell>
          <cell r="B888" t="str">
            <v>RESIDENT</v>
          </cell>
          <cell r="C888">
            <v>21875</v>
          </cell>
        </row>
        <row r="889">
          <cell r="A889">
            <v>43382</v>
          </cell>
          <cell r="B889" t="str">
            <v>MANAGER</v>
          </cell>
          <cell r="C889">
            <v>2558</v>
          </cell>
        </row>
        <row r="890">
          <cell r="A890">
            <v>43381</v>
          </cell>
          <cell r="B890" t="str">
            <v>MANAGER</v>
          </cell>
          <cell r="C890">
            <v>2271</v>
          </cell>
        </row>
        <row r="891">
          <cell r="A891">
            <v>43381</v>
          </cell>
          <cell r="B891" t="str">
            <v>GUEST</v>
          </cell>
          <cell r="C891">
            <v>7351</v>
          </cell>
        </row>
        <row r="892">
          <cell r="A892">
            <v>43381</v>
          </cell>
          <cell r="B892" t="str">
            <v>RESIDENT</v>
          </cell>
          <cell r="C892">
            <v>21217</v>
          </cell>
        </row>
        <row r="893">
          <cell r="A893">
            <v>43380</v>
          </cell>
          <cell r="B893" t="str">
            <v>RESIDENT</v>
          </cell>
          <cell r="C893">
            <v>20065</v>
          </cell>
        </row>
        <row r="894">
          <cell r="A894">
            <v>43380</v>
          </cell>
          <cell r="B894" t="str">
            <v>MANAGER</v>
          </cell>
          <cell r="C894">
            <v>1869</v>
          </cell>
        </row>
        <row r="895">
          <cell r="A895">
            <v>43380</v>
          </cell>
          <cell r="B895" t="str">
            <v>GUEST</v>
          </cell>
          <cell r="C895">
            <v>6316</v>
          </cell>
        </row>
        <row r="896">
          <cell r="A896">
            <v>43379</v>
          </cell>
          <cell r="B896" t="str">
            <v>MANAGER</v>
          </cell>
          <cell r="C896">
            <v>1740</v>
          </cell>
        </row>
        <row r="897">
          <cell r="A897">
            <v>43379</v>
          </cell>
          <cell r="B897" t="str">
            <v>RESIDENT</v>
          </cell>
          <cell r="C897">
            <v>19999</v>
          </cell>
        </row>
        <row r="898">
          <cell r="A898">
            <v>43379</v>
          </cell>
          <cell r="B898" t="str">
            <v>GUEST</v>
          </cell>
          <cell r="C898">
            <v>6621</v>
          </cell>
        </row>
        <row r="899">
          <cell r="A899">
            <v>43378</v>
          </cell>
          <cell r="B899" t="str">
            <v>RESIDENT</v>
          </cell>
          <cell r="C899">
            <v>21667</v>
          </cell>
        </row>
        <row r="900">
          <cell r="A900">
            <v>43378</v>
          </cell>
          <cell r="B900" t="str">
            <v>MANAGER</v>
          </cell>
          <cell r="C900">
            <v>2501</v>
          </cell>
        </row>
        <row r="901">
          <cell r="A901">
            <v>43378</v>
          </cell>
          <cell r="B901" t="str">
            <v>GUEST</v>
          </cell>
          <cell r="C901">
            <v>7764</v>
          </cell>
        </row>
        <row r="902">
          <cell r="A902">
            <v>43377</v>
          </cell>
          <cell r="B902" t="str">
            <v>MANAGER</v>
          </cell>
          <cell r="C902">
            <v>2526</v>
          </cell>
        </row>
        <row r="903">
          <cell r="A903">
            <v>43377</v>
          </cell>
          <cell r="B903" t="str">
            <v>GUEST</v>
          </cell>
          <cell r="C903">
            <v>7553</v>
          </cell>
        </row>
        <row r="904">
          <cell r="A904">
            <v>43377</v>
          </cell>
          <cell r="B904" t="str">
            <v>RESIDENT</v>
          </cell>
          <cell r="C904">
            <v>20962</v>
          </cell>
        </row>
        <row r="905">
          <cell r="A905">
            <v>43376</v>
          </cell>
          <cell r="B905" t="str">
            <v>MANAGER</v>
          </cell>
          <cell r="C905">
            <v>2720</v>
          </cell>
        </row>
        <row r="906">
          <cell r="A906">
            <v>43376</v>
          </cell>
          <cell r="B906" t="str">
            <v>RESIDENT</v>
          </cell>
          <cell r="C906">
            <v>21762</v>
          </cell>
        </row>
        <row r="907">
          <cell r="A907">
            <v>43376</v>
          </cell>
          <cell r="B907" t="str">
            <v>GUEST</v>
          </cell>
          <cell r="C907">
            <v>7828</v>
          </cell>
        </row>
        <row r="908">
          <cell r="A908">
            <v>43375</v>
          </cell>
          <cell r="B908" t="str">
            <v>RESIDENT</v>
          </cell>
          <cell r="C908">
            <v>21307</v>
          </cell>
        </row>
        <row r="909">
          <cell r="A909">
            <v>43375</v>
          </cell>
          <cell r="B909" t="str">
            <v>MANAGER</v>
          </cell>
          <cell r="C909">
            <v>2820</v>
          </cell>
        </row>
        <row r="910">
          <cell r="A910">
            <v>43375</v>
          </cell>
          <cell r="B910" t="str">
            <v>GUEST</v>
          </cell>
          <cell r="C910">
            <v>7413</v>
          </cell>
        </row>
        <row r="911">
          <cell r="A911">
            <v>43374</v>
          </cell>
          <cell r="B911" t="str">
            <v>RESIDENT</v>
          </cell>
          <cell r="C911">
            <v>22105</v>
          </cell>
        </row>
        <row r="912">
          <cell r="A912">
            <v>43374</v>
          </cell>
          <cell r="B912" t="str">
            <v>MANAGER</v>
          </cell>
          <cell r="C912">
            <v>2390</v>
          </cell>
        </row>
        <row r="913">
          <cell r="A913">
            <v>43374</v>
          </cell>
          <cell r="B913" t="str">
            <v>GUEST</v>
          </cell>
          <cell r="C913">
            <v>7483</v>
          </cell>
        </row>
        <row r="914">
          <cell r="A914">
            <v>43373</v>
          </cell>
          <cell r="B914" t="str">
            <v>MANAGER</v>
          </cell>
          <cell r="C914">
            <v>1333</v>
          </cell>
        </row>
        <row r="915">
          <cell r="A915">
            <v>43373</v>
          </cell>
          <cell r="B915" t="str">
            <v>GUEST</v>
          </cell>
          <cell r="C915">
            <v>6085</v>
          </cell>
        </row>
        <row r="916">
          <cell r="A916">
            <v>43373</v>
          </cell>
          <cell r="B916" t="str">
            <v>RESIDENT</v>
          </cell>
          <cell r="C916">
            <v>20074</v>
          </cell>
        </row>
        <row r="917">
          <cell r="A917">
            <v>43372</v>
          </cell>
          <cell r="B917" t="str">
            <v>GUEST</v>
          </cell>
          <cell r="C917">
            <v>6706</v>
          </cell>
        </row>
        <row r="918">
          <cell r="A918">
            <v>43372</v>
          </cell>
          <cell r="B918" t="str">
            <v>RESIDENT</v>
          </cell>
          <cell r="C918">
            <v>19796</v>
          </cell>
        </row>
        <row r="919">
          <cell r="A919">
            <v>43372</v>
          </cell>
          <cell r="B919" t="str">
            <v>MANAGER</v>
          </cell>
          <cell r="C919">
            <v>2019</v>
          </cell>
        </row>
        <row r="920">
          <cell r="A920">
            <v>43371</v>
          </cell>
          <cell r="B920" t="str">
            <v>MANAGER</v>
          </cell>
          <cell r="C920">
            <v>2390</v>
          </cell>
        </row>
        <row r="921">
          <cell r="A921">
            <v>43371</v>
          </cell>
          <cell r="B921" t="str">
            <v>RESIDENT</v>
          </cell>
          <cell r="C921">
            <v>21372</v>
          </cell>
        </row>
        <row r="922">
          <cell r="A922">
            <v>43371</v>
          </cell>
          <cell r="B922" t="str">
            <v>GUEST</v>
          </cell>
          <cell r="C922">
            <v>7380</v>
          </cell>
        </row>
        <row r="923">
          <cell r="A923">
            <v>43370</v>
          </cell>
          <cell r="B923" t="str">
            <v>GUEST</v>
          </cell>
          <cell r="C923">
            <v>7469</v>
          </cell>
        </row>
        <row r="924">
          <cell r="A924">
            <v>43370</v>
          </cell>
          <cell r="B924" t="str">
            <v>MANAGER</v>
          </cell>
          <cell r="C924">
            <v>2438</v>
          </cell>
        </row>
        <row r="925">
          <cell r="A925">
            <v>43370</v>
          </cell>
          <cell r="B925" t="str">
            <v>RESIDENT</v>
          </cell>
          <cell r="C925">
            <v>20879</v>
          </cell>
        </row>
        <row r="926">
          <cell r="A926">
            <v>43369</v>
          </cell>
          <cell r="B926" t="str">
            <v>MANAGER</v>
          </cell>
          <cell r="C926">
            <v>2649</v>
          </cell>
        </row>
        <row r="927">
          <cell r="A927">
            <v>43369</v>
          </cell>
          <cell r="B927" t="str">
            <v>GUEST</v>
          </cell>
          <cell r="C927">
            <v>7419</v>
          </cell>
        </row>
        <row r="928">
          <cell r="A928">
            <v>43369</v>
          </cell>
          <cell r="B928" t="str">
            <v>RESIDENT</v>
          </cell>
          <cell r="C928">
            <v>21044</v>
          </cell>
        </row>
        <row r="929">
          <cell r="A929">
            <v>43368</v>
          </cell>
          <cell r="B929" t="str">
            <v>GUEST</v>
          </cell>
          <cell r="C929">
            <v>6918</v>
          </cell>
        </row>
        <row r="930">
          <cell r="A930">
            <v>43368</v>
          </cell>
          <cell r="B930" t="str">
            <v>MANAGER</v>
          </cell>
          <cell r="C930">
            <v>2566</v>
          </cell>
        </row>
        <row r="931">
          <cell r="A931">
            <v>43368</v>
          </cell>
          <cell r="B931" t="str">
            <v>RESIDENT</v>
          </cell>
          <cell r="C931">
            <v>19793</v>
          </cell>
        </row>
        <row r="932">
          <cell r="A932">
            <v>43367</v>
          </cell>
          <cell r="B932" t="str">
            <v>MANAGER</v>
          </cell>
          <cell r="C932">
            <v>2424</v>
          </cell>
        </row>
        <row r="933">
          <cell r="A933">
            <v>43367</v>
          </cell>
          <cell r="B933" t="str">
            <v>RESIDENT</v>
          </cell>
          <cell r="C933">
            <v>20639</v>
          </cell>
        </row>
        <row r="934">
          <cell r="A934">
            <v>43367</v>
          </cell>
          <cell r="B934" t="str">
            <v>GUEST</v>
          </cell>
          <cell r="C934">
            <v>7156</v>
          </cell>
        </row>
        <row r="935">
          <cell r="A935">
            <v>43366</v>
          </cell>
          <cell r="B935" t="str">
            <v>GUEST</v>
          </cell>
          <cell r="C935">
            <v>5682</v>
          </cell>
        </row>
        <row r="936">
          <cell r="A936">
            <v>43366</v>
          </cell>
          <cell r="B936" t="str">
            <v>MANAGER</v>
          </cell>
          <cell r="C936">
            <v>1292</v>
          </cell>
        </row>
        <row r="937">
          <cell r="A937">
            <v>43366</v>
          </cell>
          <cell r="B937" t="str">
            <v>RESIDENT</v>
          </cell>
          <cell r="C937">
            <v>18721</v>
          </cell>
        </row>
        <row r="938">
          <cell r="A938">
            <v>43365</v>
          </cell>
          <cell r="B938" t="str">
            <v>GUEST</v>
          </cell>
          <cell r="C938">
            <v>6456</v>
          </cell>
        </row>
        <row r="939">
          <cell r="A939">
            <v>43365</v>
          </cell>
          <cell r="B939" t="str">
            <v>RESIDENT</v>
          </cell>
          <cell r="C939">
            <v>19580</v>
          </cell>
        </row>
        <row r="940">
          <cell r="A940">
            <v>43365</v>
          </cell>
          <cell r="B940" t="str">
            <v>MANAGER</v>
          </cell>
          <cell r="C940">
            <v>1915</v>
          </cell>
        </row>
        <row r="941">
          <cell r="A941">
            <v>43364</v>
          </cell>
          <cell r="B941" t="str">
            <v>MANAGER</v>
          </cell>
          <cell r="C941">
            <v>2829</v>
          </cell>
        </row>
        <row r="942">
          <cell r="A942">
            <v>43364</v>
          </cell>
          <cell r="B942" t="str">
            <v>RESIDENT</v>
          </cell>
          <cell r="C942">
            <v>20988</v>
          </cell>
        </row>
        <row r="943">
          <cell r="A943">
            <v>43364</v>
          </cell>
          <cell r="B943" t="str">
            <v>GUEST</v>
          </cell>
          <cell r="C943">
            <v>7578</v>
          </cell>
        </row>
        <row r="944">
          <cell r="A944">
            <v>43363</v>
          </cell>
          <cell r="B944" t="str">
            <v>GUEST</v>
          </cell>
          <cell r="C944">
            <v>7410</v>
          </cell>
        </row>
        <row r="945">
          <cell r="A945">
            <v>43363</v>
          </cell>
          <cell r="B945" t="str">
            <v>MANAGER</v>
          </cell>
          <cell r="C945">
            <v>2361</v>
          </cell>
        </row>
        <row r="946">
          <cell r="A946">
            <v>43363</v>
          </cell>
          <cell r="B946" t="str">
            <v>RESIDENT</v>
          </cell>
          <cell r="C946">
            <v>20626</v>
          </cell>
        </row>
        <row r="947">
          <cell r="A947">
            <v>43362</v>
          </cell>
          <cell r="B947" t="str">
            <v>RESIDENT</v>
          </cell>
          <cell r="C947">
            <v>20459</v>
          </cell>
        </row>
        <row r="948">
          <cell r="A948">
            <v>43362</v>
          </cell>
          <cell r="B948" t="str">
            <v>MANAGER</v>
          </cell>
          <cell r="C948">
            <v>2600</v>
          </cell>
        </row>
        <row r="949">
          <cell r="A949">
            <v>43362</v>
          </cell>
          <cell r="B949" t="str">
            <v>GUEST</v>
          </cell>
          <cell r="C949">
            <v>7427</v>
          </cell>
        </row>
        <row r="950">
          <cell r="A950">
            <v>43361</v>
          </cell>
          <cell r="B950" t="str">
            <v>RESIDENT</v>
          </cell>
          <cell r="C950">
            <v>20024</v>
          </cell>
        </row>
        <row r="951">
          <cell r="A951">
            <v>43361</v>
          </cell>
          <cell r="B951" t="str">
            <v>MANAGER</v>
          </cell>
          <cell r="C951">
            <v>2488</v>
          </cell>
        </row>
        <row r="952">
          <cell r="A952">
            <v>43361</v>
          </cell>
          <cell r="B952" t="str">
            <v>GUEST</v>
          </cell>
          <cell r="C952">
            <v>7566</v>
          </cell>
        </row>
        <row r="953">
          <cell r="A953">
            <v>43360</v>
          </cell>
          <cell r="B953" t="str">
            <v>GUEST</v>
          </cell>
          <cell r="C953">
            <v>6819</v>
          </cell>
        </row>
        <row r="954">
          <cell r="A954">
            <v>43360</v>
          </cell>
          <cell r="B954" t="str">
            <v>MANAGER</v>
          </cell>
          <cell r="C954">
            <v>2537</v>
          </cell>
        </row>
        <row r="955">
          <cell r="A955">
            <v>43360</v>
          </cell>
          <cell r="B955" t="str">
            <v>RESIDENT</v>
          </cell>
          <cell r="C955">
            <v>20044</v>
          </cell>
        </row>
        <row r="956">
          <cell r="A956">
            <v>43359</v>
          </cell>
          <cell r="B956" t="str">
            <v>MANAGER</v>
          </cell>
          <cell r="C956">
            <v>1140</v>
          </cell>
        </row>
        <row r="957">
          <cell r="A957">
            <v>43359</v>
          </cell>
          <cell r="B957" t="str">
            <v>RESIDENT</v>
          </cell>
          <cell r="C957">
            <v>18770</v>
          </cell>
        </row>
        <row r="958">
          <cell r="A958">
            <v>43359</v>
          </cell>
          <cell r="B958" t="str">
            <v>GUEST</v>
          </cell>
          <cell r="C958">
            <v>5847</v>
          </cell>
        </row>
        <row r="959">
          <cell r="A959">
            <v>43358</v>
          </cell>
          <cell r="B959" t="str">
            <v>RESIDENT</v>
          </cell>
          <cell r="C959">
            <v>19230</v>
          </cell>
        </row>
        <row r="960">
          <cell r="A960">
            <v>43358</v>
          </cell>
          <cell r="B960" t="str">
            <v>MANAGER</v>
          </cell>
          <cell r="C960">
            <v>1697</v>
          </cell>
        </row>
        <row r="961">
          <cell r="A961">
            <v>43358</v>
          </cell>
          <cell r="B961" t="str">
            <v>GUEST</v>
          </cell>
          <cell r="C961">
            <v>6550</v>
          </cell>
        </row>
        <row r="962">
          <cell r="A962">
            <v>43357</v>
          </cell>
          <cell r="B962" t="str">
            <v>MANAGER</v>
          </cell>
          <cell r="C962">
            <v>2542</v>
          </cell>
        </row>
        <row r="963">
          <cell r="A963">
            <v>43357</v>
          </cell>
          <cell r="B963" t="str">
            <v>GUEST</v>
          </cell>
          <cell r="C963">
            <v>7590</v>
          </cell>
        </row>
        <row r="964">
          <cell r="A964">
            <v>43357</v>
          </cell>
          <cell r="B964" t="str">
            <v>RESIDENT</v>
          </cell>
          <cell r="C964">
            <v>19442</v>
          </cell>
        </row>
        <row r="965">
          <cell r="A965">
            <v>43356</v>
          </cell>
          <cell r="B965" t="str">
            <v>MANAGER</v>
          </cell>
          <cell r="C965">
            <v>2538</v>
          </cell>
        </row>
        <row r="966">
          <cell r="A966">
            <v>43356</v>
          </cell>
          <cell r="B966" t="str">
            <v>RESIDENT</v>
          </cell>
          <cell r="C966">
            <v>19286</v>
          </cell>
        </row>
        <row r="967">
          <cell r="A967">
            <v>43356</v>
          </cell>
          <cell r="B967" t="str">
            <v>GUEST</v>
          </cell>
          <cell r="C967">
            <v>6785</v>
          </cell>
        </row>
        <row r="968">
          <cell r="A968">
            <v>43355</v>
          </cell>
          <cell r="B968" t="str">
            <v>MANAGER</v>
          </cell>
          <cell r="C968">
            <v>2548</v>
          </cell>
        </row>
        <row r="969">
          <cell r="A969">
            <v>43355</v>
          </cell>
          <cell r="B969" t="str">
            <v>RESIDENT</v>
          </cell>
          <cell r="C969">
            <v>19192</v>
          </cell>
        </row>
        <row r="970">
          <cell r="A970">
            <v>43355</v>
          </cell>
          <cell r="B970" t="str">
            <v>GUEST</v>
          </cell>
          <cell r="C970">
            <v>6958</v>
          </cell>
        </row>
        <row r="971">
          <cell r="A971">
            <v>43354</v>
          </cell>
          <cell r="B971" t="str">
            <v>RESIDENT</v>
          </cell>
          <cell r="C971">
            <v>19125</v>
          </cell>
        </row>
        <row r="972">
          <cell r="A972">
            <v>43354</v>
          </cell>
          <cell r="B972" t="str">
            <v>MANAGER</v>
          </cell>
          <cell r="C972">
            <v>2611</v>
          </cell>
        </row>
        <row r="973">
          <cell r="A973">
            <v>43354</v>
          </cell>
          <cell r="B973" t="str">
            <v>GUEST</v>
          </cell>
          <cell r="C973">
            <v>6620</v>
          </cell>
        </row>
        <row r="974">
          <cell r="A974">
            <v>43353</v>
          </cell>
          <cell r="B974" t="str">
            <v>RESIDENT</v>
          </cell>
          <cell r="C974">
            <v>18666</v>
          </cell>
        </row>
        <row r="975">
          <cell r="A975">
            <v>43353</v>
          </cell>
          <cell r="B975" t="str">
            <v>MANAGER</v>
          </cell>
          <cell r="C975">
            <v>1995</v>
          </cell>
        </row>
        <row r="976">
          <cell r="A976">
            <v>43353</v>
          </cell>
          <cell r="B976" t="str">
            <v>GUEST</v>
          </cell>
          <cell r="C976">
            <v>6612</v>
          </cell>
        </row>
        <row r="977">
          <cell r="A977">
            <v>43352</v>
          </cell>
          <cell r="B977" t="str">
            <v>MANAGER</v>
          </cell>
          <cell r="C977">
            <v>1185</v>
          </cell>
        </row>
        <row r="978">
          <cell r="A978">
            <v>43352</v>
          </cell>
          <cell r="B978" t="str">
            <v>GUEST</v>
          </cell>
          <cell r="C978">
            <v>4868</v>
          </cell>
        </row>
        <row r="979">
          <cell r="A979">
            <v>43352</v>
          </cell>
          <cell r="B979" t="str">
            <v>RESIDENT</v>
          </cell>
          <cell r="C979">
            <v>17051</v>
          </cell>
        </row>
        <row r="980">
          <cell r="A980">
            <v>43351</v>
          </cell>
          <cell r="B980" t="str">
            <v>MANAGER</v>
          </cell>
          <cell r="C980">
            <v>1434</v>
          </cell>
        </row>
        <row r="981">
          <cell r="A981">
            <v>43351</v>
          </cell>
          <cell r="B981" t="str">
            <v>GUEST</v>
          </cell>
          <cell r="C981">
            <v>5805</v>
          </cell>
        </row>
        <row r="982">
          <cell r="A982">
            <v>43351</v>
          </cell>
          <cell r="B982" t="str">
            <v>RESIDENT</v>
          </cell>
          <cell r="C982">
            <v>17640</v>
          </cell>
        </row>
        <row r="983">
          <cell r="A983">
            <v>43350</v>
          </cell>
          <cell r="B983" t="str">
            <v>RESIDENT</v>
          </cell>
          <cell r="C983">
            <v>18960</v>
          </cell>
        </row>
        <row r="984">
          <cell r="A984">
            <v>43350</v>
          </cell>
          <cell r="B984" t="str">
            <v>MANAGER</v>
          </cell>
          <cell r="C984">
            <v>2330</v>
          </cell>
        </row>
        <row r="985">
          <cell r="A985">
            <v>43350</v>
          </cell>
          <cell r="B985" t="str">
            <v>GUEST</v>
          </cell>
          <cell r="C985">
            <v>7077</v>
          </cell>
        </row>
        <row r="986">
          <cell r="A986">
            <v>43349</v>
          </cell>
          <cell r="B986" t="str">
            <v>MANAGER</v>
          </cell>
          <cell r="C986">
            <v>2208</v>
          </cell>
        </row>
        <row r="987">
          <cell r="A987">
            <v>43349</v>
          </cell>
          <cell r="B987" t="str">
            <v>GUEST</v>
          </cell>
          <cell r="C987">
            <v>6972</v>
          </cell>
        </row>
        <row r="988">
          <cell r="A988">
            <v>43349</v>
          </cell>
          <cell r="B988" t="str">
            <v>RESIDENT</v>
          </cell>
          <cell r="C988">
            <v>18635</v>
          </cell>
        </row>
        <row r="989">
          <cell r="A989">
            <v>43348</v>
          </cell>
          <cell r="B989" t="str">
            <v>GUEST</v>
          </cell>
          <cell r="C989">
            <v>7121</v>
          </cell>
        </row>
        <row r="990">
          <cell r="A990">
            <v>43348</v>
          </cell>
          <cell r="B990" t="str">
            <v>MANAGER</v>
          </cell>
          <cell r="C990">
            <v>2403</v>
          </cell>
        </row>
        <row r="991">
          <cell r="A991">
            <v>43348</v>
          </cell>
          <cell r="B991" t="str">
            <v>RESIDENT</v>
          </cell>
          <cell r="C991">
            <v>18312</v>
          </cell>
        </row>
        <row r="992">
          <cell r="A992">
            <v>43347</v>
          </cell>
          <cell r="B992" t="str">
            <v>MANAGER</v>
          </cell>
          <cell r="C992">
            <v>2108</v>
          </cell>
        </row>
        <row r="993">
          <cell r="A993">
            <v>43347</v>
          </cell>
          <cell r="B993" t="str">
            <v>RESIDENT</v>
          </cell>
          <cell r="C993">
            <v>18154</v>
          </cell>
        </row>
        <row r="994">
          <cell r="A994">
            <v>43347</v>
          </cell>
          <cell r="B994" t="str">
            <v>GUEST</v>
          </cell>
          <cell r="C994">
            <v>6739</v>
          </cell>
        </row>
        <row r="995">
          <cell r="A995">
            <v>43346</v>
          </cell>
          <cell r="B995" t="str">
            <v>RESIDENT</v>
          </cell>
          <cell r="C995">
            <v>15601</v>
          </cell>
        </row>
        <row r="996">
          <cell r="A996">
            <v>43346</v>
          </cell>
          <cell r="B996" t="str">
            <v>MANAGER</v>
          </cell>
          <cell r="C996">
            <v>812</v>
          </cell>
        </row>
        <row r="997">
          <cell r="A997">
            <v>43346</v>
          </cell>
          <cell r="B997" t="str">
            <v>GUEST</v>
          </cell>
          <cell r="C997">
            <v>4826</v>
          </cell>
        </row>
        <row r="998">
          <cell r="A998">
            <v>43345</v>
          </cell>
          <cell r="B998" t="str">
            <v>MANAGER</v>
          </cell>
          <cell r="C998">
            <v>1051</v>
          </cell>
        </row>
        <row r="999">
          <cell r="A999">
            <v>43345</v>
          </cell>
          <cell r="B999" t="str">
            <v>GUEST</v>
          </cell>
          <cell r="C999">
            <v>4622</v>
          </cell>
        </row>
        <row r="1000">
          <cell r="A1000">
            <v>43345</v>
          </cell>
          <cell r="B1000" t="str">
            <v>RESIDENT</v>
          </cell>
          <cell r="C1000">
            <v>14388</v>
          </cell>
        </row>
        <row r="1001">
          <cell r="A1001">
            <v>43344</v>
          </cell>
          <cell r="B1001" t="str">
            <v>GUEST</v>
          </cell>
          <cell r="C1001">
            <v>5417</v>
          </cell>
        </row>
        <row r="1002">
          <cell r="A1002">
            <v>43344</v>
          </cell>
          <cell r="B1002" t="str">
            <v>MANAGER</v>
          </cell>
          <cell r="C1002">
            <v>1353</v>
          </cell>
        </row>
        <row r="1003">
          <cell r="A1003">
            <v>43344</v>
          </cell>
          <cell r="B1003" t="str">
            <v>RESIDENT</v>
          </cell>
          <cell r="C1003">
            <v>14695</v>
          </cell>
        </row>
        <row r="1004">
          <cell r="A1004">
            <v>43343</v>
          </cell>
          <cell r="B1004" t="str">
            <v>MANAGER</v>
          </cell>
          <cell r="C1004">
            <v>2068</v>
          </cell>
        </row>
        <row r="1005">
          <cell r="A1005">
            <v>43343</v>
          </cell>
          <cell r="B1005" t="str">
            <v>RESIDENT</v>
          </cell>
          <cell r="C1005">
            <v>17034</v>
          </cell>
        </row>
        <row r="1006">
          <cell r="A1006">
            <v>43343</v>
          </cell>
          <cell r="B1006" t="str">
            <v>GUEST</v>
          </cell>
          <cell r="C1006">
            <v>6418</v>
          </cell>
        </row>
        <row r="1007">
          <cell r="A1007">
            <v>43342</v>
          </cell>
          <cell r="B1007" t="str">
            <v>GUEST</v>
          </cell>
          <cell r="C1007">
            <v>6246</v>
          </cell>
        </row>
        <row r="1008">
          <cell r="A1008">
            <v>43342</v>
          </cell>
          <cell r="B1008" t="str">
            <v>MANAGER</v>
          </cell>
          <cell r="C1008">
            <v>2449</v>
          </cell>
        </row>
        <row r="1009">
          <cell r="A1009">
            <v>43342</v>
          </cell>
          <cell r="B1009" t="str">
            <v>RESIDENT</v>
          </cell>
          <cell r="C1009">
            <v>17012</v>
          </cell>
        </row>
        <row r="1010">
          <cell r="A1010">
            <v>43341</v>
          </cell>
          <cell r="B1010" t="str">
            <v>GUEST</v>
          </cell>
          <cell r="C1010">
            <v>6343</v>
          </cell>
        </row>
        <row r="1011">
          <cell r="A1011">
            <v>43341</v>
          </cell>
          <cell r="B1011" t="str">
            <v>MANAGER</v>
          </cell>
          <cell r="C1011">
            <v>2463</v>
          </cell>
        </row>
        <row r="1012">
          <cell r="A1012">
            <v>43341</v>
          </cell>
          <cell r="B1012" t="str">
            <v>RESIDENT</v>
          </cell>
          <cell r="C1012">
            <v>16998</v>
          </cell>
        </row>
        <row r="1013">
          <cell r="A1013">
            <v>43340</v>
          </cell>
          <cell r="B1013" t="str">
            <v>GUEST</v>
          </cell>
          <cell r="C1013">
            <v>6379</v>
          </cell>
        </row>
        <row r="1014">
          <cell r="A1014">
            <v>43340</v>
          </cell>
          <cell r="B1014" t="str">
            <v>MANAGER</v>
          </cell>
          <cell r="C1014">
            <v>2404</v>
          </cell>
        </row>
        <row r="1015">
          <cell r="A1015">
            <v>43340</v>
          </cell>
          <cell r="B1015" t="str">
            <v>RESIDENT</v>
          </cell>
          <cell r="C1015">
            <v>17061</v>
          </cell>
        </row>
        <row r="1016">
          <cell r="A1016">
            <v>43339</v>
          </cell>
          <cell r="B1016" t="str">
            <v>GUEST</v>
          </cell>
          <cell r="C1016">
            <v>6104</v>
          </cell>
        </row>
        <row r="1017">
          <cell r="A1017">
            <v>43339</v>
          </cell>
          <cell r="B1017" t="str">
            <v>MANAGER</v>
          </cell>
          <cell r="C1017">
            <v>2346</v>
          </cell>
        </row>
        <row r="1018">
          <cell r="A1018">
            <v>43339</v>
          </cell>
          <cell r="B1018" t="str">
            <v>RESIDENT</v>
          </cell>
          <cell r="C1018">
            <v>17565</v>
          </cell>
        </row>
        <row r="1019">
          <cell r="A1019">
            <v>43338</v>
          </cell>
          <cell r="B1019" t="str">
            <v>MANAGER</v>
          </cell>
          <cell r="C1019">
            <v>1139</v>
          </cell>
        </row>
        <row r="1020">
          <cell r="A1020">
            <v>43338</v>
          </cell>
          <cell r="B1020" t="str">
            <v>GUEST</v>
          </cell>
          <cell r="C1020">
            <v>4795</v>
          </cell>
        </row>
        <row r="1021">
          <cell r="A1021">
            <v>43338</v>
          </cell>
          <cell r="B1021" t="str">
            <v>RESIDENT</v>
          </cell>
          <cell r="C1021">
            <v>16235</v>
          </cell>
        </row>
        <row r="1022">
          <cell r="A1022">
            <v>43337</v>
          </cell>
          <cell r="B1022" t="str">
            <v>MANAGER</v>
          </cell>
          <cell r="C1022">
            <v>1804</v>
          </cell>
        </row>
        <row r="1023">
          <cell r="A1023">
            <v>43337</v>
          </cell>
          <cell r="B1023" t="str">
            <v>RESIDENT</v>
          </cell>
          <cell r="C1023">
            <v>15886</v>
          </cell>
        </row>
        <row r="1024">
          <cell r="A1024">
            <v>43337</v>
          </cell>
          <cell r="B1024" t="str">
            <v>GUEST</v>
          </cell>
          <cell r="C1024">
            <v>5348</v>
          </cell>
        </row>
        <row r="1025">
          <cell r="A1025">
            <v>43336</v>
          </cell>
          <cell r="B1025" t="str">
            <v>RESIDENT</v>
          </cell>
          <cell r="C1025">
            <v>16357</v>
          </cell>
        </row>
        <row r="1026">
          <cell r="A1026">
            <v>43336</v>
          </cell>
          <cell r="B1026" t="str">
            <v>MANAGER</v>
          </cell>
          <cell r="C1026">
            <v>2258</v>
          </cell>
        </row>
        <row r="1027">
          <cell r="A1027">
            <v>43336</v>
          </cell>
          <cell r="B1027" t="str">
            <v>GUEST</v>
          </cell>
          <cell r="C1027">
            <v>6589</v>
          </cell>
        </row>
        <row r="1028">
          <cell r="A1028">
            <v>43335</v>
          </cell>
          <cell r="B1028" t="str">
            <v>MANAGER</v>
          </cell>
          <cell r="C1028">
            <v>1976</v>
          </cell>
        </row>
        <row r="1029">
          <cell r="A1029">
            <v>43335</v>
          </cell>
          <cell r="B1029" t="str">
            <v>RESIDENT</v>
          </cell>
          <cell r="C1029">
            <v>16509</v>
          </cell>
        </row>
        <row r="1030">
          <cell r="A1030">
            <v>43335</v>
          </cell>
          <cell r="B1030" t="str">
            <v>GUEST</v>
          </cell>
          <cell r="C1030">
            <v>6332</v>
          </cell>
        </row>
        <row r="1031">
          <cell r="A1031">
            <v>43334</v>
          </cell>
          <cell r="B1031" t="str">
            <v>RESIDENT</v>
          </cell>
          <cell r="C1031">
            <v>16697</v>
          </cell>
        </row>
        <row r="1032">
          <cell r="A1032">
            <v>43334</v>
          </cell>
          <cell r="B1032" t="str">
            <v>MANAGER</v>
          </cell>
          <cell r="C1032">
            <v>2414</v>
          </cell>
        </row>
        <row r="1033">
          <cell r="A1033">
            <v>43334</v>
          </cell>
          <cell r="B1033" t="str">
            <v>GUEST</v>
          </cell>
          <cell r="C1033">
            <v>6106</v>
          </cell>
        </row>
        <row r="1034">
          <cell r="A1034">
            <v>43333</v>
          </cell>
          <cell r="B1034" t="str">
            <v>RESIDENT</v>
          </cell>
          <cell r="C1034">
            <v>15959</v>
          </cell>
        </row>
        <row r="1035">
          <cell r="A1035">
            <v>43333</v>
          </cell>
          <cell r="B1035" t="str">
            <v>MANAGER</v>
          </cell>
          <cell r="C1035">
            <v>2366</v>
          </cell>
        </row>
        <row r="1036">
          <cell r="A1036">
            <v>43333</v>
          </cell>
          <cell r="B1036" t="str">
            <v>GUEST</v>
          </cell>
          <cell r="C1036">
            <v>6171</v>
          </cell>
        </row>
        <row r="1037">
          <cell r="A1037">
            <v>43332</v>
          </cell>
          <cell r="B1037" t="str">
            <v>MANAGER</v>
          </cell>
          <cell r="C1037">
            <v>2211</v>
          </cell>
        </row>
        <row r="1038">
          <cell r="A1038">
            <v>43332</v>
          </cell>
          <cell r="B1038" t="str">
            <v>GUEST</v>
          </cell>
          <cell r="C1038">
            <v>5989</v>
          </cell>
        </row>
        <row r="1039">
          <cell r="A1039">
            <v>43332</v>
          </cell>
          <cell r="B1039" t="str">
            <v>RESIDENT</v>
          </cell>
          <cell r="C1039">
            <v>16147</v>
          </cell>
        </row>
        <row r="1040">
          <cell r="A1040">
            <v>43331</v>
          </cell>
          <cell r="B1040" t="str">
            <v>MANAGER</v>
          </cell>
          <cell r="C1040">
            <v>1166</v>
          </cell>
        </row>
        <row r="1041">
          <cell r="A1041">
            <v>43331</v>
          </cell>
          <cell r="B1041" t="str">
            <v>RESIDENT</v>
          </cell>
          <cell r="C1041">
            <v>15020</v>
          </cell>
        </row>
        <row r="1042">
          <cell r="A1042">
            <v>43331</v>
          </cell>
          <cell r="B1042" t="str">
            <v>GUEST</v>
          </cell>
          <cell r="C1042">
            <v>4650</v>
          </cell>
        </row>
        <row r="1043">
          <cell r="A1043">
            <v>43330</v>
          </cell>
          <cell r="B1043" t="str">
            <v>MANAGER</v>
          </cell>
          <cell r="C1043">
            <v>1493</v>
          </cell>
        </row>
        <row r="1044">
          <cell r="A1044">
            <v>43330</v>
          </cell>
          <cell r="B1044" t="str">
            <v>RESIDENT</v>
          </cell>
          <cell r="C1044">
            <v>14550</v>
          </cell>
        </row>
        <row r="1045">
          <cell r="A1045">
            <v>43330</v>
          </cell>
          <cell r="B1045" t="str">
            <v>GUEST</v>
          </cell>
          <cell r="C1045">
            <v>5135</v>
          </cell>
        </row>
        <row r="1046">
          <cell r="A1046">
            <v>43329</v>
          </cell>
          <cell r="B1046" t="str">
            <v>MANAGER</v>
          </cell>
          <cell r="C1046">
            <v>2180</v>
          </cell>
        </row>
        <row r="1047">
          <cell r="A1047">
            <v>43329</v>
          </cell>
          <cell r="B1047" t="str">
            <v>RESIDENT</v>
          </cell>
          <cell r="C1047">
            <v>15870</v>
          </cell>
        </row>
        <row r="1048">
          <cell r="A1048">
            <v>43329</v>
          </cell>
          <cell r="B1048" t="str">
            <v>GUEST</v>
          </cell>
          <cell r="C1048">
            <v>6085</v>
          </cell>
        </row>
        <row r="1049">
          <cell r="A1049">
            <v>43328</v>
          </cell>
          <cell r="B1049" t="str">
            <v>MANAGER</v>
          </cell>
          <cell r="C1049">
            <v>2486</v>
          </cell>
        </row>
        <row r="1050">
          <cell r="A1050">
            <v>43328</v>
          </cell>
          <cell r="B1050" t="str">
            <v>GUEST</v>
          </cell>
          <cell r="C1050">
            <v>6330</v>
          </cell>
        </row>
        <row r="1051">
          <cell r="A1051">
            <v>43328</v>
          </cell>
          <cell r="B1051" t="str">
            <v>RESIDENT</v>
          </cell>
          <cell r="C1051">
            <v>15746</v>
          </cell>
        </row>
        <row r="1052">
          <cell r="A1052">
            <v>43327</v>
          </cell>
          <cell r="B1052" t="str">
            <v>GUEST</v>
          </cell>
          <cell r="C1052">
            <v>6739</v>
          </cell>
        </row>
        <row r="1053">
          <cell r="A1053">
            <v>43327</v>
          </cell>
          <cell r="B1053" t="str">
            <v>MANAGER</v>
          </cell>
          <cell r="C1053">
            <v>2581</v>
          </cell>
        </row>
        <row r="1054">
          <cell r="A1054">
            <v>43327</v>
          </cell>
          <cell r="B1054" t="str">
            <v>RESIDENT</v>
          </cell>
          <cell r="C1054">
            <v>15672</v>
          </cell>
        </row>
        <row r="1055">
          <cell r="A1055">
            <v>43326</v>
          </cell>
          <cell r="B1055" t="str">
            <v>MANAGER</v>
          </cell>
          <cell r="C1055">
            <v>2613</v>
          </cell>
        </row>
        <row r="1056">
          <cell r="A1056">
            <v>43326</v>
          </cell>
          <cell r="B1056" t="str">
            <v>RESIDENT</v>
          </cell>
          <cell r="C1056">
            <v>14898</v>
          </cell>
        </row>
        <row r="1057">
          <cell r="A1057">
            <v>43326</v>
          </cell>
          <cell r="B1057" t="str">
            <v>GUEST</v>
          </cell>
          <cell r="C1057">
            <v>5797</v>
          </cell>
        </row>
        <row r="1058">
          <cell r="A1058">
            <v>43325</v>
          </cell>
          <cell r="B1058" t="str">
            <v>GUEST</v>
          </cell>
          <cell r="C1058">
            <v>5782</v>
          </cell>
        </row>
        <row r="1059">
          <cell r="A1059">
            <v>43325</v>
          </cell>
          <cell r="B1059" t="str">
            <v>MANAGER</v>
          </cell>
          <cell r="C1059">
            <v>2202</v>
          </cell>
        </row>
        <row r="1060">
          <cell r="A1060">
            <v>43325</v>
          </cell>
          <cell r="B1060" t="str">
            <v>RESIDENT</v>
          </cell>
          <cell r="C1060">
            <v>14691</v>
          </cell>
        </row>
        <row r="1061">
          <cell r="A1061">
            <v>43324</v>
          </cell>
          <cell r="B1061" t="str">
            <v>MANAGER</v>
          </cell>
          <cell r="C1061">
            <v>1240</v>
          </cell>
        </row>
        <row r="1062">
          <cell r="A1062">
            <v>43324</v>
          </cell>
          <cell r="B1062" t="str">
            <v>RESIDENT</v>
          </cell>
          <cell r="C1062">
            <v>14072</v>
          </cell>
        </row>
        <row r="1063">
          <cell r="A1063">
            <v>43324</v>
          </cell>
          <cell r="B1063" t="str">
            <v>GUEST</v>
          </cell>
          <cell r="C1063">
            <v>4340</v>
          </cell>
        </row>
        <row r="1064">
          <cell r="A1064">
            <v>43323</v>
          </cell>
          <cell r="B1064" t="str">
            <v>MANAGER</v>
          </cell>
          <cell r="C1064">
            <v>1533</v>
          </cell>
        </row>
        <row r="1065">
          <cell r="A1065">
            <v>43323</v>
          </cell>
          <cell r="B1065" t="str">
            <v>GUEST</v>
          </cell>
          <cell r="C1065">
            <v>4695</v>
          </cell>
        </row>
        <row r="1066">
          <cell r="A1066">
            <v>43323</v>
          </cell>
          <cell r="B1066" t="str">
            <v>RESIDENT</v>
          </cell>
          <cell r="C1066">
            <v>13818</v>
          </cell>
        </row>
        <row r="1067">
          <cell r="A1067">
            <v>43322</v>
          </cell>
          <cell r="B1067" t="str">
            <v>RESIDENT</v>
          </cell>
          <cell r="C1067">
            <v>14932</v>
          </cell>
        </row>
        <row r="1068">
          <cell r="A1068">
            <v>43322</v>
          </cell>
          <cell r="B1068" t="str">
            <v>MANAGER</v>
          </cell>
          <cell r="C1068">
            <v>2224</v>
          </cell>
        </row>
        <row r="1069">
          <cell r="A1069">
            <v>43322</v>
          </cell>
          <cell r="B1069" t="str">
            <v>GUEST</v>
          </cell>
          <cell r="C1069">
            <v>5659</v>
          </cell>
        </row>
        <row r="1070">
          <cell r="A1070">
            <v>43321</v>
          </cell>
          <cell r="B1070" t="str">
            <v>MANAGER</v>
          </cell>
          <cell r="C1070">
            <v>2496</v>
          </cell>
        </row>
        <row r="1071">
          <cell r="A1071">
            <v>43321</v>
          </cell>
          <cell r="B1071" t="str">
            <v>RESIDENT</v>
          </cell>
          <cell r="C1071">
            <v>14729</v>
          </cell>
        </row>
        <row r="1072">
          <cell r="A1072">
            <v>43321</v>
          </cell>
          <cell r="B1072" t="str">
            <v>GUEST</v>
          </cell>
          <cell r="C1072">
            <v>5971</v>
          </cell>
        </row>
        <row r="1073">
          <cell r="A1073">
            <v>43320</v>
          </cell>
          <cell r="B1073" t="str">
            <v>RESIDENT</v>
          </cell>
          <cell r="C1073">
            <v>14905</v>
          </cell>
        </row>
        <row r="1074">
          <cell r="A1074">
            <v>43320</v>
          </cell>
          <cell r="B1074" t="str">
            <v>GUEST</v>
          </cell>
          <cell r="C1074">
            <v>5915</v>
          </cell>
        </row>
        <row r="1075">
          <cell r="A1075">
            <v>43320</v>
          </cell>
          <cell r="B1075" t="str">
            <v>MANAGER</v>
          </cell>
          <cell r="C1075">
            <v>2459</v>
          </cell>
        </row>
        <row r="1076">
          <cell r="A1076">
            <v>43319</v>
          </cell>
          <cell r="B1076" t="str">
            <v>MANAGER</v>
          </cell>
          <cell r="C1076">
            <v>2555</v>
          </cell>
        </row>
        <row r="1077">
          <cell r="A1077">
            <v>43319</v>
          </cell>
          <cell r="B1077" t="str">
            <v>RESIDENT</v>
          </cell>
          <cell r="C1077">
            <v>14495</v>
          </cell>
        </row>
        <row r="1078">
          <cell r="A1078">
            <v>43319</v>
          </cell>
          <cell r="B1078" t="str">
            <v>GUEST</v>
          </cell>
          <cell r="C1078">
            <v>6001</v>
          </cell>
        </row>
        <row r="1079">
          <cell r="A1079">
            <v>43318</v>
          </cell>
          <cell r="B1079" t="str">
            <v>MANAGER</v>
          </cell>
          <cell r="C1079">
            <v>2270</v>
          </cell>
        </row>
        <row r="1080">
          <cell r="A1080">
            <v>43318</v>
          </cell>
          <cell r="B1080" t="str">
            <v>RESIDENT</v>
          </cell>
          <cell r="C1080">
            <v>14340</v>
          </cell>
        </row>
        <row r="1081">
          <cell r="A1081">
            <v>43318</v>
          </cell>
          <cell r="B1081" t="str">
            <v>GUEST</v>
          </cell>
          <cell r="C1081">
            <v>5849</v>
          </cell>
        </row>
        <row r="1082">
          <cell r="A1082">
            <v>43317</v>
          </cell>
          <cell r="B1082" t="str">
            <v>MANAGER</v>
          </cell>
          <cell r="C1082">
            <v>1085</v>
          </cell>
        </row>
        <row r="1083">
          <cell r="A1083">
            <v>43317</v>
          </cell>
          <cell r="B1083" t="str">
            <v>RESIDENT</v>
          </cell>
          <cell r="C1083">
            <v>13748</v>
          </cell>
        </row>
        <row r="1084">
          <cell r="A1084">
            <v>43317</v>
          </cell>
          <cell r="B1084" t="str">
            <v>GUEST</v>
          </cell>
          <cell r="C1084">
            <v>4434</v>
          </cell>
        </row>
        <row r="1085">
          <cell r="A1085">
            <v>43316</v>
          </cell>
          <cell r="B1085" t="str">
            <v>MANAGER</v>
          </cell>
          <cell r="C1085">
            <v>1515</v>
          </cell>
        </row>
        <row r="1086">
          <cell r="A1086">
            <v>43316</v>
          </cell>
          <cell r="B1086" t="str">
            <v>GUEST</v>
          </cell>
          <cell r="C1086">
            <v>4446</v>
          </cell>
        </row>
        <row r="1087">
          <cell r="A1087">
            <v>43316</v>
          </cell>
          <cell r="B1087" t="str">
            <v>RESIDENT</v>
          </cell>
          <cell r="C1087">
            <v>13538</v>
          </cell>
        </row>
        <row r="1088">
          <cell r="A1088">
            <v>43315</v>
          </cell>
          <cell r="B1088" t="str">
            <v>RESIDENT</v>
          </cell>
          <cell r="C1088">
            <v>13950</v>
          </cell>
        </row>
        <row r="1089">
          <cell r="A1089">
            <v>43315</v>
          </cell>
          <cell r="B1089" t="str">
            <v>MANAGER</v>
          </cell>
          <cell r="C1089">
            <v>2398</v>
          </cell>
        </row>
        <row r="1090">
          <cell r="A1090">
            <v>43315</v>
          </cell>
          <cell r="B1090" t="str">
            <v>GUEST</v>
          </cell>
          <cell r="C1090">
            <v>5978</v>
          </cell>
        </row>
        <row r="1091">
          <cell r="A1091">
            <v>43314</v>
          </cell>
          <cell r="B1091" t="str">
            <v>MANAGER</v>
          </cell>
          <cell r="C1091">
            <v>2476</v>
          </cell>
        </row>
        <row r="1092">
          <cell r="A1092">
            <v>43314</v>
          </cell>
          <cell r="B1092" t="str">
            <v>GUEST</v>
          </cell>
          <cell r="C1092">
            <v>5988</v>
          </cell>
        </row>
        <row r="1093">
          <cell r="A1093">
            <v>43314</v>
          </cell>
          <cell r="B1093" t="str">
            <v>RESIDENT</v>
          </cell>
          <cell r="C1093">
            <v>13746</v>
          </cell>
        </row>
        <row r="1094">
          <cell r="A1094">
            <v>43313</v>
          </cell>
          <cell r="B1094" t="str">
            <v>MANAGER</v>
          </cell>
          <cell r="C1094">
            <v>2719</v>
          </cell>
        </row>
        <row r="1095">
          <cell r="A1095">
            <v>43313</v>
          </cell>
          <cell r="B1095" t="str">
            <v>RESIDENT</v>
          </cell>
          <cell r="C1095">
            <v>14766</v>
          </cell>
        </row>
        <row r="1096">
          <cell r="A1096">
            <v>43313</v>
          </cell>
          <cell r="B1096" t="str">
            <v>GUEST</v>
          </cell>
          <cell r="C1096">
            <v>6092</v>
          </cell>
        </row>
        <row r="1097">
          <cell r="A1097">
            <v>43312</v>
          </cell>
          <cell r="B1097" t="str">
            <v>MANAGER</v>
          </cell>
          <cell r="C1097">
            <v>3107</v>
          </cell>
        </row>
        <row r="1098">
          <cell r="A1098">
            <v>43312</v>
          </cell>
          <cell r="B1098" t="str">
            <v>RESIDENT</v>
          </cell>
          <cell r="C1098">
            <v>13418</v>
          </cell>
        </row>
        <row r="1099">
          <cell r="A1099">
            <v>43312</v>
          </cell>
          <cell r="B1099" t="str">
            <v>GUEST</v>
          </cell>
          <cell r="C1099">
            <v>5480</v>
          </cell>
        </row>
        <row r="1100">
          <cell r="A1100">
            <v>43311</v>
          </cell>
          <cell r="B1100" t="str">
            <v>MANAGER</v>
          </cell>
          <cell r="C1100">
            <v>2231</v>
          </cell>
        </row>
        <row r="1101">
          <cell r="A1101">
            <v>43311</v>
          </cell>
          <cell r="B1101" t="str">
            <v>RESIDENT</v>
          </cell>
          <cell r="C1101">
            <v>13507</v>
          </cell>
        </row>
        <row r="1102">
          <cell r="A1102">
            <v>43311</v>
          </cell>
          <cell r="B1102" t="str">
            <v>GUEST</v>
          </cell>
          <cell r="C1102">
            <v>5532</v>
          </cell>
        </row>
        <row r="1103">
          <cell r="A1103">
            <v>43310</v>
          </cell>
          <cell r="B1103" t="str">
            <v>RESIDENT</v>
          </cell>
          <cell r="C1103">
            <v>12627</v>
          </cell>
        </row>
        <row r="1104">
          <cell r="A1104">
            <v>43310</v>
          </cell>
          <cell r="B1104" t="str">
            <v>MANAGER</v>
          </cell>
          <cell r="C1104">
            <v>875</v>
          </cell>
        </row>
        <row r="1105">
          <cell r="A1105">
            <v>43310</v>
          </cell>
          <cell r="B1105" t="str">
            <v>GUEST</v>
          </cell>
          <cell r="C1105">
            <v>3996</v>
          </cell>
        </row>
        <row r="1106">
          <cell r="A1106">
            <v>43309</v>
          </cell>
          <cell r="B1106" t="str">
            <v>MANAGER</v>
          </cell>
          <cell r="C1106">
            <v>1277</v>
          </cell>
        </row>
        <row r="1107">
          <cell r="A1107">
            <v>43309</v>
          </cell>
          <cell r="B1107" t="str">
            <v>RESIDENT</v>
          </cell>
          <cell r="C1107">
            <v>12684</v>
          </cell>
        </row>
        <row r="1108">
          <cell r="A1108">
            <v>43309</v>
          </cell>
          <cell r="B1108" t="str">
            <v>GUEST</v>
          </cell>
          <cell r="C1108">
            <v>4603</v>
          </cell>
        </row>
        <row r="1109">
          <cell r="A1109">
            <v>43308</v>
          </cell>
          <cell r="B1109" t="str">
            <v>RESIDENT</v>
          </cell>
          <cell r="C1109">
            <v>12666</v>
          </cell>
        </row>
        <row r="1110">
          <cell r="A1110">
            <v>43308</v>
          </cell>
          <cell r="B1110" t="str">
            <v>GUEST</v>
          </cell>
          <cell r="C1110">
            <v>5223</v>
          </cell>
        </row>
        <row r="1111">
          <cell r="A1111">
            <v>43308</v>
          </cell>
          <cell r="B1111" t="str">
            <v>MANAGER</v>
          </cell>
          <cell r="C1111">
            <v>1963</v>
          </cell>
        </row>
        <row r="1112">
          <cell r="A1112">
            <v>43307</v>
          </cell>
          <cell r="B1112" t="str">
            <v>MANAGER</v>
          </cell>
          <cell r="C1112">
            <v>2238</v>
          </cell>
        </row>
        <row r="1113">
          <cell r="A1113">
            <v>43307</v>
          </cell>
          <cell r="B1113" t="str">
            <v>RESIDENT</v>
          </cell>
          <cell r="C1113">
            <v>12876</v>
          </cell>
        </row>
        <row r="1114">
          <cell r="A1114">
            <v>43307</v>
          </cell>
          <cell r="B1114" t="str">
            <v>GUEST</v>
          </cell>
          <cell r="C1114">
            <v>5616</v>
          </cell>
        </row>
        <row r="1115">
          <cell r="A1115">
            <v>43306</v>
          </cell>
          <cell r="B1115" t="str">
            <v>MANAGER</v>
          </cell>
          <cell r="C1115">
            <v>1849</v>
          </cell>
        </row>
        <row r="1116">
          <cell r="A1116">
            <v>43306</v>
          </cell>
          <cell r="B1116" t="str">
            <v>RESIDENT</v>
          </cell>
          <cell r="C1116">
            <v>13069</v>
          </cell>
        </row>
        <row r="1117">
          <cell r="A1117">
            <v>43306</v>
          </cell>
          <cell r="B1117" t="str">
            <v>GUEST</v>
          </cell>
          <cell r="C1117">
            <v>5062</v>
          </cell>
        </row>
        <row r="1118">
          <cell r="A1118">
            <v>43305</v>
          </cell>
          <cell r="B1118" t="str">
            <v>MANAGER</v>
          </cell>
          <cell r="C1118">
            <v>2036</v>
          </cell>
        </row>
        <row r="1119">
          <cell r="A1119">
            <v>43305</v>
          </cell>
          <cell r="B1119" t="str">
            <v>RESIDENT</v>
          </cell>
          <cell r="C1119">
            <v>12205</v>
          </cell>
        </row>
        <row r="1120">
          <cell r="A1120">
            <v>43305</v>
          </cell>
          <cell r="B1120" t="str">
            <v>GUEST</v>
          </cell>
          <cell r="C1120">
            <v>5110</v>
          </cell>
        </row>
        <row r="1121">
          <cell r="A1121">
            <v>43304</v>
          </cell>
          <cell r="B1121" t="str">
            <v>MANAGER</v>
          </cell>
          <cell r="C1121">
            <v>1820</v>
          </cell>
        </row>
        <row r="1122">
          <cell r="A1122">
            <v>43304</v>
          </cell>
          <cell r="B1122" t="str">
            <v>RESIDENT</v>
          </cell>
          <cell r="C1122">
            <v>12294</v>
          </cell>
        </row>
        <row r="1123">
          <cell r="A1123">
            <v>43304</v>
          </cell>
          <cell r="B1123" t="str">
            <v>GUEST</v>
          </cell>
          <cell r="C1123">
            <v>4979</v>
          </cell>
        </row>
        <row r="1124">
          <cell r="A1124">
            <v>43303</v>
          </cell>
          <cell r="B1124" t="str">
            <v>RESIDENT</v>
          </cell>
          <cell r="C1124">
            <v>11018</v>
          </cell>
        </row>
        <row r="1125">
          <cell r="A1125">
            <v>43303</v>
          </cell>
          <cell r="B1125" t="str">
            <v>MANAGER</v>
          </cell>
          <cell r="C1125">
            <v>859</v>
          </cell>
        </row>
        <row r="1126">
          <cell r="A1126">
            <v>43303</v>
          </cell>
          <cell r="B1126" t="str">
            <v>GUEST</v>
          </cell>
          <cell r="C1126">
            <v>3822</v>
          </cell>
        </row>
        <row r="1127">
          <cell r="A1127">
            <v>43302</v>
          </cell>
          <cell r="B1127" t="str">
            <v>MANAGER</v>
          </cell>
          <cell r="C1127">
            <v>906</v>
          </cell>
        </row>
        <row r="1128">
          <cell r="A1128">
            <v>43302</v>
          </cell>
          <cell r="B1128" t="str">
            <v>RESIDENT</v>
          </cell>
          <cell r="C1128">
            <v>11055</v>
          </cell>
        </row>
        <row r="1129">
          <cell r="A1129">
            <v>43302</v>
          </cell>
          <cell r="B1129" t="str">
            <v>GUEST</v>
          </cell>
          <cell r="C1129">
            <v>4136</v>
          </cell>
        </row>
        <row r="1130">
          <cell r="A1130">
            <v>43301</v>
          </cell>
          <cell r="B1130" t="str">
            <v>MANAGER</v>
          </cell>
          <cell r="C1130">
            <v>1992</v>
          </cell>
        </row>
        <row r="1131">
          <cell r="A1131">
            <v>43301</v>
          </cell>
          <cell r="B1131" t="str">
            <v>GUEST</v>
          </cell>
          <cell r="C1131">
            <v>4919</v>
          </cell>
        </row>
        <row r="1132">
          <cell r="A1132">
            <v>43301</v>
          </cell>
          <cell r="B1132" t="str">
            <v>RESIDENT</v>
          </cell>
          <cell r="C1132">
            <v>11981</v>
          </cell>
        </row>
        <row r="1133">
          <cell r="A1133">
            <v>43300</v>
          </cell>
          <cell r="B1133" t="str">
            <v>RESIDENT</v>
          </cell>
          <cell r="C1133">
            <v>11867</v>
          </cell>
        </row>
        <row r="1134">
          <cell r="A1134">
            <v>43300</v>
          </cell>
          <cell r="B1134" t="str">
            <v>MANAGER</v>
          </cell>
          <cell r="C1134">
            <v>1977</v>
          </cell>
        </row>
        <row r="1135">
          <cell r="A1135">
            <v>43300</v>
          </cell>
          <cell r="B1135" t="str">
            <v>GUEST</v>
          </cell>
          <cell r="C1135">
            <v>5009</v>
          </cell>
        </row>
        <row r="1136">
          <cell r="A1136">
            <v>43299</v>
          </cell>
          <cell r="B1136" t="str">
            <v>MANAGER</v>
          </cell>
          <cell r="C1136">
            <v>1965</v>
          </cell>
        </row>
        <row r="1137">
          <cell r="A1137">
            <v>43299</v>
          </cell>
          <cell r="B1137" t="str">
            <v>RESIDENT</v>
          </cell>
          <cell r="C1137">
            <v>11648</v>
          </cell>
        </row>
        <row r="1138">
          <cell r="A1138">
            <v>43299</v>
          </cell>
          <cell r="B1138" t="str">
            <v>GUEST</v>
          </cell>
          <cell r="C1138">
            <v>4988</v>
          </cell>
        </row>
        <row r="1139">
          <cell r="A1139">
            <v>43298</v>
          </cell>
          <cell r="B1139" t="str">
            <v>MANAGER</v>
          </cell>
          <cell r="C1139">
            <v>1826</v>
          </cell>
        </row>
        <row r="1140">
          <cell r="A1140">
            <v>43298</v>
          </cell>
          <cell r="B1140" t="str">
            <v>RESIDENT</v>
          </cell>
          <cell r="C1140">
            <v>11037</v>
          </cell>
        </row>
        <row r="1141">
          <cell r="A1141">
            <v>43298</v>
          </cell>
          <cell r="B1141" t="str">
            <v>GUEST</v>
          </cell>
          <cell r="C1141">
            <v>4831</v>
          </cell>
        </row>
        <row r="1142">
          <cell r="A1142">
            <v>43297</v>
          </cell>
          <cell r="B1142" t="str">
            <v>GUEST</v>
          </cell>
          <cell r="C1142">
            <v>4582</v>
          </cell>
        </row>
        <row r="1143">
          <cell r="A1143">
            <v>43297</v>
          </cell>
          <cell r="B1143" t="str">
            <v>RESIDENT</v>
          </cell>
          <cell r="C1143">
            <v>11528</v>
          </cell>
        </row>
        <row r="1144">
          <cell r="A1144">
            <v>43297</v>
          </cell>
          <cell r="B1144" t="str">
            <v>MANAGER</v>
          </cell>
          <cell r="C1144">
            <v>1634</v>
          </cell>
        </row>
        <row r="1145">
          <cell r="A1145">
            <v>43296</v>
          </cell>
          <cell r="B1145" t="str">
            <v>RESIDENT</v>
          </cell>
          <cell r="C1145">
            <v>11261</v>
          </cell>
        </row>
        <row r="1146">
          <cell r="A1146">
            <v>43296</v>
          </cell>
          <cell r="B1146" t="str">
            <v>MANAGER</v>
          </cell>
          <cell r="C1146">
            <v>969</v>
          </cell>
        </row>
        <row r="1147">
          <cell r="A1147">
            <v>43296</v>
          </cell>
          <cell r="B1147" t="str">
            <v>GUEST</v>
          </cell>
          <cell r="C1147">
            <v>3482</v>
          </cell>
        </row>
        <row r="1148">
          <cell r="A1148">
            <v>43295</v>
          </cell>
          <cell r="B1148" t="str">
            <v>MANAGER</v>
          </cell>
          <cell r="C1148">
            <v>1091</v>
          </cell>
        </row>
        <row r="1149">
          <cell r="A1149">
            <v>43295</v>
          </cell>
          <cell r="B1149" t="str">
            <v>RESIDENT</v>
          </cell>
          <cell r="C1149">
            <v>10958</v>
          </cell>
        </row>
        <row r="1150">
          <cell r="A1150">
            <v>43295</v>
          </cell>
          <cell r="B1150" t="str">
            <v>GUEST</v>
          </cell>
          <cell r="C1150">
            <v>3939</v>
          </cell>
        </row>
        <row r="1151">
          <cell r="A1151">
            <v>43294</v>
          </cell>
          <cell r="B1151" t="str">
            <v>MANAGER</v>
          </cell>
          <cell r="C1151">
            <v>1800</v>
          </cell>
        </row>
        <row r="1152">
          <cell r="A1152">
            <v>43294</v>
          </cell>
          <cell r="B1152" t="str">
            <v>GUEST</v>
          </cell>
          <cell r="C1152">
            <v>4987</v>
          </cell>
        </row>
        <row r="1153">
          <cell r="A1153">
            <v>43294</v>
          </cell>
          <cell r="B1153" t="str">
            <v>RESIDENT</v>
          </cell>
          <cell r="C1153">
            <v>12327</v>
          </cell>
        </row>
        <row r="1154">
          <cell r="A1154">
            <v>43293</v>
          </cell>
          <cell r="B1154" t="str">
            <v>RESIDENT</v>
          </cell>
          <cell r="C1154">
            <v>11976</v>
          </cell>
        </row>
        <row r="1155">
          <cell r="A1155">
            <v>43293</v>
          </cell>
          <cell r="B1155" t="str">
            <v>MANAGER</v>
          </cell>
          <cell r="C1155">
            <v>1722</v>
          </cell>
        </row>
        <row r="1156">
          <cell r="A1156">
            <v>43293</v>
          </cell>
          <cell r="B1156" t="str">
            <v>GUEST</v>
          </cell>
          <cell r="C1156">
            <v>4982</v>
          </cell>
        </row>
        <row r="1157">
          <cell r="A1157">
            <v>43292</v>
          </cell>
          <cell r="B1157" t="str">
            <v>RESIDENT</v>
          </cell>
          <cell r="C1157">
            <v>11598</v>
          </cell>
        </row>
        <row r="1158">
          <cell r="A1158">
            <v>43292</v>
          </cell>
          <cell r="B1158" t="str">
            <v>MANAGER</v>
          </cell>
          <cell r="C1158">
            <v>1748</v>
          </cell>
        </row>
        <row r="1159">
          <cell r="A1159">
            <v>43292</v>
          </cell>
          <cell r="B1159" t="str">
            <v>GUEST</v>
          </cell>
          <cell r="C1159">
            <v>4782</v>
          </cell>
        </row>
        <row r="1160">
          <cell r="A1160">
            <v>43291</v>
          </cell>
          <cell r="B1160" t="str">
            <v>MANAGER</v>
          </cell>
          <cell r="C1160">
            <v>1554</v>
          </cell>
        </row>
        <row r="1161">
          <cell r="A1161">
            <v>43291</v>
          </cell>
          <cell r="B1161" t="str">
            <v>GUEST</v>
          </cell>
          <cell r="C1161">
            <v>4441</v>
          </cell>
        </row>
        <row r="1162">
          <cell r="A1162">
            <v>43291</v>
          </cell>
          <cell r="B1162" t="str">
            <v>RESIDENT</v>
          </cell>
          <cell r="C1162">
            <v>11539</v>
          </cell>
        </row>
        <row r="1163">
          <cell r="A1163">
            <v>43290</v>
          </cell>
          <cell r="B1163" t="str">
            <v>MANAGER</v>
          </cell>
          <cell r="C1163">
            <v>1949</v>
          </cell>
        </row>
        <row r="1164">
          <cell r="A1164">
            <v>43290</v>
          </cell>
          <cell r="B1164" t="str">
            <v>GUEST</v>
          </cell>
          <cell r="C1164">
            <v>4484</v>
          </cell>
        </row>
        <row r="1165">
          <cell r="A1165">
            <v>43290</v>
          </cell>
          <cell r="B1165" t="str">
            <v>RESIDENT</v>
          </cell>
          <cell r="C1165">
            <v>11447</v>
          </cell>
        </row>
        <row r="1166">
          <cell r="A1166">
            <v>43289</v>
          </cell>
          <cell r="B1166" t="str">
            <v>GUEST</v>
          </cell>
          <cell r="C1166">
            <v>3573</v>
          </cell>
        </row>
        <row r="1167">
          <cell r="A1167">
            <v>43289</v>
          </cell>
          <cell r="B1167" t="str">
            <v>MANAGER</v>
          </cell>
          <cell r="C1167">
            <v>650</v>
          </cell>
        </row>
        <row r="1168">
          <cell r="A1168">
            <v>43289</v>
          </cell>
          <cell r="B1168" t="str">
            <v>RESIDENT</v>
          </cell>
          <cell r="C1168">
            <v>10666</v>
          </cell>
        </row>
        <row r="1169">
          <cell r="A1169">
            <v>43288</v>
          </cell>
          <cell r="B1169" t="str">
            <v>MANAGER</v>
          </cell>
          <cell r="C1169">
            <v>871</v>
          </cell>
        </row>
        <row r="1170">
          <cell r="A1170">
            <v>43288</v>
          </cell>
          <cell r="B1170" t="str">
            <v>RESIDENT</v>
          </cell>
          <cell r="C1170">
            <v>10276</v>
          </cell>
        </row>
        <row r="1171">
          <cell r="A1171">
            <v>43288</v>
          </cell>
          <cell r="B1171" t="str">
            <v>GUEST</v>
          </cell>
          <cell r="C1171">
            <v>3837</v>
          </cell>
        </row>
        <row r="1172">
          <cell r="A1172">
            <v>43287</v>
          </cell>
          <cell r="B1172" t="str">
            <v>MANAGER</v>
          </cell>
          <cell r="C1172">
            <v>1329</v>
          </cell>
        </row>
        <row r="1173">
          <cell r="A1173">
            <v>43287</v>
          </cell>
          <cell r="B1173" t="str">
            <v>GUEST</v>
          </cell>
          <cell r="C1173">
            <v>4217</v>
          </cell>
        </row>
        <row r="1174">
          <cell r="A1174">
            <v>43287</v>
          </cell>
          <cell r="B1174" t="str">
            <v>RESIDENT</v>
          </cell>
          <cell r="C1174">
            <v>10613</v>
          </cell>
        </row>
        <row r="1175">
          <cell r="A1175">
            <v>43286</v>
          </cell>
          <cell r="B1175" t="str">
            <v>MANAGER</v>
          </cell>
          <cell r="C1175">
            <v>1437</v>
          </cell>
        </row>
        <row r="1176">
          <cell r="A1176">
            <v>43286</v>
          </cell>
          <cell r="B1176" t="str">
            <v>GUEST</v>
          </cell>
          <cell r="C1176">
            <v>4185</v>
          </cell>
        </row>
        <row r="1177">
          <cell r="A1177">
            <v>43286</v>
          </cell>
          <cell r="B1177" t="str">
            <v>RESIDENT</v>
          </cell>
          <cell r="C1177">
            <v>10856</v>
          </cell>
        </row>
        <row r="1178">
          <cell r="A1178">
            <v>43285</v>
          </cell>
          <cell r="B1178" t="str">
            <v>GUEST</v>
          </cell>
          <cell r="C1178">
            <v>3706</v>
          </cell>
        </row>
        <row r="1179">
          <cell r="A1179">
            <v>43285</v>
          </cell>
          <cell r="B1179" t="str">
            <v>MANAGER</v>
          </cell>
          <cell r="C1179">
            <v>499</v>
          </cell>
        </row>
        <row r="1180">
          <cell r="A1180">
            <v>43285</v>
          </cell>
          <cell r="B1180" t="str">
            <v>RESIDENT</v>
          </cell>
          <cell r="C1180">
            <v>10089</v>
          </cell>
        </row>
        <row r="1181">
          <cell r="A1181">
            <v>43284</v>
          </cell>
          <cell r="B1181" t="str">
            <v>RESIDENT</v>
          </cell>
          <cell r="C1181">
            <v>10988</v>
          </cell>
        </row>
        <row r="1182">
          <cell r="A1182">
            <v>43284</v>
          </cell>
          <cell r="B1182" t="str">
            <v>MANAGER</v>
          </cell>
          <cell r="C1182">
            <v>1586</v>
          </cell>
        </row>
        <row r="1183">
          <cell r="A1183">
            <v>43284</v>
          </cell>
          <cell r="B1183" t="str">
            <v>GUEST</v>
          </cell>
          <cell r="C1183">
            <v>4378</v>
          </cell>
        </row>
        <row r="1184">
          <cell r="A1184">
            <v>43283</v>
          </cell>
          <cell r="B1184" t="str">
            <v>MANAGER</v>
          </cell>
          <cell r="C1184">
            <v>1537</v>
          </cell>
        </row>
        <row r="1185">
          <cell r="A1185">
            <v>43283</v>
          </cell>
          <cell r="B1185" t="str">
            <v>RESIDENT</v>
          </cell>
          <cell r="C1185">
            <v>11276</v>
          </cell>
        </row>
        <row r="1186">
          <cell r="A1186">
            <v>43283</v>
          </cell>
          <cell r="B1186" t="str">
            <v>GUEST</v>
          </cell>
          <cell r="C1186">
            <v>4862</v>
          </cell>
        </row>
        <row r="1187">
          <cell r="A1187">
            <v>43282</v>
          </cell>
          <cell r="B1187" t="str">
            <v>MANAGER</v>
          </cell>
          <cell r="C1187">
            <v>856</v>
          </cell>
        </row>
        <row r="1188">
          <cell r="A1188">
            <v>43282</v>
          </cell>
          <cell r="B1188" t="str">
            <v>RESIDENT</v>
          </cell>
          <cell r="C1188">
            <v>10447</v>
          </cell>
        </row>
        <row r="1189">
          <cell r="A1189">
            <v>43282</v>
          </cell>
          <cell r="B1189" t="str">
            <v>GUEST</v>
          </cell>
          <cell r="C1189">
            <v>3549</v>
          </cell>
        </row>
        <row r="1190">
          <cell r="A1190">
            <v>43281</v>
          </cell>
          <cell r="B1190" t="str">
            <v>RESIDENT</v>
          </cell>
          <cell r="C1190">
            <v>10315</v>
          </cell>
        </row>
        <row r="1191">
          <cell r="A1191">
            <v>43281</v>
          </cell>
          <cell r="B1191" t="str">
            <v>MANAGER</v>
          </cell>
          <cell r="C1191">
            <v>862</v>
          </cell>
        </row>
        <row r="1192">
          <cell r="A1192">
            <v>43281</v>
          </cell>
          <cell r="B1192" t="str">
            <v>GUEST</v>
          </cell>
          <cell r="C1192">
            <v>4108</v>
          </cell>
        </row>
        <row r="1193">
          <cell r="A1193">
            <v>43280</v>
          </cell>
          <cell r="B1193" t="str">
            <v>GUEST</v>
          </cell>
          <cell r="C1193">
            <v>4793</v>
          </cell>
        </row>
        <row r="1194">
          <cell r="A1194">
            <v>43280</v>
          </cell>
          <cell r="B1194" t="str">
            <v>MANAGER</v>
          </cell>
          <cell r="C1194">
            <v>1641</v>
          </cell>
        </row>
        <row r="1195">
          <cell r="A1195">
            <v>43280</v>
          </cell>
          <cell r="B1195" t="str">
            <v>RESIDENT</v>
          </cell>
          <cell r="C1195">
            <v>11008</v>
          </cell>
        </row>
        <row r="1196">
          <cell r="A1196">
            <v>43279</v>
          </cell>
          <cell r="B1196" t="str">
            <v>MANAGER</v>
          </cell>
          <cell r="C1196">
            <v>1443</v>
          </cell>
        </row>
        <row r="1197">
          <cell r="A1197">
            <v>43279</v>
          </cell>
          <cell r="B1197" t="str">
            <v>RESIDENT</v>
          </cell>
          <cell r="C1197">
            <v>10554</v>
          </cell>
        </row>
        <row r="1198">
          <cell r="A1198">
            <v>43279</v>
          </cell>
          <cell r="B1198" t="str">
            <v>GUEST</v>
          </cell>
          <cell r="C1198">
            <v>4482</v>
          </cell>
        </row>
        <row r="1199">
          <cell r="A1199">
            <v>43278</v>
          </cell>
          <cell r="B1199" t="str">
            <v>GUEST</v>
          </cell>
          <cell r="C1199">
            <v>4917</v>
          </cell>
        </row>
        <row r="1200">
          <cell r="A1200">
            <v>43278</v>
          </cell>
          <cell r="B1200" t="str">
            <v>MANAGER</v>
          </cell>
          <cell r="C1200">
            <v>1549</v>
          </cell>
        </row>
        <row r="1201">
          <cell r="A1201">
            <v>43278</v>
          </cell>
          <cell r="B1201" t="str">
            <v>RESIDENT</v>
          </cell>
          <cell r="C1201">
            <v>10532</v>
          </cell>
        </row>
        <row r="1202">
          <cell r="A1202">
            <v>43277</v>
          </cell>
          <cell r="B1202" t="str">
            <v>MANAGER</v>
          </cell>
          <cell r="C1202">
            <v>1485</v>
          </cell>
        </row>
        <row r="1203">
          <cell r="A1203">
            <v>43277</v>
          </cell>
          <cell r="B1203" t="str">
            <v>GUEST</v>
          </cell>
          <cell r="C1203">
            <v>4467</v>
          </cell>
        </row>
        <row r="1204">
          <cell r="A1204">
            <v>43277</v>
          </cell>
          <cell r="B1204" t="str">
            <v>RESIDENT</v>
          </cell>
          <cell r="C1204">
            <v>10419</v>
          </cell>
        </row>
        <row r="1205">
          <cell r="A1205">
            <v>43276</v>
          </cell>
          <cell r="B1205" t="str">
            <v>RESIDENT</v>
          </cell>
          <cell r="C1205">
            <v>10849</v>
          </cell>
        </row>
        <row r="1206">
          <cell r="A1206">
            <v>43276</v>
          </cell>
          <cell r="B1206" t="str">
            <v>MANAGER</v>
          </cell>
          <cell r="C1206">
            <v>1526</v>
          </cell>
        </row>
        <row r="1207">
          <cell r="A1207">
            <v>43276</v>
          </cell>
          <cell r="B1207" t="str">
            <v>GUEST</v>
          </cell>
          <cell r="C1207">
            <v>4397</v>
          </cell>
        </row>
        <row r="1208">
          <cell r="A1208">
            <v>43275</v>
          </cell>
          <cell r="B1208" t="str">
            <v>MANAGER</v>
          </cell>
          <cell r="C1208">
            <v>646</v>
          </cell>
        </row>
        <row r="1209">
          <cell r="A1209">
            <v>43275</v>
          </cell>
          <cell r="B1209" t="str">
            <v>GUEST</v>
          </cell>
          <cell r="C1209">
            <v>3318</v>
          </cell>
        </row>
        <row r="1210">
          <cell r="A1210">
            <v>43275</v>
          </cell>
          <cell r="B1210" t="str">
            <v>RESIDENT</v>
          </cell>
          <cell r="C1210">
            <v>10245</v>
          </cell>
        </row>
        <row r="1211">
          <cell r="A1211">
            <v>43274</v>
          </cell>
          <cell r="B1211" t="str">
            <v>RESIDENT</v>
          </cell>
          <cell r="C1211">
            <v>10253</v>
          </cell>
        </row>
        <row r="1212">
          <cell r="A1212">
            <v>43274</v>
          </cell>
          <cell r="B1212" t="str">
            <v>MANAGER</v>
          </cell>
          <cell r="C1212">
            <v>747</v>
          </cell>
        </row>
        <row r="1213">
          <cell r="A1213">
            <v>43274</v>
          </cell>
          <cell r="B1213" t="str">
            <v>GUEST</v>
          </cell>
          <cell r="C1213">
            <v>3954</v>
          </cell>
        </row>
        <row r="1214">
          <cell r="A1214">
            <v>43273</v>
          </cell>
          <cell r="B1214" t="str">
            <v>GUEST</v>
          </cell>
          <cell r="C1214">
            <v>4883</v>
          </cell>
        </row>
        <row r="1215">
          <cell r="A1215">
            <v>43273</v>
          </cell>
          <cell r="B1215" t="str">
            <v>MANAGER</v>
          </cell>
          <cell r="C1215">
            <v>1627</v>
          </cell>
        </row>
        <row r="1216">
          <cell r="A1216">
            <v>43273</v>
          </cell>
          <cell r="B1216" t="str">
            <v>RESIDENT</v>
          </cell>
          <cell r="C1216">
            <v>10812</v>
          </cell>
        </row>
        <row r="1217">
          <cell r="A1217">
            <v>43272</v>
          </cell>
          <cell r="B1217" t="str">
            <v>GUEST</v>
          </cell>
          <cell r="C1217">
            <v>4594</v>
          </cell>
        </row>
        <row r="1218">
          <cell r="A1218">
            <v>43272</v>
          </cell>
          <cell r="B1218" t="str">
            <v>MANAGER</v>
          </cell>
          <cell r="C1218">
            <v>1849</v>
          </cell>
        </row>
        <row r="1219">
          <cell r="A1219">
            <v>43272</v>
          </cell>
          <cell r="B1219" t="str">
            <v>RESIDENT</v>
          </cell>
          <cell r="C1219">
            <v>10877</v>
          </cell>
        </row>
        <row r="1220">
          <cell r="A1220">
            <v>43271</v>
          </cell>
          <cell r="B1220" t="str">
            <v>MANAGER</v>
          </cell>
          <cell r="C1220">
            <v>1945</v>
          </cell>
        </row>
        <row r="1221">
          <cell r="A1221">
            <v>43271</v>
          </cell>
          <cell r="B1221" t="str">
            <v>GUEST</v>
          </cell>
          <cell r="C1221">
            <v>4616</v>
          </cell>
        </row>
        <row r="1222">
          <cell r="A1222">
            <v>43271</v>
          </cell>
          <cell r="B1222" t="str">
            <v>RESIDENT</v>
          </cell>
          <cell r="C1222">
            <v>11147</v>
          </cell>
        </row>
        <row r="1223">
          <cell r="A1223">
            <v>43270</v>
          </cell>
          <cell r="B1223" t="str">
            <v>MANAGER</v>
          </cell>
          <cell r="C1223">
            <v>1810</v>
          </cell>
        </row>
        <row r="1224">
          <cell r="A1224">
            <v>43270</v>
          </cell>
          <cell r="B1224" t="str">
            <v>GUEST</v>
          </cell>
          <cell r="C1224">
            <v>4828</v>
          </cell>
        </row>
        <row r="1225">
          <cell r="A1225">
            <v>43270</v>
          </cell>
          <cell r="B1225" t="str">
            <v>RESIDENT</v>
          </cell>
          <cell r="C1225">
            <v>10859</v>
          </cell>
        </row>
        <row r="1226">
          <cell r="A1226">
            <v>43269</v>
          </cell>
          <cell r="B1226" t="str">
            <v>GUEST</v>
          </cell>
          <cell r="C1226">
            <v>5243</v>
          </cell>
        </row>
        <row r="1227">
          <cell r="A1227">
            <v>43269</v>
          </cell>
          <cell r="B1227" t="str">
            <v>MANAGER</v>
          </cell>
          <cell r="C1227">
            <v>1559</v>
          </cell>
        </row>
        <row r="1228">
          <cell r="A1228">
            <v>43269</v>
          </cell>
          <cell r="B1228" t="str">
            <v>RESIDENT</v>
          </cell>
          <cell r="C1228">
            <v>10603</v>
          </cell>
        </row>
        <row r="1229">
          <cell r="A1229">
            <v>43268</v>
          </cell>
          <cell r="B1229" t="str">
            <v>MANAGER</v>
          </cell>
          <cell r="C1229">
            <v>677</v>
          </cell>
        </row>
        <row r="1230">
          <cell r="A1230">
            <v>43268</v>
          </cell>
          <cell r="B1230" t="str">
            <v>GUEST</v>
          </cell>
          <cell r="C1230">
            <v>3194</v>
          </cell>
        </row>
        <row r="1231">
          <cell r="A1231">
            <v>43268</v>
          </cell>
          <cell r="B1231" t="str">
            <v>RESIDENT</v>
          </cell>
          <cell r="C1231">
            <v>9619</v>
          </cell>
        </row>
        <row r="1232">
          <cell r="A1232">
            <v>43267</v>
          </cell>
          <cell r="B1232" t="str">
            <v>GUEST</v>
          </cell>
          <cell r="C1232">
            <v>3682</v>
          </cell>
        </row>
        <row r="1233">
          <cell r="A1233">
            <v>43267</v>
          </cell>
          <cell r="B1233" t="str">
            <v>MANAGER</v>
          </cell>
          <cell r="C1233">
            <v>727</v>
          </cell>
        </row>
        <row r="1234">
          <cell r="A1234">
            <v>43267</v>
          </cell>
          <cell r="B1234" t="str">
            <v>RESIDENT</v>
          </cell>
          <cell r="C1234">
            <v>9722</v>
          </cell>
        </row>
        <row r="1235">
          <cell r="A1235">
            <v>43266</v>
          </cell>
          <cell r="B1235" t="str">
            <v>GUEST</v>
          </cell>
          <cell r="C1235">
            <v>4865</v>
          </cell>
        </row>
        <row r="1236">
          <cell r="A1236">
            <v>43266</v>
          </cell>
          <cell r="B1236" t="str">
            <v>RESIDENT</v>
          </cell>
          <cell r="C1236">
            <v>10566</v>
          </cell>
        </row>
        <row r="1237">
          <cell r="A1237">
            <v>43266</v>
          </cell>
          <cell r="B1237" t="str">
            <v>MANAGER</v>
          </cell>
          <cell r="C1237">
            <v>1708</v>
          </cell>
        </row>
        <row r="1238">
          <cell r="A1238">
            <v>43265</v>
          </cell>
          <cell r="B1238" t="str">
            <v>MANAGER</v>
          </cell>
          <cell r="C1238">
            <v>1836</v>
          </cell>
        </row>
        <row r="1239">
          <cell r="A1239">
            <v>43265</v>
          </cell>
          <cell r="B1239" t="str">
            <v>GUEST</v>
          </cell>
          <cell r="C1239">
            <v>4797</v>
          </cell>
        </row>
        <row r="1240">
          <cell r="A1240">
            <v>43265</v>
          </cell>
          <cell r="B1240" t="str">
            <v>RESIDENT</v>
          </cell>
          <cell r="C1240">
            <v>10163</v>
          </cell>
        </row>
        <row r="1241">
          <cell r="A1241">
            <v>43264</v>
          </cell>
          <cell r="B1241" t="str">
            <v>GUEST</v>
          </cell>
          <cell r="C1241">
            <v>4293</v>
          </cell>
        </row>
        <row r="1242">
          <cell r="A1242">
            <v>43264</v>
          </cell>
          <cell r="B1242" t="str">
            <v>MANAGER</v>
          </cell>
          <cell r="C1242">
            <v>1733</v>
          </cell>
        </row>
        <row r="1243">
          <cell r="A1243">
            <v>43264</v>
          </cell>
          <cell r="B1243" t="str">
            <v>RESIDENT</v>
          </cell>
          <cell r="C1243">
            <v>9742</v>
          </cell>
        </row>
        <row r="1244">
          <cell r="A1244">
            <v>43263</v>
          </cell>
          <cell r="B1244" t="str">
            <v>MANAGER</v>
          </cell>
          <cell r="C1244">
            <v>1522</v>
          </cell>
        </row>
        <row r="1245">
          <cell r="A1245">
            <v>43263</v>
          </cell>
          <cell r="B1245" t="str">
            <v>RESIDENT</v>
          </cell>
          <cell r="C1245">
            <v>10009</v>
          </cell>
        </row>
        <row r="1246">
          <cell r="A1246">
            <v>43263</v>
          </cell>
          <cell r="B1246" t="str">
            <v>GUEST</v>
          </cell>
          <cell r="C1246">
            <v>4245</v>
          </cell>
        </row>
        <row r="1247">
          <cell r="A1247">
            <v>43262</v>
          </cell>
          <cell r="B1247" t="str">
            <v>MANAGER</v>
          </cell>
          <cell r="C1247">
            <v>1467</v>
          </cell>
        </row>
        <row r="1248">
          <cell r="A1248">
            <v>43262</v>
          </cell>
          <cell r="B1248" t="str">
            <v>RESIDENT</v>
          </cell>
          <cell r="C1248">
            <v>9981</v>
          </cell>
        </row>
        <row r="1249">
          <cell r="A1249">
            <v>43262</v>
          </cell>
          <cell r="B1249" t="str">
            <v>GUEST</v>
          </cell>
          <cell r="C1249">
            <v>4446</v>
          </cell>
        </row>
        <row r="1250">
          <cell r="A1250">
            <v>43261</v>
          </cell>
          <cell r="B1250" t="str">
            <v>MANAGER</v>
          </cell>
          <cell r="C1250">
            <v>726</v>
          </cell>
        </row>
        <row r="1251">
          <cell r="A1251">
            <v>43261</v>
          </cell>
          <cell r="B1251" t="str">
            <v>GUEST</v>
          </cell>
          <cell r="C1251">
            <v>3209</v>
          </cell>
        </row>
        <row r="1252">
          <cell r="A1252">
            <v>43261</v>
          </cell>
          <cell r="B1252" t="str">
            <v>RESIDENT</v>
          </cell>
          <cell r="C1252">
            <v>9265</v>
          </cell>
        </row>
        <row r="1253">
          <cell r="A1253">
            <v>43260</v>
          </cell>
          <cell r="B1253" t="str">
            <v>GUEST</v>
          </cell>
          <cell r="C1253">
            <v>3485</v>
          </cell>
        </row>
        <row r="1254">
          <cell r="A1254">
            <v>43260</v>
          </cell>
          <cell r="B1254" t="str">
            <v>MANAGER</v>
          </cell>
          <cell r="C1254">
            <v>983</v>
          </cell>
        </row>
        <row r="1255">
          <cell r="A1255">
            <v>43260</v>
          </cell>
          <cell r="B1255" t="str">
            <v>RESIDENT</v>
          </cell>
          <cell r="C1255">
            <v>9431</v>
          </cell>
        </row>
        <row r="1256">
          <cell r="A1256">
            <v>43259</v>
          </cell>
          <cell r="B1256" t="str">
            <v>MANAGER</v>
          </cell>
          <cell r="C1256">
            <v>1700</v>
          </cell>
        </row>
        <row r="1257">
          <cell r="A1257">
            <v>43259</v>
          </cell>
          <cell r="B1257" t="str">
            <v>GUEST</v>
          </cell>
          <cell r="C1257">
            <v>4130</v>
          </cell>
        </row>
        <row r="1258">
          <cell r="A1258">
            <v>43259</v>
          </cell>
          <cell r="B1258" t="str">
            <v>RESIDENT</v>
          </cell>
          <cell r="C1258">
            <v>10259</v>
          </cell>
        </row>
        <row r="1259">
          <cell r="A1259">
            <v>43258</v>
          </cell>
          <cell r="B1259" t="str">
            <v>MANAGER</v>
          </cell>
          <cell r="C1259">
            <v>1545</v>
          </cell>
        </row>
        <row r="1260">
          <cell r="A1260">
            <v>43258</v>
          </cell>
          <cell r="B1260" t="str">
            <v>RESIDENT</v>
          </cell>
          <cell r="C1260">
            <v>9748</v>
          </cell>
        </row>
        <row r="1261">
          <cell r="A1261">
            <v>43258</v>
          </cell>
          <cell r="B1261" t="str">
            <v>GUEST</v>
          </cell>
          <cell r="C1261">
            <v>3997</v>
          </cell>
        </row>
        <row r="1262">
          <cell r="A1262">
            <v>43257</v>
          </cell>
          <cell r="B1262" t="str">
            <v>MANAGER</v>
          </cell>
          <cell r="C1262">
            <v>1669</v>
          </cell>
        </row>
        <row r="1263">
          <cell r="A1263">
            <v>43257</v>
          </cell>
          <cell r="B1263" t="str">
            <v>RESIDENT</v>
          </cell>
          <cell r="C1263">
            <v>9938</v>
          </cell>
        </row>
        <row r="1264">
          <cell r="A1264">
            <v>43257</v>
          </cell>
          <cell r="B1264" t="str">
            <v>GUEST</v>
          </cell>
          <cell r="C1264">
            <v>4127</v>
          </cell>
        </row>
        <row r="1265">
          <cell r="A1265">
            <v>43256</v>
          </cell>
          <cell r="B1265" t="str">
            <v>GUEST</v>
          </cell>
          <cell r="C1265">
            <v>3841</v>
          </cell>
        </row>
        <row r="1266">
          <cell r="A1266">
            <v>43256</v>
          </cell>
          <cell r="B1266" t="str">
            <v>MANAGER</v>
          </cell>
          <cell r="C1266">
            <v>1773</v>
          </cell>
        </row>
        <row r="1267">
          <cell r="A1267">
            <v>43256</v>
          </cell>
          <cell r="B1267" t="str">
            <v>RESIDENT</v>
          </cell>
          <cell r="C1267">
            <v>9790</v>
          </cell>
        </row>
        <row r="1268">
          <cell r="A1268">
            <v>43255</v>
          </cell>
          <cell r="B1268" t="str">
            <v>MANAGER</v>
          </cell>
          <cell r="C1268">
            <v>1763</v>
          </cell>
        </row>
        <row r="1269">
          <cell r="A1269">
            <v>43255</v>
          </cell>
          <cell r="B1269" t="str">
            <v>GUEST</v>
          </cell>
          <cell r="C1269">
            <v>4042</v>
          </cell>
        </row>
        <row r="1270">
          <cell r="A1270">
            <v>43255</v>
          </cell>
          <cell r="B1270" t="str">
            <v>RESIDENT</v>
          </cell>
          <cell r="C1270">
            <v>9572</v>
          </cell>
        </row>
        <row r="1271">
          <cell r="A1271">
            <v>43254</v>
          </cell>
          <cell r="B1271" t="str">
            <v>MANAGER</v>
          </cell>
          <cell r="C1271">
            <v>640</v>
          </cell>
        </row>
        <row r="1272">
          <cell r="A1272">
            <v>43254</v>
          </cell>
          <cell r="B1272" t="str">
            <v>RESIDENT</v>
          </cell>
          <cell r="C1272">
            <v>9186</v>
          </cell>
        </row>
        <row r="1273">
          <cell r="A1273">
            <v>43254</v>
          </cell>
          <cell r="B1273" t="str">
            <v>GUEST</v>
          </cell>
          <cell r="C1273">
            <v>3205</v>
          </cell>
        </row>
        <row r="1274">
          <cell r="A1274">
            <v>43253</v>
          </cell>
          <cell r="B1274" t="str">
            <v>GUEST</v>
          </cell>
          <cell r="C1274">
            <v>3553</v>
          </cell>
        </row>
        <row r="1275">
          <cell r="A1275">
            <v>43253</v>
          </cell>
          <cell r="B1275" t="str">
            <v>MANAGER</v>
          </cell>
          <cell r="C1275">
            <v>857</v>
          </cell>
        </row>
        <row r="1276">
          <cell r="A1276">
            <v>43253</v>
          </cell>
          <cell r="B1276" t="str">
            <v>RESIDENT</v>
          </cell>
          <cell r="C1276">
            <v>9283</v>
          </cell>
        </row>
        <row r="1277">
          <cell r="A1277">
            <v>43252</v>
          </cell>
          <cell r="B1277" t="str">
            <v>GUEST</v>
          </cell>
          <cell r="C1277">
            <v>4469</v>
          </cell>
        </row>
        <row r="1278">
          <cell r="A1278">
            <v>43252</v>
          </cell>
          <cell r="B1278" t="str">
            <v>MANAGER</v>
          </cell>
          <cell r="C1278">
            <v>1801</v>
          </cell>
        </row>
        <row r="1279">
          <cell r="A1279">
            <v>43252</v>
          </cell>
          <cell r="B1279" t="str">
            <v>RESIDENT</v>
          </cell>
          <cell r="C1279">
            <v>9861</v>
          </cell>
        </row>
        <row r="1280">
          <cell r="A1280">
            <v>43251</v>
          </cell>
          <cell r="B1280" t="str">
            <v>MANAGER</v>
          </cell>
          <cell r="C1280">
            <v>1469</v>
          </cell>
        </row>
        <row r="1281">
          <cell r="A1281">
            <v>43251</v>
          </cell>
          <cell r="B1281" t="str">
            <v>RESIDENT</v>
          </cell>
          <cell r="C1281">
            <v>9159</v>
          </cell>
        </row>
        <row r="1282">
          <cell r="A1282">
            <v>43251</v>
          </cell>
          <cell r="B1282" t="str">
            <v>GUEST</v>
          </cell>
          <cell r="C1282">
            <v>4166</v>
          </cell>
        </row>
        <row r="1283">
          <cell r="A1283">
            <v>43250</v>
          </cell>
          <cell r="B1283" t="str">
            <v>MANAGER</v>
          </cell>
          <cell r="C1283">
            <v>1666</v>
          </cell>
        </row>
        <row r="1284">
          <cell r="A1284">
            <v>43250</v>
          </cell>
          <cell r="B1284" t="str">
            <v>RESIDENT</v>
          </cell>
          <cell r="C1284">
            <v>9137</v>
          </cell>
        </row>
        <row r="1285">
          <cell r="A1285">
            <v>43250</v>
          </cell>
          <cell r="B1285" t="str">
            <v>GUEST</v>
          </cell>
          <cell r="C1285">
            <v>3825</v>
          </cell>
        </row>
        <row r="1286">
          <cell r="A1286">
            <v>43249</v>
          </cell>
          <cell r="B1286" t="str">
            <v>GUEST</v>
          </cell>
          <cell r="C1286">
            <v>3606</v>
          </cell>
        </row>
        <row r="1287">
          <cell r="A1287">
            <v>43249</v>
          </cell>
          <cell r="B1287" t="str">
            <v>MANAGER</v>
          </cell>
          <cell r="C1287">
            <v>1666</v>
          </cell>
        </row>
        <row r="1288">
          <cell r="A1288">
            <v>43249</v>
          </cell>
          <cell r="B1288" t="str">
            <v>RESIDENT</v>
          </cell>
          <cell r="C1288">
            <v>9117</v>
          </cell>
        </row>
        <row r="1289">
          <cell r="A1289">
            <v>43248</v>
          </cell>
          <cell r="B1289" t="str">
            <v>RESIDENT</v>
          </cell>
          <cell r="C1289">
            <v>7134</v>
          </cell>
        </row>
        <row r="1290">
          <cell r="A1290">
            <v>43248</v>
          </cell>
          <cell r="B1290" t="str">
            <v>MANAGER</v>
          </cell>
          <cell r="C1290">
            <v>489</v>
          </cell>
        </row>
        <row r="1291">
          <cell r="A1291">
            <v>43248</v>
          </cell>
          <cell r="B1291" t="str">
            <v>GUEST</v>
          </cell>
          <cell r="C1291">
            <v>2561</v>
          </cell>
        </row>
        <row r="1292">
          <cell r="A1292">
            <v>43247</v>
          </cell>
          <cell r="B1292" t="str">
            <v>MANAGER</v>
          </cell>
          <cell r="C1292">
            <v>447</v>
          </cell>
        </row>
        <row r="1293">
          <cell r="A1293">
            <v>43247</v>
          </cell>
          <cell r="B1293" t="str">
            <v>RESIDENT</v>
          </cell>
          <cell r="C1293">
            <v>6382</v>
          </cell>
        </row>
        <row r="1294">
          <cell r="A1294">
            <v>43247</v>
          </cell>
          <cell r="B1294" t="str">
            <v>GUEST</v>
          </cell>
          <cell r="C1294">
            <v>2291</v>
          </cell>
        </row>
        <row r="1295">
          <cell r="A1295">
            <v>43246</v>
          </cell>
          <cell r="B1295" t="str">
            <v>MANAGER</v>
          </cell>
          <cell r="C1295">
            <v>541</v>
          </cell>
        </row>
        <row r="1296">
          <cell r="A1296">
            <v>43246</v>
          </cell>
          <cell r="B1296" t="str">
            <v>RESIDENT</v>
          </cell>
          <cell r="C1296">
            <v>7231</v>
          </cell>
        </row>
        <row r="1297">
          <cell r="A1297">
            <v>43246</v>
          </cell>
          <cell r="B1297" t="str">
            <v>GUEST</v>
          </cell>
          <cell r="C1297">
            <v>2696</v>
          </cell>
        </row>
        <row r="1298">
          <cell r="A1298">
            <v>43245</v>
          </cell>
          <cell r="B1298" t="str">
            <v>MANAGER</v>
          </cell>
          <cell r="C1298">
            <v>1213</v>
          </cell>
        </row>
        <row r="1299">
          <cell r="A1299">
            <v>43245</v>
          </cell>
          <cell r="B1299" t="str">
            <v>RESIDENT</v>
          </cell>
          <cell r="C1299">
            <v>8476</v>
          </cell>
        </row>
        <row r="1300">
          <cell r="A1300">
            <v>43245</v>
          </cell>
          <cell r="B1300" t="str">
            <v>GUEST</v>
          </cell>
          <cell r="C1300">
            <v>3400</v>
          </cell>
        </row>
        <row r="1301">
          <cell r="A1301">
            <v>43244</v>
          </cell>
          <cell r="B1301" t="str">
            <v>RESIDENT</v>
          </cell>
          <cell r="C1301">
            <v>8569</v>
          </cell>
        </row>
        <row r="1302">
          <cell r="A1302">
            <v>43244</v>
          </cell>
          <cell r="B1302" t="str">
            <v>MANAGER</v>
          </cell>
          <cell r="C1302">
            <v>1592</v>
          </cell>
        </row>
        <row r="1303">
          <cell r="A1303">
            <v>43244</v>
          </cell>
          <cell r="B1303" t="str">
            <v>GUEST</v>
          </cell>
          <cell r="C1303">
            <v>3318</v>
          </cell>
        </row>
        <row r="1304">
          <cell r="A1304">
            <v>43243</v>
          </cell>
          <cell r="B1304" t="str">
            <v>MANAGER</v>
          </cell>
          <cell r="C1304">
            <v>1674</v>
          </cell>
        </row>
        <row r="1305">
          <cell r="A1305">
            <v>43243</v>
          </cell>
          <cell r="B1305" t="str">
            <v>RESIDENT</v>
          </cell>
          <cell r="C1305">
            <v>8461</v>
          </cell>
        </row>
        <row r="1306">
          <cell r="A1306">
            <v>43243</v>
          </cell>
          <cell r="B1306" t="str">
            <v>GUEST</v>
          </cell>
          <cell r="C1306">
            <v>3512</v>
          </cell>
        </row>
        <row r="1307">
          <cell r="A1307">
            <v>43242</v>
          </cell>
          <cell r="B1307" t="str">
            <v>RESIDENT</v>
          </cell>
          <cell r="C1307">
            <v>8492</v>
          </cell>
        </row>
        <row r="1308">
          <cell r="A1308">
            <v>43242</v>
          </cell>
          <cell r="B1308" t="str">
            <v>MANAGER</v>
          </cell>
          <cell r="C1308">
            <v>1472</v>
          </cell>
        </row>
        <row r="1309">
          <cell r="A1309">
            <v>43242</v>
          </cell>
          <cell r="B1309" t="str">
            <v>GUEST</v>
          </cell>
          <cell r="C1309">
            <v>3358</v>
          </cell>
        </row>
        <row r="1310">
          <cell r="A1310">
            <v>43241</v>
          </cell>
          <cell r="B1310" t="str">
            <v>MANAGER</v>
          </cell>
          <cell r="C1310">
            <v>1403</v>
          </cell>
        </row>
        <row r="1311">
          <cell r="A1311">
            <v>43241</v>
          </cell>
          <cell r="B1311" t="str">
            <v>RESIDENT</v>
          </cell>
          <cell r="C1311">
            <v>8213</v>
          </cell>
        </row>
        <row r="1312">
          <cell r="A1312">
            <v>43241</v>
          </cell>
          <cell r="B1312" t="str">
            <v>GUEST</v>
          </cell>
          <cell r="C1312">
            <v>3206</v>
          </cell>
        </row>
        <row r="1313">
          <cell r="A1313">
            <v>43240</v>
          </cell>
          <cell r="B1313" t="str">
            <v>GUEST</v>
          </cell>
          <cell r="C1313">
            <v>2786</v>
          </cell>
        </row>
        <row r="1314">
          <cell r="A1314">
            <v>43240</v>
          </cell>
          <cell r="B1314" t="str">
            <v>MANAGER</v>
          </cell>
          <cell r="C1314">
            <v>657</v>
          </cell>
        </row>
        <row r="1315">
          <cell r="A1315">
            <v>43240</v>
          </cell>
          <cell r="B1315" t="str">
            <v>RESIDENT</v>
          </cell>
          <cell r="C1315">
            <v>7709</v>
          </cell>
        </row>
        <row r="1316">
          <cell r="A1316">
            <v>43239</v>
          </cell>
          <cell r="B1316" t="str">
            <v>RESIDENT</v>
          </cell>
          <cell r="C1316">
            <v>7099</v>
          </cell>
        </row>
        <row r="1317">
          <cell r="A1317">
            <v>43239</v>
          </cell>
          <cell r="B1317" t="str">
            <v>MANAGER</v>
          </cell>
          <cell r="C1317">
            <v>738</v>
          </cell>
        </row>
        <row r="1318">
          <cell r="A1318">
            <v>43239</v>
          </cell>
          <cell r="B1318" t="str">
            <v>GUEST</v>
          </cell>
          <cell r="C1318">
            <v>2679</v>
          </cell>
        </row>
        <row r="1319">
          <cell r="A1319">
            <v>43238</v>
          </cell>
          <cell r="B1319" t="str">
            <v>GUEST</v>
          </cell>
          <cell r="C1319">
            <v>3568</v>
          </cell>
        </row>
        <row r="1320">
          <cell r="A1320">
            <v>43238</v>
          </cell>
          <cell r="B1320" t="str">
            <v>MANAGER</v>
          </cell>
          <cell r="C1320">
            <v>1561</v>
          </cell>
        </row>
        <row r="1321">
          <cell r="A1321">
            <v>43238</v>
          </cell>
          <cell r="B1321" t="str">
            <v>RESIDENT</v>
          </cell>
          <cell r="C1321">
            <v>8335</v>
          </cell>
        </row>
        <row r="1322">
          <cell r="A1322">
            <v>43237</v>
          </cell>
          <cell r="B1322" t="str">
            <v>GUEST</v>
          </cell>
          <cell r="C1322">
            <v>3699</v>
          </cell>
        </row>
        <row r="1323">
          <cell r="A1323">
            <v>43237</v>
          </cell>
          <cell r="B1323" t="str">
            <v>MANAGER</v>
          </cell>
          <cell r="C1323">
            <v>1546</v>
          </cell>
        </row>
        <row r="1324">
          <cell r="A1324">
            <v>43237</v>
          </cell>
          <cell r="B1324" t="str">
            <v>RESIDENT</v>
          </cell>
          <cell r="C1324">
            <v>8360</v>
          </cell>
        </row>
        <row r="1325">
          <cell r="A1325">
            <v>43236</v>
          </cell>
          <cell r="B1325" t="str">
            <v>MANAGER</v>
          </cell>
          <cell r="C1325">
            <v>1501</v>
          </cell>
        </row>
        <row r="1326">
          <cell r="A1326">
            <v>43236</v>
          </cell>
          <cell r="B1326" t="str">
            <v>GUEST</v>
          </cell>
          <cell r="C1326">
            <v>3367</v>
          </cell>
        </row>
        <row r="1327">
          <cell r="A1327">
            <v>43236</v>
          </cell>
          <cell r="B1327" t="str">
            <v>RESIDENT</v>
          </cell>
          <cell r="C1327">
            <v>8252</v>
          </cell>
        </row>
        <row r="1328">
          <cell r="A1328">
            <v>43235</v>
          </cell>
          <cell r="B1328" t="str">
            <v>MANAGER</v>
          </cell>
          <cell r="C1328">
            <v>1489</v>
          </cell>
        </row>
        <row r="1329">
          <cell r="A1329">
            <v>43235</v>
          </cell>
          <cell r="B1329" t="str">
            <v>RESIDENT</v>
          </cell>
          <cell r="C1329">
            <v>8421</v>
          </cell>
        </row>
        <row r="1330">
          <cell r="A1330">
            <v>43235</v>
          </cell>
          <cell r="B1330" t="str">
            <v>GUEST</v>
          </cell>
          <cell r="C1330">
            <v>3525</v>
          </cell>
        </row>
        <row r="1331">
          <cell r="A1331">
            <v>43234</v>
          </cell>
          <cell r="B1331" t="str">
            <v>RESIDENT</v>
          </cell>
          <cell r="C1331">
            <v>7743</v>
          </cell>
        </row>
        <row r="1332">
          <cell r="A1332">
            <v>43234</v>
          </cell>
          <cell r="B1332" t="str">
            <v>MANAGER</v>
          </cell>
          <cell r="C1332">
            <v>1324</v>
          </cell>
        </row>
        <row r="1333">
          <cell r="A1333">
            <v>43234</v>
          </cell>
          <cell r="B1333" t="str">
            <v>GUEST</v>
          </cell>
          <cell r="C1333">
            <v>3164</v>
          </cell>
        </row>
        <row r="1334">
          <cell r="A1334">
            <v>43233</v>
          </cell>
          <cell r="B1334" t="str">
            <v>GUEST</v>
          </cell>
          <cell r="C1334">
            <v>2349</v>
          </cell>
        </row>
        <row r="1335">
          <cell r="A1335">
            <v>43233</v>
          </cell>
          <cell r="B1335" t="str">
            <v>MANAGER</v>
          </cell>
          <cell r="C1335">
            <v>528</v>
          </cell>
        </row>
        <row r="1336">
          <cell r="A1336">
            <v>43233</v>
          </cell>
          <cell r="B1336" t="str">
            <v>RESIDENT</v>
          </cell>
          <cell r="C1336">
            <v>7008</v>
          </cell>
        </row>
        <row r="1337">
          <cell r="A1337">
            <v>43232</v>
          </cell>
          <cell r="B1337" t="str">
            <v>MANAGER</v>
          </cell>
          <cell r="C1337">
            <v>782</v>
          </cell>
        </row>
        <row r="1338">
          <cell r="A1338">
            <v>43232</v>
          </cell>
          <cell r="B1338" t="str">
            <v>RESIDENT</v>
          </cell>
          <cell r="C1338">
            <v>7439</v>
          </cell>
        </row>
        <row r="1339">
          <cell r="A1339">
            <v>43232</v>
          </cell>
          <cell r="B1339" t="str">
            <v>GUEST</v>
          </cell>
          <cell r="C1339">
            <v>2771</v>
          </cell>
        </row>
        <row r="1340">
          <cell r="A1340">
            <v>43231</v>
          </cell>
          <cell r="B1340" t="str">
            <v>MANAGER</v>
          </cell>
          <cell r="C1340">
            <v>1615</v>
          </cell>
        </row>
        <row r="1341">
          <cell r="A1341">
            <v>43231</v>
          </cell>
          <cell r="B1341" t="str">
            <v>RESIDENT</v>
          </cell>
          <cell r="C1341">
            <v>8135</v>
          </cell>
        </row>
        <row r="1342">
          <cell r="A1342">
            <v>43231</v>
          </cell>
          <cell r="B1342" t="str">
            <v>GUEST</v>
          </cell>
          <cell r="C1342">
            <v>3707</v>
          </cell>
        </row>
        <row r="1343">
          <cell r="A1343">
            <v>43230</v>
          </cell>
          <cell r="B1343" t="str">
            <v>MANAGER</v>
          </cell>
          <cell r="C1343">
            <v>1325</v>
          </cell>
        </row>
        <row r="1344">
          <cell r="A1344">
            <v>43230</v>
          </cell>
          <cell r="B1344" t="str">
            <v>GUEST</v>
          </cell>
          <cell r="C1344">
            <v>3371</v>
          </cell>
        </row>
        <row r="1345">
          <cell r="A1345">
            <v>43230</v>
          </cell>
          <cell r="B1345" t="str">
            <v>RESIDENT</v>
          </cell>
          <cell r="C1345">
            <v>8032</v>
          </cell>
        </row>
        <row r="1346">
          <cell r="A1346">
            <v>43229</v>
          </cell>
          <cell r="B1346" t="str">
            <v>GUEST</v>
          </cell>
          <cell r="C1346">
            <v>3490</v>
          </cell>
        </row>
        <row r="1347">
          <cell r="A1347">
            <v>43229</v>
          </cell>
          <cell r="B1347" t="str">
            <v>MANAGER</v>
          </cell>
          <cell r="C1347">
            <v>1343</v>
          </cell>
        </row>
        <row r="1348">
          <cell r="A1348">
            <v>43229</v>
          </cell>
          <cell r="B1348" t="str">
            <v>RESIDENT</v>
          </cell>
          <cell r="C1348">
            <v>8508</v>
          </cell>
        </row>
        <row r="1349">
          <cell r="A1349">
            <v>43228</v>
          </cell>
          <cell r="B1349" t="str">
            <v>MANAGER</v>
          </cell>
          <cell r="C1349">
            <v>1155</v>
          </cell>
        </row>
        <row r="1350">
          <cell r="A1350">
            <v>43228</v>
          </cell>
          <cell r="B1350" t="str">
            <v>RESIDENT</v>
          </cell>
          <cell r="C1350">
            <v>8322</v>
          </cell>
        </row>
        <row r="1351">
          <cell r="A1351">
            <v>43228</v>
          </cell>
          <cell r="B1351" t="str">
            <v>GUEST</v>
          </cell>
          <cell r="C1351">
            <v>3454</v>
          </cell>
        </row>
        <row r="1352">
          <cell r="A1352">
            <v>43227</v>
          </cell>
          <cell r="B1352" t="str">
            <v>GUEST</v>
          </cell>
          <cell r="C1352">
            <v>3488</v>
          </cell>
        </row>
        <row r="1353">
          <cell r="A1353">
            <v>43227</v>
          </cell>
          <cell r="B1353" t="str">
            <v>MANAGER</v>
          </cell>
          <cell r="C1353">
            <v>1474</v>
          </cell>
        </row>
        <row r="1354">
          <cell r="A1354">
            <v>43227</v>
          </cell>
          <cell r="B1354" t="str">
            <v>RESIDENT</v>
          </cell>
          <cell r="C1354">
            <v>8266</v>
          </cell>
        </row>
        <row r="1355">
          <cell r="A1355">
            <v>43226</v>
          </cell>
          <cell r="B1355" t="str">
            <v>GUEST</v>
          </cell>
          <cell r="C1355">
            <v>2546</v>
          </cell>
        </row>
        <row r="1356">
          <cell r="A1356">
            <v>43226</v>
          </cell>
          <cell r="B1356" t="str">
            <v>RESIDENT</v>
          </cell>
          <cell r="C1356">
            <v>7702</v>
          </cell>
        </row>
        <row r="1357">
          <cell r="A1357">
            <v>43226</v>
          </cell>
          <cell r="B1357" t="str">
            <v>MANAGER</v>
          </cell>
          <cell r="C1357">
            <v>639</v>
          </cell>
        </row>
        <row r="1358">
          <cell r="A1358">
            <v>43225</v>
          </cell>
          <cell r="B1358" t="str">
            <v>RESIDENT</v>
          </cell>
          <cell r="C1358">
            <v>7740</v>
          </cell>
        </row>
        <row r="1359">
          <cell r="A1359">
            <v>43225</v>
          </cell>
          <cell r="B1359" t="str">
            <v>MANAGER</v>
          </cell>
          <cell r="C1359">
            <v>627</v>
          </cell>
        </row>
        <row r="1360">
          <cell r="A1360">
            <v>43225</v>
          </cell>
          <cell r="B1360" t="str">
            <v>GUEST</v>
          </cell>
          <cell r="C1360">
            <v>2909</v>
          </cell>
        </row>
        <row r="1361">
          <cell r="A1361">
            <v>43224</v>
          </cell>
          <cell r="B1361" t="str">
            <v>RESIDENT</v>
          </cell>
          <cell r="C1361">
            <v>8248</v>
          </cell>
        </row>
        <row r="1362">
          <cell r="A1362">
            <v>43224</v>
          </cell>
          <cell r="B1362" t="str">
            <v>MANAGER</v>
          </cell>
          <cell r="C1362">
            <v>1396</v>
          </cell>
        </row>
        <row r="1363">
          <cell r="A1363">
            <v>43224</v>
          </cell>
          <cell r="B1363" t="str">
            <v>GUEST</v>
          </cell>
          <cell r="C1363">
            <v>3834</v>
          </cell>
        </row>
        <row r="1364">
          <cell r="A1364">
            <v>43223</v>
          </cell>
          <cell r="B1364" t="str">
            <v>MANAGER</v>
          </cell>
          <cell r="C1364">
            <v>1503</v>
          </cell>
        </row>
        <row r="1365">
          <cell r="A1365">
            <v>43223</v>
          </cell>
          <cell r="B1365" t="str">
            <v>GUEST</v>
          </cell>
          <cell r="C1365">
            <v>3891</v>
          </cell>
        </row>
        <row r="1366">
          <cell r="A1366">
            <v>43223</v>
          </cell>
          <cell r="B1366" t="str">
            <v>RESIDENT</v>
          </cell>
          <cell r="C1366">
            <v>8330</v>
          </cell>
        </row>
        <row r="1367">
          <cell r="A1367">
            <v>43222</v>
          </cell>
          <cell r="B1367" t="str">
            <v>RESIDENT</v>
          </cell>
          <cell r="C1367">
            <v>8249</v>
          </cell>
        </row>
        <row r="1368">
          <cell r="A1368">
            <v>43222</v>
          </cell>
          <cell r="B1368" t="str">
            <v>MANAGER</v>
          </cell>
          <cell r="C1368">
            <v>1588</v>
          </cell>
        </row>
        <row r="1369">
          <cell r="A1369">
            <v>43222</v>
          </cell>
          <cell r="B1369" t="str">
            <v>GUEST</v>
          </cell>
          <cell r="C1369">
            <v>4009</v>
          </cell>
        </row>
        <row r="1370">
          <cell r="A1370">
            <v>43221</v>
          </cell>
          <cell r="B1370" t="str">
            <v>MANAGER</v>
          </cell>
          <cell r="C1370">
            <v>1750</v>
          </cell>
        </row>
        <row r="1371">
          <cell r="A1371">
            <v>43221</v>
          </cell>
          <cell r="B1371" t="str">
            <v>GUEST</v>
          </cell>
          <cell r="C1371">
            <v>3701</v>
          </cell>
        </row>
        <row r="1372">
          <cell r="A1372">
            <v>43221</v>
          </cell>
          <cell r="B1372" t="str">
            <v>RESIDENT</v>
          </cell>
          <cell r="C1372">
            <v>8325</v>
          </cell>
        </row>
        <row r="1373">
          <cell r="A1373">
            <v>43220</v>
          </cell>
          <cell r="B1373" t="str">
            <v>GUEST</v>
          </cell>
          <cell r="C1373">
            <v>3249</v>
          </cell>
        </row>
        <row r="1374">
          <cell r="A1374">
            <v>43220</v>
          </cell>
          <cell r="B1374" t="str">
            <v>MANAGER</v>
          </cell>
          <cell r="C1374">
            <v>1620</v>
          </cell>
        </row>
        <row r="1375">
          <cell r="A1375">
            <v>43220</v>
          </cell>
          <cell r="B1375" t="str">
            <v>RESIDENT</v>
          </cell>
          <cell r="C1375">
            <v>7710</v>
          </cell>
        </row>
        <row r="1376">
          <cell r="A1376">
            <v>43219</v>
          </cell>
          <cell r="B1376" t="str">
            <v>GUEST</v>
          </cell>
          <cell r="C1376">
            <v>2431</v>
          </cell>
        </row>
        <row r="1377">
          <cell r="A1377">
            <v>43219</v>
          </cell>
          <cell r="B1377" t="str">
            <v>MANAGER</v>
          </cell>
          <cell r="C1377">
            <v>480</v>
          </cell>
        </row>
        <row r="1378">
          <cell r="A1378">
            <v>43219</v>
          </cell>
          <cell r="B1378" t="str">
            <v>RESIDENT</v>
          </cell>
          <cell r="C1378">
            <v>7131</v>
          </cell>
        </row>
        <row r="1379">
          <cell r="A1379">
            <v>43218</v>
          </cell>
          <cell r="B1379" t="str">
            <v>MANAGER</v>
          </cell>
          <cell r="C1379">
            <v>688</v>
          </cell>
        </row>
        <row r="1380">
          <cell r="A1380">
            <v>43218</v>
          </cell>
          <cell r="B1380" t="str">
            <v>RESIDENT</v>
          </cell>
          <cell r="C1380">
            <v>7340</v>
          </cell>
        </row>
        <row r="1381">
          <cell r="A1381">
            <v>43218</v>
          </cell>
          <cell r="B1381" t="str">
            <v>GUEST</v>
          </cell>
          <cell r="C1381">
            <v>2897</v>
          </cell>
        </row>
        <row r="1382">
          <cell r="A1382">
            <v>43217</v>
          </cell>
          <cell r="B1382" t="str">
            <v>MANAGER</v>
          </cell>
          <cell r="C1382">
            <v>1312</v>
          </cell>
        </row>
        <row r="1383">
          <cell r="A1383">
            <v>43217</v>
          </cell>
          <cell r="B1383" t="str">
            <v>RESIDENT</v>
          </cell>
          <cell r="C1383">
            <v>7361</v>
          </cell>
        </row>
        <row r="1384">
          <cell r="A1384">
            <v>43217</v>
          </cell>
          <cell r="B1384" t="str">
            <v>GUEST</v>
          </cell>
          <cell r="C1384">
            <v>3573</v>
          </cell>
        </row>
        <row r="1385">
          <cell r="A1385">
            <v>43216</v>
          </cell>
          <cell r="B1385" t="str">
            <v>MANAGER</v>
          </cell>
          <cell r="C1385">
            <v>1400</v>
          </cell>
        </row>
        <row r="1386">
          <cell r="A1386">
            <v>43216</v>
          </cell>
          <cell r="B1386" t="str">
            <v>GUEST</v>
          </cell>
          <cell r="C1386">
            <v>3412</v>
          </cell>
        </row>
        <row r="1387">
          <cell r="A1387">
            <v>43216</v>
          </cell>
          <cell r="B1387" t="str">
            <v>RESIDENT</v>
          </cell>
          <cell r="C1387">
            <v>7474</v>
          </cell>
        </row>
        <row r="1388">
          <cell r="A1388">
            <v>43215</v>
          </cell>
          <cell r="B1388" t="str">
            <v>GUEST</v>
          </cell>
          <cell r="C1388">
            <v>3064</v>
          </cell>
        </row>
        <row r="1389">
          <cell r="A1389">
            <v>43215</v>
          </cell>
          <cell r="B1389" t="str">
            <v>MANAGER</v>
          </cell>
          <cell r="C1389">
            <v>1287</v>
          </cell>
        </row>
        <row r="1390">
          <cell r="A1390">
            <v>43215</v>
          </cell>
          <cell r="B1390" t="str">
            <v>RESIDENT</v>
          </cell>
          <cell r="C1390">
            <v>6977</v>
          </cell>
        </row>
        <row r="1391">
          <cell r="A1391">
            <v>43214</v>
          </cell>
          <cell r="B1391" t="str">
            <v>MANAGER</v>
          </cell>
          <cell r="C1391">
            <v>1406</v>
          </cell>
        </row>
        <row r="1392">
          <cell r="A1392">
            <v>43214</v>
          </cell>
          <cell r="B1392" t="str">
            <v>GUEST</v>
          </cell>
          <cell r="C1392">
            <v>3031</v>
          </cell>
        </row>
        <row r="1393">
          <cell r="A1393">
            <v>43214</v>
          </cell>
          <cell r="B1393" t="str">
            <v>RESIDENT</v>
          </cell>
          <cell r="C1393">
            <v>6954</v>
          </cell>
        </row>
        <row r="1394">
          <cell r="A1394">
            <v>43213</v>
          </cell>
          <cell r="B1394" t="str">
            <v>GUEST</v>
          </cell>
          <cell r="C1394">
            <v>3019</v>
          </cell>
        </row>
        <row r="1395">
          <cell r="A1395">
            <v>43213</v>
          </cell>
          <cell r="B1395" t="str">
            <v>MANAGER</v>
          </cell>
          <cell r="C1395">
            <v>1174</v>
          </cell>
        </row>
        <row r="1396">
          <cell r="A1396">
            <v>43213</v>
          </cell>
          <cell r="B1396" t="str">
            <v>RESIDENT</v>
          </cell>
          <cell r="C1396">
            <v>6623</v>
          </cell>
        </row>
        <row r="1397">
          <cell r="A1397">
            <v>43212</v>
          </cell>
          <cell r="B1397" t="str">
            <v>RESIDENT</v>
          </cell>
          <cell r="C1397">
            <v>6453</v>
          </cell>
        </row>
        <row r="1398">
          <cell r="A1398">
            <v>43212</v>
          </cell>
          <cell r="B1398" t="str">
            <v>MANAGER</v>
          </cell>
          <cell r="C1398">
            <v>603</v>
          </cell>
        </row>
        <row r="1399">
          <cell r="A1399">
            <v>43212</v>
          </cell>
          <cell r="B1399" t="str">
            <v>GUEST</v>
          </cell>
          <cell r="C1399">
            <v>2177</v>
          </cell>
        </row>
        <row r="1400">
          <cell r="A1400">
            <v>43211</v>
          </cell>
          <cell r="B1400" t="str">
            <v>MANAGER</v>
          </cell>
          <cell r="C1400">
            <v>554</v>
          </cell>
        </row>
        <row r="1401">
          <cell r="A1401">
            <v>43211</v>
          </cell>
          <cell r="B1401" t="str">
            <v>RESIDENT</v>
          </cell>
          <cell r="C1401">
            <v>6471</v>
          </cell>
        </row>
        <row r="1402">
          <cell r="A1402">
            <v>43211</v>
          </cell>
          <cell r="B1402" t="str">
            <v>GUEST</v>
          </cell>
          <cell r="C1402">
            <v>2668</v>
          </cell>
        </row>
        <row r="1403">
          <cell r="A1403">
            <v>43210</v>
          </cell>
          <cell r="B1403" t="str">
            <v>MANAGER</v>
          </cell>
          <cell r="C1403">
            <v>1086</v>
          </cell>
        </row>
        <row r="1404">
          <cell r="A1404">
            <v>43210</v>
          </cell>
          <cell r="B1404" t="str">
            <v>RESIDENT</v>
          </cell>
          <cell r="C1404">
            <v>6945</v>
          </cell>
        </row>
        <row r="1405">
          <cell r="A1405">
            <v>43210</v>
          </cell>
          <cell r="B1405" t="str">
            <v>GUEST</v>
          </cell>
          <cell r="C1405">
            <v>3253</v>
          </cell>
        </row>
        <row r="1406">
          <cell r="A1406">
            <v>43209</v>
          </cell>
          <cell r="B1406" t="str">
            <v>MANAGER</v>
          </cell>
          <cell r="C1406">
            <v>1742</v>
          </cell>
        </row>
        <row r="1407">
          <cell r="A1407">
            <v>43209</v>
          </cell>
          <cell r="B1407" t="str">
            <v>GUEST</v>
          </cell>
          <cell r="C1407">
            <v>3302</v>
          </cell>
        </row>
        <row r="1408">
          <cell r="A1408">
            <v>43209</v>
          </cell>
          <cell r="B1408" t="str">
            <v>RESIDENT</v>
          </cell>
          <cell r="C1408">
            <v>6795</v>
          </cell>
        </row>
        <row r="1409">
          <cell r="A1409">
            <v>43208</v>
          </cell>
          <cell r="B1409" t="str">
            <v>GUEST</v>
          </cell>
          <cell r="C1409">
            <v>3165</v>
          </cell>
        </row>
        <row r="1410">
          <cell r="A1410">
            <v>43208</v>
          </cell>
          <cell r="B1410" t="str">
            <v>MANAGER</v>
          </cell>
          <cell r="C1410">
            <v>1520</v>
          </cell>
        </row>
        <row r="1411">
          <cell r="A1411">
            <v>43208</v>
          </cell>
          <cell r="B1411" t="str">
            <v>RESIDENT</v>
          </cell>
          <cell r="C1411">
            <v>6837</v>
          </cell>
        </row>
        <row r="1412">
          <cell r="A1412">
            <v>43207</v>
          </cell>
          <cell r="B1412" t="str">
            <v>MANAGER</v>
          </cell>
          <cell r="C1412">
            <v>1209</v>
          </cell>
        </row>
        <row r="1413">
          <cell r="A1413">
            <v>43207</v>
          </cell>
          <cell r="B1413" t="str">
            <v>RESIDENT</v>
          </cell>
          <cell r="C1413">
            <v>6599</v>
          </cell>
        </row>
        <row r="1414">
          <cell r="A1414">
            <v>43207</v>
          </cell>
          <cell r="B1414" t="str">
            <v>GUEST</v>
          </cell>
          <cell r="C1414">
            <v>2890</v>
          </cell>
        </row>
        <row r="1415">
          <cell r="A1415">
            <v>43206</v>
          </cell>
          <cell r="B1415" t="str">
            <v>MANAGER</v>
          </cell>
          <cell r="C1415">
            <v>1215</v>
          </cell>
        </row>
        <row r="1416">
          <cell r="A1416">
            <v>43206</v>
          </cell>
          <cell r="B1416" t="str">
            <v>RESIDENT</v>
          </cell>
          <cell r="C1416">
            <v>6741</v>
          </cell>
        </row>
        <row r="1417">
          <cell r="A1417">
            <v>43206</v>
          </cell>
          <cell r="B1417" t="str">
            <v>GUEST</v>
          </cell>
          <cell r="C1417">
            <v>2968</v>
          </cell>
        </row>
        <row r="1418">
          <cell r="A1418">
            <v>43205</v>
          </cell>
          <cell r="B1418" t="str">
            <v>RESIDENT</v>
          </cell>
          <cell r="C1418">
            <v>5774</v>
          </cell>
        </row>
        <row r="1419">
          <cell r="A1419">
            <v>43205</v>
          </cell>
          <cell r="B1419" t="str">
            <v>MANAGER</v>
          </cell>
          <cell r="C1419">
            <v>382</v>
          </cell>
        </row>
        <row r="1420">
          <cell r="A1420">
            <v>43205</v>
          </cell>
          <cell r="B1420" t="str">
            <v>GUEST</v>
          </cell>
          <cell r="C1420">
            <v>1785</v>
          </cell>
        </row>
        <row r="1421">
          <cell r="A1421">
            <v>43204</v>
          </cell>
          <cell r="B1421" t="str">
            <v>GUEST</v>
          </cell>
          <cell r="C1421">
            <v>2376</v>
          </cell>
        </row>
        <row r="1422">
          <cell r="A1422">
            <v>43204</v>
          </cell>
          <cell r="B1422" t="str">
            <v>MANAGER</v>
          </cell>
          <cell r="C1422">
            <v>572</v>
          </cell>
        </row>
        <row r="1423">
          <cell r="A1423">
            <v>43204</v>
          </cell>
          <cell r="B1423" t="str">
            <v>RESIDENT</v>
          </cell>
          <cell r="C1423">
            <v>6743</v>
          </cell>
        </row>
        <row r="1424">
          <cell r="A1424">
            <v>43203</v>
          </cell>
          <cell r="B1424" t="str">
            <v>RESIDENT</v>
          </cell>
          <cell r="C1424">
            <v>7275</v>
          </cell>
        </row>
        <row r="1425">
          <cell r="A1425">
            <v>43203</v>
          </cell>
          <cell r="B1425" t="str">
            <v>MANAGER</v>
          </cell>
          <cell r="C1425">
            <v>1402</v>
          </cell>
        </row>
        <row r="1426">
          <cell r="A1426">
            <v>43203</v>
          </cell>
          <cell r="B1426" t="str">
            <v>GUEST</v>
          </cell>
          <cell r="C1426">
            <v>3088</v>
          </cell>
        </row>
        <row r="1427">
          <cell r="A1427">
            <v>43202</v>
          </cell>
          <cell r="B1427" t="str">
            <v>RESIDENT</v>
          </cell>
          <cell r="C1427">
            <v>6814</v>
          </cell>
        </row>
        <row r="1428">
          <cell r="A1428">
            <v>43202</v>
          </cell>
          <cell r="B1428" t="str">
            <v>MANAGER</v>
          </cell>
          <cell r="C1428">
            <v>1167</v>
          </cell>
        </row>
        <row r="1429">
          <cell r="A1429">
            <v>43202</v>
          </cell>
          <cell r="B1429" t="str">
            <v>GUEST</v>
          </cell>
          <cell r="C1429">
            <v>2820</v>
          </cell>
        </row>
        <row r="1430">
          <cell r="A1430">
            <v>43201</v>
          </cell>
          <cell r="B1430" t="str">
            <v>GUEST</v>
          </cell>
          <cell r="C1430">
            <v>2715</v>
          </cell>
        </row>
        <row r="1431">
          <cell r="A1431">
            <v>43201</v>
          </cell>
          <cell r="B1431" t="str">
            <v>MANAGER</v>
          </cell>
          <cell r="C1431">
            <v>1135</v>
          </cell>
        </row>
        <row r="1432">
          <cell r="A1432">
            <v>43201</v>
          </cell>
          <cell r="B1432" t="str">
            <v>RESIDENT</v>
          </cell>
          <cell r="C1432">
            <v>6789</v>
          </cell>
        </row>
        <row r="1433">
          <cell r="A1433">
            <v>43200</v>
          </cell>
          <cell r="B1433" t="str">
            <v>GUEST</v>
          </cell>
          <cell r="C1433">
            <v>2595</v>
          </cell>
        </row>
        <row r="1434">
          <cell r="A1434">
            <v>43200</v>
          </cell>
          <cell r="B1434" t="str">
            <v>MANAGER</v>
          </cell>
          <cell r="C1434">
            <v>1195</v>
          </cell>
        </row>
        <row r="1435">
          <cell r="A1435">
            <v>43200</v>
          </cell>
          <cell r="B1435" t="str">
            <v>RESIDENT</v>
          </cell>
          <cell r="C1435">
            <v>6365</v>
          </cell>
        </row>
        <row r="1436">
          <cell r="A1436">
            <v>43199</v>
          </cell>
          <cell r="B1436" t="str">
            <v>RESIDENT</v>
          </cell>
          <cell r="C1436">
            <v>6192</v>
          </cell>
        </row>
        <row r="1437">
          <cell r="A1437">
            <v>43199</v>
          </cell>
          <cell r="B1437" t="str">
            <v>MANAGER</v>
          </cell>
          <cell r="C1437">
            <v>1105</v>
          </cell>
        </row>
        <row r="1438">
          <cell r="A1438">
            <v>43199</v>
          </cell>
          <cell r="B1438" t="str">
            <v>GUEST</v>
          </cell>
          <cell r="C1438">
            <v>2484</v>
          </cell>
        </row>
        <row r="1439">
          <cell r="A1439">
            <v>43198</v>
          </cell>
          <cell r="B1439" t="str">
            <v>MANAGER</v>
          </cell>
          <cell r="C1439">
            <v>468</v>
          </cell>
        </row>
        <row r="1440">
          <cell r="A1440">
            <v>43198</v>
          </cell>
          <cell r="B1440" t="str">
            <v>RESIDENT</v>
          </cell>
          <cell r="C1440">
            <v>5782</v>
          </cell>
        </row>
        <row r="1441">
          <cell r="A1441">
            <v>43198</v>
          </cell>
          <cell r="B1441" t="str">
            <v>GUEST</v>
          </cell>
          <cell r="C1441">
            <v>1983</v>
          </cell>
        </row>
        <row r="1442">
          <cell r="A1442">
            <v>43197</v>
          </cell>
          <cell r="B1442" t="str">
            <v>MANAGER</v>
          </cell>
          <cell r="C1442">
            <v>733</v>
          </cell>
        </row>
        <row r="1443">
          <cell r="A1443">
            <v>43197</v>
          </cell>
          <cell r="B1443" t="str">
            <v>RESIDENT</v>
          </cell>
          <cell r="C1443">
            <v>5772</v>
          </cell>
        </row>
        <row r="1444">
          <cell r="A1444">
            <v>43197</v>
          </cell>
          <cell r="B1444" t="str">
            <v>GUEST</v>
          </cell>
          <cell r="C1444">
            <v>2298</v>
          </cell>
        </row>
        <row r="1445">
          <cell r="A1445">
            <v>43196</v>
          </cell>
          <cell r="B1445" t="str">
            <v>GUEST</v>
          </cell>
          <cell r="C1445">
            <v>2665</v>
          </cell>
        </row>
        <row r="1446">
          <cell r="A1446">
            <v>43196</v>
          </cell>
          <cell r="B1446" t="str">
            <v>MANAGER</v>
          </cell>
          <cell r="C1446">
            <v>1031</v>
          </cell>
        </row>
        <row r="1447">
          <cell r="A1447">
            <v>43196</v>
          </cell>
          <cell r="B1447" t="str">
            <v>RESIDENT</v>
          </cell>
          <cell r="C1447">
            <v>6050</v>
          </cell>
        </row>
        <row r="1448">
          <cell r="A1448">
            <v>43195</v>
          </cell>
          <cell r="B1448" t="str">
            <v>MANAGER</v>
          </cell>
          <cell r="C1448">
            <v>1039</v>
          </cell>
        </row>
        <row r="1449">
          <cell r="A1449">
            <v>43195</v>
          </cell>
          <cell r="B1449" t="str">
            <v>RESIDENT</v>
          </cell>
          <cell r="C1449">
            <v>6551</v>
          </cell>
        </row>
        <row r="1450">
          <cell r="A1450">
            <v>43195</v>
          </cell>
          <cell r="B1450" t="str">
            <v>GUEST</v>
          </cell>
          <cell r="C1450">
            <v>2738</v>
          </cell>
        </row>
        <row r="1451">
          <cell r="A1451">
            <v>43194</v>
          </cell>
          <cell r="B1451" t="str">
            <v>RESIDENT</v>
          </cell>
          <cell r="C1451">
            <v>6305</v>
          </cell>
        </row>
        <row r="1452">
          <cell r="A1452">
            <v>43194</v>
          </cell>
          <cell r="B1452" t="str">
            <v>MANAGER</v>
          </cell>
          <cell r="C1452">
            <v>1242</v>
          </cell>
        </row>
        <row r="1453">
          <cell r="A1453">
            <v>43194</v>
          </cell>
          <cell r="B1453" t="str">
            <v>GUEST</v>
          </cell>
          <cell r="C1453">
            <v>2454</v>
          </cell>
        </row>
        <row r="1454">
          <cell r="A1454">
            <v>43193</v>
          </cell>
          <cell r="B1454" t="str">
            <v>MANAGER</v>
          </cell>
          <cell r="C1454">
            <v>1898</v>
          </cell>
        </row>
        <row r="1455">
          <cell r="A1455">
            <v>43193</v>
          </cell>
          <cell r="B1455" t="str">
            <v>RESIDENT</v>
          </cell>
          <cell r="C1455">
            <v>6208</v>
          </cell>
        </row>
        <row r="1456">
          <cell r="A1456">
            <v>43193</v>
          </cell>
          <cell r="B1456" t="str">
            <v>GUEST</v>
          </cell>
          <cell r="C1456">
            <v>2743</v>
          </cell>
        </row>
        <row r="1457">
          <cell r="A1457">
            <v>43192</v>
          </cell>
          <cell r="B1457" t="str">
            <v>MANAGER</v>
          </cell>
          <cell r="C1457">
            <v>1031</v>
          </cell>
        </row>
        <row r="1458">
          <cell r="A1458">
            <v>43192</v>
          </cell>
          <cell r="B1458" t="str">
            <v>RESIDENT</v>
          </cell>
          <cell r="C1458">
            <v>5498</v>
          </cell>
        </row>
        <row r="1459">
          <cell r="A1459">
            <v>43192</v>
          </cell>
          <cell r="B1459" t="str">
            <v>GUEST</v>
          </cell>
          <cell r="C1459">
            <v>2519</v>
          </cell>
        </row>
        <row r="1460">
          <cell r="A1460">
            <v>43191</v>
          </cell>
          <cell r="B1460" t="str">
            <v>GUEST</v>
          </cell>
          <cell r="C1460">
            <v>1630</v>
          </cell>
        </row>
        <row r="1461">
          <cell r="A1461">
            <v>43191</v>
          </cell>
          <cell r="B1461" t="str">
            <v>MANAGER</v>
          </cell>
          <cell r="C1461">
            <v>703</v>
          </cell>
        </row>
        <row r="1462">
          <cell r="A1462">
            <v>43191</v>
          </cell>
          <cell r="B1462" t="str">
            <v>RESIDENT</v>
          </cell>
          <cell r="C1462">
            <v>4771</v>
          </cell>
        </row>
        <row r="1463">
          <cell r="A1463">
            <v>43190</v>
          </cell>
          <cell r="B1463" t="str">
            <v>GUEST</v>
          </cell>
          <cell r="C1463">
            <v>2119</v>
          </cell>
        </row>
        <row r="1464">
          <cell r="A1464">
            <v>43190</v>
          </cell>
          <cell r="B1464" t="str">
            <v>MANAGER</v>
          </cell>
          <cell r="C1464">
            <v>478</v>
          </cell>
        </row>
        <row r="1465">
          <cell r="A1465">
            <v>43190</v>
          </cell>
          <cell r="B1465" t="str">
            <v>RESIDENT</v>
          </cell>
          <cell r="C1465">
            <v>5203</v>
          </cell>
        </row>
        <row r="1466">
          <cell r="A1466">
            <v>43189</v>
          </cell>
          <cell r="B1466" t="str">
            <v>GUEST</v>
          </cell>
          <cell r="C1466">
            <v>2483</v>
          </cell>
        </row>
        <row r="1467">
          <cell r="A1467">
            <v>43189</v>
          </cell>
          <cell r="B1467" t="str">
            <v>MANAGER</v>
          </cell>
          <cell r="C1467">
            <v>1295</v>
          </cell>
        </row>
        <row r="1468">
          <cell r="A1468">
            <v>43189</v>
          </cell>
          <cell r="B1468" t="str">
            <v>RESIDENT</v>
          </cell>
          <cell r="C1468">
            <v>5467</v>
          </cell>
        </row>
        <row r="1469">
          <cell r="A1469">
            <v>43188</v>
          </cell>
          <cell r="B1469" t="str">
            <v>GUEST</v>
          </cell>
          <cell r="C1469">
            <v>2462</v>
          </cell>
        </row>
        <row r="1470">
          <cell r="A1470">
            <v>43188</v>
          </cell>
          <cell r="B1470" t="str">
            <v>RESIDENT</v>
          </cell>
          <cell r="C1470">
            <v>5677</v>
          </cell>
        </row>
        <row r="1471">
          <cell r="A1471">
            <v>43188</v>
          </cell>
          <cell r="B1471" t="str">
            <v>MANAGER</v>
          </cell>
          <cell r="C1471">
            <v>1012</v>
          </cell>
        </row>
        <row r="1472">
          <cell r="A1472">
            <v>43187</v>
          </cell>
          <cell r="B1472" t="str">
            <v>MANAGER</v>
          </cell>
          <cell r="C1472">
            <v>1026</v>
          </cell>
        </row>
        <row r="1473">
          <cell r="A1473">
            <v>43187</v>
          </cell>
          <cell r="B1473" t="str">
            <v>GUEST</v>
          </cell>
          <cell r="C1473">
            <v>2276</v>
          </cell>
        </row>
        <row r="1474">
          <cell r="A1474">
            <v>43187</v>
          </cell>
          <cell r="B1474" t="str">
            <v>RESIDENT</v>
          </cell>
          <cell r="C1474">
            <v>5685</v>
          </cell>
        </row>
        <row r="1475">
          <cell r="A1475">
            <v>43186</v>
          </cell>
          <cell r="B1475" t="str">
            <v>GUEST</v>
          </cell>
          <cell r="C1475">
            <v>2380</v>
          </cell>
        </row>
        <row r="1476">
          <cell r="A1476">
            <v>43186</v>
          </cell>
          <cell r="B1476" t="str">
            <v>MANAGER</v>
          </cell>
          <cell r="C1476">
            <v>1226</v>
          </cell>
        </row>
        <row r="1477">
          <cell r="A1477">
            <v>43186</v>
          </cell>
          <cell r="B1477" t="str">
            <v>RESIDENT</v>
          </cell>
          <cell r="C1477">
            <v>5491</v>
          </cell>
        </row>
        <row r="1478">
          <cell r="A1478">
            <v>43185</v>
          </cell>
          <cell r="B1478" t="str">
            <v>RESIDENT</v>
          </cell>
          <cell r="C1478">
            <v>5410</v>
          </cell>
        </row>
        <row r="1479">
          <cell r="A1479">
            <v>43185</v>
          </cell>
          <cell r="B1479" t="str">
            <v>MANAGER</v>
          </cell>
          <cell r="C1479">
            <v>1098</v>
          </cell>
        </row>
        <row r="1480">
          <cell r="A1480">
            <v>43185</v>
          </cell>
          <cell r="B1480" t="str">
            <v>GUEST</v>
          </cell>
          <cell r="C1480">
            <v>2119</v>
          </cell>
        </row>
        <row r="1481">
          <cell r="A1481">
            <v>43184</v>
          </cell>
          <cell r="B1481" t="str">
            <v>MANAGER</v>
          </cell>
          <cell r="C1481">
            <v>448</v>
          </cell>
        </row>
        <row r="1482">
          <cell r="A1482">
            <v>43184</v>
          </cell>
          <cell r="B1482" t="str">
            <v>GUEST</v>
          </cell>
          <cell r="C1482">
            <v>1619</v>
          </cell>
        </row>
        <row r="1483">
          <cell r="A1483">
            <v>43184</v>
          </cell>
          <cell r="B1483" t="str">
            <v>RESIDENT</v>
          </cell>
          <cell r="C1483">
            <v>4631</v>
          </cell>
        </row>
        <row r="1484">
          <cell r="A1484">
            <v>43183</v>
          </cell>
          <cell r="B1484" t="str">
            <v>GUEST</v>
          </cell>
          <cell r="C1484">
            <v>1948</v>
          </cell>
        </row>
        <row r="1485">
          <cell r="A1485">
            <v>43183</v>
          </cell>
          <cell r="B1485" t="str">
            <v>MANAGER</v>
          </cell>
          <cell r="C1485">
            <v>531</v>
          </cell>
        </row>
        <row r="1486">
          <cell r="A1486">
            <v>43183</v>
          </cell>
          <cell r="B1486" t="str">
            <v>RESIDENT</v>
          </cell>
          <cell r="C1486">
            <v>4971</v>
          </cell>
        </row>
        <row r="1487">
          <cell r="A1487">
            <v>43182</v>
          </cell>
          <cell r="B1487" t="str">
            <v>MANAGER</v>
          </cell>
          <cell r="C1487">
            <v>1724</v>
          </cell>
        </row>
        <row r="1488">
          <cell r="A1488">
            <v>43182</v>
          </cell>
          <cell r="B1488" t="str">
            <v>RESIDENT</v>
          </cell>
          <cell r="C1488">
            <v>5356</v>
          </cell>
        </row>
        <row r="1489">
          <cell r="A1489">
            <v>43182</v>
          </cell>
          <cell r="B1489" t="str">
            <v>GUEST</v>
          </cell>
          <cell r="C1489">
            <v>2355</v>
          </cell>
        </row>
        <row r="1490">
          <cell r="A1490">
            <v>43181</v>
          </cell>
          <cell r="B1490" t="str">
            <v>GUEST</v>
          </cell>
          <cell r="C1490">
            <v>2167</v>
          </cell>
        </row>
        <row r="1491">
          <cell r="A1491">
            <v>43181</v>
          </cell>
          <cell r="B1491" t="str">
            <v>MANAGER</v>
          </cell>
          <cell r="C1491">
            <v>1163</v>
          </cell>
        </row>
        <row r="1492">
          <cell r="A1492">
            <v>43181</v>
          </cell>
          <cell r="B1492" t="str">
            <v>RESIDENT</v>
          </cell>
          <cell r="C1492">
            <v>5224</v>
          </cell>
        </row>
        <row r="1493">
          <cell r="A1493">
            <v>43180</v>
          </cell>
          <cell r="B1493" t="str">
            <v>MANAGER</v>
          </cell>
          <cell r="C1493">
            <v>1344</v>
          </cell>
        </row>
        <row r="1494">
          <cell r="A1494">
            <v>43180</v>
          </cell>
          <cell r="B1494" t="str">
            <v>RESIDENT</v>
          </cell>
          <cell r="C1494">
            <v>4248</v>
          </cell>
        </row>
        <row r="1495">
          <cell r="A1495">
            <v>43180</v>
          </cell>
          <cell r="B1495" t="str">
            <v>GUEST</v>
          </cell>
          <cell r="C1495">
            <v>1871</v>
          </cell>
        </row>
        <row r="1496">
          <cell r="A1496">
            <v>43179</v>
          </cell>
          <cell r="B1496" t="str">
            <v>GUEST</v>
          </cell>
          <cell r="C1496">
            <v>2208</v>
          </cell>
        </row>
        <row r="1497">
          <cell r="A1497">
            <v>43179</v>
          </cell>
          <cell r="B1497" t="str">
            <v>MANAGER</v>
          </cell>
          <cell r="C1497">
            <v>977</v>
          </cell>
        </row>
        <row r="1498">
          <cell r="A1498">
            <v>43179</v>
          </cell>
          <cell r="B1498" t="str">
            <v>RESIDENT</v>
          </cell>
          <cell r="C1498">
            <v>5295</v>
          </cell>
        </row>
        <row r="1499">
          <cell r="A1499">
            <v>43178</v>
          </cell>
          <cell r="B1499" t="str">
            <v>GUEST</v>
          </cell>
          <cell r="C1499">
            <v>2162</v>
          </cell>
        </row>
        <row r="1500">
          <cell r="A1500">
            <v>43178</v>
          </cell>
          <cell r="B1500" t="str">
            <v>MANAGER</v>
          </cell>
          <cell r="C1500">
            <v>1072</v>
          </cell>
        </row>
        <row r="1501">
          <cell r="A1501">
            <v>43178</v>
          </cell>
          <cell r="B1501" t="str">
            <v>RESIDENT</v>
          </cell>
          <cell r="C1501">
            <v>5156</v>
          </cell>
        </row>
        <row r="1502">
          <cell r="A1502">
            <v>43177</v>
          </cell>
          <cell r="B1502" t="str">
            <v>RESIDENT</v>
          </cell>
          <cell r="C1502">
            <v>4275</v>
          </cell>
        </row>
        <row r="1503">
          <cell r="A1503">
            <v>43177</v>
          </cell>
          <cell r="B1503" t="str">
            <v>MANAGER</v>
          </cell>
          <cell r="C1503">
            <v>425</v>
          </cell>
        </row>
        <row r="1504">
          <cell r="A1504">
            <v>43177</v>
          </cell>
          <cell r="B1504" t="str">
            <v>GUEST</v>
          </cell>
          <cell r="C1504">
            <v>1401</v>
          </cell>
        </row>
        <row r="1505">
          <cell r="A1505">
            <v>43176</v>
          </cell>
          <cell r="B1505" t="str">
            <v>MANAGER</v>
          </cell>
          <cell r="C1505">
            <v>489</v>
          </cell>
        </row>
        <row r="1506">
          <cell r="A1506">
            <v>43176</v>
          </cell>
          <cell r="B1506" t="str">
            <v>GUEST</v>
          </cell>
          <cell r="C1506">
            <v>1557</v>
          </cell>
        </row>
        <row r="1507">
          <cell r="A1507">
            <v>43176</v>
          </cell>
          <cell r="B1507" t="str">
            <v>RESIDENT</v>
          </cell>
          <cell r="C1507">
            <v>4469</v>
          </cell>
        </row>
        <row r="1508">
          <cell r="A1508">
            <v>43175</v>
          </cell>
          <cell r="B1508" t="str">
            <v>MANAGER</v>
          </cell>
          <cell r="C1508">
            <v>998</v>
          </cell>
        </row>
        <row r="1509">
          <cell r="A1509">
            <v>43175</v>
          </cell>
          <cell r="B1509" t="str">
            <v>GUEST</v>
          </cell>
          <cell r="C1509">
            <v>2202</v>
          </cell>
        </row>
        <row r="1510">
          <cell r="A1510">
            <v>43175</v>
          </cell>
          <cell r="B1510" t="str">
            <v>RESIDENT</v>
          </cell>
          <cell r="C1510">
            <v>5248</v>
          </cell>
        </row>
        <row r="1511">
          <cell r="A1511">
            <v>43174</v>
          </cell>
          <cell r="B1511" t="str">
            <v>MANAGER</v>
          </cell>
          <cell r="C1511">
            <v>858</v>
          </cell>
        </row>
        <row r="1512">
          <cell r="A1512">
            <v>43174</v>
          </cell>
          <cell r="B1512" t="str">
            <v>RESIDENT</v>
          </cell>
          <cell r="C1512">
            <v>5185</v>
          </cell>
        </row>
        <row r="1513">
          <cell r="A1513">
            <v>43174</v>
          </cell>
          <cell r="B1513" t="str">
            <v>GUEST</v>
          </cell>
          <cell r="C1513">
            <v>2348</v>
          </cell>
        </row>
        <row r="1514">
          <cell r="A1514">
            <v>43173</v>
          </cell>
          <cell r="B1514" t="str">
            <v>MANAGER</v>
          </cell>
          <cell r="C1514">
            <v>1042</v>
          </cell>
        </row>
        <row r="1515">
          <cell r="A1515">
            <v>43173</v>
          </cell>
          <cell r="B1515" t="str">
            <v>RESIDENT</v>
          </cell>
          <cell r="C1515">
            <v>4996</v>
          </cell>
        </row>
        <row r="1516">
          <cell r="A1516">
            <v>43173</v>
          </cell>
          <cell r="B1516" t="str">
            <v>GUEST</v>
          </cell>
          <cell r="C1516">
            <v>2271</v>
          </cell>
        </row>
        <row r="1517">
          <cell r="A1517">
            <v>43172</v>
          </cell>
          <cell r="B1517" t="str">
            <v>GUEST</v>
          </cell>
          <cell r="C1517">
            <v>2038</v>
          </cell>
        </row>
        <row r="1518">
          <cell r="A1518">
            <v>43172</v>
          </cell>
          <cell r="B1518" t="str">
            <v>MANAGER</v>
          </cell>
          <cell r="C1518">
            <v>679</v>
          </cell>
        </row>
        <row r="1519">
          <cell r="A1519">
            <v>43172</v>
          </cell>
          <cell r="B1519" t="str">
            <v>RESIDENT</v>
          </cell>
          <cell r="C1519">
            <v>4861</v>
          </cell>
        </row>
        <row r="1520">
          <cell r="A1520">
            <v>43171</v>
          </cell>
          <cell r="B1520" t="str">
            <v>RESIDENT</v>
          </cell>
          <cell r="C1520">
            <v>4727</v>
          </cell>
        </row>
        <row r="1521">
          <cell r="A1521">
            <v>43171</v>
          </cell>
          <cell r="B1521" t="str">
            <v>MANAGER</v>
          </cell>
          <cell r="C1521">
            <v>862</v>
          </cell>
        </row>
        <row r="1522">
          <cell r="A1522">
            <v>43171</v>
          </cell>
          <cell r="B1522" t="str">
            <v>GUEST</v>
          </cell>
          <cell r="C1522">
            <v>2041</v>
          </cell>
        </row>
        <row r="1523">
          <cell r="A1523">
            <v>43170</v>
          </cell>
          <cell r="B1523" t="str">
            <v>GUEST</v>
          </cell>
          <cell r="C1523">
            <v>1360</v>
          </cell>
        </row>
        <row r="1524">
          <cell r="A1524">
            <v>43170</v>
          </cell>
          <cell r="B1524" t="str">
            <v>MANAGER</v>
          </cell>
          <cell r="C1524">
            <v>369</v>
          </cell>
        </row>
        <row r="1525">
          <cell r="A1525">
            <v>43170</v>
          </cell>
          <cell r="B1525" t="str">
            <v>RESIDENT</v>
          </cell>
          <cell r="C1525">
            <v>4266</v>
          </cell>
        </row>
        <row r="1526">
          <cell r="A1526">
            <v>43169</v>
          </cell>
          <cell r="B1526" t="str">
            <v>MANAGER</v>
          </cell>
          <cell r="C1526">
            <v>449</v>
          </cell>
        </row>
        <row r="1527">
          <cell r="A1527">
            <v>43169</v>
          </cell>
          <cell r="B1527" t="str">
            <v>RESIDENT</v>
          </cell>
          <cell r="C1527">
            <v>5046</v>
          </cell>
        </row>
        <row r="1528">
          <cell r="A1528">
            <v>43169</v>
          </cell>
          <cell r="B1528" t="str">
            <v>GUEST</v>
          </cell>
          <cell r="C1528">
            <v>1815</v>
          </cell>
        </row>
        <row r="1529">
          <cell r="A1529">
            <v>43168</v>
          </cell>
          <cell r="B1529" t="str">
            <v>RESIDENT</v>
          </cell>
          <cell r="C1529">
            <v>4883</v>
          </cell>
        </row>
        <row r="1530">
          <cell r="A1530">
            <v>43168</v>
          </cell>
          <cell r="B1530" t="str">
            <v>MANAGER</v>
          </cell>
          <cell r="C1530">
            <v>850</v>
          </cell>
        </row>
        <row r="1531">
          <cell r="A1531">
            <v>43168</v>
          </cell>
          <cell r="B1531" t="str">
            <v>GUEST</v>
          </cell>
          <cell r="C1531">
            <v>2236</v>
          </cell>
        </row>
        <row r="1532">
          <cell r="A1532">
            <v>43167</v>
          </cell>
          <cell r="B1532" t="str">
            <v>MANAGER</v>
          </cell>
          <cell r="C1532">
            <v>1131</v>
          </cell>
        </row>
        <row r="1533">
          <cell r="A1533">
            <v>43167</v>
          </cell>
          <cell r="B1533" t="str">
            <v>GUEST</v>
          </cell>
          <cell r="C1533">
            <v>2169</v>
          </cell>
        </row>
        <row r="1534">
          <cell r="A1534">
            <v>43167</v>
          </cell>
          <cell r="B1534" t="str">
            <v>RESIDENT</v>
          </cell>
          <cell r="C1534">
            <v>4737</v>
          </cell>
        </row>
        <row r="1535">
          <cell r="A1535">
            <v>43166</v>
          </cell>
          <cell r="B1535" t="str">
            <v>RESIDENT</v>
          </cell>
          <cell r="C1535">
            <v>4156</v>
          </cell>
        </row>
        <row r="1536">
          <cell r="A1536">
            <v>43166</v>
          </cell>
          <cell r="B1536" t="str">
            <v>MANAGER</v>
          </cell>
          <cell r="C1536">
            <v>715</v>
          </cell>
        </row>
        <row r="1537">
          <cell r="A1537">
            <v>43166</v>
          </cell>
          <cell r="B1537" t="str">
            <v>GUEST</v>
          </cell>
          <cell r="C1537">
            <v>1929</v>
          </cell>
        </row>
        <row r="1538">
          <cell r="A1538">
            <v>43165</v>
          </cell>
          <cell r="B1538" t="str">
            <v>MANAGER</v>
          </cell>
          <cell r="C1538">
            <v>824</v>
          </cell>
        </row>
        <row r="1539">
          <cell r="A1539">
            <v>43165</v>
          </cell>
          <cell r="B1539" t="str">
            <v>RESIDENT</v>
          </cell>
          <cell r="C1539">
            <v>4850</v>
          </cell>
        </row>
        <row r="1540">
          <cell r="A1540">
            <v>43165</v>
          </cell>
          <cell r="B1540" t="str">
            <v>GUEST</v>
          </cell>
          <cell r="C1540">
            <v>2092</v>
          </cell>
        </row>
        <row r="1541">
          <cell r="A1541">
            <v>43164</v>
          </cell>
          <cell r="B1541" t="str">
            <v>GUEST</v>
          </cell>
          <cell r="C1541">
            <v>2118</v>
          </cell>
        </row>
        <row r="1542">
          <cell r="A1542">
            <v>43164</v>
          </cell>
          <cell r="B1542" t="str">
            <v>MANAGER</v>
          </cell>
          <cell r="C1542">
            <v>984</v>
          </cell>
        </row>
        <row r="1543">
          <cell r="A1543">
            <v>43164</v>
          </cell>
          <cell r="B1543" t="str">
            <v>RESIDENT</v>
          </cell>
          <cell r="C1543">
            <v>4907</v>
          </cell>
        </row>
        <row r="1544">
          <cell r="A1544">
            <v>43163</v>
          </cell>
          <cell r="B1544" t="str">
            <v>MANAGER</v>
          </cell>
          <cell r="C1544">
            <v>536</v>
          </cell>
        </row>
        <row r="1545">
          <cell r="A1545">
            <v>43163</v>
          </cell>
          <cell r="B1545" t="str">
            <v>RESIDENT</v>
          </cell>
          <cell r="C1545">
            <v>4156</v>
          </cell>
        </row>
        <row r="1546">
          <cell r="A1546">
            <v>43163</v>
          </cell>
          <cell r="B1546" t="str">
            <v>GUEST</v>
          </cell>
          <cell r="C1546">
            <v>1447</v>
          </cell>
        </row>
        <row r="1547">
          <cell r="A1547">
            <v>43162</v>
          </cell>
          <cell r="B1547" t="str">
            <v>MANAGER</v>
          </cell>
          <cell r="C1547">
            <v>459</v>
          </cell>
        </row>
        <row r="1548">
          <cell r="A1548">
            <v>43162</v>
          </cell>
          <cell r="B1548" t="str">
            <v>GUEST</v>
          </cell>
          <cell r="C1548">
            <v>1752</v>
          </cell>
        </row>
        <row r="1549">
          <cell r="A1549">
            <v>43162</v>
          </cell>
          <cell r="B1549" t="str">
            <v>RESIDENT</v>
          </cell>
          <cell r="C1549">
            <v>4511</v>
          </cell>
        </row>
        <row r="1550">
          <cell r="A1550">
            <v>43161</v>
          </cell>
          <cell r="B1550" t="str">
            <v>MANAGER</v>
          </cell>
          <cell r="C1550">
            <v>670</v>
          </cell>
        </row>
        <row r="1551">
          <cell r="A1551">
            <v>43161</v>
          </cell>
          <cell r="B1551" t="str">
            <v>RESIDENT</v>
          </cell>
          <cell r="C1551">
            <v>4417</v>
          </cell>
        </row>
        <row r="1552">
          <cell r="A1552">
            <v>43161</v>
          </cell>
          <cell r="B1552" t="str">
            <v>GUEST</v>
          </cell>
          <cell r="C1552">
            <v>2132</v>
          </cell>
        </row>
        <row r="1553">
          <cell r="A1553">
            <v>43160</v>
          </cell>
          <cell r="B1553" t="str">
            <v>RESIDENT</v>
          </cell>
          <cell r="C1553">
            <v>4873</v>
          </cell>
        </row>
        <row r="1554">
          <cell r="A1554">
            <v>43160</v>
          </cell>
          <cell r="B1554" t="str">
            <v>MANAGER</v>
          </cell>
          <cell r="C1554">
            <v>876</v>
          </cell>
        </row>
        <row r="1555">
          <cell r="A1555">
            <v>43160</v>
          </cell>
          <cell r="B1555" t="str">
            <v>GUEST</v>
          </cell>
          <cell r="C1555">
            <v>2509</v>
          </cell>
        </row>
        <row r="1556">
          <cell r="A1556">
            <v>43159</v>
          </cell>
          <cell r="B1556" t="str">
            <v>RESIDENT</v>
          </cell>
          <cell r="C1556">
            <v>4703</v>
          </cell>
        </row>
        <row r="1557">
          <cell r="A1557">
            <v>43159</v>
          </cell>
          <cell r="B1557" t="str">
            <v>MANAGER</v>
          </cell>
          <cell r="C1557">
            <v>1108</v>
          </cell>
        </row>
        <row r="1558">
          <cell r="A1558">
            <v>43159</v>
          </cell>
          <cell r="B1558" t="str">
            <v>GUEST</v>
          </cell>
          <cell r="C1558">
            <v>2038</v>
          </cell>
        </row>
        <row r="1559">
          <cell r="A1559">
            <v>43158</v>
          </cell>
          <cell r="B1559" t="str">
            <v>RESIDENT</v>
          </cell>
          <cell r="C1559">
            <v>4567</v>
          </cell>
        </row>
        <row r="1560">
          <cell r="A1560">
            <v>43158</v>
          </cell>
          <cell r="B1560" t="str">
            <v>MANAGER</v>
          </cell>
          <cell r="C1560">
            <v>776</v>
          </cell>
        </row>
        <row r="1561">
          <cell r="A1561">
            <v>43158</v>
          </cell>
          <cell r="B1561" t="str">
            <v>GUEST</v>
          </cell>
          <cell r="C1561">
            <v>2249</v>
          </cell>
        </row>
        <row r="1562">
          <cell r="A1562">
            <v>43157</v>
          </cell>
          <cell r="B1562" t="str">
            <v>MANAGER</v>
          </cell>
          <cell r="C1562">
            <v>631</v>
          </cell>
        </row>
        <row r="1563">
          <cell r="A1563">
            <v>43157</v>
          </cell>
          <cell r="B1563" t="str">
            <v>GUEST</v>
          </cell>
          <cell r="C1563">
            <v>2065</v>
          </cell>
        </row>
        <row r="1564">
          <cell r="A1564">
            <v>43157</v>
          </cell>
          <cell r="B1564" t="str">
            <v>RESIDENT</v>
          </cell>
          <cell r="C1564">
            <v>4489</v>
          </cell>
        </row>
        <row r="1565">
          <cell r="A1565">
            <v>43156</v>
          </cell>
          <cell r="B1565" t="str">
            <v>RESIDENT</v>
          </cell>
          <cell r="C1565">
            <v>4345</v>
          </cell>
        </row>
        <row r="1566">
          <cell r="A1566">
            <v>43156</v>
          </cell>
          <cell r="B1566" t="str">
            <v>MANAGER</v>
          </cell>
          <cell r="C1566">
            <v>338</v>
          </cell>
        </row>
        <row r="1567">
          <cell r="A1567">
            <v>43156</v>
          </cell>
          <cell r="B1567" t="str">
            <v>GUEST</v>
          </cell>
          <cell r="C1567">
            <v>1301</v>
          </cell>
        </row>
        <row r="1568">
          <cell r="A1568">
            <v>43155</v>
          </cell>
          <cell r="B1568" t="str">
            <v>MANAGER</v>
          </cell>
          <cell r="C1568">
            <v>412</v>
          </cell>
        </row>
        <row r="1569">
          <cell r="A1569">
            <v>43155</v>
          </cell>
          <cell r="B1569" t="str">
            <v>RESIDENT</v>
          </cell>
          <cell r="C1569">
            <v>4333</v>
          </cell>
        </row>
        <row r="1570">
          <cell r="A1570">
            <v>43155</v>
          </cell>
          <cell r="B1570" t="str">
            <v>GUEST</v>
          </cell>
          <cell r="C1570">
            <v>1698</v>
          </cell>
        </row>
        <row r="1571">
          <cell r="A1571">
            <v>43154</v>
          </cell>
          <cell r="B1571" t="str">
            <v>MANAGER</v>
          </cell>
          <cell r="C1571">
            <v>691</v>
          </cell>
        </row>
        <row r="1572">
          <cell r="A1572">
            <v>43154</v>
          </cell>
          <cell r="B1572" t="str">
            <v>RESIDENT</v>
          </cell>
          <cell r="C1572">
            <v>4348</v>
          </cell>
        </row>
        <row r="1573">
          <cell r="A1573">
            <v>43154</v>
          </cell>
          <cell r="B1573" t="str">
            <v>GUEST</v>
          </cell>
          <cell r="C1573">
            <v>2084</v>
          </cell>
        </row>
        <row r="1574">
          <cell r="A1574">
            <v>43153</v>
          </cell>
          <cell r="B1574" t="str">
            <v>RESIDENT</v>
          </cell>
          <cell r="C1574">
            <v>4375</v>
          </cell>
        </row>
        <row r="1575">
          <cell r="A1575">
            <v>43153</v>
          </cell>
          <cell r="B1575" t="str">
            <v>MANAGER</v>
          </cell>
          <cell r="C1575">
            <v>704</v>
          </cell>
        </row>
        <row r="1576">
          <cell r="A1576">
            <v>43153</v>
          </cell>
          <cell r="B1576" t="str">
            <v>GUEST</v>
          </cell>
          <cell r="C1576">
            <v>2174</v>
          </cell>
        </row>
        <row r="1577">
          <cell r="A1577">
            <v>43152</v>
          </cell>
          <cell r="B1577" t="str">
            <v>GUEST</v>
          </cell>
          <cell r="C1577">
            <v>2134</v>
          </cell>
        </row>
        <row r="1578">
          <cell r="A1578">
            <v>43152</v>
          </cell>
          <cell r="B1578" t="str">
            <v>RESIDENT</v>
          </cell>
          <cell r="C1578">
            <v>4820</v>
          </cell>
        </row>
        <row r="1579">
          <cell r="A1579">
            <v>43152</v>
          </cell>
          <cell r="B1579" t="str">
            <v>MANAGER</v>
          </cell>
          <cell r="C1579">
            <v>668</v>
          </cell>
        </row>
        <row r="1580">
          <cell r="A1580">
            <v>43151</v>
          </cell>
          <cell r="B1580" t="str">
            <v>RESIDENT</v>
          </cell>
          <cell r="C1580">
            <v>4731</v>
          </cell>
        </row>
        <row r="1581">
          <cell r="A1581">
            <v>43151</v>
          </cell>
          <cell r="B1581" t="str">
            <v>MANAGER</v>
          </cell>
          <cell r="C1581">
            <v>744</v>
          </cell>
        </row>
        <row r="1582">
          <cell r="A1582">
            <v>43151</v>
          </cell>
          <cell r="B1582" t="str">
            <v>GUEST</v>
          </cell>
          <cell r="C1582">
            <v>2048</v>
          </cell>
        </row>
        <row r="1583">
          <cell r="A1583">
            <v>43150</v>
          </cell>
          <cell r="B1583" t="str">
            <v>RESIDENT</v>
          </cell>
          <cell r="C1583">
            <v>4189</v>
          </cell>
        </row>
        <row r="1584">
          <cell r="A1584">
            <v>43150</v>
          </cell>
          <cell r="B1584" t="str">
            <v>MANAGER</v>
          </cell>
          <cell r="C1584">
            <v>430</v>
          </cell>
        </row>
        <row r="1585">
          <cell r="A1585">
            <v>43150</v>
          </cell>
          <cell r="B1585" t="str">
            <v>GUEST</v>
          </cell>
          <cell r="C1585">
            <v>1776</v>
          </cell>
        </row>
        <row r="1586">
          <cell r="A1586">
            <v>43149</v>
          </cell>
          <cell r="B1586" t="str">
            <v>MANAGER</v>
          </cell>
          <cell r="C1586">
            <v>178</v>
          </cell>
        </row>
        <row r="1587">
          <cell r="A1587">
            <v>43149</v>
          </cell>
          <cell r="B1587" t="str">
            <v>RESIDENT</v>
          </cell>
          <cell r="C1587">
            <v>3729</v>
          </cell>
        </row>
        <row r="1588">
          <cell r="A1588">
            <v>43149</v>
          </cell>
          <cell r="B1588" t="str">
            <v>GUEST</v>
          </cell>
          <cell r="C1588">
            <v>1246</v>
          </cell>
        </row>
        <row r="1589">
          <cell r="A1589">
            <v>43148</v>
          </cell>
          <cell r="B1589" t="str">
            <v>MANAGER</v>
          </cell>
          <cell r="C1589">
            <v>256</v>
          </cell>
        </row>
        <row r="1590">
          <cell r="A1590">
            <v>43148</v>
          </cell>
          <cell r="B1590" t="str">
            <v>GUEST</v>
          </cell>
          <cell r="C1590">
            <v>1433</v>
          </cell>
        </row>
        <row r="1591">
          <cell r="A1591">
            <v>43148</v>
          </cell>
          <cell r="B1591" t="str">
            <v>RESIDENT</v>
          </cell>
          <cell r="C1591">
            <v>3687</v>
          </cell>
        </row>
        <row r="1592">
          <cell r="A1592">
            <v>43147</v>
          </cell>
          <cell r="B1592" t="str">
            <v>RESIDENT</v>
          </cell>
          <cell r="C1592">
            <v>4132</v>
          </cell>
        </row>
        <row r="1593">
          <cell r="A1593">
            <v>43147</v>
          </cell>
          <cell r="B1593" t="str">
            <v>GUEST</v>
          </cell>
          <cell r="C1593">
            <v>2005</v>
          </cell>
        </row>
        <row r="1594">
          <cell r="A1594">
            <v>43147</v>
          </cell>
          <cell r="B1594" t="str">
            <v>MANAGER</v>
          </cell>
          <cell r="C1594">
            <v>599</v>
          </cell>
        </row>
        <row r="1595">
          <cell r="A1595">
            <v>43146</v>
          </cell>
          <cell r="B1595" t="str">
            <v>MANAGER</v>
          </cell>
          <cell r="C1595">
            <v>597</v>
          </cell>
        </row>
        <row r="1596">
          <cell r="A1596">
            <v>43146</v>
          </cell>
          <cell r="B1596" t="str">
            <v>GUEST</v>
          </cell>
          <cell r="C1596">
            <v>2170</v>
          </cell>
        </row>
        <row r="1597">
          <cell r="A1597">
            <v>43146</v>
          </cell>
          <cell r="B1597" t="str">
            <v>RESIDENT</v>
          </cell>
          <cell r="C1597">
            <v>4798</v>
          </cell>
        </row>
        <row r="1598">
          <cell r="A1598">
            <v>43145</v>
          </cell>
          <cell r="B1598" t="str">
            <v>MANAGER</v>
          </cell>
          <cell r="C1598">
            <v>692</v>
          </cell>
        </row>
        <row r="1599">
          <cell r="A1599">
            <v>43145</v>
          </cell>
          <cell r="B1599" t="str">
            <v>GUEST</v>
          </cell>
          <cell r="C1599">
            <v>2386</v>
          </cell>
        </row>
        <row r="1600">
          <cell r="A1600">
            <v>43145</v>
          </cell>
          <cell r="B1600" t="str">
            <v>RESIDENT</v>
          </cell>
          <cell r="C1600">
            <v>5023</v>
          </cell>
        </row>
        <row r="1601">
          <cell r="A1601">
            <v>43144</v>
          </cell>
          <cell r="B1601" t="str">
            <v>GUEST</v>
          </cell>
          <cell r="C1601">
            <v>2081</v>
          </cell>
        </row>
        <row r="1602">
          <cell r="A1602">
            <v>43144</v>
          </cell>
          <cell r="B1602" t="str">
            <v>MANAGER</v>
          </cell>
          <cell r="C1602">
            <v>727</v>
          </cell>
        </row>
        <row r="1603">
          <cell r="A1603">
            <v>43144</v>
          </cell>
          <cell r="B1603" t="str">
            <v>RESIDENT</v>
          </cell>
          <cell r="C1603">
            <v>4832</v>
          </cell>
        </row>
        <row r="1604">
          <cell r="A1604">
            <v>43143</v>
          </cell>
          <cell r="B1604" t="str">
            <v>MANAGER</v>
          </cell>
          <cell r="C1604">
            <v>688</v>
          </cell>
        </row>
        <row r="1605">
          <cell r="A1605">
            <v>43143</v>
          </cell>
          <cell r="B1605" t="str">
            <v>RESIDENT</v>
          </cell>
          <cell r="C1605">
            <v>4730</v>
          </cell>
        </row>
        <row r="1606">
          <cell r="A1606">
            <v>43143</v>
          </cell>
          <cell r="B1606" t="str">
            <v>GUEST</v>
          </cell>
          <cell r="C1606">
            <v>1962</v>
          </cell>
        </row>
        <row r="1607">
          <cell r="A1607">
            <v>43142</v>
          </cell>
          <cell r="B1607" t="str">
            <v>RESIDENT</v>
          </cell>
          <cell r="C1607">
            <v>3864</v>
          </cell>
        </row>
        <row r="1608">
          <cell r="A1608">
            <v>43142</v>
          </cell>
          <cell r="B1608" t="str">
            <v>GUEST</v>
          </cell>
          <cell r="C1608">
            <v>1033</v>
          </cell>
        </row>
        <row r="1609">
          <cell r="A1609">
            <v>43142</v>
          </cell>
          <cell r="B1609" t="str">
            <v>MANAGER</v>
          </cell>
          <cell r="C1609">
            <v>352</v>
          </cell>
        </row>
        <row r="1610">
          <cell r="A1610">
            <v>43141</v>
          </cell>
          <cell r="B1610" t="str">
            <v>MANAGER</v>
          </cell>
          <cell r="C1610">
            <v>315</v>
          </cell>
        </row>
        <row r="1611">
          <cell r="A1611">
            <v>43141</v>
          </cell>
          <cell r="B1611" t="str">
            <v>RESIDENT</v>
          </cell>
          <cell r="C1611">
            <v>4013</v>
          </cell>
        </row>
        <row r="1612">
          <cell r="A1612">
            <v>43141</v>
          </cell>
          <cell r="B1612" t="str">
            <v>GUEST</v>
          </cell>
          <cell r="C1612">
            <v>1494</v>
          </cell>
        </row>
        <row r="1613">
          <cell r="A1613">
            <v>43140</v>
          </cell>
          <cell r="B1613" t="str">
            <v>MANAGER</v>
          </cell>
          <cell r="C1613">
            <v>641</v>
          </cell>
        </row>
        <row r="1614">
          <cell r="A1614">
            <v>43140</v>
          </cell>
          <cell r="B1614" t="str">
            <v>RESIDENT</v>
          </cell>
          <cell r="C1614">
            <v>4621</v>
          </cell>
        </row>
        <row r="1615">
          <cell r="A1615">
            <v>43140</v>
          </cell>
          <cell r="B1615" t="str">
            <v>GUEST</v>
          </cell>
          <cell r="C1615">
            <v>2104</v>
          </cell>
        </row>
        <row r="1616">
          <cell r="A1616">
            <v>43139</v>
          </cell>
          <cell r="B1616" t="str">
            <v>GUEST</v>
          </cell>
          <cell r="C1616">
            <v>2085</v>
          </cell>
        </row>
        <row r="1617">
          <cell r="A1617">
            <v>43139</v>
          </cell>
          <cell r="B1617" t="str">
            <v>MANAGER</v>
          </cell>
          <cell r="C1617">
            <v>664</v>
          </cell>
        </row>
        <row r="1618">
          <cell r="A1618">
            <v>43139</v>
          </cell>
          <cell r="B1618" t="str">
            <v>RESIDENT</v>
          </cell>
          <cell r="C1618">
            <v>4402</v>
          </cell>
        </row>
        <row r="1619">
          <cell r="A1619">
            <v>43138</v>
          </cell>
          <cell r="B1619" t="str">
            <v>MANAGER</v>
          </cell>
          <cell r="C1619">
            <v>703</v>
          </cell>
        </row>
        <row r="1620">
          <cell r="A1620">
            <v>43138</v>
          </cell>
          <cell r="B1620" t="str">
            <v>RESIDENT</v>
          </cell>
          <cell r="C1620">
            <v>4428</v>
          </cell>
        </row>
        <row r="1621">
          <cell r="A1621">
            <v>43138</v>
          </cell>
          <cell r="B1621" t="str">
            <v>GUEST</v>
          </cell>
          <cell r="C1621">
            <v>1914</v>
          </cell>
        </row>
        <row r="1622">
          <cell r="A1622">
            <v>43137</v>
          </cell>
          <cell r="B1622" t="str">
            <v>MANAGER</v>
          </cell>
          <cell r="C1622">
            <v>713</v>
          </cell>
        </row>
        <row r="1623">
          <cell r="A1623">
            <v>43137</v>
          </cell>
          <cell r="B1623" t="str">
            <v>RESIDENT</v>
          </cell>
          <cell r="C1623">
            <v>4516</v>
          </cell>
        </row>
        <row r="1624">
          <cell r="A1624">
            <v>43137</v>
          </cell>
          <cell r="B1624" t="str">
            <v>GUEST</v>
          </cell>
          <cell r="C1624">
            <v>1991</v>
          </cell>
        </row>
        <row r="1625">
          <cell r="A1625">
            <v>43136</v>
          </cell>
          <cell r="B1625" t="str">
            <v>MANAGER</v>
          </cell>
          <cell r="C1625">
            <v>758</v>
          </cell>
        </row>
        <row r="1626">
          <cell r="A1626">
            <v>43136</v>
          </cell>
          <cell r="B1626" t="str">
            <v>RESIDENT</v>
          </cell>
          <cell r="C1626">
            <v>4470</v>
          </cell>
        </row>
        <row r="1627">
          <cell r="A1627">
            <v>43136</v>
          </cell>
          <cell r="B1627" t="str">
            <v>GUEST</v>
          </cell>
          <cell r="C1627">
            <v>2188</v>
          </cell>
        </row>
        <row r="1628">
          <cell r="A1628">
            <v>43135</v>
          </cell>
          <cell r="B1628" t="str">
            <v>GUEST</v>
          </cell>
          <cell r="C1628">
            <v>1200</v>
          </cell>
        </row>
        <row r="1629">
          <cell r="A1629">
            <v>43135</v>
          </cell>
          <cell r="B1629" t="str">
            <v>MANAGER</v>
          </cell>
          <cell r="C1629">
            <v>263</v>
          </cell>
        </row>
        <row r="1630">
          <cell r="A1630">
            <v>43135</v>
          </cell>
          <cell r="B1630" t="str">
            <v>RESIDENT</v>
          </cell>
          <cell r="C1630">
            <v>3670</v>
          </cell>
        </row>
        <row r="1631">
          <cell r="A1631">
            <v>43134</v>
          </cell>
          <cell r="B1631" t="str">
            <v>MANAGER</v>
          </cell>
          <cell r="C1631">
            <v>301</v>
          </cell>
        </row>
        <row r="1632">
          <cell r="A1632">
            <v>43134</v>
          </cell>
          <cell r="B1632" t="str">
            <v>GUEST</v>
          </cell>
          <cell r="C1632">
            <v>1490</v>
          </cell>
        </row>
        <row r="1633">
          <cell r="A1633">
            <v>43134</v>
          </cell>
          <cell r="B1633" t="str">
            <v>RESIDENT</v>
          </cell>
          <cell r="C1633">
            <v>3920</v>
          </cell>
        </row>
        <row r="1634">
          <cell r="A1634">
            <v>43133</v>
          </cell>
          <cell r="B1634" t="str">
            <v>RESIDENT</v>
          </cell>
          <cell r="C1634">
            <v>3983</v>
          </cell>
        </row>
        <row r="1635">
          <cell r="A1635">
            <v>43133</v>
          </cell>
          <cell r="B1635" t="str">
            <v>MANAGER</v>
          </cell>
          <cell r="C1635">
            <v>761</v>
          </cell>
        </row>
        <row r="1636">
          <cell r="A1636">
            <v>43133</v>
          </cell>
          <cell r="B1636" t="str">
            <v>GUEST</v>
          </cell>
          <cell r="C1636">
            <v>1822</v>
          </cell>
        </row>
        <row r="1637">
          <cell r="A1637">
            <v>43132</v>
          </cell>
          <cell r="B1637" t="str">
            <v>RESIDENT</v>
          </cell>
          <cell r="C1637">
            <v>4467</v>
          </cell>
        </row>
        <row r="1638">
          <cell r="A1638">
            <v>43132</v>
          </cell>
          <cell r="B1638" t="str">
            <v>MANAGER</v>
          </cell>
          <cell r="C1638">
            <v>754</v>
          </cell>
        </row>
        <row r="1639">
          <cell r="A1639">
            <v>43132</v>
          </cell>
          <cell r="B1639" t="str">
            <v>GUEST</v>
          </cell>
          <cell r="C1639">
            <v>2027</v>
          </cell>
        </row>
        <row r="1640">
          <cell r="A1640">
            <v>43131</v>
          </cell>
          <cell r="B1640" t="str">
            <v>RESIDENT</v>
          </cell>
          <cell r="C1640">
            <v>4374</v>
          </cell>
        </row>
        <row r="1641">
          <cell r="A1641">
            <v>43131</v>
          </cell>
          <cell r="B1641" t="str">
            <v>MANAGER</v>
          </cell>
          <cell r="C1641">
            <v>841</v>
          </cell>
        </row>
        <row r="1642">
          <cell r="A1642">
            <v>43131</v>
          </cell>
          <cell r="B1642" t="str">
            <v>GUEST</v>
          </cell>
          <cell r="C1642">
            <v>1836</v>
          </cell>
        </row>
        <row r="1643">
          <cell r="A1643">
            <v>43130</v>
          </cell>
          <cell r="B1643" t="str">
            <v>GUEST</v>
          </cell>
          <cell r="C1643">
            <v>2608</v>
          </cell>
        </row>
        <row r="1644">
          <cell r="A1644">
            <v>43130</v>
          </cell>
          <cell r="B1644" t="str">
            <v>RESIDENT</v>
          </cell>
          <cell r="C1644">
            <v>5278</v>
          </cell>
        </row>
        <row r="1645">
          <cell r="A1645">
            <v>43130</v>
          </cell>
          <cell r="B1645" t="str">
            <v>MANAGER</v>
          </cell>
          <cell r="C1645">
            <v>937</v>
          </cell>
        </row>
        <row r="1646">
          <cell r="A1646">
            <v>43129</v>
          </cell>
          <cell r="B1646" t="str">
            <v>GUEST</v>
          </cell>
          <cell r="C1646">
            <v>1934</v>
          </cell>
        </row>
        <row r="1647">
          <cell r="A1647">
            <v>43129</v>
          </cell>
          <cell r="B1647" t="str">
            <v>MANAGER</v>
          </cell>
          <cell r="C1647">
            <v>688</v>
          </cell>
        </row>
        <row r="1648">
          <cell r="A1648">
            <v>43129</v>
          </cell>
          <cell r="B1648" t="str">
            <v>RESIDENT</v>
          </cell>
          <cell r="C1648">
            <v>4450</v>
          </cell>
        </row>
        <row r="1649">
          <cell r="A1649">
            <v>43128</v>
          </cell>
          <cell r="B1649" t="str">
            <v>MANAGER</v>
          </cell>
          <cell r="C1649">
            <v>237</v>
          </cell>
        </row>
        <row r="1650">
          <cell r="A1650">
            <v>43128</v>
          </cell>
          <cell r="B1650" t="str">
            <v>GUEST</v>
          </cell>
          <cell r="C1650">
            <v>1291</v>
          </cell>
        </row>
        <row r="1651">
          <cell r="A1651">
            <v>43128</v>
          </cell>
          <cell r="B1651" t="str">
            <v>RESIDENT</v>
          </cell>
          <cell r="C1651">
            <v>3867</v>
          </cell>
        </row>
        <row r="1652">
          <cell r="A1652">
            <v>43127</v>
          </cell>
          <cell r="B1652" t="str">
            <v>MANAGER</v>
          </cell>
          <cell r="C1652">
            <v>326</v>
          </cell>
        </row>
        <row r="1653">
          <cell r="A1653">
            <v>43127</v>
          </cell>
          <cell r="B1653" t="str">
            <v>GUEST</v>
          </cell>
          <cell r="C1653">
            <v>1379</v>
          </cell>
        </row>
        <row r="1654">
          <cell r="A1654">
            <v>43127</v>
          </cell>
          <cell r="B1654" t="str">
            <v>RESIDENT</v>
          </cell>
          <cell r="C1654">
            <v>3478</v>
          </cell>
        </row>
        <row r="1655">
          <cell r="A1655">
            <v>43126</v>
          </cell>
          <cell r="B1655" t="str">
            <v>MANAGER</v>
          </cell>
          <cell r="C1655">
            <v>627</v>
          </cell>
        </row>
        <row r="1656">
          <cell r="A1656">
            <v>43126</v>
          </cell>
          <cell r="B1656" t="str">
            <v>GUEST</v>
          </cell>
          <cell r="C1656">
            <v>1881</v>
          </cell>
        </row>
        <row r="1657">
          <cell r="A1657">
            <v>43126</v>
          </cell>
          <cell r="B1657" t="str">
            <v>RESIDENT</v>
          </cell>
          <cell r="C1657">
            <v>3866</v>
          </cell>
        </row>
        <row r="1658">
          <cell r="A1658">
            <v>43125</v>
          </cell>
          <cell r="B1658" t="str">
            <v>RESIDENT</v>
          </cell>
          <cell r="C1658">
            <v>3878</v>
          </cell>
        </row>
        <row r="1659">
          <cell r="A1659">
            <v>43125</v>
          </cell>
          <cell r="B1659" t="str">
            <v>MANAGER</v>
          </cell>
          <cell r="C1659">
            <v>639</v>
          </cell>
        </row>
        <row r="1660">
          <cell r="A1660">
            <v>43125</v>
          </cell>
          <cell r="B1660" t="str">
            <v>GUEST</v>
          </cell>
          <cell r="C1660">
            <v>1914</v>
          </cell>
        </row>
        <row r="1661">
          <cell r="A1661">
            <v>43124</v>
          </cell>
          <cell r="B1661" t="str">
            <v>MANAGER</v>
          </cell>
          <cell r="C1661">
            <v>603</v>
          </cell>
        </row>
        <row r="1662">
          <cell r="A1662">
            <v>43124</v>
          </cell>
          <cell r="B1662" t="str">
            <v>RESIDENT</v>
          </cell>
          <cell r="C1662">
            <v>3936</v>
          </cell>
        </row>
        <row r="1663">
          <cell r="A1663">
            <v>43124</v>
          </cell>
          <cell r="B1663" t="str">
            <v>GUEST</v>
          </cell>
          <cell r="C1663">
            <v>1916</v>
          </cell>
        </row>
        <row r="1664">
          <cell r="A1664">
            <v>43123</v>
          </cell>
          <cell r="B1664" t="str">
            <v>MANAGER</v>
          </cell>
          <cell r="C1664">
            <v>805</v>
          </cell>
        </row>
        <row r="1665">
          <cell r="A1665">
            <v>43123</v>
          </cell>
          <cell r="B1665" t="str">
            <v>RESIDENT</v>
          </cell>
          <cell r="C1665">
            <v>4001</v>
          </cell>
        </row>
        <row r="1666">
          <cell r="A1666">
            <v>43123</v>
          </cell>
          <cell r="B1666" t="str">
            <v>GUEST</v>
          </cell>
          <cell r="C1666">
            <v>1987</v>
          </cell>
        </row>
        <row r="1667">
          <cell r="A1667">
            <v>43122</v>
          </cell>
          <cell r="B1667" t="str">
            <v>MANAGER</v>
          </cell>
          <cell r="C1667">
            <v>608</v>
          </cell>
        </row>
        <row r="1668">
          <cell r="A1668">
            <v>43122</v>
          </cell>
          <cell r="B1668" t="str">
            <v>RESIDENT</v>
          </cell>
          <cell r="C1668">
            <v>3854</v>
          </cell>
        </row>
        <row r="1669">
          <cell r="A1669">
            <v>43122</v>
          </cell>
          <cell r="B1669" t="str">
            <v>GUEST</v>
          </cell>
          <cell r="C1669">
            <v>1829</v>
          </cell>
        </row>
        <row r="1670">
          <cell r="A1670">
            <v>43121</v>
          </cell>
          <cell r="B1670" t="str">
            <v>GUEST</v>
          </cell>
          <cell r="C1670">
            <v>1186</v>
          </cell>
        </row>
        <row r="1671">
          <cell r="A1671">
            <v>43121</v>
          </cell>
          <cell r="B1671" t="str">
            <v>MANAGER</v>
          </cell>
          <cell r="C1671">
            <v>197</v>
          </cell>
        </row>
        <row r="1672">
          <cell r="A1672">
            <v>43121</v>
          </cell>
          <cell r="B1672" t="str">
            <v>RESIDENT</v>
          </cell>
          <cell r="C1672">
            <v>3349</v>
          </cell>
        </row>
        <row r="1673">
          <cell r="A1673">
            <v>43120</v>
          </cell>
          <cell r="B1673" t="str">
            <v>MANAGER</v>
          </cell>
          <cell r="C1673">
            <v>308</v>
          </cell>
        </row>
        <row r="1674">
          <cell r="A1674">
            <v>43120</v>
          </cell>
          <cell r="B1674" t="str">
            <v>RESIDENT</v>
          </cell>
          <cell r="C1674">
            <v>3371</v>
          </cell>
        </row>
        <row r="1675">
          <cell r="A1675">
            <v>43120</v>
          </cell>
          <cell r="B1675" t="str">
            <v>GUEST</v>
          </cell>
          <cell r="C1675">
            <v>1465</v>
          </cell>
        </row>
        <row r="1676">
          <cell r="A1676">
            <v>43119</v>
          </cell>
          <cell r="B1676" t="str">
            <v>MANAGER</v>
          </cell>
          <cell r="C1676">
            <v>527</v>
          </cell>
        </row>
        <row r="1677">
          <cell r="A1677">
            <v>43119</v>
          </cell>
          <cell r="B1677" t="str">
            <v>GUEST</v>
          </cell>
          <cell r="C1677">
            <v>1922</v>
          </cell>
        </row>
        <row r="1678">
          <cell r="A1678">
            <v>43119</v>
          </cell>
          <cell r="B1678" t="str">
            <v>RESIDENT</v>
          </cell>
          <cell r="C1678">
            <v>3503</v>
          </cell>
        </row>
        <row r="1679">
          <cell r="A1679">
            <v>43118</v>
          </cell>
          <cell r="B1679" t="str">
            <v>MANAGER</v>
          </cell>
          <cell r="C1679">
            <v>678</v>
          </cell>
        </row>
        <row r="1680">
          <cell r="A1680">
            <v>43118</v>
          </cell>
          <cell r="B1680" t="str">
            <v>RESIDENT</v>
          </cell>
          <cell r="C1680">
            <v>3421</v>
          </cell>
        </row>
        <row r="1681">
          <cell r="A1681">
            <v>43118</v>
          </cell>
          <cell r="B1681" t="str">
            <v>GUEST</v>
          </cell>
          <cell r="C1681">
            <v>1598</v>
          </cell>
        </row>
        <row r="1682">
          <cell r="A1682">
            <v>43117</v>
          </cell>
          <cell r="B1682" t="str">
            <v>MANAGER</v>
          </cell>
          <cell r="C1682">
            <v>547</v>
          </cell>
        </row>
        <row r="1683">
          <cell r="A1683">
            <v>43117</v>
          </cell>
          <cell r="B1683" t="str">
            <v>GUEST</v>
          </cell>
          <cell r="C1683">
            <v>1705</v>
          </cell>
        </row>
        <row r="1684">
          <cell r="A1684">
            <v>43117</v>
          </cell>
          <cell r="B1684" t="str">
            <v>RESIDENT</v>
          </cell>
          <cell r="C1684">
            <v>3353</v>
          </cell>
        </row>
        <row r="1685">
          <cell r="A1685">
            <v>43116</v>
          </cell>
          <cell r="B1685" t="str">
            <v>RESIDENT</v>
          </cell>
          <cell r="C1685">
            <v>3263</v>
          </cell>
        </row>
        <row r="1686">
          <cell r="A1686">
            <v>43116</v>
          </cell>
          <cell r="B1686" t="str">
            <v>MANAGER</v>
          </cell>
          <cell r="C1686">
            <v>677</v>
          </cell>
        </row>
        <row r="1687">
          <cell r="A1687">
            <v>43116</v>
          </cell>
          <cell r="B1687" t="str">
            <v>GUEST</v>
          </cell>
          <cell r="C1687">
            <v>1702</v>
          </cell>
        </row>
        <row r="1688">
          <cell r="A1688">
            <v>43115</v>
          </cell>
          <cell r="B1688" t="str">
            <v>RESIDENT</v>
          </cell>
          <cell r="C1688">
            <v>1004</v>
          </cell>
        </row>
        <row r="1689">
          <cell r="A1689">
            <v>43115</v>
          </cell>
          <cell r="B1689" t="str">
            <v>GUEST</v>
          </cell>
          <cell r="C1689">
            <v>1286</v>
          </cell>
        </row>
        <row r="1690">
          <cell r="A1690">
            <v>43115</v>
          </cell>
          <cell r="B1690" t="str">
            <v>MANAGER</v>
          </cell>
          <cell r="C1690">
            <v>94</v>
          </cell>
        </row>
        <row r="1691">
          <cell r="A1691">
            <v>43114</v>
          </cell>
          <cell r="B1691" t="str">
            <v>RESIDENT</v>
          </cell>
          <cell r="C1691">
            <v>787</v>
          </cell>
        </row>
        <row r="1692">
          <cell r="A1692">
            <v>43114</v>
          </cell>
          <cell r="B1692" t="str">
            <v>GUEST</v>
          </cell>
          <cell r="C1692">
            <v>705</v>
          </cell>
        </row>
        <row r="1693">
          <cell r="A1693">
            <v>43114</v>
          </cell>
          <cell r="B1693" t="str">
            <v>MANAGER</v>
          </cell>
          <cell r="C1693">
            <v>83</v>
          </cell>
        </row>
        <row r="1694">
          <cell r="A1694">
            <v>43113</v>
          </cell>
          <cell r="B1694" t="str">
            <v>MANAGER</v>
          </cell>
          <cell r="C1694">
            <v>101</v>
          </cell>
        </row>
        <row r="1695">
          <cell r="A1695">
            <v>43113</v>
          </cell>
          <cell r="B1695" t="str">
            <v>RESIDENT</v>
          </cell>
          <cell r="C1695">
            <v>829</v>
          </cell>
        </row>
        <row r="1696">
          <cell r="A1696">
            <v>43113</v>
          </cell>
          <cell r="B1696" t="str">
            <v>GUEST</v>
          </cell>
          <cell r="C1696">
            <v>1080</v>
          </cell>
        </row>
        <row r="1697">
          <cell r="A1697">
            <v>43112</v>
          </cell>
          <cell r="B1697" t="str">
            <v>RESIDENT</v>
          </cell>
          <cell r="C1697">
            <v>1089</v>
          </cell>
        </row>
        <row r="1698">
          <cell r="A1698">
            <v>43112</v>
          </cell>
          <cell r="B1698" t="str">
            <v>GUEST</v>
          </cell>
          <cell r="C1698">
            <v>1610</v>
          </cell>
        </row>
        <row r="1699">
          <cell r="A1699">
            <v>43112</v>
          </cell>
          <cell r="B1699" t="str">
            <v>MANAGER</v>
          </cell>
          <cell r="C1699">
            <v>164</v>
          </cell>
        </row>
        <row r="1700">
          <cell r="A1700">
            <v>43111</v>
          </cell>
          <cell r="B1700" t="str">
            <v>GUEST</v>
          </cell>
          <cell r="C1700">
            <v>1680</v>
          </cell>
        </row>
        <row r="1701">
          <cell r="A1701">
            <v>43111</v>
          </cell>
          <cell r="B1701" t="str">
            <v>MANAGER</v>
          </cell>
          <cell r="C1701">
            <v>189</v>
          </cell>
        </row>
        <row r="1702">
          <cell r="A1702">
            <v>43111</v>
          </cell>
          <cell r="B1702" t="str">
            <v>RESIDENT</v>
          </cell>
          <cell r="C1702">
            <v>1055</v>
          </cell>
        </row>
        <row r="1703">
          <cell r="A1703">
            <v>43110</v>
          </cell>
          <cell r="B1703" t="str">
            <v>RESIDENT</v>
          </cell>
          <cell r="C1703">
            <v>1062</v>
          </cell>
        </row>
        <row r="1704">
          <cell r="A1704">
            <v>43110</v>
          </cell>
          <cell r="B1704" t="str">
            <v>MANAGER</v>
          </cell>
          <cell r="C1704">
            <v>116</v>
          </cell>
        </row>
        <row r="1705">
          <cell r="A1705">
            <v>43110</v>
          </cell>
          <cell r="B1705" t="str">
            <v>GUEST</v>
          </cell>
          <cell r="C1705">
            <v>1801</v>
          </cell>
        </row>
        <row r="1706">
          <cell r="A1706">
            <v>43109</v>
          </cell>
          <cell r="B1706" t="str">
            <v>MANAGER</v>
          </cell>
          <cell r="C1706">
            <v>156</v>
          </cell>
        </row>
        <row r="1707">
          <cell r="A1707">
            <v>43109</v>
          </cell>
          <cell r="B1707" t="str">
            <v>GUEST</v>
          </cell>
          <cell r="C1707">
            <v>1633</v>
          </cell>
        </row>
        <row r="1708">
          <cell r="A1708">
            <v>43109</v>
          </cell>
          <cell r="B1708" t="str">
            <v>RESIDENT</v>
          </cell>
          <cell r="C1708">
            <v>1231</v>
          </cell>
        </row>
        <row r="1709">
          <cell r="A1709">
            <v>43108</v>
          </cell>
          <cell r="B1709" t="str">
            <v>RESIDENT</v>
          </cell>
          <cell r="C1709">
            <v>1132</v>
          </cell>
        </row>
        <row r="1710">
          <cell r="A1710">
            <v>43108</v>
          </cell>
          <cell r="B1710" t="str">
            <v>MANAGER</v>
          </cell>
          <cell r="C1710">
            <v>92</v>
          </cell>
        </row>
        <row r="1711">
          <cell r="A1711">
            <v>43108</v>
          </cell>
          <cell r="B1711" t="str">
            <v>GUEST</v>
          </cell>
          <cell r="C1711">
            <v>1448</v>
          </cell>
        </row>
        <row r="1712">
          <cell r="A1712">
            <v>43107</v>
          </cell>
          <cell r="B1712" t="str">
            <v>MANAGER</v>
          </cell>
          <cell r="C1712">
            <v>45</v>
          </cell>
        </row>
        <row r="1713">
          <cell r="A1713">
            <v>43107</v>
          </cell>
          <cell r="B1713" t="str">
            <v>RESIDENT</v>
          </cell>
          <cell r="C1713">
            <v>805</v>
          </cell>
        </row>
        <row r="1714">
          <cell r="A1714">
            <v>43107</v>
          </cell>
          <cell r="B1714" t="str">
            <v>GUEST</v>
          </cell>
          <cell r="C1714">
            <v>742</v>
          </cell>
        </row>
        <row r="1715">
          <cell r="A1715">
            <v>43106</v>
          </cell>
          <cell r="B1715" t="str">
            <v>GUEST</v>
          </cell>
          <cell r="C1715">
            <v>877</v>
          </cell>
        </row>
        <row r="1716">
          <cell r="A1716">
            <v>43106</v>
          </cell>
          <cell r="B1716" t="str">
            <v>MANAGER</v>
          </cell>
          <cell r="C1716">
            <v>67</v>
          </cell>
        </row>
        <row r="1717">
          <cell r="A1717">
            <v>43106</v>
          </cell>
          <cell r="B1717" t="str">
            <v>RESIDENT</v>
          </cell>
          <cell r="C1717">
            <v>900</v>
          </cell>
        </row>
        <row r="1718">
          <cell r="A1718">
            <v>43105</v>
          </cell>
          <cell r="B1718" t="str">
            <v>MANAGER</v>
          </cell>
          <cell r="C1718">
            <v>162</v>
          </cell>
        </row>
        <row r="1719">
          <cell r="A1719">
            <v>43105</v>
          </cell>
          <cell r="B1719" t="str">
            <v>RESIDENT</v>
          </cell>
          <cell r="C1719">
            <v>985</v>
          </cell>
        </row>
        <row r="1720">
          <cell r="A1720">
            <v>43105</v>
          </cell>
          <cell r="B1720" t="str">
            <v>GUEST</v>
          </cell>
          <cell r="C1720">
            <v>1351</v>
          </cell>
        </row>
        <row r="1721">
          <cell r="A1721">
            <v>43104</v>
          </cell>
          <cell r="B1721" t="str">
            <v>RESIDENT</v>
          </cell>
          <cell r="C1721">
            <v>906</v>
          </cell>
        </row>
        <row r="1722">
          <cell r="A1722">
            <v>43104</v>
          </cell>
          <cell r="B1722" t="str">
            <v>MANAGER</v>
          </cell>
          <cell r="C1722">
            <v>187</v>
          </cell>
        </row>
        <row r="1723">
          <cell r="A1723">
            <v>43104</v>
          </cell>
          <cell r="B1723" t="str">
            <v>GUEST</v>
          </cell>
          <cell r="C1723">
            <v>1243</v>
          </cell>
        </row>
        <row r="1724">
          <cell r="A1724">
            <v>43103</v>
          </cell>
          <cell r="B1724" t="str">
            <v>GUEST</v>
          </cell>
          <cell r="C1724">
            <v>1382</v>
          </cell>
        </row>
        <row r="1725">
          <cell r="A1725">
            <v>43103</v>
          </cell>
          <cell r="B1725" t="str">
            <v>RESIDENT</v>
          </cell>
          <cell r="C1725">
            <v>1065</v>
          </cell>
        </row>
        <row r="1726">
          <cell r="A1726">
            <v>43103</v>
          </cell>
          <cell r="B1726" t="str">
            <v>MANAGER</v>
          </cell>
          <cell r="C1726">
            <v>240</v>
          </cell>
        </row>
        <row r="1727">
          <cell r="A1727">
            <v>43102</v>
          </cell>
          <cell r="B1727" t="str">
            <v>GUEST</v>
          </cell>
          <cell r="C1727">
            <v>1153</v>
          </cell>
        </row>
        <row r="1728">
          <cell r="A1728">
            <v>43102</v>
          </cell>
          <cell r="B1728" t="str">
            <v>MANAGER</v>
          </cell>
          <cell r="C1728">
            <v>117</v>
          </cell>
        </row>
        <row r="1729">
          <cell r="A1729">
            <v>43102</v>
          </cell>
          <cell r="B1729" t="str">
            <v>RESIDENT</v>
          </cell>
          <cell r="C1729">
            <v>996</v>
          </cell>
        </row>
        <row r="1730">
          <cell r="A1730">
            <v>43101</v>
          </cell>
          <cell r="B1730" t="str">
            <v>MANAGER</v>
          </cell>
          <cell r="C1730">
            <v>18</v>
          </cell>
        </row>
        <row r="1731">
          <cell r="A1731">
            <v>43101</v>
          </cell>
          <cell r="B1731" t="str">
            <v>GUEST</v>
          </cell>
          <cell r="C1731">
            <v>591</v>
          </cell>
        </row>
        <row r="1732">
          <cell r="A1732">
            <v>43101</v>
          </cell>
          <cell r="B1732" t="str">
            <v>RESIDENT</v>
          </cell>
          <cell r="C1732">
            <v>674</v>
          </cell>
        </row>
      </sheetData>
      <sheetData sheetId="13"/>
      <sheetData sheetId="14"/>
      <sheetData sheetId="15">
        <row r="56">
          <cell r="K56">
            <v>-12.934029949999999</v>
          </cell>
        </row>
      </sheetData>
      <sheetData sheetId="16">
        <row r="7">
          <cell r="B7" t="str">
            <v>Target</v>
          </cell>
          <cell r="C7" t="str">
            <v>Revised Target</v>
          </cell>
          <cell r="D7" t="str">
            <v>Bookings</v>
          </cell>
          <cell r="E7" t="str">
            <v>Cumulative Bookings</v>
          </cell>
          <cell r="F7" t="str">
            <v>Weighted Pipeline</v>
          </cell>
        </row>
        <row r="8">
          <cell r="B8">
            <v>0</v>
          </cell>
          <cell r="E8">
            <v>0</v>
          </cell>
        </row>
        <row r="9">
          <cell r="A9" t="str">
            <v>Q1'19</v>
          </cell>
          <cell r="B9">
            <v>16000</v>
          </cell>
          <cell r="D9">
            <v>20702</v>
          </cell>
          <cell r="E9">
            <v>20702</v>
          </cell>
        </row>
        <row r="10">
          <cell r="A10" t="str">
            <v>Q2'19</v>
          </cell>
          <cell r="B10">
            <v>34800</v>
          </cell>
          <cell r="C10">
            <v>34800</v>
          </cell>
          <cell r="D10">
            <v>36590</v>
          </cell>
          <cell r="E10">
            <v>57292</v>
          </cell>
        </row>
        <row r="11">
          <cell r="A11" t="str">
            <v>Q3'19</v>
          </cell>
          <cell r="B11">
            <v>56400</v>
          </cell>
          <cell r="C11">
            <v>67400</v>
          </cell>
          <cell r="D11">
            <v>22216</v>
          </cell>
          <cell r="E11">
            <v>79508</v>
          </cell>
        </row>
        <row r="12">
          <cell r="A12" t="str">
            <v>Q4'19</v>
          </cell>
          <cell r="B12">
            <v>80000</v>
          </cell>
          <cell r="C12">
            <v>100000</v>
          </cell>
          <cell r="D12">
            <v>31297</v>
          </cell>
          <cell r="E12">
            <v>110805</v>
          </cell>
          <cell r="F12"/>
          <cell r="I12"/>
        </row>
        <row r="13">
          <cell r="F13"/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ard_Chart"/>
      <sheetName val="YC_Chart"/>
      <sheetName val="OpEx"/>
      <sheetName val="Bookings_Chart"/>
      <sheetName val="Runway"/>
      <sheetName val="MF_Chart"/>
      <sheetName val="Summary"/>
      <sheetName val="Headcount"/>
      <sheetName val="Board"/>
      <sheetName val="LTV_CAC"/>
      <sheetName val="Bookings_Summary"/>
      <sheetName val="Deliveries_Summary"/>
      <sheetName val="Balance_Sheet"/>
      <sheetName val="Delivery_Forecast"/>
      <sheetName val="Data_Comparison"/>
      <sheetName val="BACKEND--&gt;"/>
      <sheetName val="Bookings_Data"/>
      <sheetName val="Bookings_LostOpps"/>
      <sheetName val="Bookings_Data_010620"/>
      <sheetName val="Invoice_Data"/>
      <sheetName val="COGS_Data"/>
      <sheetName val="Cost_Savings"/>
      <sheetName val="Bookings_Mapping"/>
      <sheetName val="Deliveries_Mapping"/>
      <sheetName val="COGS_Mapping"/>
      <sheetName val="Invoice_Early"/>
      <sheetName val="Invoice_Data_Early"/>
    </sheetNames>
    <sheetDataSet>
      <sheetData sheetId="0">
        <row r="2">
          <cell r="C2" t="str">
            <v>Operating Plan</v>
          </cell>
          <cell r="D2"/>
          <cell r="E2"/>
          <cell r="F2"/>
          <cell r="G2"/>
          <cell r="H2"/>
          <cell r="I2"/>
          <cell r="J2"/>
          <cell r="K2"/>
          <cell r="L2"/>
          <cell r="M2"/>
          <cell r="N2"/>
          <cell r="O2"/>
          <cell r="P2"/>
          <cell r="Q2"/>
        </row>
        <row r="4">
          <cell r="B4" t="str">
            <v>$s in millions</v>
          </cell>
          <cell r="C4" t="str">
            <v>Q1'20</v>
          </cell>
          <cell r="D4" t="str">
            <v>Q2'20</v>
          </cell>
          <cell r="E4"/>
          <cell r="F4" t="str">
            <v>Q2'20</v>
          </cell>
          <cell r="G4" t="str">
            <v>Variance ($)</v>
          </cell>
          <cell r="H4" t="str">
            <v>Variance (%)</v>
          </cell>
          <cell r="I4"/>
          <cell r="J4" t="str">
            <v>Q3'20</v>
          </cell>
          <cell r="K4" t="str">
            <v>Q4'20</v>
          </cell>
          <cell r="L4" t="str">
            <v>Q1'21</v>
          </cell>
          <cell r="M4" t="str">
            <v>Q2'21</v>
          </cell>
          <cell r="N4" t="str">
            <v>Q3'21</v>
          </cell>
          <cell r="O4" t="str">
            <v>Q4'21</v>
          </cell>
          <cell r="P4"/>
          <cell r="Q4">
            <v>2020</v>
          </cell>
        </row>
        <row r="5">
          <cell r="B5"/>
          <cell r="C5" t="str">
            <v>Actual</v>
          </cell>
          <cell r="D5" t="str">
            <v>Actual</v>
          </cell>
          <cell r="E5"/>
          <cell r="F5" t="str">
            <v>Target</v>
          </cell>
          <cell r="G5" t="str">
            <v>Variance</v>
          </cell>
          <cell r="H5" t="str">
            <v>Variance</v>
          </cell>
          <cell r="I5"/>
          <cell r="J5" t="str">
            <v>Target</v>
          </cell>
          <cell r="K5" t="str">
            <v>Target</v>
          </cell>
          <cell r="L5" t="str">
            <v>Target</v>
          </cell>
          <cell r="M5" t="str">
            <v>Target</v>
          </cell>
          <cell r="N5" t="str">
            <v>Target</v>
          </cell>
          <cell r="O5" t="str">
            <v>Target</v>
          </cell>
          <cell r="P5"/>
          <cell r="Q5" t="str">
            <v>Target</v>
          </cell>
        </row>
        <row r="6">
          <cell r="B6" t="str">
            <v>OPERATING</v>
          </cell>
          <cell r="C6"/>
          <cell r="D6"/>
          <cell r="E6"/>
          <cell r="F6"/>
          <cell r="G6"/>
          <cell r="H6"/>
          <cell r="I6"/>
          <cell r="J6"/>
          <cell r="K6"/>
          <cell r="L6"/>
          <cell r="M6"/>
          <cell r="N6"/>
          <cell r="O6"/>
          <cell r="P6"/>
          <cell r="Q6"/>
        </row>
        <row r="7">
          <cell r="B7"/>
          <cell r="C7"/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</row>
        <row r="8">
          <cell r="B8" t="str">
            <v>Bookings (000s units)</v>
          </cell>
          <cell r="C8">
            <v>35.430999999999997</v>
          </cell>
          <cell r="D8">
            <v>44.323</v>
          </cell>
          <cell r="E8"/>
          <cell r="F8">
            <v>29.099623246547313</v>
          </cell>
          <cell r="G8">
            <v>15.223376753452687</v>
          </cell>
          <cell r="H8">
            <v>0.52314686772650743</v>
          </cell>
          <cell r="I8"/>
          <cell r="J8">
            <v>40.342747427407033</v>
          </cell>
          <cell r="K8">
            <v>45.12039931389365</v>
          </cell>
          <cell r="L8">
            <v>39.02247818181818</v>
          </cell>
          <cell r="M8">
            <v>48.36940922743733</v>
          </cell>
          <cell r="N8">
            <v>59.705691013754468</v>
          </cell>
          <cell r="O8">
            <v>62.869302710120067</v>
          </cell>
          <cell r="P8"/>
          <cell r="Q8">
            <v>165.21714674130067</v>
          </cell>
        </row>
        <row r="9">
          <cell r="B9"/>
          <cell r="C9"/>
          <cell r="D9"/>
          <cell r="E9"/>
          <cell r="F9"/>
          <cell r="G9"/>
          <cell r="H9"/>
          <cell r="I9"/>
          <cell r="J9"/>
          <cell r="K9"/>
          <cell r="L9"/>
          <cell r="M9"/>
          <cell r="N9"/>
          <cell r="O9"/>
          <cell r="P9"/>
          <cell r="Q9"/>
        </row>
        <row r="10">
          <cell r="B10" t="str">
            <v>Deliveries (000s units)</v>
          </cell>
          <cell r="C10">
            <v>9.3689999999999998</v>
          </cell>
          <cell r="D10">
            <v>7.0469999999999997</v>
          </cell>
          <cell r="E10"/>
          <cell r="F10">
            <v>7.23</v>
          </cell>
          <cell r="G10">
            <v>-0.18300000000000072</v>
          </cell>
          <cell r="H10">
            <v>-2.5311203319502207E-2</v>
          </cell>
          <cell r="I10"/>
          <cell r="J10">
            <v>11.936</v>
          </cell>
          <cell r="K10">
            <v>23.923999999999999</v>
          </cell>
          <cell r="L10">
            <v>18.253</v>
          </cell>
          <cell r="M10">
            <v>29.477</v>
          </cell>
          <cell r="N10">
            <v>34.67</v>
          </cell>
          <cell r="O10">
            <v>37.33</v>
          </cell>
          <cell r="P10"/>
          <cell r="Q10">
            <v>52.275999999999996</v>
          </cell>
        </row>
        <row r="11">
          <cell r="B11"/>
          <cell r="C11"/>
          <cell r="D11"/>
          <cell r="E11"/>
          <cell r="F11"/>
          <cell r="G11"/>
          <cell r="H11"/>
          <cell r="I11"/>
          <cell r="J11"/>
          <cell r="K11"/>
          <cell r="L11"/>
          <cell r="M11"/>
          <cell r="N11"/>
          <cell r="O11"/>
          <cell r="P11"/>
          <cell r="Q11"/>
        </row>
        <row r="12">
          <cell r="B12" t="str">
            <v>Booked Revenue</v>
          </cell>
          <cell r="C12">
            <v>23.857448000000002</v>
          </cell>
          <cell r="D12">
            <v>31.675489679999998</v>
          </cell>
          <cell r="E12"/>
          <cell r="F12">
            <v>19.953981195306937</v>
          </cell>
          <cell r="G12">
            <v>11.721508484693061</v>
          </cell>
          <cell r="H12">
            <v>0.58742705878914503</v>
          </cell>
          <cell r="I12"/>
          <cell r="J12">
            <v>29.118951438520636</v>
          </cell>
          <cell r="K12">
            <v>33.129041587958831</v>
          </cell>
          <cell r="L12">
            <v>29.235134167927274</v>
          </cell>
          <cell r="M12">
            <v>36.382585845632995</v>
          </cell>
          <cell r="N12">
            <v>44.752869930840554</v>
          </cell>
          <cell r="O12">
            <v>47.076903211698109</v>
          </cell>
          <cell r="P12"/>
          <cell r="Q12">
            <v>117.78093070647947</v>
          </cell>
        </row>
        <row r="13">
          <cell r="B13" t="str">
            <v>HW%</v>
          </cell>
          <cell r="C13">
            <v>0.5227779601573479</v>
          </cell>
          <cell r="D13">
            <v>0.54024704441443694</v>
          </cell>
          <cell r="E13"/>
          <cell r="F13">
            <v>0.53875986454583358</v>
          </cell>
          <cell r="G13">
            <v>1.487179868603361E-3</v>
          </cell>
          <cell r="H13"/>
          <cell r="I13"/>
          <cell r="J13">
            <v>0.55128554499200377</v>
          </cell>
          <cell r="K13">
            <v>0.56005787621722947</v>
          </cell>
          <cell r="L13">
            <v>0.56891490556378432</v>
          </cell>
          <cell r="M13">
            <v>0.57084801158262766</v>
          </cell>
          <cell r="N13">
            <v>0.57023566930919312</v>
          </cell>
          <cell r="O13">
            <v>0.57005935790953266</v>
          </cell>
          <cell r="P13"/>
          <cell r="Q13">
            <v>0.54500991782970909</v>
          </cell>
        </row>
        <row r="14">
          <cell r="B14" t="str">
            <v>SW%</v>
          </cell>
          <cell r="C14">
            <v>0.4772220398426521</v>
          </cell>
          <cell r="D14">
            <v>0.45975295558556306</v>
          </cell>
          <cell r="E14"/>
          <cell r="F14">
            <v>0.46124013545416642</v>
          </cell>
          <cell r="G14">
            <v>-1.487179868603361E-3</v>
          </cell>
          <cell r="H14"/>
          <cell r="I14"/>
          <cell r="J14">
            <v>0.44871445500799623</v>
          </cell>
          <cell r="K14">
            <v>0.43994212378277053</v>
          </cell>
          <cell r="L14">
            <v>0.43108509443621568</v>
          </cell>
          <cell r="M14">
            <v>0.42915198841737234</v>
          </cell>
          <cell r="N14">
            <v>0.42976433069080688</v>
          </cell>
          <cell r="O14">
            <v>0.42994064209046734</v>
          </cell>
          <cell r="P14"/>
          <cell r="Q14">
            <v>0.45499008217029091</v>
          </cell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</row>
        <row r="16">
          <cell r="B16" t="str">
            <v>GAAP</v>
          </cell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</row>
        <row r="17">
          <cell r="B17"/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</row>
        <row r="18">
          <cell r="B18" t="str">
            <v>Gross Revenue</v>
          </cell>
          <cell r="C18">
            <v>3.3863861200000001</v>
          </cell>
          <cell r="D18">
            <v>3.1566992937999001</v>
          </cell>
          <cell r="E18"/>
          <cell r="F18">
            <v>2.2230800378640794</v>
          </cell>
          <cell r="G18">
            <v>0.93361925593582074</v>
          </cell>
          <cell r="H18">
            <v>0.41996655092672053</v>
          </cell>
          <cell r="I18"/>
          <cell r="J18">
            <v>5.2655192671934472</v>
          </cell>
          <cell r="K18">
            <v>10.522603180111913</v>
          </cell>
          <cell r="L18">
            <v>8.585614402904266</v>
          </cell>
          <cell r="M18">
            <v>13.330672438798933</v>
          </cell>
          <cell r="N18">
            <v>15.234376100548314</v>
          </cell>
          <cell r="O18">
            <v>16.894113719505345</v>
          </cell>
          <cell r="P18"/>
          <cell r="Q18">
            <v>22.331207861105259</v>
          </cell>
        </row>
        <row r="19">
          <cell r="B19" t="str">
            <v>HW%</v>
          </cell>
          <cell r="C19">
            <v>0.81769647697469294</v>
          </cell>
          <cell r="D19">
            <v>0.76784222005580283</v>
          </cell>
          <cell r="E19"/>
          <cell r="F19">
            <v>0.70205725131008412</v>
          </cell>
          <cell r="G19">
            <v>6.5784968745718708E-2</v>
          </cell>
          <cell r="H19"/>
          <cell r="I19"/>
          <cell r="J19">
            <v>0.853542965498852</v>
          </cell>
          <cell r="K19">
            <v>0.90009554532834524</v>
          </cell>
          <cell r="L19">
            <v>0.84469594059507536</v>
          </cell>
          <cell r="M19">
            <v>0.8704901027968085</v>
          </cell>
          <cell r="N19">
            <v>0.8601369169130747</v>
          </cell>
          <cell r="O19">
            <v>0.84656827705930626</v>
          </cell>
          <cell r="P19"/>
          <cell r="Q19">
            <v>0.85792843319760825</v>
          </cell>
        </row>
        <row r="20">
          <cell r="B20" t="str">
            <v>SW%</v>
          </cell>
          <cell r="C20">
            <v>0.18230352302530706</v>
          </cell>
          <cell r="D20">
            <v>0.23215777994419717</v>
          </cell>
          <cell r="E20"/>
          <cell r="F20">
            <v>0.29794274868991588</v>
          </cell>
          <cell r="G20">
            <v>-6.5784968745718708E-2</v>
          </cell>
          <cell r="H20"/>
          <cell r="I20"/>
          <cell r="J20">
            <v>0.14645703450114805</v>
          </cell>
          <cell r="K20">
            <v>9.9904454671654624E-2</v>
          </cell>
          <cell r="L20">
            <v>0.15530405940492464</v>
          </cell>
          <cell r="M20">
            <v>0.12950989720319156</v>
          </cell>
          <cell r="N20">
            <v>0.13986308308692535</v>
          </cell>
          <cell r="O20">
            <v>0.15343172294069374</v>
          </cell>
          <cell r="P20"/>
          <cell r="Q20">
            <v>0.14207156680239175</v>
          </cell>
        </row>
        <row r="21">
          <cell r="B21"/>
          <cell r="C21"/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</row>
        <row r="22">
          <cell r="B22" t="str">
            <v>Net Revenue</v>
          </cell>
          <cell r="C22">
            <v>3.0826575899999997</v>
          </cell>
          <cell r="D22">
            <v>2.7661894237999003</v>
          </cell>
          <cell r="E22"/>
          <cell r="F22">
            <v>2.0612497006155253</v>
          </cell>
          <cell r="G22">
            <v>0.70493972318437503</v>
          </cell>
          <cell r="H22">
            <v>0.34199627680909672</v>
          </cell>
          <cell r="I22"/>
          <cell r="J22">
            <v>4.6074461369396467</v>
          </cell>
          <cell r="K22">
            <v>9.0269340402218159</v>
          </cell>
          <cell r="L22">
            <v>7.319753253627419</v>
          </cell>
          <cell r="M22">
            <v>11.420013480750001</v>
          </cell>
          <cell r="N22">
            <v>13.050169215440331</v>
          </cell>
          <cell r="O22">
            <v>14.603239349412492</v>
          </cell>
          <cell r="P22"/>
          <cell r="Q22">
            <v>19.483227190961362</v>
          </cell>
        </row>
        <row r="23">
          <cell r="B23"/>
          <cell r="C23"/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</row>
        <row r="24">
          <cell r="B24" t="str">
            <v>Variable Costs</v>
          </cell>
          <cell r="C24">
            <v>2.9278322199999995</v>
          </cell>
          <cell r="D24">
            <v>2.3731161800000002</v>
          </cell>
          <cell r="E24"/>
          <cell r="F24">
            <v>1.9388163332870776</v>
          </cell>
          <cell r="G24">
            <v>-0.43429984671292265</v>
          </cell>
          <cell r="H24">
            <v>-0.18300825318755465</v>
          </cell>
          <cell r="I24"/>
          <cell r="J24">
            <v>4.3554532475017691</v>
          </cell>
          <cell r="K24">
            <v>8.3946314523869283</v>
          </cell>
          <cell r="L24">
            <v>6.4116029702116482</v>
          </cell>
          <cell r="M24">
            <v>9.8912763726000197</v>
          </cell>
          <cell r="N24">
            <v>11.485874160245622</v>
          </cell>
          <cell r="O24">
            <v>12.45766363632694</v>
          </cell>
          <cell r="P24"/>
          <cell r="Q24">
            <v>18.051033099888699</v>
          </cell>
        </row>
        <row r="25">
          <cell r="B25"/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</row>
        <row r="26">
          <cell r="B26" t="str">
            <v>Gross Profit</v>
          </cell>
          <cell r="C26">
            <v>0.15482536999999971</v>
          </cell>
          <cell r="D26">
            <v>0.39307324379989994</v>
          </cell>
          <cell r="E26"/>
          <cell r="F26">
            <v>0.12243336732844773</v>
          </cell>
          <cell r="G26">
            <v>0.27063987647145221</v>
          </cell>
          <cell r="H26">
            <v>2.2105074978899832</v>
          </cell>
          <cell r="I26"/>
          <cell r="J26">
            <v>0.2519928894378754</v>
          </cell>
          <cell r="K26">
            <v>0.63230258783488902</v>
          </cell>
          <cell r="L26">
            <v>0.90815028341577086</v>
          </cell>
          <cell r="M26">
            <v>1.5287371081499805</v>
          </cell>
          <cell r="N26">
            <v>1.5642950551947088</v>
          </cell>
          <cell r="O26">
            <v>2.1455757130855546</v>
          </cell>
          <cell r="P26"/>
          <cell r="Q26">
            <v>1.432194091072664</v>
          </cell>
        </row>
        <row r="27">
          <cell r="B27"/>
          <cell r="C27"/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</row>
        <row r="28">
          <cell r="B28" t="str">
            <v>Operating Expenses</v>
          </cell>
          <cell r="C28">
            <v>17.051790920000002</v>
          </cell>
          <cell r="D28">
            <v>14.547888893241501</v>
          </cell>
          <cell r="E28"/>
          <cell r="F28">
            <v>14.508766477521085</v>
          </cell>
          <cell r="G28">
            <v>-3.9122415720415304E-2</v>
          </cell>
          <cell r="H28">
            <v>-2.6892160097944373E-3</v>
          </cell>
          <cell r="I28"/>
          <cell r="J28">
            <v>13.447806301917478</v>
          </cell>
          <cell r="K28">
            <v>14.152178489249792</v>
          </cell>
          <cell r="L28">
            <v>14.318374869961154</v>
          </cell>
          <cell r="M28">
            <v>15.124431005911504</v>
          </cell>
          <cell r="N28">
            <v>14.829125403987289</v>
          </cell>
          <cell r="O28">
            <v>14.964148236038145</v>
          </cell>
          <cell r="P28"/>
          <cell r="Q28">
            <v>59.199664604408774</v>
          </cell>
        </row>
        <row r="29">
          <cell r="B29"/>
          <cell r="C29"/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</row>
        <row r="30">
          <cell r="B30" t="str">
            <v>Headcount</v>
          </cell>
          <cell r="C30">
            <v>267</v>
          </cell>
          <cell r="D30">
            <v>225</v>
          </cell>
          <cell r="E30"/>
          <cell r="F30">
            <v>234</v>
          </cell>
          <cell r="G30">
            <v>9</v>
          </cell>
          <cell r="H30">
            <v>-3.8461538461538436E-2</v>
          </cell>
          <cell r="I30"/>
          <cell r="J30">
            <v>228</v>
          </cell>
          <cell r="K30">
            <v>226</v>
          </cell>
          <cell r="L30">
            <v>226</v>
          </cell>
          <cell r="M30">
            <v>226</v>
          </cell>
          <cell r="N30">
            <v>226</v>
          </cell>
          <cell r="O30">
            <v>226</v>
          </cell>
          <cell r="P30"/>
          <cell r="Q30">
            <v>226</v>
          </cell>
        </row>
        <row r="31">
          <cell r="B31"/>
          <cell r="C31"/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</row>
        <row r="32">
          <cell r="B32" t="str">
            <v>EBITDA</v>
          </cell>
          <cell r="C32">
            <v>-17.012816610000002</v>
          </cell>
          <cell r="D32">
            <v>-14.730631000828202</v>
          </cell>
          <cell r="E32"/>
          <cell r="F32">
            <v>-14.386333110192636</v>
          </cell>
          <cell r="G32">
            <v>-0.34429789063556626</v>
          </cell>
          <cell r="H32">
            <v>2.3932289625049341E-2</v>
          </cell>
          <cell r="I32"/>
          <cell r="J32">
            <v>-13.195813412479602</v>
          </cell>
          <cell r="K32">
            <v>-13.519875901414904</v>
          </cell>
          <cell r="L32">
            <v>-13.410224586545382</v>
          </cell>
          <cell r="M32">
            <v>-13.595693897761523</v>
          </cell>
          <cell r="N32">
            <v>-13.26483034879258</v>
          </cell>
          <cell r="O32">
            <v>-12.818572522952591</v>
          </cell>
          <cell r="P32"/>
          <cell r="Q32">
            <v>-58.459136924722714</v>
          </cell>
        </row>
        <row r="33">
          <cell r="B33"/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</row>
        <row r="34">
          <cell r="B34" t="str">
            <v>Changes in NWC</v>
          </cell>
          <cell r="C34">
            <v>-1.2355630100000008</v>
          </cell>
          <cell r="D34">
            <v>1.5928062254105695E-2</v>
          </cell>
          <cell r="E34"/>
          <cell r="F34">
            <v>-0.6050835575634429</v>
          </cell>
          <cell r="G34">
            <v>-0.6210116198175486</v>
          </cell>
          <cell r="H34"/>
          <cell r="I34"/>
          <cell r="J34">
            <v>1.2460639995095202</v>
          </cell>
          <cell r="K34">
            <v>3.6746027258599354</v>
          </cell>
          <cell r="L34">
            <v>4.7925062765123858</v>
          </cell>
          <cell r="M34">
            <v>5.7498490745878303</v>
          </cell>
          <cell r="N34">
            <v>5.6096458007559562</v>
          </cell>
          <cell r="O34">
            <v>4.0128548800271826</v>
          </cell>
          <cell r="P34"/>
          <cell r="Q34">
            <v>3.7010317776235606</v>
          </cell>
        </row>
        <row r="35">
          <cell r="B35"/>
          <cell r="C35"/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/>
        </row>
        <row r="36">
          <cell r="B36" t="str">
            <v>Restructuring</v>
          </cell>
          <cell r="C36">
            <v>-8.4678859999999995E-2</v>
          </cell>
          <cell r="D36">
            <v>-0.57581535138660001</v>
          </cell>
          <cell r="E36"/>
          <cell r="F36">
            <v>-0.50643404999999997</v>
          </cell>
          <cell r="G36">
            <v>-6.9381301386600036E-2</v>
          </cell>
          <cell r="H36">
            <v>-0.12049227451044064</v>
          </cell>
          <cell r="I36"/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/>
          <cell r="Q36">
            <v>-0.66049421138660003</v>
          </cell>
        </row>
        <row r="37">
          <cell r="B37" t="str">
            <v>Non-Operating Items</v>
          </cell>
          <cell r="C37">
            <v>0</v>
          </cell>
          <cell r="D37">
            <v>-0.12651572</v>
          </cell>
          <cell r="E37"/>
          <cell r="F37">
            <v>0</v>
          </cell>
          <cell r="G37">
            <v>-0.12651572</v>
          </cell>
          <cell r="H37"/>
          <cell r="I37"/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/>
          <cell r="Q37">
            <v>-0.12651572</v>
          </cell>
        </row>
        <row r="38">
          <cell r="B38"/>
          <cell r="C38"/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</row>
        <row r="39">
          <cell r="B39"/>
          <cell r="C39"/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</row>
        <row r="40">
          <cell r="B40" t="str">
            <v>FCF</v>
          </cell>
          <cell r="C40">
            <v>-18.335498990000001</v>
          </cell>
          <cell r="D40">
            <v>-15.506492504036096</v>
          </cell>
          <cell r="E40"/>
          <cell r="F40">
            <v>-15.459545837607489</v>
          </cell>
          <cell r="G40">
            <v>-4.6946666428606676E-2</v>
          </cell>
          <cell r="H40">
            <v>3.0367429238704613E-3</v>
          </cell>
          <cell r="I40"/>
          <cell r="J40">
            <v>-11.975687577693089</v>
          </cell>
          <cell r="K40">
            <v>-10.051195865977615</v>
          </cell>
          <cell r="L40">
            <v>-8.9360351849096809</v>
          </cell>
          <cell r="M40">
            <v>-8.2271601148652174</v>
          </cell>
          <cell r="N40">
            <v>-8.07245042145661</v>
          </cell>
          <cell r="O40">
            <v>-9.238995984435741</v>
          </cell>
          <cell r="P40"/>
          <cell r="Q40">
            <v>-55.868874937706799</v>
          </cell>
        </row>
        <row r="41">
          <cell r="C41"/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"/>
      <sheetName val="HowDoesItWork"/>
      <sheetName val="Parameters"/>
      <sheetName val="KPIs"/>
      <sheetName val="Setup"/>
      <sheetName val="DirectDataManipulation"/>
      <sheetName val="AllFilterSettings"/>
      <sheetName val="FilteredData"/>
      <sheetName val="HideValues"/>
      <sheetName val="AggregatedData"/>
      <sheetName val="KPIAggregates"/>
      <sheetName val="AllKPIs"/>
      <sheetName val="UserKPIs"/>
      <sheetName val="FilterSetup"/>
      <sheetName val="CompareScenarios"/>
      <sheetName val="FilterCompany"/>
      <sheetName val="FilterIndustry"/>
      <sheetName val="FilterRegion"/>
      <sheetName val="FilterChannel"/>
      <sheetName val="FilterOfferingModel"/>
      <sheetName val="Lists"/>
      <sheetName val="Queries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G2" t="str">
            <v>Scenario 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File"/>
      <sheetName val="Drop Downs"/>
      <sheetName val="Lists"/>
      <sheetName val="Taxonomy"/>
      <sheetName val="Firm Taxonomy"/>
      <sheetName val="Granular Sector"/>
    </sheetNames>
    <sheetDataSet>
      <sheetData sheetId="0"/>
      <sheetData sheetId="1">
        <row r="1">
          <cell r="B1" t="str">
            <v>*Please Select*</v>
          </cell>
          <cell r="G1" t="str">
            <v>Aerospace &amp; Defense</v>
          </cell>
          <cell r="H1" t="str">
            <v>Industry1</v>
          </cell>
        </row>
        <row r="2">
          <cell r="G2" t="str">
            <v>Agriculture</v>
          </cell>
          <cell r="H2" t="str">
            <v>Industry2</v>
          </cell>
        </row>
        <row r="3">
          <cell r="G3" t="str">
            <v>Automotive</v>
          </cell>
          <cell r="H3" t="str">
            <v>Industry3</v>
          </cell>
        </row>
        <row r="4">
          <cell r="G4" t="str">
            <v>Banking</v>
          </cell>
          <cell r="H4" t="str">
            <v>Industry4</v>
          </cell>
        </row>
        <row r="5">
          <cell r="G5" t="str">
            <v>Business &amp; Consumer Services</v>
          </cell>
          <cell r="H5" t="str">
            <v>Industry5</v>
          </cell>
        </row>
        <row r="6">
          <cell r="G6" t="str">
            <v>Chemicals</v>
          </cell>
          <cell r="H6" t="str">
            <v>Industry6</v>
          </cell>
        </row>
        <row r="7">
          <cell r="G7" t="str">
            <v>Computers &amp; Electronics</v>
          </cell>
          <cell r="H7" t="str">
            <v>Industry7</v>
          </cell>
        </row>
        <row r="8">
          <cell r="G8" t="str">
            <v>Consumer Products</v>
          </cell>
          <cell r="H8" t="str">
            <v>Industry8</v>
          </cell>
        </row>
        <row r="9">
          <cell r="G9" t="str">
            <v>Energy</v>
          </cell>
          <cell r="H9" t="str">
            <v>Industry9</v>
          </cell>
        </row>
        <row r="10">
          <cell r="G10" t="str">
            <v>Environment, Water &amp; Waste</v>
          </cell>
          <cell r="H10" t="str">
            <v>Industry10</v>
          </cell>
        </row>
        <row r="11">
          <cell r="G11" t="str">
            <v>Health Services</v>
          </cell>
          <cell r="H11" t="str">
            <v>Industry11</v>
          </cell>
        </row>
        <row r="12">
          <cell r="G12" t="str">
            <v>Industrial Equipment &amp; Components</v>
          </cell>
          <cell r="H12" t="str">
            <v>Industry12</v>
          </cell>
        </row>
        <row r="13">
          <cell r="G13" t="str">
            <v>Infrastructure</v>
          </cell>
          <cell r="H13" t="str">
            <v>Industry13</v>
          </cell>
        </row>
        <row r="14">
          <cell r="G14" t="str">
            <v>Insurance</v>
          </cell>
          <cell r="H14" t="str">
            <v>Industry14</v>
          </cell>
        </row>
        <row r="15">
          <cell r="G15" t="str">
            <v>Internet &amp; Online Services</v>
          </cell>
          <cell r="H15" t="str">
            <v>Industry15</v>
          </cell>
        </row>
        <row r="16">
          <cell r="G16" t="str">
            <v>Leisure</v>
          </cell>
          <cell r="H16" t="str">
            <v>Industry16</v>
          </cell>
        </row>
        <row r="17">
          <cell r="G17" t="str">
            <v>Media</v>
          </cell>
          <cell r="H17" t="str">
            <v>Industry17</v>
          </cell>
        </row>
        <row r="18">
          <cell r="G18" t="str">
            <v>Medical Products</v>
          </cell>
          <cell r="H18" t="str">
            <v>Industry18</v>
          </cell>
        </row>
        <row r="19">
          <cell r="G19" t="str">
            <v>Metals &amp; Mining</v>
          </cell>
          <cell r="H19" t="str">
            <v>Industry19</v>
          </cell>
        </row>
        <row r="20">
          <cell r="G20" t="str">
            <v>Paper &amp; Packaging</v>
          </cell>
          <cell r="H20" t="str">
            <v>Industry20</v>
          </cell>
        </row>
        <row r="21">
          <cell r="G21" t="str">
            <v>Pharmaceuticals</v>
          </cell>
          <cell r="H21" t="str">
            <v>Industry21</v>
          </cell>
        </row>
        <row r="22">
          <cell r="G22" t="str">
            <v>Private Equity</v>
          </cell>
          <cell r="H22" t="str">
            <v>Industry22</v>
          </cell>
        </row>
        <row r="23">
          <cell r="G23" t="str">
            <v>Public Sector</v>
          </cell>
          <cell r="H23" t="str">
            <v>Industry23</v>
          </cell>
        </row>
        <row r="24">
          <cell r="G24" t="str">
            <v>Retail</v>
          </cell>
          <cell r="H24" t="str">
            <v>Industry24</v>
          </cell>
        </row>
        <row r="25">
          <cell r="G25" t="str">
            <v>Social Sector</v>
          </cell>
          <cell r="H25" t="str">
            <v>Industry25</v>
          </cell>
        </row>
        <row r="26">
          <cell r="G26" t="str">
            <v>Telecommunications</v>
          </cell>
          <cell r="H26" t="str">
            <v>Industry26</v>
          </cell>
        </row>
        <row r="27">
          <cell r="G27" t="str">
            <v>Travel, Transport &amp; Logistics</v>
          </cell>
          <cell r="H27" t="str">
            <v>Industry27</v>
          </cell>
        </row>
      </sheetData>
      <sheetData sheetId="2">
        <row r="4">
          <cell r="H4">
            <v>21</v>
          </cell>
        </row>
      </sheetData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2:J13"/>
  <sheetViews>
    <sheetView showGridLines="0" workbookViewId="0">
      <selection activeCell="D11" sqref="D11"/>
    </sheetView>
  </sheetViews>
  <sheetFormatPr defaultRowHeight="14.5" x14ac:dyDescent="0.35"/>
  <cols>
    <col min="1" max="1" width="1.54296875" customWidth="1"/>
    <col min="2" max="2" width="7.54296875" customWidth="1"/>
    <col min="3" max="3" width="81.36328125" bestFit="1" customWidth="1"/>
    <col min="4" max="4" width="15.90625" customWidth="1"/>
    <col min="5" max="7" width="15.6328125" style="28" customWidth="1"/>
    <col min="8" max="10" width="15.6328125" customWidth="1"/>
    <col min="16384" max="16384" width="0" hidden="1" customWidth="1"/>
  </cols>
  <sheetData>
    <row r="2" spans="2:10" ht="26" x14ac:dyDescent="0.35">
      <c r="B2" s="368" t="s">
        <v>0</v>
      </c>
      <c r="C2" s="368"/>
      <c r="D2" s="368"/>
    </row>
    <row r="4" spans="2:10" s="121" customFormat="1" ht="30" customHeight="1" x14ac:dyDescent="0.35">
      <c r="B4" s="149">
        <v>1</v>
      </c>
      <c r="C4" s="150" t="s">
        <v>1</v>
      </c>
      <c r="E4" s="120"/>
      <c r="F4" s="120"/>
      <c r="G4" s="120"/>
    </row>
    <row r="5" spans="2:10" s="121" customFormat="1" ht="30" customHeight="1" x14ac:dyDescent="0.35">
      <c r="B5" s="149">
        <v>2</v>
      </c>
      <c r="C5" s="121" t="s">
        <v>2</v>
      </c>
      <c r="D5" s="143"/>
      <c r="E5" s="120"/>
      <c r="F5" s="120"/>
      <c r="G5" s="120"/>
    </row>
    <row r="6" spans="2:10" ht="5.15" customHeight="1" x14ac:dyDescent="0.35">
      <c r="E6"/>
      <c r="F6"/>
      <c r="G6"/>
    </row>
    <row r="7" spans="2:10" ht="30" customHeight="1" x14ac:dyDescent="0.35">
      <c r="B7" s="149">
        <v>3</v>
      </c>
      <c r="C7" s="121" t="s">
        <v>803</v>
      </c>
      <c r="D7" s="143"/>
      <c r="E7"/>
      <c r="F7"/>
      <c r="G7"/>
    </row>
    <row r="8" spans="2:10" ht="5.15" customHeight="1" x14ac:dyDescent="0.35">
      <c r="E8"/>
      <c r="F8"/>
      <c r="G8"/>
    </row>
    <row r="9" spans="2:10" s="121" customFormat="1" ht="32.25" customHeight="1" x14ac:dyDescent="0.35">
      <c r="E9" s="289" t="s">
        <v>806</v>
      </c>
      <c r="F9" s="289" t="s">
        <v>807</v>
      </c>
      <c r="G9" s="289" t="s">
        <v>3</v>
      </c>
      <c r="H9" s="289" t="s">
        <v>4</v>
      </c>
      <c r="I9" s="289" t="s">
        <v>5</v>
      </c>
      <c r="J9" s="289" t="s">
        <v>808</v>
      </c>
    </row>
    <row r="10" spans="2:10" s="121" customFormat="1" ht="30" customHeight="1" x14ac:dyDescent="0.35">
      <c r="B10" s="149">
        <v>4</v>
      </c>
      <c r="C10" s="121" t="s">
        <v>809</v>
      </c>
      <c r="D10"/>
      <c r="E10" s="290" t="s">
        <v>922</v>
      </c>
      <c r="F10" s="290" t="s">
        <v>922</v>
      </c>
      <c r="G10" s="290" t="s">
        <v>810</v>
      </c>
      <c r="H10" s="290" t="s">
        <v>810</v>
      </c>
      <c r="I10" s="290" t="s">
        <v>810</v>
      </c>
      <c r="J10" s="290" t="s">
        <v>922</v>
      </c>
    </row>
    <row r="11" spans="2:10" s="139" customFormat="1" ht="30" customHeight="1" x14ac:dyDescent="0.35">
      <c r="B11" s="149">
        <v>5</v>
      </c>
      <c r="C11" s="148" t="s">
        <v>6</v>
      </c>
      <c r="D11" s="147" t="b">
        <v>1</v>
      </c>
      <c r="E11" s="151"/>
      <c r="F11" s="151"/>
      <c r="G11" s="151"/>
    </row>
    <row r="12" spans="2:10" s="139" customFormat="1" ht="30" customHeight="1" x14ac:dyDescent="0.35">
      <c r="B12" s="149">
        <v>6</v>
      </c>
      <c r="C12" s="148" t="s">
        <v>7</v>
      </c>
      <c r="D12" s="144"/>
      <c r="E12" s="151"/>
      <c r="F12" s="151"/>
      <c r="G12" s="151"/>
    </row>
    <row r="13" spans="2:10" s="139" customFormat="1" ht="30" customHeight="1" x14ac:dyDescent="0.35">
      <c r="E13" s="151"/>
      <c r="F13" s="151"/>
      <c r="G13" s="151"/>
    </row>
  </sheetData>
  <mergeCells count="1">
    <mergeCell ref="B2:D2"/>
  </mergeCells>
  <dataValidations count="1">
    <dataValidation type="list" allowBlank="1" showInputMessage="1" showErrorMessage="1" sqref="E10:J10" xr:uid="{668E2C21-25AB-4710-9896-12FEA9440CCA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nWorkbook">
                <anchor moveWithCells="1" sizeWithCells="1">
                  <from>
                    <xdr:col>3</xdr:col>
                    <xdr:colOff>63500</xdr:colOff>
                    <xdr:row>4</xdr:row>
                    <xdr:rowOff>63500</xdr:rowOff>
                  </from>
                  <to>
                    <xdr:col>3</xdr:col>
                    <xdr:colOff>990600</xdr:colOff>
                    <xdr:row>4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akeItToShare">
                <anchor moveWithCells="1" sizeWithCells="1">
                  <from>
                    <xdr:col>3</xdr:col>
                    <xdr:colOff>69850</xdr:colOff>
                    <xdr:row>11</xdr:row>
                    <xdr:rowOff>44450</xdr:rowOff>
                  </from>
                  <to>
                    <xdr:col>3</xdr:col>
                    <xdr:colOff>996950</xdr:colOff>
                    <xdr:row>11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Check Box 4">
              <controlPr defaultSize="0" autoFill="0" autoLine="0" autoPict="0">
                <anchor moveWithCells="1">
                  <from>
                    <xdr:col>3</xdr:col>
                    <xdr:colOff>425450</xdr:colOff>
                    <xdr:row>10</xdr:row>
                    <xdr:rowOff>101600</xdr:rowOff>
                  </from>
                  <to>
                    <xdr:col>3</xdr:col>
                    <xdr:colOff>717550</xdr:colOff>
                    <xdr:row>10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ImportFromDataLoader">
                <anchor moveWithCells="1" sizeWithCells="1">
                  <from>
                    <xdr:col>3</xdr:col>
                    <xdr:colOff>63500</xdr:colOff>
                    <xdr:row>6</xdr:row>
                    <xdr:rowOff>63500</xdr:rowOff>
                  </from>
                  <to>
                    <xdr:col>3</xdr:col>
                    <xdr:colOff>990600</xdr:colOff>
                    <xdr:row>6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B2:C127"/>
  <sheetViews>
    <sheetView showGridLines="0" workbookViewId="0">
      <pane ySplit="2" topLeftCell="A3" activePane="bottomLeft" state="frozen"/>
      <selection activeCell="E10" sqref="E10"/>
      <selection pane="bottomLeft" activeCell="C7" sqref="C7"/>
    </sheetView>
  </sheetViews>
  <sheetFormatPr defaultRowHeight="14.5" x14ac:dyDescent="0.35"/>
  <cols>
    <col min="1" max="1" width="1.54296875" customWidth="1"/>
    <col min="2" max="2" width="13.08984375" bestFit="1" customWidth="1"/>
    <col min="3" max="3" width="65.453125" bestFit="1" customWidth="1"/>
  </cols>
  <sheetData>
    <row r="2" spans="2:3" x14ac:dyDescent="0.35">
      <c r="B2" s="29" t="s">
        <v>8</v>
      </c>
      <c r="C2" s="29" t="s">
        <v>9</v>
      </c>
    </row>
    <row r="3" spans="2:3" x14ac:dyDescent="0.35">
      <c r="B3" t="s">
        <v>10</v>
      </c>
      <c r="C3" t="s">
        <v>11</v>
      </c>
    </row>
    <row r="4" spans="2:3" x14ac:dyDescent="0.35">
      <c r="B4" t="s">
        <v>12</v>
      </c>
      <c r="C4" t="s">
        <v>13</v>
      </c>
    </row>
    <row r="5" spans="2:3" x14ac:dyDescent="0.35">
      <c r="B5" t="s">
        <v>14</v>
      </c>
      <c r="C5" t="s">
        <v>15</v>
      </c>
    </row>
    <row r="6" spans="2:3" x14ac:dyDescent="0.35">
      <c r="B6" t="s">
        <v>16</v>
      </c>
      <c r="C6" t="s">
        <v>17</v>
      </c>
    </row>
    <row r="7" spans="2:3" x14ac:dyDescent="0.35">
      <c r="B7" t="s">
        <v>18</v>
      </c>
      <c r="C7" t="s">
        <v>19</v>
      </c>
    </row>
    <row r="8" spans="2:3" x14ac:dyDescent="0.35">
      <c r="B8" t="s">
        <v>20</v>
      </c>
      <c r="C8" t="s">
        <v>21</v>
      </c>
    </row>
    <row r="9" spans="2:3" x14ac:dyDescent="0.35">
      <c r="B9" t="s">
        <v>22</v>
      </c>
      <c r="C9" t="s">
        <v>23</v>
      </c>
    </row>
    <row r="10" spans="2:3" x14ac:dyDescent="0.35">
      <c r="B10" t="s">
        <v>24</v>
      </c>
      <c r="C10" t="s">
        <v>25</v>
      </c>
    </row>
    <row r="11" spans="2:3" x14ac:dyDescent="0.35">
      <c r="B11" t="s">
        <v>26</v>
      </c>
      <c r="C11" t="s">
        <v>27</v>
      </c>
    </row>
    <row r="12" spans="2:3" x14ac:dyDescent="0.35">
      <c r="B12" t="s">
        <v>28</v>
      </c>
      <c r="C12" t="s">
        <v>29</v>
      </c>
    </row>
    <row r="13" spans="2:3" x14ac:dyDescent="0.35">
      <c r="B13" t="s">
        <v>30</v>
      </c>
      <c r="C13" t="s">
        <v>31</v>
      </c>
    </row>
    <row r="14" spans="2:3" x14ac:dyDescent="0.35">
      <c r="B14" t="s">
        <v>32</v>
      </c>
      <c r="C14" t="s">
        <v>33</v>
      </c>
    </row>
    <row r="15" spans="2:3" x14ac:dyDescent="0.35">
      <c r="B15" t="s">
        <v>34</v>
      </c>
      <c r="C15" t="s">
        <v>35</v>
      </c>
    </row>
    <row r="16" spans="2:3" x14ac:dyDescent="0.35">
      <c r="B16" t="s">
        <v>36</v>
      </c>
      <c r="C16" t="s">
        <v>37</v>
      </c>
    </row>
    <row r="17" spans="2:3" x14ac:dyDescent="0.35">
      <c r="B17" t="s">
        <v>38</v>
      </c>
      <c r="C17" t="s">
        <v>39</v>
      </c>
    </row>
    <row r="18" spans="2:3" x14ac:dyDescent="0.35">
      <c r="B18" t="s">
        <v>40</v>
      </c>
      <c r="C18" t="s">
        <v>41</v>
      </c>
    </row>
    <row r="19" spans="2:3" x14ac:dyDescent="0.35">
      <c r="B19" t="s">
        <v>42</v>
      </c>
      <c r="C19" t="s">
        <v>43</v>
      </c>
    </row>
    <row r="20" spans="2:3" x14ac:dyDescent="0.35">
      <c r="B20" t="s">
        <v>44</v>
      </c>
      <c r="C20" t="s">
        <v>45</v>
      </c>
    </row>
    <row r="21" spans="2:3" x14ac:dyDescent="0.35">
      <c r="B21" t="s">
        <v>46</v>
      </c>
      <c r="C21" t="s">
        <v>47</v>
      </c>
    </row>
    <row r="22" spans="2:3" x14ac:dyDescent="0.35">
      <c r="B22" t="s">
        <v>48</v>
      </c>
      <c r="C22" t="s">
        <v>49</v>
      </c>
    </row>
    <row r="23" spans="2:3" x14ac:dyDescent="0.35">
      <c r="B23" t="s">
        <v>50</v>
      </c>
      <c r="C23" t="s">
        <v>51</v>
      </c>
    </row>
    <row r="24" spans="2:3" x14ac:dyDescent="0.35">
      <c r="B24" t="s">
        <v>52</v>
      </c>
      <c r="C24" t="s">
        <v>53</v>
      </c>
    </row>
    <row r="25" spans="2:3" x14ac:dyDescent="0.35">
      <c r="B25" t="s">
        <v>54</v>
      </c>
      <c r="C25" t="s">
        <v>55</v>
      </c>
    </row>
    <row r="26" spans="2:3" x14ac:dyDescent="0.35">
      <c r="B26" t="s">
        <v>56</v>
      </c>
      <c r="C26" t="s">
        <v>57</v>
      </c>
    </row>
    <row r="27" spans="2:3" x14ac:dyDescent="0.35">
      <c r="B27" t="s">
        <v>58</v>
      </c>
      <c r="C27" t="s">
        <v>59</v>
      </c>
    </row>
    <row r="28" spans="2:3" x14ac:dyDescent="0.35">
      <c r="B28" t="s">
        <v>60</v>
      </c>
      <c r="C28" t="s">
        <v>61</v>
      </c>
    </row>
    <row r="29" spans="2:3" x14ac:dyDescent="0.35">
      <c r="B29" t="s">
        <v>62</v>
      </c>
      <c r="C29" t="s">
        <v>63</v>
      </c>
    </row>
    <row r="30" spans="2:3" x14ac:dyDescent="0.35">
      <c r="B30" t="s">
        <v>64</v>
      </c>
      <c r="C30" t="s">
        <v>65</v>
      </c>
    </row>
    <row r="31" spans="2:3" x14ac:dyDescent="0.35">
      <c r="B31" t="s">
        <v>66</v>
      </c>
      <c r="C31" t="s">
        <v>67</v>
      </c>
    </row>
    <row r="32" spans="2:3" x14ac:dyDescent="0.35">
      <c r="B32" t="s">
        <v>68</v>
      </c>
      <c r="C32" t="s">
        <v>69</v>
      </c>
    </row>
    <row r="33" spans="2:3" x14ac:dyDescent="0.35">
      <c r="B33" t="s">
        <v>70</v>
      </c>
      <c r="C33" t="s">
        <v>71</v>
      </c>
    </row>
    <row r="34" spans="2:3" x14ac:dyDescent="0.35">
      <c r="B34" t="s">
        <v>72</v>
      </c>
      <c r="C34" t="s">
        <v>73</v>
      </c>
    </row>
    <row r="35" spans="2:3" x14ac:dyDescent="0.35">
      <c r="B35" t="s">
        <v>74</v>
      </c>
      <c r="C35" t="s">
        <v>75</v>
      </c>
    </row>
    <row r="36" spans="2:3" x14ac:dyDescent="0.35">
      <c r="B36" t="s">
        <v>76</v>
      </c>
      <c r="C36" t="s">
        <v>77</v>
      </c>
    </row>
    <row r="37" spans="2:3" x14ac:dyDescent="0.35">
      <c r="B37" t="s">
        <v>78</v>
      </c>
      <c r="C37" t="s">
        <v>79</v>
      </c>
    </row>
    <row r="38" spans="2:3" x14ac:dyDescent="0.35">
      <c r="B38" t="s">
        <v>80</v>
      </c>
      <c r="C38" t="s">
        <v>81</v>
      </c>
    </row>
    <row r="39" spans="2:3" x14ac:dyDescent="0.35">
      <c r="B39" t="s">
        <v>82</v>
      </c>
      <c r="C39" t="s">
        <v>83</v>
      </c>
    </row>
    <row r="40" spans="2:3" x14ac:dyDescent="0.35">
      <c r="B40" t="s">
        <v>84</v>
      </c>
      <c r="C40" t="s">
        <v>85</v>
      </c>
    </row>
    <row r="41" spans="2:3" x14ac:dyDescent="0.35">
      <c r="B41" t="s">
        <v>86</v>
      </c>
      <c r="C41" t="s">
        <v>87</v>
      </c>
    </row>
    <row r="42" spans="2:3" x14ac:dyDescent="0.35">
      <c r="B42" t="s">
        <v>88</v>
      </c>
      <c r="C42" t="s">
        <v>89</v>
      </c>
    </row>
    <row r="43" spans="2:3" x14ac:dyDescent="0.35">
      <c r="B43" t="s">
        <v>90</v>
      </c>
      <c r="C43" t="s">
        <v>91</v>
      </c>
    </row>
    <row r="44" spans="2:3" x14ac:dyDescent="0.35">
      <c r="B44" t="s">
        <v>92</v>
      </c>
      <c r="C44" t="s">
        <v>93</v>
      </c>
    </row>
    <row r="45" spans="2:3" x14ac:dyDescent="0.35">
      <c r="B45" t="s">
        <v>94</v>
      </c>
      <c r="C45" t="s">
        <v>95</v>
      </c>
    </row>
    <row r="46" spans="2:3" x14ac:dyDescent="0.35">
      <c r="B46" t="s">
        <v>96</v>
      </c>
      <c r="C46" t="s">
        <v>97</v>
      </c>
    </row>
    <row r="47" spans="2:3" x14ac:dyDescent="0.35">
      <c r="B47" t="s">
        <v>98</v>
      </c>
      <c r="C47" t="s">
        <v>99</v>
      </c>
    </row>
    <row r="48" spans="2:3" x14ac:dyDescent="0.35">
      <c r="B48" t="s">
        <v>100</v>
      </c>
      <c r="C48" t="s">
        <v>101</v>
      </c>
    </row>
    <row r="49" spans="2:3" x14ac:dyDescent="0.35">
      <c r="B49" t="s">
        <v>102</v>
      </c>
      <c r="C49" t="s">
        <v>103</v>
      </c>
    </row>
    <row r="50" spans="2:3" x14ac:dyDescent="0.35">
      <c r="B50" t="s">
        <v>104</v>
      </c>
      <c r="C50" t="s">
        <v>105</v>
      </c>
    </row>
    <row r="51" spans="2:3" x14ac:dyDescent="0.35">
      <c r="B51" t="s">
        <v>106</v>
      </c>
      <c r="C51" t="s">
        <v>107</v>
      </c>
    </row>
    <row r="52" spans="2:3" x14ac:dyDescent="0.35">
      <c r="B52" t="s">
        <v>108</v>
      </c>
      <c r="C52" t="s">
        <v>109</v>
      </c>
    </row>
    <row r="53" spans="2:3" x14ac:dyDescent="0.35">
      <c r="B53" t="s">
        <v>110</v>
      </c>
      <c r="C53" t="s">
        <v>111</v>
      </c>
    </row>
    <row r="54" spans="2:3" x14ac:dyDescent="0.35">
      <c r="B54" t="s">
        <v>112</v>
      </c>
      <c r="C54" t="s">
        <v>113</v>
      </c>
    </row>
    <row r="55" spans="2:3" x14ac:dyDescent="0.35">
      <c r="B55" t="s">
        <v>114</v>
      </c>
      <c r="C55" t="s">
        <v>115</v>
      </c>
    </row>
    <row r="56" spans="2:3" x14ac:dyDescent="0.35">
      <c r="B56" t="s">
        <v>116</v>
      </c>
      <c r="C56" t="s">
        <v>117</v>
      </c>
    </row>
    <row r="57" spans="2:3" x14ac:dyDescent="0.35">
      <c r="B57" t="s">
        <v>118</v>
      </c>
      <c r="C57" t="s">
        <v>119</v>
      </c>
    </row>
    <row r="58" spans="2:3" x14ac:dyDescent="0.35">
      <c r="B58" t="s">
        <v>120</v>
      </c>
      <c r="C58" t="s">
        <v>121</v>
      </c>
    </row>
    <row r="59" spans="2:3" x14ac:dyDescent="0.35">
      <c r="B59" t="s">
        <v>122</v>
      </c>
      <c r="C59" t="s">
        <v>123</v>
      </c>
    </row>
    <row r="60" spans="2:3" x14ac:dyDescent="0.35">
      <c r="B60" t="s">
        <v>124</v>
      </c>
      <c r="C60" t="s">
        <v>125</v>
      </c>
    </row>
    <row r="61" spans="2:3" x14ac:dyDescent="0.35">
      <c r="B61" t="s">
        <v>126</v>
      </c>
      <c r="C61" t="s">
        <v>127</v>
      </c>
    </row>
    <row r="62" spans="2:3" x14ac:dyDescent="0.35">
      <c r="B62" t="s">
        <v>128</v>
      </c>
      <c r="C62" t="s">
        <v>129</v>
      </c>
    </row>
    <row r="63" spans="2:3" x14ac:dyDescent="0.35">
      <c r="B63" t="s">
        <v>130</v>
      </c>
      <c r="C63" t="s">
        <v>131</v>
      </c>
    </row>
    <row r="64" spans="2:3" x14ac:dyDescent="0.35">
      <c r="B64" t="s">
        <v>132</v>
      </c>
      <c r="C64" t="s">
        <v>133</v>
      </c>
    </row>
    <row r="65" spans="2:3" x14ac:dyDescent="0.35">
      <c r="B65" t="s">
        <v>134</v>
      </c>
      <c r="C65" t="s">
        <v>135</v>
      </c>
    </row>
    <row r="66" spans="2:3" x14ac:dyDescent="0.35">
      <c r="B66" t="s">
        <v>136</v>
      </c>
      <c r="C66" t="s">
        <v>137</v>
      </c>
    </row>
    <row r="67" spans="2:3" x14ac:dyDescent="0.35">
      <c r="B67" t="s">
        <v>138</v>
      </c>
      <c r="C67" t="s">
        <v>139</v>
      </c>
    </row>
    <row r="68" spans="2:3" x14ac:dyDescent="0.35">
      <c r="B68" t="s">
        <v>140</v>
      </c>
      <c r="C68" t="s">
        <v>141</v>
      </c>
    </row>
    <row r="69" spans="2:3" x14ac:dyDescent="0.35">
      <c r="B69" t="s">
        <v>142</v>
      </c>
      <c r="C69" t="s">
        <v>143</v>
      </c>
    </row>
    <row r="70" spans="2:3" x14ac:dyDescent="0.35">
      <c r="B70" t="s">
        <v>144</v>
      </c>
      <c r="C70" t="s">
        <v>145</v>
      </c>
    </row>
    <row r="71" spans="2:3" x14ac:dyDescent="0.35">
      <c r="B71" t="s">
        <v>146</v>
      </c>
      <c r="C71" t="s">
        <v>147</v>
      </c>
    </row>
    <row r="72" spans="2:3" x14ac:dyDescent="0.35">
      <c r="B72" t="s">
        <v>148</v>
      </c>
      <c r="C72" t="s">
        <v>149</v>
      </c>
    </row>
    <row r="73" spans="2:3" x14ac:dyDescent="0.35">
      <c r="B73" t="s">
        <v>150</v>
      </c>
      <c r="C73" t="s">
        <v>151</v>
      </c>
    </row>
    <row r="74" spans="2:3" x14ac:dyDescent="0.35">
      <c r="B74" t="s">
        <v>152</v>
      </c>
      <c r="C74" t="s">
        <v>153</v>
      </c>
    </row>
    <row r="75" spans="2:3" x14ac:dyDescent="0.35">
      <c r="B75" t="s">
        <v>154</v>
      </c>
      <c r="C75" t="s">
        <v>155</v>
      </c>
    </row>
    <row r="76" spans="2:3" x14ac:dyDescent="0.35">
      <c r="B76" t="s">
        <v>156</v>
      </c>
      <c r="C76" t="s">
        <v>157</v>
      </c>
    </row>
    <row r="77" spans="2:3" x14ac:dyDescent="0.35">
      <c r="B77" t="s">
        <v>158</v>
      </c>
      <c r="C77" t="s">
        <v>159</v>
      </c>
    </row>
    <row r="78" spans="2:3" x14ac:dyDescent="0.35">
      <c r="B78" t="s">
        <v>160</v>
      </c>
      <c r="C78" t="s">
        <v>161</v>
      </c>
    </row>
    <row r="79" spans="2:3" x14ac:dyDescent="0.35">
      <c r="B79" t="s">
        <v>162</v>
      </c>
      <c r="C79" t="s">
        <v>163</v>
      </c>
    </row>
    <row r="80" spans="2:3" x14ac:dyDescent="0.35">
      <c r="B80" t="s">
        <v>164</v>
      </c>
      <c r="C80" t="s">
        <v>165</v>
      </c>
    </row>
    <row r="81" spans="2:3" x14ac:dyDescent="0.35">
      <c r="B81" t="s">
        <v>166</v>
      </c>
      <c r="C81" t="s">
        <v>167</v>
      </c>
    </row>
    <row r="82" spans="2:3" x14ac:dyDescent="0.35">
      <c r="B82" t="s">
        <v>168</v>
      </c>
      <c r="C82" t="s">
        <v>169</v>
      </c>
    </row>
    <row r="83" spans="2:3" x14ac:dyDescent="0.35">
      <c r="B83" t="s">
        <v>170</v>
      </c>
      <c r="C83" t="s">
        <v>171</v>
      </c>
    </row>
    <row r="84" spans="2:3" x14ac:dyDescent="0.35">
      <c r="B84" t="s">
        <v>172</v>
      </c>
      <c r="C84" t="s">
        <v>173</v>
      </c>
    </row>
    <row r="85" spans="2:3" x14ac:dyDescent="0.35">
      <c r="B85" t="s">
        <v>174</v>
      </c>
      <c r="C85" t="s">
        <v>175</v>
      </c>
    </row>
    <row r="86" spans="2:3" x14ac:dyDescent="0.35">
      <c r="B86" t="s">
        <v>176</v>
      </c>
      <c r="C86" t="s">
        <v>177</v>
      </c>
    </row>
    <row r="87" spans="2:3" x14ac:dyDescent="0.35">
      <c r="B87" t="s">
        <v>178</v>
      </c>
      <c r="C87" t="s">
        <v>179</v>
      </c>
    </row>
    <row r="88" spans="2:3" x14ac:dyDescent="0.35">
      <c r="B88" t="s">
        <v>180</v>
      </c>
      <c r="C88" t="s">
        <v>181</v>
      </c>
    </row>
    <row r="89" spans="2:3" x14ac:dyDescent="0.35">
      <c r="B89" t="s">
        <v>182</v>
      </c>
      <c r="C89" t="s">
        <v>183</v>
      </c>
    </row>
    <row r="90" spans="2:3" x14ac:dyDescent="0.35">
      <c r="B90" t="s">
        <v>184</v>
      </c>
      <c r="C90" t="s">
        <v>185</v>
      </c>
    </row>
    <row r="91" spans="2:3" x14ac:dyDescent="0.35">
      <c r="B91" t="s">
        <v>186</v>
      </c>
      <c r="C91" t="s">
        <v>187</v>
      </c>
    </row>
    <row r="92" spans="2:3" x14ac:dyDescent="0.35">
      <c r="B92" t="s">
        <v>188</v>
      </c>
      <c r="C92" t="s">
        <v>189</v>
      </c>
    </row>
    <row r="93" spans="2:3" x14ac:dyDescent="0.35">
      <c r="B93" t="s">
        <v>190</v>
      </c>
      <c r="C93" t="s">
        <v>191</v>
      </c>
    </row>
    <row r="94" spans="2:3" x14ac:dyDescent="0.35">
      <c r="B94" t="s">
        <v>192</v>
      </c>
      <c r="C94" t="s">
        <v>193</v>
      </c>
    </row>
    <row r="95" spans="2:3" x14ac:dyDescent="0.35">
      <c r="B95" t="s">
        <v>194</v>
      </c>
      <c r="C95" t="s">
        <v>195</v>
      </c>
    </row>
    <row r="96" spans="2:3" x14ac:dyDescent="0.35">
      <c r="B96" t="s">
        <v>196</v>
      </c>
      <c r="C96" t="s">
        <v>197</v>
      </c>
    </row>
    <row r="97" spans="2:3" x14ac:dyDescent="0.35">
      <c r="B97" t="s">
        <v>198</v>
      </c>
      <c r="C97" t="s">
        <v>199</v>
      </c>
    </row>
    <row r="98" spans="2:3" x14ac:dyDescent="0.35">
      <c r="B98" t="s">
        <v>200</v>
      </c>
      <c r="C98" t="s">
        <v>201</v>
      </c>
    </row>
    <row r="99" spans="2:3" x14ac:dyDescent="0.35">
      <c r="B99" t="s">
        <v>202</v>
      </c>
      <c r="C99" t="s">
        <v>203</v>
      </c>
    </row>
    <row r="100" spans="2:3" x14ac:dyDescent="0.35">
      <c r="B100" t="s">
        <v>204</v>
      </c>
      <c r="C100" t="s">
        <v>205</v>
      </c>
    </row>
    <row r="101" spans="2:3" x14ac:dyDescent="0.35">
      <c r="B101" t="s">
        <v>206</v>
      </c>
      <c r="C101" t="s">
        <v>207</v>
      </c>
    </row>
    <row r="102" spans="2:3" x14ac:dyDescent="0.35">
      <c r="B102" t="s">
        <v>208</v>
      </c>
      <c r="C102" t="s">
        <v>209</v>
      </c>
    </row>
    <row r="103" spans="2:3" x14ac:dyDescent="0.35">
      <c r="B103" t="s">
        <v>210</v>
      </c>
      <c r="C103" t="s">
        <v>211</v>
      </c>
    </row>
    <row r="104" spans="2:3" x14ac:dyDescent="0.35">
      <c r="B104" t="s">
        <v>212</v>
      </c>
      <c r="C104" t="s">
        <v>213</v>
      </c>
    </row>
    <row r="105" spans="2:3" x14ac:dyDescent="0.35">
      <c r="B105" t="s">
        <v>214</v>
      </c>
      <c r="C105" t="s">
        <v>215</v>
      </c>
    </row>
    <row r="106" spans="2:3" x14ac:dyDescent="0.35">
      <c r="B106" t="s">
        <v>216</v>
      </c>
      <c r="C106" t="s">
        <v>217</v>
      </c>
    </row>
    <row r="107" spans="2:3" x14ac:dyDescent="0.35">
      <c r="B107" t="s">
        <v>218</v>
      </c>
      <c r="C107" t="s">
        <v>219</v>
      </c>
    </row>
    <row r="108" spans="2:3" x14ac:dyDescent="0.35">
      <c r="B108" t="s">
        <v>220</v>
      </c>
      <c r="C108" t="s">
        <v>221</v>
      </c>
    </row>
    <row r="109" spans="2:3" x14ac:dyDescent="0.35">
      <c r="B109" t="s">
        <v>222</v>
      </c>
      <c r="C109" t="s">
        <v>223</v>
      </c>
    </row>
    <row r="110" spans="2:3" x14ac:dyDescent="0.35">
      <c r="B110" t="s">
        <v>224</v>
      </c>
      <c r="C110" t="s">
        <v>225</v>
      </c>
    </row>
    <row r="111" spans="2:3" x14ac:dyDescent="0.35">
      <c r="B111" t="s">
        <v>226</v>
      </c>
      <c r="C111" t="s">
        <v>227</v>
      </c>
    </row>
    <row r="112" spans="2:3" x14ac:dyDescent="0.35">
      <c r="B112" t="s">
        <v>228</v>
      </c>
      <c r="C112" t="s">
        <v>229</v>
      </c>
    </row>
    <row r="113" spans="2:3" x14ac:dyDescent="0.35">
      <c r="B113" t="s">
        <v>230</v>
      </c>
      <c r="C113" t="s">
        <v>231</v>
      </c>
    </row>
    <row r="114" spans="2:3" x14ac:dyDescent="0.35">
      <c r="B114" t="s">
        <v>232</v>
      </c>
      <c r="C114" t="s">
        <v>233</v>
      </c>
    </row>
    <row r="115" spans="2:3" x14ac:dyDescent="0.35">
      <c r="B115" t="s">
        <v>234</v>
      </c>
      <c r="C115" t="s">
        <v>235</v>
      </c>
    </row>
    <row r="116" spans="2:3" x14ac:dyDescent="0.35">
      <c r="B116" t="s">
        <v>236</v>
      </c>
      <c r="C116" t="s">
        <v>237</v>
      </c>
    </row>
    <row r="117" spans="2:3" x14ac:dyDescent="0.35">
      <c r="B117" t="s">
        <v>238</v>
      </c>
      <c r="C117" t="s">
        <v>239</v>
      </c>
    </row>
    <row r="118" spans="2:3" x14ac:dyDescent="0.35">
      <c r="B118" t="s">
        <v>240</v>
      </c>
      <c r="C118" t="s">
        <v>241</v>
      </c>
    </row>
    <row r="119" spans="2:3" x14ac:dyDescent="0.35">
      <c r="B119" t="s">
        <v>242</v>
      </c>
      <c r="C119" t="s">
        <v>243</v>
      </c>
    </row>
    <row r="120" spans="2:3" x14ac:dyDescent="0.35">
      <c r="B120" t="s">
        <v>244</v>
      </c>
      <c r="C120" t="s">
        <v>245</v>
      </c>
    </row>
    <row r="121" spans="2:3" x14ac:dyDescent="0.35">
      <c r="B121" t="s">
        <v>246</v>
      </c>
      <c r="C121" t="s">
        <v>247</v>
      </c>
    </row>
    <row r="122" spans="2:3" x14ac:dyDescent="0.35">
      <c r="B122" t="s">
        <v>248</v>
      </c>
      <c r="C122" t="s">
        <v>249</v>
      </c>
    </row>
    <row r="123" spans="2:3" x14ac:dyDescent="0.35">
      <c r="B123" t="s">
        <v>250</v>
      </c>
      <c r="C123" t="s">
        <v>251</v>
      </c>
    </row>
    <row r="124" spans="2:3" x14ac:dyDescent="0.35">
      <c r="B124" t="s">
        <v>252</v>
      </c>
      <c r="C124" t="s">
        <v>253</v>
      </c>
    </row>
    <row r="125" spans="2:3" x14ac:dyDescent="0.35">
      <c r="B125" t="s">
        <v>254</v>
      </c>
      <c r="C125" t="s">
        <v>255</v>
      </c>
    </row>
    <row r="126" spans="2:3" x14ac:dyDescent="0.35">
      <c r="B126" t="s">
        <v>256</v>
      </c>
      <c r="C126" t="s">
        <v>257</v>
      </c>
    </row>
    <row r="127" spans="2:3" x14ac:dyDescent="0.35">
      <c r="B127" t="s">
        <v>258</v>
      </c>
      <c r="C127" t="s">
        <v>259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O188"/>
  <sheetViews>
    <sheetView showGridLines="0" zoomScale="85" zoomScaleNormal="85" workbookViewId="0">
      <pane ySplit="3" topLeftCell="A4" activePane="bottomLeft" state="frozen"/>
      <selection activeCell="E10" sqref="E10"/>
      <selection pane="bottomLeft" sqref="A1:XFD1048576"/>
    </sheetView>
  </sheetViews>
  <sheetFormatPr defaultColWidth="9.08984375" defaultRowHeight="14.5" outlineLevelCol="1" x14ac:dyDescent="0.35"/>
  <cols>
    <col min="1" max="1" width="12.6328125" style="125" customWidth="1"/>
    <col min="2" max="2" width="55.6328125" bestFit="1" customWidth="1"/>
    <col min="3" max="6" width="15.54296875" customWidth="1"/>
    <col min="7" max="7" width="1.6328125" customWidth="1"/>
    <col min="8" max="8" width="8.6328125" style="120" customWidth="1" outlineLevel="1"/>
    <col min="9" max="9" width="70.90625" customWidth="1" outlineLevel="1"/>
    <col min="10" max="13" width="17.36328125" style="28" customWidth="1" outlineLevel="1"/>
    <col min="14" max="15" width="23.453125" customWidth="1"/>
    <col min="16" max="16" width="1.6328125" customWidth="1"/>
  </cols>
  <sheetData>
    <row r="1" spans="1:15" s="121" customFormat="1" ht="30" customHeight="1" x14ac:dyDescent="0.35">
      <c r="A1" s="143"/>
      <c r="B1" s="145" t="s">
        <v>260</v>
      </c>
      <c r="C1" s="146" t="s">
        <v>261</v>
      </c>
      <c r="D1" s="145"/>
      <c r="E1" s="145"/>
      <c r="F1" s="145"/>
      <c r="G1" s="145"/>
      <c r="H1" s="127"/>
      <c r="I1" s="145"/>
      <c r="J1" s="127"/>
      <c r="K1" s="127"/>
      <c r="L1" s="127"/>
      <c r="M1" s="127"/>
    </row>
    <row r="2" spans="1:15" s="15" customFormat="1" ht="30" customHeight="1" x14ac:dyDescent="0.35">
      <c r="A2" s="34" t="s">
        <v>262</v>
      </c>
      <c r="D2" s="34"/>
      <c r="E2" s="34"/>
      <c r="F2" s="34"/>
      <c r="H2" s="34" t="s">
        <v>263</v>
      </c>
      <c r="K2" s="34"/>
      <c r="L2" s="34"/>
      <c r="M2" s="34"/>
      <c r="N2" s="34" t="s">
        <v>264</v>
      </c>
      <c r="O2" s="37" t="s">
        <v>265</v>
      </c>
    </row>
    <row r="3" spans="1:15" ht="30" customHeight="1" x14ac:dyDescent="0.35">
      <c r="A3" s="335" t="s">
        <v>519</v>
      </c>
      <c r="B3" s="335" t="s">
        <v>813</v>
      </c>
      <c r="C3" s="248" t="s">
        <v>923</v>
      </c>
      <c r="D3" s="122" t="s">
        <v>266</v>
      </c>
      <c r="E3" s="124" t="s">
        <v>267</v>
      </c>
      <c r="F3" s="123" t="s">
        <v>268</v>
      </c>
      <c r="J3" s="87" t="s">
        <v>701</v>
      </c>
      <c r="K3" s="88" t="s">
        <v>266</v>
      </c>
      <c r="L3" s="89" t="s">
        <v>267</v>
      </c>
      <c r="M3" s="90" t="s">
        <v>268</v>
      </c>
      <c r="N3" s="35" t="s">
        <v>270</v>
      </c>
      <c r="O3" s="195">
        <v>0.89</v>
      </c>
    </row>
    <row r="4" spans="1:15" ht="15" customHeight="1" x14ac:dyDescent="0.35">
      <c r="A4" s="336" t="s">
        <v>702</v>
      </c>
      <c r="B4" s="336"/>
      <c r="C4" s="33"/>
      <c r="D4" s="33"/>
      <c r="E4" s="33"/>
      <c r="F4" s="33"/>
      <c r="H4" s="120">
        <v>1</v>
      </c>
      <c r="I4" t="s">
        <v>271</v>
      </c>
    </row>
    <row r="5" spans="1:15" ht="15" customHeight="1" x14ac:dyDescent="0.35">
      <c r="A5" s="207" t="s">
        <v>814</v>
      </c>
      <c r="B5" s="207" t="s">
        <v>11</v>
      </c>
      <c r="C5" s="33">
        <v>24</v>
      </c>
      <c r="D5" s="33"/>
      <c r="E5" s="33"/>
      <c r="F5" s="33"/>
      <c r="H5" s="120">
        <v>2</v>
      </c>
      <c r="I5" t="s">
        <v>272</v>
      </c>
    </row>
    <row r="6" spans="1:15" ht="15" customHeight="1" x14ac:dyDescent="0.35">
      <c r="A6" s="207" t="s">
        <v>815</v>
      </c>
      <c r="B6" s="207" t="s">
        <v>13</v>
      </c>
      <c r="C6" s="33">
        <v>27</v>
      </c>
      <c r="D6" s="33"/>
      <c r="E6" s="33"/>
      <c r="F6" s="33"/>
      <c r="H6" s="120">
        <v>3</v>
      </c>
      <c r="I6" t="s">
        <v>273</v>
      </c>
    </row>
    <row r="7" spans="1:15" ht="15" customHeight="1" x14ac:dyDescent="0.35">
      <c r="A7" s="207" t="s">
        <v>816</v>
      </c>
      <c r="B7" s="207" t="s">
        <v>15</v>
      </c>
      <c r="C7" s="33">
        <v>27</v>
      </c>
      <c r="D7" s="33"/>
      <c r="E7" s="33"/>
      <c r="F7" s="33"/>
      <c r="H7" s="120">
        <v>4</v>
      </c>
      <c r="I7" t="s">
        <v>274</v>
      </c>
    </row>
    <row r="8" spans="1:15" ht="15" customHeight="1" x14ac:dyDescent="0.35">
      <c r="A8" s="336" t="s">
        <v>703</v>
      </c>
      <c r="B8" s="336"/>
      <c r="C8" s="33"/>
      <c r="D8" s="33"/>
      <c r="E8" s="33"/>
      <c r="F8" s="33"/>
      <c r="H8" s="120">
        <v>6</v>
      </c>
      <c r="I8" t="s">
        <v>276</v>
      </c>
    </row>
    <row r="9" spans="1:15" ht="15" customHeight="1" x14ac:dyDescent="0.35">
      <c r="A9" s="207" t="s">
        <v>817</v>
      </c>
      <c r="B9" s="207" t="s">
        <v>17</v>
      </c>
      <c r="C9" s="33">
        <v>19</v>
      </c>
      <c r="D9" s="33"/>
      <c r="E9" s="33"/>
      <c r="F9" s="33"/>
      <c r="H9" s="120">
        <v>7</v>
      </c>
      <c r="I9" t="s">
        <v>277</v>
      </c>
    </row>
    <row r="10" spans="1:15" ht="15" customHeight="1" x14ac:dyDescent="0.35">
      <c r="A10" s="207" t="s">
        <v>818</v>
      </c>
      <c r="B10" s="207" t="s">
        <v>537</v>
      </c>
      <c r="C10" s="33">
        <v>15</v>
      </c>
      <c r="D10" s="33"/>
      <c r="E10" s="33"/>
      <c r="F10" s="33"/>
      <c r="H10" s="120">
        <v>8</v>
      </c>
      <c r="I10" t="s">
        <v>278</v>
      </c>
    </row>
    <row r="11" spans="1:15" ht="15" customHeight="1" x14ac:dyDescent="0.35">
      <c r="A11" s="207" t="s">
        <v>819</v>
      </c>
      <c r="B11" s="207" t="s">
        <v>21</v>
      </c>
      <c r="C11" s="33">
        <v>19</v>
      </c>
      <c r="D11" s="33"/>
      <c r="E11" s="33"/>
      <c r="F11" s="33"/>
      <c r="H11" s="120">
        <v>9</v>
      </c>
      <c r="I11" t="s">
        <v>279</v>
      </c>
    </row>
    <row r="12" spans="1:15" ht="15" customHeight="1" x14ac:dyDescent="0.35">
      <c r="A12" s="207" t="s">
        <v>820</v>
      </c>
      <c r="B12" s="207" t="s">
        <v>538</v>
      </c>
      <c r="C12" s="33">
        <v>15</v>
      </c>
      <c r="D12" s="33"/>
      <c r="E12" s="33"/>
      <c r="F12" s="33"/>
      <c r="H12" s="120">
        <v>10</v>
      </c>
      <c r="I12" t="s">
        <v>280</v>
      </c>
    </row>
    <row r="13" spans="1:15" ht="15" customHeight="1" x14ac:dyDescent="0.35">
      <c r="A13" s="207" t="s">
        <v>821</v>
      </c>
      <c r="B13" s="207" t="s">
        <v>25</v>
      </c>
      <c r="C13" s="33">
        <v>7</v>
      </c>
      <c r="D13" s="33"/>
      <c r="E13" s="33"/>
      <c r="F13" s="33"/>
      <c r="H13" s="120">
        <v>11</v>
      </c>
      <c r="I13" t="s">
        <v>281</v>
      </c>
    </row>
    <row r="14" spans="1:15" ht="15" customHeight="1" x14ac:dyDescent="0.35">
      <c r="A14" s="207" t="s">
        <v>822</v>
      </c>
      <c r="B14" s="207" t="s">
        <v>27</v>
      </c>
      <c r="C14" s="33">
        <v>7</v>
      </c>
      <c r="D14" s="33"/>
      <c r="E14" s="33"/>
      <c r="F14" s="33"/>
      <c r="H14" s="120">
        <v>12</v>
      </c>
      <c r="I14" t="s">
        <v>282</v>
      </c>
    </row>
    <row r="15" spans="1:15" ht="15" customHeight="1" x14ac:dyDescent="0.35">
      <c r="A15" s="336" t="s">
        <v>823</v>
      </c>
      <c r="B15" s="336"/>
      <c r="C15" s="33"/>
      <c r="D15" s="33"/>
      <c r="E15" s="33"/>
      <c r="F15" s="33"/>
      <c r="H15" s="120">
        <v>14</v>
      </c>
      <c r="I15" t="s">
        <v>284</v>
      </c>
    </row>
    <row r="16" spans="1:15" ht="15" customHeight="1" x14ac:dyDescent="0.35">
      <c r="A16" s="207" t="s">
        <v>28</v>
      </c>
      <c r="B16" s="207" t="s">
        <v>29</v>
      </c>
      <c r="C16" s="33">
        <v>24</v>
      </c>
      <c r="D16" s="33"/>
      <c r="E16" s="33"/>
      <c r="F16" s="33"/>
      <c r="H16" s="120">
        <v>15</v>
      </c>
      <c r="I16" t="s">
        <v>285</v>
      </c>
    </row>
    <row r="17" spans="1:9" ht="15" customHeight="1" x14ac:dyDescent="0.35">
      <c r="A17" s="207" t="s">
        <v>30</v>
      </c>
      <c r="B17" s="207" t="s">
        <v>31</v>
      </c>
      <c r="C17" s="33">
        <v>15</v>
      </c>
      <c r="D17" s="33"/>
      <c r="E17" s="33"/>
      <c r="F17" s="33"/>
      <c r="H17" s="120">
        <v>16</v>
      </c>
      <c r="I17" t="s">
        <v>286</v>
      </c>
    </row>
    <row r="18" spans="1:9" ht="15" customHeight="1" x14ac:dyDescent="0.35">
      <c r="A18" s="207" t="s">
        <v>32</v>
      </c>
      <c r="B18" s="207" t="s">
        <v>33</v>
      </c>
      <c r="C18" s="33">
        <v>13</v>
      </c>
      <c r="D18" s="33"/>
      <c r="E18" s="33"/>
      <c r="F18" s="33"/>
      <c r="H18" s="120">
        <v>17</v>
      </c>
      <c r="I18" s="1" t="s">
        <v>287</v>
      </c>
    </row>
    <row r="19" spans="1:9" ht="15" customHeight="1" x14ac:dyDescent="0.35">
      <c r="A19" s="207" t="s">
        <v>34</v>
      </c>
      <c r="B19" s="207" t="s">
        <v>35</v>
      </c>
      <c r="C19" s="33">
        <v>5</v>
      </c>
      <c r="D19" s="33"/>
      <c r="E19" s="33"/>
      <c r="F19" s="33"/>
      <c r="H19" s="120">
        <v>18</v>
      </c>
      <c r="I19" t="s">
        <v>288</v>
      </c>
    </row>
    <row r="20" spans="1:9" ht="15" customHeight="1" x14ac:dyDescent="0.35">
      <c r="A20" s="207" t="s">
        <v>36</v>
      </c>
      <c r="B20" s="207" t="s">
        <v>37</v>
      </c>
      <c r="C20" s="33">
        <v>4</v>
      </c>
      <c r="D20" s="33"/>
      <c r="E20" s="33"/>
      <c r="F20" s="33"/>
      <c r="H20" s="120">
        <v>19</v>
      </c>
      <c r="I20" t="s">
        <v>289</v>
      </c>
    </row>
    <row r="21" spans="1:9" ht="15" customHeight="1" x14ac:dyDescent="0.35">
      <c r="A21" s="207" t="s">
        <v>38</v>
      </c>
      <c r="B21" s="207" t="s">
        <v>39</v>
      </c>
      <c r="C21" s="33">
        <v>0</v>
      </c>
      <c r="D21" s="33"/>
      <c r="E21" s="33"/>
      <c r="F21" s="33"/>
      <c r="H21" s="120">
        <v>20</v>
      </c>
      <c r="I21" t="s">
        <v>290</v>
      </c>
    </row>
    <row r="22" spans="1:9" ht="15" customHeight="1" x14ac:dyDescent="0.35">
      <c r="A22" s="207" t="s">
        <v>40</v>
      </c>
      <c r="B22" s="207" t="s">
        <v>41</v>
      </c>
      <c r="C22" s="33">
        <v>5</v>
      </c>
      <c r="D22" s="33"/>
      <c r="E22" s="33"/>
      <c r="F22" s="33"/>
      <c r="H22" s="120">
        <v>21</v>
      </c>
      <c r="I22" t="s">
        <v>291</v>
      </c>
    </row>
    <row r="23" spans="1:9" ht="15" customHeight="1" x14ac:dyDescent="0.35">
      <c r="A23" s="207" t="s">
        <v>42</v>
      </c>
      <c r="B23" s="207" t="s">
        <v>43</v>
      </c>
      <c r="C23" s="33">
        <v>17</v>
      </c>
      <c r="D23" s="33"/>
      <c r="E23" s="33"/>
      <c r="F23" s="33"/>
      <c r="H23" s="120">
        <v>22</v>
      </c>
      <c r="I23" t="s">
        <v>292</v>
      </c>
    </row>
    <row r="24" spans="1:9" ht="15" customHeight="1" x14ac:dyDescent="0.35">
      <c r="A24" s="207" t="s">
        <v>44</v>
      </c>
      <c r="B24" s="207" t="s">
        <v>45</v>
      </c>
      <c r="C24" s="33">
        <v>15</v>
      </c>
      <c r="D24" s="33"/>
      <c r="E24" s="33"/>
      <c r="F24" s="33"/>
      <c r="H24" s="120">
        <v>23</v>
      </c>
      <c r="I24" t="s">
        <v>293</v>
      </c>
    </row>
    <row r="25" spans="1:9" ht="15" customHeight="1" x14ac:dyDescent="0.35">
      <c r="A25" s="207" t="s">
        <v>46</v>
      </c>
      <c r="B25" s="207" t="s">
        <v>47</v>
      </c>
      <c r="C25" s="33">
        <v>13</v>
      </c>
      <c r="D25" s="33"/>
      <c r="E25" s="33"/>
      <c r="F25" s="33"/>
      <c r="H25" s="120">
        <v>24</v>
      </c>
      <c r="I25" t="s">
        <v>294</v>
      </c>
    </row>
    <row r="26" spans="1:9" ht="15" customHeight="1" x14ac:dyDescent="0.35">
      <c r="A26" s="207" t="s">
        <v>48</v>
      </c>
      <c r="B26" s="207" t="s">
        <v>49</v>
      </c>
      <c r="C26" s="33">
        <v>5</v>
      </c>
      <c r="D26" s="33"/>
      <c r="E26" s="33"/>
      <c r="F26" s="33"/>
      <c r="H26" s="120">
        <v>25</v>
      </c>
      <c r="I26" t="s">
        <v>295</v>
      </c>
    </row>
    <row r="27" spans="1:9" ht="15" customHeight="1" x14ac:dyDescent="0.35">
      <c r="A27" s="207" t="s">
        <v>50</v>
      </c>
      <c r="B27" s="207" t="s">
        <v>51</v>
      </c>
      <c r="C27" s="33">
        <v>4</v>
      </c>
      <c r="D27" s="33"/>
      <c r="E27" s="33"/>
      <c r="F27" s="33"/>
      <c r="H27" s="120">
        <v>26</v>
      </c>
      <c r="I27" t="s">
        <v>296</v>
      </c>
    </row>
    <row r="28" spans="1:9" ht="15" customHeight="1" x14ac:dyDescent="0.35">
      <c r="A28" s="207" t="s">
        <v>52</v>
      </c>
      <c r="B28" s="207" t="s">
        <v>53</v>
      </c>
      <c r="C28" s="33">
        <v>0</v>
      </c>
      <c r="D28" s="33"/>
      <c r="E28" s="33"/>
      <c r="F28" s="33"/>
      <c r="H28" s="120">
        <v>27</v>
      </c>
      <c r="I28" t="s">
        <v>297</v>
      </c>
    </row>
    <row r="29" spans="1:9" ht="15" customHeight="1" x14ac:dyDescent="0.35">
      <c r="A29" s="207" t="s">
        <v>54</v>
      </c>
      <c r="B29" s="207" t="s">
        <v>541</v>
      </c>
      <c r="C29" s="33">
        <v>5</v>
      </c>
      <c r="D29" s="33"/>
      <c r="E29" s="33"/>
      <c r="F29" s="33"/>
      <c r="H29" s="120">
        <v>28</v>
      </c>
      <c r="I29" t="s">
        <v>298</v>
      </c>
    </row>
    <row r="30" spans="1:9" ht="15" customHeight="1" x14ac:dyDescent="0.35">
      <c r="A30" s="207" t="s">
        <v>56</v>
      </c>
      <c r="B30" s="207" t="s">
        <v>57</v>
      </c>
      <c r="C30" s="33">
        <v>5</v>
      </c>
      <c r="D30" s="33"/>
      <c r="E30" s="33"/>
      <c r="F30" s="33"/>
      <c r="H30" s="120">
        <v>29</v>
      </c>
      <c r="I30" t="s">
        <v>299</v>
      </c>
    </row>
    <row r="31" spans="1:9" ht="15" customHeight="1" x14ac:dyDescent="0.35">
      <c r="A31" s="336" t="s">
        <v>705</v>
      </c>
      <c r="B31" s="336"/>
      <c r="C31" s="33"/>
      <c r="D31" s="33"/>
      <c r="E31" s="33"/>
      <c r="F31" s="33"/>
      <c r="H31" s="120">
        <v>31</v>
      </c>
      <c r="I31" t="s">
        <v>301</v>
      </c>
    </row>
    <row r="32" spans="1:9" ht="15" customHeight="1" x14ac:dyDescent="0.35">
      <c r="A32" s="207" t="s">
        <v>58</v>
      </c>
      <c r="B32" s="207" t="s">
        <v>59</v>
      </c>
      <c r="C32" s="33">
        <v>15</v>
      </c>
      <c r="D32" s="33"/>
      <c r="E32" s="33"/>
      <c r="F32" s="33"/>
      <c r="H32" s="120">
        <v>32</v>
      </c>
      <c r="I32" t="s">
        <v>302</v>
      </c>
    </row>
    <row r="33" spans="1:9" ht="15" customHeight="1" x14ac:dyDescent="0.35">
      <c r="A33" s="207" t="s">
        <v>60</v>
      </c>
      <c r="B33" s="207" t="s">
        <v>61</v>
      </c>
      <c r="C33" s="33">
        <v>14</v>
      </c>
      <c r="D33" s="33"/>
      <c r="E33" s="33"/>
      <c r="F33" s="33"/>
      <c r="H33" s="120">
        <v>33</v>
      </c>
      <c r="I33" t="s">
        <v>303</v>
      </c>
    </row>
    <row r="34" spans="1:9" ht="15" customHeight="1" x14ac:dyDescent="0.35">
      <c r="A34" s="207" t="s">
        <v>62</v>
      </c>
      <c r="B34" s="207" t="s">
        <v>63</v>
      </c>
      <c r="C34" s="33">
        <v>3</v>
      </c>
      <c r="D34" s="33"/>
      <c r="E34" s="33"/>
      <c r="F34" s="33"/>
      <c r="H34" s="120">
        <v>34</v>
      </c>
      <c r="I34" t="s">
        <v>304</v>
      </c>
    </row>
    <row r="35" spans="1:9" ht="15" customHeight="1" x14ac:dyDescent="0.35">
      <c r="A35" s="207" t="s">
        <v>64</v>
      </c>
      <c r="B35" s="207" t="s">
        <v>65</v>
      </c>
      <c r="C35" s="33">
        <v>1</v>
      </c>
      <c r="D35" s="33"/>
      <c r="E35" s="33"/>
      <c r="F35" s="33"/>
      <c r="H35" s="120">
        <v>35</v>
      </c>
      <c r="I35" t="s">
        <v>305</v>
      </c>
    </row>
    <row r="36" spans="1:9" ht="15" customHeight="1" x14ac:dyDescent="0.35">
      <c r="A36" s="207" t="s">
        <v>66</v>
      </c>
      <c r="B36" s="207" t="s">
        <v>67</v>
      </c>
      <c r="C36" s="33">
        <v>1</v>
      </c>
      <c r="D36" s="33"/>
      <c r="E36" s="33"/>
      <c r="F36" s="33"/>
      <c r="H36" s="120">
        <v>36</v>
      </c>
      <c r="I36" t="s">
        <v>306</v>
      </c>
    </row>
    <row r="37" spans="1:9" ht="15" customHeight="1" x14ac:dyDescent="0.35">
      <c r="A37" s="207" t="s">
        <v>68</v>
      </c>
      <c r="B37" s="207" t="s">
        <v>69</v>
      </c>
      <c r="C37" s="33">
        <v>1</v>
      </c>
      <c r="D37" s="33"/>
      <c r="E37" s="33"/>
      <c r="F37" s="33"/>
      <c r="H37" s="120">
        <v>37</v>
      </c>
      <c r="I37" t="s">
        <v>307</v>
      </c>
    </row>
    <row r="38" spans="1:9" ht="15" customHeight="1" x14ac:dyDescent="0.35">
      <c r="A38" s="207" t="s">
        <v>70</v>
      </c>
      <c r="B38" s="207" t="s">
        <v>71</v>
      </c>
      <c r="C38" s="33">
        <v>2</v>
      </c>
      <c r="D38" s="33"/>
      <c r="E38" s="33"/>
      <c r="F38" s="33"/>
      <c r="H38" s="120">
        <v>38</v>
      </c>
      <c r="I38" t="s">
        <v>308</v>
      </c>
    </row>
    <row r="39" spans="1:9" ht="15" customHeight="1" x14ac:dyDescent="0.35">
      <c r="A39" s="207" t="s">
        <v>72</v>
      </c>
      <c r="B39" s="207" t="s">
        <v>73</v>
      </c>
      <c r="C39" s="33">
        <v>15</v>
      </c>
      <c r="D39" s="33"/>
      <c r="E39" s="33"/>
      <c r="F39" s="33"/>
      <c r="H39" s="120">
        <v>39</v>
      </c>
      <c r="I39" t="s">
        <v>309</v>
      </c>
    </row>
    <row r="40" spans="1:9" ht="15" customHeight="1" x14ac:dyDescent="0.35">
      <c r="A40" s="207" t="s">
        <v>74</v>
      </c>
      <c r="B40" s="207" t="s">
        <v>75</v>
      </c>
      <c r="C40" s="33">
        <v>5</v>
      </c>
      <c r="D40" s="33"/>
      <c r="E40" s="33"/>
      <c r="F40" s="33"/>
      <c r="H40" s="120">
        <v>40</v>
      </c>
      <c r="I40" t="s">
        <v>310</v>
      </c>
    </row>
    <row r="41" spans="1:9" ht="15" customHeight="1" x14ac:dyDescent="0.35">
      <c r="A41" s="207" t="s">
        <v>76</v>
      </c>
      <c r="B41" s="207" t="s">
        <v>77</v>
      </c>
      <c r="C41" s="33">
        <v>5</v>
      </c>
      <c r="D41" s="33"/>
      <c r="E41" s="33"/>
      <c r="F41" s="33"/>
      <c r="H41" s="120">
        <v>41</v>
      </c>
      <c r="I41" t="s">
        <v>311</v>
      </c>
    </row>
    <row r="42" spans="1:9" ht="15" customHeight="1" x14ac:dyDescent="0.35">
      <c r="A42" s="207" t="s">
        <v>78</v>
      </c>
      <c r="B42" s="207" t="s">
        <v>79</v>
      </c>
      <c r="C42" s="33">
        <v>15</v>
      </c>
      <c r="D42" s="33"/>
      <c r="E42" s="33"/>
      <c r="F42" s="33"/>
      <c r="H42" s="120">
        <v>42</v>
      </c>
      <c r="I42" t="s">
        <v>312</v>
      </c>
    </row>
    <row r="43" spans="1:9" ht="15" customHeight="1" x14ac:dyDescent="0.35">
      <c r="A43" s="207" t="s">
        <v>80</v>
      </c>
      <c r="B43" s="207" t="s">
        <v>81</v>
      </c>
      <c r="C43" s="33">
        <v>14</v>
      </c>
      <c r="D43" s="33"/>
      <c r="E43" s="33"/>
      <c r="F43" s="33"/>
      <c r="H43" s="120">
        <v>43</v>
      </c>
      <c r="I43" t="s">
        <v>313</v>
      </c>
    </row>
    <row r="44" spans="1:9" ht="15" customHeight="1" x14ac:dyDescent="0.35">
      <c r="A44" s="207" t="s">
        <v>82</v>
      </c>
      <c r="B44" s="207" t="s">
        <v>83</v>
      </c>
      <c r="C44" s="33">
        <v>3</v>
      </c>
      <c r="D44" s="33"/>
      <c r="E44" s="33"/>
      <c r="F44" s="33"/>
      <c r="H44" s="120">
        <v>44</v>
      </c>
      <c r="I44" t="s">
        <v>314</v>
      </c>
    </row>
    <row r="45" spans="1:9" ht="15" customHeight="1" x14ac:dyDescent="0.35">
      <c r="A45" s="207" t="s">
        <v>84</v>
      </c>
      <c r="B45" s="207" t="s">
        <v>85</v>
      </c>
      <c r="C45" s="33">
        <v>1</v>
      </c>
      <c r="D45" s="33"/>
      <c r="E45" s="33"/>
      <c r="F45" s="33"/>
      <c r="H45" s="120">
        <v>45</v>
      </c>
      <c r="I45" t="s">
        <v>315</v>
      </c>
    </row>
    <row r="46" spans="1:9" ht="15" customHeight="1" x14ac:dyDescent="0.35">
      <c r="A46" s="207" t="s">
        <v>86</v>
      </c>
      <c r="B46" s="207" t="s">
        <v>87</v>
      </c>
      <c r="C46" s="33">
        <v>1</v>
      </c>
      <c r="D46" s="33"/>
      <c r="E46" s="33"/>
      <c r="F46" s="33"/>
      <c r="H46" s="120">
        <v>46</v>
      </c>
      <c r="I46" t="s">
        <v>317</v>
      </c>
    </row>
    <row r="47" spans="1:9" ht="15" customHeight="1" x14ac:dyDescent="0.35">
      <c r="A47" s="207" t="s">
        <v>88</v>
      </c>
      <c r="B47" s="207" t="s">
        <v>89</v>
      </c>
      <c r="C47" s="33">
        <v>15</v>
      </c>
      <c r="D47" s="33"/>
      <c r="E47" s="33"/>
      <c r="F47" s="33"/>
      <c r="H47" s="120">
        <v>47</v>
      </c>
      <c r="I47" t="s">
        <v>318</v>
      </c>
    </row>
    <row r="48" spans="1:9" ht="15" customHeight="1" x14ac:dyDescent="0.35">
      <c r="A48" s="207" t="s">
        <v>90</v>
      </c>
      <c r="B48" s="207" t="s">
        <v>91</v>
      </c>
      <c r="C48" s="33">
        <v>5</v>
      </c>
      <c r="D48" s="33"/>
      <c r="E48" s="33"/>
      <c r="F48" s="33"/>
      <c r="H48" s="120">
        <v>48</v>
      </c>
      <c r="I48" t="s">
        <v>319</v>
      </c>
    </row>
    <row r="49" spans="1:9" ht="15" customHeight="1" x14ac:dyDescent="0.35">
      <c r="A49" s="207" t="s">
        <v>92</v>
      </c>
      <c r="B49" s="207" t="s">
        <v>93</v>
      </c>
      <c r="C49" s="33">
        <v>5</v>
      </c>
      <c r="D49" s="33"/>
      <c r="E49" s="33"/>
      <c r="F49" s="33"/>
      <c r="H49" s="120">
        <v>49</v>
      </c>
      <c r="I49" t="s">
        <v>320</v>
      </c>
    </row>
    <row r="50" spans="1:9" ht="15" customHeight="1" x14ac:dyDescent="0.35">
      <c r="A50" s="207" t="s">
        <v>94</v>
      </c>
      <c r="B50" s="207" t="s">
        <v>95</v>
      </c>
      <c r="C50" s="33">
        <v>15</v>
      </c>
      <c r="D50" s="33"/>
      <c r="E50" s="33"/>
      <c r="F50" s="33"/>
      <c r="H50" s="120">
        <v>50</v>
      </c>
      <c r="I50" t="s">
        <v>321</v>
      </c>
    </row>
    <row r="51" spans="1:9" ht="15" customHeight="1" x14ac:dyDescent="0.35">
      <c r="A51" s="207" t="s">
        <v>96</v>
      </c>
      <c r="B51" s="207" t="s">
        <v>97</v>
      </c>
      <c r="C51" s="33">
        <v>15</v>
      </c>
      <c r="D51" s="33"/>
      <c r="E51" s="33"/>
      <c r="F51" s="33"/>
      <c r="H51" s="120">
        <v>51</v>
      </c>
      <c r="I51" t="s">
        <v>322</v>
      </c>
    </row>
    <row r="52" spans="1:9" ht="15" customHeight="1" x14ac:dyDescent="0.35">
      <c r="A52" s="207" t="s">
        <v>98</v>
      </c>
      <c r="B52" s="207" t="s">
        <v>99</v>
      </c>
      <c r="C52" s="33">
        <v>14</v>
      </c>
      <c r="D52" s="33"/>
      <c r="E52" s="33"/>
      <c r="F52" s="33"/>
      <c r="H52" s="120">
        <v>52</v>
      </c>
      <c r="I52" t="s">
        <v>323</v>
      </c>
    </row>
    <row r="53" spans="1:9" ht="15" customHeight="1" x14ac:dyDescent="0.35">
      <c r="A53" s="207" t="s">
        <v>100</v>
      </c>
      <c r="B53" s="207" t="s">
        <v>316</v>
      </c>
      <c r="C53" s="33">
        <v>5</v>
      </c>
      <c r="D53" s="33"/>
      <c r="E53" s="33"/>
      <c r="F53" s="33"/>
      <c r="H53" s="120">
        <v>53</v>
      </c>
      <c r="I53" t="s">
        <v>324</v>
      </c>
    </row>
    <row r="54" spans="1:9" ht="15" customHeight="1" x14ac:dyDescent="0.35">
      <c r="A54" s="207" t="s">
        <v>102</v>
      </c>
      <c r="B54" s="207" t="s">
        <v>103</v>
      </c>
      <c r="C54" s="33">
        <v>5</v>
      </c>
      <c r="D54" s="33"/>
      <c r="E54" s="33"/>
      <c r="F54" s="33"/>
      <c r="H54" s="120">
        <v>54</v>
      </c>
      <c r="I54" t="s">
        <v>325</v>
      </c>
    </row>
    <row r="55" spans="1:9" ht="15" customHeight="1" x14ac:dyDescent="0.35">
      <c r="A55" s="207" t="s">
        <v>104</v>
      </c>
      <c r="B55" s="207" t="s">
        <v>105</v>
      </c>
      <c r="C55" s="33">
        <v>3</v>
      </c>
      <c r="D55" s="33"/>
      <c r="E55" s="33"/>
      <c r="F55" s="33"/>
      <c r="H55" s="120">
        <v>55</v>
      </c>
      <c r="I55" t="s">
        <v>326</v>
      </c>
    </row>
    <row r="56" spans="1:9" ht="15" customHeight="1" x14ac:dyDescent="0.35">
      <c r="A56" s="207" t="s">
        <v>106</v>
      </c>
      <c r="B56" s="207" t="s">
        <v>107</v>
      </c>
      <c r="C56" s="33">
        <v>1</v>
      </c>
      <c r="D56" s="33"/>
      <c r="E56" s="33"/>
      <c r="F56" s="33"/>
      <c r="H56" s="120">
        <v>56</v>
      </c>
      <c r="I56" t="s">
        <v>327</v>
      </c>
    </row>
    <row r="57" spans="1:9" ht="15" customHeight="1" x14ac:dyDescent="0.35">
      <c r="A57" s="207" t="s">
        <v>108</v>
      </c>
      <c r="B57" s="207" t="s">
        <v>109</v>
      </c>
      <c r="C57" s="33">
        <v>1</v>
      </c>
      <c r="D57" s="33"/>
      <c r="E57" s="33"/>
      <c r="F57" s="33"/>
      <c r="H57" s="120">
        <v>57</v>
      </c>
      <c r="I57" t="s">
        <v>328</v>
      </c>
    </row>
    <row r="58" spans="1:9" ht="15" customHeight="1" x14ac:dyDescent="0.35">
      <c r="A58" s="336" t="s">
        <v>706</v>
      </c>
      <c r="B58" s="336"/>
      <c r="C58" s="33"/>
      <c r="D58" s="33"/>
      <c r="E58" s="33"/>
      <c r="F58" s="33"/>
      <c r="H58" s="120">
        <v>59</v>
      </c>
      <c r="I58" t="s">
        <v>330</v>
      </c>
    </row>
    <row r="59" spans="1:9" ht="15" customHeight="1" x14ac:dyDescent="0.35">
      <c r="A59" s="207" t="s">
        <v>110</v>
      </c>
      <c r="B59" s="207" t="s">
        <v>111</v>
      </c>
      <c r="C59" s="33">
        <v>7</v>
      </c>
      <c r="D59" s="33"/>
      <c r="E59" s="33"/>
      <c r="F59" s="33"/>
      <c r="H59" s="120">
        <v>60</v>
      </c>
      <c r="I59" t="s">
        <v>331</v>
      </c>
    </row>
    <row r="60" spans="1:9" ht="15" customHeight="1" x14ac:dyDescent="0.35">
      <c r="A60" s="207" t="s">
        <v>122</v>
      </c>
      <c r="B60" s="207" t="s">
        <v>123</v>
      </c>
      <c r="C60" s="33">
        <v>4</v>
      </c>
      <c r="D60" s="33"/>
      <c r="E60" s="33"/>
      <c r="F60" s="33"/>
      <c r="H60" s="120">
        <v>61</v>
      </c>
      <c r="I60" t="s">
        <v>332</v>
      </c>
    </row>
    <row r="61" spans="1:9" ht="15" customHeight="1" x14ac:dyDescent="0.35">
      <c r="A61" s="207" t="s">
        <v>116</v>
      </c>
      <c r="B61" s="207" t="s">
        <v>117</v>
      </c>
      <c r="C61" s="33">
        <v>2</v>
      </c>
      <c r="D61" s="33"/>
      <c r="E61" s="33"/>
      <c r="F61" s="33"/>
      <c r="H61" s="120">
        <v>62</v>
      </c>
      <c r="I61" t="s">
        <v>333</v>
      </c>
    </row>
    <row r="62" spans="1:9" ht="15" customHeight="1" x14ac:dyDescent="0.35">
      <c r="A62" s="207" t="s">
        <v>118</v>
      </c>
      <c r="B62" s="207" t="s">
        <v>119</v>
      </c>
      <c r="C62" s="33">
        <v>0</v>
      </c>
      <c r="D62" s="33"/>
      <c r="E62" s="33"/>
      <c r="F62" s="33"/>
      <c r="H62" s="120">
        <v>63</v>
      </c>
      <c r="I62" t="s">
        <v>334</v>
      </c>
    </row>
    <row r="63" spans="1:9" ht="15" customHeight="1" x14ac:dyDescent="0.35">
      <c r="A63" s="207" t="s">
        <v>120</v>
      </c>
      <c r="B63" s="207" t="s">
        <v>121</v>
      </c>
      <c r="C63" s="33">
        <v>0</v>
      </c>
      <c r="D63" s="33"/>
      <c r="E63" s="33"/>
      <c r="F63" s="33"/>
      <c r="H63" s="120">
        <v>64</v>
      </c>
      <c r="I63" t="s">
        <v>335</v>
      </c>
    </row>
    <row r="64" spans="1:9" ht="15" customHeight="1" x14ac:dyDescent="0.35">
      <c r="A64" s="207" t="s">
        <v>128</v>
      </c>
      <c r="B64" s="207" t="s">
        <v>129</v>
      </c>
      <c r="C64" s="33">
        <v>2</v>
      </c>
      <c r="D64" s="33"/>
      <c r="E64" s="33"/>
      <c r="F64" s="33"/>
      <c r="H64" s="120">
        <v>65</v>
      </c>
      <c r="I64" t="s">
        <v>336</v>
      </c>
    </row>
    <row r="65" spans="1:9" ht="15" customHeight="1" x14ac:dyDescent="0.35">
      <c r="A65" s="207" t="s">
        <v>130</v>
      </c>
      <c r="B65" s="207" t="s">
        <v>131</v>
      </c>
      <c r="C65" s="33">
        <v>0</v>
      </c>
      <c r="D65" s="33"/>
      <c r="E65" s="33"/>
      <c r="F65" s="33"/>
      <c r="H65" s="120">
        <v>66</v>
      </c>
      <c r="I65" t="s">
        <v>337</v>
      </c>
    </row>
    <row r="66" spans="1:9" ht="15" customHeight="1" x14ac:dyDescent="0.35">
      <c r="A66" s="207" t="s">
        <v>132</v>
      </c>
      <c r="B66" s="207" t="s">
        <v>133</v>
      </c>
      <c r="C66" s="33">
        <v>0</v>
      </c>
      <c r="D66" s="33"/>
      <c r="E66" s="33"/>
      <c r="F66" s="33"/>
      <c r="H66" s="120">
        <v>67</v>
      </c>
      <c r="I66" t="s">
        <v>338</v>
      </c>
    </row>
    <row r="67" spans="1:9" ht="15" customHeight="1" x14ac:dyDescent="0.35">
      <c r="A67" s="207" t="s">
        <v>138</v>
      </c>
      <c r="B67" s="207" t="s">
        <v>139</v>
      </c>
      <c r="C67" s="33">
        <v>0</v>
      </c>
      <c r="D67" s="33"/>
      <c r="E67" s="33"/>
      <c r="F67" s="33"/>
      <c r="H67" s="120">
        <v>68</v>
      </c>
      <c r="I67" t="s">
        <v>339</v>
      </c>
    </row>
    <row r="68" spans="1:9" ht="15" customHeight="1" x14ac:dyDescent="0.35">
      <c r="A68" s="207" t="s">
        <v>140</v>
      </c>
      <c r="B68" s="207" t="s">
        <v>141</v>
      </c>
      <c r="C68" s="33">
        <v>0</v>
      </c>
      <c r="D68" s="33"/>
      <c r="E68" s="33"/>
      <c r="F68" s="33"/>
      <c r="H68" s="120">
        <v>69</v>
      </c>
      <c r="I68" t="s">
        <v>340</v>
      </c>
    </row>
    <row r="69" spans="1:9" ht="15" customHeight="1" x14ac:dyDescent="0.35">
      <c r="A69" s="336" t="s">
        <v>707</v>
      </c>
      <c r="B69" s="336"/>
      <c r="C69" s="33"/>
      <c r="D69" s="33"/>
      <c r="E69" s="33"/>
      <c r="F69" s="33"/>
      <c r="H69" s="120">
        <v>71</v>
      </c>
      <c r="I69" t="s">
        <v>342</v>
      </c>
    </row>
    <row r="70" spans="1:9" ht="15" customHeight="1" x14ac:dyDescent="0.35">
      <c r="A70" s="207" t="s">
        <v>150</v>
      </c>
      <c r="B70" s="207" t="s">
        <v>151</v>
      </c>
      <c r="C70" s="33">
        <v>3</v>
      </c>
      <c r="D70" s="33"/>
      <c r="E70" s="33"/>
      <c r="F70" s="33"/>
      <c r="H70" s="120">
        <v>72</v>
      </c>
      <c r="I70" t="s">
        <v>343</v>
      </c>
    </row>
    <row r="71" spans="1:9" ht="15" customHeight="1" x14ac:dyDescent="0.35">
      <c r="A71" s="207" t="s">
        <v>152</v>
      </c>
      <c r="B71" s="207" t="s">
        <v>153</v>
      </c>
      <c r="C71" s="33">
        <v>0</v>
      </c>
      <c r="D71" s="33"/>
      <c r="E71" s="33"/>
      <c r="F71" s="33"/>
      <c r="H71" s="120">
        <v>73</v>
      </c>
      <c r="I71" t="s">
        <v>344</v>
      </c>
    </row>
    <row r="72" spans="1:9" ht="15" customHeight="1" x14ac:dyDescent="0.35">
      <c r="A72" s="207" t="s">
        <v>154</v>
      </c>
      <c r="B72" s="207" t="s">
        <v>155</v>
      </c>
      <c r="C72" s="33">
        <v>3</v>
      </c>
      <c r="D72" s="33"/>
      <c r="E72" s="33"/>
      <c r="F72" s="33"/>
      <c r="H72" s="120">
        <v>74</v>
      </c>
      <c r="I72" t="s">
        <v>345</v>
      </c>
    </row>
    <row r="73" spans="1:9" ht="15" customHeight="1" x14ac:dyDescent="0.35">
      <c r="A73" s="207" t="s">
        <v>156</v>
      </c>
      <c r="B73" s="207" t="s">
        <v>157</v>
      </c>
      <c r="C73" s="33">
        <v>0</v>
      </c>
      <c r="D73" s="33"/>
      <c r="E73" s="33"/>
      <c r="F73" s="33"/>
      <c r="H73" s="120">
        <v>75</v>
      </c>
      <c r="I73" t="s">
        <v>346</v>
      </c>
    </row>
    <row r="74" spans="1:9" ht="15" customHeight="1" x14ac:dyDescent="0.35">
      <c r="A74" s="336" t="s">
        <v>708</v>
      </c>
      <c r="B74" s="336"/>
      <c r="C74" s="33"/>
      <c r="D74" s="33"/>
      <c r="E74" s="33"/>
      <c r="F74" s="33"/>
      <c r="H74" s="120">
        <v>77</v>
      </c>
      <c r="I74" t="s">
        <v>348</v>
      </c>
    </row>
    <row r="75" spans="1:9" ht="15" customHeight="1" x14ac:dyDescent="0.35">
      <c r="A75" s="207" t="s">
        <v>112</v>
      </c>
      <c r="B75" s="207" t="s">
        <v>113</v>
      </c>
      <c r="C75" s="33">
        <v>0</v>
      </c>
      <c r="D75" s="33"/>
      <c r="E75" s="33"/>
      <c r="F75" s="33"/>
      <c r="H75" s="120">
        <v>78</v>
      </c>
      <c r="I75" t="s">
        <v>349</v>
      </c>
    </row>
    <row r="76" spans="1:9" ht="15" customHeight="1" x14ac:dyDescent="0.35">
      <c r="A76" s="207" t="s">
        <v>114</v>
      </c>
      <c r="B76" s="207" t="s">
        <v>115</v>
      </c>
      <c r="C76" s="33">
        <v>0</v>
      </c>
      <c r="D76" s="33"/>
      <c r="E76" s="33"/>
      <c r="F76" s="33"/>
      <c r="H76" s="120">
        <v>79</v>
      </c>
      <c r="I76" t="s">
        <v>350</v>
      </c>
    </row>
    <row r="77" spans="1:9" ht="15" customHeight="1" x14ac:dyDescent="0.35">
      <c r="A77" s="207" t="s">
        <v>124</v>
      </c>
      <c r="B77" s="207" t="s">
        <v>125</v>
      </c>
      <c r="C77" s="33">
        <v>0</v>
      </c>
      <c r="D77" s="33"/>
      <c r="E77" s="33"/>
      <c r="F77" s="33"/>
      <c r="H77" s="120">
        <v>80</v>
      </c>
      <c r="I77" t="s">
        <v>351</v>
      </c>
    </row>
    <row r="78" spans="1:9" ht="15" customHeight="1" x14ac:dyDescent="0.35">
      <c r="A78" s="207" t="s">
        <v>126</v>
      </c>
      <c r="B78" s="207" t="s">
        <v>127</v>
      </c>
      <c r="C78" s="33">
        <v>0</v>
      </c>
      <c r="D78" s="33"/>
      <c r="E78" s="33"/>
      <c r="F78" s="33"/>
      <c r="H78" s="120">
        <v>81</v>
      </c>
      <c r="I78" t="s">
        <v>352</v>
      </c>
    </row>
    <row r="79" spans="1:9" ht="15" customHeight="1" x14ac:dyDescent="0.35">
      <c r="A79" s="207" t="s">
        <v>134</v>
      </c>
      <c r="B79" s="207" t="s">
        <v>135</v>
      </c>
      <c r="C79" s="33">
        <v>0</v>
      </c>
      <c r="D79" s="33"/>
      <c r="E79" s="33"/>
      <c r="F79" s="33"/>
      <c r="H79" s="120">
        <v>82</v>
      </c>
      <c r="I79" t="s">
        <v>353</v>
      </c>
    </row>
    <row r="80" spans="1:9" ht="15" customHeight="1" x14ac:dyDescent="0.35">
      <c r="A80" s="207" t="s">
        <v>136</v>
      </c>
      <c r="B80" s="207" t="s">
        <v>137</v>
      </c>
      <c r="C80" s="33">
        <v>0</v>
      </c>
      <c r="D80" s="33"/>
      <c r="E80" s="33"/>
      <c r="F80" s="33"/>
      <c r="H80" s="120">
        <v>83</v>
      </c>
      <c r="I80" t="s">
        <v>354</v>
      </c>
    </row>
    <row r="81" spans="1:9" ht="15" customHeight="1" x14ac:dyDescent="0.35">
      <c r="A81" s="207" t="s">
        <v>142</v>
      </c>
      <c r="B81" s="207" t="s">
        <v>143</v>
      </c>
      <c r="C81" s="33">
        <v>0</v>
      </c>
      <c r="D81" s="33"/>
      <c r="E81" s="33"/>
      <c r="F81" s="33"/>
      <c r="H81" s="120">
        <v>84</v>
      </c>
      <c r="I81" t="s">
        <v>355</v>
      </c>
    </row>
    <row r="82" spans="1:9" ht="15" customHeight="1" x14ac:dyDescent="0.35">
      <c r="A82" s="207" t="s">
        <v>144</v>
      </c>
      <c r="B82" s="207" t="s">
        <v>145</v>
      </c>
      <c r="C82" s="33">
        <v>0</v>
      </c>
      <c r="D82" s="33"/>
      <c r="E82" s="33"/>
      <c r="F82" s="33"/>
      <c r="H82" s="120">
        <v>85</v>
      </c>
      <c r="I82" t="s">
        <v>356</v>
      </c>
    </row>
    <row r="83" spans="1:9" ht="15" customHeight="1" x14ac:dyDescent="0.35">
      <c r="A83" s="207" t="s">
        <v>146</v>
      </c>
      <c r="B83" s="207" t="s">
        <v>147</v>
      </c>
      <c r="C83" s="33">
        <v>2</v>
      </c>
      <c r="D83" s="33"/>
      <c r="E83" s="33"/>
      <c r="F83" s="33"/>
      <c r="H83" s="120">
        <v>86</v>
      </c>
      <c r="I83" t="s">
        <v>357</v>
      </c>
    </row>
    <row r="84" spans="1:9" ht="15" customHeight="1" x14ac:dyDescent="0.35">
      <c r="A84" s="207" t="s">
        <v>148</v>
      </c>
      <c r="B84" s="207" t="s">
        <v>149</v>
      </c>
      <c r="C84" s="33">
        <v>0</v>
      </c>
      <c r="D84" s="33"/>
      <c r="E84" s="33"/>
      <c r="F84" s="33"/>
      <c r="H84" s="120">
        <v>87</v>
      </c>
      <c r="I84" t="s">
        <v>358</v>
      </c>
    </row>
    <row r="85" spans="1:9" ht="15" customHeight="1" x14ac:dyDescent="0.35">
      <c r="A85" s="337" t="s">
        <v>824</v>
      </c>
      <c r="B85" s="337"/>
      <c r="C85" s="33"/>
      <c r="D85" s="33"/>
      <c r="E85" s="33"/>
      <c r="F85" s="33"/>
      <c r="H85" s="120">
        <v>89</v>
      </c>
      <c r="I85" t="s">
        <v>360</v>
      </c>
    </row>
    <row r="86" spans="1:9" ht="15" customHeight="1" x14ac:dyDescent="0.35">
      <c r="A86" s="338" t="s">
        <v>709</v>
      </c>
      <c r="B86" s="338"/>
      <c r="C86" s="33"/>
      <c r="D86" s="33"/>
      <c r="E86" s="33"/>
      <c r="F86" s="33"/>
      <c r="H86" s="120">
        <v>90</v>
      </c>
      <c r="I86" t="s">
        <v>361</v>
      </c>
    </row>
    <row r="87" spans="1:9" ht="15" customHeight="1" x14ac:dyDescent="0.35">
      <c r="A87" s="336" t="s">
        <v>710</v>
      </c>
      <c r="B87" s="336"/>
      <c r="C87" s="33"/>
      <c r="D87" s="33"/>
      <c r="E87" s="33"/>
      <c r="F87" s="33"/>
      <c r="H87" s="120">
        <v>92</v>
      </c>
      <c r="I87" t="s">
        <v>363</v>
      </c>
    </row>
    <row r="88" spans="1:9" ht="15" customHeight="1" x14ac:dyDescent="0.35">
      <c r="A88" s="207" t="s">
        <v>825</v>
      </c>
      <c r="B88" s="207" t="s">
        <v>711</v>
      </c>
      <c r="C88" s="33"/>
      <c r="D88" s="33"/>
      <c r="E88" s="33"/>
      <c r="F88" s="33"/>
      <c r="H88" s="120">
        <v>93</v>
      </c>
      <c r="I88" t="s">
        <v>364</v>
      </c>
    </row>
    <row r="89" spans="1:9" ht="15" customHeight="1" x14ac:dyDescent="0.35">
      <c r="A89" s="207" t="s">
        <v>826</v>
      </c>
      <c r="B89" s="207" t="s">
        <v>712</v>
      </c>
      <c r="C89" s="33"/>
      <c r="D89" s="33"/>
      <c r="E89" s="33"/>
      <c r="F89" s="33"/>
      <c r="H89" s="120">
        <v>94</v>
      </c>
      <c r="I89" t="s">
        <v>365</v>
      </c>
    </row>
    <row r="90" spans="1:9" ht="15" customHeight="1" x14ac:dyDescent="0.35">
      <c r="A90" s="207" t="s">
        <v>827</v>
      </c>
      <c r="B90" s="207" t="s">
        <v>713</v>
      </c>
      <c r="C90" s="33"/>
      <c r="D90" s="33"/>
      <c r="E90" s="33"/>
      <c r="F90" s="33"/>
      <c r="H90" s="120">
        <v>95</v>
      </c>
      <c r="I90" t="s">
        <v>366</v>
      </c>
    </row>
    <row r="91" spans="1:9" ht="15" customHeight="1" x14ac:dyDescent="0.35">
      <c r="A91" s="207" t="s">
        <v>828</v>
      </c>
      <c r="B91" s="207" t="s">
        <v>714</v>
      </c>
      <c r="C91" s="33"/>
      <c r="D91" s="33"/>
      <c r="E91" s="33"/>
      <c r="F91" s="33"/>
      <c r="H91" s="120">
        <v>96</v>
      </c>
      <c r="I91" t="s">
        <v>367</v>
      </c>
    </row>
    <row r="92" spans="1:9" ht="15" customHeight="1" x14ac:dyDescent="0.35">
      <c r="A92" s="207" t="s">
        <v>829</v>
      </c>
      <c r="B92" s="207" t="s">
        <v>715</v>
      </c>
      <c r="C92" s="33"/>
      <c r="D92" s="33"/>
      <c r="E92" s="33"/>
      <c r="F92" s="33"/>
      <c r="H92" s="120">
        <v>97</v>
      </c>
      <c r="I92" t="s">
        <v>368</v>
      </c>
    </row>
    <row r="93" spans="1:9" ht="15" customHeight="1" x14ac:dyDescent="0.35">
      <c r="A93" s="207" t="s">
        <v>830</v>
      </c>
      <c r="B93" s="207" t="s">
        <v>716</v>
      </c>
      <c r="C93" s="33"/>
      <c r="D93" s="33"/>
      <c r="E93" s="33"/>
      <c r="F93" s="33"/>
      <c r="H93" s="120">
        <v>98</v>
      </c>
      <c r="I93" t="s">
        <v>369</v>
      </c>
    </row>
    <row r="94" spans="1:9" ht="15" customHeight="1" x14ac:dyDescent="0.35">
      <c r="A94" s="207" t="s">
        <v>831</v>
      </c>
      <c r="B94" s="207" t="s">
        <v>717</v>
      </c>
      <c r="C94" s="33"/>
      <c r="D94" s="33"/>
      <c r="E94" s="33"/>
      <c r="F94" s="33"/>
      <c r="H94" s="120">
        <v>99</v>
      </c>
      <c r="I94" t="s">
        <v>370</v>
      </c>
    </row>
    <row r="95" spans="1:9" ht="15" customHeight="1" x14ac:dyDescent="0.35">
      <c r="A95" s="207" t="s">
        <v>832</v>
      </c>
      <c r="B95" s="207" t="s">
        <v>718</v>
      </c>
      <c r="C95" s="33"/>
      <c r="D95" s="33"/>
      <c r="E95" s="33"/>
      <c r="F95" s="33"/>
      <c r="H95" s="120">
        <v>100</v>
      </c>
      <c r="I95" t="s">
        <v>371</v>
      </c>
    </row>
    <row r="96" spans="1:9" ht="15" customHeight="1" x14ac:dyDescent="0.35">
      <c r="A96" s="207" t="s">
        <v>833</v>
      </c>
      <c r="B96" s="207" t="s">
        <v>719</v>
      </c>
      <c r="C96" s="33"/>
      <c r="D96" s="33"/>
      <c r="E96" s="33"/>
      <c r="F96" s="33"/>
      <c r="H96" s="120">
        <v>101</v>
      </c>
      <c r="I96" t="s">
        <v>372</v>
      </c>
    </row>
    <row r="97" spans="1:9" ht="15" customHeight="1" x14ac:dyDescent="0.35">
      <c r="A97" s="207" t="s">
        <v>834</v>
      </c>
      <c r="B97" s="207" t="s">
        <v>720</v>
      </c>
      <c r="C97" s="33"/>
      <c r="D97" s="33"/>
      <c r="E97" s="33"/>
      <c r="F97" s="33"/>
      <c r="H97" s="120">
        <v>102</v>
      </c>
      <c r="I97" t="s">
        <v>373</v>
      </c>
    </row>
    <row r="98" spans="1:9" ht="15" customHeight="1" x14ac:dyDescent="0.35">
      <c r="A98" s="207" t="s">
        <v>835</v>
      </c>
      <c r="B98" s="207" t="s">
        <v>721</v>
      </c>
      <c r="C98" s="33"/>
      <c r="D98" s="33"/>
      <c r="E98" s="33"/>
      <c r="F98" s="33"/>
      <c r="H98" s="120">
        <v>103</v>
      </c>
      <c r="I98" t="s">
        <v>374</v>
      </c>
    </row>
    <row r="99" spans="1:9" ht="15" customHeight="1" x14ac:dyDescent="0.35">
      <c r="A99" s="207" t="s">
        <v>836</v>
      </c>
      <c r="B99" s="207" t="s">
        <v>791</v>
      </c>
      <c r="C99" s="33"/>
      <c r="D99" s="33"/>
      <c r="E99" s="33"/>
      <c r="F99" s="33"/>
      <c r="H99" s="120">
        <v>104</v>
      </c>
      <c r="I99" t="s">
        <v>375</v>
      </c>
    </row>
    <row r="100" spans="1:9" ht="15" customHeight="1" x14ac:dyDescent="0.35">
      <c r="A100" s="207" t="s">
        <v>837</v>
      </c>
      <c r="B100" s="207" t="s">
        <v>722</v>
      </c>
      <c r="C100" s="33"/>
      <c r="D100" s="33"/>
      <c r="E100" s="33"/>
      <c r="F100" s="33"/>
      <c r="H100" s="120">
        <v>105</v>
      </c>
      <c r="I100" t="s">
        <v>376</v>
      </c>
    </row>
    <row r="101" spans="1:9" ht="15" customHeight="1" x14ac:dyDescent="0.35">
      <c r="A101" s="207" t="s">
        <v>838</v>
      </c>
      <c r="B101" s="207" t="s">
        <v>723</v>
      </c>
      <c r="C101" s="33"/>
      <c r="D101" s="33"/>
      <c r="E101" s="33"/>
      <c r="F101" s="33"/>
      <c r="H101" s="120">
        <v>106</v>
      </c>
      <c r="I101" t="s">
        <v>377</v>
      </c>
    </row>
    <row r="102" spans="1:9" ht="15" customHeight="1" x14ac:dyDescent="0.35">
      <c r="A102"/>
      <c r="C102" s="33"/>
      <c r="D102" s="33"/>
      <c r="E102" s="33"/>
      <c r="F102" s="33"/>
      <c r="H102" s="120">
        <v>107</v>
      </c>
      <c r="I102" t="s">
        <v>378</v>
      </c>
    </row>
    <row r="103" spans="1:9" ht="15" customHeight="1" x14ac:dyDescent="0.35">
      <c r="A103" s="336" t="s">
        <v>724</v>
      </c>
      <c r="B103" s="336"/>
      <c r="C103" s="33"/>
      <c r="D103" s="33"/>
      <c r="E103" s="33"/>
      <c r="F103" s="33"/>
      <c r="H103" s="120">
        <v>108</v>
      </c>
      <c r="I103" t="s">
        <v>379</v>
      </c>
    </row>
    <row r="104" spans="1:9" ht="15" customHeight="1" x14ac:dyDescent="0.35">
      <c r="A104" s="207" t="s">
        <v>839</v>
      </c>
      <c r="B104" s="207" t="s">
        <v>725</v>
      </c>
      <c r="C104" s="33"/>
      <c r="D104" s="33"/>
      <c r="E104" s="33"/>
      <c r="F104" s="33"/>
      <c r="H104" s="120">
        <v>109</v>
      </c>
      <c r="I104" t="s">
        <v>380</v>
      </c>
    </row>
    <row r="105" spans="1:9" ht="15" customHeight="1" x14ac:dyDescent="0.35">
      <c r="A105" s="207" t="s">
        <v>840</v>
      </c>
      <c r="B105" s="207" t="s">
        <v>726</v>
      </c>
      <c r="C105" s="33">
        <v>5</v>
      </c>
      <c r="D105" s="33"/>
      <c r="E105" s="33"/>
      <c r="F105" s="33"/>
      <c r="H105" s="120">
        <v>110</v>
      </c>
      <c r="I105" t="s">
        <v>381</v>
      </c>
    </row>
    <row r="106" spans="1:9" ht="15" customHeight="1" x14ac:dyDescent="0.35">
      <c r="A106" s="207" t="s">
        <v>841</v>
      </c>
      <c r="B106" s="207" t="s">
        <v>727</v>
      </c>
      <c r="C106" s="33"/>
      <c r="D106" s="33"/>
      <c r="E106" s="33"/>
      <c r="F106" s="33"/>
      <c r="H106" s="120">
        <v>111</v>
      </c>
      <c r="I106" t="s">
        <v>382</v>
      </c>
    </row>
    <row r="107" spans="1:9" ht="15" customHeight="1" x14ac:dyDescent="0.35">
      <c r="A107" s="207" t="s">
        <v>842</v>
      </c>
      <c r="B107" s="207" t="s">
        <v>728</v>
      </c>
      <c r="C107" s="33"/>
      <c r="D107" s="33"/>
      <c r="E107" s="33"/>
      <c r="F107" s="33"/>
      <c r="H107" s="120">
        <v>112</v>
      </c>
      <c r="I107" t="s">
        <v>383</v>
      </c>
    </row>
    <row r="108" spans="1:9" ht="15" customHeight="1" x14ac:dyDescent="0.35">
      <c r="A108" s="207" t="s">
        <v>843</v>
      </c>
      <c r="B108" s="207" t="s">
        <v>729</v>
      </c>
      <c r="C108" s="33"/>
      <c r="D108" s="33"/>
      <c r="E108" s="33"/>
      <c r="F108" s="33"/>
      <c r="H108" s="120">
        <v>113</v>
      </c>
      <c r="I108" t="s">
        <v>384</v>
      </c>
    </row>
    <row r="109" spans="1:9" ht="15" customHeight="1" x14ac:dyDescent="0.35">
      <c r="A109" s="207" t="s">
        <v>844</v>
      </c>
      <c r="B109" s="207" t="s">
        <v>730</v>
      </c>
      <c r="C109" s="33"/>
      <c r="D109" s="33"/>
      <c r="E109" s="33"/>
      <c r="F109" s="33"/>
      <c r="H109" s="120">
        <v>114</v>
      </c>
      <c r="I109" t="s">
        <v>385</v>
      </c>
    </row>
    <row r="110" spans="1:9" ht="15" customHeight="1" x14ac:dyDescent="0.35">
      <c r="A110" s="207" t="s">
        <v>845</v>
      </c>
      <c r="B110" s="207" t="s">
        <v>731</v>
      </c>
      <c r="C110" s="33"/>
      <c r="D110" s="33"/>
      <c r="E110" s="33"/>
      <c r="F110" s="33"/>
      <c r="H110" s="120">
        <v>115</v>
      </c>
      <c r="I110" t="s">
        <v>386</v>
      </c>
    </row>
    <row r="111" spans="1:9" ht="15" customHeight="1" x14ac:dyDescent="0.35">
      <c r="A111"/>
      <c r="C111" s="33"/>
      <c r="D111" s="33"/>
      <c r="E111" s="33"/>
      <c r="F111" s="33"/>
      <c r="H111" s="120">
        <v>116</v>
      </c>
      <c r="I111" t="s">
        <v>387</v>
      </c>
    </row>
    <row r="112" spans="1:9" ht="15" customHeight="1" x14ac:dyDescent="0.35">
      <c r="A112" s="336" t="s">
        <v>732</v>
      </c>
      <c r="B112" s="336"/>
      <c r="C112" s="33"/>
      <c r="D112" s="33"/>
      <c r="E112" s="33"/>
      <c r="F112" s="33"/>
      <c r="H112" s="120">
        <v>117</v>
      </c>
      <c r="I112" t="s">
        <v>388</v>
      </c>
    </row>
    <row r="113" spans="1:9" ht="15" customHeight="1" x14ac:dyDescent="0.35">
      <c r="A113" s="207" t="s">
        <v>846</v>
      </c>
      <c r="B113" s="207" t="s">
        <v>733</v>
      </c>
      <c r="C113" s="33"/>
      <c r="D113" s="33"/>
      <c r="E113" s="33"/>
      <c r="F113" s="33"/>
      <c r="H113" s="120">
        <v>118</v>
      </c>
      <c r="I113" t="s">
        <v>389</v>
      </c>
    </row>
    <row r="114" spans="1:9" ht="15" customHeight="1" x14ac:dyDescent="0.35">
      <c r="A114"/>
      <c r="C114" s="33"/>
      <c r="D114" s="33"/>
      <c r="E114" s="33"/>
      <c r="F114" s="33"/>
      <c r="H114" s="120">
        <v>119</v>
      </c>
      <c r="I114" t="s">
        <v>390</v>
      </c>
    </row>
    <row r="115" spans="1:9" ht="15" customHeight="1" x14ac:dyDescent="0.35">
      <c r="A115" s="336" t="s">
        <v>792</v>
      </c>
      <c r="B115" s="336"/>
      <c r="C115" s="33"/>
      <c r="D115" s="33"/>
      <c r="E115" s="33"/>
      <c r="F115" s="33"/>
      <c r="H115" s="120">
        <v>120</v>
      </c>
      <c r="I115" t="s">
        <v>391</v>
      </c>
    </row>
    <row r="116" spans="1:9" ht="15" customHeight="1" x14ac:dyDescent="0.35">
      <c r="A116" s="207" t="s">
        <v>847</v>
      </c>
      <c r="B116" s="207" t="s">
        <v>734</v>
      </c>
      <c r="C116" s="33"/>
      <c r="D116" s="33"/>
      <c r="E116" s="33"/>
      <c r="F116" s="33"/>
      <c r="H116" s="120">
        <v>121</v>
      </c>
      <c r="I116" t="s">
        <v>392</v>
      </c>
    </row>
    <row r="117" spans="1:9" ht="15" customHeight="1" x14ac:dyDescent="0.35">
      <c r="A117" s="207" t="s">
        <v>848</v>
      </c>
      <c r="B117" s="207" t="s">
        <v>735</v>
      </c>
      <c r="C117" s="33"/>
      <c r="D117" s="33"/>
      <c r="E117" s="33"/>
      <c r="F117" s="33"/>
      <c r="H117" s="120">
        <v>122</v>
      </c>
      <c r="I117" t="s">
        <v>393</v>
      </c>
    </row>
    <row r="118" spans="1:9" ht="15" customHeight="1" x14ac:dyDescent="0.35">
      <c r="A118" s="207" t="s">
        <v>849</v>
      </c>
      <c r="B118" s="207" t="s">
        <v>736</v>
      </c>
      <c r="C118" s="33"/>
      <c r="D118" s="33"/>
      <c r="E118" s="33"/>
      <c r="F118" s="33"/>
      <c r="H118" s="120">
        <v>123</v>
      </c>
      <c r="I118" t="s">
        <v>394</v>
      </c>
    </row>
    <row r="119" spans="1:9" ht="15" customHeight="1" x14ac:dyDescent="0.35">
      <c r="A119" s="207" t="s">
        <v>850</v>
      </c>
      <c r="B119" s="207" t="s">
        <v>737</v>
      </c>
      <c r="C119" s="33"/>
      <c r="D119" s="33"/>
      <c r="E119" s="33"/>
      <c r="F119" s="33"/>
      <c r="H119" s="120">
        <v>124</v>
      </c>
      <c r="I119" t="s">
        <v>395</v>
      </c>
    </row>
    <row r="120" spans="1:9" ht="15" customHeight="1" x14ac:dyDescent="0.35">
      <c r="A120" s="207" t="s">
        <v>851</v>
      </c>
      <c r="B120" s="207" t="s">
        <v>738</v>
      </c>
      <c r="C120" s="33"/>
      <c r="D120" s="33"/>
      <c r="E120" s="33"/>
      <c r="F120" s="33"/>
      <c r="H120" s="120">
        <v>125</v>
      </c>
      <c r="I120" t="s">
        <v>396</v>
      </c>
    </row>
    <row r="121" spans="1:9" ht="15" customHeight="1" x14ac:dyDescent="0.35">
      <c r="A121" s="207" t="s">
        <v>852</v>
      </c>
      <c r="B121" s="207" t="s">
        <v>739</v>
      </c>
      <c r="C121" s="33"/>
      <c r="D121" s="33"/>
      <c r="E121" s="33"/>
      <c r="F121" s="33"/>
      <c r="H121" s="120">
        <v>126</v>
      </c>
      <c r="I121" t="s">
        <v>397</v>
      </c>
    </row>
    <row r="122" spans="1:9" ht="15" customHeight="1" x14ac:dyDescent="0.35">
      <c r="A122" s="207" t="s">
        <v>853</v>
      </c>
      <c r="B122" s="207" t="s">
        <v>740</v>
      </c>
      <c r="C122" s="33"/>
      <c r="D122" s="33"/>
      <c r="E122" s="33"/>
      <c r="F122" s="33"/>
      <c r="H122" s="120">
        <v>127</v>
      </c>
      <c r="I122" t="s">
        <v>398</v>
      </c>
    </row>
    <row r="123" spans="1:9" ht="15" customHeight="1" x14ac:dyDescent="0.35">
      <c r="A123" s="207" t="s">
        <v>854</v>
      </c>
      <c r="B123" s="207" t="s">
        <v>741</v>
      </c>
      <c r="C123" s="33"/>
      <c r="D123" s="33"/>
      <c r="E123" s="33"/>
      <c r="F123" s="33"/>
      <c r="H123" s="120">
        <v>128</v>
      </c>
      <c r="I123" t="s">
        <v>399</v>
      </c>
    </row>
    <row r="124" spans="1:9" ht="15" customHeight="1" x14ac:dyDescent="0.35">
      <c r="A124" s="207" t="s">
        <v>855</v>
      </c>
      <c r="B124" s="207" t="s">
        <v>742</v>
      </c>
      <c r="C124" s="33"/>
      <c r="D124" s="33"/>
      <c r="E124" s="33"/>
      <c r="F124" s="33"/>
      <c r="H124" s="120">
        <v>129</v>
      </c>
      <c r="I124" t="s">
        <v>400</v>
      </c>
    </row>
    <row r="125" spans="1:9" ht="15" customHeight="1" x14ac:dyDescent="0.35">
      <c r="A125" s="207" t="s">
        <v>856</v>
      </c>
      <c r="B125" s="207" t="s">
        <v>743</v>
      </c>
      <c r="C125" s="33"/>
      <c r="D125" s="33"/>
      <c r="E125" s="33"/>
      <c r="F125" s="33"/>
      <c r="H125" s="120">
        <v>130</v>
      </c>
      <c r="I125" t="s">
        <v>401</v>
      </c>
    </row>
    <row r="126" spans="1:9" ht="15" customHeight="1" x14ac:dyDescent="0.35">
      <c r="A126" s="207" t="s">
        <v>857</v>
      </c>
      <c r="B126" s="207" t="s">
        <v>744</v>
      </c>
      <c r="C126" s="33"/>
      <c r="D126" s="33"/>
      <c r="E126" s="33"/>
      <c r="F126" s="33"/>
      <c r="H126" s="120">
        <v>131</v>
      </c>
      <c r="I126" t="s">
        <v>402</v>
      </c>
    </row>
    <row r="127" spans="1:9" ht="15" customHeight="1" x14ac:dyDescent="0.35">
      <c r="A127" s="207" t="s">
        <v>858</v>
      </c>
      <c r="B127" s="207" t="s">
        <v>745</v>
      </c>
      <c r="C127" s="33"/>
      <c r="D127" s="33"/>
      <c r="E127" s="33"/>
      <c r="F127" s="33"/>
    </row>
    <row r="128" spans="1:9" s="2" customFormat="1" ht="15" customHeight="1" x14ac:dyDescent="0.35">
      <c r="A128"/>
      <c r="B128"/>
      <c r="C128" s="33"/>
      <c r="D128" s="33"/>
      <c r="E128" s="33"/>
      <c r="F128" s="33"/>
    </row>
    <row r="129" spans="1:6" ht="15" customHeight="1" x14ac:dyDescent="0.35">
      <c r="A129" s="338" t="s">
        <v>746</v>
      </c>
      <c r="B129" s="338"/>
      <c r="C129" s="33"/>
      <c r="D129" s="33"/>
      <c r="E129" s="33"/>
      <c r="F129" s="33"/>
    </row>
    <row r="130" spans="1:6" ht="15.9" customHeight="1" x14ac:dyDescent="0.35">
      <c r="A130"/>
      <c r="C130" s="33"/>
      <c r="D130" s="33"/>
      <c r="E130" s="33"/>
      <c r="F130" s="33"/>
    </row>
    <row r="131" spans="1:6" x14ac:dyDescent="0.35">
      <c r="A131" s="336" t="s">
        <v>747</v>
      </c>
      <c r="B131" s="336"/>
      <c r="C131" s="33"/>
      <c r="D131" s="33"/>
      <c r="E131" s="33"/>
      <c r="F131" s="33"/>
    </row>
    <row r="132" spans="1:6" x14ac:dyDescent="0.35">
      <c r="A132" s="207" t="s">
        <v>859</v>
      </c>
      <c r="B132" s="207" t="s">
        <v>748</v>
      </c>
      <c r="C132" s="33"/>
      <c r="D132" s="33"/>
      <c r="E132" s="33"/>
      <c r="F132" s="33"/>
    </row>
    <row r="133" spans="1:6" x14ac:dyDescent="0.35">
      <c r="A133" s="207" t="s">
        <v>860</v>
      </c>
      <c r="B133" s="207" t="s">
        <v>749</v>
      </c>
      <c r="C133" s="33"/>
      <c r="D133" s="33"/>
      <c r="E133" s="33"/>
      <c r="F133" s="33"/>
    </row>
    <row r="134" spans="1:6" x14ac:dyDescent="0.35">
      <c r="A134" s="207" t="s">
        <v>861</v>
      </c>
      <c r="B134" s="207" t="s">
        <v>793</v>
      </c>
      <c r="C134" s="33"/>
      <c r="D134" s="33"/>
      <c r="E134" s="33"/>
      <c r="F134" s="33"/>
    </row>
    <row r="135" spans="1:6" x14ac:dyDescent="0.35">
      <c r="A135" s="207" t="s">
        <v>862</v>
      </c>
      <c r="B135" s="207" t="s">
        <v>794</v>
      </c>
      <c r="C135" s="33"/>
      <c r="D135" s="33"/>
      <c r="E135" s="33"/>
      <c r="F135" s="33"/>
    </row>
    <row r="136" spans="1:6" x14ac:dyDescent="0.35">
      <c r="A136" s="207" t="s">
        <v>863</v>
      </c>
      <c r="B136" s="207" t="s">
        <v>750</v>
      </c>
      <c r="C136" s="33"/>
      <c r="D136" s="33"/>
      <c r="E136" s="33"/>
      <c r="F136" s="33"/>
    </row>
    <row r="137" spans="1:6" x14ac:dyDescent="0.35">
      <c r="A137" s="207" t="s">
        <v>864</v>
      </c>
      <c r="B137" s="207" t="s">
        <v>751</v>
      </c>
      <c r="C137" s="33"/>
      <c r="D137" s="33"/>
      <c r="E137" s="33"/>
      <c r="F137" s="33"/>
    </row>
    <row r="138" spans="1:6" x14ac:dyDescent="0.35">
      <c r="A138" s="207" t="s">
        <v>865</v>
      </c>
      <c r="B138" s="207" t="s">
        <v>752</v>
      </c>
      <c r="C138" s="33"/>
      <c r="D138" s="33"/>
      <c r="E138" s="33"/>
      <c r="F138" s="33"/>
    </row>
    <row r="139" spans="1:6" x14ac:dyDescent="0.35">
      <c r="A139" s="207" t="s">
        <v>866</v>
      </c>
      <c r="B139" s="207" t="s">
        <v>753</v>
      </c>
      <c r="C139" s="33"/>
      <c r="D139" s="33"/>
      <c r="E139" s="33"/>
      <c r="F139" s="33"/>
    </row>
    <row r="140" spans="1:6" x14ac:dyDescent="0.35">
      <c r="A140" s="207" t="s">
        <v>867</v>
      </c>
      <c r="B140" s="207" t="s">
        <v>754</v>
      </c>
      <c r="C140" s="33"/>
      <c r="D140" s="33"/>
      <c r="E140" s="33"/>
      <c r="F140" s="33"/>
    </row>
    <row r="141" spans="1:6" x14ac:dyDescent="0.35">
      <c r="A141" s="207" t="s">
        <v>868</v>
      </c>
      <c r="B141" s="207" t="s">
        <v>755</v>
      </c>
      <c r="C141" s="33"/>
      <c r="D141" s="33"/>
      <c r="E141" s="33"/>
      <c r="F141" s="33"/>
    </row>
    <row r="142" spans="1:6" x14ac:dyDescent="0.35">
      <c r="A142"/>
      <c r="C142" s="33"/>
      <c r="D142" s="33"/>
      <c r="E142" s="33"/>
      <c r="F142" s="33"/>
    </row>
    <row r="143" spans="1:6" x14ac:dyDescent="0.35">
      <c r="A143" s="336" t="s">
        <v>756</v>
      </c>
      <c r="B143" s="336"/>
      <c r="C143" s="33"/>
      <c r="D143" s="33"/>
      <c r="E143" s="33"/>
      <c r="F143" s="33"/>
    </row>
    <row r="144" spans="1:6" x14ac:dyDescent="0.35">
      <c r="A144" s="207" t="s">
        <v>869</v>
      </c>
      <c r="B144" s="207" t="s">
        <v>795</v>
      </c>
      <c r="C144" s="33"/>
      <c r="D144" s="33"/>
      <c r="E144" s="33"/>
      <c r="F144" s="33"/>
    </row>
    <row r="145" spans="1:13" x14ac:dyDescent="0.35">
      <c r="A145" s="207" t="s">
        <v>870</v>
      </c>
      <c r="B145" s="207" t="s">
        <v>757</v>
      </c>
      <c r="C145" s="33"/>
      <c r="D145" s="33"/>
      <c r="E145" s="33"/>
      <c r="F145" s="33"/>
    </row>
    <row r="146" spans="1:13" x14ac:dyDescent="0.35">
      <c r="A146" s="207" t="s">
        <v>871</v>
      </c>
      <c r="B146" s="207" t="s">
        <v>796</v>
      </c>
      <c r="C146" s="33"/>
      <c r="D146" s="33"/>
      <c r="E146" s="33"/>
      <c r="F146" s="33"/>
    </row>
    <row r="147" spans="1:13" x14ac:dyDescent="0.35">
      <c r="A147" s="207" t="s">
        <v>872</v>
      </c>
      <c r="B147" s="207" t="s">
        <v>797</v>
      </c>
      <c r="C147" s="33"/>
      <c r="D147" s="33"/>
      <c r="E147" s="33"/>
      <c r="F147" s="33"/>
    </row>
    <row r="148" spans="1:13" x14ac:dyDescent="0.35">
      <c r="A148" s="207" t="s">
        <v>873</v>
      </c>
      <c r="B148" s="207" t="s">
        <v>758</v>
      </c>
      <c r="C148" s="33"/>
      <c r="D148" s="33"/>
      <c r="E148" s="33"/>
      <c r="F148" s="33"/>
    </row>
    <row r="149" spans="1:13" x14ac:dyDescent="0.35">
      <c r="A149" s="207" t="s">
        <v>874</v>
      </c>
      <c r="B149" s="207" t="s">
        <v>759</v>
      </c>
      <c r="C149" s="33"/>
      <c r="D149" s="33"/>
      <c r="E149" s="33"/>
      <c r="F149" s="33"/>
    </row>
    <row r="150" spans="1:13" x14ac:dyDescent="0.35">
      <c r="A150" s="207" t="s">
        <v>875</v>
      </c>
      <c r="B150" s="207" t="s">
        <v>760</v>
      </c>
      <c r="C150" s="33"/>
      <c r="D150" s="33"/>
      <c r="E150" s="33"/>
      <c r="F150" s="33"/>
    </row>
    <row r="151" spans="1:13" s="2" customFormat="1" hidden="1" x14ac:dyDescent="0.35">
      <c r="A151" s="207" t="s">
        <v>876</v>
      </c>
      <c r="B151" s="207" t="s">
        <v>761</v>
      </c>
      <c r="C151" s="33"/>
      <c r="D151" s="33">
        <f t="shared" ref="D151:M151" si="0">COUNTA(D4:D149)</f>
        <v>0</v>
      </c>
      <c r="E151" s="33">
        <f t="shared" si="0"/>
        <v>0</v>
      </c>
      <c r="F151" s="33">
        <f t="shared" si="0"/>
        <v>0</v>
      </c>
      <c r="G151" s="128">
        <f t="shared" si="0"/>
        <v>0</v>
      </c>
      <c r="H151" s="128">
        <f t="shared" si="0"/>
        <v>123</v>
      </c>
      <c r="I151" s="128">
        <f t="shared" si="0"/>
        <v>123</v>
      </c>
      <c r="J151" s="128">
        <f t="shared" si="0"/>
        <v>0</v>
      </c>
      <c r="K151" s="128">
        <f t="shared" si="0"/>
        <v>0</v>
      </c>
      <c r="L151" s="128">
        <f t="shared" si="0"/>
        <v>0</v>
      </c>
      <c r="M151" s="128">
        <f t="shared" si="0"/>
        <v>0</v>
      </c>
    </row>
    <row r="152" spans="1:13" x14ac:dyDescent="0.35">
      <c r="A152" s="207" t="s">
        <v>877</v>
      </c>
      <c r="B152" s="207" t="s">
        <v>762</v>
      </c>
      <c r="C152" s="33"/>
      <c r="D152" s="33"/>
      <c r="E152" s="33"/>
      <c r="F152" s="33"/>
    </row>
    <row r="153" spans="1:13" x14ac:dyDescent="0.35">
      <c r="A153" s="207" t="s">
        <v>878</v>
      </c>
      <c r="B153" s="207" t="s">
        <v>763</v>
      </c>
      <c r="C153" s="33"/>
      <c r="D153" s="33"/>
      <c r="E153" s="33"/>
      <c r="F153" s="33"/>
    </row>
    <row r="154" spans="1:13" x14ac:dyDescent="0.35">
      <c r="A154"/>
      <c r="C154" s="33"/>
      <c r="D154" s="33"/>
      <c r="E154" s="33"/>
      <c r="F154" s="33"/>
    </row>
    <row r="155" spans="1:13" x14ac:dyDescent="0.35">
      <c r="A155" s="336" t="s">
        <v>764</v>
      </c>
      <c r="B155" s="336"/>
      <c r="C155" s="33"/>
      <c r="D155" s="33"/>
      <c r="E155" s="33"/>
      <c r="F155" s="33"/>
    </row>
    <row r="156" spans="1:13" x14ac:dyDescent="0.35">
      <c r="A156" s="207" t="s">
        <v>879</v>
      </c>
      <c r="B156" s="207" t="s">
        <v>798</v>
      </c>
      <c r="C156" s="33"/>
      <c r="D156" s="33"/>
      <c r="E156" s="33"/>
      <c r="F156" s="33"/>
    </row>
    <row r="157" spans="1:13" x14ac:dyDescent="0.35">
      <c r="A157" s="207" t="s">
        <v>880</v>
      </c>
      <c r="B157" s="207" t="s">
        <v>799</v>
      </c>
      <c r="C157" s="33"/>
      <c r="D157" s="33"/>
      <c r="E157" s="33"/>
      <c r="F157" s="33"/>
    </row>
    <row r="158" spans="1:13" x14ac:dyDescent="0.35">
      <c r="A158" s="207" t="s">
        <v>881</v>
      </c>
      <c r="B158" s="207" t="s">
        <v>800</v>
      </c>
      <c r="C158" s="33"/>
      <c r="D158" s="33"/>
      <c r="E158" s="33"/>
      <c r="F158" s="33"/>
    </row>
    <row r="159" spans="1:13" x14ac:dyDescent="0.35">
      <c r="A159"/>
      <c r="C159" s="33"/>
      <c r="D159" s="33"/>
      <c r="E159" s="33"/>
      <c r="F159" s="33"/>
    </row>
    <row r="160" spans="1:13" x14ac:dyDescent="0.35">
      <c r="A160" s="336" t="s">
        <v>801</v>
      </c>
      <c r="B160" s="336"/>
      <c r="C160" s="33"/>
      <c r="D160" s="33"/>
      <c r="E160" s="33"/>
      <c r="F160" s="33"/>
    </row>
    <row r="161" spans="1:6" x14ac:dyDescent="0.35">
      <c r="A161" s="207" t="s">
        <v>882</v>
      </c>
      <c r="B161" s="207" t="s">
        <v>765</v>
      </c>
      <c r="C161" s="33"/>
      <c r="D161" s="33"/>
      <c r="E161" s="33"/>
      <c r="F161" s="33"/>
    </row>
    <row r="162" spans="1:6" x14ac:dyDescent="0.35">
      <c r="A162" s="207" t="s">
        <v>883</v>
      </c>
      <c r="B162" s="207" t="s">
        <v>766</v>
      </c>
      <c r="C162" s="33"/>
      <c r="D162" s="33"/>
      <c r="E162" s="33"/>
      <c r="F162" s="33"/>
    </row>
    <row r="163" spans="1:6" x14ac:dyDescent="0.35">
      <c r="A163" s="207" t="s">
        <v>884</v>
      </c>
      <c r="B163" s="207" t="s">
        <v>767</v>
      </c>
      <c r="C163" s="33"/>
      <c r="D163" s="33"/>
      <c r="E163" s="33"/>
      <c r="F163" s="33"/>
    </row>
    <row r="164" spans="1:6" x14ac:dyDescent="0.35">
      <c r="A164" s="207" t="s">
        <v>885</v>
      </c>
      <c r="B164" s="207" t="s">
        <v>768</v>
      </c>
      <c r="C164" s="33"/>
      <c r="D164" s="33"/>
      <c r="E164" s="33"/>
      <c r="F164" s="33"/>
    </row>
    <row r="165" spans="1:6" x14ac:dyDescent="0.35">
      <c r="A165" s="207" t="s">
        <v>886</v>
      </c>
      <c r="B165" s="207" t="s">
        <v>769</v>
      </c>
      <c r="C165" s="33"/>
      <c r="D165" s="33"/>
      <c r="E165" s="33"/>
      <c r="F165" s="33"/>
    </row>
    <row r="166" spans="1:6" x14ac:dyDescent="0.35">
      <c r="A166" s="207" t="s">
        <v>887</v>
      </c>
      <c r="B166" s="207" t="s">
        <v>770</v>
      </c>
      <c r="C166" s="33"/>
      <c r="D166" s="33"/>
      <c r="E166" s="33"/>
      <c r="F166" s="33"/>
    </row>
    <row r="167" spans="1:6" x14ac:dyDescent="0.35">
      <c r="A167"/>
      <c r="C167" s="33"/>
      <c r="D167" s="33"/>
      <c r="E167" s="33"/>
      <c r="F167" s="33"/>
    </row>
    <row r="168" spans="1:6" x14ac:dyDescent="0.35">
      <c r="A168" s="336" t="s">
        <v>771</v>
      </c>
      <c r="B168" s="336"/>
      <c r="C168" s="33"/>
      <c r="D168" s="33"/>
      <c r="E168" s="33"/>
      <c r="F168" s="33"/>
    </row>
    <row r="169" spans="1:6" x14ac:dyDescent="0.35">
      <c r="A169" s="207" t="s">
        <v>888</v>
      </c>
      <c r="B169" s="207" t="s">
        <v>772</v>
      </c>
      <c r="C169" s="33"/>
      <c r="D169" s="33"/>
      <c r="E169" s="33"/>
      <c r="F169" s="33"/>
    </row>
    <row r="170" spans="1:6" x14ac:dyDescent="0.35">
      <c r="A170" s="207" t="s">
        <v>889</v>
      </c>
      <c r="B170" s="207" t="s">
        <v>773</v>
      </c>
      <c r="C170" s="33"/>
      <c r="D170" s="33"/>
      <c r="E170" s="33"/>
      <c r="F170" s="33"/>
    </row>
    <row r="171" spans="1:6" x14ac:dyDescent="0.35">
      <c r="A171" s="207" t="s">
        <v>890</v>
      </c>
      <c r="B171" s="207" t="s">
        <v>774</v>
      </c>
      <c r="C171" s="33"/>
      <c r="D171" s="33"/>
      <c r="E171" s="33"/>
      <c r="F171" s="33"/>
    </row>
    <row r="172" spans="1:6" x14ac:dyDescent="0.35">
      <c r="A172" s="207" t="s">
        <v>891</v>
      </c>
      <c r="B172" s="207" t="s">
        <v>775</v>
      </c>
      <c r="C172" s="33"/>
      <c r="D172" s="33"/>
      <c r="E172" s="33"/>
      <c r="F172" s="33"/>
    </row>
    <row r="173" spans="1:6" x14ac:dyDescent="0.35">
      <c r="A173" s="207" t="s">
        <v>892</v>
      </c>
      <c r="B173" s="207" t="s">
        <v>776</v>
      </c>
      <c r="C173" s="33"/>
      <c r="D173" s="33"/>
      <c r="E173" s="33"/>
      <c r="F173" s="33"/>
    </row>
    <row r="174" spans="1:6" x14ac:dyDescent="0.35">
      <c r="A174" s="207" t="s">
        <v>893</v>
      </c>
      <c r="B174" s="207" t="s">
        <v>777</v>
      </c>
      <c r="C174" s="33"/>
      <c r="D174" s="33"/>
      <c r="E174" s="33"/>
      <c r="F174" s="33"/>
    </row>
    <row r="175" spans="1:6" x14ac:dyDescent="0.35">
      <c r="A175" s="207" t="s">
        <v>894</v>
      </c>
      <c r="B175" s="207" t="s">
        <v>778</v>
      </c>
      <c r="C175" s="33"/>
      <c r="D175" s="33"/>
      <c r="E175" s="33"/>
      <c r="F175" s="33"/>
    </row>
    <row r="176" spans="1:6" x14ac:dyDescent="0.35">
      <c r="A176"/>
      <c r="C176" s="33"/>
      <c r="D176" s="33"/>
      <c r="E176" s="33"/>
      <c r="F176" s="33"/>
    </row>
    <row r="177" spans="1:6" x14ac:dyDescent="0.35">
      <c r="A177" s="336" t="s">
        <v>779</v>
      </c>
      <c r="B177" s="336"/>
      <c r="C177" s="33"/>
      <c r="D177" s="33"/>
      <c r="E177" s="33"/>
      <c r="F177" s="33"/>
    </row>
    <row r="178" spans="1:6" x14ac:dyDescent="0.35">
      <c r="A178" s="207" t="s">
        <v>895</v>
      </c>
      <c r="B178" s="207" t="s">
        <v>780</v>
      </c>
      <c r="C178" s="33"/>
      <c r="D178" s="33"/>
      <c r="E178" s="33"/>
      <c r="F178" s="33"/>
    </row>
    <row r="179" spans="1:6" x14ac:dyDescent="0.35">
      <c r="A179" s="207" t="s">
        <v>896</v>
      </c>
      <c r="B179" s="207" t="s">
        <v>781</v>
      </c>
      <c r="C179" s="33"/>
      <c r="D179" s="33"/>
      <c r="E179" s="33"/>
      <c r="F179" s="33"/>
    </row>
    <row r="180" spans="1:6" x14ac:dyDescent="0.35">
      <c r="A180" s="207" t="s">
        <v>897</v>
      </c>
      <c r="B180" s="207" t="s">
        <v>782</v>
      </c>
      <c r="C180" s="33"/>
      <c r="D180" s="33"/>
      <c r="E180" s="33"/>
      <c r="F180" s="33"/>
    </row>
    <row r="181" spans="1:6" x14ac:dyDescent="0.35">
      <c r="A181" s="207" t="s">
        <v>898</v>
      </c>
      <c r="B181" s="207" t="s">
        <v>802</v>
      </c>
      <c r="C181" s="33"/>
      <c r="D181" s="33"/>
      <c r="E181" s="33"/>
      <c r="F181" s="33"/>
    </row>
    <row r="182" spans="1:6" x14ac:dyDescent="0.35">
      <c r="A182" s="207" t="s">
        <v>899</v>
      </c>
      <c r="B182" s="207" t="s">
        <v>783</v>
      </c>
      <c r="C182" s="33"/>
      <c r="D182" s="33"/>
      <c r="E182" s="33"/>
      <c r="F182" s="33"/>
    </row>
    <row r="183" spans="1:6" x14ac:dyDescent="0.35">
      <c r="A183" s="207" t="s">
        <v>900</v>
      </c>
      <c r="B183" s="207" t="s">
        <v>784</v>
      </c>
      <c r="C183" s="33"/>
      <c r="D183" s="33"/>
      <c r="E183" s="33"/>
      <c r="F183" s="33"/>
    </row>
    <row r="184" spans="1:6" x14ac:dyDescent="0.35">
      <c r="A184" s="207" t="s">
        <v>901</v>
      </c>
      <c r="B184" s="207" t="s">
        <v>785</v>
      </c>
      <c r="C184" s="33"/>
      <c r="D184" s="33"/>
      <c r="E184" s="33"/>
      <c r="F184" s="33"/>
    </row>
    <row r="185" spans="1:6" x14ac:dyDescent="0.35">
      <c r="A185" s="207" t="s">
        <v>902</v>
      </c>
      <c r="B185" s="207" t="s">
        <v>786</v>
      </c>
      <c r="C185" s="33"/>
      <c r="D185" s="33"/>
      <c r="E185" s="33"/>
      <c r="F185" s="33"/>
    </row>
    <row r="186" spans="1:6" x14ac:dyDescent="0.35">
      <c r="A186" s="207" t="s">
        <v>903</v>
      </c>
      <c r="B186" s="207" t="s">
        <v>787</v>
      </c>
      <c r="C186" s="33"/>
      <c r="D186" s="33"/>
      <c r="E186" s="33"/>
      <c r="F186" s="33"/>
    </row>
    <row r="187" spans="1:6" x14ac:dyDescent="0.35">
      <c r="A187" s="207" t="s">
        <v>904</v>
      </c>
      <c r="B187" s="207" t="s">
        <v>788</v>
      </c>
      <c r="C187" s="33"/>
      <c r="D187" s="33"/>
      <c r="E187" s="33"/>
      <c r="F187" s="33"/>
    </row>
    <row r="188" spans="1:6" x14ac:dyDescent="0.35">
      <c r="A188" s="207" t="s">
        <v>905</v>
      </c>
      <c r="B188" s="207" t="s">
        <v>811</v>
      </c>
      <c r="C188" s="33"/>
      <c r="D188" s="33"/>
      <c r="E188" s="33"/>
      <c r="F188" s="33"/>
    </row>
  </sheetData>
  <conditionalFormatting sqref="C4 C5:F188">
    <cfRule type="cellIs" dxfId="1736" priority="15" operator="lessThan">
      <formula>5</formula>
    </cfRule>
  </conditionalFormatting>
  <conditionalFormatting sqref="D4">
    <cfRule type="cellIs" dxfId="1735" priority="7" operator="lessThan">
      <formula>5</formula>
    </cfRule>
  </conditionalFormatting>
  <conditionalFormatting sqref="E4">
    <cfRule type="cellIs" dxfId="1734" priority="6" operator="lessThan">
      <formula>5</formula>
    </cfRule>
  </conditionalFormatting>
  <conditionalFormatting sqref="F4">
    <cfRule type="cellIs" dxfId="1733" priority="5" operator="lessThan">
      <formula>5</formula>
    </cfRule>
  </conditionalFormatting>
  <dataValidations disablePrompts="1" count="1">
    <dataValidation type="list" allowBlank="1" showInputMessage="1" showErrorMessage="1" sqref="O2" xr:uid="{00000000-0002-0000-0200-000000000000}">
      <formula1>CurrencyRange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">
                <anchor moveWithCells="1" sizeWithCells="1">
                  <from>
                    <xdr:col>0</xdr:col>
                    <xdr:colOff>63500</xdr:colOff>
                    <xdr:row>0</xdr:row>
                    <xdr:rowOff>63500</xdr:rowOff>
                  </from>
                  <to>
                    <xdr:col>0</xdr:col>
                    <xdr:colOff>806450</xdr:colOff>
                    <xdr:row>0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PasteKPICount">
                <anchor moveWithCells="1" sizeWithCells="1">
                  <from>
                    <xdr:col>2</xdr:col>
                    <xdr:colOff>260350</xdr:colOff>
                    <xdr:row>1</xdr:row>
                    <xdr:rowOff>82550</xdr:rowOff>
                  </from>
                  <to>
                    <xdr:col>5</xdr:col>
                    <xdr:colOff>863600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P195"/>
  <sheetViews>
    <sheetView showGridLines="0" tabSelected="1" zoomScale="70" zoomScaleNormal="70" workbookViewId="0">
      <pane ySplit="6" topLeftCell="A7" activePane="bottomLeft" state="frozen"/>
      <selection activeCell="E10" sqref="E10"/>
      <selection pane="bottomLeft" activeCell="A6" sqref="A6"/>
    </sheetView>
  </sheetViews>
  <sheetFormatPr defaultColWidth="9.08984375" defaultRowHeight="14.5" zeroHeight="1" outlineLevelRow="1" outlineLevelCol="1" x14ac:dyDescent="0.35"/>
  <cols>
    <col min="1" max="3" width="12.54296875" customWidth="1"/>
    <col min="4" max="4" width="1.54296875" customWidth="1"/>
    <col min="5" max="5" width="7.08984375" customWidth="1"/>
    <col min="6" max="6" width="60.36328125" customWidth="1"/>
    <col min="7" max="7" width="17.08984375" customWidth="1"/>
    <col min="8" max="8" width="20" customWidth="1" outlineLevel="1"/>
    <col min="9" max="9" width="34" customWidth="1" outlineLevel="1"/>
    <col min="10" max="11" width="12.6328125" customWidth="1" outlineLevel="1"/>
    <col min="12" max="110" width="11.6328125" customWidth="1" outlineLevel="1"/>
    <col min="111" max="111" width="7" customWidth="1" outlineLevel="1"/>
    <col min="112" max="117" width="16.54296875" customWidth="1" outlineLevel="1"/>
    <col min="118" max="118" width="7" customWidth="1" outlineLevel="1"/>
    <col min="119" max="124" width="16.54296875" customWidth="1" outlineLevel="1"/>
    <col min="125" max="125" width="7" customWidth="1" outlineLevel="1"/>
    <col min="126" max="131" width="16.54296875" customWidth="1" outlineLevel="1"/>
    <col min="132" max="132" width="7" customWidth="1" outlineLevel="1"/>
    <col min="133" max="138" width="16.08984375" customWidth="1" outlineLevel="1"/>
    <col min="139" max="139" width="25.90625" customWidth="1"/>
    <col min="140" max="240" width="15.6328125" customWidth="1"/>
    <col min="241" max="241" width="16.36328125" style="322" customWidth="1"/>
    <col min="242" max="242" width="13" style="1" customWidth="1"/>
    <col min="243" max="246" width="17" style="1" customWidth="1"/>
    <col min="247" max="247" width="16.36328125" style="322" customWidth="1"/>
    <col min="248" max="248" width="13" style="1" customWidth="1"/>
    <col min="249" max="252" width="17" style="1" customWidth="1"/>
    <col min="253" max="253" width="16.36328125" style="322" customWidth="1"/>
    <col min="254" max="254" width="13" style="1" customWidth="1"/>
    <col min="255" max="258" width="17" style="1" customWidth="1"/>
    <col min="259" max="259" width="16.36328125" style="322" customWidth="1"/>
    <col min="260" max="260" width="13" style="1" customWidth="1"/>
    <col min="261" max="263" width="17" style="1" customWidth="1"/>
    <col min="264" max="264" width="17" style="323" customWidth="1"/>
    <col min="265" max="265" width="1.6328125" customWidth="1"/>
    <col min="266" max="271" width="9" customWidth="1"/>
    <col min="272" max="272" width="10.54296875" customWidth="1"/>
    <col min="273" max="273" width="15.90625" customWidth="1"/>
    <col min="274" max="274" width="14.90625" customWidth="1"/>
    <col min="275" max="275" width="10.54296875" customWidth="1"/>
  </cols>
  <sheetData>
    <row r="1" spans="1:276" s="12" customFormat="1" x14ac:dyDescent="0.35">
      <c r="A1" s="141" t="s">
        <v>403</v>
      </c>
      <c r="B1" s="55"/>
      <c r="C1" s="55"/>
      <c r="E1" s="55"/>
      <c r="F1" s="141" t="s">
        <v>403</v>
      </c>
      <c r="I1" s="14"/>
      <c r="DH1" s="55"/>
      <c r="DI1" s="55"/>
      <c r="DJ1" s="55"/>
      <c r="DK1" s="55"/>
      <c r="DL1" s="55"/>
      <c r="DM1" s="55"/>
      <c r="DN1" s="55"/>
      <c r="DO1" s="55"/>
      <c r="DP1" s="55"/>
      <c r="DQ1" s="55"/>
      <c r="DR1" s="55"/>
      <c r="DS1" s="55"/>
      <c r="DT1" s="55"/>
      <c r="DU1" s="55"/>
      <c r="DV1" s="55"/>
      <c r="DW1" s="55"/>
      <c r="DX1" s="55"/>
      <c r="DY1" s="55"/>
      <c r="DZ1" s="55"/>
      <c r="EA1" s="55"/>
      <c r="EB1" s="55"/>
      <c r="EC1" s="55"/>
      <c r="ED1" s="55"/>
      <c r="EE1" s="55"/>
      <c r="EF1" s="55"/>
      <c r="EG1" s="55"/>
      <c r="EH1" s="55"/>
      <c r="IG1" s="295"/>
      <c r="IH1" s="296"/>
      <c r="II1" s="296"/>
      <c r="IJ1" s="296"/>
      <c r="IK1" s="296"/>
      <c r="IL1" s="296"/>
      <c r="IM1" s="295"/>
      <c r="IN1" s="296"/>
      <c r="IO1" s="296"/>
      <c r="IP1" s="296"/>
      <c r="IQ1" s="296"/>
      <c r="IR1" s="296"/>
      <c r="IS1" s="295"/>
      <c r="IT1" s="296"/>
      <c r="IU1" s="296"/>
      <c r="IV1" s="296"/>
      <c r="IW1" s="296"/>
      <c r="IX1" s="296"/>
      <c r="IY1" s="295"/>
      <c r="IZ1" s="296"/>
      <c r="JA1" s="296"/>
      <c r="JB1" s="296"/>
      <c r="JC1" s="296"/>
      <c r="JD1" s="297"/>
      <c r="JF1" s="64"/>
      <c r="JG1" s="65"/>
      <c r="JH1" s="64"/>
      <c r="JI1" s="64"/>
      <c r="JJ1" s="64"/>
      <c r="JK1" s="55"/>
      <c r="JL1" s="69"/>
      <c r="JM1" s="69"/>
      <c r="JN1" s="69"/>
      <c r="JO1" s="69"/>
      <c r="JP1" s="70"/>
    </row>
    <row r="2" spans="1:276" s="15" customFormat="1" x14ac:dyDescent="0.35">
      <c r="A2" s="56"/>
      <c r="B2" s="56"/>
      <c r="C2" s="56"/>
      <c r="E2" s="63"/>
      <c r="F2" s="62"/>
      <c r="G2" s="63"/>
      <c r="I2" s="16"/>
      <c r="J2" s="56">
        <v>3</v>
      </c>
      <c r="K2" s="15">
        <v>4</v>
      </c>
      <c r="L2" s="56">
        <v>5</v>
      </c>
      <c r="M2" s="15">
        <v>6</v>
      </c>
      <c r="N2" s="56">
        <v>7</v>
      </c>
      <c r="O2" s="15">
        <v>8</v>
      </c>
      <c r="P2" s="56">
        <v>9</v>
      </c>
      <c r="Q2" s="15">
        <v>10</v>
      </c>
      <c r="R2" s="56">
        <v>11</v>
      </c>
      <c r="S2" s="15">
        <v>12</v>
      </c>
      <c r="T2" s="56">
        <v>13</v>
      </c>
      <c r="U2" s="15">
        <v>14</v>
      </c>
      <c r="V2" s="56">
        <v>15</v>
      </c>
      <c r="W2" s="15">
        <v>16</v>
      </c>
      <c r="X2" s="56">
        <v>17</v>
      </c>
      <c r="Y2" s="15">
        <v>18</v>
      </c>
      <c r="Z2" s="56">
        <v>19</v>
      </c>
      <c r="AA2" s="15">
        <v>20</v>
      </c>
      <c r="AB2" s="56">
        <v>21</v>
      </c>
      <c r="AC2" s="15">
        <v>22</v>
      </c>
      <c r="AD2" s="56">
        <v>23</v>
      </c>
      <c r="AE2" s="15">
        <v>24</v>
      </c>
      <c r="AF2" s="56">
        <v>25</v>
      </c>
      <c r="AG2" s="15">
        <v>26</v>
      </c>
      <c r="AH2" s="56">
        <v>27</v>
      </c>
      <c r="AI2" s="15">
        <v>28</v>
      </c>
      <c r="AJ2" s="56">
        <v>29</v>
      </c>
      <c r="AK2" s="15">
        <v>30</v>
      </c>
      <c r="AL2" s="56">
        <v>31</v>
      </c>
      <c r="AM2" s="15">
        <v>32</v>
      </c>
      <c r="AN2" s="56">
        <v>33</v>
      </c>
      <c r="AO2" s="15">
        <v>34</v>
      </c>
      <c r="AP2" s="56">
        <v>35</v>
      </c>
      <c r="AQ2" s="15">
        <v>36</v>
      </c>
      <c r="AR2" s="56">
        <v>37</v>
      </c>
      <c r="AS2" s="15">
        <v>38</v>
      </c>
      <c r="AT2" s="56">
        <v>39</v>
      </c>
      <c r="AU2" s="15">
        <v>40</v>
      </c>
      <c r="AV2" s="56">
        <v>41</v>
      </c>
      <c r="AW2" s="15">
        <v>42</v>
      </c>
      <c r="AX2" s="56">
        <v>43</v>
      </c>
      <c r="AY2" s="15">
        <v>44</v>
      </c>
      <c r="AZ2" s="56">
        <v>45</v>
      </c>
      <c r="BA2" s="15">
        <v>46</v>
      </c>
      <c r="BB2" s="56">
        <v>47</v>
      </c>
      <c r="BC2" s="15">
        <v>48</v>
      </c>
      <c r="BD2" s="56">
        <v>49</v>
      </c>
      <c r="BE2" s="15">
        <v>50</v>
      </c>
      <c r="BF2" s="56">
        <v>51</v>
      </c>
      <c r="BG2" s="15">
        <v>52</v>
      </c>
      <c r="BH2" s="56">
        <v>53</v>
      </c>
      <c r="BI2" s="15">
        <v>54</v>
      </c>
      <c r="BJ2" s="56">
        <v>55</v>
      </c>
      <c r="BK2" s="15">
        <v>56</v>
      </c>
      <c r="BL2" s="56">
        <v>57</v>
      </c>
      <c r="BM2" s="15">
        <v>58</v>
      </c>
      <c r="BN2" s="56">
        <v>59</v>
      </c>
      <c r="BO2" s="15">
        <v>60</v>
      </c>
      <c r="BP2" s="56">
        <v>61</v>
      </c>
      <c r="BQ2" s="15">
        <v>62</v>
      </c>
      <c r="BR2" s="56">
        <v>63</v>
      </c>
      <c r="BS2" s="15">
        <v>64</v>
      </c>
      <c r="BT2" s="56">
        <v>65</v>
      </c>
      <c r="BU2" s="15">
        <v>66</v>
      </c>
      <c r="BV2" s="56">
        <v>67</v>
      </c>
      <c r="BW2" s="15">
        <v>68</v>
      </c>
      <c r="BX2" s="56">
        <v>69</v>
      </c>
      <c r="BY2" s="15">
        <v>70</v>
      </c>
      <c r="BZ2" s="56">
        <v>71</v>
      </c>
      <c r="CA2" s="15">
        <v>72</v>
      </c>
      <c r="CB2" s="56">
        <v>73</v>
      </c>
      <c r="CC2" s="15">
        <v>74</v>
      </c>
      <c r="CD2" s="56">
        <v>75</v>
      </c>
      <c r="CE2" s="15">
        <v>76</v>
      </c>
      <c r="CF2" s="56">
        <v>77</v>
      </c>
      <c r="CG2" s="15">
        <v>78</v>
      </c>
      <c r="CH2" s="56">
        <v>79</v>
      </c>
      <c r="CI2" s="15">
        <v>80</v>
      </c>
      <c r="CJ2" s="56">
        <v>81</v>
      </c>
      <c r="CK2" s="15">
        <v>82</v>
      </c>
      <c r="CL2" s="56">
        <v>83</v>
      </c>
      <c r="CM2" s="15">
        <v>84</v>
      </c>
      <c r="CN2" s="56">
        <v>85</v>
      </c>
      <c r="CO2" s="15">
        <v>86</v>
      </c>
      <c r="CP2" s="56">
        <v>87</v>
      </c>
      <c r="CQ2" s="15">
        <v>88</v>
      </c>
      <c r="CR2" s="56">
        <v>89</v>
      </c>
      <c r="CS2" s="15">
        <v>90</v>
      </c>
      <c r="CT2" s="56">
        <v>91</v>
      </c>
      <c r="CU2" s="15">
        <v>92</v>
      </c>
      <c r="CV2" s="56">
        <v>93</v>
      </c>
      <c r="CW2" s="15">
        <v>94</v>
      </c>
      <c r="CX2" s="56">
        <v>95</v>
      </c>
      <c r="CY2" s="15">
        <v>96</v>
      </c>
      <c r="CZ2" s="56">
        <v>97</v>
      </c>
      <c r="DA2" s="15">
        <v>98</v>
      </c>
      <c r="DB2" s="56">
        <v>99</v>
      </c>
      <c r="DC2" s="15">
        <v>100</v>
      </c>
      <c r="DD2" s="56">
        <v>101</v>
      </c>
      <c r="DE2" s="15">
        <v>102</v>
      </c>
      <c r="DF2" s="56">
        <v>103</v>
      </c>
      <c r="DH2" s="56"/>
      <c r="DI2" s="56"/>
      <c r="DJ2" s="56"/>
      <c r="DK2" s="56"/>
      <c r="DL2" s="56"/>
      <c r="DM2" s="56"/>
      <c r="DN2" s="56"/>
      <c r="DO2" s="56"/>
      <c r="DP2" s="56"/>
      <c r="DQ2" s="56"/>
      <c r="DR2" s="56"/>
      <c r="DS2" s="56"/>
      <c r="DT2" s="56"/>
      <c r="DU2" s="56"/>
      <c r="DV2" s="56"/>
      <c r="DW2" s="56"/>
      <c r="DX2" s="56"/>
      <c r="DY2" s="56"/>
      <c r="DZ2" s="56"/>
      <c r="EA2" s="56"/>
      <c r="EB2" s="56"/>
      <c r="EC2" s="56"/>
      <c r="ED2" s="56"/>
      <c r="EE2" s="56"/>
      <c r="EF2" s="56"/>
      <c r="EG2" s="56"/>
      <c r="EH2" s="56"/>
      <c r="EJ2" s="63" t="str">
        <f>VLOOKUP(XCurrency,XCURRSIGN,2,0)</f>
        <v>$</v>
      </c>
      <c r="IG2" s="298"/>
      <c r="IH2" s="56"/>
      <c r="II2" s="56"/>
      <c r="IJ2" s="56"/>
      <c r="IK2" s="56"/>
      <c r="IL2" s="56"/>
      <c r="IM2" s="298"/>
      <c r="IN2" s="56"/>
      <c r="IO2" s="56"/>
      <c r="IP2" s="56"/>
      <c r="IQ2" s="56"/>
      <c r="IR2" s="56"/>
      <c r="IS2" s="298"/>
      <c r="IT2" s="56"/>
      <c r="IU2" s="56"/>
      <c r="IV2" s="56"/>
      <c r="IW2" s="56"/>
      <c r="IX2" s="56"/>
      <c r="IY2" s="298"/>
      <c r="IZ2" s="56"/>
      <c r="JA2" s="56"/>
      <c r="JB2" s="56"/>
      <c r="JC2" s="56"/>
      <c r="JD2" s="299"/>
      <c r="JF2" s="64"/>
      <c r="JG2" s="65"/>
      <c r="JH2" s="64"/>
      <c r="JI2" s="64"/>
      <c r="JJ2" s="64"/>
      <c r="JK2" s="56"/>
      <c r="JL2" s="69"/>
      <c r="JM2" s="69"/>
      <c r="JN2" s="69"/>
      <c r="JO2" s="69"/>
      <c r="JP2" s="70"/>
    </row>
    <row r="3" spans="1:276" x14ac:dyDescent="0.35">
      <c r="D3" s="15"/>
      <c r="E3" s="28"/>
      <c r="F3" s="207" t="s">
        <v>404</v>
      </c>
      <c r="G3" s="15"/>
      <c r="H3" s="15"/>
      <c r="J3" s="13" t="s">
        <v>405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IG3" s="300"/>
      <c r="IH3" s="33"/>
      <c r="II3" s="33"/>
      <c r="IJ3" s="33"/>
      <c r="IK3" s="33"/>
      <c r="IL3" s="33"/>
      <c r="IM3" s="300"/>
      <c r="IN3" s="33"/>
      <c r="IO3" s="33"/>
      <c r="IP3" s="33"/>
      <c r="IQ3" s="33"/>
      <c r="IR3" s="33"/>
      <c r="IS3" s="300"/>
      <c r="IT3" s="33"/>
      <c r="IU3" s="33"/>
      <c r="IV3" s="33"/>
      <c r="IW3" s="33"/>
      <c r="IX3" s="33"/>
      <c r="IY3" s="300"/>
      <c r="IZ3" s="33"/>
      <c r="JA3" s="33"/>
      <c r="JB3" s="33"/>
      <c r="JC3" s="33"/>
      <c r="JD3" s="301"/>
      <c r="JF3" s="66"/>
      <c r="JG3" s="67"/>
      <c r="JH3" s="66"/>
      <c r="JI3" s="66"/>
      <c r="JJ3" s="66"/>
      <c r="JK3" s="28"/>
      <c r="JL3" s="71"/>
      <c r="JM3" s="71"/>
      <c r="JN3" s="71"/>
      <c r="JO3" s="71"/>
      <c r="JP3" s="72"/>
    </row>
    <row r="4" spans="1:276" ht="15" customHeight="1" thickBot="1" x14ac:dyDescent="0.4">
      <c r="A4" s="28"/>
      <c r="B4" s="28"/>
      <c r="C4" s="28"/>
      <c r="E4" s="28"/>
      <c r="F4" s="234" t="s">
        <v>923</v>
      </c>
      <c r="I4" s="17" t="s">
        <v>406</v>
      </c>
      <c r="J4" s="269" t="s">
        <v>407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371" t="str">
        <f>'KPI Count-SHARE'!C3</f>
        <v>Distributors</v>
      </c>
      <c r="DH4" s="371"/>
      <c r="DI4" s="371"/>
      <c r="DJ4" s="371"/>
      <c r="DK4" s="371"/>
      <c r="DL4" s="371"/>
      <c r="DM4" s="371"/>
      <c r="DN4" s="373" t="str">
        <f>'KPI Count-SHARE'!D3</f>
        <v>Reference Set 2</v>
      </c>
      <c r="DO4" s="373"/>
      <c r="DP4" s="373"/>
      <c r="DQ4" s="373"/>
      <c r="DR4" s="373"/>
      <c r="DS4" s="373"/>
      <c r="DT4" s="373"/>
      <c r="DU4" s="375" t="str">
        <f>'KPI Count-SHARE'!E3</f>
        <v>Reference Set 3</v>
      </c>
      <c r="DV4" s="375"/>
      <c r="DW4" s="375"/>
      <c r="DX4" s="375"/>
      <c r="DY4" s="375"/>
      <c r="DZ4" s="375"/>
      <c r="EA4" s="375"/>
      <c r="EB4" s="369" t="str">
        <f>'KPI Count-SHARE'!F3</f>
        <v>Reference Set 4</v>
      </c>
      <c r="EC4" s="369"/>
      <c r="ED4" s="369"/>
      <c r="EE4" s="369"/>
      <c r="EF4" s="369"/>
      <c r="EG4" s="369"/>
      <c r="EH4" s="369"/>
      <c r="EJ4" s="13" t="s">
        <v>408</v>
      </c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339"/>
      <c r="IH4" s="340"/>
      <c r="II4" s="340"/>
      <c r="IJ4" s="340" t="str">
        <f>DG4</f>
        <v>Distributors</v>
      </c>
      <c r="IK4" s="340"/>
      <c r="IL4" s="341"/>
      <c r="IM4" s="345"/>
      <c r="IN4" s="346"/>
      <c r="IO4" s="346"/>
      <c r="IP4" s="346" t="str">
        <f>DN4</f>
        <v>Reference Set 2</v>
      </c>
      <c r="IQ4" s="346"/>
      <c r="IR4" s="347"/>
      <c r="IS4" s="351"/>
      <c r="IT4" s="352"/>
      <c r="IU4" s="352"/>
      <c r="IV4" s="352" t="str">
        <f>DU4</f>
        <v>Reference Set 3</v>
      </c>
      <c r="IW4" s="352"/>
      <c r="IX4" s="353"/>
      <c r="IY4" s="357"/>
      <c r="IZ4" s="358"/>
      <c r="JA4" s="358"/>
      <c r="JB4" s="358" t="str">
        <f>EB4</f>
        <v>Reference Set 4</v>
      </c>
      <c r="JC4" s="358"/>
      <c r="JD4" s="359"/>
      <c r="JF4" s="66"/>
      <c r="JG4" s="67" t="s">
        <v>409</v>
      </c>
      <c r="JH4" s="66" t="str">
        <f>VLOOKUP(F4,XPEERREF,2,0)</f>
        <v>PEER 1</v>
      </c>
      <c r="JI4" s="66"/>
      <c r="JJ4" s="66"/>
      <c r="JK4" s="28"/>
      <c r="JL4" s="71"/>
      <c r="JM4" s="71"/>
      <c r="JN4" s="71"/>
      <c r="JO4" s="71"/>
      <c r="JP4" s="72"/>
    </row>
    <row r="5" spans="1:276" ht="15" customHeight="1" thickBot="1" x14ac:dyDescent="0.4">
      <c r="A5" s="28"/>
      <c r="B5" s="28"/>
      <c r="C5" s="28"/>
      <c r="E5" s="28"/>
      <c r="I5" s="18">
        <f>1/'KPI Count-SHARE'!O3</f>
        <v>1.1235955056179776</v>
      </c>
      <c r="J5" s="19" t="s">
        <v>410</v>
      </c>
      <c r="K5" s="19" t="s">
        <v>411</v>
      </c>
      <c r="L5" s="19" t="s">
        <v>412</v>
      </c>
      <c r="M5" s="19" t="s">
        <v>413</v>
      </c>
      <c r="N5" s="19" t="s">
        <v>414</v>
      </c>
      <c r="O5" s="19" t="s">
        <v>415</v>
      </c>
      <c r="P5" s="19" t="s">
        <v>416</v>
      </c>
      <c r="Q5" s="19" t="s">
        <v>417</v>
      </c>
      <c r="R5" s="19" t="s">
        <v>418</v>
      </c>
      <c r="S5" s="19" t="s">
        <v>419</v>
      </c>
      <c r="T5" s="19" t="s">
        <v>420</v>
      </c>
      <c r="U5" s="19" t="s">
        <v>421</v>
      </c>
      <c r="V5" s="19" t="s">
        <v>422</v>
      </c>
      <c r="W5" s="19" t="s">
        <v>423</v>
      </c>
      <c r="X5" s="19" t="s">
        <v>424</v>
      </c>
      <c r="Y5" s="19" t="s">
        <v>425</v>
      </c>
      <c r="Z5" s="19" t="s">
        <v>426</v>
      </c>
      <c r="AA5" s="19" t="s">
        <v>427</v>
      </c>
      <c r="AB5" s="19" t="s">
        <v>428</v>
      </c>
      <c r="AC5" s="19" t="s">
        <v>429</v>
      </c>
      <c r="AD5" s="19" t="s">
        <v>430</v>
      </c>
      <c r="AE5" s="19" t="s">
        <v>431</v>
      </c>
      <c r="AF5" s="19" t="s">
        <v>432</v>
      </c>
      <c r="AG5" s="19" t="s">
        <v>433</v>
      </c>
      <c r="AH5" s="19" t="s">
        <v>434</v>
      </c>
      <c r="AI5" s="19" t="s">
        <v>435</v>
      </c>
      <c r="AJ5" s="19" t="s">
        <v>436</v>
      </c>
      <c r="AK5" s="19" t="s">
        <v>437</v>
      </c>
      <c r="AL5" s="19" t="s">
        <v>438</v>
      </c>
      <c r="AM5" s="19" t="s">
        <v>439</v>
      </c>
      <c r="AN5" s="19" t="s">
        <v>440</v>
      </c>
      <c r="AO5" s="19" t="s">
        <v>441</v>
      </c>
      <c r="AP5" s="19" t="s">
        <v>442</v>
      </c>
      <c r="AQ5" s="19" t="s">
        <v>443</v>
      </c>
      <c r="AR5" s="19" t="s">
        <v>444</v>
      </c>
      <c r="AS5" s="19" t="s">
        <v>445</v>
      </c>
      <c r="AT5" s="19" t="s">
        <v>446</v>
      </c>
      <c r="AU5" s="19" t="s">
        <v>447</v>
      </c>
      <c r="AV5" s="19" t="s">
        <v>448</v>
      </c>
      <c r="AW5" s="19" t="s">
        <v>449</v>
      </c>
      <c r="AX5" s="19" t="s">
        <v>450</v>
      </c>
      <c r="AY5" s="19" t="s">
        <v>451</v>
      </c>
      <c r="AZ5" s="19" t="s">
        <v>452</v>
      </c>
      <c r="BA5" s="19" t="s">
        <v>453</v>
      </c>
      <c r="BB5" s="19" t="s">
        <v>454</v>
      </c>
      <c r="BC5" s="19" t="s">
        <v>455</v>
      </c>
      <c r="BD5" s="19" t="s">
        <v>456</v>
      </c>
      <c r="BE5" s="19" t="s">
        <v>457</v>
      </c>
      <c r="BF5" s="19" t="s">
        <v>458</v>
      </c>
      <c r="BG5" s="19" t="s">
        <v>459</v>
      </c>
      <c r="BH5" s="19" t="s">
        <v>460</v>
      </c>
      <c r="BI5" s="19" t="s">
        <v>461</v>
      </c>
      <c r="BJ5" s="19" t="s">
        <v>462</v>
      </c>
      <c r="BK5" s="19" t="s">
        <v>463</v>
      </c>
      <c r="BL5" s="19" t="s">
        <v>464</v>
      </c>
      <c r="BM5" s="19" t="s">
        <v>465</v>
      </c>
      <c r="BN5" s="19" t="s">
        <v>466</v>
      </c>
      <c r="BO5" s="19" t="s">
        <v>467</v>
      </c>
      <c r="BP5" s="19" t="s">
        <v>468</v>
      </c>
      <c r="BQ5" s="19" t="s">
        <v>469</v>
      </c>
      <c r="BR5" s="19" t="s">
        <v>470</v>
      </c>
      <c r="BS5" s="19" t="s">
        <v>471</v>
      </c>
      <c r="BT5" s="19" t="s">
        <v>472</v>
      </c>
      <c r="BU5" s="19" t="s">
        <v>473</v>
      </c>
      <c r="BV5" s="19" t="s">
        <v>474</v>
      </c>
      <c r="BW5" s="19" t="s">
        <v>475</v>
      </c>
      <c r="BX5" s="19" t="s">
        <v>476</v>
      </c>
      <c r="BY5" s="19" t="s">
        <v>477</v>
      </c>
      <c r="BZ5" s="19" t="s">
        <v>478</v>
      </c>
      <c r="CA5" s="19" t="s">
        <v>479</v>
      </c>
      <c r="CB5" s="19" t="s">
        <v>480</v>
      </c>
      <c r="CC5" s="19" t="s">
        <v>481</v>
      </c>
      <c r="CD5" s="19" t="s">
        <v>482</v>
      </c>
      <c r="CE5" s="19" t="s">
        <v>483</v>
      </c>
      <c r="CF5" s="19" t="s">
        <v>484</v>
      </c>
      <c r="CG5" s="19" t="s">
        <v>485</v>
      </c>
      <c r="CH5" s="19" t="s">
        <v>486</v>
      </c>
      <c r="CI5" s="19" t="s">
        <v>487</v>
      </c>
      <c r="CJ5" s="19" t="s">
        <v>488</v>
      </c>
      <c r="CK5" s="19" t="s">
        <v>489</v>
      </c>
      <c r="CL5" s="19" t="s">
        <v>490</v>
      </c>
      <c r="CM5" s="19" t="s">
        <v>491</v>
      </c>
      <c r="CN5" s="19" t="s">
        <v>492</v>
      </c>
      <c r="CO5" s="19" t="s">
        <v>493</v>
      </c>
      <c r="CP5" s="19" t="s">
        <v>494</v>
      </c>
      <c r="CQ5" s="19" t="s">
        <v>495</v>
      </c>
      <c r="CR5" s="19" t="s">
        <v>496</v>
      </c>
      <c r="CS5" s="19" t="s">
        <v>497</v>
      </c>
      <c r="CT5" s="19" t="s">
        <v>498</v>
      </c>
      <c r="CU5" s="19" t="s">
        <v>499</v>
      </c>
      <c r="CV5" s="19" t="s">
        <v>500</v>
      </c>
      <c r="CW5" s="19" t="s">
        <v>501</v>
      </c>
      <c r="CX5" s="19" t="s">
        <v>502</v>
      </c>
      <c r="CY5" s="19" t="s">
        <v>503</v>
      </c>
      <c r="CZ5" s="19" t="s">
        <v>504</v>
      </c>
      <c r="DA5" s="19" t="s">
        <v>505</v>
      </c>
      <c r="DB5" s="19" t="s">
        <v>506</v>
      </c>
      <c r="DC5" s="19" t="s">
        <v>507</v>
      </c>
      <c r="DD5" s="19" t="s">
        <v>508</v>
      </c>
      <c r="DE5" s="19" t="s">
        <v>509</v>
      </c>
      <c r="DF5" s="19" t="s">
        <v>510</v>
      </c>
      <c r="DG5" s="372" t="s">
        <v>511</v>
      </c>
      <c r="DH5" s="372"/>
      <c r="DI5" s="372"/>
      <c r="DJ5" s="372"/>
      <c r="DK5" s="372"/>
      <c r="DL5" s="372"/>
      <c r="DM5" s="372"/>
      <c r="DN5" s="374" t="s">
        <v>511</v>
      </c>
      <c r="DO5" s="374"/>
      <c r="DP5" s="374"/>
      <c r="DQ5" s="374"/>
      <c r="DR5" s="374"/>
      <c r="DS5" s="374"/>
      <c r="DT5" s="374"/>
      <c r="DU5" s="376" t="s">
        <v>511</v>
      </c>
      <c r="DV5" s="376"/>
      <c r="DW5" s="376"/>
      <c r="DX5" s="376"/>
      <c r="DY5" s="376"/>
      <c r="DZ5" s="376"/>
      <c r="EA5" s="376"/>
      <c r="EB5" s="370" t="s">
        <v>511</v>
      </c>
      <c r="EC5" s="370"/>
      <c r="ED5" s="370"/>
      <c r="EE5" s="370"/>
      <c r="EF5" s="370"/>
      <c r="EG5" s="370"/>
      <c r="EH5" s="370"/>
      <c r="EJ5" s="19" t="str">
        <f t="shared" ref="EJ5:EJ6" si="0">J5</f>
        <v>Total</v>
      </c>
      <c r="EK5" s="19" t="str">
        <f t="shared" ref="EK5:EK6" si="1">K5</f>
        <v>BU 1</v>
      </c>
      <c r="EL5" s="19" t="str">
        <f t="shared" ref="EL5:EL6" si="2">L5</f>
        <v>BU 2</v>
      </c>
      <c r="EM5" s="19" t="str">
        <f t="shared" ref="EM5:EV6" si="3">M5</f>
        <v>BU 3</v>
      </c>
      <c r="EN5" s="19" t="str">
        <f t="shared" si="3"/>
        <v>BU 4</v>
      </c>
      <c r="EO5" s="19" t="str">
        <f t="shared" si="3"/>
        <v>BU 5</v>
      </c>
      <c r="EP5" s="19" t="str">
        <f t="shared" si="3"/>
        <v>BU 6</v>
      </c>
      <c r="EQ5" s="19" t="str">
        <f t="shared" si="3"/>
        <v>BU 7</v>
      </c>
      <c r="ER5" s="19" t="str">
        <f t="shared" si="3"/>
        <v>BU 8</v>
      </c>
      <c r="ES5" s="19" t="str">
        <f t="shared" si="3"/>
        <v>BU 9</v>
      </c>
      <c r="ET5" s="19" t="str">
        <f t="shared" si="3"/>
        <v>BU 10</v>
      </c>
      <c r="EU5" s="19" t="str">
        <f t="shared" si="3"/>
        <v>BU 11</v>
      </c>
      <c r="EV5" s="19" t="str">
        <f t="shared" si="3"/>
        <v>BU 12</v>
      </c>
      <c r="EW5" s="19" t="str">
        <f t="shared" ref="EW5:FF6" si="4">W5</f>
        <v>BU 13</v>
      </c>
      <c r="EX5" s="19" t="str">
        <f t="shared" si="4"/>
        <v>BU 14</v>
      </c>
      <c r="EY5" s="19" t="str">
        <f t="shared" si="4"/>
        <v>BU 15</v>
      </c>
      <c r="EZ5" s="19" t="str">
        <f t="shared" si="4"/>
        <v>BU 16</v>
      </c>
      <c r="FA5" s="19" t="str">
        <f t="shared" si="4"/>
        <v>BU 17</v>
      </c>
      <c r="FB5" s="19" t="str">
        <f t="shared" si="4"/>
        <v>BU 18</v>
      </c>
      <c r="FC5" s="19" t="str">
        <f t="shared" si="4"/>
        <v>BU 19</v>
      </c>
      <c r="FD5" s="19" t="str">
        <f t="shared" si="4"/>
        <v>BU 20</v>
      </c>
      <c r="FE5" s="19" t="str">
        <f t="shared" si="4"/>
        <v>BU 21</v>
      </c>
      <c r="FF5" s="19" t="str">
        <f t="shared" si="4"/>
        <v>BU 22</v>
      </c>
      <c r="FG5" s="19" t="str">
        <f t="shared" ref="FG5:FP6" si="5">AG5</f>
        <v>BU 23</v>
      </c>
      <c r="FH5" s="19" t="str">
        <f t="shared" si="5"/>
        <v>BU 24</v>
      </c>
      <c r="FI5" s="19" t="str">
        <f t="shared" si="5"/>
        <v>BU 25</v>
      </c>
      <c r="FJ5" s="19" t="str">
        <f t="shared" si="5"/>
        <v>BU 26</v>
      </c>
      <c r="FK5" s="19" t="str">
        <f t="shared" si="5"/>
        <v>BU 27</v>
      </c>
      <c r="FL5" s="19" t="str">
        <f t="shared" si="5"/>
        <v>BU 28</v>
      </c>
      <c r="FM5" s="19" t="str">
        <f t="shared" si="5"/>
        <v>BU 29</v>
      </c>
      <c r="FN5" s="19" t="str">
        <f t="shared" si="5"/>
        <v>BU 30</v>
      </c>
      <c r="FO5" s="19" t="str">
        <f t="shared" si="5"/>
        <v>BU 31</v>
      </c>
      <c r="FP5" s="19" t="str">
        <f t="shared" si="5"/>
        <v>BU 32</v>
      </c>
      <c r="FQ5" s="19" t="str">
        <f t="shared" ref="FQ5:FZ6" si="6">AQ5</f>
        <v>BU 33</v>
      </c>
      <c r="FR5" s="19" t="str">
        <f t="shared" si="6"/>
        <v>BU 34</v>
      </c>
      <c r="FS5" s="19" t="str">
        <f t="shared" si="6"/>
        <v>BU 35</v>
      </c>
      <c r="FT5" s="19" t="str">
        <f t="shared" si="6"/>
        <v>BU 36</v>
      </c>
      <c r="FU5" s="19" t="str">
        <f t="shared" si="6"/>
        <v>BU 37</v>
      </c>
      <c r="FV5" s="19" t="str">
        <f t="shared" si="6"/>
        <v>BU 38</v>
      </c>
      <c r="FW5" s="19" t="str">
        <f t="shared" si="6"/>
        <v>BU 39</v>
      </c>
      <c r="FX5" s="19" t="str">
        <f t="shared" si="6"/>
        <v>BU 40</v>
      </c>
      <c r="FY5" s="19" t="str">
        <f t="shared" si="6"/>
        <v>BU 41</v>
      </c>
      <c r="FZ5" s="19" t="str">
        <f t="shared" si="6"/>
        <v>BU 42</v>
      </c>
      <c r="GA5" s="19" t="str">
        <f t="shared" ref="GA5:GE6" si="7">BA5</f>
        <v>BU 43</v>
      </c>
      <c r="GB5" s="19" t="str">
        <f t="shared" si="7"/>
        <v>BU 44</v>
      </c>
      <c r="GC5" s="19" t="str">
        <f t="shared" si="7"/>
        <v>BU 45</v>
      </c>
      <c r="GD5" s="19" t="str">
        <f t="shared" si="7"/>
        <v>BU 46</v>
      </c>
      <c r="GE5" s="19" t="str">
        <f t="shared" si="7"/>
        <v>BU 47</v>
      </c>
      <c r="GF5" s="19" t="str">
        <f t="shared" ref="GF5:GF6" si="8">BF5</f>
        <v>BU 48</v>
      </c>
      <c r="GG5" s="19" t="str">
        <f t="shared" ref="GG5:GG6" si="9">BG5</f>
        <v>BU 49</v>
      </c>
      <c r="GH5" s="19" t="str">
        <f t="shared" ref="GH5:GH6" si="10">BH5</f>
        <v>BU 50</v>
      </c>
      <c r="GI5" s="19" t="str">
        <f t="shared" ref="GI5:GI6" si="11">BI5</f>
        <v>BU 51</v>
      </c>
      <c r="GJ5" s="19" t="str">
        <f t="shared" ref="GJ5:GJ6" si="12">BJ5</f>
        <v>BU 52</v>
      </c>
      <c r="GK5" s="19" t="str">
        <f t="shared" ref="GK5:GK6" si="13">BK5</f>
        <v>BU 53</v>
      </c>
      <c r="GL5" s="19" t="str">
        <f t="shared" ref="GL5:GL6" si="14">BL5</f>
        <v>BU 54</v>
      </c>
      <c r="GM5" s="19" t="str">
        <f t="shared" ref="GM5:GM6" si="15">BM5</f>
        <v>BU 55</v>
      </c>
      <c r="GN5" s="19" t="str">
        <f t="shared" ref="GN5:GN6" si="16">BN5</f>
        <v>BU 56</v>
      </c>
      <c r="GO5" s="19" t="str">
        <f t="shared" ref="GO5:GO6" si="17">BO5</f>
        <v>BU 57</v>
      </c>
      <c r="GP5" s="19" t="str">
        <f t="shared" ref="GP5:GP6" si="18">BP5</f>
        <v>BU 58</v>
      </c>
      <c r="GQ5" s="19" t="str">
        <f t="shared" ref="GQ5:GQ6" si="19">BQ5</f>
        <v>BU 59</v>
      </c>
      <c r="GR5" s="19" t="str">
        <f t="shared" ref="GR5:GR6" si="20">BR5</f>
        <v>BU 60</v>
      </c>
      <c r="GS5" s="19" t="str">
        <f t="shared" ref="GS5:GS6" si="21">BS5</f>
        <v>BU 61</v>
      </c>
      <c r="GT5" s="19" t="str">
        <f t="shared" ref="GT5:GT6" si="22">BT5</f>
        <v>BU 62</v>
      </c>
      <c r="GU5" s="19" t="str">
        <f t="shared" ref="GU5:GU6" si="23">BU5</f>
        <v>BU 63</v>
      </c>
      <c r="GV5" s="19" t="str">
        <f t="shared" ref="GV5:GV6" si="24">BV5</f>
        <v>BU 64</v>
      </c>
      <c r="GW5" s="19" t="str">
        <f t="shared" ref="GW5:GW6" si="25">BW5</f>
        <v>BU 65</v>
      </c>
      <c r="GX5" s="19" t="str">
        <f t="shared" ref="GX5:GX6" si="26">BX5</f>
        <v>BU 66</v>
      </c>
      <c r="GY5" s="19" t="str">
        <f t="shared" ref="GY5:GY6" si="27">BY5</f>
        <v>BU 67</v>
      </c>
      <c r="GZ5" s="19" t="str">
        <f t="shared" ref="GZ5:GZ6" si="28">BZ5</f>
        <v>BU 68</v>
      </c>
      <c r="HA5" s="19" t="str">
        <f t="shared" ref="HA5:HA6" si="29">CA5</f>
        <v>BU 69</v>
      </c>
      <c r="HB5" s="19" t="str">
        <f t="shared" ref="HB5:HB6" si="30">CB5</f>
        <v>BU 70</v>
      </c>
      <c r="HC5" s="19" t="str">
        <f t="shared" ref="HC5:HC6" si="31">CC5</f>
        <v>BU 71</v>
      </c>
      <c r="HD5" s="19" t="str">
        <f t="shared" ref="HD5:HD6" si="32">CD5</f>
        <v>BU 72</v>
      </c>
      <c r="HE5" s="19" t="str">
        <f t="shared" ref="HE5:HE6" si="33">CE5</f>
        <v>BU 73</v>
      </c>
      <c r="HF5" s="19" t="str">
        <f t="shared" ref="HF5:HF6" si="34">CF5</f>
        <v>BU 74</v>
      </c>
      <c r="HG5" s="19" t="str">
        <f t="shared" ref="HG5:HG6" si="35">CG5</f>
        <v>BU 75</v>
      </c>
      <c r="HH5" s="19" t="str">
        <f t="shared" ref="HH5:HH6" si="36">CH5</f>
        <v>BU 76</v>
      </c>
      <c r="HI5" s="19" t="str">
        <f t="shared" ref="HI5:HI6" si="37">CI5</f>
        <v>BU 77</v>
      </c>
      <c r="HJ5" s="19" t="str">
        <f t="shared" ref="HJ5:HJ6" si="38">CJ5</f>
        <v>BU 78</v>
      </c>
      <c r="HK5" s="19" t="str">
        <f t="shared" ref="HK5:HK6" si="39">CK5</f>
        <v>BU 79</v>
      </c>
      <c r="HL5" s="19" t="str">
        <f t="shared" ref="HL5:HL6" si="40">CL5</f>
        <v>BU 80</v>
      </c>
      <c r="HM5" s="19" t="str">
        <f t="shared" ref="HM5:HM6" si="41">CM5</f>
        <v>BU 81</v>
      </c>
      <c r="HN5" s="19" t="str">
        <f t="shared" ref="HN5:HN6" si="42">CN5</f>
        <v>BU 82</v>
      </c>
      <c r="HO5" s="19" t="str">
        <f t="shared" ref="HO5:HO6" si="43">CO5</f>
        <v>BU 83</v>
      </c>
      <c r="HP5" s="19" t="str">
        <f t="shared" ref="HP5:HP6" si="44">CP5</f>
        <v>BU 84</v>
      </c>
      <c r="HQ5" s="19" t="str">
        <f t="shared" ref="HQ5:HQ6" si="45">CQ5</f>
        <v>BU 85</v>
      </c>
      <c r="HR5" s="19" t="str">
        <f t="shared" ref="HR5:HR6" si="46">CR5</f>
        <v>BU 86</v>
      </c>
      <c r="HS5" s="19" t="str">
        <f t="shared" ref="HS5:HS6" si="47">CS5</f>
        <v>BU 87</v>
      </c>
      <c r="HT5" s="19" t="str">
        <f t="shared" ref="HT5:HT6" si="48">CT5</f>
        <v>BU 88</v>
      </c>
      <c r="HU5" s="19" t="str">
        <f t="shared" ref="HU5:HU6" si="49">CU5</f>
        <v>BU 89</v>
      </c>
      <c r="HV5" s="19" t="str">
        <f t="shared" ref="HV5:HV6" si="50">CV5</f>
        <v>BU 90</v>
      </c>
      <c r="HW5" s="19" t="str">
        <f t="shared" ref="HW5:HW6" si="51">CW5</f>
        <v>BU 91</v>
      </c>
      <c r="HX5" s="19" t="str">
        <f t="shared" ref="HX5:HX6" si="52">CX5</f>
        <v>BU 92</v>
      </c>
      <c r="HY5" s="19" t="str">
        <f t="shared" ref="HY5:HY6" si="53">CY5</f>
        <v>BU 93</v>
      </c>
      <c r="HZ5" s="19" t="str">
        <f t="shared" ref="HZ5:HZ6" si="54">CZ5</f>
        <v>BU 94</v>
      </c>
      <c r="IA5" s="19" t="str">
        <f t="shared" ref="IA5:IA6" si="55">DA5</f>
        <v>BU 95</v>
      </c>
      <c r="IB5" s="19" t="str">
        <f t="shared" ref="IB5:IB6" si="56">DB5</f>
        <v>BU 96</v>
      </c>
      <c r="IC5" s="19" t="str">
        <f t="shared" ref="IC5:IC6" si="57">DC5</f>
        <v>BU 97</v>
      </c>
      <c r="ID5" s="19" t="str">
        <f t="shared" ref="ID5:ID6" si="58">DD5</f>
        <v>BU 98</v>
      </c>
      <c r="IE5" s="19" t="str">
        <f t="shared" ref="IE5:IE6" si="59">DE5</f>
        <v>BU 99</v>
      </c>
      <c r="IF5" s="19" t="str">
        <f t="shared" ref="IF5:IF6" si="60">DF5</f>
        <v>BU 100</v>
      </c>
      <c r="IG5" s="342"/>
      <c r="IH5" s="343"/>
      <c r="II5" s="343"/>
      <c r="IJ5" s="343" t="str">
        <f>DG5</f>
        <v>at the company level</v>
      </c>
      <c r="IK5" s="343"/>
      <c r="IL5" s="344"/>
      <c r="IM5" s="348"/>
      <c r="IN5" s="349"/>
      <c r="IO5" s="349"/>
      <c r="IP5" s="349" t="str">
        <f>DN5</f>
        <v>at the company level</v>
      </c>
      <c r="IQ5" s="349"/>
      <c r="IR5" s="350"/>
      <c r="IS5" s="354"/>
      <c r="IT5" s="355"/>
      <c r="IU5" s="355"/>
      <c r="IV5" s="355" t="str">
        <f>DU5</f>
        <v>at the company level</v>
      </c>
      <c r="IW5" s="355"/>
      <c r="IX5" s="356"/>
      <c r="IY5" s="360"/>
      <c r="IZ5" s="361"/>
      <c r="JA5" s="361"/>
      <c r="JB5" s="361" t="str">
        <f>EB5</f>
        <v>at the company level</v>
      </c>
      <c r="JC5" s="361"/>
      <c r="JD5" s="362"/>
      <c r="JF5" s="66"/>
      <c r="JG5" s="67"/>
      <c r="JH5" s="66"/>
      <c r="JI5" s="66"/>
      <c r="JJ5" s="66"/>
      <c r="JK5" s="28"/>
      <c r="JL5" s="72" t="s">
        <v>512</v>
      </c>
      <c r="JM5" s="72" t="s">
        <v>513</v>
      </c>
      <c r="JN5" s="72" t="s">
        <v>514</v>
      </c>
      <c r="JO5" s="72" t="s">
        <v>515</v>
      </c>
      <c r="JP5" s="72"/>
    </row>
    <row r="6" spans="1:276" s="280" customFormat="1" ht="29" x14ac:dyDescent="0.35">
      <c r="A6" s="277" t="s">
        <v>516</v>
      </c>
      <c r="B6" s="277" t="s">
        <v>517</v>
      </c>
      <c r="C6" s="277" t="s">
        <v>518</v>
      </c>
      <c r="D6" s="278"/>
      <c r="E6" s="334" t="s">
        <v>812</v>
      </c>
      <c r="F6" s="279" t="s">
        <v>519</v>
      </c>
      <c r="G6" s="279" t="s">
        <v>520</v>
      </c>
      <c r="H6" s="279" t="s">
        <v>521</v>
      </c>
      <c r="J6" s="281" t="s">
        <v>921</v>
      </c>
      <c r="K6" s="281" t="s">
        <v>939</v>
      </c>
      <c r="L6" s="281" t="s">
        <v>940</v>
      </c>
      <c r="M6" s="281" t="s">
        <v>941</v>
      </c>
      <c r="N6" s="281"/>
      <c r="O6" s="281"/>
      <c r="P6" s="281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  <c r="AF6" s="281"/>
      <c r="AG6" s="281"/>
      <c r="AH6" s="281"/>
      <c r="AI6" s="281"/>
      <c r="AJ6" s="281"/>
      <c r="AK6" s="281"/>
      <c r="AL6" s="281"/>
      <c r="AM6" s="281"/>
      <c r="AN6" s="281"/>
      <c r="AO6" s="281"/>
      <c r="AP6" s="281"/>
      <c r="AQ6" s="281"/>
      <c r="AR6" s="281"/>
      <c r="AS6" s="281"/>
      <c r="AT6" s="281"/>
      <c r="AU6" s="281"/>
      <c r="AV6" s="281"/>
      <c r="AW6" s="281"/>
      <c r="AX6" s="281"/>
      <c r="AY6" s="281"/>
      <c r="AZ6" s="281"/>
      <c r="BA6" s="281"/>
      <c r="BB6" s="281"/>
      <c r="BC6" s="281"/>
      <c r="BD6" s="281"/>
      <c r="BE6" s="281"/>
      <c r="BF6" s="281"/>
      <c r="BG6" s="281"/>
      <c r="BH6" s="281"/>
      <c r="BI6" s="281"/>
      <c r="BJ6" s="281"/>
      <c r="BK6" s="281"/>
      <c r="BL6" s="281"/>
      <c r="BM6" s="281"/>
      <c r="BN6" s="281"/>
      <c r="BO6" s="281"/>
      <c r="BP6" s="281"/>
      <c r="BQ6" s="281"/>
      <c r="BR6" s="281"/>
      <c r="BS6" s="281"/>
      <c r="BT6" s="281"/>
      <c r="BU6" s="281"/>
      <c r="BV6" s="281"/>
      <c r="BW6" s="281"/>
      <c r="BX6" s="281"/>
      <c r="BY6" s="281"/>
      <c r="BZ6" s="281"/>
      <c r="CA6" s="281"/>
      <c r="CB6" s="281"/>
      <c r="CC6" s="281"/>
      <c r="CD6" s="281"/>
      <c r="CE6" s="281"/>
      <c r="CF6" s="281"/>
      <c r="CG6" s="281"/>
      <c r="CH6" s="281"/>
      <c r="CI6" s="281"/>
      <c r="CJ6" s="281"/>
      <c r="CK6" s="281"/>
      <c r="CL6" s="281"/>
      <c r="CM6" s="281"/>
      <c r="CN6" s="281"/>
      <c r="CO6" s="281"/>
      <c r="CP6" s="281"/>
      <c r="CQ6" s="281"/>
      <c r="CR6" s="281"/>
      <c r="CS6" s="281"/>
      <c r="CT6" s="281"/>
      <c r="CU6" s="281"/>
      <c r="CV6" s="281"/>
      <c r="CW6" s="281"/>
      <c r="CX6" s="281"/>
      <c r="CY6" s="281"/>
      <c r="CZ6" s="281"/>
      <c r="DA6" s="281"/>
      <c r="DB6" s="281"/>
      <c r="DC6" s="281"/>
      <c r="DD6" s="281"/>
      <c r="DE6" s="282"/>
      <c r="DF6" s="282"/>
      <c r="DG6" s="291" t="s">
        <v>522</v>
      </c>
      <c r="DH6" s="292" t="s">
        <v>806</v>
      </c>
      <c r="DI6" s="292" t="s">
        <v>807</v>
      </c>
      <c r="DJ6" s="292" t="s">
        <v>3</v>
      </c>
      <c r="DK6" s="292" t="s">
        <v>4</v>
      </c>
      <c r="DL6" s="292" t="s">
        <v>5</v>
      </c>
      <c r="DM6" s="292" t="s">
        <v>808</v>
      </c>
      <c r="DN6" s="293" t="s">
        <v>522</v>
      </c>
      <c r="DO6" s="292" t="s">
        <v>806</v>
      </c>
      <c r="DP6" s="292" t="s">
        <v>807</v>
      </c>
      <c r="DQ6" s="292" t="s">
        <v>3</v>
      </c>
      <c r="DR6" s="292" t="s">
        <v>4</v>
      </c>
      <c r="DS6" s="292" t="s">
        <v>5</v>
      </c>
      <c r="DT6" s="292" t="s">
        <v>808</v>
      </c>
      <c r="DU6" s="293" t="s">
        <v>522</v>
      </c>
      <c r="DV6" s="292" t="s">
        <v>806</v>
      </c>
      <c r="DW6" s="292" t="s">
        <v>807</v>
      </c>
      <c r="DX6" s="292" t="s">
        <v>3</v>
      </c>
      <c r="DY6" s="292" t="s">
        <v>4</v>
      </c>
      <c r="DZ6" s="292" t="s">
        <v>5</v>
      </c>
      <c r="EA6" s="292" t="s">
        <v>808</v>
      </c>
      <c r="EB6" s="293" t="s">
        <v>522</v>
      </c>
      <c r="EC6" s="292" t="s">
        <v>806</v>
      </c>
      <c r="ED6" s="292" t="s">
        <v>807</v>
      </c>
      <c r="EE6" s="292" t="s">
        <v>3</v>
      </c>
      <c r="EF6" s="292" t="s">
        <v>4</v>
      </c>
      <c r="EG6" s="292" t="s">
        <v>5</v>
      </c>
      <c r="EH6" s="292" t="s">
        <v>808</v>
      </c>
      <c r="EI6" s="294" t="s">
        <v>521</v>
      </c>
      <c r="EJ6" s="280" t="str">
        <f t="shared" si="0"/>
        <v>Nexeo</v>
      </c>
      <c r="EK6" s="280" t="str">
        <f t="shared" si="1"/>
        <v>Nexeo - NA</v>
      </c>
      <c r="EL6" s="280" t="str">
        <f t="shared" si="2"/>
        <v>Nexeo - EMEA</v>
      </c>
      <c r="EM6" s="280" t="str">
        <f t="shared" si="3"/>
        <v>Nexeo - Asia</v>
      </c>
      <c r="EN6" s="280">
        <f t="shared" si="3"/>
        <v>0</v>
      </c>
      <c r="EO6" s="280">
        <f t="shared" si="3"/>
        <v>0</v>
      </c>
      <c r="EP6" s="280">
        <f t="shared" si="3"/>
        <v>0</v>
      </c>
      <c r="EQ6" s="280">
        <f t="shared" si="3"/>
        <v>0</v>
      </c>
      <c r="ER6" s="280">
        <f t="shared" si="3"/>
        <v>0</v>
      </c>
      <c r="ES6" s="280">
        <f t="shared" si="3"/>
        <v>0</v>
      </c>
      <c r="ET6" s="280">
        <f t="shared" si="3"/>
        <v>0</v>
      </c>
      <c r="EU6" s="280">
        <f t="shared" si="3"/>
        <v>0</v>
      </c>
      <c r="EV6" s="280">
        <f t="shared" si="3"/>
        <v>0</v>
      </c>
      <c r="EW6" s="280">
        <f t="shared" si="4"/>
        <v>0</v>
      </c>
      <c r="EX6" s="280">
        <f t="shared" si="4"/>
        <v>0</v>
      </c>
      <c r="EY6" s="280">
        <f t="shared" si="4"/>
        <v>0</v>
      </c>
      <c r="EZ6" s="280">
        <f t="shared" si="4"/>
        <v>0</v>
      </c>
      <c r="FA6" s="280">
        <f t="shared" si="4"/>
        <v>0</v>
      </c>
      <c r="FB6" s="280">
        <f t="shared" si="4"/>
        <v>0</v>
      </c>
      <c r="FC6" s="280">
        <f t="shared" si="4"/>
        <v>0</v>
      </c>
      <c r="FD6" s="280">
        <f t="shared" si="4"/>
        <v>0</v>
      </c>
      <c r="FE6" s="280">
        <f t="shared" si="4"/>
        <v>0</v>
      </c>
      <c r="FF6" s="280">
        <f t="shared" si="4"/>
        <v>0</v>
      </c>
      <c r="FG6" s="280">
        <f t="shared" si="5"/>
        <v>0</v>
      </c>
      <c r="FH6" s="280">
        <f t="shared" si="5"/>
        <v>0</v>
      </c>
      <c r="FI6" s="280">
        <f t="shared" si="5"/>
        <v>0</v>
      </c>
      <c r="FJ6" s="280">
        <f t="shared" si="5"/>
        <v>0</v>
      </c>
      <c r="FK6" s="280">
        <f t="shared" si="5"/>
        <v>0</v>
      </c>
      <c r="FL6" s="280">
        <f t="shared" si="5"/>
        <v>0</v>
      </c>
      <c r="FM6" s="280">
        <f t="shared" si="5"/>
        <v>0</v>
      </c>
      <c r="FN6" s="280">
        <f t="shared" si="5"/>
        <v>0</v>
      </c>
      <c r="FO6" s="280">
        <f t="shared" si="5"/>
        <v>0</v>
      </c>
      <c r="FP6" s="280">
        <f t="shared" si="5"/>
        <v>0</v>
      </c>
      <c r="FQ6" s="280">
        <f t="shared" si="6"/>
        <v>0</v>
      </c>
      <c r="FR6" s="280">
        <f t="shared" si="6"/>
        <v>0</v>
      </c>
      <c r="FS6" s="280">
        <f t="shared" si="6"/>
        <v>0</v>
      </c>
      <c r="FT6" s="280">
        <f t="shared" si="6"/>
        <v>0</v>
      </c>
      <c r="FU6" s="280">
        <f t="shared" si="6"/>
        <v>0</v>
      </c>
      <c r="FV6" s="280">
        <f t="shared" si="6"/>
        <v>0</v>
      </c>
      <c r="FW6" s="280">
        <f t="shared" si="6"/>
        <v>0</v>
      </c>
      <c r="FX6" s="280">
        <f t="shared" si="6"/>
        <v>0</v>
      </c>
      <c r="FY6" s="280">
        <f t="shared" si="6"/>
        <v>0</v>
      </c>
      <c r="FZ6" s="280">
        <f t="shared" si="6"/>
        <v>0</v>
      </c>
      <c r="GA6" s="280">
        <f t="shared" si="7"/>
        <v>0</v>
      </c>
      <c r="GB6" s="280">
        <f t="shared" si="7"/>
        <v>0</v>
      </c>
      <c r="GC6" s="280">
        <f t="shared" si="7"/>
        <v>0</v>
      </c>
      <c r="GD6" s="280">
        <f t="shared" si="7"/>
        <v>0</v>
      </c>
      <c r="GE6" s="280">
        <f t="shared" si="7"/>
        <v>0</v>
      </c>
      <c r="GF6" s="280">
        <f t="shared" si="8"/>
        <v>0</v>
      </c>
      <c r="GG6" s="280">
        <f t="shared" si="9"/>
        <v>0</v>
      </c>
      <c r="GH6" s="280">
        <f t="shared" si="10"/>
        <v>0</v>
      </c>
      <c r="GI6" s="280">
        <f t="shared" si="11"/>
        <v>0</v>
      </c>
      <c r="GJ6" s="280">
        <f t="shared" si="12"/>
        <v>0</v>
      </c>
      <c r="GK6" s="280">
        <f t="shared" si="13"/>
        <v>0</v>
      </c>
      <c r="GL6" s="280">
        <f t="shared" si="14"/>
        <v>0</v>
      </c>
      <c r="GM6" s="280">
        <f t="shared" si="15"/>
        <v>0</v>
      </c>
      <c r="GN6" s="280">
        <f t="shared" si="16"/>
        <v>0</v>
      </c>
      <c r="GO6" s="280">
        <f t="shared" si="17"/>
        <v>0</v>
      </c>
      <c r="GP6" s="280">
        <f t="shared" si="18"/>
        <v>0</v>
      </c>
      <c r="GQ6" s="280">
        <f t="shared" si="19"/>
        <v>0</v>
      </c>
      <c r="GR6" s="280">
        <f t="shared" si="20"/>
        <v>0</v>
      </c>
      <c r="GS6" s="280">
        <f t="shared" si="21"/>
        <v>0</v>
      </c>
      <c r="GT6" s="280">
        <f t="shared" si="22"/>
        <v>0</v>
      </c>
      <c r="GU6" s="280">
        <f t="shared" si="23"/>
        <v>0</v>
      </c>
      <c r="GV6" s="280">
        <f t="shared" si="24"/>
        <v>0</v>
      </c>
      <c r="GW6" s="280">
        <f t="shared" si="25"/>
        <v>0</v>
      </c>
      <c r="GX6" s="280">
        <f t="shared" si="26"/>
        <v>0</v>
      </c>
      <c r="GY6" s="280">
        <f t="shared" si="27"/>
        <v>0</v>
      </c>
      <c r="GZ6" s="280">
        <f t="shared" si="28"/>
        <v>0</v>
      </c>
      <c r="HA6" s="280">
        <f t="shared" si="29"/>
        <v>0</v>
      </c>
      <c r="HB6" s="280">
        <f t="shared" si="30"/>
        <v>0</v>
      </c>
      <c r="HC6" s="280">
        <f t="shared" si="31"/>
        <v>0</v>
      </c>
      <c r="HD6" s="280">
        <f t="shared" si="32"/>
        <v>0</v>
      </c>
      <c r="HE6" s="280">
        <f t="shared" si="33"/>
        <v>0</v>
      </c>
      <c r="HF6" s="280">
        <f t="shared" si="34"/>
        <v>0</v>
      </c>
      <c r="HG6" s="280">
        <f t="shared" si="35"/>
        <v>0</v>
      </c>
      <c r="HH6" s="280">
        <f t="shared" si="36"/>
        <v>0</v>
      </c>
      <c r="HI6" s="280">
        <f t="shared" si="37"/>
        <v>0</v>
      </c>
      <c r="HJ6" s="280">
        <f t="shared" si="38"/>
        <v>0</v>
      </c>
      <c r="HK6" s="280">
        <f t="shared" si="39"/>
        <v>0</v>
      </c>
      <c r="HL6" s="280">
        <f t="shared" si="40"/>
        <v>0</v>
      </c>
      <c r="HM6" s="280">
        <f t="shared" si="41"/>
        <v>0</v>
      </c>
      <c r="HN6" s="280">
        <f t="shared" si="42"/>
        <v>0</v>
      </c>
      <c r="HO6" s="280">
        <f t="shared" si="43"/>
        <v>0</v>
      </c>
      <c r="HP6" s="280">
        <f t="shared" si="44"/>
        <v>0</v>
      </c>
      <c r="HQ6" s="280">
        <f t="shared" si="45"/>
        <v>0</v>
      </c>
      <c r="HR6" s="280">
        <f t="shared" si="46"/>
        <v>0</v>
      </c>
      <c r="HS6" s="280">
        <f t="shared" si="47"/>
        <v>0</v>
      </c>
      <c r="HT6" s="280">
        <f t="shared" si="48"/>
        <v>0</v>
      </c>
      <c r="HU6" s="280">
        <f t="shared" si="49"/>
        <v>0</v>
      </c>
      <c r="HV6" s="280">
        <f t="shared" si="50"/>
        <v>0</v>
      </c>
      <c r="HW6" s="280">
        <f t="shared" si="51"/>
        <v>0</v>
      </c>
      <c r="HX6" s="280">
        <f t="shared" si="52"/>
        <v>0</v>
      </c>
      <c r="HY6" s="280">
        <f t="shared" si="53"/>
        <v>0</v>
      </c>
      <c r="HZ6" s="280">
        <f t="shared" si="54"/>
        <v>0</v>
      </c>
      <c r="IA6" s="280">
        <f t="shared" si="55"/>
        <v>0</v>
      </c>
      <c r="IB6" s="280">
        <f t="shared" si="56"/>
        <v>0</v>
      </c>
      <c r="IC6" s="280">
        <f t="shared" si="57"/>
        <v>0</v>
      </c>
      <c r="ID6" s="280">
        <f t="shared" si="58"/>
        <v>0</v>
      </c>
      <c r="IE6" s="280">
        <f t="shared" si="59"/>
        <v>0</v>
      </c>
      <c r="IF6" s="280">
        <f t="shared" si="60"/>
        <v>0</v>
      </c>
      <c r="IG6" s="302" t="str">
        <f>DH6</f>
        <v>Average</v>
      </c>
      <c r="IH6" s="283" t="str">
        <f t="shared" ref="IH6:IL6" si="61">DI6</f>
        <v>Worst Percentile</v>
      </c>
      <c r="II6" s="283" t="str">
        <f t="shared" si="61"/>
        <v>Bottom Quartile</v>
      </c>
      <c r="IJ6" s="283" t="str">
        <f t="shared" si="61"/>
        <v>Median</v>
      </c>
      <c r="IK6" s="283" t="str">
        <f t="shared" si="61"/>
        <v>Top Quartile</v>
      </c>
      <c r="IL6" s="283" t="str">
        <f t="shared" si="61"/>
        <v>Best Percentile</v>
      </c>
      <c r="IM6" s="302" t="str">
        <f>DO6</f>
        <v>Average</v>
      </c>
      <c r="IN6" s="283" t="str">
        <f t="shared" ref="IN6:IR6" si="62">DP6</f>
        <v>Worst Percentile</v>
      </c>
      <c r="IO6" s="283" t="str">
        <f t="shared" si="62"/>
        <v>Bottom Quartile</v>
      </c>
      <c r="IP6" s="283" t="str">
        <f t="shared" si="62"/>
        <v>Median</v>
      </c>
      <c r="IQ6" s="283" t="str">
        <f t="shared" si="62"/>
        <v>Top Quartile</v>
      </c>
      <c r="IR6" s="283" t="str">
        <f t="shared" si="62"/>
        <v>Best Percentile</v>
      </c>
      <c r="IS6" s="302" t="str">
        <f>DV6</f>
        <v>Average</v>
      </c>
      <c r="IT6" s="283" t="str">
        <f t="shared" ref="IT6:IX6" si="63">DW6</f>
        <v>Worst Percentile</v>
      </c>
      <c r="IU6" s="283" t="str">
        <f t="shared" si="63"/>
        <v>Bottom Quartile</v>
      </c>
      <c r="IV6" s="283" t="str">
        <f t="shared" si="63"/>
        <v>Median</v>
      </c>
      <c r="IW6" s="283" t="str">
        <f t="shared" si="63"/>
        <v>Top Quartile</v>
      </c>
      <c r="IX6" s="283" t="str">
        <f t="shared" si="63"/>
        <v>Best Percentile</v>
      </c>
      <c r="IY6" s="302" t="str">
        <f>EC6</f>
        <v>Average</v>
      </c>
      <c r="IZ6" s="283" t="str">
        <f t="shared" ref="IZ6:JD6" si="64">ED6</f>
        <v>Worst Percentile</v>
      </c>
      <c r="JA6" s="283" t="str">
        <f t="shared" si="64"/>
        <v>Bottom Quartile</v>
      </c>
      <c r="JB6" s="283" t="str">
        <f t="shared" si="64"/>
        <v>Median</v>
      </c>
      <c r="JC6" s="283" t="str">
        <f t="shared" si="64"/>
        <v>Top Quartile</v>
      </c>
      <c r="JD6" s="303" t="str">
        <f t="shared" si="64"/>
        <v>Best Percentile</v>
      </c>
      <c r="JF6" s="284" t="s">
        <v>523</v>
      </c>
      <c r="JG6" s="284" t="s">
        <v>524</v>
      </c>
      <c r="JH6" s="284" t="s">
        <v>525</v>
      </c>
      <c r="JI6" s="284" t="s">
        <v>526</v>
      </c>
      <c r="JJ6" s="284" t="s">
        <v>527</v>
      </c>
      <c r="JL6" s="285" t="s">
        <v>524</v>
      </c>
      <c r="JM6" s="285" t="s">
        <v>525</v>
      </c>
      <c r="JN6" s="285" t="s">
        <v>526</v>
      </c>
      <c r="JO6" s="285" t="s">
        <v>528</v>
      </c>
      <c r="JP6" s="285" t="s">
        <v>529</v>
      </c>
    </row>
    <row r="7" spans="1:276" s="6" customFormat="1" x14ac:dyDescent="0.35">
      <c r="A7" s="125" t="s">
        <v>805</v>
      </c>
      <c r="B7" s="125" t="s">
        <v>805</v>
      </c>
      <c r="C7" s="125" t="s">
        <v>805</v>
      </c>
      <c r="D7" s="163"/>
      <c r="E7" s="252"/>
      <c r="F7" s="249" t="s">
        <v>702</v>
      </c>
      <c r="G7" s="250"/>
      <c r="H7" s="251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V7" s="252"/>
      <c r="W7" s="252"/>
      <c r="X7" s="252"/>
      <c r="Y7" s="252"/>
      <c r="Z7" s="252"/>
      <c r="AA7" s="252"/>
      <c r="AB7" s="252"/>
      <c r="AC7" s="252"/>
      <c r="AD7" s="252"/>
      <c r="AE7" s="252"/>
      <c r="AF7" s="252"/>
      <c r="AG7" s="252"/>
      <c r="AH7" s="252"/>
      <c r="AI7" s="252"/>
      <c r="AJ7" s="252"/>
      <c r="AK7" s="252"/>
      <c r="AL7" s="252"/>
      <c r="AM7" s="252"/>
      <c r="AN7" s="252"/>
      <c r="AO7" s="252"/>
      <c r="AP7" s="252"/>
      <c r="AQ7" s="252"/>
      <c r="AR7" s="252"/>
      <c r="AS7" s="252"/>
      <c r="AT7" s="252"/>
      <c r="AU7" s="252"/>
      <c r="AV7" s="252"/>
      <c r="AW7" s="252"/>
      <c r="AX7" s="252"/>
      <c r="AY7" s="252"/>
      <c r="AZ7" s="252"/>
      <c r="BA7" s="252"/>
      <c r="BB7" s="252"/>
      <c r="BC7" s="252"/>
      <c r="BD7" s="252"/>
      <c r="BE7" s="252"/>
      <c r="BF7" s="252"/>
      <c r="BG7" s="252"/>
      <c r="BH7" s="252"/>
      <c r="BI7" s="252"/>
      <c r="BJ7" s="252"/>
      <c r="BK7" s="252"/>
      <c r="BL7" s="252"/>
      <c r="BM7" s="252"/>
      <c r="BN7" s="252"/>
      <c r="BO7" s="252"/>
      <c r="BP7" s="252"/>
      <c r="BQ7" s="252"/>
      <c r="BR7" s="252"/>
      <c r="BS7" s="252"/>
      <c r="BT7" s="252"/>
      <c r="BU7" s="252"/>
      <c r="BV7" s="252"/>
      <c r="BW7" s="252"/>
      <c r="BX7" s="252"/>
      <c r="BY7" s="252"/>
      <c r="BZ7" s="252"/>
      <c r="CA7" s="252"/>
      <c r="CB7" s="252"/>
      <c r="CC7" s="252"/>
      <c r="CD7" s="252"/>
      <c r="CE7" s="252"/>
      <c r="CF7" s="252"/>
      <c r="CG7" s="252"/>
      <c r="CH7" s="252"/>
      <c r="CI7" s="252"/>
      <c r="CJ7" s="252"/>
      <c r="CK7" s="252"/>
      <c r="CL7" s="252"/>
      <c r="CM7" s="252"/>
      <c r="CN7" s="252"/>
      <c r="CO7" s="252"/>
      <c r="CP7" s="252"/>
      <c r="CQ7" s="252"/>
      <c r="CR7" s="252"/>
      <c r="CS7" s="252"/>
      <c r="CT7" s="252"/>
      <c r="CU7" s="252"/>
      <c r="CV7" s="252"/>
      <c r="CW7" s="252"/>
      <c r="CX7" s="252"/>
      <c r="CY7" s="252"/>
      <c r="CZ7" s="252"/>
      <c r="DA7" s="252"/>
      <c r="DB7" s="252"/>
      <c r="DC7" s="252"/>
      <c r="DD7" s="252"/>
      <c r="DE7" s="252"/>
      <c r="DF7" s="252"/>
      <c r="DG7" s="252"/>
      <c r="DH7" s="252"/>
      <c r="DI7" s="252"/>
      <c r="DJ7" s="252"/>
      <c r="DK7" s="252"/>
      <c r="DL7" s="252"/>
      <c r="DM7" s="252"/>
      <c r="DN7" s="252"/>
      <c r="DO7" s="252"/>
      <c r="DP7" s="252"/>
      <c r="DQ7" s="252"/>
      <c r="DR7" s="252"/>
      <c r="DS7" s="252"/>
      <c r="DT7" s="252"/>
      <c r="DU7" s="252"/>
      <c r="DV7" s="252"/>
      <c r="DW7" s="252"/>
      <c r="DX7" s="252"/>
      <c r="DY7" s="252"/>
      <c r="DZ7" s="252"/>
      <c r="EA7" s="252"/>
      <c r="EB7" s="252"/>
      <c r="EC7" s="252"/>
      <c r="ED7" s="252"/>
      <c r="EE7" s="252"/>
      <c r="EF7" s="252"/>
      <c r="EG7" s="252"/>
      <c r="EH7" s="252"/>
      <c r="EI7" s="252"/>
      <c r="EJ7" s="252"/>
      <c r="EK7" s="252"/>
      <c r="EL7" s="252"/>
      <c r="EM7" s="252"/>
      <c r="EN7" s="252"/>
      <c r="EO7" s="252"/>
      <c r="EP7" s="252"/>
      <c r="EQ7" s="252"/>
      <c r="ER7" s="252"/>
      <c r="ES7" s="252"/>
      <c r="ET7" s="252"/>
      <c r="EU7" s="252"/>
      <c r="EV7" s="252"/>
      <c r="EW7" s="252"/>
      <c r="EX7" s="252"/>
      <c r="EY7" s="252"/>
      <c r="EZ7" s="252"/>
      <c r="FA7" s="252"/>
      <c r="FB7" s="252"/>
      <c r="FC7" s="252"/>
      <c r="FD7" s="252"/>
      <c r="FE7" s="252"/>
      <c r="FF7" s="252"/>
      <c r="FG7" s="252"/>
      <c r="FH7" s="252"/>
      <c r="FI7" s="252"/>
      <c r="FJ7" s="252"/>
      <c r="FK7" s="252"/>
      <c r="FL7" s="252"/>
      <c r="FM7" s="252"/>
      <c r="FN7" s="252"/>
      <c r="FO7" s="252"/>
      <c r="FP7" s="252"/>
      <c r="FQ7" s="252"/>
      <c r="FR7" s="252"/>
      <c r="FS7" s="252"/>
      <c r="FT7" s="252"/>
      <c r="FU7" s="252"/>
      <c r="FV7" s="252"/>
      <c r="FW7" s="252"/>
      <c r="FX7" s="252"/>
      <c r="FY7" s="252"/>
      <c r="FZ7" s="252"/>
      <c r="GA7" s="252"/>
      <c r="GB7" s="252"/>
      <c r="GC7" s="252"/>
      <c r="GD7" s="252"/>
      <c r="GE7" s="252"/>
      <c r="GF7" s="252"/>
      <c r="GG7" s="252"/>
      <c r="GH7" s="252"/>
      <c r="GI7" s="252"/>
      <c r="GJ7" s="252"/>
      <c r="GK7" s="252"/>
      <c r="GL7" s="252"/>
      <c r="GM7" s="252"/>
      <c r="GN7" s="252"/>
      <c r="GO7" s="252"/>
      <c r="GP7" s="252"/>
      <c r="GQ7" s="252"/>
      <c r="GR7" s="252"/>
      <c r="GS7" s="252"/>
      <c r="GT7" s="252"/>
      <c r="GU7" s="252"/>
      <c r="GV7" s="252"/>
      <c r="GW7" s="252"/>
      <c r="GX7" s="252"/>
      <c r="GY7" s="252"/>
      <c r="GZ7" s="252"/>
      <c r="HA7" s="252"/>
      <c r="HB7" s="252"/>
      <c r="HC7" s="252"/>
      <c r="HD7" s="252"/>
      <c r="HE7" s="252"/>
      <c r="HF7" s="252"/>
      <c r="HG7" s="252"/>
      <c r="HH7" s="252"/>
      <c r="HI7" s="252"/>
      <c r="HJ7" s="252"/>
      <c r="HK7" s="252"/>
      <c r="HL7" s="252"/>
      <c r="HM7" s="252"/>
      <c r="HN7" s="252"/>
      <c r="HO7" s="252"/>
      <c r="HP7" s="252"/>
      <c r="HQ7" s="252"/>
      <c r="HR7" s="252"/>
      <c r="HS7" s="252"/>
      <c r="HT7" s="252"/>
      <c r="HU7" s="252"/>
      <c r="HV7" s="252"/>
      <c r="HW7" s="252"/>
      <c r="HX7" s="252"/>
      <c r="HY7" s="252"/>
      <c r="HZ7" s="252"/>
      <c r="IA7" s="252"/>
      <c r="IB7" s="252"/>
      <c r="IC7" s="252"/>
      <c r="ID7" s="252"/>
      <c r="IE7" s="252"/>
      <c r="IF7" s="252"/>
      <c r="IG7" s="304"/>
      <c r="IH7" s="252"/>
      <c r="II7" s="252"/>
      <c r="IJ7" s="252"/>
      <c r="IK7" s="252"/>
      <c r="IL7" s="252"/>
      <c r="IM7" s="304"/>
      <c r="IN7" s="252"/>
      <c r="IO7" s="252"/>
      <c r="IP7" s="252"/>
      <c r="IQ7" s="252"/>
      <c r="IR7" s="252"/>
      <c r="IS7" s="304"/>
      <c r="IT7" s="252"/>
      <c r="IU7" s="252"/>
      <c r="IV7" s="252"/>
      <c r="IW7" s="252"/>
      <c r="IX7" s="252"/>
      <c r="IY7" s="304"/>
      <c r="IZ7" s="252"/>
      <c r="JA7" s="252"/>
      <c r="JB7" s="252"/>
      <c r="JC7" s="252"/>
      <c r="JD7" s="305"/>
      <c r="JF7" s="68"/>
      <c r="JG7" s="68"/>
      <c r="JH7" s="68"/>
      <c r="JI7" s="68"/>
      <c r="JJ7" s="68"/>
      <c r="JL7" s="73"/>
      <c r="JM7" s="73"/>
      <c r="JN7" s="73"/>
      <c r="JO7" s="73"/>
      <c r="JP7" s="73"/>
    </row>
    <row r="8" spans="1:276" x14ac:dyDescent="0.35">
      <c r="A8" s="125">
        <v>1</v>
      </c>
      <c r="B8" s="125">
        <v>1</v>
      </c>
      <c r="C8" s="125">
        <v>1</v>
      </c>
      <c r="D8" s="1"/>
      <c r="E8" s="142" t="s">
        <v>814</v>
      </c>
      <c r="F8" s="208" t="s">
        <v>11</v>
      </c>
      <c r="G8" s="209" t="s">
        <v>530</v>
      </c>
      <c r="H8" s="210" t="s">
        <v>531</v>
      </c>
      <c r="I8" s="8" t="s">
        <v>532</v>
      </c>
      <c r="J8" s="211">
        <v>6.1710293843762924</v>
      </c>
      <c r="K8" s="211">
        <v>7.855762153674366</v>
      </c>
      <c r="L8" s="211">
        <v>3.9857559910440337</v>
      </c>
      <c r="M8" s="211">
        <v>5.0541991351896938</v>
      </c>
      <c r="N8" s="211" t="s">
        <v>805</v>
      </c>
      <c r="O8" s="211" t="s">
        <v>805</v>
      </c>
      <c r="P8" s="211" t="s">
        <v>805</v>
      </c>
      <c r="Q8" s="211" t="s">
        <v>805</v>
      </c>
      <c r="R8" s="211" t="s">
        <v>805</v>
      </c>
      <c r="S8" s="211" t="s">
        <v>805</v>
      </c>
      <c r="T8" s="211" t="s">
        <v>805</v>
      </c>
      <c r="U8" s="211" t="s">
        <v>805</v>
      </c>
      <c r="V8" s="211" t="s">
        <v>805</v>
      </c>
      <c r="W8" s="211" t="s">
        <v>805</v>
      </c>
      <c r="X8" s="211" t="s">
        <v>805</v>
      </c>
      <c r="Y8" s="211" t="s">
        <v>805</v>
      </c>
      <c r="Z8" s="211" t="s">
        <v>805</v>
      </c>
      <c r="AA8" s="211" t="s">
        <v>805</v>
      </c>
      <c r="AB8" s="211" t="s">
        <v>805</v>
      </c>
      <c r="AC8" s="211" t="s">
        <v>805</v>
      </c>
      <c r="AD8" s="211" t="s">
        <v>805</v>
      </c>
      <c r="AE8" s="211" t="s">
        <v>805</v>
      </c>
      <c r="AF8" s="211" t="s">
        <v>805</v>
      </c>
      <c r="AG8" s="211" t="s">
        <v>805</v>
      </c>
      <c r="AH8" s="211" t="s">
        <v>805</v>
      </c>
      <c r="AI8" s="211" t="s">
        <v>805</v>
      </c>
      <c r="AJ8" s="211" t="s">
        <v>805</v>
      </c>
      <c r="AK8" s="211" t="s">
        <v>805</v>
      </c>
      <c r="AL8" s="211" t="s">
        <v>805</v>
      </c>
      <c r="AM8" s="211" t="s">
        <v>805</v>
      </c>
      <c r="AN8" s="211" t="s">
        <v>805</v>
      </c>
      <c r="AO8" s="211" t="s">
        <v>805</v>
      </c>
      <c r="AP8" s="211" t="s">
        <v>805</v>
      </c>
      <c r="AQ8" s="211" t="s">
        <v>805</v>
      </c>
      <c r="AR8" s="211" t="s">
        <v>805</v>
      </c>
      <c r="AS8" s="211" t="s">
        <v>805</v>
      </c>
      <c r="AT8" s="211" t="s">
        <v>805</v>
      </c>
      <c r="AU8" s="211" t="s">
        <v>805</v>
      </c>
      <c r="AV8" s="211" t="s">
        <v>805</v>
      </c>
      <c r="AW8" s="211" t="s">
        <v>805</v>
      </c>
      <c r="AX8" s="211" t="s">
        <v>805</v>
      </c>
      <c r="AY8" s="211" t="s">
        <v>805</v>
      </c>
      <c r="AZ8" s="211" t="s">
        <v>805</v>
      </c>
      <c r="BA8" s="211" t="s">
        <v>805</v>
      </c>
      <c r="BB8" s="211" t="s">
        <v>805</v>
      </c>
      <c r="BC8" s="211" t="s">
        <v>805</v>
      </c>
      <c r="BD8" s="211" t="s">
        <v>805</v>
      </c>
      <c r="BE8" s="211" t="s">
        <v>805</v>
      </c>
      <c r="BF8" s="211" t="s">
        <v>805</v>
      </c>
      <c r="BG8" s="211" t="s">
        <v>805</v>
      </c>
      <c r="BH8" s="211" t="s">
        <v>805</v>
      </c>
      <c r="BI8" s="211" t="s">
        <v>805</v>
      </c>
      <c r="BJ8" s="211" t="s">
        <v>805</v>
      </c>
      <c r="BK8" s="211" t="s">
        <v>805</v>
      </c>
      <c r="BL8" s="211" t="s">
        <v>805</v>
      </c>
      <c r="BM8" s="211" t="s">
        <v>805</v>
      </c>
      <c r="BN8" s="211" t="s">
        <v>805</v>
      </c>
      <c r="BO8" s="211" t="s">
        <v>805</v>
      </c>
      <c r="BP8" s="211" t="s">
        <v>805</v>
      </c>
      <c r="BQ8" s="211" t="s">
        <v>805</v>
      </c>
      <c r="BR8" s="211" t="s">
        <v>805</v>
      </c>
      <c r="BS8" s="211" t="s">
        <v>805</v>
      </c>
      <c r="BT8" s="211" t="s">
        <v>805</v>
      </c>
      <c r="BU8" s="211" t="s">
        <v>805</v>
      </c>
      <c r="BV8" s="211" t="s">
        <v>805</v>
      </c>
      <c r="BW8" s="211" t="s">
        <v>805</v>
      </c>
      <c r="BX8" s="211" t="s">
        <v>805</v>
      </c>
      <c r="BY8" s="211" t="s">
        <v>805</v>
      </c>
      <c r="BZ8" s="211" t="s">
        <v>805</v>
      </c>
      <c r="CA8" s="211" t="s">
        <v>805</v>
      </c>
      <c r="CB8" s="211" t="s">
        <v>805</v>
      </c>
      <c r="CC8" s="211" t="s">
        <v>805</v>
      </c>
      <c r="CD8" s="211" t="s">
        <v>805</v>
      </c>
      <c r="CE8" s="211" t="s">
        <v>805</v>
      </c>
      <c r="CF8" s="211" t="s">
        <v>805</v>
      </c>
      <c r="CG8" s="211" t="s">
        <v>805</v>
      </c>
      <c r="CH8" s="211" t="s">
        <v>805</v>
      </c>
      <c r="CI8" s="211" t="s">
        <v>805</v>
      </c>
      <c r="CJ8" s="211" t="s">
        <v>805</v>
      </c>
      <c r="CK8" s="211" t="s">
        <v>805</v>
      </c>
      <c r="CL8" s="211" t="s">
        <v>805</v>
      </c>
      <c r="CM8" s="211" t="s">
        <v>805</v>
      </c>
      <c r="CN8" s="211" t="s">
        <v>805</v>
      </c>
      <c r="CO8" s="211" t="s">
        <v>805</v>
      </c>
      <c r="CP8" s="211" t="s">
        <v>805</v>
      </c>
      <c r="CQ8" s="211" t="s">
        <v>805</v>
      </c>
      <c r="CR8" s="211" t="s">
        <v>805</v>
      </c>
      <c r="CS8" s="211" t="s">
        <v>805</v>
      </c>
      <c r="CT8" s="211" t="s">
        <v>805</v>
      </c>
      <c r="CU8" s="211" t="s">
        <v>805</v>
      </c>
      <c r="CV8" s="211" t="s">
        <v>805</v>
      </c>
      <c r="CW8" s="211" t="s">
        <v>805</v>
      </c>
      <c r="CX8" s="211" t="s">
        <v>805</v>
      </c>
      <c r="CY8" s="211" t="s">
        <v>805</v>
      </c>
      <c r="CZ8" s="211" t="s">
        <v>805</v>
      </c>
      <c r="DA8" s="211" t="s">
        <v>805</v>
      </c>
      <c r="DB8" s="211" t="s">
        <v>805</v>
      </c>
      <c r="DC8" s="211" t="s">
        <v>805</v>
      </c>
      <c r="DD8" s="211" t="s">
        <v>805</v>
      </c>
      <c r="DE8" s="211" t="s">
        <v>805</v>
      </c>
      <c r="DF8" s="211" t="s">
        <v>805</v>
      </c>
      <c r="DG8" s="212">
        <f>VLOOKUP(E8,'KPI Count-SHARE'!A:F,3,0)</f>
        <v>24</v>
      </c>
      <c r="DH8" s="213">
        <v>6.1776559873024146</v>
      </c>
      <c r="DI8" s="213">
        <v>2.738788553651704</v>
      </c>
      <c r="DJ8" s="213">
        <v>3.0324254740196754</v>
      </c>
      <c r="DK8" s="213">
        <v>5.0928845820389181</v>
      </c>
      <c r="DL8" s="213">
        <v>6.7364773142320455</v>
      </c>
      <c r="DM8" s="213">
        <v>10.696723383489131</v>
      </c>
      <c r="DN8" s="212">
        <f>VLOOKUP(E8,'KPI Count-SHARE'!A:F,4,0)</f>
        <v>0</v>
      </c>
      <c r="DO8" s="213"/>
      <c r="DP8" s="213"/>
      <c r="DQ8" s="213"/>
      <c r="DR8" s="213"/>
      <c r="DS8" s="213"/>
      <c r="DT8" s="213"/>
      <c r="DU8" s="212">
        <f>VLOOKUP(E8,'KPI Count-SHARE'!A:F,5,0)</f>
        <v>0</v>
      </c>
      <c r="DV8" s="213"/>
      <c r="DW8" s="213"/>
      <c r="DX8" s="213"/>
      <c r="DY8" s="213"/>
      <c r="DZ8" s="213"/>
      <c r="EA8" s="213"/>
      <c r="EB8" s="212">
        <f>VLOOKUP(E8,'KPI Count-SHARE'!A:F,6,0)</f>
        <v>0</v>
      </c>
      <c r="EC8" s="213"/>
      <c r="ED8" s="213"/>
      <c r="EE8" s="213"/>
      <c r="EF8" s="213"/>
      <c r="EG8" s="213"/>
      <c r="EH8" s="213"/>
      <c r="EI8" s="214" t="s">
        <v>531</v>
      </c>
      <c r="EJ8" s="41">
        <f>IFERROR(IF(ISBLANK(J8), "-", IF(OR($I8="c",$I8="r"), J8*$I$5, J8)),"-")</f>
        <v>6.1710293843762924</v>
      </c>
      <c r="EK8" s="41">
        <f>IFERROR(IF(ISBLANK(K8), "-", IF($I8="c", K8*$I$5, K8)),"-")</f>
        <v>7.855762153674366</v>
      </c>
      <c r="EL8" s="41">
        <f>IFERROR(IF(ISBLANK(L8), "-", IF($I8="c", L8*$I$5, L8)),"-")</f>
        <v>3.9857559910440337</v>
      </c>
      <c r="EM8" s="41">
        <f>IFERROR(IF(ISBLANK(M8), "-", IF($I8="c", M8*$I$5,M8)),"-")</f>
        <v>5.0541991351896938</v>
      </c>
      <c r="EN8" s="41" t="str">
        <f>IFERROR(IF(ISBLANK(N8), "-", IF($I8="c", N8*$I$5, N8)),"-")</f>
        <v/>
      </c>
      <c r="EO8" s="41" t="str">
        <f>IFERROR(IF(ISBLANK(O8), "-", IF($I8="c", O8*$I$5,O8)),"-")</f>
        <v/>
      </c>
      <c r="EP8" s="41" t="str">
        <f t="shared" ref="EP8:FU8" si="65">IFERROR(IF(ISBLANK(P8), "-", IF($I8="c", P8*$I$5, P8)),"-")</f>
        <v/>
      </c>
      <c r="EQ8" s="41" t="str">
        <f t="shared" si="65"/>
        <v/>
      </c>
      <c r="ER8" s="41" t="str">
        <f t="shared" si="65"/>
        <v/>
      </c>
      <c r="ES8" s="41" t="str">
        <f t="shared" si="65"/>
        <v/>
      </c>
      <c r="ET8" s="41" t="str">
        <f t="shared" si="65"/>
        <v/>
      </c>
      <c r="EU8" s="41" t="str">
        <f t="shared" si="65"/>
        <v/>
      </c>
      <c r="EV8" s="41" t="str">
        <f t="shared" si="65"/>
        <v/>
      </c>
      <c r="EW8" s="41" t="str">
        <f t="shared" si="65"/>
        <v/>
      </c>
      <c r="EX8" s="41" t="str">
        <f t="shared" si="65"/>
        <v/>
      </c>
      <c r="EY8" s="41" t="str">
        <f t="shared" si="65"/>
        <v/>
      </c>
      <c r="EZ8" s="41" t="str">
        <f t="shared" si="65"/>
        <v/>
      </c>
      <c r="FA8" s="41" t="str">
        <f t="shared" si="65"/>
        <v/>
      </c>
      <c r="FB8" s="41" t="str">
        <f t="shared" si="65"/>
        <v/>
      </c>
      <c r="FC8" s="41" t="str">
        <f t="shared" si="65"/>
        <v/>
      </c>
      <c r="FD8" s="41" t="str">
        <f t="shared" si="65"/>
        <v/>
      </c>
      <c r="FE8" s="41" t="str">
        <f t="shared" si="65"/>
        <v/>
      </c>
      <c r="FF8" s="41" t="str">
        <f t="shared" si="65"/>
        <v/>
      </c>
      <c r="FG8" s="41" t="str">
        <f t="shared" si="65"/>
        <v/>
      </c>
      <c r="FH8" s="41" t="str">
        <f t="shared" si="65"/>
        <v/>
      </c>
      <c r="FI8" s="41" t="str">
        <f t="shared" si="65"/>
        <v/>
      </c>
      <c r="FJ8" s="41" t="str">
        <f t="shared" si="65"/>
        <v/>
      </c>
      <c r="FK8" s="41" t="str">
        <f t="shared" si="65"/>
        <v/>
      </c>
      <c r="FL8" s="41" t="str">
        <f t="shared" si="65"/>
        <v/>
      </c>
      <c r="FM8" s="41" t="str">
        <f t="shared" si="65"/>
        <v/>
      </c>
      <c r="FN8" s="41" t="str">
        <f t="shared" si="65"/>
        <v/>
      </c>
      <c r="FO8" s="41" t="str">
        <f t="shared" si="65"/>
        <v/>
      </c>
      <c r="FP8" s="41" t="str">
        <f t="shared" si="65"/>
        <v/>
      </c>
      <c r="FQ8" s="41" t="str">
        <f t="shared" si="65"/>
        <v/>
      </c>
      <c r="FR8" s="41" t="str">
        <f t="shared" si="65"/>
        <v/>
      </c>
      <c r="FS8" s="41" t="str">
        <f t="shared" si="65"/>
        <v/>
      </c>
      <c r="FT8" s="41" t="str">
        <f t="shared" si="65"/>
        <v/>
      </c>
      <c r="FU8" s="41" t="str">
        <f t="shared" si="65"/>
        <v/>
      </c>
      <c r="FV8" s="41" t="str">
        <f t="shared" ref="FV8:HA8" si="66">IFERROR(IF(ISBLANK(AV8), "-", IF($I8="c", AV8*$I$5, AV8)),"-")</f>
        <v/>
      </c>
      <c r="FW8" s="41" t="str">
        <f t="shared" si="66"/>
        <v/>
      </c>
      <c r="FX8" s="41" t="str">
        <f t="shared" si="66"/>
        <v/>
      </c>
      <c r="FY8" s="41" t="str">
        <f t="shared" si="66"/>
        <v/>
      </c>
      <c r="FZ8" s="41" t="str">
        <f t="shared" si="66"/>
        <v/>
      </c>
      <c r="GA8" s="41" t="str">
        <f t="shared" si="66"/>
        <v/>
      </c>
      <c r="GB8" s="41" t="str">
        <f t="shared" si="66"/>
        <v/>
      </c>
      <c r="GC8" s="41" t="str">
        <f t="shared" si="66"/>
        <v/>
      </c>
      <c r="GD8" s="41" t="str">
        <f t="shared" si="66"/>
        <v/>
      </c>
      <c r="GE8" s="41" t="str">
        <f t="shared" si="66"/>
        <v/>
      </c>
      <c r="GF8" s="41" t="str">
        <f t="shared" si="66"/>
        <v/>
      </c>
      <c r="GG8" s="41" t="str">
        <f t="shared" si="66"/>
        <v/>
      </c>
      <c r="GH8" s="41" t="str">
        <f t="shared" si="66"/>
        <v/>
      </c>
      <c r="GI8" s="41" t="str">
        <f t="shared" si="66"/>
        <v/>
      </c>
      <c r="GJ8" s="41" t="str">
        <f t="shared" si="66"/>
        <v/>
      </c>
      <c r="GK8" s="41" t="str">
        <f t="shared" si="66"/>
        <v/>
      </c>
      <c r="GL8" s="41" t="str">
        <f t="shared" si="66"/>
        <v/>
      </c>
      <c r="GM8" s="41" t="str">
        <f t="shared" si="66"/>
        <v/>
      </c>
      <c r="GN8" s="41" t="str">
        <f t="shared" si="66"/>
        <v/>
      </c>
      <c r="GO8" s="41" t="str">
        <f t="shared" si="66"/>
        <v/>
      </c>
      <c r="GP8" s="41" t="str">
        <f t="shared" si="66"/>
        <v/>
      </c>
      <c r="GQ8" s="41" t="str">
        <f t="shared" si="66"/>
        <v/>
      </c>
      <c r="GR8" s="41" t="str">
        <f t="shared" si="66"/>
        <v/>
      </c>
      <c r="GS8" s="41" t="str">
        <f t="shared" si="66"/>
        <v/>
      </c>
      <c r="GT8" s="41" t="str">
        <f t="shared" si="66"/>
        <v/>
      </c>
      <c r="GU8" s="41" t="str">
        <f t="shared" si="66"/>
        <v/>
      </c>
      <c r="GV8" s="41" t="str">
        <f t="shared" si="66"/>
        <v/>
      </c>
      <c r="GW8" s="41" t="str">
        <f t="shared" si="66"/>
        <v/>
      </c>
      <c r="GX8" s="41" t="str">
        <f t="shared" si="66"/>
        <v/>
      </c>
      <c r="GY8" s="41" t="str">
        <f t="shared" si="66"/>
        <v/>
      </c>
      <c r="GZ8" s="41" t="str">
        <f t="shared" si="66"/>
        <v/>
      </c>
      <c r="HA8" s="41" t="str">
        <f t="shared" si="66"/>
        <v/>
      </c>
      <c r="HB8" s="41" t="str">
        <f t="shared" ref="HB8:ID8" si="67">IFERROR(IF(ISBLANK(CB8), "-", IF($I8="c", CB8*$I$5, CB8)),"-")</f>
        <v/>
      </c>
      <c r="HC8" s="41" t="str">
        <f t="shared" si="67"/>
        <v/>
      </c>
      <c r="HD8" s="41" t="str">
        <f t="shared" si="67"/>
        <v/>
      </c>
      <c r="HE8" s="41" t="str">
        <f t="shared" si="67"/>
        <v/>
      </c>
      <c r="HF8" s="41" t="str">
        <f t="shared" si="67"/>
        <v/>
      </c>
      <c r="HG8" s="41" t="str">
        <f t="shared" si="67"/>
        <v/>
      </c>
      <c r="HH8" s="41" t="str">
        <f t="shared" si="67"/>
        <v/>
      </c>
      <c r="HI8" s="41" t="str">
        <f t="shared" si="67"/>
        <v/>
      </c>
      <c r="HJ8" s="41" t="str">
        <f t="shared" si="67"/>
        <v/>
      </c>
      <c r="HK8" s="41" t="str">
        <f t="shared" si="67"/>
        <v/>
      </c>
      <c r="HL8" s="41" t="str">
        <f t="shared" si="67"/>
        <v/>
      </c>
      <c r="HM8" s="41" t="str">
        <f t="shared" si="67"/>
        <v/>
      </c>
      <c r="HN8" s="41" t="str">
        <f t="shared" si="67"/>
        <v/>
      </c>
      <c r="HO8" s="41" t="str">
        <f t="shared" si="67"/>
        <v/>
      </c>
      <c r="HP8" s="41" t="str">
        <f t="shared" si="67"/>
        <v/>
      </c>
      <c r="HQ8" s="41" t="str">
        <f t="shared" si="67"/>
        <v/>
      </c>
      <c r="HR8" s="41" t="str">
        <f t="shared" si="67"/>
        <v/>
      </c>
      <c r="HS8" s="41" t="str">
        <f t="shared" si="67"/>
        <v/>
      </c>
      <c r="HT8" s="41" t="str">
        <f t="shared" si="67"/>
        <v/>
      </c>
      <c r="HU8" s="41" t="str">
        <f t="shared" si="67"/>
        <v/>
      </c>
      <c r="HV8" s="41" t="str">
        <f t="shared" si="67"/>
        <v/>
      </c>
      <c r="HW8" s="41" t="str">
        <f t="shared" si="67"/>
        <v/>
      </c>
      <c r="HX8" s="41" t="str">
        <f t="shared" si="67"/>
        <v/>
      </c>
      <c r="HY8" s="41" t="str">
        <f t="shared" si="67"/>
        <v/>
      </c>
      <c r="HZ8" s="41" t="str">
        <f t="shared" si="67"/>
        <v/>
      </c>
      <c r="IA8" s="41" t="str">
        <f t="shared" si="67"/>
        <v/>
      </c>
      <c r="IB8" s="41" t="str">
        <f t="shared" si="67"/>
        <v/>
      </c>
      <c r="IC8" s="41" t="str">
        <f t="shared" si="67"/>
        <v/>
      </c>
      <c r="ID8" s="41" t="str">
        <f t="shared" si="67"/>
        <v/>
      </c>
      <c r="IE8" s="41" t="str">
        <f t="shared" ref="IE8:IE44" si="68">IFERROR(IF(ISBLANK(DE8), "-", IF($I8="c", DE8*$I$5, DE8)),"-")</f>
        <v/>
      </c>
      <c r="IF8" s="41" t="str">
        <f t="shared" ref="IF8:IF44" si="69">IFERROR(IF(ISBLANK(DF8), "-", IF($I8="c", DF8*$I$5, DF8)),"-")</f>
        <v/>
      </c>
      <c r="IG8" s="306">
        <f t="shared" ref="IG8:IG44" si="70">IFERROR(IF(ISBLANK(DH8), "-", IF($I8="c", DH8*$I$5, DH8)),"-")</f>
        <v>6.1776559873024146</v>
      </c>
      <c r="IH8" s="44">
        <f t="shared" ref="IH8:IH10" si="71">IFERROR(IF(ISBLANK(DI8), "-", IF($I8="c", DI8*$I$5, DI8)),"-")</f>
        <v>2.738788553651704</v>
      </c>
      <c r="II8" s="44">
        <f t="shared" ref="II8:II10" si="72">IFERROR(IF(ISBLANK(DJ8), "-", IF($I8="c", DJ8*$I$5, DJ8)),"-")</f>
        <v>3.0324254740196754</v>
      </c>
      <c r="IJ8" s="44">
        <f t="shared" ref="IJ8:IJ10" si="73">IFERROR(IF(ISBLANK(DK8), "-", IF($I8="c", DK8*$I$5, DK8)),"-")</f>
        <v>5.0928845820389181</v>
      </c>
      <c r="IK8" s="44">
        <f t="shared" ref="IK8:IK10" si="74">IFERROR(IF(ISBLANK(DL8), "-", IF($I8="c", DL8*$I$5, DL8)),"-")</f>
        <v>6.7364773142320455</v>
      </c>
      <c r="IL8" s="44">
        <f t="shared" ref="IL8:IL10" si="75">IFERROR(IF(ISBLANK(DM8), "-", IF($I8="c", DM8*$I$5, DM8)),"-")</f>
        <v>10.696723383489131</v>
      </c>
      <c r="IM8" s="306" t="str">
        <f t="shared" ref="IM8:IM44" si="76">IFERROR(IF(ISBLANK(DO8), "", IF($I8="c",DO8*$I$5, DO8)),"-")</f>
        <v/>
      </c>
      <c r="IN8" s="44" t="str">
        <f t="shared" ref="IN8:IN10" si="77">IFERROR(IF(ISBLANK(DP8), "", IF($I8="c",DP8*$I$5, DP8)),"-")</f>
        <v/>
      </c>
      <c r="IO8" s="44" t="str">
        <f t="shared" ref="IO8:IO10" si="78">IFERROR(IF(ISBLANK(DQ8), "", IF($I8="c",DQ8*$I$5, DQ8)),"-")</f>
        <v/>
      </c>
      <c r="IP8" s="44" t="str">
        <f t="shared" ref="IP8:IP10" si="79">IFERROR(IF(ISBLANK(DR8), "", IF($I8="c",DR8*$I$5, DR8)),"-")</f>
        <v/>
      </c>
      <c r="IQ8" s="44" t="str">
        <f t="shared" ref="IQ8:IQ10" si="80">IFERROR(IF(ISBLANK(DS8), "", IF($I8="c",DS8*$I$5, DS8)),"-")</f>
        <v/>
      </c>
      <c r="IR8" s="44" t="str">
        <f t="shared" ref="IR8:IR10" si="81">IFERROR(IF(ISBLANK(DT8), "", IF($I8="c",DT8*$I$5, DT8)),"-")</f>
        <v/>
      </c>
      <c r="IS8" s="306" t="str">
        <f t="shared" ref="IS8:IS44" si="82">IFERROR(IF(ISBLANK(DV8), "", IF($I8="c", DV8*$I$5, DV8)),"-")</f>
        <v/>
      </c>
      <c r="IT8" s="44" t="str">
        <f t="shared" ref="IT8:IT10" si="83">IFERROR(IF(ISBLANK(DW8), "", IF($I8="c", DW8*$I$5, DW8)),"-")</f>
        <v/>
      </c>
      <c r="IU8" s="44" t="str">
        <f t="shared" ref="IU8:IU10" si="84">IFERROR(IF(ISBLANK(DX8), "", IF($I8="c", DX8*$I$5, DX8)),"-")</f>
        <v/>
      </c>
      <c r="IV8" s="44" t="str">
        <f t="shared" ref="IV8:IV10" si="85">IFERROR(IF(ISBLANK(DY8), "", IF($I8="c", DY8*$I$5, DY8)),"-")</f>
        <v/>
      </c>
      <c r="IW8" s="44" t="str">
        <f t="shared" ref="IW8:IW10" si="86">IFERROR(IF(ISBLANK(DZ8), "", IF($I8="c", DZ8*$I$5, DZ8)),"-")</f>
        <v/>
      </c>
      <c r="IX8" s="44" t="str">
        <f t="shared" ref="IX8:IX10" si="87">IFERROR(IF(ISBLANK(EA8), "", IF($I8="c", EA8*$I$5, EA8)),"-")</f>
        <v/>
      </c>
      <c r="IY8" s="306" t="str">
        <f t="shared" ref="IY8:IY44" si="88">IFERROR(IF(ISBLANK(EC8), "", IF($I8="c", EC8*$I$5, EC8)),"-")</f>
        <v/>
      </c>
      <c r="IZ8" s="44" t="str">
        <f t="shared" ref="IZ8:IZ10" si="89">IFERROR(IF(ISBLANK(ED8), "", IF($I8="c", ED8*$I$5, ED8)),"-")</f>
        <v/>
      </c>
      <c r="JA8" s="44" t="str">
        <f t="shared" ref="JA8:JA10" si="90">IFERROR(IF(ISBLANK(EE8), "", IF($I8="c", EE8*$I$5, EE8)),"-")</f>
        <v/>
      </c>
      <c r="JB8" s="44" t="str">
        <f t="shared" ref="JB8:JB10" si="91">IFERROR(IF(ISBLANK(EF8), "", IF($I8="c", EF8*$I$5, EF8)),"-")</f>
        <v/>
      </c>
      <c r="JC8" s="44" t="str">
        <f t="shared" ref="JC8:JC10" si="92">IFERROR(IF(ISBLANK(EG8), "", IF($I8="c", EG8*$I$5, EG8)),"-")</f>
        <v/>
      </c>
      <c r="JD8" s="307" t="str">
        <f t="shared" ref="JD8:JD10" si="93">IFERROR(IF(ISBLANK(EH8), "", IF($I8="c", EH8*$I$5, EH8)),"-")</f>
        <v/>
      </c>
      <c r="JF8" s="66">
        <f t="shared" ref="JF8:JF10" si="94">ROW(F8)</f>
        <v>8</v>
      </c>
      <c r="JG8" s="66">
        <f t="shared" ref="JG8:JG44" ca="1" si="95">SUM(INDIRECT(VLOOKUP($JH$4,XPEERCOLUMNS,2,0) &amp; JF8 &amp; ":" &amp; VLOOKUP($JH$4,XPEERCOLUMNS,2,0) &amp; JF8))</f>
        <v>3.0324254740196754</v>
      </c>
      <c r="JH8" s="66">
        <f t="shared" ref="JH8:JH44" ca="1" si="96">SUM(INDIRECT(VLOOKUP($JH$4,XPEERCOLUMNS,3,0) &amp; JF8 &amp; ":" &amp; VLOOKUP($JH$4,XPEERCOLUMNS,3,0) &amp; JF8))</f>
        <v>5.0928845820389181</v>
      </c>
      <c r="JI8" s="66">
        <f t="shared" ref="JI8:JI44" ca="1" si="97">SUM(INDIRECT(VLOOKUP($JH$4,XPEERCOLUMNS,4,0) &amp; JF8 &amp; ":" &amp; VLOOKUP($JH$4,XPEERCOLUMNS,4,0) &amp; JF8))</f>
        <v>6.7364773142320455</v>
      </c>
      <c r="JJ8" s="66">
        <f t="shared" ref="JJ8:JJ44" ca="1" si="98">SUM(INDIRECT(VLOOKUP($JH$4,XPEERCOLUMNS,5,0) &amp; JF8 &amp; ":" &amp; VLOOKUP($JH$4,XPEERCOLUMNS,5,0) &amp; JF8))</f>
        <v>24</v>
      </c>
      <c r="JK8" s="28"/>
      <c r="JL8" s="75">
        <f ca="1">IF(JG8=0,"-",JG8)</f>
        <v>3.0324254740196754</v>
      </c>
      <c r="JM8" s="75">
        <f t="shared" ref="JM8:JM39" ca="1" si="99">IF(G8="Smaller better",JG8-((JG8-JH8)*0.5),JG8+((JH8-JG8)*0.5))</f>
        <v>4.0626550280292966</v>
      </c>
      <c r="JN8" s="75">
        <f t="shared" ref="JN8:JN39" ca="1" si="100">IF(G8="Smaller better",JH8-((JH8-JI8)*0.5),JH8+((JI8-JH8)*0.5))</f>
        <v>5.9146809481354818</v>
      </c>
      <c r="JO8" s="75">
        <f ca="1">IF(JI8=0,"-",JI8)</f>
        <v>6.7364773142320455</v>
      </c>
      <c r="JP8" s="74">
        <f ca="1">SUM(JL8:JO8)</f>
        <v>19.7462387644165</v>
      </c>
    </row>
    <row r="9" spans="1:276" x14ac:dyDescent="0.35">
      <c r="A9" s="125">
        <v>1</v>
      </c>
      <c r="B9" s="125">
        <v>1</v>
      </c>
      <c r="C9" s="125">
        <v>1</v>
      </c>
      <c r="D9" s="1"/>
      <c r="E9" s="142" t="s">
        <v>815</v>
      </c>
      <c r="F9" s="208" t="s">
        <v>13</v>
      </c>
      <c r="G9" s="209" t="s">
        <v>530</v>
      </c>
      <c r="H9" s="210" t="s">
        <v>533</v>
      </c>
      <c r="I9" s="8" t="s">
        <v>534</v>
      </c>
      <c r="J9" s="211">
        <v>0.12234697670358387</v>
      </c>
      <c r="K9" s="211">
        <v>0.13429318718868191</v>
      </c>
      <c r="L9" s="211">
        <v>0.10099740279782168</v>
      </c>
      <c r="M9" s="211">
        <v>9.3945616795376205E-2</v>
      </c>
      <c r="N9" s="211" t="s">
        <v>805</v>
      </c>
      <c r="O9" s="211" t="s">
        <v>805</v>
      </c>
      <c r="P9" s="215" t="s">
        <v>805</v>
      </c>
      <c r="Q9" s="215" t="s">
        <v>805</v>
      </c>
      <c r="R9" s="215" t="s">
        <v>805</v>
      </c>
      <c r="S9" s="215" t="s">
        <v>805</v>
      </c>
      <c r="T9" s="215" t="s">
        <v>805</v>
      </c>
      <c r="U9" s="215" t="s">
        <v>805</v>
      </c>
      <c r="V9" s="215" t="s">
        <v>805</v>
      </c>
      <c r="W9" s="215" t="s">
        <v>805</v>
      </c>
      <c r="X9" s="215" t="s">
        <v>805</v>
      </c>
      <c r="Y9" s="215" t="s">
        <v>805</v>
      </c>
      <c r="Z9" s="215" t="s">
        <v>805</v>
      </c>
      <c r="AA9" s="215" t="s">
        <v>805</v>
      </c>
      <c r="AB9" s="215" t="s">
        <v>805</v>
      </c>
      <c r="AC9" s="215" t="s">
        <v>805</v>
      </c>
      <c r="AD9" s="215" t="s">
        <v>805</v>
      </c>
      <c r="AE9" s="215" t="s">
        <v>805</v>
      </c>
      <c r="AF9" s="215" t="s">
        <v>805</v>
      </c>
      <c r="AG9" s="215" t="s">
        <v>805</v>
      </c>
      <c r="AH9" s="215" t="s">
        <v>805</v>
      </c>
      <c r="AI9" s="215" t="s">
        <v>805</v>
      </c>
      <c r="AJ9" s="215" t="s">
        <v>805</v>
      </c>
      <c r="AK9" s="215" t="s">
        <v>805</v>
      </c>
      <c r="AL9" s="215" t="s">
        <v>805</v>
      </c>
      <c r="AM9" s="215" t="s">
        <v>805</v>
      </c>
      <c r="AN9" s="215" t="s">
        <v>805</v>
      </c>
      <c r="AO9" s="215" t="s">
        <v>805</v>
      </c>
      <c r="AP9" s="215" t="s">
        <v>805</v>
      </c>
      <c r="AQ9" s="215" t="s">
        <v>805</v>
      </c>
      <c r="AR9" s="215" t="s">
        <v>805</v>
      </c>
      <c r="AS9" s="215" t="s">
        <v>805</v>
      </c>
      <c r="AT9" s="215" t="s">
        <v>805</v>
      </c>
      <c r="AU9" s="215" t="s">
        <v>805</v>
      </c>
      <c r="AV9" s="215" t="s">
        <v>805</v>
      </c>
      <c r="AW9" s="215" t="s">
        <v>805</v>
      </c>
      <c r="AX9" s="215" t="s">
        <v>805</v>
      </c>
      <c r="AY9" s="215" t="s">
        <v>805</v>
      </c>
      <c r="AZ9" s="215" t="s">
        <v>805</v>
      </c>
      <c r="BA9" s="215" t="s">
        <v>805</v>
      </c>
      <c r="BB9" s="215" t="s">
        <v>805</v>
      </c>
      <c r="BC9" s="215" t="s">
        <v>805</v>
      </c>
      <c r="BD9" s="215" t="s">
        <v>805</v>
      </c>
      <c r="BE9" s="215" t="s">
        <v>805</v>
      </c>
      <c r="BF9" s="215" t="s">
        <v>805</v>
      </c>
      <c r="BG9" s="215" t="s">
        <v>805</v>
      </c>
      <c r="BH9" s="215" t="s">
        <v>805</v>
      </c>
      <c r="BI9" s="215" t="s">
        <v>805</v>
      </c>
      <c r="BJ9" s="215" t="s">
        <v>805</v>
      </c>
      <c r="BK9" s="215" t="s">
        <v>805</v>
      </c>
      <c r="BL9" s="215" t="s">
        <v>805</v>
      </c>
      <c r="BM9" s="215" t="s">
        <v>805</v>
      </c>
      <c r="BN9" s="215" t="s">
        <v>805</v>
      </c>
      <c r="BO9" s="215" t="s">
        <v>805</v>
      </c>
      <c r="BP9" s="215" t="s">
        <v>805</v>
      </c>
      <c r="BQ9" s="215" t="s">
        <v>805</v>
      </c>
      <c r="BR9" s="215" t="s">
        <v>805</v>
      </c>
      <c r="BS9" s="215" t="s">
        <v>805</v>
      </c>
      <c r="BT9" s="215" t="s">
        <v>805</v>
      </c>
      <c r="BU9" s="215" t="s">
        <v>805</v>
      </c>
      <c r="BV9" s="215" t="s">
        <v>805</v>
      </c>
      <c r="BW9" s="215" t="s">
        <v>805</v>
      </c>
      <c r="BX9" s="215" t="s">
        <v>805</v>
      </c>
      <c r="BY9" s="215" t="s">
        <v>805</v>
      </c>
      <c r="BZ9" s="215" t="s">
        <v>805</v>
      </c>
      <c r="CA9" s="215" t="s">
        <v>805</v>
      </c>
      <c r="CB9" s="215" t="s">
        <v>805</v>
      </c>
      <c r="CC9" s="215" t="s">
        <v>805</v>
      </c>
      <c r="CD9" s="215" t="s">
        <v>805</v>
      </c>
      <c r="CE9" s="215" t="s">
        <v>805</v>
      </c>
      <c r="CF9" s="215" t="s">
        <v>805</v>
      </c>
      <c r="CG9" s="215" t="s">
        <v>805</v>
      </c>
      <c r="CH9" s="215" t="s">
        <v>805</v>
      </c>
      <c r="CI9" s="215" t="s">
        <v>805</v>
      </c>
      <c r="CJ9" s="215" t="s">
        <v>805</v>
      </c>
      <c r="CK9" s="215" t="s">
        <v>805</v>
      </c>
      <c r="CL9" s="215" t="s">
        <v>805</v>
      </c>
      <c r="CM9" s="215" t="s">
        <v>805</v>
      </c>
      <c r="CN9" s="215" t="s">
        <v>805</v>
      </c>
      <c r="CO9" s="215" t="s">
        <v>805</v>
      </c>
      <c r="CP9" s="215" t="s">
        <v>805</v>
      </c>
      <c r="CQ9" s="215" t="s">
        <v>805</v>
      </c>
      <c r="CR9" s="215" t="s">
        <v>805</v>
      </c>
      <c r="CS9" s="215" t="s">
        <v>805</v>
      </c>
      <c r="CT9" s="215" t="s">
        <v>805</v>
      </c>
      <c r="CU9" s="215" t="s">
        <v>805</v>
      </c>
      <c r="CV9" s="215" t="s">
        <v>805</v>
      </c>
      <c r="CW9" s="215" t="s">
        <v>805</v>
      </c>
      <c r="CX9" s="215" t="s">
        <v>805</v>
      </c>
      <c r="CY9" s="215" t="s">
        <v>805</v>
      </c>
      <c r="CZ9" s="215" t="s">
        <v>805</v>
      </c>
      <c r="DA9" s="215" t="s">
        <v>805</v>
      </c>
      <c r="DB9" s="215" t="s">
        <v>805</v>
      </c>
      <c r="DC9" s="215" t="s">
        <v>805</v>
      </c>
      <c r="DD9" s="215" t="s">
        <v>805</v>
      </c>
      <c r="DE9" s="215" t="s">
        <v>805</v>
      </c>
      <c r="DF9" s="215" t="s">
        <v>805</v>
      </c>
      <c r="DG9" s="212">
        <f>VLOOKUP(E9,'KPI Count-SHARE'!A:F,3,0)</f>
        <v>27</v>
      </c>
      <c r="DH9" s="213">
        <v>0.17281429450716168</v>
      </c>
      <c r="DI9" s="216">
        <v>4.7550290821423744E-2</v>
      </c>
      <c r="DJ9" s="216">
        <v>8.4381649649742915E-2</v>
      </c>
      <c r="DK9" s="216">
        <v>0.13752087239586994</v>
      </c>
      <c r="DL9" s="216">
        <v>0.16563671397559948</v>
      </c>
      <c r="DM9" s="216">
        <v>0.27412602831924027</v>
      </c>
      <c r="DN9" s="212">
        <f>VLOOKUP(E9,'KPI Count-SHARE'!A:F,4,0)</f>
        <v>0</v>
      </c>
      <c r="DO9" s="213"/>
      <c r="DP9" s="216"/>
      <c r="DQ9" s="216"/>
      <c r="DR9" s="216"/>
      <c r="DS9" s="216"/>
      <c r="DT9" s="216"/>
      <c r="DU9" s="212">
        <f>VLOOKUP(E9,'KPI Count-SHARE'!A:F,5,0)</f>
        <v>0</v>
      </c>
      <c r="DV9" s="213"/>
      <c r="DW9" s="216"/>
      <c r="DX9" s="216"/>
      <c r="DY9" s="216"/>
      <c r="DZ9" s="216"/>
      <c r="EA9" s="216"/>
      <c r="EB9" s="212">
        <f>VLOOKUP(E9,'KPI Count-SHARE'!A:F,6,0)</f>
        <v>0</v>
      </c>
      <c r="EC9" s="213"/>
      <c r="ED9" s="216"/>
      <c r="EE9" s="216"/>
      <c r="EF9" s="216"/>
      <c r="EG9" s="216"/>
      <c r="EH9" s="216"/>
      <c r="EI9" s="214" t="s">
        <v>533</v>
      </c>
      <c r="EJ9" s="39">
        <f t="shared" ref="EJ9:EJ67" si="101">IFERROR(IF(ISBLANK(J9), "-", IF(OR($I9="c",$I9="r"), J9*$I$5, J9)),"-")</f>
        <v>0.12234697670358387</v>
      </c>
      <c r="EK9" s="39">
        <f t="shared" ref="EK9:EK67" si="102">IFERROR(IF(ISBLANK(K9), "-", IF($I9="c", K9*$I$5, K9)),"-")</f>
        <v>0.13429318718868191</v>
      </c>
      <c r="EL9" s="39">
        <f t="shared" ref="EL9:EL67" si="103">IFERROR(IF(ISBLANK(L9), "-", IF($I9="c", L9*$I$5, L9)),"-")</f>
        <v>0.10099740279782168</v>
      </c>
      <c r="EM9" s="39">
        <f t="shared" ref="EM9:EM67" si="104">IFERROR(IF(ISBLANK(M9), "-", IF($I9="c", M9*$I$5,M9)),"-")</f>
        <v>9.3945616795376205E-2</v>
      </c>
      <c r="EN9" s="39" t="str">
        <f t="shared" ref="EN9:EN67" si="105">IFERROR(IF(ISBLANK(N9), "-", IF($I9="c", N9*$I$5, N9)),"-")</f>
        <v/>
      </c>
      <c r="EO9" s="39" t="str">
        <f t="shared" ref="EO9:EO67" si="106">IFERROR(IF(ISBLANK(O9), "-", IF($I9="c", O9*$I$5,O9)),"-")</f>
        <v/>
      </c>
      <c r="EP9" s="39" t="str">
        <f t="shared" ref="EP9:EP67" si="107">IFERROR(IF(ISBLANK(P9), "-", IF($I9="c", P9*$I$5, P9)),"-")</f>
        <v/>
      </c>
      <c r="EQ9" s="39" t="str">
        <f t="shared" ref="EQ9:EQ67" si="108">IFERROR(IF(ISBLANK(Q9), "-", IF($I9="c", Q9*$I$5, Q9)),"-")</f>
        <v/>
      </c>
      <c r="ER9" s="39" t="str">
        <f t="shared" ref="ER9:ER67" si="109">IFERROR(IF(ISBLANK(R9), "-", IF($I9="c", R9*$I$5, R9)),"-")</f>
        <v/>
      </c>
      <c r="ES9" s="39" t="str">
        <f t="shared" ref="ES9:ES67" si="110">IFERROR(IF(ISBLANK(S9), "-", IF($I9="c", S9*$I$5, S9)),"-")</f>
        <v/>
      </c>
      <c r="ET9" s="39" t="str">
        <f t="shared" ref="ET9:ET67" si="111">IFERROR(IF(ISBLANK(T9), "-", IF($I9="c", T9*$I$5, T9)),"-")</f>
        <v/>
      </c>
      <c r="EU9" s="39" t="str">
        <f t="shared" ref="EU9:FD10" si="112">IFERROR(IF(ISBLANK(U9), "-", IF($I9="c", U9*$I$5, U9)),"-")</f>
        <v/>
      </c>
      <c r="EV9" s="39" t="str">
        <f t="shared" si="112"/>
        <v/>
      </c>
      <c r="EW9" s="39" t="str">
        <f t="shared" si="112"/>
        <v/>
      </c>
      <c r="EX9" s="39" t="str">
        <f t="shared" si="112"/>
        <v/>
      </c>
      <c r="EY9" s="39" t="str">
        <f t="shared" si="112"/>
        <v/>
      </c>
      <c r="EZ9" s="39" t="str">
        <f t="shared" si="112"/>
        <v/>
      </c>
      <c r="FA9" s="39" t="str">
        <f t="shared" si="112"/>
        <v/>
      </c>
      <c r="FB9" s="39" t="str">
        <f t="shared" si="112"/>
        <v/>
      </c>
      <c r="FC9" s="39" t="str">
        <f t="shared" si="112"/>
        <v/>
      </c>
      <c r="FD9" s="39" t="str">
        <f t="shared" si="112"/>
        <v/>
      </c>
      <c r="FE9" s="39" t="str">
        <f t="shared" ref="FE9:FN10" si="113">IFERROR(IF(ISBLANK(AE9), "-", IF($I9="c", AE9*$I$5, AE9)),"-")</f>
        <v/>
      </c>
      <c r="FF9" s="39" t="str">
        <f t="shared" si="113"/>
        <v/>
      </c>
      <c r="FG9" s="39" t="str">
        <f t="shared" si="113"/>
        <v/>
      </c>
      <c r="FH9" s="39" t="str">
        <f t="shared" si="113"/>
        <v/>
      </c>
      <c r="FI9" s="39" t="str">
        <f t="shared" si="113"/>
        <v/>
      </c>
      <c r="FJ9" s="39" t="str">
        <f t="shared" si="113"/>
        <v/>
      </c>
      <c r="FK9" s="39" t="str">
        <f t="shared" si="113"/>
        <v/>
      </c>
      <c r="FL9" s="39" t="str">
        <f t="shared" si="113"/>
        <v/>
      </c>
      <c r="FM9" s="39" t="str">
        <f t="shared" si="113"/>
        <v/>
      </c>
      <c r="FN9" s="39" t="str">
        <f t="shared" si="113"/>
        <v/>
      </c>
      <c r="FO9" s="39" t="str">
        <f t="shared" ref="FO9:FX10" si="114">IFERROR(IF(ISBLANK(AO9), "-", IF($I9="c", AO9*$I$5, AO9)),"-")</f>
        <v/>
      </c>
      <c r="FP9" s="39" t="str">
        <f t="shared" si="114"/>
        <v/>
      </c>
      <c r="FQ9" s="39" t="str">
        <f t="shared" si="114"/>
        <v/>
      </c>
      <c r="FR9" s="39" t="str">
        <f t="shared" si="114"/>
        <v/>
      </c>
      <c r="FS9" s="39" t="str">
        <f t="shared" si="114"/>
        <v/>
      </c>
      <c r="FT9" s="39" t="str">
        <f t="shared" si="114"/>
        <v/>
      </c>
      <c r="FU9" s="39" t="str">
        <f t="shared" si="114"/>
        <v/>
      </c>
      <c r="FV9" s="39" t="str">
        <f t="shared" si="114"/>
        <v/>
      </c>
      <c r="FW9" s="39" t="str">
        <f t="shared" si="114"/>
        <v/>
      </c>
      <c r="FX9" s="39" t="str">
        <f t="shared" si="114"/>
        <v/>
      </c>
      <c r="FY9" s="39" t="str">
        <f t="shared" ref="FY9:GH10" si="115">IFERROR(IF(ISBLANK(AY9), "-", IF($I9="c", AY9*$I$5, AY9)),"-")</f>
        <v/>
      </c>
      <c r="FZ9" s="39" t="str">
        <f t="shared" si="115"/>
        <v/>
      </c>
      <c r="GA9" s="39" t="str">
        <f t="shared" si="115"/>
        <v/>
      </c>
      <c r="GB9" s="39" t="str">
        <f t="shared" si="115"/>
        <v/>
      </c>
      <c r="GC9" s="39" t="str">
        <f t="shared" si="115"/>
        <v/>
      </c>
      <c r="GD9" s="39" t="str">
        <f t="shared" si="115"/>
        <v/>
      </c>
      <c r="GE9" s="39" t="str">
        <f t="shared" si="115"/>
        <v/>
      </c>
      <c r="GF9" s="39" t="str">
        <f t="shared" si="115"/>
        <v/>
      </c>
      <c r="GG9" s="39" t="str">
        <f t="shared" si="115"/>
        <v/>
      </c>
      <c r="GH9" s="39" t="str">
        <f t="shared" si="115"/>
        <v/>
      </c>
      <c r="GI9" s="39" t="str">
        <f t="shared" ref="GI9:GR10" si="116">IFERROR(IF(ISBLANK(BI9), "-", IF($I9="c", BI9*$I$5, BI9)),"-")</f>
        <v/>
      </c>
      <c r="GJ9" s="39" t="str">
        <f t="shared" si="116"/>
        <v/>
      </c>
      <c r="GK9" s="39" t="str">
        <f t="shared" si="116"/>
        <v/>
      </c>
      <c r="GL9" s="39" t="str">
        <f t="shared" si="116"/>
        <v/>
      </c>
      <c r="GM9" s="39" t="str">
        <f t="shared" si="116"/>
        <v/>
      </c>
      <c r="GN9" s="39" t="str">
        <f t="shared" si="116"/>
        <v/>
      </c>
      <c r="GO9" s="39" t="str">
        <f t="shared" si="116"/>
        <v/>
      </c>
      <c r="GP9" s="39" t="str">
        <f t="shared" si="116"/>
        <v/>
      </c>
      <c r="GQ9" s="39" t="str">
        <f t="shared" si="116"/>
        <v/>
      </c>
      <c r="GR9" s="39" t="str">
        <f t="shared" si="116"/>
        <v/>
      </c>
      <c r="GS9" s="39" t="str">
        <f t="shared" ref="GS9:HB10" si="117">IFERROR(IF(ISBLANK(BS9), "-", IF($I9="c", BS9*$I$5, BS9)),"-")</f>
        <v/>
      </c>
      <c r="GT9" s="39" t="str">
        <f t="shared" si="117"/>
        <v/>
      </c>
      <c r="GU9" s="39" t="str">
        <f t="shared" si="117"/>
        <v/>
      </c>
      <c r="GV9" s="39" t="str">
        <f t="shared" si="117"/>
        <v/>
      </c>
      <c r="GW9" s="39" t="str">
        <f t="shared" si="117"/>
        <v/>
      </c>
      <c r="GX9" s="39" t="str">
        <f t="shared" si="117"/>
        <v/>
      </c>
      <c r="GY9" s="39" t="str">
        <f t="shared" si="117"/>
        <v/>
      </c>
      <c r="GZ9" s="39" t="str">
        <f t="shared" si="117"/>
        <v/>
      </c>
      <c r="HA9" s="39" t="str">
        <f t="shared" si="117"/>
        <v/>
      </c>
      <c r="HB9" s="39" t="str">
        <f t="shared" si="117"/>
        <v/>
      </c>
      <c r="HC9" s="39" t="str">
        <f t="shared" ref="HC9:HL10" si="118">IFERROR(IF(ISBLANK(CC9), "-", IF($I9="c", CC9*$I$5, CC9)),"-")</f>
        <v/>
      </c>
      <c r="HD9" s="39" t="str">
        <f t="shared" si="118"/>
        <v/>
      </c>
      <c r="HE9" s="39" t="str">
        <f t="shared" si="118"/>
        <v/>
      </c>
      <c r="HF9" s="39" t="str">
        <f t="shared" si="118"/>
        <v/>
      </c>
      <c r="HG9" s="39" t="str">
        <f t="shared" si="118"/>
        <v/>
      </c>
      <c r="HH9" s="39" t="str">
        <f t="shared" si="118"/>
        <v/>
      </c>
      <c r="HI9" s="39" t="str">
        <f t="shared" si="118"/>
        <v/>
      </c>
      <c r="HJ9" s="39" t="str">
        <f t="shared" si="118"/>
        <v/>
      </c>
      <c r="HK9" s="39" t="str">
        <f t="shared" si="118"/>
        <v/>
      </c>
      <c r="HL9" s="39" t="str">
        <f t="shared" si="118"/>
        <v/>
      </c>
      <c r="HM9" s="39" t="str">
        <f t="shared" ref="HM9:HV10" si="119">IFERROR(IF(ISBLANK(CM9), "-", IF($I9="c", CM9*$I$5, CM9)),"-")</f>
        <v/>
      </c>
      <c r="HN9" s="39" t="str">
        <f t="shared" si="119"/>
        <v/>
      </c>
      <c r="HO9" s="39" t="str">
        <f t="shared" si="119"/>
        <v/>
      </c>
      <c r="HP9" s="39" t="str">
        <f t="shared" si="119"/>
        <v/>
      </c>
      <c r="HQ9" s="39" t="str">
        <f t="shared" si="119"/>
        <v/>
      </c>
      <c r="HR9" s="39" t="str">
        <f t="shared" si="119"/>
        <v/>
      </c>
      <c r="HS9" s="39" t="str">
        <f t="shared" si="119"/>
        <v/>
      </c>
      <c r="HT9" s="39" t="str">
        <f t="shared" si="119"/>
        <v/>
      </c>
      <c r="HU9" s="39" t="str">
        <f t="shared" si="119"/>
        <v/>
      </c>
      <c r="HV9" s="39" t="str">
        <f t="shared" si="119"/>
        <v/>
      </c>
      <c r="HW9" s="39" t="str">
        <f t="shared" ref="HW9:ID10" si="120">IFERROR(IF(ISBLANK(CW9), "-", IF($I9="c", CW9*$I$5, CW9)),"-")</f>
        <v/>
      </c>
      <c r="HX9" s="39" t="str">
        <f t="shared" si="120"/>
        <v/>
      </c>
      <c r="HY9" s="39" t="str">
        <f t="shared" si="120"/>
        <v/>
      </c>
      <c r="HZ9" s="39" t="str">
        <f t="shared" si="120"/>
        <v/>
      </c>
      <c r="IA9" s="39" t="str">
        <f t="shared" si="120"/>
        <v/>
      </c>
      <c r="IB9" s="39" t="str">
        <f t="shared" si="120"/>
        <v/>
      </c>
      <c r="IC9" s="39" t="str">
        <f t="shared" si="120"/>
        <v/>
      </c>
      <c r="ID9" s="39" t="str">
        <f t="shared" si="120"/>
        <v/>
      </c>
      <c r="IE9" s="39" t="str">
        <f t="shared" si="68"/>
        <v/>
      </c>
      <c r="IF9" s="39" t="str">
        <f t="shared" si="69"/>
        <v/>
      </c>
      <c r="IG9" s="308">
        <f t="shared" si="70"/>
        <v>0.17281429450716168</v>
      </c>
      <c r="IH9" s="84">
        <f t="shared" si="71"/>
        <v>4.7550290821423744E-2</v>
      </c>
      <c r="II9" s="84">
        <f t="shared" si="72"/>
        <v>8.4381649649742915E-2</v>
      </c>
      <c r="IJ9" s="84">
        <f t="shared" si="73"/>
        <v>0.13752087239586994</v>
      </c>
      <c r="IK9" s="84">
        <f t="shared" si="74"/>
        <v>0.16563671397559948</v>
      </c>
      <c r="IL9" s="84">
        <f t="shared" si="75"/>
        <v>0.27412602831924027</v>
      </c>
      <c r="IM9" s="308" t="str">
        <f t="shared" si="76"/>
        <v/>
      </c>
      <c r="IN9" s="84" t="str">
        <f t="shared" si="77"/>
        <v/>
      </c>
      <c r="IO9" s="84" t="str">
        <f t="shared" si="78"/>
        <v/>
      </c>
      <c r="IP9" s="84" t="str">
        <f t="shared" si="79"/>
        <v/>
      </c>
      <c r="IQ9" s="84" t="str">
        <f t="shared" si="80"/>
        <v/>
      </c>
      <c r="IR9" s="84" t="str">
        <f t="shared" si="81"/>
        <v/>
      </c>
      <c r="IS9" s="308" t="str">
        <f t="shared" si="82"/>
        <v/>
      </c>
      <c r="IT9" s="84" t="str">
        <f t="shared" si="83"/>
        <v/>
      </c>
      <c r="IU9" s="84" t="str">
        <f t="shared" si="84"/>
        <v/>
      </c>
      <c r="IV9" s="84" t="str">
        <f t="shared" si="85"/>
        <v/>
      </c>
      <c r="IW9" s="84" t="str">
        <f t="shared" si="86"/>
        <v/>
      </c>
      <c r="IX9" s="84" t="str">
        <f t="shared" si="87"/>
        <v/>
      </c>
      <c r="IY9" s="308" t="str">
        <f t="shared" si="88"/>
        <v/>
      </c>
      <c r="IZ9" s="84" t="str">
        <f t="shared" si="89"/>
        <v/>
      </c>
      <c r="JA9" s="84" t="str">
        <f t="shared" si="90"/>
        <v/>
      </c>
      <c r="JB9" s="84" t="str">
        <f t="shared" si="91"/>
        <v/>
      </c>
      <c r="JC9" s="84" t="str">
        <f t="shared" si="92"/>
        <v/>
      </c>
      <c r="JD9" s="309" t="str">
        <f t="shared" si="93"/>
        <v/>
      </c>
      <c r="JF9" s="66">
        <f t="shared" si="94"/>
        <v>9</v>
      </c>
      <c r="JG9" s="66">
        <f t="shared" ca="1" si="95"/>
        <v>8.4381649649742915E-2</v>
      </c>
      <c r="JH9" s="66">
        <f t="shared" ca="1" si="96"/>
        <v>0.13752087239586994</v>
      </c>
      <c r="JI9" s="66">
        <f t="shared" ca="1" si="97"/>
        <v>0.16563671397559948</v>
      </c>
      <c r="JJ9" s="66">
        <f t="shared" ca="1" si="98"/>
        <v>27</v>
      </c>
      <c r="JK9" s="28"/>
      <c r="JL9" s="77">
        <f t="shared" ref="JL9:JL67" ca="1" si="121">IF(JG9=0,"-",JG9)</f>
        <v>8.4381649649742915E-2</v>
      </c>
      <c r="JM9" s="77">
        <f t="shared" ca="1" si="99"/>
        <v>0.11095126102280642</v>
      </c>
      <c r="JN9" s="75">
        <f t="shared" ca="1" si="100"/>
        <v>0.15157879318573469</v>
      </c>
      <c r="JO9" s="77">
        <f t="shared" ref="JO9:JO67" ca="1" si="122">IF(JI9=0,"-",JI9)</f>
        <v>0.16563671397559948</v>
      </c>
      <c r="JP9" s="74">
        <f t="shared" ref="JP9:JP67" ca="1" si="123">SUM(JL9:JO9)</f>
        <v>0.5125484178338835</v>
      </c>
    </row>
    <row r="10" spans="1:276" x14ac:dyDescent="0.35">
      <c r="A10" s="125">
        <v>1</v>
      </c>
      <c r="B10" s="125">
        <v>1</v>
      </c>
      <c r="C10" s="125">
        <v>1</v>
      </c>
      <c r="D10" s="1"/>
      <c r="E10" s="142" t="s">
        <v>816</v>
      </c>
      <c r="F10" s="208" t="s">
        <v>15</v>
      </c>
      <c r="G10" s="209" t="s">
        <v>530</v>
      </c>
      <c r="H10" s="210" t="s">
        <v>533</v>
      </c>
      <c r="I10" s="8" t="s">
        <v>534</v>
      </c>
      <c r="J10" s="211">
        <v>0.14600705820945231</v>
      </c>
      <c r="K10" s="211">
        <v>0.15388155448883789</v>
      </c>
      <c r="L10" s="211">
        <v>0.13482381162050172</v>
      </c>
      <c r="M10" s="211">
        <v>0.1171180396741504</v>
      </c>
      <c r="N10" s="211" t="s">
        <v>805</v>
      </c>
      <c r="O10" s="211" t="s">
        <v>805</v>
      </c>
      <c r="P10" s="215" t="s">
        <v>805</v>
      </c>
      <c r="Q10" s="215" t="s">
        <v>805</v>
      </c>
      <c r="R10" s="215" t="s">
        <v>805</v>
      </c>
      <c r="S10" s="215" t="s">
        <v>805</v>
      </c>
      <c r="T10" s="215" t="s">
        <v>805</v>
      </c>
      <c r="U10" s="215" t="s">
        <v>805</v>
      </c>
      <c r="V10" s="215" t="s">
        <v>805</v>
      </c>
      <c r="W10" s="215" t="s">
        <v>805</v>
      </c>
      <c r="X10" s="215" t="s">
        <v>805</v>
      </c>
      <c r="Y10" s="215" t="s">
        <v>805</v>
      </c>
      <c r="Z10" s="215" t="s">
        <v>805</v>
      </c>
      <c r="AA10" s="215" t="s">
        <v>805</v>
      </c>
      <c r="AB10" s="215" t="s">
        <v>805</v>
      </c>
      <c r="AC10" s="215" t="s">
        <v>805</v>
      </c>
      <c r="AD10" s="215" t="s">
        <v>805</v>
      </c>
      <c r="AE10" s="215" t="s">
        <v>805</v>
      </c>
      <c r="AF10" s="215" t="s">
        <v>805</v>
      </c>
      <c r="AG10" s="215" t="s">
        <v>805</v>
      </c>
      <c r="AH10" s="215" t="s">
        <v>805</v>
      </c>
      <c r="AI10" s="215" t="s">
        <v>805</v>
      </c>
      <c r="AJ10" s="215" t="s">
        <v>805</v>
      </c>
      <c r="AK10" s="215" t="s">
        <v>805</v>
      </c>
      <c r="AL10" s="215" t="s">
        <v>805</v>
      </c>
      <c r="AM10" s="215" t="s">
        <v>805</v>
      </c>
      <c r="AN10" s="215" t="s">
        <v>805</v>
      </c>
      <c r="AO10" s="215" t="s">
        <v>805</v>
      </c>
      <c r="AP10" s="215" t="s">
        <v>805</v>
      </c>
      <c r="AQ10" s="215" t="s">
        <v>805</v>
      </c>
      <c r="AR10" s="215" t="s">
        <v>805</v>
      </c>
      <c r="AS10" s="215" t="s">
        <v>805</v>
      </c>
      <c r="AT10" s="215" t="s">
        <v>805</v>
      </c>
      <c r="AU10" s="215" t="s">
        <v>805</v>
      </c>
      <c r="AV10" s="215" t="s">
        <v>805</v>
      </c>
      <c r="AW10" s="215" t="s">
        <v>805</v>
      </c>
      <c r="AX10" s="215" t="s">
        <v>805</v>
      </c>
      <c r="AY10" s="215" t="s">
        <v>805</v>
      </c>
      <c r="AZ10" s="215" t="s">
        <v>805</v>
      </c>
      <c r="BA10" s="215" t="s">
        <v>805</v>
      </c>
      <c r="BB10" s="215" t="s">
        <v>805</v>
      </c>
      <c r="BC10" s="215" t="s">
        <v>805</v>
      </c>
      <c r="BD10" s="215" t="s">
        <v>805</v>
      </c>
      <c r="BE10" s="215" t="s">
        <v>805</v>
      </c>
      <c r="BF10" s="215" t="s">
        <v>805</v>
      </c>
      <c r="BG10" s="215" t="s">
        <v>805</v>
      </c>
      <c r="BH10" s="215" t="s">
        <v>805</v>
      </c>
      <c r="BI10" s="215" t="s">
        <v>805</v>
      </c>
      <c r="BJ10" s="215" t="s">
        <v>805</v>
      </c>
      <c r="BK10" s="215" t="s">
        <v>805</v>
      </c>
      <c r="BL10" s="215" t="s">
        <v>805</v>
      </c>
      <c r="BM10" s="215" t="s">
        <v>805</v>
      </c>
      <c r="BN10" s="215" t="s">
        <v>805</v>
      </c>
      <c r="BO10" s="215" t="s">
        <v>805</v>
      </c>
      <c r="BP10" s="215" t="s">
        <v>805</v>
      </c>
      <c r="BQ10" s="215" t="s">
        <v>805</v>
      </c>
      <c r="BR10" s="215" t="s">
        <v>805</v>
      </c>
      <c r="BS10" s="215" t="s">
        <v>805</v>
      </c>
      <c r="BT10" s="215" t="s">
        <v>805</v>
      </c>
      <c r="BU10" s="215" t="s">
        <v>805</v>
      </c>
      <c r="BV10" s="215" t="s">
        <v>805</v>
      </c>
      <c r="BW10" s="215" t="s">
        <v>805</v>
      </c>
      <c r="BX10" s="215" t="s">
        <v>805</v>
      </c>
      <c r="BY10" s="215" t="s">
        <v>805</v>
      </c>
      <c r="BZ10" s="215" t="s">
        <v>805</v>
      </c>
      <c r="CA10" s="215" t="s">
        <v>805</v>
      </c>
      <c r="CB10" s="215" t="s">
        <v>805</v>
      </c>
      <c r="CC10" s="215" t="s">
        <v>805</v>
      </c>
      <c r="CD10" s="215" t="s">
        <v>805</v>
      </c>
      <c r="CE10" s="215" t="s">
        <v>805</v>
      </c>
      <c r="CF10" s="215" t="s">
        <v>805</v>
      </c>
      <c r="CG10" s="215" t="s">
        <v>805</v>
      </c>
      <c r="CH10" s="215" t="s">
        <v>805</v>
      </c>
      <c r="CI10" s="215" t="s">
        <v>805</v>
      </c>
      <c r="CJ10" s="215" t="s">
        <v>805</v>
      </c>
      <c r="CK10" s="215" t="s">
        <v>805</v>
      </c>
      <c r="CL10" s="215" t="s">
        <v>805</v>
      </c>
      <c r="CM10" s="215" t="s">
        <v>805</v>
      </c>
      <c r="CN10" s="215" t="s">
        <v>805</v>
      </c>
      <c r="CO10" s="215" t="s">
        <v>805</v>
      </c>
      <c r="CP10" s="215" t="s">
        <v>805</v>
      </c>
      <c r="CQ10" s="215" t="s">
        <v>805</v>
      </c>
      <c r="CR10" s="215" t="s">
        <v>805</v>
      </c>
      <c r="CS10" s="215" t="s">
        <v>805</v>
      </c>
      <c r="CT10" s="215" t="s">
        <v>805</v>
      </c>
      <c r="CU10" s="215" t="s">
        <v>805</v>
      </c>
      <c r="CV10" s="215" t="s">
        <v>805</v>
      </c>
      <c r="CW10" s="215" t="s">
        <v>805</v>
      </c>
      <c r="CX10" s="215" t="s">
        <v>805</v>
      </c>
      <c r="CY10" s="215" t="s">
        <v>805</v>
      </c>
      <c r="CZ10" s="215" t="s">
        <v>805</v>
      </c>
      <c r="DA10" s="215" t="s">
        <v>805</v>
      </c>
      <c r="DB10" s="215" t="s">
        <v>805</v>
      </c>
      <c r="DC10" s="215" t="s">
        <v>805</v>
      </c>
      <c r="DD10" s="215" t="s">
        <v>805</v>
      </c>
      <c r="DE10" s="215" t="s">
        <v>805</v>
      </c>
      <c r="DF10" s="215" t="s">
        <v>805</v>
      </c>
      <c r="DG10" s="212">
        <f>VLOOKUP(E10,'KPI Count-SHARE'!A:F,3,0)</f>
        <v>27</v>
      </c>
      <c r="DH10" s="213">
        <v>0.20435157492299544</v>
      </c>
      <c r="DI10" s="216">
        <v>6.6792438970842166E-2</v>
      </c>
      <c r="DJ10" s="216">
        <v>9.5364949802858479E-2</v>
      </c>
      <c r="DK10" s="216">
        <v>0.17717142145018083</v>
      </c>
      <c r="DL10" s="216">
        <v>0.22239350786863829</v>
      </c>
      <c r="DM10" s="216">
        <v>0.34074686825124334</v>
      </c>
      <c r="DN10" s="212">
        <f>VLOOKUP(E10,'KPI Count-SHARE'!A:F,4,0)</f>
        <v>0</v>
      </c>
      <c r="DO10" s="213"/>
      <c r="DP10" s="216"/>
      <c r="DQ10" s="216"/>
      <c r="DR10" s="216"/>
      <c r="DS10" s="216"/>
      <c r="DT10" s="216"/>
      <c r="DU10" s="212">
        <f>VLOOKUP(E10,'KPI Count-SHARE'!A:F,5,0)</f>
        <v>0</v>
      </c>
      <c r="DV10" s="213"/>
      <c r="DW10" s="216"/>
      <c r="DX10" s="216"/>
      <c r="DY10" s="216"/>
      <c r="DZ10" s="216"/>
      <c r="EA10" s="216"/>
      <c r="EB10" s="212">
        <f>VLOOKUP(E10,'KPI Count-SHARE'!A:F,6,0)</f>
        <v>0</v>
      </c>
      <c r="EC10" s="213"/>
      <c r="ED10" s="216"/>
      <c r="EE10" s="216"/>
      <c r="EF10" s="216"/>
      <c r="EG10" s="216"/>
      <c r="EH10" s="216"/>
      <c r="EI10" s="214" t="s">
        <v>533</v>
      </c>
      <c r="EJ10" s="39">
        <f>IFERROR(IF(ISBLANK(J10), "-", IF(OR($I10="c",$I10="r"), J10*$I$5, J10)),"-")</f>
        <v>0.14600705820945231</v>
      </c>
      <c r="EK10" s="39">
        <f>IFERROR(IF(ISBLANK(K10), "-", IF($I10="c", K10*$I$5, K10)),"-")</f>
        <v>0.15388155448883789</v>
      </c>
      <c r="EL10" s="39">
        <f>IFERROR(IF(ISBLANK(L10), "-", IF($I10="c", L10*$I$5, L10)),"-")</f>
        <v>0.13482381162050172</v>
      </c>
      <c r="EM10" s="39">
        <f t="shared" si="104"/>
        <v>0.1171180396741504</v>
      </c>
      <c r="EN10" s="39" t="str">
        <f t="shared" si="105"/>
        <v/>
      </c>
      <c r="EO10" s="39" t="str">
        <f t="shared" si="106"/>
        <v/>
      </c>
      <c r="EP10" s="39" t="str">
        <f t="shared" si="107"/>
        <v/>
      </c>
      <c r="EQ10" s="39" t="str">
        <f t="shared" si="108"/>
        <v/>
      </c>
      <c r="ER10" s="39" t="str">
        <f t="shared" si="109"/>
        <v/>
      </c>
      <c r="ES10" s="39" t="str">
        <f t="shared" si="110"/>
        <v/>
      </c>
      <c r="ET10" s="39" t="str">
        <f t="shared" si="111"/>
        <v/>
      </c>
      <c r="EU10" s="39" t="str">
        <f t="shared" si="112"/>
        <v/>
      </c>
      <c r="EV10" s="39" t="str">
        <f t="shared" si="112"/>
        <v/>
      </c>
      <c r="EW10" s="39" t="str">
        <f t="shared" si="112"/>
        <v/>
      </c>
      <c r="EX10" s="39" t="str">
        <f t="shared" si="112"/>
        <v/>
      </c>
      <c r="EY10" s="39" t="str">
        <f t="shared" si="112"/>
        <v/>
      </c>
      <c r="EZ10" s="39" t="str">
        <f t="shared" si="112"/>
        <v/>
      </c>
      <c r="FA10" s="39" t="str">
        <f t="shared" si="112"/>
        <v/>
      </c>
      <c r="FB10" s="39" t="str">
        <f t="shared" si="112"/>
        <v/>
      </c>
      <c r="FC10" s="39" t="str">
        <f t="shared" si="112"/>
        <v/>
      </c>
      <c r="FD10" s="39" t="str">
        <f t="shared" si="112"/>
        <v/>
      </c>
      <c r="FE10" s="39" t="str">
        <f t="shared" si="113"/>
        <v/>
      </c>
      <c r="FF10" s="39" t="str">
        <f t="shared" si="113"/>
        <v/>
      </c>
      <c r="FG10" s="39" t="str">
        <f t="shared" si="113"/>
        <v/>
      </c>
      <c r="FH10" s="39" t="str">
        <f t="shared" si="113"/>
        <v/>
      </c>
      <c r="FI10" s="39" t="str">
        <f t="shared" si="113"/>
        <v/>
      </c>
      <c r="FJ10" s="39" t="str">
        <f t="shared" si="113"/>
        <v/>
      </c>
      <c r="FK10" s="39" t="str">
        <f t="shared" si="113"/>
        <v/>
      </c>
      <c r="FL10" s="39" t="str">
        <f t="shared" si="113"/>
        <v/>
      </c>
      <c r="FM10" s="39" t="str">
        <f t="shared" si="113"/>
        <v/>
      </c>
      <c r="FN10" s="39" t="str">
        <f t="shared" si="113"/>
        <v/>
      </c>
      <c r="FO10" s="39" t="str">
        <f t="shared" si="114"/>
        <v/>
      </c>
      <c r="FP10" s="39" t="str">
        <f t="shared" si="114"/>
        <v/>
      </c>
      <c r="FQ10" s="39" t="str">
        <f t="shared" si="114"/>
        <v/>
      </c>
      <c r="FR10" s="39" t="str">
        <f t="shared" si="114"/>
        <v/>
      </c>
      <c r="FS10" s="39" t="str">
        <f t="shared" si="114"/>
        <v/>
      </c>
      <c r="FT10" s="39" t="str">
        <f t="shared" si="114"/>
        <v/>
      </c>
      <c r="FU10" s="39" t="str">
        <f t="shared" si="114"/>
        <v/>
      </c>
      <c r="FV10" s="39" t="str">
        <f t="shared" si="114"/>
        <v/>
      </c>
      <c r="FW10" s="39" t="str">
        <f t="shared" si="114"/>
        <v/>
      </c>
      <c r="FX10" s="39" t="str">
        <f t="shared" si="114"/>
        <v/>
      </c>
      <c r="FY10" s="39" t="str">
        <f t="shared" si="115"/>
        <v/>
      </c>
      <c r="FZ10" s="39" t="str">
        <f t="shared" si="115"/>
        <v/>
      </c>
      <c r="GA10" s="39" t="str">
        <f t="shared" si="115"/>
        <v/>
      </c>
      <c r="GB10" s="39" t="str">
        <f t="shared" si="115"/>
        <v/>
      </c>
      <c r="GC10" s="39" t="str">
        <f t="shared" si="115"/>
        <v/>
      </c>
      <c r="GD10" s="39" t="str">
        <f t="shared" si="115"/>
        <v/>
      </c>
      <c r="GE10" s="39" t="str">
        <f t="shared" si="115"/>
        <v/>
      </c>
      <c r="GF10" s="39" t="str">
        <f t="shared" si="115"/>
        <v/>
      </c>
      <c r="GG10" s="39" t="str">
        <f t="shared" si="115"/>
        <v/>
      </c>
      <c r="GH10" s="39" t="str">
        <f t="shared" si="115"/>
        <v/>
      </c>
      <c r="GI10" s="39" t="str">
        <f t="shared" si="116"/>
        <v/>
      </c>
      <c r="GJ10" s="39" t="str">
        <f t="shared" si="116"/>
        <v/>
      </c>
      <c r="GK10" s="39" t="str">
        <f t="shared" si="116"/>
        <v/>
      </c>
      <c r="GL10" s="39" t="str">
        <f t="shared" si="116"/>
        <v/>
      </c>
      <c r="GM10" s="39" t="str">
        <f t="shared" si="116"/>
        <v/>
      </c>
      <c r="GN10" s="39" t="str">
        <f t="shared" si="116"/>
        <v/>
      </c>
      <c r="GO10" s="39" t="str">
        <f t="shared" si="116"/>
        <v/>
      </c>
      <c r="GP10" s="39" t="str">
        <f t="shared" si="116"/>
        <v/>
      </c>
      <c r="GQ10" s="39" t="str">
        <f t="shared" si="116"/>
        <v/>
      </c>
      <c r="GR10" s="39" t="str">
        <f t="shared" si="116"/>
        <v/>
      </c>
      <c r="GS10" s="39" t="str">
        <f t="shared" si="117"/>
        <v/>
      </c>
      <c r="GT10" s="39" t="str">
        <f t="shared" si="117"/>
        <v/>
      </c>
      <c r="GU10" s="39" t="str">
        <f t="shared" si="117"/>
        <v/>
      </c>
      <c r="GV10" s="39" t="str">
        <f t="shared" si="117"/>
        <v/>
      </c>
      <c r="GW10" s="39" t="str">
        <f t="shared" si="117"/>
        <v/>
      </c>
      <c r="GX10" s="39" t="str">
        <f t="shared" si="117"/>
        <v/>
      </c>
      <c r="GY10" s="39" t="str">
        <f t="shared" si="117"/>
        <v/>
      </c>
      <c r="GZ10" s="39" t="str">
        <f t="shared" si="117"/>
        <v/>
      </c>
      <c r="HA10" s="39" t="str">
        <f t="shared" si="117"/>
        <v/>
      </c>
      <c r="HB10" s="39" t="str">
        <f t="shared" si="117"/>
        <v/>
      </c>
      <c r="HC10" s="39" t="str">
        <f t="shared" si="118"/>
        <v/>
      </c>
      <c r="HD10" s="39" t="str">
        <f t="shared" si="118"/>
        <v/>
      </c>
      <c r="HE10" s="39" t="str">
        <f t="shared" si="118"/>
        <v/>
      </c>
      <c r="HF10" s="39" t="str">
        <f t="shared" si="118"/>
        <v/>
      </c>
      <c r="HG10" s="39" t="str">
        <f t="shared" si="118"/>
        <v/>
      </c>
      <c r="HH10" s="39" t="str">
        <f t="shared" si="118"/>
        <v/>
      </c>
      <c r="HI10" s="39" t="str">
        <f t="shared" si="118"/>
        <v/>
      </c>
      <c r="HJ10" s="39" t="str">
        <f t="shared" si="118"/>
        <v/>
      </c>
      <c r="HK10" s="39" t="str">
        <f t="shared" si="118"/>
        <v/>
      </c>
      <c r="HL10" s="39" t="str">
        <f t="shared" si="118"/>
        <v/>
      </c>
      <c r="HM10" s="39" t="str">
        <f t="shared" si="119"/>
        <v/>
      </c>
      <c r="HN10" s="39" t="str">
        <f t="shared" si="119"/>
        <v/>
      </c>
      <c r="HO10" s="39" t="str">
        <f t="shared" si="119"/>
        <v/>
      </c>
      <c r="HP10" s="39" t="str">
        <f t="shared" si="119"/>
        <v/>
      </c>
      <c r="HQ10" s="39" t="str">
        <f t="shared" si="119"/>
        <v/>
      </c>
      <c r="HR10" s="39" t="str">
        <f t="shared" si="119"/>
        <v/>
      </c>
      <c r="HS10" s="39" t="str">
        <f t="shared" si="119"/>
        <v/>
      </c>
      <c r="HT10" s="39" t="str">
        <f t="shared" si="119"/>
        <v/>
      </c>
      <c r="HU10" s="39" t="str">
        <f t="shared" si="119"/>
        <v/>
      </c>
      <c r="HV10" s="39" t="str">
        <f t="shared" si="119"/>
        <v/>
      </c>
      <c r="HW10" s="39" t="str">
        <f t="shared" si="120"/>
        <v/>
      </c>
      <c r="HX10" s="39" t="str">
        <f t="shared" si="120"/>
        <v/>
      </c>
      <c r="HY10" s="39" t="str">
        <f t="shared" si="120"/>
        <v/>
      </c>
      <c r="HZ10" s="39" t="str">
        <f t="shared" si="120"/>
        <v/>
      </c>
      <c r="IA10" s="39" t="str">
        <f t="shared" si="120"/>
        <v/>
      </c>
      <c r="IB10" s="39" t="str">
        <f t="shared" si="120"/>
        <v/>
      </c>
      <c r="IC10" s="39" t="str">
        <f t="shared" si="120"/>
        <v/>
      </c>
      <c r="ID10" s="39" t="str">
        <f t="shared" si="120"/>
        <v/>
      </c>
      <c r="IE10" s="39" t="str">
        <f t="shared" si="68"/>
        <v/>
      </c>
      <c r="IF10" s="39" t="str">
        <f t="shared" si="69"/>
        <v/>
      </c>
      <c r="IG10" s="308">
        <f t="shared" si="70"/>
        <v>0.20435157492299544</v>
      </c>
      <c r="IH10" s="84">
        <f t="shared" si="71"/>
        <v>6.6792438970842166E-2</v>
      </c>
      <c r="II10" s="84">
        <f t="shared" si="72"/>
        <v>9.5364949802858479E-2</v>
      </c>
      <c r="IJ10" s="84">
        <f t="shared" si="73"/>
        <v>0.17717142145018083</v>
      </c>
      <c r="IK10" s="84">
        <f t="shared" si="74"/>
        <v>0.22239350786863829</v>
      </c>
      <c r="IL10" s="84">
        <f t="shared" si="75"/>
        <v>0.34074686825124334</v>
      </c>
      <c r="IM10" s="308" t="str">
        <f t="shared" si="76"/>
        <v/>
      </c>
      <c r="IN10" s="84" t="str">
        <f t="shared" si="77"/>
        <v/>
      </c>
      <c r="IO10" s="84" t="str">
        <f t="shared" si="78"/>
        <v/>
      </c>
      <c r="IP10" s="84" t="str">
        <f t="shared" si="79"/>
        <v/>
      </c>
      <c r="IQ10" s="84" t="str">
        <f t="shared" si="80"/>
        <v/>
      </c>
      <c r="IR10" s="84" t="str">
        <f t="shared" si="81"/>
        <v/>
      </c>
      <c r="IS10" s="308" t="str">
        <f t="shared" si="82"/>
        <v/>
      </c>
      <c r="IT10" s="84" t="str">
        <f t="shared" si="83"/>
        <v/>
      </c>
      <c r="IU10" s="84" t="str">
        <f t="shared" si="84"/>
        <v/>
      </c>
      <c r="IV10" s="84" t="str">
        <f t="shared" si="85"/>
        <v/>
      </c>
      <c r="IW10" s="84" t="str">
        <f t="shared" si="86"/>
        <v/>
      </c>
      <c r="IX10" s="84" t="str">
        <f t="shared" si="87"/>
        <v/>
      </c>
      <c r="IY10" s="308" t="str">
        <f t="shared" si="88"/>
        <v/>
      </c>
      <c r="IZ10" s="84" t="str">
        <f t="shared" si="89"/>
        <v/>
      </c>
      <c r="JA10" s="84" t="str">
        <f t="shared" si="90"/>
        <v/>
      </c>
      <c r="JB10" s="84" t="str">
        <f t="shared" si="91"/>
        <v/>
      </c>
      <c r="JC10" s="84" t="str">
        <f t="shared" si="92"/>
        <v/>
      </c>
      <c r="JD10" s="309" t="str">
        <f t="shared" si="93"/>
        <v/>
      </c>
      <c r="JF10" s="66">
        <f t="shared" si="94"/>
        <v>10</v>
      </c>
      <c r="JG10" s="66">
        <f t="shared" ca="1" si="95"/>
        <v>9.5364949802858479E-2</v>
      </c>
      <c r="JH10" s="66">
        <f t="shared" ca="1" si="96"/>
        <v>0.17717142145018083</v>
      </c>
      <c r="JI10" s="66">
        <f t="shared" ca="1" si="97"/>
        <v>0.22239350786863829</v>
      </c>
      <c r="JJ10" s="66">
        <f t="shared" ca="1" si="98"/>
        <v>27</v>
      </c>
      <c r="JK10" s="28"/>
      <c r="JL10" s="77">
        <f t="shared" ca="1" si="121"/>
        <v>9.5364949802858479E-2</v>
      </c>
      <c r="JM10" s="75">
        <f t="shared" ca="1" si="99"/>
        <v>0.13626818562651966</v>
      </c>
      <c r="JN10" s="75">
        <f t="shared" ca="1" si="100"/>
        <v>0.19978246465940958</v>
      </c>
      <c r="JO10" s="77">
        <f t="shared" ca="1" si="122"/>
        <v>0.22239350786863829</v>
      </c>
      <c r="JP10" s="74">
        <f t="shared" ca="1" si="123"/>
        <v>0.65380910795742597</v>
      </c>
    </row>
    <row r="11" spans="1:276" x14ac:dyDescent="0.35">
      <c r="A11" s="125" t="s">
        <v>805</v>
      </c>
      <c r="B11" s="125" t="s">
        <v>805</v>
      </c>
      <c r="C11" s="125" t="s">
        <v>805</v>
      </c>
      <c r="D11" s="163"/>
      <c r="E11" s="250"/>
      <c r="F11" s="249" t="s">
        <v>703</v>
      </c>
      <c r="G11" s="250"/>
      <c r="H11" s="251"/>
      <c r="I11" s="251"/>
      <c r="J11" s="251" t="s">
        <v>805</v>
      </c>
      <c r="K11" s="251" t="s">
        <v>805</v>
      </c>
      <c r="L11" s="251" t="s">
        <v>805</v>
      </c>
      <c r="M11" s="251" t="s">
        <v>805</v>
      </c>
      <c r="N11" s="251" t="s">
        <v>805</v>
      </c>
      <c r="O11" s="251" t="s">
        <v>805</v>
      </c>
      <c r="P11" s="251" t="s">
        <v>805</v>
      </c>
      <c r="Q11" s="251" t="s">
        <v>805</v>
      </c>
      <c r="R11" s="251" t="s">
        <v>805</v>
      </c>
      <c r="S11" s="251" t="s">
        <v>805</v>
      </c>
      <c r="T11" s="251" t="s">
        <v>805</v>
      </c>
      <c r="U11" s="251" t="s">
        <v>805</v>
      </c>
      <c r="V11" s="251" t="s">
        <v>805</v>
      </c>
      <c r="W11" s="251" t="s">
        <v>805</v>
      </c>
      <c r="X11" s="251" t="s">
        <v>805</v>
      </c>
      <c r="Y11" s="251" t="s">
        <v>805</v>
      </c>
      <c r="Z11" s="251" t="s">
        <v>805</v>
      </c>
      <c r="AA11" s="251" t="s">
        <v>805</v>
      </c>
      <c r="AB11" s="251" t="s">
        <v>805</v>
      </c>
      <c r="AC11" s="251" t="s">
        <v>805</v>
      </c>
      <c r="AD11" s="251" t="s">
        <v>805</v>
      </c>
      <c r="AE11" s="251" t="s">
        <v>805</v>
      </c>
      <c r="AF11" s="251" t="s">
        <v>805</v>
      </c>
      <c r="AG11" s="251" t="s">
        <v>805</v>
      </c>
      <c r="AH11" s="251" t="s">
        <v>805</v>
      </c>
      <c r="AI11" s="251" t="s">
        <v>805</v>
      </c>
      <c r="AJ11" s="251" t="s">
        <v>805</v>
      </c>
      <c r="AK11" s="251" t="s">
        <v>805</v>
      </c>
      <c r="AL11" s="251" t="s">
        <v>805</v>
      </c>
      <c r="AM11" s="251" t="s">
        <v>805</v>
      </c>
      <c r="AN11" s="251" t="s">
        <v>805</v>
      </c>
      <c r="AO11" s="251" t="s">
        <v>805</v>
      </c>
      <c r="AP11" s="251" t="s">
        <v>805</v>
      </c>
      <c r="AQ11" s="251" t="s">
        <v>805</v>
      </c>
      <c r="AR11" s="251" t="s">
        <v>805</v>
      </c>
      <c r="AS11" s="251" t="s">
        <v>805</v>
      </c>
      <c r="AT11" s="251" t="s">
        <v>805</v>
      </c>
      <c r="AU11" s="251" t="s">
        <v>805</v>
      </c>
      <c r="AV11" s="251" t="s">
        <v>805</v>
      </c>
      <c r="AW11" s="251" t="s">
        <v>805</v>
      </c>
      <c r="AX11" s="251" t="s">
        <v>805</v>
      </c>
      <c r="AY11" s="251" t="s">
        <v>805</v>
      </c>
      <c r="AZ11" s="251" t="s">
        <v>805</v>
      </c>
      <c r="BA11" s="251" t="s">
        <v>805</v>
      </c>
      <c r="BB11" s="251" t="s">
        <v>805</v>
      </c>
      <c r="BC11" s="251" t="s">
        <v>805</v>
      </c>
      <c r="BD11" s="251" t="s">
        <v>805</v>
      </c>
      <c r="BE11" s="251" t="s">
        <v>805</v>
      </c>
      <c r="BF11" s="251" t="s">
        <v>805</v>
      </c>
      <c r="BG11" s="251" t="s">
        <v>805</v>
      </c>
      <c r="BH11" s="251" t="s">
        <v>805</v>
      </c>
      <c r="BI11" s="251" t="s">
        <v>805</v>
      </c>
      <c r="BJ11" s="251" t="s">
        <v>805</v>
      </c>
      <c r="BK11" s="251" t="s">
        <v>805</v>
      </c>
      <c r="BL11" s="251" t="s">
        <v>805</v>
      </c>
      <c r="BM11" s="251" t="s">
        <v>805</v>
      </c>
      <c r="BN11" s="251" t="s">
        <v>805</v>
      </c>
      <c r="BO11" s="251" t="s">
        <v>805</v>
      </c>
      <c r="BP11" s="251" t="s">
        <v>805</v>
      </c>
      <c r="BQ11" s="251" t="s">
        <v>805</v>
      </c>
      <c r="BR11" s="251" t="s">
        <v>805</v>
      </c>
      <c r="BS11" s="251" t="s">
        <v>805</v>
      </c>
      <c r="BT11" s="251" t="s">
        <v>805</v>
      </c>
      <c r="BU11" s="251" t="s">
        <v>805</v>
      </c>
      <c r="BV11" s="251" t="s">
        <v>805</v>
      </c>
      <c r="BW11" s="251" t="s">
        <v>805</v>
      </c>
      <c r="BX11" s="251" t="s">
        <v>805</v>
      </c>
      <c r="BY11" s="251" t="s">
        <v>805</v>
      </c>
      <c r="BZ11" s="251" t="s">
        <v>805</v>
      </c>
      <c r="CA11" s="251" t="s">
        <v>805</v>
      </c>
      <c r="CB11" s="251" t="s">
        <v>805</v>
      </c>
      <c r="CC11" s="251" t="s">
        <v>805</v>
      </c>
      <c r="CD11" s="251" t="s">
        <v>805</v>
      </c>
      <c r="CE11" s="251" t="s">
        <v>805</v>
      </c>
      <c r="CF11" s="251" t="s">
        <v>805</v>
      </c>
      <c r="CG11" s="251" t="s">
        <v>805</v>
      </c>
      <c r="CH11" s="251" t="s">
        <v>805</v>
      </c>
      <c r="CI11" s="251" t="s">
        <v>805</v>
      </c>
      <c r="CJ11" s="251" t="s">
        <v>805</v>
      </c>
      <c r="CK11" s="251" t="s">
        <v>805</v>
      </c>
      <c r="CL11" s="251" t="s">
        <v>805</v>
      </c>
      <c r="CM11" s="251" t="s">
        <v>805</v>
      </c>
      <c r="CN11" s="251" t="s">
        <v>805</v>
      </c>
      <c r="CO11" s="251" t="s">
        <v>805</v>
      </c>
      <c r="CP11" s="251" t="s">
        <v>805</v>
      </c>
      <c r="CQ11" s="251" t="s">
        <v>805</v>
      </c>
      <c r="CR11" s="251" t="s">
        <v>805</v>
      </c>
      <c r="CS11" s="251" t="s">
        <v>805</v>
      </c>
      <c r="CT11" s="251" t="s">
        <v>805</v>
      </c>
      <c r="CU11" s="251" t="s">
        <v>805</v>
      </c>
      <c r="CV11" s="251" t="s">
        <v>805</v>
      </c>
      <c r="CW11" s="251" t="s">
        <v>805</v>
      </c>
      <c r="CX11" s="251" t="s">
        <v>805</v>
      </c>
      <c r="CY11" s="251" t="s">
        <v>805</v>
      </c>
      <c r="CZ11" s="251" t="s">
        <v>805</v>
      </c>
      <c r="DA11" s="251" t="s">
        <v>805</v>
      </c>
      <c r="DB11" s="251" t="s">
        <v>805</v>
      </c>
      <c r="DC11" s="251" t="s">
        <v>805</v>
      </c>
      <c r="DD11" s="251" t="s">
        <v>805</v>
      </c>
      <c r="DE11" s="251" t="s">
        <v>805</v>
      </c>
      <c r="DF11" s="251" t="s">
        <v>805</v>
      </c>
      <c r="DG11" s="251"/>
      <c r="DH11" s="251"/>
      <c r="DI11" s="251"/>
      <c r="DJ11" s="251"/>
      <c r="DK11" s="251"/>
      <c r="DL11" s="251"/>
      <c r="DM11" s="251"/>
      <c r="DN11" s="275"/>
      <c r="DO11" s="251"/>
      <c r="DP11" s="251"/>
      <c r="DQ11" s="251"/>
      <c r="DR11" s="251"/>
      <c r="DS11" s="251"/>
      <c r="DT11" s="251"/>
      <c r="DU11" s="275"/>
      <c r="DV11" s="251"/>
      <c r="DW11" s="251"/>
      <c r="DX11" s="251"/>
      <c r="DY11" s="251"/>
      <c r="DZ11" s="251"/>
      <c r="EA11" s="251"/>
      <c r="EB11" s="275"/>
      <c r="EC11" s="251"/>
      <c r="ED11" s="251"/>
      <c r="EE11" s="251"/>
      <c r="EF11" s="251"/>
      <c r="EG11" s="251"/>
      <c r="EH11" s="251"/>
      <c r="EI11" s="251"/>
      <c r="EJ11" s="251"/>
      <c r="EK11" s="251"/>
      <c r="EL11" s="251"/>
      <c r="EM11" s="251"/>
      <c r="EN11" s="251"/>
      <c r="EO11" s="251"/>
      <c r="EP11" s="251"/>
      <c r="EQ11" s="251"/>
      <c r="ER11" s="251"/>
      <c r="ES11" s="251"/>
      <c r="ET11" s="251"/>
      <c r="EU11" s="251"/>
      <c r="EV11" s="251"/>
      <c r="EW11" s="251"/>
      <c r="EX11" s="251"/>
      <c r="EY11" s="251"/>
      <c r="EZ11" s="251"/>
      <c r="FA11" s="251"/>
      <c r="FB11" s="251"/>
      <c r="FC11" s="251"/>
      <c r="FD11" s="251"/>
      <c r="FE11" s="251"/>
      <c r="FF11" s="251"/>
      <c r="FG11" s="251"/>
      <c r="FH11" s="251"/>
      <c r="FI11" s="251"/>
      <c r="FJ11" s="251"/>
      <c r="FK11" s="251"/>
      <c r="FL11" s="251"/>
      <c r="FM11" s="251"/>
      <c r="FN11" s="251"/>
      <c r="FO11" s="251"/>
      <c r="FP11" s="251"/>
      <c r="FQ11" s="251"/>
      <c r="FR11" s="251"/>
      <c r="FS11" s="251"/>
      <c r="FT11" s="251"/>
      <c r="FU11" s="251"/>
      <c r="FV11" s="251"/>
      <c r="FW11" s="251"/>
      <c r="FX11" s="251"/>
      <c r="FY11" s="251"/>
      <c r="FZ11" s="251"/>
      <c r="GA11" s="251"/>
      <c r="GB11" s="251"/>
      <c r="GC11" s="251"/>
      <c r="GD11" s="251"/>
      <c r="GE11" s="251"/>
      <c r="GF11" s="251"/>
      <c r="GG11" s="251"/>
      <c r="GH11" s="251"/>
      <c r="GI11" s="251"/>
      <c r="GJ11" s="251"/>
      <c r="GK11" s="251"/>
      <c r="GL11" s="251"/>
      <c r="GM11" s="251"/>
      <c r="GN11" s="251"/>
      <c r="GO11" s="251"/>
      <c r="GP11" s="251"/>
      <c r="GQ11" s="251"/>
      <c r="GR11" s="251"/>
      <c r="GS11" s="251"/>
      <c r="GT11" s="251"/>
      <c r="GU11" s="251"/>
      <c r="GV11" s="251"/>
      <c r="GW11" s="251"/>
      <c r="GX11" s="251"/>
      <c r="GY11" s="251"/>
      <c r="GZ11" s="251"/>
      <c r="HA11" s="251"/>
      <c r="HB11" s="251"/>
      <c r="HC11" s="251"/>
      <c r="HD11" s="251"/>
      <c r="HE11" s="251"/>
      <c r="HF11" s="251"/>
      <c r="HG11" s="251"/>
      <c r="HH11" s="251"/>
      <c r="HI11" s="251"/>
      <c r="HJ11" s="251"/>
      <c r="HK11" s="251"/>
      <c r="HL11" s="251"/>
      <c r="HM11" s="251"/>
      <c r="HN11" s="251"/>
      <c r="HO11" s="251"/>
      <c r="HP11" s="251"/>
      <c r="HQ11" s="251"/>
      <c r="HR11" s="251"/>
      <c r="HS11" s="251"/>
      <c r="HT11" s="251"/>
      <c r="HU11" s="251"/>
      <c r="HV11" s="251"/>
      <c r="HW11" s="251"/>
      <c r="HX11" s="251"/>
      <c r="HY11" s="251"/>
      <c r="HZ11" s="251"/>
      <c r="IA11" s="251"/>
      <c r="IB11" s="251"/>
      <c r="IC11" s="251"/>
      <c r="ID11" s="251"/>
      <c r="IE11" s="251"/>
      <c r="IF11" s="251"/>
      <c r="IG11" s="310"/>
      <c r="IH11" s="251"/>
      <c r="II11" s="251"/>
      <c r="IJ11" s="251"/>
      <c r="IK11" s="251"/>
      <c r="IL11" s="251"/>
      <c r="IM11" s="310"/>
      <c r="IN11" s="251"/>
      <c r="IO11" s="251"/>
      <c r="IP11" s="251"/>
      <c r="IQ11" s="251"/>
      <c r="IR11" s="251"/>
      <c r="IS11" s="310"/>
      <c r="IT11" s="251"/>
      <c r="IU11" s="251"/>
      <c r="IV11" s="251"/>
      <c r="IW11" s="251"/>
      <c r="IX11" s="251"/>
      <c r="IY11" s="310"/>
      <c r="IZ11" s="251"/>
      <c r="JA11" s="251"/>
      <c r="JB11" s="251"/>
      <c r="JC11" s="251"/>
      <c r="JD11" s="311"/>
      <c r="JF11" s="66"/>
      <c r="JG11" s="66"/>
      <c r="JH11" s="66"/>
      <c r="JI11" s="66"/>
      <c r="JJ11" s="66"/>
      <c r="JK11" s="28"/>
      <c r="JL11" s="77"/>
      <c r="JM11" s="75"/>
      <c r="JN11" s="75"/>
      <c r="JO11" s="77"/>
      <c r="JP11" s="74"/>
    </row>
    <row r="12" spans="1:276" x14ac:dyDescent="0.35">
      <c r="A12" s="125" t="s">
        <v>805</v>
      </c>
      <c r="B12" s="125" t="s">
        <v>805</v>
      </c>
      <c r="C12" s="125" t="s">
        <v>805</v>
      </c>
      <c r="D12" s="163"/>
      <c r="E12" s="142" t="s">
        <v>817</v>
      </c>
      <c r="F12" s="208" t="s">
        <v>17</v>
      </c>
      <c r="G12" s="209" t="s">
        <v>530</v>
      </c>
      <c r="H12" s="210" t="s">
        <v>535</v>
      </c>
      <c r="I12" s="8" t="s">
        <v>536</v>
      </c>
      <c r="J12" s="211">
        <v>775.00014198555414</v>
      </c>
      <c r="K12" s="217">
        <v>1088.6306256192561</v>
      </c>
      <c r="L12" s="217">
        <v>512.58793327358921</v>
      </c>
      <c r="M12" s="217">
        <v>351.21592424597617</v>
      </c>
      <c r="N12" s="217" t="s">
        <v>805</v>
      </c>
      <c r="O12" s="217" t="s">
        <v>805</v>
      </c>
      <c r="P12" s="217" t="s">
        <v>805</v>
      </c>
      <c r="Q12" s="217" t="s">
        <v>805</v>
      </c>
      <c r="R12" s="217" t="s">
        <v>805</v>
      </c>
      <c r="S12" s="217" t="s">
        <v>805</v>
      </c>
      <c r="T12" s="217" t="s">
        <v>805</v>
      </c>
      <c r="U12" s="217" t="s">
        <v>805</v>
      </c>
      <c r="V12" s="217" t="s">
        <v>805</v>
      </c>
      <c r="W12" s="217" t="s">
        <v>805</v>
      </c>
      <c r="X12" s="217" t="s">
        <v>805</v>
      </c>
      <c r="Y12" s="217" t="s">
        <v>805</v>
      </c>
      <c r="Z12" s="217" t="s">
        <v>805</v>
      </c>
      <c r="AA12" s="217" t="s">
        <v>805</v>
      </c>
      <c r="AB12" s="217" t="s">
        <v>805</v>
      </c>
      <c r="AC12" s="217" t="s">
        <v>805</v>
      </c>
      <c r="AD12" s="217" t="s">
        <v>805</v>
      </c>
      <c r="AE12" s="217" t="s">
        <v>805</v>
      </c>
      <c r="AF12" s="217" t="s">
        <v>805</v>
      </c>
      <c r="AG12" s="217" t="s">
        <v>805</v>
      </c>
      <c r="AH12" s="217" t="s">
        <v>805</v>
      </c>
      <c r="AI12" s="217" t="s">
        <v>805</v>
      </c>
      <c r="AJ12" s="217" t="s">
        <v>805</v>
      </c>
      <c r="AK12" s="217" t="s">
        <v>805</v>
      </c>
      <c r="AL12" s="217" t="s">
        <v>805</v>
      </c>
      <c r="AM12" s="217" t="s">
        <v>805</v>
      </c>
      <c r="AN12" s="217" t="s">
        <v>805</v>
      </c>
      <c r="AO12" s="217" t="s">
        <v>805</v>
      </c>
      <c r="AP12" s="217" t="s">
        <v>805</v>
      </c>
      <c r="AQ12" s="217" t="s">
        <v>805</v>
      </c>
      <c r="AR12" s="217" t="s">
        <v>805</v>
      </c>
      <c r="AS12" s="217" t="s">
        <v>805</v>
      </c>
      <c r="AT12" s="217" t="s">
        <v>805</v>
      </c>
      <c r="AU12" s="217" t="s">
        <v>805</v>
      </c>
      <c r="AV12" s="217" t="s">
        <v>805</v>
      </c>
      <c r="AW12" s="217" t="s">
        <v>805</v>
      </c>
      <c r="AX12" s="217" t="s">
        <v>805</v>
      </c>
      <c r="AY12" s="217" t="s">
        <v>805</v>
      </c>
      <c r="AZ12" s="217" t="s">
        <v>805</v>
      </c>
      <c r="BA12" s="217" t="s">
        <v>805</v>
      </c>
      <c r="BB12" s="217" t="s">
        <v>805</v>
      </c>
      <c r="BC12" s="217" t="s">
        <v>805</v>
      </c>
      <c r="BD12" s="217" t="s">
        <v>805</v>
      </c>
      <c r="BE12" s="217" t="s">
        <v>805</v>
      </c>
      <c r="BF12" s="217" t="s">
        <v>805</v>
      </c>
      <c r="BG12" s="217" t="s">
        <v>805</v>
      </c>
      <c r="BH12" s="217" t="s">
        <v>805</v>
      </c>
      <c r="BI12" s="217" t="s">
        <v>805</v>
      </c>
      <c r="BJ12" s="217" t="s">
        <v>805</v>
      </c>
      <c r="BK12" s="217" t="s">
        <v>805</v>
      </c>
      <c r="BL12" s="217" t="s">
        <v>805</v>
      </c>
      <c r="BM12" s="217" t="s">
        <v>805</v>
      </c>
      <c r="BN12" s="217" t="s">
        <v>805</v>
      </c>
      <c r="BO12" s="217" t="s">
        <v>805</v>
      </c>
      <c r="BP12" s="217" t="s">
        <v>805</v>
      </c>
      <c r="BQ12" s="217" t="s">
        <v>805</v>
      </c>
      <c r="BR12" s="217" t="s">
        <v>805</v>
      </c>
      <c r="BS12" s="217" t="s">
        <v>805</v>
      </c>
      <c r="BT12" s="217" t="s">
        <v>805</v>
      </c>
      <c r="BU12" s="217" t="s">
        <v>805</v>
      </c>
      <c r="BV12" s="217" t="s">
        <v>805</v>
      </c>
      <c r="BW12" s="217" t="s">
        <v>805</v>
      </c>
      <c r="BX12" s="217" t="s">
        <v>805</v>
      </c>
      <c r="BY12" s="217" t="s">
        <v>805</v>
      </c>
      <c r="BZ12" s="217" t="s">
        <v>805</v>
      </c>
      <c r="CA12" s="217" t="s">
        <v>805</v>
      </c>
      <c r="CB12" s="217" t="s">
        <v>805</v>
      </c>
      <c r="CC12" s="217" t="s">
        <v>805</v>
      </c>
      <c r="CD12" s="217" t="s">
        <v>805</v>
      </c>
      <c r="CE12" s="217" t="s">
        <v>805</v>
      </c>
      <c r="CF12" s="217" t="s">
        <v>805</v>
      </c>
      <c r="CG12" s="217" t="s">
        <v>805</v>
      </c>
      <c r="CH12" s="217" t="s">
        <v>805</v>
      </c>
      <c r="CI12" s="217" t="s">
        <v>805</v>
      </c>
      <c r="CJ12" s="217" t="s">
        <v>805</v>
      </c>
      <c r="CK12" s="217" t="s">
        <v>805</v>
      </c>
      <c r="CL12" s="217" t="s">
        <v>805</v>
      </c>
      <c r="CM12" s="217" t="s">
        <v>805</v>
      </c>
      <c r="CN12" s="217" t="s">
        <v>805</v>
      </c>
      <c r="CO12" s="217" t="s">
        <v>805</v>
      </c>
      <c r="CP12" s="217" t="s">
        <v>805</v>
      </c>
      <c r="CQ12" s="217" t="s">
        <v>805</v>
      </c>
      <c r="CR12" s="217" t="s">
        <v>805</v>
      </c>
      <c r="CS12" s="217" t="s">
        <v>805</v>
      </c>
      <c r="CT12" s="217" t="s">
        <v>805</v>
      </c>
      <c r="CU12" s="217" t="s">
        <v>805</v>
      </c>
      <c r="CV12" s="217" t="s">
        <v>805</v>
      </c>
      <c r="CW12" s="217" t="s">
        <v>805</v>
      </c>
      <c r="CX12" s="217" t="s">
        <v>805</v>
      </c>
      <c r="CY12" s="217" t="s">
        <v>805</v>
      </c>
      <c r="CZ12" s="217" t="s">
        <v>805</v>
      </c>
      <c r="DA12" s="217" t="s">
        <v>805</v>
      </c>
      <c r="DB12" s="217" t="s">
        <v>805</v>
      </c>
      <c r="DC12" s="217" t="s">
        <v>805</v>
      </c>
      <c r="DD12" s="217" t="s">
        <v>805</v>
      </c>
      <c r="DE12" s="217" t="s">
        <v>805</v>
      </c>
      <c r="DF12" s="217" t="s">
        <v>805</v>
      </c>
      <c r="DG12" s="212">
        <f>VLOOKUP(E12,'KPI Count-SHARE'!A:F,3,0)</f>
        <v>19</v>
      </c>
      <c r="DH12" s="213">
        <v>1429.7744561086047</v>
      </c>
      <c r="DI12" s="218">
        <v>387.10013693914772</v>
      </c>
      <c r="DJ12" s="218">
        <v>431.9935531613076</v>
      </c>
      <c r="DK12" s="218">
        <v>794.47638680659668</v>
      </c>
      <c r="DL12" s="218">
        <v>1613.0612710336538</v>
      </c>
      <c r="DM12" s="218">
        <v>4296.9711227351154</v>
      </c>
      <c r="DN12" s="212">
        <f>VLOOKUP(E12,'KPI Count-SHARE'!A:F,4,0)</f>
        <v>0</v>
      </c>
      <c r="DO12" s="213"/>
      <c r="DP12" s="218"/>
      <c r="DQ12" s="218"/>
      <c r="DR12" s="218"/>
      <c r="DS12" s="218"/>
      <c r="DT12" s="218"/>
      <c r="DU12" s="212">
        <f>VLOOKUP(E12,'KPI Count-SHARE'!A:F,5,0)</f>
        <v>0</v>
      </c>
      <c r="DV12" s="213"/>
      <c r="DW12" s="218"/>
      <c r="DX12" s="218"/>
      <c r="DY12" s="218"/>
      <c r="DZ12" s="218"/>
      <c r="EA12" s="218"/>
      <c r="EB12" s="212">
        <f>VLOOKUP(E12,'KPI Count-SHARE'!A:F,6,0)</f>
        <v>0</v>
      </c>
      <c r="EC12" s="213"/>
      <c r="ED12" s="218"/>
      <c r="EE12" s="218"/>
      <c r="EF12" s="218"/>
      <c r="EG12" s="218"/>
      <c r="EH12" s="218"/>
      <c r="EI12" s="214" t="str">
        <f>XCurrency &amp; " '000 per FTE"</f>
        <v>USD '000 per FTE</v>
      </c>
      <c r="EJ12" s="235">
        <f t="shared" si="101"/>
        <v>870.78667638826312</v>
      </c>
      <c r="EK12" s="235">
        <f t="shared" si="102"/>
        <v>1223.1804782238833</v>
      </c>
      <c r="EL12" s="235">
        <f t="shared" si="103"/>
        <v>575.94149806021267</v>
      </c>
      <c r="EM12" s="235">
        <f t="shared" si="104"/>
        <v>394.62463398424291</v>
      </c>
      <c r="EN12" s="235" t="str">
        <f t="shared" si="105"/>
        <v>-</v>
      </c>
      <c r="EO12" s="235" t="str">
        <f t="shared" si="106"/>
        <v>-</v>
      </c>
      <c r="EP12" s="235" t="str">
        <f t="shared" si="107"/>
        <v>-</v>
      </c>
      <c r="EQ12" s="235" t="str">
        <f t="shared" si="108"/>
        <v>-</v>
      </c>
      <c r="ER12" s="235" t="str">
        <f t="shared" si="109"/>
        <v>-</v>
      </c>
      <c r="ES12" s="235" t="str">
        <f t="shared" si="110"/>
        <v>-</v>
      </c>
      <c r="ET12" s="235" t="str">
        <f t="shared" si="111"/>
        <v>-</v>
      </c>
      <c r="EU12" s="235" t="str">
        <f t="shared" ref="EU12:FD14" si="124">IFERROR(IF(ISBLANK(U12), "-", IF($I12="c", U12*$I$5, U12)),"-")</f>
        <v>-</v>
      </c>
      <c r="EV12" s="235" t="str">
        <f t="shared" si="124"/>
        <v>-</v>
      </c>
      <c r="EW12" s="235" t="str">
        <f t="shared" si="124"/>
        <v>-</v>
      </c>
      <c r="EX12" s="235" t="str">
        <f t="shared" si="124"/>
        <v>-</v>
      </c>
      <c r="EY12" s="235" t="str">
        <f t="shared" si="124"/>
        <v>-</v>
      </c>
      <c r="EZ12" s="235" t="str">
        <f t="shared" si="124"/>
        <v>-</v>
      </c>
      <c r="FA12" s="235" t="str">
        <f t="shared" si="124"/>
        <v>-</v>
      </c>
      <c r="FB12" s="235" t="str">
        <f t="shared" si="124"/>
        <v>-</v>
      </c>
      <c r="FC12" s="235" t="str">
        <f t="shared" si="124"/>
        <v>-</v>
      </c>
      <c r="FD12" s="235" t="str">
        <f t="shared" si="124"/>
        <v>-</v>
      </c>
      <c r="FE12" s="235" t="str">
        <f t="shared" ref="FE12:FN14" si="125">IFERROR(IF(ISBLANK(AE12), "-", IF($I12="c", AE12*$I$5, AE12)),"-")</f>
        <v>-</v>
      </c>
      <c r="FF12" s="235" t="str">
        <f t="shared" si="125"/>
        <v>-</v>
      </c>
      <c r="FG12" s="235" t="str">
        <f t="shared" si="125"/>
        <v>-</v>
      </c>
      <c r="FH12" s="235" t="str">
        <f t="shared" si="125"/>
        <v>-</v>
      </c>
      <c r="FI12" s="235" t="str">
        <f t="shared" si="125"/>
        <v>-</v>
      </c>
      <c r="FJ12" s="235" t="str">
        <f t="shared" si="125"/>
        <v>-</v>
      </c>
      <c r="FK12" s="235" t="str">
        <f t="shared" si="125"/>
        <v>-</v>
      </c>
      <c r="FL12" s="235" t="str">
        <f t="shared" si="125"/>
        <v>-</v>
      </c>
      <c r="FM12" s="235" t="str">
        <f t="shared" si="125"/>
        <v>-</v>
      </c>
      <c r="FN12" s="235" t="str">
        <f t="shared" si="125"/>
        <v>-</v>
      </c>
      <c r="FO12" s="235" t="str">
        <f t="shared" ref="FO12:FX14" si="126">IFERROR(IF(ISBLANK(AO12), "-", IF($I12="c", AO12*$I$5, AO12)),"-")</f>
        <v>-</v>
      </c>
      <c r="FP12" s="235" t="str">
        <f t="shared" si="126"/>
        <v>-</v>
      </c>
      <c r="FQ12" s="235" t="str">
        <f t="shared" si="126"/>
        <v>-</v>
      </c>
      <c r="FR12" s="235" t="str">
        <f t="shared" si="126"/>
        <v>-</v>
      </c>
      <c r="FS12" s="235" t="str">
        <f t="shared" si="126"/>
        <v>-</v>
      </c>
      <c r="FT12" s="235" t="str">
        <f t="shared" si="126"/>
        <v>-</v>
      </c>
      <c r="FU12" s="235" t="str">
        <f t="shared" si="126"/>
        <v>-</v>
      </c>
      <c r="FV12" s="235" t="str">
        <f t="shared" si="126"/>
        <v>-</v>
      </c>
      <c r="FW12" s="235" t="str">
        <f t="shared" si="126"/>
        <v>-</v>
      </c>
      <c r="FX12" s="235" t="str">
        <f t="shared" si="126"/>
        <v>-</v>
      </c>
      <c r="FY12" s="235" t="str">
        <f t="shared" ref="FY12:GH14" si="127">IFERROR(IF(ISBLANK(AY12), "-", IF($I12="c", AY12*$I$5, AY12)),"-")</f>
        <v>-</v>
      </c>
      <c r="FZ12" s="235" t="str">
        <f t="shared" si="127"/>
        <v>-</v>
      </c>
      <c r="GA12" s="235" t="str">
        <f t="shared" si="127"/>
        <v>-</v>
      </c>
      <c r="GB12" s="235" t="str">
        <f t="shared" si="127"/>
        <v>-</v>
      </c>
      <c r="GC12" s="235" t="str">
        <f t="shared" si="127"/>
        <v>-</v>
      </c>
      <c r="GD12" s="235" t="str">
        <f t="shared" si="127"/>
        <v>-</v>
      </c>
      <c r="GE12" s="235" t="str">
        <f t="shared" si="127"/>
        <v>-</v>
      </c>
      <c r="GF12" s="235" t="str">
        <f t="shared" si="127"/>
        <v>-</v>
      </c>
      <c r="GG12" s="235" t="str">
        <f t="shared" si="127"/>
        <v>-</v>
      </c>
      <c r="GH12" s="235" t="str">
        <f t="shared" si="127"/>
        <v>-</v>
      </c>
      <c r="GI12" s="235" t="str">
        <f t="shared" ref="GI12:GR14" si="128">IFERROR(IF(ISBLANK(BI12), "-", IF($I12="c", BI12*$I$5, BI12)),"-")</f>
        <v>-</v>
      </c>
      <c r="GJ12" s="235" t="str">
        <f t="shared" si="128"/>
        <v>-</v>
      </c>
      <c r="GK12" s="235" t="str">
        <f t="shared" si="128"/>
        <v>-</v>
      </c>
      <c r="GL12" s="235" t="str">
        <f t="shared" si="128"/>
        <v>-</v>
      </c>
      <c r="GM12" s="235" t="str">
        <f t="shared" si="128"/>
        <v>-</v>
      </c>
      <c r="GN12" s="235" t="str">
        <f t="shared" si="128"/>
        <v>-</v>
      </c>
      <c r="GO12" s="235" t="str">
        <f t="shared" si="128"/>
        <v>-</v>
      </c>
      <c r="GP12" s="235" t="str">
        <f t="shared" si="128"/>
        <v>-</v>
      </c>
      <c r="GQ12" s="235" t="str">
        <f t="shared" si="128"/>
        <v>-</v>
      </c>
      <c r="GR12" s="235" t="str">
        <f t="shared" si="128"/>
        <v>-</v>
      </c>
      <c r="GS12" s="235" t="str">
        <f t="shared" ref="GS12:HB14" si="129">IFERROR(IF(ISBLANK(BS12), "-", IF($I12="c", BS12*$I$5, BS12)),"-")</f>
        <v>-</v>
      </c>
      <c r="GT12" s="235" t="str">
        <f t="shared" si="129"/>
        <v>-</v>
      </c>
      <c r="GU12" s="235" t="str">
        <f t="shared" si="129"/>
        <v>-</v>
      </c>
      <c r="GV12" s="235" t="str">
        <f t="shared" si="129"/>
        <v>-</v>
      </c>
      <c r="GW12" s="235" t="str">
        <f t="shared" si="129"/>
        <v>-</v>
      </c>
      <c r="GX12" s="235" t="str">
        <f t="shared" si="129"/>
        <v>-</v>
      </c>
      <c r="GY12" s="235" t="str">
        <f t="shared" si="129"/>
        <v>-</v>
      </c>
      <c r="GZ12" s="235" t="str">
        <f t="shared" si="129"/>
        <v>-</v>
      </c>
      <c r="HA12" s="235" t="str">
        <f t="shared" si="129"/>
        <v>-</v>
      </c>
      <c r="HB12" s="235" t="str">
        <f t="shared" si="129"/>
        <v>-</v>
      </c>
      <c r="HC12" s="235" t="str">
        <f t="shared" ref="HC12:HL14" si="130">IFERROR(IF(ISBLANK(CC12), "-", IF($I12="c", CC12*$I$5, CC12)),"-")</f>
        <v>-</v>
      </c>
      <c r="HD12" s="235" t="str">
        <f t="shared" si="130"/>
        <v>-</v>
      </c>
      <c r="HE12" s="235" t="str">
        <f t="shared" si="130"/>
        <v>-</v>
      </c>
      <c r="HF12" s="235" t="str">
        <f t="shared" si="130"/>
        <v>-</v>
      </c>
      <c r="HG12" s="235" t="str">
        <f t="shared" si="130"/>
        <v>-</v>
      </c>
      <c r="HH12" s="235" t="str">
        <f t="shared" si="130"/>
        <v>-</v>
      </c>
      <c r="HI12" s="235" t="str">
        <f t="shared" si="130"/>
        <v>-</v>
      </c>
      <c r="HJ12" s="235" t="str">
        <f t="shared" si="130"/>
        <v>-</v>
      </c>
      <c r="HK12" s="235" t="str">
        <f t="shared" si="130"/>
        <v>-</v>
      </c>
      <c r="HL12" s="235" t="str">
        <f t="shared" si="130"/>
        <v>-</v>
      </c>
      <c r="HM12" s="235" t="str">
        <f t="shared" ref="HM12:HV14" si="131">IFERROR(IF(ISBLANK(CM12), "-", IF($I12="c", CM12*$I$5, CM12)),"-")</f>
        <v>-</v>
      </c>
      <c r="HN12" s="235" t="str">
        <f t="shared" si="131"/>
        <v>-</v>
      </c>
      <c r="HO12" s="235" t="str">
        <f t="shared" si="131"/>
        <v>-</v>
      </c>
      <c r="HP12" s="235" t="str">
        <f t="shared" si="131"/>
        <v>-</v>
      </c>
      <c r="HQ12" s="235" t="str">
        <f t="shared" si="131"/>
        <v>-</v>
      </c>
      <c r="HR12" s="235" t="str">
        <f t="shared" si="131"/>
        <v>-</v>
      </c>
      <c r="HS12" s="235" t="str">
        <f t="shared" si="131"/>
        <v>-</v>
      </c>
      <c r="HT12" s="235" t="str">
        <f t="shared" si="131"/>
        <v>-</v>
      </c>
      <c r="HU12" s="235" t="str">
        <f t="shared" si="131"/>
        <v>-</v>
      </c>
      <c r="HV12" s="235" t="str">
        <f t="shared" si="131"/>
        <v>-</v>
      </c>
      <c r="HW12" s="235" t="str">
        <f t="shared" ref="HW12:ID14" si="132">IFERROR(IF(ISBLANK(CW12), "-", IF($I12="c", CW12*$I$5, CW12)),"-")</f>
        <v>-</v>
      </c>
      <c r="HX12" s="235" t="str">
        <f t="shared" si="132"/>
        <v>-</v>
      </c>
      <c r="HY12" s="235" t="str">
        <f t="shared" si="132"/>
        <v>-</v>
      </c>
      <c r="HZ12" s="235" t="str">
        <f t="shared" si="132"/>
        <v>-</v>
      </c>
      <c r="IA12" s="235" t="str">
        <f t="shared" si="132"/>
        <v>-</v>
      </c>
      <c r="IB12" s="235" t="str">
        <f t="shared" si="132"/>
        <v>-</v>
      </c>
      <c r="IC12" s="235" t="str">
        <f t="shared" si="132"/>
        <v>-</v>
      </c>
      <c r="ID12" s="235" t="str">
        <f t="shared" si="132"/>
        <v>-</v>
      </c>
      <c r="IE12" s="235" t="str">
        <f t="shared" si="68"/>
        <v>-</v>
      </c>
      <c r="IF12" s="235" t="str">
        <f t="shared" si="69"/>
        <v>-</v>
      </c>
      <c r="IG12" s="306">
        <f t="shared" si="70"/>
        <v>1606.4881529310167</v>
      </c>
      <c r="IH12" s="44">
        <f t="shared" ref="IH12:IH17" si="133">IFERROR(IF(ISBLANK(DI12), "-", IF($I12="c", DI12*$I$5, DI12)),"-")</f>
        <v>434.94397408893008</v>
      </c>
      <c r="II12" s="44">
        <f t="shared" ref="II12:II17" si="134">IFERROR(IF(ISBLANK(DJ12), "-", IF($I12="c", DJ12*$I$5, DJ12)),"-")</f>
        <v>485.38601478798608</v>
      </c>
      <c r="IJ12" s="44">
        <f t="shared" ref="IJ12:IJ17" si="135">IFERROR(IF(ISBLANK(DK12), "-", IF($I12="c", DK12*$I$5, DK12)),"-")</f>
        <v>892.6700975355019</v>
      </c>
      <c r="IK12" s="44">
        <f t="shared" ref="IK12:IK17" si="136">IFERROR(IF(ISBLANK(DL12), "-", IF($I12="c", DL12*$I$5, DL12)),"-")</f>
        <v>1812.428394419836</v>
      </c>
      <c r="IL12" s="44">
        <f t="shared" ref="IL12:IL17" si="137">IFERROR(IF(ISBLANK(DM12), "-", IF($I12="c", DM12*$I$5, DM12)),"-")</f>
        <v>4828.0574412754113</v>
      </c>
      <c r="IM12" s="306" t="str">
        <f t="shared" si="76"/>
        <v/>
      </c>
      <c r="IN12" s="44" t="str">
        <f t="shared" ref="IN12:IN17" si="138">IFERROR(IF(ISBLANK(DP12), "", IF($I12="c",DP12*$I$5, DP12)),"-")</f>
        <v/>
      </c>
      <c r="IO12" s="44" t="str">
        <f t="shared" ref="IO12:IO17" si="139">IFERROR(IF(ISBLANK(DQ12), "", IF($I12="c",DQ12*$I$5, DQ12)),"-")</f>
        <v/>
      </c>
      <c r="IP12" s="44" t="str">
        <f t="shared" ref="IP12:IP17" si="140">IFERROR(IF(ISBLANK(DR12), "", IF($I12="c",DR12*$I$5, DR12)),"-")</f>
        <v/>
      </c>
      <c r="IQ12" s="44" t="str">
        <f t="shared" ref="IQ12:IQ17" si="141">IFERROR(IF(ISBLANK(DS12), "", IF($I12="c",DS12*$I$5, DS12)),"-")</f>
        <v/>
      </c>
      <c r="IR12" s="44" t="str">
        <f t="shared" ref="IR12:IR17" si="142">IFERROR(IF(ISBLANK(DT12), "", IF($I12="c",DT12*$I$5, DT12)),"-")</f>
        <v/>
      </c>
      <c r="IS12" s="306" t="str">
        <f t="shared" si="82"/>
        <v/>
      </c>
      <c r="IT12" s="44" t="str">
        <f t="shared" ref="IT12:IT17" si="143">IFERROR(IF(ISBLANK(DW12), "", IF($I12="c", DW12*$I$5, DW12)),"-")</f>
        <v/>
      </c>
      <c r="IU12" s="44" t="str">
        <f t="shared" ref="IU12:IU17" si="144">IFERROR(IF(ISBLANK(DX12), "", IF($I12="c", DX12*$I$5, DX12)),"-")</f>
        <v/>
      </c>
      <c r="IV12" s="44" t="str">
        <f t="shared" ref="IV12:IV17" si="145">IFERROR(IF(ISBLANK(DY12), "", IF($I12="c", DY12*$I$5, DY12)),"-")</f>
        <v/>
      </c>
      <c r="IW12" s="44" t="str">
        <f t="shared" ref="IW12:IW17" si="146">IFERROR(IF(ISBLANK(DZ12), "", IF($I12="c", DZ12*$I$5, DZ12)),"-")</f>
        <v/>
      </c>
      <c r="IX12" s="44" t="str">
        <f t="shared" ref="IX12:IX17" si="147">IFERROR(IF(ISBLANK(EA12), "", IF($I12="c", EA12*$I$5, EA12)),"-")</f>
        <v/>
      </c>
      <c r="IY12" s="306" t="str">
        <f t="shared" si="88"/>
        <v/>
      </c>
      <c r="IZ12" s="44" t="str">
        <f t="shared" ref="IZ12:IZ17" si="148">IFERROR(IF(ISBLANK(ED12), "", IF($I12="c", ED12*$I$5, ED12)),"-")</f>
        <v/>
      </c>
      <c r="JA12" s="44" t="str">
        <f t="shared" ref="JA12:JA17" si="149">IFERROR(IF(ISBLANK(EE12), "", IF($I12="c", EE12*$I$5, EE12)),"-")</f>
        <v/>
      </c>
      <c r="JB12" s="44" t="str">
        <f t="shared" ref="JB12:JB17" si="150">IFERROR(IF(ISBLANK(EF12), "", IF($I12="c", EF12*$I$5, EF12)),"-")</f>
        <v/>
      </c>
      <c r="JC12" s="44" t="str">
        <f t="shared" ref="JC12:JC17" si="151">IFERROR(IF(ISBLANK(EG12), "", IF($I12="c", EG12*$I$5, EG12)),"-")</f>
        <v/>
      </c>
      <c r="JD12" s="307" t="str">
        <f t="shared" ref="JD12:JD17" si="152">IFERROR(IF(ISBLANK(EH12), "", IF($I12="c", EH12*$I$5, EH12)),"-")</f>
        <v/>
      </c>
      <c r="JF12" s="66">
        <f t="shared" ref="JF12:JF17" si="153">ROW(F12)</f>
        <v>12</v>
      </c>
      <c r="JG12" s="66">
        <f t="shared" ca="1" si="95"/>
        <v>485.38601478798608</v>
      </c>
      <c r="JH12" s="66">
        <f t="shared" ca="1" si="96"/>
        <v>892.6700975355019</v>
      </c>
      <c r="JI12" s="66">
        <f t="shared" ca="1" si="97"/>
        <v>1812.428394419836</v>
      </c>
      <c r="JJ12" s="66">
        <f t="shared" ca="1" si="98"/>
        <v>19</v>
      </c>
      <c r="JK12" s="28"/>
      <c r="JL12" s="75">
        <f t="shared" ca="1" si="121"/>
        <v>485.38601478798608</v>
      </c>
      <c r="JM12" s="75">
        <f t="shared" ca="1" si="99"/>
        <v>689.02805616174396</v>
      </c>
      <c r="JN12" s="75">
        <f t="shared" ca="1" si="100"/>
        <v>1352.549245977669</v>
      </c>
      <c r="JO12" s="75">
        <f t="shared" ca="1" si="122"/>
        <v>1812.428394419836</v>
      </c>
      <c r="JP12" s="74">
        <f t="shared" ca="1" si="123"/>
        <v>4339.3917113472353</v>
      </c>
    </row>
    <row r="13" spans="1:276" x14ac:dyDescent="0.35">
      <c r="A13" s="125">
        <v>0</v>
      </c>
      <c r="B13" s="125">
        <v>1</v>
      </c>
      <c r="C13" s="125">
        <v>1</v>
      </c>
      <c r="D13" s="163"/>
      <c r="E13" s="142" t="s">
        <v>818</v>
      </c>
      <c r="F13" s="208" t="s">
        <v>537</v>
      </c>
      <c r="G13" s="209" t="s">
        <v>530</v>
      </c>
      <c r="H13" s="210" t="s">
        <v>535</v>
      </c>
      <c r="I13" s="8" t="s">
        <v>536</v>
      </c>
      <c r="J13" s="211">
        <v>1562.8455901918635</v>
      </c>
      <c r="K13" s="217">
        <v>2360.8856941140493</v>
      </c>
      <c r="L13" s="217">
        <v>1010.3182452928714</v>
      </c>
      <c r="M13" s="217">
        <v>593.43380303630454</v>
      </c>
      <c r="N13" s="217" t="s">
        <v>805</v>
      </c>
      <c r="O13" s="217" t="s">
        <v>805</v>
      </c>
      <c r="P13" s="217" t="s">
        <v>805</v>
      </c>
      <c r="Q13" s="217" t="s">
        <v>805</v>
      </c>
      <c r="R13" s="217" t="s">
        <v>805</v>
      </c>
      <c r="S13" s="217" t="s">
        <v>805</v>
      </c>
      <c r="T13" s="217" t="s">
        <v>805</v>
      </c>
      <c r="U13" s="217" t="s">
        <v>805</v>
      </c>
      <c r="V13" s="217" t="s">
        <v>805</v>
      </c>
      <c r="W13" s="217" t="s">
        <v>805</v>
      </c>
      <c r="X13" s="217" t="s">
        <v>805</v>
      </c>
      <c r="Y13" s="217" t="s">
        <v>805</v>
      </c>
      <c r="Z13" s="217" t="s">
        <v>805</v>
      </c>
      <c r="AA13" s="217" t="s">
        <v>805</v>
      </c>
      <c r="AB13" s="217" t="s">
        <v>805</v>
      </c>
      <c r="AC13" s="217" t="s">
        <v>805</v>
      </c>
      <c r="AD13" s="217" t="s">
        <v>805</v>
      </c>
      <c r="AE13" s="217" t="s">
        <v>805</v>
      </c>
      <c r="AF13" s="217" t="s">
        <v>805</v>
      </c>
      <c r="AG13" s="217" t="s">
        <v>805</v>
      </c>
      <c r="AH13" s="217" t="s">
        <v>805</v>
      </c>
      <c r="AI13" s="217" t="s">
        <v>805</v>
      </c>
      <c r="AJ13" s="217" t="s">
        <v>805</v>
      </c>
      <c r="AK13" s="217" t="s">
        <v>805</v>
      </c>
      <c r="AL13" s="217" t="s">
        <v>805</v>
      </c>
      <c r="AM13" s="217" t="s">
        <v>805</v>
      </c>
      <c r="AN13" s="217" t="s">
        <v>805</v>
      </c>
      <c r="AO13" s="217" t="s">
        <v>805</v>
      </c>
      <c r="AP13" s="217" t="s">
        <v>805</v>
      </c>
      <c r="AQ13" s="217" t="s">
        <v>805</v>
      </c>
      <c r="AR13" s="217" t="s">
        <v>805</v>
      </c>
      <c r="AS13" s="217" t="s">
        <v>805</v>
      </c>
      <c r="AT13" s="217" t="s">
        <v>805</v>
      </c>
      <c r="AU13" s="217" t="s">
        <v>805</v>
      </c>
      <c r="AV13" s="217" t="s">
        <v>805</v>
      </c>
      <c r="AW13" s="217" t="s">
        <v>805</v>
      </c>
      <c r="AX13" s="217" t="s">
        <v>805</v>
      </c>
      <c r="AY13" s="217" t="s">
        <v>805</v>
      </c>
      <c r="AZ13" s="217" t="s">
        <v>805</v>
      </c>
      <c r="BA13" s="217" t="s">
        <v>805</v>
      </c>
      <c r="BB13" s="217" t="s">
        <v>805</v>
      </c>
      <c r="BC13" s="217" t="s">
        <v>805</v>
      </c>
      <c r="BD13" s="217" t="s">
        <v>805</v>
      </c>
      <c r="BE13" s="217" t="s">
        <v>805</v>
      </c>
      <c r="BF13" s="217" t="s">
        <v>805</v>
      </c>
      <c r="BG13" s="217" t="s">
        <v>805</v>
      </c>
      <c r="BH13" s="217" t="s">
        <v>805</v>
      </c>
      <c r="BI13" s="217" t="s">
        <v>805</v>
      </c>
      <c r="BJ13" s="217" t="s">
        <v>805</v>
      </c>
      <c r="BK13" s="217" t="s">
        <v>805</v>
      </c>
      <c r="BL13" s="217" t="s">
        <v>805</v>
      </c>
      <c r="BM13" s="217" t="s">
        <v>805</v>
      </c>
      <c r="BN13" s="217" t="s">
        <v>805</v>
      </c>
      <c r="BO13" s="217" t="s">
        <v>805</v>
      </c>
      <c r="BP13" s="217" t="s">
        <v>805</v>
      </c>
      <c r="BQ13" s="217" t="s">
        <v>805</v>
      </c>
      <c r="BR13" s="217" t="s">
        <v>805</v>
      </c>
      <c r="BS13" s="217" t="s">
        <v>805</v>
      </c>
      <c r="BT13" s="217" t="s">
        <v>805</v>
      </c>
      <c r="BU13" s="217" t="s">
        <v>805</v>
      </c>
      <c r="BV13" s="217" t="s">
        <v>805</v>
      </c>
      <c r="BW13" s="217" t="s">
        <v>805</v>
      </c>
      <c r="BX13" s="217" t="s">
        <v>805</v>
      </c>
      <c r="BY13" s="217" t="s">
        <v>805</v>
      </c>
      <c r="BZ13" s="217" t="s">
        <v>805</v>
      </c>
      <c r="CA13" s="217" t="s">
        <v>805</v>
      </c>
      <c r="CB13" s="217" t="s">
        <v>805</v>
      </c>
      <c r="CC13" s="217" t="s">
        <v>805</v>
      </c>
      <c r="CD13" s="217" t="s">
        <v>805</v>
      </c>
      <c r="CE13" s="217" t="s">
        <v>805</v>
      </c>
      <c r="CF13" s="217" t="s">
        <v>805</v>
      </c>
      <c r="CG13" s="217" t="s">
        <v>805</v>
      </c>
      <c r="CH13" s="217" t="s">
        <v>805</v>
      </c>
      <c r="CI13" s="217" t="s">
        <v>805</v>
      </c>
      <c r="CJ13" s="217" t="s">
        <v>805</v>
      </c>
      <c r="CK13" s="217" t="s">
        <v>805</v>
      </c>
      <c r="CL13" s="217" t="s">
        <v>805</v>
      </c>
      <c r="CM13" s="217" t="s">
        <v>805</v>
      </c>
      <c r="CN13" s="217" t="s">
        <v>805</v>
      </c>
      <c r="CO13" s="217" t="s">
        <v>805</v>
      </c>
      <c r="CP13" s="217" t="s">
        <v>805</v>
      </c>
      <c r="CQ13" s="217" t="s">
        <v>805</v>
      </c>
      <c r="CR13" s="217" t="s">
        <v>805</v>
      </c>
      <c r="CS13" s="217" t="s">
        <v>805</v>
      </c>
      <c r="CT13" s="217" t="s">
        <v>805</v>
      </c>
      <c r="CU13" s="217" t="s">
        <v>805</v>
      </c>
      <c r="CV13" s="217" t="s">
        <v>805</v>
      </c>
      <c r="CW13" s="217" t="s">
        <v>805</v>
      </c>
      <c r="CX13" s="217" t="s">
        <v>805</v>
      </c>
      <c r="CY13" s="217" t="s">
        <v>805</v>
      </c>
      <c r="CZ13" s="217" t="s">
        <v>805</v>
      </c>
      <c r="DA13" s="217" t="s">
        <v>805</v>
      </c>
      <c r="DB13" s="217" t="s">
        <v>805</v>
      </c>
      <c r="DC13" s="217" t="s">
        <v>805</v>
      </c>
      <c r="DD13" s="217" t="s">
        <v>805</v>
      </c>
      <c r="DE13" s="217" t="s">
        <v>805</v>
      </c>
      <c r="DF13" s="217" t="s">
        <v>805</v>
      </c>
      <c r="DG13" s="212">
        <f>VLOOKUP(E13,'KPI Count-SHARE'!A:F,3,0)</f>
        <v>15</v>
      </c>
      <c r="DH13" s="213">
        <v>2503.5187093379964</v>
      </c>
      <c r="DI13" s="218">
        <v>552.71956292874938</v>
      </c>
      <c r="DJ13" s="218">
        <v>765.21068750949019</v>
      </c>
      <c r="DK13" s="218">
        <v>1285.2106423173805</v>
      </c>
      <c r="DL13" s="218">
        <v>3612.1955965909092</v>
      </c>
      <c r="DM13" s="218">
        <v>6453.719914215686</v>
      </c>
      <c r="DN13" s="212">
        <f>VLOOKUP(E13,'KPI Count-SHARE'!A:F,4,0)</f>
        <v>0</v>
      </c>
      <c r="DO13" s="213"/>
      <c r="DP13" s="218"/>
      <c r="DQ13" s="218"/>
      <c r="DR13" s="218"/>
      <c r="DS13" s="218"/>
      <c r="DT13" s="218"/>
      <c r="DU13" s="212">
        <f>VLOOKUP(E13,'KPI Count-SHARE'!A:F,5,0)</f>
        <v>0</v>
      </c>
      <c r="DV13" s="213"/>
      <c r="DW13" s="218"/>
      <c r="DX13" s="218"/>
      <c r="DY13" s="218"/>
      <c r="DZ13" s="218"/>
      <c r="EA13" s="218"/>
      <c r="EB13" s="212">
        <f>VLOOKUP(E13,'KPI Count-SHARE'!A:F,6,0)</f>
        <v>0</v>
      </c>
      <c r="EC13" s="213"/>
      <c r="ED13" s="218"/>
      <c r="EE13" s="218"/>
      <c r="EF13" s="218"/>
      <c r="EG13" s="218"/>
      <c r="EH13" s="218"/>
      <c r="EI13" s="214" t="str">
        <f>XCurrency &amp; " '000 per FTE"</f>
        <v>USD '000 per FTE</v>
      </c>
      <c r="EJ13" s="235">
        <f t="shared" si="101"/>
        <v>1756.0062811144535</v>
      </c>
      <c r="EK13" s="235">
        <f t="shared" si="102"/>
        <v>2652.6805551843254</v>
      </c>
      <c r="EL13" s="235">
        <f t="shared" si="103"/>
        <v>1135.1890396549118</v>
      </c>
      <c r="EM13" s="235">
        <f t="shared" si="104"/>
        <v>666.77955397337598</v>
      </c>
      <c r="EN13" s="235" t="str">
        <f t="shared" si="105"/>
        <v>-</v>
      </c>
      <c r="EO13" s="235" t="str">
        <f t="shared" si="106"/>
        <v>-</v>
      </c>
      <c r="EP13" s="235" t="str">
        <f t="shared" si="107"/>
        <v>-</v>
      </c>
      <c r="EQ13" s="235" t="str">
        <f t="shared" si="108"/>
        <v>-</v>
      </c>
      <c r="ER13" s="235" t="str">
        <f t="shared" si="109"/>
        <v>-</v>
      </c>
      <c r="ES13" s="235" t="str">
        <f t="shared" si="110"/>
        <v>-</v>
      </c>
      <c r="ET13" s="235" t="str">
        <f t="shared" si="111"/>
        <v>-</v>
      </c>
      <c r="EU13" s="235" t="str">
        <f t="shared" si="124"/>
        <v>-</v>
      </c>
      <c r="EV13" s="235" t="str">
        <f t="shared" si="124"/>
        <v>-</v>
      </c>
      <c r="EW13" s="235" t="str">
        <f t="shared" si="124"/>
        <v>-</v>
      </c>
      <c r="EX13" s="235" t="str">
        <f t="shared" si="124"/>
        <v>-</v>
      </c>
      <c r="EY13" s="235" t="str">
        <f t="shared" si="124"/>
        <v>-</v>
      </c>
      <c r="EZ13" s="235" t="str">
        <f t="shared" si="124"/>
        <v>-</v>
      </c>
      <c r="FA13" s="235" t="str">
        <f t="shared" si="124"/>
        <v>-</v>
      </c>
      <c r="FB13" s="235" t="str">
        <f t="shared" si="124"/>
        <v>-</v>
      </c>
      <c r="FC13" s="235" t="str">
        <f t="shared" si="124"/>
        <v>-</v>
      </c>
      <c r="FD13" s="235" t="str">
        <f t="shared" si="124"/>
        <v>-</v>
      </c>
      <c r="FE13" s="235" t="str">
        <f t="shared" si="125"/>
        <v>-</v>
      </c>
      <c r="FF13" s="235" t="str">
        <f t="shared" si="125"/>
        <v>-</v>
      </c>
      <c r="FG13" s="235" t="str">
        <f t="shared" si="125"/>
        <v>-</v>
      </c>
      <c r="FH13" s="235" t="str">
        <f t="shared" si="125"/>
        <v>-</v>
      </c>
      <c r="FI13" s="235" t="str">
        <f t="shared" si="125"/>
        <v>-</v>
      </c>
      <c r="FJ13" s="235" t="str">
        <f t="shared" si="125"/>
        <v>-</v>
      </c>
      <c r="FK13" s="235" t="str">
        <f t="shared" si="125"/>
        <v>-</v>
      </c>
      <c r="FL13" s="235" t="str">
        <f t="shared" si="125"/>
        <v>-</v>
      </c>
      <c r="FM13" s="235" t="str">
        <f t="shared" si="125"/>
        <v>-</v>
      </c>
      <c r="FN13" s="235" t="str">
        <f t="shared" si="125"/>
        <v>-</v>
      </c>
      <c r="FO13" s="235" t="str">
        <f t="shared" si="126"/>
        <v>-</v>
      </c>
      <c r="FP13" s="235" t="str">
        <f t="shared" si="126"/>
        <v>-</v>
      </c>
      <c r="FQ13" s="235" t="str">
        <f t="shared" si="126"/>
        <v>-</v>
      </c>
      <c r="FR13" s="235" t="str">
        <f t="shared" si="126"/>
        <v>-</v>
      </c>
      <c r="FS13" s="235" t="str">
        <f t="shared" si="126"/>
        <v>-</v>
      </c>
      <c r="FT13" s="235" t="str">
        <f t="shared" si="126"/>
        <v>-</v>
      </c>
      <c r="FU13" s="235" t="str">
        <f t="shared" si="126"/>
        <v>-</v>
      </c>
      <c r="FV13" s="235" t="str">
        <f t="shared" si="126"/>
        <v>-</v>
      </c>
      <c r="FW13" s="235" t="str">
        <f t="shared" si="126"/>
        <v>-</v>
      </c>
      <c r="FX13" s="235" t="str">
        <f t="shared" si="126"/>
        <v>-</v>
      </c>
      <c r="FY13" s="235" t="str">
        <f t="shared" si="127"/>
        <v>-</v>
      </c>
      <c r="FZ13" s="235" t="str">
        <f t="shared" si="127"/>
        <v>-</v>
      </c>
      <c r="GA13" s="235" t="str">
        <f t="shared" si="127"/>
        <v>-</v>
      </c>
      <c r="GB13" s="235" t="str">
        <f t="shared" si="127"/>
        <v>-</v>
      </c>
      <c r="GC13" s="235" t="str">
        <f t="shared" si="127"/>
        <v>-</v>
      </c>
      <c r="GD13" s="235" t="str">
        <f t="shared" si="127"/>
        <v>-</v>
      </c>
      <c r="GE13" s="235" t="str">
        <f t="shared" si="127"/>
        <v>-</v>
      </c>
      <c r="GF13" s="235" t="str">
        <f t="shared" si="127"/>
        <v>-</v>
      </c>
      <c r="GG13" s="235" t="str">
        <f t="shared" si="127"/>
        <v>-</v>
      </c>
      <c r="GH13" s="235" t="str">
        <f t="shared" si="127"/>
        <v>-</v>
      </c>
      <c r="GI13" s="235" t="str">
        <f t="shared" si="128"/>
        <v>-</v>
      </c>
      <c r="GJ13" s="235" t="str">
        <f t="shared" si="128"/>
        <v>-</v>
      </c>
      <c r="GK13" s="235" t="str">
        <f t="shared" si="128"/>
        <v>-</v>
      </c>
      <c r="GL13" s="235" t="str">
        <f t="shared" si="128"/>
        <v>-</v>
      </c>
      <c r="GM13" s="235" t="str">
        <f t="shared" si="128"/>
        <v>-</v>
      </c>
      <c r="GN13" s="235" t="str">
        <f t="shared" si="128"/>
        <v>-</v>
      </c>
      <c r="GO13" s="235" t="str">
        <f t="shared" si="128"/>
        <v>-</v>
      </c>
      <c r="GP13" s="235" t="str">
        <f t="shared" si="128"/>
        <v>-</v>
      </c>
      <c r="GQ13" s="235" t="str">
        <f t="shared" si="128"/>
        <v>-</v>
      </c>
      <c r="GR13" s="235" t="str">
        <f t="shared" si="128"/>
        <v>-</v>
      </c>
      <c r="GS13" s="235" t="str">
        <f t="shared" si="129"/>
        <v>-</v>
      </c>
      <c r="GT13" s="235" t="str">
        <f t="shared" si="129"/>
        <v>-</v>
      </c>
      <c r="GU13" s="235" t="str">
        <f t="shared" si="129"/>
        <v>-</v>
      </c>
      <c r="GV13" s="235" t="str">
        <f t="shared" si="129"/>
        <v>-</v>
      </c>
      <c r="GW13" s="235" t="str">
        <f t="shared" si="129"/>
        <v>-</v>
      </c>
      <c r="GX13" s="235" t="str">
        <f t="shared" si="129"/>
        <v>-</v>
      </c>
      <c r="GY13" s="235" t="str">
        <f t="shared" si="129"/>
        <v>-</v>
      </c>
      <c r="GZ13" s="235" t="str">
        <f t="shared" si="129"/>
        <v>-</v>
      </c>
      <c r="HA13" s="235" t="str">
        <f t="shared" si="129"/>
        <v>-</v>
      </c>
      <c r="HB13" s="235" t="str">
        <f t="shared" si="129"/>
        <v>-</v>
      </c>
      <c r="HC13" s="235" t="str">
        <f t="shared" si="130"/>
        <v>-</v>
      </c>
      <c r="HD13" s="235" t="str">
        <f t="shared" si="130"/>
        <v>-</v>
      </c>
      <c r="HE13" s="235" t="str">
        <f t="shared" si="130"/>
        <v>-</v>
      </c>
      <c r="HF13" s="235" t="str">
        <f t="shared" si="130"/>
        <v>-</v>
      </c>
      <c r="HG13" s="235" t="str">
        <f t="shared" si="130"/>
        <v>-</v>
      </c>
      <c r="HH13" s="235" t="str">
        <f t="shared" si="130"/>
        <v>-</v>
      </c>
      <c r="HI13" s="235" t="str">
        <f t="shared" si="130"/>
        <v>-</v>
      </c>
      <c r="HJ13" s="235" t="str">
        <f t="shared" si="130"/>
        <v>-</v>
      </c>
      <c r="HK13" s="235" t="str">
        <f t="shared" si="130"/>
        <v>-</v>
      </c>
      <c r="HL13" s="235" t="str">
        <f t="shared" si="130"/>
        <v>-</v>
      </c>
      <c r="HM13" s="235" t="str">
        <f t="shared" si="131"/>
        <v>-</v>
      </c>
      <c r="HN13" s="235" t="str">
        <f t="shared" si="131"/>
        <v>-</v>
      </c>
      <c r="HO13" s="235" t="str">
        <f t="shared" si="131"/>
        <v>-</v>
      </c>
      <c r="HP13" s="235" t="str">
        <f t="shared" si="131"/>
        <v>-</v>
      </c>
      <c r="HQ13" s="235" t="str">
        <f t="shared" si="131"/>
        <v>-</v>
      </c>
      <c r="HR13" s="235" t="str">
        <f t="shared" si="131"/>
        <v>-</v>
      </c>
      <c r="HS13" s="235" t="str">
        <f t="shared" si="131"/>
        <v>-</v>
      </c>
      <c r="HT13" s="235" t="str">
        <f t="shared" si="131"/>
        <v>-</v>
      </c>
      <c r="HU13" s="235" t="str">
        <f t="shared" si="131"/>
        <v>-</v>
      </c>
      <c r="HV13" s="235" t="str">
        <f t="shared" si="131"/>
        <v>-</v>
      </c>
      <c r="HW13" s="235" t="str">
        <f t="shared" si="132"/>
        <v>-</v>
      </c>
      <c r="HX13" s="235" t="str">
        <f t="shared" si="132"/>
        <v>-</v>
      </c>
      <c r="HY13" s="235" t="str">
        <f t="shared" si="132"/>
        <v>-</v>
      </c>
      <c r="HZ13" s="235" t="str">
        <f t="shared" si="132"/>
        <v>-</v>
      </c>
      <c r="IA13" s="235" t="str">
        <f t="shared" si="132"/>
        <v>-</v>
      </c>
      <c r="IB13" s="235" t="str">
        <f t="shared" si="132"/>
        <v>-</v>
      </c>
      <c r="IC13" s="235" t="str">
        <f t="shared" si="132"/>
        <v>-</v>
      </c>
      <c r="ID13" s="235" t="str">
        <f t="shared" si="132"/>
        <v>-</v>
      </c>
      <c r="IE13" s="235" t="str">
        <f t="shared" si="68"/>
        <v>-</v>
      </c>
      <c r="IF13" s="235" t="str">
        <f t="shared" si="69"/>
        <v>-</v>
      </c>
      <c r="IG13" s="306">
        <f t="shared" si="70"/>
        <v>2812.9423700426928</v>
      </c>
      <c r="IH13" s="44">
        <f t="shared" si="133"/>
        <v>621.03321677387578</v>
      </c>
      <c r="II13" s="44">
        <f t="shared" si="134"/>
        <v>859.78728933650586</v>
      </c>
      <c r="IJ13" s="44">
        <f t="shared" si="135"/>
        <v>1444.0569014802029</v>
      </c>
      <c r="IK13" s="44">
        <f t="shared" si="136"/>
        <v>4058.6467377425947</v>
      </c>
      <c r="IL13" s="44">
        <f t="shared" si="137"/>
        <v>7251.3706901299847</v>
      </c>
      <c r="IM13" s="306" t="str">
        <f t="shared" si="76"/>
        <v/>
      </c>
      <c r="IN13" s="44" t="str">
        <f t="shared" si="138"/>
        <v/>
      </c>
      <c r="IO13" s="44" t="str">
        <f t="shared" si="139"/>
        <v/>
      </c>
      <c r="IP13" s="44" t="str">
        <f t="shared" si="140"/>
        <v/>
      </c>
      <c r="IQ13" s="44" t="str">
        <f t="shared" si="141"/>
        <v/>
      </c>
      <c r="IR13" s="44" t="str">
        <f t="shared" si="142"/>
        <v/>
      </c>
      <c r="IS13" s="306" t="str">
        <f t="shared" si="82"/>
        <v/>
      </c>
      <c r="IT13" s="44" t="str">
        <f t="shared" si="143"/>
        <v/>
      </c>
      <c r="IU13" s="44" t="str">
        <f t="shared" si="144"/>
        <v/>
      </c>
      <c r="IV13" s="44" t="str">
        <f t="shared" si="145"/>
        <v/>
      </c>
      <c r="IW13" s="44" t="str">
        <f t="shared" si="146"/>
        <v/>
      </c>
      <c r="IX13" s="44" t="str">
        <f t="shared" si="147"/>
        <v/>
      </c>
      <c r="IY13" s="306" t="str">
        <f t="shared" si="88"/>
        <v/>
      </c>
      <c r="IZ13" s="44" t="str">
        <f t="shared" si="148"/>
        <v/>
      </c>
      <c r="JA13" s="44" t="str">
        <f t="shared" si="149"/>
        <v/>
      </c>
      <c r="JB13" s="44" t="str">
        <f t="shared" si="150"/>
        <v/>
      </c>
      <c r="JC13" s="44" t="str">
        <f t="shared" si="151"/>
        <v/>
      </c>
      <c r="JD13" s="307" t="str">
        <f t="shared" si="152"/>
        <v/>
      </c>
      <c r="JF13" s="66">
        <f t="shared" si="153"/>
        <v>13</v>
      </c>
      <c r="JG13" s="66">
        <f t="shared" ca="1" si="95"/>
        <v>859.78728933650586</v>
      </c>
      <c r="JH13" s="66">
        <f t="shared" ca="1" si="96"/>
        <v>1444.0569014802029</v>
      </c>
      <c r="JI13" s="66">
        <f t="shared" ca="1" si="97"/>
        <v>4058.6467377425947</v>
      </c>
      <c r="JJ13" s="66">
        <f t="shared" ca="1" si="98"/>
        <v>15</v>
      </c>
      <c r="JK13" s="28"/>
      <c r="JL13" s="75">
        <f t="shared" ca="1" si="121"/>
        <v>859.78728933650586</v>
      </c>
      <c r="JM13" s="75">
        <f t="shared" ca="1" si="99"/>
        <v>1151.9220954083544</v>
      </c>
      <c r="JN13" s="75">
        <f t="shared" ca="1" si="100"/>
        <v>2751.3518196113992</v>
      </c>
      <c r="JO13" s="75">
        <f t="shared" ca="1" si="122"/>
        <v>4058.6467377425947</v>
      </c>
      <c r="JP13" s="74">
        <f t="shared" ca="1" si="123"/>
        <v>8821.7079420988539</v>
      </c>
    </row>
    <row r="14" spans="1:276" x14ac:dyDescent="0.35">
      <c r="A14" s="125">
        <v>1</v>
      </c>
      <c r="B14" s="125">
        <v>1</v>
      </c>
      <c r="C14" s="125">
        <v>1</v>
      </c>
      <c r="D14" s="163"/>
      <c r="E14" s="142" t="s">
        <v>819</v>
      </c>
      <c r="F14" s="208" t="s">
        <v>21</v>
      </c>
      <c r="G14" s="209" t="s">
        <v>530</v>
      </c>
      <c r="H14" s="210" t="s">
        <v>535</v>
      </c>
      <c r="I14" s="8" t="s">
        <v>536</v>
      </c>
      <c r="J14" s="211">
        <v>5307.9635429253622</v>
      </c>
      <c r="K14" s="217">
        <v>7074.4712011485572</v>
      </c>
      <c r="L14" s="217">
        <v>3801.9095226027821</v>
      </c>
      <c r="M14" s="217">
        <v>2998.8200385110654</v>
      </c>
      <c r="N14" s="217" t="s">
        <v>805</v>
      </c>
      <c r="O14" s="217" t="s">
        <v>805</v>
      </c>
      <c r="P14" s="217" t="s">
        <v>805</v>
      </c>
      <c r="Q14" s="217" t="s">
        <v>805</v>
      </c>
      <c r="R14" s="217" t="s">
        <v>805</v>
      </c>
      <c r="S14" s="217" t="s">
        <v>805</v>
      </c>
      <c r="T14" s="217" t="s">
        <v>805</v>
      </c>
      <c r="U14" s="217" t="s">
        <v>805</v>
      </c>
      <c r="V14" s="217" t="s">
        <v>805</v>
      </c>
      <c r="W14" s="217" t="s">
        <v>805</v>
      </c>
      <c r="X14" s="217" t="s">
        <v>805</v>
      </c>
      <c r="Y14" s="217" t="s">
        <v>805</v>
      </c>
      <c r="Z14" s="217" t="s">
        <v>805</v>
      </c>
      <c r="AA14" s="217" t="s">
        <v>805</v>
      </c>
      <c r="AB14" s="217" t="s">
        <v>805</v>
      </c>
      <c r="AC14" s="217" t="s">
        <v>805</v>
      </c>
      <c r="AD14" s="217" t="s">
        <v>805</v>
      </c>
      <c r="AE14" s="217" t="s">
        <v>805</v>
      </c>
      <c r="AF14" s="217" t="s">
        <v>805</v>
      </c>
      <c r="AG14" s="217" t="s">
        <v>805</v>
      </c>
      <c r="AH14" s="217" t="s">
        <v>805</v>
      </c>
      <c r="AI14" s="217" t="s">
        <v>805</v>
      </c>
      <c r="AJ14" s="217" t="s">
        <v>805</v>
      </c>
      <c r="AK14" s="217" t="s">
        <v>805</v>
      </c>
      <c r="AL14" s="217" t="s">
        <v>805</v>
      </c>
      <c r="AM14" s="217" t="s">
        <v>805</v>
      </c>
      <c r="AN14" s="217" t="s">
        <v>805</v>
      </c>
      <c r="AO14" s="217" t="s">
        <v>805</v>
      </c>
      <c r="AP14" s="217" t="s">
        <v>805</v>
      </c>
      <c r="AQ14" s="217" t="s">
        <v>805</v>
      </c>
      <c r="AR14" s="217" t="s">
        <v>805</v>
      </c>
      <c r="AS14" s="217" t="s">
        <v>805</v>
      </c>
      <c r="AT14" s="217" t="s">
        <v>805</v>
      </c>
      <c r="AU14" s="217" t="s">
        <v>805</v>
      </c>
      <c r="AV14" s="217" t="s">
        <v>805</v>
      </c>
      <c r="AW14" s="217" t="s">
        <v>805</v>
      </c>
      <c r="AX14" s="217" t="s">
        <v>805</v>
      </c>
      <c r="AY14" s="217" t="s">
        <v>805</v>
      </c>
      <c r="AZ14" s="217" t="s">
        <v>805</v>
      </c>
      <c r="BA14" s="217" t="s">
        <v>805</v>
      </c>
      <c r="BB14" s="217" t="s">
        <v>805</v>
      </c>
      <c r="BC14" s="217" t="s">
        <v>805</v>
      </c>
      <c r="BD14" s="217" t="s">
        <v>805</v>
      </c>
      <c r="BE14" s="217" t="s">
        <v>805</v>
      </c>
      <c r="BF14" s="217" t="s">
        <v>805</v>
      </c>
      <c r="BG14" s="217" t="s">
        <v>805</v>
      </c>
      <c r="BH14" s="217" t="s">
        <v>805</v>
      </c>
      <c r="BI14" s="217" t="s">
        <v>805</v>
      </c>
      <c r="BJ14" s="217" t="s">
        <v>805</v>
      </c>
      <c r="BK14" s="217" t="s">
        <v>805</v>
      </c>
      <c r="BL14" s="217" t="s">
        <v>805</v>
      </c>
      <c r="BM14" s="217" t="s">
        <v>805</v>
      </c>
      <c r="BN14" s="217" t="s">
        <v>805</v>
      </c>
      <c r="BO14" s="217" t="s">
        <v>805</v>
      </c>
      <c r="BP14" s="217" t="s">
        <v>805</v>
      </c>
      <c r="BQ14" s="217" t="s">
        <v>805</v>
      </c>
      <c r="BR14" s="217" t="s">
        <v>805</v>
      </c>
      <c r="BS14" s="217" t="s">
        <v>805</v>
      </c>
      <c r="BT14" s="217" t="s">
        <v>805</v>
      </c>
      <c r="BU14" s="217" t="s">
        <v>805</v>
      </c>
      <c r="BV14" s="217" t="s">
        <v>805</v>
      </c>
      <c r="BW14" s="217" t="s">
        <v>805</v>
      </c>
      <c r="BX14" s="217" t="s">
        <v>805</v>
      </c>
      <c r="BY14" s="217" t="s">
        <v>805</v>
      </c>
      <c r="BZ14" s="217" t="s">
        <v>805</v>
      </c>
      <c r="CA14" s="217" t="s">
        <v>805</v>
      </c>
      <c r="CB14" s="217" t="s">
        <v>805</v>
      </c>
      <c r="CC14" s="217" t="s">
        <v>805</v>
      </c>
      <c r="CD14" s="217" t="s">
        <v>805</v>
      </c>
      <c r="CE14" s="217" t="s">
        <v>805</v>
      </c>
      <c r="CF14" s="217" t="s">
        <v>805</v>
      </c>
      <c r="CG14" s="217" t="s">
        <v>805</v>
      </c>
      <c r="CH14" s="217" t="s">
        <v>805</v>
      </c>
      <c r="CI14" s="217" t="s">
        <v>805</v>
      </c>
      <c r="CJ14" s="217" t="s">
        <v>805</v>
      </c>
      <c r="CK14" s="217" t="s">
        <v>805</v>
      </c>
      <c r="CL14" s="217" t="s">
        <v>805</v>
      </c>
      <c r="CM14" s="217" t="s">
        <v>805</v>
      </c>
      <c r="CN14" s="217" t="s">
        <v>805</v>
      </c>
      <c r="CO14" s="217" t="s">
        <v>805</v>
      </c>
      <c r="CP14" s="217" t="s">
        <v>805</v>
      </c>
      <c r="CQ14" s="217" t="s">
        <v>805</v>
      </c>
      <c r="CR14" s="217" t="s">
        <v>805</v>
      </c>
      <c r="CS14" s="217" t="s">
        <v>805</v>
      </c>
      <c r="CT14" s="217" t="s">
        <v>805</v>
      </c>
      <c r="CU14" s="217" t="s">
        <v>805</v>
      </c>
      <c r="CV14" s="217" t="s">
        <v>805</v>
      </c>
      <c r="CW14" s="217" t="s">
        <v>805</v>
      </c>
      <c r="CX14" s="217" t="s">
        <v>805</v>
      </c>
      <c r="CY14" s="217" t="s">
        <v>805</v>
      </c>
      <c r="CZ14" s="217" t="s">
        <v>805</v>
      </c>
      <c r="DA14" s="217" t="s">
        <v>805</v>
      </c>
      <c r="DB14" s="217" t="s">
        <v>805</v>
      </c>
      <c r="DC14" s="217" t="s">
        <v>805</v>
      </c>
      <c r="DD14" s="217" t="s">
        <v>805</v>
      </c>
      <c r="DE14" s="217" t="s">
        <v>805</v>
      </c>
      <c r="DF14" s="217" t="s">
        <v>805</v>
      </c>
      <c r="DG14" s="212">
        <f>VLOOKUP(E14,'KPI Count-SHARE'!A:F,3,0)</f>
        <v>19</v>
      </c>
      <c r="DH14" s="213">
        <v>11640.82577185741</v>
      </c>
      <c r="DI14" s="218">
        <v>2053.7914495640512</v>
      </c>
      <c r="DJ14" s="218">
        <v>2402.4254630503301</v>
      </c>
      <c r="DK14" s="218">
        <v>3494.4793853073465</v>
      </c>
      <c r="DL14" s="218">
        <v>20623.640992647059</v>
      </c>
      <c r="DM14" s="218">
        <v>31384.751414776547</v>
      </c>
      <c r="DN14" s="212">
        <f>VLOOKUP(E14,'KPI Count-SHARE'!A:F,4,0)</f>
        <v>0</v>
      </c>
      <c r="DO14" s="213"/>
      <c r="DP14" s="218"/>
      <c r="DQ14" s="218"/>
      <c r="DR14" s="218"/>
      <c r="DS14" s="218"/>
      <c r="DT14" s="218"/>
      <c r="DU14" s="212">
        <f>VLOOKUP(E14,'KPI Count-SHARE'!A:F,5,0)</f>
        <v>0</v>
      </c>
      <c r="DV14" s="213"/>
      <c r="DW14" s="218"/>
      <c r="DX14" s="218"/>
      <c r="DY14" s="218"/>
      <c r="DZ14" s="218"/>
      <c r="EA14" s="218"/>
      <c r="EB14" s="212">
        <f>VLOOKUP(E14,'KPI Count-SHARE'!A:F,6,0)</f>
        <v>0</v>
      </c>
      <c r="EC14" s="213"/>
      <c r="ED14" s="218"/>
      <c r="EE14" s="218"/>
      <c r="EF14" s="218"/>
      <c r="EG14" s="218"/>
      <c r="EH14" s="218"/>
      <c r="EI14" s="214" t="str">
        <f>XCurrency &amp; " '000 per FTE"</f>
        <v>USD '000 per FTE</v>
      </c>
      <c r="EJ14" s="235">
        <f t="shared" si="101"/>
        <v>5964.0039808150141</v>
      </c>
      <c r="EK14" s="235">
        <f t="shared" si="102"/>
        <v>7948.8440462343342</v>
      </c>
      <c r="EL14" s="235">
        <f t="shared" si="103"/>
        <v>4271.8084523626767</v>
      </c>
      <c r="EM14" s="235">
        <f t="shared" si="104"/>
        <v>3369.4607174281637</v>
      </c>
      <c r="EN14" s="235" t="str">
        <f t="shared" si="105"/>
        <v>-</v>
      </c>
      <c r="EO14" s="235" t="str">
        <f t="shared" si="106"/>
        <v>-</v>
      </c>
      <c r="EP14" s="235" t="str">
        <f t="shared" si="107"/>
        <v>-</v>
      </c>
      <c r="EQ14" s="235" t="str">
        <f t="shared" si="108"/>
        <v>-</v>
      </c>
      <c r="ER14" s="235" t="str">
        <f t="shared" si="109"/>
        <v>-</v>
      </c>
      <c r="ES14" s="235" t="str">
        <f t="shared" si="110"/>
        <v>-</v>
      </c>
      <c r="ET14" s="235" t="str">
        <f t="shared" si="111"/>
        <v>-</v>
      </c>
      <c r="EU14" s="235" t="str">
        <f t="shared" si="124"/>
        <v>-</v>
      </c>
      <c r="EV14" s="235" t="str">
        <f t="shared" si="124"/>
        <v>-</v>
      </c>
      <c r="EW14" s="235" t="str">
        <f t="shared" si="124"/>
        <v>-</v>
      </c>
      <c r="EX14" s="235" t="str">
        <f t="shared" si="124"/>
        <v>-</v>
      </c>
      <c r="EY14" s="235" t="str">
        <f t="shared" si="124"/>
        <v>-</v>
      </c>
      <c r="EZ14" s="235" t="str">
        <f t="shared" si="124"/>
        <v>-</v>
      </c>
      <c r="FA14" s="235" t="str">
        <f t="shared" si="124"/>
        <v>-</v>
      </c>
      <c r="FB14" s="235" t="str">
        <f t="shared" si="124"/>
        <v>-</v>
      </c>
      <c r="FC14" s="235" t="str">
        <f t="shared" si="124"/>
        <v>-</v>
      </c>
      <c r="FD14" s="235" t="str">
        <f t="shared" si="124"/>
        <v>-</v>
      </c>
      <c r="FE14" s="235" t="str">
        <f t="shared" si="125"/>
        <v>-</v>
      </c>
      <c r="FF14" s="235" t="str">
        <f t="shared" si="125"/>
        <v>-</v>
      </c>
      <c r="FG14" s="235" t="str">
        <f t="shared" si="125"/>
        <v>-</v>
      </c>
      <c r="FH14" s="235" t="str">
        <f t="shared" si="125"/>
        <v>-</v>
      </c>
      <c r="FI14" s="235" t="str">
        <f t="shared" si="125"/>
        <v>-</v>
      </c>
      <c r="FJ14" s="235" t="str">
        <f t="shared" si="125"/>
        <v>-</v>
      </c>
      <c r="FK14" s="235" t="str">
        <f t="shared" si="125"/>
        <v>-</v>
      </c>
      <c r="FL14" s="235" t="str">
        <f t="shared" si="125"/>
        <v>-</v>
      </c>
      <c r="FM14" s="235" t="str">
        <f t="shared" si="125"/>
        <v>-</v>
      </c>
      <c r="FN14" s="235" t="str">
        <f t="shared" si="125"/>
        <v>-</v>
      </c>
      <c r="FO14" s="235" t="str">
        <f t="shared" si="126"/>
        <v>-</v>
      </c>
      <c r="FP14" s="235" t="str">
        <f t="shared" si="126"/>
        <v>-</v>
      </c>
      <c r="FQ14" s="235" t="str">
        <f t="shared" si="126"/>
        <v>-</v>
      </c>
      <c r="FR14" s="235" t="str">
        <f t="shared" si="126"/>
        <v>-</v>
      </c>
      <c r="FS14" s="235" t="str">
        <f t="shared" si="126"/>
        <v>-</v>
      </c>
      <c r="FT14" s="235" t="str">
        <f t="shared" si="126"/>
        <v>-</v>
      </c>
      <c r="FU14" s="235" t="str">
        <f t="shared" si="126"/>
        <v>-</v>
      </c>
      <c r="FV14" s="235" t="str">
        <f t="shared" si="126"/>
        <v>-</v>
      </c>
      <c r="FW14" s="235" t="str">
        <f t="shared" si="126"/>
        <v>-</v>
      </c>
      <c r="FX14" s="235" t="str">
        <f t="shared" si="126"/>
        <v>-</v>
      </c>
      <c r="FY14" s="235" t="str">
        <f t="shared" si="127"/>
        <v>-</v>
      </c>
      <c r="FZ14" s="235" t="str">
        <f t="shared" si="127"/>
        <v>-</v>
      </c>
      <c r="GA14" s="235" t="str">
        <f t="shared" si="127"/>
        <v>-</v>
      </c>
      <c r="GB14" s="235" t="str">
        <f t="shared" si="127"/>
        <v>-</v>
      </c>
      <c r="GC14" s="235" t="str">
        <f t="shared" si="127"/>
        <v>-</v>
      </c>
      <c r="GD14" s="235" t="str">
        <f t="shared" si="127"/>
        <v>-</v>
      </c>
      <c r="GE14" s="235" t="str">
        <f t="shared" si="127"/>
        <v>-</v>
      </c>
      <c r="GF14" s="235" t="str">
        <f t="shared" si="127"/>
        <v>-</v>
      </c>
      <c r="GG14" s="235" t="str">
        <f t="shared" si="127"/>
        <v>-</v>
      </c>
      <c r="GH14" s="235" t="str">
        <f t="shared" si="127"/>
        <v>-</v>
      </c>
      <c r="GI14" s="235" t="str">
        <f t="shared" si="128"/>
        <v>-</v>
      </c>
      <c r="GJ14" s="235" t="str">
        <f t="shared" si="128"/>
        <v>-</v>
      </c>
      <c r="GK14" s="235" t="str">
        <f t="shared" si="128"/>
        <v>-</v>
      </c>
      <c r="GL14" s="235" t="str">
        <f t="shared" si="128"/>
        <v>-</v>
      </c>
      <c r="GM14" s="235" t="str">
        <f t="shared" si="128"/>
        <v>-</v>
      </c>
      <c r="GN14" s="235" t="str">
        <f t="shared" si="128"/>
        <v>-</v>
      </c>
      <c r="GO14" s="235" t="str">
        <f t="shared" si="128"/>
        <v>-</v>
      </c>
      <c r="GP14" s="235" t="str">
        <f t="shared" si="128"/>
        <v>-</v>
      </c>
      <c r="GQ14" s="235" t="str">
        <f t="shared" si="128"/>
        <v>-</v>
      </c>
      <c r="GR14" s="235" t="str">
        <f t="shared" si="128"/>
        <v>-</v>
      </c>
      <c r="GS14" s="235" t="str">
        <f t="shared" si="129"/>
        <v>-</v>
      </c>
      <c r="GT14" s="235" t="str">
        <f t="shared" si="129"/>
        <v>-</v>
      </c>
      <c r="GU14" s="235" t="str">
        <f t="shared" si="129"/>
        <v>-</v>
      </c>
      <c r="GV14" s="235" t="str">
        <f t="shared" si="129"/>
        <v>-</v>
      </c>
      <c r="GW14" s="235" t="str">
        <f t="shared" si="129"/>
        <v>-</v>
      </c>
      <c r="GX14" s="235" t="str">
        <f t="shared" si="129"/>
        <v>-</v>
      </c>
      <c r="GY14" s="235" t="str">
        <f t="shared" si="129"/>
        <v>-</v>
      </c>
      <c r="GZ14" s="235" t="str">
        <f t="shared" si="129"/>
        <v>-</v>
      </c>
      <c r="HA14" s="235" t="str">
        <f t="shared" si="129"/>
        <v>-</v>
      </c>
      <c r="HB14" s="235" t="str">
        <f t="shared" si="129"/>
        <v>-</v>
      </c>
      <c r="HC14" s="235" t="str">
        <f t="shared" si="130"/>
        <v>-</v>
      </c>
      <c r="HD14" s="235" t="str">
        <f t="shared" si="130"/>
        <v>-</v>
      </c>
      <c r="HE14" s="235" t="str">
        <f t="shared" si="130"/>
        <v>-</v>
      </c>
      <c r="HF14" s="235" t="str">
        <f t="shared" si="130"/>
        <v>-</v>
      </c>
      <c r="HG14" s="235" t="str">
        <f t="shared" si="130"/>
        <v>-</v>
      </c>
      <c r="HH14" s="235" t="str">
        <f t="shared" si="130"/>
        <v>-</v>
      </c>
      <c r="HI14" s="235" t="str">
        <f t="shared" si="130"/>
        <v>-</v>
      </c>
      <c r="HJ14" s="235" t="str">
        <f t="shared" si="130"/>
        <v>-</v>
      </c>
      <c r="HK14" s="235" t="str">
        <f t="shared" si="130"/>
        <v>-</v>
      </c>
      <c r="HL14" s="235" t="str">
        <f t="shared" si="130"/>
        <v>-</v>
      </c>
      <c r="HM14" s="235" t="str">
        <f t="shared" si="131"/>
        <v>-</v>
      </c>
      <c r="HN14" s="235" t="str">
        <f t="shared" si="131"/>
        <v>-</v>
      </c>
      <c r="HO14" s="235" t="str">
        <f t="shared" si="131"/>
        <v>-</v>
      </c>
      <c r="HP14" s="235" t="str">
        <f t="shared" si="131"/>
        <v>-</v>
      </c>
      <c r="HQ14" s="235" t="str">
        <f t="shared" si="131"/>
        <v>-</v>
      </c>
      <c r="HR14" s="235" t="str">
        <f t="shared" si="131"/>
        <v>-</v>
      </c>
      <c r="HS14" s="235" t="str">
        <f t="shared" si="131"/>
        <v>-</v>
      </c>
      <c r="HT14" s="235" t="str">
        <f t="shared" si="131"/>
        <v>-</v>
      </c>
      <c r="HU14" s="235" t="str">
        <f t="shared" si="131"/>
        <v>-</v>
      </c>
      <c r="HV14" s="235" t="str">
        <f t="shared" si="131"/>
        <v>-</v>
      </c>
      <c r="HW14" s="235" t="str">
        <f t="shared" si="132"/>
        <v>-</v>
      </c>
      <c r="HX14" s="235" t="str">
        <f t="shared" si="132"/>
        <v>-</v>
      </c>
      <c r="HY14" s="235" t="str">
        <f t="shared" si="132"/>
        <v>-</v>
      </c>
      <c r="HZ14" s="235" t="str">
        <f t="shared" si="132"/>
        <v>-</v>
      </c>
      <c r="IA14" s="235" t="str">
        <f t="shared" si="132"/>
        <v>-</v>
      </c>
      <c r="IB14" s="235" t="str">
        <f t="shared" si="132"/>
        <v>-</v>
      </c>
      <c r="IC14" s="235" t="str">
        <f t="shared" si="132"/>
        <v>-</v>
      </c>
      <c r="ID14" s="235" t="str">
        <f t="shared" si="132"/>
        <v>-</v>
      </c>
      <c r="IE14" s="235" t="str">
        <f t="shared" si="68"/>
        <v>-</v>
      </c>
      <c r="IF14" s="235" t="str">
        <f t="shared" si="69"/>
        <v>-</v>
      </c>
      <c r="IG14" s="306">
        <f t="shared" si="70"/>
        <v>13079.579518940911</v>
      </c>
      <c r="IH14" s="44">
        <f t="shared" si="133"/>
        <v>2307.6308422067991</v>
      </c>
      <c r="II14" s="44">
        <f t="shared" si="134"/>
        <v>2699.3544528655398</v>
      </c>
      <c r="IJ14" s="44">
        <f t="shared" si="135"/>
        <v>3926.3813318060074</v>
      </c>
      <c r="IK14" s="44">
        <f t="shared" si="136"/>
        <v>23172.630328816922</v>
      </c>
      <c r="IL14" s="44">
        <f t="shared" si="137"/>
        <v>35263.765634580392</v>
      </c>
      <c r="IM14" s="306" t="str">
        <f t="shared" si="76"/>
        <v/>
      </c>
      <c r="IN14" s="44" t="str">
        <f t="shared" si="138"/>
        <v/>
      </c>
      <c r="IO14" s="44" t="str">
        <f t="shared" si="139"/>
        <v/>
      </c>
      <c r="IP14" s="44" t="str">
        <f t="shared" si="140"/>
        <v/>
      </c>
      <c r="IQ14" s="44" t="str">
        <f t="shared" si="141"/>
        <v/>
      </c>
      <c r="IR14" s="44" t="str">
        <f t="shared" si="142"/>
        <v/>
      </c>
      <c r="IS14" s="306" t="str">
        <f t="shared" si="82"/>
        <v/>
      </c>
      <c r="IT14" s="44" t="str">
        <f t="shared" si="143"/>
        <v/>
      </c>
      <c r="IU14" s="44" t="str">
        <f t="shared" si="144"/>
        <v/>
      </c>
      <c r="IV14" s="44" t="str">
        <f t="shared" si="145"/>
        <v/>
      </c>
      <c r="IW14" s="44" t="str">
        <f t="shared" si="146"/>
        <v/>
      </c>
      <c r="IX14" s="44" t="str">
        <f t="shared" si="147"/>
        <v/>
      </c>
      <c r="IY14" s="306" t="str">
        <f t="shared" si="88"/>
        <v/>
      </c>
      <c r="IZ14" s="44" t="str">
        <f t="shared" si="148"/>
        <v/>
      </c>
      <c r="JA14" s="44" t="str">
        <f t="shared" si="149"/>
        <v/>
      </c>
      <c r="JB14" s="44" t="str">
        <f t="shared" si="150"/>
        <v/>
      </c>
      <c r="JC14" s="44" t="str">
        <f t="shared" si="151"/>
        <v/>
      </c>
      <c r="JD14" s="307" t="str">
        <f t="shared" si="152"/>
        <v/>
      </c>
      <c r="JF14" s="66">
        <f t="shared" si="153"/>
        <v>14</v>
      </c>
      <c r="JG14" s="66">
        <f t="shared" ca="1" si="95"/>
        <v>2699.3544528655398</v>
      </c>
      <c r="JH14" s="66">
        <f t="shared" ca="1" si="96"/>
        <v>3926.3813318060074</v>
      </c>
      <c r="JI14" s="66">
        <f t="shared" ca="1" si="97"/>
        <v>23172.630328816922</v>
      </c>
      <c r="JJ14" s="66">
        <f t="shared" ca="1" si="98"/>
        <v>19</v>
      </c>
      <c r="JK14" s="28"/>
      <c r="JL14" s="75">
        <f t="shared" ca="1" si="121"/>
        <v>2699.3544528655398</v>
      </c>
      <c r="JM14" s="75">
        <f t="shared" ca="1" si="99"/>
        <v>3312.8678923357738</v>
      </c>
      <c r="JN14" s="75">
        <f t="shared" ca="1" si="100"/>
        <v>13549.505830311466</v>
      </c>
      <c r="JO14" s="75">
        <f t="shared" ca="1" si="122"/>
        <v>23172.630328816922</v>
      </c>
      <c r="JP14" s="74">
        <f t="shared" ca="1" si="123"/>
        <v>42734.358504329699</v>
      </c>
    </row>
    <row r="15" spans="1:276" x14ac:dyDescent="0.35">
      <c r="A15" s="125">
        <v>0</v>
      </c>
      <c r="B15" s="125">
        <v>1</v>
      </c>
      <c r="C15" s="125">
        <v>1</v>
      </c>
      <c r="D15" s="163"/>
      <c r="E15" s="142" t="s">
        <v>820</v>
      </c>
      <c r="F15" s="208" t="s">
        <v>538</v>
      </c>
      <c r="G15" s="209" t="s">
        <v>530</v>
      </c>
      <c r="H15" s="210" t="s">
        <v>535</v>
      </c>
      <c r="I15" s="8" t="s">
        <v>536</v>
      </c>
      <c r="J15" s="211">
        <v>10703.904382142304</v>
      </c>
      <c r="K15" s="217">
        <v>15342.226701286027</v>
      </c>
      <c r="L15" s="217">
        <v>7493.6187691880923</v>
      </c>
      <c r="M15" s="217">
        <v>5066.9717892083518</v>
      </c>
      <c r="N15" s="217" t="s">
        <v>805</v>
      </c>
      <c r="O15" s="217" t="s">
        <v>805</v>
      </c>
      <c r="P15" s="217" t="s">
        <v>805</v>
      </c>
      <c r="Q15" s="217" t="s">
        <v>805</v>
      </c>
      <c r="R15" s="217" t="s">
        <v>805</v>
      </c>
      <c r="S15" s="217" t="s">
        <v>805</v>
      </c>
      <c r="T15" s="217" t="s">
        <v>805</v>
      </c>
      <c r="U15" s="217" t="s">
        <v>805</v>
      </c>
      <c r="V15" s="217" t="s">
        <v>805</v>
      </c>
      <c r="W15" s="217" t="s">
        <v>805</v>
      </c>
      <c r="X15" s="217" t="s">
        <v>805</v>
      </c>
      <c r="Y15" s="217" t="s">
        <v>805</v>
      </c>
      <c r="Z15" s="217" t="s">
        <v>805</v>
      </c>
      <c r="AA15" s="217" t="s">
        <v>805</v>
      </c>
      <c r="AB15" s="217" t="s">
        <v>805</v>
      </c>
      <c r="AC15" s="217" t="s">
        <v>805</v>
      </c>
      <c r="AD15" s="217" t="s">
        <v>805</v>
      </c>
      <c r="AE15" s="217" t="s">
        <v>805</v>
      </c>
      <c r="AF15" s="217" t="s">
        <v>805</v>
      </c>
      <c r="AG15" s="217" t="s">
        <v>805</v>
      </c>
      <c r="AH15" s="217" t="s">
        <v>805</v>
      </c>
      <c r="AI15" s="217" t="s">
        <v>805</v>
      </c>
      <c r="AJ15" s="217" t="s">
        <v>805</v>
      </c>
      <c r="AK15" s="217" t="s">
        <v>805</v>
      </c>
      <c r="AL15" s="217" t="s">
        <v>805</v>
      </c>
      <c r="AM15" s="217" t="s">
        <v>805</v>
      </c>
      <c r="AN15" s="217" t="s">
        <v>805</v>
      </c>
      <c r="AO15" s="217" t="s">
        <v>805</v>
      </c>
      <c r="AP15" s="217" t="s">
        <v>805</v>
      </c>
      <c r="AQ15" s="217" t="s">
        <v>805</v>
      </c>
      <c r="AR15" s="217" t="s">
        <v>805</v>
      </c>
      <c r="AS15" s="217" t="s">
        <v>805</v>
      </c>
      <c r="AT15" s="217" t="s">
        <v>805</v>
      </c>
      <c r="AU15" s="217" t="s">
        <v>805</v>
      </c>
      <c r="AV15" s="217" t="s">
        <v>805</v>
      </c>
      <c r="AW15" s="217" t="s">
        <v>805</v>
      </c>
      <c r="AX15" s="217" t="s">
        <v>805</v>
      </c>
      <c r="AY15" s="217" t="s">
        <v>805</v>
      </c>
      <c r="AZ15" s="217" t="s">
        <v>805</v>
      </c>
      <c r="BA15" s="217" t="s">
        <v>805</v>
      </c>
      <c r="BB15" s="217" t="s">
        <v>805</v>
      </c>
      <c r="BC15" s="217" t="s">
        <v>805</v>
      </c>
      <c r="BD15" s="217" t="s">
        <v>805</v>
      </c>
      <c r="BE15" s="217" t="s">
        <v>805</v>
      </c>
      <c r="BF15" s="217" t="s">
        <v>805</v>
      </c>
      <c r="BG15" s="217" t="s">
        <v>805</v>
      </c>
      <c r="BH15" s="217" t="s">
        <v>805</v>
      </c>
      <c r="BI15" s="217" t="s">
        <v>805</v>
      </c>
      <c r="BJ15" s="217" t="s">
        <v>805</v>
      </c>
      <c r="BK15" s="217" t="s">
        <v>805</v>
      </c>
      <c r="BL15" s="217" t="s">
        <v>805</v>
      </c>
      <c r="BM15" s="217" t="s">
        <v>805</v>
      </c>
      <c r="BN15" s="217" t="s">
        <v>805</v>
      </c>
      <c r="BO15" s="217" t="s">
        <v>805</v>
      </c>
      <c r="BP15" s="217" t="s">
        <v>805</v>
      </c>
      <c r="BQ15" s="217" t="s">
        <v>805</v>
      </c>
      <c r="BR15" s="217" t="s">
        <v>805</v>
      </c>
      <c r="BS15" s="217" t="s">
        <v>805</v>
      </c>
      <c r="BT15" s="217" t="s">
        <v>805</v>
      </c>
      <c r="BU15" s="217" t="s">
        <v>805</v>
      </c>
      <c r="BV15" s="217" t="s">
        <v>805</v>
      </c>
      <c r="BW15" s="217" t="s">
        <v>805</v>
      </c>
      <c r="BX15" s="217" t="s">
        <v>805</v>
      </c>
      <c r="BY15" s="217" t="s">
        <v>805</v>
      </c>
      <c r="BZ15" s="217" t="s">
        <v>805</v>
      </c>
      <c r="CA15" s="217" t="s">
        <v>805</v>
      </c>
      <c r="CB15" s="217" t="s">
        <v>805</v>
      </c>
      <c r="CC15" s="217" t="s">
        <v>805</v>
      </c>
      <c r="CD15" s="217" t="s">
        <v>805</v>
      </c>
      <c r="CE15" s="217" t="s">
        <v>805</v>
      </c>
      <c r="CF15" s="217" t="s">
        <v>805</v>
      </c>
      <c r="CG15" s="217" t="s">
        <v>805</v>
      </c>
      <c r="CH15" s="217" t="s">
        <v>805</v>
      </c>
      <c r="CI15" s="217" t="s">
        <v>805</v>
      </c>
      <c r="CJ15" s="217" t="s">
        <v>805</v>
      </c>
      <c r="CK15" s="217" t="s">
        <v>805</v>
      </c>
      <c r="CL15" s="217" t="s">
        <v>805</v>
      </c>
      <c r="CM15" s="217" t="s">
        <v>805</v>
      </c>
      <c r="CN15" s="217" t="s">
        <v>805</v>
      </c>
      <c r="CO15" s="217" t="s">
        <v>805</v>
      </c>
      <c r="CP15" s="217" t="s">
        <v>805</v>
      </c>
      <c r="CQ15" s="217" t="s">
        <v>805</v>
      </c>
      <c r="CR15" s="217" t="s">
        <v>805</v>
      </c>
      <c r="CS15" s="217" t="s">
        <v>805</v>
      </c>
      <c r="CT15" s="217" t="s">
        <v>805</v>
      </c>
      <c r="CU15" s="217" t="s">
        <v>805</v>
      </c>
      <c r="CV15" s="217" t="s">
        <v>805</v>
      </c>
      <c r="CW15" s="217" t="s">
        <v>805</v>
      </c>
      <c r="CX15" s="217" t="s">
        <v>805</v>
      </c>
      <c r="CY15" s="217" t="s">
        <v>805</v>
      </c>
      <c r="CZ15" s="217" t="s">
        <v>805</v>
      </c>
      <c r="DA15" s="217" t="s">
        <v>805</v>
      </c>
      <c r="DB15" s="217" t="s">
        <v>805</v>
      </c>
      <c r="DC15" s="217" t="s">
        <v>805</v>
      </c>
      <c r="DD15" s="217" t="s">
        <v>805</v>
      </c>
      <c r="DE15" s="217" t="s">
        <v>805</v>
      </c>
      <c r="DF15" s="217" t="s">
        <v>805</v>
      </c>
      <c r="DG15" s="212">
        <f>VLOOKUP(E15,'KPI Count-SHARE'!A:F,3,0)</f>
        <v>15</v>
      </c>
      <c r="DH15" s="213">
        <v>19756.781732804771</v>
      </c>
      <c r="DI15" s="218">
        <v>2855.8979459894153</v>
      </c>
      <c r="DJ15" s="218">
        <v>4009.5025585018352</v>
      </c>
      <c r="DK15" s="218">
        <v>6200.5496453900705</v>
      </c>
      <c r="DL15" s="218">
        <v>37272.987668504902</v>
      </c>
      <c r="DM15" s="218">
        <v>50578.921122994652</v>
      </c>
      <c r="DN15" s="212">
        <f>VLOOKUP(E15,'KPI Count-SHARE'!A:F,4,0)</f>
        <v>0</v>
      </c>
      <c r="DO15" s="213"/>
      <c r="DP15" s="218"/>
      <c r="DQ15" s="218"/>
      <c r="DR15" s="218"/>
      <c r="DS15" s="218"/>
      <c r="DT15" s="218"/>
      <c r="DU15" s="212">
        <f>VLOOKUP(E15,'KPI Count-SHARE'!A:F,5,0)</f>
        <v>0</v>
      </c>
      <c r="DV15" s="213"/>
      <c r="DW15" s="218"/>
      <c r="DX15" s="218"/>
      <c r="DY15" s="218"/>
      <c r="DZ15" s="218"/>
      <c r="EA15" s="218"/>
      <c r="EB15" s="212">
        <f>VLOOKUP(E15,'KPI Count-SHARE'!A:F,6,0)</f>
        <v>0</v>
      </c>
      <c r="EC15" s="213"/>
      <c r="ED15" s="218"/>
      <c r="EE15" s="218"/>
      <c r="EF15" s="218"/>
      <c r="EG15" s="218"/>
      <c r="EH15" s="218"/>
      <c r="EI15" s="214" t="str">
        <f>XCurrency &amp; " '000 per FTE"</f>
        <v>USD '000 per FTE</v>
      </c>
      <c r="EJ15" s="235">
        <f t="shared" si="101"/>
        <v>12026.858856339668</v>
      </c>
      <c r="EK15" s="235">
        <f t="shared" si="102"/>
        <v>17238.456967737111</v>
      </c>
      <c r="EL15" s="235">
        <f t="shared" si="103"/>
        <v>8419.7963698742624</v>
      </c>
      <c r="EM15" s="235">
        <f t="shared" si="104"/>
        <v>5693.2267294475869</v>
      </c>
      <c r="EN15" s="235" t="str">
        <f t="shared" si="105"/>
        <v>-</v>
      </c>
      <c r="EO15" s="235" t="str">
        <f t="shared" si="106"/>
        <v>-</v>
      </c>
      <c r="EP15" s="235" t="str">
        <f t="shared" si="107"/>
        <v>-</v>
      </c>
      <c r="EQ15" s="235" t="str">
        <f t="shared" si="108"/>
        <v>-</v>
      </c>
      <c r="ER15" s="235" t="str">
        <f t="shared" si="109"/>
        <v>-</v>
      </c>
      <c r="ES15" s="235" t="str">
        <f t="shared" si="110"/>
        <v>-</v>
      </c>
      <c r="ET15" s="235" t="str">
        <f t="shared" si="111"/>
        <v>-</v>
      </c>
      <c r="EU15" s="235" t="str">
        <f t="shared" ref="EU15:GA15" si="154">IFERROR(IF(ISBLANK(U15), "-", IF($I15="c", U15*$I$5, U15)),"-")</f>
        <v>-</v>
      </c>
      <c r="EV15" s="235" t="str">
        <f t="shared" si="154"/>
        <v>-</v>
      </c>
      <c r="EW15" s="235" t="str">
        <f t="shared" si="154"/>
        <v>-</v>
      </c>
      <c r="EX15" s="235" t="str">
        <f t="shared" si="154"/>
        <v>-</v>
      </c>
      <c r="EY15" s="235" t="str">
        <f t="shared" si="154"/>
        <v>-</v>
      </c>
      <c r="EZ15" s="235" t="str">
        <f t="shared" si="154"/>
        <v>-</v>
      </c>
      <c r="FA15" s="235" t="str">
        <f t="shared" si="154"/>
        <v>-</v>
      </c>
      <c r="FB15" s="235" t="str">
        <f t="shared" si="154"/>
        <v>-</v>
      </c>
      <c r="FC15" s="235" t="str">
        <f t="shared" si="154"/>
        <v>-</v>
      </c>
      <c r="FD15" s="235" t="str">
        <f t="shared" si="154"/>
        <v>-</v>
      </c>
      <c r="FE15" s="235" t="str">
        <f t="shared" si="154"/>
        <v>-</v>
      </c>
      <c r="FF15" s="235" t="str">
        <f t="shared" si="154"/>
        <v>-</v>
      </c>
      <c r="FG15" s="235" t="str">
        <f t="shared" si="154"/>
        <v>-</v>
      </c>
      <c r="FH15" s="235" t="str">
        <f t="shared" si="154"/>
        <v>-</v>
      </c>
      <c r="FI15" s="235" t="str">
        <f t="shared" si="154"/>
        <v>-</v>
      </c>
      <c r="FJ15" s="235" t="str">
        <f t="shared" si="154"/>
        <v>-</v>
      </c>
      <c r="FK15" s="235" t="str">
        <f t="shared" si="154"/>
        <v>-</v>
      </c>
      <c r="FL15" s="235" t="str">
        <f t="shared" si="154"/>
        <v>-</v>
      </c>
      <c r="FM15" s="235" t="str">
        <f t="shared" si="154"/>
        <v>-</v>
      </c>
      <c r="FN15" s="235" t="str">
        <f t="shared" si="154"/>
        <v>-</v>
      </c>
      <c r="FO15" s="235" t="str">
        <f t="shared" si="154"/>
        <v>-</v>
      </c>
      <c r="FP15" s="235" t="str">
        <f t="shared" si="154"/>
        <v>-</v>
      </c>
      <c r="FQ15" s="235" t="str">
        <f t="shared" si="154"/>
        <v>-</v>
      </c>
      <c r="FR15" s="235" t="str">
        <f t="shared" si="154"/>
        <v>-</v>
      </c>
      <c r="FS15" s="235" t="str">
        <f t="shared" si="154"/>
        <v>-</v>
      </c>
      <c r="FT15" s="235" t="str">
        <f t="shared" si="154"/>
        <v>-</v>
      </c>
      <c r="FU15" s="235" t="str">
        <f t="shared" si="154"/>
        <v>-</v>
      </c>
      <c r="FV15" s="235" t="str">
        <f t="shared" si="154"/>
        <v>-</v>
      </c>
      <c r="FW15" s="235" t="str">
        <f t="shared" si="154"/>
        <v>-</v>
      </c>
      <c r="FX15" s="235" t="str">
        <f t="shared" si="154"/>
        <v>-</v>
      </c>
      <c r="FY15" s="235" t="str">
        <f t="shared" si="154"/>
        <v>-</v>
      </c>
      <c r="FZ15" s="235" t="str">
        <f t="shared" si="154"/>
        <v>-</v>
      </c>
      <c r="GA15" s="235" t="str">
        <f t="shared" si="154"/>
        <v>-</v>
      </c>
      <c r="GB15" s="235" t="str">
        <f t="shared" ref="GB15:GB44" si="155">IFERROR(IF(ISBLANK(BB15), "-", IF($I15="c", BB15*$I$5, BB15)),"-")</f>
        <v>-</v>
      </c>
      <c r="GC15" s="235" t="str">
        <f t="shared" ref="GC15:GC44" si="156">IFERROR(IF(ISBLANK(BC15), "-", IF($I15="c", BC15*$I$5, BC15)),"-")</f>
        <v>-</v>
      </c>
      <c r="GD15" s="235" t="str">
        <f t="shared" ref="GD15:GD44" si="157">IFERROR(IF(ISBLANK(BD15), "-", IF($I15="c", BD15*$I$5, BD15)),"-")</f>
        <v>-</v>
      </c>
      <c r="GE15" s="235" t="str">
        <f t="shared" ref="GE15:GE44" si="158">IFERROR(IF(ISBLANK(BE15), "-", IF($I15="c", BE15*$I$5, BE15)),"-")</f>
        <v>-</v>
      </c>
      <c r="GF15" s="235" t="str">
        <f t="shared" ref="GF15:GO17" si="159">IFERROR(IF(ISBLANK(BF15), "-", IF($I15="c", BF15*$I$5, BF15)),"-")</f>
        <v>-</v>
      </c>
      <c r="GG15" s="235" t="str">
        <f t="shared" si="159"/>
        <v>-</v>
      </c>
      <c r="GH15" s="235" t="str">
        <f t="shared" si="159"/>
        <v>-</v>
      </c>
      <c r="GI15" s="235" t="str">
        <f t="shared" si="159"/>
        <v>-</v>
      </c>
      <c r="GJ15" s="235" t="str">
        <f t="shared" si="159"/>
        <v>-</v>
      </c>
      <c r="GK15" s="235" t="str">
        <f t="shared" si="159"/>
        <v>-</v>
      </c>
      <c r="GL15" s="235" t="str">
        <f t="shared" si="159"/>
        <v>-</v>
      </c>
      <c r="GM15" s="235" t="str">
        <f t="shared" si="159"/>
        <v>-</v>
      </c>
      <c r="GN15" s="235" t="str">
        <f t="shared" si="159"/>
        <v>-</v>
      </c>
      <c r="GO15" s="235" t="str">
        <f t="shared" si="159"/>
        <v>-</v>
      </c>
      <c r="GP15" s="235" t="str">
        <f t="shared" ref="GP15:GY17" si="160">IFERROR(IF(ISBLANK(BP15), "-", IF($I15="c", BP15*$I$5, BP15)),"-")</f>
        <v>-</v>
      </c>
      <c r="GQ15" s="235" t="str">
        <f t="shared" si="160"/>
        <v>-</v>
      </c>
      <c r="GR15" s="235" t="str">
        <f t="shared" si="160"/>
        <v>-</v>
      </c>
      <c r="GS15" s="235" t="str">
        <f t="shared" si="160"/>
        <v>-</v>
      </c>
      <c r="GT15" s="235" t="str">
        <f t="shared" si="160"/>
        <v>-</v>
      </c>
      <c r="GU15" s="235" t="str">
        <f t="shared" si="160"/>
        <v>-</v>
      </c>
      <c r="GV15" s="235" t="str">
        <f t="shared" si="160"/>
        <v>-</v>
      </c>
      <c r="GW15" s="235" t="str">
        <f t="shared" si="160"/>
        <v>-</v>
      </c>
      <c r="GX15" s="235" t="str">
        <f t="shared" si="160"/>
        <v>-</v>
      </c>
      <c r="GY15" s="235" t="str">
        <f t="shared" si="160"/>
        <v>-</v>
      </c>
      <c r="GZ15" s="235" t="str">
        <f t="shared" ref="GZ15:HI17" si="161">IFERROR(IF(ISBLANK(BZ15), "-", IF($I15="c", BZ15*$I$5, BZ15)),"-")</f>
        <v>-</v>
      </c>
      <c r="HA15" s="235" t="str">
        <f t="shared" si="161"/>
        <v>-</v>
      </c>
      <c r="HB15" s="235" t="str">
        <f t="shared" si="161"/>
        <v>-</v>
      </c>
      <c r="HC15" s="235" t="str">
        <f t="shared" si="161"/>
        <v>-</v>
      </c>
      <c r="HD15" s="235" t="str">
        <f t="shared" si="161"/>
        <v>-</v>
      </c>
      <c r="HE15" s="235" t="str">
        <f t="shared" si="161"/>
        <v>-</v>
      </c>
      <c r="HF15" s="235" t="str">
        <f t="shared" si="161"/>
        <v>-</v>
      </c>
      <c r="HG15" s="235" t="str">
        <f t="shared" si="161"/>
        <v>-</v>
      </c>
      <c r="HH15" s="235" t="str">
        <f t="shared" si="161"/>
        <v>-</v>
      </c>
      <c r="HI15" s="235" t="str">
        <f t="shared" si="161"/>
        <v>-</v>
      </c>
      <c r="HJ15" s="235" t="str">
        <f t="shared" ref="HJ15:HS17" si="162">IFERROR(IF(ISBLANK(CJ15), "-", IF($I15="c", CJ15*$I$5, CJ15)),"-")</f>
        <v>-</v>
      </c>
      <c r="HK15" s="235" t="str">
        <f t="shared" si="162"/>
        <v>-</v>
      </c>
      <c r="HL15" s="235" t="str">
        <f t="shared" si="162"/>
        <v>-</v>
      </c>
      <c r="HM15" s="235" t="str">
        <f t="shared" si="162"/>
        <v>-</v>
      </c>
      <c r="HN15" s="235" t="str">
        <f t="shared" si="162"/>
        <v>-</v>
      </c>
      <c r="HO15" s="235" t="str">
        <f t="shared" si="162"/>
        <v>-</v>
      </c>
      <c r="HP15" s="235" t="str">
        <f t="shared" si="162"/>
        <v>-</v>
      </c>
      <c r="HQ15" s="235" t="str">
        <f t="shared" si="162"/>
        <v>-</v>
      </c>
      <c r="HR15" s="235" t="str">
        <f t="shared" si="162"/>
        <v>-</v>
      </c>
      <c r="HS15" s="235" t="str">
        <f t="shared" si="162"/>
        <v>-</v>
      </c>
      <c r="HT15" s="235" t="str">
        <f t="shared" ref="HT15:IC17" si="163">IFERROR(IF(ISBLANK(CT15), "-", IF($I15="c", CT15*$I$5, CT15)),"-")</f>
        <v>-</v>
      </c>
      <c r="HU15" s="235" t="str">
        <f t="shared" si="163"/>
        <v>-</v>
      </c>
      <c r="HV15" s="235" t="str">
        <f t="shared" si="163"/>
        <v>-</v>
      </c>
      <c r="HW15" s="235" t="str">
        <f t="shared" si="163"/>
        <v>-</v>
      </c>
      <c r="HX15" s="235" t="str">
        <f t="shared" si="163"/>
        <v>-</v>
      </c>
      <c r="HY15" s="235" t="str">
        <f t="shared" si="163"/>
        <v>-</v>
      </c>
      <c r="HZ15" s="235" t="str">
        <f t="shared" si="163"/>
        <v>-</v>
      </c>
      <c r="IA15" s="235" t="str">
        <f t="shared" si="163"/>
        <v>-</v>
      </c>
      <c r="IB15" s="235" t="str">
        <f t="shared" si="163"/>
        <v>-</v>
      </c>
      <c r="IC15" s="235" t="str">
        <f t="shared" si="163"/>
        <v>-</v>
      </c>
      <c r="ID15" s="235" t="str">
        <f t="shared" ref="ID15:ID17" si="164">IFERROR(IF(ISBLANK(DD15), "-", IF($I15="c", DD15*$I$5, DD15)),"-")</f>
        <v>-</v>
      </c>
      <c r="IE15" s="235" t="str">
        <f t="shared" si="68"/>
        <v>-</v>
      </c>
      <c r="IF15" s="235" t="str">
        <f t="shared" si="69"/>
        <v>-</v>
      </c>
      <c r="IG15" s="306">
        <f t="shared" si="70"/>
        <v>22198.631160454799</v>
      </c>
      <c r="IH15" s="44">
        <f t="shared" si="133"/>
        <v>3208.8740966173209</v>
      </c>
      <c r="II15" s="44">
        <f t="shared" si="134"/>
        <v>4505.0590544964443</v>
      </c>
      <c r="IJ15" s="44">
        <f t="shared" si="135"/>
        <v>6966.9097139214282</v>
      </c>
      <c r="IK15" s="44">
        <f t="shared" si="136"/>
        <v>41879.761425286408</v>
      </c>
      <c r="IL15" s="44">
        <f t="shared" si="137"/>
        <v>56830.248452802982</v>
      </c>
      <c r="IM15" s="306" t="str">
        <f t="shared" si="76"/>
        <v/>
      </c>
      <c r="IN15" s="44" t="str">
        <f t="shared" si="138"/>
        <v/>
      </c>
      <c r="IO15" s="44" t="str">
        <f t="shared" si="139"/>
        <v/>
      </c>
      <c r="IP15" s="44" t="str">
        <f t="shared" si="140"/>
        <v/>
      </c>
      <c r="IQ15" s="44" t="str">
        <f t="shared" si="141"/>
        <v/>
      </c>
      <c r="IR15" s="44" t="str">
        <f t="shared" si="142"/>
        <v/>
      </c>
      <c r="IS15" s="306" t="str">
        <f t="shared" si="82"/>
        <v/>
      </c>
      <c r="IT15" s="44" t="str">
        <f t="shared" si="143"/>
        <v/>
      </c>
      <c r="IU15" s="44" t="str">
        <f t="shared" si="144"/>
        <v/>
      </c>
      <c r="IV15" s="44" t="str">
        <f t="shared" si="145"/>
        <v/>
      </c>
      <c r="IW15" s="44" t="str">
        <f t="shared" si="146"/>
        <v/>
      </c>
      <c r="IX15" s="44" t="str">
        <f t="shared" si="147"/>
        <v/>
      </c>
      <c r="IY15" s="306" t="str">
        <f t="shared" si="88"/>
        <v/>
      </c>
      <c r="IZ15" s="44" t="str">
        <f t="shared" si="148"/>
        <v/>
      </c>
      <c r="JA15" s="44" t="str">
        <f t="shared" si="149"/>
        <v/>
      </c>
      <c r="JB15" s="44" t="str">
        <f t="shared" si="150"/>
        <v/>
      </c>
      <c r="JC15" s="44" t="str">
        <f t="shared" si="151"/>
        <v/>
      </c>
      <c r="JD15" s="307" t="str">
        <f t="shared" si="152"/>
        <v/>
      </c>
      <c r="JF15" s="66">
        <f t="shared" si="153"/>
        <v>15</v>
      </c>
      <c r="JG15" s="66">
        <f t="shared" ca="1" si="95"/>
        <v>4505.0590544964443</v>
      </c>
      <c r="JH15" s="66">
        <f t="shared" ca="1" si="96"/>
        <v>6966.9097139214282</v>
      </c>
      <c r="JI15" s="66">
        <f t="shared" ca="1" si="97"/>
        <v>41879.761425286408</v>
      </c>
      <c r="JJ15" s="66">
        <f t="shared" ca="1" si="98"/>
        <v>15</v>
      </c>
      <c r="JK15" s="28"/>
      <c r="JL15" s="75">
        <f t="shared" ca="1" si="121"/>
        <v>4505.0590544964443</v>
      </c>
      <c r="JM15" s="75">
        <f t="shared" ca="1" si="99"/>
        <v>5735.9843842089358</v>
      </c>
      <c r="JN15" s="75">
        <f t="shared" ca="1" si="100"/>
        <v>24423.335569603918</v>
      </c>
      <c r="JO15" s="75">
        <f t="shared" ca="1" si="122"/>
        <v>41879.761425286408</v>
      </c>
      <c r="JP15" s="74">
        <f t="shared" ca="1" si="123"/>
        <v>76544.140433595705</v>
      </c>
    </row>
    <row r="16" spans="1:276" x14ac:dyDescent="0.35">
      <c r="A16" s="125">
        <v>1</v>
      </c>
      <c r="B16" s="125">
        <v>1</v>
      </c>
      <c r="C16" s="125">
        <v>1</v>
      </c>
      <c r="D16" s="163"/>
      <c r="E16" s="142" t="s">
        <v>821</v>
      </c>
      <c r="F16" s="208" t="s">
        <v>25</v>
      </c>
      <c r="G16" s="209" t="s">
        <v>530</v>
      </c>
      <c r="H16" s="210" t="s">
        <v>539</v>
      </c>
      <c r="I16" s="8" t="s">
        <v>536</v>
      </c>
      <c r="J16" s="211">
        <v>31.448032442993579</v>
      </c>
      <c r="K16" s="217">
        <v>40.511373291599355</v>
      </c>
      <c r="L16" s="217">
        <v>16.810214353799886</v>
      </c>
      <c r="M16" s="217">
        <v>1075.598768003302</v>
      </c>
      <c r="N16" s="217" t="s">
        <v>805</v>
      </c>
      <c r="O16" s="217" t="s">
        <v>805</v>
      </c>
      <c r="P16" s="217" t="s">
        <v>805</v>
      </c>
      <c r="Q16" s="217" t="s">
        <v>805</v>
      </c>
      <c r="R16" s="217" t="s">
        <v>805</v>
      </c>
      <c r="S16" s="217" t="s">
        <v>805</v>
      </c>
      <c r="T16" s="217" t="s">
        <v>805</v>
      </c>
      <c r="U16" s="217" t="s">
        <v>805</v>
      </c>
      <c r="V16" s="217" t="s">
        <v>805</v>
      </c>
      <c r="W16" s="217" t="s">
        <v>805</v>
      </c>
      <c r="X16" s="217" t="s">
        <v>805</v>
      </c>
      <c r="Y16" s="217" t="s">
        <v>805</v>
      </c>
      <c r="Z16" s="217" t="s">
        <v>805</v>
      </c>
      <c r="AA16" s="217" t="s">
        <v>805</v>
      </c>
      <c r="AB16" s="217" t="s">
        <v>805</v>
      </c>
      <c r="AC16" s="217" t="s">
        <v>805</v>
      </c>
      <c r="AD16" s="217" t="s">
        <v>805</v>
      </c>
      <c r="AE16" s="217" t="s">
        <v>805</v>
      </c>
      <c r="AF16" s="217" t="s">
        <v>805</v>
      </c>
      <c r="AG16" s="217" t="s">
        <v>805</v>
      </c>
      <c r="AH16" s="217" t="s">
        <v>805</v>
      </c>
      <c r="AI16" s="217" t="s">
        <v>805</v>
      </c>
      <c r="AJ16" s="217" t="s">
        <v>805</v>
      </c>
      <c r="AK16" s="217" t="s">
        <v>805</v>
      </c>
      <c r="AL16" s="217" t="s">
        <v>805</v>
      </c>
      <c r="AM16" s="217" t="s">
        <v>805</v>
      </c>
      <c r="AN16" s="217" t="s">
        <v>805</v>
      </c>
      <c r="AO16" s="217" t="s">
        <v>805</v>
      </c>
      <c r="AP16" s="217" t="s">
        <v>805</v>
      </c>
      <c r="AQ16" s="217" t="s">
        <v>805</v>
      </c>
      <c r="AR16" s="217" t="s">
        <v>805</v>
      </c>
      <c r="AS16" s="217" t="s">
        <v>805</v>
      </c>
      <c r="AT16" s="217" t="s">
        <v>805</v>
      </c>
      <c r="AU16" s="217" t="s">
        <v>805</v>
      </c>
      <c r="AV16" s="217" t="s">
        <v>805</v>
      </c>
      <c r="AW16" s="217" t="s">
        <v>805</v>
      </c>
      <c r="AX16" s="217" t="s">
        <v>805</v>
      </c>
      <c r="AY16" s="217" t="s">
        <v>805</v>
      </c>
      <c r="AZ16" s="217" t="s">
        <v>805</v>
      </c>
      <c r="BA16" s="217" t="s">
        <v>805</v>
      </c>
      <c r="BB16" s="217" t="s">
        <v>805</v>
      </c>
      <c r="BC16" s="217" t="s">
        <v>805</v>
      </c>
      <c r="BD16" s="217" t="s">
        <v>805</v>
      </c>
      <c r="BE16" s="217" t="s">
        <v>805</v>
      </c>
      <c r="BF16" s="217" t="s">
        <v>805</v>
      </c>
      <c r="BG16" s="217" t="s">
        <v>805</v>
      </c>
      <c r="BH16" s="217" t="s">
        <v>805</v>
      </c>
      <c r="BI16" s="217" t="s">
        <v>805</v>
      </c>
      <c r="BJ16" s="217" t="s">
        <v>805</v>
      </c>
      <c r="BK16" s="217" t="s">
        <v>805</v>
      </c>
      <c r="BL16" s="217" t="s">
        <v>805</v>
      </c>
      <c r="BM16" s="217" t="s">
        <v>805</v>
      </c>
      <c r="BN16" s="217" t="s">
        <v>805</v>
      </c>
      <c r="BO16" s="217" t="s">
        <v>805</v>
      </c>
      <c r="BP16" s="217" t="s">
        <v>805</v>
      </c>
      <c r="BQ16" s="217" t="s">
        <v>805</v>
      </c>
      <c r="BR16" s="217" t="s">
        <v>805</v>
      </c>
      <c r="BS16" s="217" t="s">
        <v>805</v>
      </c>
      <c r="BT16" s="217" t="s">
        <v>805</v>
      </c>
      <c r="BU16" s="217" t="s">
        <v>805</v>
      </c>
      <c r="BV16" s="217" t="s">
        <v>805</v>
      </c>
      <c r="BW16" s="217" t="s">
        <v>805</v>
      </c>
      <c r="BX16" s="217" t="s">
        <v>805</v>
      </c>
      <c r="BY16" s="217" t="s">
        <v>805</v>
      </c>
      <c r="BZ16" s="217" t="s">
        <v>805</v>
      </c>
      <c r="CA16" s="217" t="s">
        <v>805</v>
      </c>
      <c r="CB16" s="217" t="s">
        <v>805</v>
      </c>
      <c r="CC16" s="217" t="s">
        <v>805</v>
      </c>
      <c r="CD16" s="217" t="s">
        <v>805</v>
      </c>
      <c r="CE16" s="217" t="s">
        <v>805</v>
      </c>
      <c r="CF16" s="217" t="s">
        <v>805</v>
      </c>
      <c r="CG16" s="217" t="s">
        <v>805</v>
      </c>
      <c r="CH16" s="217" t="s">
        <v>805</v>
      </c>
      <c r="CI16" s="217" t="s">
        <v>805</v>
      </c>
      <c r="CJ16" s="217" t="s">
        <v>805</v>
      </c>
      <c r="CK16" s="217" t="s">
        <v>805</v>
      </c>
      <c r="CL16" s="217" t="s">
        <v>805</v>
      </c>
      <c r="CM16" s="217" t="s">
        <v>805</v>
      </c>
      <c r="CN16" s="217" t="s">
        <v>805</v>
      </c>
      <c r="CO16" s="217" t="s">
        <v>805</v>
      </c>
      <c r="CP16" s="217" t="s">
        <v>805</v>
      </c>
      <c r="CQ16" s="217" t="s">
        <v>805</v>
      </c>
      <c r="CR16" s="217" t="s">
        <v>805</v>
      </c>
      <c r="CS16" s="217" t="s">
        <v>805</v>
      </c>
      <c r="CT16" s="217" t="s">
        <v>805</v>
      </c>
      <c r="CU16" s="217" t="s">
        <v>805</v>
      </c>
      <c r="CV16" s="217" t="s">
        <v>805</v>
      </c>
      <c r="CW16" s="217" t="s">
        <v>805</v>
      </c>
      <c r="CX16" s="217" t="s">
        <v>805</v>
      </c>
      <c r="CY16" s="217" t="s">
        <v>805</v>
      </c>
      <c r="CZ16" s="217" t="s">
        <v>805</v>
      </c>
      <c r="DA16" s="217" t="s">
        <v>805</v>
      </c>
      <c r="DB16" s="217" t="s">
        <v>805</v>
      </c>
      <c r="DC16" s="217" t="s">
        <v>805</v>
      </c>
      <c r="DD16" s="217" t="s">
        <v>805</v>
      </c>
      <c r="DE16" s="217" t="s">
        <v>805</v>
      </c>
      <c r="DF16" s="217" t="s">
        <v>805</v>
      </c>
      <c r="DG16" s="212">
        <f>VLOOKUP(E16,'KPI Count-SHARE'!A:F,3,0)</f>
        <v>7</v>
      </c>
      <c r="DH16" s="213">
        <v>43.466766161296171</v>
      </c>
      <c r="DI16" s="218">
        <v>1.9251739845216116</v>
      </c>
      <c r="DJ16" s="218">
        <v>2.766852242439398</v>
      </c>
      <c r="DK16" s="218">
        <v>4.5556127232142858</v>
      </c>
      <c r="DL16" s="218">
        <v>88.556988383639947</v>
      </c>
      <c r="DM16" s="218">
        <v>107.65418108433335</v>
      </c>
      <c r="DN16" s="212">
        <f>VLOOKUP(E16,'KPI Count-SHARE'!A:F,4,0)</f>
        <v>0</v>
      </c>
      <c r="DO16" s="213"/>
      <c r="DP16" s="218"/>
      <c r="DQ16" s="218"/>
      <c r="DR16" s="218"/>
      <c r="DS16" s="218"/>
      <c r="DT16" s="218"/>
      <c r="DU16" s="212">
        <f>VLOOKUP(E16,'KPI Count-SHARE'!A:F,5,0)</f>
        <v>0</v>
      </c>
      <c r="DV16" s="213"/>
      <c r="DW16" s="218"/>
      <c r="DX16" s="218"/>
      <c r="DY16" s="218"/>
      <c r="DZ16" s="218"/>
      <c r="EA16" s="218"/>
      <c r="EB16" s="212">
        <f>VLOOKUP(E16,'KPI Count-SHARE'!A:F,6,0)</f>
        <v>0</v>
      </c>
      <c r="EC16" s="213"/>
      <c r="ED16" s="218"/>
      <c r="EE16" s="218"/>
      <c r="EF16" s="218"/>
      <c r="EG16" s="218"/>
      <c r="EH16" s="218"/>
      <c r="EI16" s="214" t="str">
        <f>XCurrency &amp; " '000 per account"</f>
        <v>USD '000 per account</v>
      </c>
      <c r="EJ16" s="235">
        <f t="shared" si="101"/>
        <v>35.334867913475932</v>
      </c>
      <c r="EK16" s="235">
        <f t="shared" si="102"/>
        <v>45.518396956853209</v>
      </c>
      <c r="EL16" s="235">
        <f t="shared" si="103"/>
        <v>18.887881296404366</v>
      </c>
      <c r="EM16" s="235">
        <f t="shared" si="104"/>
        <v>1208.5379415767438</v>
      </c>
      <c r="EN16" s="235" t="str">
        <f t="shared" si="105"/>
        <v>-</v>
      </c>
      <c r="EO16" s="235" t="str">
        <f t="shared" si="106"/>
        <v>-</v>
      </c>
      <c r="EP16" s="235" t="str">
        <f t="shared" si="107"/>
        <v>-</v>
      </c>
      <c r="EQ16" s="235" t="str">
        <f t="shared" si="108"/>
        <v>-</v>
      </c>
      <c r="ER16" s="235" t="str">
        <f t="shared" si="109"/>
        <v>-</v>
      </c>
      <c r="ES16" s="235" t="str">
        <f t="shared" si="110"/>
        <v>-</v>
      </c>
      <c r="ET16" s="235" t="str">
        <f t="shared" si="111"/>
        <v>-</v>
      </c>
      <c r="EU16" s="235" t="str">
        <f t="shared" ref="EU16:EU44" si="165">IFERROR(IF(ISBLANK(U16), "-", IF($I16="c", U16*$I$5, U16)),"-")</f>
        <v>-</v>
      </c>
      <c r="EV16" s="235" t="str">
        <f t="shared" ref="EV16:EV44" si="166">IFERROR(IF(ISBLANK(V16), "-", IF($I16="c", V16*$I$5, V16)),"-")</f>
        <v>-</v>
      </c>
      <c r="EW16" s="235" t="str">
        <f t="shared" ref="EW16:EW44" si="167">IFERROR(IF(ISBLANK(W16), "-", IF($I16="c", W16*$I$5, W16)),"-")</f>
        <v>-</v>
      </c>
      <c r="EX16" s="235" t="str">
        <f t="shared" ref="EX16:EX44" si="168">IFERROR(IF(ISBLANK(X16), "-", IF($I16="c", X16*$I$5, X16)),"-")</f>
        <v>-</v>
      </c>
      <c r="EY16" s="235" t="str">
        <f t="shared" ref="EY16:EY44" si="169">IFERROR(IF(ISBLANK(Y16), "-", IF($I16="c", Y16*$I$5, Y16)),"-")</f>
        <v>-</v>
      </c>
      <c r="EZ16" s="235" t="str">
        <f t="shared" ref="EZ16:EZ44" si="170">IFERROR(IF(ISBLANK(Z16), "-", IF($I16="c", Z16*$I$5, Z16)),"-")</f>
        <v>-</v>
      </c>
      <c r="FA16" s="235" t="str">
        <f t="shared" ref="FA16:FA44" si="171">IFERROR(IF(ISBLANK(AA16), "-", IF($I16="c", AA16*$I$5, AA16)),"-")</f>
        <v>-</v>
      </c>
      <c r="FB16" s="235" t="str">
        <f t="shared" ref="FB16:FB44" si="172">IFERROR(IF(ISBLANK(AB16), "-", IF($I16="c", AB16*$I$5, AB16)),"-")</f>
        <v>-</v>
      </c>
      <c r="FC16" s="235" t="str">
        <f t="shared" ref="FC16:FC44" si="173">IFERROR(IF(ISBLANK(AC16), "-", IF($I16="c", AC16*$I$5, AC16)),"-")</f>
        <v>-</v>
      </c>
      <c r="FD16" s="235" t="str">
        <f t="shared" ref="FD16:FD44" si="174">IFERROR(IF(ISBLANK(AD16), "-", IF($I16="c", AD16*$I$5, AD16)),"-")</f>
        <v>-</v>
      </c>
      <c r="FE16" s="235" t="str">
        <f t="shared" ref="FE16:FE44" si="175">IFERROR(IF(ISBLANK(AE16), "-", IF($I16="c", AE16*$I$5, AE16)),"-")</f>
        <v>-</v>
      </c>
      <c r="FF16" s="235" t="str">
        <f t="shared" ref="FF16:FF44" si="176">IFERROR(IF(ISBLANK(AF16), "-", IF($I16="c", AF16*$I$5, AF16)),"-")</f>
        <v>-</v>
      </c>
      <c r="FG16" s="235" t="str">
        <f t="shared" ref="FG16:FG44" si="177">IFERROR(IF(ISBLANK(AG16), "-", IF($I16="c", AG16*$I$5, AG16)),"-")</f>
        <v>-</v>
      </c>
      <c r="FH16" s="235" t="str">
        <f t="shared" ref="FH16:FH44" si="178">IFERROR(IF(ISBLANK(AH16), "-", IF($I16="c", AH16*$I$5, AH16)),"-")</f>
        <v>-</v>
      </c>
      <c r="FI16" s="235" t="str">
        <f t="shared" ref="FI16:FI44" si="179">IFERROR(IF(ISBLANK(AI16), "-", IF($I16="c", AI16*$I$5, AI16)),"-")</f>
        <v>-</v>
      </c>
      <c r="FJ16" s="235" t="str">
        <f t="shared" ref="FJ16:FJ44" si="180">IFERROR(IF(ISBLANK(AJ16), "-", IF($I16="c", AJ16*$I$5, AJ16)),"-")</f>
        <v>-</v>
      </c>
      <c r="FK16" s="235" t="str">
        <f t="shared" ref="FK16:FK44" si="181">IFERROR(IF(ISBLANK(AK16), "-", IF($I16="c", AK16*$I$5, AK16)),"-")</f>
        <v>-</v>
      </c>
      <c r="FL16" s="235" t="str">
        <f t="shared" ref="FL16:FL44" si="182">IFERROR(IF(ISBLANK(AL16), "-", IF($I16="c", AL16*$I$5, AL16)),"-")</f>
        <v>-</v>
      </c>
      <c r="FM16" s="235" t="str">
        <f t="shared" ref="FM16:FM44" si="183">IFERROR(IF(ISBLANK(AM16), "-", IF($I16="c", AM16*$I$5, AM16)),"-")</f>
        <v>-</v>
      </c>
      <c r="FN16" s="235" t="str">
        <f t="shared" ref="FN16:FN44" si="184">IFERROR(IF(ISBLANK(AN16), "-", IF($I16="c", AN16*$I$5, AN16)),"-")</f>
        <v>-</v>
      </c>
      <c r="FO16" s="235" t="str">
        <f t="shared" ref="FO16:FO44" si="185">IFERROR(IF(ISBLANK(AO16), "-", IF($I16="c", AO16*$I$5, AO16)),"-")</f>
        <v>-</v>
      </c>
      <c r="FP16" s="235" t="str">
        <f t="shared" ref="FP16:FP44" si="186">IFERROR(IF(ISBLANK(AP16), "-", IF($I16="c", AP16*$I$5, AP16)),"-")</f>
        <v>-</v>
      </c>
      <c r="FQ16" s="235" t="str">
        <f t="shared" ref="FQ16:FQ44" si="187">IFERROR(IF(ISBLANK(AQ16), "-", IF($I16="c", AQ16*$I$5, AQ16)),"-")</f>
        <v>-</v>
      </c>
      <c r="FR16" s="235" t="str">
        <f t="shared" ref="FR16:FR44" si="188">IFERROR(IF(ISBLANK(AR16), "-", IF($I16="c", AR16*$I$5, AR16)),"-")</f>
        <v>-</v>
      </c>
      <c r="FS16" s="235" t="str">
        <f t="shared" ref="FS16:FS44" si="189">IFERROR(IF(ISBLANK(AS16), "-", IF($I16="c", AS16*$I$5, AS16)),"-")</f>
        <v>-</v>
      </c>
      <c r="FT16" s="235" t="str">
        <f t="shared" ref="FT16:FT44" si="190">IFERROR(IF(ISBLANK(AT16), "-", IF($I16="c", AT16*$I$5, AT16)),"-")</f>
        <v>-</v>
      </c>
      <c r="FU16" s="235" t="str">
        <f t="shared" ref="FU16:FU44" si="191">IFERROR(IF(ISBLANK(AU16), "-", IF($I16="c", AU16*$I$5, AU16)),"-")</f>
        <v>-</v>
      </c>
      <c r="FV16" s="235" t="str">
        <f t="shared" ref="FV16:FV44" si="192">IFERROR(IF(ISBLANK(AV16), "-", IF($I16="c", AV16*$I$5, AV16)),"-")</f>
        <v>-</v>
      </c>
      <c r="FW16" s="235" t="str">
        <f t="shared" ref="FW16:FW44" si="193">IFERROR(IF(ISBLANK(AW16), "-", IF($I16="c", AW16*$I$5, AW16)),"-")</f>
        <v>-</v>
      </c>
      <c r="FX16" s="235" t="str">
        <f t="shared" ref="FX16:FX44" si="194">IFERROR(IF(ISBLANK(AX16), "-", IF($I16="c", AX16*$I$5, AX16)),"-")</f>
        <v>-</v>
      </c>
      <c r="FY16" s="235" t="str">
        <f t="shared" ref="FY16:FY44" si="195">IFERROR(IF(ISBLANK(AY16), "-", IF($I16="c", AY16*$I$5, AY16)),"-")</f>
        <v>-</v>
      </c>
      <c r="FZ16" s="235" t="str">
        <f t="shared" ref="FZ16:FZ44" si="196">IFERROR(IF(ISBLANK(AZ16), "-", IF($I16="c", AZ16*$I$5, AZ16)),"-")</f>
        <v>-</v>
      </c>
      <c r="GA16" s="235" t="str">
        <f t="shared" ref="GA16:GA44" si="197">IFERROR(IF(ISBLANK(BA16), "-", IF($I16="c", BA16*$I$5, BA16)),"-")</f>
        <v>-</v>
      </c>
      <c r="GB16" s="235" t="str">
        <f t="shared" si="155"/>
        <v>-</v>
      </c>
      <c r="GC16" s="235" t="str">
        <f t="shared" si="156"/>
        <v>-</v>
      </c>
      <c r="GD16" s="235" t="str">
        <f t="shared" si="157"/>
        <v>-</v>
      </c>
      <c r="GE16" s="235" t="str">
        <f t="shared" si="158"/>
        <v>-</v>
      </c>
      <c r="GF16" s="235" t="str">
        <f t="shared" si="159"/>
        <v>-</v>
      </c>
      <c r="GG16" s="235" t="str">
        <f t="shared" si="159"/>
        <v>-</v>
      </c>
      <c r="GH16" s="235" t="str">
        <f t="shared" si="159"/>
        <v>-</v>
      </c>
      <c r="GI16" s="235" t="str">
        <f t="shared" si="159"/>
        <v>-</v>
      </c>
      <c r="GJ16" s="235" t="str">
        <f t="shared" si="159"/>
        <v>-</v>
      </c>
      <c r="GK16" s="235" t="str">
        <f t="shared" si="159"/>
        <v>-</v>
      </c>
      <c r="GL16" s="235" t="str">
        <f t="shared" si="159"/>
        <v>-</v>
      </c>
      <c r="GM16" s="235" t="str">
        <f t="shared" si="159"/>
        <v>-</v>
      </c>
      <c r="GN16" s="235" t="str">
        <f t="shared" si="159"/>
        <v>-</v>
      </c>
      <c r="GO16" s="235" t="str">
        <f t="shared" si="159"/>
        <v>-</v>
      </c>
      <c r="GP16" s="235" t="str">
        <f t="shared" si="160"/>
        <v>-</v>
      </c>
      <c r="GQ16" s="235" t="str">
        <f t="shared" si="160"/>
        <v>-</v>
      </c>
      <c r="GR16" s="235" t="str">
        <f t="shared" si="160"/>
        <v>-</v>
      </c>
      <c r="GS16" s="235" t="str">
        <f t="shared" si="160"/>
        <v>-</v>
      </c>
      <c r="GT16" s="235" t="str">
        <f t="shared" si="160"/>
        <v>-</v>
      </c>
      <c r="GU16" s="235" t="str">
        <f t="shared" si="160"/>
        <v>-</v>
      </c>
      <c r="GV16" s="235" t="str">
        <f t="shared" si="160"/>
        <v>-</v>
      </c>
      <c r="GW16" s="235" t="str">
        <f t="shared" si="160"/>
        <v>-</v>
      </c>
      <c r="GX16" s="235" t="str">
        <f t="shared" si="160"/>
        <v>-</v>
      </c>
      <c r="GY16" s="235" t="str">
        <f t="shared" si="160"/>
        <v>-</v>
      </c>
      <c r="GZ16" s="235" t="str">
        <f t="shared" si="161"/>
        <v>-</v>
      </c>
      <c r="HA16" s="235" t="str">
        <f t="shared" si="161"/>
        <v>-</v>
      </c>
      <c r="HB16" s="235" t="str">
        <f t="shared" si="161"/>
        <v>-</v>
      </c>
      <c r="HC16" s="235" t="str">
        <f t="shared" si="161"/>
        <v>-</v>
      </c>
      <c r="HD16" s="235" t="str">
        <f t="shared" si="161"/>
        <v>-</v>
      </c>
      <c r="HE16" s="235" t="str">
        <f t="shared" si="161"/>
        <v>-</v>
      </c>
      <c r="HF16" s="235" t="str">
        <f t="shared" si="161"/>
        <v>-</v>
      </c>
      <c r="HG16" s="235" t="str">
        <f t="shared" si="161"/>
        <v>-</v>
      </c>
      <c r="HH16" s="235" t="str">
        <f t="shared" si="161"/>
        <v>-</v>
      </c>
      <c r="HI16" s="235" t="str">
        <f t="shared" si="161"/>
        <v>-</v>
      </c>
      <c r="HJ16" s="235" t="str">
        <f t="shared" si="162"/>
        <v>-</v>
      </c>
      <c r="HK16" s="235" t="str">
        <f t="shared" si="162"/>
        <v>-</v>
      </c>
      <c r="HL16" s="235" t="str">
        <f t="shared" si="162"/>
        <v>-</v>
      </c>
      <c r="HM16" s="235" t="str">
        <f t="shared" si="162"/>
        <v>-</v>
      </c>
      <c r="HN16" s="235" t="str">
        <f t="shared" si="162"/>
        <v>-</v>
      </c>
      <c r="HO16" s="235" t="str">
        <f t="shared" si="162"/>
        <v>-</v>
      </c>
      <c r="HP16" s="235" t="str">
        <f t="shared" si="162"/>
        <v>-</v>
      </c>
      <c r="HQ16" s="235" t="str">
        <f t="shared" si="162"/>
        <v>-</v>
      </c>
      <c r="HR16" s="235" t="str">
        <f t="shared" si="162"/>
        <v>-</v>
      </c>
      <c r="HS16" s="235" t="str">
        <f t="shared" si="162"/>
        <v>-</v>
      </c>
      <c r="HT16" s="235" t="str">
        <f t="shared" si="163"/>
        <v>-</v>
      </c>
      <c r="HU16" s="235" t="str">
        <f t="shared" si="163"/>
        <v>-</v>
      </c>
      <c r="HV16" s="235" t="str">
        <f t="shared" si="163"/>
        <v>-</v>
      </c>
      <c r="HW16" s="235" t="str">
        <f t="shared" si="163"/>
        <v>-</v>
      </c>
      <c r="HX16" s="235" t="str">
        <f t="shared" si="163"/>
        <v>-</v>
      </c>
      <c r="HY16" s="235" t="str">
        <f t="shared" si="163"/>
        <v>-</v>
      </c>
      <c r="HZ16" s="235" t="str">
        <f t="shared" si="163"/>
        <v>-</v>
      </c>
      <c r="IA16" s="235" t="str">
        <f t="shared" si="163"/>
        <v>-</v>
      </c>
      <c r="IB16" s="235" t="str">
        <f t="shared" si="163"/>
        <v>-</v>
      </c>
      <c r="IC16" s="235" t="str">
        <f t="shared" si="163"/>
        <v>-</v>
      </c>
      <c r="ID16" s="235" t="str">
        <f t="shared" si="164"/>
        <v>-</v>
      </c>
      <c r="IE16" s="235" t="str">
        <f t="shared" si="68"/>
        <v>-</v>
      </c>
      <c r="IF16" s="235" t="str">
        <f t="shared" si="69"/>
        <v>-</v>
      </c>
      <c r="IG16" s="306">
        <f t="shared" si="70"/>
        <v>48.839063102579971</v>
      </c>
      <c r="IH16" s="44">
        <f t="shared" si="133"/>
        <v>2.1631168365411368</v>
      </c>
      <c r="II16" s="44">
        <f t="shared" si="134"/>
        <v>3.1088227443139305</v>
      </c>
      <c r="IJ16" s="44">
        <f t="shared" si="135"/>
        <v>5.1186659811396469</v>
      </c>
      <c r="IK16" s="44">
        <f t="shared" si="136"/>
        <v>99.502234138921295</v>
      </c>
      <c r="IL16" s="44">
        <f t="shared" si="137"/>
        <v>120.95975402734085</v>
      </c>
      <c r="IM16" s="306" t="str">
        <f t="shared" si="76"/>
        <v/>
      </c>
      <c r="IN16" s="44" t="str">
        <f t="shared" si="138"/>
        <v/>
      </c>
      <c r="IO16" s="44" t="str">
        <f t="shared" si="139"/>
        <v/>
      </c>
      <c r="IP16" s="44" t="str">
        <f t="shared" si="140"/>
        <v/>
      </c>
      <c r="IQ16" s="44" t="str">
        <f t="shared" si="141"/>
        <v/>
      </c>
      <c r="IR16" s="44" t="str">
        <f t="shared" si="142"/>
        <v/>
      </c>
      <c r="IS16" s="306" t="str">
        <f t="shared" si="82"/>
        <v/>
      </c>
      <c r="IT16" s="44" t="str">
        <f t="shared" si="143"/>
        <v/>
      </c>
      <c r="IU16" s="44" t="str">
        <f t="shared" si="144"/>
        <v/>
      </c>
      <c r="IV16" s="44" t="str">
        <f t="shared" si="145"/>
        <v/>
      </c>
      <c r="IW16" s="44" t="str">
        <f t="shared" si="146"/>
        <v/>
      </c>
      <c r="IX16" s="44" t="str">
        <f t="shared" si="147"/>
        <v/>
      </c>
      <c r="IY16" s="306" t="str">
        <f t="shared" si="88"/>
        <v/>
      </c>
      <c r="IZ16" s="44" t="str">
        <f t="shared" si="148"/>
        <v/>
      </c>
      <c r="JA16" s="44" t="str">
        <f t="shared" si="149"/>
        <v/>
      </c>
      <c r="JB16" s="44" t="str">
        <f t="shared" si="150"/>
        <v/>
      </c>
      <c r="JC16" s="44" t="str">
        <f t="shared" si="151"/>
        <v/>
      </c>
      <c r="JD16" s="307" t="str">
        <f t="shared" si="152"/>
        <v/>
      </c>
      <c r="JF16" s="66">
        <f t="shared" si="153"/>
        <v>16</v>
      </c>
      <c r="JG16" s="66">
        <f t="shared" ca="1" si="95"/>
        <v>3.1088227443139305</v>
      </c>
      <c r="JH16" s="66">
        <f t="shared" ca="1" si="96"/>
        <v>5.1186659811396469</v>
      </c>
      <c r="JI16" s="66">
        <f t="shared" ca="1" si="97"/>
        <v>99.502234138921295</v>
      </c>
      <c r="JJ16" s="66">
        <f t="shared" ca="1" si="98"/>
        <v>7</v>
      </c>
      <c r="JK16" s="28"/>
      <c r="JL16" s="75">
        <f t="shared" ca="1" si="121"/>
        <v>3.1088227443139305</v>
      </c>
      <c r="JM16" s="75">
        <f t="shared" ca="1" si="99"/>
        <v>4.1137443627267887</v>
      </c>
      <c r="JN16" s="75">
        <f t="shared" ca="1" si="100"/>
        <v>52.310450060030476</v>
      </c>
      <c r="JO16" s="75">
        <f t="shared" ca="1" si="122"/>
        <v>99.502234138921295</v>
      </c>
      <c r="JP16" s="74">
        <f t="shared" ca="1" si="123"/>
        <v>159.03525130599249</v>
      </c>
    </row>
    <row r="17" spans="1:276" s="1" customFormat="1" x14ac:dyDescent="0.35">
      <c r="A17" s="125">
        <v>1</v>
      </c>
      <c r="B17" s="125">
        <v>1</v>
      </c>
      <c r="C17" s="125">
        <v>1</v>
      </c>
      <c r="D17" s="163"/>
      <c r="E17" s="142" t="s">
        <v>822</v>
      </c>
      <c r="F17" s="208" t="s">
        <v>27</v>
      </c>
      <c r="G17" s="209" t="s">
        <v>530</v>
      </c>
      <c r="H17" s="210" t="s">
        <v>539</v>
      </c>
      <c r="I17" s="8" t="s">
        <v>536</v>
      </c>
      <c r="J17" s="211">
        <v>215.38706983521482</v>
      </c>
      <c r="K17" s="217">
        <v>263.26334839916063</v>
      </c>
      <c r="L17" s="217">
        <v>124.68282977428946</v>
      </c>
      <c r="M17" s="217">
        <v>9183.8863679401366</v>
      </c>
      <c r="N17" s="217" t="s">
        <v>805</v>
      </c>
      <c r="O17" s="217" t="s">
        <v>805</v>
      </c>
      <c r="P17" s="217" t="s">
        <v>805</v>
      </c>
      <c r="Q17" s="217" t="s">
        <v>805</v>
      </c>
      <c r="R17" s="217" t="s">
        <v>805</v>
      </c>
      <c r="S17" s="217" t="s">
        <v>805</v>
      </c>
      <c r="T17" s="217" t="s">
        <v>805</v>
      </c>
      <c r="U17" s="217" t="s">
        <v>805</v>
      </c>
      <c r="V17" s="217" t="s">
        <v>805</v>
      </c>
      <c r="W17" s="217" t="s">
        <v>805</v>
      </c>
      <c r="X17" s="217" t="s">
        <v>805</v>
      </c>
      <c r="Y17" s="217" t="s">
        <v>805</v>
      </c>
      <c r="Z17" s="217" t="s">
        <v>805</v>
      </c>
      <c r="AA17" s="217" t="s">
        <v>805</v>
      </c>
      <c r="AB17" s="217" t="s">
        <v>805</v>
      </c>
      <c r="AC17" s="217" t="s">
        <v>805</v>
      </c>
      <c r="AD17" s="217" t="s">
        <v>805</v>
      </c>
      <c r="AE17" s="217" t="s">
        <v>805</v>
      </c>
      <c r="AF17" s="217" t="s">
        <v>805</v>
      </c>
      <c r="AG17" s="217" t="s">
        <v>805</v>
      </c>
      <c r="AH17" s="217" t="s">
        <v>805</v>
      </c>
      <c r="AI17" s="217" t="s">
        <v>805</v>
      </c>
      <c r="AJ17" s="217" t="s">
        <v>805</v>
      </c>
      <c r="AK17" s="217" t="s">
        <v>805</v>
      </c>
      <c r="AL17" s="217" t="s">
        <v>805</v>
      </c>
      <c r="AM17" s="217" t="s">
        <v>805</v>
      </c>
      <c r="AN17" s="217" t="s">
        <v>805</v>
      </c>
      <c r="AO17" s="217" t="s">
        <v>805</v>
      </c>
      <c r="AP17" s="217" t="s">
        <v>805</v>
      </c>
      <c r="AQ17" s="217" t="s">
        <v>805</v>
      </c>
      <c r="AR17" s="217" t="s">
        <v>805</v>
      </c>
      <c r="AS17" s="217" t="s">
        <v>805</v>
      </c>
      <c r="AT17" s="217" t="s">
        <v>805</v>
      </c>
      <c r="AU17" s="217" t="s">
        <v>805</v>
      </c>
      <c r="AV17" s="217" t="s">
        <v>805</v>
      </c>
      <c r="AW17" s="217" t="s">
        <v>805</v>
      </c>
      <c r="AX17" s="217" t="s">
        <v>805</v>
      </c>
      <c r="AY17" s="217" t="s">
        <v>805</v>
      </c>
      <c r="AZ17" s="217" t="s">
        <v>805</v>
      </c>
      <c r="BA17" s="217" t="s">
        <v>805</v>
      </c>
      <c r="BB17" s="217" t="s">
        <v>805</v>
      </c>
      <c r="BC17" s="217" t="s">
        <v>805</v>
      </c>
      <c r="BD17" s="217" t="s">
        <v>805</v>
      </c>
      <c r="BE17" s="217" t="s">
        <v>805</v>
      </c>
      <c r="BF17" s="217" t="s">
        <v>805</v>
      </c>
      <c r="BG17" s="217" t="s">
        <v>805</v>
      </c>
      <c r="BH17" s="217" t="s">
        <v>805</v>
      </c>
      <c r="BI17" s="217" t="s">
        <v>805</v>
      </c>
      <c r="BJ17" s="217" t="s">
        <v>805</v>
      </c>
      <c r="BK17" s="217" t="s">
        <v>805</v>
      </c>
      <c r="BL17" s="217" t="s">
        <v>805</v>
      </c>
      <c r="BM17" s="217" t="s">
        <v>805</v>
      </c>
      <c r="BN17" s="217" t="s">
        <v>805</v>
      </c>
      <c r="BO17" s="217" t="s">
        <v>805</v>
      </c>
      <c r="BP17" s="217" t="s">
        <v>805</v>
      </c>
      <c r="BQ17" s="217" t="s">
        <v>805</v>
      </c>
      <c r="BR17" s="217" t="s">
        <v>805</v>
      </c>
      <c r="BS17" s="217" t="s">
        <v>805</v>
      </c>
      <c r="BT17" s="217" t="s">
        <v>805</v>
      </c>
      <c r="BU17" s="217" t="s">
        <v>805</v>
      </c>
      <c r="BV17" s="217" t="s">
        <v>805</v>
      </c>
      <c r="BW17" s="217" t="s">
        <v>805</v>
      </c>
      <c r="BX17" s="217" t="s">
        <v>805</v>
      </c>
      <c r="BY17" s="217" t="s">
        <v>805</v>
      </c>
      <c r="BZ17" s="217" t="s">
        <v>805</v>
      </c>
      <c r="CA17" s="217" t="s">
        <v>805</v>
      </c>
      <c r="CB17" s="217" t="s">
        <v>805</v>
      </c>
      <c r="CC17" s="217" t="s">
        <v>805</v>
      </c>
      <c r="CD17" s="217" t="s">
        <v>805</v>
      </c>
      <c r="CE17" s="217" t="s">
        <v>805</v>
      </c>
      <c r="CF17" s="217" t="s">
        <v>805</v>
      </c>
      <c r="CG17" s="217" t="s">
        <v>805</v>
      </c>
      <c r="CH17" s="217" t="s">
        <v>805</v>
      </c>
      <c r="CI17" s="217" t="s">
        <v>805</v>
      </c>
      <c r="CJ17" s="217" t="s">
        <v>805</v>
      </c>
      <c r="CK17" s="217" t="s">
        <v>805</v>
      </c>
      <c r="CL17" s="217" t="s">
        <v>805</v>
      </c>
      <c r="CM17" s="217" t="s">
        <v>805</v>
      </c>
      <c r="CN17" s="217" t="s">
        <v>805</v>
      </c>
      <c r="CO17" s="217" t="s">
        <v>805</v>
      </c>
      <c r="CP17" s="217" t="s">
        <v>805</v>
      </c>
      <c r="CQ17" s="217" t="s">
        <v>805</v>
      </c>
      <c r="CR17" s="217" t="s">
        <v>805</v>
      </c>
      <c r="CS17" s="217" t="s">
        <v>805</v>
      </c>
      <c r="CT17" s="217" t="s">
        <v>805</v>
      </c>
      <c r="CU17" s="217" t="s">
        <v>805</v>
      </c>
      <c r="CV17" s="217" t="s">
        <v>805</v>
      </c>
      <c r="CW17" s="217" t="s">
        <v>805</v>
      </c>
      <c r="CX17" s="217" t="s">
        <v>805</v>
      </c>
      <c r="CY17" s="217" t="s">
        <v>805</v>
      </c>
      <c r="CZ17" s="217" t="s">
        <v>805</v>
      </c>
      <c r="DA17" s="217" t="s">
        <v>805</v>
      </c>
      <c r="DB17" s="217" t="s">
        <v>805</v>
      </c>
      <c r="DC17" s="217" t="s">
        <v>805</v>
      </c>
      <c r="DD17" s="217" t="s">
        <v>805</v>
      </c>
      <c r="DE17" s="217" t="s">
        <v>805</v>
      </c>
      <c r="DF17" s="217" t="s">
        <v>805</v>
      </c>
      <c r="DG17" s="212">
        <f>VLOOKUP(E17,'KPI Count-SHARE'!A:F,3,0)</f>
        <v>7</v>
      </c>
      <c r="DH17" s="213">
        <v>223.84698736863683</v>
      </c>
      <c r="DI17" s="218">
        <v>8.2603088990559463</v>
      </c>
      <c r="DJ17" s="218">
        <v>14.493465139158872</v>
      </c>
      <c r="DK17" s="218">
        <v>33.023388392857143</v>
      </c>
      <c r="DL17" s="218">
        <v>482.10870013879446</v>
      </c>
      <c r="DM17" s="218">
        <v>520.13202831064939</v>
      </c>
      <c r="DN17" s="212">
        <f>VLOOKUP(E17,'KPI Count-SHARE'!A:F,4,0)</f>
        <v>0</v>
      </c>
      <c r="DO17" s="213"/>
      <c r="DP17" s="218"/>
      <c r="DQ17" s="218"/>
      <c r="DR17" s="218"/>
      <c r="DS17" s="218"/>
      <c r="DT17" s="218"/>
      <c r="DU17" s="212">
        <f>VLOOKUP(E17,'KPI Count-SHARE'!A:F,5,0)</f>
        <v>0</v>
      </c>
      <c r="DV17" s="213"/>
      <c r="DW17" s="218"/>
      <c r="DX17" s="218"/>
      <c r="DY17" s="218"/>
      <c r="DZ17" s="218"/>
      <c r="EA17" s="218"/>
      <c r="EB17" s="212">
        <f>VLOOKUP(E17,'KPI Count-SHARE'!A:F,6,0)</f>
        <v>0</v>
      </c>
      <c r="EC17" s="213"/>
      <c r="ED17" s="218"/>
      <c r="EE17" s="218"/>
      <c r="EF17" s="218"/>
      <c r="EG17" s="218"/>
      <c r="EH17" s="218"/>
      <c r="EI17" s="214" t="str">
        <f>XCurrency &amp; " '000 per account"</f>
        <v>USD '000 per account</v>
      </c>
      <c r="EJ17" s="235">
        <f t="shared" si="101"/>
        <v>242.00794363507285</v>
      </c>
      <c r="EK17" s="235">
        <f t="shared" si="102"/>
        <v>295.80151505523668</v>
      </c>
      <c r="EL17" s="235">
        <f t="shared" si="103"/>
        <v>140.09306716212299</v>
      </c>
      <c r="EM17" s="235">
        <f t="shared" si="104"/>
        <v>10318.97344712375</v>
      </c>
      <c r="EN17" s="235" t="str">
        <f t="shared" si="105"/>
        <v>-</v>
      </c>
      <c r="EO17" s="235" t="str">
        <f t="shared" si="106"/>
        <v>-</v>
      </c>
      <c r="EP17" s="235" t="str">
        <f t="shared" si="107"/>
        <v>-</v>
      </c>
      <c r="EQ17" s="235" t="str">
        <f t="shared" si="108"/>
        <v>-</v>
      </c>
      <c r="ER17" s="235" t="str">
        <f t="shared" si="109"/>
        <v>-</v>
      </c>
      <c r="ES17" s="235" t="str">
        <f t="shared" si="110"/>
        <v>-</v>
      </c>
      <c r="ET17" s="235" t="str">
        <f t="shared" si="111"/>
        <v>-</v>
      </c>
      <c r="EU17" s="235" t="str">
        <f t="shared" si="165"/>
        <v>-</v>
      </c>
      <c r="EV17" s="235" t="str">
        <f t="shared" si="166"/>
        <v>-</v>
      </c>
      <c r="EW17" s="235" t="str">
        <f t="shared" si="167"/>
        <v>-</v>
      </c>
      <c r="EX17" s="235" t="str">
        <f t="shared" si="168"/>
        <v>-</v>
      </c>
      <c r="EY17" s="235" t="str">
        <f t="shared" si="169"/>
        <v>-</v>
      </c>
      <c r="EZ17" s="235" t="str">
        <f t="shared" si="170"/>
        <v>-</v>
      </c>
      <c r="FA17" s="235" t="str">
        <f t="shared" si="171"/>
        <v>-</v>
      </c>
      <c r="FB17" s="235" t="str">
        <f t="shared" si="172"/>
        <v>-</v>
      </c>
      <c r="FC17" s="235" t="str">
        <f t="shared" si="173"/>
        <v>-</v>
      </c>
      <c r="FD17" s="235" t="str">
        <f t="shared" si="174"/>
        <v>-</v>
      </c>
      <c r="FE17" s="235" t="str">
        <f t="shared" si="175"/>
        <v>-</v>
      </c>
      <c r="FF17" s="235" t="str">
        <f t="shared" si="176"/>
        <v>-</v>
      </c>
      <c r="FG17" s="235" t="str">
        <f t="shared" si="177"/>
        <v>-</v>
      </c>
      <c r="FH17" s="235" t="str">
        <f t="shared" si="178"/>
        <v>-</v>
      </c>
      <c r="FI17" s="235" t="str">
        <f t="shared" si="179"/>
        <v>-</v>
      </c>
      <c r="FJ17" s="235" t="str">
        <f t="shared" si="180"/>
        <v>-</v>
      </c>
      <c r="FK17" s="235" t="str">
        <f t="shared" si="181"/>
        <v>-</v>
      </c>
      <c r="FL17" s="235" t="str">
        <f t="shared" si="182"/>
        <v>-</v>
      </c>
      <c r="FM17" s="235" t="str">
        <f t="shared" si="183"/>
        <v>-</v>
      </c>
      <c r="FN17" s="235" t="str">
        <f t="shared" si="184"/>
        <v>-</v>
      </c>
      <c r="FO17" s="235" t="str">
        <f t="shared" si="185"/>
        <v>-</v>
      </c>
      <c r="FP17" s="235" t="str">
        <f t="shared" si="186"/>
        <v>-</v>
      </c>
      <c r="FQ17" s="235" t="str">
        <f t="shared" si="187"/>
        <v>-</v>
      </c>
      <c r="FR17" s="235" t="str">
        <f t="shared" si="188"/>
        <v>-</v>
      </c>
      <c r="FS17" s="235" t="str">
        <f t="shared" si="189"/>
        <v>-</v>
      </c>
      <c r="FT17" s="235" t="str">
        <f t="shared" si="190"/>
        <v>-</v>
      </c>
      <c r="FU17" s="235" t="str">
        <f t="shared" si="191"/>
        <v>-</v>
      </c>
      <c r="FV17" s="235" t="str">
        <f t="shared" si="192"/>
        <v>-</v>
      </c>
      <c r="FW17" s="235" t="str">
        <f t="shared" si="193"/>
        <v>-</v>
      </c>
      <c r="FX17" s="235" t="str">
        <f t="shared" si="194"/>
        <v>-</v>
      </c>
      <c r="FY17" s="235" t="str">
        <f t="shared" si="195"/>
        <v>-</v>
      </c>
      <c r="FZ17" s="235" t="str">
        <f t="shared" si="196"/>
        <v>-</v>
      </c>
      <c r="GA17" s="235" t="str">
        <f t="shared" si="197"/>
        <v>-</v>
      </c>
      <c r="GB17" s="235" t="str">
        <f t="shared" si="155"/>
        <v>-</v>
      </c>
      <c r="GC17" s="235" t="str">
        <f t="shared" si="156"/>
        <v>-</v>
      </c>
      <c r="GD17" s="235" t="str">
        <f t="shared" si="157"/>
        <v>-</v>
      </c>
      <c r="GE17" s="235" t="str">
        <f t="shared" si="158"/>
        <v>-</v>
      </c>
      <c r="GF17" s="235" t="str">
        <f t="shared" si="159"/>
        <v>-</v>
      </c>
      <c r="GG17" s="235" t="str">
        <f t="shared" si="159"/>
        <v>-</v>
      </c>
      <c r="GH17" s="235" t="str">
        <f t="shared" si="159"/>
        <v>-</v>
      </c>
      <c r="GI17" s="235" t="str">
        <f t="shared" si="159"/>
        <v>-</v>
      </c>
      <c r="GJ17" s="235" t="str">
        <f t="shared" si="159"/>
        <v>-</v>
      </c>
      <c r="GK17" s="235" t="str">
        <f t="shared" si="159"/>
        <v>-</v>
      </c>
      <c r="GL17" s="235" t="str">
        <f t="shared" si="159"/>
        <v>-</v>
      </c>
      <c r="GM17" s="235" t="str">
        <f t="shared" si="159"/>
        <v>-</v>
      </c>
      <c r="GN17" s="235" t="str">
        <f t="shared" si="159"/>
        <v>-</v>
      </c>
      <c r="GO17" s="235" t="str">
        <f t="shared" si="159"/>
        <v>-</v>
      </c>
      <c r="GP17" s="235" t="str">
        <f t="shared" si="160"/>
        <v>-</v>
      </c>
      <c r="GQ17" s="235" t="str">
        <f t="shared" si="160"/>
        <v>-</v>
      </c>
      <c r="GR17" s="235" t="str">
        <f t="shared" si="160"/>
        <v>-</v>
      </c>
      <c r="GS17" s="235" t="str">
        <f t="shared" si="160"/>
        <v>-</v>
      </c>
      <c r="GT17" s="235" t="str">
        <f t="shared" si="160"/>
        <v>-</v>
      </c>
      <c r="GU17" s="235" t="str">
        <f t="shared" si="160"/>
        <v>-</v>
      </c>
      <c r="GV17" s="235" t="str">
        <f t="shared" si="160"/>
        <v>-</v>
      </c>
      <c r="GW17" s="235" t="str">
        <f t="shared" si="160"/>
        <v>-</v>
      </c>
      <c r="GX17" s="235" t="str">
        <f t="shared" si="160"/>
        <v>-</v>
      </c>
      <c r="GY17" s="235" t="str">
        <f t="shared" si="160"/>
        <v>-</v>
      </c>
      <c r="GZ17" s="235" t="str">
        <f t="shared" si="161"/>
        <v>-</v>
      </c>
      <c r="HA17" s="235" t="str">
        <f t="shared" si="161"/>
        <v>-</v>
      </c>
      <c r="HB17" s="235" t="str">
        <f t="shared" si="161"/>
        <v>-</v>
      </c>
      <c r="HC17" s="235" t="str">
        <f t="shared" si="161"/>
        <v>-</v>
      </c>
      <c r="HD17" s="235" t="str">
        <f t="shared" si="161"/>
        <v>-</v>
      </c>
      <c r="HE17" s="235" t="str">
        <f t="shared" si="161"/>
        <v>-</v>
      </c>
      <c r="HF17" s="235" t="str">
        <f t="shared" si="161"/>
        <v>-</v>
      </c>
      <c r="HG17" s="235" t="str">
        <f t="shared" si="161"/>
        <v>-</v>
      </c>
      <c r="HH17" s="235" t="str">
        <f t="shared" si="161"/>
        <v>-</v>
      </c>
      <c r="HI17" s="235" t="str">
        <f t="shared" si="161"/>
        <v>-</v>
      </c>
      <c r="HJ17" s="235" t="str">
        <f t="shared" si="162"/>
        <v>-</v>
      </c>
      <c r="HK17" s="235" t="str">
        <f t="shared" si="162"/>
        <v>-</v>
      </c>
      <c r="HL17" s="235" t="str">
        <f t="shared" si="162"/>
        <v>-</v>
      </c>
      <c r="HM17" s="235" t="str">
        <f t="shared" si="162"/>
        <v>-</v>
      </c>
      <c r="HN17" s="235" t="str">
        <f t="shared" si="162"/>
        <v>-</v>
      </c>
      <c r="HO17" s="235" t="str">
        <f t="shared" si="162"/>
        <v>-</v>
      </c>
      <c r="HP17" s="235" t="str">
        <f t="shared" si="162"/>
        <v>-</v>
      </c>
      <c r="HQ17" s="235" t="str">
        <f t="shared" si="162"/>
        <v>-</v>
      </c>
      <c r="HR17" s="235" t="str">
        <f t="shared" si="162"/>
        <v>-</v>
      </c>
      <c r="HS17" s="235" t="str">
        <f t="shared" si="162"/>
        <v>-</v>
      </c>
      <c r="HT17" s="235" t="str">
        <f t="shared" si="163"/>
        <v>-</v>
      </c>
      <c r="HU17" s="235" t="str">
        <f t="shared" si="163"/>
        <v>-</v>
      </c>
      <c r="HV17" s="235" t="str">
        <f t="shared" si="163"/>
        <v>-</v>
      </c>
      <c r="HW17" s="235" t="str">
        <f t="shared" si="163"/>
        <v>-</v>
      </c>
      <c r="HX17" s="235" t="str">
        <f t="shared" si="163"/>
        <v>-</v>
      </c>
      <c r="HY17" s="235" t="str">
        <f t="shared" si="163"/>
        <v>-</v>
      </c>
      <c r="HZ17" s="235" t="str">
        <f t="shared" si="163"/>
        <v>-</v>
      </c>
      <c r="IA17" s="235" t="str">
        <f t="shared" si="163"/>
        <v>-</v>
      </c>
      <c r="IB17" s="235" t="str">
        <f t="shared" si="163"/>
        <v>-</v>
      </c>
      <c r="IC17" s="235" t="str">
        <f t="shared" si="163"/>
        <v>-</v>
      </c>
      <c r="ID17" s="235" t="str">
        <f t="shared" si="164"/>
        <v>-</v>
      </c>
      <c r="IE17" s="235" t="str">
        <f t="shared" si="68"/>
        <v>-</v>
      </c>
      <c r="IF17" s="235" t="str">
        <f t="shared" si="69"/>
        <v>-</v>
      </c>
      <c r="IG17" s="306">
        <f t="shared" si="70"/>
        <v>251.51346895352455</v>
      </c>
      <c r="IH17" s="44">
        <f t="shared" si="133"/>
        <v>9.2812459539954464</v>
      </c>
      <c r="II17" s="44">
        <f t="shared" si="134"/>
        <v>16.284792291189746</v>
      </c>
      <c r="IJ17" s="44">
        <f t="shared" si="135"/>
        <v>37.104930778491173</v>
      </c>
      <c r="IK17" s="44">
        <f t="shared" si="136"/>
        <v>541.69516869527467</v>
      </c>
      <c r="IL17" s="44">
        <f t="shared" si="137"/>
        <v>584.41800933780837</v>
      </c>
      <c r="IM17" s="306" t="str">
        <f t="shared" si="76"/>
        <v/>
      </c>
      <c r="IN17" s="44" t="str">
        <f t="shared" si="138"/>
        <v/>
      </c>
      <c r="IO17" s="44" t="str">
        <f t="shared" si="139"/>
        <v/>
      </c>
      <c r="IP17" s="44" t="str">
        <f t="shared" si="140"/>
        <v/>
      </c>
      <c r="IQ17" s="44" t="str">
        <f t="shared" si="141"/>
        <v/>
      </c>
      <c r="IR17" s="44" t="str">
        <f t="shared" si="142"/>
        <v/>
      </c>
      <c r="IS17" s="306" t="str">
        <f t="shared" si="82"/>
        <v/>
      </c>
      <c r="IT17" s="44" t="str">
        <f t="shared" si="143"/>
        <v/>
      </c>
      <c r="IU17" s="44" t="str">
        <f t="shared" si="144"/>
        <v/>
      </c>
      <c r="IV17" s="44" t="str">
        <f t="shared" si="145"/>
        <v/>
      </c>
      <c r="IW17" s="44" t="str">
        <f t="shared" si="146"/>
        <v/>
      </c>
      <c r="IX17" s="44" t="str">
        <f t="shared" si="147"/>
        <v/>
      </c>
      <c r="IY17" s="306" t="str">
        <f t="shared" si="88"/>
        <v/>
      </c>
      <c r="IZ17" s="44" t="str">
        <f t="shared" si="148"/>
        <v/>
      </c>
      <c r="JA17" s="44" t="str">
        <f t="shared" si="149"/>
        <v/>
      </c>
      <c r="JB17" s="44" t="str">
        <f t="shared" si="150"/>
        <v/>
      </c>
      <c r="JC17" s="44" t="str">
        <f t="shared" si="151"/>
        <v/>
      </c>
      <c r="JD17" s="307" t="str">
        <f t="shared" si="152"/>
        <v/>
      </c>
      <c r="JF17" s="66">
        <f t="shared" si="153"/>
        <v>17</v>
      </c>
      <c r="JG17" s="66">
        <f t="shared" ca="1" si="95"/>
        <v>16.284792291189746</v>
      </c>
      <c r="JH17" s="66">
        <f t="shared" ca="1" si="96"/>
        <v>37.104930778491173</v>
      </c>
      <c r="JI17" s="66">
        <f t="shared" ca="1" si="97"/>
        <v>541.69516869527467</v>
      </c>
      <c r="JJ17" s="66">
        <f t="shared" ca="1" si="98"/>
        <v>7</v>
      </c>
      <c r="JK17" s="33"/>
      <c r="JL17" s="75">
        <f t="shared" ca="1" si="121"/>
        <v>16.284792291189746</v>
      </c>
      <c r="JM17" s="75">
        <f t="shared" ca="1" si="99"/>
        <v>26.694861534840459</v>
      </c>
      <c r="JN17" s="75">
        <f t="shared" ca="1" si="100"/>
        <v>289.40004973688292</v>
      </c>
      <c r="JO17" s="75">
        <f t="shared" ca="1" si="122"/>
        <v>541.69516869527467</v>
      </c>
      <c r="JP17" s="74">
        <f t="shared" ca="1" si="123"/>
        <v>874.07487225818772</v>
      </c>
    </row>
    <row r="18" spans="1:276" s="1" customFormat="1" x14ac:dyDescent="0.35">
      <c r="A18" s="125" t="s">
        <v>805</v>
      </c>
      <c r="B18" s="125" t="s">
        <v>805</v>
      </c>
      <c r="C18" s="125" t="s">
        <v>805</v>
      </c>
      <c r="D18" s="163"/>
      <c r="E18" s="250"/>
      <c r="F18" s="249" t="s">
        <v>704</v>
      </c>
      <c r="G18" s="250"/>
      <c r="H18" s="250"/>
      <c r="I18" s="251"/>
      <c r="J18" s="251" t="s">
        <v>805</v>
      </c>
      <c r="K18" s="251" t="s">
        <v>805</v>
      </c>
      <c r="L18" s="251" t="s">
        <v>805</v>
      </c>
      <c r="M18" s="251" t="s">
        <v>805</v>
      </c>
      <c r="N18" s="251" t="s">
        <v>805</v>
      </c>
      <c r="O18" s="251" t="s">
        <v>805</v>
      </c>
      <c r="P18" s="251" t="s">
        <v>805</v>
      </c>
      <c r="Q18" s="251" t="s">
        <v>805</v>
      </c>
      <c r="R18" s="251" t="s">
        <v>805</v>
      </c>
      <c r="S18" s="251" t="s">
        <v>805</v>
      </c>
      <c r="T18" s="251" t="s">
        <v>805</v>
      </c>
      <c r="U18" s="251" t="s">
        <v>805</v>
      </c>
      <c r="V18" s="251" t="s">
        <v>805</v>
      </c>
      <c r="W18" s="251" t="s">
        <v>805</v>
      </c>
      <c r="X18" s="251" t="s">
        <v>805</v>
      </c>
      <c r="Y18" s="251" t="s">
        <v>805</v>
      </c>
      <c r="Z18" s="251" t="s">
        <v>805</v>
      </c>
      <c r="AA18" s="251" t="s">
        <v>805</v>
      </c>
      <c r="AB18" s="251" t="s">
        <v>805</v>
      </c>
      <c r="AC18" s="251" t="s">
        <v>805</v>
      </c>
      <c r="AD18" s="251" t="s">
        <v>805</v>
      </c>
      <c r="AE18" s="251" t="s">
        <v>805</v>
      </c>
      <c r="AF18" s="251" t="s">
        <v>805</v>
      </c>
      <c r="AG18" s="251" t="s">
        <v>805</v>
      </c>
      <c r="AH18" s="251" t="s">
        <v>805</v>
      </c>
      <c r="AI18" s="251" t="s">
        <v>805</v>
      </c>
      <c r="AJ18" s="251" t="s">
        <v>805</v>
      </c>
      <c r="AK18" s="251" t="s">
        <v>805</v>
      </c>
      <c r="AL18" s="251" t="s">
        <v>805</v>
      </c>
      <c r="AM18" s="251" t="s">
        <v>805</v>
      </c>
      <c r="AN18" s="251" t="s">
        <v>805</v>
      </c>
      <c r="AO18" s="251" t="s">
        <v>805</v>
      </c>
      <c r="AP18" s="251" t="s">
        <v>805</v>
      </c>
      <c r="AQ18" s="251" t="s">
        <v>805</v>
      </c>
      <c r="AR18" s="251" t="s">
        <v>805</v>
      </c>
      <c r="AS18" s="251" t="s">
        <v>805</v>
      </c>
      <c r="AT18" s="251" t="s">
        <v>805</v>
      </c>
      <c r="AU18" s="251" t="s">
        <v>805</v>
      </c>
      <c r="AV18" s="251" t="s">
        <v>805</v>
      </c>
      <c r="AW18" s="251" t="s">
        <v>805</v>
      </c>
      <c r="AX18" s="251" t="s">
        <v>805</v>
      </c>
      <c r="AY18" s="251" t="s">
        <v>805</v>
      </c>
      <c r="AZ18" s="251" t="s">
        <v>805</v>
      </c>
      <c r="BA18" s="251" t="s">
        <v>805</v>
      </c>
      <c r="BB18" s="251" t="s">
        <v>805</v>
      </c>
      <c r="BC18" s="251" t="s">
        <v>805</v>
      </c>
      <c r="BD18" s="251" t="s">
        <v>805</v>
      </c>
      <c r="BE18" s="251" t="s">
        <v>805</v>
      </c>
      <c r="BF18" s="251" t="s">
        <v>805</v>
      </c>
      <c r="BG18" s="251" t="s">
        <v>805</v>
      </c>
      <c r="BH18" s="251" t="s">
        <v>805</v>
      </c>
      <c r="BI18" s="251" t="s">
        <v>805</v>
      </c>
      <c r="BJ18" s="251" t="s">
        <v>805</v>
      </c>
      <c r="BK18" s="251" t="s">
        <v>805</v>
      </c>
      <c r="BL18" s="251" t="s">
        <v>805</v>
      </c>
      <c r="BM18" s="251" t="s">
        <v>805</v>
      </c>
      <c r="BN18" s="251" t="s">
        <v>805</v>
      </c>
      <c r="BO18" s="251" t="s">
        <v>805</v>
      </c>
      <c r="BP18" s="251" t="s">
        <v>805</v>
      </c>
      <c r="BQ18" s="251" t="s">
        <v>805</v>
      </c>
      <c r="BR18" s="251" t="s">
        <v>805</v>
      </c>
      <c r="BS18" s="251" t="s">
        <v>805</v>
      </c>
      <c r="BT18" s="251" t="s">
        <v>805</v>
      </c>
      <c r="BU18" s="251" t="s">
        <v>805</v>
      </c>
      <c r="BV18" s="251" t="s">
        <v>805</v>
      </c>
      <c r="BW18" s="251" t="s">
        <v>805</v>
      </c>
      <c r="BX18" s="251" t="s">
        <v>805</v>
      </c>
      <c r="BY18" s="251" t="s">
        <v>805</v>
      </c>
      <c r="BZ18" s="251" t="s">
        <v>805</v>
      </c>
      <c r="CA18" s="251" t="s">
        <v>805</v>
      </c>
      <c r="CB18" s="251" t="s">
        <v>805</v>
      </c>
      <c r="CC18" s="251" t="s">
        <v>805</v>
      </c>
      <c r="CD18" s="251" t="s">
        <v>805</v>
      </c>
      <c r="CE18" s="251" t="s">
        <v>805</v>
      </c>
      <c r="CF18" s="251" t="s">
        <v>805</v>
      </c>
      <c r="CG18" s="251" t="s">
        <v>805</v>
      </c>
      <c r="CH18" s="251" t="s">
        <v>805</v>
      </c>
      <c r="CI18" s="251" t="s">
        <v>805</v>
      </c>
      <c r="CJ18" s="251" t="s">
        <v>805</v>
      </c>
      <c r="CK18" s="251" t="s">
        <v>805</v>
      </c>
      <c r="CL18" s="251" t="s">
        <v>805</v>
      </c>
      <c r="CM18" s="251" t="s">
        <v>805</v>
      </c>
      <c r="CN18" s="251" t="s">
        <v>805</v>
      </c>
      <c r="CO18" s="251" t="s">
        <v>805</v>
      </c>
      <c r="CP18" s="251" t="s">
        <v>805</v>
      </c>
      <c r="CQ18" s="251" t="s">
        <v>805</v>
      </c>
      <c r="CR18" s="251" t="s">
        <v>805</v>
      </c>
      <c r="CS18" s="251" t="s">
        <v>805</v>
      </c>
      <c r="CT18" s="251" t="s">
        <v>805</v>
      </c>
      <c r="CU18" s="251" t="s">
        <v>805</v>
      </c>
      <c r="CV18" s="251" t="s">
        <v>805</v>
      </c>
      <c r="CW18" s="251" t="s">
        <v>805</v>
      </c>
      <c r="CX18" s="251" t="s">
        <v>805</v>
      </c>
      <c r="CY18" s="251" t="s">
        <v>805</v>
      </c>
      <c r="CZ18" s="251" t="s">
        <v>805</v>
      </c>
      <c r="DA18" s="251" t="s">
        <v>805</v>
      </c>
      <c r="DB18" s="251" t="s">
        <v>805</v>
      </c>
      <c r="DC18" s="251" t="s">
        <v>805</v>
      </c>
      <c r="DD18" s="251" t="s">
        <v>805</v>
      </c>
      <c r="DE18" s="251" t="s">
        <v>805</v>
      </c>
      <c r="DF18" s="251" t="s">
        <v>805</v>
      </c>
      <c r="DG18" s="251"/>
      <c r="DH18" s="251"/>
      <c r="DI18" s="251"/>
      <c r="DJ18" s="251"/>
      <c r="DK18" s="251"/>
      <c r="DL18" s="251"/>
      <c r="DM18" s="251"/>
      <c r="DN18" s="275"/>
      <c r="DO18" s="251"/>
      <c r="DP18" s="251"/>
      <c r="DQ18" s="251"/>
      <c r="DR18" s="251"/>
      <c r="DS18" s="251"/>
      <c r="DT18" s="251"/>
      <c r="DU18" s="275"/>
      <c r="DV18" s="251"/>
      <c r="DW18" s="251"/>
      <c r="DX18" s="251"/>
      <c r="DY18" s="251"/>
      <c r="DZ18" s="251"/>
      <c r="EA18" s="251"/>
      <c r="EB18" s="275"/>
      <c r="EC18" s="251"/>
      <c r="ED18" s="251"/>
      <c r="EE18" s="251"/>
      <c r="EF18" s="251"/>
      <c r="EG18" s="251"/>
      <c r="EH18" s="251"/>
      <c r="EI18" s="251"/>
      <c r="EJ18" s="251"/>
      <c r="EK18" s="251"/>
      <c r="EL18" s="251"/>
      <c r="EM18" s="251"/>
      <c r="EN18" s="251"/>
      <c r="EO18" s="251"/>
      <c r="EP18" s="251"/>
      <c r="EQ18" s="251"/>
      <c r="ER18" s="251"/>
      <c r="ES18" s="251"/>
      <c r="ET18" s="251"/>
      <c r="EU18" s="251"/>
      <c r="EV18" s="251"/>
      <c r="EW18" s="251"/>
      <c r="EX18" s="251"/>
      <c r="EY18" s="251"/>
      <c r="EZ18" s="251"/>
      <c r="FA18" s="251"/>
      <c r="FB18" s="251"/>
      <c r="FC18" s="251"/>
      <c r="FD18" s="251"/>
      <c r="FE18" s="251"/>
      <c r="FF18" s="251"/>
      <c r="FG18" s="251"/>
      <c r="FH18" s="251"/>
      <c r="FI18" s="251"/>
      <c r="FJ18" s="251"/>
      <c r="FK18" s="251"/>
      <c r="FL18" s="251"/>
      <c r="FM18" s="251"/>
      <c r="FN18" s="251"/>
      <c r="FO18" s="251"/>
      <c r="FP18" s="251"/>
      <c r="FQ18" s="251"/>
      <c r="FR18" s="251"/>
      <c r="FS18" s="251"/>
      <c r="FT18" s="251"/>
      <c r="FU18" s="251"/>
      <c r="FV18" s="251"/>
      <c r="FW18" s="251"/>
      <c r="FX18" s="251"/>
      <c r="FY18" s="251"/>
      <c r="FZ18" s="251"/>
      <c r="GA18" s="251"/>
      <c r="GB18" s="251"/>
      <c r="GC18" s="251"/>
      <c r="GD18" s="251"/>
      <c r="GE18" s="251"/>
      <c r="GF18" s="251"/>
      <c r="GG18" s="251"/>
      <c r="GH18" s="251"/>
      <c r="GI18" s="251"/>
      <c r="GJ18" s="251"/>
      <c r="GK18" s="251"/>
      <c r="GL18" s="251"/>
      <c r="GM18" s="251"/>
      <c r="GN18" s="251"/>
      <c r="GO18" s="251"/>
      <c r="GP18" s="251"/>
      <c r="GQ18" s="251"/>
      <c r="GR18" s="251"/>
      <c r="GS18" s="251"/>
      <c r="GT18" s="251"/>
      <c r="GU18" s="251"/>
      <c r="GV18" s="251"/>
      <c r="GW18" s="251"/>
      <c r="GX18" s="251"/>
      <c r="GY18" s="251"/>
      <c r="GZ18" s="251"/>
      <c r="HA18" s="251"/>
      <c r="HB18" s="251"/>
      <c r="HC18" s="251"/>
      <c r="HD18" s="251"/>
      <c r="HE18" s="251"/>
      <c r="HF18" s="251"/>
      <c r="HG18" s="251"/>
      <c r="HH18" s="251"/>
      <c r="HI18" s="251"/>
      <c r="HJ18" s="251"/>
      <c r="HK18" s="251"/>
      <c r="HL18" s="251"/>
      <c r="HM18" s="251"/>
      <c r="HN18" s="251"/>
      <c r="HO18" s="251"/>
      <c r="HP18" s="251"/>
      <c r="HQ18" s="251"/>
      <c r="HR18" s="251"/>
      <c r="HS18" s="251"/>
      <c r="HT18" s="251"/>
      <c r="HU18" s="251"/>
      <c r="HV18" s="251"/>
      <c r="HW18" s="251"/>
      <c r="HX18" s="251"/>
      <c r="HY18" s="251"/>
      <c r="HZ18" s="251"/>
      <c r="IA18" s="251"/>
      <c r="IB18" s="251"/>
      <c r="IC18" s="251"/>
      <c r="ID18" s="251"/>
      <c r="IE18" s="251"/>
      <c r="IF18" s="251"/>
      <c r="IG18" s="310"/>
      <c r="IH18" s="251"/>
      <c r="II18" s="251"/>
      <c r="IJ18" s="251"/>
      <c r="IK18" s="251"/>
      <c r="IL18" s="251"/>
      <c r="IM18" s="310"/>
      <c r="IN18" s="251"/>
      <c r="IO18" s="251"/>
      <c r="IP18" s="251"/>
      <c r="IQ18" s="251"/>
      <c r="IR18" s="251"/>
      <c r="IS18" s="310"/>
      <c r="IT18" s="251"/>
      <c r="IU18" s="251"/>
      <c r="IV18" s="251"/>
      <c r="IW18" s="251"/>
      <c r="IX18" s="251"/>
      <c r="IY18" s="310"/>
      <c r="IZ18" s="251"/>
      <c r="JA18" s="251"/>
      <c r="JB18" s="251"/>
      <c r="JC18" s="251"/>
      <c r="JD18" s="311"/>
      <c r="JF18" s="66"/>
      <c r="JG18" s="66"/>
      <c r="JH18" s="66"/>
      <c r="JI18" s="66"/>
      <c r="JJ18" s="66"/>
      <c r="JK18" s="33"/>
      <c r="JL18" s="75"/>
      <c r="JM18" s="75"/>
      <c r="JN18" s="75"/>
      <c r="JO18" s="75"/>
      <c r="JP18" s="74"/>
    </row>
    <row r="19" spans="1:276" s="1" customFormat="1" x14ac:dyDescent="0.35">
      <c r="A19" s="125">
        <v>1</v>
      </c>
      <c r="B19" s="125">
        <v>1</v>
      </c>
      <c r="C19" s="125">
        <v>1</v>
      </c>
      <c r="D19" s="163"/>
      <c r="E19" s="142" t="s">
        <v>28</v>
      </c>
      <c r="F19" s="208" t="s">
        <v>29</v>
      </c>
      <c r="G19" s="209" t="s">
        <v>540</v>
      </c>
      <c r="H19" s="210" t="s">
        <v>533</v>
      </c>
      <c r="I19" s="8" t="s">
        <v>534</v>
      </c>
      <c r="J19" s="211">
        <v>2.3660081505868454E-2</v>
      </c>
      <c r="K19" s="211">
        <v>1.9588367300155986E-2</v>
      </c>
      <c r="L19" s="215">
        <v>3.3826408822680037E-2</v>
      </c>
      <c r="M19" s="215">
        <v>2.317242287877419E-2</v>
      </c>
      <c r="N19" s="215" t="s">
        <v>805</v>
      </c>
      <c r="O19" s="215" t="s">
        <v>805</v>
      </c>
      <c r="P19" s="215" t="s">
        <v>805</v>
      </c>
      <c r="Q19" s="215" t="s">
        <v>805</v>
      </c>
      <c r="R19" s="215" t="s">
        <v>805</v>
      </c>
      <c r="S19" s="215" t="s">
        <v>805</v>
      </c>
      <c r="T19" s="215" t="s">
        <v>805</v>
      </c>
      <c r="U19" s="215" t="s">
        <v>805</v>
      </c>
      <c r="V19" s="215" t="s">
        <v>805</v>
      </c>
      <c r="W19" s="215" t="s">
        <v>805</v>
      </c>
      <c r="X19" s="215" t="s">
        <v>805</v>
      </c>
      <c r="Y19" s="215" t="s">
        <v>805</v>
      </c>
      <c r="Z19" s="215" t="s">
        <v>805</v>
      </c>
      <c r="AA19" s="215" t="s">
        <v>805</v>
      </c>
      <c r="AB19" s="215" t="s">
        <v>805</v>
      </c>
      <c r="AC19" s="215" t="s">
        <v>805</v>
      </c>
      <c r="AD19" s="215" t="s">
        <v>805</v>
      </c>
      <c r="AE19" s="215" t="s">
        <v>805</v>
      </c>
      <c r="AF19" s="215" t="s">
        <v>805</v>
      </c>
      <c r="AG19" s="215" t="s">
        <v>805</v>
      </c>
      <c r="AH19" s="215" t="s">
        <v>805</v>
      </c>
      <c r="AI19" s="215" t="s">
        <v>805</v>
      </c>
      <c r="AJ19" s="215" t="s">
        <v>805</v>
      </c>
      <c r="AK19" s="215" t="s">
        <v>805</v>
      </c>
      <c r="AL19" s="215" t="s">
        <v>805</v>
      </c>
      <c r="AM19" s="215" t="s">
        <v>805</v>
      </c>
      <c r="AN19" s="215" t="s">
        <v>805</v>
      </c>
      <c r="AO19" s="215" t="s">
        <v>805</v>
      </c>
      <c r="AP19" s="215" t="s">
        <v>805</v>
      </c>
      <c r="AQ19" s="215" t="s">
        <v>805</v>
      </c>
      <c r="AR19" s="215" t="s">
        <v>805</v>
      </c>
      <c r="AS19" s="215" t="s">
        <v>805</v>
      </c>
      <c r="AT19" s="215" t="s">
        <v>805</v>
      </c>
      <c r="AU19" s="215" t="s">
        <v>805</v>
      </c>
      <c r="AV19" s="215" t="s">
        <v>805</v>
      </c>
      <c r="AW19" s="215" t="s">
        <v>805</v>
      </c>
      <c r="AX19" s="215" t="s">
        <v>805</v>
      </c>
      <c r="AY19" s="215" t="s">
        <v>805</v>
      </c>
      <c r="AZ19" s="215" t="s">
        <v>805</v>
      </c>
      <c r="BA19" s="215" t="s">
        <v>805</v>
      </c>
      <c r="BB19" s="215" t="s">
        <v>805</v>
      </c>
      <c r="BC19" s="215" t="s">
        <v>805</v>
      </c>
      <c r="BD19" s="215" t="s">
        <v>805</v>
      </c>
      <c r="BE19" s="215" t="s">
        <v>805</v>
      </c>
      <c r="BF19" s="215" t="s">
        <v>805</v>
      </c>
      <c r="BG19" s="215" t="s">
        <v>805</v>
      </c>
      <c r="BH19" s="215" t="s">
        <v>805</v>
      </c>
      <c r="BI19" s="215" t="s">
        <v>805</v>
      </c>
      <c r="BJ19" s="215" t="s">
        <v>805</v>
      </c>
      <c r="BK19" s="215" t="s">
        <v>805</v>
      </c>
      <c r="BL19" s="215" t="s">
        <v>805</v>
      </c>
      <c r="BM19" s="215" t="s">
        <v>805</v>
      </c>
      <c r="BN19" s="215" t="s">
        <v>805</v>
      </c>
      <c r="BO19" s="215" t="s">
        <v>805</v>
      </c>
      <c r="BP19" s="215" t="s">
        <v>805</v>
      </c>
      <c r="BQ19" s="215" t="s">
        <v>805</v>
      </c>
      <c r="BR19" s="215" t="s">
        <v>805</v>
      </c>
      <c r="BS19" s="215" t="s">
        <v>805</v>
      </c>
      <c r="BT19" s="215" t="s">
        <v>805</v>
      </c>
      <c r="BU19" s="215" t="s">
        <v>805</v>
      </c>
      <c r="BV19" s="215" t="s">
        <v>805</v>
      </c>
      <c r="BW19" s="215" t="s">
        <v>805</v>
      </c>
      <c r="BX19" s="215" t="s">
        <v>805</v>
      </c>
      <c r="BY19" s="215" t="s">
        <v>805</v>
      </c>
      <c r="BZ19" s="215" t="s">
        <v>805</v>
      </c>
      <c r="CA19" s="215" t="s">
        <v>805</v>
      </c>
      <c r="CB19" s="215" t="s">
        <v>805</v>
      </c>
      <c r="CC19" s="215" t="s">
        <v>805</v>
      </c>
      <c r="CD19" s="215" t="s">
        <v>805</v>
      </c>
      <c r="CE19" s="215" t="s">
        <v>805</v>
      </c>
      <c r="CF19" s="215" t="s">
        <v>805</v>
      </c>
      <c r="CG19" s="215" t="s">
        <v>805</v>
      </c>
      <c r="CH19" s="215" t="s">
        <v>805</v>
      </c>
      <c r="CI19" s="215" t="s">
        <v>805</v>
      </c>
      <c r="CJ19" s="215" t="s">
        <v>805</v>
      </c>
      <c r="CK19" s="215" t="s">
        <v>805</v>
      </c>
      <c r="CL19" s="215" t="s">
        <v>805</v>
      </c>
      <c r="CM19" s="215" t="s">
        <v>805</v>
      </c>
      <c r="CN19" s="215" t="s">
        <v>805</v>
      </c>
      <c r="CO19" s="215" t="s">
        <v>805</v>
      </c>
      <c r="CP19" s="215" t="s">
        <v>805</v>
      </c>
      <c r="CQ19" s="215" t="s">
        <v>805</v>
      </c>
      <c r="CR19" s="215" t="s">
        <v>805</v>
      </c>
      <c r="CS19" s="215" t="s">
        <v>805</v>
      </c>
      <c r="CT19" s="215" t="s">
        <v>805</v>
      </c>
      <c r="CU19" s="215" t="s">
        <v>805</v>
      </c>
      <c r="CV19" s="215" t="s">
        <v>805</v>
      </c>
      <c r="CW19" s="215" t="s">
        <v>805</v>
      </c>
      <c r="CX19" s="215" t="s">
        <v>805</v>
      </c>
      <c r="CY19" s="215" t="s">
        <v>805</v>
      </c>
      <c r="CZ19" s="215" t="s">
        <v>805</v>
      </c>
      <c r="DA19" s="215" t="s">
        <v>805</v>
      </c>
      <c r="DB19" s="215" t="s">
        <v>805</v>
      </c>
      <c r="DC19" s="215" t="s">
        <v>805</v>
      </c>
      <c r="DD19" s="215" t="s">
        <v>805</v>
      </c>
      <c r="DE19" s="215" t="s">
        <v>805</v>
      </c>
      <c r="DF19" s="215" t="s">
        <v>805</v>
      </c>
      <c r="DG19" s="212">
        <f>VLOOKUP(E19,'KPI Count-SHARE'!A:F,3,0)</f>
        <v>24</v>
      </c>
      <c r="DH19" s="213">
        <v>3.5479440836687817E-2</v>
      </c>
      <c r="DI19" s="216">
        <v>6.7770332912568815E-2</v>
      </c>
      <c r="DJ19" s="216">
        <v>5.1635700240376232E-2</v>
      </c>
      <c r="DK19" s="216">
        <v>3.3072063123451144E-2</v>
      </c>
      <c r="DL19" s="216">
        <v>1.5202779973386841E-2</v>
      </c>
      <c r="DM19" s="216">
        <v>9.4697255010002378E-3</v>
      </c>
      <c r="DN19" s="212">
        <f>VLOOKUP(E19,'KPI Count-SHARE'!A:F,4,0)</f>
        <v>0</v>
      </c>
      <c r="DO19" s="213"/>
      <c r="DP19" s="216"/>
      <c r="DQ19" s="216"/>
      <c r="DR19" s="216"/>
      <c r="DS19" s="216"/>
      <c r="DT19" s="216"/>
      <c r="DU19" s="212">
        <f>VLOOKUP(E19,'KPI Count-SHARE'!A:F,5,0)</f>
        <v>0</v>
      </c>
      <c r="DV19" s="213"/>
      <c r="DW19" s="216"/>
      <c r="DX19" s="216"/>
      <c r="DY19" s="216"/>
      <c r="DZ19" s="216"/>
      <c r="EA19" s="216"/>
      <c r="EB19" s="212">
        <f>VLOOKUP(E19,'KPI Count-SHARE'!A:F,6,0)</f>
        <v>0</v>
      </c>
      <c r="EC19" s="213"/>
      <c r="ED19" s="216"/>
      <c r="EE19" s="216"/>
      <c r="EF19" s="216"/>
      <c r="EG19" s="216"/>
      <c r="EH19" s="216"/>
      <c r="EI19" s="214" t="s">
        <v>533</v>
      </c>
      <c r="EJ19" s="39">
        <f t="shared" si="101"/>
        <v>2.3660081505868454E-2</v>
      </c>
      <c r="EK19" s="39">
        <f t="shared" si="102"/>
        <v>1.9588367300155986E-2</v>
      </c>
      <c r="EL19" s="39">
        <f t="shared" si="103"/>
        <v>3.3826408822680037E-2</v>
      </c>
      <c r="EM19" s="39">
        <f t="shared" si="104"/>
        <v>2.317242287877419E-2</v>
      </c>
      <c r="EN19" s="39" t="str">
        <f t="shared" si="105"/>
        <v/>
      </c>
      <c r="EO19" s="39" t="str">
        <f t="shared" si="106"/>
        <v/>
      </c>
      <c r="EP19" s="39" t="str">
        <f t="shared" si="107"/>
        <v/>
      </c>
      <c r="EQ19" s="39" t="str">
        <f t="shared" si="108"/>
        <v/>
      </c>
      <c r="ER19" s="39" t="str">
        <f t="shared" si="109"/>
        <v/>
      </c>
      <c r="ES19" s="39" t="str">
        <f t="shared" si="110"/>
        <v/>
      </c>
      <c r="ET19" s="39" t="str">
        <f t="shared" si="111"/>
        <v/>
      </c>
      <c r="EU19" s="39" t="str">
        <f t="shared" si="165"/>
        <v/>
      </c>
      <c r="EV19" s="39" t="str">
        <f t="shared" si="166"/>
        <v/>
      </c>
      <c r="EW19" s="39" t="str">
        <f t="shared" si="167"/>
        <v/>
      </c>
      <c r="EX19" s="39" t="str">
        <f t="shared" si="168"/>
        <v/>
      </c>
      <c r="EY19" s="39" t="str">
        <f t="shared" si="169"/>
        <v/>
      </c>
      <c r="EZ19" s="39" t="str">
        <f t="shared" si="170"/>
        <v/>
      </c>
      <c r="FA19" s="39" t="str">
        <f t="shared" si="171"/>
        <v/>
      </c>
      <c r="FB19" s="39" t="str">
        <f t="shared" si="172"/>
        <v/>
      </c>
      <c r="FC19" s="39" t="str">
        <f t="shared" si="173"/>
        <v/>
      </c>
      <c r="FD19" s="39" t="str">
        <f t="shared" si="174"/>
        <v/>
      </c>
      <c r="FE19" s="39" t="str">
        <f t="shared" si="175"/>
        <v/>
      </c>
      <c r="FF19" s="39" t="str">
        <f t="shared" si="176"/>
        <v/>
      </c>
      <c r="FG19" s="39" t="str">
        <f t="shared" si="177"/>
        <v/>
      </c>
      <c r="FH19" s="39" t="str">
        <f t="shared" si="178"/>
        <v/>
      </c>
      <c r="FI19" s="39" t="str">
        <f t="shared" si="179"/>
        <v/>
      </c>
      <c r="FJ19" s="39" t="str">
        <f t="shared" si="180"/>
        <v/>
      </c>
      <c r="FK19" s="39" t="str">
        <f t="shared" si="181"/>
        <v/>
      </c>
      <c r="FL19" s="39" t="str">
        <f t="shared" si="182"/>
        <v/>
      </c>
      <c r="FM19" s="39" t="str">
        <f t="shared" si="183"/>
        <v/>
      </c>
      <c r="FN19" s="39" t="str">
        <f t="shared" si="184"/>
        <v/>
      </c>
      <c r="FO19" s="39" t="str">
        <f t="shared" si="185"/>
        <v/>
      </c>
      <c r="FP19" s="39" t="str">
        <f t="shared" si="186"/>
        <v/>
      </c>
      <c r="FQ19" s="39" t="str">
        <f t="shared" si="187"/>
        <v/>
      </c>
      <c r="FR19" s="39" t="str">
        <f t="shared" si="188"/>
        <v/>
      </c>
      <c r="FS19" s="39" t="str">
        <f t="shared" si="189"/>
        <v/>
      </c>
      <c r="FT19" s="39" t="str">
        <f t="shared" si="190"/>
        <v/>
      </c>
      <c r="FU19" s="39" t="str">
        <f t="shared" si="191"/>
        <v/>
      </c>
      <c r="FV19" s="39" t="str">
        <f t="shared" si="192"/>
        <v/>
      </c>
      <c r="FW19" s="39" t="str">
        <f t="shared" si="193"/>
        <v/>
      </c>
      <c r="FX19" s="39" t="str">
        <f t="shared" si="194"/>
        <v/>
      </c>
      <c r="FY19" s="39" t="str">
        <f t="shared" si="195"/>
        <v/>
      </c>
      <c r="FZ19" s="39" t="str">
        <f t="shared" si="196"/>
        <v/>
      </c>
      <c r="GA19" s="39" t="str">
        <f t="shared" si="197"/>
        <v/>
      </c>
      <c r="GB19" s="39" t="str">
        <f t="shared" si="155"/>
        <v/>
      </c>
      <c r="GC19" s="39" t="str">
        <f t="shared" si="156"/>
        <v/>
      </c>
      <c r="GD19" s="39" t="str">
        <f t="shared" si="157"/>
        <v/>
      </c>
      <c r="GE19" s="39" t="str">
        <f t="shared" si="158"/>
        <v/>
      </c>
      <c r="GF19" s="39" t="str">
        <f t="shared" ref="GF19:GO24" si="198">IFERROR(IF(ISBLANK(BF19), "-", IF($I19="c", BF19*$I$5, BF19)),"-")</f>
        <v/>
      </c>
      <c r="GG19" s="39" t="str">
        <f t="shared" si="198"/>
        <v/>
      </c>
      <c r="GH19" s="39" t="str">
        <f t="shared" si="198"/>
        <v/>
      </c>
      <c r="GI19" s="39" t="str">
        <f t="shared" si="198"/>
        <v/>
      </c>
      <c r="GJ19" s="39" t="str">
        <f t="shared" si="198"/>
        <v/>
      </c>
      <c r="GK19" s="39" t="str">
        <f t="shared" si="198"/>
        <v/>
      </c>
      <c r="GL19" s="39" t="str">
        <f t="shared" si="198"/>
        <v/>
      </c>
      <c r="GM19" s="39" t="str">
        <f t="shared" si="198"/>
        <v/>
      </c>
      <c r="GN19" s="39" t="str">
        <f t="shared" si="198"/>
        <v/>
      </c>
      <c r="GO19" s="39" t="str">
        <f t="shared" si="198"/>
        <v/>
      </c>
      <c r="GP19" s="39" t="str">
        <f t="shared" ref="GP19:GY24" si="199">IFERROR(IF(ISBLANK(BP19), "-", IF($I19="c", BP19*$I$5, BP19)),"-")</f>
        <v/>
      </c>
      <c r="GQ19" s="39" t="str">
        <f t="shared" si="199"/>
        <v/>
      </c>
      <c r="GR19" s="39" t="str">
        <f t="shared" si="199"/>
        <v/>
      </c>
      <c r="GS19" s="39" t="str">
        <f t="shared" si="199"/>
        <v/>
      </c>
      <c r="GT19" s="39" t="str">
        <f t="shared" si="199"/>
        <v/>
      </c>
      <c r="GU19" s="39" t="str">
        <f t="shared" si="199"/>
        <v/>
      </c>
      <c r="GV19" s="39" t="str">
        <f t="shared" si="199"/>
        <v/>
      </c>
      <c r="GW19" s="39" t="str">
        <f t="shared" si="199"/>
        <v/>
      </c>
      <c r="GX19" s="39" t="str">
        <f t="shared" si="199"/>
        <v/>
      </c>
      <c r="GY19" s="39" t="str">
        <f t="shared" si="199"/>
        <v/>
      </c>
      <c r="GZ19" s="39" t="str">
        <f t="shared" ref="GZ19:HI24" si="200">IFERROR(IF(ISBLANK(BZ19), "-", IF($I19="c", BZ19*$I$5, BZ19)),"-")</f>
        <v/>
      </c>
      <c r="HA19" s="39" t="str">
        <f t="shared" si="200"/>
        <v/>
      </c>
      <c r="HB19" s="39" t="str">
        <f t="shared" si="200"/>
        <v/>
      </c>
      <c r="HC19" s="39" t="str">
        <f t="shared" si="200"/>
        <v/>
      </c>
      <c r="HD19" s="39" t="str">
        <f t="shared" si="200"/>
        <v/>
      </c>
      <c r="HE19" s="39" t="str">
        <f t="shared" si="200"/>
        <v/>
      </c>
      <c r="HF19" s="39" t="str">
        <f t="shared" si="200"/>
        <v/>
      </c>
      <c r="HG19" s="39" t="str">
        <f t="shared" si="200"/>
        <v/>
      </c>
      <c r="HH19" s="39" t="str">
        <f t="shared" si="200"/>
        <v/>
      </c>
      <c r="HI19" s="39" t="str">
        <f t="shared" si="200"/>
        <v/>
      </c>
      <c r="HJ19" s="39" t="str">
        <f t="shared" ref="HJ19:HS24" si="201">IFERROR(IF(ISBLANK(CJ19), "-", IF($I19="c", CJ19*$I$5, CJ19)),"-")</f>
        <v/>
      </c>
      <c r="HK19" s="39" t="str">
        <f t="shared" si="201"/>
        <v/>
      </c>
      <c r="HL19" s="39" t="str">
        <f t="shared" si="201"/>
        <v/>
      </c>
      <c r="HM19" s="39" t="str">
        <f t="shared" si="201"/>
        <v/>
      </c>
      <c r="HN19" s="39" t="str">
        <f t="shared" si="201"/>
        <v/>
      </c>
      <c r="HO19" s="39" t="str">
        <f t="shared" si="201"/>
        <v/>
      </c>
      <c r="HP19" s="39" t="str">
        <f t="shared" si="201"/>
        <v/>
      </c>
      <c r="HQ19" s="39" t="str">
        <f t="shared" si="201"/>
        <v/>
      </c>
      <c r="HR19" s="39" t="str">
        <f t="shared" si="201"/>
        <v/>
      </c>
      <c r="HS19" s="39" t="str">
        <f t="shared" si="201"/>
        <v/>
      </c>
      <c r="HT19" s="39" t="str">
        <f t="shared" ref="HT19:IC24" si="202">IFERROR(IF(ISBLANK(CT19), "-", IF($I19="c", CT19*$I$5, CT19)),"-")</f>
        <v/>
      </c>
      <c r="HU19" s="39" t="str">
        <f t="shared" si="202"/>
        <v/>
      </c>
      <c r="HV19" s="39" t="str">
        <f t="shared" si="202"/>
        <v/>
      </c>
      <c r="HW19" s="39" t="str">
        <f t="shared" si="202"/>
        <v/>
      </c>
      <c r="HX19" s="39" t="str">
        <f t="shared" si="202"/>
        <v/>
      </c>
      <c r="HY19" s="39" t="str">
        <f t="shared" si="202"/>
        <v/>
      </c>
      <c r="HZ19" s="39" t="str">
        <f t="shared" si="202"/>
        <v/>
      </c>
      <c r="IA19" s="39" t="str">
        <f t="shared" si="202"/>
        <v/>
      </c>
      <c r="IB19" s="39" t="str">
        <f t="shared" si="202"/>
        <v/>
      </c>
      <c r="IC19" s="39" t="str">
        <f t="shared" si="202"/>
        <v/>
      </c>
      <c r="ID19" s="39" t="str">
        <f t="shared" ref="ID19:ID24" si="203">IFERROR(IF(ISBLANK(DD19), "-", IF($I19="c", DD19*$I$5, DD19)),"-")</f>
        <v/>
      </c>
      <c r="IE19" s="39" t="str">
        <f t="shared" si="68"/>
        <v/>
      </c>
      <c r="IF19" s="39" t="str">
        <f t="shared" si="69"/>
        <v/>
      </c>
      <c r="IG19" s="308">
        <f t="shared" si="70"/>
        <v>3.5479440836687817E-2</v>
      </c>
      <c r="IH19" s="84">
        <f t="shared" ref="IH19:IH33" si="204">IFERROR(IF(ISBLANK(DI19), "-", IF($I19="c", DI19*$I$5, DI19)),"-")</f>
        <v>6.7770332912568815E-2</v>
      </c>
      <c r="II19" s="84">
        <f t="shared" ref="II19:II33" si="205">IFERROR(IF(ISBLANK(DJ19), "-", IF($I19="c", DJ19*$I$5, DJ19)),"-")</f>
        <v>5.1635700240376232E-2</v>
      </c>
      <c r="IJ19" s="84">
        <f t="shared" ref="IJ19:IJ33" si="206">IFERROR(IF(ISBLANK(DK19), "-", IF($I19="c", DK19*$I$5, DK19)),"-")</f>
        <v>3.3072063123451144E-2</v>
      </c>
      <c r="IK19" s="84">
        <f t="shared" ref="IK19:IK33" si="207">IFERROR(IF(ISBLANK(DL19), "-", IF($I19="c", DL19*$I$5, DL19)),"-")</f>
        <v>1.5202779973386841E-2</v>
      </c>
      <c r="IL19" s="84">
        <f t="shared" ref="IL19:IL33" si="208">IFERROR(IF(ISBLANK(DM19), "-", IF($I19="c", DM19*$I$5, DM19)),"-")</f>
        <v>9.4697255010002378E-3</v>
      </c>
      <c r="IM19" s="308" t="str">
        <f t="shared" si="76"/>
        <v/>
      </c>
      <c r="IN19" s="84" t="str">
        <f t="shared" ref="IN19:IN33" si="209">IFERROR(IF(ISBLANK(DP19), "", IF($I19="c",DP19*$I$5, DP19)),"-")</f>
        <v/>
      </c>
      <c r="IO19" s="84" t="str">
        <f t="shared" ref="IO19:IO33" si="210">IFERROR(IF(ISBLANK(DQ19), "", IF($I19="c",DQ19*$I$5, DQ19)),"-")</f>
        <v/>
      </c>
      <c r="IP19" s="84" t="str">
        <f t="shared" ref="IP19:IP33" si="211">IFERROR(IF(ISBLANK(DR19), "", IF($I19="c",DR19*$I$5, DR19)),"-")</f>
        <v/>
      </c>
      <c r="IQ19" s="84" t="str">
        <f t="shared" ref="IQ19:IQ33" si="212">IFERROR(IF(ISBLANK(DS19), "", IF($I19="c",DS19*$I$5, DS19)),"-")</f>
        <v/>
      </c>
      <c r="IR19" s="84" t="str">
        <f t="shared" ref="IR19:IR33" si="213">IFERROR(IF(ISBLANK(DT19), "", IF($I19="c",DT19*$I$5, DT19)),"-")</f>
        <v/>
      </c>
      <c r="IS19" s="308" t="str">
        <f t="shared" si="82"/>
        <v/>
      </c>
      <c r="IT19" s="84" t="str">
        <f t="shared" ref="IT19:IT33" si="214">IFERROR(IF(ISBLANK(DW19), "", IF($I19="c", DW19*$I$5, DW19)),"-")</f>
        <v/>
      </c>
      <c r="IU19" s="84" t="str">
        <f t="shared" ref="IU19:IU33" si="215">IFERROR(IF(ISBLANK(DX19), "", IF($I19="c", DX19*$I$5, DX19)),"-")</f>
        <v/>
      </c>
      <c r="IV19" s="84" t="str">
        <f t="shared" ref="IV19:IV33" si="216">IFERROR(IF(ISBLANK(DY19), "", IF($I19="c", DY19*$I$5, DY19)),"-")</f>
        <v/>
      </c>
      <c r="IW19" s="84" t="str">
        <f t="shared" ref="IW19:IW33" si="217">IFERROR(IF(ISBLANK(DZ19), "", IF($I19="c", DZ19*$I$5, DZ19)),"-")</f>
        <v/>
      </c>
      <c r="IX19" s="84" t="str">
        <f t="shared" ref="IX19:IX33" si="218">IFERROR(IF(ISBLANK(EA19), "", IF($I19="c", EA19*$I$5, EA19)),"-")</f>
        <v/>
      </c>
      <c r="IY19" s="308" t="str">
        <f t="shared" si="88"/>
        <v/>
      </c>
      <c r="IZ19" s="84" t="str">
        <f t="shared" ref="IZ19:IZ33" si="219">IFERROR(IF(ISBLANK(ED19), "", IF($I19="c", ED19*$I$5, ED19)),"-")</f>
        <v/>
      </c>
      <c r="JA19" s="84" t="str">
        <f t="shared" ref="JA19:JA33" si="220">IFERROR(IF(ISBLANK(EE19), "", IF($I19="c", EE19*$I$5, EE19)),"-")</f>
        <v/>
      </c>
      <c r="JB19" s="84" t="str">
        <f t="shared" ref="JB19:JB33" si="221">IFERROR(IF(ISBLANK(EF19), "", IF($I19="c", EF19*$I$5, EF19)),"-")</f>
        <v/>
      </c>
      <c r="JC19" s="84" t="str">
        <f t="shared" ref="JC19:JC33" si="222">IFERROR(IF(ISBLANK(EG19), "", IF($I19="c", EG19*$I$5, EG19)),"-")</f>
        <v/>
      </c>
      <c r="JD19" s="309" t="str">
        <f t="shared" ref="JD19:JD33" si="223">IFERROR(IF(ISBLANK(EH19), "", IF($I19="c", EH19*$I$5, EH19)),"-")</f>
        <v/>
      </c>
      <c r="JF19" s="66">
        <f>ROW(F19)</f>
        <v>19</v>
      </c>
      <c r="JG19" s="79">
        <f t="shared" ca="1" si="95"/>
        <v>5.1635700240376232E-2</v>
      </c>
      <c r="JH19" s="79">
        <f t="shared" ca="1" si="96"/>
        <v>3.3072063123451144E-2</v>
      </c>
      <c r="JI19" s="79">
        <f t="shared" ca="1" si="97"/>
        <v>1.5202779973386841E-2</v>
      </c>
      <c r="JJ19" s="66">
        <f t="shared" ca="1" si="98"/>
        <v>24</v>
      </c>
      <c r="JK19" s="33"/>
      <c r="JL19" s="78">
        <f t="shared" ca="1" si="121"/>
        <v>5.1635700240376232E-2</v>
      </c>
      <c r="JM19" s="78">
        <f t="shared" ca="1" si="99"/>
        <v>4.2353881681913688E-2</v>
      </c>
      <c r="JN19" s="78">
        <f t="shared" ca="1" si="100"/>
        <v>2.4137421548418993E-2</v>
      </c>
      <c r="JO19" s="78">
        <f t="shared" ca="1" si="122"/>
        <v>1.5202779973386841E-2</v>
      </c>
      <c r="JP19" s="78">
        <f t="shared" ca="1" si="123"/>
        <v>0.13332978344409577</v>
      </c>
    </row>
    <row r="20" spans="1:276" s="1" customFormat="1" x14ac:dyDescent="0.35">
      <c r="A20" s="125">
        <v>0</v>
      </c>
      <c r="B20" s="125">
        <v>1</v>
      </c>
      <c r="C20" s="125">
        <v>1</v>
      </c>
      <c r="D20" s="163"/>
      <c r="E20" s="142" t="s">
        <v>30</v>
      </c>
      <c r="F20" s="208" t="s">
        <v>31</v>
      </c>
      <c r="G20" s="209" t="s">
        <v>540</v>
      </c>
      <c r="H20" s="210" t="s">
        <v>533</v>
      </c>
      <c r="I20" s="8" t="s">
        <v>534</v>
      </c>
      <c r="J20" s="211">
        <v>2.0284359908956009E-2</v>
      </c>
      <c r="K20" s="215">
        <v>1.7553451198970241E-2</v>
      </c>
      <c r="L20" s="215">
        <v>2.7884830780635597E-2</v>
      </c>
      <c r="M20" s="215">
        <v>1.7205973283662235E-2</v>
      </c>
      <c r="N20" s="215" t="s">
        <v>805</v>
      </c>
      <c r="O20" s="215" t="s">
        <v>805</v>
      </c>
      <c r="P20" s="215" t="s">
        <v>805</v>
      </c>
      <c r="Q20" s="215" t="s">
        <v>805</v>
      </c>
      <c r="R20" s="215" t="s">
        <v>805</v>
      </c>
      <c r="S20" s="215" t="s">
        <v>805</v>
      </c>
      <c r="T20" s="215" t="s">
        <v>805</v>
      </c>
      <c r="U20" s="215" t="s">
        <v>805</v>
      </c>
      <c r="V20" s="215" t="s">
        <v>805</v>
      </c>
      <c r="W20" s="215" t="s">
        <v>805</v>
      </c>
      <c r="X20" s="215" t="s">
        <v>805</v>
      </c>
      <c r="Y20" s="215" t="s">
        <v>805</v>
      </c>
      <c r="Z20" s="215" t="s">
        <v>805</v>
      </c>
      <c r="AA20" s="215" t="s">
        <v>805</v>
      </c>
      <c r="AB20" s="215" t="s">
        <v>805</v>
      </c>
      <c r="AC20" s="215" t="s">
        <v>805</v>
      </c>
      <c r="AD20" s="215" t="s">
        <v>805</v>
      </c>
      <c r="AE20" s="215" t="s">
        <v>805</v>
      </c>
      <c r="AF20" s="215" t="s">
        <v>805</v>
      </c>
      <c r="AG20" s="215" t="s">
        <v>805</v>
      </c>
      <c r="AH20" s="215" t="s">
        <v>805</v>
      </c>
      <c r="AI20" s="215" t="s">
        <v>805</v>
      </c>
      <c r="AJ20" s="215" t="s">
        <v>805</v>
      </c>
      <c r="AK20" s="215" t="s">
        <v>805</v>
      </c>
      <c r="AL20" s="215" t="s">
        <v>805</v>
      </c>
      <c r="AM20" s="215" t="s">
        <v>805</v>
      </c>
      <c r="AN20" s="215" t="s">
        <v>805</v>
      </c>
      <c r="AO20" s="215" t="s">
        <v>805</v>
      </c>
      <c r="AP20" s="215" t="s">
        <v>805</v>
      </c>
      <c r="AQ20" s="215" t="s">
        <v>805</v>
      </c>
      <c r="AR20" s="215" t="s">
        <v>805</v>
      </c>
      <c r="AS20" s="215" t="s">
        <v>805</v>
      </c>
      <c r="AT20" s="215" t="s">
        <v>805</v>
      </c>
      <c r="AU20" s="215" t="s">
        <v>805</v>
      </c>
      <c r="AV20" s="215" t="s">
        <v>805</v>
      </c>
      <c r="AW20" s="215" t="s">
        <v>805</v>
      </c>
      <c r="AX20" s="215" t="s">
        <v>805</v>
      </c>
      <c r="AY20" s="215" t="s">
        <v>805</v>
      </c>
      <c r="AZ20" s="215" t="s">
        <v>805</v>
      </c>
      <c r="BA20" s="215" t="s">
        <v>805</v>
      </c>
      <c r="BB20" s="215" t="s">
        <v>805</v>
      </c>
      <c r="BC20" s="215" t="s">
        <v>805</v>
      </c>
      <c r="BD20" s="215" t="s">
        <v>805</v>
      </c>
      <c r="BE20" s="215" t="s">
        <v>805</v>
      </c>
      <c r="BF20" s="215" t="s">
        <v>805</v>
      </c>
      <c r="BG20" s="215" t="s">
        <v>805</v>
      </c>
      <c r="BH20" s="215" t="s">
        <v>805</v>
      </c>
      <c r="BI20" s="215" t="s">
        <v>805</v>
      </c>
      <c r="BJ20" s="215" t="s">
        <v>805</v>
      </c>
      <c r="BK20" s="215" t="s">
        <v>805</v>
      </c>
      <c r="BL20" s="215" t="s">
        <v>805</v>
      </c>
      <c r="BM20" s="215" t="s">
        <v>805</v>
      </c>
      <c r="BN20" s="215" t="s">
        <v>805</v>
      </c>
      <c r="BO20" s="215" t="s">
        <v>805</v>
      </c>
      <c r="BP20" s="215" t="s">
        <v>805</v>
      </c>
      <c r="BQ20" s="215" t="s">
        <v>805</v>
      </c>
      <c r="BR20" s="215" t="s">
        <v>805</v>
      </c>
      <c r="BS20" s="215" t="s">
        <v>805</v>
      </c>
      <c r="BT20" s="215" t="s">
        <v>805</v>
      </c>
      <c r="BU20" s="215" t="s">
        <v>805</v>
      </c>
      <c r="BV20" s="215" t="s">
        <v>805</v>
      </c>
      <c r="BW20" s="215" t="s">
        <v>805</v>
      </c>
      <c r="BX20" s="215" t="s">
        <v>805</v>
      </c>
      <c r="BY20" s="215" t="s">
        <v>805</v>
      </c>
      <c r="BZ20" s="215" t="s">
        <v>805</v>
      </c>
      <c r="CA20" s="215" t="s">
        <v>805</v>
      </c>
      <c r="CB20" s="215" t="s">
        <v>805</v>
      </c>
      <c r="CC20" s="215" t="s">
        <v>805</v>
      </c>
      <c r="CD20" s="215" t="s">
        <v>805</v>
      </c>
      <c r="CE20" s="215" t="s">
        <v>805</v>
      </c>
      <c r="CF20" s="215" t="s">
        <v>805</v>
      </c>
      <c r="CG20" s="215" t="s">
        <v>805</v>
      </c>
      <c r="CH20" s="215" t="s">
        <v>805</v>
      </c>
      <c r="CI20" s="215" t="s">
        <v>805</v>
      </c>
      <c r="CJ20" s="215" t="s">
        <v>805</v>
      </c>
      <c r="CK20" s="215" t="s">
        <v>805</v>
      </c>
      <c r="CL20" s="215" t="s">
        <v>805</v>
      </c>
      <c r="CM20" s="215" t="s">
        <v>805</v>
      </c>
      <c r="CN20" s="215" t="s">
        <v>805</v>
      </c>
      <c r="CO20" s="215" t="s">
        <v>805</v>
      </c>
      <c r="CP20" s="215" t="s">
        <v>805</v>
      </c>
      <c r="CQ20" s="215" t="s">
        <v>805</v>
      </c>
      <c r="CR20" s="215" t="s">
        <v>805</v>
      </c>
      <c r="CS20" s="215" t="s">
        <v>805</v>
      </c>
      <c r="CT20" s="215" t="s">
        <v>805</v>
      </c>
      <c r="CU20" s="215" t="s">
        <v>805</v>
      </c>
      <c r="CV20" s="215" t="s">
        <v>805</v>
      </c>
      <c r="CW20" s="215" t="s">
        <v>805</v>
      </c>
      <c r="CX20" s="215" t="s">
        <v>805</v>
      </c>
      <c r="CY20" s="215" t="s">
        <v>805</v>
      </c>
      <c r="CZ20" s="215" t="s">
        <v>805</v>
      </c>
      <c r="DA20" s="215" t="s">
        <v>805</v>
      </c>
      <c r="DB20" s="215" t="s">
        <v>805</v>
      </c>
      <c r="DC20" s="215" t="s">
        <v>805</v>
      </c>
      <c r="DD20" s="215" t="s">
        <v>805</v>
      </c>
      <c r="DE20" s="215" t="s">
        <v>805</v>
      </c>
      <c r="DF20" s="215" t="s">
        <v>805</v>
      </c>
      <c r="DG20" s="212">
        <f>VLOOKUP(E20,'KPI Count-SHARE'!A:F,3,0)</f>
        <v>15</v>
      </c>
      <c r="DH20" s="213">
        <v>4.2572542011563866E-2</v>
      </c>
      <c r="DI20" s="216">
        <v>7.7287661674602631E-2</v>
      </c>
      <c r="DJ20" s="216">
        <v>5.7401609878459603E-2</v>
      </c>
      <c r="DK20" s="216">
        <v>3.776798187711318E-2</v>
      </c>
      <c r="DL20" s="216">
        <v>2.958930299519015E-2</v>
      </c>
      <c r="DM20" s="216">
        <v>1.6049338419009407E-2</v>
      </c>
      <c r="DN20" s="212">
        <f>VLOOKUP(E20,'KPI Count-SHARE'!A:F,4,0)</f>
        <v>0</v>
      </c>
      <c r="DO20" s="213"/>
      <c r="DP20" s="216"/>
      <c r="DQ20" s="216"/>
      <c r="DR20" s="216"/>
      <c r="DS20" s="216"/>
      <c r="DT20" s="216"/>
      <c r="DU20" s="212">
        <f>VLOOKUP(E20,'KPI Count-SHARE'!A:F,5,0)</f>
        <v>0</v>
      </c>
      <c r="DV20" s="213"/>
      <c r="DW20" s="216"/>
      <c r="DX20" s="216"/>
      <c r="DY20" s="216"/>
      <c r="DZ20" s="216"/>
      <c r="EA20" s="216"/>
      <c r="EB20" s="212">
        <f>VLOOKUP(E20,'KPI Count-SHARE'!A:F,6,0)</f>
        <v>0</v>
      </c>
      <c r="EC20" s="213"/>
      <c r="ED20" s="216"/>
      <c r="EE20" s="216"/>
      <c r="EF20" s="216"/>
      <c r="EG20" s="216"/>
      <c r="EH20" s="216"/>
      <c r="EI20" s="214" t="s">
        <v>533</v>
      </c>
      <c r="EJ20" s="39">
        <f t="shared" si="101"/>
        <v>2.0284359908956009E-2</v>
      </c>
      <c r="EK20" s="39">
        <f t="shared" si="102"/>
        <v>1.7553451198970241E-2</v>
      </c>
      <c r="EL20" s="39">
        <f t="shared" si="103"/>
        <v>2.7884830780635597E-2</v>
      </c>
      <c r="EM20" s="39">
        <f t="shared" si="104"/>
        <v>1.7205973283662235E-2</v>
      </c>
      <c r="EN20" s="39" t="str">
        <f t="shared" si="105"/>
        <v/>
      </c>
      <c r="EO20" s="39" t="str">
        <f t="shared" si="106"/>
        <v/>
      </c>
      <c r="EP20" s="39" t="str">
        <f t="shared" si="107"/>
        <v/>
      </c>
      <c r="EQ20" s="39" t="str">
        <f t="shared" si="108"/>
        <v/>
      </c>
      <c r="ER20" s="39" t="str">
        <f t="shared" si="109"/>
        <v/>
      </c>
      <c r="ES20" s="39" t="str">
        <f t="shared" si="110"/>
        <v/>
      </c>
      <c r="ET20" s="39" t="str">
        <f t="shared" si="111"/>
        <v/>
      </c>
      <c r="EU20" s="39" t="str">
        <f t="shared" si="165"/>
        <v/>
      </c>
      <c r="EV20" s="39" t="str">
        <f t="shared" si="166"/>
        <v/>
      </c>
      <c r="EW20" s="39" t="str">
        <f t="shared" si="167"/>
        <v/>
      </c>
      <c r="EX20" s="39" t="str">
        <f t="shared" si="168"/>
        <v/>
      </c>
      <c r="EY20" s="39" t="str">
        <f t="shared" si="169"/>
        <v/>
      </c>
      <c r="EZ20" s="39" t="str">
        <f t="shared" si="170"/>
        <v/>
      </c>
      <c r="FA20" s="39" t="str">
        <f t="shared" si="171"/>
        <v/>
      </c>
      <c r="FB20" s="39" t="str">
        <f t="shared" si="172"/>
        <v/>
      </c>
      <c r="FC20" s="39" t="str">
        <f t="shared" si="173"/>
        <v/>
      </c>
      <c r="FD20" s="39" t="str">
        <f t="shared" si="174"/>
        <v/>
      </c>
      <c r="FE20" s="39" t="str">
        <f t="shared" si="175"/>
        <v/>
      </c>
      <c r="FF20" s="39" t="str">
        <f t="shared" si="176"/>
        <v/>
      </c>
      <c r="FG20" s="39" t="str">
        <f t="shared" si="177"/>
        <v/>
      </c>
      <c r="FH20" s="39" t="str">
        <f t="shared" si="178"/>
        <v/>
      </c>
      <c r="FI20" s="39" t="str">
        <f t="shared" si="179"/>
        <v/>
      </c>
      <c r="FJ20" s="39" t="str">
        <f t="shared" si="180"/>
        <v/>
      </c>
      <c r="FK20" s="39" t="str">
        <f t="shared" si="181"/>
        <v/>
      </c>
      <c r="FL20" s="39" t="str">
        <f t="shared" si="182"/>
        <v/>
      </c>
      <c r="FM20" s="39" t="str">
        <f t="shared" si="183"/>
        <v/>
      </c>
      <c r="FN20" s="39" t="str">
        <f t="shared" si="184"/>
        <v/>
      </c>
      <c r="FO20" s="39" t="str">
        <f t="shared" si="185"/>
        <v/>
      </c>
      <c r="FP20" s="39" t="str">
        <f t="shared" si="186"/>
        <v/>
      </c>
      <c r="FQ20" s="39" t="str">
        <f t="shared" si="187"/>
        <v/>
      </c>
      <c r="FR20" s="39" t="str">
        <f t="shared" si="188"/>
        <v/>
      </c>
      <c r="FS20" s="39" t="str">
        <f t="shared" si="189"/>
        <v/>
      </c>
      <c r="FT20" s="39" t="str">
        <f t="shared" si="190"/>
        <v/>
      </c>
      <c r="FU20" s="39" t="str">
        <f t="shared" si="191"/>
        <v/>
      </c>
      <c r="FV20" s="39" t="str">
        <f t="shared" si="192"/>
        <v/>
      </c>
      <c r="FW20" s="39" t="str">
        <f t="shared" si="193"/>
        <v/>
      </c>
      <c r="FX20" s="39" t="str">
        <f t="shared" si="194"/>
        <v/>
      </c>
      <c r="FY20" s="39" t="str">
        <f t="shared" si="195"/>
        <v/>
      </c>
      <c r="FZ20" s="39" t="str">
        <f t="shared" si="196"/>
        <v/>
      </c>
      <c r="GA20" s="39" t="str">
        <f t="shared" si="197"/>
        <v/>
      </c>
      <c r="GB20" s="39" t="str">
        <f t="shared" si="155"/>
        <v/>
      </c>
      <c r="GC20" s="39" t="str">
        <f t="shared" si="156"/>
        <v/>
      </c>
      <c r="GD20" s="39" t="str">
        <f t="shared" si="157"/>
        <v/>
      </c>
      <c r="GE20" s="39" t="str">
        <f t="shared" si="158"/>
        <v/>
      </c>
      <c r="GF20" s="39" t="str">
        <f t="shared" si="198"/>
        <v/>
      </c>
      <c r="GG20" s="39" t="str">
        <f t="shared" si="198"/>
        <v/>
      </c>
      <c r="GH20" s="39" t="str">
        <f t="shared" si="198"/>
        <v/>
      </c>
      <c r="GI20" s="39" t="str">
        <f t="shared" si="198"/>
        <v/>
      </c>
      <c r="GJ20" s="39" t="str">
        <f t="shared" si="198"/>
        <v/>
      </c>
      <c r="GK20" s="39" t="str">
        <f t="shared" si="198"/>
        <v/>
      </c>
      <c r="GL20" s="39" t="str">
        <f t="shared" si="198"/>
        <v/>
      </c>
      <c r="GM20" s="39" t="str">
        <f t="shared" si="198"/>
        <v/>
      </c>
      <c r="GN20" s="39" t="str">
        <f t="shared" si="198"/>
        <v/>
      </c>
      <c r="GO20" s="39" t="str">
        <f t="shared" si="198"/>
        <v/>
      </c>
      <c r="GP20" s="39" t="str">
        <f t="shared" si="199"/>
        <v/>
      </c>
      <c r="GQ20" s="39" t="str">
        <f t="shared" si="199"/>
        <v/>
      </c>
      <c r="GR20" s="39" t="str">
        <f t="shared" si="199"/>
        <v/>
      </c>
      <c r="GS20" s="39" t="str">
        <f t="shared" si="199"/>
        <v/>
      </c>
      <c r="GT20" s="39" t="str">
        <f t="shared" si="199"/>
        <v/>
      </c>
      <c r="GU20" s="39" t="str">
        <f t="shared" si="199"/>
        <v/>
      </c>
      <c r="GV20" s="39" t="str">
        <f t="shared" si="199"/>
        <v/>
      </c>
      <c r="GW20" s="39" t="str">
        <f t="shared" si="199"/>
        <v/>
      </c>
      <c r="GX20" s="39" t="str">
        <f t="shared" si="199"/>
        <v/>
      </c>
      <c r="GY20" s="39" t="str">
        <f t="shared" si="199"/>
        <v/>
      </c>
      <c r="GZ20" s="39" t="str">
        <f t="shared" si="200"/>
        <v/>
      </c>
      <c r="HA20" s="39" t="str">
        <f t="shared" si="200"/>
        <v/>
      </c>
      <c r="HB20" s="39" t="str">
        <f t="shared" si="200"/>
        <v/>
      </c>
      <c r="HC20" s="39" t="str">
        <f t="shared" si="200"/>
        <v/>
      </c>
      <c r="HD20" s="39" t="str">
        <f t="shared" si="200"/>
        <v/>
      </c>
      <c r="HE20" s="39" t="str">
        <f t="shared" si="200"/>
        <v/>
      </c>
      <c r="HF20" s="39" t="str">
        <f t="shared" si="200"/>
        <v/>
      </c>
      <c r="HG20" s="39" t="str">
        <f t="shared" si="200"/>
        <v/>
      </c>
      <c r="HH20" s="39" t="str">
        <f t="shared" si="200"/>
        <v/>
      </c>
      <c r="HI20" s="39" t="str">
        <f t="shared" si="200"/>
        <v/>
      </c>
      <c r="HJ20" s="39" t="str">
        <f t="shared" si="201"/>
        <v/>
      </c>
      <c r="HK20" s="39" t="str">
        <f t="shared" si="201"/>
        <v/>
      </c>
      <c r="HL20" s="39" t="str">
        <f t="shared" si="201"/>
        <v/>
      </c>
      <c r="HM20" s="39" t="str">
        <f t="shared" si="201"/>
        <v/>
      </c>
      <c r="HN20" s="39" t="str">
        <f t="shared" si="201"/>
        <v/>
      </c>
      <c r="HO20" s="39" t="str">
        <f t="shared" si="201"/>
        <v/>
      </c>
      <c r="HP20" s="39" t="str">
        <f t="shared" si="201"/>
        <v/>
      </c>
      <c r="HQ20" s="39" t="str">
        <f t="shared" si="201"/>
        <v/>
      </c>
      <c r="HR20" s="39" t="str">
        <f t="shared" si="201"/>
        <v/>
      </c>
      <c r="HS20" s="39" t="str">
        <f t="shared" si="201"/>
        <v/>
      </c>
      <c r="HT20" s="39" t="str">
        <f t="shared" si="202"/>
        <v/>
      </c>
      <c r="HU20" s="39" t="str">
        <f t="shared" si="202"/>
        <v/>
      </c>
      <c r="HV20" s="39" t="str">
        <f t="shared" si="202"/>
        <v/>
      </c>
      <c r="HW20" s="39" t="str">
        <f t="shared" si="202"/>
        <v/>
      </c>
      <c r="HX20" s="39" t="str">
        <f t="shared" si="202"/>
        <v/>
      </c>
      <c r="HY20" s="39" t="str">
        <f t="shared" si="202"/>
        <v/>
      </c>
      <c r="HZ20" s="39" t="str">
        <f t="shared" si="202"/>
        <v/>
      </c>
      <c r="IA20" s="39" t="str">
        <f t="shared" si="202"/>
        <v/>
      </c>
      <c r="IB20" s="39" t="str">
        <f t="shared" si="202"/>
        <v/>
      </c>
      <c r="IC20" s="39" t="str">
        <f t="shared" si="202"/>
        <v/>
      </c>
      <c r="ID20" s="39" t="str">
        <f t="shared" si="203"/>
        <v/>
      </c>
      <c r="IE20" s="39" t="str">
        <f t="shared" si="68"/>
        <v/>
      </c>
      <c r="IF20" s="39" t="str">
        <f t="shared" si="69"/>
        <v/>
      </c>
      <c r="IG20" s="308">
        <f t="shared" si="70"/>
        <v>4.2572542011563866E-2</v>
      </c>
      <c r="IH20" s="84">
        <f t="shared" si="204"/>
        <v>7.7287661674602631E-2</v>
      </c>
      <c r="II20" s="84">
        <f t="shared" si="205"/>
        <v>5.7401609878459603E-2</v>
      </c>
      <c r="IJ20" s="84">
        <f t="shared" si="206"/>
        <v>3.776798187711318E-2</v>
      </c>
      <c r="IK20" s="84">
        <f t="shared" si="207"/>
        <v>2.958930299519015E-2</v>
      </c>
      <c r="IL20" s="84">
        <f t="shared" si="208"/>
        <v>1.6049338419009407E-2</v>
      </c>
      <c r="IM20" s="308" t="str">
        <f t="shared" si="76"/>
        <v/>
      </c>
      <c r="IN20" s="84" t="str">
        <f t="shared" si="209"/>
        <v/>
      </c>
      <c r="IO20" s="84" t="str">
        <f t="shared" si="210"/>
        <v/>
      </c>
      <c r="IP20" s="84" t="str">
        <f t="shared" si="211"/>
        <v/>
      </c>
      <c r="IQ20" s="84" t="str">
        <f t="shared" si="212"/>
        <v/>
      </c>
      <c r="IR20" s="84" t="str">
        <f t="shared" si="213"/>
        <v/>
      </c>
      <c r="IS20" s="308" t="str">
        <f t="shared" si="82"/>
        <v/>
      </c>
      <c r="IT20" s="84" t="str">
        <f t="shared" si="214"/>
        <v/>
      </c>
      <c r="IU20" s="84" t="str">
        <f t="shared" si="215"/>
        <v/>
      </c>
      <c r="IV20" s="84" t="str">
        <f t="shared" si="216"/>
        <v/>
      </c>
      <c r="IW20" s="84" t="str">
        <f t="shared" si="217"/>
        <v/>
      </c>
      <c r="IX20" s="84" t="str">
        <f t="shared" si="218"/>
        <v/>
      </c>
      <c r="IY20" s="308" t="str">
        <f t="shared" si="88"/>
        <v/>
      </c>
      <c r="IZ20" s="84" t="str">
        <f t="shared" si="219"/>
        <v/>
      </c>
      <c r="JA20" s="84" t="str">
        <f t="shared" si="220"/>
        <v/>
      </c>
      <c r="JB20" s="84" t="str">
        <f t="shared" si="221"/>
        <v/>
      </c>
      <c r="JC20" s="84" t="str">
        <f t="shared" si="222"/>
        <v/>
      </c>
      <c r="JD20" s="309" t="str">
        <f t="shared" si="223"/>
        <v/>
      </c>
      <c r="JF20" s="66">
        <f t="shared" ref="JF20:JF83" si="224">ROW(F20)</f>
        <v>20</v>
      </c>
      <c r="JG20" s="79">
        <f t="shared" ca="1" si="95"/>
        <v>5.7401609878459603E-2</v>
      </c>
      <c r="JH20" s="79">
        <f t="shared" ca="1" si="96"/>
        <v>3.776798187711318E-2</v>
      </c>
      <c r="JI20" s="79">
        <f t="shared" ca="1" si="97"/>
        <v>2.958930299519015E-2</v>
      </c>
      <c r="JJ20" s="66">
        <f t="shared" ca="1" si="98"/>
        <v>15</v>
      </c>
      <c r="JK20" s="33"/>
      <c r="JL20" s="78">
        <f t="shared" ca="1" si="121"/>
        <v>5.7401609878459603E-2</v>
      </c>
      <c r="JM20" s="78">
        <f t="shared" ca="1" si="99"/>
        <v>4.7584795877786391E-2</v>
      </c>
      <c r="JN20" s="78">
        <f t="shared" ca="1" si="100"/>
        <v>3.3678642436151665E-2</v>
      </c>
      <c r="JO20" s="78">
        <f t="shared" ca="1" si="122"/>
        <v>2.958930299519015E-2</v>
      </c>
      <c r="JP20" s="78">
        <f t="shared" ca="1" si="123"/>
        <v>0.1682543511875878</v>
      </c>
    </row>
    <row r="21" spans="1:276" s="1" customFormat="1" x14ac:dyDescent="0.35">
      <c r="A21" s="125">
        <v>0</v>
      </c>
      <c r="B21" s="125">
        <v>1</v>
      </c>
      <c r="C21" s="125">
        <v>1</v>
      </c>
      <c r="D21" s="163"/>
      <c r="E21" s="142" t="s">
        <v>32</v>
      </c>
      <c r="F21" s="208" t="s">
        <v>33</v>
      </c>
      <c r="G21" s="209" t="s">
        <v>540</v>
      </c>
      <c r="H21" s="210" t="s">
        <v>533</v>
      </c>
      <c r="I21" s="8" t="s">
        <v>534</v>
      </c>
      <c r="J21" s="211">
        <v>3.3757215969124456E-3</v>
      </c>
      <c r="K21" s="215">
        <v>2.0349161011857424E-3</v>
      </c>
      <c r="L21" s="215">
        <v>5.9415780420444472E-3</v>
      </c>
      <c r="M21" s="215">
        <v>5.966449595111954E-3</v>
      </c>
      <c r="N21" s="215" t="s">
        <v>805</v>
      </c>
      <c r="O21" s="215" t="s">
        <v>805</v>
      </c>
      <c r="P21" s="215" t="s">
        <v>805</v>
      </c>
      <c r="Q21" s="215" t="s">
        <v>805</v>
      </c>
      <c r="R21" s="215" t="s">
        <v>805</v>
      </c>
      <c r="S21" s="215" t="s">
        <v>805</v>
      </c>
      <c r="T21" s="215" t="s">
        <v>805</v>
      </c>
      <c r="U21" s="215" t="s">
        <v>805</v>
      </c>
      <c r="V21" s="215" t="s">
        <v>805</v>
      </c>
      <c r="W21" s="215" t="s">
        <v>805</v>
      </c>
      <c r="X21" s="215" t="s">
        <v>805</v>
      </c>
      <c r="Y21" s="215" t="s">
        <v>805</v>
      </c>
      <c r="Z21" s="215" t="s">
        <v>805</v>
      </c>
      <c r="AA21" s="215" t="s">
        <v>805</v>
      </c>
      <c r="AB21" s="215" t="s">
        <v>805</v>
      </c>
      <c r="AC21" s="215" t="s">
        <v>805</v>
      </c>
      <c r="AD21" s="215" t="s">
        <v>805</v>
      </c>
      <c r="AE21" s="215" t="s">
        <v>805</v>
      </c>
      <c r="AF21" s="215" t="s">
        <v>805</v>
      </c>
      <c r="AG21" s="215" t="s">
        <v>805</v>
      </c>
      <c r="AH21" s="215" t="s">
        <v>805</v>
      </c>
      <c r="AI21" s="215" t="s">
        <v>805</v>
      </c>
      <c r="AJ21" s="215" t="s">
        <v>805</v>
      </c>
      <c r="AK21" s="215" t="s">
        <v>805</v>
      </c>
      <c r="AL21" s="215" t="s">
        <v>805</v>
      </c>
      <c r="AM21" s="215" t="s">
        <v>805</v>
      </c>
      <c r="AN21" s="215" t="s">
        <v>805</v>
      </c>
      <c r="AO21" s="215" t="s">
        <v>805</v>
      </c>
      <c r="AP21" s="215" t="s">
        <v>805</v>
      </c>
      <c r="AQ21" s="215" t="s">
        <v>805</v>
      </c>
      <c r="AR21" s="215" t="s">
        <v>805</v>
      </c>
      <c r="AS21" s="215" t="s">
        <v>805</v>
      </c>
      <c r="AT21" s="215" t="s">
        <v>805</v>
      </c>
      <c r="AU21" s="215" t="s">
        <v>805</v>
      </c>
      <c r="AV21" s="215" t="s">
        <v>805</v>
      </c>
      <c r="AW21" s="215" t="s">
        <v>805</v>
      </c>
      <c r="AX21" s="215" t="s">
        <v>805</v>
      </c>
      <c r="AY21" s="215" t="s">
        <v>805</v>
      </c>
      <c r="AZ21" s="215" t="s">
        <v>805</v>
      </c>
      <c r="BA21" s="215" t="s">
        <v>805</v>
      </c>
      <c r="BB21" s="215" t="s">
        <v>805</v>
      </c>
      <c r="BC21" s="215" t="s">
        <v>805</v>
      </c>
      <c r="BD21" s="215" t="s">
        <v>805</v>
      </c>
      <c r="BE21" s="215" t="s">
        <v>805</v>
      </c>
      <c r="BF21" s="215" t="s">
        <v>805</v>
      </c>
      <c r="BG21" s="215" t="s">
        <v>805</v>
      </c>
      <c r="BH21" s="215" t="s">
        <v>805</v>
      </c>
      <c r="BI21" s="215" t="s">
        <v>805</v>
      </c>
      <c r="BJ21" s="215" t="s">
        <v>805</v>
      </c>
      <c r="BK21" s="215" t="s">
        <v>805</v>
      </c>
      <c r="BL21" s="215" t="s">
        <v>805</v>
      </c>
      <c r="BM21" s="215" t="s">
        <v>805</v>
      </c>
      <c r="BN21" s="215" t="s">
        <v>805</v>
      </c>
      <c r="BO21" s="215" t="s">
        <v>805</v>
      </c>
      <c r="BP21" s="215" t="s">
        <v>805</v>
      </c>
      <c r="BQ21" s="215" t="s">
        <v>805</v>
      </c>
      <c r="BR21" s="215" t="s">
        <v>805</v>
      </c>
      <c r="BS21" s="215" t="s">
        <v>805</v>
      </c>
      <c r="BT21" s="215" t="s">
        <v>805</v>
      </c>
      <c r="BU21" s="215" t="s">
        <v>805</v>
      </c>
      <c r="BV21" s="215" t="s">
        <v>805</v>
      </c>
      <c r="BW21" s="215" t="s">
        <v>805</v>
      </c>
      <c r="BX21" s="215" t="s">
        <v>805</v>
      </c>
      <c r="BY21" s="215" t="s">
        <v>805</v>
      </c>
      <c r="BZ21" s="215" t="s">
        <v>805</v>
      </c>
      <c r="CA21" s="215" t="s">
        <v>805</v>
      </c>
      <c r="CB21" s="215" t="s">
        <v>805</v>
      </c>
      <c r="CC21" s="215" t="s">
        <v>805</v>
      </c>
      <c r="CD21" s="215" t="s">
        <v>805</v>
      </c>
      <c r="CE21" s="215" t="s">
        <v>805</v>
      </c>
      <c r="CF21" s="215" t="s">
        <v>805</v>
      </c>
      <c r="CG21" s="215" t="s">
        <v>805</v>
      </c>
      <c r="CH21" s="215" t="s">
        <v>805</v>
      </c>
      <c r="CI21" s="215" t="s">
        <v>805</v>
      </c>
      <c r="CJ21" s="215" t="s">
        <v>805</v>
      </c>
      <c r="CK21" s="215" t="s">
        <v>805</v>
      </c>
      <c r="CL21" s="215" t="s">
        <v>805</v>
      </c>
      <c r="CM21" s="215" t="s">
        <v>805</v>
      </c>
      <c r="CN21" s="215" t="s">
        <v>805</v>
      </c>
      <c r="CO21" s="215" t="s">
        <v>805</v>
      </c>
      <c r="CP21" s="215" t="s">
        <v>805</v>
      </c>
      <c r="CQ21" s="215" t="s">
        <v>805</v>
      </c>
      <c r="CR21" s="215" t="s">
        <v>805</v>
      </c>
      <c r="CS21" s="215" t="s">
        <v>805</v>
      </c>
      <c r="CT21" s="215" t="s">
        <v>805</v>
      </c>
      <c r="CU21" s="215" t="s">
        <v>805</v>
      </c>
      <c r="CV21" s="215" t="s">
        <v>805</v>
      </c>
      <c r="CW21" s="215" t="s">
        <v>805</v>
      </c>
      <c r="CX21" s="215" t="s">
        <v>805</v>
      </c>
      <c r="CY21" s="215" t="s">
        <v>805</v>
      </c>
      <c r="CZ21" s="215" t="s">
        <v>805</v>
      </c>
      <c r="DA21" s="215" t="s">
        <v>805</v>
      </c>
      <c r="DB21" s="215" t="s">
        <v>805</v>
      </c>
      <c r="DC21" s="215" t="s">
        <v>805</v>
      </c>
      <c r="DD21" s="215" t="s">
        <v>805</v>
      </c>
      <c r="DE21" s="215" t="s">
        <v>805</v>
      </c>
      <c r="DF21" s="215" t="s">
        <v>805</v>
      </c>
      <c r="DG21" s="212">
        <f>VLOOKUP(E21,'KPI Count-SHARE'!A:F,3,0)</f>
        <v>13</v>
      </c>
      <c r="DH21" s="213">
        <v>7.5610157707422703E-3</v>
      </c>
      <c r="DI21" s="216">
        <v>1.5792828500022598E-2</v>
      </c>
      <c r="DJ21" s="216">
        <v>8.6951359479684655E-3</v>
      </c>
      <c r="DK21" s="216">
        <v>5.466440294468718E-3</v>
      </c>
      <c r="DL21" s="216">
        <v>4.7522246357253866E-3</v>
      </c>
      <c r="DM21" s="216">
        <v>2.886796712373602E-3</v>
      </c>
      <c r="DN21" s="212">
        <f>VLOOKUP(E21,'KPI Count-SHARE'!A:F,4,0)</f>
        <v>0</v>
      </c>
      <c r="DO21" s="213"/>
      <c r="DP21" s="216"/>
      <c r="DQ21" s="216"/>
      <c r="DR21" s="216"/>
      <c r="DS21" s="216"/>
      <c r="DT21" s="216"/>
      <c r="DU21" s="212">
        <f>VLOOKUP(E21,'KPI Count-SHARE'!A:F,5,0)</f>
        <v>0</v>
      </c>
      <c r="DV21" s="213"/>
      <c r="DW21" s="216"/>
      <c r="DX21" s="216"/>
      <c r="DY21" s="216"/>
      <c r="DZ21" s="216"/>
      <c r="EA21" s="216"/>
      <c r="EB21" s="212">
        <f>VLOOKUP(E21,'KPI Count-SHARE'!A:F,6,0)</f>
        <v>0</v>
      </c>
      <c r="EC21" s="213"/>
      <c r="ED21" s="216"/>
      <c r="EE21" s="216"/>
      <c r="EF21" s="216"/>
      <c r="EG21" s="216"/>
      <c r="EH21" s="216"/>
      <c r="EI21" s="214" t="s">
        <v>533</v>
      </c>
      <c r="EJ21" s="39">
        <f t="shared" si="101"/>
        <v>3.3757215969124456E-3</v>
      </c>
      <c r="EK21" s="39">
        <f t="shared" si="102"/>
        <v>2.0349161011857424E-3</v>
      </c>
      <c r="EL21" s="39">
        <f t="shared" si="103"/>
        <v>5.9415780420444472E-3</v>
      </c>
      <c r="EM21" s="39">
        <f t="shared" si="104"/>
        <v>5.966449595111954E-3</v>
      </c>
      <c r="EN21" s="39" t="str">
        <f t="shared" si="105"/>
        <v/>
      </c>
      <c r="EO21" s="39" t="str">
        <f t="shared" si="106"/>
        <v/>
      </c>
      <c r="EP21" s="39" t="str">
        <f t="shared" si="107"/>
        <v/>
      </c>
      <c r="EQ21" s="39" t="str">
        <f t="shared" si="108"/>
        <v/>
      </c>
      <c r="ER21" s="39" t="str">
        <f t="shared" si="109"/>
        <v/>
      </c>
      <c r="ES21" s="39" t="str">
        <f t="shared" si="110"/>
        <v/>
      </c>
      <c r="ET21" s="39" t="str">
        <f t="shared" si="111"/>
        <v/>
      </c>
      <c r="EU21" s="39" t="str">
        <f t="shared" si="165"/>
        <v/>
      </c>
      <c r="EV21" s="39" t="str">
        <f t="shared" si="166"/>
        <v/>
      </c>
      <c r="EW21" s="39" t="str">
        <f t="shared" si="167"/>
        <v/>
      </c>
      <c r="EX21" s="39" t="str">
        <f t="shared" si="168"/>
        <v/>
      </c>
      <c r="EY21" s="39" t="str">
        <f t="shared" si="169"/>
        <v/>
      </c>
      <c r="EZ21" s="39" t="str">
        <f t="shared" si="170"/>
        <v/>
      </c>
      <c r="FA21" s="39" t="str">
        <f t="shared" si="171"/>
        <v/>
      </c>
      <c r="FB21" s="39" t="str">
        <f t="shared" si="172"/>
        <v/>
      </c>
      <c r="FC21" s="39" t="str">
        <f t="shared" si="173"/>
        <v/>
      </c>
      <c r="FD21" s="39" t="str">
        <f t="shared" si="174"/>
        <v/>
      </c>
      <c r="FE21" s="39" t="str">
        <f t="shared" si="175"/>
        <v/>
      </c>
      <c r="FF21" s="39" t="str">
        <f t="shared" si="176"/>
        <v/>
      </c>
      <c r="FG21" s="39" t="str">
        <f t="shared" si="177"/>
        <v/>
      </c>
      <c r="FH21" s="39" t="str">
        <f t="shared" si="178"/>
        <v/>
      </c>
      <c r="FI21" s="39" t="str">
        <f t="shared" si="179"/>
        <v/>
      </c>
      <c r="FJ21" s="39" t="str">
        <f t="shared" si="180"/>
        <v/>
      </c>
      <c r="FK21" s="39" t="str">
        <f t="shared" si="181"/>
        <v/>
      </c>
      <c r="FL21" s="39" t="str">
        <f t="shared" si="182"/>
        <v/>
      </c>
      <c r="FM21" s="39" t="str">
        <f t="shared" si="183"/>
        <v/>
      </c>
      <c r="FN21" s="39" t="str">
        <f t="shared" si="184"/>
        <v/>
      </c>
      <c r="FO21" s="39" t="str">
        <f t="shared" si="185"/>
        <v/>
      </c>
      <c r="FP21" s="39" t="str">
        <f t="shared" si="186"/>
        <v/>
      </c>
      <c r="FQ21" s="39" t="str">
        <f t="shared" si="187"/>
        <v/>
      </c>
      <c r="FR21" s="39" t="str">
        <f t="shared" si="188"/>
        <v/>
      </c>
      <c r="FS21" s="39" t="str">
        <f t="shared" si="189"/>
        <v/>
      </c>
      <c r="FT21" s="39" t="str">
        <f t="shared" si="190"/>
        <v/>
      </c>
      <c r="FU21" s="39" t="str">
        <f t="shared" si="191"/>
        <v/>
      </c>
      <c r="FV21" s="39" t="str">
        <f t="shared" si="192"/>
        <v/>
      </c>
      <c r="FW21" s="39" t="str">
        <f t="shared" si="193"/>
        <v/>
      </c>
      <c r="FX21" s="39" t="str">
        <f t="shared" si="194"/>
        <v/>
      </c>
      <c r="FY21" s="39" t="str">
        <f t="shared" si="195"/>
        <v/>
      </c>
      <c r="FZ21" s="39" t="str">
        <f t="shared" si="196"/>
        <v/>
      </c>
      <c r="GA21" s="39" t="str">
        <f t="shared" si="197"/>
        <v/>
      </c>
      <c r="GB21" s="39" t="str">
        <f t="shared" si="155"/>
        <v/>
      </c>
      <c r="GC21" s="39" t="str">
        <f t="shared" si="156"/>
        <v/>
      </c>
      <c r="GD21" s="39" t="str">
        <f t="shared" si="157"/>
        <v/>
      </c>
      <c r="GE21" s="39" t="str">
        <f t="shared" si="158"/>
        <v/>
      </c>
      <c r="GF21" s="39" t="str">
        <f t="shared" si="198"/>
        <v/>
      </c>
      <c r="GG21" s="39" t="str">
        <f t="shared" si="198"/>
        <v/>
      </c>
      <c r="GH21" s="39" t="str">
        <f t="shared" si="198"/>
        <v/>
      </c>
      <c r="GI21" s="39" t="str">
        <f t="shared" si="198"/>
        <v/>
      </c>
      <c r="GJ21" s="39" t="str">
        <f t="shared" si="198"/>
        <v/>
      </c>
      <c r="GK21" s="39" t="str">
        <f t="shared" si="198"/>
        <v/>
      </c>
      <c r="GL21" s="39" t="str">
        <f t="shared" si="198"/>
        <v/>
      </c>
      <c r="GM21" s="39" t="str">
        <f t="shared" si="198"/>
        <v/>
      </c>
      <c r="GN21" s="39" t="str">
        <f t="shared" si="198"/>
        <v/>
      </c>
      <c r="GO21" s="39" t="str">
        <f t="shared" si="198"/>
        <v/>
      </c>
      <c r="GP21" s="39" t="str">
        <f t="shared" si="199"/>
        <v/>
      </c>
      <c r="GQ21" s="39" t="str">
        <f t="shared" si="199"/>
        <v/>
      </c>
      <c r="GR21" s="39" t="str">
        <f t="shared" si="199"/>
        <v/>
      </c>
      <c r="GS21" s="39" t="str">
        <f t="shared" si="199"/>
        <v/>
      </c>
      <c r="GT21" s="39" t="str">
        <f t="shared" si="199"/>
        <v/>
      </c>
      <c r="GU21" s="39" t="str">
        <f t="shared" si="199"/>
        <v/>
      </c>
      <c r="GV21" s="39" t="str">
        <f t="shared" si="199"/>
        <v/>
      </c>
      <c r="GW21" s="39" t="str">
        <f t="shared" si="199"/>
        <v/>
      </c>
      <c r="GX21" s="39" t="str">
        <f t="shared" si="199"/>
        <v/>
      </c>
      <c r="GY21" s="39" t="str">
        <f t="shared" si="199"/>
        <v/>
      </c>
      <c r="GZ21" s="39" t="str">
        <f t="shared" si="200"/>
        <v/>
      </c>
      <c r="HA21" s="39" t="str">
        <f t="shared" si="200"/>
        <v/>
      </c>
      <c r="HB21" s="39" t="str">
        <f t="shared" si="200"/>
        <v/>
      </c>
      <c r="HC21" s="39" t="str">
        <f t="shared" si="200"/>
        <v/>
      </c>
      <c r="HD21" s="39" t="str">
        <f t="shared" si="200"/>
        <v/>
      </c>
      <c r="HE21" s="39" t="str">
        <f t="shared" si="200"/>
        <v/>
      </c>
      <c r="HF21" s="39" t="str">
        <f t="shared" si="200"/>
        <v/>
      </c>
      <c r="HG21" s="39" t="str">
        <f t="shared" si="200"/>
        <v/>
      </c>
      <c r="HH21" s="39" t="str">
        <f t="shared" si="200"/>
        <v/>
      </c>
      <c r="HI21" s="39" t="str">
        <f t="shared" si="200"/>
        <v/>
      </c>
      <c r="HJ21" s="39" t="str">
        <f t="shared" si="201"/>
        <v/>
      </c>
      <c r="HK21" s="39" t="str">
        <f t="shared" si="201"/>
        <v/>
      </c>
      <c r="HL21" s="39" t="str">
        <f t="shared" si="201"/>
        <v/>
      </c>
      <c r="HM21" s="39" t="str">
        <f t="shared" si="201"/>
        <v/>
      </c>
      <c r="HN21" s="39" t="str">
        <f t="shared" si="201"/>
        <v/>
      </c>
      <c r="HO21" s="39" t="str">
        <f t="shared" si="201"/>
        <v/>
      </c>
      <c r="HP21" s="39" t="str">
        <f t="shared" si="201"/>
        <v/>
      </c>
      <c r="HQ21" s="39" t="str">
        <f t="shared" si="201"/>
        <v/>
      </c>
      <c r="HR21" s="39" t="str">
        <f t="shared" si="201"/>
        <v/>
      </c>
      <c r="HS21" s="39" t="str">
        <f t="shared" si="201"/>
        <v/>
      </c>
      <c r="HT21" s="39" t="str">
        <f t="shared" si="202"/>
        <v/>
      </c>
      <c r="HU21" s="39" t="str">
        <f t="shared" si="202"/>
        <v/>
      </c>
      <c r="HV21" s="39" t="str">
        <f t="shared" si="202"/>
        <v/>
      </c>
      <c r="HW21" s="39" t="str">
        <f t="shared" si="202"/>
        <v/>
      </c>
      <c r="HX21" s="39" t="str">
        <f t="shared" si="202"/>
        <v/>
      </c>
      <c r="HY21" s="39" t="str">
        <f t="shared" si="202"/>
        <v/>
      </c>
      <c r="HZ21" s="39" t="str">
        <f t="shared" si="202"/>
        <v/>
      </c>
      <c r="IA21" s="39" t="str">
        <f t="shared" si="202"/>
        <v/>
      </c>
      <c r="IB21" s="39" t="str">
        <f t="shared" si="202"/>
        <v/>
      </c>
      <c r="IC21" s="39" t="str">
        <f t="shared" si="202"/>
        <v/>
      </c>
      <c r="ID21" s="39" t="str">
        <f t="shared" si="203"/>
        <v/>
      </c>
      <c r="IE21" s="39" t="str">
        <f t="shared" si="68"/>
        <v/>
      </c>
      <c r="IF21" s="39" t="str">
        <f t="shared" si="69"/>
        <v/>
      </c>
      <c r="IG21" s="308">
        <f t="shared" si="70"/>
        <v>7.5610157707422703E-3</v>
      </c>
      <c r="IH21" s="84">
        <f t="shared" si="204"/>
        <v>1.5792828500022598E-2</v>
      </c>
      <c r="II21" s="84">
        <f t="shared" si="205"/>
        <v>8.6951359479684655E-3</v>
      </c>
      <c r="IJ21" s="84">
        <f t="shared" si="206"/>
        <v>5.466440294468718E-3</v>
      </c>
      <c r="IK21" s="84">
        <f t="shared" si="207"/>
        <v>4.7522246357253866E-3</v>
      </c>
      <c r="IL21" s="84">
        <f t="shared" si="208"/>
        <v>2.886796712373602E-3</v>
      </c>
      <c r="IM21" s="308" t="str">
        <f t="shared" si="76"/>
        <v/>
      </c>
      <c r="IN21" s="84" t="str">
        <f t="shared" si="209"/>
        <v/>
      </c>
      <c r="IO21" s="84" t="str">
        <f t="shared" si="210"/>
        <v/>
      </c>
      <c r="IP21" s="84" t="str">
        <f t="shared" si="211"/>
        <v/>
      </c>
      <c r="IQ21" s="84" t="str">
        <f t="shared" si="212"/>
        <v/>
      </c>
      <c r="IR21" s="84" t="str">
        <f t="shared" si="213"/>
        <v/>
      </c>
      <c r="IS21" s="308" t="str">
        <f t="shared" si="82"/>
        <v/>
      </c>
      <c r="IT21" s="84" t="str">
        <f t="shared" si="214"/>
        <v/>
      </c>
      <c r="IU21" s="84" t="str">
        <f t="shared" si="215"/>
        <v/>
      </c>
      <c r="IV21" s="84" t="str">
        <f t="shared" si="216"/>
        <v/>
      </c>
      <c r="IW21" s="84" t="str">
        <f t="shared" si="217"/>
        <v/>
      </c>
      <c r="IX21" s="84" t="str">
        <f t="shared" si="218"/>
        <v/>
      </c>
      <c r="IY21" s="308" t="str">
        <f t="shared" si="88"/>
        <v/>
      </c>
      <c r="IZ21" s="84" t="str">
        <f t="shared" si="219"/>
        <v/>
      </c>
      <c r="JA21" s="84" t="str">
        <f t="shared" si="220"/>
        <v/>
      </c>
      <c r="JB21" s="84" t="str">
        <f t="shared" si="221"/>
        <v/>
      </c>
      <c r="JC21" s="84" t="str">
        <f t="shared" si="222"/>
        <v/>
      </c>
      <c r="JD21" s="309" t="str">
        <f t="shared" si="223"/>
        <v/>
      </c>
      <c r="JF21" s="66">
        <f t="shared" si="224"/>
        <v>21</v>
      </c>
      <c r="JG21" s="79">
        <f t="shared" ca="1" si="95"/>
        <v>8.6951359479684655E-3</v>
      </c>
      <c r="JH21" s="79">
        <f t="shared" ca="1" si="96"/>
        <v>5.466440294468718E-3</v>
      </c>
      <c r="JI21" s="79">
        <f t="shared" ca="1" si="97"/>
        <v>4.7522246357253866E-3</v>
      </c>
      <c r="JJ21" s="66">
        <f t="shared" ca="1" si="98"/>
        <v>13</v>
      </c>
      <c r="JK21" s="33"/>
      <c r="JL21" s="78">
        <f t="shared" ca="1" si="121"/>
        <v>8.6951359479684655E-3</v>
      </c>
      <c r="JM21" s="78">
        <f t="shared" ca="1" si="99"/>
        <v>7.0807881212185918E-3</v>
      </c>
      <c r="JN21" s="78">
        <f t="shared" ca="1" si="100"/>
        <v>5.1093324650970523E-3</v>
      </c>
      <c r="JO21" s="78">
        <f t="shared" ca="1" si="122"/>
        <v>4.7522246357253866E-3</v>
      </c>
      <c r="JP21" s="78">
        <f t="shared" ca="1" si="123"/>
        <v>2.5637481170009496E-2</v>
      </c>
    </row>
    <row r="22" spans="1:276" s="1" customFormat="1" x14ac:dyDescent="0.35">
      <c r="A22" s="125">
        <v>0</v>
      </c>
      <c r="B22" s="125">
        <v>0</v>
      </c>
      <c r="C22" s="125">
        <v>1</v>
      </c>
      <c r="D22" s="163"/>
      <c r="E22" s="142" t="s">
        <v>34</v>
      </c>
      <c r="F22" s="208" t="s">
        <v>35</v>
      </c>
      <c r="G22" s="209" t="s">
        <v>540</v>
      </c>
      <c r="H22" s="210" t="s">
        <v>533</v>
      </c>
      <c r="I22" s="8" t="s">
        <v>534</v>
      </c>
      <c r="J22" s="211">
        <v>1.3431744623103421E-3</v>
      </c>
      <c r="K22" s="215">
        <v>7.663596294690551E-4</v>
      </c>
      <c r="L22" s="215">
        <v>2.0360051789367114E-3</v>
      </c>
      <c r="M22" s="215">
        <v>3.9039364048008766E-3</v>
      </c>
      <c r="N22" s="215" t="s">
        <v>805</v>
      </c>
      <c r="O22" s="215" t="s">
        <v>805</v>
      </c>
      <c r="P22" s="215" t="s">
        <v>805</v>
      </c>
      <c r="Q22" s="215" t="s">
        <v>805</v>
      </c>
      <c r="R22" s="215" t="s">
        <v>805</v>
      </c>
      <c r="S22" s="215" t="s">
        <v>805</v>
      </c>
      <c r="T22" s="215" t="s">
        <v>805</v>
      </c>
      <c r="U22" s="215" t="s">
        <v>805</v>
      </c>
      <c r="V22" s="215" t="s">
        <v>805</v>
      </c>
      <c r="W22" s="215" t="s">
        <v>805</v>
      </c>
      <c r="X22" s="215" t="s">
        <v>805</v>
      </c>
      <c r="Y22" s="215" t="s">
        <v>805</v>
      </c>
      <c r="Z22" s="215" t="s">
        <v>805</v>
      </c>
      <c r="AA22" s="215" t="s">
        <v>805</v>
      </c>
      <c r="AB22" s="215" t="s">
        <v>805</v>
      </c>
      <c r="AC22" s="215" t="s">
        <v>805</v>
      </c>
      <c r="AD22" s="215" t="s">
        <v>805</v>
      </c>
      <c r="AE22" s="215" t="s">
        <v>805</v>
      </c>
      <c r="AF22" s="215" t="s">
        <v>805</v>
      </c>
      <c r="AG22" s="215" t="s">
        <v>805</v>
      </c>
      <c r="AH22" s="215" t="s">
        <v>805</v>
      </c>
      <c r="AI22" s="215" t="s">
        <v>805</v>
      </c>
      <c r="AJ22" s="215" t="s">
        <v>805</v>
      </c>
      <c r="AK22" s="215" t="s">
        <v>805</v>
      </c>
      <c r="AL22" s="215" t="s">
        <v>805</v>
      </c>
      <c r="AM22" s="215" t="s">
        <v>805</v>
      </c>
      <c r="AN22" s="215" t="s">
        <v>805</v>
      </c>
      <c r="AO22" s="215" t="s">
        <v>805</v>
      </c>
      <c r="AP22" s="215" t="s">
        <v>805</v>
      </c>
      <c r="AQ22" s="215" t="s">
        <v>805</v>
      </c>
      <c r="AR22" s="215" t="s">
        <v>805</v>
      </c>
      <c r="AS22" s="215" t="s">
        <v>805</v>
      </c>
      <c r="AT22" s="215" t="s">
        <v>805</v>
      </c>
      <c r="AU22" s="215" t="s">
        <v>805</v>
      </c>
      <c r="AV22" s="215" t="s">
        <v>805</v>
      </c>
      <c r="AW22" s="215" t="s">
        <v>805</v>
      </c>
      <c r="AX22" s="215" t="s">
        <v>805</v>
      </c>
      <c r="AY22" s="215" t="s">
        <v>805</v>
      </c>
      <c r="AZ22" s="215" t="s">
        <v>805</v>
      </c>
      <c r="BA22" s="215" t="s">
        <v>805</v>
      </c>
      <c r="BB22" s="215" t="s">
        <v>805</v>
      </c>
      <c r="BC22" s="215" t="s">
        <v>805</v>
      </c>
      <c r="BD22" s="215" t="s">
        <v>805</v>
      </c>
      <c r="BE22" s="215" t="s">
        <v>805</v>
      </c>
      <c r="BF22" s="215" t="s">
        <v>805</v>
      </c>
      <c r="BG22" s="215" t="s">
        <v>805</v>
      </c>
      <c r="BH22" s="215" t="s">
        <v>805</v>
      </c>
      <c r="BI22" s="215" t="s">
        <v>805</v>
      </c>
      <c r="BJ22" s="215" t="s">
        <v>805</v>
      </c>
      <c r="BK22" s="215" t="s">
        <v>805</v>
      </c>
      <c r="BL22" s="215" t="s">
        <v>805</v>
      </c>
      <c r="BM22" s="215" t="s">
        <v>805</v>
      </c>
      <c r="BN22" s="215" t="s">
        <v>805</v>
      </c>
      <c r="BO22" s="215" t="s">
        <v>805</v>
      </c>
      <c r="BP22" s="215" t="s">
        <v>805</v>
      </c>
      <c r="BQ22" s="215" t="s">
        <v>805</v>
      </c>
      <c r="BR22" s="215" t="s">
        <v>805</v>
      </c>
      <c r="BS22" s="215" t="s">
        <v>805</v>
      </c>
      <c r="BT22" s="215" t="s">
        <v>805</v>
      </c>
      <c r="BU22" s="215" t="s">
        <v>805</v>
      </c>
      <c r="BV22" s="215" t="s">
        <v>805</v>
      </c>
      <c r="BW22" s="215" t="s">
        <v>805</v>
      </c>
      <c r="BX22" s="215" t="s">
        <v>805</v>
      </c>
      <c r="BY22" s="215" t="s">
        <v>805</v>
      </c>
      <c r="BZ22" s="215" t="s">
        <v>805</v>
      </c>
      <c r="CA22" s="215" t="s">
        <v>805</v>
      </c>
      <c r="CB22" s="215" t="s">
        <v>805</v>
      </c>
      <c r="CC22" s="215" t="s">
        <v>805</v>
      </c>
      <c r="CD22" s="215" t="s">
        <v>805</v>
      </c>
      <c r="CE22" s="215" t="s">
        <v>805</v>
      </c>
      <c r="CF22" s="215" t="s">
        <v>805</v>
      </c>
      <c r="CG22" s="215" t="s">
        <v>805</v>
      </c>
      <c r="CH22" s="215" t="s">
        <v>805</v>
      </c>
      <c r="CI22" s="215" t="s">
        <v>805</v>
      </c>
      <c r="CJ22" s="215" t="s">
        <v>805</v>
      </c>
      <c r="CK22" s="215" t="s">
        <v>805</v>
      </c>
      <c r="CL22" s="215" t="s">
        <v>805</v>
      </c>
      <c r="CM22" s="215" t="s">
        <v>805</v>
      </c>
      <c r="CN22" s="215" t="s">
        <v>805</v>
      </c>
      <c r="CO22" s="215" t="s">
        <v>805</v>
      </c>
      <c r="CP22" s="215" t="s">
        <v>805</v>
      </c>
      <c r="CQ22" s="215" t="s">
        <v>805</v>
      </c>
      <c r="CR22" s="215" t="s">
        <v>805</v>
      </c>
      <c r="CS22" s="215" t="s">
        <v>805</v>
      </c>
      <c r="CT22" s="215" t="s">
        <v>805</v>
      </c>
      <c r="CU22" s="215" t="s">
        <v>805</v>
      </c>
      <c r="CV22" s="215" t="s">
        <v>805</v>
      </c>
      <c r="CW22" s="215" t="s">
        <v>805</v>
      </c>
      <c r="CX22" s="215" t="s">
        <v>805</v>
      </c>
      <c r="CY22" s="215" t="s">
        <v>805</v>
      </c>
      <c r="CZ22" s="215" t="s">
        <v>805</v>
      </c>
      <c r="DA22" s="215" t="s">
        <v>805</v>
      </c>
      <c r="DB22" s="215" t="s">
        <v>805</v>
      </c>
      <c r="DC22" s="215" t="s">
        <v>805</v>
      </c>
      <c r="DD22" s="215" t="s">
        <v>805</v>
      </c>
      <c r="DE22" s="215" t="s">
        <v>805</v>
      </c>
      <c r="DF22" s="215" t="s">
        <v>805</v>
      </c>
      <c r="DG22" s="212">
        <f>VLOOKUP(E22,'KPI Count-SHARE'!A:F,3,0)</f>
        <v>5</v>
      </c>
      <c r="DH22" s="213">
        <v>1.6263557786206258E-3</v>
      </c>
      <c r="DI22" s="216">
        <v>2.3239572271008891E-3</v>
      </c>
      <c r="DJ22" s="216">
        <v>1.9204954075778885E-3</v>
      </c>
      <c r="DK22" s="216">
        <v>1.7629468664942013E-3</v>
      </c>
      <c r="DL22" s="216">
        <v>1.4337655771479879E-3</v>
      </c>
      <c r="DM22" s="216">
        <v>8.2648979191929112E-4</v>
      </c>
      <c r="DN22" s="212">
        <f>VLOOKUP(E22,'KPI Count-SHARE'!A:F,4,0)</f>
        <v>0</v>
      </c>
      <c r="DO22" s="213"/>
      <c r="DP22" s="216"/>
      <c r="DQ22" s="216"/>
      <c r="DR22" s="216"/>
      <c r="DS22" s="216"/>
      <c r="DT22" s="216"/>
      <c r="DU22" s="212">
        <f>VLOOKUP(E22,'KPI Count-SHARE'!A:F,5,0)</f>
        <v>0</v>
      </c>
      <c r="DV22" s="213"/>
      <c r="DW22" s="216"/>
      <c r="DX22" s="216"/>
      <c r="DY22" s="216"/>
      <c r="DZ22" s="216"/>
      <c r="EA22" s="216"/>
      <c r="EB22" s="212">
        <f>VLOOKUP(E22,'KPI Count-SHARE'!A:F,6,0)</f>
        <v>0</v>
      </c>
      <c r="EC22" s="213"/>
      <c r="ED22" s="216"/>
      <c r="EE22" s="216"/>
      <c r="EF22" s="216"/>
      <c r="EG22" s="216"/>
      <c r="EH22" s="216"/>
      <c r="EI22" s="214" t="s">
        <v>533</v>
      </c>
      <c r="EJ22" s="39">
        <f t="shared" si="101"/>
        <v>1.3431744623103421E-3</v>
      </c>
      <c r="EK22" s="39">
        <f t="shared" si="102"/>
        <v>7.663596294690551E-4</v>
      </c>
      <c r="EL22" s="39">
        <f t="shared" si="103"/>
        <v>2.0360051789367114E-3</v>
      </c>
      <c r="EM22" s="39">
        <f t="shared" si="104"/>
        <v>3.9039364048008766E-3</v>
      </c>
      <c r="EN22" s="39" t="str">
        <f t="shared" si="105"/>
        <v/>
      </c>
      <c r="EO22" s="39" t="str">
        <f t="shared" si="106"/>
        <v/>
      </c>
      <c r="EP22" s="39" t="str">
        <f t="shared" si="107"/>
        <v/>
      </c>
      <c r="EQ22" s="39" t="str">
        <f t="shared" si="108"/>
        <v/>
      </c>
      <c r="ER22" s="39" t="str">
        <f t="shared" si="109"/>
        <v/>
      </c>
      <c r="ES22" s="39" t="str">
        <f t="shared" si="110"/>
        <v/>
      </c>
      <c r="ET22" s="39" t="str">
        <f t="shared" si="111"/>
        <v/>
      </c>
      <c r="EU22" s="39" t="str">
        <f t="shared" si="165"/>
        <v/>
      </c>
      <c r="EV22" s="39" t="str">
        <f t="shared" si="166"/>
        <v/>
      </c>
      <c r="EW22" s="39" t="str">
        <f t="shared" si="167"/>
        <v/>
      </c>
      <c r="EX22" s="39" t="str">
        <f t="shared" si="168"/>
        <v/>
      </c>
      <c r="EY22" s="39" t="str">
        <f t="shared" si="169"/>
        <v/>
      </c>
      <c r="EZ22" s="39" t="str">
        <f t="shared" si="170"/>
        <v/>
      </c>
      <c r="FA22" s="39" t="str">
        <f t="shared" si="171"/>
        <v/>
      </c>
      <c r="FB22" s="39" t="str">
        <f t="shared" si="172"/>
        <v/>
      </c>
      <c r="FC22" s="39" t="str">
        <f t="shared" si="173"/>
        <v/>
      </c>
      <c r="FD22" s="39" t="str">
        <f t="shared" si="174"/>
        <v/>
      </c>
      <c r="FE22" s="39" t="str">
        <f t="shared" si="175"/>
        <v/>
      </c>
      <c r="FF22" s="39" t="str">
        <f t="shared" si="176"/>
        <v/>
      </c>
      <c r="FG22" s="39" t="str">
        <f t="shared" si="177"/>
        <v/>
      </c>
      <c r="FH22" s="39" t="str">
        <f t="shared" si="178"/>
        <v/>
      </c>
      <c r="FI22" s="39" t="str">
        <f t="shared" si="179"/>
        <v/>
      </c>
      <c r="FJ22" s="39" t="str">
        <f t="shared" si="180"/>
        <v/>
      </c>
      <c r="FK22" s="39" t="str">
        <f t="shared" si="181"/>
        <v/>
      </c>
      <c r="FL22" s="39" t="str">
        <f t="shared" si="182"/>
        <v/>
      </c>
      <c r="FM22" s="39" t="str">
        <f t="shared" si="183"/>
        <v/>
      </c>
      <c r="FN22" s="39" t="str">
        <f t="shared" si="184"/>
        <v/>
      </c>
      <c r="FO22" s="39" t="str">
        <f t="shared" si="185"/>
        <v/>
      </c>
      <c r="FP22" s="39" t="str">
        <f t="shared" si="186"/>
        <v/>
      </c>
      <c r="FQ22" s="39" t="str">
        <f t="shared" si="187"/>
        <v/>
      </c>
      <c r="FR22" s="39" t="str">
        <f t="shared" si="188"/>
        <v/>
      </c>
      <c r="FS22" s="39" t="str">
        <f t="shared" si="189"/>
        <v/>
      </c>
      <c r="FT22" s="39" t="str">
        <f t="shared" si="190"/>
        <v/>
      </c>
      <c r="FU22" s="39" t="str">
        <f t="shared" si="191"/>
        <v/>
      </c>
      <c r="FV22" s="39" t="str">
        <f t="shared" si="192"/>
        <v/>
      </c>
      <c r="FW22" s="39" t="str">
        <f t="shared" si="193"/>
        <v/>
      </c>
      <c r="FX22" s="39" t="str">
        <f t="shared" si="194"/>
        <v/>
      </c>
      <c r="FY22" s="39" t="str">
        <f t="shared" si="195"/>
        <v/>
      </c>
      <c r="FZ22" s="39" t="str">
        <f t="shared" si="196"/>
        <v/>
      </c>
      <c r="GA22" s="39" t="str">
        <f t="shared" si="197"/>
        <v/>
      </c>
      <c r="GB22" s="39" t="str">
        <f t="shared" si="155"/>
        <v/>
      </c>
      <c r="GC22" s="39" t="str">
        <f t="shared" si="156"/>
        <v/>
      </c>
      <c r="GD22" s="39" t="str">
        <f t="shared" si="157"/>
        <v/>
      </c>
      <c r="GE22" s="39" t="str">
        <f t="shared" si="158"/>
        <v/>
      </c>
      <c r="GF22" s="39" t="str">
        <f t="shared" si="198"/>
        <v/>
      </c>
      <c r="GG22" s="39" t="str">
        <f t="shared" si="198"/>
        <v/>
      </c>
      <c r="GH22" s="39" t="str">
        <f t="shared" si="198"/>
        <v/>
      </c>
      <c r="GI22" s="39" t="str">
        <f t="shared" si="198"/>
        <v/>
      </c>
      <c r="GJ22" s="39" t="str">
        <f t="shared" si="198"/>
        <v/>
      </c>
      <c r="GK22" s="39" t="str">
        <f t="shared" si="198"/>
        <v/>
      </c>
      <c r="GL22" s="39" t="str">
        <f t="shared" si="198"/>
        <v/>
      </c>
      <c r="GM22" s="39" t="str">
        <f t="shared" si="198"/>
        <v/>
      </c>
      <c r="GN22" s="39" t="str">
        <f t="shared" si="198"/>
        <v/>
      </c>
      <c r="GO22" s="39" t="str">
        <f t="shared" si="198"/>
        <v/>
      </c>
      <c r="GP22" s="39" t="str">
        <f t="shared" si="199"/>
        <v/>
      </c>
      <c r="GQ22" s="39" t="str">
        <f t="shared" si="199"/>
        <v/>
      </c>
      <c r="GR22" s="39" t="str">
        <f t="shared" si="199"/>
        <v/>
      </c>
      <c r="GS22" s="39" t="str">
        <f t="shared" si="199"/>
        <v/>
      </c>
      <c r="GT22" s="39" t="str">
        <f t="shared" si="199"/>
        <v/>
      </c>
      <c r="GU22" s="39" t="str">
        <f t="shared" si="199"/>
        <v/>
      </c>
      <c r="GV22" s="39" t="str">
        <f t="shared" si="199"/>
        <v/>
      </c>
      <c r="GW22" s="39" t="str">
        <f t="shared" si="199"/>
        <v/>
      </c>
      <c r="GX22" s="39" t="str">
        <f t="shared" si="199"/>
        <v/>
      </c>
      <c r="GY22" s="39" t="str">
        <f t="shared" si="199"/>
        <v/>
      </c>
      <c r="GZ22" s="39" t="str">
        <f t="shared" si="200"/>
        <v/>
      </c>
      <c r="HA22" s="39" t="str">
        <f t="shared" si="200"/>
        <v/>
      </c>
      <c r="HB22" s="39" t="str">
        <f t="shared" si="200"/>
        <v/>
      </c>
      <c r="HC22" s="39" t="str">
        <f t="shared" si="200"/>
        <v/>
      </c>
      <c r="HD22" s="39" t="str">
        <f t="shared" si="200"/>
        <v/>
      </c>
      <c r="HE22" s="39" t="str">
        <f t="shared" si="200"/>
        <v/>
      </c>
      <c r="HF22" s="39" t="str">
        <f t="shared" si="200"/>
        <v/>
      </c>
      <c r="HG22" s="39" t="str">
        <f t="shared" si="200"/>
        <v/>
      </c>
      <c r="HH22" s="39" t="str">
        <f t="shared" si="200"/>
        <v/>
      </c>
      <c r="HI22" s="39" t="str">
        <f t="shared" si="200"/>
        <v/>
      </c>
      <c r="HJ22" s="39" t="str">
        <f t="shared" si="201"/>
        <v/>
      </c>
      <c r="HK22" s="39" t="str">
        <f t="shared" si="201"/>
        <v/>
      </c>
      <c r="HL22" s="39" t="str">
        <f t="shared" si="201"/>
        <v/>
      </c>
      <c r="HM22" s="39" t="str">
        <f t="shared" si="201"/>
        <v/>
      </c>
      <c r="HN22" s="39" t="str">
        <f t="shared" si="201"/>
        <v/>
      </c>
      <c r="HO22" s="39" t="str">
        <f t="shared" si="201"/>
        <v/>
      </c>
      <c r="HP22" s="39" t="str">
        <f t="shared" si="201"/>
        <v/>
      </c>
      <c r="HQ22" s="39" t="str">
        <f t="shared" si="201"/>
        <v/>
      </c>
      <c r="HR22" s="39" t="str">
        <f t="shared" si="201"/>
        <v/>
      </c>
      <c r="HS22" s="39" t="str">
        <f t="shared" si="201"/>
        <v/>
      </c>
      <c r="HT22" s="39" t="str">
        <f t="shared" si="202"/>
        <v/>
      </c>
      <c r="HU22" s="39" t="str">
        <f t="shared" si="202"/>
        <v/>
      </c>
      <c r="HV22" s="39" t="str">
        <f t="shared" si="202"/>
        <v/>
      </c>
      <c r="HW22" s="39" t="str">
        <f t="shared" si="202"/>
        <v/>
      </c>
      <c r="HX22" s="39" t="str">
        <f t="shared" si="202"/>
        <v/>
      </c>
      <c r="HY22" s="39" t="str">
        <f t="shared" si="202"/>
        <v/>
      </c>
      <c r="HZ22" s="39" t="str">
        <f t="shared" si="202"/>
        <v/>
      </c>
      <c r="IA22" s="39" t="str">
        <f t="shared" si="202"/>
        <v/>
      </c>
      <c r="IB22" s="39" t="str">
        <f t="shared" si="202"/>
        <v/>
      </c>
      <c r="IC22" s="39" t="str">
        <f t="shared" si="202"/>
        <v/>
      </c>
      <c r="ID22" s="39" t="str">
        <f t="shared" si="203"/>
        <v/>
      </c>
      <c r="IE22" s="39" t="str">
        <f t="shared" si="68"/>
        <v/>
      </c>
      <c r="IF22" s="39" t="str">
        <f t="shared" si="69"/>
        <v/>
      </c>
      <c r="IG22" s="308">
        <f t="shared" si="70"/>
        <v>1.6263557786206258E-3</v>
      </c>
      <c r="IH22" s="84">
        <f t="shared" si="204"/>
        <v>2.3239572271008891E-3</v>
      </c>
      <c r="II22" s="84">
        <f t="shared" si="205"/>
        <v>1.9204954075778885E-3</v>
      </c>
      <c r="IJ22" s="84">
        <f t="shared" si="206"/>
        <v>1.7629468664942013E-3</v>
      </c>
      <c r="IK22" s="84">
        <f t="shared" si="207"/>
        <v>1.4337655771479879E-3</v>
      </c>
      <c r="IL22" s="84">
        <f t="shared" si="208"/>
        <v>8.2648979191929112E-4</v>
      </c>
      <c r="IM22" s="308" t="str">
        <f t="shared" si="76"/>
        <v/>
      </c>
      <c r="IN22" s="84" t="str">
        <f t="shared" si="209"/>
        <v/>
      </c>
      <c r="IO22" s="84" t="str">
        <f t="shared" si="210"/>
        <v/>
      </c>
      <c r="IP22" s="84" t="str">
        <f t="shared" si="211"/>
        <v/>
      </c>
      <c r="IQ22" s="84" t="str">
        <f t="shared" si="212"/>
        <v/>
      </c>
      <c r="IR22" s="84" t="str">
        <f t="shared" si="213"/>
        <v/>
      </c>
      <c r="IS22" s="308" t="str">
        <f t="shared" si="82"/>
        <v/>
      </c>
      <c r="IT22" s="84" t="str">
        <f t="shared" si="214"/>
        <v/>
      </c>
      <c r="IU22" s="84" t="str">
        <f t="shared" si="215"/>
        <v/>
      </c>
      <c r="IV22" s="84" t="str">
        <f t="shared" si="216"/>
        <v/>
      </c>
      <c r="IW22" s="84" t="str">
        <f t="shared" si="217"/>
        <v/>
      </c>
      <c r="IX22" s="84" t="str">
        <f t="shared" si="218"/>
        <v/>
      </c>
      <c r="IY22" s="308" t="str">
        <f t="shared" si="88"/>
        <v/>
      </c>
      <c r="IZ22" s="84" t="str">
        <f t="shared" si="219"/>
        <v/>
      </c>
      <c r="JA22" s="84" t="str">
        <f t="shared" si="220"/>
        <v/>
      </c>
      <c r="JB22" s="84" t="str">
        <f t="shared" si="221"/>
        <v/>
      </c>
      <c r="JC22" s="84" t="str">
        <f t="shared" si="222"/>
        <v/>
      </c>
      <c r="JD22" s="309" t="str">
        <f t="shared" si="223"/>
        <v/>
      </c>
      <c r="JF22" s="66">
        <f t="shared" si="224"/>
        <v>22</v>
      </c>
      <c r="JG22" s="79">
        <f t="shared" ca="1" si="95"/>
        <v>1.9204954075778885E-3</v>
      </c>
      <c r="JH22" s="79">
        <f t="shared" ca="1" si="96"/>
        <v>1.7629468664942013E-3</v>
      </c>
      <c r="JI22" s="79">
        <f t="shared" ca="1" si="97"/>
        <v>1.4337655771479879E-3</v>
      </c>
      <c r="JJ22" s="66">
        <f t="shared" ca="1" si="98"/>
        <v>5</v>
      </c>
      <c r="JK22" s="33"/>
      <c r="JL22" s="78">
        <f t="shared" ca="1" si="121"/>
        <v>1.9204954075778885E-3</v>
      </c>
      <c r="JM22" s="78">
        <f t="shared" ca="1" si="99"/>
        <v>1.841721137036045E-3</v>
      </c>
      <c r="JN22" s="78">
        <f t="shared" ca="1" si="100"/>
        <v>1.5983562218210945E-3</v>
      </c>
      <c r="JO22" s="78">
        <f t="shared" ca="1" si="122"/>
        <v>1.4337655771479879E-3</v>
      </c>
      <c r="JP22" s="78">
        <f t="shared" ca="1" si="123"/>
        <v>6.7943383435830149E-3</v>
      </c>
    </row>
    <row r="23" spans="1:276" s="1" customFormat="1" x14ac:dyDescent="0.35">
      <c r="A23" s="125">
        <v>0</v>
      </c>
      <c r="B23" s="125">
        <v>0</v>
      </c>
      <c r="C23" s="125">
        <v>1</v>
      </c>
      <c r="D23" s="163"/>
      <c r="E23" s="142" t="s">
        <v>36</v>
      </c>
      <c r="F23" s="208" t="s">
        <v>37</v>
      </c>
      <c r="G23" s="209" t="s">
        <v>540</v>
      </c>
      <c r="H23" s="210" t="s">
        <v>533</v>
      </c>
      <c r="I23" s="8" t="s">
        <v>534</v>
      </c>
      <c r="J23" s="211">
        <v>1.603189204625527E-4</v>
      </c>
      <c r="K23" s="215">
        <v>5.2782516371726774E-5</v>
      </c>
      <c r="L23" s="215">
        <v>4.7071825807557471E-4</v>
      </c>
      <c r="M23" s="215" t="s">
        <v>805</v>
      </c>
      <c r="N23" s="215" t="s">
        <v>805</v>
      </c>
      <c r="O23" s="215" t="s">
        <v>805</v>
      </c>
      <c r="P23" s="215" t="s">
        <v>805</v>
      </c>
      <c r="Q23" s="215" t="s">
        <v>805</v>
      </c>
      <c r="R23" s="215" t="s">
        <v>805</v>
      </c>
      <c r="S23" s="215" t="s">
        <v>805</v>
      </c>
      <c r="T23" s="215" t="s">
        <v>805</v>
      </c>
      <c r="U23" s="215" t="s">
        <v>805</v>
      </c>
      <c r="V23" s="215" t="s">
        <v>805</v>
      </c>
      <c r="W23" s="215" t="s">
        <v>805</v>
      </c>
      <c r="X23" s="215" t="s">
        <v>805</v>
      </c>
      <c r="Y23" s="215" t="s">
        <v>805</v>
      </c>
      <c r="Z23" s="215" t="s">
        <v>805</v>
      </c>
      <c r="AA23" s="215" t="s">
        <v>805</v>
      </c>
      <c r="AB23" s="215" t="s">
        <v>805</v>
      </c>
      <c r="AC23" s="215" t="s">
        <v>805</v>
      </c>
      <c r="AD23" s="215" t="s">
        <v>805</v>
      </c>
      <c r="AE23" s="215" t="s">
        <v>805</v>
      </c>
      <c r="AF23" s="215" t="s">
        <v>805</v>
      </c>
      <c r="AG23" s="215" t="s">
        <v>805</v>
      </c>
      <c r="AH23" s="215" t="s">
        <v>805</v>
      </c>
      <c r="AI23" s="215" t="s">
        <v>805</v>
      </c>
      <c r="AJ23" s="215" t="s">
        <v>805</v>
      </c>
      <c r="AK23" s="215" t="s">
        <v>805</v>
      </c>
      <c r="AL23" s="215" t="s">
        <v>805</v>
      </c>
      <c r="AM23" s="215" t="s">
        <v>805</v>
      </c>
      <c r="AN23" s="215" t="s">
        <v>805</v>
      </c>
      <c r="AO23" s="215" t="s">
        <v>805</v>
      </c>
      <c r="AP23" s="215" t="s">
        <v>805</v>
      </c>
      <c r="AQ23" s="215" t="s">
        <v>805</v>
      </c>
      <c r="AR23" s="215" t="s">
        <v>805</v>
      </c>
      <c r="AS23" s="215" t="s">
        <v>805</v>
      </c>
      <c r="AT23" s="215" t="s">
        <v>805</v>
      </c>
      <c r="AU23" s="215" t="s">
        <v>805</v>
      </c>
      <c r="AV23" s="215" t="s">
        <v>805</v>
      </c>
      <c r="AW23" s="215" t="s">
        <v>805</v>
      </c>
      <c r="AX23" s="215" t="s">
        <v>805</v>
      </c>
      <c r="AY23" s="215" t="s">
        <v>805</v>
      </c>
      <c r="AZ23" s="215" t="s">
        <v>805</v>
      </c>
      <c r="BA23" s="215" t="s">
        <v>805</v>
      </c>
      <c r="BB23" s="215" t="s">
        <v>805</v>
      </c>
      <c r="BC23" s="215" t="s">
        <v>805</v>
      </c>
      <c r="BD23" s="215" t="s">
        <v>805</v>
      </c>
      <c r="BE23" s="215" t="s">
        <v>805</v>
      </c>
      <c r="BF23" s="215" t="s">
        <v>805</v>
      </c>
      <c r="BG23" s="215" t="s">
        <v>805</v>
      </c>
      <c r="BH23" s="215" t="s">
        <v>805</v>
      </c>
      <c r="BI23" s="215" t="s">
        <v>805</v>
      </c>
      <c r="BJ23" s="215" t="s">
        <v>805</v>
      </c>
      <c r="BK23" s="215" t="s">
        <v>805</v>
      </c>
      <c r="BL23" s="215" t="s">
        <v>805</v>
      </c>
      <c r="BM23" s="215" t="s">
        <v>805</v>
      </c>
      <c r="BN23" s="215" t="s">
        <v>805</v>
      </c>
      <c r="BO23" s="215" t="s">
        <v>805</v>
      </c>
      <c r="BP23" s="215" t="s">
        <v>805</v>
      </c>
      <c r="BQ23" s="215" t="s">
        <v>805</v>
      </c>
      <c r="BR23" s="215" t="s">
        <v>805</v>
      </c>
      <c r="BS23" s="215" t="s">
        <v>805</v>
      </c>
      <c r="BT23" s="215" t="s">
        <v>805</v>
      </c>
      <c r="BU23" s="215" t="s">
        <v>805</v>
      </c>
      <c r="BV23" s="215" t="s">
        <v>805</v>
      </c>
      <c r="BW23" s="215" t="s">
        <v>805</v>
      </c>
      <c r="BX23" s="215" t="s">
        <v>805</v>
      </c>
      <c r="BY23" s="215" t="s">
        <v>805</v>
      </c>
      <c r="BZ23" s="215" t="s">
        <v>805</v>
      </c>
      <c r="CA23" s="215" t="s">
        <v>805</v>
      </c>
      <c r="CB23" s="215" t="s">
        <v>805</v>
      </c>
      <c r="CC23" s="215" t="s">
        <v>805</v>
      </c>
      <c r="CD23" s="215" t="s">
        <v>805</v>
      </c>
      <c r="CE23" s="215" t="s">
        <v>805</v>
      </c>
      <c r="CF23" s="215" t="s">
        <v>805</v>
      </c>
      <c r="CG23" s="215" t="s">
        <v>805</v>
      </c>
      <c r="CH23" s="215" t="s">
        <v>805</v>
      </c>
      <c r="CI23" s="215" t="s">
        <v>805</v>
      </c>
      <c r="CJ23" s="215" t="s">
        <v>805</v>
      </c>
      <c r="CK23" s="215" t="s">
        <v>805</v>
      </c>
      <c r="CL23" s="215" t="s">
        <v>805</v>
      </c>
      <c r="CM23" s="215" t="s">
        <v>805</v>
      </c>
      <c r="CN23" s="215" t="s">
        <v>805</v>
      </c>
      <c r="CO23" s="215" t="s">
        <v>805</v>
      </c>
      <c r="CP23" s="215" t="s">
        <v>805</v>
      </c>
      <c r="CQ23" s="215" t="s">
        <v>805</v>
      </c>
      <c r="CR23" s="215" t="s">
        <v>805</v>
      </c>
      <c r="CS23" s="215" t="s">
        <v>805</v>
      </c>
      <c r="CT23" s="215" t="s">
        <v>805</v>
      </c>
      <c r="CU23" s="215" t="s">
        <v>805</v>
      </c>
      <c r="CV23" s="215" t="s">
        <v>805</v>
      </c>
      <c r="CW23" s="215" t="s">
        <v>805</v>
      </c>
      <c r="CX23" s="215" t="s">
        <v>805</v>
      </c>
      <c r="CY23" s="215" t="s">
        <v>805</v>
      </c>
      <c r="CZ23" s="215" t="s">
        <v>805</v>
      </c>
      <c r="DA23" s="215" t="s">
        <v>805</v>
      </c>
      <c r="DB23" s="215" t="s">
        <v>805</v>
      </c>
      <c r="DC23" s="215" t="s">
        <v>805</v>
      </c>
      <c r="DD23" s="215" t="s">
        <v>805</v>
      </c>
      <c r="DE23" s="215" t="s">
        <v>805</v>
      </c>
      <c r="DF23" s="215" t="s">
        <v>805</v>
      </c>
      <c r="DG23" s="212">
        <f>VLOOKUP(E23,'KPI Count-SHARE'!A:F,3,0)</f>
        <v>4</v>
      </c>
      <c r="DH23" s="213">
        <v>1.6051515777965226E-3</v>
      </c>
      <c r="DI23" s="216">
        <v>2.4330250582245182E-3</v>
      </c>
      <c r="DJ23" s="216">
        <v>1.8974038867933408E-3</v>
      </c>
      <c r="DK23" s="216">
        <v>1.5949317525533046E-3</v>
      </c>
      <c r="DL23" s="216">
        <v>1.3026794435564864E-3</v>
      </c>
      <c r="DM23" s="216">
        <v>7.8545395756310149E-4</v>
      </c>
      <c r="DN23" s="212">
        <f>VLOOKUP(E23,'KPI Count-SHARE'!A:F,4,0)</f>
        <v>0</v>
      </c>
      <c r="DO23" s="213"/>
      <c r="DP23" s="216"/>
      <c r="DQ23" s="216"/>
      <c r="DR23" s="216"/>
      <c r="DS23" s="216"/>
      <c r="DT23" s="216"/>
      <c r="DU23" s="212">
        <f>VLOOKUP(E23,'KPI Count-SHARE'!A:F,5,0)</f>
        <v>0</v>
      </c>
      <c r="DV23" s="213"/>
      <c r="DW23" s="216"/>
      <c r="DX23" s="216"/>
      <c r="DY23" s="216"/>
      <c r="DZ23" s="216"/>
      <c r="EA23" s="216"/>
      <c r="EB23" s="212">
        <f>VLOOKUP(E23,'KPI Count-SHARE'!A:F,6,0)</f>
        <v>0</v>
      </c>
      <c r="EC23" s="213"/>
      <c r="ED23" s="216"/>
      <c r="EE23" s="216"/>
      <c r="EF23" s="216"/>
      <c r="EG23" s="216"/>
      <c r="EH23" s="216"/>
      <c r="EI23" s="214" t="s">
        <v>533</v>
      </c>
      <c r="EJ23" s="39">
        <f t="shared" si="101"/>
        <v>1.603189204625527E-4</v>
      </c>
      <c r="EK23" s="39">
        <f t="shared" si="102"/>
        <v>5.2782516371726774E-5</v>
      </c>
      <c r="EL23" s="39">
        <f t="shared" si="103"/>
        <v>4.7071825807557471E-4</v>
      </c>
      <c r="EM23" s="39" t="str">
        <f t="shared" si="104"/>
        <v/>
      </c>
      <c r="EN23" s="39" t="str">
        <f t="shared" si="105"/>
        <v/>
      </c>
      <c r="EO23" s="39" t="str">
        <f t="shared" si="106"/>
        <v/>
      </c>
      <c r="EP23" s="39" t="str">
        <f t="shared" si="107"/>
        <v/>
      </c>
      <c r="EQ23" s="39" t="str">
        <f t="shared" si="108"/>
        <v/>
      </c>
      <c r="ER23" s="39" t="str">
        <f t="shared" si="109"/>
        <v/>
      </c>
      <c r="ES23" s="39" t="str">
        <f t="shared" si="110"/>
        <v/>
      </c>
      <c r="ET23" s="39" t="str">
        <f t="shared" si="111"/>
        <v/>
      </c>
      <c r="EU23" s="39" t="str">
        <f t="shared" si="165"/>
        <v/>
      </c>
      <c r="EV23" s="39" t="str">
        <f t="shared" si="166"/>
        <v/>
      </c>
      <c r="EW23" s="39" t="str">
        <f t="shared" si="167"/>
        <v/>
      </c>
      <c r="EX23" s="39" t="str">
        <f t="shared" si="168"/>
        <v/>
      </c>
      <c r="EY23" s="39" t="str">
        <f t="shared" si="169"/>
        <v/>
      </c>
      <c r="EZ23" s="39" t="str">
        <f t="shared" si="170"/>
        <v/>
      </c>
      <c r="FA23" s="39" t="str">
        <f t="shared" si="171"/>
        <v/>
      </c>
      <c r="FB23" s="39" t="str">
        <f t="shared" si="172"/>
        <v/>
      </c>
      <c r="FC23" s="39" t="str">
        <f t="shared" si="173"/>
        <v/>
      </c>
      <c r="FD23" s="39" t="str">
        <f t="shared" si="174"/>
        <v/>
      </c>
      <c r="FE23" s="39" t="str">
        <f t="shared" si="175"/>
        <v/>
      </c>
      <c r="FF23" s="39" t="str">
        <f t="shared" si="176"/>
        <v/>
      </c>
      <c r="FG23" s="39" t="str">
        <f t="shared" si="177"/>
        <v/>
      </c>
      <c r="FH23" s="39" t="str">
        <f t="shared" si="178"/>
        <v/>
      </c>
      <c r="FI23" s="39" t="str">
        <f t="shared" si="179"/>
        <v/>
      </c>
      <c r="FJ23" s="39" t="str">
        <f t="shared" si="180"/>
        <v/>
      </c>
      <c r="FK23" s="39" t="str">
        <f t="shared" si="181"/>
        <v/>
      </c>
      <c r="FL23" s="39" t="str">
        <f t="shared" si="182"/>
        <v/>
      </c>
      <c r="FM23" s="39" t="str">
        <f t="shared" si="183"/>
        <v/>
      </c>
      <c r="FN23" s="39" t="str">
        <f t="shared" si="184"/>
        <v/>
      </c>
      <c r="FO23" s="39" t="str">
        <f t="shared" si="185"/>
        <v/>
      </c>
      <c r="FP23" s="39" t="str">
        <f t="shared" si="186"/>
        <v/>
      </c>
      <c r="FQ23" s="39" t="str">
        <f t="shared" si="187"/>
        <v/>
      </c>
      <c r="FR23" s="39" t="str">
        <f t="shared" si="188"/>
        <v/>
      </c>
      <c r="FS23" s="39" t="str">
        <f t="shared" si="189"/>
        <v/>
      </c>
      <c r="FT23" s="39" t="str">
        <f t="shared" si="190"/>
        <v/>
      </c>
      <c r="FU23" s="39" t="str">
        <f t="shared" si="191"/>
        <v/>
      </c>
      <c r="FV23" s="39" t="str">
        <f t="shared" si="192"/>
        <v/>
      </c>
      <c r="FW23" s="39" t="str">
        <f t="shared" si="193"/>
        <v/>
      </c>
      <c r="FX23" s="39" t="str">
        <f t="shared" si="194"/>
        <v/>
      </c>
      <c r="FY23" s="39" t="str">
        <f t="shared" si="195"/>
        <v/>
      </c>
      <c r="FZ23" s="39" t="str">
        <f t="shared" si="196"/>
        <v/>
      </c>
      <c r="GA23" s="39" t="str">
        <f t="shared" si="197"/>
        <v/>
      </c>
      <c r="GB23" s="39" t="str">
        <f t="shared" si="155"/>
        <v/>
      </c>
      <c r="GC23" s="39" t="str">
        <f t="shared" si="156"/>
        <v/>
      </c>
      <c r="GD23" s="39" t="str">
        <f t="shared" si="157"/>
        <v/>
      </c>
      <c r="GE23" s="39" t="str">
        <f t="shared" si="158"/>
        <v/>
      </c>
      <c r="GF23" s="39" t="str">
        <f t="shared" si="198"/>
        <v/>
      </c>
      <c r="GG23" s="39" t="str">
        <f t="shared" si="198"/>
        <v/>
      </c>
      <c r="GH23" s="39" t="str">
        <f t="shared" si="198"/>
        <v/>
      </c>
      <c r="GI23" s="39" t="str">
        <f t="shared" si="198"/>
        <v/>
      </c>
      <c r="GJ23" s="39" t="str">
        <f t="shared" si="198"/>
        <v/>
      </c>
      <c r="GK23" s="39" t="str">
        <f t="shared" si="198"/>
        <v/>
      </c>
      <c r="GL23" s="39" t="str">
        <f t="shared" si="198"/>
        <v/>
      </c>
      <c r="GM23" s="39" t="str">
        <f t="shared" si="198"/>
        <v/>
      </c>
      <c r="GN23" s="39" t="str">
        <f t="shared" si="198"/>
        <v/>
      </c>
      <c r="GO23" s="39" t="str">
        <f t="shared" si="198"/>
        <v/>
      </c>
      <c r="GP23" s="39" t="str">
        <f t="shared" si="199"/>
        <v/>
      </c>
      <c r="GQ23" s="39" t="str">
        <f t="shared" si="199"/>
        <v/>
      </c>
      <c r="GR23" s="39" t="str">
        <f t="shared" si="199"/>
        <v/>
      </c>
      <c r="GS23" s="39" t="str">
        <f t="shared" si="199"/>
        <v/>
      </c>
      <c r="GT23" s="39" t="str">
        <f t="shared" si="199"/>
        <v/>
      </c>
      <c r="GU23" s="39" t="str">
        <f t="shared" si="199"/>
        <v/>
      </c>
      <c r="GV23" s="39" t="str">
        <f t="shared" si="199"/>
        <v/>
      </c>
      <c r="GW23" s="39" t="str">
        <f t="shared" si="199"/>
        <v/>
      </c>
      <c r="GX23" s="39" t="str">
        <f t="shared" si="199"/>
        <v/>
      </c>
      <c r="GY23" s="39" t="str">
        <f t="shared" si="199"/>
        <v/>
      </c>
      <c r="GZ23" s="39" t="str">
        <f t="shared" si="200"/>
        <v/>
      </c>
      <c r="HA23" s="39" t="str">
        <f t="shared" si="200"/>
        <v/>
      </c>
      <c r="HB23" s="39" t="str">
        <f t="shared" si="200"/>
        <v/>
      </c>
      <c r="HC23" s="39" t="str">
        <f t="shared" si="200"/>
        <v/>
      </c>
      <c r="HD23" s="39" t="str">
        <f t="shared" si="200"/>
        <v/>
      </c>
      <c r="HE23" s="39" t="str">
        <f t="shared" si="200"/>
        <v/>
      </c>
      <c r="HF23" s="39" t="str">
        <f t="shared" si="200"/>
        <v/>
      </c>
      <c r="HG23" s="39" t="str">
        <f t="shared" si="200"/>
        <v/>
      </c>
      <c r="HH23" s="39" t="str">
        <f t="shared" si="200"/>
        <v/>
      </c>
      <c r="HI23" s="39" t="str">
        <f t="shared" si="200"/>
        <v/>
      </c>
      <c r="HJ23" s="39" t="str">
        <f t="shared" si="201"/>
        <v/>
      </c>
      <c r="HK23" s="39" t="str">
        <f t="shared" si="201"/>
        <v/>
      </c>
      <c r="HL23" s="39" t="str">
        <f t="shared" si="201"/>
        <v/>
      </c>
      <c r="HM23" s="39" t="str">
        <f t="shared" si="201"/>
        <v/>
      </c>
      <c r="HN23" s="39" t="str">
        <f t="shared" si="201"/>
        <v/>
      </c>
      <c r="HO23" s="39" t="str">
        <f t="shared" si="201"/>
        <v/>
      </c>
      <c r="HP23" s="39" t="str">
        <f t="shared" si="201"/>
        <v/>
      </c>
      <c r="HQ23" s="39" t="str">
        <f t="shared" si="201"/>
        <v/>
      </c>
      <c r="HR23" s="39" t="str">
        <f t="shared" si="201"/>
        <v/>
      </c>
      <c r="HS23" s="39" t="str">
        <f t="shared" si="201"/>
        <v/>
      </c>
      <c r="HT23" s="39" t="str">
        <f t="shared" si="202"/>
        <v/>
      </c>
      <c r="HU23" s="39" t="str">
        <f t="shared" si="202"/>
        <v/>
      </c>
      <c r="HV23" s="39" t="str">
        <f t="shared" si="202"/>
        <v/>
      </c>
      <c r="HW23" s="39" t="str">
        <f t="shared" si="202"/>
        <v/>
      </c>
      <c r="HX23" s="39" t="str">
        <f t="shared" si="202"/>
        <v/>
      </c>
      <c r="HY23" s="39" t="str">
        <f t="shared" si="202"/>
        <v/>
      </c>
      <c r="HZ23" s="39" t="str">
        <f t="shared" si="202"/>
        <v/>
      </c>
      <c r="IA23" s="39" t="str">
        <f t="shared" si="202"/>
        <v/>
      </c>
      <c r="IB23" s="39" t="str">
        <f t="shared" si="202"/>
        <v/>
      </c>
      <c r="IC23" s="39" t="str">
        <f t="shared" si="202"/>
        <v/>
      </c>
      <c r="ID23" s="39" t="str">
        <f t="shared" si="203"/>
        <v/>
      </c>
      <c r="IE23" s="39" t="str">
        <f t="shared" si="68"/>
        <v/>
      </c>
      <c r="IF23" s="39" t="str">
        <f t="shared" si="69"/>
        <v/>
      </c>
      <c r="IG23" s="308">
        <f t="shared" si="70"/>
        <v>1.6051515777965226E-3</v>
      </c>
      <c r="IH23" s="84">
        <f t="shared" si="204"/>
        <v>2.4330250582245182E-3</v>
      </c>
      <c r="II23" s="84">
        <f t="shared" si="205"/>
        <v>1.8974038867933408E-3</v>
      </c>
      <c r="IJ23" s="84">
        <f t="shared" si="206"/>
        <v>1.5949317525533046E-3</v>
      </c>
      <c r="IK23" s="84">
        <f t="shared" si="207"/>
        <v>1.3026794435564864E-3</v>
      </c>
      <c r="IL23" s="84">
        <f t="shared" si="208"/>
        <v>7.8545395756310149E-4</v>
      </c>
      <c r="IM23" s="308" t="str">
        <f t="shared" si="76"/>
        <v/>
      </c>
      <c r="IN23" s="84" t="str">
        <f t="shared" si="209"/>
        <v/>
      </c>
      <c r="IO23" s="84" t="str">
        <f t="shared" si="210"/>
        <v/>
      </c>
      <c r="IP23" s="84" t="str">
        <f t="shared" si="211"/>
        <v/>
      </c>
      <c r="IQ23" s="84" t="str">
        <f t="shared" si="212"/>
        <v/>
      </c>
      <c r="IR23" s="84" t="str">
        <f t="shared" si="213"/>
        <v/>
      </c>
      <c r="IS23" s="308" t="str">
        <f t="shared" si="82"/>
        <v/>
      </c>
      <c r="IT23" s="84" t="str">
        <f t="shared" si="214"/>
        <v/>
      </c>
      <c r="IU23" s="84" t="str">
        <f t="shared" si="215"/>
        <v/>
      </c>
      <c r="IV23" s="84" t="str">
        <f t="shared" si="216"/>
        <v/>
      </c>
      <c r="IW23" s="84" t="str">
        <f t="shared" si="217"/>
        <v/>
      </c>
      <c r="IX23" s="84" t="str">
        <f t="shared" si="218"/>
        <v/>
      </c>
      <c r="IY23" s="308" t="str">
        <f t="shared" si="88"/>
        <v/>
      </c>
      <c r="IZ23" s="84" t="str">
        <f t="shared" si="219"/>
        <v/>
      </c>
      <c r="JA23" s="84" t="str">
        <f t="shared" si="220"/>
        <v/>
      </c>
      <c r="JB23" s="84" t="str">
        <f t="shared" si="221"/>
        <v/>
      </c>
      <c r="JC23" s="84" t="str">
        <f t="shared" si="222"/>
        <v/>
      </c>
      <c r="JD23" s="309" t="str">
        <f t="shared" si="223"/>
        <v/>
      </c>
      <c r="JF23" s="66">
        <f t="shared" si="224"/>
        <v>23</v>
      </c>
      <c r="JG23" s="79">
        <f t="shared" ca="1" si="95"/>
        <v>1.8974038867933408E-3</v>
      </c>
      <c r="JH23" s="79">
        <f t="shared" ca="1" si="96"/>
        <v>1.5949317525533046E-3</v>
      </c>
      <c r="JI23" s="79">
        <f t="shared" ca="1" si="97"/>
        <v>1.3026794435564864E-3</v>
      </c>
      <c r="JJ23" s="66">
        <f t="shared" ca="1" si="98"/>
        <v>4</v>
      </c>
      <c r="JK23" s="33"/>
      <c r="JL23" s="78">
        <f t="shared" ca="1" si="121"/>
        <v>1.8974038867933408E-3</v>
      </c>
      <c r="JM23" s="78">
        <f t="shared" ca="1" si="99"/>
        <v>1.7461678196733226E-3</v>
      </c>
      <c r="JN23" s="78">
        <f t="shared" ca="1" si="100"/>
        <v>1.4488055980548956E-3</v>
      </c>
      <c r="JO23" s="78">
        <f t="shared" ca="1" si="122"/>
        <v>1.3026794435564864E-3</v>
      </c>
      <c r="JP23" s="78">
        <f t="shared" ca="1" si="123"/>
        <v>6.3950567480780453E-3</v>
      </c>
    </row>
    <row r="24" spans="1:276" s="1" customFormat="1" x14ac:dyDescent="0.35">
      <c r="A24" s="125">
        <v>0</v>
      </c>
      <c r="B24" s="125">
        <v>0</v>
      </c>
      <c r="C24" s="125">
        <v>1</v>
      </c>
      <c r="D24" s="163"/>
      <c r="E24" s="142" t="s">
        <v>38</v>
      </c>
      <c r="F24" s="208" t="s">
        <v>39</v>
      </c>
      <c r="G24" s="209" t="s">
        <v>540</v>
      </c>
      <c r="H24" s="210" t="s">
        <v>533</v>
      </c>
      <c r="I24" s="8" t="s">
        <v>534</v>
      </c>
      <c r="J24" s="211">
        <v>8.4982140963990962E-4</v>
      </c>
      <c r="K24" s="215">
        <v>5.1378792172803475E-4</v>
      </c>
      <c r="L24" s="215">
        <v>1.918907395894261E-3</v>
      </c>
      <c r="M24" s="215" t="s">
        <v>805</v>
      </c>
      <c r="N24" s="215" t="s">
        <v>805</v>
      </c>
      <c r="O24" s="215" t="s">
        <v>805</v>
      </c>
      <c r="P24" s="215" t="s">
        <v>805</v>
      </c>
      <c r="Q24" s="215" t="s">
        <v>805</v>
      </c>
      <c r="R24" s="215" t="s">
        <v>805</v>
      </c>
      <c r="S24" s="215" t="s">
        <v>805</v>
      </c>
      <c r="T24" s="215" t="s">
        <v>805</v>
      </c>
      <c r="U24" s="215" t="s">
        <v>805</v>
      </c>
      <c r="V24" s="215" t="s">
        <v>805</v>
      </c>
      <c r="W24" s="215" t="s">
        <v>805</v>
      </c>
      <c r="X24" s="215" t="s">
        <v>805</v>
      </c>
      <c r="Y24" s="215" t="s">
        <v>805</v>
      </c>
      <c r="Z24" s="215" t="s">
        <v>805</v>
      </c>
      <c r="AA24" s="215" t="s">
        <v>805</v>
      </c>
      <c r="AB24" s="215" t="s">
        <v>805</v>
      </c>
      <c r="AC24" s="215" t="s">
        <v>805</v>
      </c>
      <c r="AD24" s="215" t="s">
        <v>805</v>
      </c>
      <c r="AE24" s="215" t="s">
        <v>805</v>
      </c>
      <c r="AF24" s="215" t="s">
        <v>805</v>
      </c>
      <c r="AG24" s="215" t="s">
        <v>805</v>
      </c>
      <c r="AH24" s="215" t="s">
        <v>805</v>
      </c>
      <c r="AI24" s="215" t="s">
        <v>805</v>
      </c>
      <c r="AJ24" s="215" t="s">
        <v>805</v>
      </c>
      <c r="AK24" s="215" t="s">
        <v>805</v>
      </c>
      <c r="AL24" s="215" t="s">
        <v>805</v>
      </c>
      <c r="AM24" s="215" t="s">
        <v>805</v>
      </c>
      <c r="AN24" s="215" t="s">
        <v>805</v>
      </c>
      <c r="AO24" s="215" t="s">
        <v>805</v>
      </c>
      <c r="AP24" s="215" t="s">
        <v>805</v>
      </c>
      <c r="AQ24" s="215" t="s">
        <v>805</v>
      </c>
      <c r="AR24" s="215" t="s">
        <v>805</v>
      </c>
      <c r="AS24" s="215" t="s">
        <v>805</v>
      </c>
      <c r="AT24" s="215" t="s">
        <v>805</v>
      </c>
      <c r="AU24" s="215" t="s">
        <v>805</v>
      </c>
      <c r="AV24" s="215" t="s">
        <v>805</v>
      </c>
      <c r="AW24" s="215" t="s">
        <v>805</v>
      </c>
      <c r="AX24" s="215" t="s">
        <v>805</v>
      </c>
      <c r="AY24" s="215" t="s">
        <v>805</v>
      </c>
      <c r="AZ24" s="215" t="s">
        <v>805</v>
      </c>
      <c r="BA24" s="215" t="s">
        <v>805</v>
      </c>
      <c r="BB24" s="215" t="s">
        <v>805</v>
      </c>
      <c r="BC24" s="215" t="s">
        <v>805</v>
      </c>
      <c r="BD24" s="215" t="s">
        <v>805</v>
      </c>
      <c r="BE24" s="215" t="s">
        <v>805</v>
      </c>
      <c r="BF24" s="215" t="s">
        <v>805</v>
      </c>
      <c r="BG24" s="215" t="s">
        <v>805</v>
      </c>
      <c r="BH24" s="215" t="s">
        <v>805</v>
      </c>
      <c r="BI24" s="215" t="s">
        <v>805</v>
      </c>
      <c r="BJ24" s="215" t="s">
        <v>805</v>
      </c>
      <c r="BK24" s="215" t="s">
        <v>805</v>
      </c>
      <c r="BL24" s="215" t="s">
        <v>805</v>
      </c>
      <c r="BM24" s="215" t="s">
        <v>805</v>
      </c>
      <c r="BN24" s="215" t="s">
        <v>805</v>
      </c>
      <c r="BO24" s="215" t="s">
        <v>805</v>
      </c>
      <c r="BP24" s="215" t="s">
        <v>805</v>
      </c>
      <c r="BQ24" s="215" t="s">
        <v>805</v>
      </c>
      <c r="BR24" s="215" t="s">
        <v>805</v>
      </c>
      <c r="BS24" s="215" t="s">
        <v>805</v>
      </c>
      <c r="BT24" s="215" t="s">
        <v>805</v>
      </c>
      <c r="BU24" s="215" t="s">
        <v>805</v>
      </c>
      <c r="BV24" s="215" t="s">
        <v>805</v>
      </c>
      <c r="BW24" s="215" t="s">
        <v>805</v>
      </c>
      <c r="BX24" s="215" t="s">
        <v>805</v>
      </c>
      <c r="BY24" s="215" t="s">
        <v>805</v>
      </c>
      <c r="BZ24" s="215" t="s">
        <v>805</v>
      </c>
      <c r="CA24" s="215" t="s">
        <v>805</v>
      </c>
      <c r="CB24" s="215" t="s">
        <v>805</v>
      </c>
      <c r="CC24" s="215" t="s">
        <v>805</v>
      </c>
      <c r="CD24" s="215" t="s">
        <v>805</v>
      </c>
      <c r="CE24" s="215" t="s">
        <v>805</v>
      </c>
      <c r="CF24" s="215" t="s">
        <v>805</v>
      </c>
      <c r="CG24" s="215" t="s">
        <v>805</v>
      </c>
      <c r="CH24" s="215" t="s">
        <v>805</v>
      </c>
      <c r="CI24" s="215" t="s">
        <v>805</v>
      </c>
      <c r="CJ24" s="215" t="s">
        <v>805</v>
      </c>
      <c r="CK24" s="215" t="s">
        <v>805</v>
      </c>
      <c r="CL24" s="215" t="s">
        <v>805</v>
      </c>
      <c r="CM24" s="215" t="s">
        <v>805</v>
      </c>
      <c r="CN24" s="215" t="s">
        <v>805</v>
      </c>
      <c r="CO24" s="215" t="s">
        <v>805</v>
      </c>
      <c r="CP24" s="215" t="s">
        <v>805</v>
      </c>
      <c r="CQ24" s="215" t="s">
        <v>805</v>
      </c>
      <c r="CR24" s="215" t="s">
        <v>805</v>
      </c>
      <c r="CS24" s="215" t="s">
        <v>805</v>
      </c>
      <c r="CT24" s="215" t="s">
        <v>805</v>
      </c>
      <c r="CU24" s="215" t="s">
        <v>805</v>
      </c>
      <c r="CV24" s="215" t="s">
        <v>805</v>
      </c>
      <c r="CW24" s="215" t="s">
        <v>805</v>
      </c>
      <c r="CX24" s="215" t="s">
        <v>805</v>
      </c>
      <c r="CY24" s="215" t="s">
        <v>805</v>
      </c>
      <c r="CZ24" s="215" t="s">
        <v>805</v>
      </c>
      <c r="DA24" s="215" t="s">
        <v>805</v>
      </c>
      <c r="DB24" s="215" t="s">
        <v>805</v>
      </c>
      <c r="DC24" s="215" t="s">
        <v>805</v>
      </c>
      <c r="DD24" s="215" t="s">
        <v>805</v>
      </c>
      <c r="DE24" s="215" t="s">
        <v>805</v>
      </c>
      <c r="DF24" s="215" t="s">
        <v>805</v>
      </c>
      <c r="DG24" s="212">
        <f>VLOOKUP(E24,'KPI Count-SHARE'!A:F,3,0)</f>
        <v>0</v>
      </c>
      <c r="DH24" s="213" t="s">
        <v>805</v>
      </c>
      <c r="DI24" s="216" t="s">
        <v>805</v>
      </c>
      <c r="DJ24" s="216" t="s">
        <v>805</v>
      </c>
      <c r="DK24" s="216" t="s">
        <v>805</v>
      </c>
      <c r="DL24" s="216" t="s">
        <v>805</v>
      </c>
      <c r="DM24" s="216" t="s">
        <v>805</v>
      </c>
      <c r="DN24" s="212">
        <f>VLOOKUP(E24,'KPI Count-SHARE'!A:F,4,0)</f>
        <v>0</v>
      </c>
      <c r="DO24" s="213"/>
      <c r="DP24" s="216"/>
      <c r="DQ24" s="216"/>
      <c r="DR24" s="216"/>
      <c r="DS24" s="216"/>
      <c r="DT24" s="216"/>
      <c r="DU24" s="212">
        <f>VLOOKUP(E24,'KPI Count-SHARE'!A:F,5,0)</f>
        <v>0</v>
      </c>
      <c r="DV24" s="213"/>
      <c r="DW24" s="216"/>
      <c r="DX24" s="216"/>
      <c r="DY24" s="216"/>
      <c r="DZ24" s="216"/>
      <c r="EA24" s="216"/>
      <c r="EB24" s="212">
        <f>VLOOKUP(E24,'KPI Count-SHARE'!A:F,6,0)</f>
        <v>0</v>
      </c>
      <c r="EC24" s="213"/>
      <c r="ED24" s="216"/>
      <c r="EE24" s="216"/>
      <c r="EF24" s="216"/>
      <c r="EG24" s="216"/>
      <c r="EH24" s="216"/>
      <c r="EI24" s="214" t="s">
        <v>533</v>
      </c>
      <c r="EJ24" s="39">
        <f t="shared" si="101"/>
        <v>8.4982140963990962E-4</v>
      </c>
      <c r="EK24" s="39">
        <f t="shared" si="102"/>
        <v>5.1378792172803475E-4</v>
      </c>
      <c r="EL24" s="39">
        <f t="shared" si="103"/>
        <v>1.918907395894261E-3</v>
      </c>
      <c r="EM24" s="39" t="str">
        <f t="shared" si="104"/>
        <v/>
      </c>
      <c r="EN24" s="39" t="str">
        <f t="shared" si="105"/>
        <v/>
      </c>
      <c r="EO24" s="39" t="str">
        <f t="shared" si="106"/>
        <v/>
      </c>
      <c r="EP24" s="39" t="str">
        <f t="shared" si="107"/>
        <v/>
      </c>
      <c r="EQ24" s="39" t="str">
        <f t="shared" si="108"/>
        <v/>
      </c>
      <c r="ER24" s="39" t="str">
        <f t="shared" si="109"/>
        <v/>
      </c>
      <c r="ES24" s="39" t="str">
        <f t="shared" si="110"/>
        <v/>
      </c>
      <c r="ET24" s="39" t="str">
        <f t="shared" si="111"/>
        <v/>
      </c>
      <c r="EU24" s="39" t="str">
        <f t="shared" si="165"/>
        <v/>
      </c>
      <c r="EV24" s="39" t="str">
        <f t="shared" si="166"/>
        <v/>
      </c>
      <c r="EW24" s="39" t="str">
        <f t="shared" si="167"/>
        <v/>
      </c>
      <c r="EX24" s="39" t="str">
        <f t="shared" si="168"/>
        <v/>
      </c>
      <c r="EY24" s="39" t="str">
        <f t="shared" si="169"/>
        <v/>
      </c>
      <c r="EZ24" s="39" t="str">
        <f t="shared" si="170"/>
        <v/>
      </c>
      <c r="FA24" s="39" t="str">
        <f t="shared" si="171"/>
        <v/>
      </c>
      <c r="FB24" s="39" t="str">
        <f t="shared" si="172"/>
        <v/>
      </c>
      <c r="FC24" s="39" t="str">
        <f t="shared" si="173"/>
        <v/>
      </c>
      <c r="FD24" s="39" t="str">
        <f t="shared" si="174"/>
        <v/>
      </c>
      <c r="FE24" s="39" t="str">
        <f t="shared" si="175"/>
        <v/>
      </c>
      <c r="FF24" s="39" t="str">
        <f t="shared" si="176"/>
        <v/>
      </c>
      <c r="FG24" s="39" t="str">
        <f t="shared" si="177"/>
        <v/>
      </c>
      <c r="FH24" s="39" t="str">
        <f t="shared" si="178"/>
        <v/>
      </c>
      <c r="FI24" s="39" t="str">
        <f t="shared" si="179"/>
        <v/>
      </c>
      <c r="FJ24" s="39" t="str">
        <f t="shared" si="180"/>
        <v/>
      </c>
      <c r="FK24" s="39" t="str">
        <f t="shared" si="181"/>
        <v/>
      </c>
      <c r="FL24" s="39" t="str">
        <f t="shared" si="182"/>
        <v/>
      </c>
      <c r="FM24" s="39" t="str">
        <f t="shared" si="183"/>
        <v/>
      </c>
      <c r="FN24" s="39" t="str">
        <f t="shared" si="184"/>
        <v/>
      </c>
      <c r="FO24" s="39" t="str">
        <f t="shared" si="185"/>
        <v/>
      </c>
      <c r="FP24" s="39" t="str">
        <f t="shared" si="186"/>
        <v/>
      </c>
      <c r="FQ24" s="39" t="str">
        <f t="shared" si="187"/>
        <v/>
      </c>
      <c r="FR24" s="39" t="str">
        <f t="shared" si="188"/>
        <v/>
      </c>
      <c r="FS24" s="39" t="str">
        <f t="shared" si="189"/>
        <v/>
      </c>
      <c r="FT24" s="39" t="str">
        <f t="shared" si="190"/>
        <v/>
      </c>
      <c r="FU24" s="39" t="str">
        <f t="shared" si="191"/>
        <v/>
      </c>
      <c r="FV24" s="39" t="str">
        <f t="shared" si="192"/>
        <v/>
      </c>
      <c r="FW24" s="39" t="str">
        <f t="shared" si="193"/>
        <v/>
      </c>
      <c r="FX24" s="39" t="str">
        <f t="shared" si="194"/>
        <v/>
      </c>
      <c r="FY24" s="39" t="str">
        <f t="shared" si="195"/>
        <v/>
      </c>
      <c r="FZ24" s="39" t="str">
        <f t="shared" si="196"/>
        <v/>
      </c>
      <c r="GA24" s="39" t="str">
        <f t="shared" si="197"/>
        <v/>
      </c>
      <c r="GB24" s="39" t="str">
        <f t="shared" si="155"/>
        <v/>
      </c>
      <c r="GC24" s="39" t="str">
        <f t="shared" si="156"/>
        <v/>
      </c>
      <c r="GD24" s="39" t="str">
        <f t="shared" si="157"/>
        <v/>
      </c>
      <c r="GE24" s="39" t="str">
        <f t="shared" si="158"/>
        <v/>
      </c>
      <c r="GF24" s="39" t="str">
        <f t="shared" si="198"/>
        <v/>
      </c>
      <c r="GG24" s="39" t="str">
        <f t="shared" si="198"/>
        <v/>
      </c>
      <c r="GH24" s="39" t="str">
        <f t="shared" si="198"/>
        <v/>
      </c>
      <c r="GI24" s="39" t="str">
        <f t="shared" si="198"/>
        <v/>
      </c>
      <c r="GJ24" s="39" t="str">
        <f t="shared" si="198"/>
        <v/>
      </c>
      <c r="GK24" s="39" t="str">
        <f t="shared" si="198"/>
        <v/>
      </c>
      <c r="GL24" s="39" t="str">
        <f t="shared" si="198"/>
        <v/>
      </c>
      <c r="GM24" s="39" t="str">
        <f t="shared" si="198"/>
        <v/>
      </c>
      <c r="GN24" s="39" t="str">
        <f t="shared" si="198"/>
        <v/>
      </c>
      <c r="GO24" s="39" t="str">
        <f t="shared" si="198"/>
        <v/>
      </c>
      <c r="GP24" s="39" t="str">
        <f t="shared" si="199"/>
        <v/>
      </c>
      <c r="GQ24" s="39" t="str">
        <f t="shared" si="199"/>
        <v/>
      </c>
      <c r="GR24" s="39" t="str">
        <f t="shared" si="199"/>
        <v/>
      </c>
      <c r="GS24" s="39" t="str">
        <f t="shared" si="199"/>
        <v/>
      </c>
      <c r="GT24" s="39" t="str">
        <f t="shared" si="199"/>
        <v/>
      </c>
      <c r="GU24" s="39" t="str">
        <f t="shared" si="199"/>
        <v/>
      </c>
      <c r="GV24" s="39" t="str">
        <f t="shared" si="199"/>
        <v/>
      </c>
      <c r="GW24" s="39" t="str">
        <f t="shared" si="199"/>
        <v/>
      </c>
      <c r="GX24" s="39" t="str">
        <f t="shared" si="199"/>
        <v/>
      </c>
      <c r="GY24" s="39" t="str">
        <f t="shared" si="199"/>
        <v/>
      </c>
      <c r="GZ24" s="39" t="str">
        <f t="shared" si="200"/>
        <v/>
      </c>
      <c r="HA24" s="39" t="str">
        <f t="shared" si="200"/>
        <v/>
      </c>
      <c r="HB24" s="39" t="str">
        <f t="shared" si="200"/>
        <v/>
      </c>
      <c r="HC24" s="39" t="str">
        <f t="shared" si="200"/>
        <v/>
      </c>
      <c r="HD24" s="39" t="str">
        <f t="shared" si="200"/>
        <v/>
      </c>
      <c r="HE24" s="39" t="str">
        <f t="shared" si="200"/>
        <v/>
      </c>
      <c r="HF24" s="39" t="str">
        <f t="shared" si="200"/>
        <v/>
      </c>
      <c r="HG24" s="39" t="str">
        <f t="shared" si="200"/>
        <v/>
      </c>
      <c r="HH24" s="39" t="str">
        <f t="shared" si="200"/>
        <v/>
      </c>
      <c r="HI24" s="39" t="str">
        <f t="shared" si="200"/>
        <v/>
      </c>
      <c r="HJ24" s="39" t="str">
        <f t="shared" si="201"/>
        <v/>
      </c>
      <c r="HK24" s="39" t="str">
        <f t="shared" si="201"/>
        <v/>
      </c>
      <c r="HL24" s="39" t="str">
        <f t="shared" si="201"/>
        <v/>
      </c>
      <c r="HM24" s="39" t="str">
        <f t="shared" si="201"/>
        <v/>
      </c>
      <c r="HN24" s="39" t="str">
        <f t="shared" si="201"/>
        <v/>
      </c>
      <c r="HO24" s="39" t="str">
        <f t="shared" si="201"/>
        <v/>
      </c>
      <c r="HP24" s="39" t="str">
        <f t="shared" si="201"/>
        <v/>
      </c>
      <c r="HQ24" s="39" t="str">
        <f t="shared" si="201"/>
        <v/>
      </c>
      <c r="HR24" s="39" t="str">
        <f t="shared" si="201"/>
        <v/>
      </c>
      <c r="HS24" s="39" t="str">
        <f t="shared" si="201"/>
        <v/>
      </c>
      <c r="HT24" s="39" t="str">
        <f t="shared" si="202"/>
        <v/>
      </c>
      <c r="HU24" s="39" t="str">
        <f t="shared" si="202"/>
        <v/>
      </c>
      <c r="HV24" s="39" t="str">
        <f t="shared" si="202"/>
        <v/>
      </c>
      <c r="HW24" s="39" t="str">
        <f t="shared" si="202"/>
        <v/>
      </c>
      <c r="HX24" s="39" t="str">
        <f t="shared" si="202"/>
        <v/>
      </c>
      <c r="HY24" s="39" t="str">
        <f t="shared" si="202"/>
        <v/>
      </c>
      <c r="HZ24" s="39" t="str">
        <f t="shared" si="202"/>
        <v/>
      </c>
      <c r="IA24" s="39" t="str">
        <f t="shared" si="202"/>
        <v/>
      </c>
      <c r="IB24" s="39" t="str">
        <f t="shared" si="202"/>
        <v/>
      </c>
      <c r="IC24" s="39" t="str">
        <f t="shared" si="202"/>
        <v/>
      </c>
      <c r="ID24" s="39" t="str">
        <f t="shared" si="203"/>
        <v/>
      </c>
      <c r="IE24" s="39" t="str">
        <f t="shared" si="68"/>
        <v/>
      </c>
      <c r="IF24" s="39" t="str">
        <f t="shared" si="69"/>
        <v/>
      </c>
      <c r="IG24" s="308" t="str">
        <f t="shared" si="70"/>
        <v/>
      </c>
      <c r="IH24" s="84" t="str">
        <f t="shared" si="204"/>
        <v/>
      </c>
      <c r="II24" s="84" t="str">
        <f t="shared" si="205"/>
        <v/>
      </c>
      <c r="IJ24" s="84" t="str">
        <f t="shared" si="206"/>
        <v/>
      </c>
      <c r="IK24" s="84" t="str">
        <f t="shared" si="207"/>
        <v/>
      </c>
      <c r="IL24" s="84" t="str">
        <f t="shared" si="208"/>
        <v/>
      </c>
      <c r="IM24" s="308" t="str">
        <f t="shared" si="76"/>
        <v/>
      </c>
      <c r="IN24" s="84" t="str">
        <f t="shared" si="209"/>
        <v/>
      </c>
      <c r="IO24" s="84" t="str">
        <f t="shared" si="210"/>
        <v/>
      </c>
      <c r="IP24" s="84" t="str">
        <f t="shared" si="211"/>
        <v/>
      </c>
      <c r="IQ24" s="84" t="str">
        <f t="shared" si="212"/>
        <v/>
      </c>
      <c r="IR24" s="84" t="str">
        <f t="shared" si="213"/>
        <v/>
      </c>
      <c r="IS24" s="308" t="str">
        <f t="shared" si="82"/>
        <v/>
      </c>
      <c r="IT24" s="84" t="str">
        <f t="shared" si="214"/>
        <v/>
      </c>
      <c r="IU24" s="84" t="str">
        <f t="shared" si="215"/>
        <v/>
      </c>
      <c r="IV24" s="84" t="str">
        <f t="shared" si="216"/>
        <v/>
      </c>
      <c r="IW24" s="84" t="str">
        <f t="shared" si="217"/>
        <v/>
      </c>
      <c r="IX24" s="84" t="str">
        <f t="shared" si="218"/>
        <v/>
      </c>
      <c r="IY24" s="308" t="str">
        <f t="shared" si="88"/>
        <v/>
      </c>
      <c r="IZ24" s="84" t="str">
        <f t="shared" si="219"/>
        <v/>
      </c>
      <c r="JA24" s="84" t="str">
        <f t="shared" si="220"/>
        <v/>
      </c>
      <c r="JB24" s="84" t="str">
        <f t="shared" si="221"/>
        <v/>
      </c>
      <c r="JC24" s="84" t="str">
        <f t="shared" si="222"/>
        <v/>
      </c>
      <c r="JD24" s="309" t="str">
        <f t="shared" si="223"/>
        <v/>
      </c>
      <c r="JF24" s="66">
        <f t="shared" si="224"/>
        <v>24</v>
      </c>
      <c r="JG24" s="79">
        <f t="shared" ca="1" si="95"/>
        <v>0</v>
      </c>
      <c r="JH24" s="79">
        <f t="shared" ca="1" si="96"/>
        <v>0</v>
      </c>
      <c r="JI24" s="79">
        <f t="shared" ca="1" si="97"/>
        <v>0</v>
      </c>
      <c r="JJ24" s="66">
        <f t="shared" ca="1" si="98"/>
        <v>0</v>
      </c>
      <c r="JK24" s="33"/>
      <c r="JL24" s="78" t="str">
        <f t="shared" ca="1" si="121"/>
        <v>-</v>
      </c>
      <c r="JM24" s="78">
        <f t="shared" ca="1" si="99"/>
        <v>0</v>
      </c>
      <c r="JN24" s="78">
        <f t="shared" ca="1" si="100"/>
        <v>0</v>
      </c>
      <c r="JO24" s="78" t="str">
        <f t="shared" ca="1" si="122"/>
        <v>-</v>
      </c>
      <c r="JP24" s="78">
        <f t="shared" ca="1" si="123"/>
        <v>0</v>
      </c>
    </row>
    <row r="25" spans="1:276" s="1" customFormat="1" x14ac:dyDescent="0.35">
      <c r="A25" s="125">
        <v>0</v>
      </c>
      <c r="B25" s="125">
        <v>0</v>
      </c>
      <c r="C25" s="125">
        <v>1</v>
      </c>
      <c r="D25" s="163"/>
      <c r="E25" s="142" t="s">
        <v>40</v>
      </c>
      <c r="F25" s="208" t="s">
        <v>41</v>
      </c>
      <c r="G25" s="209" t="s">
        <v>540</v>
      </c>
      <c r="H25" s="210" t="s">
        <v>533</v>
      </c>
      <c r="I25" s="8" t="s">
        <v>534</v>
      </c>
      <c r="J25" s="211">
        <v>1.0224068044996414E-3</v>
      </c>
      <c r="K25" s="215">
        <v>7.0198603361692547E-4</v>
      </c>
      <c r="L25" s="215">
        <v>1.5159472091378996E-3</v>
      </c>
      <c r="M25" s="215">
        <v>2.062513190311077E-3</v>
      </c>
      <c r="N25" s="215" t="s">
        <v>805</v>
      </c>
      <c r="O25" s="215" t="s">
        <v>805</v>
      </c>
      <c r="P25" s="215" t="s">
        <v>805</v>
      </c>
      <c r="Q25" s="215" t="s">
        <v>805</v>
      </c>
      <c r="R25" s="215" t="s">
        <v>805</v>
      </c>
      <c r="S25" s="215" t="s">
        <v>805</v>
      </c>
      <c r="T25" s="215" t="s">
        <v>805</v>
      </c>
      <c r="U25" s="215" t="s">
        <v>805</v>
      </c>
      <c r="V25" s="215" t="s">
        <v>805</v>
      </c>
      <c r="W25" s="215" t="s">
        <v>805</v>
      </c>
      <c r="X25" s="215" t="s">
        <v>805</v>
      </c>
      <c r="Y25" s="215" t="s">
        <v>805</v>
      </c>
      <c r="Z25" s="215" t="s">
        <v>805</v>
      </c>
      <c r="AA25" s="215" t="s">
        <v>805</v>
      </c>
      <c r="AB25" s="215" t="s">
        <v>805</v>
      </c>
      <c r="AC25" s="215" t="s">
        <v>805</v>
      </c>
      <c r="AD25" s="215" t="s">
        <v>805</v>
      </c>
      <c r="AE25" s="215" t="s">
        <v>805</v>
      </c>
      <c r="AF25" s="215" t="s">
        <v>805</v>
      </c>
      <c r="AG25" s="215" t="s">
        <v>805</v>
      </c>
      <c r="AH25" s="215" t="s">
        <v>805</v>
      </c>
      <c r="AI25" s="215" t="s">
        <v>805</v>
      </c>
      <c r="AJ25" s="215" t="s">
        <v>805</v>
      </c>
      <c r="AK25" s="215" t="s">
        <v>805</v>
      </c>
      <c r="AL25" s="215" t="s">
        <v>805</v>
      </c>
      <c r="AM25" s="215" t="s">
        <v>805</v>
      </c>
      <c r="AN25" s="215" t="s">
        <v>805</v>
      </c>
      <c r="AO25" s="215" t="s">
        <v>805</v>
      </c>
      <c r="AP25" s="215" t="s">
        <v>805</v>
      </c>
      <c r="AQ25" s="215" t="s">
        <v>805</v>
      </c>
      <c r="AR25" s="215" t="s">
        <v>805</v>
      </c>
      <c r="AS25" s="215" t="s">
        <v>805</v>
      </c>
      <c r="AT25" s="215" t="s">
        <v>805</v>
      </c>
      <c r="AU25" s="215" t="s">
        <v>805</v>
      </c>
      <c r="AV25" s="215" t="s">
        <v>805</v>
      </c>
      <c r="AW25" s="215" t="s">
        <v>805</v>
      </c>
      <c r="AX25" s="215" t="s">
        <v>805</v>
      </c>
      <c r="AY25" s="215" t="s">
        <v>805</v>
      </c>
      <c r="AZ25" s="215" t="s">
        <v>805</v>
      </c>
      <c r="BA25" s="215" t="s">
        <v>805</v>
      </c>
      <c r="BB25" s="215" t="s">
        <v>805</v>
      </c>
      <c r="BC25" s="215" t="s">
        <v>805</v>
      </c>
      <c r="BD25" s="215" t="s">
        <v>805</v>
      </c>
      <c r="BE25" s="215" t="s">
        <v>805</v>
      </c>
      <c r="BF25" s="215" t="s">
        <v>805</v>
      </c>
      <c r="BG25" s="215" t="s">
        <v>805</v>
      </c>
      <c r="BH25" s="215" t="s">
        <v>805</v>
      </c>
      <c r="BI25" s="215" t="s">
        <v>805</v>
      </c>
      <c r="BJ25" s="215" t="s">
        <v>805</v>
      </c>
      <c r="BK25" s="215" t="s">
        <v>805</v>
      </c>
      <c r="BL25" s="215" t="s">
        <v>805</v>
      </c>
      <c r="BM25" s="215" t="s">
        <v>805</v>
      </c>
      <c r="BN25" s="215" t="s">
        <v>805</v>
      </c>
      <c r="BO25" s="215" t="s">
        <v>805</v>
      </c>
      <c r="BP25" s="215" t="s">
        <v>805</v>
      </c>
      <c r="BQ25" s="215" t="s">
        <v>805</v>
      </c>
      <c r="BR25" s="215" t="s">
        <v>805</v>
      </c>
      <c r="BS25" s="215" t="s">
        <v>805</v>
      </c>
      <c r="BT25" s="215" t="s">
        <v>805</v>
      </c>
      <c r="BU25" s="215" t="s">
        <v>805</v>
      </c>
      <c r="BV25" s="215" t="s">
        <v>805</v>
      </c>
      <c r="BW25" s="215" t="s">
        <v>805</v>
      </c>
      <c r="BX25" s="215" t="s">
        <v>805</v>
      </c>
      <c r="BY25" s="215" t="s">
        <v>805</v>
      </c>
      <c r="BZ25" s="215" t="s">
        <v>805</v>
      </c>
      <c r="CA25" s="215" t="s">
        <v>805</v>
      </c>
      <c r="CB25" s="215" t="s">
        <v>805</v>
      </c>
      <c r="CC25" s="215" t="s">
        <v>805</v>
      </c>
      <c r="CD25" s="215" t="s">
        <v>805</v>
      </c>
      <c r="CE25" s="215" t="s">
        <v>805</v>
      </c>
      <c r="CF25" s="215" t="s">
        <v>805</v>
      </c>
      <c r="CG25" s="215" t="s">
        <v>805</v>
      </c>
      <c r="CH25" s="215" t="s">
        <v>805</v>
      </c>
      <c r="CI25" s="215" t="s">
        <v>805</v>
      </c>
      <c r="CJ25" s="215" t="s">
        <v>805</v>
      </c>
      <c r="CK25" s="215" t="s">
        <v>805</v>
      </c>
      <c r="CL25" s="215" t="s">
        <v>805</v>
      </c>
      <c r="CM25" s="215" t="s">
        <v>805</v>
      </c>
      <c r="CN25" s="215" t="s">
        <v>805</v>
      </c>
      <c r="CO25" s="215" t="s">
        <v>805</v>
      </c>
      <c r="CP25" s="215" t="s">
        <v>805</v>
      </c>
      <c r="CQ25" s="215" t="s">
        <v>805</v>
      </c>
      <c r="CR25" s="215" t="s">
        <v>805</v>
      </c>
      <c r="CS25" s="215" t="s">
        <v>805</v>
      </c>
      <c r="CT25" s="215" t="s">
        <v>805</v>
      </c>
      <c r="CU25" s="215" t="s">
        <v>805</v>
      </c>
      <c r="CV25" s="215" t="s">
        <v>805</v>
      </c>
      <c r="CW25" s="215" t="s">
        <v>805</v>
      </c>
      <c r="CX25" s="215" t="s">
        <v>805</v>
      </c>
      <c r="CY25" s="215" t="s">
        <v>805</v>
      </c>
      <c r="CZ25" s="215" t="s">
        <v>805</v>
      </c>
      <c r="DA25" s="215" t="s">
        <v>805</v>
      </c>
      <c r="DB25" s="215" t="s">
        <v>805</v>
      </c>
      <c r="DC25" s="215" t="s">
        <v>805</v>
      </c>
      <c r="DD25" s="215" t="s">
        <v>805</v>
      </c>
      <c r="DE25" s="215" t="s">
        <v>805</v>
      </c>
      <c r="DF25" s="215" t="s">
        <v>805</v>
      </c>
      <c r="DG25" s="212">
        <f>VLOOKUP(E25,'KPI Count-SHARE'!A:F,3,0)</f>
        <v>5</v>
      </c>
      <c r="DH25" s="213">
        <v>2.1637065218613094E-3</v>
      </c>
      <c r="DI25" s="216">
        <v>4.0722793296711617E-3</v>
      </c>
      <c r="DJ25" s="216">
        <v>3.4738025320095144E-3</v>
      </c>
      <c r="DK25" s="216">
        <v>1.6130342933196754E-3</v>
      </c>
      <c r="DL25" s="216">
        <v>1.2086042335549873E-3</v>
      </c>
      <c r="DM25" s="216">
        <v>5.1453830680806163E-4</v>
      </c>
      <c r="DN25" s="212">
        <f>VLOOKUP(E25,'KPI Count-SHARE'!A:F,4,0)</f>
        <v>0</v>
      </c>
      <c r="DO25" s="213"/>
      <c r="DP25" s="216"/>
      <c r="DQ25" s="216"/>
      <c r="DR25" s="216"/>
      <c r="DS25" s="216"/>
      <c r="DT25" s="216"/>
      <c r="DU25" s="212">
        <f>VLOOKUP(E25,'KPI Count-SHARE'!A:F,5,0)</f>
        <v>0</v>
      </c>
      <c r="DV25" s="213"/>
      <c r="DW25" s="216"/>
      <c r="DX25" s="216"/>
      <c r="DY25" s="216"/>
      <c r="DZ25" s="216"/>
      <c r="EA25" s="216"/>
      <c r="EB25" s="212">
        <f>VLOOKUP(E25,'KPI Count-SHARE'!A:F,6,0)</f>
        <v>0</v>
      </c>
      <c r="EC25" s="213"/>
      <c r="ED25" s="216"/>
      <c r="EE25" s="216"/>
      <c r="EF25" s="216"/>
      <c r="EG25" s="216"/>
      <c r="EH25" s="216"/>
      <c r="EI25" s="214" t="s">
        <v>533</v>
      </c>
      <c r="EJ25" s="39">
        <f t="shared" si="101"/>
        <v>1.0224068044996414E-3</v>
      </c>
      <c r="EK25" s="39">
        <f t="shared" si="102"/>
        <v>7.0198603361692547E-4</v>
      </c>
      <c r="EL25" s="39">
        <f t="shared" si="103"/>
        <v>1.5159472091378996E-3</v>
      </c>
      <c r="EM25" s="39">
        <f t="shared" si="104"/>
        <v>2.062513190311077E-3</v>
      </c>
      <c r="EN25" s="39" t="str">
        <f t="shared" si="105"/>
        <v/>
      </c>
      <c r="EO25" s="39" t="str">
        <f t="shared" si="106"/>
        <v/>
      </c>
      <c r="EP25" s="39" t="str">
        <f t="shared" si="107"/>
        <v/>
      </c>
      <c r="EQ25" s="39" t="str">
        <f t="shared" si="108"/>
        <v/>
      </c>
      <c r="ER25" s="39" t="str">
        <f t="shared" si="109"/>
        <v/>
      </c>
      <c r="ES25" s="39" t="str">
        <f t="shared" si="110"/>
        <v/>
      </c>
      <c r="ET25" s="39" t="str">
        <f t="shared" si="111"/>
        <v/>
      </c>
      <c r="EU25" s="39" t="str">
        <f t="shared" si="165"/>
        <v/>
      </c>
      <c r="EV25" s="39" t="str">
        <f t="shared" si="166"/>
        <v/>
      </c>
      <c r="EW25" s="39" t="str">
        <f t="shared" si="167"/>
        <v/>
      </c>
      <c r="EX25" s="39" t="str">
        <f t="shared" si="168"/>
        <v/>
      </c>
      <c r="EY25" s="39" t="str">
        <f t="shared" si="169"/>
        <v/>
      </c>
      <c r="EZ25" s="39" t="str">
        <f t="shared" si="170"/>
        <v/>
      </c>
      <c r="FA25" s="39" t="str">
        <f t="shared" si="171"/>
        <v/>
      </c>
      <c r="FB25" s="39" t="str">
        <f t="shared" si="172"/>
        <v/>
      </c>
      <c r="FC25" s="39" t="str">
        <f t="shared" si="173"/>
        <v/>
      </c>
      <c r="FD25" s="39" t="str">
        <f t="shared" si="174"/>
        <v/>
      </c>
      <c r="FE25" s="39" t="str">
        <f t="shared" si="175"/>
        <v/>
      </c>
      <c r="FF25" s="39" t="str">
        <f t="shared" si="176"/>
        <v/>
      </c>
      <c r="FG25" s="39" t="str">
        <f t="shared" si="177"/>
        <v/>
      </c>
      <c r="FH25" s="39" t="str">
        <f t="shared" si="178"/>
        <v/>
      </c>
      <c r="FI25" s="39" t="str">
        <f t="shared" si="179"/>
        <v/>
      </c>
      <c r="FJ25" s="39" t="str">
        <f t="shared" si="180"/>
        <v/>
      </c>
      <c r="FK25" s="39" t="str">
        <f t="shared" si="181"/>
        <v/>
      </c>
      <c r="FL25" s="39" t="str">
        <f t="shared" si="182"/>
        <v/>
      </c>
      <c r="FM25" s="39" t="str">
        <f t="shared" si="183"/>
        <v/>
      </c>
      <c r="FN25" s="39" t="str">
        <f t="shared" si="184"/>
        <v/>
      </c>
      <c r="FO25" s="39" t="str">
        <f t="shared" si="185"/>
        <v/>
      </c>
      <c r="FP25" s="39" t="str">
        <f t="shared" si="186"/>
        <v/>
      </c>
      <c r="FQ25" s="39" t="str">
        <f t="shared" si="187"/>
        <v/>
      </c>
      <c r="FR25" s="39" t="str">
        <f t="shared" si="188"/>
        <v/>
      </c>
      <c r="FS25" s="39" t="str">
        <f t="shared" si="189"/>
        <v/>
      </c>
      <c r="FT25" s="39" t="str">
        <f t="shared" si="190"/>
        <v/>
      </c>
      <c r="FU25" s="39" t="str">
        <f t="shared" si="191"/>
        <v/>
      </c>
      <c r="FV25" s="39" t="str">
        <f t="shared" si="192"/>
        <v/>
      </c>
      <c r="FW25" s="39" t="str">
        <f t="shared" si="193"/>
        <v/>
      </c>
      <c r="FX25" s="39" t="str">
        <f t="shared" si="194"/>
        <v/>
      </c>
      <c r="FY25" s="39" t="str">
        <f t="shared" si="195"/>
        <v/>
      </c>
      <c r="FZ25" s="39" t="str">
        <f t="shared" si="196"/>
        <v/>
      </c>
      <c r="GA25" s="39" t="str">
        <f t="shared" si="197"/>
        <v/>
      </c>
      <c r="GB25" s="39" t="str">
        <f t="shared" si="155"/>
        <v/>
      </c>
      <c r="GC25" s="39" t="str">
        <f t="shared" si="156"/>
        <v/>
      </c>
      <c r="GD25" s="39" t="str">
        <f t="shared" si="157"/>
        <v/>
      </c>
      <c r="GE25" s="39" t="str">
        <f t="shared" si="158"/>
        <v/>
      </c>
      <c r="GF25" s="39" t="str">
        <f t="shared" ref="GF25:GT25" si="225">IFERROR(IF(ISBLANK(BF25), "-", IF($I25="c", BF25*$I$5, BF25)),"-")</f>
        <v/>
      </c>
      <c r="GG25" s="39" t="str">
        <f t="shared" si="225"/>
        <v/>
      </c>
      <c r="GH25" s="39" t="str">
        <f t="shared" si="225"/>
        <v/>
      </c>
      <c r="GI25" s="39" t="str">
        <f t="shared" si="225"/>
        <v/>
      </c>
      <c r="GJ25" s="39" t="str">
        <f t="shared" si="225"/>
        <v/>
      </c>
      <c r="GK25" s="39" t="str">
        <f t="shared" si="225"/>
        <v/>
      </c>
      <c r="GL25" s="39" t="str">
        <f t="shared" si="225"/>
        <v/>
      </c>
      <c r="GM25" s="39" t="str">
        <f t="shared" si="225"/>
        <v/>
      </c>
      <c r="GN25" s="39" t="str">
        <f t="shared" si="225"/>
        <v/>
      </c>
      <c r="GO25" s="39" t="str">
        <f t="shared" si="225"/>
        <v/>
      </c>
      <c r="GP25" s="39" t="str">
        <f t="shared" si="225"/>
        <v/>
      </c>
      <c r="GQ25" s="39" t="str">
        <f t="shared" si="225"/>
        <v/>
      </c>
      <c r="GR25" s="39" t="str">
        <f t="shared" si="225"/>
        <v/>
      </c>
      <c r="GS25" s="39" t="str">
        <f t="shared" si="225"/>
        <v/>
      </c>
      <c r="GT25" s="39" t="str">
        <f t="shared" si="225"/>
        <v/>
      </c>
      <c r="GU25" s="39" t="str">
        <f t="shared" ref="GU25:GU44" si="226">IFERROR(IF(ISBLANK(BU25), "-", IF($I25="c", BU25*$I$5, BU25)),"-")</f>
        <v/>
      </c>
      <c r="GV25" s="39" t="str">
        <f t="shared" ref="GV25:HJ25" si="227">IFERROR(IF(ISBLANK(BV25), "-", IF($I25="c", BV25*$I$5, BV25)),"-")</f>
        <v/>
      </c>
      <c r="GW25" s="39" t="str">
        <f t="shared" si="227"/>
        <v/>
      </c>
      <c r="GX25" s="39" t="str">
        <f t="shared" si="227"/>
        <v/>
      </c>
      <c r="GY25" s="39" t="str">
        <f t="shared" si="227"/>
        <v/>
      </c>
      <c r="GZ25" s="39" t="str">
        <f t="shared" si="227"/>
        <v/>
      </c>
      <c r="HA25" s="39" t="str">
        <f t="shared" si="227"/>
        <v/>
      </c>
      <c r="HB25" s="39" t="str">
        <f t="shared" si="227"/>
        <v/>
      </c>
      <c r="HC25" s="39" t="str">
        <f t="shared" si="227"/>
        <v/>
      </c>
      <c r="HD25" s="39" t="str">
        <f t="shared" si="227"/>
        <v/>
      </c>
      <c r="HE25" s="39" t="str">
        <f t="shared" si="227"/>
        <v/>
      </c>
      <c r="HF25" s="39" t="str">
        <f t="shared" si="227"/>
        <v/>
      </c>
      <c r="HG25" s="39" t="str">
        <f t="shared" si="227"/>
        <v/>
      </c>
      <c r="HH25" s="39" t="str">
        <f t="shared" si="227"/>
        <v/>
      </c>
      <c r="HI25" s="39" t="str">
        <f t="shared" si="227"/>
        <v/>
      </c>
      <c r="HJ25" s="39" t="str">
        <f t="shared" si="227"/>
        <v/>
      </c>
      <c r="HK25" s="39" t="str">
        <f t="shared" ref="HK25:HK44" si="228">IFERROR(IF(ISBLANK(CK25), "-", IF($I25="c", CK25*$I$5, CK25)),"-")</f>
        <v/>
      </c>
      <c r="HL25" s="39" t="str">
        <f t="shared" ref="HL25:HZ25" si="229">IFERROR(IF(ISBLANK(CL25), "-", IF($I25="c", CL25*$I$5, CL25)),"-")</f>
        <v/>
      </c>
      <c r="HM25" s="39" t="str">
        <f t="shared" si="229"/>
        <v/>
      </c>
      <c r="HN25" s="39" t="str">
        <f t="shared" si="229"/>
        <v/>
      </c>
      <c r="HO25" s="39" t="str">
        <f t="shared" si="229"/>
        <v/>
      </c>
      <c r="HP25" s="39" t="str">
        <f t="shared" si="229"/>
        <v/>
      </c>
      <c r="HQ25" s="39" t="str">
        <f t="shared" si="229"/>
        <v/>
      </c>
      <c r="HR25" s="39" t="str">
        <f t="shared" si="229"/>
        <v/>
      </c>
      <c r="HS25" s="39" t="str">
        <f t="shared" si="229"/>
        <v/>
      </c>
      <c r="HT25" s="39" t="str">
        <f t="shared" si="229"/>
        <v/>
      </c>
      <c r="HU25" s="39" t="str">
        <f t="shared" si="229"/>
        <v/>
      </c>
      <c r="HV25" s="39" t="str">
        <f t="shared" si="229"/>
        <v/>
      </c>
      <c r="HW25" s="39" t="str">
        <f t="shared" si="229"/>
        <v/>
      </c>
      <c r="HX25" s="39" t="str">
        <f t="shared" si="229"/>
        <v/>
      </c>
      <c r="HY25" s="39" t="str">
        <f t="shared" si="229"/>
        <v/>
      </c>
      <c r="HZ25" s="39" t="str">
        <f t="shared" si="229"/>
        <v/>
      </c>
      <c r="IA25" s="39" t="str">
        <f t="shared" ref="IA25:IA44" si="230">IFERROR(IF(ISBLANK(DA25), "-", IF($I25="c", DA25*$I$5, DA25)),"-")</f>
        <v/>
      </c>
      <c r="IB25" s="39" t="str">
        <f>IFERROR(IF(ISBLANK(DB25), "-", IF($I25="c", DB25*$I$5, DB25)),"-")</f>
        <v/>
      </c>
      <c r="IC25" s="39" t="str">
        <f>IFERROR(IF(ISBLANK(DC25), "-", IF($I25="c", DC25*$I$5, DC25)),"-")</f>
        <v/>
      </c>
      <c r="ID25" s="39" t="str">
        <f>IFERROR(IF(ISBLANK(DD25), "-", IF($I25="c", DD25*$I$5, DD25)),"-")</f>
        <v/>
      </c>
      <c r="IE25" s="39" t="str">
        <f t="shared" si="68"/>
        <v/>
      </c>
      <c r="IF25" s="39" t="str">
        <f t="shared" si="69"/>
        <v/>
      </c>
      <c r="IG25" s="308">
        <f t="shared" si="70"/>
        <v>2.1637065218613094E-3</v>
      </c>
      <c r="IH25" s="84">
        <f t="shared" si="204"/>
        <v>4.0722793296711617E-3</v>
      </c>
      <c r="II25" s="84">
        <f t="shared" si="205"/>
        <v>3.4738025320095144E-3</v>
      </c>
      <c r="IJ25" s="84">
        <f t="shared" si="206"/>
        <v>1.6130342933196754E-3</v>
      </c>
      <c r="IK25" s="84">
        <f t="shared" si="207"/>
        <v>1.2086042335549873E-3</v>
      </c>
      <c r="IL25" s="84">
        <f t="shared" si="208"/>
        <v>5.1453830680806163E-4</v>
      </c>
      <c r="IM25" s="308" t="str">
        <f t="shared" si="76"/>
        <v/>
      </c>
      <c r="IN25" s="84" t="str">
        <f t="shared" si="209"/>
        <v/>
      </c>
      <c r="IO25" s="84" t="str">
        <f t="shared" si="210"/>
        <v/>
      </c>
      <c r="IP25" s="84" t="str">
        <f t="shared" si="211"/>
        <v/>
      </c>
      <c r="IQ25" s="84" t="str">
        <f t="shared" si="212"/>
        <v/>
      </c>
      <c r="IR25" s="84" t="str">
        <f t="shared" si="213"/>
        <v/>
      </c>
      <c r="IS25" s="308" t="str">
        <f t="shared" si="82"/>
        <v/>
      </c>
      <c r="IT25" s="84" t="str">
        <f t="shared" si="214"/>
        <v/>
      </c>
      <c r="IU25" s="84" t="str">
        <f t="shared" si="215"/>
        <v/>
      </c>
      <c r="IV25" s="84" t="str">
        <f t="shared" si="216"/>
        <v/>
      </c>
      <c r="IW25" s="84" t="str">
        <f t="shared" si="217"/>
        <v/>
      </c>
      <c r="IX25" s="84" t="str">
        <f t="shared" si="218"/>
        <v/>
      </c>
      <c r="IY25" s="308" t="str">
        <f t="shared" si="88"/>
        <v/>
      </c>
      <c r="IZ25" s="84" t="str">
        <f t="shared" si="219"/>
        <v/>
      </c>
      <c r="JA25" s="84" t="str">
        <f t="shared" si="220"/>
        <v/>
      </c>
      <c r="JB25" s="84" t="str">
        <f t="shared" si="221"/>
        <v/>
      </c>
      <c r="JC25" s="84" t="str">
        <f t="shared" si="222"/>
        <v/>
      </c>
      <c r="JD25" s="309" t="str">
        <f t="shared" si="223"/>
        <v/>
      </c>
      <c r="JF25" s="66">
        <f t="shared" si="224"/>
        <v>25</v>
      </c>
      <c r="JG25" s="79">
        <f t="shared" ca="1" si="95"/>
        <v>3.4738025320095144E-3</v>
      </c>
      <c r="JH25" s="79">
        <f t="shared" ca="1" si="96"/>
        <v>1.6130342933196754E-3</v>
      </c>
      <c r="JI25" s="79">
        <f t="shared" ca="1" si="97"/>
        <v>1.2086042335549873E-3</v>
      </c>
      <c r="JJ25" s="66">
        <f t="shared" ca="1" si="98"/>
        <v>5</v>
      </c>
      <c r="JK25" s="33"/>
      <c r="JL25" s="78">
        <f t="shared" ca="1" si="121"/>
        <v>3.4738025320095144E-3</v>
      </c>
      <c r="JM25" s="78">
        <f t="shared" ca="1" si="99"/>
        <v>2.5434184126645948E-3</v>
      </c>
      <c r="JN25" s="78">
        <f t="shared" ca="1" si="100"/>
        <v>1.4108192634373312E-3</v>
      </c>
      <c r="JO25" s="78">
        <f t="shared" ca="1" si="122"/>
        <v>1.2086042335549873E-3</v>
      </c>
      <c r="JP25" s="78">
        <f t="shared" ca="1" si="123"/>
        <v>8.636644441666428E-3</v>
      </c>
    </row>
    <row r="26" spans="1:276" s="1" customFormat="1" x14ac:dyDescent="0.35">
      <c r="A26" s="125">
        <v>1</v>
      </c>
      <c r="B26" s="125">
        <v>1</v>
      </c>
      <c r="C26" s="125">
        <v>1</v>
      </c>
      <c r="D26" s="163"/>
      <c r="E26" s="142" t="s">
        <v>42</v>
      </c>
      <c r="F26" s="219" t="s">
        <v>43</v>
      </c>
      <c r="G26" s="210" t="s">
        <v>540</v>
      </c>
      <c r="H26" s="210" t="s">
        <v>535</v>
      </c>
      <c r="I26" s="8" t="s">
        <v>536</v>
      </c>
      <c r="J26" s="211">
        <v>125.58685005579237</v>
      </c>
      <c r="K26" s="220">
        <v>138.5773403424736</v>
      </c>
      <c r="L26" s="220">
        <v>128.60494581840203</v>
      </c>
      <c r="M26" s="220">
        <v>69.489926069720312</v>
      </c>
      <c r="N26" s="220" t="s">
        <v>805</v>
      </c>
      <c r="O26" s="220" t="s">
        <v>805</v>
      </c>
      <c r="P26" s="220" t="s">
        <v>805</v>
      </c>
      <c r="Q26" s="220" t="s">
        <v>805</v>
      </c>
      <c r="R26" s="220" t="s">
        <v>805</v>
      </c>
      <c r="S26" s="220" t="s">
        <v>805</v>
      </c>
      <c r="T26" s="220" t="s">
        <v>805</v>
      </c>
      <c r="U26" s="220" t="s">
        <v>805</v>
      </c>
      <c r="V26" s="220" t="s">
        <v>805</v>
      </c>
      <c r="W26" s="220" t="s">
        <v>805</v>
      </c>
      <c r="X26" s="220" t="s">
        <v>805</v>
      </c>
      <c r="Y26" s="220" t="s">
        <v>805</v>
      </c>
      <c r="Z26" s="220" t="s">
        <v>805</v>
      </c>
      <c r="AA26" s="220" t="s">
        <v>805</v>
      </c>
      <c r="AB26" s="220" t="s">
        <v>805</v>
      </c>
      <c r="AC26" s="220" t="s">
        <v>805</v>
      </c>
      <c r="AD26" s="220" t="s">
        <v>805</v>
      </c>
      <c r="AE26" s="220" t="s">
        <v>805</v>
      </c>
      <c r="AF26" s="220" t="s">
        <v>805</v>
      </c>
      <c r="AG26" s="220" t="s">
        <v>805</v>
      </c>
      <c r="AH26" s="220" t="s">
        <v>805</v>
      </c>
      <c r="AI26" s="220" t="s">
        <v>805</v>
      </c>
      <c r="AJ26" s="220" t="s">
        <v>805</v>
      </c>
      <c r="AK26" s="220" t="s">
        <v>805</v>
      </c>
      <c r="AL26" s="220" t="s">
        <v>805</v>
      </c>
      <c r="AM26" s="220" t="s">
        <v>805</v>
      </c>
      <c r="AN26" s="220" t="s">
        <v>805</v>
      </c>
      <c r="AO26" s="220" t="s">
        <v>805</v>
      </c>
      <c r="AP26" s="220" t="s">
        <v>805</v>
      </c>
      <c r="AQ26" s="220" t="s">
        <v>805</v>
      </c>
      <c r="AR26" s="220" t="s">
        <v>805</v>
      </c>
      <c r="AS26" s="220" t="s">
        <v>805</v>
      </c>
      <c r="AT26" s="220" t="s">
        <v>805</v>
      </c>
      <c r="AU26" s="220" t="s">
        <v>805</v>
      </c>
      <c r="AV26" s="220" t="s">
        <v>805</v>
      </c>
      <c r="AW26" s="220" t="s">
        <v>805</v>
      </c>
      <c r="AX26" s="220" t="s">
        <v>805</v>
      </c>
      <c r="AY26" s="220" t="s">
        <v>805</v>
      </c>
      <c r="AZ26" s="220" t="s">
        <v>805</v>
      </c>
      <c r="BA26" s="220" t="s">
        <v>805</v>
      </c>
      <c r="BB26" s="220" t="s">
        <v>805</v>
      </c>
      <c r="BC26" s="220" t="s">
        <v>805</v>
      </c>
      <c r="BD26" s="220" t="s">
        <v>805</v>
      </c>
      <c r="BE26" s="220" t="s">
        <v>805</v>
      </c>
      <c r="BF26" s="220" t="s">
        <v>805</v>
      </c>
      <c r="BG26" s="220" t="s">
        <v>805</v>
      </c>
      <c r="BH26" s="220" t="s">
        <v>805</v>
      </c>
      <c r="BI26" s="220" t="s">
        <v>805</v>
      </c>
      <c r="BJ26" s="220" t="s">
        <v>805</v>
      </c>
      <c r="BK26" s="220" t="s">
        <v>805</v>
      </c>
      <c r="BL26" s="220" t="s">
        <v>805</v>
      </c>
      <c r="BM26" s="220" t="s">
        <v>805</v>
      </c>
      <c r="BN26" s="220" t="s">
        <v>805</v>
      </c>
      <c r="BO26" s="220" t="s">
        <v>805</v>
      </c>
      <c r="BP26" s="220" t="s">
        <v>805</v>
      </c>
      <c r="BQ26" s="220" t="s">
        <v>805</v>
      </c>
      <c r="BR26" s="220" t="s">
        <v>805</v>
      </c>
      <c r="BS26" s="220" t="s">
        <v>805</v>
      </c>
      <c r="BT26" s="220" t="s">
        <v>805</v>
      </c>
      <c r="BU26" s="220" t="s">
        <v>805</v>
      </c>
      <c r="BV26" s="220" t="s">
        <v>805</v>
      </c>
      <c r="BW26" s="220" t="s">
        <v>805</v>
      </c>
      <c r="BX26" s="220" t="s">
        <v>805</v>
      </c>
      <c r="BY26" s="220" t="s">
        <v>805</v>
      </c>
      <c r="BZ26" s="220" t="s">
        <v>805</v>
      </c>
      <c r="CA26" s="220" t="s">
        <v>805</v>
      </c>
      <c r="CB26" s="220" t="s">
        <v>805</v>
      </c>
      <c r="CC26" s="220" t="s">
        <v>805</v>
      </c>
      <c r="CD26" s="220" t="s">
        <v>805</v>
      </c>
      <c r="CE26" s="220" t="s">
        <v>805</v>
      </c>
      <c r="CF26" s="220" t="s">
        <v>805</v>
      </c>
      <c r="CG26" s="220" t="s">
        <v>805</v>
      </c>
      <c r="CH26" s="220" t="s">
        <v>805</v>
      </c>
      <c r="CI26" s="220" t="s">
        <v>805</v>
      </c>
      <c r="CJ26" s="220" t="s">
        <v>805</v>
      </c>
      <c r="CK26" s="220" t="s">
        <v>805</v>
      </c>
      <c r="CL26" s="220" t="s">
        <v>805</v>
      </c>
      <c r="CM26" s="220" t="s">
        <v>805</v>
      </c>
      <c r="CN26" s="220" t="s">
        <v>805</v>
      </c>
      <c r="CO26" s="220" t="s">
        <v>805</v>
      </c>
      <c r="CP26" s="220" t="s">
        <v>805</v>
      </c>
      <c r="CQ26" s="220" t="s">
        <v>805</v>
      </c>
      <c r="CR26" s="220" t="s">
        <v>805</v>
      </c>
      <c r="CS26" s="220" t="s">
        <v>805</v>
      </c>
      <c r="CT26" s="220" t="s">
        <v>805</v>
      </c>
      <c r="CU26" s="220" t="s">
        <v>805</v>
      </c>
      <c r="CV26" s="220" t="s">
        <v>805</v>
      </c>
      <c r="CW26" s="220" t="s">
        <v>805</v>
      </c>
      <c r="CX26" s="220" t="s">
        <v>805</v>
      </c>
      <c r="CY26" s="220" t="s">
        <v>805</v>
      </c>
      <c r="CZ26" s="220" t="s">
        <v>805</v>
      </c>
      <c r="DA26" s="220" t="s">
        <v>805</v>
      </c>
      <c r="DB26" s="220" t="s">
        <v>805</v>
      </c>
      <c r="DC26" s="220" t="s">
        <v>805</v>
      </c>
      <c r="DD26" s="220" t="s">
        <v>805</v>
      </c>
      <c r="DE26" s="220" t="s">
        <v>805</v>
      </c>
      <c r="DF26" s="220" t="s">
        <v>805</v>
      </c>
      <c r="DG26" s="212">
        <f>VLOOKUP(E26,'KPI Count-SHARE'!A:F,3,0)</f>
        <v>17</v>
      </c>
      <c r="DH26" s="213">
        <v>316.68718036958933</v>
      </c>
      <c r="DI26" s="221">
        <v>707.56383418387452</v>
      </c>
      <c r="DJ26" s="221">
        <v>349.85149274553572</v>
      </c>
      <c r="DK26" s="221">
        <v>138.23414668043202</v>
      </c>
      <c r="DL26" s="221">
        <v>121.55441062086962</v>
      </c>
      <c r="DM26" s="221">
        <v>102.0092266822065</v>
      </c>
      <c r="DN26" s="222">
        <f>VLOOKUP(E26,'KPI Count-SHARE'!A:F,4,0)</f>
        <v>0</v>
      </c>
      <c r="DO26" s="213"/>
      <c r="DP26" s="221"/>
      <c r="DQ26" s="221"/>
      <c r="DR26" s="221"/>
      <c r="DS26" s="221"/>
      <c r="DT26" s="221"/>
      <c r="DU26" s="222">
        <f>VLOOKUP(E26,'KPI Count-SHARE'!A:F,5,0)</f>
        <v>0</v>
      </c>
      <c r="DV26" s="213"/>
      <c r="DW26" s="221"/>
      <c r="DX26" s="221"/>
      <c r="DY26" s="221"/>
      <c r="DZ26" s="221"/>
      <c r="EA26" s="221"/>
      <c r="EB26" s="222">
        <f>VLOOKUP(E26,'KPI Count-SHARE'!A:F,6,0)</f>
        <v>0</v>
      </c>
      <c r="EC26" s="213"/>
      <c r="ED26" s="221"/>
      <c r="EE26" s="221"/>
      <c r="EF26" s="221"/>
      <c r="EG26" s="221"/>
      <c r="EH26" s="221"/>
      <c r="EI26" s="223" t="str">
        <f t="shared" ref="EI26:EI32" si="231">XCurrency &amp; " '000 per FTE"</f>
        <v>USD '000 per FTE</v>
      </c>
      <c r="EJ26" s="236">
        <f t="shared" si="101"/>
        <v>141.10882028740716</v>
      </c>
      <c r="EK26" s="236">
        <f t="shared" si="102"/>
        <v>155.70487678929621</v>
      </c>
      <c r="EL26" s="236">
        <f t="shared" si="103"/>
        <v>144.49993912180005</v>
      </c>
      <c r="EM26" s="236">
        <f t="shared" si="104"/>
        <v>78.078568617663279</v>
      </c>
      <c r="EN26" s="236" t="str">
        <f t="shared" si="105"/>
        <v>-</v>
      </c>
      <c r="EO26" s="236" t="str">
        <f t="shared" si="106"/>
        <v>-</v>
      </c>
      <c r="EP26" s="236" t="str">
        <f t="shared" si="107"/>
        <v>-</v>
      </c>
      <c r="EQ26" s="236" t="str">
        <f t="shared" si="108"/>
        <v>-</v>
      </c>
      <c r="ER26" s="236" t="str">
        <f t="shared" si="109"/>
        <v>-</v>
      </c>
      <c r="ES26" s="236" t="str">
        <f t="shared" si="110"/>
        <v>-</v>
      </c>
      <c r="ET26" s="236" t="str">
        <f t="shared" si="111"/>
        <v>-</v>
      </c>
      <c r="EU26" s="236" t="str">
        <f t="shared" si="165"/>
        <v>-</v>
      </c>
      <c r="EV26" s="236" t="str">
        <f t="shared" si="166"/>
        <v>-</v>
      </c>
      <c r="EW26" s="236" t="str">
        <f t="shared" si="167"/>
        <v>-</v>
      </c>
      <c r="EX26" s="236" t="str">
        <f t="shared" si="168"/>
        <v>-</v>
      </c>
      <c r="EY26" s="236" t="str">
        <f t="shared" si="169"/>
        <v>-</v>
      </c>
      <c r="EZ26" s="236" t="str">
        <f t="shared" si="170"/>
        <v>-</v>
      </c>
      <c r="FA26" s="236" t="str">
        <f t="shared" si="171"/>
        <v>-</v>
      </c>
      <c r="FB26" s="236" t="str">
        <f t="shared" si="172"/>
        <v>-</v>
      </c>
      <c r="FC26" s="236" t="str">
        <f t="shared" si="173"/>
        <v>-</v>
      </c>
      <c r="FD26" s="236" t="str">
        <f t="shared" si="174"/>
        <v>-</v>
      </c>
      <c r="FE26" s="236" t="str">
        <f t="shared" si="175"/>
        <v>-</v>
      </c>
      <c r="FF26" s="236" t="str">
        <f t="shared" si="176"/>
        <v>-</v>
      </c>
      <c r="FG26" s="236" t="str">
        <f t="shared" si="177"/>
        <v>-</v>
      </c>
      <c r="FH26" s="236" t="str">
        <f t="shared" si="178"/>
        <v>-</v>
      </c>
      <c r="FI26" s="236" t="str">
        <f t="shared" si="179"/>
        <v>-</v>
      </c>
      <c r="FJ26" s="236" t="str">
        <f t="shared" si="180"/>
        <v>-</v>
      </c>
      <c r="FK26" s="236" t="str">
        <f t="shared" si="181"/>
        <v>-</v>
      </c>
      <c r="FL26" s="236" t="str">
        <f t="shared" si="182"/>
        <v>-</v>
      </c>
      <c r="FM26" s="236" t="str">
        <f t="shared" si="183"/>
        <v>-</v>
      </c>
      <c r="FN26" s="236" t="str">
        <f t="shared" si="184"/>
        <v>-</v>
      </c>
      <c r="FO26" s="236" t="str">
        <f t="shared" si="185"/>
        <v>-</v>
      </c>
      <c r="FP26" s="236" t="str">
        <f t="shared" si="186"/>
        <v>-</v>
      </c>
      <c r="FQ26" s="236" t="str">
        <f t="shared" si="187"/>
        <v>-</v>
      </c>
      <c r="FR26" s="236" t="str">
        <f t="shared" si="188"/>
        <v>-</v>
      </c>
      <c r="FS26" s="236" t="str">
        <f t="shared" si="189"/>
        <v>-</v>
      </c>
      <c r="FT26" s="236" t="str">
        <f t="shared" si="190"/>
        <v>-</v>
      </c>
      <c r="FU26" s="236" t="str">
        <f t="shared" si="191"/>
        <v>-</v>
      </c>
      <c r="FV26" s="236" t="str">
        <f t="shared" si="192"/>
        <v>-</v>
      </c>
      <c r="FW26" s="236" t="str">
        <f t="shared" si="193"/>
        <v>-</v>
      </c>
      <c r="FX26" s="236" t="str">
        <f t="shared" si="194"/>
        <v>-</v>
      </c>
      <c r="FY26" s="236" t="str">
        <f t="shared" si="195"/>
        <v>-</v>
      </c>
      <c r="FZ26" s="236" t="str">
        <f t="shared" si="196"/>
        <v>-</v>
      </c>
      <c r="GA26" s="236" t="str">
        <f t="shared" si="197"/>
        <v>-</v>
      </c>
      <c r="GB26" s="236" t="str">
        <f t="shared" si="155"/>
        <v>-</v>
      </c>
      <c r="GC26" s="236" t="str">
        <f t="shared" si="156"/>
        <v>-</v>
      </c>
      <c r="GD26" s="236" t="str">
        <f t="shared" si="157"/>
        <v>-</v>
      </c>
      <c r="GE26" s="236" t="str">
        <f t="shared" si="158"/>
        <v>-</v>
      </c>
      <c r="GF26" s="236" t="str">
        <f t="shared" ref="GF26:GF44" si="232">IFERROR(IF(ISBLANK(BF26), "-", IF($I26="c", BF26*$I$5, BF26)),"-")</f>
        <v>-</v>
      </c>
      <c r="GG26" s="236" t="str">
        <f t="shared" ref="GG26:GG44" si="233">IFERROR(IF(ISBLANK(BG26), "-", IF($I26="c", BG26*$I$5, BG26)),"-")</f>
        <v>-</v>
      </c>
      <c r="GH26" s="236" t="str">
        <f t="shared" ref="GH26:GH44" si="234">IFERROR(IF(ISBLANK(BH26), "-", IF($I26="c", BH26*$I$5, BH26)),"-")</f>
        <v>-</v>
      </c>
      <c r="GI26" s="236" t="str">
        <f t="shared" ref="GI26:GI44" si="235">IFERROR(IF(ISBLANK(BI26), "-", IF($I26="c", BI26*$I$5, BI26)),"-")</f>
        <v>-</v>
      </c>
      <c r="GJ26" s="236" t="str">
        <f t="shared" ref="GJ26:GJ44" si="236">IFERROR(IF(ISBLANK(BJ26), "-", IF($I26="c", BJ26*$I$5, BJ26)),"-")</f>
        <v>-</v>
      </c>
      <c r="GK26" s="236" t="str">
        <f t="shared" ref="GK26:GK44" si="237">IFERROR(IF(ISBLANK(BK26), "-", IF($I26="c", BK26*$I$5, BK26)),"-")</f>
        <v>-</v>
      </c>
      <c r="GL26" s="236" t="str">
        <f t="shared" ref="GL26:GL44" si="238">IFERROR(IF(ISBLANK(BL26), "-", IF($I26="c", BL26*$I$5, BL26)),"-")</f>
        <v>-</v>
      </c>
      <c r="GM26" s="236" t="str">
        <f t="shared" ref="GM26:GM44" si="239">IFERROR(IF(ISBLANK(BM26), "-", IF($I26="c", BM26*$I$5, BM26)),"-")</f>
        <v>-</v>
      </c>
      <c r="GN26" s="236" t="str">
        <f t="shared" ref="GN26:GN44" si="240">IFERROR(IF(ISBLANK(BN26), "-", IF($I26="c", BN26*$I$5, BN26)),"-")</f>
        <v>-</v>
      </c>
      <c r="GO26" s="236" t="str">
        <f t="shared" ref="GO26:GO44" si="241">IFERROR(IF(ISBLANK(BO26), "-", IF($I26="c", BO26*$I$5, BO26)),"-")</f>
        <v>-</v>
      </c>
      <c r="GP26" s="236" t="str">
        <f t="shared" ref="GP26:GP44" si="242">IFERROR(IF(ISBLANK(BP26), "-", IF($I26="c", BP26*$I$5, BP26)),"-")</f>
        <v>-</v>
      </c>
      <c r="GQ26" s="236" t="str">
        <f t="shared" ref="GQ26:GQ44" si="243">IFERROR(IF(ISBLANK(BQ26), "-", IF($I26="c", BQ26*$I$5, BQ26)),"-")</f>
        <v>-</v>
      </c>
      <c r="GR26" s="236" t="str">
        <f t="shared" ref="GR26:GR44" si="244">IFERROR(IF(ISBLANK(BR26), "-", IF($I26="c", BR26*$I$5, BR26)),"-")</f>
        <v>-</v>
      </c>
      <c r="GS26" s="236" t="str">
        <f t="shared" ref="GS26:GS44" si="245">IFERROR(IF(ISBLANK(BS26), "-", IF($I26="c", BS26*$I$5, BS26)),"-")</f>
        <v>-</v>
      </c>
      <c r="GT26" s="236" t="str">
        <f t="shared" ref="GT26:GT44" si="246">IFERROR(IF(ISBLANK(BT26), "-", IF($I26="c", BT26*$I$5, BT26)),"-")</f>
        <v>-</v>
      </c>
      <c r="GU26" s="236" t="str">
        <f t="shared" si="226"/>
        <v>-</v>
      </c>
      <c r="GV26" s="236" t="str">
        <f t="shared" ref="GV26:GV44" si="247">IFERROR(IF(ISBLANK(BV26), "-", IF($I26="c", BV26*$I$5, BV26)),"-")</f>
        <v>-</v>
      </c>
      <c r="GW26" s="236" t="str">
        <f t="shared" ref="GW26:GW44" si="248">IFERROR(IF(ISBLANK(BW26), "-", IF($I26="c", BW26*$I$5, BW26)),"-")</f>
        <v>-</v>
      </c>
      <c r="GX26" s="236" t="str">
        <f t="shared" ref="GX26:GX44" si="249">IFERROR(IF(ISBLANK(BX26), "-", IF($I26="c", BX26*$I$5, BX26)),"-")</f>
        <v>-</v>
      </c>
      <c r="GY26" s="236" t="str">
        <f t="shared" ref="GY26:GY44" si="250">IFERROR(IF(ISBLANK(BY26), "-", IF($I26="c", BY26*$I$5, BY26)),"-")</f>
        <v>-</v>
      </c>
      <c r="GZ26" s="236" t="str">
        <f t="shared" ref="GZ26:GZ44" si="251">IFERROR(IF(ISBLANK(BZ26), "-", IF($I26="c", BZ26*$I$5, BZ26)),"-")</f>
        <v>-</v>
      </c>
      <c r="HA26" s="236" t="str">
        <f t="shared" ref="HA26:HA44" si="252">IFERROR(IF(ISBLANK(CA26), "-", IF($I26="c", CA26*$I$5, CA26)),"-")</f>
        <v>-</v>
      </c>
      <c r="HB26" s="236" t="str">
        <f t="shared" ref="HB26:HB44" si="253">IFERROR(IF(ISBLANK(CB26), "-", IF($I26="c", CB26*$I$5, CB26)),"-")</f>
        <v>-</v>
      </c>
      <c r="HC26" s="236" t="str">
        <f t="shared" ref="HC26:HC44" si="254">IFERROR(IF(ISBLANK(CC26), "-", IF($I26="c", CC26*$I$5, CC26)),"-")</f>
        <v>-</v>
      </c>
      <c r="HD26" s="236" t="str">
        <f t="shared" ref="HD26:HD44" si="255">IFERROR(IF(ISBLANK(CD26), "-", IF($I26="c", CD26*$I$5, CD26)),"-")</f>
        <v>-</v>
      </c>
      <c r="HE26" s="236" t="str">
        <f t="shared" ref="HE26:HE44" si="256">IFERROR(IF(ISBLANK(CE26), "-", IF($I26="c", CE26*$I$5, CE26)),"-")</f>
        <v>-</v>
      </c>
      <c r="HF26" s="236" t="str">
        <f t="shared" ref="HF26:HF44" si="257">IFERROR(IF(ISBLANK(CF26), "-", IF($I26="c", CF26*$I$5, CF26)),"-")</f>
        <v>-</v>
      </c>
      <c r="HG26" s="236" t="str">
        <f t="shared" ref="HG26:HG44" si="258">IFERROR(IF(ISBLANK(CG26), "-", IF($I26="c", CG26*$I$5, CG26)),"-")</f>
        <v>-</v>
      </c>
      <c r="HH26" s="236" t="str">
        <f t="shared" ref="HH26:HH44" si="259">IFERROR(IF(ISBLANK(CH26), "-", IF($I26="c", CH26*$I$5, CH26)),"-")</f>
        <v>-</v>
      </c>
      <c r="HI26" s="236" t="str">
        <f t="shared" ref="HI26:HI44" si="260">IFERROR(IF(ISBLANK(CI26), "-", IF($I26="c", CI26*$I$5, CI26)),"-")</f>
        <v>-</v>
      </c>
      <c r="HJ26" s="236" t="str">
        <f t="shared" ref="HJ26:HJ44" si="261">IFERROR(IF(ISBLANK(CJ26), "-", IF($I26="c", CJ26*$I$5, CJ26)),"-")</f>
        <v>-</v>
      </c>
      <c r="HK26" s="236" t="str">
        <f t="shared" si="228"/>
        <v>-</v>
      </c>
      <c r="HL26" s="236" t="str">
        <f t="shared" ref="HL26:HL44" si="262">IFERROR(IF(ISBLANK(CL26), "-", IF($I26="c", CL26*$I$5, CL26)),"-")</f>
        <v>-</v>
      </c>
      <c r="HM26" s="236" t="str">
        <f t="shared" ref="HM26:HM44" si="263">IFERROR(IF(ISBLANK(CM26), "-", IF($I26="c", CM26*$I$5, CM26)),"-")</f>
        <v>-</v>
      </c>
      <c r="HN26" s="236" t="str">
        <f t="shared" ref="HN26:HN44" si="264">IFERROR(IF(ISBLANK(CN26), "-", IF($I26="c", CN26*$I$5, CN26)),"-")</f>
        <v>-</v>
      </c>
      <c r="HO26" s="236" t="str">
        <f t="shared" ref="HO26:HO44" si="265">IFERROR(IF(ISBLANK(CO26), "-", IF($I26="c", CO26*$I$5, CO26)),"-")</f>
        <v>-</v>
      </c>
      <c r="HP26" s="236" t="str">
        <f t="shared" ref="HP26:HP44" si="266">IFERROR(IF(ISBLANK(CP26), "-", IF($I26="c", CP26*$I$5, CP26)),"-")</f>
        <v>-</v>
      </c>
      <c r="HQ26" s="236" t="str">
        <f t="shared" ref="HQ26:HQ44" si="267">IFERROR(IF(ISBLANK(CQ26), "-", IF($I26="c", CQ26*$I$5, CQ26)),"-")</f>
        <v>-</v>
      </c>
      <c r="HR26" s="236" t="str">
        <f t="shared" ref="HR26:HR44" si="268">IFERROR(IF(ISBLANK(CR26), "-", IF($I26="c", CR26*$I$5, CR26)),"-")</f>
        <v>-</v>
      </c>
      <c r="HS26" s="236" t="str">
        <f t="shared" ref="HS26:HS44" si="269">IFERROR(IF(ISBLANK(CS26), "-", IF($I26="c", CS26*$I$5, CS26)),"-")</f>
        <v>-</v>
      </c>
      <c r="HT26" s="236" t="str">
        <f t="shared" ref="HT26:HT44" si="270">IFERROR(IF(ISBLANK(CT26), "-", IF($I26="c", CT26*$I$5, CT26)),"-")</f>
        <v>-</v>
      </c>
      <c r="HU26" s="236" t="str">
        <f t="shared" ref="HU26:HU44" si="271">IFERROR(IF(ISBLANK(CU26), "-", IF($I26="c", CU26*$I$5, CU26)),"-")</f>
        <v>-</v>
      </c>
      <c r="HV26" s="236" t="str">
        <f t="shared" ref="HV26:HV44" si="272">IFERROR(IF(ISBLANK(CV26), "-", IF($I26="c", CV26*$I$5, CV26)),"-")</f>
        <v>-</v>
      </c>
      <c r="HW26" s="236" t="str">
        <f t="shared" ref="HW26:HW44" si="273">IFERROR(IF(ISBLANK(CW26), "-", IF($I26="c", CW26*$I$5, CW26)),"-")</f>
        <v>-</v>
      </c>
      <c r="HX26" s="236" t="str">
        <f t="shared" ref="HX26:HX44" si="274">IFERROR(IF(ISBLANK(CX26), "-", IF($I26="c", CX26*$I$5, CX26)),"-")</f>
        <v>-</v>
      </c>
      <c r="HY26" s="236" t="str">
        <f t="shared" ref="HY26:HY44" si="275">IFERROR(IF(ISBLANK(CY26), "-", IF($I26="c", CY26*$I$5, CY26)),"-")</f>
        <v>-</v>
      </c>
      <c r="HZ26" s="236" t="str">
        <f t="shared" ref="HZ26:HZ44" si="276">IFERROR(IF(ISBLANK(CZ26), "-", IF($I26="c", CZ26*$I$5, CZ26)),"-")</f>
        <v>-</v>
      </c>
      <c r="IA26" s="236" t="str">
        <f t="shared" si="230"/>
        <v>-</v>
      </c>
      <c r="IB26" s="236" t="str">
        <f t="shared" ref="IB26:IB44" si="277">IFERROR(IF(ISBLANK(DB26), "-", IF($I26="c", DB26*$I$5, DB26)),"-")</f>
        <v>-</v>
      </c>
      <c r="IC26" s="236" t="str">
        <f t="shared" ref="IC26:IC44" si="278">IFERROR(IF(ISBLANK(DC26), "-", IF($I26="c", DC26*$I$5, DC26)),"-")</f>
        <v>-</v>
      </c>
      <c r="ID26" s="236" t="str">
        <f t="shared" ref="ID26:ID44" si="279">IFERROR(IF(ISBLANK(DD26), "-", IF($I26="c", DD26*$I$5, DD26)),"-")</f>
        <v>-</v>
      </c>
      <c r="IE26" s="236" t="str">
        <f t="shared" si="68"/>
        <v>-</v>
      </c>
      <c r="IF26" s="236" t="str">
        <f t="shared" si="69"/>
        <v>-</v>
      </c>
      <c r="IG26" s="306">
        <f t="shared" si="70"/>
        <v>355.8282925501004</v>
      </c>
      <c r="IH26" s="44">
        <f t="shared" si="204"/>
        <v>795.01554402682541</v>
      </c>
      <c r="II26" s="44">
        <f t="shared" si="205"/>
        <v>393.09156488262443</v>
      </c>
      <c r="IJ26" s="44">
        <f t="shared" si="206"/>
        <v>155.31926593306969</v>
      </c>
      <c r="IK26" s="44">
        <f t="shared" si="207"/>
        <v>136.57798946165127</v>
      </c>
      <c r="IL26" s="44">
        <f t="shared" si="208"/>
        <v>114.6171086316927</v>
      </c>
      <c r="IM26" s="306" t="str">
        <f t="shared" si="76"/>
        <v/>
      </c>
      <c r="IN26" s="44" t="str">
        <f t="shared" si="209"/>
        <v/>
      </c>
      <c r="IO26" s="44" t="str">
        <f t="shared" si="210"/>
        <v/>
      </c>
      <c r="IP26" s="44" t="str">
        <f t="shared" si="211"/>
        <v/>
      </c>
      <c r="IQ26" s="44" t="str">
        <f t="shared" si="212"/>
        <v/>
      </c>
      <c r="IR26" s="44" t="str">
        <f t="shared" si="213"/>
        <v/>
      </c>
      <c r="IS26" s="306" t="str">
        <f t="shared" si="82"/>
        <v/>
      </c>
      <c r="IT26" s="44" t="str">
        <f t="shared" si="214"/>
        <v/>
      </c>
      <c r="IU26" s="44" t="str">
        <f t="shared" si="215"/>
        <v/>
      </c>
      <c r="IV26" s="44" t="str">
        <f t="shared" si="216"/>
        <v/>
      </c>
      <c r="IW26" s="44" t="str">
        <f t="shared" si="217"/>
        <v/>
      </c>
      <c r="IX26" s="44" t="str">
        <f t="shared" si="218"/>
        <v/>
      </c>
      <c r="IY26" s="306" t="str">
        <f t="shared" si="88"/>
        <v/>
      </c>
      <c r="IZ26" s="44" t="str">
        <f t="shared" si="219"/>
        <v/>
      </c>
      <c r="JA26" s="44" t="str">
        <f t="shared" si="220"/>
        <v/>
      </c>
      <c r="JB26" s="44" t="str">
        <f t="shared" si="221"/>
        <v/>
      </c>
      <c r="JC26" s="44" t="str">
        <f t="shared" si="222"/>
        <v/>
      </c>
      <c r="JD26" s="307" t="str">
        <f t="shared" si="223"/>
        <v/>
      </c>
      <c r="JF26" s="66">
        <f t="shared" si="224"/>
        <v>26</v>
      </c>
      <c r="JG26" s="80">
        <f t="shared" ca="1" si="95"/>
        <v>393.09156488262443</v>
      </c>
      <c r="JH26" s="80">
        <f t="shared" ca="1" si="96"/>
        <v>155.31926593306969</v>
      </c>
      <c r="JI26" s="80">
        <f t="shared" ca="1" si="97"/>
        <v>136.57798946165127</v>
      </c>
      <c r="JJ26" s="80">
        <f t="shared" ca="1" si="98"/>
        <v>17</v>
      </c>
      <c r="JK26" s="33"/>
      <c r="JL26" s="81">
        <f t="shared" ca="1" si="121"/>
        <v>393.09156488262443</v>
      </c>
      <c r="JM26" s="82">
        <f t="shared" ca="1" si="99"/>
        <v>274.20541540784706</v>
      </c>
      <c r="JN26" s="82">
        <f t="shared" ca="1" si="100"/>
        <v>145.94862769736048</v>
      </c>
      <c r="JO26" s="81">
        <f t="shared" ca="1" si="122"/>
        <v>136.57798946165127</v>
      </c>
      <c r="JP26" s="81">
        <f t="shared" ca="1" si="123"/>
        <v>949.82359744948326</v>
      </c>
    </row>
    <row r="27" spans="1:276" s="1" customFormat="1" x14ac:dyDescent="0.35">
      <c r="A27" s="125">
        <v>0</v>
      </c>
      <c r="B27" s="125">
        <v>1</v>
      </c>
      <c r="C27" s="125">
        <v>1</v>
      </c>
      <c r="D27" s="163"/>
      <c r="E27" s="142" t="s">
        <v>44</v>
      </c>
      <c r="F27" s="208" t="s">
        <v>45</v>
      </c>
      <c r="G27" s="209" t="s">
        <v>540</v>
      </c>
      <c r="H27" s="210" t="s">
        <v>535</v>
      </c>
      <c r="I27" s="8" t="s">
        <v>536</v>
      </c>
      <c r="J27" s="211">
        <v>107.66864288831532</v>
      </c>
      <c r="K27" s="217">
        <v>124.18138498788157</v>
      </c>
      <c r="L27" s="217">
        <v>106.01560368106564</v>
      </c>
      <c r="M27" s="217">
        <v>51.597617465132352</v>
      </c>
      <c r="N27" s="217" t="s">
        <v>805</v>
      </c>
      <c r="O27" s="217" t="s">
        <v>805</v>
      </c>
      <c r="P27" s="217" t="s">
        <v>805</v>
      </c>
      <c r="Q27" s="217" t="s">
        <v>805</v>
      </c>
      <c r="R27" s="217" t="s">
        <v>805</v>
      </c>
      <c r="S27" s="217" t="s">
        <v>805</v>
      </c>
      <c r="T27" s="217" t="s">
        <v>805</v>
      </c>
      <c r="U27" s="217" t="s">
        <v>805</v>
      </c>
      <c r="V27" s="217" t="s">
        <v>805</v>
      </c>
      <c r="W27" s="217" t="s">
        <v>805</v>
      </c>
      <c r="X27" s="217" t="s">
        <v>805</v>
      </c>
      <c r="Y27" s="217" t="s">
        <v>805</v>
      </c>
      <c r="Z27" s="217" t="s">
        <v>805</v>
      </c>
      <c r="AA27" s="217" t="s">
        <v>805</v>
      </c>
      <c r="AB27" s="217" t="s">
        <v>805</v>
      </c>
      <c r="AC27" s="217" t="s">
        <v>805</v>
      </c>
      <c r="AD27" s="217" t="s">
        <v>805</v>
      </c>
      <c r="AE27" s="217" t="s">
        <v>805</v>
      </c>
      <c r="AF27" s="217" t="s">
        <v>805</v>
      </c>
      <c r="AG27" s="217" t="s">
        <v>805</v>
      </c>
      <c r="AH27" s="217" t="s">
        <v>805</v>
      </c>
      <c r="AI27" s="217" t="s">
        <v>805</v>
      </c>
      <c r="AJ27" s="217" t="s">
        <v>805</v>
      </c>
      <c r="AK27" s="217" t="s">
        <v>805</v>
      </c>
      <c r="AL27" s="217" t="s">
        <v>805</v>
      </c>
      <c r="AM27" s="217" t="s">
        <v>805</v>
      </c>
      <c r="AN27" s="217" t="s">
        <v>805</v>
      </c>
      <c r="AO27" s="217" t="s">
        <v>805</v>
      </c>
      <c r="AP27" s="217" t="s">
        <v>805</v>
      </c>
      <c r="AQ27" s="217" t="s">
        <v>805</v>
      </c>
      <c r="AR27" s="217" t="s">
        <v>805</v>
      </c>
      <c r="AS27" s="217" t="s">
        <v>805</v>
      </c>
      <c r="AT27" s="217" t="s">
        <v>805</v>
      </c>
      <c r="AU27" s="217" t="s">
        <v>805</v>
      </c>
      <c r="AV27" s="217" t="s">
        <v>805</v>
      </c>
      <c r="AW27" s="217" t="s">
        <v>805</v>
      </c>
      <c r="AX27" s="217" t="s">
        <v>805</v>
      </c>
      <c r="AY27" s="217" t="s">
        <v>805</v>
      </c>
      <c r="AZ27" s="217" t="s">
        <v>805</v>
      </c>
      <c r="BA27" s="217" t="s">
        <v>805</v>
      </c>
      <c r="BB27" s="217" t="s">
        <v>805</v>
      </c>
      <c r="BC27" s="217" t="s">
        <v>805</v>
      </c>
      <c r="BD27" s="217" t="s">
        <v>805</v>
      </c>
      <c r="BE27" s="217" t="s">
        <v>805</v>
      </c>
      <c r="BF27" s="217" t="s">
        <v>805</v>
      </c>
      <c r="BG27" s="217" t="s">
        <v>805</v>
      </c>
      <c r="BH27" s="217" t="s">
        <v>805</v>
      </c>
      <c r="BI27" s="217" t="s">
        <v>805</v>
      </c>
      <c r="BJ27" s="217" t="s">
        <v>805</v>
      </c>
      <c r="BK27" s="217" t="s">
        <v>805</v>
      </c>
      <c r="BL27" s="217" t="s">
        <v>805</v>
      </c>
      <c r="BM27" s="217" t="s">
        <v>805</v>
      </c>
      <c r="BN27" s="217" t="s">
        <v>805</v>
      </c>
      <c r="BO27" s="217" t="s">
        <v>805</v>
      </c>
      <c r="BP27" s="217" t="s">
        <v>805</v>
      </c>
      <c r="BQ27" s="217" t="s">
        <v>805</v>
      </c>
      <c r="BR27" s="217" t="s">
        <v>805</v>
      </c>
      <c r="BS27" s="217" t="s">
        <v>805</v>
      </c>
      <c r="BT27" s="217" t="s">
        <v>805</v>
      </c>
      <c r="BU27" s="217" t="s">
        <v>805</v>
      </c>
      <c r="BV27" s="217" t="s">
        <v>805</v>
      </c>
      <c r="BW27" s="217" t="s">
        <v>805</v>
      </c>
      <c r="BX27" s="217" t="s">
        <v>805</v>
      </c>
      <c r="BY27" s="217" t="s">
        <v>805</v>
      </c>
      <c r="BZ27" s="217" t="s">
        <v>805</v>
      </c>
      <c r="CA27" s="217" t="s">
        <v>805</v>
      </c>
      <c r="CB27" s="217" t="s">
        <v>805</v>
      </c>
      <c r="CC27" s="217" t="s">
        <v>805</v>
      </c>
      <c r="CD27" s="217" t="s">
        <v>805</v>
      </c>
      <c r="CE27" s="217" t="s">
        <v>805</v>
      </c>
      <c r="CF27" s="217" t="s">
        <v>805</v>
      </c>
      <c r="CG27" s="217" t="s">
        <v>805</v>
      </c>
      <c r="CH27" s="217" t="s">
        <v>805</v>
      </c>
      <c r="CI27" s="217" t="s">
        <v>805</v>
      </c>
      <c r="CJ27" s="217" t="s">
        <v>805</v>
      </c>
      <c r="CK27" s="217" t="s">
        <v>805</v>
      </c>
      <c r="CL27" s="217" t="s">
        <v>805</v>
      </c>
      <c r="CM27" s="217" t="s">
        <v>805</v>
      </c>
      <c r="CN27" s="217" t="s">
        <v>805</v>
      </c>
      <c r="CO27" s="217" t="s">
        <v>805</v>
      </c>
      <c r="CP27" s="217" t="s">
        <v>805</v>
      </c>
      <c r="CQ27" s="217" t="s">
        <v>805</v>
      </c>
      <c r="CR27" s="217" t="s">
        <v>805</v>
      </c>
      <c r="CS27" s="217" t="s">
        <v>805</v>
      </c>
      <c r="CT27" s="217" t="s">
        <v>805</v>
      </c>
      <c r="CU27" s="217" t="s">
        <v>805</v>
      </c>
      <c r="CV27" s="217" t="s">
        <v>805</v>
      </c>
      <c r="CW27" s="217" t="s">
        <v>805</v>
      </c>
      <c r="CX27" s="217" t="s">
        <v>805</v>
      </c>
      <c r="CY27" s="217" t="s">
        <v>805</v>
      </c>
      <c r="CZ27" s="217" t="s">
        <v>805</v>
      </c>
      <c r="DA27" s="217" t="s">
        <v>805</v>
      </c>
      <c r="DB27" s="217" t="s">
        <v>805</v>
      </c>
      <c r="DC27" s="217" t="s">
        <v>805</v>
      </c>
      <c r="DD27" s="217" t="s">
        <v>805</v>
      </c>
      <c r="DE27" s="217" t="s">
        <v>805</v>
      </c>
      <c r="DF27" s="217" t="s">
        <v>805</v>
      </c>
      <c r="DG27" s="212">
        <f>VLOOKUP(E27,'KPI Count-SHARE'!A:F,3,0)</f>
        <v>15</v>
      </c>
      <c r="DH27" s="213">
        <v>162.1620547367088</v>
      </c>
      <c r="DI27" s="218">
        <v>303.430416564876</v>
      </c>
      <c r="DJ27" s="218">
        <v>171.619544746239</v>
      </c>
      <c r="DK27" s="218">
        <v>105.59651077625587</v>
      </c>
      <c r="DL27" s="218">
        <v>85.162313166667531</v>
      </c>
      <c r="DM27" s="218">
        <v>61.279163217225516</v>
      </c>
      <c r="DN27" s="212">
        <f>VLOOKUP(E27,'KPI Count-SHARE'!A:F,4,0)</f>
        <v>0</v>
      </c>
      <c r="DO27" s="213"/>
      <c r="DP27" s="218"/>
      <c r="DQ27" s="218"/>
      <c r="DR27" s="218"/>
      <c r="DS27" s="218"/>
      <c r="DT27" s="218"/>
      <c r="DU27" s="212">
        <f>VLOOKUP(E27,'KPI Count-SHARE'!A:F,5,0)</f>
        <v>0</v>
      </c>
      <c r="DV27" s="213"/>
      <c r="DW27" s="218"/>
      <c r="DX27" s="218"/>
      <c r="DY27" s="218"/>
      <c r="DZ27" s="218"/>
      <c r="EA27" s="218"/>
      <c r="EB27" s="212">
        <f>VLOOKUP(E27,'KPI Count-SHARE'!A:F,6,0)</f>
        <v>0</v>
      </c>
      <c r="EC27" s="213"/>
      <c r="ED27" s="218"/>
      <c r="EE27" s="218"/>
      <c r="EF27" s="218"/>
      <c r="EG27" s="218"/>
      <c r="EH27" s="218"/>
      <c r="EI27" s="214" t="str">
        <f t="shared" si="231"/>
        <v>USD '000 per FTE</v>
      </c>
      <c r="EJ27" s="236">
        <f t="shared" si="101"/>
        <v>120.97600324529812</v>
      </c>
      <c r="EK27" s="236">
        <f t="shared" si="102"/>
        <v>139.52964605379952</v>
      </c>
      <c r="EL27" s="236">
        <f t="shared" si="103"/>
        <v>119.11865582142208</v>
      </c>
      <c r="EM27" s="236">
        <f t="shared" si="104"/>
        <v>57.974851084418376</v>
      </c>
      <c r="EN27" s="236" t="str">
        <f t="shared" si="105"/>
        <v>-</v>
      </c>
      <c r="EO27" s="236" t="str">
        <f t="shared" si="106"/>
        <v>-</v>
      </c>
      <c r="EP27" s="236" t="str">
        <f t="shared" si="107"/>
        <v>-</v>
      </c>
      <c r="EQ27" s="236" t="str">
        <f t="shared" si="108"/>
        <v>-</v>
      </c>
      <c r="ER27" s="236" t="str">
        <f t="shared" si="109"/>
        <v>-</v>
      </c>
      <c r="ES27" s="236" t="str">
        <f t="shared" si="110"/>
        <v>-</v>
      </c>
      <c r="ET27" s="236" t="str">
        <f t="shared" si="111"/>
        <v>-</v>
      </c>
      <c r="EU27" s="236" t="str">
        <f t="shared" si="165"/>
        <v>-</v>
      </c>
      <c r="EV27" s="236" t="str">
        <f t="shared" si="166"/>
        <v>-</v>
      </c>
      <c r="EW27" s="236" t="str">
        <f t="shared" si="167"/>
        <v>-</v>
      </c>
      <c r="EX27" s="236" t="str">
        <f t="shared" si="168"/>
        <v>-</v>
      </c>
      <c r="EY27" s="236" t="str">
        <f t="shared" si="169"/>
        <v>-</v>
      </c>
      <c r="EZ27" s="236" t="str">
        <f t="shared" si="170"/>
        <v>-</v>
      </c>
      <c r="FA27" s="236" t="str">
        <f t="shared" si="171"/>
        <v>-</v>
      </c>
      <c r="FB27" s="236" t="str">
        <f t="shared" si="172"/>
        <v>-</v>
      </c>
      <c r="FC27" s="236" t="str">
        <f t="shared" si="173"/>
        <v>-</v>
      </c>
      <c r="FD27" s="236" t="str">
        <f t="shared" si="174"/>
        <v>-</v>
      </c>
      <c r="FE27" s="236" t="str">
        <f t="shared" si="175"/>
        <v>-</v>
      </c>
      <c r="FF27" s="236" t="str">
        <f t="shared" si="176"/>
        <v>-</v>
      </c>
      <c r="FG27" s="236" t="str">
        <f t="shared" si="177"/>
        <v>-</v>
      </c>
      <c r="FH27" s="236" t="str">
        <f t="shared" si="178"/>
        <v>-</v>
      </c>
      <c r="FI27" s="236" t="str">
        <f t="shared" si="179"/>
        <v>-</v>
      </c>
      <c r="FJ27" s="236" t="str">
        <f t="shared" si="180"/>
        <v>-</v>
      </c>
      <c r="FK27" s="236" t="str">
        <f t="shared" si="181"/>
        <v>-</v>
      </c>
      <c r="FL27" s="236" t="str">
        <f t="shared" si="182"/>
        <v>-</v>
      </c>
      <c r="FM27" s="236" t="str">
        <f t="shared" si="183"/>
        <v>-</v>
      </c>
      <c r="FN27" s="236" t="str">
        <f t="shared" si="184"/>
        <v>-</v>
      </c>
      <c r="FO27" s="236" t="str">
        <f t="shared" si="185"/>
        <v>-</v>
      </c>
      <c r="FP27" s="236" t="str">
        <f t="shared" si="186"/>
        <v>-</v>
      </c>
      <c r="FQ27" s="236" t="str">
        <f t="shared" si="187"/>
        <v>-</v>
      </c>
      <c r="FR27" s="236" t="str">
        <f t="shared" si="188"/>
        <v>-</v>
      </c>
      <c r="FS27" s="236" t="str">
        <f t="shared" si="189"/>
        <v>-</v>
      </c>
      <c r="FT27" s="236" t="str">
        <f t="shared" si="190"/>
        <v>-</v>
      </c>
      <c r="FU27" s="236" t="str">
        <f t="shared" si="191"/>
        <v>-</v>
      </c>
      <c r="FV27" s="236" t="str">
        <f t="shared" si="192"/>
        <v>-</v>
      </c>
      <c r="FW27" s="236" t="str">
        <f t="shared" si="193"/>
        <v>-</v>
      </c>
      <c r="FX27" s="236" t="str">
        <f t="shared" si="194"/>
        <v>-</v>
      </c>
      <c r="FY27" s="236" t="str">
        <f t="shared" si="195"/>
        <v>-</v>
      </c>
      <c r="FZ27" s="236" t="str">
        <f t="shared" si="196"/>
        <v>-</v>
      </c>
      <c r="GA27" s="236" t="str">
        <f t="shared" si="197"/>
        <v>-</v>
      </c>
      <c r="GB27" s="236" t="str">
        <f t="shared" si="155"/>
        <v>-</v>
      </c>
      <c r="GC27" s="236" t="str">
        <f t="shared" si="156"/>
        <v>-</v>
      </c>
      <c r="GD27" s="236" t="str">
        <f t="shared" si="157"/>
        <v>-</v>
      </c>
      <c r="GE27" s="236" t="str">
        <f t="shared" si="158"/>
        <v>-</v>
      </c>
      <c r="GF27" s="236" t="str">
        <f t="shared" si="232"/>
        <v>-</v>
      </c>
      <c r="GG27" s="236" t="str">
        <f t="shared" si="233"/>
        <v>-</v>
      </c>
      <c r="GH27" s="236" t="str">
        <f t="shared" si="234"/>
        <v>-</v>
      </c>
      <c r="GI27" s="236" t="str">
        <f t="shared" si="235"/>
        <v>-</v>
      </c>
      <c r="GJ27" s="236" t="str">
        <f t="shared" si="236"/>
        <v>-</v>
      </c>
      <c r="GK27" s="236" t="str">
        <f t="shared" si="237"/>
        <v>-</v>
      </c>
      <c r="GL27" s="236" t="str">
        <f t="shared" si="238"/>
        <v>-</v>
      </c>
      <c r="GM27" s="236" t="str">
        <f t="shared" si="239"/>
        <v>-</v>
      </c>
      <c r="GN27" s="236" t="str">
        <f t="shared" si="240"/>
        <v>-</v>
      </c>
      <c r="GO27" s="236" t="str">
        <f t="shared" si="241"/>
        <v>-</v>
      </c>
      <c r="GP27" s="236" t="str">
        <f t="shared" si="242"/>
        <v>-</v>
      </c>
      <c r="GQ27" s="236" t="str">
        <f t="shared" si="243"/>
        <v>-</v>
      </c>
      <c r="GR27" s="236" t="str">
        <f t="shared" si="244"/>
        <v>-</v>
      </c>
      <c r="GS27" s="236" t="str">
        <f t="shared" si="245"/>
        <v>-</v>
      </c>
      <c r="GT27" s="236" t="str">
        <f t="shared" si="246"/>
        <v>-</v>
      </c>
      <c r="GU27" s="236" t="str">
        <f t="shared" si="226"/>
        <v>-</v>
      </c>
      <c r="GV27" s="236" t="str">
        <f t="shared" si="247"/>
        <v>-</v>
      </c>
      <c r="GW27" s="236" t="str">
        <f t="shared" si="248"/>
        <v>-</v>
      </c>
      <c r="GX27" s="236" t="str">
        <f t="shared" si="249"/>
        <v>-</v>
      </c>
      <c r="GY27" s="236" t="str">
        <f t="shared" si="250"/>
        <v>-</v>
      </c>
      <c r="GZ27" s="236" t="str">
        <f t="shared" si="251"/>
        <v>-</v>
      </c>
      <c r="HA27" s="236" t="str">
        <f t="shared" si="252"/>
        <v>-</v>
      </c>
      <c r="HB27" s="236" t="str">
        <f t="shared" si="253"/>
        <v>-</v>
      </c>
      <c r="HC27" s="236" t="str">
        <f t="shared" si="254"/>
        <v>-</v>
      </c>
      <c r="HD27" s="236" t="str">
        <f t="shared" si="255"/>
        <v>-</v>
      </c>
      <c r="HE27" s="236" t="str">
        <f t="shared" si="256"/>
        <v>-</v>
      </c>
      <c r="HF27" s="236" t="str">
        <f t="shared" si="257"/>
        <v>-</v>
      </c>
      <c r="HG27" s="236" t="str">
        <f t="shared" si="258"/>
        <v>-</v>
      </c>
      <c r="HH27" s="236" t="str">
        <f t="shared" si="259"/>
        <v>-</v>
      </c>
      <c r="HI27" s="236" t="str">
        <f t="shared" si="260"/>
        <v>-</v>
      </c>
      <c r="HJ27" s="236" t="str">
        <f t="shared" si="261"/>
        <v>-</v>
      </c>
      <c r="HK27" s="236" t="str">
        <f t="shared" si="228"/>
        <v>-</v>
      </c>
      <c r="HL27" s="236" t="str">
        <f t="shared" si="262"/>
        <v>-</v>
      </c>
      <c r="HM27" s="236" t="str">
        <f t="shared" si="263"/>
        <v>-</v>
      </c>
      <c r="HN27" s="236" t="str">
        <f t="shared" si="264"/>
        <v>-</v>
      </c>
      <c r="HO27" s="236" t="str">
        <f t="shared" si="265"/>
        <v>-</v>
      </c>
      <c r="HP27" s="236" t="str">
        <f t="shared" si="266"/>
        <v>-</v>
      </c>
      <c r="HQ27" s="236" t="str">
        <f t="shared" si="267"/>
        <v>-</v>
      </c>
      <c r="HR27" s="236" t="str">
        <f t="shared" si="268"/>
        <v>-</v>
      </c>
      <c r="HS27" s="236" t="str">
        <f t="shared" si="269"/>
        <v>-</v>
      </c>
      <c r="HT27" s="236" t="str">
        <f t="shared" si="270"/>
        <v>-</v>
      </c>
      <c r="HU27" s="236" t="str">
        <f t="shared" si="271"/>
        <v>-</v>
      </c>
      <c r="HV27" s="236" t="str">
        <f t="shared" si="272"/>
        <v>-</v>
      </c>
      <c r="HW27" s="236" t="str">
        <f t="shared" si="273"/>
        <v>-</v>
      </c>
      <c r="HX27" s="236" t="str">
        <f t="shared" si="274"/>
        <v>-</v>
      </c>
      <c r="HY27" s="236" t="str">
        <f t="shared" si="275"/>
        <v>-</v>
      </c>
      <c r="HZ27" s="236" t="str">
        <f t="shared" si="276"/>
        <v>-</v>
      </c>
      <c r="IA27" s="236" t="str">
        <f t="shared" si="230"/>
        <v>-</v>
      </c>
      <c r="IB27" s="236" t="str">
        <f t="shared" si="277"/>
        <v>-</v>
      </c>
      <c r="IC27" s="236" t="str">
        <f t="shared" si="278"/>
        <v>-</v>
      </c>
      <c r="ID27" s="236" t="str">
        <f t="shared" si="279"/>
        <v>-</v>
      </c>
      <c r="IE27" s="236" t="str">
        <f t="shared" si="68"/>
        <v>-</v>
      </c>
      <c r="IF27" s="236" t="str">
        <f t="shared" si="69"/>
        <v>-</v>
      </c>
      <c r="IG27" s="306">
        <f t="shared" si="70"/>
        <v>182.20455588394248</v>
      </c>
      <c r="IH27" s="44">
        <f t="shared" si="204"/>
        <v>340.93305232008544</v>
      </c>
      <c r="II27" s="44">
        <f t="shared" si="205"/>
        <v>192.83094915307754</v>
      </c>
      <c r="IJ27" s="44">
        <f t="shared" si="206"/>
        <v>118.64776491714143</v>
      </c>
      <c r="IK27" s="44">
        <f t="shared" si="207"/>
        <v>95.687992322098353</v>
      </c>
      <c r="IL27" s="44">
        <f t="shared" si="208"/>
        <v>68.852992378905086</v>
      </c>
      <c r="IM27" s="306" t="str">
        <f t="shared" si="76"/>
        <v/>
      </c>
      <c r="IN27" s="44" t="str">
        <f t="shared" si="209"/>
        <v/>
      </c>
      <c r="IO27" s="44" t="str">
        <f t="shared" si="210"/>
        <v/>
      </c>
      <c r="IP27" s="44" t="str">
        <f t="shared" si="211"/>
        <v/>
      </c>
      <c r="IQ27" s="44" t="str">
        <f t="shared" si="212"/>
        <v/>
      </c>
      <c r="IR27" s="44" t="str">
        <f t="shared" si="213"/>
        <v/>
      </c>
      <c r="IS27" s="306" t="str">
        <f t="shared" si="82"/>
        <v/>
      </c>
      <c r="IT27" s="44" t="str">
        <f t="shared" si="214"/>
        <v/>
      </c>
      <c r="IU27" s="44" t="str">
        <f t="shared" si="215"/>
        <v/>
      </c>
      <c r="IV27" s="44" t="str">
        <f t="shared" si="216"/>
        <v/>
      </c>
      <c r="IW27" s="44" t="str">
        <f t="shared" si="217"/>
        <v/>
      </c>
      <c r="IX27" s="44" t="str">
        <f t="shared" si="218"/>
        <v/>
      </c>
      <c r="IY27" s="306" t="str">
        <f t="shared" si="88"/>
        <v/>
      </c>
      <c r="IZ27" s="44" t="str">
        <f t="shared" si="219"/>
        <v/>
      </c>
      <c r="JA27" s="44" t="str">
        <f t="shared" si="220"/>
        <v/>
      </c>
      <c r="JB27" s="44" t="str">
        <f t="shared" si="221"/>
        <v/>
      </c>
      <c r="JC27" s="44" t="str">
        <f t="shared" si="222"/>
        <v/>
      </c>
      <c r="JD27" s="307" t="str">
        <f t="shared" si="223"/>
        <v/>
      </c>
      <c r="JF27" s="66">
        <f t="shared" si="224"/>
        <v>27</v>
      </c>
      <c r="JG27" s="66">
        <f t="shared" ca="1" si="95"/>
        <v>192.83094915307754</v>
      </c>
      <c r="JH27" s="66">
        <f t="shared" ca="1" si="96"/>
        <v>118.64776491714143</v>
      </c>
      <c r="JI27" s="66">
        <f t="shared" ca="1" si="97"/>
        <v>95.687992322098353</v>
      </c>
      <c r="JJ27" s="66">
        <f t="shared" ca="1" si="98"/>
        <v>15</v>
      </c>
      <c r="JK27" s="33"/>
      <c r="JL27" s="75">
        <f t="shared" ca="1" si="121"/>
        <v>192.83094915307754</v>
      </c>
      <c r="JM27" s="75">
        <f t="shared" ca="1" si="99"/>
        <v>155.73935703510949</v>
      </c>
      <c r="JN27" s="75">
        <f t="shared" ca="1" si="100"/>
        <v>107.1678786196199</v>
      </c>
      <c r="JO27" s="75">
        <f t="shared" ca="1" si="122"/>
        <v>95.687992322098353</v>
      </c>
      <c r="JP27" s="74">
        <f t="shared" ca="1" si="123"/>
        <v>551.42617712990523</v>
      </c>
    </row>
    <row r="28" spans="1:276" s="1" customFormat="1" x14ac:dyDescent="0.35">
      <c r="A28" s="125">
        <v>0</v>
      </c>
      <c r="B28" s="125">
        <v>1</v>
      </c>
      <c r="C28" s="125">
        <v>1</v>
      </c>
      <c r="D28" s="163"/>
      <c r="E28" s="142" t="s">
        <v>46</v>
      </c>
      <c r="F28" s="208" t="s">
        <v>47</v>
      </c>
      <c r="G28" s="209" t="s">
        <v>540</v>
      </c>
      <c r="H28" s="210" t="s">
        <v>535</v>
      </c>
      <c r="I28" s="8" t="s">
        <v>536</v>
      </c>
      <c r="J28" s="211">
        <v>17.918207167477046</v>
      </c>
      <c r="K28" s="217">
        <v>14.395955354592035</v>
      </c>
      <c r="L28" s="217">
        <v>22.589342137336377</v>
      </c>
      <c r="M28" s="217">
        <v>17.89230860458796</v>
      </c>
      <c r="N28" s="217" t="s">
        <v>805</v>
      </c>
      <c r="O28" s="217" t="s">
        <v>805</v>
      </c>
      <c r="P28" s="217" t="s">
        <v>805</v>
      </c>
      <c r="Q28" s="217" t="s">
        <v>805</v>
      </c>
      <c r="R28" s="217" t="s">
        <v>805</v>
      </c>
      <c r="S28" s="217" t="s">
        <v>805</v>
      </c>
      <c r="T28" s="217" t="s">
        <v>805</v>
      </c>
      <c r="U28" s="217" t="s">
        <v>805</v>
      </c>
      <c r="V28" s="217" t="s">
        <v>805</v>
      </c>
      <c r="W28" s="217" t="s">
        <v>805</v>
      </c>
      <c r="X28" s="217" t="s">
        <v>805</v>
      </c>
      <c r="Y28" s="217" t="s">
        <v>805</v>
      </c>
      <c r="Z28" s="217" t="s">
        <v>805</v>
      </c>
      <c r="AA28" s="217" t="s">
        <v>805</v>
      </c>
      <c r="AB28" s="217" t="s">
        <v>805</v>
      </c>
      <c r="AC28" s="217" t="s">
        <v>805</v>
      </c>
      <c r="AD28" s="217" t="s">
        <v>805</v>
      </c>
      <c r="AE28" s="217" t="s">
        <v>805</v>
      </c>
      <c r="AF28" s="217" t="s">
        <v>805</v>
      </c>
      <c r="AG28" s="217" t="s">
        <v>805</v>
      </c>
      <c r="AH28" s="217" t="s">
        <v>805</v>
      </c>
      <c r="AI28" s="217" t="s">
        <v>805</v>
      </c>
      <c r="AJ28" s="217" t="s">
        <v>805</v>
      </c>
      <c r="AK28" s="217" t="s">
        <v>805</v>
      </c>
      <c r="AL28" s="217" t="s">
        <v>805</v>
      </c>
      <c r="AM28" s="217" t="s">
        <v>805</v>
      </c>
      <c r="AN28" s="217" t="s">
        <v>805</v>
      </c>
      <c r="AO28" s="217" t="s">
        <v>805</v>
      </c>
      <c r="AP28" s="217" t="s">
        <v>805</v>
      </c>
      <c r="AQ28" s="217" t="s">
        <v>805</v>
      </c>
      <c r="AR28" s="217" t="s">
        <v>805</v>
      </c>
      <c r="AS28" s="217" t="s">
        <v>805</v>
      </c>
      <c r="AT28" s="217" t="s">
        <v>805</v>
      </c>
      <c r="AU28" s="217" t="s">
        <v>805</v>
      </c>
      <c r="AV28" s="217" t="s">
        <v>805</v>
      </c>
      <c r="AW28" s="217" t="s">
        <v>805</v>
      </c>
      <c r="AX28" s="217" t="s">
        <v>805</v>
      </c>
      <c r="AY28" s="217" t="s">
        <v>805</v>
      </c>
      <c r="AZ28" s="217" t="s">
        <v>805</v>
      </c>
      <c r="BA28" s="217" t="s">
        <v>805</v>
      </c>
      <c r="BB28" s="217" t="s">
        <v>805</v>
      </c>
      <c r="BC28" s="217" t="s">
        <v>805</v>
      </c>
      <c r="BD28" s="217" t="s">
        <v>805</v>
      </c>
      <c r="BE28" s="217" t="s">
        <v>805</v>
      </c>
      <c r="BF28" s="217" t="s">
        <v>805</v>
      </c>
      <c r="BG28" s="217" t="s">
        <v>805</v>
      </c>
      <c r="BH28" s="217" t="s">
        <v>805</v>
      </c>
      <c r="BI28" s="217" t="s">
        <v>805</v>
      </c>
      <c r="BJ28" s="217" t="s">
        <v>805</v>
      </c>
      <c r="BK28" s="217" t="s">
        <v>805</v>
      </c>
      <c r="BL28" s="217" t="s">
        <v>805</v>
      </c>
      <c r="BM28" s="217" t="s">
        <v>805</v>
      </c>
      <c r="BN28" s="217" t="s">
        <v>805</v>
      </c>
      <c r="BO28" s="217" t="s">
        <v>805</v>
      </c>
      <c r="BP28" s="217" t="s">
        <v>805</v>
      </c>
      <c r="BQ28" s="217" t="s">
        <v>805</v>
      </c>
      <c r="BR28" s="217" t="s">
        <v>805</v>
      </c>
      <c r="BS28" s="217" t="s">
        <v>805</v>
      </c>
      <c r="BT28" s="217" t="s">
        <v>805</v>
      </c>
      <c r="BU28" s="217" t="s">
        <v>805</v>
      </c>
      <c r="BV28" s="217" t="s">
        <v>805</v>
      </c>
      <c r="BW28" s="217" t="s">
        <v>805</v>
      </c>
      <c r="BX28" s="217" t="s">
        <v>805</v>
      </c>
      <c r="BY28" s="217" t="s">
        <v>805</v>
      </c>
      <c r="BZ28" s="217" t="s">
        <v>805</v>
      </c>
      <c r="CA28" s="217" t="s">
        <v>805</v>
      </c>
      <c r="CB28" s="217" t="s">
        <v>805</v>
      </c>
      <c r="CC28" s="217" t="s">
        <v>805</v>
      </c>
      <c r="CD28" s="217" t="s">
        <v>805</v>
      </c>
      <c r="CE28" s="217" t="s">
        <v>805</v>
      </c>
      <c r="CF28" s="217" t="s">
        <v>805</v>
      </c>
      <c r="CG28" s="217" t="s">
        <v>805</v>
      </c>
      <c r="CH28" s="217" t="s">
        <v>805</v>
      </c>
      <c r="CI28" s="217" t="s">
        <v>805</v>
      </c>
      <c r="CJ28" s="217" t="s">
        <v>805</v>
      </c>
      <c r="CK28" s="217" t="s">
        <v>805</v>
      </c>
      <c r="CL28" s="217" t="s">
        <v>805</v>
      </c>
      <c r="CM28" s="217" t="s">
        <v>805</v>
      </c>
      <c r="CN28" s="217" t="s">
        <v>805</v>
      </c>
      <c r="CO28" s="217" t="s">
        <v>805</v>
      </c>
      <c r="CP28" s="217" t="s">
        <v>805</v>
      </c>
      <c r="CQ28" s="217" t="s">
        <v>805</v>
      </c>
      <c r="CR28" s="217" t="s">
        <v>805</v>
      </c>
      <c r="CS28" s="217" t="s">
        <v>805</v>
      </c>
      <c r="CT28" s="217" t="s">
        <v>805</v>
      </c>
      <c r="CU28" s="217" t="s">
        <v>805</v>
      </c>
      <c r="CV28" s="217" t="s">
        <v>805</v>
      </c>
      <c r="CW28" s="217" t="s">
        <v>805</v>
      </c>
      <c r="CX28" s="217" t="s">
        <v>805</v>
      </c>
      <c r="CY28" s="217" t="s">
        <v>805</v>
      </c>
      <c r="CZ28" s="217" t="s">
        <v>805</v>
      </c>
      <c r="DA28" s="217" t="s">
        <v>805</v>
      </c>
      <c r="DB28" s="217" t="s">
        <v>805</v>
      </c>
      <c r="DC28" s="217" t="s">
        <v>805</v>
      </c>
      <c r="DD28" s="217" t="s">
        <v>805</v>
      </c>
      <c r="DE28" s="217" t="s">
        <v>805</v>
      </c>
      <c r="DF28" s="217" t="s">
        <v>805</v>
      </c>
      <c r="DG28" s="212">
        <f>VLOOKUP(E28,'KPI Count-SHARE'!A:F,3,0)</f>
        <v>13</v>
      </c>
      <c r="DH28" s="213">
        <v>25.098194871467385</v>
      </c>
      <c r="DI28" s="218">
        <v>41.210984431985949</v>
      </c>
      <c r="DJ28" s="218">
        <v>36.609703419035093</v>
      </c>
      <c r="DK28" s="218">
        <v>19.604558072526238</v>
      </c>
      <c r="DL28" s="218">
        <v>15.95789984461374</v>
      </c>
      <c r="DM28" s="218">
        <v>10.265152665656688</v>
      </c>
      <c r="DN28" s="212">
        <f>VLOOKUP(E28,'KPI Count-SHARE'!A:F,4,0)</f>
        <v>0</v>
      </c>
      <c r="DO28" s="213"/>
      <c r="DP28" s="218"/>
      <c r="DQ28" s="218"/>
      <c r="DR28" s="218"/>
      <c r="DS28" s="218"/>
      <c r="DT28" s="218"/>
      <c r="DU28" s="212">
        <f>VLOOKUP(E28,'KPI Count-SHARE'!A:F,5,0)</f>
        <v>0</v>
      </c>
      <c r="DV28" s="213"/>
      <c r="DW28" s="218"/>
      <c r="DX28" s="218"/>
      <c r="DY28" s="218"/>
      <c r="DZ28" s="218"/>
      <c r="EA28" s="218"/>
      <c r="EB28" s="212">
        <f>VLOOKUP(E28,'KPI Count-SHARE'!A:F,6,0)</f>
        <v>0</v>
      </c>
      <c r="EC28" s="213"/>
      <c r="ED28" s="218"/>
      <c r="EE28" s="218"/>
      <c r="EF28" s="218"/>
      <c r="EG28" s="218"/>
      <c r="EH28" s="218"/>
      <c r="EI28" s="214" t="str">
        <f t="shared" si="231"/>
        <v>USD '000 per FTE</v>
      </c>
      <c r="EJ28" s="236">
        <f t="shared" si="101"/>
        <v>20.132817042109043</v>
      </c>
      <c r="EK28" s="236">
        <f t="shared" si="102"/>
        <v>16.175230735496669</v>
      </c>
      <c r="EL28" s="236">
        <f t="shared" si="103"/>
        <v>25.381283300377955</v>
      </c>
      <c r="EM28" s="236">
        <f t="shared" si="104"/>
        <v>20.1037175332449</v>
      </c>
      <c r="EN28" s="236" t="str">
        <f t="shared" si="105"/>
        <v>-</v>
      </c>
      <c r="EO28" s="236" t="str">
        <f t="shared" si="106"/>
        <v>-</v>
      </c>
      <c r="EP28" s="236" t="str">
        <f t="shared" si="107"/>
        <v>-</v>
      </c>
      <c r="EQ28" s="236" t="str">
        <f t="shared" si="108"/>
        <v>-</v>
      </c>
      <c r="ER28" s="236" t="str">
        <f t="shared" si="109"/>
        <v>-</v>
      </c>
      <c r="ES28" s="236" t="str">
        <f t="shared" si="110"/>
        <v>-</v>
      </c>
      <c r="ET28" s="236" t="str">
        <f t="shared" si="111"/>
        <v>-</v>
      </c>
      <c r="EU28" s="236" t="str">
        <f t="shared" si="165"/>
        <v>-</v>
      </c>
      <c r="EV28" s="236" t="str">
        <f t="shared" si="166"/>
        <v>-</v>
      </c>
      <c r="EW28" s="236" t="str">
        <f t="shared" si="167"/>
        <v>-</v>
      </c>
      <c r="EX28" s="236" t="str">
        <f t="shared" si="168"/>
        <v>-</v>
      </c>
      <c r="EY28" s="236" t="str">
        <f t="shared" si="169"/>
        <v>-</v>
      </c>
      <c r="EZ28" s="236" t="str">
        <f t="shared" si="170"/>
        <v>-</v>
      </c>
      <c r="FA28" s="236" t="str">
        <f t="shared" si="171"/>
        <v>-</v>
      </c>
      <c r="FB28" s="236" t="str">
        <f t="shared" si="172"/>
        <v>-</v>
      </c>
      <c r="FC28" s="236" t="str">
        <f t="shared" si="173"/>
        <v>-</v>
      </c>
      <c r="FD28" s="236" t="str">
        <f t="shared" si="174"/>
        <v>-</v>
      </c>
      <c r="FE28" s="236" t="str">
        <f t="shared" si="175"/>
        <v>-</v>
      </c>
      <c r="FF28" s="236" t="str">
        <f t="shared" si="176"/>
        <v>-</v>
      </c>
      <c r="FG28" s="236" t="str">
        <f t="shared" si="177"/>
        <v>-</v>
      </c>
      <c r="FH28" s="236" t="str">
        <f t="shared" si="178"/>
        <v>-</v>
      </c>
      <c r="FI28" s="236" t="str">
        <f t="shared" si="179"/>
        <v>-</v>
      </c>
      <c r="FJ28" s="236" t="str">
        <f t="shared" si="180"/>
        <v>-</v>
      </c>
      <c r="FK28" s="236" t="str">
        <f t="shared" si="181"/>
        <v>-</v>
      </c>
      <c r="FL28" s="236" t="str">
        <f t="shared" si="182"/>
        <v>-</v>
      </c>
      <c r="FM28" s="236" t="str">
        <f t="shared" si="183"/>
        <v>-</v>
      </c>
      <c r="FN28" s="236" t="str">
        <f t="shared" si="184"/>
        <v>-</v>
      </c>
      <c r="FO28" s="236" t="str">
        <f t="shared" si="185"/>
        <v>-</v>
      </c>
      <c r="FP28" s="236" t="str">
        <f t="shared" si="186"/>
        <v>-</v>
      </c>
      <c r="FQ28" s="236" t="str">
        <f t="shared" si="187"/>
        <v>-</v>
      </c>
      <c r="FR28" s="236" t="str">
        <f t="shared" si="188"/>
        <v>-</v>
      </c>
      <c r="FS28" s="236" t="str">
        <f t="shared" si="189"/>
        <v>-</v>
      </c>
      <c r="FT28" s="236" t="str">
        <f t="shared" si="190"/>
        <v>-</v>
      </c>
      <c r="FU28" s="236" t="str">
        <f t="shared" si="191"/>
        <v>-</v>
      </c>
      <c r="FV28" s="236" t="str">
        <f t="shared" si="192"/>
        <v>-</v>
      </c>
      <c r="FW28" s="236" t="str">
        <f t="shared" si="193"/>
        <v>-</v>
      </c>
      <c r="FX28" s="236" t="str">
        <f t="shared" si="194"/>
        <v>-</v>
      </c>
      <c r="FY28" s="236" t="str">
        <f t="shared" si="195"/>
        <v>-</v>
      </c>
      <c r="FZ28" s="236" t="str">
        <f t="shared" si="196"/>
        <v>-</v>
      </c>
      <c r="GA28" s="236" t="str">
        <f t="shared" si="197"/>
        <v>-</v>
      </c>
      <c r="GB28" s="236" t="str">
        <f t="shared" si="155"/>
        <v>-</v>
      </c>
      <c r="GC28" s="236" t="str">
        <f t="shared" si="156"/>
        <v>-</v>
      </c>
      <c r="GD28" s="236" t="str">
        <f t="shared" si="157"/>
        <v>-</v>
      </c>
      <c r="GE28" s="236" t="str">
        <f t="shared" si="158"/>
        <v>-</v>
      </c>
      <c r="GF28" s="236" t="str">
        <f t="shared" si="232"/>
        <v>-</v>
      </c>
      <c r="GG28" s="236" t="str">
        <f t="shared" si="233"/>
        <v>-</v>
      </c>
      <c r="GH28" s="236" t="str">
        <f t="shared" si="234"/>
        <v>-</v>
      </c>
      <c r="GI28" s="236" t="str">
        <f t="shared" si="235"/>
        <v>-</v>
      </c>
      <c r="GJ28" s="236" t="str">
        <f t="shared" si="236"/>
        <v>-</v>
      </c>
      <c r="GK28" s="236" t="str">
        <f t="shared" si="237"/>
        <v>-</v>
      </c>
      <c r="GL28" s="236" t="str">
        <f t="shared" si="238"/>
        <v>-</v>
      </c>
      <c r="GM28" s="236" t="str">
        <f t="shared" si="239"/>
        <v>-</v>
      </c>
      <c r="GN28" s="236" t="str">
        <f t="shared" si="240"/>
        <v>-</v>
      </c>
      <c r="GO28" s="236" t="str">
        <f t="shared" si="241"/>
        <v>-</v>
      </c>
      <c r="GP28" s="236" t="str">
        <f t="shared" si="242"/>
        <v>-</v>
      </c>
      <c r="GQ28" s="236" t="str">
        <f t="shared" si="243"/>
        <v>-</v>
      </c>
      <c r="GR28" s="236" t="str">
        <f t="shared" si="244"/>
        <v>-</v>
      </c>
      <c r="GS28" s="236" t="str">
        <f t="shared" si="245"/>
        <v>-</v>
      </c>
      <c r="GT28" s="236" t="str">
        <f t="shared" si="246"/>
        <v>-</v>
      </c>
      <c r="GU28" s="236" t="str">
        <f t="shared" si="226"/>
        <v>-</v>
      </c>
      <c r="GV28" s="236" t="str">
        <f t="shared" si="247"/>
        <v>-</v>
      </c>
      <c r="GW28" s="236" t="str">
        <f t="shared" si="248"/>
        <v>-</v>
      </c>
      <c r="GX28" s="236" t="str">
        <f t="shared" si="249"/>
        <v>-</v>
      </c>
      <c r="GY28" s="236" t="str">
        <f t="shared" si="250"/>
        <v>-</v>
      </c>
      <c r="GZ28" s="236" t="str">
        <f t="shared" si="251"/>
        <v>-</v>
      </c>
      <c r="HA28" s="236" t="str">
        <f t="shared" si="252"/>
        <v>-</v>
      </c>
      <c r="HB28" s="236" t="str">
        <f t="shared" si="253"/>
        <v>-</v>
      </c>
      <c r="HC28" s="236" t="str">
        <f t="shared" si="254"/>
        <v>-</v>
      </c>
      <c r="HD28" s="236" t="str">
        <f t="shared" si="255"/>
        <v>-</v>
      </c>
      <c r="HE28" s="236" t="str">
        <f t="shared" si="256"/>
        <v>-</v>
      </c>
      <c r="HF28" s="236" t="str">
        <f t="shared" si="257"/>
        <v>-</v>
      </c>
      <c r="HG28" s="236" t="str">
        <f t="shared" si="258"/>
        <v>-</v>
      </c>
      <c r="HH28" s="236" t="str">
        <f t="shared" si="259"/>
        <v>-</v>
      </c>
      <c r="HI28" s="236" t="str">
        <f t="shared" si="260"/>
        <v>-</v>
      </c>
      <c r="HJ28" s="236" t="str">
        <f t="shared" si="261"/>
        <v>-</v>
      </c>
      <c r="HK28" s="236" t="str">
        <f t="shared" si="228"/>
        <v>-</v>
      </c>
      <c r="HL28" s="236" t="str">
        <f t="shared" si="262"/>
        <v>-</v>
      </c>
      <c r="HM28" s="236" t="str">
        <f t="shared" si="263"/>
        <v>-</v>
      </c>
      <c r="HN28" s="236" t="str">
        <f t="shared" si="264"/>
        <v>-</v>
      </c>
      <c r="HO28" s="236" t="str">
        <f t="shared" si="265"/>
        <v>-</v>
      </c>
      <c r="HP28" s="236" t="str">
        <f t="shared" si="266"/>
        <v>-</v>
      </c>
      <c r="HQ28" s="236" t="str">
        <f t="shared" si="267"/>
        <v>-</v>
      </c>
      <c r="HR28" s="236" t="str">
        <f t="shared" si="268"/>
        <v>-</v>
      </c>
      <c r="HS28" s="236" t="str">
        <f t="shared" si="269"/>
        <v>-</v>
      </c>
      <c r="HT28" s="236" t="str">
        <f t="shared" si="270"/>
        <v>-</v>
      </c>
      <c r="HU28" s="236" t="str">
        <f t="shared" si="271"/>
        <v>-</v>
      </c>
      <c r="HV28" s="236" t="str">
        <f t="shared" si="272"/>
        <v>-</v>
      </c>
      <c r="HW28" s="236" t="str">
        <f t="shared" si="273"/>
        <v>-</v>
      </c>
      <c r="HX28" s="236" t="str">
        <f t="shared" si="274"/>
        <v>-</v>
      </c>
      <c r="HY28" s="236" t="str">
        <f t="shared" si="275"/>
        <v>-</v>
      </c>
      <c r="HZ28" s="236" t="str">
        <f t="shared" si="276"/>
        <v>-</v>
      </c>
      <c r="IA28" s="236" t="str">
        <f t="shared" si="230"/>
        <v>-</v>
      </c>
      <c r="IB28" s="236" t="str">
        <f t="shared" si="277"/>
        <v>-</v>
      </c>
      <c r="IC28" s="236" t="str">
        <f t="shared" si="278"/>
        <v>-</v>
      </c>
      <c r="ID28" s="236" t="str">
        <f t="shared" si="279"/>
        <v>-</v>
      </c>
      <c r="IE28" s="236" t="str">
        <f t="shared" si="68"/>
        <v>-</v>
      </c>
      <c r="IF28" s="236" t="str">
        <f t="shared" si="69"/>
        <v>-</v>
      </c>
      <c r="IG28" s="306">
        <f t="shared" si="70"/>
        <v>28.20021895670493</v>
      </c>
      <c r="IH28" s="44">
        <f t="shared" si="204"/>
        <v>46.304476889871857</v>
      </c>
      <c r="II28" s="44">
        <f t="shared" si="205"/>
        <v>41.134498223634935</v>
      </c>
      <c r="IJ28" s="44">
        <f t="shared" si="206"/>
        <v>22.027593339917122</v>
      </c>
      <c r="IK28" s="44">
        <f t="shared" si="207"/>
        <v>17.930224544509823</v>
      </c>
      <c r="IL28" s="44">
        <f t="shared" si="208"/>
        <v>11.533879399614257</v>
      </c>
      <c r="IM28" s="306" t="str">
        <f t="shared" si="76"/>
        <v/>
      </c>
      <c r="IN28" s="44" t="str">
        <f t="shared" si="209"/>
        <v/>
      </c>
      <c r="IO28" s="44" t="str">
        <f t="shared" si="210"/>
        <v/>
      </c>
      <c r="IP28" s="44" t="str">
        <f t="shared" si="211"/>
        <v/>
      </c>
      <c r="IQ28" s="44" t="str">
        <f t="shared" si="212"/>
        <v/>
      </c>
      <c r="IR28" s="44" t="str">
        <f t="shared" si="213"/>
        <v/>
      </c>
      <c r="IS28" s="306" t="str">
        <f t="shared" si="82"/>
        <v/>
      </c>
      <c r="IT28" s="44" t="str">
        <f t="shared" si="214"/>
        <v/>
      </c>
      <c r="IU28" s="44" t="str">
        <f t="shared" si="215"/>
        <v/>
      </c>
      <c r="IV28" s="44" t="str">
        <f t="shared" si="216"/>
        <v/>
      </c>
      <c r="IW28" s="44" t="str">
        <f t="shared" si="217"/>
        <v/>
      </c>
      <c r="IX28" s="44" t="str">
        <f t="shared" si="218"/>
        <v/>
      </c>
      <c r="IY28" s="306" t="str">
        <f t="shared" si="88"/>
        <v/>
      </c>
      <c r="IZ28" s="44" t="str">
        <f t="shared" si="219"/>
        <v/>
      </c>
      <c r="JA28" s="44" t="str">
        <f t="shared" si="220"/>
        <v/>
      </c>
      <c r="JB28" s="44" t="str">
        <f t="shared" si="221"/>
        <v/>
      </c>
      <c r="JC28" s="44" t="str">
        <f t="shared" si="222"/>
        <v/>
      </c>
      <c r="JD28" s="307" t="str">
        <f t="shared" si="223"/>
        <v/>
      </c>
      <c r="JF28" s="66">
        <f t="shared" si="224"/>
        <v>28</v>
      </c>
      <c r="JG28" s="66">
        <f t="shared" ca="1" si="95"/>
        <v>41.134498223634935</v>
      </c>
      <c r="JH28" s="66">
        <f t="shared" ca="1" si="96"/>
        <v>22.027593339917122</v>
      </c>
      <c r="JI28" s="66">
        <f t="shared" ca="1" si="97"/>
        <v>17.930224544509823</v>
      </c>
      <c r="JJ28" s="66">
        <f t="shared" ca="1" si="98"/>
        <v>13</v>
      </c>
      <c r="JK28" s="33"/>
      <c r="JL28" s="74">
        <f t="shared" ca="1" si="121"/>
        <v>41.134498223634935</v>
      </c>
      <c r="JM28" s="75">
        <f t="shared" ca="1" si="99"/>
        <v>31.581045781776027</v>
      </c>
      <c r="JN28" s="75">
        <f t="shared" ca="1" si="100"/>
        <v>19.978908942213472</v>
      </c>
      <c r="JO28" s="74">
        <f t="shared" ca="1" si="122"/>
        <v>17.930224544509823</v>
      </c>
      <c r="JP28" s="74">
        <f t="shared" ca="1" si="123"/>
        <v>110.62467749213425</v>
      </c>
    </row>
    <row r="29" spans="1:276" s="1" customFormat="1" x14ac:dyDescent="0.35">
      <c r="A29" s="125">
        <v>0</v>
      </c>
      <c r="B29" s="125">
        <v>0</v>
      </c>
      <c r="C29" s="125">
        <v>1</v>
      </c>
      <c r="D29" s="163"/>
      <c r="E29" s="142" t="s">
        <v>48</v>
      </c>
      <c r="F29" s="208" t="s">
        <v>49</v>
      </c>
      <c r="G29" s="209" t="s">
        <v>540</v>
      </c>
      <c r="H29" s="210" t="s">
        <v>535</v>
      </c>
      <c r="I29" s="8" t="s">
        <v>536</v>
      </c>
      <c r="J29" s="211">
        <v>7.1295210777316704</v>
      </c>
      <c r="K29" s="217">
        <v>5.4215891284017088</v>
      </c>
      <c r="L29" s="217">
        <v>7.7407074778680656</v>
      </c>
      <c r="M29" s="217">
        <v>11.707202719789715</v>
      </c>
      <c r="N29" s="217" t="s">
        <v>805</v>
      </c>
      <c r="O29" s="217" t="s">
        <v>805</v>
      </c>
      <c r="P29" s="217" t="s">
        <v>805</v>
      </c>
      <c r="Q29" s="217" t="s">
        <v>805</v>
      </c>
      <c r="R29" s="217" t="s">
        <v>805</v>
      </c>
      <c r="S29" s="217" t="s">
        <v>805</v>
      </c>
      <c r="T29" s="217" t="s">
        <v>805</v>
      </c>
      <c r="U29" s="217" t="s">
        <v>805</v>
      </c>
      <c r="V29" s="217" t="s">
        <v>805</v>
      </c>
      <c r="W29" s="217" t="s">
        <v>805</v>
      </c>
      <c r="X29" s="217" t="s">
        <v>805</v>
      </c>
      <c r="Y29" s="217" t="s">
        <v>805</v>
      </c>
      <c r="Z29" s="217" t="s">
        <v>805</v>
      </c>
      <c r="AA29" s="217" t="s">
        <v>805</v>
      </c>
      <c r="AB29" s="217" t="s">
        <v>805</v>
      </c>
      <c r="AC29" s="217" t="s">
        <v>805</v>
      </c>
      <c r="AD29" s="217" t="s">
        <v>805</v>
      </c>
      <c r="AE29" s="217" t="s">
        <v>805</v>
      </c>
      <c r="AF29" s="217" t="s">
        <v>805</v>
      </c>
      <c r="AG29" s="217" t="s">
        <v>805</v>
      </c>
      <c r="AH29" s="217" t="s">
        <v>805</v>
      </c>
      <c r="AI29" s="217" t="s">
        <v>805</v>
      </c>
      <c r="AJ29" s="217" t="s">
        <v>805</v>
      </c>
      <c r="AK29" s="217" t="s">
        <v>805</v>
      </c>
      <c r="AL29" s="217" t="s">
        <v>805</v>
      </c>
      <c r="AM29" s="217" t="s">
        <v>805</v>
      </c>
      <c r="AN29" s="217" t="s">
        <v>805</v>
      </c>
      <c r="AO29" s="217" t="s">
        <v>805</v>
      </c>
      <c r="AP29" s="217" t="s">
        <v>805</v>
      </c>
      <c r="AQ29" s="217" t="s">
        <v>805</v>
      </c>
      <c r="AR29" s="217" t="s">
        <v>805</v>
      </c>
      <c r="AS29" s="217" t="s">
        <v>805</v>
      </c>
      <c r="AT29" s="217" t="s">
        <v>805</v>
      </c>
      <c r="AU29" s="217" t="s">
        <v>805</v>
      </c>
      <c r="AV29" s="217" t="s">
        <v>805</v>
      </c>
      <c r="AW29" s="217" t="s">
        <v>805</v>
      </c>
      <c r="AX29" s="217" t="s">
        <v>805</v>
      </c>
      <c r="AY29" s="217" t="s">
        <v>805</v>
      </c>
      <c r="AZ29" s="217" t="s">
        <v>805</v>
      </c>
      <c r="BA29" s="217" t="s">
        <v>805</v>
      </c>
      <c r="BB29" s="217" t="s">
        <v>805</v>
      </c>
      <c r="BC29" s="217" t="s">
        <v>805</v>
      </c>
      <c r="BD29" s="217" t="s">
        <v>805</v>
      </c>
      <c r="BE29" s="217" t="s">
        <v>805</v>
      </c>
      <c r="BF29" s="217" t="s">
        <v>805</v>
      </c>
      <c r="BG29" s="217" t="s">
        <v>805</v>
      </c>
      <c r="BH29" s="217" t="s">
        <v>805</v>
      </c>
      <c r="BI29" s="217" t="s">
        <v>805</v>
      </c>
      <c r="BJ29" s="217" t="s">
        <v>805</v>
      </c>
      <c r="BK29" s="217" t="s">
        <v>805</v>
      </c>
      <c r="BL29" s="217" t="s">
        <v>805</v>
      </c>
      <c r="BM29" s="217" t="s">
        <v>805</v>
      </c>
      <c r="BN29" s="217" t="s">
        <v>805</v>
      </c>
      <c r="BO29" s="217" t="s">
        <v>805</v>
      </c>
      <c r="BP29" s="217" t="s">
        <v>805</v>
      </c>
      <c r="BQ29" s="217" t="s">
        <v>805</v>
      </c>
      <c r="BR29" s="217" t="s">
        <v>805</v>
      </c>
      <c r="BS29" s="217" t="s">
        <v>805</v>
      </c>
      <c r="BT29" s="217" t="s">
        <v>805</v>
      </c>
      <c r="BU29" s="217" t="s">
        <v>805</v>
      </c>
      <c r="BV29" s="217" t="s">
        <v>805</v>
      </c>
      <c r="BW29" s="217" t="s">
        <v>805</v>
      </c>
      <c r="BX29" s="217" t="s">
        <v>805</v>
      </c>
      <c r="BY29" s="217" t="s">
        <v>805</v>
      </c>
      <c r="BZ29" s="217" t="s">
        <v>805</v>
      </c>
      <c r="CA29" s="217" t="s">
        <v>805</v>
      </c>
      <c r="CB29" s="217" t="s">
        <v>805</v>
      </c>
      <c r="CC29" s="217" t="s">
        <v>805</v>
      </c>
      <c r="CD29" s="217" t="s">
        <v>805</v>
      </c>
      <c r="CE29" s="217" t="s">
        <v>805</v>
      </c>
      <c r="CF29" s="217" t="s">
        <v>805</v>
      </c>
      <c r="CG29" s="217" t="s">
        <v>805</v>
      </c>
      <c r="CH29" s="217" t="s">
        <v>805</v>
      </c>
      <c r="CI29" s="217" t="s">
        <v>805</v>
      </c>
      <c r="CJ29" s="217" t="s">
        <v>805</v>
      </c>
      <c r="CK29" s="217" t="s">
        <v>805</v>
      </c>
      <c r="CL29" s="217" t="s">
        <v>805</v>
      </c>
      <c r="CM29" s="217" t="s">
        <v>805</v>
      </c>
      <c r="CN29" s="217" t="s">
        <v>805</v>
      </c>
      <c r="CO29" s="217" t="s">
        <v>805</v>
      </c>
      <c r="CP29" s="217" t="s">
        <v>805</v>
      </c>
      <c r="CQ29" s="217" t="s">
        <v>805</v>
      </c>
      <c r="CR29" s="217" t="s">
        <v>805</v>
      </c>
      <c r="CS29" s="217" t="s">
        <v>805</v>
      </c>
      <c r="CT29" s="217" t="s">
        <v>805</v>
      </c>
      <c r="CU29" s="217" t="s">
        <v>805</v>
      </c>
      <c r="CV29" s="217" t="s">
        <v>805</v>
      </c>
      <c r="CW29" s="217" t="s">
        <v>805</v>
      </c>
      <c r="CX29" s="217" t="s">
        <v>805</v>
      </c>
      <c r="CY29" s="217" t="s">
        <v>805</v>
      </c>
      <c r="CZ29" s="217" t="s">
        <v>805</v>
      </c>
      <c r="DA29" s="217" t="s">
        <v>805</v>
      </c>
      <c r="DB29" s="217" t="s">
        <v>805</v>
      </c>
      <c r="DC29" s="217" t="s">
        <v>805</v>
      </c>
      <c r="DD29" s="217" t="s">
        <v>805</v>
      </c>
      <c r="DE29" s="217" t="s">
        <v>805</v>
      </c>
      <c r="DF29" s="217" t="s">
        <v>805</v>
      </c>
      <c r="DG29" s="212">
        <f>VLOOKUP(E29,'KPI Count-SHARE'!A:F,3,0)</f>
        <v>5</v>
      </c>
      <c r="DH29" s="213">
        <v>4.9758002518308349</v>
      </c>
      <c r="DI29" s="218">
        <v>6.9642050130702176</v>
      </c>
      <c r="DJ29" s="218">
        <v>4.7042941273446655</v>
      </c>
      <c r="DK29" s="218">
        <v>4.3879796129721358</v>
      </c>
      <c r="DL29" s="218">
        <v>3.981921805511436</v>
      </c>
      <c r="DM29" s="218">
        <v>3.5931647880677846</v>
      </c>
      <c r="DN29" s="212">
        <f>VLOOKUP(E29,'KPI Count-SHARE'!A:F,4,0)</f>
        <v>0</v>
      </c>
      <c r="DO29" s="213"/>
      <c r="DP29" s="218"/>
      <c r="DQ29" s="218"/>
      <c r="DR29" s="218"/>
      <c r="DS29" s="218"/>
      <c r="DT29" s="218"/>
      <c r="DU29" s="212">
        <f>VLOOKUP(E29,'KPI Count-SHARE'!A:F,5,0)</f>
        <v>0</v>
      </c>
      <c r="DV29" s="213"/>
      <c r="DW29" s="218"/>
      <c r="DX29" s="218"/>
      <c r="DY29" s="218"/>
      <c r="DZ29" s="218"/>
      <c r="EA29" s="218"/>
      <c r="EB29" s="212">
        <f>VLOOKUP(E29,'KPI Count-SHARE'!A:F,6,0)</f>
        <v>0</v>
      </c>
      <c r="EC29" s="213"/>
      <c r="ED29" s="218"/>
      <c r="EE29" s="218"/>
      <c r="EF29" s="218"/>
      <c r="EG29" s="218"/>
      <c r="EH29" s="218"/>
      <c r="EI29" s="214" t="str">
        <f t="shared" si="231"/>
        <v>USD '000 per FTE</v>
      </c>
      <c r="EJ29" s="236">
        <f t="shared" si="101"/>
        <v>8.0106978401479445</v>
      </c>
      <c r="EK29" s="236">
        <f t="shared" si="102"/>
        <v>6.0916731779794482</v>
      </c>
      <c r="EL29" s="236">
        <f t="shared" si="103"/>
        <v>8.69742413243603</v>
      </c>
      <c r="EM29" s="236">
        <f t="shared" si="104"/>
        <v>13.154160359314288</v>
      </c>
      <c r="EN29" s="236" t="str">
        <f t="shared" si="105"/>
        <v>-</v>
      </c>
      <c r="EO29" s="236" t="str">
        <f t="shared" si="106"/>
        <v>-</v>
      </c>
      <c r="EP29" s="236" t="str">
        <f t="shared" si="107"/>
        <v>-</v>
      </c>
      <c r="EQ29" s="236" t="str">
        <f t="shared" si="108"/>
        <v>-</v>
      </c>
      <c r="ER29" s="236" t="str">
        <f t="shared" si="109"/>
        <v>-</v>
      </c>
      <c r="ES29" s="236" t="str">
        <f t="shared" si="110"/>
        <v>-</v>
      </c>
      <c r="ET29" s="236" t="str">
        <f t="shared" si="111"/>
        <v>-</v>
      </c>
      <c r="EU29" s="236" t="str">
        <f t="shared" si="165"/>
        <v>-</v>
      </c>
      <c r="EV29" s="236" t="str">
        <f t="shared" si="166"/>
        <v>-</v>
      </c>
      <c r="EW29" s="236" t="str">
        <f t="shared" si="167"/>
        <v>-</v>
      </c>
      <c r="EX29" s="236" t="str">
        <f t="shared" si="168"/>
        <v>-</v>
      </c>
      <c r="EY29" s="236" t="str">
        <f t="shared" si="169"/>
        <v>-</v>
      </c>
      <c r="EZ29" s="236" t="str">
        <f t="shared" si="170"/>
        <v>-</v>
      </c>
      <c r="FA29" s="236" t="str">
        <f t="shared" si="171"/>
        <v>-</v>
      </c>
      <c r="FB29" s="236" t="str">
        <f t="shared" si="172"/>
        <v>-</v>
      </c>
      <c r="FC29" s="236" t="str">
        <f t="shared" si="173"/>
        <v>-</v>
      </c>
      <c r="FD29" s="236" t="str">
        <f t="shared" si="174"/>
        <v>-</v>
      </c>
      <c r="FE29" s="236" t="str">
        <f t="shared" si="175"/>
        <v>-</v>
      </c>
      <c r="FF29" s="236" t="str">
        <f t="shared" si="176"/>
        <v>-</v>
      </c>
      <c r="FG29" s="236" t="str">
        <f t="shared" si="177"/>
        <v>-</v>
      </c>
      <c r="FH29" s="236" t="str">
        <f t="shared" si="178"/>
        <v>-</v>
      </c>
      <c r="FI29" s="236" t="str">
        <f t="shared" si="179"/>
        <v>-</v>
      </c>
      <c r="FJ29" s="236" t="str">
        <f t="shared" si="180"/>
        <v>-</v>
      </c>
      <c r="FK29" s="236" t="str">
        <f t="shared" si="181"/>
        <v>-</v>
      </c>
      <c r="FL29" s="236" t="str">
        <f t="shared" si="182"/>
        <v>-</v>
      </c>
      <c r="FM29" s="236" t="str">
        <f t="shared" si="183"/>
        <v>-</v>
      </c>
      <c r="FN29" s="236" t="str">
        <f t="shared" si="184"/>
        <v>-</v>
      </c>
      <c r="FO29" s="236" t="str">
        <f t="shared" si="185"/>
        <v>-</v>
      </c>
      <c r="FP29" s="236" t="str">
        <f t="shared" si="186"/>
        <v>-</v>
      </c>
      <c r="FQ29" s="236" t="str">
        <f t="shared" si="187"/>
        <v>-</v>
      </c>
      <c r="FR29" s="236" t="str">
        <f t="shared" si="188"/>
        <v>-</v>
      </c>
      <c r="FS29" s="236" t="str">
        <f t="shared" si="189"/>
        <v>-</v>
      </c>
      <c r="FT29" s="236" t="str">
        <f t="shared" si="190"/>
        <v>-</v>
      </c>
      <c r="FU29" s="236" t="str">
        <f t="shared" si="191"/>
        <v>-</v>
      </c>
      <c r="FV29" s="236" t="str">
        <f t="shared" si="192"/>
        <v>-</v>
      </c>
      <c r="FW29" s="236" t="str">
        <f t="shared" si="193"/>
        <v>-</v>
      </c>
      <c r="FX29" s="236" t="str">
        <f t="shared" si="194"/>
        <v>-</v>
      </c>
      <c r="FY29" s="236" t="str">
        <f t="shared" si="195"/>
        <v>-</v>
      </c>
      <c r="FZ29" s="236" t="str">
        <f t="shared" si="196"/>
        <v>-</v>
      </c>
      <c r="GA29" s="236" t="str">
        <f t="shared" si="197"/>
        <v>-</v>
      </c>
      <c r="GB29" s="236" t="str">
        <f t="shared" si="155"/>
        <v>-</v>
      </c>
      <c r="GC29" s="236" t="str">
        <f t="shared" si="156"/>
        <v>-</v>
      </c>
      <c r="GD29" s="236" t="str">
        <f t="shared" si="157"/>
        <v>-</v>
      </c>
      <c r="GE29" s="236" t="str">
        <f t="shared" si="158"/>
        <v>-</v>
      </c>
      <c r="GF29" s="236" t="str">
        <f t="shared" si="232"/>
        <v>-</v>
      </c>
      <c r="GG29" s="236" t="str">
        <f t="shared" si="233"/>
        <v>-</v>
      </c>
      <c r="GH29" s="236" t="str">
        <f t="shared" si="234"/>
        <v>-</v>
      </c>
      <c r="GI29" s="236" t="str">
        <f t="shared" si="235"/>
        <v>-</v>
      </c>
      <c r="GJ29" s="236" t="str">
        <f t="shared" si="236"/>
        <v>-</v>
      </c>
      <c r="GK29" s="236" t="str">
        <f t="shared" si="237"/>
        <v>-</v>
      </c>
      <c r="GL29" s="236" t="str">
        <f t="shared" si="238"/>
        <v>-</v>
      </c>
      <c r="GM29" s="236" t="str">
        <f t="shared" si="239"/>
        <v>-</v>
      </c>
      <c r="GN29" s="236" t="str">
        <f t="shared" si="240"/>
        <v>-</v>
      </c>
      <c r="GO29" s="236" t="str">
        <f t="shared" si="241"/>
        <v>-</v>
      </c>
      <c r="GP29" s="236" t="str">
        <f t="shared" si="242"/>
        <v>-</v>
      </c>
      <c r="GQ29" s="236" t="str">
        <f t="shared" si="243"/>
        <v>-</v>
      </c>
      <c r="GR29" s="236" t="str">
        <f t="shared" si="244"/>
        <v>-</v>
      </c>
      <c r="GS29" s="236" t="str">
        <f t="shared" si="245"/>
        <v>-</v>
      </c>
      <c r="GT29" s="236" t="str">
        <f t="shared" si="246"/>
        <v>-</v>
      </c>
      <c r="GU29" s="236" t="str">
        <f t="shared" si="226"/>
        <v>-</v>
      </c>
      <c r="GV29" s="236" t="str">
        <f t="shared" si="247"/>
        <v>-</v>
      </c>
      <c r="GW29" s="236" t="str">
        <f t="shared" si="248"/>
        <v>-</v>
      </c>
      <c r="GX29" s="236" t="str">
        <f t="shared" si="249"/>
        <v>-</v>
      </c>
      <c r="GY29" s="236" t="str">
        <f t="shared" si="250"/>
        <v>-</v>
      </c>
      <c r="GZ29" s="236" t="str">
        <f t="shared" si="251"/>
        <v>-</v>
      </c>
      <c r="HA29" s="236" t="str">
        <f t="shared" si="252"/>
        <v>-</v>
      </c>
      <c r="HB29" s="236" t="str">
        <f t="shared" si="253"/>
        <v>-</v>
      </c>
      <c r="HC29" s="236" t="str">
        <f t="shared" si="254"/>
        <v>-</v>
      </c>
      <c r="HD29" s="236" t="str">
        <f t="shared" si="255"/>
        <v>-</v>
      </c>
      <c r="HE29" s="236" t="str">
        <f t="shared" si="256"/>
        <v>-</v>
      </c>
      <c r="HF29" s="236" t="str">
        <f t="shared" si="257"/>
        <v>-</v>
      </c>
      <c r="HG29" s="236" t="str">
        <f t="shared" si="258"/>
        <v>-</v>
      </c>
      <c r="HH29" s="236" t="str">
        <f t="shared" si="259"/>
        <v>-</v>
      </c>
      <c r="HI29" s="236" t="str">
        <f t="shared" si="260"/>
        <v>-</v>
      </c>
      <c r="HJ29" s="236" t="str">
        <f t="shared" si="261"/>
        <v>-</v>
      </c>
      <c r="HK29" s="236" t="str">
        <f t="shared" si="228"/>
        <v>-</v>
      </c>
      <c r="HL29" s="236" t="str">
        <f t="shared" si="262"/>
        <v>-</v>
      </c>
      <c r="HM29" s="236" t="str">
        <f t="shared" si="263"/>
        <v>-</v>
      </c>
      <c r="HN29" s="236" t="str">
        <f t="shared" si="264"/>
        <v>-</v>
      </c>
      <c r="HO29" s="236" t="str">
        <f t="shared" si="265"/>
        <v>-</v>
      </c>
      <c r="HP29" s="236" t="str">
        <f t="shared" si="266"/>
        <v>-</v>
      </c>
      <c r="HQ29" s="236" t="str">
        <f t="shared" si="267"/>
        <v>-</v>
      </c>
      <c r="HR29" s="236" t="str">
        <f t="shared" si="268"/>
        <v>-</v>
      </c>
      <c r="HS29" s="236" t="str">
        <f t="shared" si="269"/>
        <v>-</v>
      </c>
      <c r="HT29" s="236" t="str">
        <f t="shared" si="270"/>
        <v>-</v>
      </c>
      <c r="HU29" s="236" t="str">
        <f t="shared" si="271"/>
        <v>-</v>
      </c>
      <c r="HV29" s="236" t="str">
        <f t="shared" si="272"/>
        <v>-</v>
      </c>
      <c r="HW29" s="236" t="str">
        <f t="shared" si="273"/>
        <v>-</v>
      </c>
      <c r="HX29" s="236" t="str">
        <f t="shared" si="274"/>
        <v>-</v>
      </c>
      <c r="HY29" s="236" t="str">
        <f t="shared" si="275"/>
        <v>-</v>
      </c>
      <c r="HZ29" s="236" t="str">
        <f t="shared" si="276"/>
        <v>-</v>
      </c>
      <c r="IA29" s="236" t="str">
        <f t="shared" si="230"/>
        <v>-</v>
      </c>
      <c r="IB29" s="236" t="str">
        <f t="shared" si="277"/>
        <v>-</v>
      </c>
      <c r="IC29" s="236" t="str">
        <f t="shared" si="278"/>
        <v>-</v>
      </c>
      <c r="ID29" s="236" t="str">
        <f t="shared" si="279"/>
        <v>-</v>
      </c>
      <c r="IE29" s="236" t="str">
        <f t="shared" si="68"/>
        <v>-</v>
      </c>
      <c r="IF29" s="236" t="str">
        <f t="shared" si="69"/>
        <v>-</v>
      </c>
      <c r="IG29" s="306">
        <f t="shared" si="70"/>
        <v>5.5907867998099272</v>
      </c>
      <c r="IH29" s="44">
        <f t="shared" si="204"/>
        <v>7.8249494528878856</v>
      </c>
      <c r="II29" s="44">
        <f t="shared" si="205"/>
        <v>5.2857237385895122</v>
      </c>
      <c r="IJ29" s="44">
        <f t="shared" si="206"/>
        <v>4.9303141718788046</v>
      </c>
      <c r="IK29" s="44">
        <f t="shared" si="207"/>
        <v>4.4740694443948721</v>
      </c>
      <c r="IL29" s="44">
        <f t="shared" si="208"/>
        <v>4.0372638068177356</v>
      </c>
      <c r="IM29" s="306" t="str">
        <f t="shared" si="76"/>
        <v/>
      </c>
      <c r="IN29" s="44" t="str">
        <f t="shared" si="209"/>
        <v/>
      </c>
      <c r="IO29" s="44" t="str">
        <f t="shared" si="210"/>
        <v/>
      </c>
      <c r="IP29" s="44" t="str">
        <f t="shared" si="211"/>
        <v/>
      </c>
      <c r="IQ29" s="44" t="str">
        <f t="shared" si="212"/>
        <v/>
      </c>
      <c r="IR29" s="44" t="str">
        <f t="shared" si="213"/>
        <v/>
      </c>
      <c r="IS29" s="306" t="str">
        <f t="shared" si="82"/>
        <v/>
      </c>
      <c r="IT29" s="44" t="str">
        <f t="shared" si="214"/>
        <v/>
      </c>
      <c r="IU29" s="44" t="str">
        <f t="shared" si="215"/>
        <v/>
      </c>
      <c r="IV29" s="44" t="str">
        <f t="shared" si="216"/>
        <v/>
      </c>
      <c r="IW29" s="44" t="str">
        <f t="shared" si="217"/>
        <v/>
      </c>
      <c r="IX29" s="44" t="str">
        <f t="shared" si="218"/>
        <v/>
      </c>
      <c r="IY29" s="306" t="str">
        <f t="shared" si="88"/>
        <v/>
      </c>
      <c r="IZ29" s="44" t="str">
        <f t="shared" si="219"/>
        <v/>
      </c>
      <c r="JA29" s="44" t="str">
        <f t="shared" si="220"/>
        <v/>
      </c>
      <c r="JB29" s="44" t="str">
        <f t="shared" si="221"/>
        <v/>
      </c>
      <c r="JC29" s="44" t="str">
        <f t="shared" si="222"/>
        <v/>
      </c>
      <c r="JD29" s="307" t="str">
        <f t="shared" si="223"/>
        <v/>
      </c>
      <c r="JF29" s="66">
        <f t="shared" si="224"/>
        <v>29</v>
      </c>
      <c r="JG29" s="66">
        <f t="shared" ca="1" si="95"/>
        <v>5.2857237385895122</v>
      </c>
      <c r="JH29" s="66">
        <f t="shared" ca="1" si="96"/>
        <v>4.9303141718788046</v>
      </c>
      <c r="JI29" s="66">
        <f t="shared" ca="1" si="97"/>
        <v>4.4740694443948721</v>
      </c>
      <c r="JJ29" s="66">
        <f t="shared" ca="1" si="98"/>
        <v>5</v>
      </c>
      <c r="JK29" s="33"/>
      <c r="JL29" s="74">
        <f t="shared" ca="1" si="121"/>
        <v>5.2857237385895122</v>
      </c>
      <c r="JM29" s="75">
        <f t="shared" ca="1" si="99"/>
        <v>5.1080189552341579</v>
      </c>
      <c r="JN29" s="75">
        <f t="shared" ca="1" si="100"/>
        <v>4.7021918081368383</v>
      </c>
      <c r="JO29" s="74">
        <f t="shared" ca="1" si="122"/>
        <v>4.4740694443948721</v>
      </c>
      <c r="JP29" s="74">
        <f t="shared" ca="1" si="123"/>
        <v>19.570003946355381</v>
      </c>
    </row>
    <row r="30" spans="1:276" s="1" customFormat="1" x14ac:dyDescent="0.35">
      <c r="A30" s="125">
        <v>0</v>
      </c>
      <c r="B30" s="125">
        <v>0</v>
      </c>
      <c r="C30" s="125">
        <v>1</v>
      </c>
      <c r="D30" s="163"/>
      <c r="E30" s="142" t="s">
        <v>50</v>
      </c>
      <c r="F30" s="208" t="s">
        <v>51</v>
      </c>
      <c r="G30" s="209" t="s">
        <v>540</v>
      </c>
      <c r="H30" s="210" t="s">
        <v>535</v>
      </c>
      <c r="I30" s="8" t="s">
        <v>536</v>
      </c>
      <c r="J30" s="211">
        <v>0.85096698505638058</v>
      </c>
      <c r="K30" s="217">
        <v>0.37340839199593329</v>
      </c>
      <c r="L30" s="217">
        <v>1.7896282278405216</v>
      </c>
      <c r="M30" s="217" t="s">
        <v>805</v>
      </c>
      <c r="N30" s="217" t="s">
        <v>805</v>
      </c>
      <c r="O30" s="217" t="s">
        <v>805</v>
      </c>
      <c r="P30" s="217" t="s">
        <v>805</v>
      </c>
      <c r="Q30" s="217" t="s">
        <v>805</v>
      </c>
      <c r="R30" s="217" t="s">
        <v>805</v>
      </c>
      <c r="S30" s="217" t="s">
        <v>805</v>
      </c>
      <c r="T30" s="217" t="s">
        <v>805</v>
      </c>
      <c r="U30" s="217" t="s">
        <v>805</v>
      </c>
      <c r="V30" s="217" t="s">
        <v>805</v>
      </c>
      <c r="W30" s="217" t="s">
        <v>805</v>
      </c>
      <c r="X30" s="217" t="s">
        <v>805</v>
      </c>
      <c r="Y30" s="217" t="s">
        <v>805</v>
      </c>
      <c r="Z30" s="217" t="s">
        <v>805</v>
      </c>
      <c r="AA30" s="217" t="s">
        <v>805</v>
      </c>
      <c r="AB30" s="217" t="s">
        <v>805</v>
      </c>
      <c r="AC30" s="217" t="s">
        <v>805</v>
      </c>
      <c r="AD30" s="217" t="s">
        <v>805</v>
      </c>
      <c r="AE30" s="217" t="s">
        <v>805</v>
      </c>
      <c r="AF30" s="217" t="s">
        <v>805</v>
      </c>
      <c r="AG30" s="217" t="s">
        <v>805</v>
      </c>
      <c r="AH30" s="217" t="s">
        <v>805</v>
      </c>
      <c r="AI30" s="217" t="s">
        <v>805</v>
      </c>
      <c r="AJ30" s="217" t="s">
        <v>805</v>
      </c>
      <c r="AK30" s="217" t="s">
        <v>805</v>
      </c>
      <c r="AL30" s="217" t="s">
        <v>805</v>
      </c>
      <c r="AM30" s="217" t="s">
        <v>805</v>
      </c>
      <c r="AN30" s="217" t="s">
        <v>805</v>
      </c>
      <c r="AO30" s="217" t="s">
        <v>805</v>
      </c>
      <c r="AP30" s="217" t="s">
        <v>805</v>
      </c>
      <c r="AQ30" s="217" t="s">
        <v>805</v>
      </c>
      <c r="AR30" s="217" t="s">
        <v>805</v>
      </c>
      <c r="AS30" s="217" t="s">
        <v>805</v>
      </c>
      <c r="AT30" s="217" t="s">
        <v>805</v>
      </c>
      <c r="AU30" s="217" t="s">
        <v>805</v>
      </c>
      <c r="AV30" s="217" t="s">
        <v>805</v>
      </c>
      <c r="AW30" s="217" t="s">
        <v>805</v>
      </c>
      <c r="AX30" s="217" t="s">
        <v>805</v>
      </c>
      <c r="AY30" s="217" t="s">
        <v>805</v>
      </c>
      <c r="AZ30" s="217" t="s">
        <v>805</v>
      </c>
      <c r="BA30" s="217" t="s">
        <v>805</v>
      </c>
      <c r="BB30" s="217" t="s">
        <v>805</v>
      </c>
      <c r="BC30" s="217" t="s">
        <v>805</v>
      </c>
      <c r="BD30" s="217" t="s">
        <v>805</v>
      </c>
      <c r="BE30" s="217" t="s">
        <v>805</v>
      </c>
      <c r="BF30" s="217" t="s">
        <v>805</v>
      </c>
      <c r="BG30" s="217" t="s">
        <v>805</v>
      </c>
      <c r="BH30" s="217" t="s">
        <v>805</v>
      </c>
      <c r="BI30" s="217" t="s">
        <v>805</v>
      </c>
      <c r="BJ30" s="217" t="s">
        <v>805</v>
      </c>
      <c r="BK30" s="217" t="s">
        <v>805</v>
      </c>
      <c r="BL30" s="217" t="s">
        <v>805</v>
      </c>
      <c r="BM30" s="217" t="s">
        <v>805</v>
      </c>
      <c r="BN30" s="217" t="s">
        <v>805</v>
      </c>
      <c r="BO30" s="217" t="s">
        <v>805</v>
      </c>
      <c r="BP30" s="217" t="s">
        <v>805</v>
      </c>
      <c r="BQ30" s="217" t="s">
        <v>805</v>
      </c>
      <c r="BR30" s="217" t="s">
        <v>805</v>
      </c>
      <c r="BS30" s="217" t="s">
        <v>805</v>
      </c>
      <c r="BT30" s="217" t="s">
        <v>805</v>
      </c>
      <c r="BU30" s="217" t="s">
        <v>805</v>
      </c>
      <c r="BV30" s="217" t="s">
        <v>805</v>
      </c>
      <c r="BW30" s="217" t="s">
        <v>805</v>
      </c>
      <c r="BX30" s="217" t="s">
        <v>805</v>
      </c>
      <c r="BY30" s="217" t="s">
        <v>805</v>
      </c>
      <c r="BZ30" s="217" t="s">
        <v>805</v>
      </c>
      <c r="CA30" s="217" t="s">
        <v>805</v>
      </c>
      <c r="CB30" s="217" t="s">
        <v>805</v>
      </c>
      <c r="CC30" s="217" t="s">
        <v>805</v>
      </c>
      <c r="CD30" s="217" t="s">
        <v>805</v>
      </c>
      <c r="CE30" s="217" t="s">
        <v>805</v>
      </c>
      <c r="CF30" s="217" t="s">
        <v>805</v>
      </c>
      <c r="CG30" s="217" t="s">
        <v>805</v>
      </c>
      <c r="CH30" s="217" t="s">
        <v>805</v>
      </c>
      <c r="CI30" s="217" t="s">
        <v>805</v>
      </c>
      <c r="CJ30" s="217" t="s">
        <v>805</v>
      </c>
      <c r="CK30" s="217" t="s">
        <v>805</v>
      </c>
      <c r="CL30" s="217" t="s">
        <v>805</v>
      </c>
      <c r="CM30" s="217" t="s">
        <v>805</v>
      </c>
      <c r="CN30" s="217" t="s">
        <v>805</v>
      </c>
      <c r="CO30" s="217" t="s">
        <v>805</v>
      </c>
      <c r="CP30" s="217" t="s">
        <v>805</v>
      </c>
      <c r="CQ30" s="217" t="s">
        <v>805</v>
      </c>
      <c r="CR30" s="217" t="s">
        <v>805</v>
      </c>
      <c r="CS30" s="217" t="s">
        <v>805</v>
      </c>
      <c r="CT30" s="217" t="s">
        <v>805</v>
      </c>
      <c r="CU30" s="217" t="s">
        <v>805</v>
      </c>
      <c r="CV30" s="217" t="s">
        <v>805</v>
      </c>
      <c r="CW30" s="217" t="s">
        <v>805</v>
      </c>
      <c r="CX30" s="217" t="s">
        <v>805</v>
      </c>
      <c r="CY30" s="217" t="s">
        <v>805</v>
      </c>
      <c r="CZ30" s="217" t="s">
        <v>805</v>
      </c>
      <c r="DA30" s="217" t="s">
        <v>805</v>
      </c>
      <c r="DB30" s="217" t="s">
        <v>805</v>
      </c>
      <c r="DC30" s="217" t="s">
        <v>805</v>
      </c>
      <c r="DD30" s="217" t="s">
        <v>805</v>
      </c>
      <c r="DE30" s="217" t="s">
        <v>805</v>
      </c>
      <c r="DF30" s="217" t="s">
        <v>805</v>
      </c>
      <c r="DG30" s="212">
        <f>VLOOKUP(E30,'KPI Count-SHARE'!A:F,3,0)</f>
        <v>4</v>
      </c>
      <c r="DH30" s="213">
        <v>4.0543379364199854</v>
      </c>
      <c r="DI30" s="218">
        <v>6.7048839326117813</v>
      </c>
      <c r="DJ30" s="218">
        <v>5.1389883044686187</v>
      </c>
      <c r="DK30" s="218">
        <v>3.9509830408392039</v>
      </c>
      <c r="DL30" s="218">
        <v>2.8663326727905707</v>
      </c>
      <c r="DM30" s="218">
        <v>1.4864758566928156</v>
      </c>
      <c r="DN30" s="212">
        <f>VLOOKUP(E30,'KPI Count-SHARE'!A:F,4,0)</f>
        <v>0</v>
      </c>
      <c r="DO30" s="213"/>
      <c r="DP30" s="218"/>
      <c r="DQ30" s="218"/>
      <c r="DR30" s="218"/>
      <c r="DS30" s="218"/>
      <c r="DT30" s="218"/>
      <c r="DU30" s="212">
        <f>VLOOKUP(E30,'KPI Count-SHARE'!A:F,5,0)</f>
        <v>0</v>
      </c>
      <c r="DV30" s="213"/>
      <c r="DW30" s="218"/>
      <c r="DX30" s="218"/>
      <c r="DY30" s="218"/>
      <c r="DZ30" s="218"/>
      <c r="EA30" s="218"/>
      <c r="EB30" s="212">
        <f>VLOOKUP(E30,'KPI Count-SHARE'!A:F,6,0)</f>
        <v>0</v>
      </c>
      <c r="EC30" s="213"/>
      <c r="ED30" s="218"/>
      <c r="EE30" s="218"/>
      <c r="EF30" s="218"/>
      <c r="EG30" s="218"/>
      <c r="EH30" s="218"/>
      <c r="EI30" s="214" t="str">
        <f t="shared" si="231"/>
        <v>USD '000 per FTE</v>
      </c>
      <c r="EJ30" s="236">
        <f t="shared" si="101"/>
        <v>0.95614267983862988</v>
      </c>
      <c r="EK30" s="236">
        <f t="shared" si="102"/>
        <v>0.41955999100666663</v>
      </c>
      <c r="EL30" s="236">
        <f t="shared" si="103"/>
        <v>2.0108182335286759</v>
      </c>
      <c r="EM30" s="236" t="str">
        <f t="shared" si="104"/>
        <v>-</v>
      </c>
      <c r="EN30" s="236" t="str">
        <f t="shared" si="105"/>
        <v>-</v>
      </c>
      <c r="EO30" s="236" t="str">
        <f t="shared" si="106"/>
        <v>-</v>
      </c>
      <c r="EP30" s="236" t="str">
        <f t="shared" si="107"/>
        <v>-</v>
      </c>
      <c r="EQ30" s="236" t="str">
        <f t="shared" si="108"/>
        <v>-</v>
      </c>
      <c r="ER30" s="236" t="str">
        <f t="shared" si="109"/>
        <v>-</v>
      </c>
      <c r="ES30" s="236" t="str">
        <f t="shared" si="110"/>
        <v>-</v>
      </c>
      <c r="ET30" s="236" t="str">
        <f t="shared" si="111"/>
        <v>-</v>
      </c>
      <c r="EU30" s="236" t="str">
        <f t="shared" si="165"/>
        <v>-</v>
      </c>
      <c r="EV30" s="236" t="str">
        <f t="shared" si="166"/>
        <v>-</v>
      </c>
      <c r="EW30" s="236" t="str">
        <f t="shared" si="167"/>
        <v>-</v>
      </c>
      <c r="EX30" s="236" t="str">
        <f t="shared" si="168"/>
        <v>-</v>
      </c>
      <c r="EY30" s="236" t="str">
        <f t="shared" si="169"/>
        <v>-</v>
      </c>
      <c r="EZ30" s="236" t="str">
        <f t="shared" si="170"/>
        <v>-</v>
      </c>
      <c r="FA30" s="236" t="str">
        <f t="shared" si="171"/>
        <v>-</v>
      </c>
      <c r="FB30" s="236" t="str">
        <f t="shared" si="172"/>
        <v>-</v>
      </c>
      <c r="FC30" s="236" t="str">
        <f t="shared" si="173"/>
        <v>-</v>
      </c>
      <c r="FD30" s="236" t="str">
        <f t="shared" si="174"/>
        <v>-</v>
      </c>
      <c r="FE30" s="236" t="str">
        <f t="shared" si="175"/>
        <v>-</v>
      </c>
      <c r="FF30" s="236" t="str">
        <f t="shared" si="176"/>
        <v>-</v>
      </c>
      <c r="FG30" s="236" t="str">
        <f t="shared" si="177"/>
        <v>-</v>
      </c>
      <c r="FH30" s="236" t="str">
        <f t="shared" si="178"/>
        <v>-</v>
      </c>
      <c r="FI30" s="236" t="str">
        <f t="shared" si="179"/>
        <v>-</v>
      </c>
      <c r="FJ30" s="236" t="str">
        <f t="shared" si="180"/>
        <v>-</v>
      </c>
      <c r="FK30" s="236" t="str">
        <f t="shared" si="181"/>
        <v>-</v>
      </c>
      <c r="FL30" s="236" t="str">
        <f t="shared" si="182"/>
        <v>-</v>
      </c>
      <c r="FM30" s="236" t="str">
        <f t="shared" si="183"/>
        <v>-</v>
      </c>
      <c r="FN30" s="236" t="str">
        <f t="shared" si="184"/>
        <v>-</v>
      </c>
      <c r="FO30" s="236" t="str">
        <f t="shared" si="185"/>
        <v>-</v>
      </c>
      <c r="FP30" s="236" t="str">
        <f t="shared" si="186"/>
        <v>-</v>
      </c>
      <c r="FQ30" s="236" t="str">
        <f t="shared" si="187"/>
        <v>-</v>
      </c>
      <c r="FR30" s="236" t="str">
        <f t="shared" si="188"/>
        <v>-</v>
      </c>
      <c r="FS30" s="236" t="str">
        <f t="shared" si="189"/>
        <v>-</v>
      </c>
      <c r="FT30" s="236" t="str">
        <f t="shared" si="190"/>
        <v>-</v>
      </c>
      <c r="FU30" s="236" t="str">
        <f t="shared" si="191"/>
        <v>-</v>
      </c>
      <c r="FV30" s="236" t="str">
        <f t="shared" si="192"/>
        <v>-</v>
      </c>
      <c r="FW30" s="236" t="str">
        <f t="shared" si="193"/>
        <v>-</v>
      </c>
      <c r="FX30" s="236" t="str">
        <f t="shared" si="194"/>
        <v>-</v>
      </c>
      <c r="FY30" s="236" t="str">
        <f t="shared" si="195"/>
        <v>-</v>
      </c>
      <c r="FZ30" s="236" t="str">
        <f t="shared" si="196"/>
        <v>-</v>
      </c>
      <c r="GA30" s="236" t="str">
        <f t="shared" si="197"/>
        <v>-</v>
      </c>
      <c r="GB30" s="236" t="str">
        <f t="shared" si="155"/>
        <v>-</v>
      </c>
      <c r="GC30" s="236" t="str">
        <f t="shared" si="156"/>
        <v>-</v>
      </c>
      <c r="GD30" s="236" t="str">
        <f t="shared" si="157"/>
        <v>-</v>
      </c>
      <c r="GE30" s="236" t="str">
        <f t="shared" si="158"/>
        <v>-</v>
      </c>
      <c r="GF30" s="236" t="str">
        <f t="shared" si="232"/>
        <v>-</v>
      </c>
      <c r="GG30" s="236" t="str">
        <f t="shared" si="233"/>
        <v>-</v>
      </c>
      <c r="GH30" s="236" t="str">
        <f t="shared" si="234"/>
        <v>-</v>
      </c>
      <c r="GI30" s="236" t="str">
        <f t="shared" si="235"/>
        <v>-</v>
      </c>
      <c r="GJ30" s="236" t="str">
        <f t="shared" si="236"/>
        <v>-</v>
      </c>
      <c r="GK30" s="236" t="str">
        <f t="shared" si="237"/>
        <v>-</v>
      </c>
      <c r="GL30" s="236" t="str">
        <f t="shared" si="238"/>
        <v>-</v>
      </c>
      <c r="GM30" s="236" t="str">
        <f t="shared" si="239"/>
        <v>-</v>
      </c>
      <c r="GN30" s="236" t="str">
        <f t="shared" si="240"/>
        <v>-</v>
      </c>
      <c r="GO30" s="236" t="str">
        <f t="shared" si="241"/>
        <v>-</v>
      </c>
      <c r="GP30" s="236" t="str">
        <f t="shared" si="242"/>
        <v>-</v>
      </c>
      <c r="GQ30" s="236" t="str">
        <f t="shared" si="243"/>
        <v>-</v>
      </c>
      <c r="GR30" s="236" t="str">
        <f t="shared" si="244"/>
        <v>-</v>
      </c>
      <c r="GS30" s="236" t="str">
        <f t="shared" si="245"/>
        <v>-</v>
      </c>
      <c r="GT30" s="236" t="str">
        <f t="shared" si="246"/>
        <v>-</v>
      </c>
      <c r="GU30" s="236" t="str">
        <f t="shared" si="226"/>
        <v>-</v>
      </c>
      <c r="GV30" s="236" t="str">
        <f t="shared" si="247"/>
        <v>-</v>
      </c>
      <c r="GW30" s="236" t="str">
        <f t="shared" si="248"/>
        <v>-</v>
      </c>
      <c r="GX30" s="236" t="str">
        <f t="shared" si="249"/>
        <v>-</v>
      </c>
      <c r="GY30" s="236" t="str">
        <f t="shared" si="250"/>
        <v>-</v>
      </c>
      <c r="GZ30" s="236" t="str">
        <f t="shared" si="251"/>
        <v>-</v>
      </c>
      <c r="HA30" s="236" t="str">
        <f t="shared" si="252"/>
        <v>-</v>
      </c>
      <c r="HB30" s="236" t="str">
        <f t="shared" si="253"/>
        <v>-</v>
      </c>
      <c r="HC30" s="236" t="str">
        <f t="shared" si="254"/>
        <v>-</v>
      </c>
      <c r="HD30" s="236" t="str">
        <f t="shared" si="255"/>
        <v>-</v>
      </c>
      <c r="HE30" s="236" t="str">
        <f t="shared" si="256"/>
        <v>-</v>
      </c>
      <c r="HF30" s="236" t="str">
        <f t="shared" si="257"/>
        <v>-</v>
      </c>
      <c r="HG30" s="236" t="str">
        <f t="shared" si="258"/>
        <v>-</v>
      </c>
      <c r="HH30" s="236" t="str">
        <f t="shared" si="259"/>
        <v>-</v>
      </c>
      <c r="HI30" s="236" t="str">
        <f t="shared" si="260"/>
        <v>-</v>
      </c>
      <c r="HJ30" s="236" t="str">
        <f t="shared" si="261"/>
        <v>-</v>
      </c>
      <c r="HK30" s="236" t="str">
        <f t="shared" si="228"/>
        <v>-</v>
      </c>
      <c r="HL30" s="236" t="str">
        <f t="shared" si="262"/>
        <v>-</v>
      </c>
      <c r="HM30" s="236" t="str">
        <f t="shared" si="263"/>
        <v>-</v>
      </c>
      <c r="HN30" s="236" t="str">
        <f t="shared" si="264"/>
        <v>-</v>
      </c>
      <c r="HO30" s="236" t="str">
        <f t="shared" si="265"/>
        <v>-</v>
      </c>
      <c r="HP30" s="236" t="str">
        <f t="shared" si="266"/>
        <v>-</v>
      </c>
      <c r="HQ30" s="236" t="str">
        <f t="shared" si="267"/>
        <v>-</v>
      </c>
      <c r="HR30" s="236" t="str">
        <f t="shared" si="268"/>
        <v>-</v>
      </c>
      <c r="HS30" s="236" t="str">
        <f t="shared" si="269"/>
        <v>-</v>
      </c>
      <c r="HT30" s="236" t="str">
        <f t="shared" si="270"/>
        <v>-</v>
      </c>
      <c r="HU30" s="236" t="str">
        <f t="shared" si="271"/>
        <v>-</v>
      </c>
      <c r="HV30" s="236" t="str">
        <f t="shared" si="272"/>
        <v>-</v>
      </c>
      <c r="HW30" s="236" t="str">
        <f t="shared" si="273"/>
        <v>-</v>
      </c>
      <c r="HX30" s="236" t="str">
        <f t="shared" si="274"/>
        <v>-</v>
      </c>
      <c r="HY30" s="236" t="str">
        <f t="shared" si="275"/>
        <v>-</v>
      </c>
      <c r="HZ30" s="236" t="str">
        <f t="shared" si="276"/>
        <v>-</v>
      </c>
      <c r="IA30" s="236" t="str">
        <f t="shared" si="230"/>
        <v>-</v>
      </c>
      <c r="IB30" s="236" t="str">
        <f t="shared" si="277"/>
        <v>-</v>
      </c>
      <c r="IC30" s="236" t="str">
        <f t="shared" si="278"/>
        <v>-</v>
      </c>
      <c r="ID30" s="236" t="str">
        <f t="shared" si="279"/>
        <v>-</v>
      </c>
      <c r="IE30" s="236" t="str">
        <f t="shared" si="68"/>
        <v>-</v>
      </c>
      <c r="IF30" s="236" t="str">
        <f t="shared" si="69"/>
        <v>-</v>
      </c>
      <c r="IG30" s="306">
        <f t="shared" si="70"/>
        <v>4.5554358836179611</v>
      </c>
      <c r="IH30" s="44">
        <f t="shared" si="204"/>
        <v>7.5335774523727883</v>
      </c>
      <c r="II30" s="44">
        <f t="shared" si="205"/>
        <v>5.7741441623242906</v>
      </c>
      <c r="IJ30" s="44">
        <f t="shared" si="206"/>
        <v>4.4393067874597802</v>
      </c>
      <c r="IK30" s="44">
        <f t="shared" si="207"/>
        <v>3.2205985087534503</v>
      </c>
      <c r="IL30" s="44">
        <f t="shared" si="208"/>
        <v>1.6701975917896805</v>
      </c>
      <c r="IM30" s="306" t="str">
        <f t="shared" si="76"/>
        <v/>
      </c>
      <c r="IN30" s="44" t="str">
        <f t="shared" si="209"/>
        <v/>
      </c>
      <c r="IO30" s="44" t="str">
        <f t="shared" si="210"/>
        <v/>
      </c>
      <c r="IP30" s="44" t="str">
        <f t="shared" si="211"/>
        <v/>
      </c>
      <c r="IQ30" s="44" t="str">
        <f t="shared" si="212"/>
        <v/>
      </c>
      <c r="IR30" s="44" t="str">
        <f t="shared" si="213"/>
        <v/>
      </c>
      <c r="IS30" s="306" t="str">
        <f t="shared" si="82"/>
        <v/>
      </c>
      <c r="IT30" s="44" t="str">
        <f t="shared" si="214"/>
        <v/>
      </c>
      <c r="IU30" s="44" t="str">
        <f t="shared" si="215"/>
        <v/>
      </c>
      <c r="IV30" s="44" t="str">
        <f t="shared" si="216"/>
        <v/>
      </c>
      <c r="IW30" s="44" t="str">
        <f t="shared" si="217"/>
        <v/>
      </c>
      <c r="IX30" s="44" t="str">
        <f t="shared" si="218"/>
        <v/>
      </c>
      <c r="IY30" s="306" t="str">
        <f t="shared" si="88"/>
        <v/>
      </c>
      <c r="IZ30" s="44" t="str">
        <f t="shared" si="219"/>
        <v/>
      </c>
      <c r="JA30" s="44" t="str">
        <f t="shared" si="220"/>
        <v/>
      </c>
      <c r="JB30" s="44" t="str">
        <f t="shared" si="221"/>
        <v/>
      </c>
      <c r="JC30" s="44" t="str">
        <f t="shared" si="222"/>
        <v/>
      </c>
      <c r="JD30" s="307" t="str">
        <f t="shared" si="223"/>
        <v/>
      </c>
      <c r="JF30" s="66">
        <f t="shared" si="224"/>
        <v>30</v>
      </c>
      <c r="JG30" s="66">
        <f t="shared" ca="1" si="95"/>
        <v>5.7741441623242906</v>
      </c>
      <c r="JH30" s="66">
        <f t="shared" ca="1" si="96"/>
        <v>4.4393067874597802</v>
      </c>
      <c r="JI30" s="66">
        <f t="shared" ca="1" si="97"/>
        <v>3.2205985087534503</v>
      </c>
      <c r="JJ30" s="66">
        <f t="shared" ca="1" si="98"/>
        <v>4</v>
      </c>
      <c r="JK30" s="33"/>
      <c r="JL30" s="74">
        <f t="shared" ca="1" si="121"/>
        <v>5.7741441623242906</v>
      </c>
      <c r="JM30" s="75">
        <f t="shared" ca="1" si="99"/>
        <v>5.1067254748920359</v>
      </c>
      <c r="JN30" s="75">
        <f t="shared" ca="1" si="100"/>
        <v>3.8299526481066151</v>
      </c>
      <c r="JO30" s="74">
        <f t="shared" ca="1" si="122"/>
        <v>3.2205985087534503</v>
      </c>
      <c r="JP30" s="74">
        <f t="shared" ca="1" si="123"/>
        <v>17.931420794076391</v>
      </c>
    </row>
    <row r="31" spans="1:276" s="1" customFormat="1" x14ac:dyDescent="0.35">
      <c r="A31" s="125">
        <v>0</v>
      </c>
      <c r="B31" s="125">
        <v>0</v>
      </c>
      <c r="C31" s="125">
        <v>1</v>
      </c>
      <c r="D31" s="163"/>
      <c r="E31" s="142" t="s">
        <v>52</v>
      </c>
      <c r="F31" s="208" t="s">
        <v>53</v>
      </c>
      <c r="G31" s="209" t="s">
        <v>540</v>
      </c>
      <c r="H31" s="210" t="s">
        <v>535</v>
      </c>
      <c r="I31" s="8" t="s">
        <v>536</v>
      </c>
      <c r="J31" s="211">
        <v>4.510821060366081</v>
      </c>
      <c r="K31" s="217">
        <v>3.63477785576295</v>
      </c>
      <c r="L31" s="217">
        <v>7.2955123014432974</v>
      </c>
      <c r="M31" s="217" t="s">
        <v>805</v>
      </c>
      <c r="N31" s="217" t="s">
        <v>805</v>
      </c>
      <c r="O31" s="217" t="s">
        <v>805</v>
      </c>
      <c r="P31" s="217" t="s">
        <v>805</v>
      </c>
      <c r="Q31" s="217" t="s">
        <v>805</v>
      </c>
      <c r="R31" s="217" t="s">
        <v>805</v>
      </c>
      <c r="S31" s="217" t="s">
        <v>805</v>
      </c>
      <c r="T31" s="217" t="s">
        <v>805</v>
      </c>
      <c r="U31" s="217" t="s">
        <v>805</v>
      </c>
      <c r="V31" s="217" t="s">
        <v>805</v>
      </c>
      <c r="W31" s="217" t="s">
        <v>805</v>
      </c>
      <c r="X31" s="217" t="s">
        <v>805</v>
      </c>
      <c r="Y31" s="217" t="s">
        <v>805</v>
      </c>
      <c r="Z31" s="217" t="s">
        <v>805</v>
      </c>
      <c r="AA31" s="217" t="s">
        <v>805</v>
      </c>
      <c r="AB31" s="217" t="s">
        <v>805</v>
      </c>
      <c r="AC31" s="217" t="s">
        <v>805</v>
      </c>
      <c r="AD31" s="217" t="s">
        <v>805</v>
      </c>
      <c r="AE31" s="217" t="s">
        <v>805</v>
      </c>
      <c r="AF31" s="217" t="s">
        <v>805</v>
      </c>
      <c r="AG31" s="217" t="s">
        <v>805</v>
      </c>
      <c r="AH31" s="217" t="s">
        <v>805</v>
      </c>
      <c r="AI31" s="217" t="s">
        <v>805</v>
      </c>
      <c r="AJ31" s="217" t="s">
        <v>805</v>
      </c>
      <c r="AK31" s="217" t="s">
        <v>805</v>
      </c>
      <c r="AL31" s="217" t="s">
        <v>805</v>
      </c>
      <c r="AM31" s="217" t="s">
        <v>805</v>
      </c>
      <c r="AN31" s="217" t="s">
        <v>805</v>
      </c>
      <c r="AO31" s="217" t="s">
        <v>805</v>
      </c>
      <c r="AP31" s="217" t="s">
        <v>805</v>
      </c>
      <c r="AQ31" s="217" t="s">
        <v>805</v>
      </c>
      <c r="AR31" s="217" t="s">
        <v>805</v>
      </c>
      <c r="AS31" s="217" t="s">
        <v>805</v>
      </c>
      <c r="AT31" s="217" t="s">
        <v>805</v>
      </c>
      <c r="AU31" s="217" t="s">
        <v>805</v>
      </c>
      <c r="AV31" s="217" t="s">
        <v>805</v>
      </c>
      <c r="AW31" s="217" t="s">
        <v>805</v>
      </c>
      <c r="AX31" s="217" t="s">
        <v>805</v>
      </c>
      <c r="AY31" s="217" t="s">
        <v>805</v>
      </c>
      <c r="AZ31" s="217" t="s">
        <v>805</v>
      </c>
      <c r="BA31" s="217" t="s">
        <v>805</v>
      </c>
      <c r="BB31" s="217" t="s">
        <v>805</v>
      </c>
      <c r="BC31" s="217" t="s">
        <v>805</v>
      </c>
      <c r="BD31" s="217" t="s">
        <v>805</v>
      </c>
      <c r="BE31" s="217" t="s">
        <v>805</v>
      </c>
      <c r="BF31" s="217" t="s">
        <v>805</v>
      </c>
      <c r="BG31" s="217" t="s">
        <v>805</v>
      </c>
      <c r="BH31" s="217" t="s">
        <v>805</v>
      </c>
      <c r="BI31" s="217" t="s">
        <v>805</v>
      </c>
      <c r="BJ31" s="217" t="s">
        <v>805</v>
      </c>
      <c r="BK31" s="217" t="s">
        <v>805</v>
      </c>
      <c r="BL31" s="217" t="s">
        <v>805</v>
      </c>
      <c r="BM31" s="217" t="s">
        <v>805</v>
      </c>
      <c r="BN31" s="217" t="s">
        <v>805</v>
      </c>
      <c r="BO31" s="217" t="s">
        <v>805</v>
      </c>
      <c r="BP31" s="217" t="s">
        <v>805</v>
      </c>
      <c r="BQ31" s="217" t="s">
        <v>805</v>
      </c>
      <c r="BR31" s="217" t="s">
        <v>805</v>
      </c>
      <c r="BS31" s="217" t="s">
        <v>805</v>
      </c>
      <c r="BT31" s="217" t="s">
        <v>805</v>
      </c>
      <c r="BU31" s="217" t="s">
        <v>805</v>
      </c>
      <c r="BV31" s="217" t="s">
        <v>805</v>
      </c>
      <c r="BW31" s="217" t="s">
        <v>805</v>
      </c>
      <c r="BX31" s="217" t="s">
        <v>805</v>
      </c>
      <c r="BY31" s="217" t="s">
        <v>805</v>
      </c>
      <c r="BZ31" s="217" t="s">
        <v>805</v>
      </c>
      <c r="CA31" s="217" t="s">
        <v>805</v>
      </c>
      <c r="CB31" s="217" t="s">
        <v>805</v>
      </c>
      <c r="CC31" s="217" t="s">
        <v>805</v>
      </c>
      <c r="CD31" s="217" t="s">
        <v>805</v>
      </c>
      <c r="CE31" s="217" t="s">
        <v>805</v>
      </c>
      <c r="CF31" s="217" t="s">
        <v>805</v>
      </c>
      <c r="CG31" s="217" t="s">
        <v>805</v>
      </c>
      <c r="CH31" s="217" t="s">
        <v>805</v>
      </c>
      <c r="CI31" s="217" t="s">
        <v>805</v>
      </c>
      <c r="CJ31" s="217" t="s">
        <v>805</v>
      </c>
      <c r="CK31" s="217" t="s">
        <v>805</v>
      </c>
      <c r="CL31" s="217" t="s">
        <v>805</v>
      </c>
      <c r="CM31" s="217" t="s">
        <v>805</v>
      </c>
      <c r="CN31" s="217" t="s">
        <v>805</v>
      </c>
      <c r="CO31" s="217" t="s">
        <v>805</v>
      </c>
      <c r="CP31" s="217" t="s">
        <v>805</v>
      </c>
      <c r="CQ31" s="217" t="s">
        <v>805</v>
      </c>
      <c r="CR31" s="217" t="s">
        <v>805</v>
      </c>
      <c r="CS31" s="217" t="s">
        <v>805</v>
      </c>
      <c r="CT31" s="217" t="s">
        <v>805</v>
      </c>
      <c r="CU31" s="217" t="s">
        <v>805</v>
      </c>
      <c r="CV31" s="217" t="s">
        <v>805</v>
      </c>
      <c r="CW31" s="217" t="s">
        <v>805</v>
      </c>
      <c r="CX31" s="217" t="s">
        <v>805</v>
      </c>
      <c r="CY31" s="217" t="s">
        <v>805</v>
      </c>
      <c r="CZ31" s="217" t="s">
        <v>805</v>
      </c>
      <c r="DA31" s="217" t="s">
        <v>805</v>
      </c>
      <c r="DB31" s="217" t="s">
        <v>805</v>
      </c>
      <c r="DC31" s="217" t="s">
        <v>805</v>
      </c>
      <c r="DD31" s="217" t="s">
        <v>805</v>
      </c>
      <c r="DE31" s="217" t="s">
        <v>805</v>
      </c>
      <c r="DF31" s="217" t="s">
        <v>805</v>
      </c>
      <c r="DG31" s="212">
        <f>VLOOKUP(E31,'KPI Count-SHARE'!A:F,3,0)</f>
        <v>0</v>
      </c>
      <c r="DH31" s="213" t="s">
        <v>805</v>
      </c>
      <c r="DI31" s="218" t="s">
        <v>805</v>
      </c>
      <c r="DJ31" s="218" t="s">
        <v>805</v>
      </c>
      <c r="DK31" s="218" t="s">
        <v>805</v>
      </c>
      <c r="DL31" s="218" t="s">
        <v>805</v>
      </c>
      <c r="DM31" s="218" t="s">
        <v>805</v>
      </c>
      <c r="DN31" s="212">
        <f>VLOOKUP(E31,'KPI Count-SHARE'!A:F,4,0)</f>
        <v>0</v>
      </c>
      <c r="DO31" s="213"/>
      <c r="DP31" s="218"/>
      <c r="DQ31" s="218"/>
      <c r="DR31" s="218"/>
      <c r="DS31" s="218"/>
      <c r="DT31" s="218"/>
      <c r="DU31" s="212">
        <f>VLOOKUP(E31,'KPI Count-SHARE'!A:F,5,0)</f>
        <v>0</v>
      </c>
      <c r="DV31" s="213"/>
      <c r="DW31" s="218"/>
      <c r="DX31" s="218"/>
      <c r="DY31" s="218"/>
      <c r="DZ31" s="218"/>
      <c r="EA31" s="218"/>
      <c r="EB31" s="212">
        <f>VLOOKUP(E31,'KPI Count-SHARE'!A:F,6,0)</f>
        <v>0</v>
      </c>
      <c r="EC31" s="213"/>
      <c r="ED31" s="218"/>
      <c r="EE31" s="218"/>
      <c r="EF31" s="218"/>
      <c r="EG31" s="218"/>
      <c r="EH31" s="218"/>
      <c r="EI31" s="214" t="str">
        <f t="shared" si="231"/>
        <v>USD '000 per FTE</v>
      </c>
      <c r="EJ31" s="236">
        <f t="shared" si="101"/>
        <v>5.068338270074249</v>
      </c>
      <c r="EK31" s="236">
        <f t="shared" si="102"/>
        <v>4.0840200626550001</v>
      </c>
      <c r="EL31" s="236">
        <f t="shared" si="103"/>
        <v>8.1972048330823579</v>
      </c>
      <c r="EM31" s="236" t="str">
        <f t="shared" si="104"/>
        <v>-</v>
      </c>
      <c r="EN31" s="236" t="str">
        <f t="shared" si="105"/>
        <v>-</v>
      </c>
      <c r="EO31" s="236" t="str">
        <f t="shared" si="106"/>
        <v>-</v>
      </c>
      <c r="EP31" s="236" t="str">
        <f t="shared" si="107"/>
        <v>-</v>
      </c>
      <c r="EQ31" s="236" t="str">
        <f t="shared" si="108"/>
        <v>-</v>
      </c>
      <c r="ER31" s="236" t="str">
        <f t="shared" si="109"/>
        <v>-</v>
      </c>
      <c r="ES31" s="236" t="str">
        <f t="shared" si="110"/>
        <v>-</v>
      </c>
      <c r="ET31" s="236" t="str">
        <f t="shared" si="111"/>
        <v>-</v>
      </c>
      <c r="EU31" s="236" t="str">
        <f t="shared" si="165"/>
        <v>-</v>
      </c>
      <c r="EV31" s="236" t="str">
        <f t="shared" si="166"/>
        <v>-</v>
      </c>
      <c r="EW31" s="236" t="str">
        <f t="shared" si="167"/>
        <v>-</v>
      </c>
      <c r="EX31" s="236" t="str">
        <f t="shared" si="168"/>
        <v>-</v>
      </c>
      <c r="EY31" s="236" t="str">
        <f t="shared" si="169"/>
        <v>-</v>
      </c>
      <c r="EZ31" s="236" t="str">
        <f t="shared" si="170"/>
        <v>-</v>
      </c>
      <c r="FA31" s="236" t="str">
        <f t="shared" si="171"/>
        <v>-</v>
      </c>
      <c r="FB31" s="236" t="str">
        <f t="shared" si="172"/>
        <v>-</v>
      </c>
      <c r="FC31" s="236" t="str">
        <f t="shared" si="173"/>
        <v>-</v>
      </c>
      <c r="FD31" s="236" t="str">
        <f t="shared" si="174"/>
        <v>-</v>
      </c>
      <c r="FE31" s="236" t="str">
        <f t="shared" si="175"/>
        <v>-</v>
      </c>
      <c r="FF31" s="236" t="str">
        <f t="shared" si="176"/>
        <v>-</v>
      </c>
      <c r="FG31" s="236" t="str">
        <f t="shared" si="177"/>
        <v>-</v>
      </c>
      <c r="FH31" s="236" t="str">
        <f t="shared" si="178"/>
        <v>-</v>
      </c>
      <c r="FI31" s="236" t="str">
        <f t="shared" si="179"/>
        <v>-</v>
      </c>
      <c r="FJ31" s="236" t="str">
        <f t="shared" si="180"/>
        <v>-</v>
      </c>
      <c r="FK31" s="236" t="str">
        <f t="shared" si="181"/>
        <v>-</v>
      </c>
      <c r="FL31" s="236" t="str">
        <f t="shared" si="182"/>
        <v>-</v>
      </c>
      <c r="FM31" s="236" t="str">
        <f t="shared" si="183"/>
        <v>-</v>
      </c>
      <c r="FN31" s="236" t="str">
        <f t="shared" si="184"/>
        <v>-</v>
      </c>
      <c r="FO31" s="236" t="str">
        <f t="shared" si="185"/>
        <v>-</v>
      </c>
      <c r="FP31" s="236" t="str">
        <f t="shared" si="186"/>
        <v>-</v>
      </c>
      <c r="FQ31" s="236" t="str">
        <f t="shared" si="187"/>
        <v>-</v>
      </c>
      <c r="FR31" s="236" t="str">
        <f t="shared" si="188"/>
        <v>-</v>
      </c>
      <c r="FS31" s="236" t="str">
        <f t="shared" si="189"/>
        <v>-</v>
      </c>
      <c r="FT31" s="236" t="str">
        <f t="shared" si="190"/>
        <v>-</v>
      </c>
      <c r="FU31" s="236" t="str">
        <f t="shared" si="191"/>
        <v>-</v>
      </c>
      <c r="FV31" s="236" t="str">
        <f t="shared" si="192"/>
        <v>-</v>
      </c>
      <c r="FW31" s="236" t="str">
        <f t="shared" si="193"/>
        <v>-</v>
      </c>
      <c r="FX31" s="236" t="str">
        <f t="shared" si="194"/>
        <v>-</v>
      </c>
      <c r="FY31" s="236" t="str">
        <f t="shared" si="195"/>
        <v>-</v>
      </c>
      <c r="FZ31" s="236" t="str">
        <f t="shared" si="196"/>
        <v>-</v>
      </c>
      <c r="GA31" s="236" t="str">
        <f t="shared" si="197"/>
        <v>-</v>
      </c>
      <c r="GB31" s="236" t="str">
        <f t="shared" si="155"/>
        <v>-</v>
      </c>
      <c r="GC31" s="236" t="str">
        <f t="shared" si="156"/>
        <v>-</v>
      </c>
      <c r="GD31" s="236" t="str">
        <f t="shared" si="157"/>
        <v>-</v>
      </c>
      <c r="GE31" s="236" t="str">
        <f t="shared" si="158"/>
        <v>-</v>
      </c>
      <c r="GF31" s="236" t="str">
        <f t="shared" si="232"/>
        <v>-</v>
      </c>
      <c r="GG31" s="236" t="str">
        <f t="shared" si="233"/>
        <v>-</v>
      </c>
      <c r="GH31" s="236" t="str">
        <f t="shared" si="234"/>
        <v>-</v>
      </c>
      <c r="GI31" s="236" t="str">
        <f t="shared" si="235"/>
        <v>-</v>
      </c>
      <c r="GJ31" s="236" t="str">
        <f t="shared" si="236"/>
        <v>-</v>
      </c>
      <c r="GK31" s="236" t="str">
        <f t="shared" si="237"/>
        <v>-</v>
      </c>
      <c r="GL31" s="236" t="str">
        <f t="shared" si="238"/>
        <v>-</v>
      </c>
      <c r="GM31" s="236" t="str">
        <f t="shared" si="239"/>
        <v>-</v>
      </c>
      <c r="GN31" s="236" t="str">
        <f t="shared" si="240"/>
        <v>-</v>
      </c>
      <c r="GO31" s="236" t="str">
        <f t="shared" si="241"/>
        <v>-</v>
      </c>
      <c r="GP31" s="236" t="str">
        <f t="shared" si="242"/>
        <v>-</v>
      </c>
      <c r="GQ31" s="236" t="str">
        <f t="shared" si="243"/>
        <v>-</v>
      </c>
      <c r="GR31" s="236" t="str">
        <f t="shared" si="244"/>
        <v>-</v>
      </c>
      <c r="GS31" s="236" t="str">
        <f t="shared" si="245"/>
        <v>-</v>
      </c>
      <c r="GT31" s="236" t="str">
        <f t="shared" si="246"/>
        <v>-</v>
      </c>
      <c r="GU31" s="236" t="str">
        <f t="shared" si="226"/>
        <v>-</v>
      </c>
      <c r="GV31" s="236" t="str">
        <f t="shared" si="247"/>
        <v>-</v>
      </c>
      <c r="GW31" s="236" t="str">
        <f t="shared" si="248"/>
        <v>-</v>
      </c>
      <c r="GX31" s="236" t="str">
        <f t="shared" si="249"/>
        <v>-</v>
      </c>
      <c r="GY31" s="236" t="str">
        <f t="shared" si="250"/>
        <v>-</v>
      </c>
      <c r="GZ31" s="236" t="str">
        <f t="shared" si="251"/>
        <v>-</v>
      </c>
      <c r="HA31" s="236" t="str">
        <f t="shared" si="252"/>
        <v>-</v>
      </c>
      <c r="HB31" s="236" t="str">
        <f t="shared" si="253"/>
        <v>-</v>
      </c>
      <c r="HC31" s="236" t="str">
        <f t="shared" si="254"/>
        <v>-</v>
      </c>
      <c r="HD31" s="236" t="str">
        <f t="shared" si="255"/>
        <v>-</v>
      </c>
      <c r="HE31" s="236" t="str">
        <f t="shared" si="256"/>
        <v>-</v>
      </c>
      <c r="HF31" s="236" t="str">
        <f t="shared" si="257"/>
        <v>-</v>
      </c>
      <c r="HG31" s="236" t="str">
        <f t="shared" si="258"/>
        <v>-</v>
      </c>
      <c r="HH31" s="236" t="str">
        <f t="shared" si="259"/>
        <v>-</v>
      </c>
      <c r="HI31" s="236" t="str">
        <f t="shared" si="260"/>
        <v>-</v>
      </c>
      <c r="HJ31" s="236" t="str">
        <f t="shared" si="261"/>
        <v>-</v>
      </c>
      <c r="HK31" s="236" t="str">
        <f t="shared" si="228"/>
        <v>-</v>
      </c>
      <c r="HL31" s="236" t="str">
        <f t="shared" si="262"/>
        <v>-</v>
      </c>
      <c r="HM31" s="236" t="str">
        <f t="shared" si="263"/>
        <v>-</v>
      </c>
      <c r="HN31" s="236" t="str">
        <f t="shared" si="264"/>
        <v>-</v>
      </c>
      <c r="HO31" s="236" t="str">
        <f t="shared" si="265"/>
        <v>-</v>
      </c>
      <c r="HP31" s="236" t="str">
        <f t="shared" si="266"/>
        <v>-</v>
      </c>
      <c r="HQ31" s="236" t="str">
        <f t="shared" si="267"/>
        <v>-</v>
      </c>
      <c r="HR31" s="236" t="str">
        <f t="shared" si="268"/>
        <v>-</v>
      </c>
      <c r="HS31" s="236" t="str">
        <f t="shared" si="269"/>
        <v>-</v>
      </c>
      <c r="HT31" s="236" t="str">
        <f t="shared" si="270"/>
        <v>-</v>
      </c>
      <c r="HU31" s="236" t="str">
        <f t="shared" si="271"/>
        <v>-</v>
      </c>
      <c r="HV31" s="236" t="str">
        <f t="shared" si="272"/>
        <v>-</v>
      </c>
      <c r="HW31" s="236" t="str">
        <f t="shared" si="273"/>
        <v>-</v>
      </c>
      <c r="HX31" s="236" t="str">
        <f t="shared" si="274"/>
        <v>-</v>
      </c>
      <c r="HY31" s="236" t="str">
        <f t="shared" si="275"/>
        <v>-</v>
      </c>
      <c r="HZ31" s="236" t="str">
        <f t="shared" si="276"/>
        <v>-</v>
      </c>
      <c r="IA31" s="236" t="str">
        <f t="shared" si="230"/>
        <v>-</v>
      </c>
      <c r="IB31" s="236" t="str">
        <f t="shared" si="277"/>
        <v>-</v>
      </c>
      <c r="IC31" s="236" t="str">
        <f t="shared" si="278"/>
        <v>-</v>
      </c>
      <c r="ID31" s="236" t="str">
        <f t="shared" si="279"/>
        <v>-</v>
      </c>
      <c r="IE31" s="236" t="str">
        <f t="shared" si="68"/>
        <v>-</v>
      </c>
      <c r="IF31" s="236" t="str">
        <f t="shared" si="69"/>
        <v>-</v>
      </c>
      <c r="IG31" s="306" t="str">
        <f t="shared" si="70"/>
        <v>-</v>
      </c>
      <c r="IH31" s="44" t="str">
        <f t="shared" si="204"/>
        <v>-</v>
      </c>
      <c r="II31" s="44" t="str">
        <f t="shared" si="205"/>
        <v>-</v>
      </c>
      <c r="IJ31" s="44" t="str">
        <f t="shared" si="206"/>
        <v>-</v>
      </c>
      <c r="IK31" s="44" t="str">
        <f t="shared" si="207"/>
        <v>-</v>
      </c>
      <c r="IL31" s="44" t="str">
        <f t="shared" si="208"/>
        <v>-</v>
      </c>
      <c r="IM31" s="306" t="str">
        <f t="shared" si="76"/>
        <v/>
      </c>
      <c r="IN31" s="44" t="str">
        <f t="shared" si="209"/>
        <v/>
      </c>
      <c r="IO31" s="44" t="str">
        <f t="shared" si="210"/>
        <v/>
      </c>
      <c r="IP31" s="44" t="str">
        <f t="shared" si="211"/>
        <v/>
      </c>
      <c r="IQ31" s="44" t="str">
        <f t="shared" si="212"/>
        <v/>
      </c>
      <c r="IR31" s="44" t="str">
        <f t="shared" si="213"/>
        <v/>
      </c>
      <c r="IS31" s="306" t="str">
        <f t="shared" si="82"/>
        <v/>
      </c>
      <c r="IT31" s="44" t="str">
        <f t="shared" si="214"/>
        <v/>
      </c>
      <c r="IU31" s="44" t="str">
        <f t="shared" si="215"/>
        <v/>
      </c>
      <c r="IV31" s="44" t="str">
        <f t="shared" si="216"/>
        <v/>
      </c>
      <c r="IW31" s="44" t="str">
        <f t="shared" si="217"/>
        <v/>
      </c>
      <c r="IX31" s="44" t="str">
        <f t="shared" si="218"/>
        <v/>
      </c>
      <c r="IY31" s="306" t="str">
        <f t="shared" si="88"/>
        <v/>
      </c>
      <c r="IZ31" s="44" t="str">
        <f t="shared" si="219"/>
        <v/>
      </c>
      <c r="JA31" s="44" t="str">
        <f t="shared" si="220"/>
        <v/>
      </c>
      <c r="JB31" s="44" t="str">
        <f t="shared" si="221"/>
        <v/>
      </c>
      <c r="JC31" s="44" t="str">
        <f t="shared" si="222"/>
        <v/>
      </c>
      <c r="JD31" s="307" t="str">
        <f t="shared" si="223"/>
        <v/>
      </c>
      <c r="JF31" s="66">
        <f t="shared" si="224"/>
        <v>31</v>
      </c>
      <c r="JG31" s="66">
        <f t="shared" ca="1" si="95"/>
        <v>0</v>
      </c>
      <c r="JH31" s="66">
        <f t="shared" ca="1" si="96"/>
        <v>0</v>
      </c>
      <c r="JI31" s="66">
        <f t="shared" ca="1" si="97"/>
        <v>0</v>
      </c>
      <c r="JJ31" s="66">
        <f t="shared" ca="1" si="98"/>
        <v>0</v>
      </c>
      <c r="JK31" s="33"/>
      <c r="JL31" s="74" t="str">
        <f t="shared" ca="1" si="121"/>
        <v>-</v>
      </c>
      <c r="JM31" s="75">
        <f t="shared" ca="1" si="99"/>
        <v>0</v>
      </c>
      <c r="JN31" s="75">
        <f t="shared" ca="1" si="100"/>
        <v>0</v>
      </c>
      <c r="JO31" s="74" t="str">
        <f t="shared" ca="1" si="122"/>
        <v>-</v>
      </c>
      <c r="JP31" s="74">
        <f t="shared" ca="1" si="123"/>
        <v>0</v>
      </c>
    </row>
    <row r="32" spans="1:276" s="1" customFormat="1" x14ac:dyDescent="0.35">
      <c r="A32" s="125">
        <v>0</v>
      </c>
      <c r="B32" s="125">
        <v>0</v>
      </c>
      <c r="C32" s="125">
        <v>1</v>
      </c>
      <c r="D32" s="163"/>
      <c r="E32" s="142" t="s">
        <v>54</v>
      </c>
      <c r="F32" s="208" t="s">
        <v>541</v>
      </c>
      <c r="G32" s="209" t="s">
        <v>540</v>
      </c>
      <c r="H32" s="210" t="s">
        <v>535</v>
      </c>
      <c r="I32" s="8" t="s">
        <v>536</v>
      </c>
      <c r="J32" s="211">
        <v>5.4268980443229156</v>
      </c>
      <c r="K32" s="217">
        <v>4.966179978431442</v>
      </c>
      <c r="L32" s="217">
        <v>5.7634941301844922</v>
      </c>
      <c r="M32" s="217">
        <v>6.1851058847982445</v>
      </c>
      <c r="N32" s="217" t="s">
        <v>805</v>
      </c>
      <c r="O32" s="217" t="s">
        <v>805</v>
      </c>
      <c r="P32" s="217" t="s">
        <v>805</v>
      </c>
      <c r="Q32" s="217" t="s">
        <v>805</v>
      </c>
      <c r="R32" s="217" t="s">
        <v>805</v>
      </c>
      <c r="S32" s="217" t="s">
        <v>805</v>
      </c>
      <c r="T32" s="217" t="s">
        <v>805</v>
      </c>
      <c r="U32" s="217" t="s">
        <v>805</v>
      </c>
      <c r="V32" s="217" t="s">
        <v>805</v>
      </c>
      <c r="W32" s="217" t="s">
        <v>805</v>
      </c>
      <c r="X32" s="217" t="s">
        <v>805</v>
      </c>
      <c r="Y32" s="217" t="s">
        <v>805</v>
      </c>
      <c r="Z32" s="217" t="s">
        <v>805</v>
      </c>
      <c r="AA32" s="217" t="s">
        <v>805</v>
      </c>
      <c r="AB32" s="217" t="s">
        <v>805</v>
      </c>
      <c r="AC32" s="217" t="s">
        <v>805</v>
      </c>
      <c r="AD32" s="217" t="s">
        <v>805</v>
      </c>
      <c r="AE32" s="217" t="s">
        <v>805</v>
      </c>
      <c r="AF32" s="217" t="s">
        <v>805</v>
      </c>
      <c r="AG32" s="217" t="s">
        <v>805</v>
      </c>
      <c r="AH32" s="217" t="s">
        <v>805</v>
      </c>
      <c r="AI32" s="217" t="s">
        <v>805</v>
      </c>
      <c r="AJ32" s="217" t="s">
        <v>805</v>
      </c>
      <c r="AK32" s="217" t="s">
        <v>805</v>
      </c>
      <c r="AL32" s="217" t="s">
        <v>805</v>
      </c>
      <c r="AM32" s="217" t="s">
        <v>805</v>
      </c>
      <c r="AN32" s="217" t="s">
        <v>805</v>
      </c>
      <c r="AO32" s="217" t="s">
        <v>805</v>
      </c>
      <c r="AP32" s="217" t="s">
        <v>805</v>
      </c>
      <c r="AQ32" s="217" t="s">
        <v>805</v>
      </c>
      <c r="AR32" s="217" t="s">
        <v>805</v>
      </c>
      <c r="AS32" s="217" t="s">
        <v>805</v>
      </c>
      <c r="AT32" s="217" t="s">
        <v>805</v>
      </c>
      <c r="AU32" s="217" t="s">
        <v>805</v>
      </c>
      <c r="AV32" s="217" t="s">
        <v>805</v>
      </c>
      <c r="AW32" s="217" t="s">
        <v>805</v>
      </c>
      <c r="AX32" s="217" t="s">
        <v>805</v>
      </c>
      <c r="AY32" s="217" t="s">
        <v>805</v>
      </c>
      <c r="AZ32" s="217" t="s">
        <v>805</v>
      </c>
      <c r="BA32" s="217" t="s">
        <v>805</v>
      </c>
      <c r="BB32" s="217" t="s">
        <v>805</v>
      </c>
      <c r="BC32" s="217" t="s">
        <v>805</v>
      </c>
      <c r="BD32" s="217" t="s">
        <v>805</v>
      </c>
      <c r="BE32" s="217" t="s">
        <v>805</v>
      </c>
      <c r="BF32" s="217" t="s">
        <v>805</v>
      </c>
      <c r="BG32" s="217" t="s">
        <v>805</v>
      </c>
      <c r="BH32" s="217" t="s">
        <v>805</v>
      </c>
      <c r="BI32" s="217" t="s">
        <v>805</v>
      </c>
      <c r="BJ32" s="217" t="s">
        <v>805</v>
      </c>
      <c r="BK32" s="217" t="s">
        <v>805</v>
      </c>
      <c r="BL32" s="217" t="s">
        <v>805</v>
      </c>
      <c r="BM32" s="217" t="s">
        <v>805</v>
      </c>
      <c r="BN32" s="217" t="s">
        <v>805</v>
      </c>
      <c r="BO32" s="217" t="s">
        <v>805</v>
      </c>
      <c r="BP32" s="217" t="s">
        <v>805</v>
      </c>
      <c r="BQ32" s="217" t="s">
        <v>805</v>
      </c>
      <c r="BR32" s="217" t="s">
        <v>805</v>
      </c>
      <c r="BS32" s="217" t="s">
        <v>805</v>
      </c>
      <c r="BT32" s="217" t="s">
        <v>805</v>
      </c>
      <c r="BU32" s="217" t="s">
        <v>805</v>
      </c>
      <c r="BV32" s="217" t="s">
        <v>805</v>
      </c>
      <c r="BW32" s="217" t="s">
        <v>805</v>
      </c>
      <c r="BX32" s="217" t="s">
        <v>805</v>
      </c>
      <c r="BY32" s="217" t="s">
        <v>805</v>
      </c>
      <c r="BZ32" s="217" t="s">
        <v>805</v>
      </c>
      <c r="CA32" s="217" t="s">
        <v>805</v>
      </c>
      <c r="CB32" s="217" t="s">
        <v>805</v>
      </c>
      <c r="CC32" s="217" t="s">
        <v>805</v>
      </c>
      <c r="CD32" s="217" t="s">
        <v>805</v>
      </c>
      <c r="CE32" s="217" t="s">
        <v>805</v>
      </c>
      <c r="CF32" s="217" t="s">
        <v>805</v>
      </c>
      <c r="CG32" s="217" t="s">
        <v>805</v>
      </c>
      <c r="CH32" s="217" t="s">
        <v>805</v>
      </c>
      <c r="CI32" s="217" t="s">
        <v>805</v>
      </c>
      <c r="CJ32" s="217" t="s">
        <v>805</v>
      </c>
      <c r="CK32" s="217" t="s">
        <v>805</v>
      </c>
      <c r="CL32" s="217" t="s">
        <v>805</v>
      </c>
      <c r="CM32" s="217" t="s">
        <v>805</v>
      </c>
      <c r="CN32" s="217" t="s">
        <v>805</v>
      </c>
      <c r="CO32" s="217" t="s">
        <v>805</v>
      </c>
      <c r="CP32" s="217" t="s">
        <v>805</v>
      </c>
      <c r="CQ32" s="217" t="s">
        <v>805</v>
      </c>
      <c r="CR32" s="217" t="s">
        <v>805</v>
      </c>
      <c r="CS32" s="217" t="s">
        <v>805</v>
      </c>
      <c r="CT32" s="217" t="s">
        <v>805</v>
      </c>
      <c r="CU32" s="217" t="s">
        <v>805</v>
      </c>
      <c r="CV32" s="217" t="s">
        <v>805</v>
      </c>
      <c r="CW32" s="217" t="s">
        <v>805</v>
      </c>
      <c r="CX32" s="217" t="s">
        <v>805</v>
      </c>
      <c r="CY32" s="217" t="s">
        <v>805</v>
      </c>
      <c r="CZ32" s="217" t="s">
        <v>805</v>
      </c>
      <c r="DA32" s="217" t="s">
        <v>805</v>
      </c>
      <c r="DB32" s="217" t="s">
        <v>805</v>
      </c>
      <c r="DC32" s="217" t="s">
        <v>805</v>
      </c>
      <c r="DD32" s="217" t="s">
        <v>805</v>
      </c>
      <c r="DE32" s="217" t="s">
        <v>805</v>
      </c>
      <c r="DF32" s="217" t="s">
        <v>805</v>
      </c>
      <c r="DG32" s="212">
        <f>VLOOKUP(E32,'KPI Count-SHARE'!A:F,3,0)</f>
        <v>5</v>
      </c>
      <c r="DH32" s="213">
        <v>5.4508646383099073</v>
      </c>
      <c r="DI32" s="218">
        <v>10.625484267695475</v>
      </c>
      <c r="DJ32" s="218">
        <v>7.9370013746468873</v>
      </c>
      <c r="DK32" s="218">
        <v>4.3042634451934347</v>
      </c>
      <c r="DL32" s="218">
        <v>1.554024147970928</v>
      </c>
      <c r="DM32" s="218">
        <v>1.2463464755946216</v>
      </c>
      <c r="DN32" s="212">
        <f>VLOOKUP(E32,'KPI Count-SHARE'!A:F,4,0)</f>
        <v>0</v>
      </c>
      <c r="DO32" s="213"/>
      <c r="DP32" s="218"/>
      <c r="DQ32" s="218"/>
      <c r="DR32" s="218"/>
      <c r="DS32" s="218"/>
      <c r="DT32" s="218"/>
      <c r="DU32" s="212">
        <f>VLOOKUP(E32,'KPI Count-SHARE'!A:F,5,0)</f>
        <v>0</v>
      </c>
      <c r="DV32" s="213"/>
      <c r="DW32" s="218"/>
      <c r="DX32" s="218"/>
      <c r="DY32" s="218"/>
      <c r="DZ32" s="218"/>
      <c r="EA32" s="218"/>
      <c r="EB32" s="212">
        <f>VLOOKUP(E32,'KPI Count-SHARE'!A:F,6,0)</f>
        <v>0</v>
      </c>
      <c r="EC32" s="213"/>
      <c r="ED32" s="218"/>
      <c r="EE32" s="218"/>
      <c r="EF32" s="218"/>
      <c r="EG32" s="218"/>
      <c r="EH32" s="218"/>
      <c r="EI32" s="214" t="str">
        <f t="shared" si="231"/>
        <v>USD '000 per FTE</v>
      </c>
      <c r="EJ32" s="236">
        <f t="shared" si="101"/>
        <v>6.0976382520482204</v>
      </c>
      <c r="EK32" s="236">
        <f t="shared" si="102"/>
        <v>5.5799775038555532</v>
      </c>
      <c r="EL32" s="236">
        <f t="shared" si="103"/>
        <v>6.4758361013308905</v>
      </c>
      <c r="EM32" s="236">
        <f t="shared" si="104"/>
        <v>6.9495571739306126</v>
      </c>
      <c r="EN32" s="236" t="str">
        <f t="shared" si="105"/>
        <v>-</v>
      </c>
      <c r="EO32" s="236" t="str">
        <f t="shared" si="106"/>
        <v>-</v>
      </c>
      <c r="EP32" s="236" t="str">
        <f t="shared" si="107"/>
        <v>-</v>
      </c>
      <c r="EQ32" s="236" t="str">
        <f t="shared" si="108"/>
        <v>-</v>
      </c>
      <c r="ER32" s="236" t="str">
        <f t="shared" si="109"/>
        <v>-</v>
      </c>
      <c r="ES32" s="236" t="str">
        <f t="shared" si="110"/>
        <v>-</v>
      </c>
      <c r="ET32" s="236" t="str">
        <f t="shared" si="111"/>
        <v>-</v>
      </c>
      <c r="EU32" s="236" t="str">
        <f t="shared" si="165"/>
        <v>-</v>
      </c>
      <c r="EV32" s="236" t="str">
        <f t="shared" si="166"/>
        <v>-</v>
      </c>
      <c r="EW32" s="236" t="str">
        <f t="shared" si="167"/>
        <v>-</v>
      </c>
      <c r="EX32" s="236" t="str">
        <f t="shared" si="168"/>
        <v>-</v>
      </c>
      <c r="EY32" s="236" t="str">
        <f t="shared" si="169"/>
        <v>-</v>
      </c>
      <c r="EZ32" s="236" t="str">
        <f t="shared" si="170"/>
        <v>-</v>
      </c>
      <c r="FA32" s="236" t="str">
        <f t="shared" si="171"/>
        <v>-</v>
      </c>
      <c r="FB32" s="236" t="str">
        <f t="shared" si="172"/>
        <v>-</v>
      </c>
      <c r="FC32" s="236" t="str">
        <f t="shared" si="173"/>
        <v>-</v>
      </c>
      <c r="FD32" s="236" t="str">
        <f t="shared" si="174"/>
        <v>-</v>
      </c>
      <c r="FE32" s="236" t="str">
        <f t="shared" si="175"/>
        <v>-</v>
      </c>
      <c r="FF32" s="236" t="str">
        <f t="shared" si="176"/>
        <v>-</v>
      </c>
      <c r="FG32" s="236" t="str">
        <f t="shared" si="177"/>
        <v>-</v>
      </c>
      <c r="FH32" s="236" t="str">
        <f t="shared" si="178"/>
        <v>-</v>
      </c>
      <c r="FI32" s="236" t="str">
        <f t="shared" si="179"/>
        <v>-</v>
      </c>
      <c r="FJ32" s="236" t="str">
        <f t="shared" si="180"/>
        <v>-</v>
      </c>
      <c r="FK32" s="236" t="str">
        <f t="shared" si="181"/>
        <v>-</v>
      </c>
      <c r="FL32" s="236" t="str">
        <f t="shared" si="182"/>
        <v>-</v>
      </c>
      <c r="FM32" s="236" t="str">
        <f t="shared" si="183"/>
        <v>-</v>
      </c>
      <c r="FN32" s="236" t="str">
        <f t="shared" si="184"/>
        <v>-</v>
      </c>
      <c r="FO32" s="236" t="str">
        <f t="shared" si="185"/>
        <v>-</v>
      </c>
      <c r="FP32" s="236" t="str">
        <f t="shared" si="186"/>
        <v>-</v>
      </c>
      <c r="FQ32" s="236" t="str">
        <f t="shared" si="187"/>
        <v>-</v>
      </c>
      <c r="FR32" s="236" t="str">
        <f t="shared" si="188"/>
        <v>-</v>
      </c>
      <c r="FS32" s="236" t="str">
        <f t="shared" si="189"/>
        <v>-</v>
      </c>
      <c r="FT32" s="236" t="str">
        <f t="shared" si="190"/>
        <v>-</v>
      </c>
      <c r="FU32" s="236" t="str">
        <f t="shared" si="191"/>
        <v>-</v>
      </c>
      <c r="FV32" s="236" t="str">
        <f t="shared" si="192"/>
        <v>-</v>
      </c>
      <c r="FW32" s="236" t="str">
        <f t="shared" si="193"/>
        <v>-</v>
      </c>
      <c r="FX32" s="236" t="str">
        <f t="shared" si="194"/>
        <v>-</v>
      </c>
      <c r="FY32" s="236" t="str">
        <f t="shared" si="195"/>
        <v>-</v>
      </c>
      <c r="FZ32" s="236" t="str">
        <f t="shared" si="196"/>
        <v>-</v>
      </c>
      <c r="GA32" s="236" t="str">
        <f t="shared" si="197"/>
        <v>-</v>
      </c>
      <c r="GB32" s="236" t="str">
        <f t="shared" si="155"/>
        <v>-</v>
      </c>
      <c r="GC32" s="236" t="str">
        <f t="shared" si="156"/>
        <v>-</v>
      </c>
      <c r="GD32" s="236" t="str">
        <f t="shared" si="157"/>
        <v>-</v>
      </c>
      <c r="GE32" s="236" t="str">
        <f t="shared" si="158"/>
        <v>-</v>
      </c>
      <c r="GF32" s="236" t="str">
        <f t="shared" si="232"/>
        <v>-</v>
      </c>
      <c r="GG32" s="236" t="str">
        <f t="shared" si="233"/>
        <v>-</v>
      </c>
      <c r="GH32" s="236" t="str">
        <f t="shared" si="234"/>
        <v>-</v>
      </c>
      <c r="GI32" s="236" t="str">
        <f t="shared" si="235"/>
        <v>-</v>
      </c>
      <c r="GJ32" s="236" t="str">
        <f t="shared" si="236"/>
        <v>-</v>
      </c>
      <c r="GK32" s="236" t="str">
        <f t="shared" si="237"/>
        <v>-</v>
      </c>
      <c r="GL32" s="236" t="str">
        <f t="shared" si="238"/>
        <v>-</v>
      </c>
      <c r="GM32" s="236" t="str">
        <f t="shared" si="239"/>
        <v>-</v>
      </c>
      <c r="GN32" s="236" t="str">
        <f t="shared" si="240"/>
        <v>-</v>
      </c>
      <c r="GO32" s="236" t="str">
        <f t="shared" si="241"/>
        <v>-</v>
      </c>
      <c r="GP32" s="236" t="str">
        <f t="shared" si="242"/>
        <v>-</v>
      </c>
      <c r="GQ32" s="236" t="str">
        <f t="shared" si="243"/>
        <v>-</v>
      </c>
      <c r="GR32" s="236" t="str">
        <f t="shared" si="244"/>
        <v>-</v>
      </c>
      <c r="GS32" s="236" t="str">
        <f t="shared" si="245"/>
        <v>-</v>
      </c>
      <c r="GT32" s="236" t="str">
        <f t="shared" si="246"/>
        <v>-</v>
      </c>
      <c r="GU32" s="236" t="str">
        <f t="shared" si="226"/>
        <v>-</v>
      </c>
      <c r="GV32" s="236" t="str">
        <f t="shared" si="247"/>
        <v>-</v>
      </c>
      <c r="GW32" s="236" t="str">
        <f t="shared" si="248"/>
        <v>-</v>
      </c>
      <c r="GX32" s="236" t="str">
        <f t="shared" si="249"/>
        <v>-</v>
      </c>
      <c r="GY32" s="236" t="str">
        <f t="shared" si="250"/>
        <v>-</v>
      </c>
      <c r="GZ32" s="236" t="str">
        <f t="shared" si="251"/>
        <v>-</v>
      </c>
      <c r="HA32" s="236" t="str">
        <f t="shared" si="252"/>
        <v>-</v>
      </c>
      <c r="HB32" s="236" t="str">
        <f t="shared" si="253"/>
        <v>-</v>
      </c>
      <c r="HC32" s="236" t="str">
        <f t="shared" si="254"/>
        <v>-</v>
      </c>
      <c r="HD32" s="236" t="str">
        <f t="shared" si="255"/>
        <v>-</v>
      </c>
      <c r="HE32" s="236" t="str">
        <f t="shared" si="256"/>
        <v>-</v>
      </c>
      <c r="HF32" s="236" t="str">
        <f t="shared" si="257"/>
        <v>-</v>
      </c>
      <c r="HG32" s="236" t="str">
        <f t="shared" si="258"/>
        <v>-</v>
      </c>
      <c r="HH32" s="236" t="str">
        <f t="shared" si="259"/>
        <v>-</v>
      </c>
      <c r="HI32" s="236" t="str">
        <f t="shared" si="260"/>
        <v>-</v>
      </c>
      <c r="HJ32" s="236" t="str">
        <f t="shared" si="261"/>
        <v>-</v>
      </c>
      <c r="HK32" s="236" t="str">
        <f t="shared" si="228"/>
        <v>-</v>
      </c>
      <c r="HL32" s="236" t="str">
        <f t="shared" si="262"/>
        <v>-</v>
      </c>
      <c r="HM32" s="236" t="str">
        <f t="shared" si="263"/>
        <v>-</v>
      </c>
      <c r="HN32" s="236" t="str">
        <f t="shared" si="264"/>
        <v>-</v>
      </c>
      <c r="HO32" s="236" t="str">
        <f t="shared" si="265"/>
        <v>-</v>
      </c>
      <c r="HP32" s="236" t="str">
        <f t="shared" si="266"/>
        <v>-</v>
      </c>
      <c r="HQ32" s="236" t="str">
        <f t="shared" si="267"/>
        <v>-</v>
      </c>
      <c r="HR32" s="236" t="str">
        <f t="shared" si="268"/>
        <v>-</v>
      </c>
      <c r="HS32" s="236" t="str">
        <f t="shared" si="269"/>
        <v>-</v>
      </c>
      <c r="HT32" s="236" t="str">
        <f t="shared" si="270"/>
        <v>-</v>
      </c>
      <c r="HU32" s="236" t="str">
        <f t="shared" si="271"/>
        <v>-</v>
      </c>
      <c r="HV32" s="236" t="str">
        <f t="shared" si="272"/>
        <v>-</v>
      </c>
      <c r="HW32" s="236" t="str">
        <f t="shared" si="273"/>
        <v>-</v>
      </c>
      <c r="HX32" s="236" t="str">
        <f t="shared" si="274"/>
        <v>-</v>
      </c>
      <c r="HY32" s="236" t="str">
        <f t="shared" si="275"/>
        <v>-</v>
      </c>
      <c r="HZ32" s="236" t="str">
        <f t="shared" si="276"/>
        <v>-</v>
      </c>
      <c r="IA32" s="236" t="str">
        <f t="shared" si="230"/>
        <v>-</v>
      </c>
      <c r="IB32" s="236" t="str">
        <f t="shared" si="277"/>
        <v>-</v>
      </c>
      <c r="IC32" s="236" t="str">
        <f t="shared" si="278"/>
        <v>-</v>
      </c>
      <c r="ID32" s="236" t="str">
        <f t="shared" si="279"/>
        <v>-</v>
      </c>
      <c r="IE32" s="236" t="str">
        <f t="shared" si="68"/>
        <v>-</v>
      </c>
      <c r="IF32" s="236" t="str">
        <f t="shared" si="69"/>
        <v>-</v>
      </c>
      <c r="IG32" s="306">
        <f t="shared" si="70"/>
        <v>6.1245670093369746</v>
      </c>
      <c r="IH32" s="44">
        <f t="shared" si="204"/>
        <v>11.938746368197164</v>
      </c>
      <c r="II32" s="44">
        <f t="shared" si="205"/>
        <v>8.9179790726369532</v>
      </c>
      <c r="IJ32" s="44">
        <f t="shared" si="206"/>
        <v>4.8362510620150951</v>
      </c>
      <c r="IK32" s="44">
        <f t="shared" si="207"/>
        <v>1.7460945482819417</v>
      </c>
      <c r="IL32" s="44">
        <f t="shared" si="208"/>
        <v>1.4003892984209232</v>
      </c>
      <c r="IM32" s="306" t="str">
        <f t="shared" si="76"/>
        <v/>
      </c>
      <c r="IN32" s="44" t="str">
        <f t="shared" si="209"/>
        <v/>
      </c>
      <c r="IO32" s="44" t="str">
        <f t="shared" si="210"/>
        <v/>
      </c>
      <c r="IP32" s="44" t="str">
        <f t="shared" si="211"/>
        <v/>
      </c>
      <c r="IQ32" s="44" t="str">
        <f t="shared" si="212"/>
        <v/>
      </c>
      <c r="IR32" s="44" t="str">
        <f t="shared" si="213"/>
        <v/>
      </c>
      <c r="IS32" s="306" t="str">
        <f t="shared" si="82"/>
        <v/>
      </c>
      <c r="IT32" s="44" t="str">
        <f t="shared" si="214"/>
        <v/>
      </c>
      <c r="IU32" s="44" t="str">
        <f t="shared" si="215"/>
        <v/>
      </c>
      <c r="IV32" s="44" t="str">
        <f t="shared" si="216"/>
        <v/>
      </c>
      <c r="IW32" s="44" t="str">
        <f t="shared" si="217"/>
        <v/>
      </c>
      <c r="IX32" s="44" t="str">
        <f t="shared" si="218"/>
        <v/>
      </c>
      <c r="IY32" s="306" t="str">
        <f t="shared" si="88"/>
        <v/>
      </c>
      <c r="IZ32" s="44" t="str">
        <f t="shared" si="219"/>
        <v/>
      </c>
      <c r="JA32" s="44" t="str">
        <f t="shared" si="220"/>
        <v/>
      </c>
      <c r="JB32" s="44" t="str">
        <f t="shared" si="221"/>
        <v/>
      </c>
      <c r="JC32" s="44" t="str">
        <f t="shared" si="222"/>
        <v/>
      </c>
      <c r="JD32" s="307" t="str">
        <f t="shared" si="223"/>
        <v/>
      </c>
      <c r="JF32" s="66">
        <f t="shared" si="224"/>
        <v>32</v>
      </c>
      <c r="JG32" s="66">
        <f t="shared" ca="1" si="95"/>
        <v>8.9179790726369532</v>
      </c>
      <c r="JH32" s="66">
        <f t="shared" ca="1" si="96"/>
        <v>4.8362510620150951</v>
      </c>
      <c r="JI32" s="66">
        <f t="shared" ca="1" si="97"/>
        <v>1.7460945482819417</v>
      </c>
      <c r="JJ32" s="66">
        <f t="shared" ca="1" si="98"/>
        <v>5</v>
      </c>
      <c r="JK32" s="33"/>
      <c r="JL32" s="74">
        <f t="shared" ca="1" si="121"/>
        <v>8.9179790726369532</v>
      </c>
      <c r="JM32" s="75">
        <f t="shared" ca="1" si="99"/>
        <v>6.8771150673260237</v>
      </c>
      <c r="JN32" s="75">
        <f t="shared" ca="1" si="100"/>
        <v>3.2911728051485185</v>
      </c>
      <c r="JO32" s="74">
        <f t="shared" ca="1" si="122"/>
        <v>1.7460945482819417</v>
      </c>
      <c r="JP32" s="74">
        <f t="shared" ca="1" si="123"/>
        <v>20.832361493393439</v>
      </c>
    </row>
    <row r="33" spans="1:276" s="1" customFormat="1" x14ac:dyDescent="0.35">
      <c r="A33" s="125">
        <v>1</v>
      </c>
      <c r="B33" s="125">
        <v>1</v>
      </c>
      <c r="C33" s="125">
        <v>1</v>
      </c>
      <c r="D33" s="163"/>
      <c r="E33" s="142" t="s">
        <v>56</v>
      </c>
      <c r="F33" s="208" t="s">
        <v>57</v>
      </c>
      <c r="G33" s="209" t="s">
        <v>540</v>
      </c>
      <c r="H33" s="210" t="s">
        <v>539</v>
      </c>
      <c r="I33" s="8" t="s">
        <v>536</v>
      </c>
      <c r="J33" s="211">
        <v>5.0960756276113628</v>
      </c>
      <c r="K33" s="217">
        <v>5.1568991651116907</v>
      </c>
      <c r="L33" s="217">
        <v>4.2175723731137387</v>
      </c>
      <c r="M33" s="217">
        <v>212.81289858851846</v>
      </c>
      <c r="N33" s="217" t="s">
        <v>805</v>
      </c>
      <c r="O33" s="217" t="s">
        <v>805</v>
      </c>
      <c r="P33" s="217" t="s">
        <v>805</v>
      </c>
      <c r="Q33" s="217" t="s">
        <v>805</v>
      </c>
      <c r="R33" s="217" t="s">
        <v>805</v>
      </c>
      <c r="S33" s="217" t="s">
        <v>805</v>
      </c>
      <c r="T33" s="217" t="s">
        <v>805</v>
      </c>
      <c r="U33" s="217" t="s">
        <v>805</v>
      </c>
      <c r="V33" s="217" t="s">
        <v>805</v>
      </c>
      <c r="W33" s="217" t="s">
        <v>805</v>
      </c>
      <c r="X33" s="217" t="s">
        <v>805</v>
      </c>
      <c r="Y33" s="217" t="s">
        <v>805</v>
      </c>
      <c r="Z33" s="217" t="s">
        <v>805</v>
      </c>
      <c r="AA33" s="217" t="s">
        <v>805</v>
      </c>
      <c r="AB33" s="217" t="s">
        <v>805</v>
      </c>
      <c r="AC33" s="217" t="s">
        <v>805</v>
      </c>
      <c r="AD33" s="217" t="s">
        <v>805</v>
      </c>
      <c r="AE33" s="217" t="s">
        <v>805</v>
      </c>
      <c r="AF33" s="217" t="s">
        <v>805</v>
      </c>
      <c r="AG33" s="217" t="s">
        <v>805</v>
      </c>
      <c r="AH33" s="217" t="s">
        <v>805</v>
      </c>
      <c r="AI33" s="217" t="s">
        <v>805</v>
      </c>
      <c r="AJ33" s="217" t="s">
        <v>805</v>
      </c>
      <c r="AK33" s="217" t="s">
        <v>805</v>
      </c>
      <c r="AL33" s="217" t="s">
        <v>805</v>
      </c>
      <c r="AM33" s="217" t="s">
        <v>805</v>
      </c>
      <c r="AN33" s="217" t="s">
        <v>805</v>
      </c>
      <c r="AO33" s="217" t="s">
        <v>805</v>
      </c>
      <c r="AP33" s="217" t="s">
        <v>805</v>
      </c>
      <c r="AQ33" s="217" t="s">
        <v>805</v>
      </c>
      <c r="AR33" s="217" t="s">
        <v>805</v>
      </c>
      <c r="AS33" s="217" t="s">
        <v>805</v>
      </c>
      <c r="AT33" s="217" t="s">
        <v>805</v>
      </c>
      <c r="AU33" s="217" t="s">
        <v>805</v>
      </c>
      <c r="AV33" s="217" t="s">
        <v>805</v>
      </c>
      <c r="AW33" s="217" t="s">
        <v>805</v>
      </c>
      <c r="AX33" s="217" t="s">
        <v>805</v>
      </c>
      <c r="AY33" s="217" t="s">
        <v>805</v>
      </c>
      <c r="AZ33" s="217" t="s">
        <v>805</v>
      </c>
      <c r="BA33" s="217" t="s">
        <v>805</v>
      </c>
      <c r="BB33" s="217" t="s">
        <v>805</v>
      </c>
      <c r="BC33" s="217" t="s">
        <v>805</v>
      </c>
      <c r="BD33" s="217" t="s">
        <v>805</v>
      </c>
      <c r="BE33" s="217" t="s">
        <v>805</v>
      </c>
      <c r="BF33" s="217" t="s">
        <v>805</v>
      </c>
      <c r="BG33" s="217" t="s">
        <v>805</v>
      </c>
      <c r="BH33" s="217" t="s">
        <v>805</v>
      </c>
      <c r="BI33" s="217" t="s">
        <v>805</v>
      </c>
      <c r="BJ33" s="217" t="s">
        <v>805</v>
      </c>
      <c r="BK33" s="217" t="s">
        <v>805</v>
      </c>
      <c r="BL33" s="217" t="s">
        <v>805</v>
      </c>
      <c r="BM33" s="217" t="s">
        <v>805</v>
      </c>
      <c r="BN33" s="217" t="s">
        <v>805</v>
      </c>
      <c r="BO33" s="217" t="s">
        <v>805</v>
      </c>
      <c r="BP33" s="217" t="s">
        <v>805</v>
      </c>
      <c r="BQ33" s="217" t="s">
        <v>805</v>
      </c>
      <c r="BR33" s="217" t="s">
        <v>805</v>
      </c>
      <c r="BS33" s="217" t="s">
        <v>805</v>
      </c>
      <c r="BT33" s="217" t="s">
        <v>805</v>
      </c>
      <c r="BU33" s="217" t="s">
        <v>805</v>
      </c>
      <c r="BV33" s="217" t="s">
        <v>805</v>
      </c>
      <c r="BW33" s="217" t="s">
        <v>805</v>
      </c>
      <c r="BX33" s="217" t="s">
        <v>805</v>
      </c>
      <c r="BY33" s="217" t="s">
        <v>805</v>
      </c>
      <c r="BZ33" s="217" t="s">
        <v>805</v>
      </c>
      <c r="CA33" s="217" t="s">
        <v>805</v>
      </c>
      <c r="CB33" s="217" t="s">
        <v>805</v>
      </c>
      <c r="CC33" s="217" t="s">
        <v>805</v>
      </c>
      <c r="CD33" s="217" t="s">
        <v>805</v>
      </c>
      <c r="CE33" s="217" t="s">
        <v>805</v>
      </c>
      <c r="CF33" s="217" t="s">
        <v>805</v>
      </c>
      <c r="CG33" s="217" t="s">
        <v>805</v>
      </c>
      <c r="CH33" s="217" t="s">
        <v>805</v>
      </c>
      <c r="CI33" s="217" t="s">
        <v>805</v>
      </c>
      <c r="CJ33" s="217" t="s">
        <v>805</v>
      </c>
      <c r="CK33" s="217" t="s">
        <v>805</v>
      </c>
      <c r="CL33" s="217" t="s">
        <v>805</v>
      </c>
      <c r="CM33" s="217" t="s">
        <v>805</v>
      </c>
      <c r="CN33" s="217" t="s">
        <v>805</v>
      </c>
      <c r="CO33" s="217" t="s">
        <v>805</v>
      </c>
      <c r="CP33" s="217" t="s">
        <v>805</v>
      </c>
      <c r="CQ33" s="217" t="s">
        <v>805</v>
      </c>
      <c r="CR33" s="217" t="s">
        <v>805</v>
      </c>
      <c r="CS33" s="217" t="s">
        <v>805</v>
      </c>
      <c r="CT33" s="217" t="s">
        <v>805</v>
      </c>
      <c r="CU33" s="217" t="s">
        <v>805</v>
      </c>
      <c r="CV33" s="217" t="s">
        <v>805</v>
      </c>
      <c r="CW33" s="217" t="s">
        <v>805</v>
      </c>
      <c r="CX33" s="217" t="s">
        <v>805</v>
      </c>
      <c r="CY33" s="217" t="s">
        <v>805</v>
      </c>
      <c r="CZ33" s="217" t="s">
        <v>805</v>
      </c>
      <c r="DA33" s="217" t="s">
        <v>805</v>
      </c>
      <c r="DB33" s="217" t="s">
        <v>805</v>
      </c>
      <c r="DC33" s="217" t="s">
        <v>805</v>
      </c>
      <c r="DD33" s="217" t="s">
        <v>805</v>
      </c>
      <c r="DE33" s="217" t="s">
        <v>805</v>
      </c>
      <c r="DF33" s="217" t="s">
        <v>805</v>
      </c>
      <c r="DG33" s="212">
        <f>VLOOKUP(E33,'KPI Count-SHARE'!A:F,3,0)</f>
        <v>5</v>
      </c>
      <c r="DH33" s="213">
        <v>21.383304174364465</v>
      </c>
      <c r="DI33" s="218">
        <v>39.982625961686963</v>
      </c>
      <c r="DJ33" s="218">
        <v>33.654490092371873</v>
      </c>
      <c r="DK33" s="218">
        <v>27.598779494629337</v>
      </c>
      <c r="DL33" s="218">
        <v>0.92555741808252423</v>
      </c>
      <c r="DM33" s="218">
        <v>0.69200936253794476</v>
      </c>
      <c r="DN33" s="212">
        <f>VLOOKUP(E33,'KPI Count-SHARE'!A:F,4,0)</f>
        <v>0</v>
      </c>
      <c r="DO33" s="213"/>
      <c r="DP33" s="218"/>
      <c r="DQ33" s="218"/>
      <c r="DR33" s="218"/>
      <c r="DS33" s="218"/>
      <c r="DT33" s="218"/>
      <c r="DU33" s="212">
        <f>VLOOKUP(E33,'KPI Count-SHARE'!A:F,5,0)</f>
        <v>0</v>
      </c>
      <c r="DV33" s="213"/>
      <c r="DW33" s="218"/>
      <c r="DX33" s="218"/>
      <c r="DY33" s="218"/>
      <c r="DZ33" s="218"/>
      <c r="EA33" s="218"/>
      <c r="EB33" s="212">
        <f>VLOOKUP(E33,'KPI Count-SHARE'!A:F,6,0)</f>
        <v>0</v>
      </c>
      <c r="EC33" s="213"/>
      <c r="ED33" s="218"/>
      <c r="EE33" s="218"/>
      <c r="EF33" s="218"/>
      <c r="EG33" s="218"/>
      <c r="EH33" s="218"/>
      <c r="EI33" s="214" t="str">
        <f>XCurrency &amp; " '000 per account"</f>
        <v>USD '000 per account</v>
      </c>
      <c r="EJ33" s="236">
        <f t="shared" si="101"/>
        <v>5.7259276714734417</v>
      </c>
      <c r="EK33" s="236">
        <f t="shared" si="102"/>
        <v>5.7942687248445965</v>
      </c>
      <c r="EL33" s="236">
        <f t="shared" si="103"/>
        <v>4.7388453630491449</v>
      </c>
      <c r="EM33" s="236">
        <f t="shared" si="104"/>
        <v>239.11561639159379</v>
      </c>
      <c r="EN33" s="236" t="str">
        <f t="shared" si="105"/>
        <v>-</v>
      </c>
      <c r="EO33" s="236" t="str">
        <f t="shared" si="106"/>
        <v>-</v>
      </c>
      <c r="EP33" s="236" t="str">
        <f t="shared" si="107"/>
        <v>-</v>
      </c>
      <c r="EQ33" s="236" t="str">
        <f t="shared" si="108"/>
        <v>-</v>
      </c>
      <c r="ER33" s="236" t="str">
        <f t="shared" si="109"/>
        <v>-</v>
      </c>
      <c r="ES33" s="236" t="str">
        <f t="shared" si="110"/>
        <v>-</v>
      </c>
      <c r="ET33" s="236" t="str">
        <f t="shared" si="111"/>
        <v>-</v>
      </c>
      <c r="EU33" s="236" t="str">
        <f t="shared" si="165"/>
        <v>-</v>
      </c>
      <c r="EV33" s="236" t="str">
        <f t="shared" si="166"/>
        <v>-</v>
      </c>
      <c r="EW33" s="236" t="str">
        <f t="shared" si="167"/>
        <v>-</v>
      </c>
      <c r="EX33" s="236" t="str">
        <f t="shared" si="168"/>
        <v>-</v>
      </c>
      <c r="EY33" s="236" t="str">
        <f t="shared" si="169"/>
        <v>-</v>
      </c>
      <c r="EZ33" s="236" t="str">
        <f t="shared" si="170"/>
        <v>-</v>
      </c>
      <c r="FA33" s="236" t="str">
        <f t="shared" si="171"/>
        <v>-</v>
      </c>
      <c r="FB33" s="236" t="str">
        <f t="shared" si="172"/>
        <v>-</v>
      </c>
      <c r="FC33" s="236" t="str">
        <f t="shared" si="173"/>
        <v>-</v>
      </c>
      <c r="FD33" s="236" t="str">
        <f t="shared" si="174"/>
        <v>-</v>
      </c>
      <c r="FE33" s="236" t="str">
        <f t="shared" si="175"/>
        <v>-</v>
      </c>
      <c r="FF33" s="236" t="str">
        <f t="shared" si="176"/>
        <v>-</v>
      </c>
      <c r="FG33" s="236" t="str">
        <f t="shared" si="177"/>
        <v>-</v>
      </c>
      <c r="FH33" s="236" t="str">
        <f t="shared" si="178"/>
        <v>-</v>
      </c>
      <c r="FI33" s="236" t="str">
        <f t="shared" si="179"/>
        <v>-</v>
      </c>
      <c r="FJ33" s="236" t="str">
        <f t="shared" si="180"/>
        <v>-</v>
      </c>
      <c r="FK33" s="236" t="str">
        <f t="shared" si="181"/>
        <v>-</v>
      </c>
      <c r="FL33" s="236" t="str">
        <f t="shared" si="182"/>
        <v>-</v>
      </c>
      <c r="FM33" s="236" t="str">
        <f t="shared" si="183"/>
        <v>-</v>
      </c>
      <c r="FN33" s="236" t="str">
        <f t="shared" si="184"/>
        <v>-</v>
      </c>
      <c r="FO33" s="236" t="str">
        <f t="shared" si="185"/>
        <v>-</v>
      </c>
      <c r="FP33" s="236" t="str">
        <f t="shared" si="186"/>
        <v>-</v>
      </c>
      <c r="FQ33" s="236" t="str">
        <f t="shared" si="187"/>
        <v>-</v>
      </c>
      <c r="FR33" s="236" t="str">
        <f t="shared" si="188"/>
        <v>-</v>
      </c>
      <c r="FS33" s="236" t="str">
        <f t="shared" si="189"/>
        <v>-</v>
      </c>
      <c r="FT33" s="236" t="str">
        <f t="shared" si="190"/>
        <v>-</v>
      </c>
      <c r="FU33" s="236" t="str">
        <f t="shared" si="191"/>
        <v>-</v>
      </c>
      <c r="FV33" s="236" t="str">
        <f t="shared" si="192"/>
        <v>-</v>
      </c>
      <c r="FW33" s="236" t="str">
        <f t="shared" si="193"/>
        <v>-</v>
      </c>
      <c r="FX33" s="236" t="str">
        <f t="shared" si="194"/>
        <v>-</v>
      </c>
      <c r="FY33" s="236" t="str">
        <f t="shared" si="195"/>
        <v>-</v>
      </c>
      <c r="FZ33" s="236" t="str">
        <f t="shared" si="196"/>
        <v>-</v>
      </c>
      <c r="GA33" s="236" t="str">
        <f t="shared" si="197"/>
        <v>-</v>
      </c>
      <c r="GB33" s="236" t="str">
        <f t="shared" si="155"/>
        <v>-</v>
      </c>
      <c r="GC33" s="236" t="str">
        <f t="shared" si="156"/>
        <v>-</v>
      </c>
      <c r="GD33" s="236" t="str">
        <f t="shared" si="157"/>
        <v>-</v>
      </c>
      <c r="GE33" s="236" t="str">
        <f t="shared" si="158"/>
        <v>-</v>
      </c>
      <c r="GF33" s="236" t="str">
        <f t="shared" si="232"/>
        <v>-</v>
      </c>
      <c r="GG33" s="236" t="str">
        <f t="shared" si="233"/>
        <v>-</v>
      </c>
      <c r="GH33" s="236" t="str">
        <f t="shared" si="234"/>
        <v>-</v>
      </c>
      <c r="GI33" s="236" t="str">
        <f t="shared" si="235"/>
        <v>-</v>
      </c>
      <c r="GJ33" s="236" t="str">
        <f t="shared" si="236"/>
        <v>-</v>
      </c>
      <c r="GK33" s="236" t="str">
        <f t="shared" si="237"/>
        <v>-</v>
      </c>
      <c r="GL33" s="236" t="str">
        <f t="shared" si="238"/>
        <v>-</v>
      </c>
      <c r="GM33" s="236" t="str">
        <f t="shared" si="239"/>
        <v>-</v>
      </c>
      <c r="GN33" s="236" t="str">
        <f t="shared" si="240"/>
        <v>-</v>
      </c>
      <c r="GO33" s="236" t="str">
        <f t="shared" si="241"/>
        <v>-</v>
      </c>
      <c r="GP33" s="236" t="str">
        <f t="shared" si="242"/>
        <v>-</v>
      </c>
      <c r="GQ33" s="236" t="str">
        <f t="shared" si="243"/>
        <v>-</v>
      </c>
      <c r="GR33" s="236" t="str">
        <f t="shared" si="244"/>
        <v>-</v>
      </c>
      <c r="GS33" s="236" t="str">
        <f t="shared" si="245"/>
        <v>-</v>
      </c>
      <c r="GT33" s="236" t="str">
        <f t="shared" si="246"/>
        <v>-</v>
      </c>
      <c r="GU33" s="236" t="str">
        <f t="shared" si="226"/>
        <v>-</v>
      </c>
      <c r="GV33" s="236" t="str">
        <f t="shared" si="247"/>
        <v>-</v>
      </c>
      <c r="GW33" s="236" t="str">
        <f t="shared" si="248"/>
        <v>-</v>
      </c>
      <c r="GX33" s="236" t="str">
        <f t="shared" si="249"/>
        <v>-</v>
      </c>
      <c r="GY33" s="236" t="str">
        <f t="shared" si="250"/>
        <v>-</v>
      </c>
      <c r="GZ33" s="236" t="str">
        <f t="shared" si="251"/>
        <v>-</v>
      </c>
      <c r="HA33" s="236" t="str">
        <f t="shared" si="252"/>
        <v>-</v>
      </c>
      <c r="HB33" s="236" t="str">
        <f t="shared" si="253"/>
        <v>-</v>
      </c>
      <c r="HC33" s="236" t="str">
        <f t="shared" si="254"/>
        <v>-</v>
      </c>
      <c r="HD33" s="236" t="str">
        <f t="shared" si="255"/>
        <v>-</v>
      </c>
      <c r="HE33" s="236" t="str">
        <f t="shared" si="256"/>
        <v>-</v>
      </c>
      <c r="HF33" s="236" t="str">
        <f t="shared" si="257"/>
        <v>-</v>
      </c>
      <c r="HG33" s="236" t="str">
        <f t="shared" si="258"/>
        <v>-</v>
      </c>
      <c r="HH33" s="236" t="str">
        <f t="shared" si="259"/>
        <v>-</v>
      </c>
      <c r="HI33" s="236" t="str">
        <f t="shared" si="260"/>
        <v>-</v>
      </c>
      <c r="HJ33" s="236" t="str">
        <f t="shared" si="261"/>
        <v>-</v>
      </c>
      <c r="HK33" s="236" t="str">
        <f t="shared" si="228"/>
        <v>-</v>
      </c>
      <c r="HL33" s="236" t="str">
        <f t="shared" si="262"/>
        <v>-</v>
      </c>
      <c r="HM33" s="236" t="str">
        <f t="shared" si="263"/>
        <v>-</v>
      </c>
      <c r="HN33" s="236" t="str">
        <f t="shared" si="264"/>
        <v>-</v>
      </c>
      <c r="HO33" s="236" t="str">
        <f t="shared" si="265"/>
        <v>-</v>
      </c>
      <c r="HP33" s="236" t="str">
        <f t="shared" si="266"/>
        <v>-</v>
      </c>
      <c r="HQ33" s="236" t="str">
        <f t="shared" si="267"/>
        <v>-</v>
      </c>
      <c r="HR33" s="236" t="str">
        <f t="shared" si="268"/>
        <v>-</v>
      </c>
      <c r="HS33" s="236" t="str">
        <f t="shared" si="269"/>
        <v>-</v>
      </c>
      <c r="HT33" s="236" t="str">
        <f t="shared" si="270"/>
        <v>-</v>
      </c>
      <c r="HU33" s="236" t="str">
        <f t="shared" si="271"/>
        <v>-</v>
      </c>
      <c r="HV33" s="236" t="str">
        <f t="shared" si="272"/>
        <v>-</v>
      </c>
      <c r="HW33" s="236" t="str">
        <f t="shared" si="273"/>
        <v>-</v>
      </c>
      <c r="HX33" s="236" t="str">
        <f t="shared" si="274"/>
        <v>-</v>
      </c>
      <c r="HY33" s="236" t="str">
        <f t="shared" si="275"/>
        <v>-</v>
      </c>
      <c r="HZ33" s="236" t="str">
        <f t="shared" si="276"/>
        <v>-</v>
      </c>
      <c r="IA33" s="236" t="str">
        <f t="shared" si="230"/>
        <v>-</v>
      </c>
      <c r="IB33" s="236" t="str">
        <f t="shared" si="277"/>
        <v>-</v>
      </c>
      <c r="IC33" s="236" t="str">
        <f t="shared" si="278"/>
        <v>-</v>
      </c>
      <c r="ID33" s="236" t="str">
        <f t="shared" si="279"/>
        <v>-</v>
      </c>
      <c r="IE33" s="236" t="str">
        <f t="shared" si="68"/>
        <v>-</v>
      </c>
      <c r="IF33" s="236" t="str">
        <f t="shared" si="69"/>
        <v>-</v>
      </c>
      <c r="IG33" s="306">
        <f t="shared" si="70"/>
        <v>24.026184465578051</v>
      </c>
      <c r="IH33" s="44">
        <f t="shared" si="204"/>
        <v>44.92429883335614</v>
      </c>
      <c r="II33" s="44">
        <f t="shared" si="205"/>
        <v>37.814033811653793</v>
      </c>
      <c r="IJ33" s="44">
        <f t="shared" si="206"/>
        <v>31.009864600707122</v>
      </c>
      <c r="IK33" s="44">
        <f t="shared" si="207"/>
        <v>1.0399521551489037</v>
      </c>
      <c r="IL33" s="44">
        <f t="shared" si="208"/>
        <v>0.77753860959319643</v>
      </c>
      <c r="IM33" s="306" t="str">
        <f t="shared" si="76"/>
        <v/>
      </c>
      <c r="IN33" s="44" t="str">
        <f t="shared" si="209"/>
        <v/>
      </c>
      <c r="IO33" s="44" t="str">
        <f t="shared" si="210"/>
        <v/>
      </c>
      <c r="IP33" s="44" t="str">
        <f t="shared" si="211"/>
        <v/>
      </c>
      <c r="IQ33" s="44" t="str">
        <f t="shared" si="212"/>
        <v/>
      </c>
      <c r="IR33" s="44" t="str">
        <f t="shared" si="213"/>
        <v/>
      </c>
      <c r="IS33" s="306" t="str">
        <f t="shared" si="82"/>
        <v/>
      </c>
      <c r="IT33" s="44" t="str">
        <f t="shared" si="214"/>
        <v/>
      </c>
      <c r="IU33" s="44" t="str">
        <f t="shared" si="215"/>
        <v/>
      </c>
      <c r="IV33" s="44" t="str">
        <f t="shared" si="216"/>
        <v/>
      </c>
      <c r="IW33" s="44" t="str">
        <f t="shared" si="217"/>
        <v/>
      </c>
      <c r="IX33" s="44" t="str">
        <f t="shared" si="218"/>
        <v/>
      </c>
      <c r="IY33" s="306" t="str">
        <f t="shared" si="88"/>
        <v/>
      </c>
      <c r="IZ33" s="44" t="str">
        <f t="shared" si="219"/>
        <v/>
      </c>
      <c r="JA33" s="44" t="str">
        <f t="shared" si="220"/>
        <v/>
      </c>
      <c r="JB33" s="44" t="str">
        <f t="shared" si="221"/>
        <v/>
      </c>
      <c r="JC33" s="44" t="str">
        <f t="shared" si="222"/>
        <v/>
      </c>
      <c r="JD33" s="307" t="str">
        <f t="shared" si="223"/>
        <v/>
      </c>
      <c r="JF33" s="66">
        <f t="shared" si="224"/>
        <v>33</v>
      </c>
      <c r="JG33" s="66">
        <f t="shared" ca="1" si="95"/>
        <v>37.814033811653793</v>
      </c>
      <c r="JH33" s="66">
        <f t="shared" ca="1" si="96"/>
        <v>31.009864600707122</v>
      </c>
      <c r="JI33" s="66">
        <f t="shared" ca="1" si="97"/>
        <v>1.0399521551489037</v>
      </c>
      <c r="JJ33" s="66">
        <f t="shared" ca="1" si="98"/>
        <v>5</v>
      </c>
      <c r="JK33" s="33"/>
      <c r="JL33" s="74">
        <f t="shared" ca="1" si="121"/>
        <v>37.814033811653793</v>
      </c>
      <c r="JM33" s="75">
        <f t="shared" ca="1" si="99"/>
        <v>34.411949206180459</v>
      </c>
      <c r="JN33" s="75">
        <f t="shared" ca="1" si="100"/>
        <v>16.024908377928014</v>
      </c>
      <c r="JO33" s="74">
        <f t="shared" ca="1" si="122"/>
        <v>1.0399521551489037</v>
      </c>
      <c r="JP33" s="74">
        <f t="shared" ca="1" si="123"/>
        <v>89.290843550911177</v>
      </c>
    </row>
    <row r="34" spans="1:276" s="1" customFormat="1" x14ac:dyDescent="0.35">
      <c r="A34" s="125" t="s">
        <v>805</v>
      </c>
      <c r="B34" s="125" t="s">
        <v>805</v>
      </c>
      <c r="C34" s="125" t="s">
        <v>805</v>
      </c>
      <c r="D34" s="163"/>
      <c r="E34" s="250"/>
      <c r="F34" s="249" t="s">
        <v>705</v>
      </c>
      <c r="G34" s="250"/>
      <c r="H34" s="251"/>
      <c r="I34" s="251"/>
      <c r="J34" s="251" t="s">
        <v>805</v>
      </c>
      <c r="K34" s="251" t="s">
        <v>805</v>
      </c>
      <c r="L34" s="251" t="s">
        <v>805</v>
      </c>
      <c r="M34" s="251" t="s">
        <v>805</v>
      </c>
      <c r="N34" s="251" t="s">
        <v>805</v>
      </c>
      <c r="O34" s="251" t="s">
        <v>805</v>
      </c>
      <c r="P34" s="251" t="s">
        <v>805</v>
      </c>
      <c r="Q34" s="251" t="s">
        <v>805</v>
      </c>
      <c r="R34" s="251" t="s">
        <v>805</v>
      </c>
      <c r="S34" s="251" t="s">
        <v>805</v>
      </c>
      <c r="T34" s="251" t="s">
        <v>805</v>
      </c>
      <c r="U34" s="251" t="s">
        <v>805</v>
      </c>
      <c r="V34" s="251" t="s">
        <v>805</v>
      </c>
      <c r="W34" s="251" t="s">
        <v>805</v>
      </c>
      <c r="X34" s="251" t="s">
        <v>805</v>
      </c>
      <c r="Y34" s="251" t="s">
        <v>805</v>
      </c>
      <c r="Z34" s="251" t="s">
        <v>805</v>
      </c>
      <c r="AA34" s="251" t="s">
        <v>805</v>
      </c>
      <c r="AB34" s="251" t="s">
        <v>805</v>
      </c>
      <c r="AC34" s="251" t="s">
        <v>805</v>
      </c>
      <c r="AD34" s="251" t="s">
        <v>805</v>
      </c>
      <c r="AE34" s="251" t="s">
        <v>805</v>
      </c>
      <c r="AF34" s="251" t="s">
        <v>805</v>
      </c>
      <c r="AG34" s="251" t="s">
        <v>805</v>
      </c>
      <c r="AH34" s="251" t="s">
        <v>805</v>
      </c>
      <c r="AI34" s="251" t="s">
        <v>805</v>
      </c>
      <c r="AJ34" s="251" t="s">
        <v>805</v>
      </c>
      <c r="AK34" s="251" t="s">
        <v>805</v>
      </c>
      <c r="AL34" s="251" t="s">
        <v>805</v>
      </c>
      <c r="AM34" s="251" t="s">
        <v>805</v>
      </c>
      <c r="AN34" s="251" t="s">
        <v>805</v>
      </c>
      <c r="AO34" s="251" t="s">
        <v>805</v>
      </c>
      <c r="AP34" s="251" t="s">
        <v>805</v>
      </c>
      <c r="AQ34" s="251" t="s">
        <v>805</v>
      </c>
      <c r="AR34" s="251" t="s">
        <v>805</v>
      </c>
      <c r="AS34" s="251" t="s">
        <v>805</v>
      </c>
      <c r="AT34" s="251" t="s">
        <v>805</v>
      </c>
      <c r="AU34" s="251" t="s">
        <v>805</v>
      </c>
      <c r="AV34" s="251" t="s">
        <v>805</v>
      </c>
      <c r="AW34" s="251" t="s">
        <v>805</v>
      </c>
      <c r="AX34" s="251" t="s">
        <v>805</v>
      </c>
      <c r="AY34" s="251" t="s">
        <v>805</v>
      </c>
      <c r="AZ34" s="251" t="s">
        <v>805</v>
      </c>
      <c r="BA34" s="251" t="s">
        <v>805</v>
      </c>
      <c r="BB34" s="251" t="s">
        <v>805</v>
      </c>
      <c r="BC34" s="251" t="s">
        <v>805</v>
      </c>
      <c r="BD34" s="251" t="s">
        <v>805</v>
      </c>
      <c r="BE34" s="251" t="s">
        <v>805</v>
      </c>
      <c r="BF34" s="251" t="s">
        <v>805</v>
      </c>
      <c r="BG34" s="251" t="s">
        <v>805</v>
      </c>
      <c r="BH34" s="251" t="s">
        <v>805</v>
      </c>
      <c r="BI34" s="251" t="s">
        <v>805</v>
      </c>
      <c r="BJ34" s="251" t="s">
        <v>805</v>
      </c>
      <c r="BK34" s="251" t="s">
        <v>805</v>
      </c>
      <c r="BL34" s="251" t="s">
        <v>805</v>
      </c>
      <c r="BM34" s="251" t="s">
        <v>805</v>
      </c>
      <c r="BN34" s="251" t="s">
        <v>805</v>
      </c>
      <c r="BO34" s="251" t="s">
        <v>805</v>
      </c>
      <c r="BP34" s="251" t="s">
        <v>805</v>
      </c>
      <c r="BQ34" s="251" t="s">
        <v>805</v>
      </c>
      <c r="BR34" s="251" t="s">
        <v>805</v>
      </c>
      <c r="BS34" s="251" t="s">
        <v>805</v>
      </c>
      <c r="BT34" s="251" t="s">
        <v>805</v>
      </c>
      <c r="BU34" s="251" t="s">
        <v>805</v>
      </c>
      <c r="BV34" s="251" t="s">
        <v>805</v>
      </c>
      <c r="BW34" s="251" t="s">
        <v>805</v>
      </c>
      <c r="BX34" s="251" t="s">
        <v>805</v>
      </c>
      <c r="BY34" s="251" t="s">
        <v>805</v>
      </c>
      <c r="BZ34" s="251" t="s">
        <v>805</v>
      </c>
      <c r="CA34" s="251" t="s">
        <v>805</v>
      </c>
      <c r="CB34" s="251" t="s">
        <v>805</v>
      </c>
      <c r="CC34" s="251" t="s">
        <v>805</v>
      </c>
      <c r="CD34" s="251" t="s">
        <v>805</v>
      </c>
      <c r="CE34" s="251" t="s">
        <v>805</v>
      </c>
      <c r="CF34" s="251" t="s">
        <v>805</v>
      </c>
      <c r="CG34" s="251" t="s">
        <v>805</v>
      </c>
      <c r="CH34" s="251" t="s">
        <v>805</v>
      </c>
      <c r="CI34" s="251" t="s">
        <v>805</v>
      </c>
      <c r="CJ34" s="251" t="s">
        <v>805</v>
      </c>
      <c r="CK34" s="251" t="s">
        <v>805</v>
      </c>
      <c r="CL34" s="251" t="s">
        <v>805</v>
      </c>
      <c r="CM34" s="251" t="s">
        <v>805</v>
      </c>
      <c r="CN34" s="251" t="s">
        <v>805</v>
      </c>
      <c r="CO34" s="251" t="s">
        <v>805</v>
      </c>
      <c r="CP34" s="251" t="s">
        <v>805</v>
      </c>
      <c r="CQ34" s="251" t="s">
        <v>805</v>
      </c>
      <c r="CR34" s="251" t="s">
        <v>805</v>
      </c>
      <c r="CS34" s="251" t="s">
        <v>805</v>
      </c>
      <c r="CT34" s="251" t="s">
        <v>805</v>
      </c>
      <c r="CU34" s="251" t="s">
        <v>805</v>
      </c>
      <c r="CV34" s="251" t="s">
        <v>805</v>
      </c>
      <c r="CW34" s="251" t="s">
        <v>805</v>
      </c>
      <c r="CX34" s="251" t="s">
        <v>805</v>
      </c>
      <c r="CY34" s="251" t="s">
        <v>805</v>
      </c>
      <c r="CZ34" s="251" t="s">
        <v>805</v>
      </c>
      <c r="DA34" s="251" t="s">
        <v>805</v>
      </c>
      <c r="DB34" s="251" t="s">
        <v>805</v>
      </c>
      <c r="DC34" s="251" t="s">
        <v>805</v>
      </c>
      <c r="DD34" s="251" t="s">
        <v>805</v>
      </c>
      <c r="DE34" s="251" t="s">
        <v>805</v>
      </c>
      <c r="DF34" s="251" t="s">
        <v>805</v>
      </c>
      <c r="DG34" s="251"/>
      <c r="DH34" s="251"/>
      <c r="DI34" s="251"/>
      <c r="DJ34" s="251"/>
      <c r="DK34" s="251"/>
      <c r="DL34" s="251"/>
      <c r="DM34" s="251"/>
      <c r="DN34" s="275"/>
      <c r="DO34" s="251"/>
      <c r="DP34" s="251"/>
      <c r="DQ34" s="251"/>
      <c r="DR34" s="251"/>
      <c r="DS34" s="251"/>
      <c r="DT34" s="251"/>
      <c r="DU34" s="275"/>
      <c r="DV34" s="251"/>
      <c r="DW34" s="251"/>
      <c r="DX34" s="251"/>
      <c r="DY34" s="251"/>
      <c r="DZ34" s="251"/>
      <c r="EA34" s="251"/>
      <c r="EB34" s="275"/>
      <c r="EC34" s="251"/>
      <c r="ED34" s="251"/>
      <c r="EE34" s="251"/>
      <c r="EF34" s="251"/>
      <c r="EG34" s="251"/>
      <c r="EH34" s="251"/>
      <c r="EI34" s="251"/>
      <c r="EJ34" s="251"/>
      <c r="EK34" s="251"/>
      <c r="EL34" s="251"/>
      <c r="EM34" s="251"/>
      <c r="EN34" s="251"/>
      <c r="EO34" s="251"/>
      <c r="EP34" s="251"/>
      <c r="EQ34" s="251"/>
      <c r="ER34" s="251"/>
      <c r="ES34" s="251"/>
      <c r="ET34" s="251"/>
      <c r="EU34" s="251"/>
      <c r="EV34" s="251"/>
      <c r="EW34" s="251"/>
      <c r="EX34" s="251"/>
      <c r="EY34" s="251"/>
      <c r="EZ34" s="251"/>
      <c r="FA34" s="251"/>
      <c r="FB34" s="251"/>
      <c r="FC34" s="251"/>
      <c r="FD34" s="251"/>
      <c r="FE34" s="251"/>
      <c r="FF34" s="251"/>
      <c r="FG34" s="251"/>
      <c r="FH34" s="251"/>
      <c r="FI34" s="251"/>
      <c r="FJ34" s="251"/>
      <c r="FK34" s="251"/>
      <c r="FL34" s="251"/>
      <c r="FM34" s="251"/>
      <c r="FN34" s="251"/>
      <c r="FO34" s="251"/>
      <c r="FP34" s="251"/>
      <c r="FQ34" s="251"/>
      <c r="FR34" s="251"/>
      <c r="FS34" s="251"/>
      <c r="FT34" s="251"/>
      <c r="FU34" s="251"/>
      <c r="FV34" s="251"/>
      <c r="FW34" s="251"/>
      <c r="FX34" s="251"/>
      <c r="FY34" s="251"/>
      <c r="FZ34" s="251"/>
      <c r="GA34" s="251"/>
      <c r="GB34" s="251"/>
      <c r="GC34" s="251"/>
      <c r="GD34" s="251"/>
      <c r="GE34" s="251"/>
      <c r="GF34" s="251"/>
      <c r="GG34" s="251"/>
      <c r="GH34" s="251"/>
      <c r="GI34" s="251"/>
      <c r="GJ34" s="251"/>
      <c r="GK34" s="251"/>
      <c r="GL34" s="251"/>
      <c r="GM34" s="251"/>
      <c r="GN34" s="251"/>
      <c r="GO34" s="251"/>
      <c r="GP34" s="251"/>
      <c r="GQ34" s="251"/>
      <c r="GR34" s="251"/>
      <c r="GS34" s="251"/>
      <c r="GT34" s="251"/>
      <c r="GU34" s="251"/>
      <c r="GV34" s="251"/>
      <c r="GW34" s="251"/>
      <c r="GX34" s="251"/>
      <c r="GY34" s="251"/>
      <c r="GZ34" s="251"/>
      <c r="HA34" s="251"/>
      <c r="HB34" s="251"/>
      <c r="HC34" s="251"/>
      <c r="HD34" s="251"/>
      <c r="HE34" s="251"/>
      <c r="HF34" s="251"/>
      <c r="HG34" s="251"/>
      <c r="HH34" s="251"/>
      <c r="HI34" s="251"/>
      <c r="HJ34" s="251"/>
      <c r="HK34" s="251"/>
      <c r="HL34" s="251"/>
      <c r="HM34" s="251"/>
      <c r="HN34" s="251"/>
      <c r="HO34" s="251"/>
      <c r="HP34" s="251"/>
      <c r="HQ34" s="251"/>
      <c r="HR34" s="251"/>
      <c r="HS34" s="251"/>
      <c r="HT34" s="251"/>
      <c r="HU34" s="251"/>
      <c r="HV34" s="251"/>
      <c r="HW34" s="251"/>
      <c r="HX34" s="251"/>
      <c r="HY34" s="251"/>
      <c r="HZ34" s="251"/>
      <c r="IA34" s="251"/>
      <c r="IB34" s="251"/>
      <c r="IC34" s="251"/>
      <c r="ID34" s="251"/>
      <c r="IE34" s="251"/>
      <c r="IF34" s="251"/>
      <c r="IG34" s="310"/>
      <c r="IH34" s="251"/>
      <c r="II34" s="251"/>
      <c r="IJ34" s="251"/>
      <c r="IK34" s="251"/>
      <c r="IL34" s="251"/>
      <c r="IM34" s="310"/>
      <c r="IN34" s="251"/>
      <c r="IO34" s="251"/>
      <c r="IP34" s="251"/>
      <c r="IQ34" s="251"/>
      <c r="IR34" s="251"/>
      <c r="IS34" s="310"/>
      <c r="IT34" s="251"/>
      <c r="IU34" s="251"/>
      <c r="IV34" s="251"/>
      <c r="IW34" s="251"/>
      <c r="IX34" s="251"/>
      <c r="IY34" s="310"/>
      <c r="IZ34" s="251"/>
      <c r="JA34" s="251"/>
      <c r="JB34" s="251"/>
      <c r="JC34" s="251"/>
      <c r="JD34" s="311"/>
      <c r="JF34" s="66"/>
      <c r="JG34" s="66"/>
      <c r="JH34" s="66"/>
      <c r="JI34" s="66"/>
      <c r="JJ34" s="66"/>
      <c r="JK34" s="33"/>
      <c r="JL34" s="74"/>
      <c r="JM34" s="75"/>
      <c r="JN34" s="75"/>
      <c r="JO34" s="74"/>
      <c r="JP34" s="74"/>
    </row>
    <row r="35" spans="1:276" s="1" customFormat="1" x14ac:dyDescent="0.35">
      <c r="A35" s="125">
        <v>0</v>
      </c>
      <c r="B35" s="125">
        <v>1</v>
      </c>
      <c r="C35" s="125">
        <v>1</v>
      </c>
      <c r="E35" s="142" t="s">
        <v>58</v>
      </c>
      <c r="F35" s="208" t="s">
        <v>59</v>
      </c>
      <c r="G35" s="209" t="s">
        <v>542</v>
      </c>
      <c r="H35" s="210" t="s">
        <v>533</v>
      </c>
      <c r="I35" s="8" t="s">
        <v>534</v>
      </c>
      <c r="J35" s="211">
        <v>0.49589041095890413</v>
      </c>
      <c r="K35" s="215">
        <v>0.46111111111111114</v>
      </c>
      <c r="L35" s="215">
        <v>0.50735294117647056</v>
      </c>
      <c r="M35" s="215">
        <v>0.59183673469387754</v>
      </c>
      <c r="N35" s="215" t="s">
        <v>805</v>
      </c>
      <c r="O35" s="215" t="s">
        <v>805</v>
      </c>
      <c r="P35" s="215" t="s">
        <v>805</v>
      </c>
      <c r="Q35" s="215" t="s">
        <v>805</v>
      </c>
      <c r="R35" s="215" t="s">
        <v>805</v>
      </c>
      <c r="S35" s="215" t="s">
        <v>805</v>
      </c>
      <c r="T35" s="215" t="s">
        <v>805</v>
      </c>
      <c r="U35" s="215" t="s">
        <v>805</v>
      </c>
      <c r="V35" s="215" t="s">
        <v>805</v>
      </c>
      <c r="W35" s="215" t="s">
        <v>805</v>
      </c>
      <c r="X35" s="215" t="s">
        <v>805</v>
      </c>
      <c r="Y35" s="215" t="s">
        <v>805</v>
      </c>
      <c r="Z35" s="215" t="s">
        <v>805</v>
      </c>
      <c r="AA35" s="215" t="s">
        <v>805</v>
      </c>
      <c r="AB35" s="215" t="s">
        <v>805</v>
      </c>
      <c r="AC35" s="215" t="s">
        <v>805</v>
      </c>
      <c r="AD35" s="215" t="s">
        <v>805</v>
      </c>
      <c r="AE35" s="215" t="s">
        <v>805</v>
      </c>
      <c r="AF35" s="215" t="s">
        <v>805</v>
      </c>
      <c r="AG35" s="215" t="s">
        <v>805</v>
      </c>
      <c r="AH35" s="215" t="s">
        <v>805</v>
      </c>
      <c r="AI35" s="215" t="s">
        <v>805</v>
      </c>
      <c r="AJ35" s="215" t="s">
        <v>805</v>
      </c>
      <c r="AK35" s="215" t="s">
        <v>805</v>
      </c>
      <c r="AL35" s="215" t="s">
        <v>805</v>
      </c>
      <c r="AM35" s="215" t="s">
        <v>805</v>
      </c>
      <c r="AN35" s="215" t="s">
        <v>805</v>
      </c>
      <c r="AO35" s="215" t="s">
        <v>805</v>
      </c>
      <c r="AP35" s="215" t="s">
        <v>805</v>
      </c>
      <c r="AQ35" s="215" t="s">
        <v>805</v>
      </c>
      <c r="AR35" s="215" t="s">
        <v>805</v>
      </c>
      <c r="AS35" s="215" t="s">
        <v>805</v>
      </c>
      <c r="AT35" s="215" t="s">
        <v>805</v>
      </c>
      <c r="AU35" s="215" t="s">
        <v>805</v>
      </c>
      <c r="AV35" s="215" t="s">
        <v>805</v>
      </c>
      <c r="AW35" s="215" t="s">
        <v>805</v>
      </c>
      <c r="AX35" s="215" t="s">
        <v>805</v>
      </c>
      <c r="AY35" s="215" t="s">
        <v>805</v>
      </c>
      <c r="AZ35" s="215" t="s">
        <v>805</v>
      </c>
      <c r="BA35" s="215" t="s">
        <v>805</v>
      </c>
      <c r="BB35" s="215" t="s">
        <v>805</v>
      </c>
      <c r="BC35" s="215" t="s">
        <v>805</v>
      </c>
      <c r="BD35" s="215" t="s">
        <v>805</v>
      </c>
      <c r="BE35" s="215" t="s">
        <v>805</v>
      </c>
      <c r="BF35" s="215" t="s">
        <v>805</v>
      </c>
      <c r="BG35" s="215" t="s">
        <v>805</v>
      </c>
      <c r="BH35" s="215" t="s">
        <v>805</v>
      </c>
      <c r="BI35" s="215" t="s">
        <v>805</v>
      </c>
      <c r="BJ35" s="215" t="s">
        <v>805</v>
      </c>
      <c r="BK35" s="215" t="s">
        <v>805</v>
      </c>
      <c r="BL35" s="215" t="s">
        <v>805</v>
      </c>
      <c r="BM35" s="215" t="s">
        <v>805</v>
      </c>
      <c r="BN35" s="215" t="s">
        <v>805</v>
      </c>
      <c r="BO35" s="215" t="s">
        <v>805</v>
      </c>
      <c r="BP35" s="215" t="s">
        <v>805</v>
      </c>
      <c r="BQ35" s="215" t="s">
        <v>805</v>
      </c>
      <c r="BR35" s="215" t="s">
        <v>805</v>
      </c>
      <c r="BS35" s="215" t="s">
        <v>805</v>
      </c>
      <c r="BT35" s="215" t="s">
        <v>805</v>
      </c>
      <c r="BU35" s="215" t="s">
        <v>805</v>
      </c>
      <c r="BV35" s="215" t="s">
        <v>805</v>
      </c>
      <c r="BW35" s="215" t="s">
        <v>805</v>
      </c>
      <c r="BX35" s="215" t="s">
        <v>805</v>
      </c>
      <c r="BY35" s="215" t="s">
        <v>805</v>
      </c>
      <c r="BZ35" s="215" t="s">
        <v>805</v>
      </c>
      <c r="CA35" s="215" t="s">
        <v>805</v>
      </c>
      <c r="CB35" s="215" t="s">
        <v>805</v>
      </c>
      <c r="CC35" s="215" t="s">
        <v>805</v>
      </c>
      <c r="CD35" s="215" t="s">
        <v>805</v>
      </c>
      <c r="CE35" s="215" t="s">
        <v>805</v>
      </c>
      <c r="CF35" s="215" t="s">
        <v>805</v>
      </c>
      <c r="CG35" s="215" t="s">
        <v>805</v>
      </c>
      <c r="CH35" s="215" t="s">
        <v>805</v>
      </c>
      <c r="CI35" s="215" t="s">
        <v>805</v>
      </c>
      <c r="CJ35" s="215" t="s">
        <v>805</v>
      </c>
      <c r="CK35" s="215" t="s">
        <v>805</v>
      </c>
      <c r="CL35" s="215" t="s">
        <v>805</v>
      </c>
      <c r="CM35" s="215" t="s">
        <v>805</v>
      </c>
      <c r="CN35" s="215" t="s">
        <v>805</v>
      </c>
      <c r="CO35" s="215" t="s">
        <v>805</v>
      </c>
      <c r="CP35" s="215" t="s">
        <v>805</v>
      </c>
      <c r="CQ35" s="215" t="s">
        <v>805</v>
      </c>
      <c r="CR35" s="215" t="s">
        <v>805</v>
      </c>
      <c r="CS35" s="215" t="s">
        <v>805</v>
      </c>
      <c r="CT35" s="215" t="s">
        <v>805</v>
      </c>
      <c r="CU35" s="215" t="s">
        <v>805</v>
      </c>
      <c r="CV35" s="215" t="s">
        <v>805</v>
      </c>
      <c r="CW35" s="215" t="s">
        <v>805</v>
      </c>
      <c r="CX35" s="215" t="s">
        <v>805</v>
      </c>
      <c r="CY35" s="215" t="s">
        <v>805</v>
      </c>
      <c r="CZ35" s="215" t="s">
        <v>805</v>
      </c>
      <c r="DA35" s="215" t="s">
        <v>805</v>
      </c>
      <c r="DB35" s="215" t="s">
        <v>805</v>
      </c>
      <c r="DC35" s="215" t="s">
        <v>805</v>
      </c>
      <c r="DD35" s="215" t="s">
        <v>805</v>
      </c>
      <c r="DE35" s="215" t="s">
        <v>805</v>
      </c>
      <c r="DF35" s="215" t="s">
        <v>805</v>
      </c>
      <c r="DG35" s="212">
        <f>VLOOKUP(E35,'KPI Count-SHARE'!A:F,3,0)</f>
        <v>15</v>
      </c>
      <c r="DH35" s="213">
        <v>0.59044236120003624</v>
      </c>
      <c r="DI35" s="216">
        <v>0.42401130955608368</v>
      </c>
      <c r="DJ35" s="216">
        <v>0.50161391971373381</v>
      </c>
      <c r="DK35" s="216">
        <v>0.58335287221570931</v>
      </c>
      <c r="DL35" s="216">
        <v>0.67770419426048556</v>
      </c>
      <c r="DM35" s="216">
        <v>0.73921573484604519</v>
      </c>
      <c r="DN35" s="212">
        <f>VLOOKUP(E35,'KPI Count-SHARE'!A:F,4,0)</f>
        <v>0</v>
      </c>
      <c r="DO35" s="213"/>
      <c r="DP35" s="216"/>
      <c r="DQ35" s="216"/>
      <c r="DR35" s="216"/>
      <c r="DS35" s="216"/>
      <c r="DT35" s="216"/>
      <c r="DU35" s="212">
        <f>VLOOKUP(E35,'KPI Count-SHARE'!A:F,5,0)</f>
        <v>0</v>
      </c>
      <c r="DV35" s="213"/>
      <c r="DW35" s="216"/>
      <c r="DX35" s="216"/>
      <c r="DY35" s="216"/>
      <c r="DZ35" s="216"/>
      <c r="EA35" s="216"/>
      <c r="EB35" s="212">
        <f>VLOOKUP(E35,'KPI Count-SHARE'!A:F,6,0)</f>
        <v>0</v>
      </c>
      <c r="EC35" s="213"/>
      <c r="ED35" s="216"/>
      <c r="EE35" s="216"/>
      <c r="EF35" s="216"/>
      <c r="EG35" s="216"/>
      <c r="EH35" s="216"/>
      <c r="EI35" s="214" t="s">
        <v>533</v>
      </c>
      <c r="EJ35" s="39">
        <f t="shared" si="101"/>
        <v>0.49589041095890413</v>
      </c>
      <c r="EK35" s="39">
        <f t="shared" si="102"/>
        <v>0.46111111111111114</v>
      </c>
      <c r="EL35" s="39">
        <f t="shared" si="103"/>
        <v>0.50735294117647056</v>
      </c>
      <c r="EM35" s="39">
        <f t="shared" si="104"/>
        <v>0.59183673469387754</v>
      </c>
      <c r="EN35" s="39" t="str">
        <f t="shared" si="105"/>
        <v/>
      </c>
      <c r="EO35" s="39" t="str">
        <f t="shared" si="106"/>
        <v/>
      </c>
      <c r="EP35" s="39" t="str">
        <f t="shared" si="107"/>
        <v/>
      </c>
      <c r="EQ35" s="39" t="str">
        <f t="shared" si="108"/>
        <v/>
      </c>
      <c r="ER35" s="39" t="str">
        <f t="shared" si="109"/>
        <v/>
      </c>
      <c r="ES35" s="39" t="str">
        <f t="shared" si="110"/>
        <v/>
      </c>
      <c r="ET35" s="39" t="str">
        <f t="shared" si="111"/>
        <v/>
      </c>
      <c r="EU35" s="39" t="str">
        <f t="shared" si="165"/>
        <v/>
      </c>
      <c r="EV35" s="39" t="str">
        <f t="shared" si="166"/>
        <v/>
      </c>
      <c r="EW35" s="39" t="str">
        <f t="shared" si="167"/>
        <v/>
      </c>
      <c r="EX35" s="39" t="str">
        <f t="shared" si="168"/>
        <v/>
      </c>
      <c r="EY35" s="39" t="str">
        <f t="shared" si="169"/>
        <v/>
      </c>
      <c r="EZ35" s="39" t="str">
        <f t="shared" si="170"/>
        <v/>
      </c>
      <c r="FA35" s="39" t="str">
        <f t="shared" si="171"/>
        <v/>
      </c>
      <c r="FB35" s="39" t="str">
        <f t="shared" si="172"/>
        <v/>
      </c>
      <c r="FC35" s="39" t="str">
        <f t="shared" si="173"/>
        <v/>
      </c>
      <c r="FD35" s="39" t="str">
        <f t="shared" si="174"/>
        <v/>
      </c>
      <c r="FE35" s="39" t="str">
        <f t="shared" si="175"/>
        <v/>
      </c>
      <c r="FF35" s="39" t="str">
        <f t="shared" si="176"/>
        <v/>
      </c>
      <c r="FG35" s="39" t="str">
        <f t="shared" si="177"/>
        <v/>
      </c>
      <c r="FH35" s="39" t="str">
        <f t="shared" si="178"/>
        <v/>
      </c>
      <c r="FI35" s="39" t="str">
        <f t="shared" si="179"/>
        <v/>
      </c>
      <c r="FJ35" s="39" t="str">
        <f t="shared" si="180"/>
        <v/>
      </c>
      <c r="FK35" s="39" t="str">
        <f t="shared" si="181"/>
        <v/>
      </c>
      <c r="FL35" s="39" t="str">
        <f t="shared" si="182"/>
        <v/>
      </c>
      <c r="FM35" s="39" t="str">
        <f t="shared" si="183"/>
        <v/>
      </c>
      <c r="FN35" s="39" t="str">
        <f t="shared" si="184"/>
        <v/>
      </c>
      <c r="FO35" s="39" t="str">
        <f t="shared" si="185"/>
        <v/>
      </c>
      <c r="FP35" s="39" t="str">
        <f t="shared" si="186"/>
        <v/>
      </c>
      <c r="FQ35" s="39" t="str">
        <f t="shared" si="187"/>
        <v/>
      </c>
      <c r="FR35" s="39" t="str">
        <f t="shared" si="188"/>
        <v/>
      </c>
      <c r="FS35" s="39" t="str">
        <f t="shared" si="189"/>
        <v/>
      </c>
      <c r="FT35" s="39" t="str">
        <f t="shared" si="190"/>
        <v/>
      </c>
      <c r="FU35" s="39" t="str">
        <f t="shared" si="191"/>
        <v/>
      </c>
      <c r="FV35" s="39" t="str">
        <f t="shared" si="192"/>
        <v/>
      </c>
      <c r="FW35" s="39" t="str">
        <f t="shared" si="193"/>
        <v/>
      </c>
      <c r="FX35" s="39" t="str">
        <f t="shared" si="194"/>
        <v/>
      </c>
      <c r="FY35" s="39" t="str">
        <f t="shared" si="195"/>
        <v/>
      </c>
      <c r="FZ35" s="39" t="str">
        <f t="shared" si="196"/>
        <v/>
      </c>
      <c r="GA35" s="39" t="str">
        <f t="shared" si="197"/>
        <v/>
      </c>
      <c r="GB35" s="39" t="str">
        <f t="shared" si="155"/>
        <v/>
      </c>
      <c r="GC35" s="39" t="str">
        <f t="shared" si="156"/>
        <v/>
      </c>
      <c r="GD35" s="39" t="str">
        <f t="shared" si="157"/>
        <v/>
      </c>
      <c r="GE35" s="39" t="str">
        <f t="shared" si="158"/>
        <v/>
      </c>
      <c r="GF35" s="39" t="str">
        <f t="shared" si="232"/>
        <v/>
      </c>
      <c r="GG35" s="39" t="str">
        <f t="shared" si="233"/>
        <v/>
      </c>
      <c r="GH35" s="39" t="str">
        <f t="shared" si="234"/>
        <v/>
      </c>
      <c r="GI35" s="39" t="str">
        <f t="shared" si="235"/>
        <v/>
      </c>
      <c r="GJ35" s="39" t="str">
        <f t="shared" si="236"/>
        <v/>
      </c>
      <c r="GK35" s="39" t="str">
        <f t="shared" si="237"/>
        <v/>
      </c>
      <c r="GL35" s="39" t="str">
        <f t="shared" si="238"/>
        <v/>
      </c>
      <c r="GM35" s="39" t="str">
        <f t="shared" si="239"/>
        <v/>
      </c>
      <c r="GN35" s="39" t="str">
        <f t="shared" si="240"/>
        <v/>
      </c>
      <c r="GO35" s="39" t="str">
        <f t="shared" si="241"/>
        <v/>
      </c>
      <c r="GP35" s="39" t="str">
        <f t="shared" si="242"/>
        <v/>
      </c>
      <c r="GQ35" s="39" t="str">
        <f t="shared" si="243"/>
        <v/>
      </c>
      <c r="GR35" s="39" t="str">
        <f t="shared" si="244"/>
        <v/>
      </c>
      <c r="GS35" s="39" t="str">
        <f t="shared" si="245"/>
        <v/>
      </c>
      <c r="GT35" s="39" t="str">
        <f t="shared" si="246"/>
        <v/>
      </c>
      <c r="GU35" s="39" t="str">
        <f t="shared" si="226"/>
        <v/>
      </c>
      <c r="GV35" s="39" t="str">
        <f t="shared" si="247"/>
        <v/>
      </c>
      <c r="GW35" s="39" t="str">
        <f t="shared" si="248"/>
        <v/>
      </c>
      <c r="GX35" s="39" t="str">
        <f t="shared" si="249"/>
        <v/>
      </c>
      <c r="GY35" s="39" t="str">
        <f t="shared" si="250"/>
        <v/>
      </c>
      <c r="GZ35" s="39" t="str">
        <f t="shared" si="251"/>
        <v/>
      </c>
      <c r="HA35" s="39" t="str">
        <f t="shared" si="252"/>
        <v/>
      </c>
      <c r="HB35" s="39" t="str">
        <f t="shared" si="253"/>
        <v/>
      </c>
      <c r="HC35" s="39" t="str">
        <f t="shared" si="254"/>
        <v/>
      </c>
      <c r="HD35" s="39" t="str">
        <f t="shared" si="255"/>
        <v/>
      </c>
      <c r="HE35" s="39" t="str">
        <f t="shared" si="256"/>
        <v/>
      </c>
      <c r="HF35" s="39" t="str">
        <f t="shared" si="257"/>
        <v/>
      </c>
      <c r="HG35" s="39" t="str">
        <f t="shared" si="258"/>
        <v/>
      </c>
      <c r="HH35" s="39" t="str">
        <f t="shared" si="259"/>
        <v/>
      </c>
      <c r="HI35" s="39" t="str">
        <f t="shared" si="260"/>
        <v/>
      </c>
      <c r="HJ35" s="39" t="str">
        <f t="shared" si="261"/>
        <v/>
      </c>
      <c r="HK35" s="39" t="str">
        <f t="shared" si="228"/>
        <v/>
      </c>
      <c r="HL35" s="39" t="str">
        <f t="shared" si="262"/>
        <v/>
      </c>
      <c r="HM35" s="39" t="str">
        <f t="shared" si="263"/>
        <v/>
      </c>
      <c r="HN35" s="39" t="str">
        <f t="shared" si="264"/>
        <v/>
      </c>
      <c r="HO35" s="39" t="str">
        <f t="shared" si="265"/>
        <v/>
      </c>
      <c r="HP35" s="39" t="str">
        <f t="shared" si="266"/>
        <v/>
      </c>
      <c r="HQ35" s="39" t="str">
        <f t="shared" si="267"/>
        <v/>
      </c>
      <c r="HR35" s="39" t="str">
        <f t="shared" si="268"/>
        <v/>
      </c>
      <c r="HS35" s="39" t="str">
        <f t="shared" si="269"/>
        <v/>
      </c>
      <c r="HT35" s="39" t="str">
        <f t="shared" si="270"/>
        <v/>
      </c>
      <c r="HU35" s="39" t="str">
        <f t="shared" si="271"/>
        <v/>
      </c>
      <c r="HV35" s="39" t="str">
        <f t="shared" si="272"/>
        <v/>
      </c>
      <c r="HW35" s="39" t="str">
        <f t="shared" si="273"/>
        <v/>
      </c>
      <c r="HX35" s="39" t="str">
        <f t="shared" si="274"/>
        <v/>
      </c>
      <c r="HY35" s="39" t="str">
        <f t="shared" si="275"/>
        <v/>
      </c>
      <c r="HZ35" s="39" t="str">
        <f t="shared" si="276"/>
        <v/>
      </c>
      <c r="IA35" s="39" t="str">
        <f t="shared" si="230"/>
        <v/>
      </c>
      <c r="IB35" s="39" t="str">
        <f t="shared" si="277"/>
        <v/>
      </c>
      <c r="IC35" s="39" t="str">
        <f t="shared" si="278"/>
        <v/>
      </c>
      <c r="ID35" s="39" t="str">
        <f t="shared" si="279"/>
        <v/>
      </c>
      <c r="IE35" s="39" t="str">
        <f t="shared" si="68"/>
        <v/>
      </c>
      <c r="IF35" s="39" t="str">
        <f t="shared" si="69"/>
        <v/>
      </c>
      <c r="IG35" s="308">
        <f t="shared" si="70"/>
        <v>0.59044236120003624</v>
      </c>
      <c r="IH35" s="84">
        <f t="shared" ref="IH35:IH44" si="280">IFERROR(IF(ISBLANK(DI35), "-", IF($I35="c", DI35*$I$5, DI35)),"-")</f>
        <v>0.42401130955608368</v>
      </c>
      <c r="II35" s="84">
        <f t="shared" ref="II35:II44" si="281">IFERROR(IF(ISBLANK(DJ35), "-", IF($I35="c", DJ35*$I$5, DJ35)),"-")</f>
        <v>0.50161391971373381</v>
      </c>
      <c r="IJ35" s="84">
        <f t="shared" ref="IJ35:IJ44" si="282">IFERROR(IF(ISBLANK(DK35), "-", IF($I35="c", DK35*$I$5, DK35)),"-")</f>
        <v>0.58335287221570931</v>
      </c>
      <c r="IK35" s="84">
        <f t="shared" ref="IK35:IK44" si="283">IFERROR(IF(ISBLANK(DL35), "-", IF($I35="c", DL35*$I$5, DL35)),"-")</f>
        <v>0.67770419426048556</v>
      </c>
      <c r="IL35" s="84">
        <f t="shared" ref="IL35:IL44" si="284">IFERROR(IF(ISBLANK(DM35), "-", IF($I35="c", DM35*$I$5, DM35)),"-")</f>
        <v>0.73921573484604519</v>
      </c>
      <c r="IM35" s="308" t="str">
        <f t="shared" si="76"/>
        <v/>
      </c>
      <c r="IN35" s="84" t="str">
        <f t="shared" ref="IN35:IN44" si="285">IFERROR(IF(ISBLANK(DP35), "", IF($I35="c",DP35*$I$5, DP35)),"-")</f>
        <v/>
      </c>
      <c r="IO35" s="84" t="str">
        <f t="shared" ref="IO35:IO44" si="286">IFERROR(IF(ISBLANK(DQ35), "", IF($I35="c",DQ35*$I$5, DQ35)),"-")</f>
        <v/>
      </c>
      <c r="IP35" s="84" t="str">
        <f t="shared" ref="IP35:IP44" si="287">IFERROR(IF(ISBLANK(DR35), "", IF($I35="c",DR35*$I$5, DR35)),"-")</f>
        <v/>
      </c>
      <c r="IQ35" s="84" t="str">
        <f t="shared" ref="IQ35:IQ44" si="288">IFERROR(IF(ISBLANK(DS35), "", IF($I35="c",DS35*$I$5, DS35)),"-")</f>
        <v/>
      </c>
      <c r="IR35" s="84" t="str">
        <f t="shared" ref="IR35:IR44" si="289">IFERROR(IF(ISBLANK(DT35), "", IF($I35="c",DT35*$I$5, DT35)),"-")</f>
        <v/>
      </c>
      <c r="IS35" s="308" t="str">
        <f t="shared" si="82"/>
        <v/>
      </c>
      <c r="IT35" s="84" t="str">
        <f t="shared" ref="IT35:IT44" si="290">IFERROR(IF(ISBLANK(DW35), "", IF($I35="c", DW35*$I$5, DW35)),"-")</f>
        <v/>
      </c>
      <c r="IU35" s="84" t="str">
        <f t="shared" ref="IU35:IU44" si="291">IFERROR(IF(ISBLANK(DX35), "", IF($I35="c", DX35*$I$5, DX35)),"-")</f>
        <v/>
      </c>
      <c r="IV35" s="84" t="str">
        <f t="shared" ref="IV35:IV44" si="292">IFERROR(IF(ISBLANK(DY35), "", IF($I35="c", DY35*$I$5, DY35)),"-")</f>
        <v/>
      </c>
      <c r="IW35" s="84" t="str">
        <f t="shared" ref="IW35:IW44" si="293">IFERROR(IF(ISBLANK(DZ35), "", IF($I35="c", DZ35*$I$5, DZ35)),"-")</f>
        <v/>
      </c>
      <c r="IX35" s="84" t="str">
        <f t="shared" ref="IX35:IX44" si="294">IFERROR(IF(ISBLANK(EA35), "", IF($I35="c", EA35*$I$5, EA35)),"-")</f>
        <v/>
      </c>
      <c r="IY35" s="308" t="str">
        <f t="shared" si="88"/>
        <v/>
      </c>
      <c r="IZ35" s="84" t="str">
        <f t="shared" ref="IZ35:IZ44" si="295">IFERROR(IF(ISBLANK(ED35), "", IF($I35="c", ED35*$I$5, ED35)),"-")</f>
        <v/>
      </c>
      <c r="JA35" s="84" t="str">
        <f t="shared" ref="JA35:JA44" si="296">IFERROR(IF(ISBLANK(EE35), "", IF($I35="c", EE35*$I$5, EE35)),"-")</f>
        <v/>
      </c>
      <c r="JB35" s="84" t="str">
        <f t="shared" ref="JB35:JB44" si="297">IFERROR(IF(ISBLANK(EF35), "", IF($I35="c", EF35*$I$5, EF35)),"-")</f>
        <v/>
      </c>
      <c r="JC35" s="84" t="str">
        <f t="shared" ref="JC35:JC44" si="298">IFERROR(IF(ISBLANK(EG35), "", IF($I35="c", EG35*$I$5, EG35)),"-")</f>
        <v/>
      </c>
      <c r="JD35" s="309" t="str">
        <f t="shared" ref="JD35:JD44" si="299">IFERROR(IF(ISBLANK(EH35), "", IF($I35="c", EH35*$I$5, EH35)),"-")</f>
        <v/>
      </c>
      <c r="JF35" s="66">
        <f t="shared" si="224"/>
        <v>35</v>
      </c>
      <c r="JG35" s="66">
        <f t="shared" ca="1" si="95"/>
        <v>0.50161391971373381</v>
      </c>
      <c r="JH35" s="66">
        <f t="shared" ca="1" si="96"/>
        <v>0.58335287221570931</v>
      </c>
      <c r="JI35" s="66">
        <f t="shared" ca="1" si="97"/>
        <v>0.67770419426048556</v>
      </c>
      <c r="JJ35" s="66">
        <f t="shared" ca="1" si="98"/>
        <v>15</v>
      </c>
      <c r="JK35" s="33"/>
      <c r="JL35" s="74">
        <f t="shared" ca="1" si="121"/>
        <v>0.50161391971373381</v>
      </c>
      <c r="JM35" s="75">
        <f t="shared" ca="1" si="99"/>
        <v>0.5424833959647215</v>
      </c>
      <c r="JN35" s="75">
        <f t="shared" ca="1" si="100"/>
        <v>0.63052853323809743</v>
      </c>
      <c r="JO35" s="74">
        <f t="shared" ca="1" si="122"/>
        <v>0.67770419426048556</v>
      </c>
      <c r="JP35" s="74">
        <f t="shared" ca="1" si="123"/>
        <v>2.3523300431770382</v>
      </c>
    </row>
    <row r="36" spans="1:276" s="1" customFormat="1" x14ac:dyDescent="0.35">
      <c r="A36" s="125">
        <v>0</v>
      </c>
      <c r="B36" s="125">
        <v>1</v>
      </c>
      <c r="C36" s="125">
        <v>1</v>
      </c>
      <c r="E36" s="142" t="s">
        <v>60</v>
      </c>
      <c r="F36" s="208" t="s">
        <v>61</v>
      </c>
      <c r="G36" s="209" t="s">
        <v>542</v>
      </c>
      <c r="H36" s="210" t="s">
        <v>533</v>
      </c>
      <c r="I36" s="8" t="s">
        <v>534</v>
      </c>
      <c r="J36" s="211">
        <v>0.36164383561643837</v>
      </c>
      <c r="K36" s="215">
        <v>0.38333333333333336</v>
      </c>
      <c r="L36" s="215">
        <v>0.36029411764705882</v>
      </c>
      <c r="M36" s="215">
        <v>0.2857142857142857</v>
      </c>
      <c r="N36" s="215" t="s">
        <v>805</v>
      </c>
      <c r="O36" s="215" t="s">
        <v>805</v>
      </c>
      <c r="P36" s="215" t="s">
        <v>805</v>
      </c>
      <c r="Q36" s="215" t="s">
        <v>805</v>
      </c>
      <c r="R36" s="215" t="s">
        <v>805</v>
      </c>
      <c r="S36" s="215" t="s">
        <v>805</v>
      </c>
      <c r="T36" s="215" t="s">
        <v>805</v>
      </c>
      <c r="U36" s="215" t="s">
        <v>805</v>
      </c>
      <c r="V36" s="215" t="s">
        <v>805</v>
      </c>
      <c r="W36" s="215" t="s">
        <v>805</v>
      </c>
      <c r="X36" s="215" t="s">
        <v>805</v>
      </c>
      <c r="Y36" s="215" t="s">
        <v>805</v>
      </c>
      <c r="Z36" s="215" t="s">
        <v>805</v>
      </c>
      <c r="AA36" s="215" t="s">
        <v>805</v>
      </c>
      <c r="AB36" s="215" t="s">
        <v>805</v>
      </c>
      <c r="AC36" s="215" t="s">
        <v>805</v>
      </c>
      <c r="AD36" s="215" t="s">
        <v>805</v>
      </c>
      <c r="AE36" s="215" t="s">
        <v>805</v>
      </c>
      <c r="AF36" s="215" t="s">
        <v>805</v>
      </c>
      <c r="AG36" s="215" t="s">
        <v>805</v>
      </c>
      <c r="AH36" s="215" t="s">
        <v>805</v>
      </c>
      <c r="AI36" s="215" t="s">
        <v>805</v>
      </c>
      <c r="AJ36" s="215" t="s">
        <v>805</v>
      </c>
      <c r="AK36" s="215" t="s">
        <v>805</v>
      </c>
      <c r="AL36" s="215" t="s">
        <v>805</v>
      </c>
      <c r="AM36" s="215" t="s">
        <v>805</v>
      </c>
      <c r="AN36" s="215" t="s">
        <v>805</v>
      </c>
      <c r="AO36" s="215" t="s">
        <v>805</v>
      </c>
      <c r="AP36" s="215" t="s">
        <v>805</v>
      </c>
      <c r="AQ36" s="215" t="s">
        <v>805</v>
      </c>
      <c r="AR36" s="215" t="s">
        <v>805</v>
      </c>
      <c r="AS36" s="215" t="s">
        <v>805</v>
      </c>
      <c r="AT36" s="215" t="s">
        <v>805</v>
      </c>
      <c r="AU36" s="215" t="s">
        <v>805</v>
      </c>
      <c r="AV36" s="215" t="s">
        <v>805</v>
      </c>
      <c r="AW36" s="215" t="s">
        <v>805</v>
      </c>
      <c r="AX36" s="215" t="s">
        <v>805</v>
      </c>
      <c r="AY36" s="215" t="s">
        <v>805</v>
      </c>
      <c r="AZ36" s="215" t="s">
        <v>805</v>
      </c>
      <c r="BA36" s="215" t="s">
        <v>805</v>
      </c>
      <c r="BB36" s="215" t="s">
        <v>805</v>
      </c>
      <c r="BC36" s="215" t="s">
        <v>805</v>
      </c>
      <c r="BD36" s="215" t="s">
        <v>805</v>
      </c>
      <c r="BE36" s="215" t="s">
        <v>805</v>
      </c>
      <c r="BF36" s="215" t="s">
        <v>805</v>
      </c>
      <c r="BG36" s="215" t="s">
        <v>805</v>
      </c>
      <c r="BH36" s="215" t="s">
        <v>805</v>
      </c>
      <c r="BI36" s="215" t="s">
        <v>805</v>
      </c>
      <c r="BJ36" s="215" t="s">
        <v>805</v>
      </c>
      <c r="BK36" s="215" t="s">
        <v>805</v>
      </c>
      <c r="BL36" s="215" t="s">
        <v>805</v>
      </c>
      <c r="BM36" s="215" t="s">
        <v>805</v>
      </c>
      <c r="BN36" s="215" t="s">
        <v>805</v>
      </c>
      <c r="BO36" s="215" t="s">
        <v>805</v>
      </c>
      <c r="BP36" s="215" t="s">
        <v>805</v>
      </c>
      <c r="BQ36" s="215" t="s">
        <v>805</v>
      </c>
      <c r="BR36" s="215" t="s">
        <v>805</v>
      </c>
      <c r="BS36" s="215" t="s">
        <v>805</v>
      </c>
      <c r="BT36" s="215" t="s">
        <v>805</v>
      </c>
      <c r="BU36" s="215" t="s">
        <v>805</v>
      </c>
      <c r="BV36" s="215" t="s">
        <v>805</v>
      </c>
      <c r="BW36" s="215" t="s">
        <v>805</v>
      </c>
      <c r="BX36" s="215" t="s">
        <v>805</v>
      </c>
      <c r="BY36" s="215" t="s">
        <v>805</v>
      </c>
      <c r="BZ36" s="215" t="s">
        <v>805</v>
      </c>
      <c r="CA36" s="215" t="s">
        <v>805</v>
      </c>
      <c r="CB36" s="215" t="s">
        <v>805</v>
      </c>
      <c r="CC36" s="215" t="s">
        <v>805</v>
      </c>
      <c r="CD36" s="215" t="s">
        <v>805</v>
      </c>
      <c r="CE36" s="215" t="s">
        <v>805</v>
      </c>
      <c r="CF36" s="215" t="s">
        <v>805</v>
      </c>
      <c r="CG36" s="215" t="s">
        <v>805</v>
      </c>
      <c r="CH36" s="215" t="s">
        <v>805</v>
      </c>
      <c r="CI36" s="215" t="s">
        <v>805</v>
      </c>
      <c r="CJ36" s="215" t="s">
        <v>805</v>
      </c>
      <c r="CK36" s="215" t="s">
        <v>805</v>
      </c>
      <c r="CL36" s="215" t="s">
        <v>805</v>
      </c>
      <c r="CM36" s="215" t="s">
        <v>805</v>
      </c>
      <c r="CN36" s="215" t="s">
        <v>805</v>
      </c>
      <c r="CO36" s="215" t="s">
        <v>805</v>
      </c>
      <c r="CP36" s="215" t="s">
        <v>805</v>
      </c>
      <c r="CQ36" s="215" t="s">
        <v>805</v>
      </c>
      <c r="CR36" s="215" t="s">
        <v>805</v>
      </c>
      <c r="CS36" s="215" t="s">
        <v>805</v>
      </c>
      <c r="CT36" s="215" t="s">
        <v>805</v>
      </c>
      <c r="CU36" s="215" t="s">
        <v>805</v>
      </c>
      <c r="CV36" s="215" t="s">
        <v>805</v>
      </c>
      <c r="CW36" s="215" t="s">
        <v>805</v>
      </c>
      <c r="CX36" s="215" t="s">
        <v>805</v>
      </c>
      <c r="CY36" s="215" t="s">
        <v>805</v>
      </c>
      <c r="CZ36" s="215" t="s">
        <v>805</v>
      </c>
      <c r="DA36" s="215" t="s">
        <v>805</v>
      </c>
      <c r="DB36" s="215" t="s">
        <v>805</v>
      </c>
      <c r="DC36" s="215" t="s">
        <v>805</v>
      </c>
      <c r="DD36" s="215" t="s">
        <v>805</v>
      </c>
      <c r="DE36" s="215" t="s">
        <v>805</v>
      </c>
      <c r="DF36" s="215" t="s">
        <v>805</v>
      </c>
      <c r="DG36" s="212">
        <f>VLOOKUP(E36,'KPI Count-SHARE'!A:F,3,0)</f>
        <v>14</v>
      </c>
      <c r="DH36" s="213">
        <v>0.32572572101249969</v>
      </c>
      <c r="DI36" s="216">
        <v>0.15759493670886074</v>
      </c>
      <c r="DJ36" s="216">
        <v>0.21331694427720918</v>
      </c>
      <c r="DK36" s="216">
        <v>0.31720212642026685</v>
      </c>
      <c r="DL36" s="216">
        <v>0.46738074078477876</v>
      </c>
      <c r="DM36" s="216">
        <v>0.50168712160849094</v>
      </c>
      <c r="DN36" s="212">
        <f>VLOOKUP(E36,'KPI Count-SHARE'!A:F,4,0)</f>
        <v>0</v>
      </c>
      <c r="DO36" s="213"/>
      <c r="DP36" s="216"/>
      <c r="DQ36" s="216"/>
      <c r="DR36" s="216"/>
      <c r="DS36" s="216"/>
      <c r="DT36" s="216"/>
      <c r="DU36" s="212">
        <f>VLOOKUP(E36,'KPI Count-SHARE'!A:F,5,0)</f>
        <v>0</v>
      </c>
      <c r="DV36" s="213"/>
      <c r="DW36" s="216"/>
      <c r="DX36" s="216"/>
      <c r="DY36" s="216"/>
      <c r="DZ36" s="216"/>
      <c r="EA36" s="216"/>
      <c r="EB36" s="212">
        <f>VLOOKUP(E36,'KPI Count-SHARE'!A:F,6,0)</f>
        <v>0</v>
      </c>
      <c r="EC36" s="213"/>
      <c r="ED36" s="216"/>
      <c r="EE36" s="216"/>
      <c r="EF36" s="216"/>
      <c r="EG36" s="216"/>
      <c r="EH36" s="216"/>
      <c r="EI36" s="214" t="s">
        <v>533</v>
      </c>
      <c r="EJ36" s="39">
        <f t="shared" si="101"/>
        <v>0.36164383561643837</v>
      </c>
      <c r="EK36" s="39">
        <f t="shared" si="102"/>
        <v>0.38333333333333336</v>
      </c>
      <c r="EL36" s="39">
        <f t="shared" si="103"/>
        <v>0.36029411764705882</v>
      </c>
      <c r="EM36" s="39">
        <f t="shared" si="104"/>
        <v>0.2857142857142857</v>
      </c>
      <c r="EN36" s="39" t="str">
        <f t="shared" si="105"/>
        <v/>
      </c>
      <c r="EO36" s="39" t="str">
        <f t="shared" si="106"/>
        <v/>
      </c>
      <c r="EP36" s="39" t="str">
        <f t="shared" si="107"/>
        <v/>
      </c>
      <c r="EQ36" s="39" t="str">
        <f t="shared" si="108"/>
        <v/>
      </c>
      <c r="ER36" s="39" t="str">
        <f t="shared" si="109"/>
        <v/>
      </c>
      <c r="ES36" s="39" t="str">
        <f t="shared" si="110"/>
        <v/>
      </c>
      <c r="ET36" s="39" t="str">
        <f t="shared" si="111"/>
        <v/>
      </c>
      <c r="EU36" s="39" t="str">
        <f t="shared" si="165"/>
        <v/>
      </c>
      <c r="EV36" s="39" t="str">
        <f t="shared" si="166"/>
        <v/>
      </c>
      <c r="EW36" s="39" t="str">
        <f t="shared" si="167"/>
        <v/>
      </c>
      <c r="EX36" s="39" t="str">
        <f t="shared" si="168"/>
        <v/>
      </c>
      <c r="EY36" s="39" t="str">
        <f t="shared" si="169"/>
        <v/>
      </c>
      <c r="EZ36" s="39" t="str">
        <f t="shared" si="170"/>
        <v/>
      </c>
      <c r="FA36" s="39" t="str">
        <f t="shared" si="171"/>
        <v/>
      </c>
      <c r="FB36" s="39" t="str">
        <f t="shared" si="172"/>
        <v/>
      </c>
      <c r="FC36" s="39" t="str">
        <f t="shared" si="173"/>
        <v/>
      </c>
      <c r="FD36" s="39" t="str">
        <f t="shared" si="174"/>
        <v/>
      </c>
      <c r="FE36" s="39" t="str">
        <f t="shared" si="175"/>
        <v/>
      </c>
      <c r="FF36" s="39" t="str">
        <f t="shared" si="176"/>
        <v/>
      </c>
      <c r="FG36" s="39" t="str">
        <f t="shared" si="177"/>
        <v/>
      </c>
      <c r="FH36" s="39" t="str">
        <f t="shared" si="178"/>
        <v/>
      </c>
      <c r="FI36" s="39" t="str">
        <f t="shared" si="179"/>
        <v/>
      </c>
      <c r="FJ36" s="39" t="str">
        <f t="shared" si="180"/>
        <v/>
      </c>
      <c r="FK36" s="39" t="str">
        <f t="shared" si="181"/>
        <v/>
      </c>
      <c r="FL36" s="39" t="str">
        <f t="shared" si="182"/>
        <v/>
      </c>
      <c r="FM36" s="39" t="str">
        <f t="shared" si="183"/>
        <v/>
      </c>
      <c r="FN36" s="39" t="str">
        <f t="shared" si="184"/>
        <v/>
      </c>
      <c r="FO36" s="39" t="str">
        <f t="shared" si="185"/>
        <v/>
      </c>
      <c r="FP36" s="39" t="str">
        <f t="shared" si="186"/>
        <v/>
      </c>
      <c r="FQ36" s="39" t="str">
        <f t="shared" si="187"/>
        <v/>
      </c>
      <c r="FR36" s="39" t="str">
        <f t="shared" si="188"/>
        <v/>
      </c>
      <c r="FS36" s="39" t="str">
        <f t="shared" si="189"/>
        <v/>
      </c>
      <c r="FT36" s="39" t="str">
        <f t="shared" si="190"/>
        <v/>
      </c>
      <c r="FU36" s="39" t="str">
        <f t="shared" si="191"/>
        <v/>
      </c>
      <c r="FV36" s="39" t="str">
        <f t="shared" si="192"/>
        <v/>
      </c>
      <c r="FW36" s="39" t="str">
        <f t="shared" si="193"/>
        <v/>
      </c>
      <c r="FX36" s="39" t="str">
        <f t="shared" si="194"/>
        <v/>
      </c>
      <c r="FY36" s="39" t="str">
        <f t="shared" si="195"/>
        <v/>
      </c>
      <c r="FZ36" s="39" t="str">
        <f t="shared" si="196"/>
        <v/>
      </c>
      <c r="GA36" s="39" t="str">
        <f t="shared" si="197"/>
        <v/>
      </c>
      <c r="GB36" s="39" t="str">
        <f t="shared" si="155"/>
        <v/>
      </c>
      <c r="GC36" s="39" t="str">
        <f t="shared" si="156"/>
        <v/>
      </c>
      <c r="GD36" s="39" t="str">
        <f t="shared" si="157"/>
        <v/>
      </c>
      <c r="GE36" s="39" t="str">
        <f t="shared" si="158"/>
        <v/>
      </c>
      <c r="GF36" s="39" t="str">
        <f t="shared" si="232"/>
        <v/>
      </c>
      <c r="GG36" s="39" t="str">
        <f t="shared" si="233"/>
        <v/>
      </c>
      <c r="GH36" s="39" t="str">
        <f t="shared" si="234"/>
        <v/>
      </c>
      <c r="GI36" s="39" t="str">
        <f t="shared" si="235"/>
        <v/>
      </c>
      <c r="GJ36" s="39" t="str">
        <f t="shared" si="236"/>
        <v/>
      </c>
      <c r="GK36" s="39" t="str">
        <f t="shared" si="237"/>
        <v/>
      </c>
      <c r="GL36" s="39" t="str">
        <f t="shared" si="238"/>
        <v/>
      </c>
      <c r="GM36" s="39" t="str">
        <f t="shared" si="239"/>
        <v/>
      </c>
      <c r="GN36" s="39" t="str">
        <f t="shared" si="240"/>
        <v/>
      </c>
      <c r="GO36" s="39" t="str">
        <f t="shared" si="241"/>
        <v/>
      </c>
      <c r="GP36" s="39" t="str">
        <f t="shared" si="242"/>
        <v/>
      </c>
      <c r="GQ36" s="39" t="str">
        <f t="shared" si="243"/>
        <v/>
      </c>
      <c r="GR36" s="39" t="str">
        <f t="shared" si="244"/>
        <v/>
      </c>
      <c r="GS36" s="39" t="str">
        <f t="shared" si="245"/>
        <v/>
      </c>
      <c r="GT36" s="39" t="str">
        <f t="shared" si="246"/>
        <v/>
      </c>
      <c r="GU36" s="39" t="str">
        <f t="shared" si="226"/>
        <v/>
      </c>
      <c r="GV36" s="39" t="str">
        <f t="shared" si="247"/>
        <v/>
      </c>
      <c r="GW36" s="39" t="str">
        <f t="shared" si="248"/>
        <v/>
      </c>
      <c r="GX36" s="39" t="str">
        <f t="shared" si="249"/>
        <v/>
      </c>
      <c r="GY36" s="39" t="str">
        <f t="shared" si="250"/>
        <v/>
      </c>
      <c r="GZ36" s="39" t="str">
        <f t="shared" si="251"/>
        <v/>
      </c>
      <c r="HA36" s="39" t="str">
        <f t="shared" si="252"/>
        <v/>
      </c>
      <c r="HB36" s="39" t="str">
        <f t="shared" si="253"/>
        <v/>
      </c>
      <c r="HC36" s="39" t="str">
        <f t="shared" si="254"/>
        <v/>
      </c>
      <c r="HD36" s="39" t="str">
        <f t="shared" si="255"/>
        <v/>
      </c>
      <c r="HE36" s="39" t="str">
        <f t="shared" si="256"/>
        <v/>
      </c>
      <c r="HF36" s="39" t="str">
        <f t="shared" si="257"/>
        <v/>
      </c>
      <c r="HG36" s="39" t="str">
        <f t="shared" si="258"/>
        <v/>
      </c>
      <c r="HH36" s="39" t="str">
        <f t="shared" si="259"/>
        <v/>
      </c>
      <c r="HI36" s="39" t="str">
        <f t="shared" si="260"/>
        <v/>
      </c>
      <c r="HJ36" s="39" t="str">
        <f t="shared" si="261"/>
        <v/>
      </c>
      <c r="HK36" s="39" t="str">
        <f t="shared" si="228"/>
        <v/>
      </c>
      <c r="HL36" s="39" t="str">
        <f t="shared" si="262"/>
        <v/>
      </c>
      <c r="HM36" s="39" t="str">
        <f t="shared" si="263"/>
        <v/>
      </c>
      <c r="HN36" s="39" t="str">
        <f t="shared" si="264"/>
        <v/>
      </c>
      <c r="HO36" s="39" t="str">
        <f t="shared" si="265"/>
        <v/>
      </c>
      <c r="HP36" s="39" t="str">
        <f t="shared" si="266"/>
        <v/>
      </c>
      <c r="HQ36" s="39" t="str">
        <f t="shared" si="267"/>
        <v/>
      </c>
      <c r="HR36" s="39" t="str">
        <f t="shared" si="268"/>
        <v/>
      </c>
      <c r="HS36" s="39" t="str">
        <f t="shared" si="269"/>
        <v/>
      </c>
      <c r="HT36" s="39" t="str">
        <f t="shared" si="270"/>
        <v/>
      </c>
      <c r="HU36" s="39" t="str">
        <f t="shared" si="271"/>
        <v/>
      </c>
      <c r="HV36" s="39" t="str">
        <f t="shared" si="272"/>
        <v/>
      </c>
      <c r="HW36" s="39" t="str">
        <f t="shared" si="273"/>
        <v/>
      </c>
      <c r="HX36" s="39" t="str">
        <f t="shared" si="274"/>
        <v/>
      </c>
      <c r="HY36" s="39" t="str">
        <f t="shared" si="275"/>
        <v/>
      </c>
      <c r="HZ36" s="39" t="str">
        <f t="shared" si="276"/>
        <v/>
      </c>
      <c r="IA36" s="39" t="str">
        <f t="shared" si="230"/>
        <v/>
      </c>
      <c r="IB36" s="39" t="str">
        <f t="shared" si="277"/>
        <v/>
      </c>
      <c r="IC36" s="39" t="str">
        <f t="shared" si="278"/>
        <v/>
      </c>
      <c r="ID36" s="39" t="str">
        <f t="shared" si="279"/>
        <v/>
      </c>
      <c r="IE36" s="39" t="str">
        <f t="shared" si="68"/>
        <v/>
      </c>
      <c r="IF36" s="39" t="str">
        <f t="shared" si="69"/>
        <v/>
      </c>
      <c r="IG36" s="308">
        <f t="shared" si="70"/>
        <v>0.32572572101249969</v>
      </c>
      <c r="IH36" s="84">
        <f t="shared" si="280"/>
        <v>0.15759493670886074</v>
      </c>
      <c r="II36" s="84">
        <f t="shared" si="281"/>
        <v>0.21331694427720918</v>
      </c>
      <c r="IJ36" s="84">
        <f t="shared" si="282"/>
        <v>0.31720212642026685</v>
      </c>
      <c r="IK36" s="84">
        <f t="shared" si="283"/>
        <v>0.46738074078477876</v>
      </c>
      <c r="IL36" s="84">
        <f t="shared" si="284"/>
        <v>0.50168712160849094</v>
      </c>
      <c r="IM36" s="308" t="str">
        <f t="shared" si="76"/>
        <v/>
      </c>
      <c r="IN36" s="84" t="str">
        <f t="shared" si="285"/>
        <v/>
      </c>
      <c r="IO36" s="84" t="str">
        <f t="shared" si="286"/>
        <v/>
      </c>
      <c r="IP36" s="84" t="str">
        <f t="shared" si="287"/>
        <v/>
      </c>
      <c r="IQ36" s="84" t="str">
        <f t="shared" si="288"/>
        <v/>
      </c>
      <c r="IR36" s="84" t="str">
        <f t="shared" si="289"/>
        <v/>
      </c>
      <c r="IS36" s="308" t="str">
        <f t="shared" si="82"/>
        <v/>
      </c>
      <c r="IT36" s="84" t="str">
        <f t="shared" si="290"/>
        <v/>
      </c>
      <c r="IU36" s="84" t="str">
        <f t="shared" si="291"/>
        <v/>
      </c>
      <c r="IV36" s="84" t="str">
        <f t="shared" si="292"/>
        <v/>
      </c>
      <c r="IW36" s="84" t="str">
        <f t="shared" si="293"/>
        <v/>
      </c>
      <c r="IX36" s="84" t="str">
        <f t="shared" si="294"/>
        <v/>
      </c>
      <c r="IY36" s="308" t="str">
        <f t="shared" si="88"/>
        <v/>
      </c>
      <c r="IZ36" s="84" t="str">
        <f t="shared" si="295"/>
        <v/>
      </c>
      <c r="JA36" s="84" t="str">
        <f t="shared" si="296"/>
        <v/>
      </c>
      <c r="JB36" s="84" t="str">
        <f t="shared" si="297"/>
        <v/>
      </c>
      <c r="JC36" s="84" t="str">
        <f t="shared" si="298"/>
        <v/>
      </c>
      <c r="JD36" s="309" t="str">
        <f t="shared" si="299"/>
        <v/>
      </c>
      <c r="JF36" s="66">
        <f t="shared" si="224"/>
        <v>36</v>
      </c>
      <c r="JG36" s="66">
        <f t="shared" ca="1" si="95"/>
        <v>0.21331694427720918</v>
      </c>
      <c r="JH36" s="66">
        <f t="shared" ca="1" si="96"/>
        <v>0.31720212642026685</v>
      </c>
      <c r="JI36" s="66">
        <f t="shared" ca="1" si="97"/>
        <v>0.46738074078477876</v>
      </c>
      <c r="JJ36" s="66">
        <f t="shared" ca="1" si="98"/>
        <v>14</v>
      </c>
      <c r="JK36" s="33"/>
      <c r="JL36" s="74">
        <f t="shared" ca="1" si="121"/>
        <v>0.21331694427720918</v>
      </c>
      <c r="JM36" s="75">
        <f t="shared" ca="1" si="99"/>
        <v>0.26525953534873803</v>
      </c>
      <c r="JN36" s="75">
        <f t="shared" ca="1" si="100"/>
        <v>0.39229143360252283</v>
      </c>
      <c r="JO36" s="74">
        <f t="shared" ca="1" si="122"/>
        <v>0.46738074078477876</v>
      </c>
      <c r="JP36" s="74">
        <f t="shared" ca="1" si="123"/>
        <v>1.3382486540132488</v>
      </c>
    </row>
    <row r="37" spans="1:276" s="1" customFormat="1" x14ac:dyDescent="0.35">
      <c r="A37" s="125">
        <v>0</v>
      </c>
      <c r="B37" s="125">
        <v>0</v>
      </c>
      <c r="C37" s="125">
        <v>1</v>
      </c>
      <c r="E37" s="142" t="s">
        <v>62</v>
      </c>
      <c r="F37" s="208" t="s">
        <v>63</v>
      </c>
      <c r="G37" s="209" t="s">
        <v>542</v>
      </c>
      <c r="H37" s="210" t="s">
        <v>533</v>
      </c>
      <c r="I37" s="8" t="s">
        <v>534</v>
      </c>
      <c r="J37" s="211">
        <v>3.8356164383561646E-2</v>
      </c>
      <c r="K37" s="215">
        <v>5.5555555555555552E-2</v>
      </c>
      <c r="L37" s="215" t="s">
        <v>805</v>
      </c>
      <c r="M37" s="215">
        <v>8.1632653061224483E-2</v>
      </c>
      <c r="N37" s="215" t="s">
        <v>805</v>
      </c>
      <c r="O37" s="215" t="s">
        <v>805</v>
      </c>
      <c r="P37" s="215" t="s">
        <v>805</v>
      </c>
      <c r="Q37" s="215" t="s">
        <v>805</v>
      </c>
      <c r="R37" s="215" t="s">
        <v>805</v>
      </c>
      <c r="S37" s="215" t="s">
        <v>805</v>
      </c>
      <c r="T37" s="215" t="s">
        <v>805</v>
      </c>
      <c r="U37" s="215" t="s">
        <v>805</v>
      </c>
      <c r="V37" s="215" t="s">
        <v>805</v>
      </c>
      <c r="W37" s="215" t="s">
        <v>805</v>
      </c>
      <c r="X37" s="215" t="s">
        <v>805</v>
      </c>
      <c r="Y37" s="215" t="s">
        <v>805</v>
      </c>
      <c r="Z37" s="215" t="s">
        <v>805</v>
      </c>
      <c r="AA37" s="215" t="s">
        <v>805</v>
      </c>
      <c r="AB37" s="215" t="s">
        <v>805</v>
      </c>
      <c r="AC37" s="215" t="s">
        <v>805</v>
      </c>
      <c r="AD37" s="215" t="s">
        <v>805</v>
      </c>
      <c r="AE37" s="215" t="s">
        <v>805</v>
      </c>
      <c r="AF37" s="215" t="s">
        <v>805</v>
      </c>
      <c r="AG37" s="215" t="s">
        <v>805</v>
      </c>
      <c r="AH37" s="215" t="s">
        <v>805</v>
      </c>
      <c r="AI37" s="215" t="s">
        <v>805</v>
      </c>
      <c r="AJ37" s="215" t="s">
        <v>805</v>
      </c>
      <c r="AK37" s="215" t="s">
        <v>805</v>
      </c>
      <c r="AL37" s="215" t="s">
        <v>805</v>
      </c>
      <c r="AM37" s="215" t="s">
        <v>805</v>
      </c>
      <c r="AN37" s="215" t="s">
        <v>805</v>
      </c>
      <c r="AO37" s="215" t="s">
        <v>805</v>
      </c>
      <c r="AP37" s="215" t="s">
        <v>805</v>
      </c>
      <c r="AQ37" s="215" t="s">
        <v>805</v>
      </c>
      <c r="AR37" s="215" t="s">
        <v>805</v>
      </c>
      <c r="AS37" s="215" t="s">
        <v>805</v>
      </c>
      <c r="AT37" s="215" t="s">
        <v>805</v>
      </c>
      <c r="AU37" s="215" t="s">
        <v>805</v>
      </c>
      <c r="AV37" s="215" t="s">
        <v>805</v>
      </c>
      <c r="AW37" s="215" t="s">
        <v>805</v>
      </c>
      <c r="AX37" s="215" t="s">
        <v>805</v>
      </c>
      <c r="AY37" s="215" t="s">
        <v>805</v>
      </c>
      <c r="AZ37" s="215" t="s">
        <v>805</v>
      </c>
      <c r="BA37" s="215" t="s">
        <v>805</v>
      </c>
      <c r="BB37" s="215" t="s">
        <v>805</v>
      </c>
      <c r="BC37" s="215" t="s">
        <v>805</v>
      </c>
      <c r="BD37" s="215" t="s">
        <v>805</v>
      </c>
      <c r="BE37" s="215" t="s">
        <v>805</v>
      </c>
      <c r="BF37" s="215" t="s">
        <v>805</v>
      </c>
      <c r="BG37" s="215" t="s">
        <v>805</v>
      </c>
      <c r="BH37" s="215" t="s">
        <v>805</v>
      </c>
      <c r="BI37" s="215" t="s">
        <v>805</v>
      </c>
      <c r="BJ37" s="215" t="s">
        <v>805</v>
      </c>
      <c r="BK37" s="215" t="s">
        <v>805</v>
      </c>
      <c r="BL37" s="215" t="s">
        <v>805</v>
      </c>
      <c r="BM37" s="215" t="s">
        <v>805</v>
      </c>
      <c r="BN37" s="215" t="s">
        <v>805</v>
      </c>
      <c r="BO37" s="215" t="s">
        <v>805</v>
      </c>
      <c r="BP37" s="215" t="s">
        <v>805</v>
      </c>
      <c r="BQ37" s="215" t="s">
        <v>805</v>
      </c>
      <c r="BR37" s="215" t="s">
        <v>805</v>
      </c>
      <c r="BS37" s="215" t="s">
        <v>805</v>
      </c>
      <c r="BT37" s="215" t="s">
        <v>805</v>
      </c>
      <c r="BU37" s="215" t="s">
        <v>805</v>
      </c>
      <c r="BV37" s="215" t="s">
        <v>805</v>
      </c>
      <c r="BW37" s="215" t="s">
        <v>805</v>
      </c>
      <c r="BX37" s="215" t="s">
        <v>805</v>
      </c>
      <c r="BY37" s="215" t="s">
        <v>805</v>
      </c>
      <c r="BZ37" s="215" t="s">
        <v>805</v>
      </c>
      <c r="CA37" s="215" t="s">
        <v>805</v>
      </c>
      <c r="CB37" s="215" t="s">
        <v>805</v>
      </c>
      <c r="CC37" s="215" t="s">
        <v>805</v>
      </c>
      <c r="CD37" s="215" t="s">
        <v>805</v>
      </c>
      <c r="CE37" s="215" t="s">
        <v>805</v>
      </c>
      <c r="CF37" s="215" t="s">
        <v>805</v>
      </c>
      <c r="CG37" s="215" t="s">
        <v>805</v>
      </c>
      <c r="CH37" s="215" t="s">
        <v>805</v>
      </c>
      <c r="CI37" s="215" t="s">
        <v>805</v>
      </c>
      <c r="CJ37" s="215" t="s">
        <v>805</v>
      </c>
      <c r="CK37" s="215" t="s">
        <v>805</v>
      </c>
      <c r="CL37" s="215" t="s">
        <v>805</v>
      </c>
      <c r="CM37" s="215" t="s">
        <v>805</v>
      </c>
      <c r="CN37" s="215" t="s">
        <v>805</v>
      </c>
      <c r="CO37" s="215" t="s">
        <v>805</v>
      </c>
      <c r="CP37" s="215" t="s">
        <v>805</v>
      </c>
      <c r="CQ37" s="215" t="s">
        <v>805</v>
      </c>
      <c r="CR37" s="215" t="s">
        <v>805</v>
      </c>
      <c r="CS37" s="215" t="s">
        <v>805</v>
      </c>
      <c r="CT37" s="215" t="s">
        <v>805</v>
      </c>
      <c r="CU37" s="215" t="s">
        <v>805</v>
      </c>
      <c r="CV37" s="215" t="s">
        <v>805</v>
      </c>
      <c r="CW37" s="215" t="s">
        <v>805</v>
      </c>
      <c r="CX37" s="215" t="s">
        <v>805</v>
      </c>
      <c r="CY37" s="215" t="s">
        <v>805</v>
      </c>
      <c r="CZ37" s="215" t="s">
        <v>805</v>
      </c>
      <c r="DA37" s="215" t="s">
        <v>805</v>
      </c>
      <c r="DB37" s="215" t="s">
        <v>805</v>
      </c>
      <c r="DC37" s="215" t="s">
        <v>805</v>
      </c>
      <c r="DD37" s="215" t="s">
        <v>805</v>
      </c>
      <c r="DE37" s="215" t="s">
        <v>805</v>
      </c>
      <c r="DF37" s="215" t="s">
        <v>805</v>
      </c>
      <c r="DG37" s="212">
        <f>VLOOKUP(E37,'KPI Count-SHARE'!A:F,3,0)</f>
        <v>3</v>
      </c>
      <c r="DH37" s="213">
        <v>0.15273986856808749</v>
      </c>
      <c r="DI37" s="216">
        <v>3.7658445093893607E-2</v>
      </c>
      <c r="DJ37" s="216">
        <v>8.0583725754625538E-2</v>
      </c>
      <c r="DK37" s="216">
        <v>0.15212586018917876</v>
      </c>
      <c r="DL37" s="216">
        <v>0.22458900719209507</v>
      </c>
      <c r="DM37" s="216">
        <v>0.26806689539384482</v>
      </c>
      <c r="DN37" s="212">
        <f>VLOOKUP(E37,'KPI Count-SHARE'!A:F,4,0)</f>
        <v>0</v>
      </c>
      <c r="DO37" s="213"/>
      <c r="DP37" s="216"/>
      <c r="DQ37" s="216"/>
      <c r="DR37" s="216"/>
      <c r="DS37" s="216"/>
      <c r="DT37" s="216"/>
      <c r="DU37" s="212">
        <f>VLOOKUP(E37,'KPI Count-SHARE'!A:F,5,0)</f>
        <v>0</v>
      </c>
      <c r="DV37" s="213"/>
      <c r="DW37" s="216"/>
      <c r="DX37" s="216"/>
      <c r="DY37" s="216"/>
      <c r="DZ37" s="216"/>
      <c r="EA37" s="216"/>
      <c r="EB37" s="212">
        <f>VLOOKUP(E37,'KPI Count-SHARE'!A:F,6,0)</f>
        <v>0</v>
      </c>
      <c r="EC37" s="213"/>
      <c r="ED37" s="216"/>
      <c r="EE37" s="216"/>
      <c r="EF37" s="216"/>
      <c r="EG37" s="216"/>
      <c r="EH37" s="216"/>
      <c r="EI37" s="214" t="s">
        <v>533</v>
      </c>
      <c r="EJ37" s="39">
        <f t="shared" si="101"/>
        <v>3.8356164383561646E-2</v>
      </c>
      <c r="EK37" s="39">
        <f t="shared" si="102"/>
        <v>5.5555555555555552E-2</v>
      </c>
      <c r="EL37" s="39" t="str">
        <f t="shared" si="103"/>
        <v/>
      </c>
      <c r="EM37" s="39">
        <f t="shared" si="104"/>
        <v>8.1632653061224483E-2</v>
      </c>
      <c r="EN37" s="39" t="str">
        <f t="shared" si="105"/>
        <v/>
      </c>
      <c r="EO37" s="39" t="str">
        <f t="shared" si="106"/>
        <v/>
      </c>
      <c r="EP37" s="39" t="str">
        <f t="shared" si="107"/>
        <v/>
      </c>
      <c r="EQ37" s="39" t="str">
        <f t="shared" si="108"/>
        <v/>
      </c>
      <c r="ER37" s="39" t="str">
        <f t="shared" si="109"/>
        <v/>
      </c>
      <c r="ES37" s="39" t="str">
        <f t="shared" si="110"/>
        <v/>
      </c>
      <c r="ET37" s="39" t="str">
        <f t="shared" si="111"/>
        <v/>
      </c>
      <c r="EU37" s="39" t="str">
        <f t="shared" si="165"/>
        <v/>
      </c>
      <c r="EV37" s="39" t="str">
        <f t="shared" si="166"/>
        <v/>
      </c>
      <c r="EW37" s="39" t="str">
        <f t="shared" si="167"/>
        <v/>
      </c>
      <c r="EX37" s="39" t="str">
        <f t="shared" si="168"/>
        <v/>
      </c>
      <c r="EY37" s="39" t="str">
        <f t="shared" si="169"/>
        <v/>
      </c>
      <c r="EZ37" s="39" t="str">
        <f t="shared" si="170"/>
        <v/>
      </c>
      <c r="FA37" s="39" t="str">
        <f t="shared" si="171"/>
        <v/>
      </c>
      <c r="FB37" s="39" t="str">
        <f t="shared" si="172"/>
        <v/>
      </c>
      <c r="FC37" s="39" t="str">
        <f t="shared" si="173"/>
        <v/>
      </c>
      <c r="FD37" s="39" t="str">
        <f t="shared" si="174"/>
        <v/>
      </c>
      <c r="FE37" s="39" t="str">
        <f t="shared" si="175"/>
        <v/>
      </c>
      <c r="FF37" s="39" t="str">
        <f t="shared" si="176"/>
        <v/>
      </c>
      <c r="FG37" s="39" t="str">
        <f t="shared" si="177"/>
        <v/>
      </c>
      <c r="FH37" s="39" t="str">
        <f t="shared" si="178"/>
        <v/>
      </c>
      <c r="FI37" s="39" t="str">
        <f t="shared" si="179"/>
        <v/>
      </c>
      <c r="FJ37" s="39" t="str">
        <f t="shared" si="180"/>
        <v/>
      </c>
      <c r="FK37" s="39" t="str">
        <f t="shared" si="181"/>
        <v/>
      </c>
      <c r="FL37" s="39" t="str">
        <f t="shared" si="182"/>
        <v/>
      </c>
      <c r="FM37" s="39" t="str">
        <f t="shared" si="183"/>
        <v/>
      </c>
      <c r="FN37" s="39" t="str">
        <f t="shared" si="184"/>
        <v/>
      </c>
      <c r="FO37" s="39" t="str">
        <f t="shared" si="185"/>
        <v/>
      </c>
      <c r="FP37" s="39" t="str">
        <f t="shared" si="186"/>
        <v/>
      </c>
      <c r="FQ37" s="39" t="str">
        <f t="shared" si="187"/>
        <v/>
      </c>
      <c r="FR37" s="39" t="str">
        <f t="shared" si="188"/>
        <v/>
      </c>
      <c r="FS37" s="39" t="str">
        <f t="shared" si="189"/>
        <v/>
      </c>
      <c r="FT37" s="39" t="str">
        <f t="shared" si="190"/>
        <v/>
      </c>
      <c r="FU37" s="39" t="str">
        <f t="shared" si="191"/>
        <v/>
      </c>
      <c r="FV37" s="39" t="str">
        <f t="shared" si="192"/>
        <v/>
      </c>
      <c r="FW37" s="39" t="str">
        <f t="shared" si="193"/>
        <v/>
      </c>
      <c r="FX37" s="39" t="str">
        <f t="shared" si="194"/>
        <v/>
      </c>
      <c r="FY37" s="39" t="str">
        <f t="shared" si="195"/>
        <v/>
      </c>
      <c r="FZ37" s="39" t="str">
        <f t="shared" si="196"/>
        <v/>
      </c>
      <c r="GA37" s="39" t="str">
        <f t="shared" si="197"/>
        <v/>
      </c>
      <c r="GB37" s="39" t="str">
        <f t="shared" si="155"/>
        <v/>
      </c>
      <c r="GC37" s="39" t="str">
        <f t="shared" si="156"/>
        <v/>
      </c>
      <c r="GD37" s="39" t="str">
        <f t="shared" si="157"/>
        <v/>
      </c>
      <c r="GE37" s="39" t="str">
        <f t="shared" si="158"/>
        <v/>
      </c>
      <c r="GF37" s="39" t="str">
        <f t="shared" si="232"/>
        <v/>
      </c>
      <c r="GG37" s="39" t="str">
        <f t="shared" si="233"/>
        <v/>
      </c>
      <c r="GH37" s="39" t="str">
        <f t="shared" si="234"/>
        <v/>
      </c>
      <c r="GI37" s="39" t="str">
        <f t="shared" si="235"/>
        <v/>
      </c>
      <c r="GJ37" s="39" t="str">
        <f t="shared" si="236"/>
        <v/>
      </c>
      <c r="GK37" s="39" t="str">
        <f t="shared" si="237"/>
        <v/>
      </c>
      <c r="GL37" s="39" t="str">
        <f t="shared" si="238"/>
        <v/>
      </c>
      <c r="GM37" s="39" t="str">
        <f t="shared" si="239"/>
        <v/>
      </c>
      <c r="GN37" s="39" t="str">
        <f t="shared" si="240"/>
        <v/>
      </c>
      <c r="GO37" s="39" t="str">
        <f t="shared" si="241"/>
        <v/>
      </c>
      <c r="GP37" s="39" t="str">
        <f t="shared" si="242"/>
        <v/>
      </c>
      <c r="GQ37" s="39" t="str">
        <f t="shared" si="243"/>
        <v/>
      </c>
      <c r="GR37" s="39" t="str">
        <f t="shared" si="244"/>
        <v/>
      </c>
      <c r="GS37" s="39" t="str">
        <f t="shared" si="245"/>
        <v/>
      </c>
      <c r="GT37" s="39" t="str">
        <f t="shared" si="246"/>
        <v/>
      </c>
      <c r="GU37" s="39" t="str">
        <f t="shared" si="226"/>
        <v/>
      </c>
      <c r="GV37" s="39" t="str">
        <f t="shared" si="247"/>
        <v/>
      </c>
      <c r="GW37" s="39" t="str">
        <f t="shared" si="248"/>
        <v/>
      </c>
      <c r="GX37" s="39" t="str">
        <f t="shared" si="249"/>
        <v/>
      </c>
      <c r="GY37" s="39" t="str">
        <f t="shared" si="250"/>
        <v/>
      </c>
      <c r="GZ37" s="39" t="str">
        <f t="shared" si="251"/>
        <v/>
      </c>
      <c r="HA37" s="39" t="str">
        <f t="shared" si="252"/>
        <v/>
      </c>
      <c r="HB37" s="39" t="str">
        <f t="shared" si="253"/>
        <v/>
      </c>
      <c r="HC37" s="39" t="str">
        <f t="shared" si="254"/>
        <v/>
      </c>
      <c r="HD37" s="39" t="str">
        <f t="shared" si="255"/>
        <v/>
      </c>
      <c r="HE37" s="39" t="str">
        <f t="shared" si="256"/>
        <v/>
      </c>
      <c r="HF37" s="39" t="str">
        <f t="shared" si="257"/>
        <v/>
      </c>
      <c r="HG37" s="39" t="str">
        <f t="shared" si="258"/>
        <v/>
      </c>
      <c r="HH37" s="39" t="str">
        <f t="shared" si="259"/>
        <v/>
      </c>
      <c r="HI37" s="39" t="str">
        <f t="shared" si="260"/>
        <v/>
      </c>
      <c r="HJ37" s="39" t="str">
        <f t="shared" si="261"/>
        <v/>
      </c>
      <c r="HK37" s="39" t="str">
        <f t="shared" si="228"/>
        <v/>
      </c>
      <c r="HL37" s="39" t="str">
        <f t="shared" si="262"/>
        <v/>
      </c>
      <c r="HM37" s="39" t="str">
        <f t="shared" si="263"/>
        <v/>
      </c>
      <c r="HN37" s="39" t="str">
        <f t="shared" si="264"/>
        <v/>
      </c>
      <c r="HO37" s="39" t="str">
        <f t="shared" si="265"/>
        <v/>
      </c>
      <c r="HP37" s="39" t="str">
        <f t="shared" si="266"/>
        <v/>
      </c>
      <c r="HQ37" s="39" t="str">
        <f t="shared" si="267"/>
        <v/>
      </c>
      <c r="HR37" s="39" t="str">
        <f t="shared" si="268"/>
        <v/>
      </c>
      <c r="HS37" s="39" t="str">
        <f t="shared" si="269"/>
        <v/>
      </c>
      <c r="HT37" s="39" t="str">
        <f t="shared" si="270"/>
        <v/>
      </c>
      <c r="HU37" s="39" t="str">
        <f t="shared" si="271"/>
        <v/>
      </c>
      <c r="HV37" s="39" t="str">
        <f t="shared" si="272"/>
        <v/>
      </c>
      <c r="HW37" s="39" t="str">
        <f t="shared" si="273"/>
        <v/>
      </c>
      <c r="HX37" s="39" t="str">
        <f t="shared" si="274"/>
        <v/>
      </c>
      <c r="HY37" s="39" t="str">
        <f t="shared" si="275"/>
        <v/>
      </c>
      <c r="HZ37" s="39" t="str">
        <f t="shared" si="276"/>
        <v/>
      </c>
      <c r="IA37" s="39" t="str">
        <f t="shared" si="230"/>
        <v/>
      </c>
      <c r="IB37" s="39" t="str">
        <f t="shared" si="277"/>
        <v/>
      </c>
      <c r="IC37" s="39" t="str">
        <f t="shared" si="278"/>
        <v/>
      </c>
      <c r="ID37" s="39" t="str">
        <f t="shared" si="279"/>
        <v/>
      </c>
      <c r="IE37" s="39" t="str">
        <f t="shared" si="68"/>
        <v/>
      </c>
      <c r="IF37" s="39" t="str">
        <f t="shared" si="69"/>
        <v/>
      </c>
      <c r="IG37" s="308">
        <f t="shared" si="70"/>
        <v>0.15273986856808749</v>
      </c>
      <c r="IH37" s="84">
        <f t="shared" si="280"/>
        <v>3.7658445093893607E-2</v>
      </c>
      <c r="II37" s="84">
        <f t="shared" si="281"/>
        <v>8.0583725754625538E-2</v>
      </c>
      <c r="IJ37" s="84">
        <f t="shared" si="282"/>
        <v>0.15212586018917876</v>
      </c>
      <c r="IK37" s="84">
        <f t="shared" si="283"/>
        <v>0.22458900719209507</v>
      </c>
      <c r="IL37" s="84">
        <f t="shared" si="284"/>
        <v>0.26806689539384482</v>
      </c>
      <c r="IM37" s="308" t="str">
        <f t="shared" si="76"/>
        <v/>
      </c>
      <c r="IN37" s="84" t="str">
        <f t="shared" si="285"/>
        <v/>
      </c>
      <c r="IO37" s="84" t="str">
        <f t="shared" si="286"/>
        <v/>
      </c>
      <c r="IP37" s="84" t="str">
        <f t="shared" si="287"/>
        <v/>
      </c>
      <c r="IQ37" s="84" t="str">
        <f t="shared" si="288"/>
        <v/>
      </c>
      <c r="IR37" s="84" t="str">
        <f t="shared" si="289"/>
        <v/>
      </c>
      <c r="IS37" s="308" t="str">
        <f t="shared" si="82"/>
        <v/>
      </c>
      <c r="IT37" s="84" t="str">
        <f t="shared" si="290"/>
        <v/>
      </c>
      <c r="IU37" s="84" t="str">
        <f t="shared" si="291"/>
        <v/>
      </c>
      <c r="IV37" s="84" t="str">
        <f t="shared" si="292"/>
        <v/>
      </c>
      <c r="IW37" s="84" t="str">
        <f t="shared" si="293"/>
        <v/>
      </c>
      <c r="IX37" s="84" t="str">
        <f t="shared" si="294"/>
        <v/>
      </c>
      <c r="IY37" s="308" t="str">
        <f t="shared" si="88"/>
        <v/>
      </c>
      <c r="IZ37" s="84" t="str">
        <f t="shared" si="295"/>
        <v/>
      </c>
      <c r="JA37" s="84" t="str">
        <f t="shared" si="296"/>
        <v/>
      </c>
      <c r="JB37" s="84" t="str">
        <f t="shared" si="297"/>
        <v/>
      </c>
      <c r="JC37" s="84" t="str">
        <f t="shared" si="298"/>
        <v/>
      </c>
      <c r="JD37" s="309" t="str">
        <f t="shared" si="299"/>
        <v/>
      </c>
      <c r="JF37" s="66">
        <f t="shared" si="224"/>
        <v>37</v>
      </c>
      <c r="JG37" s="66">
        <f t="shared" ca="1" si="95"/>
        <v>8.0583725754625538E-2</v>
      </c>
      <c r="JH37" s="66">
        <f t="shared" ca="1" si="96"/>
        <v>0.15212586018917876</v>
      </c>
      <c r="JI37" s="66">
        <f t="shared" ca="1" si="97"/>
        <v>0.22458900719209507</v>
      </c>
      <c r="JJ37" s="66">
        <f t="shared" ca="1" si="98"/>
        <v>3</v>
      </c>
      <c r="JK37" s="33"/>
      <c r="JL37" s="74">
        <f t="shared" ca="1" si="121"/>
        <v>8.0583725754625538E-2</v>
      </c>
      <c r="JM37" s="75">
        <f t="shared" ca="1" si="99"/>
        <v>0.11635479297190215</v>
      </c>
      <c r="JN37" s="75">
        <f t="shared" ca="1" si="100"/>
        <v>0.1883574336906369</v>
      </c>
      <c r="JO37" s="74">
        <f t="shared" ca="1" si="122"/>
        <v>0.22458900719209507</v>
      </c>
      <c r="JP37" s="74">
        <f t="shared" ca="1" si="123"/>
        <v>0.6098849596092597</v>
      </c>
    </row>
    <row r="38" spans="1:276" s="1" customFormat="1" x14ac:dyDescent="0.35">
      <c r="A38" s="125">
        <v>0</v>
      </c>
      <c r="B38" s="125">
        <v>0</v>
      </c>
      <c r="C38" s="125">
        <v>1</v>
      </c>
      <c r="E38" s="142" t="s">
        <v>64</v>
      </c>
      <c r="F38" s="208" t="s">
        <v>65</v>
      </c>
      <c r="G38" s="209" t="s">
        <v>542</v>
      </c>
      <c r="H38" s="210" t="s">
        <v>533</v>
      </c>
      <c r="I38" s="8" t="s">
        <v>534</v>
      </c>
      <c r="J38" s="211">
        <v>7.9452054794520555E-2</v>
      </c>
      <c r="K38" s="215">
        <v>8.8888888888888892E-2</v>
      </c>
      <c r="L38" s="215">
        <v>7.3529411764705885E-2</v>
      </c>
      <c r="M38" s="215">
        <v>6.1224489795918366E-2</v>
      </c>
      <c r="N38" s="215" t="s">
        <v>805</v>
      </c>
      <c r="O38" s="215" t="s">
        <v>805</v>
      </c>
      <c r="P38" s="215" t="s">
        <v>805</v>
      </c>
      <c r="Q38" s="215" t="s">
        <v>805</v>
      </c>
      <c r="R38" s="215" t="s">
        <v>805</v>
      </c>
      <c r="S38" s="215" t="s">
        <v>805</v>
      </c>
      <c r="T38" s="215" t="s">
        <v>805</v>
      </c>
      <c r="U38" s="215" t="s">
        <v>805</v>
      </c>
      <c r="V38" s="215" t="s">
        <v>805</v>
      </c>
      <c r="W38" s="215" t="s">
        <v>805</v>
      </c>
      <c r="X38" s="215" t="s">
        <v>805</v>
      </c>
      <c r="Y38" s="215" t="s">
        <v>805</v>
      </c>
      <c r="Z38" s="215" t="s">
        <v>805</v>
      </c>
      <c r="AA38" s="215" t="s">
        <v>805</v>
      </c>
      <c r="AB38" s="215" t="s">
        <v>805</v>
      </c>
      <c r="AC38" s="215" t="s">
        <v>805</v>
      </c>
      <c r="AD38" s="215" t="s">
        <v>805</v>
      </c>
      <c r="AE38" s="215" t="s">
        <v>805</v>
      </c>
      <c r="AF38" s="215" t="s">
        <v>805</v>
      </c>
      <c r="AG38" s="215" t="s">
        <v>805</v>
      </c>
      <c r="AH38" s="215" t="s">
        <v>805</v>
      </c>
      <c r="AI38" s="215" t="s">
        <v>805</v>
      </c>
      <c r="AJ38" s="215" t="s">
        <v>805</v>
      </c>
      <c r="AK38" s="215" t="s">
        <v>805</v>
      </c>
      <c r="AL38" s="215" t="s">
        <v>805</v>
      </c>
      <c r="AM38" s="215" t="s">
        <v>805</v>
      </c>
      <c r="AN38" s="215" t="s">
        <v>805</v>
      </c>
      <c r="AO38" s="215" t="s">
        <v>805</v>
      </c>
      <c r="AP38" s="215" t="s">
        <v>805</v>
      </c>
      <c r="AQ38" s="215" t="s">
        <v>805</v>
      </c>
      <c r="AR38" s="215" t="s">
        <v>805</v>
      </c>
      <c r="AS38" s="215" t="s">
        <v>805</v>
      </c>
      <c r="AT38" s="215" t="s">
        <v>805</v>
      </c>
      <c r="AU38" s="215" t="s">
        <v>805</v>
      </c>
      <c r="AV38" s="215" t="s">
        <v>805</v>
      </c>
      <c r="AW38" s="215" t="s">
        <v>805</v>
      </c>
      <c r="AX38" s="215" t="s">
        <v>805</v>
      </c>
      <c r="AY38" s="215" t="s">
        <v>805</v>
      </c>
      <c r="AZ38" s="215" t="s">
        <v>805</v>
      </c>
      <c r="BA38" s="215" t="s">
        <v>805</v>
      </c>
      <c r="BB38" s="215" t="s">
        <v>805</v>
      </c>
      <c r="BC38" s="215" t="s">
        <v>805</v>
      </c>
      <c r="BD38" s="215" t="s">
        <v>805</v>
      </c>
      <c r="BE38" s="215" t="s">
        <v>805</v>
      </c>
      <c r="BF38" s="215" t="s">
        <v>805</v>
      </c>
      <c r="BG38" s="215" t="s">
        <v>805</v>
      </c>
      <c r="BH38" s="215" t="s">
        <v>805</v>
      </c>
      <c r="BI38" s="215" t="s">
        <v>805</v>
      </c>
      <c r="BJ38" s="215" t="s">
        <v>805</v>
      </c>
      <c r="BK38" s="215" t="s">
        <v>805</v>
      </c>
      <c r="BL38" s="215" t="s">
        <v>805</v>
      </c>
      <c r="BM38" s="215" t="s">
        <v>805</v>
      </c>
      <c r="BN38" s="215" t="s">
        <v>805</v>
      </c>
      <c r="BO38" s="215" t="s">
        <v>805</v>
      </c>
      <c r="BP38" s="215" t="s">
        <v>805</v>
      </c>
      <c r="BQ38" s="215" t="s">
        <v>805</v>
      </c>
      <c r="BR38" s="215" t="s">
        <v>805</v>
      </c>
      <c r="BS38" s="215" t="s">
        <v>805</v>
      </c>
      <c r="BT38" s="215" t="s">
        <v>805</v>
      </c>
      <c r="BU38" s="215" t="s">
        <v>805</v>
      </c>
      <c r="BV38" s="215" t="s">
        <v>805</v>
      </c>
      <c r="BW38" s="215" t="s">
        <v>805</v>
      </c>
      <c r="BX38" s="215" t="s">
        <v>805</v>
      </c>
      <c r="BY38" s="215" t="s">
        <v>805</v>
      </c>
      <c r="BZ38" s="215" t="s">
        <v>805</v>
      </c>
      <c r="CA38" s="215" t="s">
        <v>805</v>
      </c>
      <c r="CB38" s="215" t="s">
        <v>805</v>
      </c>
      <c r="CC38" s="215" t="s">
        <v>805</v>
      </c>
      <c r="CD38" s="215" t="s">
        <v>805</v>
      </c>
      <c r="CE38" s="215" t="s">
        <v>805</v>
      </c>
      <c r="CF38" s="215" t="s">
        <v>805</v>
      </c>
      <c r="CG38" s="215" t="s">
        <v>805</v>
      </c>
      <c r="CH38" s="215" t="s">
        <v>805</v>
      </c>
      <c r="CI38" s="215" t="s">
        <v>805</v>
      </c>
      <c r="CJ38" s="215" t="s">
        <v>805</v>
      </c>
      <c r="CK38" s="215" t="s">
        <v>805</v>
      </c>
      <c r="CL38" s="215" t="s">
        <v>805</v>
      </c>
      <c r="CM38" s="215" t="s">
        <v>805</v>
      </c>
      <c r="CN38" s="215" t="s">
        <v>805</v>
      </c>
      <c r="CO38" s="215" t="s">
        <v>805</v>
      </c>
      <c r="CP38" s="215" t="s">
        <v>805</v>
      </c>
      <c r="CQ38" s="215" t="s">
        <v>805</v>
      </c>
      <c r="CR38" s="215" t="s">
        <v>805</v>
      </c>
      <c r="CS38" s="215" t="s">
        <v>805</v>
      </c>
      <c r="CT38" s="215" t="s">
        <v>805</v>
      </c>
      <c r="CU38" s="215" t="s">
        <v>805</v>
      </c>
      <c r="CV38" s="215" t="s">
        <v>805</v>
      </c>
      <c r="CW38" s="215" t="s">
        <v>805</v>
      </c>
      <c r="CX38" s="215" t="s">
        <v>805</v>
      </c>
      <c r="CY38" s="215" t="s">
        <v>805</v>
      </c>
      <c r="CZ38" s="215" t="s">
        <v>805</v>
      </c>
      <c r="DA38" s="215" t="s">
        <v>805</v>
      </c>
      <c r="DB38" s="215" t="s">
        <v>805</v>
      </c>
      <c r="DC38" s="215" t="s">
        <v>805</v>
      </c>
      <c r="DD38" s="215" t="s">
        <v>805</v>
      </c>
      <c r="DE38" s="215" t="s">
        <v>805</v>
      </c>
      <c r="DF38" s="215" t="s">
        <v>805</v>
      </c>
      <c r="DG38" s="212">
        <f>VLOOKUP(E38,'KPI Count-SHARE'!A:F,3,0)</f>
        <v>1</v>
      </c>
      <c r="DH38" s="213">
        <v>8.6799276672694395E-2</v>
      </c>
      <c r="DI38" s="216">
        <v>8.6799276672694395E-2</v>
      </c>
      <c r="DJ38" s="216">
        <v>8.6799276672694395E-2</v>
      </c>
      <c r="DK38" s="216">
        <v>8.6799276672694395E-2</v>
      </c>
      <c r="DL38" s="216">
        <v>8.6799276672694395E-2</v>
      </c>
      <c r="DM38" s="216">
        <v>8.6799276672694395E-2</v>
      </c>
      <c r="DN38" s="212">
        <f>VLOOKUP(E38,'KPI Count-SHARE'!A:F,4,0)</f>
        <v>0</v>
      </c>
      <c r="DO38" s="213"/>
      <c r="DP38" s="216"/>
      <c r="DQ38" s="216"/>
      <c r="DR38" s="216"/>
      <c r="DS38" s="216"/>
      <c r="DT38" s="216"/>
      <c r="DU38" s="212">
        <f>VLOOKUP(E38,'KPI Count-SHARE'!A:F,5,0)</f>
        <v>0</v>
      </c>
      <c r="DV38" s="213"/>
      <c r="DW38" s="216"/>
      <c r="DX38" s="216"/>
      <c r="DY38" s="216"/>
      <c r="DZ38" s="216"/>
      <c r="EA38" s="216"/>
      <c r="EB38" s="212">
        <f>VLOOKUP(E38,'KPI Count-SHARE'!A:F,6,0)</f>
        <v>0</v>
      </c>
      <c r="EC38" s="213"/>
      <c r="ED38" s="216"/>
      <c r="EE38" s="216"/>
      <c r="EF38" s="216"/>
      <c r="EG38" s="216"/>
      <c r="EH38" s="216"/>
      <c r="EI38" s="214" t="s">
        <v>533</v>
      </c>
      <c r="EJ38" s="39">
        <f t="shared" si="101"/>
        <v>7.9452054794520555E-2</v>
      </c>
      <c r="EK38" s="39">
        <f t="shared" si="102"/>
        <v>8.8888888888888892E-2</v>
      </c>
      <c r="EL38" s="39">
        <f t="shared" si="103"/>
        <v>7.3529411764705885E-2</v>
      </c>
      <c r="EM38" s="39">
        <f t="shared" si="104"/>
        <v>6.1224489795918366E-2</v>
      </c>
      <c r="EN38" s="39" t="str">
        <f t="shared" si="105"/>
        <v/>
      </c>
      <c r="EO38" s="39" t="str">
        <f t="shared" si="106"/>
        <v/>
      </c>
      <c r="EP38" s="39" t="str">
        <f t="shared" si="107"/>
        <v/>
      </c>
      <c r="EQ38" s="39" t="str">
        <f t="shared" si="108"/>
        <v/>
      </c>
      <c r="ER38" s="39" t="str">
        <f t="shared" si="109"/>
        <v/>
      </c>
      <c r="ES38" s="39" t="str">
        <f t="shared" si="110"/>
        <v/>
      </c>
      <c r="ET38" s="39" t="str">
        <f t="shared" si="111"/>
        <v/>
      </c>
      <c r="EU38" s="39" t="str">
        <f t="shared" si="165"/>
        <v/>
      </c>
      <c r="EV38" s="39" t="str">
        <f t="shared" si="166"/>
        <v/>
      </c>
      <c r="EW38" s="39" t="str">
        <f t="shared" si="167"/>
        <v/>
      </c>
      <c r="EX38" s="39" t="str">
        <f t="shared" si="168"/>
        <v/>
      </c>
      <c r="EY38" s="39" t="str">
        <f t="shared" si="169"/>
        <v/>
      </c>
      <c r="EZ38" s="39" t="str">
        <f t="shared" si="170"/>
        <v/>
      </c>
      <c r="FA38" s="39" t="str">
        <f t="shared" si="171"/>
        <v/>
      </c>
      <c r="FB38" s="39" t="str">
        <f t="shared" si="172"/>
        <v/>
      </c>
      <c r="FC38" s="39" t="str">
        <f t="shared" si="173"/>
        <v/>
      </c>
      <c r="FD38" s="39" t="str">
        <f t="shared" si="174"/>
        <v/>
      </c>
      <c r="FE38" s="39" t="str">
        <f t="shared" si="175"/>
        <v/>
      </c>
      <c r="FF38" s="39" t="str">
        <f t="shared" si="176"/>
        <v/>
      </c>
      <c r="FG38" s="39" t="str">
        <f t="shared" si="177"/>
        <v/>
      </c>
      <c r="FH38" s="39" t="str">
        <f t="shared" si="178"/>
        <v/>
      </c>
      <c r="FI38" s="39" t="str">
        <f t="shared" si="179"/>
        <v/>
      </c>
      <c r="FJ38" s="39" t="str">
        <f t="shared" si="180"/>
        <v/>
      </c>
      <c r="FK38" s="39" t="str">
        <f t="shared" si="181"/>
        <v/>
      </c>
      <c r="FL38" s="39" t="str">
        <f t="shared" si="182"/>
        <v/>
      </c>
      <c r="FM38" s="39" t="str">
        <f t="shared" si="183"/>
        <v/>
      </c>
      <c r="FN38" s="39" t="str">
        <f t="shared" si="184"/>
        <v/>
      </c>
      <c r="FO38" s="39" t="str">
        <f t="shared" si="185"/>
        <v/>
      </c>
      <c r="FP38" s="39" t="str">
        <f t="shared" si="186"/>
        <v/>
      </c>
      <c r="FQ38" s="39" t="str">
        <f t="shared" si="187"/>
        <v/>
      </c>
      <c r="FR38" s="39" t="str">
        <f t="shared" si="188"/>
        <v/>
      </c>
      <c r="FS38" s="39" t="str">
        <f t="shared" si="189"/>
        <v/>
      </c>
      <c r="FT38" s="39" t="str">
        <f t="shared" si="190"/>
        <v/>
      </c>
      <c r="FU38" s="39" t="str">
        <f t="shared" si="191"/>
        <v/>
      </c>
      <c r="FV38" s="39" t="str">
        <f t="shared" si="192"/>
        <v/>
      </c>
      <c r="FW38" s="39" t="str">
        <f t="shared" si="193"/>
        <v/>
      </c>
      <c r="FX38" s="39" t="str">
        <f t="shared" si="194"/>
        <v/>
      </c>
      <c r="FY38" s="39" t="str">
        <f t="shared" si="195"/>
        <v/>
      </c>
      <c r="FZ38" s="39" t="str">
        <f t="shared" si="196"/>
        <v/>
      </c>
      <c r="GA38" s="39" t="str">
        <f t="shared" si="197"/>
        <v/>
      </c>
      <c r="GB38" s="39" t="str">
        <f t="shared" si="155"/>
        <v/>
      </c>
      <c r="GC38" s="39" t="str">
        <f t="shared" si="156"/>
        <v/>
      </c>
      <c r="GD38" s="39" t="str">
        <f t="shared" si="157"/>
        <v/>
      </c>
      <c r="GE38" s="39" t="str">
        <f t="shared" si="158"/>
        <v/>
      </c>
      <c r="GF38" s="39" t="str">
        <f t="shared" si="232"/>
        <v/>
      </c>
      <c r="GG38" s="39" t="str">
        <f t="shared" si="233"/>
        <v/>
      </c>
      <c r="GH38" s="39" t="str">
        <f t="shared" si="234"/>
        <v/>
      </c>
      <c r="GI38" s="39" t="str">
        <f t="shared" si="235"/>
        <v/>
      </c>
      <c r="GJ38" s="39" t="str">
        <f t="shared" si="236"/>
        <v/>
      </c>
      <c r="GK38" s="39" t="str">
        <f t="shared" si="237"/>
        <v/>
      </c>
      <c r="GL38" s="39" t="str">
        <f t="shared" si="238"/>
        <v/>
      </c>
      <c r="GM38" s="39" t="str">
        <f t="shared" si="239"/>
        <v/>
      </c>
      <c r="GN38" s="39" t="str">
        <f t="shared" si="240"/>
        <v/>
      </c>
      <c r="GO38" s="39" t="str">
        <f t="shared" si="241"/>
        <v/>
      </c>
      <c r="GP38" s="39" t="str">
        <f t="shared" si="242"/>
        <v/>
      </c>
      <c r="GQ38" s="39" t="str">
        <f t="shared" si="243"/>
        <v/>
      </c>
      <c r="GR38" s="39" t="str">
        <f t="shared" si="244"/>
        <v/>
      </c>
      <c r="GS38" s="39" t="str">
        <f t="shared" si="245"/>
        <v/>
      </c>
      <c r="GT38" s="39" t="str">
        <f t="shared" si="246"/>
        <v/>
      </c>
      <c r="GU38" s="39" t="str">
        <f t="shared" si="226"/>
        <v/>
      </c>
      <c r="GV38" s="39" t="str">
        <f t="shared" si="247"/>
        <v/>
      </c>
      <c r="GW38" s="39" t="str">
        <f t="shared" si="248"/>
        <v/>
      </c>
      <c r="GX38" s="39" t="str">
        <f t="shared" si="249"/>
        <v/>
      </c>
      <c r="GY38" s="39" t="str">
        <f t="shared" si="250"/>
        <v/>
      </c>
      <c r="GZ38" s="39" t="str">
        <f t="shared" si="251"/>
        <v/>
      </c>
      <c r="HA38" s="39" t="str">
        <f t="shared" si="252"/>
        <v/>
      </c>
      <c r="HB38" s="39" t="str">
        <f t="shared" si="253"/>
        <v/>
      </c>
      <c r="HC38" s="39" t="str">
        <f t="shared" si="254"/>
        <v/>
      </c>
      <c r="HD38" s="39" t="str">
        <f t="shared" si="255"/>
        <v/>
      </c>
      <c r="HE38" s="39" t="str">
        <f t="shared" si="256"/>
        <v/>
      </c>
      <c r="HF38" s="39" t="str">
        <f t="shared" si="257"/>
        <v/>
      </c>
      <c r="HG38" s="39" t="str">
        <f t="shared" si="258"/>
        <v/>
      </c>
      <c r="HH38" s="39" t="str">
        <f t="shared" si="259"/>
        <v/>
      </c>
      <c r="HI38" s="39" t="str">
        <f t="shared" si="260"/>
        <v/>
      </c>
      <c r="HJ38" s="39" t="str">
        <f t="shared" si="261"/>
        <v/>
      </c>
      <c r="HK38" s="39" t="str">
        <f t="shared" si="228"/>
        <v/>
      </c>
      <c r="HL38" s="39" t="str">
        <f t="shared" si="262"/>
        <v/>
      </c>
      <c r="HM38" s="39" t="str">
        <f t="shared" si="263"/>
        <v/>
      </c>
      <c r="HN38" s="39" t="str">
        <f t="shared" si="264"/>
        <v/>
      </c>
      <c r="HO38" s="39" t="str">
        <f t="shared" si="265"/>
        <v/>
      </c>
      <c r="HP38" s="39" t="str">
        <f t="shared" si="266"/>
        <v/>
      </c>
      <c r="HQ38" s="39" t="str">
        <f t="shared" si="267"/>
        <v/>
      </c>
      <c r="HR38" s="39" t="str">
        <f t="shared" si="268"/>
        <v/>
      </c>
      <c r="HS38" s="39" t="str">
        <f t="shared" si="269"/>
        <v/>
      </c>
      <c r="HT38" s="39" t="str">
        <f t="shared" si="270"/>
        <v/>
      </c>
      <c r="HU38" s="39" t="str">
        <f t="shared" si="271"/>
        <v/>
      </c>
      <c r="HV38" s="39" t="str">
        <f t="shared" si="272"/>
        <v/>
      </c>
      <c r="HW38" s="39" t="str">
        <f t="shared" si="273"/>
        <v/>
      </c>
      <c r="HX38" s="39" t="str">
        <f t="shared" si="274"/>
        <v/>
      </c>
      <c r="HY38" s="39" t="str">
        <f t="shared" si="275"/>
        <v/>
      </c>
      <c r="HZ38" s="39" t="str">
        <f t="shared" si="276"/>
        <v/>
      </c>
      <c r="IA38" s="39" t="str">
        <f t="shared" si="230"/>
        <v/>
      </c>
      <c r="IB38" s="39" t="str">
        <f t="shared" si="277"/>
        <v/>
      </c>
      <c r="IC38" s="39" t="str">
        <f t="shared" si="278"/>
        <v/>
      </c>
      <c r="ID38" s="39" t="str">
        <f t="shared" si="279"/>
        <v/>
      </c>
      <c r="IE38" s="39" t="str">
        <f t="shared" si="68"/>
        <v/>
      </c>
      <c r="IF38" s="39" t="str">
        <f t="shared" si="69"/>
        <v/>
      </c>
      <c r="IG38" s="308">
        <f t="shared" si="70"/>
        <v>8.6799276672694395E-2</v>
      </c>
      <c r="IH38" s="84">
        <f t="shared" si="280"/>
        <v>8.6799276672694395E-2</v>
      </c>
      <c r="II38" s="84">
        <f t="shared" si="281"/>
        <v>8.6799276672694395E-2</v>
      </c>
      <c r="IJ38" s="84">
        <f t="shared" si="282"/>
        <v>8.6799276672694395E-2</v>
      </c>
      <c r="IK38" s="84">
        <f t="shared" si="283"/>
        <v>8.6799276672694395E-2</v>
      </c>
      <c r="IL38" s="84">
        <f t="shared" si="284"/>
        <v>8.6799276672694395E-2</v>
      </c>
      <c r="IM38" s="308" t="str">
        <f t="shared" si="76"/>
        <v/>
      </c>
      <c r="IN38" s="84" t="str">
        <f t="shared" si="285"/>
        <v/>
      </c>
      <c r="IO38" s="84" t="str">
        <f t="shared" si="286"/>
        <v/>
      </c>
      <c r="IP38" s="84" t="str">
        <f t="shared" si="287"/>
        <v/>
      </c>
      <c r="IQ38" s="84" t="str">
        <f t="shared" si="288"/>
        <v/>
      </c>
      <c r="IR38" s="84" t="str">
        <f t="shared" si="289"/>
        <v/>
      </c>
      <c r="IS38" s="308" t="str">
        <f t="shared" si="82"/>
        <v/>
      </c>
      <c r="IT38" s="84" t="str">
        <f t="shared" si="290"/>
        <v/>
      </c>
      <c r="IU38" s="84" t="str">
        <f t="shared" si="291"/>
        <v/>
      </c>
      <c r="IV38" s="84" t="str">
        <f t="shared" si="292"/>
        <v/>
      </c>
      <c r="IW38" s="84" t="str">
        <f t="shared" si="293"/>
        <v/>
      </c>
      <c r="IX38" s="84" t="str">
        <f t="shared" si="294"/>
        <v/>
      </c>
      <c r="IY38" s="308" t="str">
        <f t="shared" si="88"/>
        <v/>
      </c>
      <c r="IZ38" s="84" t="str">
        <f t="shared" si="295"/>
        <v/>
      </c>
      <c r="JA38" s="84" t="str">
        <f t="shared" si="296"/>
        <v/>
      </c>
      <c r="JB38" s="84" t="str">
        <f t="shared" si="297"/>
        <v/>
      </c>
      <c r="JC38" s="84" t="str">
        <f t="shared" si="298"/>
        <v/>
      </c>
      <c r="JD38" s="309" t="str">
        <f t="shared" si="299"/>
        <v/>
      </c>
      <c r="JF38" s="66">
        <f t="shared" si="224"/>
        <v>38</v>
      </c>
      <c r="JG38" s="66">
        <f t="shared" ca="1" si="95"/>
        <v>8.6799276672694395E-2</v>
      </c>
      <c r="JH38" s="66">
        <f t="shared" ca="1" si="96"/>
        <v>8.6799276672694395E-2</v>
      </c>
      <c r="JI38" s="66">
        <f t="shared" ca="1" si="97"/>
        <v>8.6799276672694395E-2</v>
      </c>
      <c r="JJ38" s="66">
        <f t="shared" ca="1" si="98"/>
        <v>1</v>
      </c>
      <c r="JK38" s="33"/>
      <c r="JL38" s="74">
        <f t="shared" ca="1" si="121"/>
        <v>8.6799276672694395E-2</v>
      </c>
      <c r="JM38" s="75">
        <f t="shared" ca="1" si="99"/>
        <v>8.6799276672694395E-2</v>
      </c>
      <c r="JN38" s="75">
        <f t="shared" ca="1" si="100"/>
        <v>8.6799276672694395E-2</v>
      </c>
      <c r="JO38" s="74">
        <f t="shared" ca="1" si="122"/>
        <v>8.6799276672694395E-2</v>
      </c>
      <c r="JP38" s="74">
        <f t="shared" ca="1" si="123"/>
        <v>0.34719710669077758</v>
      </c>
    </row>
    <row r="39" spans="1:276" s="1" customFormat="1" x14ac:dyDescent="0.35">
      <c r="A39" s="125">
        <v>0</v>
      </c>
      <c r="B39" s="125">
        <v>0</v>
      </c>
      <c r="C39" s="125">
        <v>1</v>
      </c>
      <c r="E39" s="142" t="s">
        <v>66</v>
      </c>
      <c r="F39" s="224" t="s">
        <v>67</v>
      </c>
      <c r="G39" s="209" t="s">
        <v>542</v>
      </c>
      <c r="H39" s="210" t="s">
        <v>533</v>
      </c>
      <c r="I39" s="8" t="s">
        <v>534</v>
      </c>
      <c r="J39" s="211">
        <v>8.21917808219178E-3</v>
      </c>
      <c r="K39" s="215">
        <v>1.6666666666666666E-2</v>
      </c>
      <c r="L39" s="215" t="s">
        <v>805</v>
      </c>
      <c r="M39" s="215" t="s">
        <v>805</v>
      </c>
      <c r="N39" s="215" t="s">
        <v>805</v>
      </c>
      <c r="O39" s="215" t="s">
        <v>805</v>
      </c>
      <c r="P39" s="215" t="s">
        <v>805</v>
      </c>
      <c r="Q39" s="215" t="s">
        <v>805</v>
      </c>
      <c r="R39" s="215" t="s">
        <v>805</v>
      </c>
      <c r="S39" s="215" t="s">
        <v>805</v>
      </c>
      <c r="T39" s="215" t="s">
        <v>805</v>
      </c>
      <c r="U39" s="215" t="s">
        <v>805</v>
      </c>
      <c r="V39" s="215" t="s">
        <v>805</v>
      </c>
      <c r="W39" s="215" t="s">
        <v>805</v>
      </c>
      <c r="X39" s="215" t="s">
        <v>805</v>
      </c>
      <c r="Y39" s="215" t="s">
        <v>805</v>
      </c>
      <c r="Z39" s="215" t="s">
        <v>805</v>
      </c>
      <c r="AA39" s="215" t="s">
        <v>805</v>
      </c>
      <c r="AB39" s="215" t="s">
        <v>805</v>
      </c>
      <c r="AC39" s="215" t="s">
        <v>805</v>
      </c>
      <c r="AD39" s="215" t="s">
        <v>805</v>
      </c>
      <c r="AE39" s="215" t="s">
        <v>805</v>
      </c>
      <c r="AF39" s="215" t="s">
        <v>805</v>
      </c>
      <c r="AG39" s="215" t="s">
        <v>805</v>
      </c>
      <c r="AH39" s="215" t="s">
        <v>805</v>
      </c>
      <c r="AI39" s="215" t="s">
        <v>805</v>
      </c>
      <c r="AJ39" s="215" t="s">
        <v>805</v>
      </c>
      <c r="AK39" s="215" t="s">
        <v>805</v>
      </c>
      <c r="AL39" s="215" t="s">
        <v>805</v>
      </c>
      <c r="AM39" s="215" t="s">
        <v>805</v>
      </c>
      <c r="AN39" s="215" t="s">
        <v>805</v>
      </c>
      <c r="AO39" s="215" t="s">
        <v>805</v>
      </c>
      <c r="AP39" s="215" t="s">
        <v>805</v>
      </c>
      <c r="AQ39" s="215" t="s">
        <v>805</v>
      </c>
      <c r="AR39" s="215" t="s">
        <v>805</v>
      </c>
      <c r="AS39" s="215" t="s">
        <v>805</v>
      </c>
      <c r="AT39" s="215" t="s">
        <v>805</v>
      </c>
      <c r="AU39" s="215" t="s">
        <v>805</v>
      </c>
      <c r="AV39" s="215" t="s">
        <v>805</v>
      </c>
      <c r="AW39" s="215" t="s">
        <v>805</v>
      </c>
      <c r="AX39" s="215" t="s">
        <v>805</v>
      </c>
      <c r="AY39" s="215" t="s">
        <v>805</v>
      </c>
      <c r="AZ39" s="215" t="s">
        <v>805</v>
      </c>
      <c r="BA39" s="215" t="s">
        <v>805</v>
      </c>
      <c r="BB39" s="215" t="s">
        <v>805</v>
      </c>
      <c r="BC39" s="215" t="s">
        <v>805</v>
      </c>
      <c r="BD39" s="215" t="s">
        <v>805</v>
      </c>
      <c r="BE39" s="215" t="s">
        <v>805</v>
      </c>
      <c r="BF39" s="215" t="s">
        <v>805</v>
      </c>
      <c r="BG39" s="215" t="s">
        <v>805</v>
      </c>
      <c r="BH39" s="215" t="s">
        <v>805</v>
      </c>
      <c r="BI39" s="215" t="s">
        <v>805</v>
      </c>
      <c r="BJ39" s="215" t="s">
        <v>805</v>
      </c>
      <c r="BK39" s="215" t="s">
        <v>805</v>
      </c>
      <c r="BL39" s="215" t="s">
        <v>805</v>
      </c>
      <c r="BM39" s="215" t="s">
        <v>805</v>
      </c>
      <c r="BN39" s="215" t="s">
        <v>805</v>
      </c>
      <c r="BO39" s="215" t="s">
        <v>805</v>
      </c>
      <c r="BP39" s="215" t="s">
        <v>805</v>
      </c>
      <c r="BQ39" s="215" t="s">
        <v>805</v>
      </c>
      <c r="BR39" s="215" t="s">
        <v>805</v>
      </c>
      <c r="BS39" s="215" t="s">
        <v>805</v>
      </c>
      <c r="BT39" s="215" t="s">
        <v>805</v>
      </c>
      <c r="BU39" s="215" t="s">
        <v>805</v>
      </c>
      <c r="BV39" s="215" t="s">
        <v>805</v>
      </c>
      <c r="BW39" s="215" t="s">
        <v>805</v>
      </c>
      <c r="BX39" s="215" t="s">
        <v>805</v>
      </c>
      <c r="BY39" s="215" t="s">
        <v>805</v>
      </c>
      <c r="BZ39" s="215" t="s">
        <v>805</v>
      </c>
      <c r="CA39" s="215" t="s">
        <v>805</v>
      </c>
      <c r="CB39" s="215" t="s">
        <v>805</v>
      </c>
      <c r="CC39" s="215" t="s">
        <v>805</v>
      </c>
      <c r="CD39" s="215" t="s">
        <v>805</v>
      </c>
      <c r="CE39" s="215" t="s">
        <v>805</v>
      </c>
      <c r="CF39" s="215" t="s">
        <v>805</v>
      </c>
      <c r="CG39" s="215" t="s">
        <v>805</v>
      </c>
      <c r="CH39" s="215" t="s">
        <v>805</v>
      </c>
      <c r="CI39" s="215" t="s">
        <v>805</v>
      </c>
      <c r="CJ39" s="215" t="s">
        <v>805</v>
      </c>
      <c r="CK39" s="215" t="s">
        <v>805</v>
      </c>
      <c r="CL39" s="215" t="s">
        <v>805</v>
      </c>
      <c r="CM39" s="215" t="s">
        <v>805</v>
      </c>
      <c r="CN39" s="215" t="s">
        <v>805</v>
      </c>
      <c r="CO39" s="215" t="s">
        <v>805</v>
      </c>
      <c r="CP39" s="215" t="s">
        <v>805</v>
      </c>
      <c r="CQ39" s="215" t="s">
        <v>805</v>
      </c>
      <c r="CR39" s="215" t="s">
        <v>805</v>
      </c>
      <c r="CS39" s="215" t="s">
        <v>805</v>
      </c>
      <c r="CT39" s="215" t="s">
        <v>805</v>
      </c>
      <c r="CU39" s="215" t="s">
        <v>805</v>
      </c>
      <c r="CV39" s="215" t="s">
        <v>805</v>
      </c>
      <c r="CW39" s="215" t="s">
        <v>805</v>
      </c>
      <c r="CX39" s="215" t="s">
        <v>805</v>
      </c>
      <c r="CY39" s="215" t="s">
        <v>805</v>
      </c>
      <c r="CZ39" s="215" t="s">
        <v>805</v>
      </c>
      <c r="DA39" s="215" t="s">
        <v>805</v>
      </c>
      <c r="DB39" s="215" t="s">
        <v>805</v>
      </c>
      <c r="DC39" s="215" t="s">
        <v>805</v>
      </c>
      <c r="DD39" s="215" t="s">
        <v>805</v>
      </c>
      <c r="DE39" s="215" t="s">
        <v>805</v>
      </c>
      <c r="DF39" s="215" t="s">
        <v>805</v>
      </c>
      <c r="DG39" s="212">
        <f>VLOOKUP(E39,'KPI Count-SHARE'!A:F,3,0)</f>
        <v>1</v>
      </c>
      <c r="DH39" s="213">
        <v>1.8806509255931827E-2</v>
      </c>
      <c r="DI39" s="216">
        <v>1.8806509255931827E-2</v>
      </c>
      <c r="DJ39" s="216">
        <v>1.8806509255931827E-2</v>
      </c>
      <c r="DK39" s="216">
        <v>1.8806509255931827E-2</v>
      </c>
      <c r="DL39" s="216">
        <v>1.8806509255931827E-2</v>
      </c>
      <c r="DM39" s="216">
        <v>1.8806509255931827E-2</v>
      </c>
      <c r="DN39" s="212">
        <f>VLOOKUP(E39,'KPI Count-SHARE'!A:F,4,0)</f>
        <v>0</v>
      </c>
      <c r="DO39" s="213"/>
      <c r="DP39" s="216"/>
      <c r="DQ39" s="216"/>
      <c r="DR39" s="216"/>
      <c r="DS39" s="216"/>
      <c r="DT39" s="216"/>
      <c r="DU39" s="212">
        <f>VLOOKUP(E39,'KPI Count-SHARE'!A:F,5,0)</f>
        <v>0</v>
      </c>
      <c r="DV39" s="213"/>
      <c r="DW39" s="216"/>
      <c r="DX39" s="216"/>
      <c r="DY39" s="216"/>
      <c r="DZ39" s="216"/>
      <c r="EA39" s="216"/>
      <c r="EB39" s="212">
        <f>VLOOKUP(E39,'KPI Count-SHARE'!A:F,6,0)</f>
        <v>0</v>
      </c>
      <c r="EC39" s="213"/>
      <c r="ED39" s="216"/>
      <c r="EE39" s="216"/>
      <c r="EF39" s="216"/>
      <c r="EG39" s="216"/>
      <c r="EH39" s="216"/>
      <c r="EI39" s="214" t="s">
        <v>533</v>
      </c>
      <c r="EJ39" s="39">
        <f t="shared" si="101"/>
        <v>8.21917808219178E-3</v>
      </c>
      <c r="EK39" s="39">
        <f t="shared" si="102"/>
        <v>1.6666666666666666E-2</v>
      </c>
      <c r="EL39" s="39" t="str">
        <f t="shared" si="103"/>
        <v/>
      </c>
      <c r="EM39" s="39" t="str">
        <f t="shared" si="104"/>
        <v/>
      </c>
      <c r="EN39" s="39" t="str">
        <f t="shared" si="105"/>
        <v/>
      </c>
      <c r="EO39" s="39" t="str">
        <f t="shared" si="106"/>
        <v/>
      </c>
      <c r="EP39" s="39" t="str">
        <f t="shared" si="107"/>
        <v/>
      </c>
      <c r="EQ39" s="39" t="str">
        <f t="shared" si="108"/>
        <v/>
      </c>
      <c r="ER39" s="39" t="str">
        <f t="shared" si="109"/>
        <v/>
      </c>
      <c r="ES39" s="39" t="str">
        <f t="shared" si="110"/>
        <v/>
      </c>
      <c r="ET39" s="39" t="str">
        <f t="shared" si="111"/>
        <v/>
      </c>
      <c r="EU39" s="39" t="str">
        <f t="shared" si="165"/>
        <v/>
      </c>
      <c r="EV39" s="39" t="str">
        <f t="shared" si="166"/>
        <v/>
      </c>
      <c r="EW39" s="39" t="str">
        <f t="shared" si="167"/>
        <v/>
      </c>
      <c r="EX39" s="39" t="str">
        <f t="shared" si="168"/>
        <v/>
      </c>
      <c r="EY39" s="39" t="str">
        <f t="shared" si="169"/>
        <v/>
      </c>
      <c r="EZ39" s="39" t="str">
        <f t="shared" si="170"/>
        <v/>
      </c>
      <c r="FA39" s="39" t="str">
        <f t="shared" si="171"/>
        <v/>
      </c>
      <c r="FB39" s="39" t="str">
        <f t="shared" si="172"/>
        <v/>
      </c>
      <c r="FC39" s="39" t="str">
        <f t="shared" si="173"/>
        <v/>
      </c>
      <c r="FD39" s="39" t="str">
        <f t="shared" si="174"/>
        <v/>
      </c>
      <c r="FE39" s="39" t="str">
        <f t="shared" si="175"/>
        <v/>
      </c>
      <c r="FF39" s="39" t="str">
        <f t="shared" si="176"/>
        <v/>
      </c>
      <c r="FG39" s="39" t="str">
        <f t="shared" si="177"/>
        <v/>
      </c>
      <c r="FH39" s="39" t="str">
        <f t="shared" si="178"/>
        <v/>
      </c>
      <c r="FI39" s="39" t="str">
        <f t="shared" si="179"/>
        <v/>
      </c>
      <c r="FJ39" s="39" t="str">
        <f t="shared" si="180"/>
        <v/>
      </c>
      <c r="FK39" s="39" t="str">
        <f t="shared" si="181"/>
        <v/>
      </c>
      <c r="FL39" s="39" t="str">
        <f t="shared" si="182"/>
        <v/>
      </c>
      <c r="FM39" s="39" t="str">
        <f t="shared" si="183"/>
        <v/>
      </c>
      <c r="FN39" s="39" t="str">
        <f t="shared" si="184"/>
        <v/>
      </c>
      <c r="FO39" s="39" t="str">
        <f t="shared" si="185"/>
        <v/>
      </c>
      <c r="FP39" s="39" t="str">
        <f t="shared" si="186"/>
        <v/>
      </c>
      <c r="FQ39" s="39" t="str">
        <f t="shared" si="187"/>
        <v/>
      </c>
      <c r="FR39" s="39" t="str">
        <f t="shared" si="188"/>
        <v/>
      </c>
      <c r="FS39" s="39" t="str">
        <f t="shared" si="189"/>
        <v/>
      </c>
      <c r="FT39" s="39" t="str">
        <f t="shared" si="190"/>
        <v/>
      </c>
      <c r="FU39" s="39" t="str">
        <f t="shared" si="191"/>
        <v/>
      </c>
      <c r="FV39" s="39" t="str">
        <f t="shared" si="192"/>
        <v/>
      </c>
      <c r="FW39" s="39" t="str">
        <f t="shared" si="193"/>
        <v/>
      </c>
      <c r="FX39" s="39" t="str">
        <f t="shared" si="194"/>
        <v/>
      </c>
      <c r="FY39" s="39" t="str">
        <f t="shared" si="195"/>
        <v/>
      </c>
      <c r="FZ39" s="39" t="str">
        <f t="shared" si="196"/>
        <v/>
      </c>
      <c r="GA39" s="39" t="str">
        <f t="shared" si="197"/>
        <v/>
      </c>
      <c r="GB39" s="39" t="str">
        <f t="shared" si="155"/>
        <v/>
      </c>
      <c r="GC39" s="39" t="str">
        <f t="shared" si="156"/>
        <v/>
      </c>
      <c r="GD39" s="39" t="str">
        <f t="shared" si="157"/>
        <v/>
      </c>
      <c r="GE39" s="39" t="str">
        <f t="shared" si="158"/>
        <v/>
      </c>
      <c r="GF39" s="39" t="str">
        <f t="shared" si="232"/>
        <v/>
      </c>
      <c r="GG39" s="39" t="str">
        <f t="shared" si="233"/>
        <v/>
      </c>
      <c r="GH39" s="39" t="str">
        <f t="shared" si="234"/>
        <v/>
      </c>
      <c r="GI39" s="39" t="str">
        <f t="shared" si="235"/>
        <v/>
      </c>
      <c r="GJ39" s="39" t="str">
        <f t="shared" si="236"/>
        <v/>
      </c>
      <c r="GK39" s="39" t="str">
        <f t="shared" si="237"/>
        <v/>
      </c>
      <c r="GL39" s="39" t="str">
        <f t="shared" si="238"/>
        <v/>
      </c>
      <c r="GM39" s="39" t="str">
        <f t="shared" si="239"/>
        <v/>
      </c>
      <c r="GN39" s="39" t="str">
        <f t="shared" si="240"/>
        <v/>
      </c>
      <c r="GO39" s="39" t="str">
        <f t="shared" si="241"/>
        <v/>
      </c>
      <c r="GP39" s="39" t="str">
        <f t="shared" si="242"/>
        <v/>
      </c>
      <c r="GQ39" s="39" t="str">
        <f t="shared" si="243"/>
        <v/>
      </c>
      <c r="GR39" s="39" t="str">
        <f t="shared" si="244"/>
        <v/>
      </c>
      <c r="GS39" s="39" t="str">
        <f t="shared" si="245"/>
        <v/>
      </c>
      <c r="GT39" s="39" t="str">
        <f t="shared" si="246"/>
        <v/>
      </c>
      <c r="GU39" s="39" t="str">
        <f t="shared" si="226"/>
        <v/>
      </c>
      <c r="GV39" s="39" t="str">
        <f t="shared" si="247"/>
        <v/>
      </c>
      <c r="GW39" s="39" t="str">
        <f t="shared" si="248"/>
        <v/>
      </c>
      <c r="GX39" s="39" t="str">
        <f t="shared" si="249"/>
        <v/>
      </c>
      <c r="GY39" s="39" t="str">
        <f t="shared" si="250"/>
        <v/>
      </c>
      <c r="GZ39" s="39" t="str">
        <f t="shared" si="251"/>
        <v/>
      </c>
      <c r="HA39" s="39" t="str">
        <f t="shared" si="252"/>
        <v/>
      </c>
      <c r="HB39" s="39" t="str">
        <f t="shared" si="253"/>
        <v/>
      </c>
      <c r="HC39" s="39" t="str">
        <f t="shared" si="254"/>
        <v/>
      </c>
      <c r="HD39" s="39" t="str">
        <f t="shared" si="255"/>
        <v/>
      </c>
      <c r="HE39" s="39" t="str">
        <f t="shared" si="256"/>
        <v/>
      </c>
      <c r="HF39" s="39" t="str">
        <f t="shared" si="257"/>
        <v/>
      </c>
      <c r="HG39" s="39" t="str">
        <f t="shared" si="258"/>
        <v/>
      </c>
      <c r="HH39" s="39" t="str">
        <f t="shared" si="259"/>
        <v/>
      </c>
      <c r="HI39" s="39" t="str">
        <f t="shared" si="260"/>
        <v/>
      </c>
      <c r="HJ39" s="39" t="str">
        <f t="shared" si="261"/>
        <v/>
      </c>
      <c r="HK39" s="39" t="str">
        <f t="shared" si="228"/>
        <v/>
      </c>
      <c r="HL39" s="39" t="str">
        <f t="shared" si="262"/>
        <v/>
      </c>
      <c r="HM39" s="39" t="str">
        <f t="shared" si="263"/>
        <v/>
      </c>
      <c r="HN39" s="39" t="str">
        <f t="shared" si="264"/>
        <v/>
      </c>
      <c r="HO39" s="39" t="str">
        <f t="shared" si="265"/>
        <v/>
      </c>
      <c r="HP39" s="39" t="str">
        <f t="shared" si="266"/>
        <v/>
      </c>
      <c r="HQ39" s="39" t="str">
        <f t="shared" si="267"/>
        <v/>
      </c>
      <c r="HR39" s="39" t="str">
        <f t="shared" si="268"/>
        <v/>
      </c>
      <c r="HS39" s="39" t="str">
        <f t="shared" si="269"/>
        <v/>
      </c>
      <c r="HT39" s="39" t="str">
        <f t="shared" si="270"/>
        <v/>
      </c>
      <c r="HU39" s="39" t="str">
        <f t="shared" si="271"/>
        <v/>
      </c>
      <c r="HV39" s="39" t="str">
        <f t="shared" si="272"/>
        <v/>
      </c>
      <c r="HW39" s="39" t="str">
        <f t="shared" si="273"/>
        <v/>
      </c>
      <c r="HX39" s="39" t="str">
        <f t="shared" si="274"/>
        <v/>
      </c>
      <c r="HY39" s="39" t="str">
        <f t="shared" si="275"/>
        <v/>
      </c>
      <c r="HZ39" s="39" t="str">
        <f t="shared" si="276"/>
        <v/>
      </c>
      <c r="IA39" s="39" t="str">
        <f t="shared" si="230"/>
        <v/>
      </c>
      <c r="IB39" s="39" t="str">
        <f t="shared" si="277"/>
        <v/>
      </c>
      <c r="IC39" s="39" t="str">
        <f t="shared" si="278"/>
        <v/>
      </c>
      <c r="ID39" s="39" t="str">
        <f t="shared" si="279"/>
        <v/>
      </c>
      <c r="IE39" s="39" t="str">
        <f t="shared" si="68"/>
        <v/>
      </c>
      <c r="IF39" s="39" t="str">
        <f t="shared" si="69"/>
        <v/>
      </c>
      <c r="IG39" s="308">
        <f t="shared" si="70"/>
        <v>1.8806509255931827E-2</v>
      </c>
      <c r="IH39" s="84">
        <f t="shared" si="280"/>
        <v>1.8806509255931827E-2</v>
      </c>
      <c r="II39" s="84">
        <f t="shared" si="281"/>
        <v>1.8806509255931827E-2</v>
      </c>
      <c r="IJ39" s="84">
        <f t="shared" si="282"/>
        <v>1.8806509255931827E-2</v>
      </c>
      <c r="IK39" s="84">
        <f t="shared" si="283"/>
        <v>1.8806509255931827E-2</v>
      </c>
      <c r="IL39" s="84">
        <f t="shared" si="284"/>
        <v>1.8806509255931827E-2</v>
      </c>
      <c r="IM39" s="308" t="str">
        <f t="shared" si="76"/>
        <v/>
      </c>
      <c r="IN39" s="84" t="str">
        <f t="shared" si="285"/>
        <v/>
      </c>
      <c r="IO39" s="84" t="str">
        <f t="shared" si="286"/>
        <v/>
      </c>
      <c r="IP39" s="84" t="str">
        <f t="shared" si="287"/>
        <v/>
      </c>
      <c r="IQ39" s="84" t="str">
        <f t="shared" si="288"/>
        <v/>
      </c>
      <c r="IR39" s="84" t="str">
        <f t="shared" si="289"/>
        <v/>
      </c>
      <c r="IS39" s="308" t="str">
        <f t="shared" si="82"/>
        <v/>
      </c>
      <c r="IT39" s="84" t="str">
        <f t="shared" si="290"/>
        <v/>
      </c>
      <c r="IU39" s="84" t="str">
        <f t="shared" si="291"/>
        <v/>
      </c>
      <c r="IV39" s="84" t="str">
        <f t="shared" si="292"/>
        <v/>
      </c>
      <c r="IW39" s="84" t="str">
        <f t="shared" si="293"/>
        <v/>
      </c>
      <c r="IX39" s="84" t="str">
        <f t="shared" si="294"/>
        <v/>
      </c>
      <c r="IY39" s="308" t="str">
        <f t="shared" si="88"/>
        <v/>
      </c>
      <c r="IZ39" s="84" t="str">
        <f t="shared" si="295"/>
        <v/>
      </c>
      <c r="JA39" s="84" t="str">
        <f t="shared" si="296"/>
        <v/>
      </c>
      <c r="JB39" s="84" t="str">
        <f t="shared" si="297"/>
        <v/>
      </c>
      <c r="JC39" s="84" t="str">
        <f t="shared" si="298"/>
        <v/>
      </c>
      <c r="JD39" s="309" t="str">
        <f t="shared" si="299"/>
        <v/>
      </c>
      <c r="JF39" s="66">
        <f t="shared" si="224"/>
        <v>39</v>
      </c>
      <c r="JG39" s="66">
        <f t="shared" ca="1" si="95"/>
        <v>1.8806509255931827E-2</v>
      </c>
      <c r="JH39" s="66">
        <f t="shared" ca="1" si="96"/>
        <v>1.8806509255931827E-2</v>
      </c>
      <c r="JI39" s="66">
        <f t="shared" ca="1" si="97"/>
        <v>1.8806509255931827E-2</v>
      </c>
      <c r="JJ39" s="66">
        <f t="shared" ca="1" si="98"/>
        <v>1</v>
      </c>
      <c r="JK39" s="33"/>
      <c r="JL39" s="74">
        <f t="shared" ca="1" si="121"/>
        <v>1.8806509255931827E-2</v>
      </c>
      <c r="JM39" s="75">
        <f t="shared" ca="1" si="99"/>
        <v>1.8806509255931827E-2</v>
      </c>
      <c r="JN39" s="75">
        <f t="shared" ca="1" si="100"/>
        <v>1.8806509255931827E-2</v>
      </c>
      <c r="JO39" s="74">
        <f t="shared" ca="1" si="122"/>
        <v>1.8806509255931827E-2</v>
      </c>
      <c r="JP39" s="74">
        <f t="shared" ca="1" si="123"/>
        <v>7.5226037023727307E-2</v>
      </c>
    </row>
    <row r="40" spans="1:276" s="1" customFormat="1" x14ac:dyDescent="0.35">
      <c r="A40" s="125">
        <v>0</v>
      </c>
      <c r="B40" s="125">
        <v>0</v>
      </c>
      <c r="C40" s="125">
        <v>1</v>
      </c>
      <c r="E40" s="142" t="s">
        <v>68</v>
      </c>
      <c r="F40" s="225" t="s">
        <v>69</v>
      </c>
      <c r="G40" s="209" t="s">
        <v>542</v>
      </c>
      <c r="H40" s="210" t="s">
        <v>533</v>
      </c>
      <c r="I40" s="8" t="s">
        <v>534</v>
      </c>
      <c r="J40" s="211">
        <v>0.22191780821917809</v>
      </c>
      <c r="K40" s="215">
        <v>0.19444444444444445</v>
      </c>
      <c r="L40" s="215">
        <v>0.28676470588235292</v>
      </c>
      <c r="M40" s="215">
        <v>0.14285714285714285</v>
      </c>
      <c r="N40" s="215" t="s">
        <v>805</v>
      </c>
      <c r="O40" s="215" t="s">
        <v>805</v>
      </c>
      <c r="P40" s="215" t="s">
        <v>805</v>
      </c>
      <c r="Q40" s="215" t="s">
        <v>805</v>
      </c>
      <c r="R40" s="215" t="s">
        <v>805</v>
      </c>
      <c r="S40" s="215" t="s">
        <v>805</v>
      </c>
      <c r="T40" s="215" t="s">
        <v>805</v>
      </c>
      <c r="U40" s="215" t="s">
        <v>805</v>
      </c>
      <c r="V40" s="215" t="s">
        <v>805</v>
      </c>
      <c r="W40" s="215" t="s">
        <v>805</v>
      </c>
      <c r="X40" s="215" t="s">
        <v>805</v>
      </c>
      <c r="Y40" s="215" t="s">
        <v>805</v>
      </c>
      <c r="Z40" s="215" t="s">
        <v>805</v>
      </c>
      <c r="AA40" s="215" t="s">
        <v>805</v>
      </c>
      <c r="AB40" s="215" t="s">
        <v>805</v>
      </c>
      <c r="AC40" s="215" t="s">
        <v>805</v>
      </c>
      <c r="AD40" s="215" t="s">
        <v>805</v>
      </c>
      <c r="AE40" s="215" t="s">
        <v>805</v>
      </c>
      <c r="AF40" s="215" t="s">
        <v>805</v>
      </c>
      <c r="AG40" s="215" t="s">
        <v>805</v>
      </c>
      <c r="AH40" s="215" t="s">
        <v>805</v>
      </c>
      <c r="AI40" s="215" t="s">
        <v>805</v>
      </c>
      <c r="AJ40" s="215" t="s">
        <v>805</v>
      </c>
      <c r="AK40" s="215" t="s">
        <v>805</v>
      </c>
      <c r="AL40" s="215" t="s">
        <v>805</v>
      </c>
      <c r="AM40" s="215" t="s">
        <v>805</v>
      </c>
      <c r="AN40" s="215" t="s">
        <v>805</v>
      </c>
      <c r="AO40" s="215" t="s">
        <v>805</v>
      </c>
      <c r="AP40" s="215" t="s">
        <v>805</v>
      </c>
      <c r="AQ40" s="215" t="s">
        <v>805</v>
      </c>
      <c r="AR40" s="215" t="s">
        <v>805</v>
      </c>
      <c r="AS40" s="215" t="s">
        <v>805</v>
      </c>
      <c r="AT40" s="215" t="s">
        <v>805</v>
      </c>
      <c r="AU40" s="215" t="s">
        <v>805</v>
      </c>
      <c r="AV40" s="215" t="s">
        <v>805</v>
      </c>
      <c r="AW40" s="215" t="s">
        <v>805</v>
      </c>
      <c r="AX40" s="215" t="s">
        <v>805</v>
      </c>
      <c r="AY40" s="215" t="s">
        <v>805</v>
      </c>
      <c r="AZ40" s="215" t="s">
        <v>805</v>
      </c>
      <c r="BA40" s="215" t="s">
        <v>805</v>
      </c>
      <c r="BB40" s="215" t="s">
        <v>805</v>
      </c>
      <c r="BC40" s="215" t="s">
        <v>805</v>
      </c>
      <c r="BD40" s="215" t="s">
        <v>805</v>
      </c>
      <c r="BE40" s="215" t="s">
        <v>805</v>
      </c>
      <c r="BF40" s="215" t="s">
        <v>805</v>
      </c>
      <c r="BG40" s="215" t="s">
        <v>805</v>
      </c>
      <c r="BH40" s="215" t="s">
        <v>805</v>
      </c>
      <c r="BI40" s="215" t="s">
        <v>805</v>
      </c>
      <c r="BJ40" s="215" t="s">
        <v>805</v>
      </c>
      <c r="BK40" s="215" t="s">
        <v>805</v>
      </c>
      <c r="BL40" s="215" t="s">
        <v>805</v>
      </c>
      <c r="BM40" s="215" t="s">
        <v>805</v>
      </c>
      <c r="BN40" s="215" t="s">
        <v>805</v>
      </c>
      <c r="BO40" s="215" t="s">
        <v>805</v>
      </c>
      <c r="BP40" s="215" t="s">
        <v>805</v>
      </c>
      <c r="BQ40" s="215" t="s">
        <v>805</v>
      </c>
      <c r="BR40" s="215" t="s">
        <v>805</v>
      </c>
      <c r="BS40" s="215" t="s">
        <v>805</v>
      </c>
      <c r="BT40" s="215" t="s">
        <v>805</v>
      </c>
      <c r="BU40" s="215" t="s">
        <v>805</v>
      </c>
      <c r="BV40" s="215" t="s">
        <v>805</v>
      </c>
      <c r="BW40" s="215" t="s">
        <v>805</v>
      </c>
      <c r="BX40" s="215" t="s">
        <v>805</v>
      </c>
      <c r="BY40" s="215" t="s">
        <v>805</v>
      </c>
      <c r="BZ40" s="215" t="s">
        <v>805</v>
      </c>
      <c r="CA40" s="215" t="s">
        <v>805</v>
      </c>
      <c r="CB40" s="215" t="s">
        <v>805</v>
      </c>
      <c r="CC40" s="215" t="s">
        <v>805</v>
      </c>
      <c r="CD40" s="215" t="s">
        <v>805</v>
      </c>
      <c r="CE40" s="215" t="s">
        <v>805</v>
      </c>
      <c r="CF40" s="215" t="s">
        <v>805</v>
      </c>
      <c r="CG40" s="215" t="s">
        <v>805</v>
      </c>
      <c r="CH40" s="215" t="s">
        <v>805</v>
      </c>
      <c r="CI40" s="215" t="s">
        <v>805</v>
      </c>
      <c r="CJ40" s="215" t="s">
        <v>805</v>
      </c>
      <c r="CK40" s="215" t="s">
        <v>805</v>
      </c>
      <c r="CL40" s="215" t="s">
        <v>805</v>
      </c>
      <c r="CM40" s="215" t="s">
        <v>805</v>
      </c>
      <c r="CN40" s="215" t="s">
        <v>805</v>
      </c>
      <c r="CO40" s="215" t="s">
        <v>805</v>
      </c>
      <c r="CP40" s="215" t="s">
        <v>805</v>
      </c>
      <c r="CQ40" s="215" t="s">
        <v>805</v>
      </c>
      <c r="CR40" s="215" t="s">
        <v>805</v>
      </c>
      <c r="CS40" s="215" t="s">
        <v>805</v>
      </c>
      <c r="CT40" s="215" t="s">
        <v>805</v>
      </c>
      <c r="CU40" s="215" t="s">
        <v>805</v>
      </c>
      <c r="CV40" s="215" t="s">
        <v>805</v>
      </c>
      <c r="CW40" s="215" t="s">
        <v>805</v>
      </c>
      <c r="CX40" s="215" t="s">
        <v>805</v>
      </c>
      <c r="CY40" s="215" t="s">
        <v>805</v>
      </c>
      <c r="CZ40" s="215" t="s">
        <v>805</v>
      </c>
      <c r="DA40" s="215" t="s">
        <v>805</v>
      </c>
      <c r="DB40" s="215" t="s">
        <v>805</v>
      </c>
      <c r="DC40" s="215" t="s">
        <v>805</v>
      </c>
      <c r="DD40" s="215" t="s">
        <v>805</v>
      </c>
      <c r="DE40" s="215" t="s">
        <v>805</v>
      </c>
      <c r="DF40" s="215" t="s">
        <v>805</v>
      </c>
      <c r="DG40" s="212">
        <f>VLOOKUP(E40,'KPI Count-SHARE'!A:F,3,0)</f>
        <v>1</v>
      </c>
      <c r="DH40" s="213">
        <v>4.6807956981285773E-2</v>
      </c>
      <c r="DI40" s="216">
        <v>4.6807956981285773E-2</v>
      </c>
      <c r="DJ40" s="216">
        <v>4.6807956981285773E-2</v>
      </c>
      <c r="DK40" s="216">
        <v>4.6807956981285773E-2</v>
      </c>
      <c r="DL40" s="216">
        <v>4.6807956981285773E-2</v>
      </c>
      <c r="DM40" s="216">
        <v>4.6807956981285773E-2</v>
      </c>
      <c r="DN40" s="212">
        <f>VLOOKUP(E40,'KPI Count-SHARE'!A:F,4,0)</f>
        <v>0</v>
      </c>
      <c r="DO40" s="213"/>
      <c r="DP40" s="216"/>
      <c r="DQ40" s="216"/>
      <c r="DR40" s="216"/>
      <c r="DS40" s="216"/>
      <c r="DT40" s="216"/>
      <c r="DU40" s="212">
        <f>VLOOKUP(E40,'KPI Count-SHARE'!A:F,5,0)</f>
        <v>0</v>
      </c>
      <c r="DV40" s="213"/>
      <c r="DW40" s="216"/>
      <c r="DX40" s="216"/>
      <c r="DY40" s="216"/>
      <c r="DZ40" s="216"/>
      <c r="EA40" s="216"/>
      <c r="EB40" s="212">
        <f>VLOOKUP(E40,'KPI Count-SHARE'!A:F,6,0)</f>
        <v>0</v>
      </c>
      <c r="EC40" s="213"/>
      <c r="ED40" s="216"/>
      <c r="EE40" s="216"/>
      <c r="EF40" s="216"/>
      <c r="EG40" s="216"/>
      <c r="EH40" s="216"/>
      <c r="EI40" s="214" t="s">
        <v>533</v>
      </c>
      <c r="EJ40" s="39">
        <f t="shared" si="101"/>
        <v>0.22191780821917809</v>
      </c>
      <c r="EK40" s="39">
        <f t="shared" ref="EK40:EK41" si="300">IFERROR(IF(ISBLANK(K40), "-", IF($I40="c", K40*$I$5, K40)),"-")</f>
        <v>0.19444444444444445</v>
      </c>
      <c r="EL40" s="39">
        <f t="shared" ref="EL40:EL41" si="301">IFERROR(IF(ISBLANK(L40), "-", IF($I40="c", L40*$I$5, L40)),"-")</f>
        <v>0.28676470588235292</v>
      </c>
      <c r="EM40" s="39">
        <f t="shared" ref="EM40:EM41" si="302">IFERROR(IF(ISBLANK(M40), "-", IF($I40="c", M40*$I$5,M40)),"-")</f>
        <v>0.14285714285714285</v>
      </c>
      <c r="EN40" s="39" t="str">
        <f t="shared" ref="EN40:EN41" si="303">IFERROR(IF(ISBLANK(N40), "-", IF($I40="c", N40*$I$5, N40)),"-")</f>
        <v/>
      </c>
      <c r="EO40" s="39" t="str">
        <f t="shared" ref="EO40:EO41" si="304">IFERROR(IF(ISBLANK(O40), "-", IF($I40="c", O40*$I$5,O40)),"-")</f>
        <v/>
      </c>
      <c r="EP40" s="39" t="str">
        <f t="shared" ref="EP40:EP41" si="305">IFERROR(IF(ISBLANK(P40), "-", IF($I40="c", P40*$I$5, P40)),"-")</f>
        <v/>
      </c>
      <c r="EQ40" s="39" t="str">
        <f t="shared" ref="EQ40:EQ41" si="306">IFERROR(IF(ISBLANK(Q40), "-", IF($I40="c", Q40*$I$5, Q40)),"-")</f>
        <v/>
      </c>
      <c r="ER40" s="39" t="str">
        <f t="shared" ref="ER40:ER41" si="307">IFERROR(IF(ISBLANK(R40), "-", IF($I40="c", R40*$I$5, R40)),"-")</f>
        <v/>
      </c>
      <c r="ES40" s="39" t="str">
        <f t="shared" ref="ES40:ES41" si="308">IFERROR(IF(ISBLANK(S40), "-", IF($I40="c", S40*$I$5, S40)),"-")</f>
        <v/>
      </c>
      <c r="ET40" s="39" t="str">
        <f t="shared" ref="ET40:ET41" si="309">IFERROR(IF(ISBLANK(T40), "-", IF($I40="c", T40*$I$5, T40)),"-")</f>
        <v/>
      </c>
      <c r="EU40" s="39" t="str">
        <f t="shared" si="165"/>
        <v/>
      </c>
      <c r="EV40" s="39" t="str">
        <f t="shared" si="166"/>
        <v/>
      </c>
      <c r="EW40" s="39" t="str">
        <f t="shared" si="167"/>
        <v/>
      </c>
      <c r="EX40" s="39" t="str">
        <f t="shared" si="168"/>
        <v/>
      </c>
      <c r="EY40" s="39" t="str">
        <f t="shared" si="169"/>
        <v/>
      </c>
      <c r="EZ40" s="39" t="str">
        <f t="shared" si="170"/>
        <v/>
      </c>
      <c r="FA40" s="39" t="str">
        <f t="shared" si="171"/>
        <v/>
      </c>
      <c r="FB40" s="39" t="str">
        <f t="shared" si="172"/>
        <v/>
      </c>
      <c r="FC40" s="39" t="str">
        <f t="shared" si="173"/>
        <v/>
      </c>
      <c r="FD40" s="39" t="str">
        <f t="shared" si="174"/>
        <v/>
      </c>
      <c r="FE40" s="39" t="str">
        <f t="shared" si="175"/>
        <v/>
      </c>
      <c r="FF40" s="39" t="str">
        <f t="shared" si="176"/>
        <v/>
      </c>
      <c r="FG40" s="39" t="str">
        <f t="shared" si="177"/>
        <v/>
      </c>
      <c r="FH40" s="39" t="str">
        <f t="shared" si="178"/>
        <v/>
      </c>
      <c r="FI40" s="39" t="str">
        <f t="shared" si="179"/>
        <v/>
      </c>
      <c r="FJ40" s="39" t="str">
        <f t="shared" si="180"/>
        <v/>
      </c>
      <c r="FK40" s="39" t="str">
        <f t="shared" si="181"/>
        <v/>
      </c>
      <c r="FL40" s="39" t="str">
        <f t="shared" si="182"/>
        <v/>
      </c>
      <c r="FM40" s="39" t="str">
        <f t="shared" si="183"/>
        <v/>
      </c>
      <c r="FN40" s="39" t="str">
        <f t="shared" si="184"/>
        <v/>
      </c>
      <c r="FO40" s="39" t="str">
        <f t="shared" si="185"/>
        <v/>
      </c>
      <c r="FP40" s="39" t="str">
        <f t="shared" si="186"/>
        <v/>
      </c>
      <c r="FQ40" s="39" t="str">
        <f t="shared" si="187"/>
        <v/>
      </c>
      <c r="FR40" s="39" t="str">
        <f t="shared" si="188"/>
        <v/>
      </c>
      <c r="FS40" s="39" t="str">
        <f t="shared" si="189"/>
        <v/>
      </c>
      <c r="FT40" s="39" t="str">
        <f t="shared" si="190"/>
        <v/>
      </c>
      <c r="FU40" s="39" t="str">
        <f t="shared" si="191"/>
        <v/>
      </c>
      <c r="FV40" s="39" t="str">
        <f t="shared" si="192"/>
        <v/>
      </c>
      <c r="FW40" s="39" t="str">
        <f t="shared" si="193"/>
        <v/>
      </c>
      <c r="FX40" s="39" t="str">
        <f t="shared" si="194"/>
        <v/>
      </c>
      <c r="FY40" s="39" t="str">
        <f t="shared" si="195"/>
        <v/>
      </c>
      <c r="FZ40" s="39" t="str">
        <f t="shared" si="196"/>
        <v/>
      </c>
      <c r="GA40" s="39" t="str">
        <f t="shared" si="197"/>
        <v/>
      </c>
      <c r="GB40" s="39" t="str">
        <f t="shared" si="155"/>
        <v/>
      </c>
      <c r="GC40" s="39" t="str">
        <f t="shared" si="156"/>
        <v/>
      </c>
      <c r="GD40" s="39" t="str">
        <f t="shared" si="157"/>
        <v/>
      </c>
      <c r="GE40" s="39" t="str">
        <f t="shared" si="158"/>
        <v/>
      </c>
      <c r="GF40" s="39" t="str">
        <f t="shared" si="232"/>
        <v/>
      </c>
      <c r="GG40" s="39" t="str">
        <f t="shared" si="233"/>
        <v/>
      </c>
      <c r="GH40" s="39" t="str">
        <f t="shared" si="234"/>
        <v/>
      </c>
      <c r="GI40" s="39" t="str">
        <f t="shared" si="235"/>
        <v/>
      </c>
      <c r="GJ40" s="39" t="str">
        <f t="shared" si="236"/>
        <v/>
      </c>
      <c r="GK40" s="39" t="str">
        <f t="shared" si="237"/>
        <v/>
      </c>
      <c r="GL40" s="39" t="str">
        <f t="shared" si="238"/>
        <v/>
      </c>
      <c r="GM40" s="39" t="str">
        <f t="shared" si="239"/>
        <v/>
      </c>
      <c r="GN40" s="39" t="str">
        <f t="shared" si="240"/>
        <v/>
      </c>
      <c r="GO40" s="39" t="str">
        <f t="shared" si="241"/>
        <v/>
      </c>
      <c r="GP40" s="39" t="str">
        <f t="shared" si="242"/>
        <v/>
      </c>
      <c r="GQ40" s="39" t="str">
        <f t="shared" si="243"/>
        <v/>
      </c>
      <c r="GR40" s="39" t="str">
        <f t="shared" si="244"/>
        <v/>
      </c>
      <c r="GS40" s="39" t="str">
        <f t="shared" si="245"/>
        <v/>
      </c>
      <c r="GT40" s="39" t="str">
        <f t="shared" si="246"/>
        <v/>
      </c>
      <c r="GU40" s="39" t="str">
        <f t="shared" si="226"/>
        <v/>
      </c>
      <c r="GV40" s="39" t="str">
        <f t="shared" si="247"/>
        <v/>
      </c>
      <c r="GW40" s="39" t="str">
        <f t="shared" si="248"/>
        <v/>
      </c>
      <c r="GX40" s="39" t="str">
        <f t="shared" si="249"/>
        <v/>
      </c>
      <c r="GY40" s="39" t="str">
        <f t="shared" si="250"/>
        <v/>
      </c>
      <c r="GZ40" s="39" t="str">
        <f t="shared" si="251"/>
        <v/>
      </c>
      <c r="HA40" s="39" t="str">
        <f t="shared" si="252"/>
        <v/>
      </c>
      <c r="HB40" s="39" t="str">
        <f t="shared" si="253"/>
        <v/>
      </c>
      <c r="HC40" s="39" t="str">
        <f t="shared" si="254"/>
        <v/>
      </c>
      <c r="HD40" s="39" t="str">
        <f t="shared" si="255"/>
        <v/>
      </c>
      <c r="HE40" s="39" t="str">
        <f t="shared" si="256"/>
        <v/>
      </c>
      <c r="HF40" s="39" t="str">
        <f t="shared" si="257"/>
        <v/>
      </c>
      <c r="HG40" s="39" t="str">
        <f t="shared" si="258"/>
        <v/>
      </c>
      <c r="HH40" s="39" t="str">
        <f t="shared" si="259"/>
        <v/>
      </c>
      <c r="HI40" s="39" t="str">
        <f t="shared" si="260"/>
        <v/>
      </c>
      <c r="HJ40" s="39" t="str">
        <f t="shared" si="261"/>
        <v/>
      </c>
      <c r="HK40" s="39" t="str">
        <f t="shared" si="228"/>
        <v/>
      </c>
      <c r="HL40" s="39" t="str">
        <f t="shared" si="262"/>
        <v/>
      </c>
      <c r="HM40" s="39" t="str">
        <f t="shared" si="263"/>
        <v/>
      </c>
      <c r="HN40" s="39" t="str">
        <f t="shared" si="264"/>
        <v/>
      </c>
      <c r="HO40" s="39" t="str">
        <f t="shared" si="265"/>
        <v/>
      </c>
      <c r="HP40" s="39" t="str">
        <f t="shared" si="266"/>
        <v/>
      </c>
      <c r="HQ40" s="39" t="str">
        <f t="shared" si="267"/>
        <v/>
      </c>
      <c r="HR40" s="39" t="str">
        <f t="shared" si="268"/>
        <v/>
      </c>
      <c r="HS40" s="39" t="str">
        <f t="shared" si="269"/>
        <v/>
      </c>
      <c r="HT40" s="39" t="str">
        <f t="shared" si="270"/>
        <v/>
      </c>
      <c r="HU40" s="39" t="str">
        <f t="shared" si="271"/>
        <v/>
      </c>
      <c r="HV40" s="39" t="str">
        <f t="shared" si="272"/>
        <v/>
      </c>
      <c r="HW40" s="39" t="str">
        <f t="shared" si="273"/>
        <v/>
      </c>
      <c r="HX40" s="39" t="str">
        <f t="shared" si="274"/>
        <v/>
      </c>
      <c r="HY40" s="39" t="str">
        <f t="shared" si="275"/>
        <v/>
      </c>
      <c r="HZ40" s="39" t="str">
        <f t="shared" si="276"/>
        <v/>
      </c>
      <c r="IA40" s="39" t="str">
        <f t="shared" si="230"/>
        <v/>
      </c>
      <c r="IB40" s="39" t="str">
        <f t="shared" si="277"/>
        <v/>
      </c>
      <c r="IC40" s="39" t="str">
        <f t="shared" si="278"/>
        <v/>
      </c>
      <c r="ID40" s="39" t="str">
        <f t="shared" si="279"/>
        <v/>
      </c>
      <c r="IE40" s="39" t="str">
        <f t="shared" si="68"/>
        <v/>
      </c>
      <c r="IF40" s="39" t="str">
        <f t="shared" si="69"/>
        <v/>
      </c>
      <c r="IG40" s="308">
        <f t="shared" si="70"/>
        <v>4.6807956981285773E-2</v>
      </c>
      <c r="IH40" s="84">
        <f t="shared" si="280"/>
        <v>4.6807956981285773E-2</v>
      </c>
      <c r="II40" s="84">
        <f t="shared" si="281"/>
        <v>4.6807956981285773E-2</v>
      </c>
      <c r="IJ40" s="84">
        <f t="shared" si="282"/>
        <v>4.6807956981285773E-2</v>
      </c>
      <c r="IK40" s="84">
        <f t="shared" si="283"/>
        <v>4.6807956981285773E-2</v>
      </c>
      <c r="IL40" s="84">
        <f t="shared" si="284"/>
        <v>4.6807956981285773E-2</v>
      </c>
      <c r="IM40" s="308" t="str">
        <f t="shared" si="76"/>
        <v/>
      </c>
      <c r="IN40" s="84" t="str">
        <f t="shared" si="285"/>
        <v/>
      </c>
      <c r="IO40" s="84" t="str">
        <f t="shared" si="286"/>
        <v/>
      </c>
      <c r="IP40" s="84" t="str">
        <f t="shared" si="287"/>
        <v/>
      </c>
      <c r="IQ40" s="84" t="str">
        <f t="shared" si="288"/>
        <v/>
      </c>
      <c r="IR40" s="84" t="str">
        <f t="shared" si="289"/>
        <v/>
      </c>
      <c r="IS40" s="308" t="str">
        <f t="shared" si="82"/>
        <v/>
      </c>
      <c r="IT40" s="84" t="str">
        <f t="shared" si="290"/>
        <v/>
      </c>
      <c r="IU40" s="84" t="str">
        <f t="shared" si="291"/>
        <v/>
      </c>
      <c r="IV40" s="84" t="str">
        <f t="shared" si="292"/>
        <v/>
      </c>
      <c r="IW40" s="84" t="str">
        <f t="shared" si="293"/>
        <v/>
      </c>
      <c r="IX40" s="84" t="str">
        <f t="shared" si="294"/>
        <v/>
      </c>
      <c r="IY40" s="308" t="str">
        <f t="shared" si="88"/>
        <v/>
      </c>
      <c r="IZ40" s="84" t="str">
        <f t="shared" si="295"/>
        <v/>
      </c>
      <c r="JA40" s="84" t="str">
        <f t="shared" si="296"/>
        <v/>
      </c>
      <c r="JB40" s="84" t="str">
        <f t="shared" si="297"/>
        <v/>
      </c>
      <c r="JC40" s="84" t="str">
        <f t="shared" si="298"/>
        <v/>
      </c>
      <c r="JD40" s="309" t="str">
        <f t="shared" si="299"/>
        <v/>
      </c>
      <c r="JF40" s="66">
        <f t="shared" si="224"/>
        <v>40</v>
      </c>
      <c r="JG40" s="66"/>
      <c r="JH40" s="66"/>
      <c r="JI40" s="66"/>
      <c r="JJ40" s="66"/>
      <c r="JK40" s="33"/>
      <c r="JL40" s="74"/>
      <c r="JM40" s="75"/>
      <c r="JN40" s="75"/>
      <c r="JO40" s="74"/>
      <c r="JP40" s="74"/>
    </row>
    <row r="41" spans="1:276" s="1" customFormat="1" x14ac:dyDescent="0.35">
      <c r="A41" s="125">
        <v>0</v>
      </c>
      <c r="B41" s="125">
        <v>0</v>
      </c>
      <c r="C41" s="125">
        <v>1</v>
      </c>
      <c r="E41" s="142" t="s">
        <v>70</v>
      </c>
      <c r="F41" s="226" t="s">
        <v>71</v>
      </c>
      <c r="G41" s="209" t="s">
        <v>542</v>
      </c>
      <c r="H41" s="210" t="s">
        <v>533</v>
      </c>
      <c r="I41" s="8" t="s">
        <v>534</v>
      </c>
      <c r="J41" s="211">
        <v>1.3698630136986301E-2</v>
      </c>
      <c r="K41" s="215">
        <v>2.7777777777777776E-2</v>
      </c>
      <c r="L41" s="215" t="s">
        <v>805</v>
      </c>
      <c r="M41" s="215" t="s">
        <v>805</v>
      </c>
      <c r="N41" s="215" t="s">
        <v>805</v>
      </c>
      <c r="O41" s="215" t="s">
        <v>805</v>
      </c>
      <c r="P41" s="215" t="s">
        <v>805</v>
      </c>
      <c r="Q41" s="215" t="s">
        <v>805</v>
      </c>
      <c r="R41" s="215" t="s">
        <v>805</v>
      </c>
      <c r="S41" s="215" t="s">
        <v>805</v>
      </c>
      <c r="T41" s="215" t="s">
        <v>805</v>
      </c>
      <c r="U41" s="215" t="s">
        <v>805</v>
      </c>
      <c r="V41" s="215" t="s">
        <v>805</v>
      </c>
      <c r="W41" s="215" t="s">
        <v>805</v>
      </c>
      <c r="X41" s="215" t="s">
        <v>805</v>
      </c>
      <c r="Y41" s="215" t="s">
        <v>805</v>
      </c>
      <c r="Z41" s="215" t="s">
        <v>805</v>
      </c>
      <c r="AA41" s="215" t="s">
        <v>805</v>
      </c>
      <c r="AB41" s="215" t="s">
        <v>805</v>
      </c>
      <c r="AC41" s="215" t="s">
        <v>805</v>
      </c>
      <c r="AD41" s="215" t="s">
        <v>805</v>
      </c>
      <c r="AE41" s="215" t="s">
        <v>805</v>
      </c>
      <c r="AF41" s="215" t="s">
        <v>805</v>
      </c>
      <c r="AG41" s="215" t="s">
        <v>805</v>
      </c>
      <c r="AH41" s="215" t="s">
        <v>805</v>
      </c>
      <c r="AI41" s="215" t="s">
        <v>805</v>
      </c>
      <c r="AJ41" s="215" t="s">
        <v>805</v>
      </c>
      <c r="AK41" s="215" t="s">
        <v>805</v>
      </c>
      <c r="AL41" s="215" t="s">
        <v>805</v>
      </c>
      <c r="AM41" s="215" t="s">
        <v>805</v>
      </c>
      <c r="AN41" s="215" t="s">
        <v>805</v>
      </c>
      <c r="AO41" s="215" t="s">
        <v>805</v>
      </c>
      <c r="AP41" s="215" t="s">
        <v>805</v>
      </c>
      <c r="AQ41" s="215" t="s">
        <v>805</v>
      </c>
      <c r="AR41" s="215" t="s">
        <v>805</v>
      </c>
      <c r="AS41" s="215" t="s">
        <v>805</v>
      </c>
      <c r="AT41" s="215" t="s">
        <v>805</v>
      </c>
      <c r="AU41" s="215" t="s">
        <v>805</v>
      </c>
      <c r="AV41" s="215" t="s">
        <v>805</v>
      </c>
      <c r="AW41" s="215" t="s">
        <v>805</v>
      </c>
      <c r="AX41" s="215" t="s">
        <v>805</v>
      </c>
      <c r="AY41" s="215" t="s">
        <v>805</v>
      </c>
      <c r="AZ41" s="215" t="s">
        <v>805</v>
      </c>
      <c r="BA41" s="215" t="s">
        <v>805</v>
      </c>
      <c r="BB41" s="215" t="s">
        <v>805</v>
      </c>
      <c r="BC41" s="215" t="s">
        <v>805</v>
      </c>
      <c r="BD41" s="215" t="s">
        <v>805</v>
      </c>
      <c r="BE41" s="215" t="s">
        <v>805</v>
      </c>
      <c r="BF41" s="215" t="s">
        <v>805</v>
      </c>
      <c r="BG41" s="215" t="s">
        <v>805</v>
      </c>
      <c r="BH41" s="215" t="s">
        <v>805</v>
      </c>
      <c r="BI41" s="215" t="s">
        <v>805</v>
      </c>
      <c r="BJ41" s="215" t="s">
        <v>805</v>
      </c>
      <c r="BK41" s="215" t="s">
        <v>805</v>
      </c>
      <c r="BL41" s="215" t="s">
        <v>805</v>
      </c>
      <c r="BM41" s="215" t="s">
        <v>805</v>
      </c>
      <c r="BN41" s="215" t="s">
        <v>805</v>
      </c>
      <c r="BO41" s="215" t="s">
        <v>805</v>
      </c>
      <c r="BP41" s="215" t="s">
        <v>805</v>
      </c>
      <c r="BQ41" s="215" t="s">
        <v>805</v>
      </c>
      <c r="BR41" s="215" t="s">
        <v>805</v>
      </c>
      <c r="BS41" s="215" t="s">
        <v>805</v>
      </c>
      <c r="BT41" s="215" t="s">
        <v>805</v>
      </c>
      <c r="BU41" s="215" t="s">
        <v>805</v>
      </c>
      <c r="BV41" s="215" t="s">
        <v>805</v>
      </c>
      <c r="BW41" s="215" t="s">
        <v>805</v>
      </c>
      <c r="BX41" s="215" t="s">
        <v>805</v>
      </c>
      <c r="BY41" s="215" t="s">
        <v>805</v>
      </c>
      <c r="BZ41" s="215" t="s">
        <v>805</v>
      </c>
      <c r="CA41" s="215" t="s">
        <v>805</v>
      </c>
      <c r="CB41" s="215" t="s">
        <v>805</v>
      </c>
      <c r="CC41" s="215" t="s">
        <v>805</v>
      </c>
      <c r="CD41" s="215" t="s">
        <v>805</v>
      </c>
      <c r="CE41" s="215" t="s">
        <v>805</v>
      </c>
      <c r="CF41" s="215" t="s">
        <v>805</v>
      </c>
      <c r="CG41" s="215" t="s">
        <v>805</v>
      </c>
      <c r="CH41" s="215" t="s">
        <v>805</v>
      </c>
      <c r="CI41" s="215" t="s">
        <v>805</v>
      </c>
      <c r="CJ41" s="215" t="s">
        <v>805</v>
      </c>
      <c r="CK41" s="215" t="s">
        <v>805</v>
      </c>
      <c r="CL41" s="215" t="s">
        <v>805</v>
      </c>
      <c r="CM41" s="215" t="s">
        <v>805</v>
      </c>
      <c r="CN41" s="215" t="s">
        <v>805</v>
      </c>
      <c r="CO41" s="215" t="s">
        <v>805</v>
      </c>
      <c r="CP41" s="215" t="s">
        <v>805</v>
      </c>
      <c r="CQ41" s="215" t="s">
        <v>805</v>
      </c>
      <c r="CR41" s="215" t="s">
        <v>805</v>
      </c>
      <c r="CS41" s="215" t="s">
        <v>805</v>
      </c>
      <c r="CT41" s="215" t="s">
        <v>805</v>
      </c>
      <c r="CU41" s="215" t="s">
        <v>805</v>
      </c>
      <c r="CV41" s="215" t="s">
        <v>805</v>
      </c>
      <c r="CW41" s="215" t="s">
        <v>805</v>
      </c>
      <c r="CX41" s="215" t="s">
        <v>805</v>
      </c>
      <c r="CY41" s="215" t="s">
        <v>805</v>
      </c>
      <c r="CZ41" s="215" t="s">
        <v>805</v>
      </c>
      <c r="DA41" s="215" t="s">
        <v>805</v>
      </c>
      <c r="DB41" s="215" t="s">
        <v>805</v>
      </c>
      <c r="DC41" s="215" t="s">
        <v>805</v>
      </c>
      <c r="DD41" s="215" t="s">
        <v>805</v>
      </c>
      <c r="DE41" s="215" t="s">
        <v>805</v>
      </c>
      <c r="DF41" s="215" t="s">
        <v>805</v>
      </c>
      <c r="DG41" s="212">
        <f>VLOOKUP(E41,'KPI Count-SHARE'!A:F,3,0)</f>
        <v>2</v>
      </c>
      <c r="DH41" s="213">
        <v>0.10729475693617638</v>
      </c>
      <c r="DI41" s="216">
        <v>5.2706691541260169E-2</v>
      </c>
      <c r="DJ41" s="216">
        <v>7.3177216064353734E-2</v>
      </c>
      <c r="DK41" s="216">
        <v>0.10729475693617636</v>
      </c>
      <c r="DL41" s="216">
        <v>0.14141229780799899</v>
      </c>
      <c r="DM41" s="216">
        <v>0.16188282233109258</v>
      </c>
      <c r="DN41" s="212">
        <f>VLOOKUP(E41,'KPI Count-SHARE'!A:F,4,0)</f>
        <v>0</v>
      </c>
      <c r="DO41" s="213"/>
      <c r="DP41" s="216"/>
      <c r="DQ41" s="216"/>
      <c r="DR41" s="216"/>
      <c r="DS41" s="216"/>
      <c r="DT41" s="216"/>
      <c r="DU41" s="212">
        <f>VLOOKUP(E41,'KPI Count-SHARE'!A:F,5,0)</f>
        <v>0</v>
      </c>
      <c r="DV41" s="213"/>
      <c r="DW41" s="216"/>
      <c r="DX41" s="216"/>
      <c r="DY41" s="216"/>
      <c r="DZ41" s="216"/>
      <c r="EA41" s="216"/>
      <c r="EB41" s="212">
        <f>VLOOKUP(E41,'KPI Count-SHARE'!A:F,6,0)</f>
        <v>0</v>
      </c>
      <c r="EC41" s="213"/>
      <c r="ED41" s="216"/>
      <c r="EE41" s="216"/>
      <c r="EF41" s="216"/>
      <c r="EG41" s="216"/>
      <c r="EH41" s="216"/>
      <c r="EI41" s="214" t="s">
        <v>533</v>
      </c>
      <c r="EJ41" s="39">
        <f t="shared" si="101"/>
        <v>1.3698630136986301E-2</v>
      </c>
      <c r="EK41" s="39">
        <f t="shared" si="300"/>
        <v>2.7777777777777776E-2</v>
      </c>
      <c r="EL41" s="39" t="str">
        <f t="shared" si="301"/>
        <v/>
      </c>
      <c r="EM41" s="39" t="str">
        <f t="shared" si="302"/>
        <v/>
      </c>
      <c r="EN41" s="39" t="str">
        <f t="shared" si="303"/>
        <v/>
      </c>
      <c r="EO41" s="39" t="str">
        <f t="shared" si="304"/>
        <v/>
      </c>
      <c r="EP41" s="39" t="str">
        <f t="shared" si="305"/>
        <v/>
      </c>
      <c r="EQ41" s="39" t="str">
        <f t="shared" si="306"/>
        <v/>
      </c>
      <c r="ER41" s="39" t="str">
        <f t="shared" si="307"/>
        <v/>
      </c>
      <c r="ES41" s="39" t="str">
        <f t="shared" si="308"/>
        <v/>
      </c>
      <c r="ET41" s="39" t="str">
        <f t="shared" si="309"/>
        <v/>
      </c>
      <c r="EU41" s="39" t="str">
        <f t="shared" si="165"/>
        <v/>
      </c>
      <c r="EV41" s="39" t="str">
        <f t="shared" si="166"/>
        <v/>
      </c>
      <c r="EW41" s="39" t="str">
        <f t="shared" si="167"/>
        <v/>
      </c>
      <c r="EX41" s="39" t="str">
        <f t="shared" si="168"/>
        <v/>
      </c>
      <c r="EY41" s="39" t="str">
        <f t="shared" si="169"/>
        <v/>
      </c>
      <c r="EZ41" s="39" t="str">
        <f t="shared" si="170"/>
        <v/>
      </c>
      <c r="FA41" s="39" t="str">
        <f t="shared" si="171"/>
        <v/>
      </c>
      <c r="FB41" s="39" t="str">
        <f t="shared" si="172"/>
        <v/>
      </c>
      <c r="FC41" s="39" t="str">
        <f t="shared" si="173"/>
        <v/>
      </c>
      <c r="FD41" s="39" t="str">
        <f t="shared" si="174"/>
        <v/>
      </c>
      <c r="FE41" s="39" t="str">
        <f t="shared" si="175"/>
        <v/>
      </c>
      <c r="FF41" s="39" t="str">
        <f t="shared" si="176"/>
        <v/>
      </c>
      <c r="FG41" s="39" t="str">
        <f t="shared" si="177"/>
        <v/>
      </c>
      <c r="FH41" s="39" t="str">
        <f t="shared" si="178"/>
        <v/>
      </c>
      <c r="FI41" s="39" t="str">
        <f t="shared" si="179"/>
        <v/>
      </c>
      <c r="FJ41" s="39" t="str">
        <f t="shared" si="180"/>
        <v/>
      </c>
      <c r="FK41" s="39" t="str">
        <f t="shared" si="181"/>
        <v/>
      </c>
      <c r="FL41" s="39" t="str">
        <f t="shared" si="182"/>
        <v/>
      </c>
      <c r="FM41" s="39" t="str">
        <f t="shared" si="183"/>
        <v/>
      </c>
      <c r="FN41" s="39" t="str">
        <f t="shared" si="184"/>
        <v/>
      </c>
      <c r="FO41" s="39" t="str">
        <f t="shared" si="185"/>
        <v/>
      </c>
      <c r="FP41" s="39" t="str">
        <f t="shared" si="186"/>
        <v/>
      </c>
      <c r="FQ41" s="39" t="str">
        <f t="shared" si="187"/>
        <v/>
      </c>
      <c r="FR41" s="39" t="str">
        <f t="shared" si="188"/>
        <v/>
      </c>
      <c r="FS41" s="39" t="str">
        <f t="shared" si="189"/>
        <v/>
      </c>
      <c r="FT41" s="39" t="str">
        <f t="shared" si="190"/>
        <v/>
      </c>
      <c r="FU41" s="39" t="str">
        <f t="shared" si="191"/>
        <v/>
      </c>
      <c r="FV41" s="39" t="str">
        <f t="shared" si="192"/>
        <v/>
      </c>
      <c r="FW41" s="39" t="str">
        <f t="shared" si="193"/>
        <v/>
      </c>
      <c r="FX41" s="39" t="str">
        <f t="shared" si="194"/>
        <v/>
      </c>
      <c r="FY41" s="39" t="str">
        <f t="shared" si="195"/>
        <v/>
      </c>
      <c r="FZ41" s="39" t="str">
        <f t="shared" si="196"/>
        <v/>
      </c>
      <c r="GA41" s="39" t="str">
        <f t="shared" si="197"/>
        <v/>
      </c>
      <c r="GB41" s="39" t="str">
        <f t="shared" si="155"/>
        <v/>
      </c>
      <c r="GC41" s="39" t="str">
        <f t="shared" si="156"/>
        <v/>
      </c>
      <c r="GD41" s="39" t="str">
        <f t="shared" si="157"/>
        <v/>
      </c>
      <c r="GE41" s="39" t="str">
        <f t="shared" si="158"/>
        <v/>
      </c>
      <c r="GF41" s="39" t="str">
        <f t="shared" si="232"/>
        <v/>
      </c>
      <c r="GG41" s="39" t="str">
        <f t="shared" si="233"/>
        <v/>
      </c>
      <c r="GH41" s="39" t="str">
        <f t="shared" si="234"/>
        <v/>
      </c>
      <c r="GI41" s="39" t="str">
        <f t="shared" si="235"/>
        <v/>
      </c>
      <c r="GJ41" s="39" t="str">
        <f t="shared" si="236"/>
        <v/>
      </c>
      <c r="GK41" s="39" t="str">
        <f t="shared" si="237"/>
        <v/>
      </c>
      <c r="GL41" s="39" t="str">
        <f t="shared" si="238"/>
        <v/>
      </c>
      <c r="GM41" s="39" t="str">
        <f t="shared" si="239"/>
        <v/>
      </c>
      <c r="GN41" s="39" t="str">
        <f t="shared" si="240"/>
        <v/>
      </c>
      <c r="GO41" s="39" t="str">
        <f t="shared" si="241"/>
        <v/>
      </c>
      <c r="GP41" s="39" t="str">
        <f t="shared" si="242"/>
        <v/>
      </c>
      <c r="GQ41" s="39" t="str">
        <f t="shared" si="243"/>
        <v/>
      </c>
      <c r="GR41" s="39" t="str">
        <f t="shared" si="244"/>
        <v/>
      </c>
      <c r="GS41" s="39" t="str">
        <f t="shared" si="245"/>
        <v/>
      </c>
      <c r="GT41" s="39" t="str">
        <f t="shared" si="246"/>
        <v/>
      </c>
      <c r="GU41" s="39" t="str">
        <f t="shared" si="226"/>
        <v/>
      </c>
      <c r="GV41" s="39" t="str">
        <f t="shared" si="247"/>
        <v/>
      </c>
      <c r="GW41" s="39" t="str">
        <f t="shared" si="248"/>
        <v/>
      </c>
      <c r="GX41" s="39" t="str">
        <f t="shared" si="249"/>
        <v/>
      </c>
      <c r="GY41" s="39" t="str">
        <f t="shared" si="250"/>
        <v/>
      </c>
      <c r="GZ41" s="39" t="str">
        <f t="shared" si="251"/>
        <v/>
      </c>
      <c r="HA41" s="39" t="str">
        <f t="shared" si="252"/>
        <v/>
      </c>
      <c r="HB41" s="39" t="str">
        <f t="shared" si="253"/>
        <v/>
      </c>
      <c r="HC41" s="39" t="str">
        <f t="shared" si="254"/>
        <v/>
      </c>
      <c r="HD41" s="39" t="str">
        <f t="shared" si="255"/>
        <v/>
      </c>
      <c r="HE41" s="39" t="str">
        <f t="shared" si="256"/>
        <v/>
      </c>
      <c r="HF41" s="39" t="str">
        <f t="shared" si="257"/>
        <v/>
      </c>
      <c r="HG41" s="39" t="str">
        <f t="shared" si="258"/>
        <v/>
      </c>
      <c r="HH41" s="39" t="str">
        <f t="shared" si="259"/>
        <v/>
      </c>
      <c r="HI41" s="39" t="str">
        <f t="shared" si="260"/>
        <v/>
      </c>
      <c r="HJ41" s="39" t="str">
        <f t="shared" si="261"/>
        <v/>
      </c>
      <c r="HK41" s="39" t="str">
        <f t="shared" si="228"/>
        <v/>
      </c>
      <c r="HL41" s="39" t="str">
        <f t="shared" si="262"/>
        <v/>
      </c>
      <c r="HM41" s="39" t="str">
        <f t="shared" si="263"/>
        <v/>
      </c>
      <c r="HN41" s="39" t="str">
        <f t="shared" si="264"/>
        <v/>
      </c>
      <c r="HO41" s="39" t="str">
        <f t="shared" si="265"/>
        <v/>
      </c>
      <c r="HP41" s="39" t="str">
        <f t="shared" si="266"/>
        <v/>
      </c>
      <c r="HQ41" s="39" t="str">
        <f t="shared" si="267"/>
        <v/>
      </c>
      <c r="HR41" s="39" t="str">
        <f t="shared" si="268"/>
        <v/>
      </c>
      <c r="HS41" s="39" t="str">
        <f t="shared" si="269"/>
        <v/>
      </c>
      <c r="HT41" s="39" t="str">
        <f t="shared" si="270"/>
        <v/>
      </c>
      <c r="HU41" s="39" t="str">
        <f t="shared" si="271"/>
        <v/>
      </c>
      <c r="HV41" s="39" t="str">
        <f t="shared" si="272"/>
        <v/>
      </c>
      <c r="HW41" s="39" t="str">
        <f t="shared" si="273"/>
        <v/>
      </c>
      <c r="HX41" s="39" t="str">
        <f t="shared" si="274"/>
        <v/>
      </c>
      <c r="HY41" s="39" t="str">
        <f t="shared" si="275"/>
        <v/>
      </c>
      <c r="HZ41" s="39" t="str">
        <f t="shared" si="276"/>
        <v/>
      </c>
      <c r="IA41" s="39" t="str">
        <f t="shared" si="230"/>
        <v/>
      </c>
      <c r="IB41" s="39" t="str">
        <f t="shared" si="277"/>
        <v/>
      </c>
      <c r="IC41" s="39" t="str">
        <f t="shared" si="278"/>
        <v/>
      </c>
      <c r="ID41" s="39" t="str">
        <f t="shared" si="279"/>
        <v/>
      </c>
      <c r="IE41" s="39" t="str">
        <f t="shared" si="68"/>
        <v/>
      </c>
      <c r="IF41" s="39" t="str">
        <f t="shared" si="69"/>
        <v/>
      </c>
      <c r="IG41" s="308">
        <f t="shared" si="70"/>
        <v>0.10729475693617638</v>
      </c>
      <c r="IH41" s="84">
        <f t="shared" si="280"/>
        <v>5.2706691541260169E-2</v>
      </c>
      <c r="II41" s="84">
        <f t="shared" si="281"/>
        <v>7.3177216064353734E-2</v>
      </c>
      <c r="IJ41" s="84">
        <f t="shared" si="282"/>
        <v>0.10729475693617636</v>
      </c>
      <c r="IK41" s="84">
        <f t="shared" si="283"/>
        <v>0.14141229780799899</v>
      </c>
      <c r="IL41" s="84">
        <f t="shared" si="284"/>
        <v>0.16188282233109258</v>
      </c>
      <c r="IM41" s="308" t="str">
        <f t="shared" si="76"/>
        <v/>
      </c>
      <c r="IN41" s="84" t="str">
        <f t="shared" si="285"/>
        <v/>
      </c>
      <c r="IO41" s="84" t="str">
        <f t="shared" si="286"/>
        <v/>
      </c>
      <c r="IP41" s="84" t="str">
        <f t="shared" si="287"/>
        <v/>
      </c>
      <c r="IQ41" s="84" t="str">
        <f t="shared" si="288"/>
        <v/>
      </c>
      <c r="IR41" s="84" t="str">
        <f t="shared" si="289"/>
        <v/>
      </c>
      <c r="IS41" s="308" t="str">
        <f t="shared" si="82"/>
        <v/>
      </c>
      <c r="IT41" s="84" t="str">
        <f t="shared" si="290"/>
        <v/>
      </c>
      <c r="IU41" s="84" t="str">
        <f t="shared" si="291"/>
        <v/>
      </c>
      <c r="IV41" s="84" t="str">
        <f t="shared" si="292"/>
        <v/>
      </c>
      <c r="IW41" s="84" t="str">
        <f t="shared" si="293"/>
        <v/>
      </c>
      <c r="IX41" s="84" t="str">
        <f t="shared" si="294"/>
        <v/>
      </c>
      <c r="IY41" s="308" t="str">
        <f t="shared" si="88"/>
        <v/>
      </c>
      <c r="IZ41" s="84" t="str">
        <f t="shared" si="295"/>
        <v/>
      </c>
      <c r="JA41" s="84" t="str">
        <f t="shared" si="296"/>
        <v/>
      </c>
      <c r="JB41" s="84" t="str">
        <f t="shared" si="297"/>
        <v/>
      </c>
      <c r="JC41" s="84" t="str">
        <f t="shared" si="298"/>
        <v/>
      </c>
      <c r="JD41" s="309" t="str">
        <f t="shared" si="299"/>
        <v/>
      </c>
      <c r="JF41" s="66">
        <f t="shared" si="224"/>
        <v>41</v>
      </c>
      <c r="JG41" s="66"/>
      <c r="JH41" s="66"/>
      <c r="JI41" s="66"/>
      <c r="JJ41" s="66"/>
      <c r="JK41" s="33"/>
      <c r="JL41" s="74"/>
      <c r="JM41" s="75"/>
      <c r="JN41" s="75"/>
      <c r="JO41" s="74"/>
      <c r="JP41" s="74"/>
    </row>
    <row r="42" spans="1:276" s="1" customFormat="1" x14ac:dyDescent="0.35">
      <c r="A42" s="125">
        <v>0</v>
      </c>
      <c r="B42" s="125">
        <v>1</v>
      </c>
      <c r="C42" s="125">
        <v>1</v>
      </c>
      <c r="E42" s="142" t="s">
        <v>72</v>
      </c>
      <c r="F42" s="208" t="s">
        <v>73</v>
      </c>
      <c r="G42" s="209" t="s">
        <v>542</v>
      </c>
      <c r="H42" s="210" t="s">
        <v>533</v>
      </c>
      <c r="I42" s="8" t="s">
        <v>534</v>
      </c>
      <c r="J42" s="211">
        <v>0.14246575342465753</v>
      </c>
      <c r="K42" s="215">
        <v>0.15555555555555556</v>
      </c>
      <c r="L42" s="215">
        <v>0.13235294117647059</v>
      </c>
      <c r="M42" s="215">
        <v>0.12244897959183673</v>
      </c>
      <c r="N42" s="215" t="s">
        <v>805</v>
      </c>
      <c r="O42" s="215" t="s">
        <v>805</v>
      </c>
      <c r="P42" s="215" t="s">
        <v>805</v>
      </c>
      <c r="Q42" s="215" t="s">
        <v>805</v>
      </c>
      <c r="R42" s="215" t="s">
        <v>805</v>
      </c>
      <c r="S42" s="215" t="s">
        <v>805</v>
      </c>
      <c r="T42" s="215" t="s">
        <v>805</v>
      </c>
      <c r="U42" s="215" t="s">
        <v>805</v>
      </c>
      <c r="V42" s="215" t="s">
        <v>805</v>
      </c>
      <c r="W42" s="215" t="s">
        <v>805</v>
      </c>
      <c r="X42" s="215" t="s">
        <v>805</v>
      </c>
      <c r="Y42" s="215" t="s">
        <v>805</v>
      </c>
      <c r="Z42" s="215" t="s">
        <v>805</v>
      </c>
      <c r="AA42" s="215" t="s">
        <v>805</v>
      </c>
      <c r="AB42" s="215" t="s">
        <v>805</v>
      </c>
      <c r="AC42" s="215" t="s">
        <v>805</v>
      </c>
      <c r="AD42" s="215" t="s">
        <v>805</v>
      </c>
      <c r="AE42" s="215" t="s">
        <v>805</v>
      </c>
      <c r="AF42" s="215" t="s">
        <v>805</v>
      </c>
      <c r="AG42" s="215" t="s">
        <v>805</v>
      </c>
      <c r="AH42" s="215" t="s">
        <v>805</v>
      </c>
      <c r="AI42" s="215" t="s">
        <v>805</v>
      </c>
      <c r="AJ42" s="215" t="s">
        <v>805</v>
      </c>
      <c r="AK42" s="215" t="s">
        <v>805</v>
      </c>
      <c r="AL42" s="215" t="s">
        <v>805</v>
      </c>
      <c r="AM42" s="215" t="s">
        <v>805</v>
      </c>
      <c r="AN42" s="215" t="s">
        <v>805</v>
      </c>
      <c r="AO42" s="215" t="s">
        <v>805</v>
      </c>
      <c r="AP42" s="215" t="s">
        <v>805</v>
      </c>
      <c r="AQ42" s="215" t="s">
        <v>805</v>
      </c>
      <c r="AR42" s="215" t="s">
        <v>805</v>
      </c>
      <c r="AS42" s="215" t="s">
        <v>805</v>
      </c>
      <c r="AT42" s="215" t="s">
        <v>805</v>
      </c>
      <c r="AU42" s="215" t="s">
        <v>805</v>
      </c>
      <c r="AV42" s="215" t="s">
        <v>805</v>
      </c>
      <c r="AW42" s="215" t="s">
        <v>805</v>
      </c>
      <c r="AX42" s="215" t="s">
        <v>805</v>
      </c>
      <c r="AY42" s="215" t="s">
        <v>805</v>
      </c>
      <c r="AZ42" s="215" t="s">
        <v>805</v>
      </c>
      <c r="BA42" s="215" t="s">
        <v>805</v>
      </c>
      <c r="BB42" s="215" t="s">
        <v>805</v>
      </c>
      <c r="BC42" s="215" t="s">
        <v>805</v>
      </c>
      <c r="BD42" s="215" t="s">
        <v>805</v>
      </c>
      <c r="BE42" s="215" t="s">
        <v>805</v>
      </c>
      <c r="BF42" s="215" t="s">
        <v>805</v>
      </c>
      <c r="BG42" s="215" t="s">
        <v>805</v>
      </c>
      <c r="BH42" s="215" t="s">
        <v>805</v>
      </c>
      <c r="BI42" s="215" t="s">
        <v>805</v>
      </c>
      <c r="BJ42" s="215" t="s">
        <v>805</v>
      </c>
      <c r="BK42" s="215" t="s">
        <v>805</v>
      </c>
      <c r="BL42" s="215" t="s">
        <v>805</v>
      </c>
      <c r="BM42" s="215" t="s">
        <v>805</v>
      </c>
      <c r="BN42" s="215" t="s">
        <v>805</v>
      </c>
      <c r="BO42" s="215" t="s">
        <v>805</v>
      </c>
      <c r="BP42" s="215" t="s">
        <v>805</v>
      </c>
      <c r="BQ42" s="215" t="s">
        <v>805</v>
      </c>
      <c r="BR42" s="215" t="s">
        <v>805</v>
      </c>
      <c r="BS42" s="215" t="s">
        <v>805</v>
      </c>
      <c r="BT42" s="215" t="s">
        <v>805</v>
      </c>
      <c r="BU42" s="215" t="s">
        <v>805</v>
      </c>
      <c r="BV42" s="215" t="s">
        <v>805</v>
      </c>
      <c r="BW42" s="215" t="s">
        <v>805</v>
      </c>
      <c r="BX42" s="215" t="s">
        <v>805</v>
      </c>
      <c r="BY42" s="215" t="s">
        <v>805</v>
      </c>
      <c r="BZ42" s="215" t="s">
        <v>805</v>
      </c>
      <c r="CA42" s="215" t="s">
        <v>805</v>
      </c>
      <c r="CB42" s="215" t="s">
        <v>805</v>
      </c>
      <c r="CC42" s="215" t="s">
        <v>805</v>
      </c>
      <c r="CD42" s="215" t="s">
        <v>805</v>
      </c>
      <c r="CE42" s="215" t="s">
        <v>805</v>
      </c>
      <c r="CF42" s="215" t="s">
        <v>805</v>
      </c>
      <c r="CG42" s="215" t="s">
        <v>805</v>
      </c>
      <c r="CH42" s="215" t="s">
        <v>805</v>
      </c>
      <c r="CI42" s="215" t="s">
        <v>805</v>
      </c>
      <c r="CJ42" s="215" t="s">
        <v>805</v>
      </c>
      <c r="CK42" s="215" t="s">
        <v>805</v>
      </c>
      <c r="CL42" s="215" t="s">
        <v>805</v>
      </c>
      <c r="CM42" s="215" t="s">
        <v>805</v>
      </c>
      <c r="CN42" s="215" t="s">
        <v>805</v>
      </c>
      <c r="CO42" s="215" t="s">
        <v>805</v>
      </c>
      <c r="CP42" s="215" t="s">
        <v>805</v>
      </c>
      <c r="CQ42" s="215" t="s">
        <v>805</v>
      </c>
      <c r="CR42" s="215" t="s">
        <v>805</v>
      </c>
      <c r="CS42" s="215" t="s">
        <v>805</v>
      </c>
      <c r="CT42" s="215" t="s">
        <v>805</v>
      </c>
      <c r="CU42" s="215" t="s">
        <v>805</v>
      </c>
      <c r="CV42" s="215" t="s">
        <v>805</v>
      </c>
      <c r="CW42" s="215" t="s">
        <v>805</v>
      </c>
      <c r="CX42" s="215" t="s">
        <v>805</v>
      </c>
      <c r="CY42" s="215" t="s">
        <v>805</v>
      </c>
      <c r="CZ42" s="215" t="s">
        <v>805</v>
      </c>
      <c r="DA42" s="215" t="s">
        <v>805</v>
      </c>
      <c r="DB42" s="215" t="s">
        <v>805</v>
      </c>
      <c r="DC42" s="215" t="s">
        <v>805</v>
      </c>
      <c r="DD42" s="215" t="s">
        <v>805</v>
      </c>
      <c r="DE42" s="215" t="s">
        <v>805</v>
      </c>
      <c r="DF42" s="215" t="s">
        <v>805</v>
      </c>
      <c r="DG42" s="212">
        <f>VLOOKUP(E42,'KPI Count-SHARE'!A:F,3,0)</f>
        <v>15</v>
      </c>
      <c r="DH42" s="213">
        <v>0.11656408329539619</v>
      </c>
      <c r="DI42" s="216">
        <v>4.8161013070601194E-2</v>
      </c>
      <c r="DJ42" s="216">
        <v>5.8536021275287148E-2</v>
      </c>
      <c r="DK42" s="216">
        <v>0.10596026490066225</v>
      </c>
      <c r="DL42" s="216">
        <v>0.1659551509469421</v>
      </c>
      <c r="DM42" s="216">
        <v>0.18409090909090908</v>
      </c>
      <c r="DN42" s="212">
        <f>VLOOKUP(E42,'KPI Count-SHARE'!A:F,4,0)</f>
        <v>0</v>
      </c>
      <c r="DO42" s="213"/>
      <c r="DP42" s="216"/>
      <c r="DQ42" s="216"/>
      <c r="DR42" s="216"/>
      <c r="DS42" s="216"/>
      <c r="DT42" s="216"/>
      <c r="DU42" s="212">
        <f>VLOOKUP(E42,'KPI Count-SHARE'!A:F,5,0)</f>
        <v>0</v>
      </c>
      <c r="DV42" s="213"/>
      <c r="DW42" s="216"/>
      <c r="DX42" s="216"/>
      <c r="DY42" s="216"/>
      <c r="DZ42" s="216"/>
      <c r="EA42" s="216"/>
      <c r="EB42" s="212">
        <f>VLOOKUP(E42,'KPI Count-SHARE'!A:F,6,0)</f>
        <v>0</v>
      </c>
      <c r="EC42" s="213"/>
      <c r="ED42" s="216"/>
      <c r="EE42" s="216"/>
      <c r="EF42" s="216"/>
      <c r="EG42" s="216"/>
      <c r="EH42" s="216"/>
      <c r="EI42" s="214" t="s">
        <v>533</v>
      </c>
      <c r="EJ42" s="39">
        <f t="shared" si="101"/>
        <v>0.14246575342465753</v>
      </c>
      <c r="EK42" s="39">
        <f t="shared" si="102"/>
        <v>0.15555555555555556</v>
      </c>
      <c r="EL42" s="39">
        <f t="shared" si="103"/>
        <v>0.13235294117647059</v>
      </c>
      <c r="EM42" s="39">
        <f t="shared" si="104"/>
        <v>0.12244897959183673</v>
      </c>
      <c r="EN42" s="39" t="str">
        <f t="shared" si="105"/>
        <v/>
      </c>
      <c r="EO42" s="39" t="str">
        <f t="shared" si="106"/>
        <v/>
      </c>
      <c r="EP42" s="39" t="str">
        <f t="shared" si="107"/>
        <v/>
      </c>
      <c r="EQ42" s="39" t="str">
        <f t="shared" si="108"/>
        <v/>
      </c>
      <c r="ER42" s="39" t="str">
        <f t="shared" si="109"/>
        <v/>
      </c>
      <c r="ES42" s="39" t="str">
        <f t="shared" si="110"/>
        <v/>
      </c>
      <c r="ET42" s="39" t="str">
        <f t="shared" si="111"/>
        <v/>
      </c>
      <c r="EU42" s="39" t="str">
        <f t="shared" si="165"/>
        <v/>
      </c>
      <c r="EV42" s="39" t="str">
        <f t="shared" si="166"/>
        <v/>
      </c>
      <c r="EW42" s="39" t="str">
        <f t="shared" si="167"/>
        <v/>
      </c>
      <c r="EX42" s="39" t="str">
        <f t="shared" si="168"/>
        <v/>
      </c>
      <c r="EY42" s="39" t="str">
        <f t="shared" si="169"/>
        <v/>
      </c>
      <c r="EZ42" s="39" t="str">
        <f t="shared" si="170"/>
        <v/>
      </c>
      <c r="FA42" s="39" t="str">
        <f t="shared" si="171"/>
        <v/>
      </c>
      <c r="FB42" s="39" t="str">
        <f t="shared" si="172"/>
        <v/>
      </c>
      <c r="FC42" s="39" t="str">
        <f t="shared" si="173"/>
        <v/>
      </c>
      <c r="FD42" s="39" t="str">
        <f t="shared" si="174"/>
        <v/>
      </c>
      <c r="FE42" s="39" t="str">
        <f t="shared" si="175"/>
        <v/>
      </c>
      <c r="FF42" s="39" t="str">
        <f t="shared" si="176"/>
        <v/>
      </c>
      <c r="FG42" s="39" t="str">
        <f t="shared" si="177"/>
        <v/>
      </c>
      <c r="FH42" s="39" t="str">
        <f t="shared" si="178"/>
        <v/>
      </c>
      <c r="FI42" s="39" t="str">
        <f t="shared" si="179"/>
        <v/>
      </c>
      <c r="FJ42" s="39" t="str">
        <f t="shared" si="180"/>
        <v/>
      </c>
      <c r="FK42" s="39" t="str">
        <f t="shared" si="181"/>
        <v/>
      </c>
      <c r="FL42" s="39" t="str">
        <f t="shared" si="182"/>
        <v/>
      </c>
      <c r="FM42" s="39" t="str">
        <f t="shared" si="183"/>
        <v/>
      </c>
      <c r="FN42" s="39" t="str">
        <f t="shared" si="184"/>
        <v/>
      </c>
      <c r="FO42" s="39" t="str">
        <f t="shared" si="185"/>
        <v/>
      </c>
      <c r="FP42" s="39" t="str">
        <f t="shared" si="186"/>
        <v/>
      </c>
      <c r="FQ42" s="39" t="str">
        <f t="shared" si="187"/>
        <v/>
      </c>
      <c r="FR42" s="39" t="str">
        <f t="shared" si="188"/>
        <v/>
      </c>
      <c r="FS42" s="39" t="str">
        <f t="shared" si="189"/>
        <v/>
      </c>
      <c r="FT42" s="39" t="str">
        <f t="shared" si="190"/>
        <v/>
      </c>
      <c r="FU42" s="39" t="str">
        <f t="shared" si="191"/>
        <v/>
      </c>
      <c r="FV42" s="39" t="str">
        <f t="shared" si="192"/>
        <v/>
      </c>
      <c r="FW42" s="39" t="str">
        <f t="shared" si="193"/>
        <v/>
      </c>
      <c r="FX42" s="39" t="str">
        <f t="shared" si="194"/>
        <v/>
      </c>
      <c r="FY42" s="39" t="str">
        <f t="shared" si="195"/>
        <v/>
      </c>
      <c r="FZ42" s="39" t="str">
        <f t="shared" si="196"/>
        <v/>
      </c>
      <c r="GA42" s="39" t="str">
        <f t="shared" si="197"/>
        <v/>
      </c>
      <c r="GB42" s="39" t="str">
        <f t="shared" si="155"/>
        <v/>
      </c>
      <c r="GC42" s="39" t="str">
        <f t="shared" si="156"/>
        <v/>
      </c>
      <c r="GD42" s="39" t="str">
        <f t="shared" si="157"/>
        <v/>
      </c>
      <c r="GE42" s="39" t="str">
        <f t="shared" si="158"/>
        <v/>
      </c>
      <c r="GF42" s="39" t="str">
        <f t="shared" si="232"/>
        <v/>
      </c>
      <c r="GG42" s="39" t="str">
        <f t="shared" si="233"/>
        <v/>
      </c>
      <c r="GH42" s="39" t="str">
        <f t="shared" si="234"/>
        <v/>
      </c>
      <c r="GI42" s="39" t="str">
        <f t="shared" si="235"/>
        <v/>
      </c>
      <c r="GJ42" s="39" t="str">
        <f t="shared" si="236"/>
        <v/>
      </c>
      <c r="GK42" s="39" t="str">
        <f t="shared" si="237"/>
        <v/>
      </c>
      <c r="GL42" s="39" t="str">
        <f t="shared" si="238"/>
        <v/>
      </c>
      <c r="GM42" s="39" t="str">
        <f t="shared" si="239"/>
        <v/>
      </c>
      <c r="GN42" s="39" t="str">
        <f t="shared" si="240"/>
        <v/>
      </c>
      <c r="GO42" s="39" t="str">
        <f t="shared" si="241"/>
        <v/>
      </c>
      <c r="GP42" s="39" t="str">
        <f t="shared" si="242"/>
        <v/>
      </c>
      <c r="GQ42" s="39" t="str">
        <f t="shared" si="243"/>
        <v/>
      </c>
      <c r="GR42" s="39" t="str">
        <f t="shared" si="244"/>
        <v/>
      </c>
      <c r="GS42" s="39" t="str">
        <f t="shared" si="245"/>
        <v/>
      </c>
      <c r="GT42" s="39" t="str">
        <f t="shared" si="246"/>
        <v/>
      </c>
      <c r="GU42" s="39" t="str">
        <f t="shared" si="226"/>
        <v/>
      </c>
      <c r="GV42" s="39" t="str">
        <f t="shared" si="247"/>
        <v/>
      </c>
      <c r="GW42" s="39" t="str">
        <f t="shared" si="248"/>
        <v/>
      </c>
      <c r="GX42" s="39" t="str">
        <f t="shared" si="249"/>
        <v/>
      </c>
      <c r="GY42" s="39" t="str">
        <f t="shared" si="250"/>
        <v/>
      </c>
      <c r="GZ42" s="39" t="str">
        <f t="shared" si="251"/>
        <v/>
      </c>
      <c r="HA42" s="39" t="str">
        <f t="shared" si="252"/>
        <v/>
      </c>
      <c r="HB42" s="39" t="str">
        <f t="shared" si="253"/>
        <v/>
      </c>
      <c r="HC42" s="39" t="str">
        <f t="shared" si="254"/>
        <v/>
      </c>
      <c r="HD42" s="39" t="str">
        <f t="shared" si="255"/>
        <v/>
      </c>
      <c r="HE42" s="39" t="str">
        <f t="shared" si="256"/>
        <v/>
      </c>
      <c r="HF42" s="39" t="str">
        <f t="shared" si="257"/>
        <v/>
      </c>
      <c r="HG42" s="39" t="str">
        <f t="shared" si="258"/>
        <v/>
      </c>
      <c r="HH42" s="39" t="str">
        <f t="shared" si="259"/>
        <v/>
      </c>
      <c r="HI42" s="39" t="str">
        <f t="shared" si="260"/>
        <v/>
      </c>
      <c r="HJ42" s="39" t="str">
        <f t="shared" si="261"/>
        <v/>
      </c>
      <c r="HK42" s="39" t="str">
        <f t="shared" si="228"/>
        <v/>
      </c>
      <c r="HL42" s="39" t="str">
        <f t="shared" si="262"/>
        <v/>
      </c>
      <c r="HM42" s="39" t="str">
        <f t="shared" si="263"/>
        <v/>
      </c>
      <c r="HN42" s="39" t="str">
        <f t="shared" si="264"/>
        <v/>
      </c>
      <c r="HO42" s="39" t="str">
        <f t="shared" si="265"/>
        <v/>
      </c>
      <c r="HP42" s="39" t="str">
        <f t="shared" si="266"/>
        <v/>
      </c>
      <c r="HQ42" s="39" t="str">
        <f t="shared" si="267"/>
        <v/>
      </c>
      <c r="HR42" s="39" t="str">
        <f t="shared" si="268"/>
        <v/>
      </c>
      <c r="HS42" s="39" t="str">
        <f t="shared" si="269"/>
        <v/>
      </c>
      <c r="HT42" s="39" t="str">
        <f t="shared" si="270"/>
        <v/>
      </c>
      <c r="HU42" s="39" t="str">
        <f t="shared" si="271"/>
        <v/>
      </c>
      <c r="HV42" s="39" t="str">
        <f t="shared" si="272"/>
        <v/>
      </c>
      <c r="HW42" s="39" t="str">
        <f t="shared" si="273"/>
        <v/>
      </c>
      <c r="HX42" s="39" t="str">
        <f t="shared" si="274"/>
        <v/>
      </c>
      <c r="HY42" s="39" t="str">
        <f t="shared" si="275"/>
        <v/>
      </c>
      <c r="HZ42" s="39" t="str">
        <f t="shared" si="276"/>
        <v/>
      </c>
      <c r="IA42" s="39" t="str">
        <f t="shared" si="230"/>
        <v/>
      </c>
      <c r="IB42" s="39" t="str">
        <f t="shared" si="277"/>
        <v/>
      </c>
      <c r="IC42" s="39" t="str">
        <f t="shared" si="278"/>
        <v/>
      </c>
      <c r="ID42" s="39" t="str">
        <f t="shared" si="279"/>
        <v/>
      </c>
      <c r="IE42" s="39" t="str">
        <f t="shared" si="68"/>
        <v/>
      </c>
      <c r="IF42" s="39" t="str">
        <f t="shared" si="69"/>
        <v/>
      </c>
      <c r="IG42" s="308">
        <f t="shared" si="70"/>
        <v>0.11656408329539619</v>
      </c>
      <c r="IH42" s="84">
        <f t="shared" si="280"/>
        <v>4.8161013070601194E-2</v>
      </c>
      <c r="II42" s="84">
        <f t="shared" si="281"/>
        <v>5.8536021275287148E-2</v>
      </c>
      <c r="IJ42" s="84">
        <f t="shared" si="282"/>
        <v>0.10596026490066225</v>
      </c>
      <c r="IK42" s="84">
        <f t="shared" si="283"/>
        <v>0.1659551509469421</v>
      </c>
      <c r="IL42" s="84">
        <f t="shared" si="284"/>
        <v>0.18409090909090908</v>
      </c>
      <c r="IM42" s="308" t="str">
        <f t="shared" si="76"/>
        <v/>
      </c>
      <c r="IN42" s="84" t="str">
        <f t="shared" si="285"/>
        <v/>
      </c>
      <c r="IO42" s="84" t="str">
        <f t="shared" si="286"/>
        <v/>
      </c>
      <c r="IP42" s="84" t="str">
        <f t="shared" si="287"/>
        <v/>
      </c>
      <c r="IQ42" s="84" t="str">
        <f t="shared" si="288"/>
        <v/>
      </c>
      <c r="IR42" s="84" t="str">
        <f t="shared" si="289"/>
        <v/>
      </c>
      <c r="IS42" s="308" t="str">
        <f t="shared" si="82"/>
        <v/>
      </c>
      <c r="IT42" s="84" t="str">
        <f t="shared" si="290"/>
        <v/>
      </c>
      <c r="IU42" s="84" t="str">
        <f t="shared" si="291"/>
        <v/>
      </c>
      <c r="IV42" s="84" t="str">
        <f t="shared" si="292"/>
        <v/>
      </c>
      <c r="IW42" s="84" t="str">
        <f t="shared" si="293"/>
        <v/>
      </c>
      <c r="IX42" s="84" t="str">
        <f t="shared" si="294"/>
        <v/>
      </c>
      <c r="IY42" s="308" t="str">
        <f t="shared" si="88"/>
        <v/>
      </c>
      <c r="IZ42" s="84" t="str">
        <f t="shared" si="295"/>
        <v/>
      </c>
      <c r="JA42" s="84" t="str">
        <f t="shared" si="296"/>
        <v/>
      </c>
      <c r="JB42" s="84" t="str">
        <f t="shared" si="297"/>
        <v/>
      </c>
      <c r="JC42" s="84" t="str">
        <f t="shared" si="298"/>
        <v/>
      </c>
      <c r="JD42" s="309" t="str">
        <f t="shared" si="299"/>
        <v/>
      </c>
      <c r="JF42" s="66">
        <f t="shared" si="224"/>
        <v>42</v>
      </c>
      <c r="JG42" s="66">
        <f t="shared" ca="1" si="95"/>
        <v>5.8536021275287148E-2</v>
      </c>
      <c r="JH42" s="66">
        <f t="shared" ca="1" si="96"/>
        <v>0.10596026490066225</v>
      </c>
      <c r="JI42" s="66">
        <f t="shared" ca="1" si="97"/>
        <v>0.1659551509469421</v>
      </c>
      <c r="JJ42" s="66">
        <f t="shared" ca="1" si="98"/>
        <v>15</v>
      </c>
      <c r="JK42" s="33"/>
      <c r="JL42" s="74">
        <f t="shared" ca="1" si="121"/>
        <v>5.8536021275287148E-2</v>
      </c>
      <c r="JM42" s="75">
        <f t="shared" ref="JM42:JM76" ca="1" si="310">IF(G42="Smaller better",JG42-((JG42-JH42)*0.5),JG42+((JH42-JG42)*0.5))</f>
        <v>8.2248143087974707E-2</v>
      </c>
      <c r="JN42" s="75">
        <f t="shared" ref="JN42:JN76" ca="1" si="311">IF(G42="Smaller better",JH42-((JH42-JI42)*0.5),JH42+((JI42-JH42)*0.5))</f>
        <v>0.13595770792380218</v>
      </c>
      <c r="JO42" s="74">
        <f t="shared" ca="1" si="122"/>
        <v>0.1659551509469421</v>
      </c>
      <c r="JP42" s="74">
        <f t="shared" ca="1" si="123"/>
        <v>0.44269702323400617</v>
      </c>
    </row>
    <row r="43" spans="1:276" s="1" customFormat="1" x14ac:dyDescent="0.35">
      <c r="A43" s="125">
        <v>0</v>
      </c>
      <c r="B43" s="125">
        <v>0</v>
      </c>
      <c r="C43" s="125">
        <v>1</v>
      </c>
      <c r="E43" s="142" t="s">
        <v>74</v>
      </c>
      <c r="F43" s="208" t="s">
        <v>75</v>
      </c>
      <c r="G43" s="209" t="s">
        <v>542</v>
      </c>
      <c r="H43" s="210" t="s">
        <v>533</v>
      </c>
      <c r="I43" s="8" t="s">
        <v>534</v>
      </c>
      <c r="J43" s="211">
        <v>7.3972602739726029E-2</v>
      </c>
      <c r="K43" s="215">
        <v>7.7777777777777779E-2</v>
      </c>
      <c r="L43" s="215">
        <v>5.1470588235294115E-2</v>
      </c>
      <c r="M43" s="215">
        <v>0.12244897959183673</v>
      </c>
      <c r="N43" s="215" t="s">
        <v>805</v>
      </c>
      <c r="O43" s="215" t="s">
        <v>805</v>
      </c>
      <c r="P43" s="215" t="s">
        <v>805</v>
      </c>
      <c r="Q43" s="215" t="s">
        <v>805</v>
      </c>
      <c r="R43" s="215" t="s">
        <v>805</v>
      </c>
      <c r="S43" s="215" t="s">
        <v>805</v>
      </c>
      <c r="T43" s="215" t="s">
        <v>805</v>
      </c>
      <c r="U43" s="215" t="s">
        <v>805</v>
      </c>
      <c r="V43" s="215" t="s">
        <v>805</v>
      </c>
      <c r="W43" s="215" t="s">
        <v>805</v>
      </c>
      <c r="X43" s="215" t="s">
        <v>805</v>
      </c>
      <c r="Y43" s="215" t="s">
        <v>805</v>
      </c>
      <c r="Z43" s="215" t="s">
        <v>805</v>
      </c>
      <c r="AA43" s="215" t="s">
        <v>805</v>
      </c>
      <c r="AB43" s="215" t="s">
        <v>805</v>
      </c>
      <c r="AC43" s="215" t="s">
        <v>805</v>
      </c>
      <c r="AD43" s="215" t="s">
        <v>805</v>
      </c>
      <c r="AE43" s="215" t="s">
        <v>805</v>
      </c>
      <c r="AF43" s="215" t="s">
        <v>805</v>
      </c>
      <c r="AG43" s="215" t="s">
        <v>805</v>
      </c>
      <c r="AH43" s="215" t="s">
        <v>805</v>
      </c>
      <c r="AI43" s="215" t="s">
        <v>805</v>
      </c>
      <c r="AJ43" s="215" t="s">
        <v>805</v>
      </c>
      <c r="AK43" s="215" t="s">
        <v>805</v>
      </c>
      <c r="AL43" s="215" t="s">
        <v>805</v>
      </c>
      <c r="AM43" s="215" t="s">
        <v>805</v>
      </c>
      <c r="AN43" s="215" t="s">
        <v>805</v>
      </c>
      <c r="AO43" s="215" t="s">
        <v>805</v>
      </c>
      <c r="AP43" s="215" t="s">
        <v>805</v>
      </c>
      <c r="AQ43" s="215" t="s">
        <v>805</v>
      </c>
      <c r="AR43" s="215" t="s">
        <v>805</v>
      </c>
      <c r="AS43" s="215" t="s">
        <v>805</v>
      </c>
      <c r="AT43" s="215" t="s">
        <v>805</v>
      </c>
      <c r="AU43" s="215" t="s">
        <v>805</v>
      </c>
      <c r="AV43" s="215" t="s">
        <v>805</v>
      </c>
      <c r="AW43" s="215" t="s">
        <v>805</v>
      </c>
      <c r="AX43" s="215" t="s">
        <v>805</v>
      </c>
      <c r="AY43" s="215" t="s">
        <v>805</v>
      </c>
      <c r="AZ43" s="215" t="s">
        <v>805</v>
      </c>
      <c r="BA43" s="215" t="s">
        <v>805</v>
      </c>
      <c r="BB43" s="215" t="s">
        <v>805</v>
      </c>
      <c r="BC43" s="215" t="s">
        <v>805</v>
      </c>
      <c r="BD43" s="215" t="s">
        <v>805</v>
      </c>
      <c r="BE43" s="215" t="s">
        <v>805</v>
      </c>
      <c r="BF43" s="215" t="s">
        <v>805</v>
      </c>
      <c r="BG43" s="215" t="s">
        <v>805</v>
      </c>
      <c r="BH43" s="215" t="s">
        <v>805</v>
      </c>
      <c r="BI43" s="215" t="s">
        <v>805</v>
      </c>
      <c r="BJ43" s="215" t="s">
        <v>805</v>
      </c>
      <c r="BK43" s="215" t="s">
        <v>805</v>
      </c>
      <c r="BL43" s="215" t="s">
        <v>805</v>
      </c>
      <c r="BM43" s="215" t="s">
        <v>805</v>
      </c>
      <c r="BN43" s="215" t="s">
        <v>805</v>
      </c>
      <c r="BO43" s="215" t="s">
        <v>805</v>
      </c>
      <c r="BP43" s="215" t="s">
        <v>805</v>
      </c>
      <c r="BQ43" s="215" t="s">
        <v>805</v>
      </c>
      <c r="BR43" s="215" t="s">
        <v>805</v>
      </c>
      <c r="BS43" s="215" t="s">
        <v>805</v>
      </c>
      <c r="BT43" s="215" t="s">
        <v>805</v>
      </c>
      <c r="BU43" s="215" t="s">
        <v>805</v>
      </c>
      <c r="BV43" s="215" t="s">
        <v>805</v>
      </c>
      <c r="BW43" s="215" t="s">
        <v>805</v>
      </c>
      <c r="BX43" s="215" t="s">
        <v>805</v>
      </c>
      <c r="BY43" s="215" t="s">
        <v>805</v>
      </c>
      <c r="BZ43" s="215" t="s">
        <v>805</v>
      </c>
      <c r="CA43" s="215" t="s">
        <v>805</v>
      </c>
      <c r="CB43" s="215" t="s">
        <v>805</v>
      </c>
      <c r="CC43" s="215" t="s">
        <v>805</v>
      </c>
      <c r="CD43" s="215" t="s">
        <v>805</v>
      </c>
      <c r="CE43" s="215" t="s">
        <v>805</v>
      </c>
      <c r="CF43" s="215" t="s">
        <v>805</v>
      </c>
      <c r="CG43" s="215" t="s">
        <v>805</v>
      </c>
      <c r="CH43" s="215" t="s">
        <v>805</v>
      </c>
      <c r="CI43" s="215" t="s">
        <v>805</v>
      </c>
      <c r="CJ43" s="215" t="s">
        <v>805</v>
      </c>
      <c r="CK43" s="215" t="s">
        <v>805</v>
      </c>
      <c r="CL43" s="215" t="s">
        <v>805</v>
      </c>
      <c r="CM43" s="215" t="s">
        <v>805</v>
      </c>
      <c r="CN43" s="215" t="s">
        <v>805</v>
      </c>
      <c r="CO43" s="215" t="s">
        <v>805</v>
      </c>
      <c r="CP43" s="215" t="s">
        <v>805</v>
      </c>
      <c r="CQ43" s="215" t="s">
        <v>805</v>
      </c>
      <c r="CR43" s="215" t="s">
        <v>805</v>
      </c>
      <c r="CS43" s="215" t="s">
        <v>805</v>
      </c>
      <c r="CT43" s="215" t="s">
        <v>805</v>
      </c>
      <c r="CU43" s="215" t="s">
        <v>805</v>
      </c>
      <c r="CV43" s="215" t="s">
        <v>805</v>
      </c>
      <c r="CW43" s="215" t="s">
        <v>805</v>
      </c>
      <c r="CX43" s="215" t="s">
        <v>805</v>
      </c>
      <c r="CY43" s="215" t="s">
        <v>805</v>
      </c>
      <c r="CZ43" s="215" t="s">
        <v>805</v>
      </c>
      <c r="DA43" s="215" t="s">
        <v>805</v>
      </c>
      <c r="DB43" s="215" t="s">
        <v>805</v>
      </c>
      <c r="DC43" s="215" t="s">
        <v>805</v>
      </c>
      <c r="DD43" s="215" t="s">
        <v>805</v>
      </c>
      <c r="DE43" s="215" t="s">
        <v>805</v>
      </c>
      <c r="DF43" s="215" t="s">
        <v>805</v>
      </c>
      <c r="DG43" s="212">
        <f>VLOOKUP(E43,'KPI Count-SHARE'!A:F,3,0)</f>
        <v>5</v>
      </c>
      <c r="DH43" s="213">
        <v>0.11370883789065264</v>
      </c>
      <c r="DI43" s="216">
        <v>6.1554269177184699E-2</v>
      </c>
      <c r="DJ43" s="216">
        <v>0.10286526477969646</v>
      </c>
      <c r="DK43" s="216">
        <v>0.12477396021699819</v>
      </c>
      <c r="DL43" s="216">
        <v>0.13643681355984624</v>
      </c>
      <c r="DM43" s="216">
        <v>0.15684745269666575</v>
      </c>
      <c r="DN43" s="212">
        <f>VLOOKUP(E43,'KPI Count-SHARE'!A:F,4,0)</f>
        <v>0</v>
      </c>
      <c r="DO43" s="213"/>
      <c r="DP43" s="216"/>
      <c r="DQ43" s="216"/>
      <c r="DR43" s="216"/>
      <c r="DS43" s="216"/>
      <c r="DT43" s="216"/>
      <c r="DU43" s="212">
        <f>VLOOKUP(E43,'KPI Count-SHARE'!A:F,5,0)</f>
        <v>0</v>
      </c>
      <c r="DV43" s="213"/>
      <c r="DW43" s="216"/>
      <c r="DX43" s="216"/>
      <c r="DY43" s="216"/>
      <c r="DZ43" s="216"/>
      <c r="EA43" s="216"/>
      <c r="EB43" s="212">
        <f>VLOOKUP(E43,'KPI Count-SHARE'!A:F,6,0)</f>
        <v>0</v>
      </c>
      <c r="EC43" s="213"/>
      <c r="ED43" s="216"/>
      <c r="EE43" s="216"/>
      <c r="EF43" s="216"/>
      <c r="EG43" s="216"/>
      <c r="EH43" s="216"/>
      <c r="EI43" s="214" t="s">
        <v>533</v>
      </c>
      <c r="EJ43" s="39">
        <f t="shared" si="101"/>
        <v>7.3972602739726029E-2</v>
      </c>
      <c r="EK43" s="39">
        <f t="shared" si="102"/>
        <v>7.7777777777777779E-2</v>
      </c>
      <c r="EL43" s="39">
        <f t="shared" si="103"/>
        <v>5.1470588235294115E-2</v>
      </c>
      <c r="EM43" s="39">
        <f t="shared" si="104"/>
        <v>0.12244897959183673</v>
      </c>
      <c r="EN43" s="39" t="str">
        <f t="shared" si="105"/>
        <v/>
      </c>
      <c r="EO43" s="39" t="str">
        <f t="shared" si="106"/>
        <v/>
      </c>
      <c r="EP43" s="39" t="str">
        <f t="shared" si="107"/>
        <v/>
      </c>
      <c r="EQ43" s="39" t="str">
        <f t="shared" si="108"/>
        <v/>
      </c>
      <c r="ER43" s="39" t="str">
        <f t="shared" si="109"/>
        <v/>
      </c>
      <c r="ES43" s="39" t="str">
        <f t="shared" si="110"/>
        <v/>
      </c>
      <c r="ET43" s="39" t="str">
        <f t="shared" si="111"/>
        <v/>
      </c>
      <c r="EU43" s="39" t="str">
        <f t="shared" si="165"/>
        <v/>
      </c>
      <c r="EV43" s="39" t="str">
        <f t="shared" si="166"/>
        <v/>
      </c>
      <c r="EW43" s="39" t="str">
        <f t="shared" si="167"/>
        <v/>
      </c>
      <c r="EX43" s="39" t="str">
        <f t="shared" si="168"/>
        <v/>
      </c>
      <c r="EY43" s="39" t="str">
        <f t="shared" si="169"/>
        <v/>
      </c>
      <c r="EZ43" s="39" t="str">
        <f t="shared" si="170"/>
        <v/>
      </c>
      <c r="FA43" s="39" t="str">
        <f t="shared" si="171"/>
        <v/>
      </c>
      <c r="FB43" s="39" t="str">
        <f t="shared" si="172"/>
        <v/>
      </c>
      <c r="FC43" s="39" t="str">
        <f t="shared" si="173"/>
        <v/>
      </c>
      <c r="FD43" s="39" t="str">
        <f t="shared" si="174"/>
        <v/>
      </c>
      <c r="FE43" s="39" t="str">
        <f t="shared" si="175"/>
        <v/>
      </c>
      <c r="FF43" s="39" t="str">
        <f t="shared" si="176"/>
        <v/>
      </c>
      <c r="FG43" s="39" t="str">
        <f t="shared" si="177"/>
        <v/>
      </c>
      <c r="FH43" s="39" t="str">
        <f t="shared" si="178"/>
        <v/>
      </c>
      <c r="FI43" s="39" t="str">
        <f t="shared" si="179"/>
        <v/>
      </c>
      <c r="FJ43" s="39" t="str">
        <f t="shared" si="180"/>
        <v/>
      </c>
      <c r="FK43" s="39" t="str">
        <f t="shared" si="181"/>
        <v/>
      </c>
      <c r="FL43" s="39" t="str">
        <f t="shared" si="182"/>
        <v/>
      </c>
      <c r="FM43" s="39" t="str">
        <f t="shared" si="183"/>
        <v/>
      </c>
      <c r="FN43" s="39" t="str">
        <f t="shared" si="184"/>
        <v/>
      </c>
      <c r="FO43" s="39" t="str">
        <f t="shared" si="185"/>
        <v/>
      </c>
      <c r="FP43" s="39" t="str">
        <f t="shared" si="186"/>
        <v/>
      </c>
      <c r="FQ43" s="39" t="str">
        <f t="shared" si="187"/>
        <v/>
      </c>
      <c r="FR43" s="39" t="str">
        <f t="shared" si="188"/>
        <v/>
      </c>
      <c r="FS43" s="39" t="str">
        <f t="shared" si="189"/>
        <v/>
      </c>
      <c r="FT43" s="39" t="str">
        <f t="shared" si="190"/>
        <v/>
      </c>
      <c r="FU43" s="39" t="str">
        <f t="shared" si="191"/>
        <v/>
      </c>
      <c r="FV43" s="39" t="str">
        <f t="shared" si="192"/>
        <v/>
      </c>
      <c r="FW43" s="39" t="str">
        <f t="shared" si="193"/>
        <v/>
      </c>
      <c r="FX43" s="39" t="str">
        <f t="shared" si="194"/>
        <v/>
      </c>
      <c r="FY43" s="39" t="str">
        <f t="shared" si="195"/>
        <v/>
      </c>
      <c r="FZ43" s="39" t="str">
        <f t="shared" si="196"/>
        <v/>
      </c>
      <c r="GA43" s="39" t="str">
        <f t="shared" si="197"/>
        <v/>
      </c>
      <c r="GB43" s="39" t="str">
        <f t="shared" si="155"/>
        <v/>
      </c>
      <c r="GC43" s="39" t="str">
        <f t="shared" si="156"/>
        <v/>
      </c>
      <c r="GD43" s="39" t="str">
        <f t="shared" si="157"/>
        <v/>
      </c>
      <c r="GE43" s="39" t="str">
        <f t="shared" si="158"/>
        <v/>
      </c>
      <c r="GF43" s="39" t="str">
        <f t="shared" si="232"/>
        <v/>
      </c>
      <c r="GG43" s="39" t="str">
        <f t="shared" si="233"/>
        <v/>
      </c>
      <c r="GH43" s="39" t="str">
        <f t="shared" si="234"/>
        <v/>
      </c>
      <c r="GI43" s="39" t="str">
        <f t="shared" si="235"/>
        <v/>
      </c>
      <c r="GJ43" s="39" t="str">
        <f t="shared" si="236"/>
        <v/>
      </c>
      <c r="GK43" s="39" t="str">
        <f t="shared" si="237"/>
        <v/>
      </c>
      <c r="GL43" s="39" t="str">
        <f t="shared" si="238"/>
        <v/>
      </c>
      <c r="GM43" s="39" t="str">
        <f t="shared" si="239"/>
        <v/>
      </c>
      <c r="GN43" s="39" t="str">
        <f t="shared" si="240"/>
        <v/>
      </c>
      <c r="GO43" s="39" t="str">
        <f t="shared" si="241"/>
        <v/>
      </c>
      <c r="GP43" s="39" t="str">
        <f t="shared" si="242"/>
        <v/>
      </c>
      <c r="GQ43" s="39" t="str">
        <f t="shared" si="243"/>
        <v/>
      </c>
      <c r="GR43" s="39" t="str">
        <f t="shared" si="244"/>
        <v/>
      </c>
      <c r="GS43" s="39" t="str">
        <f t="shared" si="245"/>
        <v/>
      </c>
      <c r="GT43" s="39" t="str">
        <f t="shared" si="246"/>
        <v/>
      </c>
      <c r="GU43" s="39" t="str">
        <f t="shared" si="226"/>
        <v/>
      </c>
      <c r="GV43" s="39" t="str">
        <f t="shared" si="247"/>
        <v/>
      </c>
      <c r="GW43" s="39" t="str">
        <f t="shared" si="248"/>
        <v/>
      </c>
      <c r="GX43" s="39" t="str">
        <f t="shared" si="249"/>
        <v/>
      </c>
      <c r="GY43" s="39" t="str">
        <f t="shared" si="250"/>
        <v/>
      </c>
      <c r="GZ43" s="39" t="str">
        <f t="shared" si="251"/>
        <v/>
      </c>
      <c r="HA43" s="39" t="str">
        <f t="shared" si="252"/>
        <v/>
      </c>
      <c r="HB43" s="39" t="str">
        <f t="shared" si="253"/>
        <v/>
      </c>
      <c r="HC43" s="39" t="str">
        <f t="shared" si="254"/>
        <v/>
      </c>
      <c r="HD43" s="39" t="str">
        <f t="shared" si="255"/>
        <v/>
      </c>
      <c r="HE43" s="39" t="str">
        <f t="shared" si="256"/>
        <v/>
      </c>
      <c r="HF43" s="39" t="str">
        <f t="shared" si="257"/>
        <v/>
      </c>
      <c r="HG43" s="39" t="str">
        <f t="shared" si="258"/>
        <v/>
      </c>
      <c r="HH43" s="39" t="str">
        <f t="shared" si="259"/>
        <v/>
      </c>
      <c r="HI43" s="39" t="str">
        <f t="shared" si="260"/>
        <v/>
      </c>
      <c r="HJ43" s="39" t="str">
        <f t="shared" si="261"/>
        <v/>
      </c>
      <c r="HK43" s="39" t="str">
        <f t="shared" si="228"/>
        <v/>
      </c>
      <c r="HL43" s="39" t="str">
        <f t="shared" si="262"/>
        <v/>
      </c>
      <c r="HM43" s="39" t="str">
        <f t="shared" si="263"/>
        <v/>
      </c>
      <c r="HN43" s="39" t="str">
        <f t="shared" si="264"/>
        <v/>
      </c>
      <c r="HO43" s="39" t="str">
        <f t="shared" si="265"/>
        <v/>
      </c>
      <c r="HP43" s="39" t="str">
        <f t="shared" si="266"/>
        <v/>
      </c>
      <c r="HQ43" s="39" t="str">
        <f t="shared" si="267"/>
        <v/>
      </c>
      <c r="HR43" s="39" t="str">
        <f t="shared" si="268"/>
        <v/>
      </c>
      <c r="HS43" s="39" t="str">
        <f t="shared" si="269"/>
        <v/>
      </c>
      <c r="HT43" s="39" t="str">
        <f t="shared" si="270"/>
        <v/>
      </c>
      <c r="HU43" s="39" t="str">
        <f t="shared" si="271"/>
        <v/>
      </c>
      <c r="HV43" s="39" t="str">
        <f t="shared" si="272"/>
        <v/>
      </c>
      <c r="HW43" s="39" t="str">
        <f t="shared" si="273"/>
        <v/>
      </c>
      <c r="HX43" s="39" t="str">
        <f t="shared" si="274"/>
        <v/>
      </c>
      <c r="HY43" s="39" t="str">
        <f t="shared" si="275"/>
        <v/>
      </c>
      <c r="HZ43" s="39" t="str">
        <f t="shared" si="276"/>
        <v/>
      </c>
      <c r="IA43" s="39" t="str">
        <f t="shared" si="230"/>
        <v/>
      </c>
      <c r="IB43" s="39" t="str">
        <f t="shared" si="277"/>
        <v/>
      </c>
      <c r="IC43" s="39" t="str">
        <f t="shared" si="278"/>
        <v/>
      </c>
      <c r="ID43" s="39" t="str">
        <f t="shared" si="279"/>
        <v/>
      </c>
      <c r="IE43" s="39" t="str">
        <f t="shared" si="68"/>
        <v/>
      </c>
      <c r="IF43" s="39" t="str">
        <f t="shared" si="69"/>
        <v/>
      </c>
      <c r="IG43" s="308">
        <f t="shared" si="70"/>
        <v>0.11370883789065264</v>
      </c>
      <c r="IH43" s="84">
        <f t="shared" si="280"/>
        <v>6.1554269177184699E-2</v>
      </c>
      <c r="II43" s="84">
        <f t="shared" si="281"/>
        <v>0.10286526477969646</v>
      </c>
      <c r="IJ43" s="84">
        <f t="shared" si="282"/>
        <v>0.12477396021699819</v>
      </c>
      <c r="IK43" s="84">
        <f t="shared" si="283"/>
        <v>0.13643681355984624</v>
      </c>
      <c r="IL43" s="84">
        <f t="shared" si="284"/>
        <v>0.15684745269666575</v>
      </c>
      <c r="IM43" s="308" t="str">
        <f t="shared" si="76"/>
        <v/>
      </c>
      <c r="IN43" s="84" t="str">
        <f t="shared" si="285"/>
        <v/>
      </c>
      <c r="IO43" s="84" t="str">
        <f t="shared" si="286"/>
        <v/>
      </c>
      <c r="IP43" s="84" t="str">
        <f t="shared" si="287"/>
        <v/>
      </c>
      <c r="IQ43" s="84" t="str">
        <f t="shared" si="288"/>
        <v/>
      </c>
      <c r="IR43" s="84" t="str">
        <f t="shared" si="289"/>
        <v/>
      </c>
      <c r="IS43" s="308" t="str">
        <f t="shared" si="82"/>
        <v/>
      </c>
      <c r="IT43" s="84" t="str">
        <f t="shared" si="290"/>
        <v/>
      </c>
      <c r="IU43" s="84" t="str">
        <f t="shared" si="291"/>
        <v/>
      </c>
      <c r="IV43" s="84" t="str">
        <f t="shared" si="292"/>
        <v/>
      </c>
      <c r="IW43" s="84" t="str">
        <f t="shared" si="293"/>
        <v/>
      </c>
      <c r="IX43" s="84" t="str">
        <f t="shared" si="294"/>
        <v/>
      </c>
      <c r="IY43" s="308" t="str">
        <f t="shared" si="88"/>
        <v/>
      </c>
      <c r="IZ43" s="84" t="str">
        <f t="shared" si="295"/>
        <v/>
      </c>
      <c r="JA43" s="84" t="str">
        <f t="shared" si="296"/>
        <v/>
      </c>
      <c r="JB43" s="84" t="str">
        <f t="shared" si="297"/>
        <v/>
      </c>
      <c r="JC43" s="84" t="str">
        <f t="shared" si="298"/>
        <v/>
      </c>
      <c r="JD43" s="309" t="str">
        <f t="shared" si="299"/>
        <v/>
      </c>
      <c r="JF43" s="66">
        <f t="shared" si="224"/>
        <v>43</v>
      </c>
      <c r="JG43" s="66">
        <f t="shared" ca="1" si="95"/>
        <v>0.10286526477969646</v>
      </c>
      <c r="JH43" s="66">
        <f t="shared" ca="1" si="96"/>
        <v>0.12477396021699819</v>
      </c>
      <c r="JI43" s="66">
        <f t="shared" ca="1" si="97"/>
        <v>0.13643681355984624</v>
      </c>
      <c r="JJ43" s="66">
        <f t="shared" ca="1" si="98"/>
        <v>5</v>
      </c>
      <c r="JK43" s="33"/>
      <c r="JL43" s="74">
        <f t="shared" ca="1" si="121"/>
        <v>0.10286526477969646</v>
      </c>
      <c r="JM43" s="75">
        <f t="shared" ca="1" si="310"/>
        <v>0.11381961249834732</v>
      </c>
      <c r="JN43" s="75">
        <f t="shared" ca="1" si="311"/>
        <v>0.13060538688842221</v>
      </c>
      <c r="JO43" s="74">
        <f t="shared" ca="1" si="122"/>
        <v>0.13643681355984624</v>
      </c>
      <c r="JP43" s="74">
        <f t="shared" ca="1" si="123"/>
        <v>0.48372707772631229</v>
      </c>
    </row>
    <row r="44" spans="1:276" s="1" customFormat="1" x14ac:dyDescent="0.35">
      <c r="A44" s="125">
        <v>0</v>
      </c>
      <c r="B44" s="125">
        <v>0</v>
      </c>
      <c r="C44" s="125">
        <v>1</v>
      </c>
      <c r="E44" s="142" t="s">
        <v>76</v>
      </c>
      <c r="F44" s="208" t="s">
        <v>77</v>
      </c>
      <c r="G44" s="209" t="s">
        <v>542</v>
      </c>
      <c r="H44" s="210" t="s">
        <v>533</v>
      </c>
      <c r="I44" s="8" t="s">
        <v>534</v>
      </c>
      <c r="J44" s="211">
        <v>6.8493150684931503E-2</v>
      </c>
      <c r="K44" s="215">
        <v>7.7777777777777779E-2</v>
      </c>
      <c r="L44" s="215">
        <v>8.0882352941176475E-2</v>
      </c>
      <c r="M44" s="215" t="s">
        <v>805</v>
      </c>
      <c r="N44" s="215" t="s">
        <v>805</v>
      </c>
      <c r="O44" s="215" t="s">
        <v>805</v>
      </c>
      <c r="P44" s="215" t="s">
        <v>805</v>
      </c>
      <c r="Q44" s="215" t="s">
        <v>805</v>
      </c>
      <c r="R44" s="215" t="s">
        <v>805</v>
      </c>
      <c r="S44" s="215" t="s">
        <v>805</v>
      </c>
      <c r="T44" s="215" t="s">
        <v>805</v>
      </c>
      <c r="U44" s="215" t="s">
        <v>805</v>
      </c>
      <c r="V44" s="215" t="s">
        <v>805</v>
      </c>
      <c r="W44" s="215" t="s">
        <v>805</v>
      </c>
      <c r="X44" s="215" t="s">
        <v>805</v>
      </c>
      <c r="Y44" s="215" t="s">
        <v>805</v>
      </c>
      <c r="Z44" s="215" t="s">
        <v>805</v>
      </c>
      <c r="AA44" s="215" t="s">
        <v>805</v>
      </c>
      <c r="AB44" s="215" t="s">
        <v>805</v>
      </c>
      <c r="AC44" s="215" t="s">
        <v>805</v>
      </c>
      <c r="AD44" s="215" t="s">
        <v>805</v>
      </c>
      <c r="AE44" s="215" t="s">
        <v>805</v>
      </c>
      <c r="AF44" s="215" t="s">
        <v>805</v>
      </c>
      <c r="AG44" s="215" t="s">
        <v>805</v>
      </c>
      <c r="AH44" s="215" t="s">
        <v>805</v>
      </c>
      <c r="AI44" s="215" t="s">
        <v>805</v>
      </c>
      <c r="AJ44" s="215" t="s">
        <v>805</v>
      </c>
      <c r="AK44" s="215" t="s">
        <v>805</v>
      </c>
      <c r="AL44" s="215" t="s">
        <v>805</v>
      </c>
      <c r="AM44" s="215" t="s">
        <v>805</v>
      </c>
      <c r="AN44" s="215" t="s">
        <v>805</v>
      </c>
      <c r="AO44" s="215" t="s">
        <v>805</v>
      </c>
      <c r="AP44" s="215" t="s">
        <v>805</v>
      </c>
      <c r="AQ44" s="215" t="s">
        <v>805</v>
      </c>
      <c r="AR44" s="215" t="s">
        <v>805</v>
      </c>
      <c r="AS44" s="215" t="s">
        <v>805</v>
      </c>
      <c r="AT44" s="215" t="s">
        <v>805</v>
      </c>
      <c r="AU44" s="215" t="s">
        <v>805</v>
      </c>
      <c r="AV44" s="215" t="s">
        <v>805</v>
      </c>
      <c r="AW44" s="215" t="s">
        <v>805</v>
      </c>
      <c r="AX44" s="215" t="s">
        <v>805</v>
      </c>
      <c r="AY44" s="215" t="s">
        <v>805</v>
      </c>
      <c r="AZ44" s="215" t="s">
        <v>805</v>
      </c>
      <c r="BA44" s="215" t="s">
        <v>805</v>
      </c>
      <c r="BB44" s="215" t="s">
        <v>805</v>
      </c>
      <c r="BC44" s="215" t="s">
        <v>805</v>
      </c>
      <c r="BD44" s="215" t="s">
        <v>805</v>
      </c>
      <c r="BE44" s="215" t="s">
        <v>805</v>
      </c>
      <c r="BF44" s="215" t="s">
        <v>805</v>
      </c>
      <c r="BG44" s="215" t="s">
        <v>805</v>
      </c>
      <c r="BH44" s="215" t="s">
        <v>805</v>
      </c>
      <c r="BI44" s="215" t="s">
        <v>805</v>
      </c>
      <c r="BJ44" s="215" t="s">
        <v>805</v>
      </c>
      <c r="BK44" s="215" t="s">
        <v>805</v>
      </c>
      <c r="BL44" s="215" t="s">
        <v>805</v>
      </c>
      <c r="BM44" s="215" t="s">
        <v>805</v>
      </c>
      <c r="BN44" s="215" t="s">
        <v>805</v>
      </c>
      <c r="BO44" s="215" t="s">
        <v>805</v>
      </c>
      <c r="BP44" s="215" t="s">
        <v>805</v>
      </c>
      <c r="BQ44" s="215" t="s">
        <v>805</v>
      </c>
      <c r="BR44" s="215" t="s">
        <v>805</v>
      </c>
      <c r="BS44" s="215" t="s">
        <v>805</v>
      </c>
      <c r="BT44" s="215" t="s">
        <v>805</v>
      </c>
      <c r="BU44" s="215" t="s">
        <v>805</v>
      </c>
      <c r="BV44" s="215" t="s">
        <v>805</v>
      </c>
      <c r="BW44" s="215" t="s">
        <v>805</v>
      </c>
      <c r="BX44" s="215" t="s">
        <v>805</v>
      </c>
      <c r="BY44" s="215" t="s">
        <v>805</v>
      </c>
      <c r="BZ44" s="215" t="s">
        <v>805</v>
      </c>
      <c r="CA44" s="215" t="s">
        <v>805</v>
      </c>
      <c r="CB44" s="215" t="s">
        <v>805</v>
      </c>
      <c r="CC44" s="215" t="s">
        <v>805</v>
      </c>
      <c r="CD44" s="215" t="s">
        <v>805</v>
      </c>
      <c r="CE44" s="215" t="s">
        <v>805</v>
      </c>
      <c r="CF44" s="215" t="s">
        <v>805</v>
      </c>
      <c r="CG44" s="215" t="s">
        <v>805</v>
      </c>
      <c r="CH44" s="215" t="s">
        <v>805</v>
      </c>
      <c r="CI44" s="215" t="s">
        <v>805</v>
      </c>
      <c r="CJ44" s="215" t="s">
        <v>805</v>
      </c>
      <c r="CK44" s="215" t="s">
        <v>805</v>
      </c>
      <c r="CL44" s="215" t="s">
        <v>805</v>
      </c>
      <c r="CM44" s="215" t="s">
        <v>805</v>
      </c>
      <c r="CN44" s="215" t="s">
        <v>805</v>
      </c>
      <c r="CO44" s="215" t="s">
        <v>805</v>
      </c>
      <c r="CP44" s="215" t="s">
        <v>805</v>
      </c>
      <c r="CQ44" s="215" t="s">
        <v>805</v>
      </c>
      <c r="CR44" s="215" t="s">
        <v>805</v>
      </c>
      <c r="CS44" s="215" t="s">
        <v>805</v>
      </c>
      <c r="CT44" s="215" t="s">
        <v>805</v>
      </c>
      <c r="CU44" s="215" t="s">
        <v>805</v>
      </c>
      <c r="CV44" s="215" t="s">
        <v>805</v>
      </c>
      <c r="CW44" s="215" t="s">
        <v>805</v>
      </c>
      <c r="CX44" s="215" t="s">
        <v>805</v>
      </c>
      <c r="CY44" s="215" t="s">
        <v>805</v>
      </c>
      <c r="CZ44" s="215" t="s">
        <v>805</v>
      </c>
      <c r="DA44" s="215" t="s">
        <v>805</v>
      </c>
      <c r="DB44" s="215" t="s">
        <v>805</v>
      </c>
      <c r="DC44" s="215" t="s">
        <v>805</v>
      </c>
      <c r="DD44" s="215" t="s">
        <v>805</v>
      </c>
      <c r="DE44" s="215" t="s">
        <v>805</v>
      </c>
      <c r="DF44" s="215" t="s">
        <v>805</v>
      </c>
      <c r="DG44" s="212">
        <f>VLOOKUP(E44,'KPI Count-SHARE'!A:F,3,0)</f>
        <v>5</v>
      </c>
      <c r="DH44" s="213">
        <v>3.969967937984676E-2</v>
      </c>
      <c r="DI44" s="216">
        <v>1.2270992017827458E-2</v>
      </c>
      <c r="DJ44" s="216">
        <v>2.5252525252525252E-2</v>
      </c>
      <c r="DK44" s="216">
        <v>3.0216662788849102E-2</v>
      </c>
      <c r="DL44" s="216">
        <v>6.9117787749331625E-2</v>
      </c>
      <c r="DM44" s="216">
        <v>6.9823985848031969E-2</v>
      </c>
      <c r="DN44" s="212">
        <f>VLOOKUP(E44,'KPI Count-SHARE'!A:F,4,0)</f>
        <v>0</v>
      </c>
      <c r="DO44" s="213"/>
      <c r="DP44" s="216"/>
      <c r="DQ44" s="216"/>
      <c r="DR44" s="216"/>
      <c r="DS44" s="216"/>
      <c r="DT44" s="216"/>
      <c r="DU44" s="212">
        <f>VLOOKUP(E44,'KPI Count-SHARE'!A:F,5,0)</f>
        <v>0</v>
      </c>
      <c r="DV44" s="213"/>
      <c r="DW44" s="216"/>
      <c r="DX44" s="216"/>
      <c r="DY44" s="216"/>
      <c r="DZ44" s="216"/>
      <c r="EA44" s="216"/>
      <c r="EB44" s="212">
        <f>VLOOKUP(E44,'KPI Count-SHARE'!A:F,6,0)</f>
        <v>0</v>
      </c>
      <c r="EC44" s="213"/>
      <c r="ED44" s="216"/>
      <c r="EE44" s="216"/>
      <c r="EF44" s="216"/>
      <c r="EG44" s="216"/>
      <c r="EH44" s="216"/>
      <c r="EI44" s="214" t="s">
        <v>533</v>
      </c>
      <c r="EJ44" s="39">
        <f t="shared" si="101"/>
        <v>6.8493150684931503E-2</v>
      </c>
      <c r="EK44" s="39">
        <f t="shared" si="102"/>
        <v>7.7777777777777779E-2</v>
      </c>
      <c r="EL44" s="39">
        <f t="shared" si="103"/>
        <v>8.0882352941176475E-2</v>
      </c>
      <c r="EM44" s="39" t="str">
        <f t="shared" si="104"/>
        <v/>
      </c>
      <c r="EN44" s="39" t="str">
        <f t="shared" si="105"/>
        <v/>
      </c>
      <c r="EO44" s="39" t="str">
        <f t="shared" si="106"/>
        <v/>
      </c>
      <c r="EP44" s="39" t="str">
        <f t="shared" si="107"/>
        <v/>
      </c>
      <c r="EQ44" s="39" t="str">
        <f t="shared" si="108"/>
        <v/>
      </c>
      <c r="ER44" s="39" t="str">
        <f t="shared" si="109"/>
        <v/>
      </c>
      <c r="ES44" s="39" t="str">
        <f t="shared" si="110"/>
        <v/>
      </c>
      <c r="ET44" s="39" t="str">
        <f t="shared" si="111"/>
        <v/>
      </c>
      <c r="EU44" s="39" t="str">
        <f t="shared" si="165"/>
        <v/>
      </c>
      <c r="EV44" s="39" t="str">
        <f t="shared" si="166"/>
        <v/>
      </c>
      <c r="EW44" s="39" t="str">
        <f t="shared" si="167"/>
        <v/>
      </c>
      <c r="EX44" s="39" t="str">
        <f t="shared" si="168"/>
        <v/>
      </c>
      <c r="EY44" s="39" t="str">
        <f t="shared" si="169"/>
        <v/>
      </c>
      <c r="EZ44" s="39" t="str">
        <f t="shared" si="170"/>
        <v/>
      </c>
      <c r="FA44" s="39" t="str">
        <f t="shared" si="171"/>
        <v/>
      </c>
      <c r="FB44" s="39" t="str">
        <f t="shared" si="172"/>
        <v/>
      </c>
      <c r="FC44" s="39" t="str">
        <f t="shared" si="173"/>
        <v/>
      </c>
      <c r="FD44" s="39" t="str">
        <f t="shared" si="174"/>
        <v/>
      </c>
      <c r="FE44" s="39" t="str">
        <f t="shared" si="175"/>
        <v/>
      </c>
      <c r="FF44" s="39" t="str">
        <f t="shared" si="176"/>
        <v/>
      </c>
      <c r="FG44" s="39" t="str">
        <f t="shared" si="177"/>
        <v/>
      </c>
      <c r="FH44" s="39" t="str">
        <f t="shared" si="178"/>
        <v/>
      </c>
      <c r="FI44" s="39" t="str">
        <f t="shared" si="179"/>
        <v/>
      </c>
      <c r="FJ44" s="39" t="str">
        <f t="shared" si="180"/>
        <v/>
      </c>
      <c r="FK44" s="39" t="str">
        <f t="shared" si="181"/>
        <v/>
      </c>
      <c r="FL44" s="39" t="str">
        <f t="shared" si="182"/>
        <v/>
      </c>
      <c r="FM44" s="39" t="str">
        <f t="shared" si="183"/>
        <v/>
      </c>
      <c r="FN44" s="39" t="str">
        <f t="shared" si="184"/>
        <v/>
      </c>
      <c r="FO44" s="39" t="str">
        <f t="shared" si="185"/>
        <v/>
      </c>
      <c r="FP44" s="39" t="str">
        <f t="shared" si="186"/>
        <v/>
      </c>
      <c r="FQ44" s="39" t="str">
        <f t="shared" si="187"/>
        <v/>
      </c>
      <c r="FR44" s="39" t="str">
        <f t="shared" si="188"/>
        <v/>
      </c>
      <c r="FS44" s="39" t="str">
        <f t="shared" si="189"/>
        <v/>
      </c>
      <c r="FT44" s="39" t="str">
        <f t="shared" si="190"/>
        <v/>
      </c>
      <c r="FU44" s="39" t="str">
        <f t="shared" si="191"/>
        <v/>
      </c>
      <c r="FV44" s="39" t="str">
        <f t="shared" si="192"/>
        <v/>
      </c>
      <c r="FW44" s="39" t="str">
        <f t="shared" si="193"/>
        <v/>
      </c>
      <c r="FX44" s="39" t="str">
        <f t="shared" si="194"/>
        <v/>
      </c>
      <c r="FY44" s="39" t="str">
        <f t="shared" si="195"/>
        <v/>
      </c>
      <c r="FZ44" s="39" t="str">
        <f t="shared" si="196"/>
        <v/>
      </c>
      <c r="GA44" s="39" t="str">
        <f t="shared" si="197"/>
        <v/>
      </c>
      <c r="GB44" s="39" t="str">
        <f t="shared" si="155"/>
        <v/>
      </c>
      <c r="GC44" s="39" t="str">
        <f t="shared" si="156"/>
        <v/>
      </c>
      <c r="GD44" s="39" t="str">
        <f t="shared" si="157"/>
        <v/>
      </c>
      <c r="GE44" s="39" t="str">
        <f t="shared" si="158"/>
        <v/>
      </c>
      <c r="GF44" s="39" t="str">
        <f t="shared" si="232"/>
        <v/>
      </c>
      <c r="GG44" s="39" t="str">
        <f t="shared" si="233"/>
        <v/>
      </c>
      <c r="GH44" s="39" t="str">
        <f t="shared" si="234"/>
        <v/>
      </c>
      <c r="GI44" s="39" t="str">
        <f t="shared" si="235"/>
        <v/>
      </c>
      <c r="GJ44" s="39" t="str">
        <f t="shared" si="236"/>
        <v/>
      </c>
      <c r="GK44" s="39" t="str">
        <f t="shared" si="237"/>
        <v/>
      </c>
      <c r="GL44" s="39" t="str">
        <f t="shared" si="238"/>
        <v/>
      </c>
      <c r="GM44" s="39" t="str">
        <f t="shared" si="239"/>
        <v/>
      </c>
      <c r="GN44" s="39" t="str">
        <f t="shared" si="240"/>
        <v/>
      </c>
      <c r="GO44" s="39" t="str">
        <f t="shared" si="241"/>
        <v/>
      </c>
      <c r="GP44" s="39" t="str">
        <f t="shared" si="242"/>
        <v/>
      </c>
      <c r="GQ44" s="39" t="str">
        <f t="shared" si="243"/>
        <v/>
      </c>
      <c r="GR44" s="39" t="str">
        <f t="shared" si="244"/>
        <v/>
      </c>
      <c r="GS44" s="39" t="str">
        <f t="shared" si="245"/>
        <v/>
      </c>
      <c r="GT44" s="39" t="str">
        <f t="shared" si="246"/>
        <v/>
      </c>
      <c r="GU44" s="39" t="str">
        <f t="shared" si="226"/>
        <v/>
      </c>
      <c r="GV44" s="39" t="str">
        <f t="shared" si="247"/>
        <v/>
      </c>
      <c r="GW44" s="39" t="str">
        <f t="shared" si="248"/>
        <v/>
      </c>
      <c r="GX44" s="39" t="str">
        <f t="shared" si="249"/>
        <v/>
      </c>
      <c r="GY44" s="39" t="str">
        <f t="shared" si="250"/>
        <v/>
      </c>
      <c r="GZ44" s="39" t="str">
        <f t="shared" si="251"/>
        <v/>
      </c>
      <c r="HA44" s="39" t="str">
        <f t="shared" si="252"/>
        <v/>
      </c>
      <c r="HB44" s="39" t="str">
        <f t="shared" si="253"/>
        <v/>
      </c>
      <c r="HC44" s="39" t="str">
        <f t="shared" si="254"/>
        <v/>
      </c>
      <c r="HD44" s="39" t="str">
        <f t="shared" si="255"/>
        <v/>
      </c>
      <c r="HE44" s="39" t="str">
        <f t="shared" si="256"/>
        <v/>
      </c>
      <c r="HF44" s="39" t="str">
        <f t="shared" si="257"/>
        <v/>
      </c>
      <c r="HG44" s="39" t="str">
        <f t="shared" si="258"/>
        <v/>
      </c>
      <c r="HH44" s="39" t="str">
        <f t="shared" si="259"/>
        <v/>
      </c>
      <c r="HI44" s="39" t="str">
        <f t="shared" si="260"/>
        <v/>
      </c>
      <c r="HJ44" s="39" t="str">
        <f t="shared" si="261"/>
        <v/>
      </c>
      <c r="HK44" s="39" t="str">
        <f t="shared" si="228"/>
        <v/>
      </c>
      <c r="HL44" s="39" t="str">
        <f t="shared" si="262"/>
        <v/>
      </c>
      <c r="HM44" s="39" t="str">
        <f t="shared" si="263"/>
        <v/>
      </c>
      <c r="HN44" s="39" t="str">
        <f t="shared" si="264"/>
        <v/>
      </c>
      <c r="HO44" s="39" t="str">
        <f t="shared" si="265"/>
        <v/>
      </c>
      <c r="HP44" s="39" t="str">
        <f t="shared" si="266"/>
        <v/>
      </c>
      <c r="HQ44" s="39" t="str">
        <f t="shared" si="267"/>
        <v/>
      </c>
      <c r="HR44" s="39" t="str">
        <f t="shared" si="268"/>
        <v/>
      </c>
      <c r="HS44" s="39" t="str">
        <f t="shared" si="269"/>
        <v/>
      </c>
      <c r="HT44" s="39" t="str">
        <f t="shared" si="270"/>
        <v/>
      </c>
      <c r="HU44" s="39" t="str">
        <f t="shared" si="271"/>
        <v/>
      </c>
      <c r="HV44" s="39" t="str">
        <f t="shared" si="272"/>
        <v/>
      </c>
      <c r="HW44" s="39" t="str">
        <f t="shared" si="273"/>
        <v/>
      </c>
      <c r="HX44" s="39" t="str">
        <f t="shared" si="274"/>
        <v/>
      </c>
      <c r="HY44" s="39" t="str">
        <f t="shared" si="275"/>
        <v/>
      </c>
      <c r="HZ44" s="39" t="str">
        <f t="shared" si="276"/>
        <v/>
      </c>
      <c r="IA44" s="39" t="str">
        <f t="shared" si="230"/>
        <v/>
      </c>
      <c r="IB44" s="39" t="str">
        <f t="shared" si="277"/>
        <v/>
      </c>
      <c r="IC44" s="39" t="str">
        <f t="shared" si="278"/>
        <v/>
      </c>
      <c r="ID44" s="39" t="str">
        <f t="shared" si="279"/>
        <v/>
      </c>
      <c r="IE44" s="39" t="str">
        <f t="shared" si="68"/>
        <v/>
      </c>
      <c r="IF44" s="39" t="str">
        <f t="shared" si="69"/>
        <v/>
      </c>
      <c r="IG44" s="308">
        <f t="shared" si="70"/>
        <v>3.969967937984676E-2</v>
      </c>
      <c r="IH44" s="84">
        <f t="shared" si="280"/>
        <v>1.2270992017827458E-2</v>
      </c>
      <c r="II44" s="84">
        <f t="shared" si="281"/>
        <v>2.5252525252525252E-2</v>
      </c>
      <c r="IJ44" s="84">
        <f t="shared" si="282"/>
        <v>3.0216662788849102E-2</v>
      </c>
      <c r="IK44" s="84">
        <f t="shared" si="283"/>
        <v>6.9117787749331625E-2</v>
      </c>
      <c r="IL44" s="84">
        <f t="shared" si="284"/>
        <v>6.9823985848031969E-2</v>
      </c>
      <c r="IM44" s="308" t="str">
        <f t="shared" si="76"/>
        <v/>
      </c>
      <c r="IN44" s="84" t="str">
        <f t="shared" si="285"/>
        <v/>
      </c>
      <c r="IO44" s="84" t="str">
        <f t="shared" si="286"/>
        <v/>
      </c>
      <c r="IP44" s="84" t="str">
        <f t="shared" si="287"/>
        <v/>
      </c>
      <c r="IQ44" s="84" t="str">
        <f t="shared" si="288"/>
        <v/>
      </c>
      <c r="IR44" s="84" t="str">
        <f t="shared" si="289"/>
        <v/>
      </c>
      <c r="IS44" s="308" t="str">
        <f t="shared" si="82"/>
        <v/>
      </c>
      <c r="IT44" s="84" t="str">
        <f t="shared" si="290"/>
        <v/>
      </c>
      <c r="IU44" s="84" t="str">
        <f t="shared" si="291"/>
        <v/>
      </c>
      <c r="IV44" s="84" t="str">
        <f t="shared" si="292"/>
        <v/>
      </c>
      <c r="IW44" s="84" t="str">
        <f t="shared" si="293"/>
        <v/>
      </c>
      <c r="IX44" s="84" t="str">
        <f t="shared" si="294"/>
        <v/>
      </c>
      <c r="IY44" s="308" t="str">
        <f t="shared" si="88"/>
        <v/>
      </c>
      <c r="IZ44" s="84" t="str">
        <f t="shared" si="295"/>
        <v/>
      </c>
      <c r="JA44" s="84" t="str">
        <f t="shared" si="296"/>
        <v/>
      </c>
      <c r="JB44" s="84" t="str">
        <f t="shared" si="297"/>
        <v/>
      </c>
      <c r="JC44" s="84" t="str">
        <f t="shared" si="298"/>
        <v/>
      </c>
      <c r="JD44" s="309" t="str">
        <f t="shared" si="299"/>
        <v/>
      </c>
      <c r="JF44" s="66">
        <f t="shared" si="224"/>
        <v>44</v>
      </c>
      <c r="JG44" s="66">
        <f t="shared" ca="1" si="95"/>
        <v>2.5252525252525252E-2</v>
      </c>
      <c r="JH44" s="66">
        <f t="shared" ca="1" si="96"/>
        <v>3.0216662788849102E-2</v>
      </c>
      <c r="JI44" s="66">
        <f t="shared" ca="1" si="97"/>
        <v>6.9117787749331625E-2</v>
      </c>
      <c r="JJ44" s="66">
        <f t="shared" ca="1" si="98"/>
        <v>5</v>
      </c>
      <c r="JK44" s="33"/>
      <c r="JL44" s="74">
        <f t="shared" ca="1" si="121"/>
        <v>2.5252525252525252E-2</v>
      </c>
      <c r="JM44" s="75">
        <f t="shared" ca="1" si="310"/>
        <v>2.7734594020687175E-2</v>
      </c>
      <c r="JN44" s="75">
        <f t="shared" ca="1" si="311"/>
        <v>4.9667225269090363E-2</v>
      </c>
      <c r="JO44" s="74">
        <f t="shared" ca="1" si="122"/>
        <v>6.9117787749331625E-2</v>
      </c>
      <c r="JP44" s="74">
        <f t="shared" ca="1" si="123"/>
        <v>0.17177213229163441</v>
      </c>
    </row>
    <row r="45" spans="1:276" s="163" customFormat="1" x14ac:dyDescent="0.35">
      <c r="A45" s="125">
        <v>0</v>
      </c>
      <c r="B45" s="125">
        <v>1</v>
      </c>
      <c r="C45" s="125">
        <v>1</v>
      </c>
      <c r="E45" s="142" t="s">
        <v>78</v>
      </c>
      <c r="F45" s="227" t="s">
        <v>79</v>
      </c>
      <c r="G45" s="228" t="s">
        <v>540</v>
      </c>
      <c r="H45" s="229" t="s">
        <v>543</v>
      </c>
      <c r="I45" s="8" t="s">
        <v>544</v>
      </c>
      <c r="J45" s="211">
        <v>9.3423853978771964E-5</v>
      </c>
      <c r="K45" s="230">
        <v>6.5179586996728277E-5</v>
      </c>
      <c r="L45" s="230">
        <v>1.3344687404058406E-4</v>
      </c>
      <c r="M45" s="230">
        <v>1.9735653593529027E-4</v>
      </c>
      <c r="N45" s="230" t="s">
        <v>805</v>
      </c>
      <c r="O45" s="230" t="s">
        <v>805</v>
      </c>
      <c r="P45" s="230" t="s">
        <v>805</v>
      </c>
      <c r="Q45" s="230" t="s">
        <v>805</v>
      </c>
      <c r="R45" s="230" t="s">
        <v>805</v>
      </c>
      <c r="S45" s="230" t="s">
        <v>805</v>
      </c>
      <c r="T45" s="230" t="s">
        <v>805</v>
      </c>
      <c r="U45" s="230" t="s">
        <v>805</v>
      </c>
      <c r="V45" s="230" t="s">
        <v>805</v>
      </c>
      <c r="W45" s="230" t="s">
        <v>805</v>
      </c>
      <c r="X45" s="230" t="s">
        <v>805</v>
      </c>
      <c r="Y45" s="230" t="s">
        <v>805</v>
      </c>
      <c r="Z45" s="230" t="s">
        <v>805</v>
      </c>
      <c r="AA45" s="230" t="s">
        <v>805</v>
      </c>
      <c r="AB45" s="230" t="s">
        <v>805</v>
      </c>
      <c r="AC45" s="230" t="s">
        <v>805</v>
      </c>
      <c r="AD45" s="230" t="s">
        <v>805</v>
      </c>
      <c r="AE45" s="230" t="s">
        <v>805</v>
      </c>
      <c r="AF45" s="230" t="s">
        <v>805</v>
      </c>
      <c r="AG45" s="230" t="s">
        <v>805</v>
      </c>
      <c r="AH45" s="230" t="s">
        <v>805</v>
      </c>
      <c r="AI45" s="230" t="s">
        <v>805</v>
      </c>
      <c r="AJ45" s="230" t="s">
        <v>805</v>
      </c>
      <c r="AK45" s="230" t="s">
        <v>805</v>
      </c>
      <c r="AL45" s="230" t="s">
        <v>805</v>
      </c>
      <c r="AM45" s="230" t="s">
        <v>805</v>
      </c>
      <c r="AN45" s="230" t="s">
        <v>805</v>
      </c>
      <c r="AO45" s="230" t="s">
        <v>805</v>
      </c>
      <c r="AP45" s="230" t="s">
        <v>805</v>
      </c>
      <c r="AQ45" s="230" t="s">
        <v>805</v>
      </c>
      <c r="AR45" s="230" t="s">
        <v>805</v>
      </c>
      <c r="AS45" s="230" t="s">
        <v>805</v>
      </c>
      <c r="AT45" s="230" t="s">
        <v>805</v>
      </c>
      <c r="AU45" s="230" t="s">
        <v>805</v>
      </c>
      <c r="AV45" s="230" t="s">
        <v>805</v>
      </c>
      <c r="AW45" s="230" t="s">
        <v>805</v>
      </c>
      <c r="AX45" s="230" t="s">
        <v>805</v>
      </c>
      <c r="AY45" s="230" t="s">
        <v>805</v>
      </c>
      <c r="AZ45" s="230" t="s">
        <v>805</v>
      </c>
      <c r="BA45" s="230" t="s">
        <v>805</v>
      </c>
      <c r="BB45" s="230" t="s">
        <v>805</v>
      </c>
      <c r="BC45" s="230" t="s">
        <v>805</v>
      </c>
      <c r="BD45" s="230" t="s">
        <v>805</v>
      </c>
      <c r="BE45" s="230" t="s">
        <v>805</v>
      </c>
      <c r="BF45" s="230" t="s">
        <v>805</v>
      </c>
      <c r="BG45" s="230" t="s">
        <v>805</v>
      </c>
      <c r="BH45" s="230" t="s">
        <v>805</v>
      </c>
      <c r="BI45" s="230" t="s">
        <v>805</v>
      </c>
      <c r="BJ45" s="230" t="s">
        <v>805</v>
      </c>
      <c r="BK45" s="230" t="s">
        <v>805</v>
      </c>
      <c r="BL45" s="230" t="s">
        <v>805</v>
      </c>
      <c r="BM45" s="230" t="s">
        <v>805</v>
      </c>
      <c r="BN45" s="230" t="s">
        <v>805</v>
      </c>
      <c r="BO45" s="230" t="s">
        <v>805</v>
      </c>
      <c r="BP45" s="230" t="s">
        <v>805</v>
      </c>
      <c r="BQ45" s="230" t="s">
        <v>805</v>
      </c>
      <c r="BR45" s="230" t="s">
        <v>805</v>
      </c>
      <c r="BS45" s="230" t="s">
        <v>805</v>
      </c>
      <c r="BT45" s="230" t="s">
        <v>805</v>
      </c>
      <c r="BU45" s="230" t="s">
        <v>805</v>
      </c>
      <c r="BV45" s="230" t="s">
        <v>805</v>
      </c>
      <c r="BW45" s="230" t="s">
        <v>805</v>
      </c>
      <c r="BX45" s="230" t="s">
        <v>805</v>
      </c>
      <c r="BY45" s="230" t="s">
        <v>805</v>
      </c>
      <c r="BZ45" s="230" t="s">
        <v>805</v>
      </c>
      <c r="CA45" s="230" t="s">
        <v>805</v>
      </c>
      <c r="CB45" s="230" t="s">
        <v>805</v>
      </c>
      <c r="CC45" s="230" t="s">
        <v>805</v>
      </c>
      <c r="CD45" s="230" t="s">
        <v>805</v>
      </c>
      <c r="CE45" s="230" t="s">
        <v>805</v>
      </c>
      <c r="CF45" s="230" t="s">
        <v>805</v>
      </c>
      <c r="CG45" s="230" t="s">
        <v>805</v>
      </c>
      <c r="CH45" s="230" t="s">
        <v>805</v>
      </c>
      <c r="CI45" s="230" t="s">
        <v>805</v>
      </c>
      <c r="CJ45" s="230" t="s">
        <v>805</v>
      </c>
      <c r="CK45" s="230" t="s">
        <v>805</v>
      </c>
      <c r="CL45" s="230" t="s">
        <v>805</v>
      </c>
      <c r="CM45" s="230" t="s">
        <v>805</v>
      </c>
      <c r="CN45" s="230" t="s">
        <v>805</v>
      </c>
      <c r="CO45" s="230" t="s">
        <v>805</v>
      </c>
      <c r="CP45" s="230" t="s">
        <v>805</v>
      </c>
      <c r="CQ45" s="230" t="s">
        <v>805</v>
      </c>
      <c r="CR45" s="230" t="s">
        <v>805</v>
      </c>
      <c r="CS45" s="230" t="s">
        <v>805</v>
      </c>
      <c r="CT45" s="230" t="s">
        <v>805</v>
      </c>
      <c r="CU45" s="230" t="s">
        <v>805</v>
      </c>
      <c r="CV45" s="230" t="s">
        <v>805</v>
      </c>
      <c r="CW45" s="230" t="s">
        <v>805</v>
      </c>
      <c r="CX45" s="230" t="s">
        <v>805</v>
      </c>
      <c r="CY45" s="230" t="s">
        <v>805</v>
      </c>
      <c r="CZ45" s="230" t="s">
        <v>805</v>
      </c>
      <c r="DA45" s="230" t="s">
        <v>805</v>
      </c>
      <c r="DB45" s="230" t="s">
        <v>805</v>
      </c>
      <c r="DC45" s="230" t="s">
        <v>805</v>
      </c>
      <c r="DD45" s="230" t="s">
        <v>805</v>
      </c>
      <c r="DE45" s="230" t="s">
        <v>805</v>
      </c>
      <c r="DF45" s="230" t="s">
        <v>805</v>
      </c>
      <c r="DG45" s="212">
        <f>VLOOKUP(E45,'KPI Count-SHARE'!A:F,3,0)</f>
        <v>15</v>
      </c>
      <c r="DH45" s="213">
        <v>2.0354211170826674E-4</v>
      </c>
      <c r="DI45" s="232">
        <v>3.6822574000340666E-4</v>
      </c>
      <c r="DJ45" s="232">
        <v>2.4944341235943866E-4</v>
      </c>
      <c r="DK45" s="232">
        <v>1.6127602506069296E-4</v>
      </c>
      <c r="DL45" s="232">
        <v>2.6948714197085624E-5</v>
      </c>
      <c r="DM45" s="232">
        <v>1.990079344891157E-5</v>
      </c>
      <c r="DN45" s="231">
        <f>VLOOKUP(E45,'KPI Count-SHARE'!A:F,4,0)</f>
        <v>0</v>
      </c>
      <c r="DO45" s="213"/>
      <c r="DP45" s="232"/>
      <c r="DQ45" s="232"/>
      <c r="DR45" s="232"/>
      <c r="DS45" s="232"/>
      <c r="DT45" s="232"/>
      <c r="DU45" s="231">
        <f>VLOOKUP(E45,'KPI Count-SHARE'!A:F,5,0)</f>
        <v>0</v>
      </c>
      <c r="DV45" s="213"/>
      <c r="DW45" s="232"/>
      <c r="DX45" s="232"/>
      <c r="DY45" s="232"/>
      <c r="DZ45" s="232"/>
      <c r="EA45" s="232"/>
      <c r="EB45" s="231">
        <f>VLOOKUP(E45,'KPI Count-SHARE'!A:F,6,0)</f>
        <v>0</v>
      </c>
      <c r="EC45" s="213"/>
      <c r="ED45" s="232"/>
      <c r="EE45" s="232"/>
      <c r="EF45" s="232"/>
      <c r="EG45" s="232"/>
      <c r="EH45" s="232"/>
      <c r="EI45" s="233" t="str">
        <f t="shared" ref="EI45:EI52" si="312">"FTE per " &amp; XCurrency &amp; " '000"</f>
        <v>FTE per USD '000</v>
      </c>
      <c r="EJ45" s="237">
        <f t="shared" ref="EJ45:EJ52" si="313">IFERROR(IF(ISBLANK(J45), "-", IF(OR($I45="c",$I45="r"), J45/$I$5, J45)),"-")</f>
        <v>8.3147230041107049E-5</v>
      </c>
      <c r="EK45" s="237">
        <f t="shared" ref="EK45:ET52" si="314">IFERROR(IF(ISBLANK(K45), "-", IF($I45="r", K45/$I$5, K45)),"-")</f>
        <v>5.8009832427088163E-5</v>
      </c>
      <c r="EL45" s="237">
        <f t="shared" si="314"/>
        <v>1.187677178961198E-4</v>
      </c>
      <c r="EM45" s="237">
        <f t="shared" si="314"/>
        <v>1.7564731698240833E-4</v>
      </c>
      <c r="EN45" s="237" t="str">
        <f t="shared" si="314"/>
        <v>-</v>
      </c>
      <c r="EO45" s="237" t="str">
        <f t="shared" si="314"/>
        <v>-</v>
      </c>
      <c r="EP45" s="237" t="str">
        <f t="shared" si="314"/>
        <v>-</v>
      </c>
      <c r="EQ45" s="237" t="str">
        <f t="shared" si="314"/>
        <v>-</v>
      </c>
      <c r="ER45" s="237" t="str">
        <f t="shared" si="314"/>
        <v>-</v>
      </c>
      <c r="ES45" s="237" t="str">
        <f t="shared" si="314"/>
        <v>-</v>
      </c>
      <c r="ET45" s="237" t="str">
        <f t="shared" si="314"/>
        <v>-</v>
      </c>
      <c r="EU45" s="237" t="str">
        <f t="shared" ref="EU45:FD52" si="315">IFERROR(IF(ISBLANK(U45), "-", IF($I45="r", U45/$I$5, U45)),"-")</f>
        <v>-</v>
      </c>
      <c r="EV45" s="237" t="str">
        <f t="shared" si="315"/>
        <v>-</v>
      </c>
      <c r="EW45" s="237" t="str">
        <f t="shared" si="315"/>
        <v>-</v>
      </c>
      <c r="EX45" s="237" t="str">
        <f t="shared" si="315"/>
        <v>-</v>
      </c>
      <c r="EY45" s="237" t="str">
        <f t="shared" si="315"/>
        <v>-</v>
      </c>
      <c r="EZ45" s="237" t="str">
        <f t="shared" si="315"/>
        <v>-</v>
      </c>
      <c r="FA45" s="237" t="str">
        <f t="shared" si="315"/>
        <v>-</v>
      </c>
      <c r="FB45" s="237" t="str">
        <f t="shared" si="315"/>
        <v>-</v>
      </c>
      <c r="FC45" s="237" t="str">
        <f t="shared" si="315"/>
        <v>-</v>
      </c>
      <c r="FD45" s="237" t="str">
        <f t="shared" si="315"/>
        <v>-</v>
      </c>
      <c r="FE45" s="237" t="str">
        <f t="shared" ref="FE45:FN52" si="316">IFERROR(IF(ISBLANK(AE45), "-", IF($I45="r", AE45/$I$5, AE45)),"-")</f>
        <v>-</v>
      </c>
      <c r="FF45" s="237" t="str">
        <f t="shared" si="316"/>
        <v>-</v>
      </c>
      <c r="FG45" s="237" t="str">
        <f t="shared" si="316"/>
        <v>-</v>
      </c>
      <c r="FH45" s="237" t="str">
        <f t="shared" si="316"/>
        <v>-</v>
      </c>
      <c r="FI45" s="237" t="str">
        <f t="shared" si="316"/>
        <v>-</v>
      </c>
      <c r="FJ45" s="237" t="str">
        <f t="shared" si="316"/>
        <v>-</v>
      </c>
      <c r="FK45" s="237" t="str">
        <f t="shared" si="316"/>
        <v>-</v>
      </c>
      <c r="FL45" s="237" t="str">
        <f t="shared" si="316"/>
        <v>-</v>
      </c>
      <c r="FM45" s="237" t="str">
        <f t="shared" si="316"/>
        <v>-</v>
      </c>
      <c r="FN45" s="237" t="str">
        <f t="shared" si="316"/>
        <v>-</v>
      </c>
      <c r="FO45" s="237" t="str">
        <f t="shared" ref="FO45:FX52" si="317">IFERROR(IF(ISBLANK(AO45), "-", IF($I45="r", AO45/$I$5, AO45)),"-")</f>
        <v>-</v>
      </c>
      <c r="FP45" s="237" t="str">
        <f t="shared" si="317"/>
        <v>-</v>
      </c>
      <c r="FQ45" s="237" t="str">
        <f t="shared" si="317"/>
        <v>-</v>
      </c>
      <c r="FR45" s="237" t="str">
        <f t="shared" si="317"/>
        <v>-</v>
      </c>
      <c r="FS45" s="237" t="str">
        <f t="shared" si="317"/>
        <v>-</v>
      </c>
      <c r="FT45" s="237" t="str">
        <f t="shared" si="317"/>
        <v>-</v>
      </c>
      <c r="FU45" s="237" t="str">
        <f t="shared" si="317"/>
        <v>-</v>
      </c>
      <c r="FV45" s="237" t="str">
        <f t="shared" si="317"/>
        <v>-</v>
      </c>
      <c r="FW45" s="237" t="str">
        <f t="shared" si="317"/>
        <v>-</v>
      </c>
      <c r="FX45" s="237" t="str">
        <f t="shared" si="317"/>
        <v>-</v>
      </c>
      <c r="FY45" s="237" t="str">
        <f t="shared" ref="FY45:GH52" si="318">IFERROR(IF(ISBLANK(AY45), "-", IF($I45="r", AY45/$I$5, AY45)),"-")</f>
        <v>-</v>
      </c>
      <c r="FZ45" s="237" t="str">
        <f t="shared" si="318"/>
        <v>-</v>
      </c>
      <c r="GA45" s="237" t="str">
        <f t="shared" si="318"/>
        <v>-</v>
      </c>
      <c r="GB45" s="237" t="str">
        <f t="shared" si="318"/>
        <v>-</v>
      </c>
      <c r="GC45" s="237" t="str">
        <f t="shared" si="318"/>
        <v>-</v>
      </c>
      <c r="GD45" s="237" t="str">
        <f t="shared" si="318"/>
        <v>-</v>
      </c>
      <c r="GE45" s="237" t="str">
        <f t="shared" si="318"/>
        <v>-</v>
      </c>
      <c r="GF45" s="237" t="str">
        <f t="shared" si="318"/>
        <v>-</v>
      </c>
      <c r="GG45" s="237" t="str">
        <f t="shared" si="318"/>
        <v>-</v>
      </c>
      <c r="GH45" s="237" t="str">
        <f t="shared" si="318"/>
        <v>-</v>
      </c>
      <c r="GI45" s="237" t="str">
        <f t="shared" ref="GI45:GR52" si="319">IFERROR(IF(ISBLANK(BI45), "-", IF($I45="r", BI45/$I$5, BI45)),"-")</f>
        <v>-</v>
      </c>
      <c r="GJ45" s="237" t="str">
        <f t="shared" si="319"/>
        <v>-</v>
      </c>
      <c r="GK45" s="237" t="str">
        <f t="shared" si="319"/>
        <v>-</v>
      </c>
      <c r="GL45" s="237" t="str">
        <f t="shared" si="319"/>
        <v>-</v>
      </c>
      <c r="GM45" s="237" t="str">
        <f t="shared" si="319"/>
        <v>-</v>
      </c>
      <c r="GN45" s="237" t="str">
        <f t="shared" si="319"/>
        <v>-</v>
      </c>
      <c r="GO45" s="237" t="str">
        <f t="shared" si="319"/>
        <v>-</v>
      </c>
      <c r="GP45" s="237" t="str">
        <f t="shared" si="319"/>
        <v>-</v>
      </c>
      <c r="GQ45" s="237" t="str">
        <f t="shared" si="319"/>
        <v>-</v>
      </c>
      <c r="GR45" s="237" t="str">
        <f t="shared" si="319"/>
        <v>-</v>
      </c>
      <c r="GS45" s="237" t="str">
        <f t="shared" ref="GS45:HB52" si="320">IFERROR(IF(ISBLANK(BS45), "-", IF($I45="r", BS45/$I$5, BS45)),"-")</f>
        <v>-</v>
      </c>
      <c r="GT45" s="237" t="str">
        <f t="shared" si="320"/>
        <v>-</v>
      </c>
      <c r="GU45" s="237" t="str">
        <f t="shared" si="320"/>
        <v>-</v>
      </c>
      <c r="GV45" s="237" t="str">
        <f t="shared" si="320"/>
        <v>-</v>
      </c>
      <c r="GW45" s="237" t="str">
        <f t="shared" si="320"/>
        <v>-</v>
      </c>
      <c r="GX45" s="237" t="str">
        <f t="shared" si="320"/>
        <v>-</v>
      </c>
      <c r="GY45" s="237" t="str">
        <f t="shared" si="320"/>
        <v>-</v>
      </c>
      <c r="GZ45" s="237" t="str">
        <f t="shared" si="320"/>
        <v>-</v>
      </c>
      <c r="HA45" s="237" t="str">
        <f t="shared" si="320"/>
        <v>-</v>
      </c>
      <c r="HB45" s="237" t="str">
        <f t="shared" si="320"/>
        <v>-</v>
      </c>
      <c r="HC45" s="237" t="str">
        <f t="shared" ref="HC45:HL52" si="321">IFERROR(IF(ISBLANK(CC45), "-", IF($I45="r", CC45/$I$5, CC45)),"-")</f>
        <v>-</v>
      </c>
      <c r="HD45" s="237" t="str">
        <f t="shared" si="321"/>
        <v>-</v>
      </c>
      <c r="HE45" s="237" t="str">
        <f t="shared" si="321"/>
        <v>-</v>
      </c>
      <c r="HF45" s="237" t="str">
        <f t="shared" si="321"/>
        <v>-</v>
      </c>
      <c r="HG45" s="237" t="str">
        <f t="shared" si="321"/>
        <v>-</v>
      </c>
      <c r="HH45" s="237" t="str">
        <f t="shared" si="321"/>
        <v>-</v>
      </c>
      <c r="HI45" s="237" t="str">
        <f t="shared" si="321"/>
        <v>-</v>
      </c>
      <c r="HJ45" s="237" t="str">
        <f t="shared" si="321"/>
        <v>-</v>
      </c>
      <c r="HK45" s="237" t="str">
        <f t="shared" si="321"/>
        <v>-</v>
      </c>
      <c r="HL45" s="237" t="str">
        <f t="shared" si="321"/>
        <v>-</v>
      </c>
      <c r="HM45" s="237" t="str">
        <f t="shared" ref="HM45:HV52" si="322">IFERROR(IF(ISBLANK(CM45), "-", IF($I45="r", CM45/$I$5, CM45)),"-")</f>
        <v>-</v>
      </c>
      <c r="HN45" s="237" t="str">
        <f t="shared" si="322"/>
        <v>-</v>
      </c>
      <c r="HO45" s="237" t="str">
        <f t="shared" si="322"/>
        <v>-</v>
      </c>
      <c r="HP45" s="237" t="str">
        <f t="shared" si="322"/>
        <v>-</v>
      </c>
      <c r="HQ45" s="237" t="str">
        <f t="shared" si="322"/>
        <v>-</v>
      </c>
      <c r="HR45" s="237" t="str">
        <f t="shared" si="322"/>
        <v>-</v>
      </c>
      <c r="HS45" s="237" t="str">
        <f t="shared" si="322"/>
        <v>-</v>
      </c>
      <c r="HT45" s="237" t="str">
        <f t="shared" si="322"/>
        <v>-</v>
      </c>
      <c r="HU45" s="237" t="str">
        <f t="shared" si="322"/>
        <v>-</v>
      </c>
      <c r="HV45" s="237" t="str">
        <f t="shared" si="322"/>
        <v>-</v>
      </c>
      <c r="HW45" s="237" t="str">
        <f t="shared" ref="HW45:IF52" si="323">IFERROR(IF(ISBLANK(CW45), "-", IF($I45="r", CW45/$I$5, CW45)),"-")</f>
        <v>-</v>
      </c>
      <c r="HX45" s="237" t="str">
        <f t="shared" si="323"/>
        <v>-</v>
      </c>
      <c r="HY45" s="237" t="str">
        <f t="shared" si="323"/>
        <v>-</v>
      </c>
      <c r="HZ45" s="237" t="str">
        <f t="shared" si="323"/>
        <v>-</v>
      </c>
      <c r="IA45" s="237" t="str">
        <f t="shared" si="323"/>
        <v>-</v>
      </c>
      <c r="IB45" s="237" t="str">
        <f t="shared" si="323"/>
        <v>-</v>
      </c>
      <c r="IC45" s="237" t="str">
        <f t="shared" si="323"/>
        <v>-</v>
      </c>
      <c r="ID45" s="237" t="str">
        <f t="shared" si="323"/>
        <v>-</v>
      </c>
      <c r="IE45" s="237" t="str">
        <f t="shared" si="323"/>
        <v>-</v>
      </c>
      <c r="IF45" s="237" t="str">
        <f t="shared" si="323"/>
        <v>-</v>
      </c>
      <c r="IG45" s="312">
        <f t="shared" ref="IG45:IG52" si="324">IFERROR(IF(ISBLANK(DH45), "-", IF($I45="r", DH45/$I$5, DH45)),"-")</f>
        <v>1.8115247942035738E-4</v>
      </c>
      <c r="IH45" s="99">
        <f t="shared" ref="IH45:IH52" si="325">IFERROR(IF(ISBLANK(DI45), "-", IF($I45="r", DI45/$I$5, DI45)),"-")</f>
        <v>3.2772090860303188E-4</v>
      </c>
      <c r="II45" s="99">
        <f t="shared" ref="II45:II52" si="326">IFERROR(IF(ISBLANK(DJ45), "-", IF($I45="r", DJ45/$I$5, DJ45)),"-")</f>
        <v>2.220046369999004E-4</v>
      </c>
      <c r="IJ45" s="99">
        <f t="shared" ref="IJ45:IJ52" si="327">IFERROR(IF(ISBLANK(DK45), "-", IF($I45="r", DK45/$I$5, DK45)),"-")</f>
        <v>1.4353566230401672E-4</v>
      </c>
      <c r="IK45" s="99">
        <f t="shared" ref="IK45:IK52" si="328">IFERROR(IF(ISBLANK(DL45), "-", IF($I45="r", DL45/$I$5, DL45)),"-")</f>
        <v>2.3984355635406204E-5</v>
      </c>
      <c r="IL45" s="99">
        <f t="shared" ref="IL45:IL52" si="329">IFERROR(IF(ISBLANK(DM45), "-", IF($I45="r", DM45/$I$5, DM45)),"-")</f>
        <v>1.7711706169531295E-5</v>
      </c>
      <c r="IM45" s="312" t="str">
        <f t="shared" ref="IM45:IM52" si="330">IFERROR(IF(ISBLANK(DO45), "", IF($I45="r",DO45/$I$5, DO45)),"-")</f>
        <v/>
      </c>
      <c r="IN45" s="99" t="str">
        <f t="shared" ref="IN45:IN52" si="331">IFERROR(IF(ISBLANK(DP45), "", IF($I45="r",DP45/$I$5, DP45)),"-")</f>
        <v/>
      </c>
      <c r="IO45" s="99" t="str">
        <f t="shared" ref="IO45:IO52" si="332">IFERROR(IF(ISBLANK(DQ45), "", IF($I45="r",DQ45/$I$5, DQ45)),"-")</f>
        <v/>
      </c>
      <c r="IP45" s="99" t="str">
        <f t="shared" ref="IP45:IP52" si="333">IFERROR(IF(ISBLANK(DR45), "", IF($I45="r",DR45/$I$5, DR45)),"-")</f>
        <v/>
      </c>
      <c r="IQ45" s="99" t="str">
        <f t="shared" ref="IQ45:IQ52" si="334">IFERROR(IF(ISBLANK(DS45), "", IF($I45="r",DS45/$I$5, DS45)),"-")</f>
        <v/>
      </c>
      <c r="IR45" s="99" t="str">
        <f t="shared" ref="IR45:IR52" si="335">IFERROR(IF(ISBLANK(DT45), "", IF($I45="r",DT45/$I$5, DT45)),"-")</f>
        <v/>
      </c>
      <c r="IS45" s="312" t="str">
        <f t="shared" ref="IS45:IS52" si="336">IFERROR(IF(ISBLANK(DV45), "", IF($I45="r", DV45/$I$5, DV45)),"-")</f>
        <v/>
      </c>
      <c r="IT45" s="99" t="str">
        <f t="shared" ref="IT45:IX52" si="337">IFERROR(IF(ISBLANK(DW45), "", IF($I45="r", DW45/$I$5, DW45)),"-")</f>
        <v/>
      </c>
      <c r="IU45" s="99" t="str">
        <f t="shared" si="337"/>
        <v/>
      </c>
      <c r="IV45" s="99" t="str">
        <f t="shared" si="337"/>
        <v/>
      </c>
      <c r="IW45" s="99" t="str">
        <f t="shared" si="337"/>
        <v/>
      </c>
      <c r="IX45" s="99" t="str">
        <f t="shared" si="337"/>
        <v/>
      </c>
      <c r="IY45" s="312" t="str">
        <f t="shared" ref="IY45:IY52" si="338">IFERROR(IF(ISBLANK(EC45), "", IF($I45="r", EC45/$I$5, EC45)),"-")</f>
        <v/>
      </c>
      <c r="IZ45" s="99" t="str">
        <f t="shared" ref="IZ45:JD52" si="339">IFERROR(IF(ISBLANK(ED45), "", IF($I45="r", ED45/$I$5, ED45)),"-")</f>
        <v/>
      </c>
      <c r="JA45" s="99" t="str">
        <f t="shared" si="339"/>
        <v/>
      </c>
      <c r="JB45" s="99" t="str">
        <f t="shared" si="339"/>
        <v/>
      </c>
      <c r="JC45" s="99" t="str">
        <f t="shared" si="339"/>
        <v/>
      </c>
      <c r="JD45" s="313" t="str">
        <f t="shared" si="339"/>
        <v/>
      </c>
      <c r="JF45" s="66">
        <f t="shared" si="224"/>
        <v>45</v>
      </c>
      <c r="JG45" s="171">
        <f t="shared" ref="JG45:JG67" ca="1" si="340">SUM(INDIRECT(VLOOKUP($JH$4,XPEERCOLUMNS,2,0) &amp; JF45 &amp; ":" &amp; VLOOKUP($JH$4,XPEERCOLUMNS,2,0) &amp; JF45))</f>
        <v>2.220046369999004E-4</v>
      </c>
      <c r="JH45" s="171">
        <f t="shared" ref="JH45:JH67" ca="1" si="341">SUM(INDIRECT(VLOOKUP($JH$4,XPEERCOLUMNS,3,0) &amp; JF45 &amp; ":" &amp; VLOOKUP($JH$4,XPEERCOLUMNS,3,0) &amp; JF45))</f>
        <v>1.4353566230401672E-4</v>
      </c>
      <c r="JI45" s="171">
        <f t="shared" ref="JI45:JI67" ca="1" si="342">SUM(INDIRECT(VLOOKUP($JH$4,XPEERCOLUMNS,4,0) &amp; JF45 &amp; ":" &amp; VLOOKUP($JH$4,XPEERCOLUMNS,4,0) &amp; JF45))</f>
        <v>2.3984355635406204E-5</v>
      </c>
      <c r="JJ45" s="171">
        <f t="shared" ref="JJ45:JJ67" ca="1" si="343">SUM(INDIRECT(VLOOKUP($JH$4,XPEERCOLUMNS,5,0) &amp; JF45 &amp; ":" &amp; VLOOKUP($JH$4,XPEERCOLUMNS,5,0) &amp; JF45))</f>
        <v>15</v>
      </c>
      <c r="JK45" s="162"/>
      <c r="JL45" s="165">
        <f t="shared" ca="1" si="121"/>
        <v>2.220046369999004E-4</v>
      </c>
      <c r="JM45" s="166">
        <f t="shared" ca="1" si="310"/>
        <v>1.8277014965195856E-4</v>
      </c>
      <c r="JN45" s="166">
        <f t="shared" ca="1" si="311"/>
        <v>8.3760008969711473E-5</v>
      </c>
      <c r="JO45" s="165">
        <f t="shared" ca="1" si="122"/>
        <v>2.3984355635406204E-5</v>
      </c>
      <c r="JP45" s="173">
        <f t="shared" ca="1" si="123"/>
        <v>5.1251915125697669E-4</v>
      </c>
    </row>
    <row r="46" spans="1:276" s="163" customFormat="1" x14ac:dyDescent="0.35">
      <c r="A46" s="125">
        <v>0</v>
      </c>
      <c r="B46" s="125">
        <v>1</v>
      </c>
      <c r="C46" s="125">
        <v>1</v>
      </c>
      <c r="E46" s="142" t="s">
        <v>80</v>
      </c>
      <c r="F46" s="227" t="s">
        <v>81</v>
      </c>
      <c r="G46" s="228" t="s">
        <v>540</v>
      </c>
      <c r="H46" s="229" t="s">
        <v>543</v>
      </c>
      <c r="I46" s="8" t="s">
        <v>544</v>
      </c>
      <c r="J46" s="211">
        <v>6.8132313398883414E-5</v>
      </c>
      <c r="K46" s="230">
        <v>5.4185439792460855E-5</v>
      </c>
      <c r="L46" s="230">
        <v>9.476662069548723E-5</v>
      </c>
      <c r="M46" s="230">
        <v>9.52755690722091E-5</v>
      </c>
      <c r="N46" s="230" t="s">
        <v>805</v>
      </c>
      <c r="O46" s="230" t="s">
        <v>805</v>
      </c>
      <c r="P46" s="230" t="s">
        <v>805</v>
      </c>
      <c r="Q46" s="230" t="s">
        <v>805</v>
      </c>
      <c r="R46" s="230" t="s">
        <v>805</v>
      </c>
      <c r="S46" s="230" t="s">
        <v>805</v>
      </c>
      <c r="T46" s="230" t="s">
        <v>805</v>
      </c>
      <c r="U46" s="230" t="s">
        <v>805</v>
      </c>
      <c r="V46" s="230" t="s">
        <v>805</v>
      </c>
      <c r="W46" s="230" t="s">
        <v>805</v>
      </c>
      <c r="X46" s="230" t="s">
        <v>805</v>
      </c>
      <c r="Y46" s="230" t="s">
        <v>805</v>
      </c>
      <c r="Z46" s="230" t="s">
        <v>805</v>
      </c>
      <c r="AA46" s="230" t="s">
        <v>805</v>
      </c>
      <c r="AB46" s="230" t="s">
        <v>805</v>
      </c>
      <c r="AC46" s="230" t="s">
        <v>805</v>
      </c>
      <c r="AD46" s="230" t="s">
        <v>805</v>
      </c>
      <c r="AE46" s="230" t="s">
        <v>805</v>
      </c>
      <c r="AF46" s="230" t="s">
        <v>805</v>
      </c>
      <c r="AG46" s="230" t="s">
        <v>805</v>
      </c>
      <c r="AH46" s="230" t="s">
        <v>805</v>
      </c>
      <c r="AI46" s="230" t="s">
        <v>805</v>
      </c>
      <c r="AJ46" s="230" t="s">
        <v>805</v>
      </c>
      <c r="AK46" s="230" t="s">
        <v>805</v>
      </c>
      <c r="AL46" s="230" t="s">
        <v>805</v>
      </c>
      <c r="AM46" s="230" t="s">
        <v>805</v>
      </c>
      <c r="AN46" s="230" t="s">
        <v>805</v>
      </c>
      <c r="AO46" s="230" t="s">
        <v>805</v>
      </c>
      <c r="AP46" s="230" t="s">
        <v>805</v>
      </c>
      <c r="AQ46" s="230" t="s">
        <v>805</v>
      </c>
      <c r="AR46" s="230" t="s">
        <v>805</v>
      </c>
      <c r="AS46" s="230" t="s">
        <v>805</v>
      </c>
      <c r="AT46" s="230" t="s">
        <v>805</v>
      </c>
      <c r="AU46" s="230" t="s">
        <v>805</v>
      </c>
      <c r="AV46" s="230" t="s">
        <v>805</v>
      </c>
      <c r="AW46" s="230" t="s">
        <v>805</v>
      </c>
      <c r="AX46" s="230" t="s">
        <v>805</v>
      </c>
      <c r="AY46" s="230" t="s">
        <v>805</v>
      </c>
      <c r="AZ46" s="230" t="s">
        <v>805</v>
      </c>
      <c r="BA46" s="230" t="s">
        <v>805</v>
      </c>
      <c r="BB46" s="230" t="s">
        <v>805</v>
      </c>
      <c r="BC46" s="230" t="s">
        <v>805</v>
      </c>
      <c r="BD46" s="230" t="s">
        <v>805</v>
      </c>
      <c r="BE46" s="230" t="s">
        <v>805</v>
      </c>
      <c r="BF46" s="230" t="s">
        <v>805</v>
      </c>
      <c r="BG46" s="230" t="s">
        <v>805</v>
      </c>
      <c r="BH46" s="230" t="s">
        <v>805</v>
      </c>
      <c r="BI46" s="230" t="s">
        <v>805</v>
      </c>
      <c r="BJ46" s="230" t="s">
        <v>805</v>
      </c>
      <c r="BK46" s="230" t="s">
        <v>805</v>
      </c>
      <c r="BL46" s="230" t="s">
        <v>805</v>
      </c>
      <c r="BM46" s="230" t="s">
        <v>805</v>
      </c>
      <c r="BN46" s="230" t="s">
        <v>805</v>
      </c>
      <c r="BO46" s="230" t="s">
        <v>805</v>
      </c>
      <c r="BP46" s="230" t="s">
        <v>805</v>
      </c>
      <c r="BQ46" s="230" t="s">
        <v>805</v>
      </c>
      <c r="BR46" s="230" t="s">
        <v>805</v>
      </c>
      <c r="BS46" s="230" t="s">
        <v>805</v>
      </c>
      <c r="BT46" s="230" t="s">
        <v>805</v>
      </c>
      <c r="BU46" s="230" t="s">
        <v>805</v>
      </c>
      <c r="BV46" s="230" t="s">
        <v>805</v>
      </c>
      <c r="BW46" s="230" t="s">
        <v>805</v>
      </c>
      <c r="BX46" s="230" t="s">
        <v>805</v>
      </c>
      <c r="BY46" s="230" t="s">
        <v>805</v>
      </c>
      <c r="BZ46" s="230" t="s">
        <v>805</v>
      </c>
      <c r="CA46" s="230" t="s">
        <v>805</v>
      </c>
      <c r="CB46" s="230" t="s">
        <v>805</v>
      </c>
      <c r="CC46" s="230" t="s">
        <v>805</v>
      </c>
      <c r="CD46" s="230" t="s">
        <v>805</v>
      </c>
      <c r="CE46" s="230" t="s">
        <v>805</v>
      </c>
      <c r="CF46" s="230" t="s">
        <v>805</v>
      </c>
      <c r="CG46" s="230" t="s">
        <v>805</v>
      </c>
      <c r="CH46" s="230" t="s">
        <v>805</v>
      </c>
      <c r="CI46" s="230" t="s">
        <v>805</v>
      </c>
      <c r="CJ46" s="230" t="s">
        <v>805</v>
      </c>
      <c r="CK46" s="230" t="s">
        <v>805</v>
      </c>
      <c r="CL46" s="230" t="s">
        <v>805</v>
      </c>
      <c r="CM46" s="230" t="s">
        <v>805</v>
      </c>
      <c r="CN46" s="230" t="s">
        <v>805</v>
      </c>
      <c r="CO46" s="230" t="s">
        <v>805</v>
      </c>
      <c r="CP46" s="230" t="s">
        <v>805</v>
      </c>
      <c r="CQ46" s="230" t="s">
        <v>805</v>
      </c>
      <c r="CR46" s="230" t="s">
        <v>805</v>
      </c>
      <c r="CS46" s="230" t="s">
        <v>805</v>
      </c>
      <c r="CT46" s="230" t="s">
        <v>805</v>
      </c>
      <c r="CU46" s="230" t="s">
        <v>805</v>
      </c>
      <c r="CV46" s="230" t="s">
        <v>805</v>
      </c>
      <c r="CW46" s="230" t="s">
        <v>805</v>
      </c>
      <c r="CX46" s="230" t="s">
        <v>805</v>
      </c>
      <c r="CY46" s="230" t="s">
        <v>805</v>
      </c>
      <c r="CZ46" s="230" t="s">
        <v>805</v>
      </c>
      <c r="DA46" s="230" t="s">
        <v>805</v>
      </c>
      <c r="DB46" s="230" t="s">
        <v>805</v>
      </c>
      <c r="DC46" s="230" t="s">
        <v>805</v>
      </c>
      <c r="DD46" s="230" t="s">
        <v>805</v>
      </c>
      <c r="DE46" s="230" t="s">
        <v>805</v>
      </c>
      <c r="DF46" s="230" t="s">
        <v>805</v>
      </c>
      <c r="DG46" s="212">
        <f>VLOOKUP(E46,'KPI Count-SHARE'!A:F,3,0)</f>
        <v>14</v>
      </c>
      <c r="DH46" s="213">
        <v>1.2278163476698176E-4</v>
      </c>
      <c r="DI46" s="232">
        <v>2.7331618785735983E-4</v>
      </c>
      <c r="DJ46" s="232">
        <v>1.7042368185337116E-4</v>
      </c>
      <c r="DK46" s="232">
        <v>1.2904577118478562E-4</v>
      </c>
      <c r="DL46" s="232">
        <v>2.34727432446017E-5</v>
      </c>
      <c r="DM46" s="232">
        <v>6.5961854575961305E-6</v>
      </c>
      <c r="DN46" s="231">
        <f>VLOOKUP(E46,'KPI Count-SHARE'!A:F,4,0)</f>
        <v>0</v>
      </c>
      <c r="DO46" s="213"/>
      <c r="DP46" s="232"/>
      <c r="DQ46" s="232"/>
      <c r="DR46" s="232"/>
      <c r="DS46" s="232"/>
      <c r="DT46" s="232"/>
      <c r="DU46" s="231">
        <f>VLOOKUP(E46,'KPI Count-SHARE'!A:F,5,0)</f>
        <v>0</v>
      </c>
      <c r="DV46" s="213"/>
      <c r="DW46" s="232"/>
      <c r="DX46" s="232"/>
      <c r="DY46" s="232"/>
      <c r="DZ46" s="232"/>
      <c r="EA46" s="232"/>
      <c r="EB46" s="231">
        <f>VLOOKUP(E46,'KPI Count-SHARE'!A:F,6,0)</f>
        <v>0</v>
      </c>
      <c r="EC46" s="213"/>
      <c r="ED46" s="232"/>
      <c r="EE46" s="232"/>
      <c r="EF46" s="232"/>
      <c r="EG46" s="232"/>
      <c r="EH46" s="232"/>
      <c r="EI46" s="233" t="str">
        <f t="shared" si="312"/>
        <v>FTE per USD '000</v>
      </c>
      <c r="EJ46" s="237">
        <f t="shared" si="313"/>
        <v>6.0637758925006236E-5</v>
      </c>
      <c r="EK46" s="237">
        <f t="shared" si="314"/>
        <v>4.8225041415290156E-5</v>
      </c>
      <c r="EL46" s="237">
        <f t="shared" si="314"/>
        <v>8.4342292418983626E-5</v>
      </c>
      <c r="EM46" s="237">
        <f t="shared" si="314"/>
        <v>8.4795256474266091E-5</v>
      </c>
      <c r="EN46" s="237" t="str">
        <f t="shared" si="314"/>
        <v>-</v>
      </c>
      <c r="EO46" s="237" t="str">
        <f t="shared" si="314"/>
        <v>-</v>
      </c>
      <c r="EP46" s="237" t="str">
        <f t="shared" si="314"/>
        <v>-</v>
      </c>
      <c r="EQ46" s="237" t="str">
        <f t="shared" si="314"/>
        <v>-</v>
      </c>
      <c r="ER46" s="237" t="str">
        <f t="shared" si="314"/>
        <v>-</v>
      </c>
      <c r="ES46" s="237" t="str">
        <f t="shared" si="314"/>
        <v>-</v>
      </c>
      <c r="ET46" s="237" t="str">
        <f t="shared" si="314"/>
        <v>-</v>
      </c>
      <c r="EU46" s="237" t="str">
        <f t="shared" si="315"/>
        <v>-</v>
      </c>
      <c r="EV46" s="237" t="str">
        <f t="shared" si="315"/>
        <v>-</v>
      </c>
      <c r="EW46" s="237" t="str">
        <f t="shared" si="315"/>
        <v>-</v>
      </c>
      <c r="EX46" s="237" t="str">
        <f t="shared" si="315"/>
        <v>-</v>
      </c>
      <c r="EY46" s="237" t="str">
        <f t="shared" si="315"/>
        <v>-</v>
      </c>
      <c r="EZ46" s="237" t="str">
        <f t="shared" si="315"/>
        <v>-</v>
      </c>
      <c r="FA46" s="237" t="str">
        <f t="shared" si="315"/>
        <v>-</v>
      </c>
      <c r="FB46" s="237" t="str">
        <f t="shared" si="315"/>
        <v>-</v>
      </c>
      <c r="FC46" s="237" t="str">
        <f t="shared" si="315"/>
        <v>-</v>
      </c>
      <c r="FD46" s="237" t="str">
        <f t="shared" si="315"/>
        <v>-</v>
      </c>
      <c r="FE46" s="237" t="str">
        <f t="shared" si="316"/>
        <v>-</v>
      </c>
      <c r="FF46" s="237" t="str">
        <f t="shared" si="316"/>
        <v>-</v>
      </c>
      <c r="FG46" s="237" t="str">
        <f t="shared" si="316"/>
        <v>-</v>
      </c>
      <c r="FH46" s="237" t="str">
        <f t="shared" si="316"/>
        <v>-</v>
      </c>
      <c r="FI46" s="237" t="str">
        <f t="shared" si="316"/>
        <v>-</v>
      </c>
      <c r="FJ46" s="237" t="str">
        <f t="shared" si="316"/>
        <v>-</v>
      </c>
      <c r="FK46" s="237" t="str">
        <f t="shared" si="316"/>
        <v>-</v>
      </c>
      <c r="FL46" s="237" t="str">
        <f t="shared" si="316"/>
        <v>-</v>
      </c>
      <c r="FM46" s="237" t="str">
        <f t="shared" si="316"/>
        <v>-</v>
      </c>
      <c r="FN46" s="237" t="str">
        <f t="shared" si="316"/>
        <v>-</v>
      </c>
      <c r="FO46" s="237" t="str">
        <f t="shared" si="317"/>
        <v>-</v>
      </c>
      <c r="FP46" s="237" t="str">
        <f t="shared" si="317"/>
        <v>-</v>
      </c>
      <c r="FQ46" s="237" t="str">
        <f t="shared" si="317"/>
        <v>-</v>
      </c>
      <c r="FR46" s="237" t="str">
        <f t="shared" si="317"/>
        <v>-</v>
      </c>
      <c r="FS46" s="237" t="str">
        <f t="shared" si="317"/>
        <v>-</v>
      </c>
      <c r="FT46" s="237" t="str">
        <f t="shared" si="317"/>
        <v>-</v>
      </c>
      <c r="FU46" s="237" t="str">
        <f t="shared" si="317"/>
        <v>-</v>
      </c>
      <c r="FV46" s="237" t="str">
        <f t="shared" si="317"/>
        <v>-</v>
      </c>
      <c r="FW46" s="237" t="str">
        <f t="shared" si="317"/>
        <v>-</v>
      </c>
      <c r="FX46" s="237" t="str">
        <f t="shared" si="317"/>
        <v>-</v>
      </c>
      <c r="FY46" s="237" t="str">
        <f t="shared" si="318"/>
        <v>-</v>
      </c>
      <c r="FZ46" s="237" t="str">
        <f t="shared" si="318"/>
        <v>-</v>
      </c>
      <c r="GA46" s="237" t="str">
        <f t="shared" si="318"/>
        <v>-</v>
      </c>
      <c r="GB46" s="237" t="str">
        <f t="shared" si="318"/>
        <v>-</v>
      </c>
      <c r="GC46" s="237" t="str">
        <f t="shared" si="318"/>
        <v>-</v>
      </c>
      <c r="GD46" s="237" t="str">
        <f t="shared" si="318"/>
        <v>-</v>
      </c>
      <c r="GE46" s="237" t="str">
        <f t="shared" si="318"/>
        <v>-</v>
      </c>
      <c r="GF46" s="237" t="str">
        <f t="shared" si="318"/>
        <v>-</v>
      </c>
      <c r="GG46" s="237" t="str">
        <f t="shared" si="318"/>
        <v>-</v>
      </c>
      <c r="GH46" s="237" t="str">
        <f t="shared" si="318"/>
        <v>-</v>
      </c>
      <c r="GI46" s="237" t="str">
        <f t="shared" si="319"/>
        <v>-</v>
      </c>
      <c r="GJ46" s="237" t="str">
        <f t="shared" si="319"/>
        <v>-</v>
      </c>
      <c r="GK46" s="237" t="str">
        <f t="shared" si="319"/>
        <v>-</v>
      </c>
      <c r="GL46" s="237" t="str">
        <f t="shared" si="319"/>
        <v>-</v>
      </c>
      <c r="GM46" s="237" t="str">
        <f t="shared" si="319"/>
        <v>-</v>
      </c>
      <c r="GN46" s="237" t="str">
        <f t="shared" si="319"/>
        <v>-</v>
      </c>
      <c r="GO46" s="237" t="str">
        <f t="shared" si="319"/>
        <v>-</v>
      </c>
      <c r="GP46" s="237" t="str">
        <f t="shared" si="319"/>
        <v>-</v>
      </c>
      <c r="GQ46" s="237" t="str">
        <f t="shared" si="319"/>
        <v>-</v>
      </c>
      <c r="GR46" s="237" t="str">
        <f t="shared" si="319"/>
        <v>-</v>
      </c>
      <c r="GS46" s="237" t="str">
        <f t="shared" si="320"/>
        <v>-</v>
      </c>
      <c r="GT46" s="237" t="str">
        <f t="shared" si="320"/>
        <v>-</v>
      </c>
      <c r="GU46" s="237" t="str">
        <f t="shared" si="320"/>
        <v>-</v>
      </c>
      <c r="GV46" s="237" t="str">
        <f t="shared" si="320"/>
        <v>-</v>
      </c>
      <c r="GW46" s="237" t="str">
        <f t="shared" si="320"/>
        <v>-</v>
      </c>
      <c r="GX46" s="237" t="str">
        <f t="shared" si="320"/>
        <v>-</v>
      </c>
      <c r="GY46" s="237" t="str">
        <f t="shared" si="320"/>
        <v>-</v>
      </c>
      <c r="GZ46" s="237" t="str">
        <f t="shared" si="320"/>
        <v>-</v>
      </c>
      <c r="HA46" s="237" t="str">
        <f t="shared" si="320"/>
        <v>-</v>
      </c>
      <c r="HB46" s="237" t="str">
        <f t="shared" si="320"/>
        <v>-</v>
      </c>
      <c r="HC46" s="237" t="str">
        <f t="shared" si="321"/>
        <v>-</v>
      </c>
      <c r="HD46" s="237" t="str">
        <f t="shared" si="321"/>
        <v>-</v>
      </c>
      <c r="HE46" s="237" t="str">
        <f t="shared" si="321"/>
        <v>-</v>
      </c>
      <c r="HF46" s="237" t="str">
        <f t="shared" si="321"/>
        <v>-</v>
      </c>
      <c r="HG46" s="237" t="str">
        <f t="shared" si="321"/>
        <v>-</v>
      </c>
      <c r="HH46" s="237" t="str">
        <f t="shared" si="321"/>
        <v>-</v>
      </c>
      <c r="HI46" s="237" t="str">
        <f t="shared" si="321"/>
        <v>-</v>
      </c>
      <c r="HJ46" s="237" t="str">
        <f t="shared" si="321"/>
        <v>-</v>
      </c>
      <c r="HK46" s="237" t="str">
        <f t="shared" si="321"/>
        <v>-</v>
      </c>
      <c r="HL46" s="237" t="str">
        <f t="shared" si="321"/>
        <v>-</v>
      </c>
      <c r="HM46" s="237" t="str">
        <f t="shared" si="322"/>
        <v>-</v>
      </c>
      <c r="HN46" s="237" t="str">
        <f t="shared" si="322"/>
        <v>-</v>
      </c>
      <c r="HO46" s="237" t="str">
        <f t="shared" si="322"/>
        <v>-</v>
      </c>
      <c r="HP46" s="237" t="str">
        <f t="shared" si="322"/>
        <v>-</v>
      </c>
      <c r="HQ46" s="237" t="str">
        <f t="shared" si="322"/>
        <v>-</v>
      </c>
      <c r="HR46" s="237" t="str">
        <f t="shared" si="322"/>
        <v>-</v>
      </c>
      <c r="HS46" s="237" t="str">
        <f t="shared" si="322"/>
        <v>-</v>
      </c>
      <c r="HT46" s="237" t="str">
        <f t="shared" si="322"/>
        <v>-</v>
      </c>
      <c r="HU46" s="237" t="str">
        <f t="shared" si="322"/>
        <v>-</v>
      </c>
      <c r="HV46" s="237" t="str">
        <f t="shared" si="322"/>
        <v>-</v>
      </c>
      <c r="HW46" s="237" t="str">
        <f t="shared" si="323"/>
        <v>-</v>
      </c>
      <c r="HX46" s="237" t="str">
        <f t="shared" si="323"/>
        <v>-</v>
      </c>
      <c r="HY46" s="237" t="str">
        <f t="shared" si="323"/>
        <v>-</v>
      </c>
      <c r="HZ46" s="237" t="str">
        <f t="shared" si="323"/>
        <v>-</v>
      </c>
      <c r="IA46" s="237" t="str">
        <f t="shared" si="323"/>
        <v>-</v>
      </c>
      <c r="IB46" s="237" t="str">
        <f t="shared" si="323"/>
        <v>-</v>
      </c>
      <c r="IC46" s="237" t="str">
        <f t="shared" si="323"/>
        <v>-</v>
      </c>
      <c r="ID46" s="237" t="str">
        <f t="shared" si="323"/>
        <v>-</v>
      </c>
      <c r="IE46" s="237" t="str">
        <f t="shared" si="323"/>
        <v>-</v>
      </c>
      <c r="IF46" s="237" t="str">
        <f t="shared" si="323"/>
        <v>-</v>
      </c>
      <c r="IG46" s="312">
        <f t="shared" si="324"/>
        <v>1.0927565494261376E-4</v>
      </c>
      <c r="IH46" s="99">
        <f t="shared" si="325"/>
        <v>2.4325140719305024E-4</v>
      </c>
      <c r="II46" s="99">
        <f t="shared" si="326"/>
        <v>1.5167707684950033E-4</v>
      </c>
      <c r="IJ46" s="99">
        <f t="shared" si="327"/>
        <v>1.1485073635445919E-4</v>
      </c>
      <c r="IK46" s="99">
        <f t="shared" si="328"/>
        <v>2.0890741487695511E-5</v>
      </c>
      <c r="IL46" s="99">
        <f t="shared" si="329"/>
        <v>5.870605057260556E-6</v>
      </c>
      <c r="IM46" s="312" t="str">
        <f t="shared" si="330"/>
        <v/>
      </c>
      <c r="IN46" s="99" t="str">
        <f t="shared" si="331"/>
        <v/>
      </c>
      <c r="IO46" s="99" t="str">
        <f t="shared" si="332"/>
        <v/>
      </c>
      <c r="IP46" s="99" t="str">
        <f t="shared" si="333"/>
        <v/>
      </c>
      <c r="IQ46" s="99" t="str">
        <f t="shared" si="334"/>
        <v/>
      </c>
      <c r="IR46" s="99" t="str">
        <f t="shared" si="335"/>
        <v/>
      </c>
      <c r="IS46" s="312" t="str">
        <f t="shared" si="336"/>
        <v/>
      </c>
      <c r="IT46" s="99" t="str">
        <f t="shared" si="337"/>
        <v/>
      </c>
      <c r="IU46" s="99" t="str">
        <f t="shared" si="337"/>
        <v/>
      </c>
      <c r="IV46" s="99" t="str">
        <f t="shared" si="337"/>
        <v/>
      </c>
      <c r="IW46" s="99" t="str">
        <f t="shared" si="337"/>
        <v/>
      </c>
      <c r="IX46" s="99" t="str">
        <f t="shared" si="337"/>
        <v/>
      </c>
      <c r="IY46" s="312" t="str">
        <f t="shared" si="338"/>
        <v/>
      </c>
      <c r="IZ46" s="99" t="str">
        <f t="shared" si="339"/>
        <v/>
      </c>
      <c r="JA46" s="99" t="str">
        <f t="shared" si="339"/>
        <v/>
      </c>
      <c r="JB46" s="99" t="str">
        <f t="shared" si="339"/>
        <v/>
      </c>
      <c r="JC46" s="99" t="str">
        <f t="shared" si="339"/>
        <v/>
      </c>
      <c r="JD46" s="313" t="str">
        <f t="shared" si="339"/>
        <v/>
      </c>
      <c r="JF46" s="66">
        <f t="shared" si="224"/>
        <v>46</v>
      </c>
      <c r="JG46" s="171">
        <f t="shared" ca="1" si="340"/>
        <v>1.5167707684950033E-4</v>
      </c>
      <c r="JH46" s="171">
        <f t="shared" ca="1" si="341"/>
        <v>1.1485073635445919E-4</v>
      </c>
      <c r="JI46" s="171">
        <f t="shared" ca="1" si="342"/>
        <v>2.0890741487695511E-5</v>
      </c>
      <c r="JJ46" s="171">
        <f t="shared" ca="1" si="343"/>
        <v>14</v>
      </c>
      <c r="JK46" s="162"/>
      <c r="JL46" s="165">
        <f t="shared" ca="1" si="121"/>
        <v>1.5167707684950033E-4</v>
      </c>
      <c r="JM46" s="166">
        <f t="shared" ca="1" si="310"/>
        <v>1.3326390660197977E-4</v>
      </c>
      <c r="JN46" s="166">
        <f t="shared" ca="1" si="311"/>
        <v>6.787073892107736E-5</v>
      </c>
      <c r="JO46" s="165">
        <f t="shared" ca="1" si="122"/>
        <v>2.0890741487695511E-5</v>
      </c>
      <c r="JP46" s="173">
        <f t="shared" ca="1" si="123"/>
        <v>3.7370246386025295E-4</v>
      </c>
    </row>
    <row r="47" spans="1:276" s="163" customFormat="1" x14ac:dyDescent="0.35">
      <c r="A47" s="125">
        <v>0</v>
      </c>
      <c r="B47" s="125">
        <v>0</v>
      </c>
      <c r="C47" s="125">
        <v>1</v>
      </c>
      <c r="E47" s="142" t="s">
        <v>82</v>
      </c>
      <c r="F47" s="227" t="s">
        <v>83</v>
      </c>
      <c r="G47" s="228" t="s">
        <v>540</v>
      </c>
      <c r="H47" s="229" t="s">
        <v>543</v>
      </c>
      <c r="I47" s="8" t="s">
        <v>544</v>
      </c>
      <c r="J47" s="211">
        <v>7.2261544513967261E-6</v>
      </c>
      <c r="K47" s="230">
        <v>7.8529622887624428E-6</v>
      </c>
      <c r="L47" s="230" t="s">
        <v>805</v>
      </c>
      <c r="M47" s="230">
        <v>2.7221591163488312E-5</v>
      </c>
      <c r="N47" s="230" t="s">
        <v>805</v>
      </c>
      <c r="O47" s="230" t="s">
        <v>805</v>
      </c>
      <c r="P47" s="230" t="s">
        <v>805</v>
      </c>
      <c r="Q47" s="230" t="s">
        <v>805</v>
      </c>
      <c r="R47" s="230" t="s">
        <v>805</v>
      </c>
      <c r="S47" s="230" t="s">
        <v>805</v>
      </c>
      <c r="T47" s="230" t="s">
        <v>805</v>
      </c>
      <c r="U47" s="230" t="s">
        <v>805</v>
      </c>
      <c r="V47" s="230" t="s">
        <v>805</v>
      </c>
      <c r="W47" s="230" t="s">
        <v>805</v>
      </c>
      <c r="X47" s="230" t="s">
        <v>805</v>
      </c>
      <c r="Y47" s="230" t="s">
        <v>805</v>
      </c>
      <c r="Z47" s="230" t="s">
        <v>805</v>
      </c>
      <c r="AA47" s="230" t="s">
        <v>805</v>
      </c>
      <c r="AB47" s="230" t="s">
        <v>805</v>
      </c>
      <c r="AC47" s="230" t="s">
        <v>805</v>
      </c>
      <c r="AD47" s="230" t="s">
        <v>805</v>
      </c>
      <c r="AE47" s="230" t="s">
        <v>805</v>
      </c>
      <c r="AF47" s="230" t="s">
        <v>805</v>
      </c>
      <c r="AG47" s="230" t="s">
        <v>805</v>
      </c>
      <c r="AH47" s="230" t="s">
        <v>805</v>
      </c>
      <c r="AI47" s="230" t="s">
        <v>805</v>
      </c>
      <c r="AJ47" s="230" t="s">
        <v>805</v>
      </c>
      <c r="AK47" s="230" t="s">
        <v>805</v>
      </c>
      <c r="AL47" s="230" t="s">
        <v>805</v>
      </c>
      <c r="AM47" s="230" t="s">
        <v>805</v>
      </c>
      <c r="AN47" s="230" t="s">
        <v>805</v>
      </c>
      <c r="AO47" s="230" t="s">
        <v>805</v>
      </c>
      <c r="AP47" s="230" t="s">
        <v>805</v>
      </c>
      <c r="AQ47" s="230" t="s">
        <v>805</v>
      </c>
      <c r="AR47" s="230" t="s">
        <v>805</v>
      </c>
      <c r="AS47" s="230" t="s">
        <v>805</v>
      </c>
      <c r="AT47" s="230" t="s">
        <v>805</v>
      </c>
      <c r="AU47" s="230" t="s">
        <v>805</v>
      </c>
      <c r="AV47" s="230" t="s">
        <v>805</v>
      </c>
      <c r="AW47" s="230" t="s">
        <v>805</v>
      </c>
      <c r="AX47" s="230" t="s">
        <v>805</v>
      </c>
      <c r="AY47" s="230" t="s">
        <v>805</v>
      </c>
      <c r="AZ47" s="230" t="s">
        <v>805</v>
      </c>
      <c r="BA47" s="230" t="s">
        <v>805</v>
      </c>
      <c r="BB47" s="230" t="s">
        <v>805</v>
      </c>
      <c r="BC47" s="230" t="s">
        <v>805</v>
      </c>
      <c r="BD47" s="230" t="s">
        <v>805</v>
      </c>
      <c r="BE47" s="230" t="s">
        <v>805</v>
      </c>
      <c r="BF47" s="230" t="s">
        <v>805</v>
      </c>
      <c r="BG47" s="230" t="s">
        <v>805</v>
      </c>
      <c r="BH47" s="230" t="s">
        <v>805</v>
      </c>
      <c r="BI47" s="230" t="s">
        <v>805</v>
      </c>
      <c r="BJ47" s="230" t="s">
        <v>805</v>
      </c>
      <c r="BK47" s="230" t="s">
        <v>805</v>
      </c>
      <c r="BL47" s="230" t="s">
        <v>805</v>
      </c>
      <c r="BM47" s="230" t="s">
        <v>805</v>
      </c>
      <c r="BN47" s="230" t="s">
        <v>805</v>
      </c>
      <c r="BO47" s="230" t="s">
        <v>805</v>
      </c>
      <c r="BP47" s="230" t="s">
        <v>805</v>
      </c>
      <c r="BQ47" s="230" t="s">
        <v>805</v>
      </c>
      <c r="BR47" s="230" t="s">
        <v>805</v>
      </c>
      <c r="BS47" s="230" t="s">
        <v>805</v>
      </c>
      <c r="BT47" s="230" t="s">
        <v>805</v>
      </c>
      <c r="BU47" s="230" t="s">
        <v>805</v>
      </c>
      <c r="BV47" s="230" t="s">
        <v>805</v>
      </c>
      <c r="BW47" s="230" t="s">
        <v>805</v>
      </c>
      <c r="BX47" s="230" t="s">
        <v>805</v>
      </c>
      <c r="BY47" s="230" t="s">
        <v>805</v>
      </c>
      <c r="BZ47" s="230" t="s">
        <v>805</v>
      </c>
      <c r="CA47" s="230" t="s">
        <v>805</v>
      </c>
      <c r="CB47" s="230" t="s">
        <v>805</v>
      </c>
      <c r="CC47" s="230" t="s">
        <v>805</v>
      </c>
      <c r="CD47" s="230" t="s">
        <v>805</v>
      </c>
      <c r="CE47" s="230" t="s">
        <v>805</v>
      </c>
      <c r="CF47" s="230" t="s">
        <v>805</v>
      </c>
      <c r="CG47" s="230" t="s">
        <v>805</v>
      </c>
      <c r="CH47" s="230" t="s">
        <v>805</v>
      </c>
      <c r="CI47" s="230" t="s">
        <v>805</v>
      </c>
      <c r="CJ47" s="230" t="s">
        <v>805</v>
      </c>
      <c r="CK47" s="230" t="s">
        <v>805</v>
      </c>
      <c r="CL47" s="230" t="s">
        <v>805</v>
      </c>
      <c r="CM47" s="230" t="s">
        <v>805</v>
      </c>
      <c r="CN47" s="230" t="s">
        <v>805</v>
      </c>
      <c r="CO47" s="230" t="s">
        <v>805</v>
      </c>
      <c r="CP47" s="230" t="s">
        <v>805</v>
      </c>
      <c r="CQ47" s="230" t="s">
        <v>805</v>
      </c>
      <c r="CR47" s="230" t="s">
        <v>805</v>
      </c>
      <c r="CS47" s="230" t="s">
        <v>805</v>
      </c>
      <c r="CT47" s="230" t="s">
        <v>805</v>
      </c>
      <c r="CU47" s="230" t="s">
        <v>805</v>
      </c>
      <c r="CV47" s="230" t="s">
        <v>805</v>
      </c>
      <c r="CW47" s="230" t="s">
        <v>805</v>
      </c>
      <c r="CX47" s="230" t="s">
        <v>805</v>
      </c>
      <c r="CY47" s="230" t="s">
        <v>805</v>
      </c>
      <c r="CZ47" s="230" t="s">
        <v>805</v>
      </c>
      <c r="DA47" s="230" t="s">
        <v>805</v>
      </c>
      <c r="DB47" s="230" t="s">
        <v>805</v>
      </c>
      <c r="DC47" s="230" t="s">
        <v>805</v>
      </c>
      <c r="DD47" s="230" t="s">
        <v>805</v>
      </c>
      <c r="DE47" s="230" t="s">
        <v>805</v>
      </c>
      <c r="DF47" s="230" t="s">
        <v>805</v>
      </c>
      <c r="DG47" s="212">
        <f>VLOOKUP(E47,'KPI Count-SHARE'!A:F,3,0)</f>
        <v>3</v>
      </c>
      <c r="DH47" s="213">
        <v>6.7993297755736474E-5</v>
      </c>
      <c r="DI47" s="232">
        <v>1.1151290544340273E-4</v>
      </c>
      <c r="DJ47" s="232">
        <v>1.0131401876376029E-4</v>
      </c>
      <c r="DK47" s="232">
        <v>8.4315874297689525E-5</v>
      </c>
      <c r="DL47" s="232">
        <v>4.2833865018689173E-5</v>
      </c>
      <c r="DM47" s="232">
        <v>1.7944659451288958E-5</v>
      </c>
      <c r="DN47" s="231">
        <f>VLOOKUP(E47,'KPI Count-SHARE'!A:F,4,0)</f>
        <v>0</v>
      </c>
      <c r="DO47" s="213"/>
      <c r="DP47" s="232"/>
      <c r="DQ47" s="232"/>
      <c r="DR47" s="232"/>
      <c r="DS47" s="232"/>
      <c r="DT47" s="232"/>
      <c r="DU47" s="231">
        <f>VLOOKUP(E47,'KPI Count-SHARE'!A:F,5,0)</f>
        <v>0</v>
      </c>
      <c r="DV47" s="213"/>
      <c r="DW47" s="232"/>
      <c r="DX47" s="232"/>
      <c r="DY47" s="232"/>
      <c r="DZ47" s="232"/>
      <c r="EA47" s="232"/>
      <c r="EB47" s="231">
        <f>VLOOKUP(E47,'KPI Count-SHARE'!A:F,6,0)</f>
        <v>0</v>
      </c>
      <c r="EC47" s="213"/>
      <c r="ED47" s="232"/>
      <c r="EE47" s="232"/>
      <c r="EF47" s="232"/>
      <c r="EG47" s="232"/>
      <c r="EH47" s="232"/>
      <c r="EI47" s="233" t="str">
        <f t="shared" si="312"/>
        <v>FTE per USD '000</v>
      </c>
      <c r="EJ47" s="237">
        <f t="shared" si="313"/>
        <v>6.4312774617430859E-6</v>
      </c>
      <c r="EK47" s="237">
        <f t="shared" si="314"/>
        <v>6.9891364369985732E-6</v>
      </c>
      <c r="EL47" s="237" t="str">
        <f t="shared" si="314"/>
        <v>-</v>
      </c>
      <c r="EM47" s="237">
        <f t="shared" si="314"/>
        <v>2.4227216135504595E-5</v>
      </c>
      <c r="EN47" s="237" t="str">
        <f t="shared" si="314"/>
        <v>-</v>
      </c>
      <c r="EO47" s="237" t="str">
        <f t="shared" si="314"/>
        <v>-</v>
      </c>
      <c r="EP47" s="237" t="str">
        <f t="shared" si="314"/>
        <v>-</v>
      </c>
      <c r="EQ47" s="237" t="str">
        <f t="shared" si="314"/>
        <v>-</v>
      </c>
      <c r="ER47" s="237" t="str">
        <f t="shared" si="314"/>
        <v>-</v>
      </c>
      <c r="ES47" s="237" t="str">
        <f t="shared" si="314"/>
        <v>-</v>
      </c>
      <c r="ET47" s="237" t="str">
        <f t="shared" si="314"/>
        <v>-</v>
      </c>
      <c r="EU47" s="237" t="str">
        <f t="shared" si="315"/>
        <v>-</v>
      </c>
      <c r="EV47" s="237" t="str">
        <f t="shared" si="315"/>
        <v>-</v>
      </c>
      <c r="EW47" s="237" t="str">
        <f t="shared" si="315"/>
        <v>-</v>
      </c>
      <c r="EX47" s="237" t="str">
        <f t="shared" si="315"/>
        <v>-</v>
      </c>
      <c r="EY47" s="237" t="str">
        <f t="shared" si="315"/>
        <v>-</v>
      </c>
      <c r="EZ47" s="237" t="str">
        <f t="shared" si="315"/>
        <v>-</v>
      </c>
      <c r="FA47" s="237" t="str">
        <f t="shared" si="315"/>
        <v>-</v>
      </c>
      <c r="FB47" s="237" t="str">
        <f t="shared" si="315"/>
        <v>-</v>
      </c>
      <c r="FC47" s="237" t="str">
        <f t="shared" si="315"/>
        <v>-</v>
      </c>
      <c r="FD47" s="237" t="str">
        <f t="shared" si="315"/>
        <v>-</v>
      </c>
      <c r="FE47" s="237" t="str">
        <f t="shared" si="316"/>
        <v>-</v>
      </c>
      <c r="FF47" s="237" t="str">
        <f t="shared" si="316"/>
        <v>-</v>
      </c>
      <c r="FG47" s="237" t="str">
        <f t="shared" si="316"/>
        <v>-</v>
      </c>
      <c r="FH47" s="237" t="str">
        <f t="shared" si="316"/>
        <v>-</v>
      </c>
      <c r="FI47" s="237" t="str">
        <f t="shared" si="316"/>
        <v>-</v>
      </c>
      <c r="FJ47" s="237" t="str">
        <f t="shared" si="316"/>
        <v>-</v>
      </c>
      <c r="FK47" s="237" t="str">
        <f t="shared" si="316"/>
        <v>-</v>
      </c>
      <c r="FL47" s="237" t="str">
        <f t="shared" si="316"/>
        <v>-</v>
      </c>
      <c r="FM47" s="237" t="str">
        <f t="shared" si="316"/>
        <v>-</v>
      </c>
      <c r="FN47" s="237" t="str">
        <f t="shared" si="316"/>
        <v>-</v>
      </c>
      <c r="FO47" s="237" t="str">
        <f t="shared" si="317"/>
        <v>-</v>
      </c>
      <c r="FP47" s="237" t="str">
        <f t="shared" si="317"/>
        <v>-</v>
      </c>
      <c r="FQ47" s="237" t="str">
        <f t="shared" si="317"/>
        <v>-</v>
      </c>
      <c r="FR47" s="237" t="str">
        <f t="shared" si="317"/>
        <v>-</v>
      </c>
      <c r="FS47" s="237" t="str">
        <f t="shared" si="317"/>
        <v>-</v>
      </c>
      <c r="FT47" s="237" t="str">
        <f t="shared" si="317"/>
        <v>-</v>
      </c>
      <c r="FU47" s="237" t="str">
        <f t="shared" si="317"/>
        <v>-</v>
      </c>
      <c r="FV47" s="237" t="str">
        <f t="shared" si="317"/>
        <v>-</v>
      </c>
      <c r="FW47" s="237" t="str">
        <f t="shared" si="317"/>
        <v>-</v>
      </c>
      <c r="FX47" s="237" t="str">
        <f t="shared" si="317"/>
        <v>-</v>
      </c>
      <c r="FY47" s="237" t="str">
        <f t="shared" si="318"/>
        <v>-</v>
      </c>
      <c r="FZ47" s="237" t="str">
        <f t="shared" si="318"/>
        <v>-</v>
      </c>
      <c r="GA47" s="237" t="str">
        <f t="shared" si="318"/>
        <v>-</v>
      </c>
      <c r="GB47" s="237" t="str">
        <f t="shared" si="318"/>
        <v>-</v>
      </c>
      <c r="GC47" s="237" t="str">
        <f t="shared" si="318"/>
        <v>-</v>
      </c>
      <c r="GD47" s="237" t="str">
        <f t="shared" si="318"/>
        <v>-</v>
      </c>
      <c r="GE47" s="237" t="str">
        <f t="shared" si="318"/>
        <v>-</v>
      </c>
      <c r="GF47" s="237" t="str">
        <f t="shared" si="318"/>
        <v>-</v>
      </c>
      <c r="GG47" s="237" t="str">
        <f t="shared" si="318"/>
        <v>-</v>
      </c>
      <c r="GH47" s="237" t="str">
        <f t="shared" si="318"/>
        <v>-</v>
      </c>
      <c r="GI47" s="237" t="str">
        <f t="shared" si="319"/>
        <v>-</v>
      </c>
      <c r="GJ47" s="237" t="str">
        <f t="shared" si="319"/>
        <v>-</v>
      </c>
      <c r="GK47" s="237" t="str">
        <f t="shared" si="319"/>
        <v>-</v>
      </c>
      <c r="GL47" s="237" t="str">
        <f t="shared" si="319"/>
        <v>-</v>
      </c>
      <c r="GM47" s="237" t="str">
        <f t="shared" si="319"/>
        <v>-</v>
      </c>
      <c r="GN47" s="237" t="str">
        <f t="shared" si="319"/>
        <v>-</v>
      </c>
      <c r="GO47" s="237" t="str">
        <f t="shared" si="319"/>
        <v>-</v>
      </c>
      <c r="GP47" s="237" t="str">
        <f t="shared" si="319"/>
        <v>-</v>
      </c>
      <c r="GQ47" s="237" t="str">
        <f t="shared" si="319"/>
        <v>-</v>
      </c>
      <c r="GR47" s="237" t="str">
        <f t="shared" si="319"/>
        <v>-</v>
      </c>
      <c r="GS47" s="237" t="str">
        <f t="shared" si="320"/>
        <v>-</v>
      </c>
      <c r="GT47" s="237" t="str">
        <f t="shared" si="320"/>
        <v>-</v>
      </c>
      <c r="GU47" s="237" t="str">
        <f t="shared" si="320"/>
        <v>-</v>
      </c>
      <c r="GV47" s="237" t="str">
        <f t="shared" si="320"/>
        <v>-</v>
      </c>
      <c r="GW47" s="237" t="str">
        <f t="shared" si="320"/>
        <v>-</v>
      </c>
      <c r="GX47" s="237" t="str">
        <f t="shared" si="320"/>
        <v>-</v>
      </c>
      <c r="GY47" s="237" t="str">
        <f t="shared" si="320"/>
        <v>-</v>
      </c>
      <c r="GZ47" s="237" t="str">
        <f t="shared" si="320"/>
        <v>-</v>
      </c>
      <c r="HA47" s="237" t="str">
        <f t="shared" si="320"/>
        <v>-</v>
      </c>
      <c r="HB47" s="237" t="str">
        <f t="shared" si="320"/>
        <v>-</v>
      </c>
      <c r="HC47" s="237" t="str">
        <f t="shared" si="321"/>
        <v>-</v>
      </c>
      <c r="HD47" s="237" t="str">
        <f t="shared" si="321"/>
        <v>-</v>
      </c>
      <c r="HE47" s="237" t="str">
        <f t="shared" si="321"/>
        <v>-</v>
      </c>
      <c r="HF47" s="237" t="str">
        <f t="shared" si="321"/>
        <v>-</v>
      </c>
      <c r="HG47" s="237" t="str">
        <f t="shared" si="321"/>
        <v>-</v>
      </c>
      <c r="HH47" s="237" t="str">
        <f t="shared" si="321"/>
        <v>-</v>
      </c>
      <c r="HI47" s="237" t="str">
        <f t="shared" si="321"/>
        <v>-</v>
      </c>
      <c r="HJ47" s="237" t="str">
        <f t="shared" si="321"/>
        <v>-</v>
      </c>
      <c r="HK47" s="237" t="str">
        <f t="shared" si="321"/>
        <v>-</v>
      </c>
      <c r="HL47" s="237" t="str">
        <f t="shared" si="321"/>
        <v>-</v>
      </c>
      <c r="HM47" s="237" t="str">
        <f t="shared" si="322"/>
        <v>-</v>
      </c>
      <c r="HN47" s="237" t="str">
        <f t="shared" si="322"/>
        <v>-</v>
      </c>
      <c r="HO47" s="237" t="str">
        <f t="shared" si="322"/>
        <v>-</v>
      </c>
      <c r="HP47" s="237" t="str">
        <f t="shared" si="322"/>
        <v>-</v>
      </c>
      <c r="HQ47" s="237" t="str">
        <f t="shared" si="322"/>
        <v>-</v>
      </c>
      <c r="HR47" s="237" t="str">
        <f t="shared" si="322"/>
        <v>-</v>
      </c>
      <c r="HS47" s="237" t="str">
        <f t="shared" si="322"/>
        <v>-</v>
      </c>
      <c r="HT47" s="237" t="str">
        <f t="shared" si="322"/>
        <v>-</v>
      </c>
      <c r="HU47" s="237" t="str">
        <f t="shared" si="322"/>
        <v>-</v>
      </c>
      <c r="HV47" s="237" t="str">
        <f t="shared" si="322"/>
        <v>-</v>
      </c>
      <c r="HW47" s="237" t="str">
        <f t="shared" si="323"/>
        <v>-</v>
      </c>
      <c r="HX47" s="237" t="str">
        <f t="shared" si="323"/>
        <v>-</v>
      </c>
      <c r="HY47" s="237" t="str">
        <f t="shared" si="323"/>
        <v>-</v>
      </c>
      <c r="HZ47" s="237" t="str">
        <f t="shared" si="323"/>
        <v>-</v>
      </c>
      <c r="IA47" s="237" t="str">
        <f t="shared" si="323"/>
        <v>-</v>
      </c>
      <c r="IB47" s="237" t="str">
        <f t="shared" si="323"/>
        <v>-</v>
      </c>
      <c r="IC47" s="237" t="str">
        <f t="shared" si="323"/>
        <v>-</v>
      </c>
      <c r="ID47" s="237" t="str">
        <f t="shared" si="323"/>
        <v>-</v>
      </c>
      <c r="IE47" s="237" t="str">
        <f t="shared" si="323"/>
        <v>-</v>
      </c>
      <c r="IF47" s="237" t="str">
        <f t="shared" si="323"/>
        <v>-</v>
      </c>
      <c r="IG47" s="312">
        <f t="shared" si="324"/>
        <v>6.0514035002605459E-5</v>
      </c>
      <c r="IH47" s="99">
        <f t="shared" si="325"/>
        <v>9.9246485844628422E-5</v>
      </c>
      <c r="II47" s="99">
        <f t="shared" si="326"/>
        <v>9.0169476699746649E-5</v>
      </c>
      <c r="IJ47" s="99">
        <f t="shared" si="327"/>
        <v>7.5041128124943667E-5</v>
      </c>
      <c r="IK47" s="99">
        <f t="shared" si="328"/>
        <v>3.8122139866633363E-5</v>
      </c>
      <c r="IL47" s="99">
        <f t="shared" si="329"/>
        <v>1.597074691164717E-5</v>
      </c>
      <c r="IM47" s="312" t="str">
        <f t="shared" si="330"/>
        <v/>
      </c>
      <c r="IN47" s="99" t="str">
        <f t="shared" si="331"/>
        <v/>
      </c>
      <c r="IO47" s="99" t="str">
        <f t="shared" si="332"/>
        <v/>
      </c>
      <c r="IP47" s="99" t="str">
        <f t="shared" si="333"/>
        <v/>
      </c>
      <c r="IQ47" s="99" t="str">
        <f t="shared" si="334"/>
        <v/>
      </c>
      <c r="IR47" s="99" t="str">
        <f t="shared" si="335"/>
        <v/>
      </c>
      <c r="IS47" s="312" t="str">
        <f t="shared" si="336"/>
        <v/>
      </c>
      <c r="IT47" s="99" t="str">
        <f t="shared" si="337"/>
        <v/>
      </c>
      <c r="IU47" s="99" t="str">
        <f t="shared" si="337"/>
        <v/>
      </c>
      <c r="IV47" s="99" t="str">
        <f t="shared" si="337"/>
        <v/>
      </c>
      <c r="IW47" s="99" t="str">
        <f t="shared" si="337"/>
        <v/>
      </c>
      <c r="IX47" s="99" t="str">
        <f t="shared" si="337"/>
        <v/>
      </c>
      <c r="IY47" s="312" t="str">
        <f t="shared" si="338"/>
        <v/>
      </c>
      <c r="IZ47" s="99" t="str">
        <f t="shared" si="339"/>
        <v/>
      </c>
      <c r="JA47" s="99" t="str">
        <f t="shared" si="339"/>
        <v/>
      </c>
      <c r="JB47" s="99" t="str">
        <f t="shared" si="339"/>
        <v/>
      </c>
      <c r="JC47" s="99" t="str">
        <f t="shared" si="339"/>
        <v/>
      </c>
      <c r="JD47" s="313" t="str">
        <f t="shared" si="339"/>
        <v/>
      </c>
      <c r="JF47" s="66">
        <f t="shared" si="224"/>
        <v>47</v>
      </c>
      <c r="JG47" s="171">
        <f t="shared" ca="1" si="340"/>
        <v>9.0169476699746649E-5</v>
      </c>
      <c r="JH47" s="171">
        <f t="shared" ca="1" si="341"/>
        <v>7.5041128124943667E-5</v>
      </c>
      <c r="JI47" s="171">
        <f t="shared" ca="1" si="342"/>
        <v>3.8122139866633363E-5</v>
      </c>
      <c r="JJ47" s="171">
        <f t="shared" ca="1" si="343"/>
        <v>3</v>
      </c>
      <c r="JK47" s="162"/>
      <c r="JL47" s="165">
        <f t="shared" ca="1" si="121"/>
        <v>9.0169476699746649E-5</v>
      </c>
      <c r="JM47" s="166">
        <f t="shared" ca="1" si="310"/>
        <v>8.2605302412345165E-5</v>
      </c>
      <c r="JN47" s="166">
        <f t="shared" ca="1" si="311"/>
        <v>5.6581633995788518E-5</v>
      </c>
      <c r="JO47" s="165">
        <f t="shared" ca="1" si="122"/>
        <v>3.8122139866633363E-5</v>
      </c>
      <c r="JP47" s="173">
        <f t="shared" ca="1" si="123"/>
        <v>2.674785529745137E-4</v>
      </c>
    </row>
    <row r="48" spans="1:276" s="163" customFormat="1" x14ac:dyDescent="0.35">
      <c r="A48" s="125">
        <v>0</v>
      </c>
      <c r="B48" s="125">
        <v>0</v>
      </c>
      <c r="C48" s="125">
        <v>1</v>
      </c>
      <c r="E48" s="142" t="s">
        <v>84</v>
      </c>
      <c r="F48" s="227" t="s">
        <v>85</v>
      </c>
      <c r="G48" s="228" t="s">
        <v>540</v>
      </c>
      <c r="H48" s="229" t="s">
        <v>543</v>
      </c>
      <c r="I48" s="8" t="s">
        <v>544</v>
      </c>
      <c r="J48" s="211">
        <v>1.4968462792178933E-5</v>
      </c>
      <c r="K48" s="230">
        <v>1.2564739662019908E-5</v>
      </c>
      <c r="L48" s="230">
        <v>1.9340126672548415E-5</v>
      </c>
      <c r="M48" s="230">
        <v>2.0416193372616235E-5</v>
      </c>
      <c r="N48" s="230" t="s">
        <v>805</v>
      </c>
      <c r="O48" s="230" t="s">
        <v>805</v>
      </c>
      <c r="P48" s="230" t="s">
        <v>805</v>
      </c>
      <c r="Q48" s="230" t="s">
        <v>805</v>
      </c>
      <c r="R48" s="230" t="s">
        <v>805</v>
      </c>
      <c r="S48" s="230" t="s">
        <v>805</v>
      </c>
      <c r="T48" s="230" t="s">
        <v>805</v>
      </c>
      <c r="U48" s="230" t="s">
        <v>805</v>
      </c>
      <c r="V48" s="230" t="s">
        <v>805</v>
      </c>
      <c r="W48" s="230" t="s">
        <v>805</v>
      </c>
      <c r="X48" s="230" t="s">
        <v>805</v>
      </c>
      <c r="Y48" s="230" t="s">
        <v>805</v>
      </c>
      <c r="Z48" s="230" t="s">
        <v>805</v>
      </c>
      <c r="AA48" s="230" t="s">
        <v>805</v>
      </c>
      <c r="AB48" s="230" t="s">
        <v>805</v>
      </c>
      <c r="AC48" s="230" t="s">
        <v>805</v>
      </c>
      <c r="AD48" s="230" t="s">
        <v>805</v>
      </c>
      <c r="AE48" s="230" t="s">
        <v>805</v>
      </c>
      <c r="AF48" s="230" t="s">
        <v>805</v>
      </c>
      <c r="AG48" s="230" t="s">
        <v>805</v>
      </c>
      <c r="AH48" s="230" t="s">
        <v>805</v>
      </c>
      <c r="AI48" s="230" t="s">
        <v>805</v>
      </c>
      <c r="AJ48" s="230" t="s">
        <v>805</v>
      </c>
      <c r="AK48" s="230" t="s">
        <v>805</v>
      </c>
      <c r="AL48" s="230" t="s">
        <v>805</v>
      </c>
      <c r="AM48" s="230" t="s">
        <v>805</v>
      </c>
      <c r="AN48" s="230" t="s">
        <v>805</v>
      </c>
      <c r="AO48" s="230" t="s">
        <v>805</v>
      </c>
      <c r="AP48" s="230" t="s">
        <v>805</v>
      </c>
      <c r="AQ48" s="230" t="s">
        <v>805</v>
      </c>
      <c r="AR48" s="230" t="s">
        <v>805</v>
      </c>
      <c r="AS48" s="230" t="s">
        <v>805</v>
      </c>
      <c r="AT48" s="230" t="s">
        <v>805</v>
      </c>
      <c r="AU48" s="230" t="s">
        <v>805</v>
      </c>
      <c r="AV48" s="230" t="s">
        <v>805</v>
      </c>
      <c r="AW48" s="230" t="s">
        <v>805</v>
      </c>
      <c r="AX48" s="230" t="s">
        <v>805</v>
      </c>
      <c r="AY48" s="230" t="s">
        <v>805</v>
      </c>
      <c r="AZ48" s="230" t="s">
        <v>805</v>
      </c>
      <c r="BA48" s="230" t="s">
        <v>805</v>
      </c>
      <c r="BB48" s="230" t="s">
        <v>805</v>
      </c>
      <c r="BC48" s="230" t="s">
        <v>805</v>
      </c>
      <c r="BD48" s="230" t="s">
        <v>805</v>
      </c>
      <c r="BE48" s="230" t="s">
        <v>805</v>
      </c>
      <c r="BF48" s="230" t="s">
        <v>805</v>
      </c>
      <c r="BG48" s="230" t="s">
        <v>805</v>
      </c>
      <c r="BH48" s="230" t="s">
        <v>805</v>
      </c>
      <c r="BI48" s="230" t="s">
        <v>805</v>
      </c>
      <c r="BJ48" s="230" t="s">
        <v>805</v>
      </c>
      <c r="BK48" s="230" t="s">
        <v>805</v>
      </c>
      <c r="BL48" s="230" t="s">
        <v>805</v>
      </c>
      <c r="BM48" s="230" t="s">
        <v>805</v>
      </c>
      <c r="BN48" s="230" t="s">
        <v>805</v>
      </c>
      <c r="BO48" s="230" t="s">
        <v>805</v>
      </c>
      <c r="BP48" s="230" t="s">
        <v>805</v>
      </c>
      <c r="BQ48" s="230" t="s">
        <v>805</v>
      </c>
      <c r="BR48" s="230" t="s">
        <v>805</v>
      </c>
      <c r="BS48" s="230" t="s">
        <v>805</v>
      </c>
      <c r="BT48" s="230" t="s">
        <v>805</v>
      </c>
      <c r="BU48" s="230" t="s">
        <v>805</v>
      </c>
      <c r="BV48" s="230" t="s">
        <v>805</v>
      </c>
      <c r="BW48" s="230" t="s">
        <v>805</v>
      </c>
      <c r="BX48" s="230" t="s">
        <v>805</v>
      </c>
      <c r="BY48" s="230" t="s">
        <v>805</v>
      </c>
      <c r="BZ48" s="230" t="s">
        <v>805</v>
      </c>
      <c r="CA48" s="230" t="s">
        <v>805</v>
      </c>
      <c r="CB48" s="230" t="s">
        <v>805</v>
      </c>
      <c r="CC48" s="230" t="s">
        <v>805</v>
      </c>
      <c r="CD48" s="230" t="s">
        <v>805</v>
      </c>
      <c r="CE48" s="230" t="s">
        <v>805</v>
      </c>
      <c r="CF48" s="230" t="s">
        <v>805</v>
      </c>
      <c r="CG48" s="230" t="s">
        <v>805</v>
      </c>
      <c r="CH48" s="230" t="s">
        <v>805</v>
      </c>
      <c r="CI48" s="230" t="s">
        <v>805</v>
      </c>
      <c r="CJ48" s="230" t="s">
        <v>805</v>
      </c>
      <c r="CK48" s="230" t="s">
        <v>805</v>
      </c>
      <c r="CL48" s="230" t="s">
        <v>805</v>
      </c>
      <c r="CM48" s="230" t="s">
        <v>805</v>
      </c>
      <c r="CN48" s="230" t="s">
        <v>805</v>
      </c>
      <c r="CO48" s="230" t="s">
        <v>805</v>
      </c>
      <c r="CP48" s="230" t="s">
        <v>805</v>
      </c>
      <c r="CQ48" s="230" t="s">
        <v>805</v>
      </c>
      <c r="CR48" s="230" t="s">
        <v>805</v>
      </c>
      <c r="CS48" s="230" t="s">
        <v>805</v>
      </c>
      <c r="CT48" s="230" t="s">
        <v>805</v>
      </c>
      <c r="CU48" s="230" t="s">
        <v>805</v>
      </c>
      <c r="CV48" s="230" t="s">
        <v>805</v>
      </c>
      <c r="CW48" s="230" t="s">
        <v>805</v>
      </c>
      <c r="CX48" s="230" t="s">
        <v>805</v>
      </c>
      <c r="CY48" s="230" t="s">
        <v>805</v>
      </c>
      <c r="CZ48" s="230" t="s">
        <v>805</v>
      </c>
      <c r="DA48" s="230" t="s">
        <v>805</v>
      </c>
      <c r="DB48" s="230" t="s">
        <v>805</v>
      </c>
      <c r="DC48" s="230" t="s">
        <v>805</v>
      </c>
      <c r="DD48" s="230" t="s">
        <v>805</v>
      </c>
      <c r="DE48" s="230" t="s">
        <v>805</v>
      </c>
      <c r="DF48" s="230" t="s">
        <v>805</v>
      </c>
      <c r="DG48" s="212">
        <f>VLOOKUP(E48,'KPI Count-SHARE'!A:F,3,0)</f>
        <v>1</v>
      </c>
      <c r="DH48" s="213">
        <v>1.2977815101012688E-5</v>
      </c>
      <c r="DI48" s="232">
        <v>1.2977815101012688E-5</v>
      </c>
      <c r="DJ48" s="232">
        <v>1.2977815101012688E-5</v>
      </c>
      <c r="DK48" s="232">
        <v>1.2977815101012688E-5</v>
      </c>
      <c r="DL48" s="232">
        <v>1.2977815101012688E-5</v>
      </c>
      <c r="DM48" s="232">
        <v>1.2977815101012688E-5</v>
      </c>
      <c r="DN48" s="231">
        <f>VLOOKUP(E48,'KPI Count-SHARE'!A:F,4,0)</f>
        <v>0</v>
      </c>
      <c r="DO48" s="213"/>
      <c r="DP48" s="232"/>
      <c r="DQ48" s="232"/>
      <c r="DR48" s="232"/>
      <c r="DS48" s="232"/>
      <c r="DT48" s="232"/>
      <c r="DU48" s="231">
        <f>VLOOKUP(E48,'KPI Count-SHARE'!A:F,5,0)</f>
        <v>0</v>
      </c>
      <c r="DV48" s="213"/>
      <c r="DW48" s="232"/>
      <c r="DX48" s="232"/>
      <c r="DY48" s="232"/>
      <c r="DZ48" s="232"/>
      <c r="EA48" s="232"/>
      <c r="EB48" s="231">
        <f>VLOOKUP(E48,'KPI Count-SHARE'!A:F,6,0)</f>
        <v>0</v>
      </c>
      <c r="EC48" s="213"/>
      <c r="ED48" s="232"/>
      <c r="EE48" s="232"/>
      <c r="EF48" s="232"/>
      <c r="EG48" s="232"/>
      <c r="EH48" s="232"/>
      <c r="EI48" s="233" t="str">
        <f t="shared" si="312"/>
        <v>FTE per USD '000</v>
      </c>
      <c r="EJ48" s="237">
        <f t="shared" si="313"/>
        <v>1.332193188503925E-5</v>
      </c>
      <c r="EK48" s="237">
        <f t="shared" si="314"/>
        <v>1.1182618299197717E-5</v>
      </c>
      <c r="EL48" s="237">
        <f t="shared" si="314"/>
        <v>1.721271273856809E-5</v>
      </c>
      <c r="EM48" s="237">
        <f t="shared" si="314"/>
        <v>1.8170412101628447E-5</v>
      </c>
      <c r="EN48" s="237" t="str">
        <f t="shared" si="314"/>
        <v>-</v>
      </c>
      <c r="EO48" s="237" t="str">
        <f t="shared" si="314"/>
        <v>-</v>
      </c>
      <c r="EP48" s="237" t="str">
        <f t="shared" si="314"/>
        <v>-</v>
      </c>
      <c r="EQ48" s="237" t="str">
        <f t="shared" si="314"/>
        <v>-</v>
      </c>
      <c r="ER48" s="237" t="str">
        <f t="shared" si="314"/>
        <v>-</v>
      </c>
      <c r="ES48" s="237" t="str">
        <f t="shared" si="314"/>
        <v>-</v>
      </c>
      <c r="ET48" s="237" t="str">
        <f t="shared" si="314"/>
        <v>-</v>
      </c>
      <c r="EU48" s="237" t="str">
        <f t="shared" si="315"/>
        <v>-</v>
      </c>
      <c r="EV48" s="237" t="str">
        <f t="shared" si="315"/>
        <v>-</v>
      </c>
      <c r="EW48" s="237" t="str">
        <f t="shared" si="315"/>
        <v>-</v>
      </c>
      <c r="EX48" s="237" t="str">
        <f t="shared" si="315"/>
        <v>-</v>
      </c>
      <c r="EY48" s="237" t="str">
        <f t="shared" si="315"/>
        <v>-</v>
      </c>
      <c r="EZ48" s="237" t="str">
        <f t="shared" si="315"/>
        <v>-</v>
      </c>
      <c r="FA48" s="237" t="str">
        <f t="shared" si="315"/>
        <v>-</v>
      </c>
      <c r="FB48" s="237" t="str">
        <f t="shared" si="315"/>
        <v>-</v>
      </c>
      <c r="FC48" s="237" t="str">
        <f t="shared" si="315"/>
        <v>-</v>
      </c>
      <c r="FD48" s="237" t="str">
        <f t="shared" si="315"/>
        <v>-</v>
      </c>
      <c r="FE48" s="237" t="str">
        <f t="shared" si="316"/>
        <v>-</v>
      </c>
      <c r="FF48" s="237" t="str">
        <f t="shared" si="316"/>
        <v>-</v>
      </c>
      <c r="FG48" s="237" t="str">
        <f t="shared" si="316"/>
        <v>-</v>
      </c>
      <c r="FH48" s="237" t="str">
        <f t="shared" si="316"/>
        <v>-</v>
      </c>
      <c r="FI48" s="237" t="str">
        <f t="shared" si="316"/>
        <v>-</v>
      </c>
      <c r="FJ48" s="237" t="str">
        <f t="shared" si="316"/>
        <v>-</v>
      </c>
      <c r="FK48" s="237" t="str">
        <f t="shared" si="316"/>
        <v>-</v>
      </c>
      <c r="FL48" s="237" t="str">
        <f t="shared" si="316"/>
        <v>-</v>
      </c>
      <c r="FM48" s="237" t="str">
        <f t="shared" si="316"/>
        <v>-</v>
      </c>
      <c r="FN48" s="237" t="str">
        <f t="shared" si="316"/>
        <v>-</v>
      </c>
      <c r="FO48" s="237" t="str">
        <f t="shared" si="317"/>
        <v>-</v>
      </c>
      <c r="FP48" s="237" t="str">
        <f t="shared" si="317"/>
        <v>-</v>
      </c>
      <c r="FQ48" s="237" t="str">
        <f t="shared" si="317"/>
        <v>-</v>
      </c>
      <c r="FR48" s="237" t="str">
        <f t="shared" si="317"/>
        <v>-</v>
      </c>
      <c r="FS48" s="237" t="str">
        <f t="shared" si="317"/>
        <v>-</v>
      </c>
      <c r="FT48" s="237" t="str">
        <f t="shared" si="317"/>
        <v>-</v>
      </c>
      <c r="FU48" s="237" t="str">
        <f t="shared" si="317"/>
        <v>-</v>
      </c>
      <c r="FV48" s="237" t="str">
        <f t="shared" si="317"/>
        <v>-</v>
      </c>
      <c r="FW48" s="237" t="str">
        <f t="shared" si="317"/>
        <v>-</v>
      </c>
      <c r="FX48" s="237" t="str">
        <f t="shared" si="317"/>
        <v>-</v>
      </c>
      <c r="FY48" s="237" t="str">
        <f t="shared" si="318"/>
        <v>-</v>
      </c>
      <c r="FZ48" s="237" t="str">
        <f t="shared" si="318"/>
        <v>-</v>
      </c>
      <c r="GA48" s="237" t="str">
        <f t="shared" si="318"/>
        <v>-</v>
      </c>
      <c r="GB48" s="237" t="str">
        <f t="shared" si="318"/>
        <v>-</v>
      </c>
      <c r="GC48" s="237" t="str">
        <f t="shared" si="318"/>
        <v>-</v>
      </c>
      <c r="GD48" s="237" t="str">
        <f t="shared" si="318"/>
        <v>-</v>
      </c>
      <c r="GE48" s="237" t="str">
        <f t="shared" si="318"/>
        <v>-</v>
      </c>
      <c r="GF48" s="237" t="str">
        <f t="shared" si="318"/>
        <v>-</v>
      </c>
      <c r="GG48" s="237" t="str">
        <f t="shared" si="318"/>
        <v>-</v>
      </c>
      <c r="GH48" s="237" t="str">
        <f t="shared" si="318"/>
        <v>-</v>
      </c>
      <c r="GI48" s="237" t="str">
        <f t="shared" si="319"/>
        <v>-</v>
      </c>
      <c r="GJ48" s="237" t="str">
        <f t="shared" si="319"/>
        <v>-</v>
      </c>
      <c r="GK48" s="237" t="str">
        <f t="shared" si="319"/>
        <v>-</v>
      </c>
      <c r="GL48" s="237" t="str">
        <f t="shared" si="319"/>
        <v>-</v>
      </c>
      <c r="GM48" s="237" t="str">
        <f t="shared" si="319"/>
        <v>-</v>
      </c>
      <c r="GN48" s="237" t="str">
        <f t="shared" si="319"/>
        <v>-</v>
      </c>
      <c r="GO48" s="237" t="str">
        <f t="shared" si="319"/>
        <v>-</v>
      </c>
      <c r="GP48" s="237" t="str">
        <f t="shared" si="319"/>
        <v>-</v>
      </c>
      <c r="GQ48" s="237" t="str">
        <f t="shared" si="319"/>
        <v>-</v>
      </c>
      <c r="GR48" s="237" t="str">
        <f t="shared" si="319"/>
        <v>-</v>
      </c>
      <c r="GS48" s="237" t="str">
        <f t="shared" si="320"/>
        <v>-</v>
      </c>
      <c r="GT48" s="237" t="str">
        <f t="shared" si="320"/>
        <v>-</v>
      </c>
      <c r="GU48" s="237" t="str">
        <f t="shared" si="320"/>
        <v>-</v>
      </c>
      <c r="GV48" s="237" t="str">
        <f t="shared" si="320"/>
        <v>-</v>
      </c>
      <c r="GW48" s="237" t="str">
        <f t="shared" si="320"/>
        <v>-</v>
      </c>
      <c r="GX48" s="237" t="str">
        <f t="shared" si="320"/>
        <v>-</v>
      </c>
      <c r="GY48" s="237" t="str">
        <f t="shared" si="320"/>
        <v>-</v>
      </c>
      <c r="GZ48" s="237" t="str">
        <f t="shared" si="320"/>
        <v>-</v>
      </c>
      <c r="HA48" s="237" t="str">
        <f t="shared" si="320"/>
        <v>-</v>
      </c>
      <c r="HB48" s="237" t="str">
        <f t="shared" si="320"/>
        <v>-</v>
      </c>
      <c r="HC48" s="237" t="str">
        <f t="shared" si="321"/>
        <v>-</v>
      </c>
      <c r="HD48" s="237" t="str">
        <f t="shared" si="321"/>
        <v>-</v>
      </c>
      <c r="HE48" s="237" t="str">
        <f t="shared" si="321"/>
        <v>-</v>
      </c>
      <c r="HF48" s="237" t="str">
        <f t="shared" si="321"/>
        <v>-</v>
      </c>
      <c r="HG48" s="237" t="str">
        <f t="shared" si="321"/>
        <v>-</v>
      </c>
      <c r="HH48" s="237" t="str">
        <f t="shared" si="321"/>
        <v>-</v>
      </c>
      <c r="HI48" s="237" t="str">
        <f t="shared" si="321"/>
        <v>-</v>
      </c>
      <c r="HJ48" s="237" t="str">
        <f t="shared" si="321"/>
        <v>-</v>
      </c>
      <c r="HK48" s="237" t="str">
        <f t="shared" si="321"/>
        <v>-</v>
      </c>
      <c r="HL48" s="237" t="str">
        <f t="shared" si="321"/>
        <v>-</v>
      </c>
      <c r="HM48" s="237" t="str">
        <f t="shared" si="322"/>
        <v>-</v>
      </c>
      <c r="HN48" s="237" t="str">
        <f t="shared" si="322"/>
        <v>-</v>
      </c>
      <c r="HO48" s="237" t="str">
        <f t="shared" si="322"/>
        <v>-</v>
      </c>
      <c r="HP48" s="237" t="str">
        <f t="shared" si="322"/>
        <v>-</v>
      </c>
      <c r="HQ48" s="237" t="str">
        <f t="shared" si="322"/>
        <v>-</v>
      </c>
      <c r="HR48" s="237" t="str">
        <f t="shared" si="322"/>
        <v>-</v>
      </c>
      <c r="HS48" s="237" t="str">
        <f t="shared" si="322"/>
        <v>-</v>
      </c>
      <c r="HT48" s="237" t="str">
        <f t="shared" si="322"/>
        <v>-</v>
      </c>
      <c r="HU48" s="237" t="str">
        <f t="shared" si="322"/>
        <v>-</v>
      </c>
      <c r="HV48" s="237" t="str">
        <f t="shared" si="322"/>
        <v>-</v>
      </c>
      <c r="HW48" s="237" t="str">
        <f t="shared" si="323"/>
        <v>-</v>
      </c>
      <c r="HX48" s="237" t="str">
        <f t="shared" si="323"/>
        <v>-</v>
      </c>
      <c r="HY48" s="237" t="str">
        <f t="shared" si="323"/>
        <v>-</v>
      </c>
      <c r="HZ48" s="237" t="str">
        <f t="shared" si="323"/>
        <v>-</v>
      </c>
      <c r="IA48" s="237" t="str">
        <f t="shared" si="323"/>
        <v>-</v>
      </c>
      <c r="IB48" s="237" t="str">
        <f t="shared" si="323"/>
        <v>-</v>
      </c>
      <c r="IC48" s="237" t="str">
        <f t="shared" si="323"/>
        <v>-</v>
      </c>
      <c r="ID48" s="237" t="str">
        <f t="shared" si="323"/>
        <v>-</v>
      </c>
      <c r="IE48" s="237" t="str">
        <f t="shared" si="323"/>
        <v>-</v>
      </c>
      <c r="IF48" s="237" t="str">
        <f t="shared" si="323"/>
        <v>-</v>
      </c>
      <c r="IG48" s="312">
        <f t="shared" si="324"/>
        <v>1.1550255439901291E-5</v>
      </c>
      <c r="IH48" s="99">
        <f t="shared" si="325"/>
        <v>1.1550255439901291E-5</v>
      </c>
      <c r="II48" s="99">
        <f t="shared" si="326"/>
        <v>1.1550255439901291E-5</v>
      </c>
      <c r="IJ48" s="99">
        <f t="shared" si="327"/>
        <v>1.1550255439901291E-5</v>
      </c>
      <c r="IK48" s="99">
        <f t="shared" si="328"/>
        <v>1.1550255439901291E-5</v>
      </c>
      <c r="IL48" s="99">
        <f t="shared" si="329"/>
        <v>1.1550255439901291E-5</v>
      </c>
      <c r="IM48" s="312" t="str">
        <f t="shared" si="330"/>
        <v/>
      </c>
      <c r="IN48" s="99" t="str">
        <f t="shared" si="331"/>
        <v/>
      </c>
      <c r="IO48" s="99" t="str">
        <f t="shared" si="332"/>
        <v/>
      </c>
      <c r="IP48" s="99" t="str">
        <f t="shared" si="333"/>
        <v/>
      </c>
      <c r="IQ48" s="99" t="str">
        <f t="shared" si="334"/>
        <v/>
      </c>
      <c r="IR48" s="99" t="str">
        <f t="shared" si="335"/>
        <v/>
      </c>
      <c r="IS48" s="312" t="str">
        <f t="shared" si="336"/>
        <v/>
      </c>
      <c r="IT48" s="99" t="str">
        <f t="shared" si="337"/>
        <v/>
      </c>
      <c r="IU48" s="99" t="str">
        <f t="shared" si="337"/>
        <v/>
      </c>
      <c r="IV48" s="99" t="str">
        <f t="shared" si="337"/>
        <v/>
      </c>
      <c r="IW48" s="99" t="str">
        <f t="shared" si="337"/>
        <v/>
      </c>
      <c r="IX48" s="99" t="str">
        <f t="shared" si="337"/>
        <v/>
      </c>
      <c r="IY48" s="312" t="str">
        <f t="shared" si="338"/>
        <v/>
      </c>
      <c r="IZ48" s="99" t="str">
        <f t="shared" si="339"/>
        <v/>
      </c>
      <c r="JA48" s="99" t="str">
        <f t="shared" si="339"/>
        <v/>
      </c>
      <c r="JB48" s="99" t="str">
        <f t="shared" si="339"/>
        <v/>
      </c>
      <c r="JC48" s="99" t="str">
        <f t="shared" si="339"/>
        <v/>
      </c>
      <c r="JD48" s="313" t="str">
        <f t="shared" si="339"/>
        <v/>
      </c>
      <c r="JF48" s="66">
        <f t="shared" si="224"/>
        <v>48</v>
      </c>
      <c r="JG48" s="171">
        <f t="shared" ca="1" si="340"/>
        <v>1.1550255439901291E-5</v>
      </c>
      <c r="JH48" s="171">
        <f t="shared" ca="1" si="341"/>
        <v>1.1550255439901291E-5</v>
      </c>
      <c r="JI48" s="171">
        <f t="shared" ca="1" si="342"/>
        <v>1.1550255439901291E-5</v>
      </c>
      <c r="JJ48" s="171">
        <f t="shared" ca="1" si="343"/>
        <v>1</v>
      </c>
      <c r="JK48" s="162"/>
      <c r="JL48" s="165">
        <f t="shared" ca="1" si="121"/>
        <v>1.1550255439901291E-5</v>
      </c>
      <c r="JM48" s="166">
        <f t="shared" ca="1" si="310"/>
        <v>1.1550255439901291E-5</v>
      </c>
      <c r="JN48" s="166">
        <f t="shared" ca="1" si="311"/>
        <v>1.1550255439901291E-5</v>
      </c>
      <c r="JO48" s="165">
        <f t="shared" ca="1" si="122"/>
        <v>1.1550255439901291E-5</v>
      </c>
      <c r="JP48" s="173">
        <f t="shared" ca="1" si="123"/>
        <v>4.6201021759605165E-5</v>
      </c>
    </row>
    <row r="49" spans="1:276" s="163" customFormat="1" x14ac:dyDescent="0.35">
      <c r="A49" s="125">
        <v>0</v>
      </c>
      <c r="B49" s="125">
        <v>0</v>
      </c>
      <c r="C49" s="125">
        <v>1</v>
      </c>
      <c r="E49" s="142" t="s">
        <v>86</v>
      </c>
      <c r="F49" s="227" t="s">
        <v>87</v>
      </c>
      <c r="G49" s="228" t="s">
        <v>540</v>
      </c>
      <c r="H49" s="229" t="s">
        <v>543</v>
      </c>
      <c r="I49" s="8" t="s">
        <v>544</v>
      </c>
      <c r="J49" s="211">
        <v>1.5484616681564412E-6</v>
      </c>
      <c r="K49" s="230">
        <v>2.3558886866287327E-6</v>
      </c>
      <c r="L49" s="230" t="s">
        <v>805</v>
      </c>
      <c r="M49" s="230" t="s">
        <v>805</v>
      </c>
      <c r="N49" s="230" t="s">
        <v>805</v>
      </c>
      <c r="O49" s="230" t="s">
        <v>805</v>
      </c>
      <c r="P49" s="230" t="s">
        <v>805</v>
      </c>
      <c r="Q49" s="230" t="s">
        <v>805</v>
      </c>
      <c r="R49" s="230" t="s">
        <v>805</v>
      </c>
      <c r="S49" s="230" t="s">
        <v>805</v>
      </c>
      <c r="T49" s="230" t="s">
        <v>805</v>
      </c>
      <c r="U49" s="230" t="s">
        <v>805</v>
      </c>
      <c r="V49" s="230" t="s">
        <v>805</v>
      </c>
      <c r="W49" s="230" t="s">
        <v>805</v>
      </c>
      <c r="X49" s="230" t="s">
        <v>805</v>
      </c>
      <c r="Y49" s="230" t="s">
        <v>805</v>
      </c>
      <c r="Z49" s="230" t="s">
        <v>805</v>
      </c>
      <c r="AA49" s="230" t="s">
        <v>805</v>
      </c>
      <c r="AB49" s="230" t="s">
        <v>805</v>
      </c>
      <c r="AC49" s="230" t="s">
        <v>805</v>
      </c>
      <c r="AD49" s="230" t="s">
        <v>805</v>
      </c>
      <c r="AE49" s="230" t="s">
        <v>805</v>
      </c>
      <c r="AF49" s="230" t="s">
        <v>805</v>
      </c>
      <c r="AG49" s="230" t="s">
        <v>805</v>
      </c>
      <c r="AH49" s="230" t="s">
        <v>805</v>
      </c>
      <c r="AI49" s="230" t="s">
        <v>805</v>
      </c>
      <c r="AJ49" s="230" t="s">
        <v>805</v>
      </c>
      <c r="AK49" s="230" t="s">
        <v>805</v>
      </c>
      <c r="AL49" s="230" t="s">
        <v>805</v>
      </c>
      <c r="AM49" s="230" t="s">
        <v>805</v>
      </c>
      <c r="AN49" s="230" t="s">
        <v>805</v>
      </c>
      <c r="AO49" s="230" t="s">
        <v>805</v>
      </c>
      <c r="AP49" s="230" t="s">
        <v>805</v>
      </c>
      <c r="AQ49" s="230" t="s">
        <v>805</v>
      </c>
      <c r="AR49" s="230" t="s">
        <v>805</v>
      </c>
      <c r="AS49" s="230" t="s">
        <v>805</v>
      </c>
      <c r="AT49" s="230" t="s">
        <v>805</v>
      </c>
      <c r="AU49" s="230" t="s">
        <v>805</v>
      </c>
      <c r="AV49" s="230" t="s">
        <v>805</v>
      </c>
      <c r="AW49" s="230" t="s">
        <v>805</v>
      </c>
      <c r="AX49" s="230" t="s">
        <v>805</v>
      </c>
      <c r="AY49" s="230" t="s">
        <v>805</v>
      </c>
      <c r="AZ49" s="230" t="s">
        <v>805</v>
      </c>
      <c r="BA49" s="230" t="s">
        <v>805</v>
      </c>
      <c r="BB49" s="230" t="s">
        <v>805</v>
      </c>
      <c r="BC49" s="230" t="s">
        <v>805</v>
      </c>
      <c r="BD49" s="230" t="s">
        <v>805</v>
      </c>
      <c r="BE49" s="230" t="s">
        <v>805</v>
      </c>
      <c r="BF49" s="230" t="s">
        <v>805</v>
      </c>
      <c r="BG49" s="230" t="s">
        <v>805</v>
      </c>
      <c r="BH49" s="230" t="s">
        <v>805</v>
      </c>
      <c r="BI49" s="230" t="s">
        <v>805</v>
      </c>
      <c r="BJ49" s="230" t="s">
        <v>805</v>
      </c>
      <c r="BK49" s="230" t="s">
        <v>805</v>
      </c>
      <c r="BL49" s="230" t="s">
        <v>805</v>
      </c>
      <c r="BM49" s="230" t="s">
        <v>805</v>
      </c>
      <c r="BN49" s="230" t="s">
        <v>805</v>
      </c>
      <c r="BO49" s="230" t="s">
        <v>805</v>
      </c>
      <c r="BP49" s="230" t="s">
        <v>805</v>
      </c>
      <c r="BQ49" s="230" t="s">
        <v>805</v>
      </c>
      <c r="BR49" s="230" t="s">
        <v>805</v>
      </c>
      <c r="BS49" s="230" t="s">
        <v>805</v>
      </c>
      <c r="BT49" s="230" t="s">
        <v>805</v>
      </c>
      <c r="BU49" s="230" t="s">
        <v>805</v>
      </c>
      <c r="BV49" s="230" t="s">
        <v>805</v>
      </c>
      <c r="BW49" s="230" t="s">
        <v>805</v>
      </c>
      <c r="BX49" s="230" t="s">
        <v>805</v>
      </c>
      <c r="BY49" s="230" t="s">
        <v>805</v>
      </c>
      <c r="BZ49" s="230" t="s">
        <v>805</v>
      </c>
      <c r="CA49" s="230" t="s">
        <v>805</v>
      </c>
      <c r="CB49" s="230" t="s">
        <v>805</v>
      </c>
      <c r="CC49" s="230" t="s">
        <v>805</v>
      </c>
      <c r="CD49" s="230" t="s">
        <v>805</v>
      </c>
      <c r="CE49" s="230" t="s">
        <v>805</v>
      </c>
      <c r="CF49" s="230" t="s">
        <v>805</v>
      </c>
      <c r="CG49" s="230" t="s">
        <v>805</v>
      </c>
      <c r="CH49" s="230" t="s">
        <v>805</v>
      </c>
      <c r="CI49" s="230" t="s">
        <v>805</v>
      </c>
      <c r="CJ49" s="230" t="s">
        <v>805</v>
      </c>
      <c r="CK49" s="230" t="s">
        <v>805</v>
      </c>
      <c r="CL49" s="230" t="s">
        <v>805</v>
      </c>
      <c r="CM49" s="230" t="s">
        <v>805</v>
      </c>
      <c r="CN49" s="230" t="s">
        <v>805</v>
      </c>
      <c r="CO49" s="230" t="s">
        <v>805</v>
      </c>
      <c r="CP49" s="230" t="s">
        <v>805</v>
      </c>
      <c r="CQ49" s="230" t="s">
        <v>805</v>
      </c>
      <c r="CR49" s="230" t="s">
        <v>805</v>
      </c>
      <c r="CS49" s="230" t="s">
        <v>805</v>
      </c>
      <c r="CT49" s="230" t="s">
        <v>805</v>
      </c>
      <c r="CU49" s="230" t="s">
        <v>805</v>
      </c>
      <c r="CV49" s="230" t="s">
        <v>805</v>
      </c>
      <c r="CW49" s="230" t="s">
        <v>805</v>
      </c>
      <c r="CX49" s="230" t="s">
        <v>805</v>
      </c>
      <c r="CY49" s="230" t="s">
        <v>805</v>
      </c>
      <c r="CZ49" s="230" t="s">
        <v>805</v>
      </c>
      <c r="DA49" s="230" t="s">
        <v>805</v>
      </c>
      <c r="DB49" s="230" t="s">
        <v>805</v>
      </c>
      <c r="DC49" s="230" t="s">
        <v>805</v>
      </c>
      <c r="DD49" s="230" t="s">
        <v>805</v>
      </c>
      <c r="DE49" s="230" t="s">
        <v>805</v>
      </c>
      <c r="DF49" s="230" t="s">
        <v>805</v>
      </c>
      <c r="DG49" s="212">
        <f>VLOOKUP(E49,'KPI Count-SHARE'!A:F,3,0)</f>
        <v>1</v>
      </c>
      <c r="DH49" s="213">
        <v>2.8118598354143484E-6</v>
      </c>
      <c r="DI49" s="232">
        <v>2.8118598354143484E-6</v>
      </c>
      <c r="DJ49" s="232">
        <v>2.8118598354143484E-6</v>
      </c>
      <c r="DK49" s="232">
        <v>2.8118598354143484E-6</v>
      </c>
      <c r="DL49" s="232">
        <v>2.8118598354143484E-6</v>
      </c>
      <c r="DM49" s="232">
        <v>2.8118598354143484E-6</v>
      </c>
      <c r="DN49" s="231">
        <f>VLOOKUP(E49,'KPI Count-SHARE'!A:F,4,0)</f>
        <v>0</v>
      </c>
      <c r="DO49" s="213"/>
      <c r="DP49" s="232"/>
      <c r="DQ49" s="232"/>
      <c r="DR49" s="232"/>
      <c r="DS49" s="232"/>
      <c r="DT49" s="232"/>
      <c r="DU49" s="231">
        <f>VLOOKUP(E49,'KPI Count-SHARE'!A:F,5,0)</f>
        <v>0</v>
      </c>
      <c r="DV49" s="213"/>
      <c r="DW49" s="232"/>
      <c r="DX49" s="232"/>
      <c r="DY49" s="232"/>
      <c r="DZ49" s="232"/>
      <c r="EA49" s="232"/>
      <c r="EB49" s="231">
        <f>VLOOKUP(E49,'KPI Count-SHARE'!A:F,6,0)</f>
        <v>0</v>
      </c>
      <c r="EC49" s="213"/>
      <c r="ED49" s="232"/>
      <c r="EE49" s="232"/>
      <c r="EF49" s="232"/>
      <c r="EG49" s="232"/>
      <c r="EH49" s="232"/>
      <c r="EI49" s="233" t="str">
        <f t="shared" si="312"/>
        <v>FTE per USD '000</v>
      </c>
      <c r="EJ49" s="237">
        <f t="shared" si="313"/>
        <v>1.3781308846592326E-6</v>
      </c>
      <c r="EK49" s="237">
        <f t="shared" si="314"/>
        <v>2.0967409310995718E-6</v>
      </c>
      <c r="EL49" s="237" t="str">
        <f t="shared" si="314"/>
        <v>-</v>
      </c>
      <c r="EM49" s="237" t="str">
        <f t="shared" si="314"/>
        <v>-</v>
      </c>
      <c r="EN49" s="237" t="str">
        <f t="shared" si="314"/>
        <v>-</v>
      </c>
      <c r="EO49" s="237" t="str">
        <f t="shared" si="314"/>
        <v>-</v>
      </c>
      <c r="EP49" s="237" t="str">
        <f t="shared" si="314"/>
        <v>-</v>
      </c>
      <c r="EQ49" s="237" t="str">
        <f t="shared" si="314"/>
        <v>-</v>
      </c>
      <c r="ER49" s="237" t="str">
        <f t="shared" si="314"/>
        <v>-</v>
      </c>
      <c r="ES49" s="237" t="str">
        <f t="shared" si="314"/>
        <v>-</v>
      </c>
      <c r="ET49" s="237" t="str">
        <f t="shared" si="314"/>
        <v>-</v>
      </c>
      <c r="EU49" s="237" t="str">
        <f t="shared" si="315"/>
        <v>-</v>
      </c>
      <c r="EV49" s="237" t="str">
        <f t="shared" si="315"/>
        <v>-</v>
      </c>
      <c r="EW49" s="237" t="str">
        <f t="shared" si="315"/>
        <v>-</v>
      </c>
      <c r="EX49" s="237" t="str">
        <f t="shared" si="315"/>
        <v>-</v>
      </c>
      <c r="EY49" s="237" t="str">
        <f t="shared" si="315"/>
        <v>-</v>
      </c>
      <c r="EZ49" s="237" t="str">
        <f t="shared" si="315"/>
        <v>-</v>
      </c>
      <c r="FA49" s="237" t="str">
        <f t="shared" si="315"/>
        <v>-</v>
      </c>
      <c r="FB49" s="237" t="str">
        <f t="shared" si="315"/>
        <v>-</v>
      </c>
      <c r="FC49" s="237" t="str">
        <f t="shared" si="315"/>
        <v>-</v>
      </c>
      <c r="FD49" s="237" t="str">
        <f t="shared" si="315"/>
        <v>-</v>
      </c>
      <c r="FE49" s="237" t="str">
        <f t="shared" si="316"/>
        <v>-</v>
      </c>
      <c r="FF49" s="237" t="str">
        <f t="shared" si="316"/>
        <v>-</v>
      </c>
      <c r="FG49" s="237" t="str">
        <f t="shared" si="316"/>
        <v>-</v>
      </c>
      <c r="FH49" s="237" t="str">
        <f t="shared" si="316"/>
        <v>-</v>
      </c>
      <c r="FI49" s="237" t="str">
        <f t="shared" si="316"/>
        <v>-</v>
      </c>
      <c r="FJ49" s="237" t="str">
        <f t="shared" si="316"/>
        <v>-</v>
      </c>
      <c r="FK49" s="237" t="str">
        <f t="shared" si="316"/>
        <v>-</v>
      </c>
      <c r="FL49" s="237" t="str">
        <f t="shared" si="316"/>
        <v>-</v>
      </c>
      <c r="FM49" s="237" t="str">
        <f t="shared" si="316"/>
        <v>-</v>
      </c>
      <c r="FN49" s="237" t="str">
        <f t="shared" si="316"/>
        <v>-</v>
      </c>
      <c r="FO49" s="237" t="str">
        <f t="shared" si="317"/>
        <v>-</v>
      </c>
      <c r="FP49" s="237" t="str">
        <f t="shared" si="317"/>
        <v>-</v>
      </c>
      <c r="FQ49" s="237" t="str">
        <f t="shared" si="317"/>
        <v>-</v>
      </c>
      <c r="FR49" s="237" t="str">
        <f t="shared" si="317"/>
        <v>-</v>
      </c>
      <c r="FS49" s="237" t="str">
        <f t="shared" si="317"/>
        <v>-</v>
      </c>
      <c r="FT49" s="237" t="str">
        <f t="shared" si="317"/>
        <v>-</v>
      </c>
      <c r="FU49" s="237" t="str">
        <f t="shared" si="317"/>
        <v>-</v>
      </c>
      <c r="FV49" s="237" t="str">
        <f t="shared" si="317"/>
        <v>-</v>
      </c>
      <c r="FW49" s="237" t="str">
        <f t="shared" si="317"/>
        <v>-</v>
      </c>
      <c r="FX49" s="237" t="str">
        <f t="shared" si="317"/>
        <v>-</v>
      </c>
      <c r="FY49" s="237" t="str">
        <f t="shared" si="318"/>
        <v>-</v>
      </c>
      <c r="FZ49" s="237" t="str">
        <f t="shared" si="318"/>
        <v>-</v>
      </c>
      <c r="GA49" s="237" t="str">
        <f t="shared" si="318"/>
        <v>-</v>
      </c>
      <c r="GB49" s="237" t="str">
        <f t="shared" si="318"/>
        <v>-</v>
      </c>
      <c r="GC49" s="237" t="str">
        <f t="shared" si="318"/>
        <v>-</v>
      </c>
      <c r="GD49" s="237" t="str">
        <f t="shared" si="318"/>
        <v>-</v>
      </c>
      <c r="GE49" s="237" t="str">
        <f t="shared" si="318"/>
        <v>-</v>
      </c>
      <c r="GF49" s="237" t="str">
        <f t="shared" si="318"/>
        <v>-</v>
      </c>
      <c r="GG49" s="237" t="str">
        <f t="shared" si="318"/>
        <v>-</v>
      </c>
      <c r="GH49" s="237" t="str">
        <f t="shared" si="318"/>
        <v>-</v>
      </c>
      <c r="GI49" s="237" t="str">
        <f t="shared" si="319"/>
        <v>-</v>
      </c>
      <c r="GJ49" s="237" t="str">
        <f t="shared" si="319"/>
        <v>-</v>
      </c>
      <c r="GK49" s="237" t="str">
        <f t="shared" si="319"/>
        <v>-</v>
      </c>
      <c r="GL49" s="237" t="str">
        <f t="shared" si="319"/>
        <v>-</v>
      </c>
      <c r="GM49" s="237" t="str">
        <f t="shared" si="319"/>
        <v>-</v>
      </c>
      <c r="GN49" s="237" t="str">
        <f t="shared" si="319"/>
        <v>-</v>
      </c>
      <c r="GO49" s="237" t="str">
        <f t="shared" si="319"/>
        <v>-</v>
      </c>
      <c r="GP49" s="237" t="str">
        <f t="shared" si="319"/>
        <v>-</v>
      </c>
      <c r="GQ49" s="237" t="str">
        <f t="shared" si="319"/>
        <v>-</v>
      </c>
      <c r="GR49" s="237" t="str">
        <f t="shared" si="319"/>
        <v>-</v>
      </c>
      <c r="GS49" s="237" t="str">
        <f t="shared" si="320"/>
        <v>-</v>
      </c>
      <c r="GT49" s="237" t="str">
        <f t="shared" si="320"/>
        <v>-</v>
      </c>
      <c r="GU49" s="237" t="str">
        <f t="shared" si="320"/>
        <v>-</v>
      </c>
      <c r="GV49" s="237" t="str">
        <f t="shared" si="320"/>
        <v>-</v>
      </c>
      <c r="GW49" s="237" t="str">
        <f t="shared" si="320"/>
        <v>-</v>
      </c>
      <c r="GX49" s="237" t="str">
        <f t="shared" si="320"/>
        <v>-</v>
      </c>
      <c r="GY49" s="237" t="str">
        <f t="shared" si="320"/>
        <v>-</v>
      </c>
      <c r="GZ49" s="237" t="str">
        <f t="shared" si="320"/>
        <v>-</v>
      </c>
      <c r="HA49" s="237" t="str">
        <f t="shared" si="320"/>
        <v>-</v>
      </c>
      <c r="HB49" s="237" t="str">
        <f t="shared" si="320"/>
        <v>-</v>
      </c>
      <c r="HC49" s="237" t="str">
        <f t="shared" si="321"/>
        <v>-</v>
      </c>
      <c r="HD49" s="237" t="str">
        <f t="shared" si="321"/>
        <v>-</v>
      </c>
      <c r="HE49" s="237" t="str">
        <f t="shared" si="321"/>
        <v>-</v>
      </c>
      <c r="HF49" s="237" t="str">
        <f t="shared" si="321"/>
        <v>-</v>
      </c>
      <c r="HG49" s="237" t="str">
        <f t="shared" si="321"/>
        <v>-</v>
      </c>
      <c r="HH49" s="237" t="str">
        <f t="shared" si="321"/>
        <v>-</v>
      </c>
      <c r="HI49" s="237" t="str">
        <f t="shared" si="321"/>
        <v>-</v>
      </c>
      <c r="HJ49" s="237" t="str">
        <f t="shared" si="321"/>
        <v>-</v>
      </c>
      <c r="HK49" s="237" t="str">
        <f t="shared" si="321"/>
        <v>-</v>
      </c>
      <c r="HL49" s="237" t="str">
        <f t="shared" si="321"/>
        <v>-</v>
      </c>
      <c r="HM49" s="237" t="str">
        <f t="shared" si="322"/>
        <v>-</v>
      </c>
      <c r="HN49" s="237" t="str">
        <f t="shared" si="322"/>
        <v>-</v>
      </c>
      <c r="HO49" s="237" t="str">
        <f t="shared" si="322"/>
        <v>-</v>
      </c>
      <c r="HP49" s="237" t="str">
        <f t="shared" si="322"/>
        <v>-</v>
      </c>
      <c r="HQ49" s="237" t="str">
        <f t="shared" si="322"/>
        <v>-</v>
      </c>
      <c r="HR49" s="237" t="str">
        <f t="shared" si="322"/>
        <v>-</v>
      </c>
      <c r="HS49" s="237" t="str">
        <f t="shared" si="322"/>
        <v>-</v>
      </c>
      <c r="HT49" s="237" t="str">
        <f t="shared" si="322"/>
        <v>-</v>
      </c>
      <c r="HU49" s="237" t="str">
        <f t="shared" si="322"/>
        <v>-</v>
      </c>
      <c r="HV49" s="237" t="str">
        <f t="shared" si="322"/>
        <v>-</v>
      </c>
      <c r="HW49" s="237" t="str">
        <f t="shared" si="323"/>
        <v>-</v>
      </c>
      <c r="HX49" s="237" t="str">
        <f t="shared" si="323"/>
        <v>-</v>
      </c>
      <c r="HY49" s="237" t="str">
        <f t="shared" si="323"/>
        <v>-</v>
      </c>
      <c r="HZ49" s="237" t="str">
        <f t="shared" si="323"/>
        <v>-</v>
      </c>
      <c r="IA49" s="237" t="str">
        <f t="shared" si="323"/>
        <v>-</v>
      </c>
      <c r="IB49" s="237" t="str">
        <f t="shared" si="323"/>
        <v>-</v>
      </c>
      <c r="IC49" s="237" t="str">
        <f t="shared" si="323"/>
        <v>-</v>
      </c>
      <c r="ID49" s="237" t="str">
        <f t="shared" si="323"/>
        <v>-</v>
      </c>
      <c r="IE49" s="237" t="str">
        <f t="shared" si="323"/>
        <v>-</v>
      </c>
      <c r="IF49" s="237" t="str">
        <f t="shared" si="323"/>
        <v>-</v>
      </c>
      <c r="IG49" s="312">
        <f t="shared" si="324"/>
        <v>2.5025552535187697E-6</v>
      </c>
      <c r="IH49" s="99">
        <f t="shared" si="325"/>
        <v>2.5025552535187697E-6</v>
      </c>
      <c r="II49" s="99">
        <f t="shared" si="326"/>
        <v>2.5025552535187697E-6</v>
      </c>
      <c r="IJ49" s="99">
        <f t="shared" si="327"/>
        <v>2.5025552535187697E-6</v>
      </c>
      <c r="IK49" s="99">
        <f t="shared" si="328"/>
        <v>2.5025552535187697E-6</v>
      </c>
      <c r="IL49" s="99">
        <f t="shared" si="329"/>
        <v>2.5025552535187697E-6</v>
      </c>
      <c r="IM49" s="312" t="str">
        <f t="shared" si="330"/>
        <v/>
      </c>
      <c r="IN49" s="99" t="str">
        <f t="shared" si="331"/>
        <v/>
      </c>
      <c r="IO49" s="99" t="str">
        <f t="shared" si="332"/>
        <v/>
      </c>
      <c r="IP49" s="99" t="str">
        <f t="shared" si="333"/>
        <v/>
      </c>
      <c r="IQ49" s="99" t="str">
        <f t="shared" si="334"/>
        <v/>
      </c>
      <c r="IR49" s="99" t="str">
        <f t="shared" si="335"/>
        <v/>
      </c>
      <c r="IS49" s="312" t="str">
        <f t="shared" si="336"/>
        <v/>
      </c>
      <c r="IT49" s="99" t="str">
        <f t="shared" si="337"/>
        <v/>
      </c>
      <c r="IU49" s="99" t="str">
        <f t="shared" si="337"/>
        <v/>
      </c>
      <c r="IV49" s="99" t="str">
        <f t="shared" si="337"/>
        <v/>
      </c>
      <c r="IW49" s="99" t="str">
        <f t="shared" si="337"/>
        <v/>
      </c>
      <c r="IX49" s="99" t="str">
        <f t="shared" si="337"/>
        <v/>
      </c>
      <c r="IY49" s="312" t="str">
        <f t="shared" si="338"/>
        <v/>
      </c>
      <c r="IZ49" s="99" t="str">
        <f t="shared" si="339"/>
        <v/>
      </c>
      <c r="JA49" s="99" t="str">
        <f t="shared" si="339"/>
        <v/>
      </c>
      <c r="JB49" s="99" t="str">
        <f t="shared" si="339"/>
        <v/>
      </c>
      <c r="JC49" s="99" t="str">
        <f t="shared" si="339"/>
        <v/>
      </c>
      <c r="JD49" s="313" t="str">
        <f t="shared" si="339"/>
        <v/>
      </c>
      <c r="JF49" s="66">
        <f t="shared" si="224"/>
        <v>49</v>
      </c>
      <c r="JG49" s="171">
        <f t="shared" ca="1" si="340"/>
        <v>2.5025552535187697E-6</v>
      </c>
      <c r="JH49" s="171">
        <f t="shared" ca="1" si="341"/>
        <v>2.5025552535187697E-6</v>
      </c>
      <c r="JI49" s="171">
        <f t="shared" ca="1" si="342"/>
        <v>2.5025552535187697E-6</v>
      </c>
      <c r="JJ49" s="171">
        <f t="shared" ca="1" si="343"/>
        <v>1</v>
      </c>
      <c r="JK49" s="162"/>
      <c r="JL49" s="165">
        <f t="shared" ca="1" si="121"/>
        <v>2.5025552535187697E-6</v>
      </c>
      <c r="JM49" s="166">
        <f t="shared" ca="1" si="310"/>
        <v>2.5025552535187697E-6</v>
      </c>
      <c r="JN49" s="166">
        <f t="shared" ca="1" si="311"/>
        <v>2.5025552535187697E-6</v>
      </c>
      <c r="JO49" s="165">
        <f t="shared" ca="1" si="122"/>
        <v>2.5025552535187697E-6</v>
      </c>
      <c r="JP49" s="173">
        <f t="shared" ca="1" si="123"/>
        <v>1.0010221014075079E-5</v>
      </c>
    </row>
    <row r="50" spans="1:276" s="163" customFormat="1" x14ac:dyDescent="0.35">
      <c r="A50" s="125">
        <v>0</v>
      </c>
      <c r="B50" s="125">
        <v>1</v>
      </c>
      <c r="C50" s="125">
        <v>1</v>
      </c>
      <c r="E50" s="142" t="s">
        <v>88</v>
      </c>
      <c r="F50" s="227" t="s">
        <v>89</v>
      </c>
      <c r="G50" s="228" t="s">
        <v>540</v>
      </c>
      <c r="H50" s="229" t="s">
        <v>543</v>
      </c>
      <c r="I50" s="8" t="s">
        <v>544</v>
      </c>
      <c r="J50" s="211">
        <v>2.6840002248044982E-5</v>
      </c>
      <c r="K50" s="230">
        <v>2.198829440853484E-5</v>
      </c>
      <c r="L50" s="230">
        <v>3.4812228010587148E-5</v>
      </c>
      <c r="M50" s="230">
        <v>4.0832386745232469E-5</v>
      </c>
      <c r="N50" s="230" t="s">
        <v>805</v>
      </c>
      <c r="O50" s="230" t="s">
        <v>805</v>
      </c>
      <c r="P50" s="230" t="s">
        <v>805</v>
      </c>
      <c r="Q50" s="230" t="s">
        <v>805</v>
      </c>
      <c r="R50" s="230" t="s">
        <v>805</v>
      </c>
      <c r="S50" s="230" t="s">
        <v>805</v>
      </c>
      <c r="T50" s="230" t="s">
        <v>805</v>
      </c>
      <c r="U50" s="230" t="s">
        <v>805</v>
      </c>
      <c r="V50" s="230" t="s">
        <v>805</v>
      </c>
      <c r="W50" s="230" t="s">
        <v>805</v>
      </c>
      <c r="X50" s="230" t="s">
        <v>805</v>
      </c>
      <c r="Y50" s="230" t="s">
        <v>805</v>
      </c>
      <c r="Z50" s="230" t="s">
        <v>805</v>
      </c>
      <c r="AA50" s="230" t="s">
        <v>805</v>
      </c>
      <c r="AB50" s="230" t="s">
        <v>805</v>
      </c>
      <c r="AC50" s="230" t="s">
        <v>805</v>
      </c>
      <c r="AD50" s="230" t="s">
        <v>805</v>
      </c>
      <c r="AE50" s="230" t="s">
        <v>805</v>
      </c>
      <c r="AF50" s="230" t="s">
        <v>805</v>
      </c>
      <c r="AG50" s="230" t="s">
        <v>805</v>
      </c>
      <c r="AH50" s="230" t="s">
        <v>805</v>
      </c>
      <c r="AI50" s="230" t="s">
        <v>805</v>
      </c>
      <c r="AJ50" s="230" t="s">
        <v>805</v>
      </c>
      <c r="AK50" s="230" t="s">
        <v>805</v>
      </c>
      <c r="AL50" s="230" t="s">
        <v>805</v>
      </c>
      <c r="AM50" s="230" t="s">
        <v>805</v>
      </c>
      <c r="AN50" s="230" t="s">
        <v>805</v>
      </c>
      <c r="AO50" s="230" t="s">
        <v>805</v>
      </c>
      <c r="AP50" s="230" t="s">
        <v>805</v>
      </c>
      <c r="AQ50" s="230" t="s">
        <v>805</v>
      </c>
      <c r="AR50" s="230" t="s">
        <v>805</v>
      </c>
      <c r="AS50" s="230" t="s">
        <v>805</v>
      </c>
      <c r="AT50" s="230" t="s">
        <v>805</v>
      </c>
      <c r="AU50" s="230" t="s">
        <v>805</v>
      </c>
      <c r="AV50" s="230" t="s">
        <v>805</v>
      </c>
      <c r="AW50" s="230" t="s">
        <v>805</v>
      </c>
      <c r="AX50" s="230" t="s">
        <v>805</v>
      </c>
      <c r="AY50" s="230" t="s">
        <v>805</v>
      </c>
      <c r="AZ50" s="230" t="s">
        <v>805</v>
      </c>
      <c r="BA50" s="230" t="s">
        <v>805</v>
      </c>
      <c r="BB50" s="230" t="s">
        <v>805</v>
      </c>
      <c r="BC50" s="230" t="s">
        <v>805</v>
      </c>
      <c r="BD50" s="230" t="s">
        <v>805</v>
      </c>
      <c r="BE50" s="230" t="s">
        <v>805</v>
      </c>
      <c r="BF50" s="230" t="s">
        <v>805</v>
      </c>
      <c r="BG50" s="230" t="s">
        <v>805</v>
      </c>
      <c r="BH50" s="230" t="s">
        <v>805</v>
      </c>
      <c r="BI50" s="230" t="s">
        <v>805</v>
      </c>
      <c r="BJ50" s="230" t="s">
        <v>805</v>
      </c>
      <c r="BK50" s="230" t="s">
        <v>805</v>
      </c>
      <c r="BL50" s="230" t="s">
        <v>805</v>
      </c>
      <c r="BM50" s="230" t="s">
        <v>805</v>
      </c>
      <c r="BN50" s="230" t="s">
        <v>805</v>
      </c>
      <c r="BO50" s="230" t="s">
        <v>805</v>
      </c>
      <c r="BP50" s="230" t="s">
        <v>805</v>
      </c>
      <c r="BQ50" s="230" t="s">
        <v>805</v>
      </c>
      <c r="BR50" s="230" t="s">
        <v>805</v>
      </c>
      <c r="BS50" s="230" t="s">
        <v>805</v>
      </c>
      <c r="BT50" s="230" t="s">
        <v>805</v>
      </c>
      <c r="BU50" s="230" t="s">
        <v>805</v>
      </c>
      <c r="BV50" s="230" t="s">
        <v>805</v>
      </c>
      <c r="BW50" s="230" t="s">
        <v>805</v>
      </c>
      <c r="BX50" s="230" t="s">
        <v>805</v>
      </c>
      <c r="BY50" s="230" t="s">
        <v>805</v>
      </c>
      <c r="BZ50" s="230" t="s">
        <v>805</v>
      </c>
      <c r="CA50" s="230" t="s">
        <v>805</v>
      </c>
      <c r="CB50" s="230" t="s">
        <v>805</v>
      </c>
      <c r="CC50" s="230" t="s">
        <v>805</v>
      </c>
      <c r="CD50" s="230" t="s">
        <v>805</v>
      </c>
      <c r="CE50" s="230" t="s">
        <v>805</v>
      </c>
      <c r="CF50" s="230" t="s">
        <v>805</v>
      </c>
      <c r="CG50" s="230" t="s">
        <v>805</v>
      </c>
      <c r="CH50" s="230" t="s">
        <v>805</v>
      </c>
      <c r="CI50" s="230" t="s">
        <v>805</v>
      </c>
      <c r="CJ50" s="230" t="s">
        <v>805</v>
      </c>
      <c r="CK50" s="230" t="s">
        <v>805</v>
      </c>
      <c r="CL50" s="230" t="s">
        <v>805</v>
      </c>
      <c r="CM50" s="230" t="s">
        <v>805</v>
      </c>
      <c r="CN50" s="230" t="s">
        <v>805</v>
      </c>
      <c r="CO50" s="230" t="s">
        <v>805</v>
      </c>
      <c r="CP50" s="230" t="s">
        <v>805</v>
      </c>
      <c r="CQ50" s="230" t="s">
        <v>805</v>
      </c>
      <c r="CR50" s="230" t="s">
        <v>805</v>
      </c>
      <c r="CS50" s="230" t="s">
        <v>805</v>
      </c>
      <c r="CT50" s="230" t="s">
        <v>805</v>
      </c>
      <c r="CU50" s="230" t="s">
        <v>805</v>
      </c>
      <c r="CV50" s="230" t="s">
        <v>805</v>
      </c>
      <c r="CW50" s="230" t="s">
        <v>805</v>
      </c>
      <c r="CX50" s="230" t="s">
        <v>805</v>
      </c>
      <c r="CY50" s="230" t="s">
        <v>805</v>
      </c>
      <c r="CZ50" s="230" t="s">
        <v>805</v>
      </c>
      <c r="DA50" s="230" t="s">
        <v>805</v>
      </c>
      <c r="DB50" s="230" t="s">
        <v>805</v>
      </c>
      <c r="DC50" s="230" t="s">
        <v>805</v>
      </c>
      <c r="DD50" s="230" t="s">
        <v>805</v>
      </c>
      <c r="DE50" s="230" t="s">
        <v>805</v>
      </c>
      <c r="DF50" s="230" t="s">
        <v>805</v>
      </c>
      <c r="DG50" s="212">
        <f>VLOOKUP(E50,'KPI Count-SHARE'!A:F,3,0)</f>
        <v>15</v>
      </c>
      <c r="DH50" s="213">
        <v>3.6224622087771145E-5</v>
      </c>
      <c r="DI50" s="232">
        <v>8.150784349971386E-5</v>
      </c>
      <c r="DJ50" s="232">
        <v>5.110883223982498E-5</v>
      </c>
      <c r="DK50" s="232">
        <v>1.9196351503581268E-5</v>
      </c>
      <c r="DL50" s="232">
        <v>5.9622109059318052E-6</v>
      </c>
      <c r="DM50" s="232">
        <v>3.7822925715544987E-6</v>
      </c>
      <c r="DN50" s="231">
        <f>VLOOKUP(E50,'KPI Count-SHARE'!A:F,4,0)</f>
        <v>0</v>
      </c>
      <c r="DO50" s="213"/>
      <c r="DP50" s="232"/>
      <c r="DQ50" s="232"/>
      <c r="DR50" s="232"/>
      <c r="DS50" s="232"/>
      <c r="DT50" s="232"/>
      <c r="DU50" s="231">
        <f>VLOOKUP(E50,'KPI Count-SHARE'!A:F,5,0)</f>
        <v>0</v>
      </c>
      <c r="DV50" s="213"/>
      <c r="DW50" s="232"/>
      <c r="DX50" s="232"/>
      <c r="DY50" s="232"/>
      <c r="DZ50" s="232"/>
      <c r="EA50" s="232"/>
      <c r="EB50" s="231">
        <f>VLOOKUP(E50,'KPI Count-SHARE'!A:F,6,0)</f>
        <v>0</v>
      </c>
      <c r="EC50" s="213"/>
      <c r="ED50" s="232"/>
      <c r="EE50" s="232"/>
      <c r="EF50" s="232"/>
      <c r="EG50" s="232"/>
      <c r="EH50" s="232"/>
      <c r="EI50" s="233" t="str">
        <f t="shared" si="312"/>
        <v>FTE per USD '000</v>
      </c>
      <c r="EJ50" s="237">
        <f t="shared" si="313"/>
        <v>2.3887602000760033E-5</v>
      </c>
      <c r="EK50" s="237">
        <f t="shared" si="314"/>
        <v>1.9569582023596007E-5</v>
      </c>
      <c r="EL50" s="237">
        <f t="shared" si="314"/>
        <v>3.0982882929422556E-5</v>
      </c>
      <c r="EM50" s="237">
        <f t="shared" si="314"/>
        <v>3.6340824203256894E-5</v>
      </c>
      <c r="EN50" s="237" t="str">
        <f t="shared" si="314"/>
        <v>-</v>
      </c>
      <c r="EO50" s="237" t="str">
        <f t="shared" si="314"/>
        <v>-</v>
      </c>
      <c r="EP50" s="237" t="str">
        <f t="shared" si="314"/>
        <v>-</v>
      </c>
      <c r="EQ50" s="237" t="str">
        <f t="shared" si="314"/>
        <v>-</v>
      </c>
      <c r="ER50" s="237" t="str">
        <f t="shared" si="314"/>
        <v>-</v>
      </c>
      <c r="ES50" s="237" t="str">
        <f t="shared" si="314"/>
        <v>-</v>
      </c>
      <c r="ET50" s="237" t="str">
        <f t="shared" si="314"/>
        <v>-</v>
      </c>
      <c r="EU50" s="237" t="str">
        <f t="shared" si="315"/>
        <v>-</v>
      </c>
      <c r="EV50" s="237" t="str">
        <f t="shared" si="315"/>
        <v>-</v>
      </c>
      <c r="EW50" s="237" t="str">
        <f t="shared" si="315"/>
        <v>-</v>
      </c>
      <c r="EX50" s="237" t="str">
        <f t="shared" si="315"/>
        <v>-</v>
      </c>
      <c r="EY50" s="237" t="str">
        <f t="shared" si="315"/>
        <v>-</v>
      </c>
      <c r="EZ50" s="237" t="str">
        <f t="shared" si="315"/>
        <v>-</v>
      </c>
      <c r="FA50" s="237" t="str">
        <f t="shared" si="315"/>
        <v>-</v>
      </c>
      <c r="FB50" s="237" t="str">
        <f t="shared" si="315"/>
        <v>-</v>
      </c>
      <c r="FC50" s="237" t="str">
        <f t="shared" si="315"/>
        <v>-</v>
      </c>
      <c r="FD50" s="237" t="str">
        <f t="shared" si="315"/>
        <v>-</v>
      </c>
      <c r="FE50" s="237" t="str">
        <f t="shared" si="316"/>
        <v>-</v>
      </c>
      <c r="FF50" s="237" t="str">
        <f t="shared" si="316"/>
        <v>-</v>
      </c>
      <c r="FG50" s="237" t="str">
        <f t="shared" si="316"/>
        <v>-</v>
      </c>
      <c r="FH50" s="237" t="str">
        <f t="shared" si="316"/>
        <v>-</v>
      </c>
      <c r="FI50" s="237" t="str">
        <f t="shared" si="316"/>
        <v>-</v>
      </c>
      <c r="FJ50" s="237" t="str">
        <f t="shared" si="316"/>
        <v>-</v>
      </c>
      <c r="FK50" s="237" t="str">
        <f t="shared" si="316"/>
        <v>-</v>
      </c>
      <c r="FL50" s="237" t="str">
        <f t="shared" si="316"/>
        <v>-</v>
      </c>
      <c r="FM50" s="237" t="str">
        <f t="shared" si="316"/>
        <v>-</v>
      </c>
      <c r="FN50" s="237" t="str">
        <f t="shared" si="316"/>
        <v>-</v>
      </c>
      <c r="FO50" s="237" t="str">
        <f t="shared" si="317"/>
        <v>-</v>
      </c>
      <c r="FP50" s="237" t="str">
        <f t="shared" si="317"/>
        <v>-</v>
      </c>
      <c r="FQ50" s="237" t="str">
        <f t="shared" si="317"/>
        <v>-</v>
      </c>
      <c r="FR50" s="237" t="str">
        <f t="shared" si="317"/>
        <v>-</v>
      </c>
      <c r="FS50" s="237" t="str">
        <f t="shared" si="317"/>
        <v>-</v>
      </c>
      <c r="FT50" s="237" t="str">
        <f t="shared" si="317"/>
        <v>-</v>
      </c>
      <c r="FU50" s="237" t="str">
        <f t="shared" si="317"/>
        <v>-</v>
      </c>
      <c r="FV50" s="237" t="str">
        <f t="shared" si="317"/>
        <v>-</v>
      </c>
      <c r="FW50" s="237" t="str">
        <f t="shared" si="317"/>
        <v>-</v>
      </c>
      <c r="FX50" s="237" t="str">
        <f t="shared" si="317"/>
        <v>-</v>
      </c>
      <c r="FY50" s="237" t="str">
        <f t="shared" si="318"/>
        <v>-</v>
      </c>
      <c r="FZ50" s="237" t="str">
        <f t="shared" si="318"/>
        <v>-</v>
      </c>
      <c r="GA50" s="237" t="str">
        <f t="shared" si="318"/>
        <v>-</v>
      </c>
      <c r="GB50" s="237" t="str">
        <f t="shared" si="318"/>
        <v>-</v>
      </c>
      <c r="GC50" s="237" t="str">
        <f t="shared" si="318"/>
        <v>-</v>
      </c>
      <c r="GD50" s="237" t="str">
        <f t="shared" si="318"/>
        <v>-</v>
      </c>
      <c r="GE50" s="237" t="str">
        <f t="shared" si="318"/>
        <v>-</v>
      </c>
      <c r="GF50" s="237" t="str">
        <f t="shared" si="318"/>
        <v>-</v>
      </c>
      <c r="GG50" s="237" t="str">
        <f t="shared" si="318"/>
        <v>-</v>
      </c>
      <c r="GH50" s="237" t="str">
        <f t="shared" si="318"/>
        <v>-</v>
      </c>
      <c r="GI50" s="237" t="str">
        <f t="shared" si="319"/>
        <v>-</v>
      </c>
      <c r="GJ50" s="237" t="str">
        <f t="shared" si="319"/>
        <v>-</v>
      </c>
      <c r="GK50" s="237" t="str">
        <f t="shared" si="319"/>
        <v>-</v>
      </c>
      <c r="GL50" s="237" t="str">
        <f t="shared" si="319"/>
        <v>-</v>
      </c>
      <c r="GM50" s="237" t="str">
        <f t="shared" si="319"/>
        <v>-</v>
      </c>
      <c r="GN50" s="237" t="str">
        <f t="shared" si="319"/>
        <v>-</v>
      </c>
      <c r="GO50" s="237" t="str">
        <f t="shared" si="319"/>
        <v>-</v>
      </c>
      <c r="GP50" s="237" t="str">
        <f t="shared" si="319"/>
        <v>-</v>
      </c>
      <c r="GQ50" s="237" t="str">
        <f t="shared" si="319"/>
        <v>-</v>
      </c>
      <c r="GR50" s="237" t="str">
        <f t="shared" si="319"/>
        <v>-</v>
      </c>
      <c r="GS50" s="237" t="str">
        <f t="shared" si="320"/>
        <v>-</v>
      </c>
      <c r="GT50" s="237" t="str">
        <f t="shared" si="320"/>
        <v>-</v>
      </c>
      <c r="GU50" s="237" t="str">
        <f t="shared" si="320"/>
        <v>-</v>
      </c>
      <c r="GV50" s="237" t="str">
        <f t="shared" si="320"/>
        <v>-</v>
      </c>
      <c r="GW50" s="237" t="str">
        <f t="shared" si="320"/>
        <v>-</v>
      </c>
      <c r="GX50" s="237" t="str">
        <f t="shared" si="320"/>
        <v>-</v>
      </c>
      <c r="GY50" s="237" t="str">
        <f t="shared" si="320"/>
        <v>-</v>
      </c>
      <c r="GZ50" s="237" t="str">
        <f t="shared" si="320"/>
        <v>-</v>
      </c>
      <c r="HA50" s="237" t="str">
        <f t="shared" si="320"/>
        <v>-</v>
      </c>
      <c r="HB50" s="237" t="str">
        <f t="shared" si="320"/>
        <v>-</v>
      </c>
      <c r="HC50" s="237" t="str">
        <f t="shared" si="321"/>
        <v>-</v>
      </c>
      <c r="HD50" s="237" t="str">
        <f t="shared" si="321"/>
        <v>-</v>
      </c>
      <c r="HE50" s="237" t="str">
        <f t="shared" si="321"/>
        <v>-</v>
      </c>
      <c r="HF50" s="237" t="str">
        <f t="shared" si="321"/>
        <v>-</v>
      </c>
      <c r="HG50" s="237" t="str">
        <f t="shared" si="321"/>
        <v>-</v>
      </c>
      <c r="HH50" s="237" t="str">
        <f t="shared" si="321"/>
        <v>-</v>
      </c>
      <c r="HI50" s="237" t="str">
        <f t="shared" si="321"/>
        <v>-</v>
      </c>
      <c r="HJ50" s="237" t="str">
        <f t="shared" si="321"/>
        <v>-</v>
      </c>
      <c r="HK50" s="237" t="str">
        <f t="shared" si="321"/>
        <v>-</v>
      </c>
      <c r="HL50" s="237" t="str">
        <f t="shared" si="321"/>
        <v>-</v>
      </c>
      <c r="HM50" s="237" t="str">
        <f t="shared" si="322"/>
        <v>-</v>
      </c>
      <c r="HN50" s="237" t="str">
        <f t="shared" si="322"/>
        <v>-</v>
      </c>
      <c r="HO50" s="237" t="str">
        <f t="shared" si="322"/>
        <v>-</v>
      </c>
      <c r="HP50" s="237" t="str">
        <f t="shared" si="322"/>
        <v>-</v>
      </c>
      <c r="HQ50" s="237" t="str">
        <f t="shared" si="322"/>
        <v>-</v>
      </c>
      <c r="HR50" s="237" t="str">
        <f t="shared" si="322"/>
        <v>-</v>
      </c>
      <c r="HS50" s="237" t="str">
        <f t="shared" si="322"/>
        <v>-</v>
      </c>
      <c r="HT50" s="237" t="str">
        <f t="shared" si="322"/>
        <v>-</v>
      </c>
      <c r="HU50" s="237" t="str">
        <f t="shared" si="322"/>
        <v>-</v>
      </c>
      <c r="HV50" s="237" t="str">
        <f t="shared" si="322"/>
        <v>-</v>
      </c>
      <c r="HW50" s="237" t="str">
        <f t="shared" si="323"/>
        <v>-</v>
      </c>
      <c r="HX50" s="237" t="str">
        <f t="shared" si="323"/>
        <v>-</v>
      </c>
      <c r="HY50" s="237" t="str">
        <f t="shared" si="323"/>
        <v>-</v>
      </c>
      <c r="HZ50" s="237" t="str">
        <f t="shared" si="323"/>
        <v>-</v>
      </c>
      <c r="IA50" s="237" t="str">
        <f t="shared" si="323"/>
        <v>-</v>
      </c>
      <c r="IB50" s="237" t="str">
        <f t="shared" si="323"/>
        <v>-</v>
      </c>
      <c r="IC50" s="237" t="str">
        <f t="shared" si="323"/>
        <v>-</v>
      </c>
      <c r="ID50" s="237" t="str">
        <f t="shared" si="323"/>
        <v>-</v>
      </c>
      <c r="IE50" s="237" t="str">
        <f t="shared" si="323"/>
        <v>-</v>
      </c>
      <c r="IF50" s="237" t="str">
        <f t="shared" si="323"/>
        <v>-</v>
      </c>
      <c r="IG50" s="312">
        <f t="shared" si="324"/>
        <v>3.2239913658116314E-5</v>
      </c>
      <c r="IH50" s="99">
        <f t="shared" si="325"/>
        <v>7.254198071474533E-5</v>
      </c>
      <c r="II50" s="99">
        <f t="shared" si="326"/>
        <v>4.5486860693444228E-5</v>
      </c>
      <c r="IJ50" s="99">
        <f t="shared" si="327"/>
        <v>1.7084752838187326E-5</v>
      </c>
      <c r="IK50" s="99">
        <f t="shared" si="328"/>
        <v>5.3063677062793067E-6</v>
      </c>
      <c r="IL50" s="99">
        <f t="shared" si="329"/>
        <v>3.3662403886835035E-6</v>
      </c>
      <c r="IM50" s="312" t="str">
        <f t="shared" si="330"/>
        <v/>
      </c>
      <c r="IN50" s="99" t="str">
        <f t="shared" si="331"/>
        <v/>
      </c>
      <c r="IO50" s="99" t="str">
        <f t="shared" si="332"/>
        <v/>
      </c>
      <c r="IP50" s="99" t="str">
        <f t="shared" si="333"/>
        <v/>
      </c>
      <c r="IQ50" s="99" t="str">
        <f t="shared" si="334"/>
        <v/>
      </c>
      <c r="IR50" s="99" t="str">
        <f t="shared" si="335"/>
        <v/>
      </c>
      <c r="IS50" s="312" t="str">
        <f t="shared" si="336"/>
        <v/>
      </c>
      <c r="IT50" s="99" t="str">
        <f t="shared" si="337"/>
        <v/>
      </c>
      <c r="IU50" s="99" t="str">
        <f t="shared" si="337"/>
        <v/>
      </c>
      <c r="IV50" s="99" t="str">
        <f t="shared" si="337"/>
        <v/>
      </c>
      <c r="IW50" s="99" t="str">
        <f t="shared" si="337"/>
        <v/>
      </c>
      <c r="IX50" s="99" t="str">
        <f t="shared" si="337"/>
        <v/>
      </c>
      <c r="IY50" s="312" t="str">
        <f t="shared" si="338"/>
        <v/>
      </c>
      <c r="IZ50" s="99" t="str">
        <f t="shared" si="339"/>
        <v/>
      </c>
      <c r="JA50" s="99" t="str">
        <f t="shared" si="339"/>
        <v/>
      </c>
      <c r="JB50" s="99" t="str">
        <f t="shared" si="339"/>
        <v/>
      </c>
      <c r="JC50" s="99" t="str">
        <f t="shared" si="339"/>
        <v/>
      </c>
      <c r="JD50" s="313" t="str">
        <f t="shared" si="339"/>
        <v/>
      </c>
      <c r="JF50" s="66">
        <f t="shared" si="224"/>
        <v>50</v>
      </c>
      <c r="JG50" s="171">
        <f t="shared" ca="1" si="340"/>
        <v>4.5486860693444228E-5</v>
      </c>
      <c r="JH50" s="171">
        <f t="shared" ca="1" si="341"/>
        <v>1.7084752838187326E-5</v>
      </c>
      <c r="JI50" s="171">
        <f t="shared" ca="1" si="342"/>
        <v>5.3063677062793067E-6</v>
      </c>
      <c r="JJ50" s="171">
        <f t="shared" ca="1" si="343"/>
        <v>15</v>
      </c>
      <c r="JK50" s="162"/>
      <c r="JL50" s="165">
        <f t="shared" ca="1" si="121"/>
        <v>4.5486860693444228E-5</v>
      </c>
      <c r="JM50" s="166">
        <f t="shared" ca="1" si="310"/>
        <v>3.1285806765815777E-5</v>
      </c>
      <c r="JN50" s="166">
        <f t="shared" ca="1" si="311"/>
        <v>1.1195560272233317E-5</v>
      </c>
      <c r="JO50" s="165">
        <f t="shared" ca="1" si="122"/>
        <v>5.3063677062793067E-6</v>
      </c>
      <c r="JP50" s="173">
        <f t="shared" ca="1" si="123"/>
        <v>9.3274595437772617E-5</v>
      </c>
    </row>
    <row r="51" spans="1:276" s="163" customFormat="1" x14ac:dyDescent="0.35">
      <c r="A51" s="125">
        <v>0</v>
      </c>
      <c r="B51" s="125">
        <v>0</v>
      </c>
      <c r="C51" s="125">
        <v>1</v>
      </c>
      <c r="E51" s="142" t="s">
        <v>90</v>
      </c>
      <c r="F51" s="227" t="s">
        <v>91</v>
      </c>
      <c r="G51" s="228" t="s">
        <v>540</v>
      </c>
      <c r="H51" s="229" t="s">
        <v>543</v>
      </c>
      <c r="I51" s="8" t="s">
        <v>544</v>
      </c>
      <c r="J51" s="211">
        <v>1.3936155013407972E-5</v>
      </c>
      <c r="K51" s="230">
        <v>1.099414720426742E-5</v>
      </c>
      <c r="L51" s="230">
        <v>1.3538088670783891E-5</v>
      </c>
      <c r="M51" s="230">
        <v>4.0832386745232469E-5</v>
      </c>
      <c r="N51" s="230" t="s">
        <v>805</v>
      </c>
      <c r="O51" s="230" t="s">
        <v>805</v>
      </c>
      <c r="P51" s="230" t="s">
        <v>805</v>
      </c>
      <c r="Q51" s="230" t="s">
        <v>805</v>
      </c>
      <c r="R51" s="230" t="s">
        <v>805</v>
      </c>
      <c r="S51" s="230" t="s">
        <v>805</v>
      </c>
      <c r="T51" s="230" t="s">
        <v>805</v>
      </c>
      <c r="U51" s="230" t="s">
        <v>805</v>
      </c>
      <c r="V51" s="230" t="s">
        <v>805</v>
      </c>
      <c r="W51" s="230" t="s">
        <v>805</v>
      </c>
      <c r="X51" s="230" t="s">
        <v>805</v>
      </c>
      <c r="Y51" s="230" t="s">
        <v>805</v>
      </c>
      <c r="Z51" s="230" t="s">
        <v>805</v>
      </c>
      <c r="AA51" s="230" t="s">
        <v>805</v>
      </c>
      <c r="AB51" s="230" t="s">
        <v>805</v>
      </c>
      <c r="AC51" s="230" t="s">
        <v>805</v>
      </c>
      <c r="AD51" s="230" t="s">
        <v>805</v>
      </c>
      <c r="AE51" s="230" t="s">
        <v>805</v>
      </c>
      <c r="AF51" s="230" t="s">
        <v>805</v>
      </c>
      <c r="AG51" s="230" t="s">
        <v>805</v>
      </c>
      <c r="AH51" s="230" t="s">
        <v>805</v>
      </c>
      <c r="AI51" s="230" t="s">
        <v>805</v>
      </c>
      <c r="AJ51" s="230" t="s">
        <v>805</v>
      </c>
      <c r="AK51" s="230" t="s">
        <v>805</v>
      </c>
      <c r="AL51" s="230" t="s">
        <v>805</v>
      </c>
      <c r="AM51" s="230" t="s">
        <v>805</v>
      </c>
      <c r="AN51" s="230" t="s">
        <v>805</v>
      </c>
      <c r="AO51" s="230" t="s">
        <v>805</v>
      </c>
      <c r="AP51" s="230" t="s">
        <v>805</v>
      </c>
      <c r="AQ51" s="230" t="s">
        <v>805</v>
      </c>
      <c r="AR51" s="230" t="s">
        <v>805</v>
      </c>
      <c r="AS51" s="230" t="s">
        <v>805</v>
      </c>
      <c r="AT51" s="230" t="s">
        <v>805</v>
      </c>
      <c r="AU51" s="230" t="s">
        <v>805</v>
      </c>
      <c r="AV51" s="230" t="s">
        <v>805</v>
      </c>
      <c r="AW51" s="230" t="s">
        <v>805</v>
      </c>
      <c r="AX51" s="230" t="s">
        <v>805</v>
      </c>
      <c r="AY51" s="230" t="s">
        <v>805</v>
      </c>
      <c r="AZ51" s="230" t="s">
        <v>805</v>
      </c>
      <c r="BA51" s="230" t="s">
        <v>805</v>
      </c>
      <c r="BB51" s="230" t="s">
        <v>805</v>
      </c>
      <c r="BC51" s="230" t="s">
        <v>805</v>
      </c>
      <c r="BD51" s="230" t="s">
        <v>805</v>
      </c>
      <c r="BE51" s="230" t="s">
        <v>805</v>
      </c>
      <c r="BF51" s="230" t="s">
        <v>805</v>
      </c>
      <c r="BG51" s="230" t="s">
        <v>805</v>
      </c>
      <c r="BH51" s="230" t="s">
        <v>805</v>
      </c>
      <c r="BI51" s="230" t="s">
        <v>805</v>
      </c>
      <c r="BJ51" s="230" t="s">
        <v>805</v>
      </c>
      <c r="BK51" s="230" t="s">
        <v>805</v>
      </c>
      <c r="BL51" s="230" t="s">
        <v>805</v>
      </c>
      <c r="BM51" s="230" t="s">
        <v>805</v>
      </c>
      <c r="BN51" s="230" t="s">
        <v>805</v>
      </c>
      <c r="BO51" s="230" t="s">
        <v>805</v>
      </c>
      <c r="BP51" s="230" t="s">
        <v>805</v>
      </c>
      <c r="BQ51" s="230" t="s">
        <v>805</v>
      </c>
      <c r="BR51" s="230" t="s">
        <v>805</v>
      </c>
      <c r="BS51" s="230" t="s">
        <v>805</v>
      </c>
      <c r="BT51" s="230" t="s">
        <v>805</v>
      </c>
      <c r="BU51" s="230" t="s">
        <v>805</v>
      </c>
      <c r="BV51" s="230" t="s">
        <v>805</v>
      </c>
      <c r="BW51" s="230" t="s">
        <v>805</v>
      </c>
      <c r="BX51" s="230" t="s">
        <v>805</v>
      </c>
      <c r="BY51" s="230" t="s">
        <v>805</v>
      </c>
      <c r="BZ51" s="230" t="s">
        <v>805</v>
      </c>
      <c r="CA51" s="230" t="s">
        <v>805</v>
      </c>
      <c r="CB51" s="230" t="s">
        <v>805</v>
      </c>
      <c r="CC51" s="230" t="s">
        <v>805</v>
      </c>
      <c r="CD51" s="230" t="s">
        <v>805</v>
      </c>
      <c r="CE51" s="230" t="s">
        <v>805</v>
      </c>
      <c r="CF51" s="230" t="s">
        <v>805</v>
      </c>
      <c r="CG51" s="230" t="s">
        <v>805</v>
      </c>
      <c r="CH51" s="230" t="s">
        <v>805</v>
      </c>
      <c r="CI51" s="230" t="s">
        <v>805</v>
      </c>
      <c r="CJ51" s="230" t="s">
        <v>805</v>
      </c>
      <c r="CK51" s="230" t="s">
        <v>805</v>
      </c>
      <c r="CL51" s="230" t="s">
        <v>805</v>
      </c>
      <c r="CM51" s="230" t="s">
        <v>805</v>
      </c>
      <c r="CN51" s="230" t="s">
        <v>805</v>
      </c>
      <c r="CO51" s="230" t="s">
        <v>805</v>
      </c>
      <c r="CP51" s="230" t="s">
        <v>805</v>
      </c>
      <c r="CQ51" s="230" t="s">
        <v>805</v>
      </c>
      <c r="CR51" s="230" t="s">
        <v>805</v>
      </c>
      <c r="CS51" s="230" t="s">
        <v>805</v>
      </c>
      <c r="CT51" s="230" t="s">
        <v>805</v>
      </c>
      <c r="CU51" s="230" t="s">
        <v>805</v>
      </c>
      <c r="CV51" s="230" t="s">
        <v>805</v>
      </c>
      <c r="CW51" s="230" t="s">
        <v>805</v>
      </c>
      <c r="CX51" s="230" t="s">
        <v>805</v>
      </c>
      <c r="CY51" s="230" t="s">
        <v>805</v>
      </c>
      <c r="CZ51" s="230" t="s">
        <v>805</v>
      </c>
      <c r="DA51" s="230" t="s">
        <v>805</v>
      </c>
      <c r="DB51" s="230" t="s">
        <v>805</v>
      </c>
      <c r="DC51" s="230" t="s">
        <v>805</v>
      </c>
      <c r="DD51" s="230" t="s">
        <v>805</v>
      </c>
      <c r="DE51" s="230" t="s">
        <v>805</v>
      </c>
      <c r="DF51" s="230" t="s">
        <v>805</v>
      </c>
      <c r="DG51" s="212">
        <f>VLOOKUP(E51,'KPI Count-SHARE'!A:F,3,0)</f>
        <v>5</v>
      </c>
      <c r="DH51" s="213">
        <v>4.1386176214629402E-5</v>
      </c>
      <c r="DI51" s="232">
        <v>6.9462944842907479E-5</v>
      </c>
      <c r="DJ51" s="232">
        <v>5.9807930089435128E-5</v>
      </c>
      <c r="DK51" s="232">
        <v>4.2913231007384195E-5</v>
      </c>
      <c r="DL51" s="232">
        <v>1.8655609207705739E-5</v>
      </c>
      <c r="DM51" s="232">
        <v>1.3254937337122034E-5</v>
      </c>
      <c r="DN51" s="231">
        <f>VLOOKUP(E51,'KPI Count-SHARE'!A:F,4,0)</f>
        <v>0</v>
      </c>
      <c r="DO51" s="213"/>
      <c r="DP51" s="232"/>
      <c r="DQ51" s="232"/>
      <c r="DR51" s="232"/>
      <c r="DS51" s="232"/>
      <c r="DT51" s="232"/>
      <c r="DU51" s="231">
        <f>VLOOKUP(E51,'KPI Count-SHARE'!A:F,5,0)</f>
        <v>0</v>
      </c>
      <c r="DV51" s="213"/>
      <c r="DW51" s="232"/>
      <c r="DX51" s="232"/>
      <c r="DY51" s="232"/>
      <c r="DZ51" s="232"/>
      <c r="EA51" s="232"/>
      <c r="EB51" s="231">
        <f>VLOOKUP(E51,'KPI Count-SHARE'!A:F,6,0)</f>
        <v>0</v>
      </c>
      <c r="EC51" s="213"/>
      <c r="ED51" s="232"/>
      <c r="EE51" s="232"/>
      <c r="EF51" s="232"/>
      <c r="EG51" s="232"/>
      <c r="EH51" s="232"/>
      <c r="EI51" s="233" t="str">
        <f t="shared" si="312"/>
        <v>FTE per USD '000</v>
      </c>
      <c r="EJ51" s="237">
        <f t="shared" si="313"/>
        <v>1.2403177961933094E-5</v>
      </c>
      <c r="EK51" s="237">
        <f t="shared" si="314"/>
        <v>9.7847910117980037E-6</v>
      </c>
      <c r="EL51" s="237">
        <f t="shared" si="314"/>
        <v>1.2048898916997662E-5</v>
      </c>
      <c r="EM51" s="237">
        <f t="shared" si="314"/>
        <v>3.6340824203256894E-5</v>
      </c>
      <c r="EN51" s="237" t="str">
        <f t="shared" si="314"/>
        <v>-</v>
      </c>
      <c r="EO51" s="237" t="str">
        <f t="shared" si="314"/>
        <v>-</v>
      </c>
      <c r="EP51" s="237" t="str">
        <f t="shared" si="314"/>
        <v>-</v>
      </c>
      <c r="EQ51" s="237" t="str">
        <f t="shared" si="314"/>
        <v>-</v>
      </c>
      <c r="ER51" s="237" t="str">
        <f t="shared" si="314"/>
        <v>-</v>
      </c>
      <c r="ES51" s="237" t="str">
        <f t="shared" si="314"/>
        <v>-</v>
      </c>
      <c r="ET51" s="237" t="str">
        <f t="shared" si="314"/>
        <v>-</v>
      </c>
      <c r="EU51" s="237" t="str">
        <f t="shared" si="315"/>
        <v>-</v>
      </c>
      <c r="EV51" s="237" t="str">
        <f t="shared" si="315"/>
        <v>-</v>
      </c>
      <c r="EW51" s="237" t="str">
        <f t="shared" si="315"/>
        <v>-</v>
      </c>
      <c r="EX51" s="237" t="str">
        <f t="shared" si="315"/>
        <v>-</v>
      </c>
      <c r="EY51" s="237" t="str">
        <f t="shared" si="315"/>
        <v>-</v>
      </c>
      <c r="EZ51" s="237" t="str">
        <f t="shared" si="315"/>
        <v>-</v>
      </c>
      <c r="FA51" s="237" t="str">
        <f t="shared" si="315"/>
        <v>-</v>
      </c>
      <c r="FB51" s="237" t="str">
        <f t="shared" si="315"/>
        <v>-</v>
      </c>
      <c r="FC51" s="237" t="str">
        <f t="shared" si="315"/>
        <v>-</v>
      </c>
      <c r="FD51" s="237" t="str">
        <f t="shared" si="315"/>
        <v>-</v>
      </c>
      <c r="FE51" s="237" t="str">
        <f t="shared" si="316"/>
        <v>-</v>
      </c>
      <c r="FF51" s="237" t="str">
        <f t="shared" si="316"/>
        <v>-</v>
      </c>
      <c r="FG51" s="237" t="str">
        <f t="shared" si="316"/>
        <v>-</v>
      </c>
      <c r="FH51" s="237" t="str">
        <f t="shared" si="316"/>
        <v>-</v>
      </c>
      <c r="FI51" s="237" t="str">
        <f t="shared" si="316"/>
        <v>-</v>
      </c>
      <c r="FJ51" s="237" t="str">
        <f t="shared" si="316"/>
        <v>-</v>
      </c>
      <c r="FK51" s="237" t="str">
        <f t="shared" si="316"/>
        <v>-</v>
      </c>
      <c r="FL51" s="237" t="str">
        <f t="shared" si="316"/>
        <v>-</v>
      </c>
      <c r="FM51" s="237" t="str">
        <f t="shared" si="316"/>
        <v>-</v>
      </c>
      <c r="FN51" s="237" t="str">
        <f t="shared" si="316"/>
        <v>-</v>
      </c>
      <c r="FO51" s="237" t="str">
        <f t="shared" si="317"/>
        <v>-</v>
      </c>
      <c r="FP51" s="237" t="str">
        <f t="shared" si="317"/>
        <v>-</v>
      </c>
      <c r="FQ51" s="237" t="str">
        <f t="shared" si="317"/>
        <v>-</v>
      </c>
      <c r="FR51" s="237" t="str">
        <f t="shared" si="317"/>
        <v>-</v>
      </c>
      <c r="FS51" s="237" t="str">
        <f t="shared" si="317"/>
        <v>-</v>
      </c>
      <c r="FT51" s="237" t="str">
        <f t="shared" si="317"/>
        <v>-</v>
      </c>
      <c r="FU51" s="237" t="str">
        <f t="shared" si="317"/>
        <v>-</v>
      </c>
      <c r="FV51" s="237" t="str">
        <f t="shared" si="317"/>
        <v>-</v>
      </c>
      <c r="FW51" s="237" t="str">
        <f t="shared" si="317"/>
        <v>-</v>
      </c>
      <c r="FX51" s="237" t="str">
        <f t="shared" si="317"/>
        <v>-</v>
      </c>
      <c r="FY51" s="237" t="str">
        <f t="shared" si="318"/>
        <v>-</v>
      </c>
      <c r="FZ51" s="237" t="str">
        <f t="shared" si="318"/>
        <v>-</v>
      </c>
      <c r="GA51" s="237" t="str">
        <f t="shared" si="318"/>
        <v>-</v>
      </c>
      <c r="GB51" s="237" t="str">
        <f t="shared" si="318"/>
        <v>-</v>
      </c>
      <c r="GC51" s="237" t="str">
        <f t="shared" si="318"/>
        <v>-</v>
      </c>
      <c r="GD51" s="237" t="str">
        <f t="shared" si="318"/>
        <v>-</v>
      </c>
      <c r="GE51" s="237" t="str">
        <f t="shared" si="318"/>
        <v>-</v>
      </c>
      <c r="GF51" s="237" t="str">
        <f t="shared" si="318"/>
        <v>-</v>
      </c>
      <c r="GG51" s="237" t="str">
        <f t="shared" si="318"/>
        <v>-</v>
      </c>
      <c r="GH51" s="237" t="str">
        <f t="shared" si="318"/>
        <v>-</v>
      </c>
      <c r="GI51" s="237" t="str">
        <f t="shared" si="319"/>
        <v>-</v>
      </c>
      <c r="GJ51" s="237" t="str">
        <f t="shared" si="319"/>
        <v>-</v>
      </c>
      <c r="GK51" s="237" t="str">
        <f t="shared" si="319"/>
        <v>-</v>
      </c>
      <c r="GL51" s="237" t="str">
        <f t="shared" si="319"/>
        <v>-</v>
      </c>
      <c r="GM51" s="237" t="str">
        <f t="shared" si="319"/>
        <v>-</v>
      </c>
      <c r="GN51" s="237" t="str">
        <f t="shared" si="319"/>
        <v>-</v>
      </c>
      <c r="GO51" s="237" t="str">
        <f t="shared" si="319"/>
        <v>-</v>
      </c>
      <c r="GP51" s="237" t="str">
        <f t="shared" si="319"/>
        <v>-</v>
      </c>
      <c r="GQ51" s="237" t="str">
        <f t="shared" si="319"/>
        <v>-</v>
      </c>
      <c r="GR51" s="237" t="str">
        <f t="shared" si="319"/>
        <v>-</v>
      </c>
      <c r="GS51" s="237" t="str">
        <f t="shared" si="320"/>
        <v>-</v>
      </c>
      <c r="GT51" s="237" t="str">
        <f t="shared" si="320"/>
        <v>-</v>
      </c>
      <c r="GU51" s="237" t="str">
        <f t="shared" si="320"/>
        <v>-</v>
      </c>
      <c r="GV51" s="237" t="str">
        <f t="shared" si="320"/>
        <v>-</v>
      </c>
      <c r="GW51" s="237" t="str">
        <f t="shared" si="320"/>
        <v>-</v>
      </c>
      <c r="GX51" s="237" t="str">
        <f t="shared" si="320"/>
        <v>-</v>
      </c>
      <c r="GY51" s="237" t="str">
        <f t="shared" si="320"/>
        <v>-</v>
      </c>
      <c r="GZ51" s="237" t="str">
        <f t="shared" si="320"/>
        <v>-</v>
      </c>
      <c r="HA51" s="237" t="str">
        <f t="shared" si="320"/>
        <v>-</v>
      </c>
      <c r="HB51" s="237" t="str">
        <f t="shared" si="320"/>
        <v>-</v>
      </c>
      <c r="HC51" s="237" t="str">
        <f t="shared" si="321"/>
        <v>-</v>
      </c>
      <c r="HD51" s="237" t="str">
        <f t="shared" si="321"/>
        <v>-</v>
      </c>
      <c r="HE51" s="237" t="str">
        <f t="shared" si="321"/>
        <v>-</v>
      </c>
      <c r="HF51" s="237" t="str">
        <f t="shared" si="321"/>
        <v>-</v>
      </c>
      <c r="HG51" s="237" t="str">
        <f t="shared" si="321"/>
        <v>-</v>
      </c>
      <c r="HH51" s="237" t="str">
        <f t="shared" si="321"/>
        <v>-</v>
      </c>
      <c r="HI51" s="237" t="str">
        <f t="shared" si="321"/>
        <v>-</v>
      </c>
      <c r="HJ51" s="237" t="str">
        <f t="shared" si="321"/>
        <v>-</v>
      </c>
      <c r="HK51" s="237" t="str">
        <f t="shared" si="321"/>
        <v>-</v>
      </c>
      <c r="HL51" s="237" t="str">
        <f t="shared" si="321"/>
        <v>-</v>
      </c>
      <c r="HM51" s="237" t="str">
        <f t="shared" si="322"/>
        <v>-</v>
      </c>
      <c r="HN51" s="237" t="str">
        <f t="shared" si="322"/>
        <v>-</v>
      </c>
      <c r="HO51" s="237" t="str">
        <f t="shared" si="322"/>
        <v>-</v>
      </c>
      <c r="HP51" s="237" t="str">
        <f t="shared" si="322"/>
        <v>-</v>
      </c>
      <c r="HQ51" s="237" t="str">
        <f t="shared" si="322"/>
        <v>-</v>
      </c>
      <c r="HR51" s="237" t="str">
        <f t="shared" si="322"/>
        <v>-</v>
      </c>
      <c r="HS51" s="237" t="str">
        <f t="shared" si="322"/>
        <v>-</v>
      </c>
      <c r="HT51" s="237" t="str">
        <f t="shared" si="322"/>
        <v>-</v>
      </c>
      <c r="HU51" s="237" t="str">
        <f t="shared" si="322"/>
        <v>-</v>
      </c>
      <c r="HV51" s="237" t="str">
        <f t="shared" si="322"/>
        <v>-</v>
      </c>
      <c r="HW51" s="237" t="str">
        <f t="shared" si="323"/>
        <v>-</v>
      </c>
      <c r="HX51" s="237" t="str">
        <f t="shared" si="323"/>
        <v>-</v>
      </c>
      <c r="HY51" s="237" t="str">
        <f t="shared" si="323"/>
        <v>-</v>
      </c>
      <c r="HZ51" s="237" t="str">
        <f t="shared" si="323"/>
        <v>-</v>
      </c>
      <c r="IA51" s="237" t="str">
        <f t="shared" si="323"/>
        <v>-</v>
      </c>
      <c r="IB51" s="237" t="str">
        <f t="shared" si="323"/>
        <v>-</v>
      </c>
      <c r="IC51" s="237" t="str">
        <f t="shared" si="323"/>
        <v>-</v>
      </c>
      <c r="ID51" s="237" t="str">
        <f t="shared" si="323"/>
        <v>-</v>
      </c>
      <c r="IE51" s="237" t="str">
        <f t="shared" si="323"/>
        <v>-</v>
      </c>
      <c r="IF51" s="237" t="str">
        <f t="shared" si="323"/>
        <v>-</v>
      </c>
      <c r="IG51" s="312">
        <f t="shared" si="324"/>
        <v>3.6833696831020164E-5</v>
      </c>
      <c r="IH51" s="99">
        <f t="shared" si="325"/>
        <v>6.1822020910187649E-5</v>
      </c>
      <c r="II51" s="99">
        <f t="shared" si="326"/>
        <v>5.3229057779597264E-5</v>
      </c>
      <c r="IJ51" s="99">
        <f t="shared" si="327"/>
        <v>3.8192775596571928E-5</v>
      </c>
      <c r="IK51" s="99">
        <f t="shared" si="328"/>
        <v>1.6603492194858106E-5</v>
      </c>
      <c r="IL51" s="99">
        <f t="shared" si="329"/>
        <v>1.179689423003861E-5</v>
      </c>
      <c r="IM51" s="312" t="str">
        <f t="shared" si="330"/>
        <v/>
      </c>
      <c r="IN51" s="99" t="str">
        <f t="shared" si="331"/>
        <v/>
      </c>
      <c r="IO51" s="99" t="str">
        <f t="shared" si="332"/>
        <v/>
      </c>
      <c r="IP51" s="99" t="str">
        <f t="shared" si="333"/>
        <v/>
      </c>
      <c r="IQ51" s="99" t="str">
        <f t="shared" si="334"/>
        <v/>
      </c>
      <c r="IR51" s="99" t="str">
        <f t="shared" si="335"/>
        <v/>
      </c>
      <c r="IS51" s="312" t="str">
        <f t="shared" si="336"/>
        <v/>
      </c>
      <c r="IT51" s="99" t="str">
        <f t="shared" si="337"/>
        <v/>
      </c>
      <c r="IU51" s="99" t="str">
        <f t="shared" si="337"/>
        <v/>
      </c>
      <c r="IV51" s="99" t="str">
        <f t="shared" si="337"/>
        <v/>
      </c>
      <c r="IW51" s="99" t="str">
        <f t="shared" si="337"/>
        <v/>
      </c>
      <c r="IX51" s="99" t="str">
        <f t="shared" si="337"/>
        <v/>
      </c>
      <c r="IY51" s="312" t="str">
        <f t="shared" si="338"/>
        <v/>
      </c>
      <c r="IZ51" s="99" t="str">
        <f t="shared" si="339"/>
        <v/>
      </c>
      <c r="JA51" s="99" t="str">
        <f t="shared" si="339"/>
        <v/>
      </c>
      <c r="JB51" s="99" t="str">
        <f t="shared" si="339"/>
        <v/>
      </c>
      <c r="JC51" s="99" t="str">
        <f t="shared" si="339"/>
        <v/>
      </c>
      <c r="JD51" s="313" t="str">
        <f t="shared" si="339"/>
        <v/>
      </c>
      <c r="JF51" s="66">
        <f t="shared" si="224"/>
        <v>51</v>
      </c>
      <c r="JG51" s="171">
        <f t="shared" ca="1" si="340"/>
        <v>5.3229057779597264E-5</v>
      </c>
      <c r="JH51" s="171">
        <f t="shared" ca="1" si="341"/>
        <v>3.8192775596571928E-5</v>
      </c>
      <c r="JI51" s="171">
        <f t="shared" ca="1" si="342"/>
        <v>1.6603492194858106E-5</v>
      </c>
      <c r="JJ51" s="171">
        <f t="shared" ca="1" si="343"/>
        <v>5</v>
      </c>
      <c r="JK51" s="162"/>
      <c r="JL51" s="165">
        <f t="shared" ca="1" si="121"/>
        <v>5.3229057779597264E-5</v>
      </c>
      <c r="JM51" s="166">
        <f t="shared" ca="1" si="310"/>
        <v>4.5710916688084592E-5</v>
      </c>
      <c r="JN51" s="166">
        <f t="shared" ca="1" si="311"/>
        <v>2.7398133895715015E-5</v>
      </c>
      <c r="JO51" s="165">
        <f t="shared" ca="1" si="122"/>
        <v>1.6603492194858106E-5</v>
      </c>
      <c r="JP51" s="173">
        <f t="shared" ca="1" si="123"/>
        <v>1.4294160055825495E-4</v>
      </c>
    </row>
    <row r="52" spans="1:276" s="163" customFormat="1" x14ac:dyDescent="0.35">
      <c r="A52" s="125">
        <v>0</v>
      </c>
      <c r="B52" s="125">
        <v>0</v>
      </c>
      <c r="C52" s="125">
        <v>1</v>
      </c>
      <c r="E52" s="142" t="s">
        <v>92</v>
      </c>
      <c r="F52" s="227" t="s">
        <v>93</v>
      </c>
      <c r="G52" s="228" t="s">
        <v>540</v>
      </c>
      <c r="H52" s="229" t="s">
        <v>543</v>
      </c>
      <c r="I52" s="8" t="s">
        <v>544</v>
      </c>
      <c r="J52" s="211">
        <v>1.290384723463701E-5</v>
      </c>
      <c r="K52" s="230">
        <v>1.099414720426742E-5</v>
      </c>
      <c r="L52" s="230">
        <v>2.1274139339803256E-5</v>
      </c>
      <c r="M52" s="230" t="s">
        <v>805</v>
      </c>
      <c r="N52" s="230" t="s">
        <v>805</v>
      </c>
      <c r="O52" s="230" t="s">
        <v>805</v>
      </c>
      <c r="P52" s="230" t="s">
        <v>805</v>
      </c>
      <c r="Q52" s="230" t="s">
        <v>805</v>
      </c>
      <c r="R52" s="230" t="s">
        <v>805</v>
      </c>
      <c r="S52" s="230" t="s">
        <v>805</v>
      </c>
      <c r="T52" s="230" t="s">
        <v>805</v>
      </c>
      <c r="U52" s="230" t="s">
        <v>805</v>
      </c>
      <c r="V52" s="230" t="s">
        <v>805</v>
      </c>
      <c r="W52" s="230" t="s">
        <v>805</v>
      </c>
      <c r="X52" s="230" t="s">
        <v>805</v>
      </c>
      <c r="Y52" s="230" t="s">
        <v>805</v>
      </c>
      <c r="Z52" s="230" t="s">
        <v>805</v>
      </c>
      <c r="AA52" s="230" t="s">
        <v>805</v>
      </c>
      <c r="AB52" s="230" t="s">
        <v>805</v>
      </c>
      <c r="AC52" s="230" t="s">
        <v>805</v>
      </c>
      <c r="AD52" s="230" t="s">
        <v>805</v>
      </c>
      <c r="AE52" s="230" t="s">
        <v>805</v>
      </c>
      <c r="AF52" s="230" t="s">
        <v>805</v>
      </c>
      <c r="AG52" s="230" t="s">
        <v>805</v>
      </c>
      <c r="AH52" s="230" t="s">
        <v>805</v>
      </c>
      <c r="AI52" s="230" t="s">
        <v>805</v>
      </c>
      <c r="AJ52" s="230" t="s">
        <v>805</v>
      </c>
      <c r="AK52" s="230" t="s">
        <v>805</v>
      </c>
      <c r="AL52" s="230" t="s">
        <v>805</v>
      </c>
      <c r="AM52" s="230" t="s">
        <v>805</v>
      </c>
      <c r="AN52" s="230" t="s">
        <v>805</v>
      </c>
      <c r="AO52" s="230" t="s">
        <v>805</v>
      </c>
      <c r="AP52" s="230" t="s">
        <v>805</v>
      </c>
      <c r="AQ52" s="230" t="s">
        <v>805</v>
      </c>
      <c r="AR52" s="230" t="s">
        <v>805</v>
      </c>
      <c r="AS52" s="230" t="s">
        <v>805</v>
      </c>
      <c r="AT52" s="230" t="s">
        <v>805</v>
      </c>
      <c r="AU52" s="230" t="s">
        <v>805</v>
      </c>
      <c r="AV52" s="230" t="s">
        <v>805</v>
      </c>
      <c r="AW52" s="230" t="s">
        <v>805</v>
      </c>
      <c r="AX52" s="230" t="s">
        <v>805</v>
      </c>
      <c r="AY52" s="230" t="s">
        <v>805</v>
      </c>
      <c r="AZ52" s="230" t="s">
        <v>805</v>
      </c>
      <c r="BA52" s="230" t="s">
        <v>805</v>
      </c>
      <c r="BB52" s="230" t="s">
        <v>805</v>
      </c>
      <c r="BC52" s="230" t="s">
        <v>805</v>
      </c>
      <c r="BD52" s="230" t="s">
        <v>805</v>
      </c>
      <c r="BE52" s="230" t="s">
        <v>805</v>
      </c>
      <c r="BF52" s="230" t="s">
        <v>805</v>
      </c>
      <c r="BG52" s="230" t="s">
        <v>805</v>
      </c>
      <c r="BH52" s="230" t="s">
        <v>805</v>
      </c>
      <c r="BI52" s="230" t="s">
        <v>805</v>
      </c>
      <c r="BJ52" s="230" t="s">
        <v>805</v>
      </c>
      <c r="BK52" s="230" t="s">
        <v>805</v>
      </c>
      <c r="BL52" s="230" t="s">
        <v>805</v>
      </c>
      <c r="BM52" s="230" t="s">
        <v>805</v>
      </c>
      <c r="BN52" s="230" t="s">
        <v>805</v>
      </c>
      <c r="BO52" s="230" t="s">
        <v>805</v>
      </c>
      <c r="BP52" s="230" t="s">
        <v>805</v>
      </c>
      <c r="BQ52" s="230" t="s">
        <v>805</v>
      </c>
      <c r="BR52" s="230" t="s">
        <v>805</v>
      </c>
      <c r="BS52" s="230" t="s">
        <v>805</v>
      </c>
      <c r="BT52" s="230" t="s">
        <v>805</v>
      </c>
      <c r="BU52" s="230" t="s">
        <v>805</v>
      </c>
      <c r="BV52" s="230" t="s">
        <v>805</v>
      </c>
      <c r="BW52" s="230" t="s">
        <v>805</v>
      </c>
      <c r="BX52" s="230" t="s">
        <v>805</v>
      </c>
      <c r="BY52" s="230" t="s">
        <v>805</v>
      </c>
      <c r="BZ52" s="230" t="s">
        <v>805</v>
      </c>
      <c r="CA52" s="230" t="s">
        <v>805</v>
      </c>
      <c r="CB52" s="230" t="s">
        <v>805</v>
      </c>
      <c r="CC52" s="230" t="s">
        <v>805</v>
      </c>
      <c r="CD52" s="230" t="s">
        <v>805</v>
      </c>
      <c r="CE52" s="230" t="s">
        <v>805</v>
      </c>
      <c r="CF52" s="230" t="s">
        <v>805</v>
      </c>
      <c r="CG52" s="230" t="s">
        <v>805</v>
      </c>
      <c r="CH52" s="230" t="s">
        <v>805</v>
      </c>
      <c r="CI52" s="230" t="s">
        <v>805</v>
      </c>
      <c r="CJ52" s="230" t="s">
        <v>805</v>
      </c>
      <c r="CK52" s="230" t="s">
        <v>805</v>
      </c>
      <c r="CL52" s="230" t="s">
        <v>805</v>
      </c>
      <c r="CM52" s="230" t="s">
        <v>805</v>
      </c>
      <c r="CN52" s="230" t="s">
        <v>805</v>
      </c>
      <c r="CO52" s="230" t="s">
        <v>805</v>
      </c>
      <c r="CP52" s="230" t="s">
        <v>805</v>
      </c>
      <c r="CQ52" s="230" t="s">
        <v>805</v>
      </c>
      <c r="CR52" s="230" t="s">
        <v>805</v>
      </c>
      <c r="CS52" s="230" t="s">
        <v>805</v>
      </c>
      <c r="CT52" s="230" t="s">
        <v>805</v>
      </c>
      <c r="CU52" s="230" t="s">
        <v>805</v>
      </c>
      <c r="CV52" s="230" t="s">
        <v>805</v>
      </c>
      <c r="CW52" s="230" t="s">
        <v>805</v>
      </c>
      <c r="CX52" s="230" t="s">
        <v>805</v>
      </c>
      <c r="CY52" s="230" t="s">
        <v>805</v>
      </c>
      <c r="CZ52" s="230" t="s">
        <v>805</v>
      </c>
      <c r="DA52" s="230" t="s">
        <v>805</v>
      </c>
      <c r="DB52" s="230" t="s">
        <v>805</v>
      </c>
      <c r="DC52" s="230" t="s">
        <v>805</v>
      </c>
      <c r="DD52" s="230" t="s">
        <v>805</v>
      </c>
      <c r="DE52" s="230" t="s">
        <v>805</v>
      </c>
      <c r="DF52" s="230" t="s">
        <v>805</v>
      </c>
      <c r="DG52" s="212">
        <f>VLOOKUP(E52,'KPI Count-SHARE'!A:F,3,0)</f>
        <v>5</v>
      </c>
      <c r="DH52" s="213">
        <v>1.4751432684144378E-5</v>
      </c>
      <c r="DI52" s="232">
        <v>2.5245299560866652E-5</v>
      </c>
      <c r="DJ52" s="232">
        <v>1.9952611475025766E-5</v>
      </c>
      <c r="DK52" s="232">
        <v>1.3245663017619652E-5</v>
      </c>
      <c r="DL52" s="232">
        <v>1.1244388347440356E-5</v>
      </c>
      <c r="DM52" s="232">
        <v>4.8222007165014586E-6</v>
      </c>
      <c r="DN52" s="231">
        <f>VLOOKUP(E52,'KPI Count-SHARE'!A:F,4,0)</f>
        <v>0</v>
      </c>
      <c r="DO52" s="213"/>
      <c r="DP52" s="232"/>
      <c r="DQ52" s="232"/>
      <c r="DR52" s="232"/>
      <c r="DS52" s="232"/>
      <c r="DT52" s="232"/>
      <c r="DU52" s="231">
        <f>VLOOKUP(E52,'KPI Count-SHARE'!A:F,5,0)</f>
        <v>0</v>
      </c>
      <c r="DV52" s="213"/>
      <c r="DW52" s="232"/>
      <c r="DX52" s="232"/>
      <c r="DY52" s="232"/>
      <c r="DZ52" s="232"/>
      <c r="EA52" s="232"/>
      <c r="EB52" s="231">
        <f>VLOOKUP(E52,'KPI Count-SHARE'!A:F,6,0)</f>
        <v>0</v>
      </c>
      <c r="EC52" s="213"/>
      <c r="ED52" s="232"/>
      <c r="EE52" s="232"/>
      <c r="EF52" s="232"/>
      <c r="EG52" s="232"/>
      <c r="EH52" s="232"/>
      <c r="EI52" s="233" t="str">
        <f t="shared" si="312"/>
        <v>FTE per USD '000</v>
      </c>
      <c r="EJ52" s="237">
        <f t="shared" si="313"/>
        <v>1.1484424038826939E-5</v>
      </c>
      <c r="EK52" s="237">
        <f t="shared" si="314"/>
        <v>9.7847910117980037E-6</v>
      </c>
      <c r="EL52" s="237">
        <f t="shared" si="314"/>
        <v>1.8933984012424897E-5</v>
      </c>
      <c r="EM52" s="237" t="str">
        <f t="shared" si="314"/>
        <v>-</v>
      </c>
      <c r="EN52" s="237" t="str">
        <f t="shared" si="314"/>
        <v>-</v>
      </c>
      <c r="EO52" s="237" t="str">
        <f t="shared" si="314"/>
        <v>-</v>
      </c>
      <c r="EP52" s="237" t="str">
        <f t="shared" si="314"/>
        <v>-</v>
      </c>
      <c r="EQ52" s="237" t="str">
        <f t="shared" si="314"/>
        <v>-</v>
      </c>
      <c r="ER52" s="237" t="str">
        <f t="shared" si="314"/>
        <v>-</v>
      </c>
      <c r="ES52" s="237" t="str">
        <f t="shared" si="314"/>
        <v>-</v>
      </c>
      <c r="ET52" s="237" t="str">
        <f t="shared" si="314"/>
        <v>-</v>
      </c>
      <c r="EU52" s="237" t="str">
        <f t="shared" si="315"/>
        <v>-</v>
      </c>
      <c r="EV52" s="237" t="str">
        <f t="shared" si="315"/>
        <v>-</v>
      </c>
      <c r="EW52" s="237" t="str">
        <f t="shared" si="315"/>
        <v>-</v>
      </c>
      <c r="EX52" s="237" t="str">
        <f t="shared" si="315"/>
        <v>-</v>
      </c>
      <c r="EY52" s="237" t="str">
        <f t="shared" si="315"/>
        <v>-</v>
      </c>
      <c r="EZ52" s="237" t="str">
        <f t="shared" si="315"/>
        <v>-</v>
      </c>
      <c r="FA52" s="237" t="str">
        <f t="shared" si="315"/>
        <v>-</v>
      </c>
      <c r="FB52" s="237" t="str">
        <f t="shared" si="315"/>
        <v>-</v>
      </c>
      <c r="FC52" s="237" t="str">
        <f t="shared" si="315"/>
        <v>-</v>
      </c>
      <c r="FD52" s="237" t="str">
        <f t="shared" si="315"/>
        <v>-</v>
      </c>
      <c r="FE52" s="237" t="str">
        <f t="shared" si="316"/>
        <v>-</v>
      </c>
      <c r="FF52" s="237" t="str">
        <f t="shared" si="316"/>
        <v>-</v>
      </c>
      <c r="FG52" s="237" t="str">
        <f t="shared" si="316"/>
        <v>-</v>
      </c>
      <c r="FH52" s="237" t="str">
        <f t="shared" si="316"/>
        <v>-</v>
      </c>
      <c r="FI52" s="237" t="str">
        <f t="shared" si="316"/>
        <v>-</v>
      </c>
      <c r="FJ52" s="237" t="str">
        <f t="shared" si="316"/>
        <v>-</v>
      </c>
      <c r="FK52" s="237" t="str">
        <f t="shared" si="316"/>
        <v>-</v>
      </c>
      <c r="FL52" s="237" t="str">
        <f t="shared" si="316"/>
        <v>-</v>
      </c>
      <c r="FM52" s="237" t="str">
        <f t="shared" si="316"/>
        <v>-</v>
      </c>
      <c r="FN52" s="237" t="str">
        <f t="shared" si="316"/>
        <v>-</v>
      </c>
      <c r="FO52" s="237" t="str">
        <f t="shared" si="317"/>
        <v>-</v>
      </c>
      <c r="FP52" s="237" t="str">
        <f t="shared" si="317"/>
        <v>-</v>
      </c>
      <c r="FQ52" s="237" t="str">
        <f t="shared" si="317"/>
        <v>-</v>
      </c>
      <c r="FR52" s="237" t="str">
        <f t="shared" si="317"/>
        <v>-</v>
      </c>
      <c r="FS52" s="237" t="str">
        <f t="shared" si="317"/>
        <v>-</v>
      </c>
      <c r="FT52" s="237" t="str">
        <f t="shared" si="317"/>
        <v>-</v>
      </c>
      <c r="FU52" s="237" t="str">
        <f t="shared" si="317"/>
        <v>-</v>
      </c>
      <c r="FV52" s="237" t="str">
        <f t="shared" si="317"/>
        <v>-</v>
      </c>
      <c r="FW52" s="237" t="str">
        <f t="shared" si="317"/>
        <v>-</v>
      </c>
      <c r="FX52" s="237" t="str">
        <f t="shared" si="317"/>
        <v>-</v>
      </c>
      <c r="FY52" s="237" t="str">
        <f t="shared" si="318"/>
        <v>-</v>
      </c>
      <c r="FZ52" s="237" t="str">
        <f t="shared" si="318"/>
        <v>-</v>
      </c>
      <c r="GA52" s="237" t="str">
        <f t="shared" si="318"/>
        <v>-</v>
      </c>
      <c r="GB52" s="237" t="str">
        <f t="shared" si="318"/>
        <v>-</v>
      </c>
      <c r="GC52" s="237" t="str">
        <f t="shared" si="318"/>
        <v>-</v>
      </c>
      <c r="GD52" s="237" t="str">
        <f t="shared" si="318"/>
        <v>-</v>
      </c>
      <c r="GE52" s="237" t="str">
        <f t="shared" si="318"/>
        <v>-</v>
      </c>
      <c r="GF52" s="237" t="str">
        <f t="shared" si="318"/>
        <v>-</v>
      </c>
      <c r="GG52" s="237" t="str">
        <f t="shared" si="318"/>
        <v>-</v>
      </c>
      <c r="GH52" s="237" t="str">
        <f t="shared" si="318"/>
        <v>-</v>
      </c>
      <c r="GI52" s="237" t="str">
        <f t="shared" si="319"/>
        <v>-</v>
      </c>
      <c r="GJ52" s="237" t="str">
        <f t="shared" si="319"/>
        <v>-</v>
      </c>
      <c r="GK52" s="237" t="str">
        <f t="shared" si="319"/>
        <v>-</v>
      </c>
      <c r="GL52" s="237" t="str">
        <f t="shared" si="319"/>
        <v>-</v>
      </c>
      <c r="GM52" s="237" t="str">
        <f t="shared" si="319"/>
        <v>-</v>
      </c>
      <c r="GN52" s="237" t="str">
        <f t="shared" si="319"/>
        <v>-</v>
      </c>
      <c r="GO52" s="237" t="str">
        <f t="shared" si="319"/>
        <v>-</v>
      </c>
      <c r="GP52" s="237" t="str">
        <f t="shared" si="319"/>
        <v>-</v>
      </c>
      <c r="GQ52" s="237" t="str">
        <f t="shared" si="319"/>
        <v>-</v>
      </c>
      <c r="GR52" s="237" t="str">
        <f t="shared" si="319"/>
        <v>-</v>
      </c>
      <c r="GS52" s="237" t="str">
        <f t="shared" si="320"/>
        <v>-</v>
      </c>
      <c r="GT52" s="237" t="str">
        <f t="shared" si="320"/>
        <v>-</v>
      </c>
      <c r="GU52" s="237" t="str">
        <f t="shared" si="320"/>
        <v>-</v>
      </c>
      <c r="GV52" s="237" t="str">
        <f t="shared" si="320"/>
        <v>-</v>
      </c>
      <c r="GW52" s="237" t="str">
        <f t="shared" si="320"/>
        <v>-</v>
      </c>
      <c r="GX52" s="237" t="str">
        <f t="shared" si="320"/>
        <v>-</v>
      </c>
      <c r="GY52" s="237" t="str">
        <f t="shared" si="320"/>
        <v>-</v>
      </c>
      <c r="GZ52" s="237" t="str">
        <f t="shared" si="320"/>
        <v>-</v>
      </c>
      <c r="HA52" s="237" t="str">
        <f t="shared" si="320"/>
        <v>-</v>
      </c>
      <c r="HB52" s="237" t="str">
        <f t="shared" si="320"/>
        <v>-</v>
      </c>
      <c r="HC52" s="237" t="str">
        <f t="shared" si="321"/>
        <v>-</v>
      </c>
      <c r="HD52" s="237" t="str">
        <f t="shared" si="321"/>
        <v>-</v>
      </c>
      <c r="HE52" s="237" t="str">
        <f t="shared" si="321"/>
        <v>-</v>
      </c>
      <c r="HF52" s="237" t="str">
        <f t="shared" si="321"/>
        <v>-</v>
      </c>
      <c r="HG52" s="237" t="str">
        <f t="shared" si="321"/>
        <v>-</v>
      </c>
      <c r="HH52" s="237" t="str">
        <f t="shared" si="321"/>
        <v>-</v>
      </c>
      <c r="HI52" s="237" t="str">
        <f t="shared" si="321"/>
        <v>-</v>
      </c>
      <c r="HJ52" s="237" t="str">
        <f t="shared" si="321"/>
        <v>-</v>
      </c>
      <c r="HK52" s="237" t="str">
        <f t="shared" si="321"/>
        <v>-</v>
      </c>
      <c r="HL52" s="237" t="str">
        <f t="shared" si="321"/>
        <v>-</v>
      </c>
      <c r="HM52" s="237" t="str">
        <f t="shared" si="322"/>
        <v>-</v>
      </c>
      <c r="HN52" s="237" t="str">
        <f t="shared" si="322"/>
        <v>-</v>
      </c>
      <c r="HO52" s="237" t="str">
        <f t="shared" si="322"/>
        <v>-</v>
      </c>
      <c r="HP52" s="237" t="str">
        <f t="shared" si="322"/>
        <v>-</v>
      </c>
      <c r="HQ52" s="237" t="str">
        <f t="shared" si="322"/>
        <v>-</v>
      </c>
      <c r="HR52" s="237" t="str">
        <f t="shared" si="322"/>
        <v>-</v>
      </c>
      <c r="HS52" s="237" t="str">
        <f t="shared" si="322"/>
        <v>-</v>
      </c>
      <c r="HT52" s="237" t="str">
        <f t="shared" si="322"/>
        <v>-</v>
      </c>
      <c r="HU52" s="237" t="str">
        <f t="shared" si="322"/>
        <v>-</v>
      </c>
      <c r="HV52" s="237" t="str">
        <f t="shared" si="322"/>
        <v>-</v>
      </c>
      <c r="HW52" s="237" t="str">
        <f t="shared" si="323"/>
        <v>-</v>
      </c>
      <c r="HX52" s="237" t="str">
        <f t="shared" si="323"/>
        <v>-</v>
      </c>
      <c r="HY52" s="237" t="str">
        <f t="shared" si="323"/>
        <v>-</v>
      </c>
      <c r="HZ52" s="237" t="str">
        <f t="shared" si="323"/>
        <v>-</v>
      </c>
      <c r="IA52" s="237" t="str">
        <f t="shared" si="323"/>
        <v>-</v>
      </c>
      <c r="IB52" s="237" t="str">
        <f t="shared" si="323"/>
        <v>-</v>
      </c>
      <c r="IC52" s="237" t="str">
        <f t="shared" si="323"/>
        <v>-</v>
      </c>
      <c r="ID52" s="237" t="str">
        <f t="shared" si="323"/>
        <v>-</v>
      </c>
      <c r="IE52" s="237" t="str">
        <f t="shared" si="323"/>
        <v>-</v>
      </c>
      <c r="IF52" s="237" t="str">
        <f t="shared" si="323"/>
        <v>-</v>
      </c>
      <c r="IG52" s="312">
        <f t="shared" si="324"/>
        <v>1.3128775088888495E-5</v>
      </c>
      <c r="IH52" s="99">
        <f t="shared" si="325"/>
        <v>2.2468316609171317E-5</v>
      </c>
      <c r="II52" s="99">
        <f t="shared" si="326"/>
        <v>1.7757824212772932E-5</v>
      </c>
      <c r="IJ52" s="99">
        <f t="shared" si="327"/>
        <v>1.1788640085681489E-5</v>
      </c>
      <c r="IK52" s="99">
        <f t="shared" si="328"/>
        <v>1.0007505629221915E-5</v>
      </c>
      <c r="IL52" s="99">
        <f t="shared" si="329"/>
        <v>4.2917586376862982E-6</v>
      </c>
      <c r="IM52" s="312" t="str">
        <f t="shared" si="330"/>
        <v/>
      </c>
      <c r="IN52" s="99" t="str">
        <f t="shared" si="331"/>
        <v/>
      </c>
      <c r="IO52" s="99" t="str">
        <f t="shared" si="332"/>
        <v/>
      </c>
      <c r="IP52" s="99" t="str">
        <f t="shared" si="333"/>
        <v/>
      </c>
      <c r="IQ52" s="99" t="str">
        <f t="shared" si="334"/>
        <v/>
      </c>
      <c r="IR52" s="99" t="str">
        <f t="shared" si="335"/>
        <v/>
      </c>
      <c r="IS52" s="312" t="str">
        <f t="shared" si="336"/>
        <v/>
      </c>
      <c r="IT52" s="99" t="str">
        <f t="shared" si="337"/>
        <v/>
      </c>
      <c r="IU52" s="99" t="str">
        <f t="shared" si="337"/>
        <v/>
      </c>
      <c r="IV52" s="99" t="str">
        <f t="shared" si="337"/>
        <v/>
      </c>
      <c r="IW52" s="99" t="str">
        <f t="shared" si="337"/>
        <v/>
      </c>
      <c r="IX52" s="99" t="str">
        <f t="shared" si="337"/>
        <v/>
      </c>
      <c r="IY52" s="312" t="str">
        <f t="shared" si="338"/>
        <v/>
      </c>
      <c r="IZ52" s="99" t="str">
        <f t="shared" si="339"/>
        <v/>
      </c>
      <c r="JA52" s="99" t="str">
        <f t="shared" si="339"/>
        <v/>
      </c>
      <c r="JB52" s="99" t="str">
        <f t="shared" si="339"/>
        <v/>
      </c>
      <c r="JC52" s="99" t="str">
        <f t="shared" si="339"/>
        <v/>
      </c>
      <c r="JD52" s="313" t="str">
        <f t="shared" si="339"/>
        <v/>
      </c>
      <c r="JF52" s="66">
        <f t="shared" si="224"/>
        <v>52</v>
      </c>
      <c r="JG52" s="171">
        <f t="shared" ca="1" si="340"/>
        <v>1.7757824212772932E-5</v>
      </c>
      <c r="JH52" s="171">
        <f t="shared" ca="1" si="341"/>
        <v>1.1788640085681489E-5</v>
      </c>
      <c r="JI52" s="171">
        <f t="shared" ca="1" si="342"/>
        <v>1.0007505629221915E-5</v>
      </c>
      <c r="JJ52" s="171">
        <f t="shared" ca="1" si="343"/>
        <v>5</v>
      </c>
      <c r="JK52" s="162"/>
      <c r="JL52" s="165">
        <f t="shared" ca="1" si="121"/>
        <v>1.7757824212772932E-5</v>
      </c>
      <c r="JM52" s="166">
        <f t="shared" ca="1" si="310"/>
        <v>1.4773232149227211E-5</v>
      </c>
      <c r="JN52" s="166">
        <f t="shared" ca="1" si="311"/>
        <v>1.0898072857451703E-5</v>
      </c>
      <c r="JO52" s="165">
        <f t="shared" ca="1" si="122"/>
        <v>1.0007505629221915E-5</v>
      </c>
      <c r="JP52" s="173">
        <f t="shared" ca="1" si="123"/>
        <v>5.3436634848673761E-5</v>
      </c>
    </row>
    <row r="53" spans="1:276" s="1" customFormat="1" x14ac:dyDescent="0.35">
      <c r="A53" s="125">
        <v>0</v>
      </c>
      <c r="B53" s="125">
        <v>0</v>
      </c>
      <c r="C53" s="125">
        <v>1</v>
      </c>
      <c r="E53" s="142" t="s">
        <v>94</v>
      </c>
      <c r="F53" s="208" t="s">
        <v>95</v>
      </c>
      <c r="G53" s="209" t="s">
        <v>542</v>
      </c>
      <c r="H53" s="210" t="s">
        <v>531</v>
      </c>
      <c r="I53" s="8" t="s">
        <v>532</v>
      </c>
      <c r="J53" s="211">
        <v>6.0192307692307692</v>
      </c>
      <c r="K53" s="211">
        <v>5.4285714285714288</v>
      </c>
      <c r="L53" s="211">
        <v>6.5555555555555554</v>
      </c>
      <c r="M53" s="211">
        <v>7.166666666666667</v>
      </c>
      <c r="N53" s="211" t="s">
        <v>805</v>
      </c>
      <c r="O53" s="211" t="s">
        <v>805</v>
      </c>
      <c r="P53" s="211" t="s">
        <v>805</v>
      </c>
      <c r="Q53" s="211" t="s">
        <v>805</v>
      </c>
      <c r="R53" s="211" t="s">
        <v>805</v>
      </c>
      <c r="S53" s="211" t="s">
        <v>805</v>
      </c>
      <c r="T53" s="211" t="s">
        <v>805</v>
      </c>
      <c r="U53" s="211" t="s">
        <v>805</v>
      </c>
      <c r="V53" s="211" t="s">
        <v>805</v>
      </c>
      <c r="W53" s="211" t="s">
        <v>805</v>
      </c>
      <c r="X53" s="211" t="s">
        <v>805</v>
      </c>
      <c r="Y53" s="211" t="s">
        <v>805</v>
      </c>
      <c r="Z53" s="211" t="s">
        <v>805</v>
      </c>
      <c r="AA53" s="211" t="s">
        <v>805</v>
      </c>
      <c r="AB53" s="211" t="s">
        <v>805</v>
      </c>
      <c r="AC53" s="211" t="s">
        <v>805</v>
      </c>
      <c r="AD53" s="211" t="s">
        <v>805</v>
      </c>
      <c r="AE53" s="211" t="s">
        <v>805</v>
      </c>
      <c r="AF53" s="211" t="s">
        <v>805</v>
      </c>
      <c r="AG53" s="211" t="s">
        <v>805</v>
      </c>
      <c r="AH53" s="211" t="s">
        <v>805</v>
      </c>
      <c r="AI53" s="211" t="s">
        <v>805</v>
      </c>
      <c r="AJ53" s="211" t="s">
        <v>805</v>
      </c>
      <c r="AK53" s="211" t="s">
        <v>805</v>
      </c>
      <c r="AL53" s="211" t="s">
        <v>805</v>
      </c>
      <c r="AM53" s="211" t="s">
        <v>805</v>
      </c>
      <c r="AN53" s="211" t="s">
        <v>805</v>
      </c>
      <c r="AO53" s="211" t="s">
        <v>805</v>
      </c>
      <c r="AP53" s="211" t="s">
        <v>805</v>
      </c>
      <c r="AQ53" s="211" t="s">
        <v>805</v>
      </c>
      <c r="AR53" s="211" t="s">
        <v>805</v>
      </c>
      <c r="AS53" s="211" t="s">
        <v>805</v>
      </c>
      <c r="AT53" s="211" t="s">
        <v>805</v>
      </c>
      <c r="AU53" s="211" t="s">
        <v>805</v>
      </c>
      <c r="AV53" s="211" t="s">
        <v>805</v>
      </c>
      <c r="AW53" s="211" t="s">
        <v>805</v>
      </c>
      <c r="AX53" s="211" t="s">
        <v>805</v>
      </c>
      <c r="AY53" s="211" t="s">
        <v>805</v>
      </c>
      <c r="AZ53" s="211" t="s">
        <v>805</v>
      </c>
      <c r="BA53" s="211" t="s">
        <v>805</v>
      </c>
      <c r="BB53" s="211" t="s">
        <v>805</v>
      </c>
      <c r="BC53" s="211" t="s">
        <v>805</v>
      </c>
      <c r="BD53" s="211" t="s">
        <v>805</v>
      </c>
      <c r="BE53" s="211" t="s">
        <v>805</v>
      </c>
      <c r="BF53" s="211" t="s">
        <v>805</v>
      </c>
      <c r="BG53" s="211" t="s">
        <v>805</v>
      </c>
      <c r="BH53" s="211" t="s">
        <v>805</v>
      </c>
      <c r="BI53" s="211" t="s">
        <v>805</v>
      </c>
      <c r="BJ53" s="211" t="s">
        <v>805</v>
      </c>
      <c r="BK53" s="211" t="s">
        <v>805</v>
      </c>
      <c r="BL53" s="211" t="s">
        <v>805</v>
      </c>
      <c r="BM53" s="211" t="s">
        <v>805</v>
      </c>
      <c r="BN53" s="211" t="s">
        <v>805</v>
      </c>
      <c r="BO53" s="211" t="s">
        <v>805</v>
      </c>
      <c r="BP53" s="211" t="s">
        <v>805</v>
      </c>
      <c r="BQ53" s="211" t="s">
        <v>805</v>
      </c>
      <c r="BR53" s="211" t="s">
        <v>805</v>
      </c>
      <c r="BS53" s="211" t="s">
        <v>805</v>
      </c>
      <c r="BT53" s="211" t="s">
        <v>805</v>
      </c>
      <c r="BU53" s="211" t="s">
        <v>805</v>
      </c>
      <c r="BV53" s="211" t="s">
        <v>805</v>
      </c>
      <c r="BW53" s="211" t="s">
        <v>805</v>
      </c>
      <c r="BX53" s="211" t="s">
        <v>805</v>
      </c>
      <c r="BY53" s="211" t="s">
        <v>805</v>
      </c>
      <c r="BZ53" s="211" t="s">
        <v>805</v>
      </c>
      <c r="CA53" s="211" t="s">
        <v>805</v>
      </c>
      <c r="CB53" s="211" t="s">
        <v>805</v>
      </c>
      <c r="CC53" s="211" t="s">
        <v>805</v>
      </c>
      <c r="CD53" s="211" t="s">
        <v>805</v>
      </c>
      <c r="CE53" s="211" t="s">
        <v>805</v>
      </c>
      <c r="CF53" s="211" t="s">
        <v>805</v>
      </c>
      <c r="CG53" s="211" t="s">
        <v>805</v>
      </c>
      <c r="CH53" s="211" t="s">
        <v>805</v>
      </c>
      <c r="CI53" s="211" t="s">
        <v>805</v>
      </c>
      <c r="CJ53" s="211" t="s">
        <v>805</v>
      </c>
      <c r="CK53" s="211" t="s">
        <v>805</v>
      </c>
      <c r="CL53" s="211" t="s">
        <v>805</v>
      </c>
      <c r="CM53" s="211" t="s">
        <v>805</v>
      </c>
      <c r="CN53" s="211" t="s">
        <v>805</v>
      </c>
      <c r="CO53" s="211" t="s">
        <v>805</v>
      </c>
      <c r="CP53" s="211" t="s">
        <v>805</v>
      </c>
      <c r="CQ53" s="211" t="s">
        <v>805</v>
      </c>
      <c r="CR53" s="211" t="s">
        <v>805</v>
      </c>
      <c r="CS53" s="211" t="s">
        <v>805</v>
      </c>
      <c r="CT53" s="211" t="s">
        <v>805</v>
      </c>
      <c r="CU53" s="211" t="s">
        <v>805</v>
      </c>
      <c r="CV53" s="211" t="s">
        <v>805</v>
      </c>
      <c r="CW53" s="211" t="s">
        <v>805</v>
      </c>
      <c r="CX53" s="211" t="s">
        <v>805</v>
      </c>
      <c r="CY53" s="211" t="s">
        <v>805</v>
      </c>
      <c r="CZ53" s="211" t="s">
        <v>805</v>
      </c>
      <c r="DA53" s="211" t="s">
        <v>805</v>
      </c>
      <c r="DB53" s="211" t="s">
        <v>805</v>
      </c>
      <c r="DC53" s="211" t="s">
        <v>805</v>
      </c>
      <c r="DD53" s="211" t="s">
        <v>805</v>
      </c>
      <c r="DE53" s="211" t="s">
        <v>805</v>
      </c>
      <c r="DF53" s="211" t="s">
        <v>805</v>
      </c>
      <c r="DG53" s="212">
        <f>VLOOKUP(E53,'KPI Count-SHARE'!A:F,3,0)</f>
        <v>15</v>
      </c>
      <c r="DH53" s="213">
        <v>10.424206149101785</v>
      </c>
      <c r="DI53" s="213">
        <v>4.4658064516129024</v>
      </c>
      <c r="DJ53" s="213">
        <v>5.0502374596134381</v>
      </c>
      <c r="DK53" s="213">
        <v>8.4375</v>
      </c>
      <c r="DL53" s="213">
        <v>16.083909844802569</v>
      </c>
      <c r="DM53" s="213">
        <v>19.787953688223155</v>
      </c>
      <c r="DN53" s="212">
        <f>VLOOKUP(E53,'KPI Count-SHARE'!A:F,4,0)</f>
        <v>0</v>
      </c>
      <c r="DO53" s="213"/>
      <c r="DP53" s="213"/>
      <c r="DQ53" s="213"/>
      <c r="DR53" s="213"/>
      <c r="DS53" s="213"/>
      <c r="DT53" s="213"/>
      <c r="DU53" s="212">
        <f>VLOOKUP(E53,'KPI Count-SHARE'!A:F,5,0)</f>
        <v>0</v>
      </c>
      <c r="DV53" s="213"/>
      <c r="DW53" s="213"/>
      <c r="DX53" s="213"/>
      <c r="DY53" s="213"/>
      <c r="DZ53" s="213"/>
      <c r="EA53" s="213"/>
      <c r="EB53" s="212">
        <f>VLOOKUP(E53,'KPI Count-SHARE'!A:F,6,0)</f>
        <v>0</v>
      </c>
      <c r="EC53" s="213"/>
      <c r="ED53" s="213"/>
      <c r="EE53" s="213"/>
      <c r="EF53" s="213"/>
      <c r="EG53" s="213"/>
      <c r="EH53" s="213"/>
      <c r="EI53" s="214" t="s">
        <v>531</v>
      </c>
      <c r="EJ53" s="91">
        <f t="shared" si="101"/>
        <v>6.0192307692307692</v>
      </c>
      <c r="EK53" s="91">
        <f t="shared" si="102"/>
        <v>5.4285714285714288</v>
      </c>
      <c r="EL53" s="91">
        <f t="shared" si="103"/>
        <v>6.5555555555555554</v>
      </c>
      <c r="EM53" s="91">
        <f t="shared" si="104"/>
        <v>7.166666666666667</v>
      </c>
      <c r="EN53" s="91" t="str">
        <f t="shared" si="105"/>
        <v/>
      </c>
      <c r="EO53" s="91" t="str">
        <f t="shared" si="106"/>
        <v/>
      </c>
      <c r="EP53" s="91" t="str">
        <f t="shared" si="107"/>
        <v/>
      </c>
      <c r="EQ53" s="91" t="str">
        <f t="shared" si="108"/>
        <v/>
      </c>
      <c r="ER53" s="91" t="str">
        <f t="shared" si="109"/>
        <v/>
      </c>
      <c r="ES53" s="91" t="str">
        <f t="shared" si="110"/>
        <v/>
      </c>
      <c r="ET53" s="91" t="str">
        <f t="shared" si="111"/>
        <v/>
      </c>
      <c r="EU53" s="91" t="str">
        <f t="shared" ref="EU53:EU76" si="344">IFERROR(IF(ISBLANK(U53), "-", IF($I53="c", U53*$I$5, U53)),"-")</f>
        <v/>
      </c>
      <c r="EV53" s="91" t="str">
        <f t="shared" ref="EV53:EV76" si="345">IFERROR(IF(ISBLANK(V53), "-", IF($I53="c", V53*$I$5, V53)),"-")</f>
        <v/>
      </c>
      <c r="EW53" s="91" t="str">
        <f t="shared" ref="EW53:EW76" si="346">IFERROR(IF(ISBLANK(W53), "-", IF($I53="c", W53*$I$5, W53)),"-")</f>
        <v/>
      </c>
      <c r="EX53" s="91" t="str">
        <f t="shared" ref="EX53:EX76" si="347">IFERROR(IF(ISBLANK(X53), "-", IF($I53="c", X53*$I$5, X53)),"-")</f>
        <v/>
      </c>
      <c r="EY53" s="91" t="str">
        <f t="shared" ref="EY53:EY76" si="348">IFERROR(IF(ISBLANK(Y53), "-", IF($I53="c", Y53*$I$5, Y53)),"-")</f>
        <v/>
      </c>
      <c r="EZ53" s="91" t="str">
        <f t="shared" ref="EZ53:EZ76" si="349">IFERROR(IF(ISBLANK(Z53), "-", IF($I53="c", Z53*$I$5, Z53)),"-")</f>
        <v/>
      </c>
      <c r="FA53" s="91" t="str">
        <f t="shared" ref="FA53:FA76" si="350">IFERROR(IF(ISBLANK(AA53), "-", IF($I53="c", AA53*$I$5, AA53)),"-")</f>
        <v/>
      </c>
      <c r="FB53" s="91" t="str">
        <f t="shared" ref="FB53:FB76" si="351">IFERROR(IF(ISBLANK(AB53), "-", IF($I53="c", AB53*$I$5, AB53)),"-")</f>
        <v/>
      </c>
      <c r="FC53" s="91" t="str">
        <f t="shared" ref="FC53:FC76" si="352">IFERROR(IF(ISBLANK(AC53), "-", IF($I53="c", AC53*$I$5, AC53)),"-")</f>
        <v/>
      </c>
      <c r="FD53" s="91" t="str">
        <f t="shared" ref="FD53:FD76" si="353">IFERROR(IF(ISBLANK(AD53), "-", IF($I53="c", AD53*$I$5, AD53)),"-")</f>
        <v/>
      </c>
      <c r="FE53" s="91" t="str">
        <f t="shared" ref="FE53:FE76" si="354">IFERROR(IF(ISBLANK(AE53), "-", IF($I53="c", AE53*$I$5, AE53)),"-")</f>
        <v/>
      </c>
      <c r="FF53" s="91" t="str">
        <f t="shared" ref="FF53:FF76" si="355">IFERROR(IF(ISBLANK(AF53), "-", IF($I53="c", AF53*$I$5, AF53)),"-")</f>
        <v/>
      </c>
      <c r="FG53" s="91" t="str">
        <f t="shared" ref="FG53:FG76" si="356">IFERROR(IF(ISBLANK(AG53), "-", IF($I53="c", AG53*$I$5, AG53)),"-")</f>
        <v/>
      </c>
      <c r="FH53" s="91" t="str">
        <f t="shared" ref="FH53:FH76" si="357">IFERROR(IF(ISBLANK(AH53), "-", IF($I53="c", AH53*$I$5, AH53)),"-")</f>
        <v/>
      </c>
      <c r="FI53" s="91" t="str">
        <f t="shared" ref="FI53:FI76" si="358">IFERROR(IF(ISBLANK(AI53), "-", IF($I53="c", AI53*$I$5, AI53)),"-")</f>
        <v/>
      </c>
      <c r="FJ53" s="91" t="str">
        <f t="shared" ref="FJ53:FJ76" si="359">IFERROR(IF(ISBLANK(AJ53), "-", IF($I53="c", AJ53*$I$5, AJ53)),"-")</f>
        <v/>
      </c>
      <c r="FK53" s="91" t="str">
        <f t="shared" ref="FK53:FK76" si="360">IFERROR(IF(ISBLANK(AK53), "-", IF($I53="c", AK53*$I$5, AK53)),"-")</f>
        <v/>
      </c>
      <c r="FL53" s="91" t="str">
        <f t="shared" ref="FL53:FL76" si="361">IFERROR(IF(ISBLANK(AL53), "-", IF($I53="c", AL53*$I$5, AL53)),"-")</f>
        <v/>
      </c>
      <c r="FM53" s="91" t="str">
        <f t="shared" ref="FM53:FM76" si="362">IFERROR(IF(ISBLANK(AM53), "-", IF($I53="c", AM53*$I$5, AM53)),"-")</f>
        <v/>
      </c>
      <c r="FN53" s="91" t="str">
        <f t="shared" ref="FN53:FN76" si="363">IFERROR(IF(ISBLANK(AN53), "-", IF($I53="c", AN53*$I$5, AN53)),"-")</f>
        <v/>
      </c>
      <c r="FO53" s="91" t="str">
        <f t="shared" ref="FO53:FO76" si="364">IFERROR(IF(ISBLANK(AO53), "-", IF($I53="c", AO53*$I$5, AO53)),"-")</f>
        <v/>
      </c>
      <c r="FP53" s="91" t="str">
        <f t="shared" ref="FP53:FP76" si="365">IFERROR(IF(ISBLANK(AP53), "-", IF($I53="c", AP53*$I$5, AP53)),"-")</f>
        <v/>
      </c>
      <c r="FQ53" s="91" t="str">
        <f t="shared" ref="FQ53:FQ76" si="366">IFERROR(IF(ISBLANK(AQ53), "-", IF($I53="c", AQ53*$I$5, AQ53)),"-")</f>
        <v/>
      </c>
      <c r="FR53" s="91" t="str">
        <f t="shared" ref="FR53:FR76" si="367">IFERROR(IF(ISBLANK(AR53), "-", IF($I53="c", AR53*$I$5, AR53)),"-")</f>
        <v/>
      </c>
      <c r="FS53" s="91" t="str">
        <f t="shared" ref="FS53:FS76" si="368">IFERROR(IF(ISBLANK(AS53), "-", IF($I53="c", AS53*$I$5, AS53)),"-")</f>
        <v/>
      </c>
      <c r="FT53" s="91" t="str">
        <f t="shared" ref="FT53:FT76" si="369">IFERROR(IF(ISBLANK(AT53), "-", IF($I53="c", AT53*$I$5, AT53)),"-")</f>
        <v/>
      </c>
      <c r="FU53" s="91" t="str">
        <f t="shared" ref="FU53:FU76" si="370">IFERROR(IF(ISBLANK(AU53), "-", IF($I53="c", AU53*$I$5, AU53)),"-")</f>
        <v/>
      </c>
      <c r="FV53" s="91" t="str">
        <f t="shared" ref="FV53:FV76" si="371">IFERROR(IF(ISBLANK(AV53), "-", IF($I53="c", AV53*$I$5, AV53)),"-")</f>
        <v/>
      </c>
      <c r="FW53" s="91" t="str">
        <f t="shared" ref="FW53:FW76" si="372">IFERROR(IF(ISBLANK(AW53), "-", IF($I53="c", AW53*$I$5, AW53)),"-")</f>
        <v/>
      </c>
      <c r="FX53" s="91" t="str">
        <f t="shared" ref="FX53:FX76" si="373">IFERROR(IF(ISBLANK(AX53), "-", IF($I53="c", AX53*$I$5, AX53)),"-")</f>
        <v/>
      </c>
      <c r="FY53" s="91" t="str">
        <f t="shared" ref="FY53:FY76" si="374">IFERROR(IF(ISBLANK(AY53), "-", IF($I53="c", AY53*$I$5, AY53)),"-")</f>
        <v/>
      </c>
      <c r="FZ53" s="91" t="str">
        <f t="shared" ref="FZ53:FZ76" si="375">IFERROR(IF(ISBLANK(AZ53), "-", IF($I53="c", AZ53*$I$5, AZ53)),"-")</f>
        <v/>
      </c>
      <c r="GA53" s="91" t="str">
        <f t="shared" ref="GA53:GA76" si="376">IFERROR(IF(ISBLANK(BA53), "-", IF($I53="c", BA53*$I$5, BA53)),"-")</f>
        <v/>
      </c>
      <c r="GB53" s="91" t="str">
        <f t="shared" ref="GB53:GB76" si="377">IFERROR(IF(ISBLANK(BB53), "-", IF($I53="c", BB53*$I$5, BB53)),"-")</f>
        <v/>
      </c>
      <c r="GC53" s="91" t="str">
        <f t="shared" ref="GC53:GC76" si="378">IFERROR(IF(ISBLANK(BC53), "-", IF($I53="c", BC53*$I$5, BC53)),"-")</f>
        <v/>
      </c>
      <c r="GD53" s="91" t="str">
        <f t="shared" ref="GD53:GD76" si="379">IFERROR(IF(ISBLANK(BD53), "-", IF($I53="c", BD53*$I$5, BD53)),"-")</f>
        <v/>
      </c>
      <c r="GE53" s="91" t="str">
        <f t="shared" ref="GE53:GE76" si="380">IFERROR(IF(ISBLANK(BE53), "-", IF($I53="c", BE53*$I$5, BE53)),"-")</f>
        <v/>
      </c>
      <c r="GF53" s="91" t="str">
        <f t="shared" ref="GF53:GF76" si="381">IFERROR(IF(ISBLANK(BF53), "-", IF($I53="c", BF53*$I$5, BF53)),"-")</f>
        <v/>
      </c>
      <c r="GG53" s="91" t="str">
        <f t="shared" ref="GG53:GG76" si="382">IFERROR(IF(ISBLANK(BG53), "-", IF($I53="c", BG53*$I$5, BG53)),"-")</f>
        <v/>
      </c>
      <c r="GH53" s="91" t="str">
        <f t="shared" ref="GH53:GH76" si="383">IFERROR(IF(ISBLANK(BH53), "-", IF($I53="c", BH53*$I$5, BH53)),"-")</f>
        <v/>
      </c>
      <c r="GI53" s="91" t="str">
        <f t="shared" ref="GI53:GI76" si="384">IFERROR(IF(ISBLANK(BI53), "-", IF($I53="c", BI53*$I$5, BI53)),"-")</f>
        <v/>
      </c>
      <c r="GJ53" s="91" t="str">
        <f t="shared" ref="GJ53:GJ76" si="385">IFERROR(IF(ISBLANK(BJ53), "-", IF($I53="c", BJ53*$I$5, BJ53)),"-")</f>
        <v/>
      </c>
      <c r="GK53" s="91" t="str">
        <f t="shared" ref="GK53:GK76" si="386">IFERROR(IF(ISBLANK(BK53), "-", IF($I53="c", BK53*$I$5, BK53)),"-")</f>
        <v/>
      </c>
      <c r="GL53" s="91" t="str">
        <f t="shared" ref="GL53:GL76" si="387">IFERROR(IF(ISBLANK(BL53), "-", IF($I53="c", BL53*$I$5, BL53)),"-")</f>
        <v/>
      </c>
      <c r="GM53" s="91" t="str">
        <f t="shared" ref="GM53:GM76" si="388">IFERROR(IF(ISBLANK(BM53), "-", IF($I53="c", BM53*$I$5, BM53)),"-")</f>
        <v/>
      </c>
      <c r="GN53" s="91" t="str">
        <f t="shared" ref="GN53:GN76" si="389">IFERROR(IF(ISBLANK(BN53), "-", IF($I53="c", BN53*$I$5, BN53)),"-")</f>
        <v/>
      </c>
      <c r="GO53" s="91" t="str">
        <f t="shared" ref="GO53:GO76" si="390">IFERROR(IF(ISBLANK(BO53), "-", IF($I53="c", BO53*$I$5, BO53)),"-")</f>
        <v/>
      </c>
      <c r="GP53" s="91" t="str">
        <f t="shared" ref="GP53:GP76" si="391">IFERROR(IF(ISBLANK(BP53), "-", IF($I53="c", BP53*$I$5, BP53)),"-")</f>
        <v/>
      </c>
      <c r="GQ53" s="91" t="str">
        <f t="shared" ref="GQ53:GQ76" si="392">IFERROR(IF(ISBLANK(BQ53), "-", IF($I53="c", BQ53*$I$5, BQ53)),"-")</f>
        <v/>
      </c>
      <c r="GR53" s="91" t="str">
        <f t="shared" ref="GR53:GR76" si="393">IFERROR(IF(ISBLANK(BR53), "-", IF($I53="c", BR53*$I$5, BR53)),"-")</f>
        <v/>
      </c>
      <c r="GS53" s="91" t="str">
        <f t="shared" ref="GS53:GS76" si="394">IFERROR(IF(ISBLANK(BS53), "-", IF($I53="c", BS53*$I$5, BS53)),"-")</f>
        <v/>
      </c>
      <c r="GT53" s="91" t="str">
        <f t="shared" ref="GT53:GT76" si="395">IFERROR(IF(ISBLANK(BT53), "-", IF($I53="c", BT53*$I$5, BT53)),"-")</f>
        <v/>
      </c>
      <c r="GU53" s="91" t="str">
        <f t="shared" ref="GU53:GU76" si="396">IFERROR(IF(ISBLANK(BU53), "-", IF($I53="c", BU53*$I$5, BU53)),"-")</f>
        <v/>
      </c>
      <c r="GV53" s="91" t="str">
        <f t="shared" ref="GV53:GV76" si="397">IFERROR(IF(ISBLANK(BV53), "-", IF($I53="c", BV53*$I$5, BV53)),"-")</f>
        <v/>
      </c>
      <c r="GW53" s="91" t="str">
        <f t="shared" ref="GW53:GW76" si="398">IFERROR(IF(ISBLANK(BW53), "-", IF($I53="c", BW53*$I$5, BW53)),"-")</f>
        <v/>
      </c>
      <c r="GX53" s="91" t="str">
        <f t="shared" ref="GX53:GX76" si="399">IFERROR(IF(ISBLANK(BX53), "-", IF($I53="c", BX53*$I$5, BX53)),"-")</f>
        <v/>
      </c>
      <c r="GY53" s="91" t="str">
        <f t="shared" ref="GY53:GY76" si="400">IFERROR(IF(ISBLANK(BY53), "-", IF($I53="c", BY53*$I$5, BY53)),"-")</f>
        <v/>
      </c>
      <c r="GZ53" s="91" t="str">
        <f t="shared" ref="GZ53:GZ76" si="401">IFERROR(IF(ISBLANK(BZ53), "-", IF($I53="c", BZ53*$I$5, BZ53)),"-")</f>
        <v/>
      </c>
      <c r="HA53" s="91" t="str">
        <f t="shared" ref="HA53:HA76" si="402">IFERROR(IF(ISBLANK(CA53), "-", IF($I53="c", CA53*$I$5, CA53)),"-")</f>
        <v/>
      </c>
      <c r="HB53" s="91" t="str">
        <f t="shared" ref="HB53:HB76" si="403">IFERROR(IF(ISBLANK(CB53), "-", IF($I53="c", CB53*$I$5, CB53)),"-")</f>
        <v/>
      </c>
      <c r="HC53" s="91" t="str">
        <f t="shared" ref="HC53:HC76" si="404">IFERROR(IF(ISBLANK(CC53), "-", IF($I53="c", CC53*$I$5, CC53)),"-")</f>
        <v/>
      </c>
      <c r="HD53" s="91" t="str">
        <f t="shared" ref="HD53:HD76" si="405">IFERROR(IF(ISBLANK(CD53), "-", IF($I53="c", CD53*$I$5, CD53)),"-")</f>
        <v/>
      </c>
      <c r="HE53" s="91" t="str">
        <f t="shared" ref="HE53:HE76" si="406">IFERROR(IF(ISBLANK(CE53), "-", IF($I53="c", CE53*$I$5, CE53)),"-")</f>
        <v/>
      </c>
      <c r="HF53" s="91" t="str">
        <f t="shared" ref="HF53:HF76" si="407">IFERROR(IF(ISBLANK(CF53), "-", IF($I53="c", CF53*$I$5, CF53)),"-")</f>
        <v/>
      </c>
      <c r="HG53" s="91" t="str">
        <f t="shared" ref="HG53:HG76" si="408">IFERROR(IF(ISBLANK(CG53), "-", IF($I53="c", CG53*$I$5, CG53)),"-")</f>
        <v/>
      </c>
      <c r="HH53" s="91" t="str">
        <f t="shared" ref="HH53:HH76" si="409">IFERROR(IF(ISBLANK(CH53), "-", IF($I53="c", CH53*$I$5, CH53)),"-")</f>
        <v/>
      </c>
      <c r="HI53" s="91" t="str">
        <f t="shared" ref="HI53:HI76" si="410">IFERROR(IF(ISBLANK(CI53), "-", IF($I53="c", CI53*$I$5, CI53)),"-")</f>
        <v/>
      </c>
      <c r="HJ53" s="91" t="str">
        <f t="shared" ref="HJ53:HJ76" si="411">IFERROR(IF(ISBLANK(CJ53), "-", IF($I53="c", CJ53*$I$5, CJ53)),"-")</f>
        <v/>
      </c>
      <c r="HK53" s="91" t="str">
        <f t="shared" ref="HK53:HK76" si="412">IFERROR(IF(ISBLANK(CK53), "-", IF($I53="c", CK53*$I$5, CK53)),"-")</f>
        <v/>
      </c>
      <c r="HL53" s="91" t="str">
        <f t="shared" ref="HL53:HL76" si="413">IFERROR(IF(ISBLANK(CL53), "-", IF($I53="c", CL53*$I$5, CL53)),"-")</f>
        <v/>
      </c>
      <c r="HM53" s="91" t="str">
        <f t="shared" ref="HM53:HM76" si="414">IFERROR(IF(ISBLANK(CM53), "-", IF($I53="c", CM53*$I$5, CM53)),"-")</f>
        <v/>
      </c>
      <c r="HN53" s="91" t="str">
        <f t="shared" ref="HN53:HN76" si="415">IFERROR(IF(ISBLANK(CN53), "-", IF($I53="c", CN53*$I$5, CN53)),"-")</f>
        <v/>
      </c>
      <c r="HO53" s="91" t="str">
        <f t="shared" ref="HO53:HO76" si="416">IFERROR(IF(ISBLANK(CO53), "-", IF($I53="c", CO53*$I$5, CO53)),"-")</f>
        <v/>
      </c>
      <c r="HP53" s="91" t="str">
        <f t="shared" ref="HP53:HP76" si="417">IFERROR(IF(ISBLANK(CP53), "-", IF($I53="c", CP53*$I$5, CP53)),"-")</f>
        <v/>
      </c>
      <c r="HQ53" s="91" t="str">
        <f t="shared" ref="HQ53:HQ76" si="418">IFERROR(IF(ISBLANK(CQ53), "-", IF($I53="c", CQ53*$I$5, CQ53)),"-")</f>
        <v/>
      </c>
      <c r="HR53" s="91" t="str">
        <f t="shared" ref="HR53:HR76" si="419">IFERROR(IF(ISBLANK(CR53), "-", IF($I53="c", CR53*$I$5, CR53)),"-")</f>
        <v/>
      </c>
      <c r="HS53" s="91" t="str">
        <f t="shared" ref="HS53:HS76" si="420">IFERROR(IF(ISBLANK(CS53), "-", IF($I53="c", CS53*$I$5, CS53)),"-")</f>
        <v/>
      </c>
      <c r="HT53" s="91" t="str">
        <f t="shared" ref="HT53:HT76" si="421">IFERROR(IF(ISBLANK(CT53), "-", IF($I53="c", CT53*$I$5, CT53)),"-")</f>
        <v/>
      </c>
      <c r="HU53" s="91" t="str">
        <f t="shared" ref="HU53:HU76" si="422">IFERROR(IF(ISBLANK(CU53), "-", IF($I53="c", CU53*$I$5, CU53)),"-")</f>
        <v/>
      </c>
      <c r="HV53" s="91" t="str">
        <f t="shared" ref="HV53:HV76" si="423">IFERROR(IF(ISBLANK(CV53), "-", IF($I53="c", CV53*$I$5, CV53)),"-")</f>
        <v/>
      </c>
      <c r="HW53" s="91" t="str">
        <f t="shared" ref="HW53:HW76" si="424">IFERROR(IF(ISBLANK(CW53), "-", IF($I53="c", CW53*$I$5, CW53)),"-")</f>
        <v/>
      </c>
      <c r="HX53" s="91" t="str">
        <f t="shared" ref="HX53:HX76" si="425">IFERROR(IF(ISBLANK(CX53), "-", IF($I53="c", CX53*$I$5, CX53)),"-")</f>
        <v/>
      </c>
      <c r="HY53" s="91" t="str">
        <f t="shared" ref="HY53:HY76" si="426">IFERROR(IF(ISBLANK(CY53), "-", IF($I53="c", CY53*$I$5, CY53)),"-")</f>
        <v/>
      </c>
      <c r="HZ53" s="91" t="str">
        <f t="shared" ref="HZ53:HZ76" si="427">IFERROR(IF(ISBLANK(CZ53), "-", IF($I53="c", CZ53*$I$5, CZ53)),"-")</f>
        <v/>
      </c>
      <c r="IA53" s="91" t="str">
        <f t="shared" ref="IA53:IA76" si="428">IFERROR(IF(ISBLANK(DA53), "-", IF($I53="c", DA53*$I$5, DA53)),"-")</f>
        <v/>
      </c>
      <c r="IB53" s="91" t="str">
        <f t="shared" ref="IB53:IB76" si="429">IFERROR(IF(ISBLANK(DB53), "-", IF($I53="c", DB53*$I$5, DB53)),"-")</f>
        <v/>
      </c>
      <c r="IC53" s="91" t="str">
        <f t="shared" ref="IC53:IC76" si="430">IFERROR(IF(ISBLANK(DC53), "-", IF($I53="c", DC53*$I$5, DC53)),"-")</f>
        <v/>
      </c>
      <c r="ID53" s="91" t="str">
        <f t="shared" ref="ID53:ID76" si="431">IFERROR(IF(ISBLANK(DD53), "-", IF($I53="c", DD53*$I$5, DD53)),"-")</f>
        <v/>
      </c>
      <c r="IE53" s="91" t="str">
        <f t="shared" ref="IE53:IE76" si="432">IFERROR(IF(ISBLANK(DE53), "-", IF($I53="c", DE53*$I$5, DE53)),"-")</f>
        <v/>
      </c>
      <c r="IF53" s="91" t="str">
        <f t="shared" ref="IF53:IF76" si="433">IFERROR(IF(ISBLANK(DF53), "-", IF($I53="c", DF53*$I$5, DF53)),"-")</f>
        <v/>
      </c>
      <c r="IG53" s="314">
        <f t="shared" ref="IG53:IG76" si="434">IFERROR(IF(ISBLANK(DH53), "-", IF($I53="c", DH53*$I$5, DH53)),"-")</f>
        <v>10.424206149101785</v>
      </c>
      <c r="IH53" s="93">
        <f t="shared" ref="IH53:IH60" si="435">IFERROR(IF(ISBLANK(DI53), "-", IF($I53="c", DI53*$I$5, DI53)),"-")</f>
        <v>4.4658064516129024</v>
      </c>
      <c r="II53" s="93">
        <f t="shared" ref="II53:II60" si="436">IFERROR(IF(ISBLANK(DJ53), "-", IF($I53="c", DJ53*$I$5, DJ53)),"-")</f>
        <v>5.0502374596134381</v>
      </c>
      <c r="IJ53" s="93">
        <f t="shared" ref="IJ53:IJ60" si="437">IFERROR(IF(ISBLANK(DK53), "-", IF($I53="c", DK53*$I$5, DK53)),"-")</f>
        <v>8.4375</v>
      </c>
      <c r="IK53" s="93">
        <f t="shared" ref="IK53:IK60" si="438">IFERROR(IF(ISBLANK(DL53), "-", IF($I53="c", DL53*$I$5, DL53)),"-")</f>
        <v>16.083909844802569</v>
      </c>
      <c r="IL53" s="93">
        <f t="shared" ref="IL53:IL60" si="439">IFERROR(IF(ISBLANK(DM53), "-", IF($I53="c", DM53*$I$5, DM53)),"-")</f>
        <v>19.787953688223155</v>
      </c>
      <c r="IM53" s="314" t="str">
        <f t="shared" ref="IM53:IM76" si="440">IFERROR(IF(ISBLANK(DO53), "", IF($I53="c",DO53*$I$5, DO53)),"-")</f>
        <v/>
      </c>
      <c r="IN53" s="93" t="str">
        <f t="shared" ref="IN53:IN60" si="441">IFERROR(IF(ISBLANK(DP53), "", IF($I53="c",DP53*$I$5, DP53)),"-")</f>
        <v/>
      </c>
      <c r="IO53" s="93" t="str">
        <f t="shared" ref="IO53:IO60" si="442">IFERROR(IF(ISBLANK(DQ53), "", IF($I53="c",DQ53*$I$5, DQ53)),"-")</f>
        <v/>
      </c>
      <c r="IP53" s="93" t="str">
        <f t="shared" ref="IP53:IP60" si="443">IFERROR(IF(ISBLANK(DR53), "", IF($I53="c",DR53*$I$5, DR53)),"-")</f>
        <v/>
      </c>
      <c r="IQ53" s="93" t="str">
        <f t="shared" ref="IQ53:IQ60" si="444">IFERROR(IF(ISBLANK(DS53), "", IF($I53="c",DS53*$I$5, DS53)),"-")</f>
        <v/>
      </c>
      <c r="IR53" s="93" t="str">
        <f t="shared" ref="IR53:IR60" si="445">IFERROR(IF(ISBLANK(DT53), "", IF($I53="c",DT53*$I$5, DT53)),"-")</f>
        <v/>
      </c>
      <c r="IS53" s="314" t="str">
        <f t="shared" ref="IS53:IS76" si="446">IFERROR(IF(ISBLANK(DV53), "", IF($I53="c", DV53*$I$5, DV53)),"-")</f>
        <v/>
      </c>
      <c r="IT53" s="93" t="str">
        <f t="shared" ref="IT53:IT60" si="447">IFERROR(IF(ISBLANK(DW53), "", IF($I53="c", DW53*$I$5, DW53)),"-")</f>
        <v/>
      </c>
      <c r="IU53" s="93" t="str">
        <f t="shared" ref="IU53:IU60" si="448">IFERROR(IF(ISBLANK(DX53), "", IF($I53="c", DX53*$I$5, DX53)),"-")</f>
        <v/>
      </c>
      <c r="IV53" s="93" t="str">
        <f t="shared" ref="IV53:IV60" si="449">IFERROR(IF(ISBLANK(DY53), "", IF($I53="c", DY53*$I$5, DY53)),"-")</f>
        <v/>
      </c>
      <c r="IW53" s="93" t="str">
        <f t="shared" ref="IW53:IW60" si="450">IFERROR(IF(ISBLANK(DZ53), "", IF($I53="c", DZ53*$I$5, DZ53)),"-")</f>
        <v/>
      </c>
      <c r="IX53" s="93" t="str">
        <f t="shared" ref="IX53:IX60" si="451">IFERROR(IF(ISBLANK(EA53), "", IF($I53="c", EA53*$I$5, EA53)),"-")</f>
        <v/>
      </c>
      <c r="IY53" s="314" t="str">
        <f t="shared" ref="IY53:IY76" si="452">IFERROR(IF(ISBLANK(EC53), "", IF($I53="c", EC53*$I$5, EC53)),"-")</f>
        <v/>
      </c>
      <c r="IZ53" s="93" t="str">
        <f t="shared" ref="IZ53:IZ60" si="453">IFERROR(IF(ISBLANK(ED53), "", IF($I53="c", ED53*$I$5, ED53)),"-")</f>
        <v/>
      </c>
      <c r="JA53" s="93" t="str">
        <f t="shared" ref="JA53:JA60" si="454">IFERROR(IF(ISBLANK(EE53), "", IF($I53="c", EE53*$I$5, EE53)),"-")</f>
        <v/>
      </c>
      <c r="JB53" s="93" t="str">
        <f t="shared" ref="JB53:JB60" si="455">IFERROR(IF(ISBLANK(EF53), "", IF($I53="c", EF53*$I$5, EF53)),"-")</f>
        <v/>
      </c>
      <c r="JC53" s="93" t="str">
        <f t="shared" ref="JC53:JC60" si="456">IFERROR(IF(ISBLANK(EG53), "", IF($I53="c", EG53*$I$5, EG53)),"-")</f>
        <v/>
      </c>
      <c r="JD53" s="315" t="str">
        <f t="shared" ref="JD53:JD60" si="457">IFERROR(IF(ISBLANK(EH53), "", IF($I53="c", EH53*$I$5, EH53)),"-")</f>
        <v/>
      </c>
      <c r="JF53" s="66">
        <f t="shared" si="224"/>
        <v>53</v>
      </c>
      <c r="JG53" s="66">
        <f t="shared" ca="1" si="340"/>
        <v>5.0502374596134381</v>
      </c>
      <c r="JH53" s="66">
        <f t="shared" ca="1" si="341"/>
        <v>8.4375</v>
      </c>
      <c r="JI53" s="66">
        <f t="shared" ca="1" si="342"/>
        <v>16.083909844802569</v>
      </c>
      <c r="JJ53" s="66">
        <f t="shared" ca="1" si="343"/>
        <v>15</v>
      </c>
      <c r="JK53" s="33"/>
      <c r="JL53" s="74">
        <f t="shared" ca="1" si="121"/>
        <v>5.0502374596134381</v>
      </c>
      <c r="JM53" s="75">
        <f t="shared" ca="1" si="310"/>
        <v>6.743868729806719</v>
      </c>
      <c r="JN53" s="75">
        <f t="shared" ca="1" si="311"/>
        <v>12.260704922401285</v>
      </c>
      <c r="JO53" s="74">
        <f t="shared" ca="1" si="122"/>
        <v>16.083909844802569</v>
      </c>
      <c r="JP53" s="74">
        <f t="shared" ca="1" si="123"/>
        <v>40.138720956624013</v>
      </c>
    </row>
    <row r="54" spans="1:276" s="1" customFormat="1" x14ac:dyDescent="0.35">
      <c r="A54" s="125">
        <v>0</v>
      </c>
      <c r="B54" s="125">
        <v>1</v>
      </c>
      <c r="C54" s="125">
        <v>1</v>
      </c>
      <c r="E54" s="142" t="s">
        <v>96</v>
      </c>
      <c r="F54" s="208" t="s">
        <v>97</v>
      </c>
      <c r="G54" s="209" t="s">
        <v>542</v>
      </c>
      <c r="H54" s="210" t="s">
        <v>533</v>
      </c>
      <c r="I54" s="8" t="s">
        <v>534</v>
      </c>
      <c r="J54" s="211">
        <v>0.57827476038338654</v>
      </c>
      <c r="K54" s="215">
        <v>0.54605263157894735</v>
      </c>
      <c r="L54" s="215">
        <v>0.5847457627118644</v>
      </c>
      <c r="M54" s="215">
        <v>0.67441860465116277</v>
      </c>
      <c r="N54" s="215" t="s">
        <v>805</v>
      </c>
      <c r="O54" s="215" t="s">
        <v>805</v>
      </c>
      <c r="P54" s="215" t="s">
        <v>805</v>
      </c>
      <c r="Q54" s="215" t="s">
        <v>805</v>
      </c>
      <c r="R54" s="215" t="s">
        <v>805</v>
      </c>
      <c r="S54" s="215" t="s">
        <v>805</v>
      </c>
      <c r="T54" s="215" t="s">
        <v>805</v>
      </c>
      <c r="U54" s="215" t="s">
        <v>805</v>
      </c>
      <c r="V54" s="215" t="s">
        <v>805</v>
      </c>
      <c r="W54" s="215" t="s">
        <v>805</v>
      </c>
      <c r="X54" s="215" t="s">
        <v>805</v>
      </c>
      <c r="Y54" s="215" t="s">
        <v>805</v>
      </c>
      <c r="Z54" s="215" t="s">
        <v>805</v>
      </c>
      <c r="AA54" s="215" t="s">
        <v>805</v>
      </c>
      <c r="AB54" s="215" t="s">
        <v>805</v>
      </c>
      <c r="AC54" s="215" t="s">
        <v>805</v>
      </c>
      <c r="AD54" s="215" t="s">
        <v>805</v>
      </c>
      <c r="AE54" s="215" t="s">
        <v>805</v>
      </c>
      <c r="AF54" s="215" t="s">
        <v>805</v>
      </c>
      <c r="AG54" s="215" t="s">
        <v>805</v>
      </c>
      <c r="AH54" s="215" t="s">
        <v>805</v>
      </c>
      <c r="AI54" s="215" t="s">
        <v>805</v>
      </c>
      <c r="AJ54" s="215" t="s">
        <v>805</v>
      </c>
      <c r="AK54" s="215" t="s">
        <v>805</v>
      </c>
      <c r="AL54" s="215" t="s">
        <v>805</v>
      </c>
      <c r="AM54" s="215" t="s">
        <v>805</v>
      </c>
      <c r="AN54" s="215" t="s">
        <v>805</v>
      </c>
      <c r="AO54" s="215" t="s">
        <v>805</v>
      </c>
      <c r="AP54" s="215" t="s">
        <v>805</v>
      </c>
      <c r="AQ54" s="215" t="s">
        <v>805</v>
      </c>
      <c r="AR54" s="215" t="s">
        <v>805</v>
      </c>
      <c r="AS54" s="215" t="s">
        <v>805</v>
      </c>
      <c r="AT54" s="215" t="s">
        <v>805</v>
      </c>
      <c r="AU54" s="215" t="s">
        <v>805</v>
      </c>
      <c r="AV54" s="215" t="s">
        <v>805</v>
      </c>
      <c r="AW54" s="215" t="s">
        <v>805</v>
      </c>
      <c r="AX54" s="215" t="s">
        <v>805</v>
      </c>
      <c r="AY54" s="215" t="s">
        <v>805</v>
      </c>
      <c r="AZ54" s="215" t="s">
        <v>805</v>
      </c>
      <c r="BA54" s="215" t="s">
        <v>805</v>
      </c>
      <c r="BB54" s="215" t="s">
        <v>805</v>
      </c>
      <c r="BC54" s="215" t="s">
        <v>805</v>
      </c>
      <c r="BD54" s="215" t="s">
        <v>805</v>
      </c>
      <c r="BE54" s="215" t="s">
        <v>805</v>
      </c>
      <c r="BF54" s="215" t="s">
        <v>805</v>
      </c>
      <c r="BG54" s="215" t="s">
        <v>805</v>
      </c>
      <c r="BH54" s="215" t="s">
        <v>805</v>
      </c>
      <c r="BI54" s="215" t="s">
        <v>805</v>
      </c>
      <c r="BJ54" s="215" t="s">
        <v>805</v>
      </c>
      <c r="BK54" s="215" t="s">
        <v>805</v>
      </c>
      <c r="BL54" s="215" t="s">
        <v>805</v>
      </c>
      <c r="BM54" s="215" t="s">
        <v>805</v>
      </c>
      <c r="BN54" s="215" t="s">
        <v>805</v>
      </c>
      <c r="BO54" s="215" t="s">
        <v>805</v>
      </c>
      <c r="BP54" s="215" t="s">
        <v>805</v>
      </c>
      <c r="BQ54" s="215" t="s">
        <v>805</v>
      </c>
      <c r="BR54" s="215" t="s">
        <v>805</v>
      </c>
      <c r="BS54" s="215" t="s">
        <v>805</v>
      </c>
      <c r="BT54" s="215" t="s">
        <v>805</v>
      </c>
      <c r="BU54" s="215" t="s">
        <v>805</v>
      </c>
      <c r="BV54" s="215" t="s">
        <v>805</v>
      </c>
      <c r="BW54" s="215" t="s">
        <v>805</v>
      </c>
      <c r="BX54" s="215" t="s">
        <v>805</v>
      </c>
      <c r="BY54" s="215" t="s">
        <v>805</v>
      </c>
      <c r="BZ54" s="215" t="s">
        <v>805</v>
      </c>
      <c r="CA54" s="215" t="s">
        <v>805</v>
      </c>
      <c r="CB54" s="215" t="s">
        <v>805</v>
      </c>
      <c r="CC54" s="215" t="s">
        <v>805</v>
      </c>
      <c r="CD54" s="215" t="s">
        <v>805</v>
      </c>
      <c r="CE54" s="215" t="s">
        <v>805</v>
      </c>
      <c r="CF54" s="215" t="s">
        <v>805</v>
      </c>
      <c r="CG54" s="215" t="s">
        <v>805</v>
      </c>
      <c r="CH54" s="215" t="s">
        <v>805</v>
      </c>
      <c r="CI54" s="215" t="s">
        <v>805</v>
      </c>
      <c r="CJ54" s="215" t="s">
        <v>805</v>
      </c>
      <c r="CK54" s="215" t="s">
        <v>805</v>
      </c>
      <c r="CL54" s="215" t="s">
        <v>805</v>
      </c>
      <c r="CM54" s="215" t="s">
        <v>805</v>
      </c>
      <c r="CN54" s="215" t="s">
        <v>805</v>
      </c>
      <c r="CO54" s="215" t="s">
        <v>805</v>
      </c>
      <c r="CP54" s="215" t="s">
        <v>805</v>
      </c>
      <c r="CQ54" s="215" t="s">
        <v>805</v>
      </c>
      <c r="CR54" s="215" t="s">
        <v>805</v>
      </c>
      <c r="CS54" s="215" t="s">
        <v>805</v>
      </c>
      <c r="CT54" s="215" t="s">
        <v>805</v>
      </c>
      <c r="CU54" s="215" t="s">
        <v>805</v>
      </c>
      <c r="CV54" s="215" t="s">
        <v>805</v>
      </c>
      <c r="CW54" s="215" t="s">
        <v>805</v>
      </c>
      <c r="CX54" s="215" t="s">
        <v>805</v>
      </c>
      <c r="CY54" s="215" t="s">
        <v>805</v>
      </c>
      <c r="CZ54" s="215" t="s">
        <v>805</v>
      </c>
      <c r="DA54" s="215" t="s">
        <v>805</v>
      </c>
      <c r="DB54" s="215" t="s">
        <v>805</v>
      </c>
      <c r="DC54" s="215" t="s">
        <v>805</v>
      </c>
      <c r="DD54" s="215" t="s">
        <v>805</v>
      </c>
      <c r="DE54" s="215" t="s">
        <v>805</v>
      </c>
      <c r="DF54" s="215" t="s">
        <v>805</v>
      </c>
      <c r="DG54" s="212">
        <f>VLOOKUP(E54,'KPI Count-SHARE'!A:F,3,0)</f>
        <v>15</v>
      </c>
      <c r="DH54" s="213">
        <v>0.66900515515866477</v>
      </c>
      <c r="DI54" s="216">
        <v>0.45839240506329115</v>
      </c>
      <c r="DJ54" s="216">
        <v>0.52708318585195491</v>
      </c>
      <c r="DK54" s="216">
        <v>0.6616784547291914</v>
      </c>
      <c r="DL54" s="216">
        <v>0.78518518518518521</v>
      </c>
      <c r="DM54" s="216">
        <v>0.89842609815424235</v>
      </c>
      <c r="DN54" s="212">
        <f>VLOOKUP(E54,'KPI Count-SHARE'!A:F,4,0)</f>
        <v>0</v>
      </c>
      <c r="DO54" s="213"/>
      <c r="DP54" s="216"/>
      <c r="DQ54" s="216"/>
      <c r="DR54" s="216"/>
      <c r="DS54" s="216"/>
      <c r="DT54" s="216"/>
      <c r="DU54" s="212">
        <f>VLOOKUP(E54,'KPI Count-SHARE'!A:F,5,0)</f>
        <v>0</v>
      </c>
      <c r="DV54" s="213"/>
      <c r="DW54" s="216"/>
      <c r="DX54" s="216"/>
      <c r="DY54" s="216"/>
      <c r="DZ54" s="216"/>
      <c r="EA54" s="216"/>
      <c r="EB54" s="212">
        <f>VLOOKUP(E54,'KPI Count-SHARE'!A:F,6,0)</f>
        <v>0</v>
      </c>
      <c r="EC54" s="213"/>
      <c r="ED54" s="216"/>
      <c r="EE54" s="216"/>
      <c r="EF54" s="216"/>
      <c r="EG54" s="216"/>
      <c r="EH54" s="216"/>
      <c r="EI54" s="214" t="s">
        <v>533</v>
      </c>
      <c r="EJ54" s="39">
        <f t="shared" si="101"/>
        <v>0.57827476038338654</v>
      </c>
      <c r="EK54" s="39">
        <f t="shared" si="102"/>
        <v>0.54605263157894735</v>
      </c>
      <c r="EL54" s="39">
        <f t="shared" si="103"/>
        <v>0.5847457627118644</v>
      </c>
      <c r="EM54" s="39">
        <f t="shared" si="104"/>
        <v>0.67441860465116277</v>
      </c>
      <c r="EN54" s="39" t="str">
        <f t="shared" si="105"/>
        <v/>
      </c>
      <c r="EO54" s="39" t="str">
        <f t="shared" si="106"/>
        <v/>
      </c>
      <c r="EP54" s="39" t="str">
        <f t="shared" si="107"/>
        <v/>
      </c>
      <c r="EQ54" s="39" t="str">
        <f t="shared" si="108"/>
        <v/>
      </c>
      <c r="ER54" s="39" t="str">
        <f t="shared" si="109"/>
        <v/>
      </c>
      <c r="ES54" s="39" t="str">
        <f t="shared" si="110"/>
        <v/>
      </c>
      <c r="ET54" s="39" t="str">
        <f t="shared" si="111"/>
        <v/>
      </c>
      <c r="EU54" s="39" t="str">
        <f t="shared" si="344"/>
        <v/>
      </c>
      <c r="EV54" s="39" t="str">
        <f t="shared" si="345"/>
        <v/>
      </c>
      <c r="EW54" s="39" t="str">
        <f t="shared" si="346"/>
        <v/>
      </c>
      <c r="EX54" s="39" t="str">
        <f t="shared" si="347"/>
        <v/>
      </c>
      <c r="EY54" s="39" t="str">
        <f t="shared" si="348"/>
        <v/>
      </c>
      <c r="EZ54" s="39" t="str">
        <f t="shared" si="349"/>
        <v/>
      </c>
      <c r="FA54" s="39" t="str">
        <f t="shared" si="350"/>
        <v/>
      </c>
      <c r="FB54" s="39" t="str">
        <f t="shared" si="351"/>
        <v/>
      </c>
      <c r="FC54" s="39" t="str">
        <f t="shared" si="352"/>
        <v/>
      </c>
      <c r="FD54" s="39" t="str">
        <f t="shared" si="353"/>
        <v/>
      </c>
      <c r="FE54" s="39" t="str">
        <f t="shared" si="354"/>
        <v/>
      </c>
      <c r="FF54" s="39" t="str">
        <f t="shared" si="355"/>
        <v/>
      </c>
      <c r="FG54" s="39" t="str">
        <f t="shared" si="356"/>
        <v/>
      </c>
      <c r="FH54" s="39" t="str">
        <f t="shared" si="357"/>
        <v/>
      </c>
      <c r="FI54" s="39" t="str">
        <f t="shared" si="358"/>
        <v/>
      </c>
      <c r="FJ54" s="39" t="str">
        <f t="shared" si="359"/>
        <v/>
      </c>
      <c r="FK54" s="39" t="str">
        <f t="shared" si="360"/>
        <v/>
      </c>
      <c r="FL54" s="39" t="str">
        <f t="shared" si="361"/>
        <v/>
      </c>
      <c r="FM54" s="39" t="str">
        <f t="shared" si="362"/>
        <v/>
      </c>
      <c r="FN54" s="39" t="str">
        <f t="shared" si="363"/>
        <v/>
      </c>
      <c r="FO54" s="39" t="str">
        <f t="shared" si="364"/>
        <v/>
      </c>
      <c r="FP54" s="39" t="str">
        <f t="shared" si="365"/>
        <v/>
      </c>
      <c r="FQ54" s="39" t="str">
        <f t="shared" si="366"/>
        <v/>
      </c>
      <c r="FR54" s="39" t="str">
        <f t="shared" si="367"/>
        <v/>
      </c>
      <c r="FS54" s="39" t="str">
        <f t="shared" si="368"/>
        <v/>
      </c>
      <c r="FT54" s="39" t="str">
        <f t="shared" si="369"/>
        <v/>
      </c>
      <c r="FU54" s="39" t="str">
        <f t="shared" si="370"/>
        <v/>
      </c>
      <c r="FV54" s="39" t="str">
        <f t="shared" si="371"/>
        <v/>
      </c>
      <c r="FW54" s="39" t="str">
        <f t="shared" si="372"/>
        <v/>
      </c>
      <c r="FX54" s="39" t="str">
        <f t="shared" si="373"/>
        <v/>
      </c>
      <c r="FY54" s="39" t="str">
        <f t="shared" si="374"/>
        <v/>
      </c>
      <c r="FZ54" s="39" t="str">
        <f t="shared" si="375"/>
        <v/>
      </c>
      <c r="GA54" s="39" t="str">
        <f t="shared" si="376"/>
        <v/>
      </c>
      <c r="GB54" s="39" t="str">
        <f t="shared" si="377"/>
        <v/>
      </c>
      <c r="GC54" s="39" t="str">
        <f t="shared" si="378"/>
        <v/>
      </c>
      <c r="GD54" s="39" t="str">
        <f t="shared" si="379"/>
        <v/>
      </c>
      <c r="GE54" s="39" t="str">
        <f t="shared" si="380"/>
        <v/>
      </c>
      <c r="GF54" s="39" t="str">
        <f t="shared" si="381"/>
        <v/>
      </c>
      <c r="GG54" s="39" t="str">
        <f t="shared" si="382"/>
        <v/>
      </c>
      <c r="GH54" s="39" t="str">
        <f t="shared" si="383"/>
        <v/>
      </c>
      <c r="GI54" s="39" t="str">
        <f t="shared" si="384"/>
        <v/>
      </c>
      <c r="GJ54" s="39" t="str">
        <f t="shared" si="385"/>
        <v/>
      </c>
      <c r="GK54" s="39" t="str">
        <f t="shared" si="386"/>
        <v/>
      </c>
      <c r="GL54" s="39" t="str">
        <f t="shared" si="387"/>
        <v/>
      </c>
      <c r="GM54" s="39" t="str">
        <f t="shared" si="388"/>
        <v/>
      </c>
      <c r="GN54" s="39" t="str">
        <f t="shared" si="389"/>
        <v/>
      </c>
      <c r="GO54" s="39" t="str">
        <f t="shared" si="390"/>
        <v/>
      </c>
      <c r="GP54" s="39" t="str">
        <f t="shared" si="391"/>
        <v/>
      </c>
      <c r="GQ54" s="39" t="str">
        <f t="shared" si="392"/>
        <v/>
      </c>
      <c r="GR54" s="39" t="str">
        <f t="shared" si="393"/>
        <v/>
      </c>
      <c r="GS54" s="39" t="str">
        <f t="shared" si="394"/>
        <v/>
      </c>
      <c r="GT54" s="39" t="str">
        <f t="shared" si="395"/>
        <v/>
      </c>
      <c r="GU54" s="39" t="str">
        <f t="shared" si="396"/>
        <v/>
      </c>
      <c r="GV54" s="39" t="str">
        <f t="shared" si="397"/>
        <v/>
      </c>
      <c r="GW54" s="39" t="str">
        <f t="shared" si="398"/>
        <v/>
      </c>
      <c r="GX54" s="39" t="str">
        <f t="shared" si="399"/>
        <v/>
      </c>
      <c r="GY54" s="39" t="str">
        <f t="shared" si="400"/>
        <v/>
      </c>
      <c r="GZ54" s="39" t="str">
        <f t="shared" si="401"/>
        <v/>
      </c>
      <c r="HA54" s="39" t="str">
        <f t="shared" si="402"/>
        <v/>
      </c>
      <c r="HB54" s="39" t="str">
        <f t="shared" si="403"/>
        <v/>
      </c>
      <c r="HC54" s="39" t="str">
        <f t="shared" si="404"/>
        <v/>
      </c>
      <c r="HD54" s="39" t="str">
        <f t="shared" si="405"/>
        <v/>
      </c>
      <c r="HE54" s="39" t="str">
        <f t="shared" si="406"/>
        <v/>
      </c>
      <c r="HF54" s="39" t="str">
        <f t="shared" si="407"/>
        <v/>
      </c>
      <c r="HG54" s="39" t="str">
        <f t="shared" si="408"/>
        <v/>
      </c>
      <c r="HH54" s="39" t="str">
        <f t="shared" si="409"/>
        <v/>
      </c>
      <c r="HI54" s="39" t="str">
        <f t="shared" si="410"/>
        <v/>
      </c>
      <c r="HJ54" s="39" t="str">
        <f t="shared" si="411"/>
        <v/>
      </c>
      <c r="HK54" s="39" t="str">
        <f t="shared" si="412"/>
        <v/>
      </c>
      <c r="HL54" s="39" t="str">
        <f t="shared" si="413"/>
        <v/>
      </c>
      <c r="HM54" s="39" t="str">
        <f t="shared" si="414"/>
        <v/>
      </c>
      <c r="HN54" s="39" t="str">
        <f t="shared" si="415"/>
        <v/>
      </c>
      <c r="HO54" s="39" t="str">
        <f t="shared" si="416"/>
        <v/>
      </c>
      <c r="HP54" s="39" t="str">
        <f t="shared" si="417"/>
        <v/>
      </c>
      <c r="HQ54" s="39" t="str">
        <f t="shared" si="418"/>
        <v/>
      </c>
      <c r="HR54" s="39" t="str">
        <f t="shared" si="419"/>
        <v/>
      </c>
      <c r="HS54" s="39" t="str">
        <f t="shared" si="420"/>
        <v/>
      </c>
      <c r="HT54" s="39" t="str">
        <f t="shared" si="421"/>
        <v/>
      </c>
      <c r="HU54" s="39" t="str">
        <f t="shared" si="422"/>
        <v/>
      </c>
      <c r="HV54" s="39" t="str">
        <f t="shared" si="423"/>
        <v/>
      </c>
      <c r="HW54" s="39" t="str">
        <f t="shared" si="424"/>
        <v/>
      </c>
      <c r="HX54" s="39" t="str">
        <f t="shared" si="425"/>
        <v/>
      </c>
      <c r="HY54" s="39" t="str">
        <f t="shared" si="426"/>
        <v/>
      </c>
      <c r="HZ54" s="39" t="str">
        <f t="shared" si="427"/>
        <v/>
      </c>
      <c r="IA54" s="39" t="str">
        <f t="shared" si="428"/>
        <v/>
      </c>
      <c r="IB54" s="39" t="str">
        <f t="shared" si="429"/>
        <v/>
      </c>
      <c r="IC54" s="39" t="str">
        <f t="shared" si="430"/>
        <v/>
      </c>
      <c r="ID54" s="39" t="str">
        <f t="shared" si="431"/>
        <v/>
      </c>
      <c r="IE54" s="39" t="str">
        <f t="shared" si="432"/>
        <v/>
      </c>
      <c r="IF54" s="39" t="str">
        <f t="shared" si="433"/>
        <v/>
      </c>
      <c r="IG54" s="308">
        <f t="shared" si="434"/>
        <v>0.66900515515866477</v>
      </c>
      <c r="IH54" s="84">
        <f t="shared" si="435"/>
        <v>0.45839240506329115</v>
      </c>
      <c r="II54" s="84">
        <f t="shared" si="436"/>
        <v>0.52708318585195491</v>
      </c>
      <c r="IJ54" s="84">
        <f t="shared" si="437"/>
        <v>0.6616784547291914</v>
      </c>
      <c r="IK54" s="84">
        <f t="shared" si="438"/>
        <v>0.78518518518518521</v>
      </c>
      <c r="IL54" s="84">
        <f t="shared" si="439"/>
        <v>0.89842609815424235</v>
      </c>
      <c r="IM54" s="308" t="str">
        <f t="shared" si="440"/>
        <v/>
      </c>
      <c r="IN54" s="84" t="str">
        <f t="shared" si="441"/>
        <v/>
      </c>
      <c r="IO54" s="84" t="str">
        <f t="shared" si="442"/>
        <v/>
      </c>
      <c r="IP54" s="84" t="str">
        <f t="shared" si="443"/>
        <v/>
      </c>
      <c r="IQ54" s="84" t="str">
        <f t="shared" si="444"/>
        <v/>
      </c>
      <c r="IR54" s="84" t="str">
        <f t="shared" si="445"/>
        <v/>
      </c>
      <c r="IS54" s="308" t="str">
        <f t="shared" si="446"/>
        <v/>
      </c>
      <c r="IT54" s="84" t="str">
        <f t="shared" si="447"/>
        <v/>
      </c>
      <c r="IU54" s="84" t="str">
        <f t="shared" si="448"/>
        <v/>
      </c>
      <c r="IV54" s="84" t="str">
        <f t="shared" si="449"/>
        <v/>
      </c>
      <c r="IW54" s="84" t="str">
        <f t="shared" si="450"/>
        <v/>
      </c>
      <c r="IX54" s="84" t="str">
        <f t="shared" si="451"/>
        <v/>
      </c>
      <c r="IY54" s="308" t="str">
        <f t="shared" si="452"/>
        <v/>
      </c>
      <c r="IZ54" s="84" t="str">
        <f t="shared" si="453"/>
        <v/>
      </c>
      <c r="JA54" s="84" t="str">
        <f t="shared" si="454"/>
        <v/>
      </c>
      <c r="JB54" s="84" t="str">
        <f t="shared" si="455"/>
        <v/>
      </c>
      <c r="JC54" s="84" t="str">
        <f t="shared" si="456"/>
        <v/>
      </c>
      <c r="JD54" s="309" t="str">
        <f t="shared" si="457"/>
        <v/>
      </c>
      <c r="JF54" s="66">
        <f t="shared" si="224"/>
        <v>54</v>
      </c>
      <c r="JG54" s="66">
        <f t="shared" ca="1" si="340"/>
        <v>0.52708318585195491</v>
      </c>
      <c r="JH54" s="66">
        <f t="shared" ca="1" si="341"/>
        <v>0.6616784547291914</v>
      </c>
      <c r="JI54" s="66">
        <f t="shared" ca="1" si="342"/>
        <v>0.78518518518518521</v>
      </c>
      <c r="JJ54" s="66">
        <f t="shared" ca="1" si="343"/>
        <v>15</v>
      </c>
      <c r="JK54" s="33"/>
      <c r="JL54" s="74">
        <f t="shared" ca="1" si="121"/>
        <v>0.52708318585195491</v>
      </c>
      <c r="JM54" s="75">
        <f t="shared" ca="1" si="310"/>
        <v>0.59438082029057315</v>
      </c>
      <c r="JN54" s="75">
        <f t="shared" ca="1" si="311"/>
        <v>0.7234318199571883</v>
      </c>
      <c r="JO54" s="74">
        <f t="shared" ca="1" si="122"/>
        <v>0.78518518518518521</v>
      </c>
      <c r="JP54" s="74">
        <f t="shared" ca="1" si="123"/>
        <v>2.6300810112849016</v>
      </c>
    </row>
    <row r="55" spans="1:276" s="1" customFormat="1" x14ac:dyDescent="0.35">
      <c r="A55" s="125">
        <v>0</v>
      </c>
      <c r="B55" s="125">
        <v>1</v>
      </c>
      <c r="C55" s="125">
        <v>1</v>
      </c>
      <c r="E55" s="142" t="s">
        <v>98</v>
      </c>
      <c r="F55" s="208" t="s">
        <v>99</v>
      </c>
      <c r="G55" s="209" t="s">
        <v>542</v>
      </c>
      <c r="H55" s="210" t="s">
        <v>531</v>
      </c>
      <c r="I55" s="8" t="s">
        <v>532</v>
      </c>
      <c r="J55" s="211">
        <v>1.3712121212121211</v>
      </c>
      <c r="K55" s="211">
        <v>1.2028985507246377</v>
      </c>
      <c r="L55" s="211">
        <v>1.4081632653061225</v>
      </c>
      <c r="M55" s="211">
        <v>2.0714285714285716</v>
      </c>
      <c r="N55" s="211" t="s">
        <v>805</v>
      </c>
      <c r="O55" s="211" t="s">
        <v>805</v>
      </c>
      <c r="P55" s="211" t="s">
        <v>805</v>
      </c>
      <c r="Q55" s="211" t="s">
        <v>805</v>
      </c>
      <c r="R55" s="211" t="s">
        <v>805</v>
      </c>
      <c r="S55" s="211" t="s">
        <v>805</v>
      </c>
      <c r="T55" s="211" t="s">
        <v>805</v>
      </c>
      <c r="U55" s="211" t="s">
        <v>805</v>
      </c>
      <c r="V55" s="211" t="s">
        <v>805</v>
      </c>
      <c r="W55" s="211" t="s">
        <v>805</v>
      </c>
      <c r="X55" s="211" t="s">
        <v>805</v>
      </c>
      <c r="Y55" s="211" t="s">
        <v>805</v>
      </c>
      <c r="Z55" s="211" t="s">
        <v>805</v>
      </c>
      <c r="AA55" s="211" t="s">
        <v>805</v>
      </c>
      <c r="AB55" s="211" t="s">
        <v>805</v>
      </c>
      <c r="AC55" s="211" t="s">
        <v>805</v>
      </c>
      <c r="AD55" s="211" t="s">
        <v>805</v>
      </c>
      <c r="AE55" s="211" t="s">
        <v>805</v>
      </c>
      <c r="AF55" s="211" t="s">
        <v>805</v>
      </c>
      <c r="AG55" s="211" t="s">
        <v>805</v>
      </c>
      <c r="AH55" s="211" t="s">
        <v>805</v>
      </c>
      <c r="AI55" s="211" t="s">
        <v>805</v>
      </c>
      <c r="AJ55" s="211" t="s">
        <v>805</v>
      </c>
      <c r="AK55" s="211" t="s">
        <v>805</v>
      </c>
      <c r="AL55" s="211" t="s">
        <v>805</v>
      </c>
      <c r="AM55" s="211" t="s">
        <v>805</v>
      </c>
      <c r="AN55" s="211" t="s">
        <v>805</v>
      </c>
      <c r="AO55" s="211" t="s">
        <v>805</v>
      </c>
      <c r="AP55" s="211" t="s">
        <v>805</v>
      </c>
      <c r="AQ55" s="211" t="s">
        <v>805</v>
      </c>
      <c r="AR55" s="211" t="s">
        <v>805</v>
      </c>
      <c r="AS55" s="211" t="s">
        <v>805</v>
      </c>
      <c r="AT55" s="211" t="s">
        <v>805</v>
      </c>
      <c r="AU55" s="211" t="s">
        <v>805</v>
      </c>
      <c r="AV55" s="211" t="s">
        <v>805</v>
      </c>
      <c r="AW55" s="211" t="s">
        <v>805</v>
      </c>
      <c r="AX55" s="211" t="s">
        <v>805</v>
      </c>
      <c r="AY55" s="211" t="s">
        <v>805</v>
      </c>
      <c r="AZ55" s="211" t="s">
        <v>805</v>
      </c>
      <c r="BA55" s="211" t="s">
        <v>805</v>
      </c>
      <c r="BB55" s="211" t="s">
        <v>805</v>
      </c>
      <c r="BC55" s="211" t="s">
        <v>805</v>
      </c>
      <c r="BD55" s="211" t="s">
        <v>805</v>
      </c>
      <c r="BE55" s="211" t="s">
        <v>805</v>
      </c>
      <c r="BF55" s="211" t="s">
        <v>805</v>
      </c>
      <c r="BG55" s="211" t="s">
        <v>805</v>
      </c>
      <c r="BH55" s="211" t="s">
        <v>805</v>
      </c>
      <c r="BI55" s="211" t="s">
        <v>805</v>
      </c>
      <c r="BJ55" s="211" t="s">
        <v>805</v>
      </c>
      <c r="BK55" s="211" t="s">
        <v>805</v>
      </c>
      <c r="BL55" s="211" t="s">
        <v>805</v>
      </c>
      <c r="BM55" s="211" t="s">
        <v>805</v>
      </c>
      <c r="BN55" s="211" t="s">
        <v>805</v>
      </c>
      <c r="BO55" s="211" t="s">
        <v>805</v>
      </c>
      <c r="BP55" s="211" t="s">
        <v>805</v>
      </c>
      <c r="BQ55" s="211" t="s">
        <v>805</v>
      </c>
      <c r="BR55" s="211" t="s">
        <v>805</v>
      </c>
      <c r="BS55" s="211" t="s">
        <v>805</v>
      </c>
      <c r="BT55" s="211" t="s">
        <v>805</v>
      </c>
      <c r="BU55" s="211" t="s">
        <v>805</v>
      </c>
      <c r="BV55" s="211" t="s">
        <v>805</v>
      </c>
      <c r="BW55" s="211" t="s">
        <v>805</v>
      </c>
      <c r="BX55" s="211" t="s">
        <v>805</v>
      </c>
      <c r="BY55" s="211" t="s">
        <v>805</v>
      </c>
      <c r="BZ55" s="211" t="s">
        <v>805</v>
      </c>
      <c r="CA55" s="211" t="s">
        <v>805</v>
      </c>
      <c r="CB55" s="211" t="s">
        <v>805</v>
      </c>
      <c r="CC55" s="211" t="s">
        <v>805</v>
      </c>
      <c r="CD55" s="211" t="s">
        <v>805</v>
      </c>
      <c r="CE55" s="211" t="s">
        <v>805</v>
      </c>
      <c r="CF55" s="211" t="s">
        <v>805</v>
      </c>
      <c r="CG55" s="211" t="s">
        <v>805</v>
      </c>
      <c r="CH55" s="211" t="s">
        <v>805</v>
      </c>
      <c r="CI55" s="211" t="s">
        <v>805</v>
      </c>
      <c r="CJ55" s="211" t="s">
        <v>805</v>
      </c>
      <c r="CK55" s="211" t="s">
        <v>805</v>
      </c>
      <c r="CL55" s="211" t="s">
        <v>805</v>
      </c>
      <c r="CM55" s="211" t="s">
        <v>805</v>
      </c>
      <c r="CN55" s="211" t="s">
        <v>805</v>
      </c>
      <c r="CO55" s="211" t="s">
        <v>805</v>
      </c>
      <c r="CP55" s="211" t="s">
        <v>805</v>
      </c>
      <c r="CQ55" s="211" t="s">
        <v>805</v>
      </c>
      <c r="CR55" s="211" t="s">
        <v>805</v>
      </c>
      <c r="CS55" s="211" t="s">
        <v>805</v>
      </c>
      <c r="CT55" s="211" t="s">
        <v>805</v>
      </c>
      <c r="CU55" s="211" t="s">
        <v>805</v>
      </c>
      <c r="CV55" s="211" t="s">
        <v>805</v>
      </c>
      <c r="CW55" s="211" t="s">
        <v>805</v>
      </c>
      <c r="CX55" s="211" t="s">
        <v>805</v>
      </c>
      <c r="CY55" s="211" t="s">
        <v>805</v>
      </c>
      <c r="CZ55" s="211" t="s">
        <v>805</v>
      </c>
      <c r="DA55" s="211" t="s">
        <v>805</v>
      </c>
      <c r="DB55" s="211" t="s">
        <v>805</v>
      </c>
      <c r="DC55" s="211" t="s">
        <v>805</v>
      </c>
      <c r="DD55" s="211" t="s">
        <v>805</v>
      </c>
      <c r="DE55" s="211" t="s">
        <v>805</v>
      </c>
      <c r="DF55" s="211" t="s">
        <v>805</v>
      </c>
      <c r="DG55" s="212">
        <f>VLOOKUP(E55,'KPI Count-SHARE'!A:F,3,0)</f>
        <v>14</v>
      </c>
      <c r="DH55" s="213">
        <v>3.2091876308833198</v>
      </c>
      <c r="DI55" s="213">
        <v>0.84150046658998678</v>
      </c>
      <c r="DJ55" s="213">
        <v>1.0182417109516191</v>
      </c>
      <c r="DK55" s="213">
        <v>1.922328538308935</v>
      </c>
      <c r="DL55" s="213">
        <v>3.1132035003431708</v>
      </c>
      <c r="DM55" s="213">
        <v>4.4694117647058835</v>
      </c>
      <c r="DN55" s="212">
        <f>VLOOKUP(E55,'KPI Count-SHARE'!A:F,4,0)</f>
        <v>0</v>
      </c>
      <c r="DO55" s="213"/>
      <c r="DP55" s="213"/>
      <c r="DQ55" s="213"/>
      <c r="DR55" s="213"/>
      <c r="DS55" s="213"/>
      <c r="DT55" s="213"/>
      <c r="DU55" s="212">
        <f>VLOOKUP(E55,'KPI Count-SHARE'!A:F,5,0)</f>
        <v>0</v>
      </c>
      <c r="DV55" s="213"/>
      <c r="DW55" s="213"/>
      <c r="DX55" s="213"/>
      <c r="DY55" s="213"/>
      <c r="DZ55" s="213"/>
      <c r="EA55" s="213"/>
      <c r="EB55" s="212">
        <f>VLOOKUP(E55,'KPI Count-SHARE'!A:F,6,0)</f>
        <v>0</v>
      </c>
      <c r="EC55" s="213"/>
      <c r="ED55" s="213"/>
      <c r="EE55" s="213"/>
      <c r="EF55" s="213"/>
      <c r="EG55" s="213"/>
      <c r="EH55" s="213"/>
      <c r="EI55" s="214" t="s">
        <v>531</v>
      </c>
      <c r="EJ55" s="91">
        <f t="shared" si="101"/>
        <v>1.3712121212121211</v>
      </c>
      <c r="EK55" s="91">
        <f t="shared" si="102"/>
        <v>1.2028985507246377</v>
      </c>
      <c r="EL55" s="91">
        <f t="shared" si="103"/>
        <v>1.4081632653061225</v>
      </c>
      <c r="EM55" s="91">
        <f t="shared" si="104"/>
        <v>2.0714285714285716</v>
      </c>
      <c r="EN55" s="91" t="str">
        <f t="shared" si="105"/>
        <v/>
      </c>
      <c r="EO55" s="91" t="str">
        <f t="shared" si="106"/>
        <v/>
      </c>
      <c r="EP55" s="91" t="str">
        <f t="shared" si="107"/>
        <v/>
      </c>
      <c r="EQ55" s="91" t="str">
        <f t="shared" si="108"/>
        <v/>
      </c>
      <c r="ER55" s="91" t="str">
        <f t="shared" si="109"/>
        <v/>
      </c>
      <c r="ES55" s="91" t="str">
        <f t="shared" si="110"/>
        <v/>
      </c>
      <c r="ET55" s="91" t="str">
        <f t="shared" si="111"/>
        <v/>
      </c>
      <c r="EU55" s="91" t="str">
        <f t="shared" si="344"/>
        <v/>
      </c>
      <c r="EV55" s="91" t="str">
        <f t="shared" si="345"/>
        <v/>
      </c>
      <c r="EW55" s="91" t="str">
        <f t="shared" si="346"/>
        <v/>
      </c>
      <c r="EX55" s="91" t="str">
        <f t="shared" si="347"/>
        <v/>
      </c>
      <c r="EY55" s="91" t="str">
        <f t="shared" si="348"/>
        <v/>
      </c>
      <c r="EZ55" s="91" t="str">
        <f t="shared" si="349"/>
        <v/>
      </c>
      <c r="FA55" s="91" t="str">
        <f t="shared" si="350"/>
        <v/>
      </c>
      <c r="FB55" s="91" t="str">
        <f t="shared" si="351"/>
        <v/>
      </c>
      <c r="FC55" s="91" t="str">
        <f t="shared" si="352"/>
        <v/>
      </c>
      <c r="FD55" s="91" t="str">
        <f t="shared" si="353"/>
        <v/>
      </c>
      <c r="FE55" s="91" t="str">
        <f t="shared" si="354"/>
        <v/>
      </c>
      <c r="FF55" s="91" t="str">
        <f t="shared" si="355"/>
        <v/>
      </c>
      <c r="FG55" s="91" t="str">
        <f t="shared" si="356"/>
        <v/>
      </c>
      <c r="FH55" s="91" t="str">
        <f t="shared" si="357"/>
        <v/>
      </c>
      <c r="FI55" s="91" t="str">
        <f t="shared" si="358"/>
        <v/>
      </c>
      <c r="FJ55" s="91" t="str">
        <f t="shared" si="359"/>
        <v/>
      </c>
      <c r="FK55" s="91" t="str">
        <f t="shared" si="360"/>
        <v/>
      </c>
      <c r="FL55" s="91" t="str">
        <f t="shared" si="361"/>
        <v/>
      </c>
      <c r="FM55" s="91" t="str">
        <f t="shared" si="362"/>
        <v/>
      </c>
      <c r="FN55" s="91" t="str">
        <f t="shared" si="363"/>
        <v/>
      </c>
      <c r="FO55" s="91" t="str">
        <f t="shared" si="364"/>
        <v/>
      </c>
      <c r="FP55" s="91" t="str">
        <f t="shared" si="365"/>
        <v/>
      </c>
      <c r="FQ55" s="91" t="str">
        <f t="shared" si="366"/>
        <v/>
      </c>
      <c r="FR55" s="91" t="str">
        <f t="shared" si="367"/>
        <v/>
      </c>
      <c r="FS55" s="91" t="str">
        <f t="shared" si="368"/>
        <v/>
      </c>
      <c r="FT55" s="91" t="str">
        <f t="shared" si="369"/>
        <v/>
      </c>
      <c r="FU55" s="91" t="str">
        <f t="shared" si="370"/>
        <v/>
      </c>
      <c r="FV55" s="91" t="str">
        <f t="shared" si="371"/>
        <v/>
      </c>
      <c r="FW55" s="91" t="str">
        <f t="shared" si="372"/>
        <v/>
      </c>
      <c r="FX55" s="91" t="str">
        <f t="shared" si="373"/>
        <v/>
      </c>
      <c r="FY55" s="91" t="str">
        <f t="shared" si="374"/>
        <v/>
      </c>
      <c r="FZ55" s="91" t="str">
        <f t="shared" si="375"/>
        <v/>
      </c>
      <c r="GA55" s="91" t="str">
        <f t="shared" si="376"/>
        <v/>
      </c>
      <c r="GB55" s="91" t="str">
        <f t="shared" si="377"/>
        <v/>
      </c>
      <c r="GC55" s="91" t="str">
        <f t="shared" si="378"/>
        <v/>
      </c>
      <c r="GD55" s="91" t="str">
        <f t="shared" si="379"/>
        <v/>
      </c>
      <c r="GE55" s="91" t="str">
        <f t="shared" si="380"/>
        <v/>
      </c>
      <c r="GF55" s="91" t="str">
        <f t="shared" si="381"/>
        <v/>
      </c>
      <c r="GG55" s="91" t="str">
        <f t="shared" si="382"/>
        <v/>
      </c>
      <c r="GH55" s="91" t="str">
        <f t="shared" si="383"/>
        <v/>
      </c>
      <c r="GI55" s="91" t="str">
        <f t="shared" si="384"/>
        <v/>
      </c>
      <c r="GJ55" s="91" t="str">
        <f t="shared" si="385"/>
        <v/>
      </c>
      <c r="GK55" s="91" t="str">
        <f t="shared" si="386"/>
        <v/>
      </c>
      <c r="GL55" s="91" t="str">
        <f t="shared" si="387"/>
        <v/>
      </c>
      <c r="GM55" s="91" t="str">
        <f t="shared" si="388"/>
        <v/>
      </c>
      <c r="GN55" s="91" t="str">
        <f t="shared" si="389"/>
        <v/>
      </c>
      <c r="GO55" s="91" t="str">
        <f t="shared" si="390"/>
        <v/>
      </c>
      <c r="GP55" s="91" t="str">
        <f t="shared" si="391"/>
        <v/>
      </c>
      <c r="GQ55" s="91" t="str">
        <f t="shared" si="392"/>
        <v/>
      </c>
      <c r="GR55" s="91" t="str">
        <f t="shared" si="393"/>
        <v/>
      </c>
      <c r="GS55" s="91" t="str">
        <f t="shared" si="394"/>
        <v/>
      </c>
      <c r="GT55" s="91" t="str">
        <f t="shared" si="395"/>
        <v/>
      </c>
      <c r="GU55" s="91" t="str">
        <f t="shared" si="396"/>
        <v/>
      </c>
      <c r="GV55" s="91" t="str">
        <f t="shared" si="397"/>
        <v/>
      </c>
      <c r="GW55" s="91" t="str">
        <f t="shared" si="398"/>
        <v/>
      </c>
      <c r="GX55" s="91" t="str">
        <f t="shared" si="399"/>
        <v/>
      </c>
      <c r="GY55" s="91" t="str">
        <f t="shared" si="400"/>
        <v/>
      </c>
      <c r="GZ55" s="91" t="str">
        <f t="shared" si="401"/>
        <v/>
      </c>
      <c r="HA55" s="91" t="str">
        <f t="shared" si="402"/>
        <v/>
      </c>
      <c r="HB55" s="91" t="str">
        <f t="shared" si="403"/>
        <v/>
      </c>
      <c r="HC55" s="91" t="str">
        <f t="shared" si="404"/>
        <v/>
      </c>
      <c r="HD55" s="91" t="str">
        <f t="shared" si="405"/>
        <v/>
      </c>
      <c r="HE55" s="91" t="str">
        <f t="shared" si="406"/>
        <v/>
      </c>
      <c r="HF55" s="91" t="str">
        <f t="shared" si="407"/>
        <v/>
      </c>
      <c r="HG55" s="91" t="str">
        <f t="shared" si="408"/>
        <v/>
      </c>
      <c r="HH55" s="91" t="str">
        <f t="shared" si="409"/>
        <v/>
      </c>
      <c r="HI55" s="91" t="str">
        <f t="shared" si="410"/>
        <v/>
      </c>
      <c r="HJ55" s="91" t="str">
        <f t="shared" si="411"/>
        <v/>
      </c>
      <c r="HK55" s="91" t="str">
        <f t="shared" si="412"/>
        <v/>
      </c>
      <c r="HL55" s="91" t="str">
        <f t="shared" si="413"/>
        <v/>
      </c>
      <c r="HM55" s="91" t="str">
        <f t="shared" si="414"/>
        <v/>
      </c>
      <c r="HN55" s="91" t="str">
        <f t="shared" si="415"/>
        <v/>
      </c>
      <c r="HO55" s="91" t="str">
        <f t="shared" si="416"/>
        <v/>
      </c>
      <c r="HP55" s="91" t="str">
        <f t="shared" si="417"/>
        <v/>
      </c>
      <c r="HQ55" s="91" t="str">
        <f t="shared" si="418"/>
        <v/>
      </c>
      <c r="HR55" s="91" t="str">
        <f t="shared" si="419"/>
        <v/>
      </c>
      <c r="HS55" s="91" t="str">
        <f t="shared" si="420"/>
        <v/>
      </c>
      <c r="HT55" s="91" t="str">
        <f t="shared" si="421"/>
        <v/>
      </c>
      <c r="HU55" s="91" t="str">
        <f t="shared" si="422"/>
        <v/>
      </c>
      <c r="HV55" s="91" t="str">
        <f t="shared" si="423"/>
        <v/>
      </c>
      <c r="HW55" s="91" t="str">
        <f t="shared" si="424"/>
        <v/>
      </c>
      <c r="HX55" s="91" t="str">
        <f t="shared" si="425"/>
        <v/>
      </c>
      <c r="HY55" s="91" t="str">
        <f t="shared" si="426"/>
        <v/>
      </c>
      <c r="HZ55" s="91" t="str">
        <f t="shared" si="427"/>
        <v/>
      </c>
      <c r="IA55" s="91" t="str">
        <f t="shared" si="428"/>
        <v/>
      </c>
      <c r="IB55" s="91" t="str">
        <f t="shared" si="429"/>
        <v/>
      </c>
      <c r="IC55" s="91" t="str">
        <f t="shared" si="430"/>
        <v/>
      </c>
      <c r="ID55" s="91" t="str">
        <f t="shared" si="431"/>
        <v/>
      </c>
      <c r="IE55" s="91" t="str">
        <f t="shared" si="432"/>
        <v/>
      </c>
      <c r="IF55" s="91" t="str">
        <f t="shared" si="433"/>
        <v/>
      </c>
      <c r="IG55" s="314">
        <f t="shared" si="434"/>
        <v>3.2091876308833198</v>
      </c>
      <c r="IH55" s="93">
        <f t="shared" si="435"/>
        <v>0.84150046658998678</v>
      </c>
      <c r="II55" s="93">
        <f t="shared" si="436"/>
        <v>1.0182417109516191</v>
      </c>
      <c r="IJ55" s="93">
        <f t="shared" si="437"/>
        <v>1.922328538308935</v>
      </c>
      <c r="IK55" s="93">
        <f t="shared" si="438"/>
        <v>3.1132035003431708</v>
      </c>
      <c r="IL55" s="93">
        <f t="shared" si="439"/>
        <v>4.4694117647058835</v>
      </c>
      <c r="IM55" s="314" t="str">
        <f t="shared" si="440"/>
        <v/>
      </c>
      <c r="IN55" s="93" t="str">
        <f t="shared" si="441"/>
        <v/>
      </c>
      <c r="IO55" s="93" t="str">
        <f t="shared" si="442"/>
        <v/>
      </c>
      <c r="IP55" s="93" t="str">
        <f t="shared" si="443"/>
        <v/>
      </c>
      <c r="IQ55" s="93" t="str">
        <f t="shared" si="444"/>
        <v/>
      </c>
      <c r="IR55" s="93" t="str">
        <f t="shared" si="445"/>
        <v/>
      </c>
      <c r="IS55" s="314" t="str">
        <f t="shared" si="446"/>
        <v/>
      </c>
      <c r="IT55" s="93" t="str">
        <f t="shared" si="447"/>
        <v/>
      </c>
      <c r="IU55" s="93" t="str">
        <f t="shared" si="448"/>
        <v/>
      </c>
      <c r="IV55" s="93" t="str">
        <f t="shared" si="449"/>
        <v/>
      </c>
      <c r="IW55" s="93" t="str">
        <f t="shared" si="450"/>
        <v/>
      </c>
      <c r="IX55" s="93" t="str">
        <f t="shared" si="451"/>
        <v/>
      </c>
      <c r="IY55" s="314" t="str">
        <f t="shared" si="452"/>
        <v/>
      </c>
      <c r="IZ55" s="93" t="str">
        <f t="shared" si="453"/>
        <v/>
      </c>
      <c r="JA55" s="93" t="str">
        <f t="shared" si="454"/>
        <v/>
      </c>
      <c r="JB55" s="93" t="str">
        <f t="shared" si="455"/>
        <v/>
      </c>
      <c r="JC55" s="93" t="str">
        <f t="shared" si="456"/>
        <v/>
      </c>
      <c r="JD55" s="315" t="str">
        <f t="shared" si="457"/>
        <v/>
      </c>
      <c r="JF55" s="66">
        <f t="shared" si="224"/>
        <v>55</v>
      </c>
      <c r="JG55" s="66">
        <f t="shared" ca="1" si="340"/>
        <v>1.0182417109516191</v>
      </c>
      <c r="JH55" s="66">
        <f t="shared" ca="1" si="341"/>
        <v>1.922328538308935</v>
      </c>
      <c r="JI55" s="66">
        <f t="shared" ca="1" si="342"/>
        <v>3.1132035003431708</v>
      </c>
      <c r="JJ55" s="66">
        <f t="shared" ca="1" si="343"/>
        <v>14</v>
      </c>
      <c r="JK55" s="33"/>
      <c r="JL55" s="74">
        <f t="shared" ca="1" si="121"/>
        <v>1.0182417109516191</v>
      </c>
      <c r="JM55" s="75">
        <f t="shared" ca="1" si="310"/>
        <v>1.4702851246302771</v>
      </c>
      <c r="JN55" s="75">
        <f t="shared" ca="1" si="311"/>
        <v>2.5177660193260527</v>
      </c>
      <c r="JO55" s="74">
        <f t="shared" ca="1" si="122"/>
        <v>3.1132035003431708</v>
      </c>
      <c r="JP55" s="74">
        <f t="shared" ca="1" si="123"/>
        <v>8.119496355251119</v>
      </c>
    </row>
    <row r="56" spans="1:276" s="1" customFormat="1" x14ac:dyDescent="0.35">
      <c r="A56" s="125">
        <v>0</v>
      </c>
      <c r="B56" s="125">
        <v>0</v>
      </c>
      <c r="C56" s="125">
        <v>1</v>
      </c>
      <c r="E56" s="142" t="s">
        <v>100</v>
      </c>
      <c r="F56" s="208" t="s">
        <v>316</v>
      </c>
      <c r="G56" s="209" t="s">
        <v>542</v>
      </c>
      <c r="H56" s="210" t="s">
        <v>531</v>
      </c>
      <c r="I56" s="8" t="s">
        <v>532</v>
      </c>
      <c r="J56" s="211">
        <v>6.7037037037037033</v>
      </c>
      <c r="K56" s="211">
        <v>5.9285714285714288</v>
      </c>
      <c r="L56" s="211">
        <v>9.8571428571428577</v>
      </c>
      <c r="M56" s="211">
        <v>4.833333333333333</v>
      </c>
      <c r="N56" s="211" t="s">
        <v>805</v>
      </c>
      <c r="O56" s="211" t="s">
        <v>805</v>
      </c>
      <c r="P56" s="211" t="s">
        <v>805</v>
      </c>
      <c r="Q56" s="211" t="s">
        <v>805</v>
      </c>
      <c r="R56" s="211" t="s">
        <v>805</v>
      </c>
      <c r="S56" s="211" t="s">
        <v>805</v>
      </c>
      <c r="T56" s="211" t="s">
        <v>805</v>
      </c>
      <c r="U56" s="211" t="s">
        <v>805</v>
      </c>
      <c r="V56" s="211" t="s">
        <v>805</v>
      </c>
      <c r="W56" s="211" t="s">
        <v>805</v>
      </c>
      <c r="X56" s="211" t="s">
        <v>805</v>
      </c>
      <c r="Y56" s="211" t="s">
        <v>805</v>
      </c>
      <c r="Z56" s="211" t="s">
        <v>805</v>
      </c>
      <c r="AA56" s="211" t="s">
        <v>805</v>
      </c>
      <c r="AB56" s="211" t="s">
        <v>805</v>
      </c>
      <c r="AC56" s="211" t="s">
        <v>805</v>
      </c>
      <c r="AD56" s="211" t="s">
        <v>805</v>
      </c>
      <c r="AE56" s="211" t="s">
        <v>805</v>
      </c>
      <c r="AF56" s="211" t="s">
        <v>805</v>
      </c>
      <c r="AG56" s="211" t="s">
        <v>805</v>
      </c>
      <c r="AH56" s="211" t="s">
        <v>805</v>
      </c>
      <c r="AI56" s="211" t="s">
        <v>805</v>
      </c>
      <c r="AJ56" s="211" t="s">
        <v>805</v>
      </c>
      <c r="AK56" s="211" t="s">
        <v>805</v>
      </c>
      <c r="AL56" s="211" t="s">
        <v>805</v>
      </c>
      <c r="AM56" s="211" t="s">
        <v>805</v>
      </c>
      <c r="AN56" s="211" t="s">
        <v>805</v>
      </c>
      <c r="AO56" s="211" t="s">
        <v>805</v>
      </c>
      <c r="AP56" s="211" t="s">
        <v>805</v>
      </c>
      <c r="AQ56" s="211" t="s">
        <v>805</v>
      </c>
      <c r="AR56" s="211" t="s">
        <v>805</v>
      </c>
      <c r="AS56" s="211" t="s">
        <v>805</v>
      </c>
      <c r="AT56" s="211" t="s">
        <v>805</v>
      </c>
      <c r="AU56" s="211" t="s">
        <v>805</v>
      </c>
      <c r="AV56" s="211" t="s">
        <v>805</v>
      </c>
      <c r="AW56" s="211" t="s">
        <v>805</v>
      </c>
      <c r="AX56" s="211" t="s">
        <v>805</v>
      </c>
      <c r="AY56" s="211" t="s">
        <v>805</v>
      </c>
      <c r="AZ56" s="211" t="s">
        <v>805</v>
      </c>
      <c r="BA56" s="211" t="s">
        <v>805</v>
      </c>
      <c r="BB56" s="211" t="s">
        <v>805</v>
      </c>
      <c r="BC56" s="211" t="s">
        <v>805</v>
      </c>
      <c r="BD56" s="211" t="s">
        <v>805</v>
      </c>
      <c r="BE56" s="211" t="s">
        <v>805</v>
      </c>
      <c r="BF56" s="211" t="s">
        <v>805</v>
      </c>
      <c r="BG56" s="211" t="s">
        <v>805</v>
      </c>
      <c r="BH56" s="211" t="s">
        <v>805</v>
      </c>
      <c r="BI56" s="211" t="s">
        <v>805</v>
      </c>
      <c r="BJ56" s="211" t="s">
        <v>805</v>
      </c>
      <c r="BK56" s="211" t="s">
        <v>805</v>
      </c>
      <c r="BL56" s="211" t="s">
        <v>805</v>
      </c>
      <c r="BM56" s="211" t="s">
        <v>805</v>
      </c>
      <c r="BN56" s="211" t="s">
        <v>805</v>
      </c>
      <c r="BO56" s="211" t="s">
        <v>805</v>
      </c>
      <c r="BP56" s="211" t="s">
        <v>805</v>
      </c>
      <c r="BQ56" s="211" t="s">
        <v>805</v>
      </c>
      <c r="BR56" s="211" t="s">
        <v>805</v>
      </c>
      <c r="BS56" s="211" t="s">
        <v>805</v>
      </c>
      <c r="BT56" s="211" t="s">
        <v>805</v>
      </c>
      <c r="BU56" s="211" t="s">
        <v>805</v>
      </c>
      <c r="BV56" s="211" t="s">
        <v>805</v>
      </c>
      <c r="BW56" s="211" t="s">
        <v>805</v>
      </c>
      <c r="BX56" s="211" t="s">
        <v>805</v>
      </c>
      <c r="BY56" s="211" t="s">
        <v>805</v>
      </c>
      <c r="BZ56" s="211" t="s">
        <v>805</v>
      </c>
      <c r="CA56" s="211" t="s">
        <v>805</v>
      </c>
      <c r="CB56" s="211" t="s">
        <v>805</v>
      </c>
      <c r="CC56" s="211" t="s">
        <v>805</v>
      </c>
      <c r="CD56" s="211" t="s">
        <v>805</v>
      </c>
      <c r="CE56" s="211" t="s">
        <v>805</v>
      </c>
      <c r="CF56" s="211" t="s">
        <v>805</v>
      </c>
      <c r="CG56" s="211" t="s">
        <v>805</v>
      </c>
      <c r="CH56" s="211" t="s">
        <v>805</v>
      </c>
      <c r="CI56" s="211" t="s">
        <v>805</v>
      </c>
      <c r="CJ56" s="211" t="s">
        <v>805</v>
      </c>
      <c r="CK56" s="211" t="s">
        <v>805</v>
      </c>
      <c r="CL56" s="211" t="s">
        <v>805</v>
      </c>
      <c r="CM56" s="211" t="s">
        <v>805</v>
      </c>
      <c r="CN56" s="211" t="s">
        <v>805</v>
      </c>
      <c r="CO56" s="211" t="s">
        <v>805</v>
      </c>
      <c r="CP56" s="211" t="s">
        <v>805</v>
      </c>
      <c r="CQ56" s="211" t="s">
        <v>805</v>
      </c>
      <c r="CR56" s="211" t="s">
        <v>805</v>
      </c>
      <c r="CS56" s="211" t="s">
        <v>805</v>
      </c>
      <c r="CT56" s="211" t="s">
        <v>805</v>
      </c>
      <c r="CU56" s="211" t="s">
        <v>805</v>
      </c>
      <c r="CV56" s="211" t="s">
        <v>805</v>
      </c>
      <c r="CW56" s="211" t="s">
        <v>805</v>
      </c>
      <c r="CX56" s="211" t="s">
        <v>805</v>
      </c>
      <c r="CY56" s="211" t="s">
        <v>805</v>
      </c>
      <c r="CZ56" s="211" t="s">
        <v>805</v>
      </c>
      <c r="DA56" s="211" t="s">
        <v>805</v>
      </c>
      <c r="DB56" s="211" t="s">
        <v>805</v>
      </c>
      <c r="DC56" s="211" t="s">
        <v>805</v>
      </c>
      <c r="DD56" s="211" t="s">
        <v>805</v>
      </c>
      <c r="DE56" s="211" t="s">
        <v>805</v>
      </c>
      <c r="DF56" s="211" t="s">
        <v>805</v>
      </c>
      <c r="DG56" s="212">
        <f>VLOOKUP(E56,'KPI Count-SHARE'!A:F,3,0)</f>
        <v>5</v>
      </c>
      <c r="DH56" s="213">
        <v>5.7530349049790717</v>
      </c>
      <c r="DI56" s="213">
        <v>3.4570828216244478</v>
      </c>
      <c r="DJ56" s="213">
        <v>3.6538181651722308</v>
      </c>
      <c r="DK56" s="213">
        <v>4.1206961342802932</v>
      </c>
      <c r="DL56" s="213">
        <v>5.7536231884057969</v>
      </c>
      <c r="DM56" s="213">
        <v>9.4481159420289842</v>
      </c>
      <c r="DN56" s="212">
        <f>VLOOKUP(E56,'KPI Count-SHARE'!A:F,4,0)</f>
        <v>0</v>
      </c>
      <c r="DO56" s="213"/>
      <c r="DP56" s="213"/>
      <c r="DQ56" s="213"/>
      <c r="DR56" s="213"/>
      <c r="DS56" s="213"/>
      <c r="DT56" s="213"/>
      <c r="DU56" s="212">
        <f>VLOOKUP(E56,'KPI Count-SHARE'!A:F,5,0)</f>
        <v>0</v>
      </c>
      <c r="DV56" s="213"/>
      <c r="DW56" s="213"/>
      <c r="DX56" s="213"/>
      <c r="DY56" s="213"/>
      <c r="DZ56" s="213"/>
      <c r="EA56" s="213"/>
      <c r="EB56" s="212">
        <f>VLOOKUP(E56,'KPI Count-SHARE'!A:F,6,0)</f>
        <v>0</v>
      </c>
      <c r="EC56" s="213"/>
      <c r="ED56" s="213"/>
      <c r="EE56" s="213"/>
      <c r="EF56" s="213"/>
      <c r="EG56" s="213"/>
      <c r="EH56" s="213"/>
      <c r="EI56" s="214" t="s">
        <v>531</v>
      </c>
      <c r="EJ56" s="91">
        <f t="shared" si="101"/>
        <v>6.7037037037037033</v>
      </c>
      <c r="EK56" s="91">
        <f t="shared" si="102"/>
        <v>5.9285714285714288</v>
      </c>
      <c r="EL56" s="91">
        <f t="shared" si="103"/>
        <v>9.8571428571428577</v>
      </c>
      <c r="EM56" s="91">
        <f t="shared" si="104"/>
        <v>4.833333333333333</v>
      </c>
      <c r="EN56" s="91" t="str">
        <f t="shared" si="105"/>
        <v/>
      </c>
      <c r="EO56" s="91" t="str">
        <f t="shared" si="106"/>
        <v/>
      </c>
      <c r="EP56" s="91" t="str">
        <f t="shared" si="107"/>
        <v/>
      </c>
      <c r="EQ56" s="91" t="str">
        <f t="shared" si="108"/>
        <v/>
      </c>
      <c r="ER56" s="91" t="str">
        <f t="shared" si="109"/>
        <v/>
      </c>
      <c r="ES56" s="91" t="str">
        <f t="shared" si="110"/>
        <v/>
      </c>
      <c r="ET56" s="91" t="str">
        <f t="shared" si="111"/>
        <v/>
      </c>
      <c r="EU56" s="91" t="str">
        <f t="shared" si="344"/>
        <v/>
      </c>
      <c r="EV56" s="91" t="str">
        <f t="shared" si="345"/>
        <v/>
      </c>
      <c r="EW56" s="91" t="str">
        <f t="shared" si="346"/>
        <v/>
      </c>
      <c r="EX56" s="91" t="str">
        <f t="shared" si="347"/>
        <v/>
      </c>
      <c r="EY56" s="91" t="str">
        <f t="shared" si="348"/>
        <v/>
      </c>
      <c r="EZ56" s="91" t="str">
        <f t="shared" si="349"/>
        <v/>
      </c>
      <c r="FA56" s="91" t="str">
        <f t="shared" si="350"/>
        <v/>
      </c>
      <c r="FB56" s="91" t="str">
        <f t="shared" si="351"/>
        <v/>
      </c>
      <c r="FC56" s="91" t="str">
        <f t="shared" si="352"/>
        <v/>
      </c>
      <c r="FD56" s="91" t="str">
        <f t="shared" si="353"/>
        <v/>
      </c>
      <c r="FE56" s="91" t="str">
        <f t="shared" si="354"/>
        <v/>
      </c>
      <c r="FF56" s="91" t="str">
        <f t="shared" si="355"/>
        <v/>
      </c>
      <c r="FG56" s="91" t="str">
        <f t="shared" si="356"/>
        <v/>
      </c>
      <c r="FH56" s="91" t="str">
        <f t="shared" si="357"/>
        <v/>
      </c>
      <c r="FI56" s="91" t="str">
        <f t="shared" si="358"/>
        <v/>
      </c>
      <c r="FJ56" s="91" t="str">
        <f t="shared" si="359"/>
        <v/>
      </c>
      <c r="FK56" s="91" t="str">
        <f t="shared" si="360"/>
        <v/>
      </c>
      <c r="FL56" s="91" t="str">
        <f t="shared" si="361"/>
        <v/>
      </c>
      <c r="FM56" s="91" t="str">
        <f t="shared" si="362"/>
        <v/>
      </c>
      <c r="FN56" s="91" t="str">
        <f t="shared" si="363"/>
        <v/>
      </c>
      <c r="FO56" s="91" t="str">
        <f t="shared" si="364"/>
        <v/>
      </c>
      <c r="FP56" s="91" t="str">
        <f t="shared" si="365"/>
        <v/>
      </c>
      <c r="FQ56" s="91" t="str">
        <f t="shared" si="366"/>
        <v/>
      </c>
      <c r="FR56" s="91" t="str">
        <f t="shared" si="367"/>
        <v/>
      </c>
      <c r="FS56" s="91" t="str">
        <f t="shared" si="368"/>
        <v/>
      </c>
      <c r="FT56" s="91" t="str">
        <f t="shared" si="369"/>
        <v/>
      </c>
      <c r="FU56" s="91" t="str">
        <f t="shared" si="370"/>
        <v/>
      </c>
      <c r="FV56" s="91" t="str">
        <f t="shared" si="371"/>
        <v/>
      </c>
      <c r="FW56" s="91" t="str">
        <f t="shared" si="372"/>
        <v/>
      </c>
      <c r="FX56" s="91" t="str">
        <f t="shared" si="373"/>
        <v/>
      </c>
      <c r="FY56" s="91" t="str">
        <f t="shared" si="374"/>
        <v/>
      </c>
      <c r="FZ56" s="91" t="str">
        <f t="shared" si="375"/>
        <v/>
      </c>
      <c r="GA56" s="91" t="str">
        <f t="shared" si="376"/>
        <v/>
      </c>
      <c r="GB56" s="91" t="str">
        <f t="shared" si="377"/>
        <v/>
      </c>
      <c r="GC56" s="91" t="str">
        <f t="shared" si="378"/>
        <v/>
      </c>
      <c r="GD56" s="91" t="str">
        <f t="shared" si="379"/>
        <v/>
      </c>
      <c r="GE56" s="91" t="str">
        <f t="shared" si="380"/>
        <v/>
      </c>
      <c r="GF56" s="91" t="str">
        <f t="shared" si="381"/>
        <v/>
      </c>
      <c r="GG56" s="91" t="str">
        <f t="shared" si="382"/>
        <v/>
      </c>
      <c r="GH56" s="91" t="str">
        <f t="shared" si="383"/>
        <v/>
      </c>
      <c r="GI56" s="91" t="str">
        <f t="shared" si="384"/>
        <v/>
      </c>
      <c r="GJ56" s="91" t="str">
        <f t="shared" si="385"/>
        <v/>
      </c>
      <c r="GK56" s="91" t="str">
        <f t="shared" si="386"/>
        <v/>
      </c>
      <c r="GL56" s="91" t="str">
        <f t="shared" si="387"/>
        <v/>
      </c>
      <c r="GM56" s="91" t="str">
        <f t="shared" si="388"/>
        <v/>
      </c>
      <c r="GN56" s="91" t="str">
        <f t="shared" si="389"/>
        <v/>
      </c>
      <c r="GO56" s="91" t="str">
        <f t="shared" si="390"/>
        <v/>
      </c>
      <c r="GP56" s="91" t="str">
        <f t="shared" si="391"/>
        <v/>
      </c>
      <c r="GQ56" s="91" t="str">
        <f t="shared" si="392"/>
        <v/>
      </c>
      <c r="GR56" s="91" t="str">
        <f t="shared" si="393"/>
        <v/>
      </c>
      <c r="GS56" s="91" t="str">
        <f t="shared" si="394"/>
        <v/>
      </c>
      <c r="GT56" s="91" t="str">
        <f t="shared" si="395"/>
        <v/>
      </c>
      <c r="GU56" s="91" t="str">
        <f t="shared" si="396"/>
        <v/>
      </c>
      <c r="GV56" s="91" t="str">
        <f t="shared" si="397"/>
        <v/>
      </c>
      <c r="GW56" s="91" t="str">
        <f t="shared" si="398"/>
        <v/>
      </c>
      <c r="GX56" s="91" t="str">
        <f t="shared" si="399"/>
        <v/>
      </c>
      <c r="GY56" s="91" t="str">
        <f t="shared" si="400"/>
        <v/>
      </c>
      <c r="GZ56" s="91" t="str">
        <f t="shared" si="401"/>
        <v/>
      </c>
      <c r="HA56" s="91" t="str">
        <f t="shared" si="402"/>
        <v/>
      </c>
      <c r="HB56" s="91" t="str">
        <f t="shared" si="403"/>
        <v/>
      </c>
      <c r="HC56" s="91" t="str">
        <f t="shared" si="404"/>
        <v/>
      </c>
      <c r="HD56" s="91" t="str">
        <f t="shared" si="405"/>
        <v/>
      </c>
      <c r="HE56" s="91" t="str">
        <f t="shared" si="406"/>
        <v/>
      </c>
      <c r="HF56" s="91" t="str">
        <f t="shared" si="407"/>
        <v/>
      </c>
      <c r="HG56" s="91" t="str">
        <f t="shared" si="408"/>
        <v/>
      </c>
      <c r="HH56" s="91" t="str">
        <f t="shared" si="409"/>
        <v/>
      </c>
      <c r="HI56" s="91" t="str">
        <f t="shared" si="410"/>
        <v/>
      </c>
      <c r="HJ56" s="91" t="str">
        <f t="shared" si="411"/>
        <v/>
      </c>
      <c r="HK56" s="91" t="str">
        <f t="shared" si="412"/>
        <v/>
      </c>
      <c r="HL56" s="91" t="str">
        <f t="shared" si="413"/>
        <v/>
      </c>
      <c r="HM56" s="91" t="str">
        <f t="shared" si="414"/>
        <v/>
      </c>
      <c r="HN56" s="91" t="str">
        <f t="shared" si="415"/>
        <v/>
      </c>
      <c r="HO56" s="91" t="str">
        <f t="shared" si="416"/>
        <v/>
      </c>
      <c r="HP56" s="91" t="str">
        <f t="shared" si="417"/>
        <v/>
      </c>
      <c r="HQ56" s="91" t="str">
        <f t="shared" si="418"/>
        <v/>
      </c>
      <c r="HR56" s="91" t="str">
        <f t="shared" si="419"/>
        <v/>
      </c>
      <c r="HS56" s="91" t="str">
        <f t="shared" si="420"/>
        <v/>
      </c>
      <c r="HT56" s="91" t="str">
        <f t="shared" si="421"/>
        <v/>
      </c>
      <c r="HU56" s="91" t="str">
        <f t="shared" si="422"/>
        <v/>
      </c>
      <c r="HV56" s="91" t="str">
        <f t="shared" si="423"/>
        <v/>
      </c>
      <c r="HW56" s="91" t="str">
        <f t="shared" si="424"/>
        <v/>
      </c>
      <c r="HX56" s="91" t="str">
        <f t="shared" si="425"/>
        <v/>
      </c>
      <c r="HY56" s="91" t="str">
        <f t="shared" si="426"/>
        <v/>
      </c>
      <c r="HZ56" s="91" t="str">
        <f t="shared" si="427"/>
        <v/>
      </c>
      <c r="IA56" s="91" t="str">
        <f t="shared" si="428"/>
        <v/>
      </c>
      <c r="IB56" s="91" t="str">
        <f t="shared" si="429"/>
        <v/>
      </c>
      <c r="IC56" s="91" t="str">
        <f t="shared" si="430"/>
        <v/>
      </c>
      <c r="ID56" s="91" t="str">
        <f t="shared" si="431"/>
        <v/>
      </c>
      <c r="IE56" s="91" t="str">
        <f t="shared" si="432"/>
        <v/>
      </c>
      <c r="IF56" s="91" t="str">
        <f t="shared" si="433"/>
        <v/>
      </c>
      <c r="IG56" s="314">
        <f t="shared" si="434"/>
        <v>5.7530349049790717</v>
      </c>
      <c r="IH56" s="93">
        <f t="shared" si="435"/>
        <v>3.4570828216244478</v>
      </c>
      <c r="II56" s="93">
        <f t="shared" si="436"/>
        <v>3.6538181651722308</v>
      </c>
      <c r="IJ56" s="93">
        <f t="shared" si="437"/>
        <v>4.1206961342802932</v>
      </c>
      <c r="IK56" s="93">
        <f t="shared" si="438"/>
        <v>5.7536231884057969</v>
      </c>
      <c r="IL56" s="93">
        <f t="shared" si="439"/>
        <v>9.4481159420289842</v>
      </c>
      <c r="IM56" s="314" t="str">
        <f t="shared" si="440"/>
        <v/>
      </c>
      <c r="IN56" s="93" t="str">
        <f t="shared" si="441"/>
        <v/>
      </c>
      <c r="IO56" s="93" t="str">
        <f t="shared" si="442"/>
        <v/>
      </c>
      <c r="IP56" s="93" t="str">
        <f t="shared" si="443"/>
        <v/>
      </c>
      <c r="IQ56" s="93" t="str">
        <f t="shared" si="444"/>
        <v/>
      </c>
      <c r="IR56" s="93" t="str">
        <f t="shared" si="445"/>
        <v/>
      </c>
      <c r="IS56" s="314" t="str">
        <f t="shared" si="446"/>
        <v/>
      </c>
      <c r="IT56" s="93" t="str">
        <f t="shared" si="447"/>
        <v/>
      </c>
      <c r="IU56" s="93" t="str">
        <f t="shared" si="448"/>
        <v/>
      </c>
      <c r="IV56" s="93" t="str">
        <f t="shared" si="449"/>
        <v/>
      </c>
      <c r="IW56" s="93" t="str">
        <f t="shared" si="450"/>
        <v/>
      </c>
      <c r="IX56" s="93" t="str">
        <f t="shared" si="451"/>
        <v/>
      </c>
      <c r="IY56" s="314" t="str">
        <f t="shared" si="452"/>
        <v/>
      </c>
      <c r="IZ56" s="93" t="str">
        <f t="shared" si="453"/>
        <v/>
      </c>
      <c r="JA56" s="93" t="str">
        <f t="shared" si="454"/>
        <v/>
      </c>
      <c r="JB56" s="93" t="str">
        <f t="shared" si="455"/>
        <v/>
      </c>
      <c r="JC56" s="93" t="str">
        <f t="shared" si="456"/>
        <v/>
      </c>
      <c r="JD56" s="315" t="str">
        <f t="shared" si="457"/>
        <v/>
      </c>
      <c r="JF56" s="66">
        <f t="shared" si="224"/>
        <v>56</v>
      </c>
      <c r="JG56" s="66">
        <f t="shared" ca="1" si="340"/>
        <v>3.6538181651722308</v>
      </c>
      <c r="JH56" s="66">
        <f t="shared" ca="1" si="341"/>
        <v>4.1206961342802932</v>
      </c>
      <c r="JI56" s="66">
        <f t="shared" ca="1" si="342"/>
        <v>5.7536231884057969</v>
      </c>
      <c r="JJ56" s="66">
        <f t="shared" ca="1" si="343"/>
        <v>5</v>
      </c>
      <c r="JK56" s="33"/>
      <c r="JL56" s="74">
        <f t="shared" ca="1" si="121"/>
        <v>3.6538181651722308</v>
      </c>
      <c r="JM56" s="75">
        <f t="shared" ca="1" si="310"/>
        <v>3.887257149726262</v>
      </c>
      <c r="JN56" s="75">
        <f t="shared" ca="1" si="311"/>
        <v>4.9371596613430455</v>
      </c>
      <c r="JO56" s="74">
        <f t="shared" ca="1" si="122"/>
        <v>5.7536231884057969</v>
      </c>
      <c r="JP56" s="74">
        <f t="shared" ca="1" si="123"/>
        <v>18.231858164647335</v>
      </c>
    </row>
    <row r="57" spans="1:276" s="1" customFormat="1" x14ac:dyDescent="0.35">
      <c r="A57" s="125">
        <v>0</v>
      </c>
      <c r="B57" s="125">
        <v>0</v>
      </c>
      <c r="C57" s="125">
        <v>1</v>
      </c>
      <c r="E57" s="142" t="s">
        <v>102</v>
      </c>
      <c r="F57" s="208" t="s">
        <v>103</v>
      </c>
      <c r="G57" s="209" t="s">
        <v>542</v>
      </c>
      <c r="H57" s="210" t="s">
        <v>531</v>
      </c>
      <c r="I57" s="8" t="s">
        <v>532</v>
      </c>
      <c r="J57" s="211">
        <v>5.28</v>
      </c>
      <c r="K57" s="211">
        <v>4.9285714285714288</v>
      </c>
      <c r="L57" s="211">
        <v>4.4545454545454541</v>
      </c>
      <c r="M57" s="211" t="s">
        <v>805</v>
      </c>
      <c r="N57" s="211" t="s">
        <v>805</v>
      </c>
      <c r="O57" s="211" t="s">
        <v>805</v>
      </c>
      <c r="P57" s="211" t="s">
        <v>805</v>
      </c>
      <c r="Q57" s="211" t="s">
        <v>805</v>
      </c>
      <c r="R57" s="211" t="s">
        <v>805</v>
      </c>
      <c r="S57" s="211" t="s">
        <v>805</v>
      </c>
      <c r="T57" s="211" t="s">
        <v>805</v>
      </c>
      <c r="U57" s="211" t="s">
        <v>805</v>
      </c>
      <c r="V57" s="211" t="s">
        <v>805</v>
      </c>
      <c r="W57" s="211" t="s">
        <v>805</v>
      </c>
      <c r="X57" s="211" t="s">
        <v>805</v>
      </c>
      <c r="Y57" s="211" t="s">
        <v>805</v>
      </c>
      <c r="Z57" s="211" t="s">
        <v>805</v>
      </c>
      <c r="AA57" s="211" t="s">
        <v>805</v>
      </c>
      <c r="AB57" s="211" t="s">
        <v>805</v>
      </c>
      <c r="AC57" s="211" t="s">
        <v>805</v>
      </c>
      <c r="AD57" s="211" t="s">
        <v>805</v>
      </c>
      <c r="AE57" s="211" t="s">
        <v>805</v>
      </c>
      <c r="AF57" s="211" t="s">
        <v>805</v>
      </c>
      <c r="AG57" s="211" t="s">
        <v>805</v>
      </c>
      <c r="AH57" s="211" t="s">
        <v>805</v>
      </c>
      <c r="AI57" s="211" t="s">
        <v>805</v>
      </c>
      <c r="AJ57" s="211" t="s">
        <v>805</v>
      </c>
      <c r="AK57" s="211" t="s">
        <v>805</v>
      </c>
      <c r="AL57" s="211" t="s">
        <v>805</v>
      </c>
      <c r="AM57" s="211" t="s">
        <v>805</v>
      </c>
      <c r="AN57" s="211" t="s">
        <v>805</v>
      </c>
      <c r="AO57" s="211" t="s">
        <v>805</v>
      </c>
      <c r="AP57" s="211" t="s">
        <v>805</v>
      </c>
      <c r="AQ57" s="211" t="s">
        <v>805</v>
      </c>
      <c r="AR57" s="211" t="s">
        <v>805</v>
      </c>
      <c r="AS57" s="211" t="s">
        <v>805</v>
      </c>
      <c r="AT57" s="211" t="s">
        <v>805</v>
      </c>
      <c r="AU57" s="211" t="s">
        <v>805</v>
      </c>
      <c r="AV57" s="211" t="s">
        <v>805</v>
      </c>
      <c r="AW57" s="211" t="s">
        <v>805</v>
      </c>
      <c r="AX57" s="211" t="s">
        <v>805</v>
      </c>
      <c r="AY57" s="211" t="s">
        <v>805</v>
      </c>
      <c r="AZ57" s="211" t="s">
        <v>805</v>
      </c>
      <c r="BA57" s="211" t="s">
        <v>805</v>
      </c>
      <c r="BB57" s="211" t="s">
        <v>805</v>
      </c>
      <c r="BC57" s="211" t="s">
        <v>805</v>
      </c>
      <c r="BD57" s="211" t="s">
        <v>805</v>
      </c>
      <c r="BE57" s="211" t="s">
        <v>805</v>
      </c>
      <c r="BF57" s="211" t="s">
        <v>805</v>
      </c>
      <c r="BG57" s="211" t="s">
        <v>805</v>
      </c>
      <c r="BH57" s="211" t="s">
        <v>805</v>
      </c>
      <c r="BI57" s="211" t="s">
        <v>805</v>
      </c>
      <c r="BJ57" s="211" t="s">
        <v>805</v>
      </c>
      <c r="BK57" s="211" t="s">
        <v>805</v>
      </c>
      <c r="BL57" s="211" t="s">
        <v>805</v>
      </c>
      <c r="BM57" s="211" t="s">
        <v>805</v>
      </c>
      <c r="BN57" s="211" t="s">
        <v>805</v>
      </c>
      <c r="BO57" s="211" t="s">
        <v>805</v>
      </c>
      <c r="BP57" s="211" t="s">
        <v>805</v>
      </c>
      <c r="BQ57" s="211" t="s">
        <v>805</v>
      </c>
      <c r="BR57" s="211" t="s">
        <v>805</v>
      </c>
      <c r="BS57" s="211" t="s">
        <v>805</v>
      </c>
      <c r="BT57" s="211" t="s">
        <v>805</v>
      </c>
      <c r="BU57" s="211" t="s">
        <v>805</v>
      </c>
      <c r="BV57" s="211" t="s">
        <v>805</v>
      </c>
      <c r="BW57" s="211" t="s">
        <v>805</v>
      </c>
      <c r="BX57" s="211" t="s">
        <v>805</v>
      </c>
      <c r="BY57" s="211" t="s">
        <v>805</v>
      </c>
      <c r="BZ57" s="211" t="s">
        <v>805</v>
      </c>
      <c r="CA57" s="211" t="s">
        <v>805</v>
      </c>
      <c r="CB57" s="211" t="s">
        <v>805</v>
      </c>
      <c r="CC57" s="211" t="s">
        <v>805</v>
      </c>
      <c r="CD57" s="211" t="s">
        <v>805</v>
      </c>
      <c r="CE57" s="211" t="s">
        <v>805</v>
      </c>
      <c r="CF57" s="211" t="s">
        <v>805</v>
      </c>
      <c r="CG57" s="211" t="s">
        <v>805</v>
      </c>
      <c r="CH57" s="211" t="s">
        <v>805</v>
      </c>
      <c r="CI57" s="211" t="s">
        <v>805</v>
      </c>
      <c r="CJ57" s="211" t="s">
        <v>805</v>
      </c>
      <c r="CK57" s="211" t="s">
        <v>805</v>
      </c>
      <c r="CL57" s="211" t="s">
        <v>805</v>
      </c>
      <c r="CM57" s="211" t="s">
        <v>805</v>
      </c>
      <c r="CN57" s="211" t="s">
        <v>805</v>
      </c>
      <c r="CO57" s="211" t="s">
        <v>805</v>
      </c>
      <c r="CP57" s="211" t="s">
        <v>805</v>
      </c>
      <c r="CQ57" s="211" t="s">
        <v>805</v>
      </c>
      <c r="CR57" s="211" t="s">
        <v>805</v>
      </c>
      <c r="CS57" s="211" t="s">
        <v>805</v>
      </c>
      <c r="CT57" s="211" t="s">
        <v>805</v>
      </c>
      <c r="CU57" s="211" t="s">
        <v>805</v>
      </c>
      <c r="CV57" s="211" t="s">
        <v>805</v>
      </c>
      <c r="CW57" s="211" t="s">
        <v>805</v>
      </c>
      <c r="CX57" s="211" t="s">
        <v>805</v>
      </c>
      <c r="CY57" s="211" t="s">
        <v>805</v>
      </c>
      <c r="CZ57" s="211" t="s">
        <v>805</v>
      </c>
      <c r="DA57" s="211" t="s">
        <v>805</v>
      </c>
      <c r="DB57" s="211" t="s">
        <v>805</v>
      </c>
      <c r="DC57" s="211" t="s">
        <v>805</v>
      </c>
      <c r="DD57" s="211" t="s">
        <v>805</v>
      </c>
      <c r="DE57" s="211" t="s">
        <v>805</v>
      </c>
      <c r="DF57" s="211" t="s">
        <v>805</v>
      </c>
      <c r="DG57" s="212">
        <f>VLOOKUP(E57,'KPI Count-SHARE'!A:F,3,0)</f>
        <v>5</v>
      </c>
      <c r="DH57" s="213">
        <v>15.443339637283708</v>
      </c>
      <c r="DI57" s="213">
        <v>7.7762670650308987</v>
      </c>
      <c r="DJ57" s="213">
        <v>8.9729257270933758</v>
      </c>
      <c r="DK57" s="213">
        <v>9.3652778356692448</v>
      </c>
      <c r="DL57" s="213">
        <v>9.4</v>
      </c>
      <c r="DM57" s="213">
        <v>29.259999999999991</v>
      </c>
      <c r="DN57" s="212">
        <f>VLOOKUP(E57,'KPI Count-SHARE'!A:F,4,0)</f>
        <v>0</v>
      </c>
      <c r="DO57" s="213"/>
      <c r="DP57" s="213"/>
      <c r="DQ57" s="213"/>
      <c r="DR57" s="213"/>
      <c r="DS57" s="213"/>
      <c r="DT57" s="213"/>
      <c r="DU57" s="212">
        <f>VLOOKUP(E57,'KPI Count-SHARE'!A:F,5,0)</f>
        <v>0</v>
      </c>
      <c r="DV57" s="213"/>
      <c r="DW57" s="213"/>
      <c r="DX57" s="213"/>
      <c r="DY57" s="213"/>
      <c r="DZ57" s="213"/>
      <c r="EA57" s="213"/>
      <c r="EB57" s="212">
        <f>VLOOKUP(E57,'KPI Count-SHARE'!A:F,6,0)</f>
        <v>0</v>
      </c>
      <c r="EC57" s="213"/>
      <c r="ED57" s="213"/>
      <c r="EE57" s="213"/>
      <c r="EF57" s="213"/>
      <c r="EG57" s="213"/>
      <c r="EH57" s="213"/>
      <c r="EI57" s="214" t="s">
        <v>531</v>
      </c>
      <c r="EJ57" s="91">
        <f t="shared" si="101"/>
        <v>5.28</v>
      </c>
      <c r="EK57" s="91">
        <f t="shared" si="102"/>
        <v>4.9285714285714288</v>
      </c>
      <c r="EL57" s="91">
        <f t="shared" si="103"/>
        <v>4.4545454545454541</v>
      </c>
      <c r="EM57" s="91" t="str">
        <f t="shared" si="104"/>
        <v/>
      </c>
      <c r="EN57" s="91" t="str">
        <f t="shared" si="105"/>
        <v/>
      </c>
      <c r="EO57" s="91" t="str">
        <f t="shared" si="106"/>
        <v/>
      </c>
      <c r="EP57" s="91" t="str">
        <f t="shared" si="107"/>
        <v/>
      </c>
      <c r="EQ57" s="91" t="str">
        <f t="shared" si="108"/>
        <v/>
      </c>
      <c r="ER57" s="91" t="str">
        <f t="shared" si="109"/>
        <v/>
      </c>
      <c r="ES57" s="91" t="str">
        <f t="shared" si="110"/>
        <v/>
      </c>
      <c r="ET57" s="91" t="str">
        <f t="shared" si="111"/>
        <v/>
      </c>
      <c r="EU57" s="91" t="str">
        <f t="shared" si="344"/>
        <v/>
      </c>
      <c r="EV57" s="91" t="str">
        <f t="shared" si="345"/>
        <v/>
      </c>
      <c r="EW57" s="91" t="str">
        <f t="shared" si="346"/>
        <v/>
      </c>
      <c r="EX57" s="91" t="str">
        <f t="shared" si="347"/>
        <v/>
      </c>
      <c r="EY57" s="91" t="str">
        <f t="shared" si="348"/>
        <v/>
      </c>
      <c r="EZ57" s="91" t="str">
        <f t="shared" si="349"/>
        <v/>
      </c>
      <c r="FA57" s="91" t="str">
        <f t="shared" si="350"/>
        <v/>
      </c>
      <c r="FB57" s="91" t="str">
        <f t="shared" si="351"/>
        <v/>
      </c>
      <c r="FC57" s="91" t="str">
        <f t="shared" si="352"/>
        <v/>
      </c>
      <c r="FD57" s="91" t="str">
        <f t="shared" si="353"/>
        <v/>
      </c>
      <c r="FE57" s="91" t="str">
        <f t="shared" si="354"/>
        <v/>
      </c>
      <c r="FF57" s="91" t="str">
        <f t="shared" si="355"/>
        <v/>
      </c>
      <c r="FG57" s="91" t="str">
        <f t="shared" si="356"/>
        <v/>
      </c>
      <c r="FH57" s="91" t="str">
        <f t="shared" si="357"/>
        <v/>
      </c>
      <c r="FI57" s="91" t="str">
        <f t="shared" si="358"/>
        <v/>
      </c>
      <c r="FJ57" s="91" t="str">
        <f t="shared" si="359"/>
        <v/>
      </c>
      <c r="FK57" s="91" t="str">
        <f t="shared" si="360"/>
        <v/>
      </c>
      <c r="FL57" s="91" t="str">
        <f t="shared" si="361"/>
        <v/>
      </c>
      <c r="FM57" s="91" t="str">
        <f t="shared" si="362"/>
        <v/>
      </c>
      <c r="FN57" s="91" t="str">
        <f t="shared" si="363"/>
        <v/>
      </c>
      <c r="FO57" s="91" t="str">
        <f t="shared" si="364"/>
        <v/>
      </c>
      <c r="FP57" s="91" t="str">
        <f t="shared" si="365"/>
        <v/>
      </c>
      <c r="FQ57" s="91" t="str">
        <f t="shared" si="366"/>
        <v/>
      </c>
      <c r="FR57" s="91" t="str">
        <f t="shared" si="367"/>
        <v/>
      </c>
      <c r="FS57" s="91" t="str">
        <f t="shared" si="368"/>
        <v/>
      </c>
      <c r="FT57" s="91" t="str">
        <f t="shared" si="369"/>
        <v/>
      </c>
      <c r="FU57" s="91" t="str">
        <f t="shared" si="370"/>
        <v/>
      </c>
      <c r="FV57" s="91" t="str">
        <f t="shared" si="371"/>
        <v/>
      </c>
      <c r="FW57" s="91" t="str">
        <f t="shared" si="372"/>
        <v/>
      </c>
      <c r="FX57" s="91" t="str">
        <f t="shared" si="373"/>
        <v/>
      </c>
      <c r="FY57" s="91" t="str">
        <f t="shared" si="374"/>
        <v/>
      </c>
      <c r="FZ57" s="91" t="str">
        <f t="shared" si="375"/>
        <v/>
      </c>
      <c r="GA57" s="91" t="str">
        <f t="shared" si="376"/>
        <v/>
      </c>
      <c r="GB57" s="91" t="str">
        <f t="shared" si="377"/>
        <v/>
      </c>
      <c r="GC57" s="91" t="str">
        <f t="shared" si="378"/>
        <v/>
      </c>
      <c r="GD57" s="91" t="str">
        <f t="shared" si="379"/>
        <v/>
      </c>
      <c r="GE57" s="91" t="str">
        <f t="shared" si="380"/>
        <v/>
      </c>
      <c r="GF57" s="91" t="str">
        <f t="shared" si="381"/>
        <v/>
      </c>
      <c r="GG57" s="91" t="str">
        <f t="shared" si="382"/>
        <v/>
      </c>
      <c r="GH57" s="91" t="str">
        <f t="shared" si="383"/>
        <v/>
      </c>
      <c r="GI57" s="91" t="str">
        <f t="shared" si="384"/>
        <v/>
      </c>
      <c r="GJ57" s="91" t="str">
        <f t="shared" si="385"/>
        <v/>
      </c>
      <c r="GK57" s="91" t="str">
        <f t="shared" si="386"/>
        <v/>
      </c>
      <c r="GL57" s="91" t="str">
        <f t="shared" si="387"/>
        <v/>
      </c>
      <c r="GM57" s="91" t="str">
        <f t="shared" si="388"/>
        <v/>
      </c>
      <c r="GN57" s="91" t="str">
        <f t="shared" si="389"/>
        <v/>
      </c>
      <c r="GO57" s="91" t="str">
        <f t="shared" si="390"/>
        <v/>
      </c>
      <c r="GP57" s="91" t="str">
        <f t="shared" si="391"/>
        <v/>
      </c>
      <c r="GQ57" s="91" t="str">
        <f t="shared" si="392"/>
        <v/>
      </c>
      <c r="GR57" s="91" t="str">
        <f t="shared" si="393"/>
        <v/>
      </c>
      <c r="GS57" s="91" t="str">
        <f t="shared" si="394"/>
        <v/>
      </c>
      <c r="GT57" s="91" t="str">
        <f t="shared" si="395"/>
        <v/>
      </c>
      <c r="GU57" s="91" t="str">
        <f t="shared" si="396"/>
        <v/>
      </c>
      <c r="GV57" s="91" t="str">
        <f t="shared" si="397"/>
        <v/>
      </c>
      <c r="GW57" s="91" t="str">
        <f t="shared" si="398"/>
        <v/>
      </c>
      <c r="GX57" s="91" t="str">
        <f t="shared" si="399"/>
        <v/>
      </c>
      <c r="GY57" s="91" t="str">
        <f t="shared" si="400"/>
        <v/>
      </c>
      <c r="GZ57" s="91" t="str">
        <f t="shared" si="401"/>
        <v/>
      </c>
      <c r="HA57" s="91" t="str">
        <f t="shared" si="402"/>
        <v/>
      </c>
      <c r="HB57" s="91" t="str">
        <f t="shared" si="403"/>
        <v/>
      </c>
      <c r="HC57" s="91" t="str">
        <f t="shared" si="404"/>
        <v/>
      </c>
      <c r="HD57" s="91" t="str">
        <f t="shared" si="405"/>
        <v/>
      </c>
      <c r="HE57" s="91" t="str">
        <f t="shared" si="406"/>
        <v/>
      </c>
      <c r="HF57" s="91" t="str">
        <f t="shared" si="407"/>
        <v/>
      </c>
      <c r="HG57" s="91" t="str">
        <f t="shared" si="408"/>
        <v/>
      </c>
      <c r="HH57" s="91" t="str">
        <f t="shared" si="409"/>
        <v/>
      </c>
      <c r="HI57" s="91" t="str">
        <f t="shared" si="410"/>
        <v/>
      </c>
      <c r="HJ57" s="91" t="str">
        <f t="shared" si="411"/>
        <v/>
      </c>
      <c r="HK57" s="91" t="str">
        <f t="shared" si="412"/>
        <v/>
      </c>
      <c r="HL57" s="91" t="str">
        <f t="shared" si="413"/>
        <v/>
      </c>
      <c r="HM57" s="91" t="str">
        <f t="shared" si="414"/>
        <v/>
      </c>
      <c r="HN57" s="91" t="str">
        <f t="shared" si="415"/>
        <v/>
      </c>
      <c r="HO57" s="91" t="str">
        <f t="shared" si="416"/>
        <v/>
      </c>
      <c r="HP57" s="91" t="str">
        <f t="shared" si="417"/>
        <v/>
      </c>
      <c r="HQ57" s="91" t="str">
        <f t="shared" si="418"/>
        <v/>
      </c>
      <c r="HR57" s="91" t="str">
        <f t="shared" si="419"/>
        <v/>
      </c>
      <c r="HS57" s="91" t="str">
        <f t="shared" si="420"/>
        <v/>
      </c>
      <c r="HT57" s="91" t="str">
        <f t="shared" si="421"/>
        <v/>
      </c>
      <c r="HU57" s="91" t="str">
        <f t="shared" si="422"/>
        <v/>
      </c>
      <c r="HV57" s="91" t="str">
        <f t="shared" si="423"/>
        <v/>
      </c>
      <c r="HW57" s="91" t="str">
        <f t="shared" si="424"/>
        <v/>
      </c>
      <c r="HX57" s="91" t="str">
        <f t="shared" si="425"/>
        <v/>
      </c>
      <c r="HY57" s="91" t="str">
        <f t="shared" si="426"/>
        <v/>
      </c>
      <c r="HZ57" s="91" t="str">
        <f t="shared" si="427"/>
        <v/>
      </c>
      <c r="IA57" s="91" t="str">
        <f t="shared" si="428"/>
        <v/>
      </c>
      <c r="IB57" s="91" t="str">
        <f t="shared" si="429"/>
        <v/>
      </c>
      <c r="IC57" s="91" t="str">
        <f t="shared" si="430"/>
        <v/>
      </c>
      <c r="ID57" s="91" t="str">
        <f t="shared" si="431"/>
        <v/>
      </c>
      <c r="IE57" s="91" t="str">
        <f t="shared" si="432"/>
        <v/>
      </c>
      <c r="IF57" s="91" t="str">
        <f t="shared" si="433"/>
        <v/>
      </c>
      <c r="IG57" s="314">
        <f t="shared" si="434"/>
        <v>15.443339637283708</v>
      </c>
      <c r="IH57" s="93">
        <f t="shared" si="435"/>
        <v>7.7762670650308987</v>
      </c>
      <c r="II57" s="93">
        <f t="shared" si="436"/>
        <v>8.9729257270933758</v>
      </c>
      <c r="IJ57" s="93">
        <f t="shared" si="437"/>
        <v>9.3652778356692448</v>
      </c>
      <c r="IK57" s="93">
        <f t="shared" si="438"/>
        <v>9.4</v>
      </c>
      <c r="IL57" s="93">
        <f t="shared" si="439"/>
        <v>29.259999999999991</v>
      </c>
      <c r="IM57" s="314" t="str">
        <f t="shared" si="440"/>
        <v/>
      </c>
      <c r="IN57" s="93" t="str">
        <f t="shared" si="441"/>
        <v/>
      </c>
      <c r="IO57" s="93" t="str">
        <f t="shared" si="442"/>
        <v/>
      </c>
      <c r="IP57" s="93" t="str">
        <f t="shared" si="443"/>
        <v/>
      </c>
      <c r="IQ57" s="93" t="str">
        <f t="shared" si="444"/>
        <v/>
      </c>
      <c r="IR57" s="93" t="str">
        <f t="shared" si="445"/>
        <v/>
      </c>
      <c r="IS57" s="314" t="str">
        <f t="shared" si="446"/>
        <v/>
      </c>
      <c r="IT57" s="93" t="str">
        <f t="shared" si="447"/>
        <v/>
      </c>
      <c r="IU57" s="93" t="str">
        <f t="shared" si="448"/>
        <v/>
      </c>
      <c r="IV57" s="93" t="str">
        <f t="shared" si="449"/>
        <v/>
      </c>
      <c r="IW57" s="93" t="str">
        <f t="shared" si="450"/>
        <v/>
      </c>
      <c r="IX57" s="93" t="str">
        <f t="shared" si="451"/>
        <v/>
      </c>
      <c r="IY57" s="314" t="str">
        <f t="shared" si="452"/>
        <v/>
      </c>
      <c r="IZ57" s="93" t="str">
        <f t="shared" si="453"/>
        <v/>
      </c>
      <c r="JA57" s="93" t="str">
        <f t="shared" si="454"/>
        <v/>
      </c>
      <c r="JB57" s="93" t="str">
        <f t="shared" si="455"/>
        <v/>
      </c>
      <c r="JC57" s="93" t="str">
        <f t="shared" si="456"/>
        <v/>
      </c>
      <c r="JD57" s="315" t="str">
        <f t="shared" si="457"/>
        <v/>
      </c>
      <c r="JF57" s="66">
        <f t="shared" si="224"/>
        <v>57</v>
      </c>
      <c r="JG57" s="66">
        <f t="shared" ca="1" si="340"/>
        <v>8.9729257270933758</v>
      </c>
      <c r="JH57" s="66">
        <f t="shared" ca="1" si="341"/>
        <v>9.3652778356692448</v>
      </c>
      <c r="JI57" s="66">
        <f t="shared" ca="1" si="342"/>
        <v>9.4</v>
      </c>
      <c r="JJ57" s="66">
        <f t="shared" ca="1" si="343"/>
        <v>5</v>
      </c>
      <c r="JK57" s="33"/>
      <c r="JL57" s="74">
        <f t="shared" ca="1" si="121"/>
        <v>8.9729257270933758</v>
      </c>
      <c r="JM57" s="75">
        <f t="shared" ca="1" si="310"/>
        <v>9.1691017813813112</v>
      </c>
      <c r="JN57" s="75">
        <f t="shared" ca="1" si="311"/>
        <v>9.3826389178346226</v>
      </c>
      <c r="JO57" s="74">
        <f t="shared" ca="1" si="122"/>
        <v>9.4</v>
      </c>
      <c r="JP57" s="74">
        <f t="shared" ca="1" si="123"/>
        <v>36.924666426309308</v>
      </c>
    </row>
    <row r="58" spans="1:276" s="1" customFormat="1" x14ac:dyDescent="0.35">
      <c r="A58" s="125">
        <v>0</v>
      </c>
      <c r="B58" s="125">
        <v>0</v>
      </c>
      <c r="C58" s="125">
        <v>1</v>
      </c>
      <c r="E58" s="142" t="s">
        <v>104</v>
      </c>
      <c r="F58" s="208" t="s">
        <v>105</v>
      </c>
      <c r="G58" s="209" t="s">
        <v>542</v>
      </c>
      <c r="H58" s="210" t="s">
        <v>531</v>
      </c>
      <c r="I58" s="8" t="s">
        <v>532</v>
      </c>
      <c r="J58" s="211">
        <v>12.928571428571429</v>
      </c>
      <c r="K58" s="211">
        <v>8.3000000000000007</v>
      </c>
      <c r="L58" s="211" t="s">
        <v>805</v>
      </c>
      <c r="M58" s="211">
        <v>7.25</v>
      </c>
      <c r="N58" s="211" t="s">
        <v>805</v>
      </c>
      <c r="O58" s="211" t="s">
        <v>805</v>
      </c>
      <c r="P58" s="211" t="s">
        <v>805</v>
      </c>
      <c r="Q58" s="211" t="s">
        <v>805</v>
      </c>
      <c r="R58" s="211" t="s">
        <v>805</v>
      </c>
      <c r="S58" s="211" t="s">
        <v>805</v>
      </c>
      <c r="T58" s="211" t="s">
        <v>805</v>
      </c>
      <c r="U58" s="211" t="s">
        <v>805</v>
      </c>
      <c r="V58" s="211" t="s">
        <v>805</v>
      </c>
      <c r="W58" s="211" t="s">
        <v>805</v>
      </c>
      <c r="X58" s="211" t="s">
        <v>805</v>
      </c>
      <c r="Y58" s="211" t="s">
        <v>805</v>
      </c>
      <c r="Z58" s="211" t="s">
        <v>805</v>
      </c>
      <c r="AA58" s="211" t="s">
        <v>805</v>
      </c>
      <c r="AB58" s="211" t="s">
        <v>805</v>
      </c>
      <c r="AC58" s="211" t="s">
        <v>805</v>
      </c>
      <c r="AD58" s="211" t="s">
        <v>805</v>
      </c>
      <c r="AE58" s="211" t="s">
        <v>805</v>
      </c>
      <c r="AF58" s="211" t="s">
        <v>805</v>
      </c>
      <c r="AG58" s="211" t="s">
        <v>805</v>
      </c>
      <c r="AH58" s="211" t="s">
        <v>805</v>
      </c>
      <c r="AI58" s="211" t="s">
        <v>805</v>
      </c>
      <c r="AJ58" s="211" t="s">
        <v>805</v>
      </c>
      <c r="AK58" s="211" t="s">
        <v>805</v>
      </c>
      <c r="AL58" s="211" t="s">
        <v>805</v>
      </c>
      <c r="AM58" s="211" t="s">
        <v>805</v>
      </c>
      <c r="AN58" s="211" t="s">
        <v>805</v>
      </c>
      <c r="AO58" s="211" t="s">
        <v>805</v>
      </c>
      <c r="AP58" s="211" t="s">
        <v>805</v>
      </c>
      <c r="AQ58" s="211" t="s">
        <v>805</v>
      </c>
      <c r="AR58" s="211" t="s">
        <v>805</v>
      </c>
      <c r="AS58" s="211" t="s">
        <v>805</v>
      </c>
      <c r="AT58" s="211" t="s">
        <v>805</v>
      </c>
      <c r="AU58" s="211" t="s">
        <v>805</v>
      </c>
      <c r="AV58" s="211" t="s">
        <v>805</v>
      </c>
      <c r="AW58" s="211" t="s">
        <v>805</v>
      </c>
      <c r="AX58" s="211" t="s">
        <v>805</v>
      </c>
      <c r="AY58" s="211" t="s">
        <v>805</v>
      </c>
      <c r="AZ58" s="211" t="s">
        <v>805</v>
      </c>
      <c r="BA58" s="211" t="s">
        <v>805</v>
      </c>
      <c r="BB58" s="211" t="s">
        <v>805</v>
      </c>
      <c r="BC58" s="211" t="s">
        <v>805</v>
      </c>
      <c r="BD58" s="211" t="s">
        <v>805</v>
      </c>
      <c r="BE58" s="211" t="s">
        <v>805</v>
      </c>
      <c r="BF58" s="211" t="s">
        <v>805</v>
      </c>
      <c r="BG58" s="211" t="s">
        <v>805</v>
      </c>
      <c r="BH58" s="211" t="s">
        <v>805</v>
      </c>
      <c r="BI58" s="211" t="s">
        <v>805</v>
      </c>
      <c r="BJ58" s="211" t="s">
        <v>805</v>
      </c>
      <c r="BK58" s="211" t="s">
        <v>805</v>
      </c>
      <c r="BL58" s="211" t="s">
        <v>805</v>
      </c>
      <c r="BM58" s="211" t="s">
        <v>805</v>
      </c>
      <c r="BN58" s="211" t="s">
        <v>805</v>
      </c>
      <c r="BO58" s="211" t="s">
        <v>805</v>
      </c>
      <c r="BP58" s="211" t="s">
        <v>805</v>
      </c>
      <c r="BQ58" s="211" t="s">
        <v>805</v>
      </c>
      <c r="BR58" s="211" t="s">
        <v>805</v>
      </c>
      <c r="BS58" s="211" t="s">
        <v>805</v>
      </c>
      <c r="BT58" s="211" t="s">
        <v>805</v>
      </c>
      <c r="BU58" s="211" t="s">
        <v>805</v>
      </c>
      <c r="BV58" s="211" t="s">
        <v>805</v>
      </c>
      <c r="BW58" s="211" t="s">
        <v>805</v>
      </c>
      <c r="BX58" s="211" t="s">
        <v>805</v>
      </c>
      <c r="BY58" s="211" t="s">
        <v>805</v>
      </c>
      <c r="BZ58" s="211" t="s">
        <v>805</v>
      </c>
      <c r="CA58" s="211" t="s">
        <v>805</v>
      </c>
      <c r="CB58" s="211" t="s">
        <v>805</v>
      </c>
      <c r="CC58" s="211" t="s">
        <v>805</v>
      </c>
      <c r="CD58" s="211" t="s">
        <v>805</v>
      </c>
      <c r="CE58" s="211" t="s">
        <v>805</v>
      </c>
      <c r="CF58" s="211" t="s">
        <v>805</v>
      </c>
      <c r="CG58" s="211" t="s">
        <v>805</v>
      </c>
      <c r="CH58" s="211" t="s">
        <v>805</v>
      </c>
      <c r="CI58" s="211" t="s">
        <v>805</v>
      </c>
      <c r="CJ58" s="211" t="s">
        <v>805</v>
      </c>
      <c r="CK58" s="211" t="s">
        <v>805</v>
      </c>
      <c r="CL58" s="211" t="s">
        <v>805</v>
      </c>
      <c r="CM58" s="211" t="s">
        <v>805</v>
      </c>
      <c r="CN58" s="211" t="s">
        <v>805</v>
      </c>
      <c r="CO58" s="211" t="s">
        <v>805</v>
      </c>
      <c r="CP58" s="211" t="s">
        <v>805</v>
      </c>
      <c r="CQ58" s="211" t="s">
        <v>805</v>
      </c>
      <c r="CR58" s="211" t="s">
        <v>805</v>
      </c>
      <c r="CS58" s="211" t="s">
        <v>805</v>
      </c>
      <c r="CT58" s="211" t="s">
        <v>805</v>
      </c>
      <c r="CU58" s="211" t="s">
        <v>805</v>
      </c>
      <c r="CV58" s="211" t="s">
        <v>805</v>
      </c>
      <c r="CW58" s="211" t="s">
        <v>805</v>
      </c>
      <c r="CX58" s="211" t="s">
        <v>805</v>
      </c>
      <c r="CY58" s="211" t="s">
        <v>805</v>
      </c>
      <c r="CZ58" s="211" t="s">
        <v>805</v>
      </c>
      <c r="DA58" s="211" t="s">
        <v>805</v>
      </c>
      <c r="DB58" s="211" t="s">
        <v>805</v>
      </c>
      <c r="DC58" s="211" t="s">
        <v>805</v>
      </c>
      <c r="DD58" s="211" t="s">
        <v>805</v>
      </c>
      <c r="DE58" s="211" t="s">
        <v>805</v>
      </c>
      <c r="DF58" s="211" t="s">
        <v>805</v>
      </c>
      <c r="DG58" s="212">
        <f>VLOOKUP(E58,'KPI Count-SHARE'!A:F,3,0)</f>
        <v>3</v>
      </c>
      <c r="DH58" s="213">
        <v>28.13809836235751</v>
      </c>
      <c r="DI58" s="213">
        <v>1.8211796281015278</v>
      </c>
      <c r="DJ58" s="213">
        <v>2.5071475435362629</v>
      </c>
      <c r="DK58" s="213">
        <v>3.6504274025941537</v>
      </c>
      <c r="DL58" s="213">
        <v>41.525213701297083</v>
      </c>
      <c r="DM58" s="213">
        <v>64.25008548051882</v>
      </c>
      <c r="DN58" s="212">
        <f>VLOOKUP(E58,'KPI Count-SHARE'!A:F,4,0)</f>
        <v>0</v>
      </c>
      <c r="DO58" s="213"/>
      <c r="DP58" s="213"/>
      <c r="DQ58" s="213"/>
      <c r="DR58" s="213"/>
      <c r="DS58" s="213"/>
      <c r="DT58" s="213"/>
      <c r="DU58" s="212">
        <f>VLOOKUP(E58,'KPI Count-SHARE'!A:F,5,0)</f>
        <v>0</v>
      </c>
      <c r="DV58" s="213"/>
      <c r="DW58" s="213"/>
      <c r="DX58" s="213"/>
      <c r="DY58" s="213"/>
      <c r="DZ58" s="213"/>
      <c r="EA58" s="213"/>
      <c r="EB58" s="212">
        <f>VLOOKUP(E58,'KPI Count-SHARE'!A:F,6,0)</f>
        <v>0</v>
      </c>
      <c r="EC58" s="213"/>
      <c r="ED58" s="213"/>
      <c r="EE58" s="213"/>
      <c r="EF58" s="213"/>
      <c r="EG58" s="213"/>
      <c r="EH58" s="213"/>
      <c r="EI58" s="214" t="s">
        <v>531</v>
      </c>
      <c r="EJ58" s="91">
        <f t="shared" si="101"/>
        <v>12.928571428571429</v>
      </c>
      <c r="EK58" s="91">
        <f t="shared" si="102"/>
        <v>8.3000000000000007</v>
      </c>
      <c r="EL58" s="91" t="str">
        <f t="shared" si="103"/>
        <v/>
      </c>
      <c r="EM58" s="91">
        <f t="shared" si="104"/>
        <v>7.25</v>
      </c>
      <c r="EN58" s="91" t="str">
        <f t="shared" si="105"/>
        <v/>
      </c>
      <c r="EO58" s="91" t="str">
        <f t="shared" si="106"/>
        <v/>
      </c>
      <c r="EP58" s="91" t="str">
        <f t="shared" si="107"/>
        <v/>
      </c>
      <c r="EQ58" s="91" t="str">
        <f t="shared" si="108"/>
        <v/>
      </c>
      <c r="ER58" s="91" t="str">
        <f t="shared" si="109"/>
        <v/>
      </c>
      <c r="ES58" s="91" t="str">
        <f t="shared" si="110"/>
        <v/>
      </c>
      <c r="ET58" s="91" t="str">
        <f t="shared" si="111"/>
        <v/>
      </c>
      <c r="EU58" s="91" t="str">
        <f t="shared" si="344"/>
        <v/>
      </c>
      <c r="EV58" s="91" t="str">
        <f t="shared" si="345"/>
        <v/>
      </c>
      <c r="EW58" s="91" t="str">
        <f t="shared" si="346"/>
        <v/>
      </c>
      <c r="EX58" s="91" t="str">
        <f t="shared" si="347"/>
        <v/>
      </c>
      <c r="EY58" s="91" t="str">
        <f t="shared" si="348"/>
        <v/>
      </c>
      <c r="EZ58" s="91" t="str">
        <f t="shared" si="349"/>
        <v/>
      </c>
      <c r="FA58" s="91" t="str">
        <f t="shared" si="350"/>
        <v/>
      </c>
      <c r="FB58" s="91" t="str">
        <f t="shared" si="351"/>
        <v/>
      </c>
      <c r="FC58" s="91" t="str">
        <f t="shared" si="352"/>
        <v/>
      </c>
      <c r="FD58" s="91" t="str">
        <f t="shared" si="353"/>
        <v/>
      </c>
      <c r="FE58" s="91" t="str">
        <f t="shared" si="354"/>
        <v/>
      </c>
      <c r="FF58" s="91" t="str">
        <f t="shared" si="355"/>
        <v/>
      </c>
      <c r="FG58" s="91" t="str">
        <f t="shared" si="356"/>
        <v/>
      </c>
      <c r="FH58" s="91" t="str">
        <f t="shared" si="357"/>
        <v/>
      </c>
      <c r="FI58" s="91" t="str">
        <f t="shared" si="358"/>
        <v/>
      </c>
      <c r="FJ58" s="91" t="str">
        <f t="shared" si="359"/>
        <v/>
      </c>
      <c r="FK58" s="91" t="str">
        <f t="shared" si="360"/>
        <v/>
      </c>
      <c r="FL58" s="91" t="str">
        <f t="shared" si="361"/>
        <v/>
      </c>
      <c r="FM58" s="91" t="str">
        <f t="shared" si="362"/>
        <v/>
      </c>
      <c r="FN58" s="91" t="str">
        <f t="shared" si="363"/>
        <v/>
      </c>
      <c r="FO58" s="91" t="str">
        <f t="shared" si="364"/>
        <v/>
      </c>
      <c r="FP58" s="91" t="str">
        <f t="shared" si="365"/>
        <v/>
      </c>
      <c r="FQ58" s="91" t="str">
        <f t="shared" si="366"/>
        <v/>
      </c>
      <c r="FR58" s="91" t="str">
        <f t="shared" si="367"/>
        <v/>
      </c>
      <c r="FS58" s="91" t="str">
        <f t="shared" si="368"/>
        <v/>
      </c>
      <c r="FT58" s="91" t="str">
        <f t="shared" si="369"/>
        <v/>
      </c>
      <c r="FU58" s="91" t="str">
        <f t="shared" si="370"/>
        <v/>
      </c>
      <c r="FV58" s="91" t="str">
        <f t="shared" si="371"/>
        <v/>
      </c>
      <c r="FW58" s="91" t="str">
        <f t="shared" si="372"/>
        <v/>
      </c>
      <c r="FX58" s="91" t="str">
        <f t="shared" si="373"/>
        <v/>
      </c>
      <c r="FY58" s="91" t="str">
        <f t="shared" si="374"/>
        <v/>
      </c>
      <c r="FZ58" s="91" t="str">
        <f t="shared" si="375"/>
        <v/>
      </c>
      <c r="GA58" s="91" t="str">
        <f t="shared" si="376"/>
        <v/>
      </c>
      <c r="GB58" s="91" t="str">
        <f t="shared" si="377"/>
        <v/>
      </c>
      <c r="GC58" s="91" t="str">
        <f t="shared" si="378"/>
        <v/>
      </c>
      <c r="GD58" s="91" t="str">
        <f t="shared" si="379"/>
        <v/>
      </c>
      <c r="GE58" s="91" t="str">
        <f t="shared" si="380"/>
        <v/>
      </c>
      <c r="GF58" s="91" t="str">
        <f t="shared" si="381"/>
        <v/>
      </c>
      <c r="GG58" s="91" t="str">
        <f t="shared" si="382"/>
        <v/>
      </c>
      <c r="GH58" s="91" t="str">
        <f t="shared" si="383"/>
        <v/>
      </c>
      <c r="GI58" s="91" t="str">
        <f t="shared" si="384"/>
        <v/>
      </c>
      <c r="GJ58" s="91" t="str">
        <f t="shared" si="385"/>
        <v/>
      </c>
      <c r="GK58" s="91" t="str">
        <f t="shared" si="386"/>
        <v/>
      </c>
      <c r="GL58" s="91" t="str">
        <f t="shared" si="387"/>
        <v/>
      </c>
      <c r="GM58" s="91" t="str">
        <f t="shared" si="388"/>
        <v/>
      </c>
      <c r="GN58" s="91" t="str">
        <f t="shared" si="389"/>
        <v/>
      </c>
      <c r="GO58" s="91" t="str">
        <f t="shared" si="390"/>
        <v/>
      </c>
      <c r="GP58" s="91" t="str">
        <f t="shared" si="391"/>
        <v/>
      </c>
      <c r="GQ58" s="91" t="str">
        <f t="shared" si="392"/>
        <v/>
      </c>
      <c r="GR58" s="91" t="str">
        <f t="shared" si="393"/>
        <v/>
      </c>
      <c r="GS58" s="91" t="str">
        <f t="shared" si="394"/>
        <v/>
      </c>
      <c r="GT58" s="91" t="str">
        <f t="shared" si="395"/>
        <v/>
      </c>
      <c r="GU58" s="91" t="str">
        <f t="shared" si="396"/>
        <v/>
      </c>
      <c r="GV58" s="91" t="str">
        <f t="shared" si="397"/>
        <v/>
      </c>
      <c r="GW58" s="91" t="str">
        <f t="shared" si="398"/>
        <v/>
      </c>
      <c r="GX58" s="91" t="str">
        <f t="shared" si="399"/>
        <v/>
      </c>
      <c r="GY58" s="91" t="str">
        <f t="shared" si="400"/>
        <v/>
      </c>
      <c r="GZ58" s="91" t="str">
        <f t="shared" si="401"/>
        <v/>
      </c>
      <c r="HA58" s="91" t="str">
        <f t="shared" si="402"/>
        <v/>
      </c>
      <c r="HB58" s="91" t="str">
        <f t="shared" si="403"/>
        <v/>
      </c>
      <c r="HC58" s="91" t="str">
        <f t="shared" si="404"/>
        <v/>
      </c>
      <c r="HD58" s="91" t="str">
        <f t="shared" si="405"/>
        <v/>
      </c>
      <c r="HE58" s="91" t="str">
        <f t="shared" si="406"/>
        <v/>
      </c>
      <c r="HF58" s="91" t="str">
        <f t="shared" si="407"/>
        <v/>
      </c>
      <c r="HG58" s="91" t="str">
        <f t="shared" si="408"/>
        <v/>
      </c>
      <c r="HH58" s="91" t="str">
        <f t="shared" si="409"/>
        <v/>
      </c>
      <c r="HI58" s="91" t="str">
        <f t="shared" si="410"/>
        <v/>
      </c>
      <c r="HJ58" s="91" t="str">
        <f t="shared" si="411"/>
        <v/>
      </c>
      <c r="HK58" s="91" t="str">
        <f t="shared" si="412"/>
        <v/>
      </c>
      <c r="HL58" s="91" t="str">
        <f t="shared" si="413"/>
        <v/>
      </c>
      <c r="HM58" s="91" t="str">
        <f t="shared" si="414"/>
        <v/>
      </c>
      <c r="HN58" s="91" t="str">
        <f t="shared" si="415"/>
        <v/>
      </c>
      <c r="HO58" s="91" t="str">
        <f t="shared" si="416"/>
        <v/>
      </c>
      <c r="HP58" s="91" t="str">
        <f t="shared" si="417"/>
        <v/>
      </c>
      <c r="HQ58" s="91" t="str">
        <f t="shared" si="418"/>
        <v/>
      </c>
      <c r="HR58" s="91" t="str">
        <f t="shared" si="419"/>
        <v/>
      </c>
      <c r="HS58" s="91" t="str">
        <f t="shared" si="420"/>
        <v/>
      </c>
      <c r="HT58" s="91" t="str">
        <f t="shared" si="421"/>
        <v/>
      </c>
      <c r="HU58" s="91" t="str">
        <f t="shared" si="422"/>
        <v/>
      </c>
      <c r="HV58" s="91" t="str">
        <f t="shared" si="423"/>
        <v/>
      </c>
      <c r="HW58" s="91" t="str">
        <f t="shared" si="424"/>
        <v/>
      </c>
      <c r="HX58" s="91" t="str">
        <f t="shared" si="425"/>
        <v/>
      </c>
      <c r="HY58" s="91" t="str">
        <f t="shared" si="426"/>
        <v/>
      </c>
      <c r="HZ58" s="91" t="str">
        <f t="shared" si="427"/>
        <v/>
      </c>
      <c r="IA58" s="91" t="str">
        <f t="shared" si="428"/>
        <v/>
      </c>
      <c r="IB58" s="91" t="str">
        <f t="shared" si="429"/>
        <v/>
      </c>
      <c r="IC58" s="91" t="str">
        <f t="shared" si="430"/>
        <v/>
      </c>
      <c r="ID58" s="91" t="str">
        <f t="shared" si="431"/>
        <v/>
      </c>
      <c r="IE58" s="91" t="str">
        <f t="shared" si="432"/>
        <v/>
      </c>
      <c r="IF58" s="91" t="str">
        <f t="shared" si="433"/>
        <v/>
      </c>
      <c r="IG58" s="314">
        <f t="shared" si="434"/>
        <v>28.13809836235751</v>
      </c>
      <c r="IH58" s="93">
        <f t="shared" si="435"/>
        <v>1.8211796281015278</v>
      </c>
      <c r="II58" s="93">
        <f t="shared" si="436"/>
        <v>2.5071475435362629</v>
      </c>
      <c r="IJ58" s="93">
        <f t="shared" si="437"/>
        <v>3.6504274025941537</v>
      </c>
      <c r="IK58" s="93">
        <f t="shared" si="438"/>
        <v>41.525213701297083</v>
      </c>
      <c r="IL58" s="93">
        <f t="shared" si="439"/>
        <v>64.25008548051882</v>
      </c>
      <c r="IM58" s="314" t="str">
        <f t="shared" si="440"/>
        <v/>
      </c>
      <c r="IN58" s="93" t="str">
        <f t="shared" si="441"/>
        <v/>
      </c>
      <c r="IO58" s="93" t="str">
        <f t="shared" si="442"/>
        <v/>
      </c>
      <c r="IP58" s="93" t="str">
        <f t="shared" si="443"/>
        <v/>
      </c>
      <c r="IQ58" s="93" t="str">
        <f t="shared" si="444"/>
        <v/>
      </c>
      <c r="IR58" s="93" t="str">
        <f t="shared" si="445"/>
        <v/>
      </c>
      <c r="IS58" s="314" t="str">
        <f t="shared" si="446"/>
        <v/>
      </c>
      <c r="IT58" s="93" t="str">
        <f t="shared" si="447"/>
        <v/>
      </c>
      <c r="IU58" s="93" t="str">
        <f t="shared" si="448"/>
        <v/>
      </c>
      <c r="IV58" s="93" t="str">
        <f t="shared" si="449"/>
        <v/>
      </c>
      <c r="IW58" s="93" t="str">
        <f t="shared" si="450"/>
        <v/>
      </c>
      <c r="IX58" s="93" t="str">
        <f t="shared" si="451"/>
        <v/>
      </c>
      <c r="IY58" s="314" t="str">
        <f t="shared" si="452"/>
        <v/>
      </c>
      <c r="IZ58" s="93" t="str">
        <f t="shared" si="453"/>
        <v/>
      </c>
      <c r="JA58" s="93" t="str">
        <f t="shared" si="454"/>
        <v/>
      </c>
      <c r="JB58" s="93" t="str">
        <f t="shared" si="455"/>
        <v/>
      </c>
      <c r="JC58" s="93" t="str">
        <f t="shared" si="456"/>
        <v/>
      </c>
      <c r="JD58" s="315" t="str">
        <f t="shared" si="457"/>
        <v/>
      </c>
      <c r="JF58" s="66">
        <f t="shared" si="224"/>
        <v>58</v>
      </c>
      <c r="JG58" s="66">
        <f t="shared" ca="1" si="340"/>
        <v>2.5071475435362629</v>
      </c>
      <c r="JH58" s="66">
        <f t="shared" ca="1" si="341"/>
        <v>3.6504274025941537</v>
      </c>
      <c r="JI58" s="66">
        <f t="shared" ca="1" si="342"/>
        <v>41.525213701297083</v>
      </c>
      <c r="JJ58" s="66">
        <f t="shared" ca="1" si="343"/>
        <v>3</v>
      </c>
      <c r="JK58" s="33"/>
      <c r="JL58" s="74">
        <f t="shared" ca="1" si="121"/>
        <v>2.5071475435362629</v>
      </c>
      <c r="JM58" s="75">
        <f t="shared" ca="1" si="310"/>
        <v>3.0787874730652085</v>
      </c>
      <c r="JN58" s="75">
        <f t="shared" ca="1" si="311"/>
        <v>22.587820551945619</v>
      </c>
      <c r="JO58" s="74">
        <f t="shared" ca="1" si="122"/>
        <v>41.525213701297083</v>
      </c>
      <c r="JP58" s="74">
        <f t="shared" ca="1" si="123"/>
        <v>69.69896926984417</v>
      </c>
    </row>
    <row r="59" spans="1:276" s="1" customFormat="1" x14ac:dyDescent="0.35">
      <c r="A59" s="125">
        <v>0</v>
      </c>
      <c r="B59" s="125">
        <v>0</v>
      </c>
      <c r="C59" s="125">
        <v>1</v>
      </c>
      <c r="E59" s="142" t="s">
        <v>106</v>
      </c>
      <c r="F59" s="208" t="s">
        <v>107</v>
      </c>
      <c r="G59" s="209" t="s">
        <v>542</v>
      </c>
      <c r="H59" s="210" t="s">
        <v>531</v>
      </c>
      <c r="I59" s="8" t="s">
        <v>532</v>
      </c>
      <c r="J59" s="211">
        <v>6.2413793103448274</v>
      </c>
      <c r="K59" s="211">
        <v>5.1875</v>
      </c>
      <c r="L59" s="211">
        <v>6.9</v>
      </c>
      <c r="M59" s="211">
        <v>9.6666666666666661</v>
      </c>
      <c r="N59" s="211" t="s">
        <v>805</v>
      </c>
      <c r="O59" s="211" t="s">
        <v>805</v>
      </c>
      <c r="P59" s="211" t="s">
        <v>805</v>
      </c>
      <c r="Q59" s="211" t="s">
        <v>805</v>
      </c>
      <c r="R59" s="211" t="s">
        <v>805</v>
      </c>
      <c r="S59" s="211" t="s">
        <v>805</v>
      </c>
      <c r="T59" s="211" t="s">
        <v>805</v>
      </c>
      <c r="U59" s="211" t="s">
        <v>805</v>
      </c>
      <c r="V59" s="211" t="s">
        <v>805</v>
      </c>
      <c r="W59" s="211" t="s">
        <v>805</v>
      </c>
      <c r="X59" s="211" t="s">
        <v>805</v>
      </c>
      <c r="Y59" s="211" t="s">
        <v>805</v>
      </c>
      <c r="Z59" s="211" t="s">
        <v>805</v>
      </c>
      <c r="AA59" s="211" t="s">
        <v>805</v>
      </c>
      <c r="AB59" s="211" t="s">
        <v>805</v>
      </c>
      <c r="AC59" s="211" t="s">
        <v>805</v>
      </c>
      <c r="AD59" s="211" t="s">
        <v>805</v>
      </c>
      <c r="AE59" s="211" t="s">
        <v>805</v>
      </c>
      <c r="AF59" s="211" t="s">
        <v>805</v>
      </c>
      <c r="AG59" s="211" t="s">
        <v>805</v>
      </c>
      <c r="AH59" s="211" t="s">
        <v>805</v>
      </c>
      <c r="AI59" s="211" t="s">
        <v>805</v>
      </c>
      <c r="AJ59" s="211" t="s">
        <v>805</v>
      </c>
      <c r="AK59" s="211" t="s">
        <v>805</v>
      </c>
      <c r="AL59" s="211" t="s">
        <v>805</v>
      </c>
      <c r="AM59" s="211" t="s">
        <v>805</v>
      </c>
      <c r="AN59" s="211" t="s">
        <v>805</v>
      </c>
      <c r="AO59" s="211" t="s">
        <v>805</v>
      </c>
      <c r="AP59" s="211" t="s">
        <v>805</v>
      </c>
      <c r="AQ59" s="211" t="s">
        <v>805</v>
      </c>
      <c r="AR59" s="211" t="s">
        <v>805</v>
      </c>
      <c r="AS59" s="211" t="s">
        <v>805</v>
      </c>
      <c r="AT59" s="211" t="s">
        <v>805</v>
      </c>
      <c r="AU59" s="211" t="s">
        <v>805</v>
      </c>
      <c r="AV59" s="211" t="s">
        <v>805</v>
      </c>
      <c r="AW59" s="211" t="s">
        <v>805</v>
      </c>
      <c r="AX59" s="211" t="s">
        <v>805</v>
      </c>
      <c r="AY59" s="211" t="s">
        <v>805</v>
      </c>
      <c r="AZ59" s="211" t="s">
        <v>805</v>
      </c>
      <c r="BA59" s="211" t="s">
        <v>805</v>
      </c>
      <c r="BB59" s="211" t="s">
        <v>805</v>
      </c>
      <c r="BC59" s="211" t="s">
        <v>805</v>
      </c>
      <c r="BD59" s="211" t="s">
        <v>805</v>
      </c>
      <c r="BE59" s="211" t="s">
        <v>805</v>
      </c>
      <c r="BF59" s="211" t="s">
        <v>805</v>
      </c>
      <c r="BG59" s="211" t="s">
        <v>805</v>
      </c>
      <c r="BH59" s="211" t="s">
        <v>805</v>
      </c>
      <c r="BI59" s="211" t="s">
        <v>805</v>
      </c>
      <c r="BJ59" s="211" t="s">
        <v>805</v>
      </c>
      <c r="BK59" s="211" t="s">
        <v>805</v>
      </c>
      <c r="BL59" s="211" t="s">
        <v>805</v>
      </c>
      <c r="BM59" s="211" t="s">
        <v>805</v>
      </c>
      <c r="BN59" s="211" t="s">
        <v>805</v>
      </c>
      <c r="BO59" s="211" t="s">
        <v>805</v>
      </c>
      <c r="BP59" s="211" t="s">
        <v>805</v>
      </c>
      <c r="BQ59" s="211" t="s">
        <v>805</v>
      </c>
      <c r="BR59" s="211" t="s">
        <v>805</v>
      </c>
      <c r="BS59" s="211" t="s">
        <v>805</v>
      </c>
      <c r="BT59" s="211" t="s">
        <v>805</v>
      </c>
      <c r="BU59" s="211" t="s">
        <v>805</v>
      </c>
      <c r="BV59" s="211" t="s">
        <v>805</v>
      </c>
      <c r="BW59" s="211" t="s">
        <v>805</v>
      </c>
      <c r="BX59" s="211" t="s">
        <v>805</v>
      </c>
      <c r="BY59" s="211" t="s">
        <v>805</v>
      </c>
      <c r="BZ59" s="211" t="s">
        <v>805</v>
      </c>
      <c r="CA59" s="211" t="s">
        <v>805</v>
      </c>
      <c r="CB59" s="211" t="s">
        <v>805</v>
      </c>
      <c r="CC59" s="211" t="s">
        <v>805</v>
      </c>
      <c r="CD59" s="211" t="s">
        <v>805</v>
      </c>
      <c r="CE59" s="211" t="s">
        <v>805</v>
      </c>
      <c r="CF59" s="211" t="s">
        <v>805</v>
      </c>
      <c r="CG59" s="211" t="s">
        <v>805</v>
      </c>
      <c r="CH59" s="211" t="s">
        <v>805</v>
      </c>
      <c r="CI59" s="211" t="s">
        <v>805</v>
      </c>
      <c r="CJ59" s="211" t="s">
        <v>805</v>
      </c>
      <c r="CK59" s="211" t="s">
        <v>805</v>
      </c>
      <c r="CL59" s="211" t="s">
        <v>805</v>
      </c>
      <c r="CM59" s="211" t="s">
        <v>805</v>
      </c>
      <c r="CN59" s="211" t="s">
        <v>805</v>
      </c>
      <c r="CO59" s="211" t="s">
        <v>805</v>
      </c>
      <c r="CP59" s="211" t="s">
        <v>805</v>
      </c>
      <c r="CQ59" s="211" t="s">
        <v>805</v>
      </c>
      <c r="CR59" s="211" t="s">
        <v>805</v>
      </c>
      <c r="CS59" s="211" t="s">
        <v>805</v>
      </c>
      <c r="CT59" s="211" t="s">
        <v>805</v>
      </c>
      <c r="CU59" s="211" t="s">
        <v>805</v>
      </c>
      <c r="CV59" s="211" t="s">
        <v>805</v>
      </c>
      <c r="CW59" s="211" t="s">
        <v>805</v>
      </c>
      <c r="CX59" s="211" t="s">
        <v>805</v>
      </c>
      <c r="CY59" s="211" t="s">
        <v>805</v>
      </c>
      <c r="CZ59" s="211" t="s">
        <v>805</v>
      </c>
      <c r="DA59" s="211" t="s">
        <v>805</v>
      </c>
      <c r="DB59" s="211" t="s">
        <v>805</v>
      </c>
      <c r="DC59" s="211" t="s">
        <v>805</v>
      </c>
      <c r="DD59" s="211" t="s">
        <v>805</v>
      </c>
      <c r="DE59" s="211" t="s">
        <v>805</v>
      </c>
      <c r="DF59" s="211" t="s">
        <v>805</v>
      </c>
      <c r="DG59" s="212">
        <f>VLOOKUP(E59,'KPI Count-SHARE'!A:F,3,0)</f>
        <v>1</v>
      </c>
      <c r="DH59" s="213">
        <v>8.2708333333333339</v>
      </c>
      <c r="DI59" s="213">
        <v>8.2708333333333339</v>
      </c>
      <c r="DJ59" s="213">
        <v>8.2708333333333339</v>
      </c>
      <c r="DK59" s="213">
        <v>8.2708333333333339</v>
      </c>
      <c r="DL59" s="213">
        <v>8.2708333333333339</v>
      </c>
      <c r="DM59" s="213">
        <v>8.2708333333333339</v>
      </c>
      <c r="DN59" s="212">
        <f>VLOOKUP(E59,'KPI Count-SHARE'!A:F,4,0)</f>
        <v>0</v>
      </c>
      <c r="DO59" s="213"/>
      <c r="DP59" s="213"/>
      <c r="DQ59" s="213"/>
      <c r="DR59" s="213"/>
      <c r="DS59" s="213"/>
      <c r="DT59" s="213"/>
      <c r="DU59" s="212">
        <f>VLOOKUP(E59,'KPI Count-SHARE'!A:F,5,0)</f>
        <v>0</v>
      </c>
      <c r="DV59" s="213"/>
      <c r="DW59" s="213"/>
      <c r="DX59" s="213"/>
      <c r="DY59" s="213"/>
      <c r="DZ59" s="213"/>
      <c r="EA59" s="213"/>
      <c r="EB59" s="212">
        <f>VLOOKUP(E59,'KPI Count-SHARE'!A:F,6,0)</f>
        <v>0</v>
      </c>
      <c r="EC59" s="213"/>
      <c r="ED59" s="213"/>
      <c r="EE59" s="213"/>
      <c r="EF59" s="213"/>
      <c r="EG59" s="213"/>
      <c r="EH59" s="213"/>
      <c r="EI59" s="214" t="s">
        <v>531</v>
      </c>
      <c r="EJ59" s="91">
        <f t="shared" si="101"/>
        <v>6.2413793103448274</v>
      </c>
      <c r="EK59" s="91">
        <f t="shared" si="102"/>
        <v>5.1875</v>
      </c>
      <c r="EL59" s="91">
        <f t="shared" si="103"/>
        <v>6.9</v>
      </c>
      <c r="EM59" s="91">
        <f t="shared" si="104"/>
        <v>9.6666666666666661</v>
      </c>
      <c r="EN59" s="91" t="str">
        <f t="shared" si="105"/>
        <v/>
      </c>
      <c r="EO59" s="91" t="str">
        <f t="shared" si="106"/>
        <v/>
      </c>
      <c r="EP59" s="91" t="str">
        <f t="shared" si="107"/>
        <v/>
      </c>
      <c r="EQ59" s="91" t="str">
        <f t="shared" si="108"/>
        <v/>
      </c>
      <c r="ER59" s="91" t="str">
        <f t="shared" si="109"/>
        <v/>
      </c>
      <c r="ES59" s="91" t="str">
        <f t="shared" si="110"/>
        <v/>
      </c>
      <c r="ET59" s="91" t="str">
        <f t="shared" si="111"/>
        <v/>
      </c>
      <c r="EU59" s="91" t="str">
        <f t="shared" si="344"/>
        <v/>
      </c>
      <c r="EV59" s="91" t="str">
        <f t="shared" si="345"/>
        <v/>
      </c>
      <c r="EW59" s="91" t="str">
        <f t="shared" si="346"/>
        <v/>
      </c>
      <c r="EX59" s="91" t="str">
        <f t="shared" si="347"/>
        <v/>
      </c>
      <c r="EY59" s="91" t="str">
        <f t="shared" si="348"/>
        <v/>
      </c>
      <c r="EZ59" s="91" t="str">
        <f t="shared" si="349"/>
        <v/>
      </c>
      <c r="FA59" s="91" t="str">
        <f t="shared" si="350"/>
        <v/>
      </c>
      <c r="FB59" s="91" t="str">
        <f t="shared" si="351"/>
        <v/>
      </c>
      <c r="FC59" s="91" t="str">
        <f t="shared" si="352"/>
        <v/>
      </c>
      <c r="FD59" s="91" t="str">
        <f t="shared" si="353"/>
        <v/>
      </c>
      <c r="FE59" s="91" t="str">
        <f t="shared" si="354"/>
        <v/>
      </c>
      <c r="FF59" s="91" t="str">
        <f t="shared" si="355"/>
        <v/>
      </c>
      <c r="FG59" s="91" t="str">
        <f t="shared" si="356"/>
        <v/>
      </c>
      <c r="FH59" s="91" t="str">
        <f t="shared" si="357"/>
        <v/>
      </c>
      <c r="FI59" s="91" t="str">
        <f t="shared" si="358"/>
        <v/>
      </c>
      <c r="FJ59" s="91" t="str">
        <f t="shared" si="359"/>
        <v/>
      </c>
      <c r="FK59" s="91" t="str">
        <f t="shared" si="360"/>
        <v/>
      </c>
      <c r="FL59" s="91" t="str">
        <f t="shared" si="361"/>
        <v/>
      </c>
      <c r="FM59" s="91" t="str">
        <f t="shared" si="362"/>
        <v/>
      </c>
      <c r="FN59" s="91" t="str">
        <f t="shared" si="363"/>
        <v/>
      </c>
      <c r="FO59" s="91" t="str">
        <f t="shared" si="364"/>
        <v/>
      </c>
      <c r="FP59" s="91" t="str">
        <f t="shared" si="365"/>
        <v/>
      </c>
      <c r="FQ59" s="91" t="str">
        <f t="shared" si="366"/>
        <v/>
      </c>
      <c r="FR59" s="91" t="str">
        <f t="shared" si="367"/>
        <v/>
      </c>
      <c r="FS59" s="91" t="str">
        <f t="shared" si="368"/>
        <v/>
      </c>
      <c r="FT59" s="91" t="str">
        <f t="shared" si="369"/>
        <v/>
      </c>
      <c r="FU59" s="91" t="str">
        <f t="shared" si="370"/>
        <v/>
      </c>
      <c r="FV59" s="91" t="str">
        <f t="shared" si="371"/>
        <v/>
      </c>
      <c r="FW59" s="91" t="str">
        <f t="shared" si="372"/>
        <v/>
      </c>
      <c r="FX59" s="91" t="str">
        <f t="shared" si="373"/>
        <v/>
      </c>
      <c r="FY59" s="91" t="str">
        <f t="shared" si="374"/>
        <v/>
      </c>
      <c r="FZ59" s="91" t="str">
        <f t="shared" si="375"/>
        <v/>
      </c>
      <c r="GA59" s="91" t="str">
        <f t="shared" si="376"/>
        <v/>
      </c>
      <c r="GB59" s="91" t="str">
        <f t="shared" si="377"/>
        <v/>
      </c>
      <c r="GC59" s="91" t="str">
        <f t="shared" si="378"/>
        <v/>
      </c>
      <c r="GD59" s="91" t="str">
        <f t="shared" si="379"/>
        <v/>
      </c>
      <c r="GE59" s="91" t="str">
        <f t="shared" si="380"/>
        <v/>
      </c>
      <c r="GF59" s="91" t="str">
        <f t="shared" si="381"/>
        <v/>
      </c>
      <c r="GG59" s="91" t="str">
        <f t="shared" si="382"/>
        <v/>
      </c>
      <c r="GH59" s="91" t="str">
        <f t="shared" si="383"/>
        <v/>
      </c>
      <c r="GI59" s="91" t="str">
        <f t="shared" si="384"/>
        <v/>
      </c>
      <c r="GJ59" s="91" t="str">
        <f t="shared" si="385"/>
        <v/>
      </c>
      <c r="GK59" s="91" t="str">
        <f t="shared" si="386"/>
        <v/>
      </c>
      <c r="GL59" s="91" t="str">
        <f t="shared" si="387"/>
        <v/>
      </c>
      <c r="GM59" s="91" t="str">
        <f t="shared" si="388"/>
        <v/>
      </c>
      <c r="GN59" s="91" t="str">
        <f t="shared" si="389"/>
        <v/>
      </c>
      <c r="GO59" s="91" t="str">
        <f t="shared" si="390"/>
        <v/>
      </c>
      <c r="GP59" s="91" t="str">
        <f t="shared" si="391"/>
        <v/>
      </c>
      <c r="GQ59" s="91" t="str">
        <f t="shared" si="392"/>
        <v/>
      </c>
      <c r="GR59" s="91" t="str">
        <f t="shared" si="393"/>
        <v/>
      </c>
      <c r="GS59" s="91" t="str">
        <f t="shared" si="394"/>
        <v/>
      </c>
      <c r="GT59" s="91" t="str">
        <f t="shared" si="395"/>
        <v/>
      </c>
      <c r="GU59" s="91" t="str">
        <f t="shared" si="396"/>
        <v/>
      </c>
      <c r="GV59" s="91" t="str">
        <f t="shared" si="397"/>
        <v/>
      </c>
      <c r="GW59" s="91" t="str">
        <f t="shared" si="398"/>
        <v/>
      </c>
      <c r="GX59" s="91" t="str">
        <f t="shared" si="399"/>
        <v/>
      </c>
      <c r="GY59" s="91" t="str">
        <f t="shared" si="400"/>
        <v/>
      </c>
      <c r="GZ59" s="91" t="str">
        <f t="shared" si="401"/>
        <v/>
      </c>
      <c r="HA59" s="91" t="str">
        <f t="shared" si="402"/>
        <v/>
      </c>
      <c r="HB59" s="91" t="str">
        <f t="shared" si="403"/>
        <v/>
      </c>
      <c r="HC59" s="91" t="str">
        <f t="shared" si="404"/>
        <v/>
      </c>
      <c r="HD59" s="91" t="str">
        <f t="shared" si="405"/>
        <v/>
      </c>
      <c r="HE59" s="91" t="str">
        <f t="shared" si="406"/>
        <v/>
      </c>
      <c r="HF59" s="91" t="str">
        <f t="shared" si="407"/>
        <v/>
      </c>
      <c r="HG59" s="91" t="str">
        <f t="shared" si="408"/>
        <v/>
      </c>
      <c r="HH59" s="91" t="str">
        <f t="shared" si="409"/>
        <v/>
      </c>
      <c r="HI59" s="91" t="str">
        <f t="shared" si="410"/>
        <v/>
      </c>
      <c r="HJ59" s="91" t="str">
        <f t="shared" si="411"/>
        <v/>
      </c>
      <c r="HK59" s="91" t="str">
        <f t="shared" si="412"/>
        <v/>
      </c>
      <c r="HL59" s="91" t="str">
        <f t="shared" si="413"/>
        <v/>
      </c>
      <c r="HM59" s="91" t="str">
        <f t="shared" si="414"/>
        <v/>
      </c>
      <c r="HN59" s="91" t="str">
        <f t="shared" si="415"/>
        <v/>
      </c>
      <c r="HO59" s="91" t="str">
        <f t="shared" si="416"/>
        <v/>
      </c>
      <c r="HP59" s="91" t="str">
        <f t="shared" si="417"/>
        <v/>
      </c>
      <c r="HQ59" s="91" t="str">
        <f t="shared" si="418"/>
        <v/>
      </c>
      <c r="HR59" s="91" t="str">
        <f t="shared" si="419"/>
        <v/>
      </c>
      <c r="HS59" s="91" t="str">
        <f t="shared" si="420"/>
        <v/>
      </c>
      <c r="HT59" s="91" t="str">
        <f t="shared" si="421"/>
        <v/>
      </c>
      <c r="HU59" s="91" t="str">
        <f t="shared" si="422"/>
        <v/>
      </c>
      <c r="HV59" s="91" t="str">
        <f t="shared" si="423"/>
        <v/>
      </c>
      <c r="HW59" s="91" t="str">
        <f t="shared" si="424"/>
        <v/>
      </c>
      <c r="HX59" s="91" t="str">
        <f t="shared" si="425"/>
        <v/>
      </c>
      <c r="HY59" s="91" t="str">
        <f t="shared" si="426"/>
        <v/>
      </c>
      <c r="HZ59" s="91" t="str">
        <f t="shared" si="427"/>
        <v/>
      </c>
      <c r="IA59" s="91" t="str">
        <f t="shared" si="428"/>
        <v/>
      </c>
      <c r="IB59" s="91" t="str">
        <f t="shared" si="429"/>
        <v/>
      </c>
      <c r="IC59" s="91" t="str">
        <f t="shared" si="430"/>
        <v/>
      </c>
      <c r="ID59" s="91" t="str">
        <f t="shared" si="431"/>
        <v/>
      </c>
      <c r="IE59" s="91" t="str">
        <f t="shared" si="432"/>
        <v/>
      </c>
      <c r="IF59" s="91" t="str">
        <f t="shared" si="433"/>
        <v/>
      </c>
      <c r="IG59" s="314">
        <f t="shared" si="434"/>
        <v>8.2708333333333339</v>
      </c>
      <c r="IH59" s="93">
        <f t="shared" si="435"/>
        <v>8.2708333333333339</v>
      </c>
      <c r="II59" s="93">
        <f t="shared" si="436"/>
        <v>8.2708333333333339</v>
      </c>
      <c r="IJ59" s="93">
        <f t="shared" si="437"/>
        <v>8.2708333333333339</v>
      </c>
      <c r="IK59" s="93">
        <f t="shared" si="438"/>
        <v>8.2708333333333339</v>
      </c>
      <c r="IL59" s="93">
        <f t="shared" si="439"/>
        <v>8.2708333333333339</v>
      </c>
      <c r="IM59" s="314" t="str">
        <f t="shared" si="440"/>
        <v/>
      </c>
      <c r="IN59" s="93" t="str">
        <f t="shared" si="441"/>
        <v/>
      </c>
      <c r="IO59" s="93" t="str">
        <f t="shared" si="442"/>
        <v/>
      </c>
      <c r="IP59" s="93" t="str">
        <f t="shared" si="443"/>
        <v/>
      </c>
      <c r="IQ59" s="93" t="str">
        <f t="shared" si="444"/>
        <v/>
      </c>
      <c r="IR59" s="93" t="str">
        <f t="shared" si="445"/>
        <v/>
      </c>
      <c r="IS59" s="314" t="str">
        <f t="shared" si="446"/>
        <v/>
      </c>
      <c r="IT59" s="93" t="str">
        <f t="shared" si="447"/>
        <v/>
      </c>
      <c r="IU59" s="93" t="str">
        <f t="shared" si="448"/>
        <v/>
      </c>
      <c r="IV59" s="93" t="str">
        <f t="shared" si="449"/>
        <v/>
      </c>
      <c r="IW59" s="93" t="str">
        <f t="shared" si="450"/>
        <v/>
      </c>
      <c r="IX59" s="93" t="str">
        <f t="shared" si="451"/>
        <v/>
      </c>
      <c r="IY59" s="314" t="str">
        <f t="shared" si="452"/>
        <v/>
      </c>
      <c r="IZ59" s="93" t="str">
        <f t="shared" si="453"/>
        <v/>
      </c>
      <c r="JA59" s="93" t="str">
        <f t="shared" si="454"/>
        <v/>
      </c>
      <c r="JB59" s="93" t="str">
        <f t="shared" si="455"/>
        <v/>
      </c>
      <c r="JC59" s="93" t="str">
        <f t="shared" si="456"/>
        <v/>
      </c>
      <c r="JD59" s="315" t="str">
        <f t="shared" si="457"/>
        <v/>
      </c>
      <c r="JF59" s="66">
        <f t="shared" si="224"/>
        <v>59</v>
      </c>
      <c r="JG59" s="66">
        <f t="shared" ca="1" si="340"/>
        <v>8.2708333333333339</v>
      </c>
      <c r="JH59" s="66">
        <f t="shared" ca="1" si="341"/>
        <v>8.2708333333333339</v>
      </c>
      <c r="JI59" s="66">
        <f t="shared" ca="1" si="342"/>
        <v>8.2708333333333339</v>
      </c>
      <c r="JJ59" s="66">
        <f t="shared" ca="1" si="343"/>
        <v>1</v>
      </c>
      <c r="JK59" s="33"/>
      <c r="JL59" s="74">
        <f t="shared" ca="1" si="121"/>
        <v>8.2708333333333339</v>
      </c>
      <c r="JM59" s="75">
        <f t="shared" ca="1" si="310"/>
        <v>8.2708333333333339</v>
      </c>
      <c r="JN59" s="75">
        <f t="shared" ca="1" si="311"/>
        <v>8.2708333333333339</v>
      </c>
      <c r="JO59" s="74">
        <f t="shared" ca="1" si="122"/>
        <v>8.2708333333333339</v>
      </c>
      <c r="JP59" s="74">
        <f t="shared" ca="1" si="123"/>
        <v>33.083333333333336</v>
      </c>
    </row>
    <row r="60" spans="1:276" s="1" customFormat="1" x14ac:dyDescent="0.35">
      <c r="A60" s="125">
        <v>0</v>
      </c>
      <c r="B60" s="125">
        <v>0</v>
      </c>
      <c r="C60" s="125">
        <v>1</v>
      </c>
      <c r="E60" s="142" t="s">
        <v>108</v>
      </c>
      <c r="F60" s="208" t="s">
        <v>109</v>
      </c>
      <c r="G60" s="209" t="s">
        <v>542</v>
      </c>
      <c r="H60" s="210" t="s">
        <v>531</v>
      </c>
      <c r="I60" s="8" t="s">
        <v>532</v>
      </c>
      <c r="J60" s="211">
        <v>60.333333333333336</v>
      </c>
      <c r="K60" s="211">
        <v>27.666666666666668</v>
      </c>
      <c r="L60" s="211" t="s">
        <v>805</v>
      </c>
      <c r="M60" s="211" t="s">
        <v>805</v>
      </c>
      <c r="N60" s="211" t="s">
        <v>805</v>
      </c>
      <c r="O60" s="211" t="s">
        <v>805</v>
      </c>
      <c r="P60" s="211" t="s">
        <v>805</v>
      </c>
      <c r="Q60" s="211" t="s">
        <v>805</v>
      </c>
      <c r="R60" s="211" t="s">
        <v>805</v>
      </c>
      <c r="S60" s="211" t="s">
        <v>805</v>
      </c>
      <c r="T60" s="211" t="s">
        <v>805</v>
      </c>
      <c r="U60" s="211" t="s">
        <v>805</v>
      </c>
      <c r="V60" s="211" t="s">
        <v>805</v>
      </c>
      <c r="W60" s="211" t="s">
        <v>805</v>
      </c>
      <c r="X60" s="211" t="s">
        <v>805</v>
      </c>
      <c r="Y60" s="211" t="s">
        <v>805</v>
      </c>
      <c r="Z60" s="211" t="s">
        <v>805</v>
      </c>
      <c r="AA60" s="211" t="s">
        <v>805</v>
      </c>
      <c r="AB60" s="211" t="s">
        <v>805</v>
      </c>
      <c r="AC60" s="211" t="s">
        <v>805</v>
      </c>
      <c r="AD60" s="211" t="s">
        <v>805</v>
      </c>
      <c r="AE60" s="211" t="s">
        <v>805</v>
      </c>
      <c r="AF60" s="211" t="s">
        <v>805</v>
      </c>
      <c r="AG60" s="211" t="s">
        <v>805</v>
      </c>
      <c r="AH60" s="211" t="s">
        <v>805</v>
      </c>
      <c r="AI60" s="211" t="s">
        <v>805</v>
      </c>
      <c r="AJ60" s="211" t="s">
        <v>805</v>
      </c>
      <c r="AK60" s="211" t="s">
        <v>805</v>
      </c>
      <c r="AL60" s="211" t="s">
        <v>805</v>
      </c>
      <c r="AM60" s="211" t="s">
        <v>805</v>
      </c>
      <c r="AN60" s="211" t="s">
        <v>805</v>
      </c>
      <c r="AO60" s="211" t="s">
        <v>805</v>
      </c>
      <c r="AP60" s="211" t="s">
        <v>805</v>
      </c>
      <c r="AQ60" s="211" t="s">
        <v>805</v>
      </c>
      <c r="AR60" s="211" t="s">
        <v>805</v>
      </c>
      <c r="AS60" s="211" t="s">
        <v>805</v>
      </c>
      <c r="AT60" s="211" t="s">
        <v>805</v>
      </c>
      <c r="AU60" s="211" t="s">
        <v>805</v>
      </c>
      <c r="AV60" s="211" t="s">
        <v>805</v>
      </c>
      <c r="AW60" s="211" t="s">
        <v>805</v>
      </c>
      <c r="AX60" s="211" t="s">
        <v>805</v>
      </c>
      <c r="AY60" s="211" t="s">
        <v>805</v>
      </c>
      <c r="AZ60" s="211" t="s">
        <v>805</v>
      </c>
      <c r="BA60" s="211" t="s">
        <v>805</v>
      </c>
      <c r="BB60" s="211" t="s">
        <v>805</v>
      </c>
      <c r="BC60" s="211" t="s">
        <v>805</v>
      </c>
      <c r="BD60" s="211" t="s">
        <v>805</v>
      </c>
      <c r="BE60" s="211" t="s">
        <v>805</v>
      </c>
      <c r="BF60" s="211" t="s">
        <v>805</v>
      </c>
      <c r="BG60" s="211" t="s">
        <v>805</v>
      </c>
      <c r="BH60" s="211" t="s">
        <v>805</v>
      </c>
      <c r="BI60" s="211" t="s">
        <v>805</v>
      </c>
      <c r="BJ60" s="211" t="s">
        <v>805</v>
      </c>
      <c r="BK60" s="211" t="s">
        <v>805</v>
      </c>
      <c r="BL60" s="211" t="s">
        <v>805</v>
      </c>
      <c r="BM60" s="211" t="s">
        <v>805</v>
      </c>
      <c r="BN60" s="211" t="s">
        <v>805</v>
      </c>
      <c r="BO60" s="211" t="s">
        <v>805</v>
      </c>
      <c r="BP60" s="211" t="s">
        <v>805</v>
      </c>
      <c r="BQ60" s="211" t="s">
        <v>805</v>
      </c>
      <c r="BR60" s="211" t="s">
        <v>805</v>
      </c>
      <c r="BS60" s="211" t="s">
        <v>805</v>
      </c>
      <c r="BT60" s="211" t="s">
        <v>805</v>
      </c>
      <c r="BU60" s="211" t="s">
        <v>805</v>
      </c>
      <c r="BV60" s="211" t="s">
        <v>805</v>
      </c>
      <c r="BW60" s="211" t="s">
        <v>805</v>
      </c>
      <c r="BX60" s="211" t="s">
        <v>805</v>
      </c>
      <c r="BY60" s="211" t="s">
        <v>805</v>
      </c>
      <c r="BZ60" s="211" t="s">
        <v>805</v>
      </c>
      <c r="CA60" s="211" t="s">
        <v>805</v>
      </c>
      <c r="CB60" s="211" t="s">
        <v>805</v>
      </c>
      <c r="CC60" s="211" t="s">
        <v>805</v>
      </c>
      <c r="CD60" s="211" t="s">
        <v>805</v>
      </c>
      <c r="CE60" s="211" t="s">
        <v>805</v>
      </c>
      <c r="CF60" s="211" t="s">
        <v>805</v>
      </c>
      <c r="CG60" s="211" t="s">
        <v>805</v>
      </c>
      <c r="CH60" s="211" t="s">
        <v>805</v>
      </c>
      <c r="CI60" s="211" t="s">
        <v>805</v>
      </c>
      <c r="CJ60" s="211" t="s">
        <v>805</v>
      </c>
      <c r="CK60" s="211" t="s">
        <v>805</v>
      </c>
      <c r="CL60" s="211" t="s">
        <v>805</v>
      </c>
      <c r="CM60" s="211" t="s">
        <v>805</v>
      </c>
      <c r="CN60" s="211" t="s">
        <v>805</v>
      </c>
      <c r="CO60" s="211" t="s">
        <v>805</v>
      </c>
      <c r="CP60" s="211" t="s">
        <v>805</v>
      </c>
      <c r="CQ60" s="211" t="s">
        <v>805</v>
      </c>
      <c r="CR60" s="211" t="s">
        <v>805</v>
      </c>
      <c r="CS60" s="211" t="s">
        <v>805</v>
      </c>
      <c r="CT60" s="211" t="s">
        <v>805</v>
      </c>
      <c r="CU60" s="211" t="s">
        <v>805</v>
      </c>
      <c r="CV60" s="211" t="s">
        <v>805</v>
      </c>
      <c r="CW60" s="211" t="s">
        <v>805</v>
      </c>
      <c r="CX60" s="211" t="s">
        <v>805</v>
      </c>
      <c r="CY60" s="211" t="s">
        <v>805</v>
      </c>
      <c r="CZ60" s="211" t="s">
        <v>805</v>
      </c>
      <c r="DA60" s="211" t="s">
        <v>805</v>
      </c>
      <c r="DB60" s="211" t="s">
        <v>805</v>
      </c>
      <c r="DC60" s="211" t="s">
        <v>805</v>
      </c>
      <c r="DD60" s="211" t="s">
        <v>805</v>
      </c>
      <c r="DE60" s="211" t="s">
        <v>805</v>
      </c>
      <c r="DF60" s="211" t="s">
        <v>805</v>
      </c>
      <c r="DG60" s="212">
        <f>VLOOKUP(E60,'KPI Count-SHARE'!A:F,3,0)</f>
        <v>1</v>
      </c>
      <c r="DH60" s="213">
        <v>38.173078323256995</v>
      </c>
      <c r="DI60" s="213">
        <v>38.173078323256995</v>
      </c>
      <c r="DJ60" s="213">
        <v>38.173078323256995</v>
      </c>
      <c r="DK60" s="213">
        <v>38.173078323256995</v>
      </c>
      <c r="DL60" s="213">
        <v>38.173078323256995</v>
      </c>
      <c r="DM60" s="213">
        <v>38.173078323256995</v>
      </c>
      <c r="DN60" s="212">
        <f>VLOOKUP(E60,'KPI Count-SHARE'!A:F,4,0)</f>
        <v>0</v>
      </c>
      <c r="DO60" s="213"/>
      <c r="DP60" s="213"/>
      <c r="DQ60" s="213"/>
      <c r="DR60" s="213"/>
      <c r="DS60" s="213"/>
      <c r="DT60" s="213"/>
      <c r="DU60" s="212">
        <f>VLOOKUP(E60,'KPI Count-SHARE'!A:F,5,0)</f>
        <v>0</v>
      </c>
      <c r="DV60" s="213"/>
      <c r="DW60" s="213"/>
      <c r="DX60" s="213"/>
      <c r="DY60" s="213"/>
      <c r="DZ60" s="213"/>
      <c r="EA60" s="213"/>
      <c r="EB60" s="212">
        <f>VLOOKUP(E60,'KPI Count-SHARE'!A:F,6,0)</f>
        <v>0</v>
      </c>
      <c r="EC60" s="213"/>
      <c r="ED60" s="213"/>
      <c r="EE60" s="213"/>
      <c r="EF60" s="213"/>
      <c r="EG60" s="213"/>
      <c r="EH60" s="213"/>
      <c r="EI60" s="214" t="s">
        <v>531</v>
      </c>
      <c r="EJ60" s="91">
        <f t="shared" si="101"/>
        <v>60.333333333333336</v>
      </c>
      <c r="EK60" s="91">
        <f t="shared" si="102"/>
        <v>27.666666666666668</v>
      </c>
      <c r="EL60" s="91" t="str">
        <f t="shared" si="103"/>
        <v/>
      </c>
      <c r="EM60" s="91" t="str">
        <f t="shared" si="104"/>
        <v/>
      </c>
      <c r="EN60" s="91" t="str">
        <f t="shared" si="105"/>
        <v/>
      </c>
      <c r="EO60" s="91" t="str">
        <f t="shared" si="106"/>
        <v/>
      </c>
      <c r="EP60" s="91" t="str">
        <f t="shared" si="107"/>
        <v/>
      </c>
      <c r="EQ60" s="91" t="str">
        <f t="shared" si="108"/>
        <v/>
      </c>
      <c r="ER60" s="91" t="str">
        <f t="shared" si="109"/>
        <v/>
      </c>
      <c r="ES60" s="91" t="str">
        <f t="shared" si="110"/>
        <v/>
      </c>
      <c r="ET60" s="91" t="str">
        <f t="shared" si="111"/>
        <v/>
      </c>
      <c r="EU60" s="91" t="str">
        <f t="shared" si="344"/>
        <v/>
      </c>
      <c r="EV60" s="91" t="str">
        <f t="shared" si="345"/>
        <v/>
      </c>
      <c r="EW60" s="91" t="str">
        <f t="shared" si="346"/>
        <v/>
      </c>
      <c r="EX60" s="91" t="str">
        <f t="shared" si="347"/>
        <v/>
      </c>
      <c r="EY60" s="91" t="str">
        <f t="shared" si="348"/>
        <v/>
      </c>
      <c r="EZ60" s="91" t="str">
        <f t="shared" si="349"/>
        <v/>
      </c>
      <c r="FA60" s="91" t="str">
        <f t="shared" si="350"/>
        <v/>
      </c>
      <c r="FB60" s="91" t="str">
        <f t="shared" si="351"/>
        <v/>
      </c>
      <c r="FC60" s="91" t="str">
        <f t="shared" si="352"/>
        <v/>
      </c>
      <c r="FD60" s="91" t="str">
        <f t="shared" si="353"/>
        <v/>
      </c>
      <c r="FE60" s="91" t="str">
        <f t="shared" si="354"/>
        <v/>
      </c>
      <c r="FF60" s="91" t="str">
        <f t="shared" si="355"/>
        <v/>
      </c>
      <c r="FG60" s="91" t="str">
        <f t="shared" si="356"/>
        <v/>
      </c>
      <c r="FH60" s="91" t="str">
        <f t="shared" si="357"/>
        <v/>
      </c>
      <c r="FI60" s="91" t="str">
        <f t="shared" si="358"/>
        <v/>
      </c>
      <c r="FJ60" s="91" t="str">
        <f t="shared" si="359"/>
        <v/>
      </c>
      <c r="FK60" s="91" t="str">
        <f t="shared" si="360"/>
        <v/>
      </c>
      <c r="FL60" s="91" t="str">
        <f t="shared" si="361"/>
        <v/>
      </c>
      <c r="FM60" s="91" t="str">
        <f t="shared" si="362"/>
        <v/>
      </c>
      <c r="FN60" s="91" t="str">
        <f t="shared" si="363"/>
        <v/>
      </c>
      <c r="FO60" s="91" t="str">
        <f t="shared" si="364"/>
        <v/>
      </c>
      <c r="FP60" s="91" t="str">
        <f t="shared" si="365"/>
        <v/>
      </c>
      <c r="FQ60" s="91" t="str">
        <f t="shared" si="366"/>
        <v/>
      </c>
      <c r="FR60" s="91" t="str">
        <f t="shared" si="367"/>
        <v/>
      </c>
      <c r="FS60" s="91" t="str">
        <f t="shared" si="368"/>
        <v/>
      </c>
      <c r="FT60" s="91" t="str">
        <f t="shared" si="369"/>
        <v/>
      </c>
      <c r="FU60" s="91" t="str">
        <f t="shared" si="370"/>
        <v/>
      </c>
      <c r="FV60" s="91" t="str">
        <f t="shared" si="371"/>
        <v/>
      </c>
      <c r="FW60" s="91" t="str">
        <f t="shared" si="372"/>
        <v/>
      </c>
      <c r="FX60" s="91" t="str">
        <f t="shared" si="373"/>
        <v/>
      </c>
      <c r="FY60" s="91" t="str">
        <f t="shared" si="374"/>
        <v/>
      </c>
      <c r="FZ60" s="91" t="str">
        <f t="shared" si="375"/>
        <v/>
      </c>
      <c r="GA60" s="91" t="str">
        <f t="shared" si="376"/>
        <v/>
      </c>
      <c r="GB60" s="91" t="str">
        <f t="shared" si="377"/>
        <v/>
      </c>
      <c r="GC60" s="91" t="str">
        <f t="shared" si="378"/>
        <v/>
      </c>
      <c r="GD60" s="91" t="str">
        <f t="shared" si="379"/>
        <v/>
      </c>
      <c r="GE60" s="91" t="str">
        <f t="shared" si="380"/>
        <v/>
      </c>
      <c r="GF60" s="91" t="str">
        <f t="shared" si="381"/>
        <v/>
      </c>
      <c r="GG60" s="91" t="str">
        <f t="shared" si="382"/>
        <v/>
      </c>
      <c r="GH60" s="91" t="str">
        <f t="shared" si="383"/>
        <v/>
      </c>
      <c r="GI60" s="91" t="str">
        <f t="shared" si="384"/>
        <v/>
      </c>
      <c r="GJ60" s="91" t="str">
        <f t="shared" si="385"/>
        <v/>
      </c>
      <c r="GK60" s="91" t="str">
        <f t="shared" si="386"/>
        <v/>
      </c>
      <c r="GL60" s="91" t="str">
        <f t="shared" si="387"/>
        <v/>
      </c>
      <c r="GM60" s="91" t="str">
        <f t="shared" si="388"/>
        <v/>
      </c>
      <c r="GN60" s="91" t="str">
        <f t="shared" si="389"/>
        <v/>
      </c>
      <c r="GO60" s="91" t="str">
        <f t="shared" si="390"/>
        <v/>
      </c>
      <c r="GP60" s="91" t="str">
        <f t="shared" si="391"/>
        <v/>
      </c>
      <c r="GQ60" s="91" t="str">
        <f t="shared" si="392"/>
        <v/>
      </c>
      <c r="GR60" s="91" t="str">
        <f t="shared" si="393"/>
        <v/>
      </c>
      <c r="GS60" s="91" t="str">
        <f t="shared" si="394"/>
        <v/>
      </c>
      <c r="GT60" s="91" t="str">
        <f t="shared" si="395"/>
        <v/>
      </c>
      <c r="GU60" s="91" t="str">
        <f t="shared" si="396"/>
        <v/>
      </c>
      <c r="GV60" s="91" t="str">
        <f t="shared" si="397"/>
        <v/>
      </c>
      <c r="GW60" s="91" t="str">
        <f t="shared" si="398"/>
        <v/>
      </c>
      <c r="GX60" s="91" t="str">
        <f t="shared" si="399"/>
        <v/>
      </c>
      <c r="GY60" s="91" t="str">
        <f t="shared" si="400"/>
        <v/>
      </c>
      <c r="GZ60" s="91" t="str">
        <f t="shared" si="401"/>
        <v/>
      </c>
      <c r="HA60" s="91" t="str">
        <f t="shared" si="402"/>
        <v/>
      </c>
      <c r="HB60" s="91" t="str">
        <f t="shared" si="403"/>
        <v/>
      </c>
      <c r="HC60" s="91" t="str">
        <f t="shared" si="404"/>
        <v/>
      </c>
      <c r="HD60" s="91" t="str">
        <f t="shared" si="405"/>
        <v/>
      </c>
      <c r="HE60" s="91" t="str">
        <f t="shared" si="406"/>
        <v/>
      </c>
      <c r="HF60" s="91" t="str">
        <f t="shared" si="407"/>
        <v/>
      </c>
      <c r="HG60" s="91" t="str">
        <f t="shared" si="408"/>
        <v/>
      </c>
      <c r="HH60" s="91" t="str">
        <f t="shared" si="409"/>
        <v/>
      </c>
      <c r="HI60" s="91" t="str">
        <f t="shared" si="410"/>
        <v/>
      </c>
      <c r="HJ60" s="91" t="str">
        <f t="shared" si="411"/>
        <v/>
      </c>
      <c r="HK60" s="91" t="str">
        <f t="shared" si="412"/>
        <v/>
      </c>
      <c r="HL60" s="91" t="str">
        <f t="shared" si="413"/>
        <v/>
      </c>
      <c r="HM60" s="91" t="str">
        <f t="shared" si="414"/>
        <v/>
      </c>
      <c r="HN60" s="91" t="str">
        <f t="shared" si="415"/>
        <v/>
      </c>
      <c r="HO60" s="91" t="str">
        <f t="shared" si="416"/>
        <v/>
      </c>
      <c r="HP60" s="91" t="str">
        <f t="shared" si="417"/>
        <v/>
      </c>
      <c r="HQ60" s="91" t="str">
        <f t="shared" si="418"/>
        <v/>
      </c>
      <c r="HR60" s="91" t="str">
        <f t="shared" si="419"/>
        <v/>
      </c>
      <c r="HS60" s="91" t="str">
        <f t="shared" si="420"/>
        <v/>
      </c>
      <c r="HT60" s="91" t="str">
        <f t="shared" si="421"/>
        <v/>
      </c>
      <c r="HU60" s="91" t="str">
        <f t="shared" si="422"/>
        <v/>
      </c>
      <c r="HV60" s="91" t="str">
        <f t="shared" si="423"/>
        <v/>
      </c>
      <c r="HW60" s="91" t="str">
        <f t="shared" si="424"/>
        <v/>
      </c>
      <c r="HX60" s="91" t="str">
        <f t="shared" si="425"/>
        <v/>
      </c>
      <c r="HY60" s="91" t="str">
        <f t="shared" si="426"/>
        <v/>
      </c>
      <c r="HZ60" s="91" t="str">
        <f t="shared" si="427"/>
        <v/>
      </c>
      <c r="IA60" s="91" t="str">
        <f t="shared" si="428"/>
        <v/>
      </c>
      <c r="IB60" s="91" t="str">
        <f t="shared" si="429"/>
        <v/>
      </c>
      <c r="IC60" s="91" t="str">
        <f t="shared" si="430"/>
        <v/>
      </c>
      <c r="ID60" s="91" t="str">
        <f t="shared" si="431"/>
        <v/>
      </c>
      <c r="IE60" s="91" t="str">
        <f t="shared" si="432"/>
        <v/>
      </c>
      <c r="IF60" s="91" t="str">
        <f t="shared" si="433"/>
        <v/>
      </c>
      <c r="IG60" s="314">
        <f t="shared" si="434"/>
        <v>38.173078323256995</v>
      </c>
      <c r="IH60" s="93">
        <f t="shared" si="435"/>
        <v>38.173078323256995</v>
      </c>
      <c r="II60" s="93">
        <f t="shared" si="436"/>
        <v>38.173078323256995</v>
      </c>
      <c r="IJ60" s="93">
        <f t="shared" si="437"/>
        <v>38.173078323256995</v>
      </c>
      <c r="IK60" s="93">
        <f t="shared" si="438"/>
        <v>38.173078323256995</v>
      </c>
      <c r="IL60" s="93">
        <f t="shared" si="439"/>
        <v>38.173078323256995</v>
      </c>
      <c r="IM60" s="314" t="str">
        <f t="shared" si="440"/>
        <v/>
      </c>
      <c r="IN60" s="93" t="str">
        <f t="shared" si="441"/>
        <v/>
      </c>
      <c r="IO60" s="93" t="str">
        <f t="shared" si="442"/>
        <v/>
      </c>
      <c r="IP60" s="93" t="str">
        <f t="shared" si="443"/>
        <v/>
      </c>
      <c r="IQ60" s="93" t="str">
        <f t="shared" si="444"/>
        <v/>
      </c>
      <c r="IR60" s="93" t="str">
        <f t="shared" si="445"/>
        <v/>
      </c>
      <c r="IS60" s="314" t="str">
        <f t="shared" si="446"/>
        <v/>
      </c>
      <c r="IT60" s="93" t="str">
        <f t="shared" si="447"/>
        <v/>
      </c>
      <c r="IU60" s="93" t="str">
        <f t="shared" si="448"/>
        <v/>
      </c>
      <c r="IV60" s="93" t="str">
        <f t="shared" si="449"/>
        <v/>
      </c>
      <c r="IW60" s="93" t="str">
        <f t="shared" si="450"/>
        <v/>
      </c>
      <c r="IX60" s="93" t="str">
        <f t="shared" si="451"/>
        <v/>
      </c>
      <c r="IY60" s="314" t="str">
        <f t="shared" si="452"/>
        <v/>
      </c>
      <c r="IZ60" s="93" t="str">
        <f t="shared" si="453"/>
        <v/>
      </c>
      <c r="JA60" s="93" t="str">
        <f t="shared" si="454"/>
        <v/>
      </c>
      <c r="JB60" s="93" t="str">
        <f t="shared" si="455"/>
        <v/>
      </c>
      <c r="JC60" s="93" t="str">
        <f t="shared" si="456"/>
        <v/>
      </c>
      <c r="JD60" s="315" t="str">
        <f t="shared" si="457"/>
        <v/>
      </c>
      <c r="JF60" s="66">
        <f t="shared" si="224"/>
        <v>60</v>
      </c>
      <c r="JG60" s="66">
        <f t="shared" ca="1" si="340"/>
        <v>38.173078323256995</v>
      </c>
      <c r="JH60" s="66">
        <f t="shared" ca="1" si="341"/>
        <v>38.173078323256995</v>
      </c>
      <c r="JI60" s="66">
        <f t="shared" ca="1" si="342"/>
        <v>38.173078323256995</v>
      </c>
      <c r="JJ60" s="66">
        <f t="shared" ca="1" si="343"/>
        <v>1</v>
      </c>
      <c r="JK60" s="33"/>
      <c r="JL60" s="74">
        <f t="shared" ca="1" si="121"/>
        <v>38.173078323256995</v>
      </c>
      <c r="JM60" s="75">
        <f t="shared" ca="1" si="310"/>
        <v>38.173078323256995</v>
      </c>
      <c r="JN60" s="75">
        <f t="shared" ca="1" si="311"/>
        <v>38.173078323256995</v>
      </c>
      <c r="JO60" s="74">
        <f t="shared" ca="1" si="122"/>
        <v>38.173078323256995</v>
      </c>
      <c r="JP60" s="74">
        <f t="shared" ca="1" si="123"/>
        <v>152.69231329302798</v>
      </c>
    </row>
    <row r="61" spans="1:276" s="1" customFormat="1" x14ac:dyDescent="0.35">
      <c r="A61" s="125" t="s">
        <v>805</v>
      </c>
      <c r="B61" s="125" t="s">
        <v>805</v>
      </c>
      <c r="C61" s="125" t="s">
        <v>805</v>
      </c>
      <c r="D61" s="163"/>
      <c r="E61" s="250"/>
      <c r="F61" s="249" t="s">
        <v>706</v>
      </c>
      <c r="G61" s="250"/>
      <c r="H61" s="251"/>
      <c r="I61" s="251"/>
      <c r="J61" s="251" t="s">
        <v>805</v>
      </c>
      <c r="K61" s="251" t="s">
        <v>805</v>
      </c>
      <c r="L61" s="251" t="s">
        <v>805</v>
      </c>
      <c r="M61" s="251" t="s">
        <v>805</v>
      </c>
      <c r="N61" s="251" t="s">
        <v>805</v>
      </c>
      <c r="O61" s="251" t="s">
        <v>805</v>
      </c>
      <c r="P61" s="251" t="s">
        <v>805</v>
      </c>
      <c r="Q61" s="251" t="s">
        <v>805</v>
      </c>
      <c r="R61" s="251" t="s">
        <v>805</v>
      </c>
      <c r="S61" s="251" t="s">
        <v>805</v>
      </c>
      <c r="T61" s="251" t="s">
        <v>805</v>
      </c>
      <c r="U61" s="251" t="s">
        <v>805</v>
      </c>
      <c r="V61" s="251" t="s">
        <v>805</v>
      </c>
      <c r="W61" s="251" t="s">
        <v>805</v>
      </c>
      <c r="X61" s="251" t="s">
        <v>805</v>
      </c>
      <c r="Y61" s="251" t="s">
        <v>805</v>
      </c>
      <c r="Z61" s="251" t="s">
        <v>805</v>
      </c>
      <c r="AA61" s="251" t="s">
        <v>805</v>
      </c>
      <c r="AB61" s="251" t="s">
        <v>805</v>
      </c>
      <c r="AC61" s="251" t="s">
        <v>805</v>
      </c>
      <c r="AD61" s="251" t="s">
        <v>805</v>
      </c>
      <c r="AE61" s="251" t="s">
        <v>805</v>
      </c>
      <c r="AF61" s="251" t="s">
        <v>805</v>
      </c>
      <c r="AG61" s="251" t="s">
        <v>805</v>
      </c>
      <c r="AH61" s="251" t="s">
        <v>805</v>
      </c>
      <c r="AI61" s="251" t="s">
        <v>805</v>
      </c>
      <c r="AJ61" s="251" t="s">
        <v>805</v>
      </c>
      <c r="AK61" s="251" t="s">
        <v>805</v>
      </c>
      <c r="AL61" s="251" t="s">
        <v>805</v>
      </c>
      <c r="AM61" s="251" t="s">
        <v>805</v>
      </c>
      <c r="AN61" s="251" t="s">
        <v>805</v>
      </c>
      <c r="AO61" s="251" t="s">
        <v>805</v>
      </c>
      <c r="AP61" s="251" t="s">
        <v>805</v>
      </c>
      <c r="AQ61" s="251" t="s">
        <v>805</v>
      </c>
      <c r="AR61" s="251" t="s">
        <v>805</v>
      </c>
      <c r="AS61" s="251" t="s">
        <v>805</v>
      </c>
      <c r="AT61" s="251" t="s">
        <v>805</v>
      </c>
      <c r="AU61" s="251" t="s">
        <v>805</v>
      </c>
      <c r="AV61" s="251" t="s">
        <v>805</v>
      </c>
      <c r="AW61" s="251" t="s">
        <v>805</v>
      </c>
      <c r="AX61" s="251" t="s">
        <v>805</v>
      </c>
      <c r="AY61" s="251" t="s">
        <v>805</v>
      </c>
      <c r="AZ61" s="251" t="s">
        <v>805</v>
      </c>
      <c r="BA61" s="251" t="s">
        <v>805</v>
      </c>
      <c r="BB61" s="251" t="s">
        <v>805</v>
      </c>
      <c r="BC61" s="251" t="s">
        <v>805</v>
      </c>
      <c r="BD61" s="251" t="s">
        <v>805</v>
      </c>
      <c r="BE61" s="251" t="s">
        <v>805</v>
      </c>
      <c r="BF61" s="251" t="s">
        <v>805</v>
      </c>
      <c r="BG61" s="251" t="s">
        <v>805</v>
      </c>
      <c r="BH61" s="251" t="s">
        <v>805</v>
      </c>
      <c r="BI61" s="251" t="s">
        <v>805</v>
      </c>
      <c r="BJ61" s="251" t="s">
        <v>805</v>
      </c>
      <c r="BK61" s="251" t="s">
        <v>805</v>
      </c>
      <c r="BL61" s="251" t="s">
        <v>805</v>
      </c>
      <c r="BM61" s="251" t="s">
        <v>805</v>
      </c>
      <c r="BN61" s="251" t="s">
        <v>805</v>
      </c>
      <c r="BO61" s="251" t="s">
        <v>805</v>
      </c>
      <c r="BP61" s="251" t="s">
        <v>805</v>
      </c>
      <c r="BQ61" s="251" t="s">
        <v>805</v>
      </c>
      <c r="BR61" s="251" t="s">
        <v>805</v>
      </c>
      <c r="BS61" s="251" t="s">
        <v>805</v>
      </c>
      <c r="BT61" s="251" t="s">
        <v>805</v>
      </c>
      <c r="BU61" s="251" t="s">
        <v>805</v>
      </c>
      <c r="BV61" s="251" t="s">
        <v>805</v>
      </c>
      <c r="BW61" s="251" t="s">
        <v>805</v>
      </c>
      <c r="BX61" s="251" t="s">
        <v>805</v>
      </c>
      <c r="BY61" s="251" t="s">
        <v>805</v>
      </c>
      <c r="BZ61" s="251" t="s">
        <v>805</v>
      </c>
      <c r="CA61" s="251" t="s">
        <v>805</v>
      </c>
      <c r="CB61" s="251" t="s">
        <v>805</v>
      </c>
      <c r="CC61" s="251" t="s">
        <v>805</v>
      </c>
      <c r="CD61" s="251" t="s">
        <v>805</v>
      </c>
      <c r="CE61" s="251" t="s">
        <v>805</v>
      </c>
      <c r="CF61" s="251" t="s">
        <v>805</v>
      </c>
      <c r="CG61" s="251" t="s">
        <v>805</v>
      </c>
      <c r="CH61" s="251" t="s">
        <v>805</v>
      </c>
      <c r="CI61" s="251" t="s">
        <v>805</v>
      </c>
      <c r="CJ61" s="251" t="s">
        <v>805</v>
      </c>
      <c r="CK61" s="251" t="s">
        <v>805</v>
      </c>
      <c r="CL61" s="251" t="s">
        <v>805</v>
      </c>
      <c r="CM61" s="251" t="s">
        <v>805</v>
      </c>
      <c r="CN61" s="251" t="s">
        <v>805</v>
      </c>
      <c r="CO61" s="251" t="s">
        <v>805</v>
      </c>
      <c r="CP61" s="251" t="s">
        <v>805</v>
      </c>
      <c r="CQ61" s="251" t="s">
        <v>805</v>
      </c>
      <c r="CR61" s="251" t="s">
        <v>805</v>
      </c>
      <c r="CS61" s="251" t="s">
        <v>805</v>
      </c>
      <c r="CT61" s="251" t="s">
        <v>805</v>
      </c>
      <c r="CU61" s="251" t="s">
        <v>805</v>
      </c>
      <c r="CV61" s="251" t="s">
        <v>805</v>
      </c>
      <c r="CW61" s="251" t="s">
        <v>805</v>
      </c>
      <c r="CX61" s="251" t="s">
        <v>805</v>
      </c>
      <c r="CY61" s="251" t="s">
        <v>805</v>
      </c>
      <c r="CZ61" s="251" t="s">
        <v>805</v>
      </c>
      <c r="DA61" s="251" t="s">
        <v>805</v>
      </c>
      <c r="DB61" s="251" t="s">
        <v>805</v>
      </c>
      <c r="DC61" s="251" t="s">
        <v>805</v>
      </c>
      <c r="DD61" s="251" t="s">
        <v>805</v>
      </c>
      <c r="DE61" s="251" t="s">
        <v>805</v>
      </c>
      <c r="DF61" s="251" t="s">
        <v>805</v>
      </c>
      <c r="DG61" s="251"/>
      <c r="DH61" s="251"/>
      <c r="DI61" s="251"/>
      <c r="DJ61" s="251"/>
      <c r="DK61" s="251"/>
      <c r="DL61" s="251"/>
      <c r="DM61" s="251"/>
      <c r="DN61" s="275"/>
      <c r="DO61" s="251"/>
      <c r="DP61" s="251"/>
      <c r="DQ61" s="251"/>
      <c r="DR61" s="251"/>
      <c r="DS61" s="251"/>
      <c r="DT61" s="251"/>
      <c r="DU61" s="275"/>
      <c r="DV61" s="251"/>
      <c r="DW61" s="251"/>
      <c r="DX61" s="251"/>
      <c r="DY61" s="251"/>
      <c r="DZ61" s="251"/>
      <c r="EA61" s="251"/>
      <c r="EB61" s="275"/>
      <c r="EC61" s="251"/>
      <c r="ED61" s="251"/>
      <c r="EE61" s="251"/>
      <c r="EF61" s="251"/>
      <c r="EG61" s="251"/>
      <c r="EH61" s="251"/>
      <c r="EI61" s="251"/>
      <c r="EJ61" s="251"/>
      <c r="EK61" s="251"/>
      <c r="EL61" s="251"/>
      <c r="EM61" s="251"/>
      <c r="EN61" s="251"/>
      <c r="EO61" s="251"/>
      <c r="EP61" s="251"/>
      <c r="EQ61" s="251"/>
      <c r="ER61" s="251"/>
      <c r="ES61" s="251"/>
      <c r="ET61" s="251"/>
      <c r="EU61" s="251"/>
      <c r="EV61" s="251"/>
      <c r="EW61" s="251"/>
      <c r="EX61" s="251"/>
      <c r="EY61" s="251"/>
      <c r="EZ61" s="251"/>
      <c r="FA61" s="251"/>
      <c r="FB61" s="251"/>
      <c r="FC61" s="251"/>
      <c r="FD61" s="251"/>
      <c r="FE61" s="251"/>
      <c r="FF61" s="251"/>
      <c r="FG61" s="251"/>
      <c r="FH61" s="251"/>
      <c r="FI61" s="251"/>
      <c r="FJ61" s="251"/>
      <c r="FK61" s="251"/>
      <c r="FL61" s="251"/>
      <c r="FM61" s="251"/>
      <c r="FN61" s="251"/>
      <c r="FO61" s="251"/>
      <c r="FP61" s="251"/>
      <c r="FQ61" s="251"/>
      <c r="FR61" s="251"/>
      <c r="FS61" s="251"/>
      <c r="FT61" s="251"/>
      <c r="FU61" s="251"/>
      <c r="FV61" s="251"/>
      <c r="FW61" s="251"/>
      <c r="FX61" s="251"/>
      <c r="FY61" s="251"/>
      <c r="FZ61" s="251"/>
      <c r="GA61" s="251"/>
      <c r="GB61" s="251"/>
      <c r="GC61" s="251"/>
      <c r="GD61" s="251"/>
      <c r="GE61" s="251"/>
      <c r="GF61" s="251"/>
      <c r="GG61" s="251"/>
      <c r="GH61" s="251"/>
      <c r="GI61" s="251"/>
      <c r="GJ61" s="251"/>
      <c r="GK61" s="251"/>
      <c r="GL61" s="251"/>
      <c r="GM61" s="251"/>
      <c r="GN61" s="251"/>
      <c r="GO61" s="251"/>
      <c r="GP61" s="251"/>
      <c r="GQ61" s="251"/>
      <c r="GR61" s="251"/>
      <c r="GS61" s="251"/>
      <c r="GT61" s="251"/>
      <c r="GU61" s="251"/>
      <c r="GV61" s="251"/>
      <c r="GW61" s="251"/>
      <c r="GX61" s="251"/>
      <c r="GY61" s="251"/>
      <c r="GZ61" s="251"/>
      <c r="HA61" s="251"/>
      <c r="HB61" s="251"/>
      <c r="HC61" s="251"/>
      <c r="HD61" s="251"/>
      <c r="HE61" s="251"/>
      <c r="HF61" s="251"/>
      <c r="HG61" s="251"/>
      <c r="HH61" s="251"/>
      <c r="HI61" s="251"/>
      <c r="HJ61" s="251"/>
      <c r="HK61" s="251"/>
      <c r="HL61" s="251"/>
      <c r="HM61" s="251"/>
      <c r="HN61" s="251"/>
      <c r="HO61" s="251"/>
      <c r="HP61" s="251"/>
      <c r="HQ61" s="251"/>
      <c r="HR61" s="251"/>
      <c r="HS61" s="251"/>
      <c r="HT61" s="251"/>
      <c r="HU61" s="251"/>
      <c r="HV61" s="251"/>
      <c r="HW61" s="251"/>
      <c r="HX61" s="251"/>
      <c r="HY61" s="251"/>
      <c r="HZ61" s="251"/>
      <c r="IA61" s="251"/>
      <c r="IB61" s="251"/>
      <c r="IC61" s="251"/>
      <c r="ID61" s="251"/>
      <c r="IE61" s="251"/>
      <c r="IF61" s="251"/>
      <c r="IG61" s="310"/>
      <c r="IH61" s="251"/>
      <c r="II61" s="251"/>
      <c r="IJ61" s="251"/>
      <c r="IK61" s="251"/>
      <c r="IL61" s="251"/>
      <c r="IM61" s="310"/>
      <c r="IN61" s="251"/>
      <c r="IO61" s="251"/>
      <c r="IP61" s="251"/>
      <c r="IQ61" s="251"/>
      <c r="IR61" s="251"/>
      <c r="IS61" s="310"/>
      <c r="IT61" s="251"/>
      <c r="IU61" s="251"/>
      <c r="IV61" s="251"/>
      <c r="IW61" s="251"/>
      <c r="IX61" s="251"/>
      <c r="IY61" s="310"/>
      <c r="IZ61" s="251"/>
      <c r="JA61" s="251"/>
      <c r="JB61" s="251"/>
      <c r="JC61" s="251"/>
      <c r="JD61" s="311"/>
      <c r="JF61" s="66"/>
      <c r="JG61" s="66"/>
      <c r="JH61" s="66"/>
      <c r="JI61" s="66"/>
      <c r="JJ61" s="66"/>
      <c r="JK61" s="33"/>
      <c r="JL61" s="74"/>
      <c r="JM61" s="75"/>
      <c r="JN61" s="75"/>
      <c r="JO61" s="74"/>
      <c r="JP61" s="74"/>
    </row>
    <row r="62" spans="1:276" s="1" customFormat="1" x14ac:dyDescent="0.35">
      <c r="A62" s="125">
        <v>1</v>
      </c>
      <c r="B62" s="125">
        <v>1</v>
      </c>
      <c r="C62" s="125">
        <v>1</v>
      </c>
      <c r="D62" s="163"/>
      <c r="E62" s="142" t="s">
        <v>110</v>
      </c>
      <c r="F62" s="208" t="s">
        <v>111</v>
      </c>
      <c r="G62" s="209" t="s">
        <v>542</v>
      </c>
      <c r="H62" s="210" t="s">
        <v>545</v>
      </c>
      <c r="I62" s="8" t="s">
        <v>532</v>
      </c>
      <c r="J62" s="211">
        <v>24.643835616438356</v>
      </c>
      <c r="K62" s="211">
        <v>26.872222222222224</v>
      </c>
      <c r="L62" s="211">
        <v>30.492647058823529</v>
      </c>
      <c r="M62" s="211">
        <v>0.32653061224489793</v>
      </c>
      <c r="N62" s="211" t="s">
        <v>805</v>
      </c>
      <c r="O62" s="211" t="s">
        <v>805</v>
      </c>
      <c r="P62" s="211" t="s">
        <v>805</v>
      </c>
      <c r="Q62" s="211" t="s">
        <v>805</v>
      </c>
      <c r="R62" s="211" t="s">
        <v>805</v>
      </c>
      <c r="S62" s="211" t="s">
        <v>805</v>
      </c>
      <c r="T62" s="211" t="s">
        <v>805</v>
      </c>
      <c r="U62" s="211" t="s">
        <v>805</v>
      </c>
      <c r="V62" s="211" t="s">
        <v>805</v>
      </c>
      <c r="W62" s="211" t="s">
        <v>805</v>
      </c>
      <c r="X62" s="211" t="s">
        <v>805</v>
      </c>
      <c r="Y62" s="211" t="s">
        <v>805</v>
      </c>
      <c r="Z62" s="211" t="s">
        <v>805</v>
      </c>
      <c r="AA62" s="211" t="s">
        <v>805</v>
      </c>
      <c r="AB62" s="211" t="s">
        <v>805</v>
      </c>
      <c r="AC62" s="211" t="s">
        <v>805</v>
      </c>
      <c r="AD62" s="211" t="s">
        <v>805</v>
      </c>
      <c r="AE62" s="211" t="s">
        <v>805</v>
      </c>
      <c r="AF62" s="211" t="s">
        <v>805</v>
      </c>
      <c r="AG62" s="211" t="s">
        <v>805</v>
      </c>
      <c r="AH62" s="211" t="s">
        <v>805</v>
      </c>
      <c r="AI62" s="211" t="s">
        <v>805</v>
      </c>
      <c r="AJ62" s="211" t="s">
        <v>805</v>
      </c>
      <c r="AK62" s="211" t="s">
        <v>805</v>
      </c>
      <c r="AL62" s="211" t="s">
        <v>805</v>
      </c>
      <c r="AM62" s="211" t="s">
        <v>805</v>
      </c>
      <c r="AN62" s="211" t="s">
        <v>805</v>
      </c>
      <c r="AO62" s="211" t="s">
        <v>805</v>
      </c>
      <c r="AP62" s="211" t="s">
        <v>805</v>
      </c>
      <c r="AQ62" s="211" t="s">
        <v>805</v>
      </c>
      <c r="AR62" s="211" t="s">
        <v>805</v>
      </c>
      <c r="AS62" s="211" t="s">
        <v>805</v>
      </c>
      <c r="AT62" s="211" t="s">
        <v>805</v>
      </c>
      <c r="AU62" s="211" t="s">
        <v>805</v>
      </c>
      <c r="AV62" s="211" t="s">
        <v>805</v>
      </c>
      <c r="AW62" s="211" t="s">
        <v>805</v>
      </c>
      <c r="AX62" s="211" t="s">
        <v>805</v>
      </c>
      <c r="AY62" s="211" t="s">
        <v>805</v>
      </c>
      <c r="AZ62" s="211" t="s">
        <v>805</v>
      </c>
      <c r="BA62" s="211" t="s">
        <v>805</v>
      </c>
      <c r="BB62" s="211" t="s">
        <v>805</v>
      </c>
      <c r="BC62" s="211" t="s">
        <v>805</v>
      </c>
      <c r="BD62" s="211" t="s">
        <v>805</v>
      </c>
      <c r="BE62" s="211" t="s">
        <v>805</v>
      </c>
      <c r="BF62" s="211" t="s">
        <v>805</v>
      </c>
      <c r="BG62" s="211" t="s">
        <v>805</v>
      </c>
      <c r="BH62" s="211" t="s">
        <v>805</v>
      </c>
      <c r="BI62" s="211" t="s">
        <v>805</v>
      </c>
      <c r="BJ62" s="211" t="s">
        <v>805</v>
      </c>
      <c r="BK62" s="211" t="s">
        <v>805</v>
      </c>
      <c r="BL62" s="211" t="s">
        <v>805</v>
      </c>
      <c r="BM62" s="211" t="s">
        <v>805</v>
      </c>
      <c r="BN62" s="211" t="s">
        <v>805</v>
      </c>
      <c r="BO62" s="211" t="s">
        <v>805</v>
      </c>
      <c r="BP62" s="211" t="s">
        <v>805</v>
      </c>
      <c r="BQ62" s="211" t="s">
        <v>805</v>
      </c>
      <c r="BR62" s="211" t="s">
        <v>805</v>
      </c>
      <c r="BS62" s="211" t="s">
        <v>805</v>
      </c>
      <c r="BT62" s="211" t="s">
        <v>805</v>
      </c>
      <c r="BU62" s="211" t="s">
        <v>805</v>
      </c>
      <c r="BV62" s="211" t="s">
        <v>805</v>
      </c>
      <c r="BW62" s="211" t="s">
        <v>805</v>
      </c>
      <c r="BX62" s="211" t="s">
        <v>805</v>
      </c>
      <c r="BY62" s="211" t="s">
        <v>805</v>
      </c>
      <c r="BZ62" s="211" t="s">
        <v>805</v>
      </c>
      <c r="CA62" s="211" t="s">
        <v>805</v>
      </c>
      <c r="CB62" s="211" t="s">
        <v>805</v>
      </c>
      <c r="CC62" s="211" t="s">
        <v>805</v>
      </c>
      <c r="CD62" s="211" t="s">
        <v>805</v>
      </c>
      <c r="CE62" s="211" t="s">
        <v>805</v>
      </c>
      <c r="CF62" s="211" t="s">
        <v>805</v>
      </c>
      <c r="CG62" s="211" t="s">
        <v>805</v>
      </c>
      <c r="CH62" s="211" t="s">
        <v>805</v>
      </c>
      <c r="CI62" s="211" t="s">
        <v>805</v>
      </c>
      <c r="CJ62" s="211" t="s">
        <v>805</v>
      </c>
      <c r="CK62" s="211" t="s">
        <v>805</v>
      </c>
      <c r="CL62" s="211" t="s">
        <v>805</v>
      </c>
      <c r="CM62" s="211" t="s">
        <v>805</v>
      </c>
      <c r="CN62" s="211" t="s">
        <v>805</v>
      </c>
      <c r="CO62" s="211" t="s">
        <v>805</v>
      </c>
      <c r="CP62" s="211" t="s">
        <v>805</v>
      </c>
      <c r="CQ62" s="211" t="s">
        <v>805</v>
      </c>
      <c r="CR62" s="211" t="s">
        <v>805</v>
      </c>
      <c r="CS62" s="211" t="s">
        <v>805</v>
      </c>
      <c r="CT62" s="211" t="s">
        <v>805</v>
      </c>
      <c r="CU62" s="211" t="s">
        <v>805</v>
      </c>
      <c r="CV62" s="211" t="s">
        <v>805</v>
      </c>
      <c r="CW62" s="211" t="s">
        <v>805</v>
      </c>
      <c r="CX62" s="211" t="s">
        <v>805</v>
      </c>
      <c r="CY62" s="211" t="s">
        <v>805</v>
      </c>
      <c r="CZ62" s="211" t="s">
        <v>805</v>
      </c>
      <c r="DA62" s="211" t="s">
        <v>805</v>
      </c>
      <c r="DB62" s="211" t="s">
        <v>805</v>
      </c>
      <c r="DC62" s="211" t="s">
        <v>805</v>
      </c>
      <c r="DD62" s="211" t="s">
        <v>805</v>
      </c>
      <c r="DE62" s="211" t="s">
        <v>805</v>
      </c>
      <c r="DF62" s="211" t="s">
        <v>805</v>
      </c>
      <c r="DG62" s="212">
        <f>VLOOKUP(E62,'KPI Count-SHARE'!A:F,3,0)</f>
        <v>7</v>
      </c>
      <c r="DH62" s="213">
        <v>111.97789013102394</v>
      </c>
      <c r="DI62" s="213">
        <v>7.0886806596701648</v>
      </c>
      <c r="DJ62" s="213">
        <v>9.9545489532019715</v>
      </c>
      <c r="DK62" s="213">
        <v>130.05050505050505</v>
      </c>
      <c r="DL62" s="213">
        <v>198.60255861112506</v>
      </c>
      <c r="DM62" s="213">
        <v>213.44216614971918</v>
      </c>
      <c r="DN62" s="212">
        <f>VLOOKUP(E62,'KPI Count-SHARE'!A:F,4,0)</f>
        <v>0</v>
      </c>
      <c r="DO62" s="213"/>
      <c r="DP62" s="213"/>
      <c r="DQ62" s="213"/>
      <c r="DR62" s="213"/>
      <c r="DS62" s="213"/>
      <c r="DT62" s="213"/>
      <c r="DU62" s="212">
        <f>VLOOKUP(E62,'KPI Count-SHARE'!A:F,5,0)</f>
        <v>0</v>
      </c>
      <c r="DV62" s="213"/>
      <c r="DW62" s="213"/>
      <c r="DX62" s="213"/>
      <c r="DY62" s="213"/>
      <c r="DZ62" s="213"/>
      <c r="EA62" s="213"/>
      <c r="EB62" s="212">
        <f>VLOOKUP(E62,'KPI Count-SHARE'!A:F,6,0)</f>
        <v>0</v>
      </c>
      <c r="EC62" s="213"/>
      <c r="ED62" s="213"/>
      <c r="EE62" s="213"/>
      <c r="EF62" s="213"/>
      <c r="EG62" s="213"/>
      <c r="EH62" s="213"/>
      <c r="EI62" s="214" t="s">
        <v>545</v>
      </c>
      <c r="EJ62" s="41">
        <f t="shared" si="101"/>
        <v>24.643835616438356</v>
      </c>
      <c r="EK62" s="41">
        <f t="shared" si="102"/>
        <v>26.872222222222224</v>
      </c>
      <c r="EL62" s="41">
        <f t="shared" si="103"/>
        <v>30.492647058823529</v>
      </c>
      <c r="EM62" s="41">
        <f t="shared" si="104"/>
        <v>0.32653061224489793</v>
      </c>
      <c r="EN62" s="41" t="str">
        <f t="shared" si="105"/>
        <v/>
      </c>
      <c r="EO62" s="41" t="str">
        <f t="shared" si="106"/>
        <v/>
      </c>
      <c r="EP62" s="41" t="str">
        <f t="shared" si="107"/>
        <v/>
      </c>
      <c r="EQ62" s="41" t="str">
        <f t="shared" si="108"/>
        <v/>
      </c>
      <c r="ER62" s="41" t="str">
        <f t="shared" si="109"/>
        <v/>
      </c>
      <c r="ES62" s="41" t="str">
        <f t="shared" si="110"/>
        <v/>
      </c>
      <c r="ET62" s="41" t="str">
        <f t="shared" si="111"/>
        <v/>
      </c>
      <c r="EU62" s="41" t="str">
        <f t="shared" si="344"/>
        <v/>
      </c>
      <c r="EV62" s="41" t="str">
        <f t="shared" si="345"/>
        <v/>
      </c>
      <c r="EW62" s="41" t="str">
        <f t="shared" si="346"/>
        <v/>
      </c>
      <c r="EX62" s="41" t="str">
        <f t="shared" si="347"/>
        <v/>
      </c>
      <c r="EY62" s="41" t="str">
        <f t="shared" si="348"/>
        <v/>
      </c>
      <c r="EZ62" s="41" t="str">
        <f t="shared" si="349"/>
        <v/>
      </c>
      <c r="FA62" s="41" t="str">
        <f t="shared" si="350"/>
        <v/>
      </c>
      <c r="FB62" s="41" t="str">
        <f t="shared" si="351"/>
        <v/>
      </c>
      <c r="FC62" s="41" t="str">
        <f t="shared" si="352"/>
        <v/>
      </c>
      <c r="FD62" s="41" t="str">
        <f t="shared" si="353"/>
        <v/>
      </c>
      <c r="FE62" s="41" t="str">
        <f t="shared" si="354"/>
        <v/>
      </c>
      <c r="FF62" s="41" t="str">
        <f t="shared" si="355"/>
        <v/>
      </c>
      <c r="FG62" s="41" t="str">
        <f t="shared" si="356"/>
        <v/>
      </c>
      <c r="FH62" s="41" t="str">
        <f t="shared" si="357"/>
        <v/>
      </c>
      <c r="FI62" s="41" t="str">
        <f t="shared" si="358"/>
        <v/>
      </c>
      <c r="FJ62" s="41" t="str">
        <f t="shared" si="359"/>
        <v/>
      </c>
      <c r="FK62" s="41" t="str">
        <f t="shared" si="360"/>
        <v/>
      </c>
      <c r="FL62" s="41" t="str">
        <f t="shared" si="361"/>
        <v/>
      </c>
      <c r="FM62" s="41" t="str">
        <f t="shared" si="362"/>
        <v/>
      </c>
      <c r="FN62" s="41" t="str">
        <f t="shared" si="363"/>
        <v/>
      </c>
      <c r="FO62" s="41" t="str">
        <f t="shared" si="364"/>
        <v/>
      </c>
      <c r="FP62" s="41" t="str">
        <f t="shared" si="365"/>
        <v/>
      </c>
      <c r="FQ62" s="41" t="str">
        <f t="shared" si="366"/>
        <v/>
      </c>
      <c r="FR62" s="41" t="str">
        <f t="shared" si="367"/>
        <v/>
      </c>
      <c r="FS62" s="41" t="str">
        <f t="shared" si="368"/>
        <v/>
      </c>
      <c r="FT62" s="41" t="str">
        <f t="shared" si="369"/>
        <v/>
      </c>
      <c r="FU62" s="41" t="str">
        <f t="shared" si="370"/>
        <v/>
      </c>
      <c r="FV62" s="41" t="str">
        <f t="shared" si="371"/>
        <v/>
      </c>
      <c r="FW62" s="41" t="str">
        <f t="shared" si="372"/>
        <v/>
      </c>
      <c r="FX62" s="41" t="str">
        <f t="shared" si="373"/>
        <v/>
      </c>
      <c r="FY62" s="41" t="str">
        <f t="shared" si="374"/>
        <v/>
      </c>
      <c r="FZ62" s="41" t="str">
        <f t="shared" si="375"/>
        <v/>
      </c>
      <c r="GA62" s="41" t="str">
        <f t="shared" si="376"/>
        <v/>
      </c>
      <c r="GB62" s="41" t="str">
        <f t="shared" si="377"/>
        <v/>
      </c>
      <c r="GC62" s="41" t="str">
        <f t="shared" si="378"/>
        <v/>
      </c>
      <c r="GD62" s="41" t="str">
        <f t="shared" si="379"/>
        <v/>
      </c>
      <c r="GE62" s="41" t="str">
        <f t="shared" si="380"/>
        <v/>
      </c>
      <c r="GF62" s="41" t="str">
        <f t="shared" si="381"/>
        <v/>
      </c>
      <c r="GG62" s="41" t="str">
        <f t="shared" si="382"/>
        <v/>
      </c>
      <c r="GH62" s="41" t="str">
        <f t="shared" si="383"/>
        <v/>
      </c>
      <c r="GI62" s="41" t="str">
        <f t="shared" si="384"/>
        <v/>
      </c>
      <c r="GJ62" s="41" t="str">
        <f t="shared" si="385"/>
        <v/>
      </c>
      <c r="GK62" s="41" t="str">
        <f t="shared" si="386"/>
        <v/>
      </c>
      <c r="GL62" s="41" t="str">
        <f t="shared" si="387"/>
        <v/>
      </c>
      <c r="GM62" s="41" t="str">
        <f t="shared" si="388"/>
        <v/>
      </c>
      <c r="GN62" s="41" t="str">
        <f t="shared" si="389"/>
        <v/>
      </c>
      <c r="GO62" s="41" t="str">
        <f t="shared" si="390"/>
        <v/>
      </c>
      <c r="GP62" s="41" t="str">
        <f t="shared" si="391"/>
        <v/>
      </c>
      <c r="GQ62" s="41" t="str">
        <f t="shared" si="392"/>
        <v/>
      </c>
      <c r="GR62" s="41" t="str">
        <f t="shared" si="393"/>
        <v/>
      </c>
      <c r="GS62" s="41" t="str">
        <f t="shared" si="394"/>
        <v/>
      </c>
      <c r="GT62" s="41" t="str">
        <f t="shared" si="395"/>
        <v/>
      </c>
      <c r="GU62" s="41" t="str">
        <f t="shared" si="396"/>
        <v/>
      </c>
      <c r="GV62" s="41" t="str">
        <f t="shared" si="397"/>
        <v/>
      </c>
      <c r="GW62" s="41" t="str">
        <f t="shared" si="398"/>
        <v/>
      </c>
      <c r="GX62" s="41" t="str">
        <f t="shared" si="399"/>
        <v/>
      </c>
      <c r="GY62" s="41" t="str">
        <f t="shared" si="400"/>
        <v/>
      </c>
      <c r="GZ62" s="41" t="str">
        <f t="shared" si="401"/>
        <v/>
      </c>
      <c r="HA62" s="41" t="str">
        <f t="shared" si="402"/>
        <v/>
      </c>
      <c r="HB62" s="41" t="str">
        <f t="shared" si="403"/>
        <v/>
      </c>
      <c r="HC62" s="41" t="str">
        <f t="shared" si="404"/>
        <v/>
      </c>
      <c r="HD62" s="41" t="str">
        <f t="shared" si="405"/>
        <v/>
      </c>
      <c r="HE62" s="41" t="str">
        <f t="shared" si="406"/>
        <v/>
      </c>
      <c r="HF62" s="41" t="str">
        <f t="shared" si="407"/>
        <v/>
      </c>
      <c r="HG62" s="41" t="str">
        <f t="shared" si="408"/>
        <v/>
      </c>
      <c r="HH62" s="41" t="str">
        <f t="shared" si="409"/>
        <v/>
      </c>
      <c r="HI62" s="41" t="str">
        <f t="shared" si="410"/>
        <v/>
      </c>
      <c r="HJ62" s="41" t="str">
        <f t="shared" si="411"/>
        <v/>
      </c>
      <c r="HK62" s="41" t="str">
        <f t="shared" si="412"/>
        <v/>
      </c>
      <c r="HL62" s="41" t="str">
        <f t="shared" si="413"/>
        <v/>
      </c>
      <c r="HM62" s="41" t="str">
        <f t="shared" si="414"/>
        <v/>
      </c>
      <c r="HN62" s="41" t="str">
        <f t="shared" si="415"/>
        <v/>
      </c>
      <c r="HO62" s="41" t="str">
        <f t="shared" si="416"/>
        <v/>
      </c>
      <c r="HP62" s="41" t="str">
        <f t="shared" si="417"/>
        <v/>
      </c>
      <c r="HQ62" s="41" t="str">
        <f t="shared" si="418"/>
        <v/>
      </c>
      <c r="HR62" s="41" t="str">
        <f t="shared" si="419"/>
        <v/>
      </c>
      <c r="HS62" s="41" t="str">
        <f t="shared" si="420"/>
        <v/>
      </c>
      <c r="HT62" s="41" t="str">
        <f t="shared" si="421"/>
        <v/>
      </c>
      <c r="HU62" s="41" t="str">
        <f t="shared" si="422"/>
        <v/>
      </c>
      <c r="HV62" s="41" t="str">
        <f t="shared" si="423"/>
        <v/>
      </c>
      <c r="HW62" s="41" t="str">
        <f t="shared" si="424"/>
        <v/>
      </c>
      <c r="HX62" s="41" t="str">
        <f t="shared" si="425"/>
        <v/>
      </c>
      <c r="HY62" s="41" t="str">
        <f t="shared" si="426"/>
        <v/>
      </c>
      <c r="HZ62" s="41" t="str">
        <f t="shared" si="427"/>
        <v/>
      </c>
      <c r="IA62" s="41" t="str">
        <f t="shared" si="428"/>
        <v/>
      </c>
      <c r="IB62" s="41" t="str">
        <f t="shared" si="429"/>
        <v/>
      </c>
      <c r="IC62" s="41" t="str">
        <f t="shared" si="430"/>
        <v/>
      </c>
      <c r="ID62" s="41" t="str">
        <f t="shared" si="431"/>
        <v/>
      </c>
      <c r="IE62" s="41" t="str">
        <f t="shared" si="432"/>
        <v/>
      </c>
      <c r="IF62" s="41" t="str">
        <f t="shared" si="433"/>
        <v/>
      </c>
      <c r="IG62" s="306">
        <f t="shared" si="434"/>
        <v>111.97789013102394</v>
      </c>
      <c r="IH62" s="44">
        <f t="shared" ref="IH62:IH71" si="458">IFERROR(IF(ISBLANK(DI62), "-", IF($I62="c", DI62*$I$5, DI62)),"-")</f>
        <v>7.0886806596701648</v>
      </c>
      <c r="II62" s="44">
        <f t="shared" ref="II62:II71" si="459">IFERROR(IF(ISBLANK(DJ62), "-", IF($I62="c", DJ62*$I$5, DJ62)),"-")</f>
        <v>9.9545489532019715</v>
      </c>
      <c r="IJ62" s="44">
        <f t="shared" ref="IJ62:IJ71" si="460">IFERROR(IF(ISBLANK(DK62), "-", IF($I62="c", DK62*$I$5, DK62)),"-")</f>
        <v>130.05050505050505</v>
      </c>
      <c r="IK62" s="44">
        <f t="shared" ref="IK62:IK71" si="461">IFERROR(IF(ISBLANK(DL62), "-", IF($I62="c", DL62*$I$5, DL62)),"-")</f>
        <v>198.60255861112506</v>
      </c>
      <c r="IL62" s="44">
        <f t="shared" ref="IL62:IL71" si="462">IFERROR(IF(ISBLANK(DM62), "-", IF($I62="c", DM62*$I$5, DM62)),"-")</f>
        <v>213.44216614971918</v>
      </c>
      <c r="IM62" s="306" t="str">
        <f t="shared" si="440"/>
        <v/>
      </c>
      <c r="IN62" s="44" t="str">
        <f t="shared" ref="IN62:IN71" si="463">IFERROR(IF(ISBLANK(DP62), "", IF($I62="c",DP62*$I$5, DP62)),"-")</f>
        <v/>
      </c>
      <c r="IO62" s="44" t="str">
        <f t="shared" ref="IO62:IO71" si="464">IFERROR(IF(ISBLANK(DQ62), "", IF($I62="c",DQ62*$I$5, DQ62)),"-")</f>
        <v/>
      </c>
      <c r="IP62" s="44" t="str">
        <f t="shared" ref="IP62:IP71" si="465">IFERROR(IF(ISBLANK(DR62), "", IF($I62="c",DR62*$I$5, DR62)),"-")</f>
        <v/>
      </c>
      <c r="IQ62" s="44" t="str">
        <f t="shared" ref="IQ62:IQ71" si="466">IFERROR(IF(ISBLANK(DS62), "", IF($I62="c",DS62*$I$5, DS62)),"-")</f>
        <v/>
      </c>
      <c r="IR62" s="44" t="str">
        <f t="shared" ref="IR62:IR71" si="467">IFERROR(IF(ISBLANK(DT62), "", IF($I62="c",DT62*$I$5, DT62)),"-")</f>
        <v/>
      </c>
      <c r="IS62" s="306" t="str">
        <f t="shared" si="446"/>
        <v/>
      </c>
      <c r="IT62" s="44" t="str">
        <f t="shared" ref="IT62:IT71" si="468">IFERROR(IF(ISBLANK(DW62), "", IF($I62="c", DW62*$I$5, DW62)),"-")</f>
        <v/>
      </c>
      <c r="IU62" s="44" t="str">
        <f t="shared" ref="IU62:IU71" si="469">IFERROR(IF(ISBLANK(DX62), "", IF($I62="c", DX62*$I$5, DX62)),"-")</f>
        <v/>
      </c>
      <c r="IV62" s="44" t="str">
        <f t="shared" ref="IV62:IV71" si="470">IFERROR(IF(ISBLANK(DY62), "", IF($I62="c", DY62*$I$5, DY62)),"-")</f>
        <v/>
      </c>
      <c r="IW62" s="44" t="str">
        <f t="shared" ref="IW62:IW71" si="471">IFERROR(IF(ISBLANK(DZ62), "", IF($I62="c", DZ62*$I$5, DZ62)),"-")</f>
        <v/>
      </c>
      <c r="IX62" s="44" t="str">
        <f t="shared" ref="IX62:IX71" si="472">IFERROR(IF(ISBLANK(EA62), "", IF($I62="c", EA62*$I$5, EA62)),"-")</f>
        <v/>
      </c>
      <c r="IY62" s="306" t="str">
        <f t="shared" si="452"/>
        <v/>
      </c>
      <c r="IZ62" s="44" t="str">
        <f t="shared" ref="IZ62:IZ71" si="473">IFERROR(IF(ISBLANK(ED62), "", IF($I62="c", ED62*$I$5, ED62)),"-")</f>
        <v/>
      </c>
      <c r="JA62" s="44" t="str">
        <f t="shared" ref="JA62:JA71" si="474">IFERROR(IF(ISBLANK(EE62), "", IF($I62="c", EE62*$I$5, EE62)),"-")</f>
        <v/>
      </c>
      <c r="JB62" s="44" t="str">
        <f t="shared" ref="JB62:JB71" si="475">IFERROR(IF(ISBLANK(EF62), "", IF($I62="c", EF62*$I$5, EF62)),"-")</f>
        <v/>
      </c>
      <c r="JC62" s="44" t="str">
        <f t="shared" ref="JC62:JC71" si="476">IFERROR(IF(ISBLANK(EG62), "", IF($I62="c", EG62*$I$5, EG62)),"-")</f>
        <v/>
      </c>
      <c r="JD62" s="307" t="str">
        <f t="shared" ref="JD62:JD71" si="477">IFERROR(IF(ISBLANK(EH62), "", IF($I62="c", EH62*$I$5, EH62)),"-")</f>
        <v/>
      </c>
      <c r="JF62" s="66">
        <f t="shared" si="224"/>
        <v>62</v>
      </c>
      <c r="JG62" s="66">
        <f t="shared" ca="1" si="340"/>
        <v>9.9545489532019715</v>
      </c>
      <c r="JH62" s="66">
        <f t="shared" ca="1" si="341"/>
        <v>130.05050505050505</v>
      </c>
      <c r="JI62" s="66">
        <f t="shared" ca="1" si="342"/>
        <v>198.60255861112506</v>
      </c>
      <c r="JJ62" s="66">
        <f t="shared" ca="1" si="343"/>
        <v>7</v>
      </c>
      <c r="JK62" s="33"/>
      <c r="JL62" s="74">
        <f t="shared" ca="1" si="121"/>
        <v>9.9545489532019715</v>
      </c>
      <c r="JM62" s="75">
        <f t="shared" ca="1" si="310"/>
        <v>70.002527001853508</v>
      </c>
      <c r="JN62" s="75">
        <f t="shared" ca="1" si="311"/>
        <v>164.32653183081504</v>
      </c>
      <c r="JO62" s="74">
        <f t="shared" ca="1" si="122"/>
        <v>198.60255861112506</v>
      </c>
      <c r="JP62" s="74">
        <f t="shared" ca="1" si="123"/>
        <v>442.88616639699558</v>
      </c>
    </row>
    <row r="63" spans="1:276" s="1" customFormat="1" x14ac:dyDescent="0.35">
      <c r="A63" s="125">
        <v>0</v>
      </c>
      <c r="B63" s="125">
        <v>0</v>
      </c>
      <c r="C63" s="125">
        <v>1</v>
      </c>
      <c r="D63" s="163"/>
      <c r="E63" s="142" t="s">
        <v>122</v>
      </c>
      <c r="F63" s="227" t="s">
        <v>123</v>
      </c>
      <c r="G63" s="228" t="s">
        <v>542</v>
      </c>
      <c r="H63" s="210" t="s">
        <v>545</v>
      </c>
      <c r="I63" s="8" t="s">
        <v>532</v>
      </c>
      <c r="J63" s="211">
        <v>49.696132596685082</v>
      </c>
      <c r="K63" s="211">
        <v>58.277108433734938</v>
      </c>
      <c r="L63" s="211">
        <v>60.10144927536232</v>
      </c>
      <c r="M63" s="211">
        <v>0.55172413793103448</v>
      </c>
      <c r="N63" s="211" t="s">
        <v>805</v>
      </c>
      <c r="O63" s="211" t="s">
        <v>805</v>
      </c>
      <c r="P63" s="211" t="s">
        <v>805</v>
      </c>
      <c r="Q63" s="211" t="s">
        <v>805</v>
      </c>
      <c r="R63" s="211" t="s">
        <v>805</v>
      </c>
      <c r="S63" s="211" t="s">
        <v>805</v>
      </c>
      <c r="T63" s="211" t="s">
        <v>805</v>
      </c>
      <c r="U63" s="211" t="s">
        <v>805</v>
      </c>
      <c r="V63" s="211" t="s">
        <v>805</v>
      </c>
      <c r="W63" s="211" t="s">
        <v>805</v>
      </c>
      <c r="X63" s="211" t="s">
        <v>805</v>
      </c>
      <c r="Y63" s="211" t="s">
        <v>805</v>
      </c>
      <c r="Z63" s="211" t="s">
        <v>805</v>
      </c>
      <c r="AA63" s="211" t="s">
        <v>805</v>
      </c>
      <c r="AB63" s="211" t="s">
        <v>805</v>
      </c>
      <c r="AC63" s="211" t="s">
        <v>805</v>
      </c>
      <c r="AD63" s="211" t="s">
        <v>805</v>
      </c>
      <c r="AE63" s="211" t="s">
        <v>805</v>
      </c>
      <c r="AF63" s="211" t="s">
        <v>805</v>
      </c>
      <c r="AG63" s="211" t="s">
        <v>805</v>
      </c>
      <c r="AH63" s="211" t="s">
        <v>805</v>
      </c>
      <c r="AI63" s="211" t="s">
        <v>805</v>
      </c>
      <c r="AJ63" s="211" t="s">
        <v>805</v>
      </c>
      <c r="AK63" s="211" t="s">
        <v>805</v>
      </c>
      <c r="AL63" s="211" t="s">
        <v>805</v>
      </c>
      <c r="AM63" s="211" t="s">
        <v>805</v>
      </c>
      <c r="AN63" s="211" t="s">
        <v>805</v>
      </c>
      <c r="AO63" s="211" t="s">
        <v>805</v>
      </c>
      <c r="AP63" s="211" t="s">
        <v>805</v>
      </c>
      <c r="AQ63" s="211" t="s">
        <v>805</v>
      </c>
      <c r="AR63" s="211" t="s">
        <v>805</v>
      </c>
      <c r="AS63" s="211" t="s">
        <v>805</v>
      </c>
      <c r="AT63" s="211" t="s">
        <v>805</v>
      </c>
      <c r="AU63" s="211" t="s">
        <v>805</v>
      </c>
      <c r="AV63" s="211" t="s">
        <v>805</v>
      </c>
      <c r="AW63" s="211" t="s">
        <v>805</v>
      </c>
      <c r="AX63" s="211" t="s">
        <v>805</v>
      </c>
      <c r="AY63" s="211" t="s">
        <v>805</v>
      </c>
      <c r="AZ63" s="211" t="s">
        <v>805</v>
      </c>
      <c r="BA63" s="211" t="s">
        <v>805</v>
      </c>
      <c r="BB63" s="211" t="s">
        <v>805</v>
      </c>
      <c r="BC63" s="211" t="s">
        <v>805</v>
      </c>
      <c r="BD63" s="211" t="s">
        <v>805</v>
      </c>
      <c r="BE63" s="211" t="s">
        <v>805</v>
      </c>
      <c r="BF63" s="211" t="s">
        <v>805</v>
      </c>
      <c r="BG63" s="211" t="s">
        <v>805</v>
      </c>
      <c r="BH63" s="211" t="s">
        <v>805</v>
      </c>
      <c r="BI63" s="211" t="s">
        <v>805</v>
      </c>
      <c r="BJ63" s="211" t="s">
        <v>805</v>
      </c>
      <c r="BK63" s="211" t="s">
        <v>805</v>
      </c>
      <c r="BL63" s="211" t="s">
        <v>805</v>
      </c>
      <c r="BM63" s="211" t="s">
        <v>805</v>
      </c>
      <c r="BN63" s="211" t="s">
        <v>805</v>
      </c>
      <c r="BO63" s="211" t="s">
        <v>805</v>
      </c>
      <c r="BP63" s="211" t="s">
        <v>805</v>
      </c>
      <c r="BQ63" s="211" t="s">
        <v>805</v>
      </c>
      <c r="BR63" s="211" t="s">
        <v>805</v>
      </c>
      <c r="BS63" s="211" t="s">
        <v>805</v>
      </c>
      <c r="BT63" s="211" t="s">
        <v>805</v>
      </c>
      <c r="BU63" s="211" t="s">
        <v>805</v>
      </c>
      <c r="BV63" s="211" t="s">
        <v>805</v>
      </c>
      <c r="BW63" s="211" t="s">
        <v>805</v>
      </c>
      <c r="BX63" s="211" t="s">
        <v>805</v>
      </c>
      <c r="BY63" s="211" t="s">
        <v>805</v>
      </c>
      <c r="BZ63" s="211" t="s">
        <v>805</v>
      </c>
      <c r="CA63" s="211" t="s">
        <v>805</v>
      </c>
      <c r="CB63" s="211" t="s">
        <v>805</v>
      </c>
      <c r="CC63" s="211" t="s">
        <v>805</v>
      </c>
      <c r="CD63" s="211" t="s">
        <v>805</v>
      </c>
      <c r="CE63" s="211" t="s">
        <v>805</v>
      </c>
      <c r="CF63" s="211" t="s">
        <v>805</v>
      </c>
      <c r="CG63" s="211" t="s">
        <v>805</v>
      </c>
      <c r="CH63" s="211" t="s">
        <v>805</v>
      </c>
      <c r="CI63" s="211" t="s">
        <v>805</v>
      </c>
      <c r="CJ63" s="211" t="s">
        <v>805</v>
      </c>
      <c r="CK63" s="211" t="s">
        <v>805</v>
      </c>
      <c r="CL63" s="211" t="s">
        <v>805</v>
      </c>
      <c r="CM63" s="211" t="s">
        <v>805</v>
      </c>
      <c r="CN63" s="211" t="s">
        <v>805</v>
      </c>
      <c r="CO63" s="211" t="s">
        <v>805</v>
      </c>
      <c r="CP63" s="211" t="s">
        <v>805</v>
      </c>
      <c r="CQ63" s="211" t="s">
        <v>805</v>
      </c>
      <c r="CR63" s="211" t="s">
        <v>805</v>
      </c>
      <c r="CS63" s="211" t="s">
        <v>805</v>
      </c>
      <c r="CT63" s="211" t="s">
        <v>805</v>
      </c>
      <c r="CU63" s="211" t="s">
        <v>805</v>
      </c>
      <c r="CV63" s="211" t="s">
        <v>805</v>
      </c>
      <c r="CW63" s="211" t="s">
        <v>805</v>
      </c>
      <c r="CX63" s="211" t="s">
        <v>805</v>
      </c>
      <c r="CY63" s="211" t="s">
        <v>805</v>
      </c>
      <c r="CZ63" s="211" t="s">
        <v>805</v>
      </c>
      <c r="DA63" s="211" t="s">
        <v>805</v>
      </c>
      <c r="DB63" s="211" t="s">
        <v>805</v>
      </c>
      <c r="DC63" s="211" t="s">
        <v>805</v>
      </c>
      <c r="DD63" s="211" t="s">
        <v>805</v>
      </c>
      <c r="DE63" s="211" t="s">
        <v>805</v>
      </c>
      <c r="DF63" s="211" t="s">
        <v>805</v>
      </c>
      <c r="DG63" s="212">
        <f>VLOOKUP(E63,'KPI Count-SHARE'!A:F,3,0)</f>
        <v>4</v>
      </c>
      <c r="DH63" s="213">
        <v>297.85995518207528</v>
      </c>
      <c r="DI63" s="213">
        <v>245.21382529326291</v>
      </c>
      <c r="DJ63" s="213">
        <v>268.93656768750031</v>
      </c>
      <c r="DK63" s="213">
        <v>307.88966527804689</v>
      </c>
      <c r="DL63" s="213">
        <v>336.8130527726218</v>
      </c>
      <c r="DM63" s="213">
        <v>342.48231699411025</v>
      </c>
      <c r="DN63" s="212">
        <f>VLOOKUP(E63,'KPI Count-SHARE'!A:F,4,0)</f>
        <v>0</v>
      </c>
      <c r="DO63" s="213"/>
      <c r="DP63" s="213"/>
      <c r="DQ63" s="213"/>
      <c r="DR63" s="213"/>
      <c r="DS63" s="213"/>
      <c r="DT63" s="213"/>
      <c r="DU63" s="212">
        <f>VLOOKUP(E63,'KPI Count-SHARE'!A:F,5,0)</f>
        <v>0</v>
      </c>
      <c r="DV63" s="213"/>
      <c r="DW63" s="213"/>
      <c r="DX63" s="213"/>
      <c r="DY63" s="213"/>
      <c r="DZ63" s="213"/>
      <c r="EA63" s="213"/>
      <c r="EB63" s="212">
        <f>VLOOKUP(E63,'KPI Count-SHARE'!A:F,6,0)</f>
        <v>0</v>
      </c>
      <c r="EC63" s="213"/>
      <c r="ED63" s="213"/>
      <c r="EE63" s="213"/>
      <c r="EF63" s="213"/>
      <c r="EG63" s="213"/>
      <c r="EH63" s="213"/>
      <c r="EI63" s="214" t="s">
        <v>545</v>
      </c>
      <c r="EJ63" s="41">
        <f>IFERROR(IF(ISBLANK(J63), "-", IF(OR($I63="c",$I63="r"), J63*$I$5, J63)),"-")</f>
        <v>49.696132596685082</v>
      </c>
      <c r="EK63" s="41">
        <f>IFERROR(IF(ISBLANK(K63), "-", IF($I63="c", K63*$I$5, K63)),"-")</f>
        <v>58.277108433734938</v>
      </c>
      <c r="EL63" s="41">
        <f>IFERROR(IF(ISBLANK(L63), "-", IF($I63="c", L63*$I$5, L63)),"-")</f>
        <v>60.10144927536232</v>
      </c>
      <c r="EM63" s="41">
        <f>IFERROR(IF(ISBLANK(M63), "-", IF($I63="c", M63*$I$5,M63)),"-")</f>
        <v>0.55172413793103448</v>
      </c>
      <c r="EN63" s="41" t="str">
        <f>IFERROR(IF(ISBLANK(N63), "-", IF($I63="c", N63*$I$5, N63)),"-")</f>
        <v/>
      </c>
      <c r="EO63" s="41" t="str">
        <f>IFERROR(IF(ISBLANK(O63), "-", IF($I63="c", O63*$I$5,O63)),"-")</f>
        <v/>
      </c>
      <c r="EP63" s="41" t="str">
        <f t="shared" ref="EP63:FU63" si="478">IFERROR(IF(ISBLANK(P63), "-", IF($I63="c", P63*$I$5, P63)),"-")</f>
        <v/>
      </c>
      <c r="EQ63" s="41" t="str">
        <f t="shared" si="478"/>
        <v/>
      </c>
      <c r="ER63" s="41" t="str">
        <f t="shared" si="478"/>
        <v/>
      </c>
      <c r="ES63" s="41" t="str">
        <f t="shared" si="478"/>
        <v/>
      </c>
      <c r="ET63" s="41" t="str">
        <f t="shared" si="478"/>
        <v/>
      </c>
      <c r="EU63" s="41" t="str">
        <f t="shared" si="478"/>
        <v/>
      </c>
      <c r="EV63" s="41" t="str">
        <f t="shared" si="478"/>
        <v/>
      </c>
      <c r="EW63" s="41" t="str">
        <f t="shared" si="478"/>
        <v/>
      </c>
      <c r="EX63" s="41" t="str">
        <f t="shared" si="478"/>
        <v/>
      </c>
      <c r="EY63" s="41" t="str">
        <f t="shared" si="478"/>
        <v/>
      </c>
      <c r="EZ63" s="41" t="str">
        <f t="shared" si="478"/>
        <v/>
      </c>
      <c r="FA63" s="41" t="str">
        <f t="shared" si="478"/>
        <v/>
      </c>
      <c r="FB63" s="41" t="str">
        <f t="shared" si="478"/>
        <v/>
      </c>
      <c r="FC63" s="41" t="str">
        <f t="shared" si="478"/>
        <v/>
      </c>
      <c r="FD63" s="41" t="str">
        <f t="shared" si="478"/>
        <v/>
      </c>
      <c r="FE63" s="41" t="str">
        <f t="shared" si="478"/>
        <v/>
      </c>
      <c r="FF63" s="41" t="str">
        <f t="shared" si="478"/>
        <v/>
      </c>
      <c r="FG63" s="41" t="str">
        <f t="shared" si="478"/>
        <v/>
      </c>
      <c r="FH63" s="41" t="str">
        <f t="shared" si="478"/>
        <v/>
      </c>
      <c r="FI63" s="41" t="str">
        <f t="shared" si="478"/>
        <v/>
      </c>
      <c r="FJ63" s="41" t="str">
        <f t="shared" si="478"/>
        <v/>
      </c>
      <c r="FK63" s="41" t="str">
        <f t="shared" si="478"/>
        <v/>
      </c>
      <c r="FL63" s="41" t="str">
        <f t="shared" si="478"/>
        <v/>
      </c>
      <c r="FM63" s="41" t="str">
        <f t="shared" si="478"/>
        <v/>
      </c>
      <c r="FN63" s="41" t="str">
        <f t="shared" si="478"/>
        <v/>
      </c>
      <c r="FO63" s="41" t="str">
        <f t="shared" si="478"/>
        <v/>
      </c>
      <c r="FP63" s="41" t="str">
        <f t="shared" si="478"/>
        <v/>
      </c>
      <c r="FQ63" s="41" t="str">
        <f t="shared" si="478"/>
        <v/>
      </c>
      <c r="FR63" s="41" t="str">
        <f t="shared" si="478"/>
        <v/>
      </c>
      <c r="FS63" s="41" t="str">
        <f t="shared" si="478"/>
        <v/>
      </c>
      <c r="FT63" s="41" t="str">
        <f t="shared" si="478"/>
        <v/>
      </c>
      <c r="FU63" s="41" t="str">
        <f t="shared" si="478"/>
        <v/>
      </c>
      <c r="FV63" s="41" t="str">
        <f t="shared" si="371"/>
        <v/>
      </c>
      <c r="FW63" s="41" t="str">
        <f t="shared" si="372"/>
        <v/>
      </c>
      <c r="FX63" s="41" t="str">
        <f t="shared" si="373"/>
        <v/>
      </c>
      <c r="FY63" s="41" t="str">
        <f t="shared" si="374"/>
        <v/>
      </c>
      <c r="FZ63" s="41" t="str">
        <f t="shared" si="375"/>
        <v/>
      </c>
      <c r="GA63" s="41" t="str">
        <f t="shared" si="376"/>
        <v/>
      </c>
      <c r="GB63" s="41" t="str">
        <f t="shared" si="377"/>
        <v/>
      </c>
      <c r="GC63" s="41" t="str">
        <f t="shared" si="378"/>
        <v/>
      </c>
      <c r="GD63" s="41" t="str">
        <f t="shared" si="379"/>
        <v/>
      </c>
      <c r="GE63" s="41" t="str">
        <f t="shared" si="380"/>
        <v/>
      </c>
      <c r="GF63" s="41" t="str">
        <f t="shared" si="381"/>
        <v/>
      </c>
      <c r="GG63" s="41" t="str">
        <f t="shared" si="382"/>
        <v/>
      </c>
      <c r="GH63" s="41" t="str">
        <f t="shared" si="383"/>
        <v/>
      </c>
      <c r="GI63" s="41" t="str">
        <f t="shared" si="384"/>
        <v/>
      </c>
      <c r="GJ63" s="41" t="str">
        <f t="shared" si="385"/>
        <v/>
      </c>
      <c r="GK63" s="41" t="str">
        <f t="shared" si="386"/>
        <v/>
      </c>
      <c r="GL63" s="41" t="str">
        <f t="shared" si="387"/>
        <v/>
      </c>
      <c r="GM63" s="41" t="str">
        <f t="shared" si="388"/>
        <v/>
      </c>
      <c r="GN63" s="41" t="str">
        <f t="shared" si="389"/>
        <v/>
      </c>
      <c r="GO63" s="41" t="str">
        <f t="shared" si="390"/>
        <v/>
      </c>
      <c r="GP63" s="41" t="str">
        <f t="shared" si="391"/>
        <v/>
      </c>
      <c r="GQ63" s="41" t="str">
        <f t="shared" si="392"/>
        <v/>
      </c>
      <c r="GR63" s="41" t="str">
        <f t="shared" si="393"/>
        <v/>
      </c>
      <c r="GS63" s="41" t="str">
        <f t="shared" si="394"/>
        <v/>
      </c>
      <c r="GT63" s="41" t="str">
        <f t="shared" si="395"/>
        <v/>
      </c>
      <c r="GU63" s="41" t="str">
        <f t="shared" si="396"/>
        <v/>
      </c>
      <c r="GV63" s="41" t="str">
        <f t="shared" si="397"/>
        <v/>
      </c>
      <c r="GW63" s="41" t="str">
        <f t="shared" si="398"/>
        <v/>
      </c>
      <c r="GX63" s="41" t="str">
        <f t="shared" si="399"/>
        <v/>
      </c>
      <c r="GY63" s="41" t="str">
        <f t="shared" si="400"/>
        <v/>
      </c>
      <c r="GZ63" s="41" t="str">
        <f t="shared" si="401"/>
        <v/>
      </c>
      <c r="HA63" s="41" t="str">
        <f t="shared" si="402"/>
        <v/>
      </c>
      <c r="HB63" s="41" t="str">
        <f t="shared" si="403"/>
        <v/>
      </c>
      <c r="HC63" s="41" t="str">
        <f t="shared" si="404"/>
        <v/>
      </c>
      <c r="HD63" s="41" t="str">
        <f t="shared" si="405"/>
        <v/>
      </c>
      <c r="HE63" s="41" t="str">
        <f t="shared" si="406"/>
        <v/>
      </c>
      <c r="HF63" s="41" t="str">
        <f t="shared" si="407"/>
        <v/>
      </c>
      <c r="HG63" s="41" t="str">
        <f t="shared" si="408"/>
        <v/>
      </c>
      <c r="HH63" s="41" t="str">
        <f t="shared" si="409"/>
        <v/>
      </c>
      <c r="HI63" s="41" t="str">
        <f t="shared" si="410"/>
        <v/>
      </c>
      <c r="HJ63" s="41" t="str">
        <f t="shared" si="411"/>
        <v/>
      </c>
      <c r="HK63" s="41" t="str">
        <f t="shared" si="412"/>
        <v/>
      </c>
      <c r="HL63" s="41" t="str">
        <f t="shared" si="413"/>
        <v/>
      </c>
      <c r="HM63" s="41" t="str">
        <f t="shared" si="414"/>
        <v/>
      </c>
      <c r="HN63" s="41" t="str">
        <f t="shared" si="415"/>
        <v/>
      </c>
      <c r="HO63" s="41" t="str">
        <f t="shared" si="416"/>
        <v/>
      </c>
      <c r="HP63" s="41" t="str">
        <f t="shared" si="417"/>
        <v/>
      </c>
      <c r="HQ63" s="41" t="str">
        <f t="shared" si="418"/>
        <v/>
      </c>
      <c r="HR63" s="41" t="str">
        <f t="shared" si="419"/>
        <v/>
      </c>
      <c r="HS63" s="41" t="str">
        <f t="shared" si="420"/>
        <v/>
      </c>
      <c r="HT63" s="41" t="str">
        <f t="shared" si="421"/>
        <v/>
      </c>
      <c r="HU63" s="41" t="str">
        <f t="shared" si="422"/>
        <v/>
      </c>
      <c r="HV63" s="41" t="str">
        <f t="shared" si="423"/>
        <v/>
      </c>
      <c r="HW63" s="41" t="str">
        <f t="shared" si="424"/>
        <v/>
      </c>
      <c r="HX63" s="41" t="str">
        <f t="shared" si="425"/>
        <v/>
      </c>
      <c r="HY63" s="41" t="str">
        <f t="shared" si="426"/>
        <v/>
      </c>
      <c r="HZ63" s="41" t="str">
        <f t="shared" si="427"/>
        <v/>
      </c>
      <c r="IA63" s="41" t="str">
        <f t="shared" si="428"/>
        <v/>
      </c>
      <c r="IB63" s="41" t="str">
        <f t="shared" si="429"/>
        <v/>
      </c>
      <c r="IC63" s="41" t="str">
        <f t="shared" si="430"/>
        <v/>
      </c>
      <c r="ID63" s="41" t="str">
        <f t="shared" si="431"/>
        <v/>
      </c>
      <c r="IE63" s="41" t="str">
        <f t="shared" si="432"/>
        <v/>
      </c>
      <c r="IF63" s="41" t="str">
        <f t="shared" si="433"/>
        <v/>
      </c>
      <c r="IG63" s="306">
        <f>IFERROR(IF(ISBLANK(DH63), "-", IF($I63="c", DH63*$I$5, DH63)),"-")</f>
        <v>297.85995518207528</v>
      </c>
      <c r="IH63" s="44">
        <f t="shared" si="458"/>
        <v>245.21382529326291</v>
      </c>
      <c r="II63" s="44">
        <f t="shared" si="459"/>
        <v>268.93656768750031</v>
      </c>
      <c r="IJ63" s="44">
        <f t="shared" si="460"/>
        <v>307.88966527804689</v>
      </c>
      <c r="IK63" s="44">
        <f t="shared" si="461"/>
        <v>336.8130527726218</v>
      </c>
      <c r="IL63" s="44">
        <f t="shared" si="462"/>
        <v>342.48231699411025</v>
      </c>
      <c r="IM63" s="306" t="str">
        <f>IFERROR(IF(ISBLANK(DO63), "", IF($I63="c",DO63*$I$5, DO63)),"-")</f>
        <v/>
      </c>
      <c r="IN63" s="44" t="str">
        <f t="shared" si="463"/>
        <v/>
      </c>
      <c r="IO63" s="44" t="str">
        <f t="shared" si="464"/>
        <v/>
      </c>
      <c r="IP63" s="44" t="str">
        <f t="shared" si="465"/>
        <v/>
      </c>
      <c r="IQ63" s="44" t="str">
        <f t="shared" si="466"/>
        <v/>
      </c>
      <c r="IR63" s="44" t="str">
        <f t="shared" si="467"/>
        <v/>
      </c>
      <c r="IS63" s="306" t="str">
        <f>IFERROR(IF(ISBLANK(DV63), "", IF($I63="c", DV63*$I$5, DV63)),"-")</f>
        <v/>
      </c>
      <c r="IT63" s="44" t="str">
        <f t="shared" si="468"/>
        <v/>
      </c>
      <c r="IU63" s="44" t="str">
        <f t="shared" si="469"/>
        <v/>
      </c>
      <c r="IV63" s="44" t="str">
        <f t="shared" si="470"/>
        <v/>
      </c>
      <c r="IW63" s="44" t="str">
        <f t="shared" si="471"/>
        <v/>
      </c>
      <c r="IX63" s="44" t="str">
        <f t="shared" si="472"/>
        <v/>
      </c>
      <c r="IY63" s="306" t="str">
        <f>IFERROR(IF(ISBLANK(EC63), "", IF($I63="c", EC63*$I$5, EC63)),"-")</f>
        <v/>
      </c>
      <c r="IZ63" s="44" t="str">
        <f t="shared" si="473"/>
        <v/>
      </c>
      <c r="JA63" s="44" t="str">
        <f t="shared" si="474"/>
        <v/>
      </c>
      <c r="JB63" s="44" t="str">
        <f t="shared" si="475"/>
        <v/>
      </c>
      <c r="JC63" s="44" t="str">
        <f t="shared" si="476"/>
        <v/>
      </c>
      <c r="JD63" s="307" t="str">
        <f t="shared" si="477"/>
        <v/>
      </c>
      <c r="JF63" s="66">
        <f t="shared" si="224"/>
        <v>63</v>
      </c>
      <c r="JG63" s="66">
        <f ca="1">SUM(INDIRECT(VLOOKUP($JH$4,XPEERCOLUMNS,2,0) &amp; JF63 &amp; ":" &amp; VLOOKUP($JH$4,XPEERCOLUMNS,2,0) &amp; JF63))</f>
        <v>268.93656768750031</v>
      </c>
      <c r="JH63" s="66">
        <f ca="1">SUM(INDIRECT(VLOOKUP($JH$4,XPEERCOLUMNS,3,0) &amp; JF63 &amp; ":" &amp; VLOOKUP($JH$4,XPEERCOLUMNS,3,0) &amp; JF63))</f>
        <v>307.88966527804689</v>
      </c>
      <c r="JI63" s="66">
        <f ca="1">SUM(INDIRECT(VLOOKUP($JH$4,XPEERCOLUMNS,4,0) &amp; JF63 &amp; ":" &amp; VLOOKUP($JH$4,XPEERCOLUMNS,4,0) &amp; JF63))</f>
        <v>336.8130527726218</v>
      </c>
      <c r="JJ63" s="66">
        <f ca="1">SUM(INDIRECT(VLOOKUP($JH$4,XPEERCOLUMNS,5,0) &amp; JF63 &amp; ":" &amp; VLOOKUP($JH$4,XPEERCOLUMNS,5,0) &amp; JF63))</f>
        <v>4</v>
      </c>
      <c r="JK63" s="33"/>
      <c r="JL63" s="74">
        <f ca="1">IF(JG63=0,"-",JG63)</f>
        <v>268.93656768750031</v>
      </c>
      <c r="JM63" s="75">
        <f ca="1">IF(G63="Smaller better",JG63-((JG63-JH63)*0.5),JG63+((JH63-JG63)*0.5))</f>
        <v>288.4131164827736</v>
      </c>
      <c r="JN63" s="75">
        <f ca="1">IF(G63="Smaller better",JH63-((JH63-JI63)*0.5),JH63+((JI63-JH63)*0.5))</f>
        <v>322.35135902533432</v>
      </c>
      <c r="JO63" s="74">
        <f ca="1">IF(JI63=0,"-",JI63)</f>
        <v>336.8130527726218</v>
      </c>
      <c r="JP63" s="74">
        <f ca="1">SUM(JL63:JO63)</f>
        <v>1216.5140959682301</v>
      </c>
    </row>
    <row r="64" spans="1:276" s="1" customFormat="1" x14ac:dyDescent="0.35">
      <c r="A64" s="125">
        <v>0</v>
      </c>
      <c r="B64" s="125">
        <v>0</v>
      </c>
      <c r="C64" s="125">
        <v>1</v>
      </c>
      <c r="D64" s="163"/>
      <c r="E64" s="142" t="s">
        <v>116</v>
      </c>
      <c r="F64" s="227" t="s">
        <v>117</v>
      </c>
      <c r="G64" s="228" t="s">
        <v>530</v>
      </c>
      <c r="H64" s="210" t="s">
        <v>548</v>
      </c>
      <c r="I64" s="8" t="s">
        <v>532</v>
      </c>
      <c r="J64" s="211" t="s">
        <v>805</v>
      </c>
      <c r="K64" s="211" t="s">
        <v>805</v>
      </c>
      <c r="L64" s="211" t="s">
        <v>805</v>
      </c>
      <c r="M64" s="211" t="s">
        <v>805</v>
      </c>
      <c r="N64" s="211" t="s">
        <v>805</v>
      </c>
      <c r="O64" s="211" t="s">
        <v>805</v>
      </c>
      <c r="P64" s="211" t="s">
        <v>805</v>
      </c>
      <c r="Q64" s="211" t="s">
        <v>805</v>
      </c>
      <c r="R64" s="211" t="s">
        <v>805</v>
      </c>
      <c r="S64" s="211" t="s">
        <v>805</v>
      </c>
      <c r="T64" s="211" t="s">
        <v>805</v>
      </c>
      <c r="U64" s="211" t="s">
        <v>805</v>
      </c>
      <c r="V64" s="211" t="s">
        <v>805</v>
      </c>
      <c r="W64" s="211" t="s">
        <v>805</v>
      </c>
      <c r="X64" s="211" t="s">
        <v>805</v>
      </c>
      <c r="Y64" s="211" t="s">
        <v>805</v>
      </c>
      <c r="Z64" s="211" t="s">
        <v>805</v>
      </c>
      <c r="AA64" s="211" t="s">
        <v>805</v>
      </c>
      <c r="AB64" s="211" t="s">
        <v>805</v>
      </c>
      <c r="AC64" s="211" t="s">
        <v>805</v>
      </c>
      <c r="AD64" s="211" t="s">
        <v>805</v>
      </c>
      <c r="AE64" s="211" t="s">
        <v>805</v>
      </c>
      <c r="AF64" s="211" t="s">
        <v>805</v>
      </c>
      <c r="AG64" s="211" t="s">
        <v>805</v>
      </c>
      <c r="AH64" s="211" t="s">
        <v>805</v>
      </c>
      <c r="AI64" s="211" t="s">
        <v>805</v>
      </c>
      <c r="AJ64" s="211" t="s">
        <v>805</v>
      </c>
      <c r="AK64" s="211" t="s">
        <v>805</v>
      </c>
      <c r="AL64" s="211" t="s">
        <v>805</v>
      </c>
      <c r="AM64" s="211" t="s">
        <v>805</v>
      </c>
      <c r="AN64" s="211" t="s">
        <v>805</v>
      </c>
      <c r="AO64" s="211" t="s">
        <v>805</v>
      </c>
      <c r="AP64" s="211" t="s">
        <v>805</v>
      </c>
      <c r="AQ64" s="211" t="s">
        <v>805</v>
      </c>
      <c r="AR64" s="211" t="s">
        <v>805</v>
      </c>
      <c r="AS64" s="211" t="s">
        <v>805</v>
      </c>
      <c r="AT64" s="211" t="s">
        <v>805</v>
      </c>
      <c r="AU64" s="211" t="s">
        <v>805</v>
      </c>
      <c r="AV64" s="211" t="s">
        <v>805</v>
      </c>
      <c r="AW64" s="211" t="s">
        <v>805</v>
      </c>
      <c r="AX64" s="211" t="s">
        <v>805</v>
      </c>
      <c r="AY64" s="211" t="s">
        <v>805</v>
      </c>
      <c r="AZ64" s="211" t="s">
        <v>805</v>
      </c>
      <c r="BA64" s="211" t="s">
        <v>805</v>
      </c>
      <c r="BB64" s="211" t="s">
        <v>805</v>
      </c>
      <c r="BC64" s="211" t="s">
        <v>805</v>
      </c>
      <c r="BD64" s="211" t="s">
        <v>805</v>
      </c>
      <c r="BE64" s="211" t="s">
        <v>805</v>
      </c>
      <c r="BF64" s="211" t="s">
        <v>805</v>
      </c>
      <c r="BG64" s="211" t="s">
        <v>805</v>
      </c>
      <c r="BH64" s="211" t="s">
        <v>805</v>
      </c>
      <c r="BI64" s="211" t="s">
        <v>805</v>
      </c>
      <c r="BJ64" s="211" t="s">
        <v>805</v>
      </c>
      <c r="BK64" s="211" t="s">
        <v>805</v>
      </c>
      <c r="BL64" s="211" t="s">
        <v>805</v>
      </c>
      <c r="BM64" s="211" t="s">
        <v>805</v>
      </c>
      <c r="BN64" s="211" t="s">
        <v>805</v>
      </c>
      <c r="BO64" s="211" t="s">
        <v>805</v>
      </c>
      <c r="BP64" s="211" t="s">
        <v>805</v>
      </c>
      <c r="BQ64" s="211" t="s">
        <v>805</v>
      </c>
      <c r="BR64" s="211" t="s">
        <v>805</v>
      </c>
      <c r="BS64" s="211" t="s">
        <v>805</v>
      </c>
      <c r="BT64" s="211" t="s">
        <v>805</v>
      </c>
      <c r="BU64" s="211" t="s">
        <v>805</v>
      </c>
      <c r="BV64" s="211" t="s">
        <v>805</v>
      </c>
      <c r="BW64" s="211" t="s">
        <v>805</v>
      </c>
      <c r="BX64" s="211" t="s">
        <v>805</v>
      </c>
      <c r="BY64" s="211" t="s">
        <v>805</v>
      </c>
      <c r="BZ64" s="211" t="s">
        <v>805</v>
      </c>
      <c r="CA64" s="211" t="s">
        <v>805</v>
      </c>
      <c r="CB64" s="211" t="s">
        <v>805</v>
      </c>
      <c r="CC64" s="211" t="s">
        <v>805</v>
      </c>
      <c r="CD64" s="211" t="s">
        <v>805</v>
      </c>
      <c r="CE64" s="211" t="s">
        <v>805</v>
      </c>
      <c r="CF64" s="211" t="s">
        <v>805</v>
      </c>
      <c r="CG64" s="211" t="s">
        <v>805</v>
      </c>
      <c r="CH64" s="211" t="s">
        <v>805</v>
      </c>
      <c r="CI64" s="211" t="s">
        <v>805</v>
      </c>
      <c r="CJ64" s="211" t="s">
        <v>805</v>
      </c>
      <c r="CK64" s="211" t="s">
        <v>805</v>
      </c>
      <c r="CL64" s="211" t="s">
        <v>805</v>
      </c>
      <c r="CM64" s="211" t="s">
        <v>805</v>
      </c>
      <c r="CN64" s="211" t="s">
        <v>805</v>
      </c>
      <c r="CO64" s="211" t="s">
        <v>805</v>
      </c>
      <c r="CP64" s="211" t="s">
        <v>805</v>
      </c>
      <c r="CQ64" s="211" t="s">
        <v>805</v>
      </c>
      <c r="CR64" s="211" t="s">
        <v>805</v>
      </c>
      <c r="CS64" s="211" t="s">
        <v>805</v>
      </c>
      <c r="CT64" s="211" t="s">
        <v>805</v>
      </c>
      <c r="CU64" s="211" t="s">
        <v>805</v>
      </c>
      <c r="CV64" s="211" t="s">
        <v>805</v>
      </c>
      <c r="CW64" s="211" t="s">
        <v>805</v>
      </c>
      <c r="CX64" s="211" t="s">
        <v>805</v>
      </c>
      <c r="CY64" s="211" t="s">
        <v>805</v>
      </c>
      <c r="CZ64" s="211" t="s">
        <v>805</v>
      </c>
      <c r="DA64" s="211" t="s">
        <v>805</v>
      </c>
      <c r="DB64" s="211" t="s">
        <v>805</v>
      </c>
      <c r="DC64" s="211" t="s">
        <v>805</v>
      </c>
      <c r="DD64" s="211" t="s">
        <v>805</v>
      </c>
      <c r="DE64" s="211" t="s">
        <v>805</v>
      </c>
      <c r="DF64" s="211" t="s">
        <v>805</v>
      </c>
      <c r="DG64" s="212">
        <f>VLOOKUP(E64,'KPI Count-SHARE'!A:F,3,0)</f>
        <v>2</v>
      </c>
      <c r="DH64" s="213">
        <v>774.75559182905545</v>
      </c>
      <c r="DI64" s="213">
        <v>660.00162341631619</v>
      </c>
      <c r="DJ64" s="213">
        <v>703.03436157109343</v>
      </c>
      <c r="DK64" s="213">
        <v>774.75559182905545</v>
      </c>
      <c r="DL64" s="213">
        <v>846.47682208701758</v>
      </c>
      <c r="DM64" s="213">
        <v>889.50956024179482</v>
      </c>
      <c r="DN64" s="212">
        <f>VLOOKUP(E64,'KPI Count-SHARE'!A:F,4,0)</f>
        <v>0</v>
      </c>
      <c r="DO64" s="213"/>
      <c r="DP64" s="213"/>
      <c r="DQ64" s="213"/>
      <c r="DR64" s="213"/>
      <c r="DS64" s="213"/>
      <c r="DT64" s="213"/>
      <c r="DU64" s="212">
        <f>VLOOKUP(E64,'KPI Count-SHARE'!A:F,5,0)</f>
        <v>0</v>
      </c>
      <c r="DV64" s="213"/>
      <c r="DW64" s="213"/>
      <c r="DX64" s="213"/>
      <c r="DY64" s="213"/>
      <c r="DZ64" s="213"/>
      <c r="EA64" s="213"/>
      <c r="EB64" s="212">
        <f>VLOOKUP(E64,'KPI Count-SHARE'!A:F,6,0)</f>
        <v>0</v>
      </c>
      <c r="EC64" s="213"/>
      <c r="ED64" s="213"/>
      <c r="EE64" s="213"/>
      <c r="EF64" s="213"/>
      <c r="EG64" s="213"/>
      <c r="EH64" s="213"/>
      <c r="EI64" s="214" t="s">
        <v>548</v>
      </c>
      <c r="EJ64" s="41" t="str">
        <f t="shared" si="101"/>
        <v/>
      </c>
      <c r="EK64" s="41" t="str">
        <f t="shared" si="102"/>
        <v/>
      </c>
      <c r="EL64" s="41" t="str">
        <f t="shared" si="103"/>
        <v/>
      </c>
      <c r="EM64" s="41" t="str">
        <f t="shared" si="104"/>
        <v/>
      </c>
      <c r="EN64" s="41" t="str">
        <f t="shared" si="105"/>
        <v/>
      </c>
      <c r="EO64" s="41" t="str">
        <f t="shared" si="106"/>
        <v/>
      </c>
      <c r="EP64" s="41" t="str">
        <f t="shared" si="107"/>
        <v/>
      </c>
      <c r="EQ64" s="41" t="str">
        <f t="shared" si="108"/>
        <v/>
      </c>
      <c r="ER64" s="41" t="str">
        <f t="shared" si="109"/>
        <v/>
      </c>
      <c r="ES64" s="41" t="str">
        <f t="shared" si="110"/>
        <v/>
      </c>
      <c r="ET64" s="41" t="str">
        <f t="shared" si="111"/>
        <v/>
      </c>
      <c r="EU64" s="41" t="str">
        <f t="shared" si="344"/>
        <v/>
      </c>
      <c r="EV64" s="41" t="str">
        <f t="shared" si="345"/>
        <v/>
      </c>
      <c r="EW64" s="41" t="str">
        <f t="shared" si="346"/>
        <v/>
      </c>
      <c r="EX64" s="41" t="str">
        <f t="shared" si="347"/>
        <v/>
      </c>
      <c r="EY64" s="41" t="str">
        <f t="shared" si="348"/>
        <v/>
      </c>
      <c r="EZ64" s="41" t="str">
        <f t="shared" si="349"/>
        <v/>
      </c>
      <c r="FA64" s="41" t="str">
        <f t="shared" si="350"/>
        <v/>
      </c>
      <c r="FB64" s="41" t="str">
        <f t="shared" si="351"/>
        <v/>
      </c>
      <c r="FC64" s="41" t="str">
        <f t="shared" si="352"/>
        <v/>
      </c>
      <c r="FD64" s="41" t="str">
        <f t="shared" si="353"/>
        <v/>
      </c>
      <c r="FE64" s="41" t="str">
        <f t="shared" si="354"/>
        <v/>
      </c>
      <c r="FF64" s="41" t="str">
        <f t="shared" si="355"/>
        <v/>
      </c>
      <c r="FG64" s="41" t="str">
        <f t="shared" si="356"/>
        <v/>
      </c>
      <c r="FH64" s="41" t="str">
        <f t="shared" si="357"/>
        <v/>
      </c>
      <c r="FI64" s="41" t="str">
        <f t="shared" si="358"/>
        <v/>
      </c>
      <c r="FJ64" s="41" t="str">
        <f t="shared" si="359"/>
        <v/>
      </c>
      <c r="FK64" s="41" t="str">
        <f t="shared" si="360"/>
        <v/>
      </c>
      <c r="FL64" s="41" t="str">
        <f t="shared" si="361"/>
        <v/>
      </c>
      <c r="FM64" s="41" t="str">
        <f t="shared" si="362"/>
        <v/>
      </c>
      <c r="FN64" s="41" t="str">
        <f t="shared" si="363"/>
        <v/>
      </c>
      <c r="FO64" s="41" t="str">
        <f t="shared" si="364"/>
        <v/>
      </c>
      <c r="FP64" s="41" t="str">
        <f t="shared" si="365"/>
        <v/>
      </c>
      <c r="FQ64" s="41" t="str">
        <f t="shared" si="366"/>
        <v/>
      </c>
      <c r="FR64" s="41" t="str">
        <f t="shared" si="367"/>
        <v/>
      </c>
      <c r="FS64" s="41" t="str">
        <f t="shared" si="368"/>
        <v/>
      </c>
      <c r="FT64" s="41" t="str">
        <f t="shared" si="369"/>
        <v/>
      </c>
      <c r="FU64" s="41" t="str">
        <f t="shared" si="370"/>
        <v/>
      </c>
      <c r="FV64" s="41" t="str">
        <f t="shared" si="371"/>
        <v/>
      </c>
      <c r="FW64" s="41" t="str">
        <f t="shared" si="372"/>
        <v/>
      </c>
      <c r="FX64" s="41" t="str">
        <f t="shared" si="373"/>
        <v/>
      </c>
      <c r="FY64" s="41" t="str">
        <f t="shared" si="374"/>
        <v/>
      </c>
      <c r="FZ64" s="41" t="str">
        <f t="shared" si="375"/>
        <v/>
      </c>
      <c r="GA64" s="41" t="str">
        <f t="shared" si="376"/>
        <v/>
      </c>
      <c r="GB64" s="41" t="str">
        <f t="shared" si="377"/>
        <v/>
      </c>
      <c r="GC64" s="41" t="str">
        <f t="shared" si="378"/>
        <v/>
      </c>
      <c r="GD64" s="41" t="str">
        <f t="shared" si="379"/>
        <v/>
      </c>
      <c r="GE64" s="41" t="str">
        <f t="shared" si="380"/>
        <v/>
      </c>
      <c r="GF64" s="41" t="str">
        <f t="shared" si="381"/>
        <v/>
      </c>
      <c r="GG64" s="41" t="str">
        <f t="shared" si="382"/>
        <v/>
      </c>
      <c r="GH64" s="41" t="str">
        <f t="shared" si="383"/>
        <v/>
      </c>
      <c r="GI64" s="41" t="str">
        <f t="shared" si="384"/>
        <v/>
      </c>
      <c r="GJ64" s="41" t="str">
        <f t="shared" si="385"/>
        <v/>
      </c>
      <c r="GK64" s="41" t="str">
        <f t="shared" si="386"/>
        <v/>
      </c>
      <c r="GL64" s="41" t="str">
        <f t="shared" si="387"/>
        <v/>
      </c>
      <c r="GM64" s="41" t="str">
        <f t="shared" si="388"/>
        <v/>
      </c>
      <c r="GN64" s="41" t="str">
        <f t="shared" si="389"/>
        <v/>
      </c>
      <c r="GO64" s="41" t="str">
        <f t="shared" si="390"/>
        <v/>
      </c>
      <c r="GP64" s="41" t="str">
        <f t="shared" si="391"/>
        <v/>
      </c>
      <c r="GQ64" s="41" t="str">
        <f t="shared" si="392"/>
        <v/>
      </c>
      <c r="GR64" s="41" t="str">
        <f t="shared" si="393"/>
        <v/>
      </c>
      <c r="GS64" s="41" t="str">
        <f t="shared" si="394"/>
        <v/>
      </c>
      <c r="GT64" s="41" t="str">
        <f t="shared" si="395"/>
        <v/>
      </c>
      <c r="GU64" s="41" t="str">
        <f t="shared" si="396"/>
        <v/>
      </c>
      <c r="GV64" s="41" t="str">
        <f t="shared" si="397"/>
        <v/>
      </c>
      <c r="GW64" s="41" t="str">
        <f t="shared" si="398"/>
        <v/>
      </c>
      <c r="GX64" s="41" t="str">
        <f t="shared" si="399"/>
        <v/>
      </c>
      <c r="GY64" s="41" t="str">
        <f t="shared" si="400"/>
        <v/>
      </c>
      <c r="GZ64" s="41" t="str">
        <f t="shared" si="401"/>
        <v/>
      </c>
      <c r="HA64" s="41" t="str">
        <f t="shared" si="402"/>
        <v/>
      </c>
      <c r="HB64" s="41" t="str">
        <f t="shared" si="403"/>
        <v/>
      </c>
      <c r="HC64" s="41" t="str">
        <f t="shared" si="404"/>
        <v/>
      </c>
      <c r="HD64" s="41" t="str">
        <f t="shared" si="405"/>
        <v/>
      </c>
      <c r="HE64" s="41" t="str">
        <f t="shared" si="406"/>
        <v/>
      </c>
      <c r="HF64" s="41" t="str">
        <f t="shared" si="407"/>
        <v/>
      </c>
      <c r="HG64" s="41" t="str">
        <f t="shared" si="408"/>
        <v/>
      </c>
      <c r="HH64" s="41" t="str">
        <f t="shared" si="409"/>
        <v/>
      </c>
      <c r="HI64" s="41" t="str">
        <f t="shared" si="410"/>
        <v/>
      </c>
      <c r="HJ64" s="41" t="str">
        <f t="shared" si="411"/>
        <v/>
      </c>
      <c r="HK64" s="41" t="str">
        <f t="shared" si="412"/>
        <v/>
      </c>
      <c r="HL64" s="41" t="str">
        <f t="shared" si="413"/>
        <v/>
      </c>
      <c r="HM64" s="41" t="str">
        <f t="shared" si="414"/>
        <v/>
      </c>
      <c r="HN64" s="41" t="str">
        <f t="shared" si="415"/>
        <v/>
      </c>
      <c r="HO64" s="41" t="str">
        <f t="shared" si="416"/>
        <v/>
      </c>
      <c r="HP64" s="41" t="str">
        <f t="shared" si="417"/>
        <v/>
      </c>
      <c r="HQ64" s="41" t="str">
        <f t="shared" si="418"/>
        <v/>
      </c>
      <c r="HR64" s="41" t="str">
        <f t="shared" si="419"/>
        <v/>
      </c>
      <c r="HS64" s="41" t="str">
        <f t="shared" si="420"/>
        <v/>
      </c>
      <c r="HT64" s="41" t="str">
        <f t="shared" si="421"/>
        <v/>
      </c>
      <c r="HU64" s="41" t="str">
        <f t="shared" si="422"/>
        <v/>
      </c>
      <c r="HV64" s="41" t="str">
        <f t="shared" si="423"/>
        <v/>
      </c>
      <c r="HW64" s="41" t="str">
        <f t="shared" si="424"/>
        <v/>
      </c>
      <c r="HX64" s="41" t="str">
        <f t="shared" si="425"/>
        <v/>
      </c>
      <c r="HY64" s="41" t="str">
        <f t="shared" si="426"/>
        <v/>
      </c>
      <c r="HZ64" s="41" t="str">
        <f t="shared" si="427"/>
        <v/>
      </c>
      <c r="IA64" s="41" t="str">
        <f t="shared" si="428"/>
        <v/>
      </c>
      <c r="IB64" s="41" t="str">
        <f t="shared" si="429"/>
        <v/>
      </c>
      <c r="IC64" s="41" t="str">
        <f t="shared" si="430"/>
        <v/>
      </c>
      <c r="ID64" s="41" t="str">
        <f t="shared" si="431"/>
        <v/>
      </c>
      <c r="IE64" s="41" t="str">
        <f t="shared" si="432"/>
        <v/>
      </c>
      <c r="IF64" s="41" t="str">
        <f t="shared" si="433"/>
        <v/>
      </c>
      <c r="IG64" s="306">
        <f t="shared" si="434"/>
        <v>774.75559182905545</v>
      </c>
      <c r="IH64" s="44">
        <f t="shared" si="458"/>
        <v>660.00162341631619</v>
      </c>
      <c r="II64" s="44">
        <f t="shared" si="459"/>
        <v>703.03436157109343</v>
      </c>
      <c r="IJ64" s="44">
        <f t="shared" si="460"/>
        <v>774.75559182905545</v>
      </c>
      <c r="IK64" s="44">
        <f t="shared" si="461"/>
        <v>846.47682208701758</v>
      </c>
      <c r="IL64" s="44">
        <f t="shared" si="462"/>
        <v>889.50956024179482</v>
      </c>
      <c r="IM64" s="306" t="str">
        <f t="shared" si="440"/>
        <v/>
      </c>
      <c r="IN64" s="44" t="str">
        <f t="shared" si="463"/>
        <v/>
      </c>
      <c r="IO64" s="44" t="str">
        <f t="shared" si="464"/>
        <v/>
      </c>
      <c r="IP64" s="44" t="str">
        <f t="shared" si="465"/>
        <v/>
      </c>
      <c r="IQ64" s="44" t="str">
        <f t="shared" si="466"/>
        <v/>
      </c>
      <c r="IR64" s="44" t="str">
        <f t="shared" si="467"/>
        <v/>
      </c>
      <c r="IS64" s="306" t="str">
        <f t="shared" si="446"/>
        <v/>
      </c>
      <c r="IT64" s="44" t="str">
        <f t="shared" si="468"/>
        <v/>
      </c>
      <c r="IU64" s="44" t="str">
        <f t="shared" si="469"/>
        <v/>
      </c>
      <c r="IV64" s="44" t="str">
        <f t="shared" si="470"/>
        <v/>
      </c>
      <c r="IW64" s="44" t="str">
        <f t="shared" si="471"/>
        <v/>
      </c>
      <c r="IX64" s="44" t="str">
        <f t="shared" si="472"/>
        <v/>
      </c>
      <c r="IY64" s="306" t="str">
        <f t="shared" si="452"/>
        <v/>
      </c>
      <c r="IZ64" s="44" t="str">
        <f t="shared" si="473"/>
        <v/>
      </c>
      <c r="JA64" s="44" t="str">
        <f t="shared" si="474"/>
        <v/>
      </c>
      <c r="JB64" s="44" t="str">
        <f t="shared" si="475"/>
        <v/>
      </c>
      <c r="JC64" s="44" t="str">
        <f t="shared" si="476"/>
        <v/>
      </c>
      <c r="JD64" s="307" t="str">
        <f t="shared" si="477"/>
        <v/>
      </c>
      <c r="JF64" s="66">
        <f t="shared" si="224"/>
        <v>64</v>
      </c>
      <c r="JG64" s="66">
        <f t="shared" ca="1" si="340"/>
        <v>703.03436157109343</v>
      </c>
      <c r="JH64" s="66">
        <f t="shared" ca="1" si="341"/>
        <v>774.75559182905545</v>
      </c>
      <c r="JI64" s="66">
        <f t="shared" ca="1" si="342"/>
        <v>846.47682208701758</v>
      </c>
      <c r="JJ64" s="66">
        <f t="shared" ca="1" si="343"/>
        <v>2</v>
      </c>
      <c r="JK64" s="33"/>
      <c r="JL64" s="74">
        <f t="shared" ca="1" si="121"/>
        <v>703.03436157109343</v>
      </c>
      <c r="JM64" s="75">
        <f t="shared" ca="1" si="310"/>
        <v>738.89497670007449</v>
      </c>
      <c r="JN64" s="75">
        <f t="shared" ca="1" si="311"/>
        <v>810.61620695803651</v>
      </c>
      <c r="JO64" s="74">
        <f t="shared" ca="1" si="122"/>
        <v>846.47682208701758</v>
      </c>
      <c r="JP64" s="74">
        <f t="shared" ca="1" si="123"/>
        <v>3099.0223673162218</v>
      </c>
    </row>
    <row r="65" spans="1:276" s="1" customFormat="1" x14ac:dyDescent="0.35">
      <c r="A65" s="125">
        <v>0</v>
      </c>
      <c r="B65" s="125">
        <v>0</v>
      </c>
      <c r="C65" s="125">
        <v>1</v>
      </c>
      <c r="D65" s="163"/>
      <c r="E65" s="142" t="s">
        <v>118</v>
      </c>
      <c r="F65" s="227" t="s">
        <v>119</v>
      </c>
      <c r="G65" s="228" t="s">
        <v>530</v>
      </c>
      <c r="H65" s="210" t="s">
        <v>549</v>
      </c>
      <c r="I65" s="8" t="s">
        <v>532</v>
      </c>
      <c r="J65" s="211" t="s">
        <v>805</v>
      </c>
      <c r="K65" s="211" t="s">
        <v>805</v>
      </c>
      <c r="L65" s="211" t="s">
        <v>805</v>
      </c>
      <c r="M65" s="211" t="s">
        <v>805</v>
      </c>
      <c r="N65" s="211" t="s">
        <v>805</v>
      </c>
      <c r="O65" s="211" t="s">
        <v>805</v>
      </c>
      <c r="P65" s="211" t="s">
        <v>805</v>
      </c>
      <c r="Q65" s="211" t="s">
        <v>805</v>
      </c>
      <c r="R65" s="211" t="s">
        <v>805</v>
      </c>
      <c r="S65" s="211" t="s">
        <v>805</v>
      </c>
      <c r="T65" s="211" t="s">
        <v>805</v>
      </c>
      <c r="U65" s="211" t="s">
        <v>805</v>
      </c>
      <c r="V65" s="211" t="s">
        <v>805</v>
      </c>
      <c r="W65" s="211" t="s">
        <v>805</v>
      </c>
      <c r="X65" s="211" t="s">
        <v>805</v>
      </c>
      <c r="Y65" s="211" t="s">
        <v>805</v>
      </c>
      <c r="Z65" s="211" t="s">
        <v>805</v>
      </c>
      <c r="AA65" s="211" t="s">
        <v>805</v>
      </c>
      <c r="AB65" s="211" t="s">
        <v>805</v>
      </c>
      <c r="AC65" s="211" t="s">
        <v>805</v>
      </c>
      <c r="AD65" s="211" t="s">
        <v>805</v>
      </c>
      <c r="AE65" s="211" t="s">
        <v>805</v>
      </c>
      <c r="AF65" s="211" t="s">
        <v>805</v>
      </c>
      <c r="AG65" s="211" t="s">
        <v>805</v>
      </c>
      <c r="AH65" s="211" t="s">
        <v>805</v>
      </c>
      <c r="AI65" s="211" t="s">
        <v>805</v>
      </c>
      <c r="AJ65" s="211" t="s">
        <v>805</v>
      </c>
      <c r="AK65" s="211" t="s">
        <v>805</v>
      </c>
      <c r="AL65" s="211" t="s">
        <v>805</v>
      </c>
      <c r="AM65" s="211" t="s">
        <v>805</v>
      </c>
      <c r="AN65" s="211" t="s">
        <v>805</v>
      </c>
      <c r="AO65" s="211" t="s">
        <v>805</v>
      </c>
      <c r="AP65" s="211" t="s">
        <v>805</v>
      </c>
      <c r="AQ65" s="211" t="s">
        <v>805</v>
      </c>
      <c r="AR65" s="211" t="s">
        <v>805</v>
      </c>
      <c r="AS65" s="211" t="s">
        <v>805</v>
      </c>
      <c r="AT65" s="211" t="s">
        <v>805</v>
      </c>
      <c r="AU65" s="211" t="s">
        <v>805</v>
      </c>
      <c r="AV65" s="211" t="s">
        <v>805</v>
      </c>
      <c r="AW65" s="211" t="s">
        <v>805</v>
      </c>
      <c r="AX65" s="211" t="s">
        <v>805</v>
      </c>
      <c r="AY65" s="211" t="s">
        <v>805</v>
      </c>
      <c r="AZ65" s="211" t="s">
        <v>805</v>
      </c>
      <c r="BA65" s="211" t="s">
        <v>805</v>
      </c>
      <c r="BB65" s="211" t="s">
        <v>805</v>
      </c>
      <c r="BC65" s="211" t="s">
        <v>805</v>
      </c>
      <c r="BD65" s="211" t="s">
        <v>805</v>
      </c>
      <c r="BE65" s="211" t="s">
        <v>805</v>
      </c>
      <c r="BF65" s="211" t="s">
        <v>805</v>
      </c>
      <c r="BG65" s="211" t="s">
        <v>805</v>
      </c>
      <c r="BH65" s="211" t="s">
        <v>805</v>
      </c>
      <c r="BI65" s="211" t="s">
        <v>805</v>
      </c>
      <c r="BJ65" s="211" t="s">
        <v>805</v>
      </c>
      <c r="BK65" s="211" t="s">
        <v>805</v>
      </c>
      <c r="BL65" s="211" t="s">
        <v>805</v>
      </c>
      <c r="BM65" s="211" t="s">
        <v>805</v>
      </c>
      <c r="BN65" s="211" t="s">
        <v>805</v>
      </c>
      <c r="BO65" s="211" t="s">
        <v>805</v>
      </c>
      <c r="BP65" s="211" t="s">
        <v>805</v>
      </c>
      <c r="BQ65" s="211" t="s">
        <v>805</v>
      </c>
      <c r="BR65" s="211" t="s">
        <v>805</v>
      </c>
      <c r="BS65" s="211" t="s">
        <v>805</v>
      </c>
      <c r="BT65" s="211" t="s">
        <v>805</v>
      </c>
      <c r="BU65" s="211" t="s">
        <v>805</v>
      </c>
      <c r="BV65" s="211" t="s">
        <v>805</v>
      </c>
      <c r="BW65" s="211" t="s">
        <v>805</v>
      </c>
      <c r="BX65" s="211" t="s">
        <v>805</v>
      </c>
      <c r="BY65" s="211" t="s">
        <v>805</v>
      </c>
      <c r="BZ65" s="211" t="s">
        <v>805</v>
      </c>
      <c r="CA65" s="211" t="s">
        <v>805</v>
      </c>
      <c r="CB65" s="211" t="s">
        <v>805</v>
      </c>
      <c r="CC65" s="211" t="s">
        <v>805</v>
      </c>
      <c r="CD65" s="211" t="s">
        <v>805</v>
      </c>
      <c r="CE65" s="211" t="s">
        <v>805</v>
      </c>
      <c r="CF65" s="211" t="s">
        <v>805</v>
      </c>
      <c r="CG65" s="211" t="s">
        <v>805</v>
      </c>
      <c r="CH65" s="211" t="s">
        <v>805</v>
      </c>
      <c r="CI65" s="211" t="s">
        <v>805</v>
      </c>
      <c r="CJ65" s="211" t="s">
        <v>805</v>
      </c>
      <c r="CK65" s="211" t="s">
        <v>805</v>
      </c>
      <c r="CL65" s="211" t="s">
        <v>805</v>
      </c>
      <c r="CM65" s="211" t="s">
        <v>805</v>
      </c>
      <c r="CN65" s="211" t="s">
        <v>805</v>
      </c>
      <c r="CO65" s="211" t="s">
        <v>805</v>
      </c>
      <c r="CP65" s="211" t="s">
        <v>805</v>
      </c>
      <c r="CQ65" s="211" t="s">
        <v>805</v>
      </c>
      <c r="CR65" s="211" t="s">
        <v>805</v>
      </c>
      <c r="CS65" s="211" t="s">
        <v>805</v>
      </c>
      <c r="CT65" s="211" t="s">
        <v>805</v>
      </c>
      <c r="CU65" s="211" t="s">
        <v>805</v>
      </c>
      <c r="CV65" s="211" t="s">
        <v>805</v>
      </c>
      <c r="CW65" s="211" t="s">
        <v>805</v>
      </c>
      <c r="CX65" s="211" t="s">
        <v>805</v>
      </c>
      <c r="CY65" s="211" t="s">
        <v>805</v>
      </c>
      <c r="CZ65" s="211" t="s">
        <v>805</v>
      </c>
      <c r="DA65" s="211" t="s">
        <v>805</v>
      </c>
      <c r="DB65" s="211" t="s">
        <v>805</v>
      </c>
      <c r="DC65" s="211" t="s">
        <v>805</v>
      </c>
      <c r="DD65" s="211" t="s">
        <v>805</v>
      </c>
      <c r="DE65" s="211" t="s">
        <v>805</v>
      </c>
      <c r="DF65" s="211" t="s">
        <v>805</v>
      </c>
      <c r="DG65" s="212">
        <f>VLOOKUP(E65,'KPI Count-SHARE'!A:F,3,0)</f>
        <v>0</v>
      </c>
      <c r="DH65" s="213" t="s">
        <v>805</v>
      </c>
      <c r="DI65" s="213" t="s">
        <v>805</v>
      </c>
      <c r="DJ65" s="213" t="s">
        <v>805</v>
      </c>
      <c r="DK65" s="213" t="s">
        <v>805</v>
      </c>
      <c r="DL65" s="213" t="s">
        <v>805</v>
      </c>
      <c r="DM65" s="213" t="s">
        <v>805</v>
      </c>
      <c r="DN65" s="212">
        <f>VLOOKUP(E65,'KPI Count-SHARE'!A:F,4,0)</f>
        <v>0</v>
      </c>
      <c r="DO65" s="213"/>
      <c r="DP65" s="213"/>
      <c r="DQ65" s="213"/>
      <c r="DR65" s="213"/>
      <c r="DS65" s="213"/>
      <c r="DT65" s="213"/>
      <c r="DU65" s="212">
        <f>VLOOKUP(E65,'KPI Count-SHARE'!A:F,5,0)</f>
        <v>0</v>
      </c>
      <c r="DV65" s="213"/>
      <c r="DW65" s="213"/>
      <c r="DX65" s="213"/>
      <c r="DY65" s="213"/>
      <c r="DZ65" s="213"/>
      <c r="EA65" s="213"/>
      <c r="EB65" s="212">
        <f>VLOOKUP(E65,'KPI Count-SHARE'!A:F,6,0)</f>
        <v>0</v>
      </c>
      <c r="EC65" s="213"/>
      <c r="ED65" s="213"/>
      <c r="EE65" s="213"/>
      <c r="EF65" s="213"/>
      <c r="EG65" s="213"/>
      <c r="EH65" s="213"/>
      <c r="EI65" s="214" t="s">
        <v>549</v>
      </c>
      <c r="EJ65" s="41" t="str">
        <f t="shared" si="101"/>
        <v/>
      </c>
      <c r="EK65" s="41" t="str">
        <f t="shared" si="102"/>
        <v/>
      </c>
      <c r="EL65" s="41" t="str">
        <f t="shared" si="103"/>
        <v/>
      </c>
      <c r="EM65" s="41" t="str">
        <f t="shared" si="104"/>
        <v/>
      </c>
      <c r="EN65" s="41" t="str">
        <f t="shared" si="105"/>
        <v/>
      </c>
      <c r="EO65" s="41" t="str">
        <f t="shared" si="106"/>
        <v/>
      </c>
      <c r="EP65" s="41" t="str">
        <f t="shared" si="107"/>
        <v/>
      </c>
      <c r="EQ65" s="41" t="str">
        <f t="shared" si="108"/>
        <v/>
      </c>
      <c r="ER65" s="41" t="str">
        <f t="shared" si="109"/>
        <v/>
      </c>
      <c r="ES65" s="41" t="str">
        <f t="shared" si="110"/>
        <v/>
      </c>
      <c r="ET65" s="41" t="str">
        <f t="shared" si="111"/>
        <v/>
      </c>
      <c r="EU65" s="41" t="str">
        <f t="shared" si="344"/>
        <v/>
      </c>
      <c r="EV65" s="41" t="str">
        <f t="shared" si="345"/>
        <v/>
      </c>
      <c r="EW65" s="41" t="str">
        <f t="shared" si="346"/>
        <v/>
      </c>
      <c r="EX65" s="41" t="str">
        <f t="shared" si="347"/>
        <v/>
      </c>
      <c r="EY65" s="41" t="str">
        <f t="shared" si="348"/>
        <v/>
      </c>
      <c r="EZ65" s="41" t="str">
        <f t="shared" si="349"/>
        <v/>
      </c>
      <c r="FA65" s="41" t="str">
        <f t="shared" si="350"/>
        <v/>
      </c>
      <c r="FB65" s="41" t="str">
        <f t="shared" si="351"/>
        <v/>
      </c>
      <c r="FC65" s="41" t="str">
        <f t="shared" si="352"/>
        <v/>
      </c>
      <c r="FD65" s="41" t="str">
        <f t="shared" si="353"/>
        <v/>
      </c>
      <c r="FE65" s="41" t="str">
        <f t="shared" si="354"/>
        <v/>
      </c>
      <c r="FF65" s="41" t="str">
        <f t="shared" si="355"/>
        <v/>
      </c>
      <c r="FG65" s="41" t="str">
        <f t="shared" si="356"/>
        <v/>
      </c>
      <c r="FH65" s="41" t="str">
        <f t="shared" si="357"/>
        <v/>
      </c>
      <c r="FI65" s="41" t="str">
        <f t="shared" si="358"/>
        <v/>
      </c>
      <c r="FJ65" s="41" t="str">
        <f t="shared" si="359"/>
        <v/>
      </c>
      <c r="FK65" s="41" t="str">
        <f t="shared" si="360"/>
        <v/>
      </c>
      <c r="FL65" s="41" t="str">
        <f t="shared" si="361"/>
        <v/>
      </c>
      <c r="FM65" s="41" t="str">
        <f t="shared" si="362"/>
        <v/>
      </c>
      <c r="FN65" s="41" t="str">
        <f t="shared" si="363"/>
        <v/>
      </c>
      <c r="FO65" s="41" t="str">
        <f t="shared" si="364"/>
        <v/>
      </c>
      <c r="FP65" s="41" t="str">
        <f t="shared" si="365"/>
        <v/>
      </c>
      <c r="FQ65" s="41" t="str">
        <f t="shared" si="366"/>
        <v/>
      </c>
      <c r="FR65" s="41" t="str">
        <f t="shared" si="367"/>
        <v/>
      </c>
      <c r="FS65" s="41" t="str">
        <f t="shared" si="368"/>
        <v/>
      </c>
      <c r="FT65" s="41" t="str">
        <f t="shared" si="369"/>
        <v/>
      </c>
      <c r="FU65" s="41" t="str">
        <f t="shared" si="370"/>
        <v/>
      </c>
      <c r="FV65" s="41" t="str">
        <f t="shared" si="371"/>
        <v/>
      </c>
      <c r="FW65" s="41" t="str">
        <f t="shared" si="372"/>
        <v/>
      </c>
      <c r="FX65" s="41" t="str">
        <f t="shared" si="373"/>
        <v/>
      </c>
      <c r="FY65" s="41" t="str">
        <f t="shared" si="374"/>
        <v/>
      </c>
      <c r="FZ65" s="41" t="str">
        <f t="shared" si="375"/>
        <v/>
      </c>
      <c r="GA65" s="41" t="str">
        <f t="shared" si="376"/>
        <v/>
      </c>
      <c r="GB65" s="41" t="str">
        <f t="shared" si="377"/>
        <v/>
      </c>
      <c r="GC65" s="41" t="str">
        <f t="shared" si="378"/>
        <v/>
      </c>
      <c r="GD65" s="41" t="str">
        <f t="shared" si="379"/>
        <v/>
      </c>
      <c r="GE65" s="41" t="str">
        <f t="shared" si="380"/>
        <v/>
      </c>
      <c r="GF65" s="41" t="str">
        <f t="shared" si="381"/>
        <v/>
      </c>
      <c r="GG65" s="41" t="str">
        <f t="shared" si="382"/>
        <v/>
      </c>
      <c r="GH65" s="41" t="str">
        <f t="shared" si="383"/>
        <v/>
      </c>
      <c r="GI65" s="41" t="str">
        <f t="shared" si="384"/>
        <v/>
      </c>
      <c r="GJ65" s="41" t="str">
        <f t="shared" si="385"/>
        <v/>
      </c>
      <c r="GK65" s="41" t="str">
        <f t="shared" si="386"/>
        <v/>
      </c>
      <c r="GL65" s="41" t="str">
        <f t="shared" si="387"/>
        <v/>
      </c>
      <c r="GM65" s="41" t="str">
        <f t="shared" si="388"/>
        <v/>
      </c>
      <c r="GN65" s="41" t="str">
        <f t="shared" si="389"/>
        <v/>
      </c>
      <c r="GO65" s="41" t="str">
        <f t="shared" si="390"/>
        <v/>
      </c>
      <c r="GP65" s="41" t="str">
        <f t="shared" si="391"/>
        <v/>
      </c>
      <c r="GQ65" s="41" t="str">
        <f t="shared" si="392"/>
        <v/>
      </c>
      <c r="GR65" s="41" t="str">
        <f t="shared" si="393"/>
        <v/>
      </c>
      <c r="GS65" s="41" t="str">
        <f t="shared" si="394"/>
        <v/>
      </c>
      <c r="GT65" s="41" t="str">
        <f t="shared" si="395"/>
        <v/>
      </c>
      <c r="GU65" s="41" t="str">
        <f t="shared" si="396"/>
        <v/>
      </c>
      <c r="GV65" s="41" t="str">
        <f t="shared" si="397"/>
        <v/>
      </c>
      <c r="GW65" s="41" t="str">
        <f t="shared" si="398"/>
        <v/>
      </c>
      <c r="GX65" s="41" t="str">
        <f t="shared" si="399"/>
        <v/>
      </c>
      <c r="GY65" s="41" t="str">
        <f t="shared" si="400"/>
        <v/>
      </c>
      <c r="GZ65" s="41" t="str">
        <f t="shared" si="401"/>
        <v/>
      </c>
      <c r="HA65" s="41" t="str">
        <f t="shared" si="402"/>
        <v/>
      </c>
      <c r="HB65" s="41" t="str">
        <f t="shared" si="403"/>
        <v/>
      </c>
      <c r="HC65" s="41" t="str">
        <f t="shared" si="404"/>
        <v/>
      </c>
      <c r="HD65" s="41" t="str">
        <f t="shared" si="405"/>
        <v/>
      </c>
      <c r="HE65" s="41" t="str">
        <f t="shared" si="406"/>
        <v/>
      </c>
      <c r="HF65" s="41" t="str">
        <f t="shared" si="407"/>
        <v/>
      </c>
      <c r="HG65" s="41" t="str">
        <f t="shared" si="408"/>
        <v/>
      </c>
      <c r="HH65" s="41" t="str">
        <f t="shared" si="409"/>
        <v/>
      </c>
      <c r="HI65" s="41" t="str">
        <f t="shared" si="410"/>
        <v/>
      </c>
      <c r="HJ65" s="41" t="str">
        <f t="shared" si="411"/>
        <v/>
      </c>
      <c r="HK65" s="41" t="str">
        <f t="shared" si="412"/>
        <v/>
      </c>
      <c r="HL65" s="41" t="str">
        <f t="shared" si="413"/>
        <v/>
      </c>
      <c r="HM65" s="41" t="str">
        <f t="shared" si="414"/>
        <v/>
      </c>
      <c r="HN65" s="41" t="str">
        <f t="shared" si="415"/>
        <v/>
      </c>
      <c r="HO65" s="41" t="str">
        <f t="shared" si="416"/>
        <v/>
      </c>
      <c r="HP65" s="41" t="str">
        <f t="shared" si="417"/>
        <v/>
      </c>
      <c r="HQ65" s="41" t="str">
        <f t="shared" si="418"/>
        <v/>
      </c>
      <c r="HR65" s="41" t="str">
        <f t="shared" si="419"/>
        <v/>
      </c>
      <c r="HS65" s="41" t="str">
        <f t="shared" si="420"/>
        <v/>
      </c>
      <c r="HT65" s="41" t="str">
        <f t="shared" si="421"/>
        <v/>
      </c>
      <c r="HU65" s="41" t="str">
        <f t="shared" si="422"/>
        <v/>
      </c>
      <c r="HV65" s="41" t="str">
        <f t="shared" si="423"/>
        <v/>
      </c>
      <c r="HW65" s="41" t="str">
        <f t="shared" si="424"/>
        <v/>
      </c>
      <c r="HX65" s="41" t="str">
        <f t="shared" si="425"/>
        <v/>
      </c>
      <c r="HY65" s="41" t="str">
        <f t="shared" si="426"/>
        <v/>
      </c>
      <c r="HZ65" s="41" t="str">
        <f t="shared" si="427"/>
        <v/>
      </c>
      <c r="IA65" s="41" t="str">
        <f t="shared" si="428"/>
        <v/>
      </c>
      <c r="IB65" s="41" t="str">
        <f t="shared" si="429"/>
        <v/>
      </c>
      <c r="IC65" s="41" t="str">
        <f t="shared" si="430"/>
        <v/>
      </c>
      <c r="ID65" s="41" t="str">
        <f t="shared" si="431"/>
        <v/>
      </c>
      <c r="IE65" s="41" t="str">
        <f t="shared" si="432"/>
        <v/>
      </c>
      <c r="IF65" s="41" t="str">
        <f t="shared" si="433"/>
        <v/>
      </c>
      <c r="IG65" s="306" t="str">
        <f t="shared" si="434"/>
        <v/>
      </c>
      <c r="IH65" s="44" t="str">
        <f t="shared" si="458"/>
        <v/>
      </c>
      <c r="II65" s="44" t="str">
        <f t="shared" si="459"/>
        <v/>
      </c>
      <c r="IJ65" s="44" t="str">
        <f t="shared" si="460"/>
        <v/>
      </c>
      <c r="IK65" s="44" t="str">
        <f t="shared" si="461"/>
        <v/>
      </c>
      <c r="IL65" s="44" t="str">
        <f t="shared" si="462"/>
        <v/>
      </c>
      <c r="IM65" s="306" t="str">
        <f t="shared" si="440"/>
        <v/>
      </c>
      <c r="IN65" s="44" t="str">
        <f t="shared" si="463"/>
        <v/>
      </c>
      <c r="IO65" s="44" t="str">
        <f t="shared" si="464"/>
        <v/>
      </c>
      <c r="IP65" s="44" t="str">
        <f t="shared" si="465"/>
        <v/>
      </c>
      <c r="IQ65" s="44" t="str">
        <f t="shared" si="466"/>
        <v/>
      </c>
      <c r="IR65" s="44" t="str">
        <f t="shared" si="467"/>
        <v/>
      </c>
      <c r="IS65" s="306" t="str">
        <f t="shared" si="446"/>
        <v/>
      </c>
      <c r="IT65" s="44" t="str">
        <f t="shared" si="468"/>
        <v/>
      </c>
      <c r="IU65" s="44" t="str">
        <f t="shared" si="469"/>
        <v/>
      </c>
      <c r="IV65" s="44" t="str">
        <f t="shared" si="470"/>
        <v/>
      </c>
      <c r="IW65" s="44" t="str">
        <f t="shared" si="471"/>
        <v/>
      </c>
      <c r="IX65" s="44" t="str">
        <f t="shared" si="472"/>
        <v/>
      </c>
      <c r="IY65" s="306" t="str">
        <f t="shared" si="452"/>
        <v/>
      </c>
      <c r="IZ65" s="44" t="str">
        <f t="shared" si="473"/>
        <v/>
      </c>
      <c r="JA65" s="44" t="str">
        <f t="shared" si="474"/>
        <v/>
      </c>
      <c r="JB65" s="44" t="str">
        <f t="shared" si="475"/>
        <v/>
      </c>
      <c r="JC65" s="44" t="str">
        <f t="shared" si="476"/>
        <v/>
      </c>
      <c r="JD65" s="307" t="str">
        <f t="shared" si="477"/>
        <v/>
      </c>
      <c r="JF65" s="66">
        <f t="shared" si="224"/>
        <v>65</v>
      </c>
      <c r="JG65" s="66">
        <f t="shared" ca="1" si="340"/>
        <v>0</v>
      </c>
      <c r="JH65" s="66">
        <f t="shared" ca="1" si="341"/>
        <v>0</v>
      </c>
      <c r="JI65" s="66">
        <f t="shared" ca="1" si="342"/>
        <v>0</v>
      </c>
      <c r="JJ65" s="66">
        <f t="shared" ca="1" si="343"/>
        <v>0</v>
      </c>
      <c r="JK65" s="33"/>
      <c r="JL65" s="74" t="str">
        <f t="shared" ca="1" si="121"/>
        <v>-</v>
      </c>
      <c r="JM65" s="75">
        <f t="shared" ca="1" si="310"/>
        <v>0</v>
      </c>
      <c r="JN65" s="75">
        <f t="shared" ca="1" si="311"/>
        <v>0</v>
      </c>
      <c r="JO65" s="74" t="str">
        <f t="shared" ca="1" si="122"/>
        <v>-</v>
      </c>
      <c r="JP65" s="74">
        <f t="shared" ca="1" si="123"/>
        <v>0</v>
      </c>
    </row>
    <row r="66" spans="1:276" s="1" customFormat="1" x14ac:dyDescent="0.35">
      <c r="A66" s="125">
        <v>0</v>
      </c>
      <c r="B66" s="125">
        <v>0</v>
      </c>
      <c r="C66" s="125">
        <v>1</v>
      </c>
      <c r="D66" s="163"/>
      <c r="E66" s="142" t="s">
        <v>120</v>
      </c>
      <c r="F66" s="227" t="s">
        <v>121</v>
      </c>
      <c r="G66" s="228" t="s">
        <v>530</v>
      </c>
      <c r="H66" s="210" t="s">
        <v>550</v>
      </c>
      <c r="I66" s="8" t="s">
        <v>532</v>
      </c>
      <c r="J66" s="211" t="s">
        <v>805</v>
      </c>
      <c r="K66" s="211" t="s">
        <v>805</v>
      </c>
      <c r="L66" s="211" t="s">
        <v>805</v>
      </c>
      <c r="M66" s="211" t="s">
        <v>805</v>
      </c>
      <c r="N66" s="211" t="s">
        <v>805</v>
      </c>
      <c r="O66" s="211" t="s">
        <v>805</v>
      </c>
      <c r="P66" s="211" t="s">
        <v>805</v>
      </c>
      <c r="Q66" s="211" t="s">
        <v>805</v>
      </c>
      <c r="R66" s="211" t="s">
        <v>805</v>
      </c>
      <c r="S66" s="211" t="s">
        <v>805</v>
      </c>
      <c r="T66" s="211" t="s">
        <v>805</v>
      </c>
      <c r="U66" s="211" t="s">
        <v>805</v>
      </c>
      <c r="V66" s="211" t="s">
        <v>805</v>
      </c>
      <c r="W66" s="211" t="s">
        <v>805</v>
      </c>
      <c r="X66" s="211" t="s">
        <v>805</v>
      </c>
      <c r="Y66" s="211" t="s">
        <v>805</v>
      </c>
      <c r="Z66" s="211" t="s">
        <v>805</v>
      </c>
      <c r="AA66" s="211" t="s">
        <v>805</v>
      </c>
      <c r="AB66" s="211" t="s">
        <v>805</v>
      </c>
      <c r="AC66" s="211" t="s">
        <v>805</v>
      </c>
      <c r="AD66" s="211" t="s">
        <v>805</v>
      </c>
      <c r="AE66" s="211" t="s">
        <v>805</v>
      </c>
      <c r="AF66" s="211" t="s">
        <v>805</v>
      </c>
      <c r="AG66" s="211" t="s">
        <v>805</v>
      </c>
      <c r="AH66" s="211" t="s">
        <v>805</v>
      </c>
      <c r="AI66" s="211" t="s">
        <v>805</v>
      </c>
      <c r="AJ66" s="211" t="s">
        <v>805</v>
      </c>
      <c r="AK66" s="211" t="s">
        <v>805</v>
      </c>
      <c r="AL66" s="211" t="s">
        <v>805</v>
      </c>
      <c r="AM66" s="211" t="s">
        <v>805</v>
      </c>
      <c r="AN66" s="211" t="s">
        <v>805</v>
      </c>
      <c r="AO66" s="211" t="s">
        <v>805</v>
      </c>
      <c r="AP66" s="211" t="s">
        <v>805</v>
      </c>
      <c r="AQ66" s="211" t="s">
        <v>805</v>
      </c>
      <c r="AR66" s="211" t="s">
        <v>805</v>
      </c>
      <c r="AS66" s="211" t="s">
        <v>805</v>
      </c>
      <c r="AT66" s="211" t="s">
        <v>805</v>
      </c>
      <c r="AU66" s="211" t="s">
        <v>805</v>
      </c>
      <c r="AV66" s="211" t="s">
        <v>805</v>
      </c>
      <c r="AW66" s="211" t="s">
        <v>805</v>
      </c>
      <c r="AX66" s="211" t="s">
        <v>805</v>
      </c>
      <c r="AY66" s="211" t="s">
        <v>805</v>
      </c>
      <c r="AZ66" s="211" t="s">
        <v>805</v>
      </c>
      <c r="BA66" s="211" t="s">
        <v>805</v>
      </c>
      <c r="BB66" s="211" t="s">
        <v>805</v>
      </c>
      <c r="BC66" s="211" t="s">
        <v>805</v>
      </c>
      <c r="BD66" s="211" t="s">
        <v>805</v>
      </c>
      <c r="BE66" s="211" t="s">
        <v>805</v>
      </c>
      <c r="BF66" s="211" t="s">
        <v>805</v>
      </c>
      <c r="BG66" s="211" t="s">
        <v>805</v>
      </c>
      <c r="BH66" s="211" t="s">
        <v>805</v>
      </c>
      <c r="BI66" s="211" t="s">
        <v>805</v>
      </c>
      <c r="BJ66" s="211" t="s">
        <v>805</v>
      </c>
      <c r="BK66" s="211" t="s">
        <v>805</v>
      </c>
      <c r="BL66" s="211" t="s">
        <v>805</v>
      </c>
      <c r="BM66" s="211" t="s">
        <v>805</v>
      </c>
      <c r="BN66" s="211" t="s">
        <v>805</v>
      </c>
      <c r="BO66" s="211" t="s">
        <v>805</v>
      </c>
      <c r="BP66" s="211" t="s">
        <v>805</v>
      </c>
      <c r="BQ66" s="211" t="s">
        <v>805</v>
      </c>
      <c r="BR66" s="211" t="s">
        <v>805</v>
      </c>
      <c r="BS66" s="211" t="s">
        <v>805</v>
      </c>
      <c r="BT66" s="211" t="s">
        <v>805</v>
      </c>
      <c r="BU66" s="211" t="s">
        <v>805</v>
      </c>
      <c r="BV66" s="211" t="s">
        <v>805</v>
      </c>
      <c r="BW66" s="211" t="s">
        <v>805</v>
      </c>
      <c r="BX66" s="211" t="s">
        <v>805</v>
      </c>
      <c r="BY66" s="211" t="s">
        <v>805</v>
      </c>
      <c r="BZ66" s="211" t="s">
        <v>805</v>
      </c>
      <c r="CA66" s="211" t="s">
        <v>805</v>
      </c>
      <c r="CB66" s="211" t="s">
        <v>805</v>
      </c>
      <c r="CC66" s="211" t="s">
        <v>805</v>
      </c>
      <c r="CD66" s="211" t="s">
        <v>805</v>
      </c>
      <c r="CE66" s="211" t="s">
        <v>805</v>
      </c>
      <c r="CF66" s="211" t="s">
        <v>805</v>
      </c>
      <c r="CG66" s="211" t="s">
        <v>805</v>
      </c>
      <c r="CH66" s="211" t="s">
        <v>805</v>
      </c>
      <c r="CI66" s="211" t="s">
        <v>805</v>
      </c>
      <c r="CJ66" s="211" t="s">
        <v>805</v>
      </c>
      <c r="CK66" s="211" t="s">
        <v>805</v>
      </c>
      <c r="CL66" s="211" t="s">
        <v>805</v>
      </c>
      <c r="CM66" s="211" t="s">
        <v>805</v>
      </c>
      <c r="CN66" s="211" t="s">
        <v>805</v>
      </c>
      <c r="CO66" s="211" t="s">
        <v>805</v>
      </c>
      <c r="CP66" s="211" t="s">
        <v>805</v>
      </c>
      <c r="CQ66" s="211" t="s">
        <v>805</v>
      </c>
      <c r="CR66" s="211" t="s">
        <v>805</v>
      </c>
      <c r="CS66" s="211" t="s">
        <v>805</v>
      </c>
      <c r="CT66" s="211" t="s">
        <v>805</v>
      </c>
      <c r="CU66" s="211" t="s">
        <v>805</v>
      </c>
      <c r="CV66" s="211" t="s">
        <v>805</v>
      </c>
      <c r="CW66" s="211" t="s">
        <v>805</v>
      </c>
      <c r="CX66" s="211" t="s">
        <v>805</v>
      </c>
      <c r="CY66" s="211" t="s">
        <v>805</v>
      </c>
      <c r="CZ66" s="211" t="s">
        <v>805</v>
      </c>
      <c r="DA66" s="211" t="s">
        <v>805</v>
      </c>
      <c r="DB66" s="211" t="s">
        <v>805</v>
      </c>
      <c r="DC66" s="211" t="s">
        <v>805</v>
      </c>
      <c r="DD66" s="211" t="s">
        <v>805</v>
      </c>
      <c r="DE66" s="211" t="s">
        <v>805</v>
      </c>
      <c r="DF66" s="211" t="s">
        <v>805</v>
      </c>
      <c r="DG66" s="212">
        <f>VLOOKUP(E66,'KPI Count-SHARE'!A:F,3,0)</f>
        <v>0</v>
      </c>
      <c r="DH66" s="213" t="s">
        <v>805</v>
      </c>
      <c r="DI66" s="213" t="s">
        <v>805</v>
      </c>
      <c r="DJ66" s="213" t="s">
        <v>805</v>
      </c>
      <c r="DK66" s="213" t="s">
        <v>805</v>
      </c>
      <c r="DL66" s="213" t="s">
        <v>805</v>
      </c>
      <c r="DM66" s="213" t="s">
        <v>805</v>
      </c>
      <c r="DN66" s="212">
        <f>VLOOKUP(E66,'KPI Count-SHARE'!A:F,4,0)</f>
        <v>0</v>
      </c>
      <c r="DO66" s="213"/>
      <c r="DP66" s="213"/>
      <c r="DQ66" s="213"/>
      <c r="DR66" s="213"/>
      <c r="DS66" s="213"/>
      <c r="DT66" s="213"/>
      <c r="DU66" s="212">
        <f>VLOOKUP(E66,'KPI Count-SHARE'!A:F,5,0)</f>
        <v>0</v>
      </c>
      <c r="DV66" s="213"/>
      <c r="DW66" s="213"/>
      <c r="DX66" s="213"/>
      <c r="DY66" s="213"/>
      <c r="DZ66" s="213"/>
      <c r="EA66" s="213"/>
      <c r="EB66" s="212">
        <f>VLOOKUP(E66,'KPI Count-SHARE'!A:F,6,0)</f>
        <v>0</v>
      </c>
      <c r="EC66" s="213"/>
      <c r="ED66" s="213"/>
      <c r="EE66" s="213"/>
      <c r="EF66" s="213"/>
      <c r="EG66" s="213"/>
      <c r="EH66" s="213"/>
      <c r="EI66" s="214" t="s">
        <v>550</v>
      </c>
      <c r="EJ66" s="41" t="str">
        <f t="shared" si="101"/>
        <v/>
      </c>
      <c r="EK66" s="41" t="str">
        <f t="shared" si="102"/>
        <v/>
      </c>
      <c r="EL66" s="41" t="str">
        <f t="shared" si="103"/>
        <v/>
      </c>
      <c r="EM66" s="41" t="str">
        <f t="shared" si="104"/>
        <v/>
      </c>
      <c r="EN66" s="41" t="str">
        <f t="shared" si="105"/>
        <v/>
      </c>
      <c r="EO66" s="41" t="str">
        <f t="shared" si="106"/>
        <v/>
      </c>
      <c r="EP66" s="41" t="str">
        <f t="shared" si="107"/>
        <v/>
      </c>
      <c r="EQ66" s="41" t="str">
        <f t="shared" si="108"/>
        <v/>
      </c>
      <c r="ER66" s="41" t="str">
        <f t="shared" si="109"/>
        <v/>
      </c>
      <c r="ES66" s="41" t="str">
        <f t="shared" si="110"/>
        <v/>
      </c>
      <c r="ET66" s="41" t="str">
        <f t="shared" si="111"/>
        <v/>
      </c>
      <c r="EU66" s="41" t="str">
        <f t="shared" si="344"/>
        <v/>
      </c>
      <c r="EV66" s="41" t="str">
        <f t="shared" si="345"/>
        <v/>
      </c>
      <c r="EW66" s="41" t="str">
        <f t="shared" si="346"/>
        <v/>
      </c>
      <c r="EX66" s="41" t="str">
        <f t="shared" si="347"/>
        <v/>
      </c>
      <c r="EY66" s="41" t="str">
        <f t="shared" si="348"/>
        <v/>
      </c>
      <c r="EZ66" s="41" t="str">
        <f t="shared" si="349"/>
        <v/>
      </c>
      <c r="FA66" s="41" t="str">
        <f t="shared" si="350"/>
        <v/>
      </c>
      <c r="FB66" s="41" t="str">
        <f t="shared" si="351"/>
        <v/>
      </c>
      <c r="FC66" s="41" t="str">
        <f t="shared" si="352"/>
        <v/>
      </c>
      <c r="FD66" s="41" t="str">
        <f t="shared" si="353"/>
        <v/>
      </c>
      <c r="FE66" s="41" t="str">
        <f t="shared" si="354"/>
        <v/>
      </c>
      <c r="FF66" s="41" t="str">
        <f t="shared" si="355"/>
        <v/>
      </c>
      <c r="FG66" s="41" t="str">
        <f t="shared" si="356"/>
        <v/>
      </c>
      <c r="FH66" s="41" t="str">
        <f t="shared" si="357"/>
        <v/>
      </c>
      <c r="FI66" s="41" t="str">
        <f t="shared" si="358"/>
        <v/>
      </c>
      <c r="FJ66" s="41" t="str">
        <f t="shared" si="359"/>
        <v/>
      </c>
      <c r="FK66" s="41" t="str">
        <f t="shared" si="360"/>
        <v/>
      </c>
      <c r="FL66" s="41" t="str">
        <f t="shared" si="361"/>
        <v/>
      </c>
      <c r="FM66" s="41" t="str">
        <f t="shared" si="362"/>
        <v/>
      </c>
      <c r="FN66" s="41" t="str">
        <f t="shared" si="363"/>
        <v/>
      </c>
      <c r="FO66" s="41" t="str">
        <f t="shared" si="364"/>
        <v/>
      </c>
      <c r="FP66" s="41" t="str">
        <f t="shared" si="365"/>
        <v/>
      </c>
      <c r="FQ66" s="41" t="str">
        <f t="shared" si="366"/>
        <v/>
      </c>
      <c r="FR66" s="41" t="str">
        <f t="shared" si="367"/>
        <v/>
      </c>
      <c r="FS66" s="41" t="str">
        <f t="shared" si="368"/>
        <v/>
      </c>
      <c r="FT66" s="41" t="str">
        <f t="shared" si="369"/>
        <v/>
      </c>
      <c r="FU66" s="41" t="str">
        <f t="shared" si="370"/>
        <v/>
      </c>
      <c r="FV66" s="41" t="str">
        <f t="shared" si="371"/>
        <v/>
      </c>
      <c r="FW66" s="41" t="str">
        <f t="shared" si="372"/>
        <v/>
      </c>
      <c r="FX66" s="41" t="str">
        <f t="shared" si="373"/>
        <v/>
      </c>
      <c r="FY66" s="41" t="str">
        <f t="shared" si="374"/>
        <v/>
      </c>
      <c r="FZ66" s="41" t="str">
        <f t="shared" si="375"/>
        <v/>
      </c>
      <c r="GA66" s="41" t="str">
        <f t="shared" si="376"/>
        <v/>
      </c>
      <c r="GB66" s="41" t="str">
        <f t="shared" si="377"/>
        <v/>
      </c>
      <c r="GC66" s="41" t="str">
        <f t="shared" si="378"/>
        <v/>
      </c>
      <c r="GD66" s="41" t="str">
        <f t="shared" si="379"/>
        <v/>
      </c>
      <c r="GE66" s="41" t="str">
        <f t="shared" si="380"/>
        <v/>
      </c>
      <c r="GF66" s="41" t="str">
        <f t="shared" si="381"/>
        <v/>
      </c>
      <c r="GG66" s="41" t="str">
        <f t="shared" si="382"/>
        <v/>
      </c>
      <c r="GH66" s="41" t="str">
        <f t="shared" si="383"/>
        <v/>
      </c>
      <c r="GI66" s="41" t="str">
        <f t="shared" si="384"/>
        <v/>
      </c>
      <c r="GJ66" s="41" t="str">
        <f t="shared" si="385"/>
        <v/>
      </c>
      <c r="GK66" s="41" t="str">
        <f t="shared" si="386"/>
        <v/>
      </c>
      <c r="GL66" s="41" t="str">
        <f t="shared" si="387"/>
        <v/>
      </c>
      <c r="GM66" s="41" t="str">
        <f t="shared" si="388"/>
        <v/>
      </c>
      <c r="GN66" s="41" t="str">
        <f t="shared" si="389"/>
        <v/>
      </c>
      <c r="GO66" s="41" t="str">
        <f t="shared" si="390"/>
        <v/>
      </c>
      <c r="GP66" s="41" t="str">
        <f t="shared" si="391"/>
        <v/>
      </c>
      <c r="GQ66" s="41" t="str">
        <f t="shared" si="392"/>
        <v/>
      </c>
      <c r="GR66" s="41" t="str">
        <f t="shared" si="393"/>
        <v/>
      </c>
      <c r="GS66" s="41" t="str">
        <f t="shared" si="394"/>
        <v/>
      </c>
      <c r="GT66" s="41" t="str">
        <f t="shared" si="395"/>
        <v/>
      </c>
      <c r="GU66" s="41" t="str">
        <f t="shared" si="396"/>
        <v/>
      </c>
      <c r="GV66" s="41" t="str">
        <f t="shared" si="397"/>
        <v/>
      </c>
      <c r="GW66" s="41" t="str">
        <f t="shared" si="398"/>
        <v/>
      </c>
      <c r="GX66" s="41" t="str">
        <f t="shared" si="399"/>
        <v/>
      </c>
      <c r="GY66" s="41" t="str">
        <f t="shared" si="400"/>
        <v/>
      </c>
      <c r="GZ66" s="41" t="str">
        <f t="shared" si="401"/>
        <v/>
      </c>
      <c r="HA66" s="41" t="str">
        <f t="shared" si="402"/>
        <v/>
      </c>
      <c r="HB66" s="41" t="str">
        <f t="shared" si="403"/>
        <v/>
      </c>
      <c r="HC66" s="41" t="str">
        <f t="shared" si="404"/>
        <v/>
      </c>
      <c r="HD66" s="41" t="str">
        <f t="shared" si="405"/>
        <v/>
      </c>
      <c r="HE66" s="41" t="str">
        <f t="shared" si="406"/>
        <v/>
      </c>
      <c r="HF66" s="41" t="str">
        <f t="shared" si="407"/>
        <v/>
      </c>
      <c r="HG66" s="41" t="str">
        <f t="shared" si="408"/>
        <v/>
      </c>
      <c r="HH66" s="41" t="str">
        <f t="shared" si="409"/>
        <v/>
      </c>
      <c r="HI66" s="41" t="str">
        <f t="shared" si="410"/>
        <v/>
      </c>
      <c r="HJ66" s="41" t="str">
        <f t="shared" si="411"/>
        <v/>
      </c>
      <c r="HK66" s="41" t="str">
        <f t="shared" si="412"/>
        <v/>
      </c>
      <c r="HL66" s="41" t="str">
        <f t="shared" si="413"/>
        <v/>
      </c>
      <c r="HM66" s="41" t="str">
        <f t="shared" si="414"/>
        <v/>
      </c>
      <c r="HN66" s="41" t="str">
        <f t="shared" si="415"/>
        <v/>
      </c>
      <c r="HO66" s="41" t="str">
        <f t="shared" si="416"/>
        <v/>
      </c>
      <c r="HP66" s="41" t="str">
        <f t="shared" si="417"/>
        <v/>
      </c>
      <c r="HQ66" s="41" t="str">
        <f t="shared" si="418"/>
        <v/>
      </c>
      <c r="HR66" s="41" t="str">
        <f t="shared" si="419"/>
        <v/>
      </c>
      <c r="HS66" s="41" t="str">
        <f t="shared" si="420"/>
        <v/>
      </c>
      <c r="HT66" s="41" t="str">
        <f t="shared" si="421"/>
        <v/>
      </c>
      <c r="HU66" s="41" t="str">
        <f t="shared" si="422"/>
        <v/>
      </c>
      <c r="HV66" s="41" t="str">
        <f t="shared" si="423"/>
        <v/>
      </c>
      <c r="HW66" s="41" t="str">
        <f t="shared" si="424"/>
        <v/>
      </c>
      <c r="HX66" s="41" t="str">
        <f t="shared" si="425"/>
        <v/>
      </c>
      <c r="HY66" s="41" t="str">
        <f t="shared" si="426"/>
        <v/>
      </c>
      <c r="HZ66" s="41" t="str">
        <f t="shared" si="427"/>
        <v/>
      </c>
      <c r="IA66" s="41" t="str">
        <f t="shared" si="428"/>
        <v/>
      </c>
      <c r="IB66" s="41" t="str">
        <f t="shared" si="429"/>
        <v/>
      </c>
      <c r="IC66" s="41" t="str">
        <f t="shared" si="430"/>
        <v/>
      </c>
      <c r="ID66" s="41" t="str">
        <f t="shared" si="431"/>
        <v/>
      </c>
      <c r="IE66" s="41" t="str">
        <f t="shared" si="432"/>
        <v/>
      </c>
      <c r="IF66" s="41" t="str">
        <f t="shared" si="433"/>
        <v/>
      </c>
      <c r="IG66" s="306" t="str">
        <f t="shared" si="434"/>
        <v/>
      </c>
      <c r="IH66" s="44" t="str">
        <f t="shared" si="458"/>
        <v/>
      </c>
      <c r="II66" s="44" t="str">
        <f t="shared" si="459"/>
        <v/>
      </c>
      <c r="IJ66" s="44" t="str">
        <f t="shared" si="460"/>
        <v/>
      </c>
      <c r="IK66" s="44" t="str">
        <f t="shared" si="461"/>
        <v/>
      </c>
      <c r="IL66" s="44" t="str">
        <f t="shared" si="462"/>
        <v/>
      </c>
      <c r="IM66" s="306" t="str">
        <f t="shared" si="440"/>
        <v/>
      </c>
      <c r="IN66" s="44" t="str">
        <f t="shared" si="463"/>
        <v/>
      </c>
      <c r="IO66" s="44" t="str">
        <f t="shared" si="464"/>
        <v/>
      </c>
      <c r="IP66" s="44" t="str">
        <f t="shared" si="465"/>
        <v/>
      </c>
      <c r="IQ66" s="44" t="str">
        <f t="shared" si="466"/>
        <v/>
      </c>
      <c r="IR66" s="44" t="str">
        <f t="shared" si="467"/>
        <v/>
      </c>
      <c r="IS66" s="306" t="str">
        <f t="shared" si="446"/>
        <v/>
      </c>
      <c r="IT66" s="44" t="str">
        <f t="shared" si="468"/>
        <v/>
      </c>
      <c r="IU66" s="44" t="str">
        <f t="shared" si="469"/>
        <v/>
      </c>
      <c r="IV66" s="44" t="str">
        <f t="shared" si="470"/>
        <v/>
      </c>
      <c r="IW66" s="44" t="str">
        <f t="shared" si="471"/>
        <v/>
      </c>
      <c r="IX66" s="44" t="str">
        <f t="shared" si="472"/>
        <v/>
      </c>
      <c r="IY66" s="306" t="str">
        <f t="shared" si="452"/>
        <v/>
      </c>
      <c r="IZ66" s="44" t="str">
        <f t="shared" si="473"/>
        <v/>
      </c>
      <c r="JA66" s="44" t="str">
        <f t="shared" si="474"/>
        <v/>
      </c>
      <c r="JB66" s="44" t="str">
        <f t="shared" si="475"/>
        <v/>
      </c>
      <c r="JC66" s="44" t="str">
        <f t="shared" si="476"/>
        <v/>
      </c>
      <c r="JD66" s="307" t="str">
        <f t="shared" si="477"/>
        <v/>
      </c>
      <c r="JF66" s="66">
        <f t="shared" si="224"/>
        <v>66</v>
      </c>
      <c r="JG66" s="66">
        <f t="shared" ca="1" si="340"/>
        <v>0</v>
      </c>
      <c r="JH66" s="66">
        <f t="shared" ca="1" si="341"/>
        <v>0</v>
      </c>
      <c r="JI66" s="66">
        <f t="shared" ca="1" si="342"/>
        <v>0</v>
      </c>
      <c r="JJ66" s="66">
        <f t="shared" ca="1" si="343"/>
        <v>0</v>
      </c>
      <c r="JK66" s="33"/>
      <c r="JL66" s="74" t="str">
        <f t="shared" ca="1" si="121"/>
        <v>-</v>
      </c>
      <c r="JM66" s="75">
        <f t="shared" ca="1" si="310"/>
        <v>0</v>
      </c>
      <c r="JN66" s="75">
        <f t="shared" ca="1" si="311"/>
        <v>0</v>
      </c>
      <c r="JO66" s="74" t="str">
        <f t="shared" ca="1" si="122"/>
        <v>-</v>
      </c>
      <c r="JP66" s="74">
        <f t="shared" ca="1" si="123"/>
        <v>0</v>
      </c>
    </row>
    <row r="67" spans="1:276" s="1" customFormat="1" x14ac:dyDescent="0.35">
      <c r="A67" s="125">
        <v>0</v>
      </c>
      <c r="B67" s="125">
        <v>0</v>
      </c>
      <c r="C67" s="125">
        <v>1</v>
      </c>
      <c r="D67" s="163"/>
      <c r="E67" s="142" t="s">
        <v>128</v>
      </c>
      <c r="F67" s="227" t="s">
        <v>129</v>
      </c>
      <c r="G67" s="228" t="s">
        <v>530</v>
      </c>
      <c r="H67" s="210" t="s">
        <v>548</v>
      </c>
      <c r="I67" s="8" t="s">
        <v>532</v>
      </c>
      <c r="J67" s="211" t="s">
        <v>805</v>
      </c>
      <c r="K67" s="211" t="s">
        <v>805</v>
      </c>
      <c r="L67" s="211" t="s">
        <v>805</v>
      </c>
      <c r="M67" s="211" t="s">
        <v>805</v>
      </c>
      <c r="N67" s="211" t="s">
        <v>805</v>
      </c>
      <c r="O67" s="211" t="s">
        <v>805</v>
      </c>
      <c r="P67" s="211" t="s">
        <v>805</v>
      </c>
      <c r="Q67" s="211" t="s">
        <v>805</v>
      </c>
      <c r="R67" s="211" t="s">
        <v>805</v>
      </c>
      <c r="S67" s="211" t="s">
        <v>805</v>
      </c>
      <c r="T67" s="211" t="s">
        <v>805</v>
      </c>
      <c r="U67" s="211" t="s">
        <v>805</v>
      </c>
      <c r="V67" s="211" t="s">
        <v>805</v>
      </c>
      <c r="W67" s="211" t="s">
        <v>805</v>
      </c>
      <c r="X67" s="211" t="s">
        <v>805</v>
      </c>
      <c r="Y67" s="211" t="s">
        <v>805</v>
      </c>
      <c r="Z67" s="211" t="s">
        <v>805</v>
      </c>
      <c r="AA67" s="211" t="s">
        <v>805</v>
      </c>
      <c r="AB67" s="211" t="s">
        <v>805</v>
      </c>
      <c r="AC67" s="211" t="s">
        <v>805</v>
      </c>
      <c r="AD67" s="211" t="s">
        <v>805</v>
      </c>
      <c r="AE67" s="211" t="s">
        <v>805</v>
      </c>
      <c r="AF67" s="211" t="s">
        <v>805</v>
      </c>
      <c r="AG67" s="211" t="s">
        <v>805</v>
      </c>
      <c r="AH67" s="211" t="s">
        <v>805</v>
      </c>
      <c r="AI67" s="211" t="s">
        <v>805</v>
      </c>
      <c r="AJ67" s="211" t="s">
        <v>805</v>
      </c>
      <c r="AK67" s="211" t="s">
        <v>805</v>
      </c>
      <c r="AL67" s="211" t="s">
        <v>805</v>
      </c>
      <c r="AM67" s="211" t="s">
        <v>805</v>
      </c>
      <c r="AN67" s="211" t="s">
        <v>805</v>
      </c>
      <c r="AO67" s="211" t="s">
        <v>805</v>
      </c>
      <c r="AP67" s="211" t="s">
        <v>805</v>
      </c>
      <c r="AQ67" s="211" t="s">
        <v>805</v>
      </c>
      <c r="AR67" s="211" t="s">
        <v>805</v>
      </c>
      <c r="AS67" s="211" t="s">
        <v>805</v>
      </c>
      <c r="AT67" s="211" t="s">
        <v>805</v>
      </c>
      <c r="AU67" s="211" t="s">
        <v>805</v>
      </c>
      <c r="AV67" s="211" t="s">
        <v>805</v>
      </c>
      <c r="AW67" s="211" t="s">
        <v>805</v>
      </c>
      <c r="AX67" s="211" t="s">
        <v>805</v>
      </c>
      <c r="AY67" s="211" t="s">
        <v>805</v>
      </c>
      <c r="AZ67" s="211" t="s">
        <v>805</v>
      </c>
      <c r="BA67" s="211" t="s">
        <v>805</v>
      </c>
      <c r="BB67" s="211" t="s">
        <v>805</v>
      </c>
      <c r="BC67" s="211" t="s">
        <v>805</v>
      </c>
      <c r="BD67" s="211" t="s">
        <v>805</v>
      </c>
      <c r="BE67" s="211" t="s">
        <v>805</v>
      </c>
      <c r="BF67" s="211" t="s">
        <v>805</v>
      </c>
      <c r="BG67" s="211" t="s">
        <v>805</v>
      </c>
      <c r="BH67" s="211" t="s">
        <v>805</v>
      </c>
      <c r="BI67" s="211" t="s">
        <v>805</v>
      </c>
      <c r="BJ67" s="211" t="s">
        <v>805</v>
      </c>
      <c r="BK67" s="211" t="s">
        <v>805</v>
      </c>
      <c r="BL67" s="211" t="s">
        <v>805</v>
      </c>
      <c r="BM67" s="211" t="s">
        <v>805</v>
      </c>
      <c r="BN67" s="211" t="s">
        <v>805</v>
      </c>
      <c r="BO67" s="211" t="s">
        <v>805</v>
      </c>
      <c r="BP67" s="211" t="s">
        <v>805</v>
      </c>
      <c r="BQ67" s="211" t="s">
        <v>805</v>
      </c>
      <c r="BR67" s="211" t="s">
        <v>805</v>
      </c>
      <c r="BS67" s="211" t="s">
        <v>805</v>
      </c>
      <c r="BT67" s="211" t="s">
        <v>805</v>
      </c>
      <c r="BU67" s="211" t="s">
        <v>805</v>
      </c>
      <c r="BV67" s="211" t="s">
        <v>805</v>
      </c>
      <c r="BW67" s="211" t="s">
        <v>805</v>
      </c>
      <c r="BX67" s="211" t="s">
        <v>805</v>
      </c>
      <c r="BY67" s="211" t="s">
        <v>805</v>
      </c>
      <c r="BZ67" s="211" t="s">
        <v>805</v>
      </c>
      <c r="CA67" s="211" t="s">
        <v>805</v>
      </c>
      <c r="CB67" s="211" t="s">
        <v>805</v>
      </c>
      <c r="CC67" s="211" t="s">
        <v>805</v>
      </c>
      <c r="CD67" s="211" t="s">
        <v>805</v>
      </c>
      <c r="CE67" s="211" t="s">
        <v>805</v>
      </c>
      <c r="CF67" s="211" t="s">
        <v>805</v>
      </c>
      <c r="CG67" s="211" t="s">
        <v>805</v>
      </c>
      <c r="CH67" s="211" t="s">
        <v>805</v>
      </c>
      <c r="CI67" s="211" t="s">
        <v>805</v>
      </c>
      <c r="CJ67" s="211" t="s">
        <v>805</v>
      </c>
      <c r="CK67" s="211" t="s">
        <v>805</v>
      </c>
      <c r="CL67" s="211" t="s">
        <v>805</v>
      </c>
      <c r="CM67" s="211" t="s">
        <v>805</v>
      </c>
      <c r="CN67" s="211" t="s">
        <v>805</v>
      </c>
      <c r="CO67" s="211" t="s">
        <v>805</v>
      </c>
      <c r="CP67" s="211" t="s">
        <v>805</v>
      </c>
      <c r="CQ67" s="211" t="s">
        <v>805</v>
      </c>
      <c r="CR67" s="211" t="s">
        <v>805</v>
      </c>
      <c r="CS67" s="211" t="s">
        <v>805</v>
      </c>
      <c r="CT67" s="211" t="s">
        <v>805</v>
      </c>
      <c r="CU67" s="211" t="s">
        <v>805</v>
      </c>
      <c r="CV67" s="211" t="s">
        <v>805</v>
      </c>
      <c r="CW67" s="211" t="s">
        <v>805</v>
      </c>
      <c r="CX67" s="211" t="s">
        <v>805</v>
      </c>
      <c r="CY67" s="211" t="s">
        <v>805</v>
      </c>
      <c r="CZ67" s="211" t="s">
        <v>805</v>
      </c>
      <c r="DA67" s="211" t="s">
        <v>805</v>
      </c>
      <c r="DB67" s="211" t="s">
        <v>805</v>
      </c>
      <c r="DC67" s="211" t="s">
        <v>805</v>
      </c>
      <c r="DD67" s="211" t="s">
        <v>805</v>
      </c>
      <c r="DE67" s="211" t="s">
        <v>805</v>
      </c>
      <c r="DF67" s="211" t="s">
        <v>805</v>
      </c>
      <c r="DG67" s="212">
        <f>VLOOKUP(E67,'KPI Count-SHARE'!A:F,3,0)</f>
        <v>2</v>
      </c>
      <c r="DH67" s="213">
        <v>1373.3831664584659</v>
      </c>
      <c r="DI67" s="213">
        <v>1165.545230173653</v>
      </c>
      <c r="DJ67" s="213">
        <v>1243.4844562804578</v>
      </c>
      <c r="DK67" s="213">
        <v>1373.3831664584659</v>
      </c>
      <c r="DL67" s="213">
        <v>1503.281876636474</v>
      </c>
      <c r="DM67" s="213">
        <v>1581.2211027432786</v>
      </c>
      <c r="DN67" s="212">
        <f>VLOOKUP(E67,'KPI Count-SHARE'!A:F,4,0)</f>
        <v>0</v>
      </c>
      <c r="DO67" s="213"/>
      <c r="DP67" s="213"/>
      <c r="DQ67" s="213"/>
      <c r="DR67" s="213"/>
      <c r="DS67" s="213"/>
      <c r="DT67" s="213"/>
      <c r="DU67" s="212">
        <f>VLOOKUP(E67,'KPI Count-SHARE'!A:F,5,0)</f>
        <v>0</v>
      </c>
      <c r="DV67" s="213"/>
      <c r="DW67" s="213"/>
      <c r="DX67" s="213"/>
      <c r="DY67" s="213"/>
      <c r="DZ67" s="213"/>
      <c r="EA67" s="213"/>
      <c r="EB67" s="212">
        <f>VLOOKUP(E67,'KPI Count-SHARE'!A:F,6,0)</f>
        <v>0</v>
      </c>
      <c r="EC67" s="213"/>
      <c r="ED67" s="213"/>
      <c r="EE67" s="213"/>
      <c r="EF67" s="213"/>
      <c r="EG67" s="213"/>
      <c r="EH67" s="213"/>
      <c r="EI67" s="214" t="s">
        <v>548</v>
      </c>
      <c r="EJ67" s="41" t="str">
        <f t="shared" si="101"/>
        <v/>
      </c>
      <c r="EK67" s="41" t="str">
        <f t="shared" si="102"/>
        <v/>
      </c>
      <c r="EL67" s="41" t="str">
        <f t="shared" si="103"/>
        <v/>
      </c>
      <c r="EM67" s="41" t="str">
        <f t="shared" si="104"/>
        <v/>
      </c>
      <c r="EN67" s="41" t="str">
        <f t="shared" si="105"/>
        <v/>
      </c>
      <c r="EO67" s="41" t="str">
        <f t="shared" si="106"/>
        <v/>
      </c>
      <c r="EP67" s="41" t="str">
        <f t="shared" si="107"/>
        <v/>
      </c>
      <c r="EQ67" s="41" t="str">
        <f t="shared" si="108"/>
        <v/>
      </c>
      <c r="ER67" s="41" t="str">
        <f t="shared" si="109"/>
        <v/>
      </c>
      <c r="ES67" s="41" t="str">
        <f t="shared" si="110"/>
        <v/>
      </c>
      <c r="ET67" s="41" t="str">
        <f t="shared" si="111"/>
        <v/>
      </c>
      <c r="EU67" s="41" t="str">
        <f t="shared" si="344"/>
        <v/>
      </c>
      <c r="EV67" s="41" t="str">
        <f t="shared" si="345"/>
        <v/>
      </c>
      <c r="EW67" s="41" t="str">
        <f t="shared" si="346"/>
        <v/>
      </c>
      <c r="EX67" s="41" t="str">
        <f t="shared" si="347"/>
        <v/>
      </c>
      <c r="EY67" s="41" t="str">
        <f t="shared" si="348"/>
        <v/>
      </c>
      <c r="EZ67" s="41" t="str">
        <f t="shared" si="349"/>
        <v/>
      </c>
      <c r="FA67" s="41" t="str">
        <f t="shared" si="350"/>
        <v/>
      </c>
      <c r="FB67" s="41" t="str">
        <f t="shared" si="351"/>
        <v/>
      </c>
      <c r="FC67" s="41" t="str">
        <f t="shared" si="352"/>
        <v/>
      </c>
      <c r="FD67" s="41" t="str">
        <f t="shared" si="353"/>
        <v/>
      </c>
      <c r="FE67" s="41" t="str">
        <f t="shared" si="354"/>
        <v/>
      </c>
      <c r="FF67" s="41" t="str">
        <f t="shared" si="355"/>
        <v/>
      </c>
      <c r="FG67" s="41" t="str">
        <f t="shared" si="356"/>
        <v/>
      </c>
      <c r="FH67" s="41" t="str">
        <f t="shared" si="357"/>
        <v/>
      </c>
      <c r="FI67" s="41" t="str">
        <f t="shared" si="358"/>
        <v/>
      </c>
      <c r="FJ67" s="41" t="str">
        <f t="shared" si="359"/>
        <v/>
      </c>
      <c r="FK67" s="41" t="str">
        <f t="shared" si="360"/>
        <v/>
      </c>
      <c r="FL67" s="41" t="str">
        <f t="shared" si="361"/>
        <v/>
      </c>
      <c r="FM67" s="41" t="str">
        <f t="shared" si="362"/>
        <v/>
      </c>
      <c r="FN67" s="41" t="str">
        <f t="shared" si="363"/>
        <v/>
      </c>
      <c r="FO67" s="41" t="str">
        <f t="shared" si="364"/>
        <v/>
      </c>
      <c r="FP67" s="41" t="str">
        <f t="shared" si="365"/>
        <v/>
      </c>
      <c r="FQ67" s="41" t="str">
        <f t="shared" si="366"/>
        <v/>
      </c>
      <c r="FR67" s="41" t="str">
        <f t="shared" si="367"/>
        <v/>
      </c>
      <c r="FS67" s="41" t="str">
        <f t="shared" si="368"/>
        <v/>
      </c>
      <c r="FT67" s="41" t="str">
        <f t="shared" si="369"/>
        <v/>
      </c>
      <c r="FU67" s="41" t="str">
        <f t="shared" si="370"/>
        <v/>
      </c>
      <c r="FV67" s="41" t="str">
        <f t="shared" si="371"/>
        <v/>
      </c>
      <c r="FW67" s="41" t="str">
        <f t="shared" si="372"/>
        <v/>
      </c>
      <c r="FX67" s="41" t="str">
        <f t="shared" si="373"/>
        <v/>
      </c>
      <c r="FY67" s="41" t="str">
        <f t="shared" si="374"/>
        <v/>
      </c>
      <c r="FZ67" s="41" t="str">
        <f t="shared" si="375"/>
        <v/>
      </c>
      <c r="GA67" s="41" t="str">
        <f t="shared" si="376"/>
        <v/>
      </c>
      <c r="GB67" s="41" t="str">
        <f t="shared" si="377"/>
        <v/>
      </c>
      <c r="GC67" s="41" t="str">
        <f t="shared" si="378"/>
        <v/>
      </c>
      <c r="GD67" s="41" t="str">
        <f t="shared" si="379"/>
        <v/>
      </c>
      <c r="GE67" s="41" t="str">
        <f t="shared" si="380"/>
        <v/>
      </c>
      <c r="GF67" s="41" t="str">
        <f t="shared" si="381"/>
        <v/>
      </c>
      <c r="GG67" s="41" t="str">
        <f t="shared" si="382"/>
        <v/>
      </c>
      <c r="GH67" s="41" t="str">
        <f t="shared" si="383"/>
        <v/>
      </c>
      <c r="GI67" s="41" t="str">
        <f t="shared" si="384"/>
        <v/>
      </c>
      <c r="GJ67" s="41" t="str">
        <f t="shared" si="385"/>
        <v/>
      </c>
      <c r="GK67" s="41" t="str">
        <f t="shared" si="386"/>
        <v/>
      </c>
      <c r="GL67" s="41" t="str">
        <f t="shared" si="387"/>
        <v/>
      </c>
      <c r="GM67" s="41" t="str">
        <f t="shared" si="388"/>
        <v/>
      </c>
      <c r="GN67" s="41" t="str">
        <f t="shared" si="389"/>
        <v/>
      </c>
      <c r="GO67" s="41" t="str">
        <f t="shared" si="390"/>
        <v/>
      </c>
      <c r="GP67" s="41" t="str">
        <f t="shared" si="391"/>
        <v/>
      </c>
      <c r="GQ67" s="41" t="str">
        <f t="shared" si="392"/>
        <v/>
      </c>
      <c r="GR67" s="41" t="str">
        <f t="shared" si="393"/>
        <v/>
      </c>
      <c r="GS67" s="41" t="str">
        <f t="shared" si="394"/>
        <v/>
      </c>
      <c r="GT67" s="41" t="str">
        <f t="shared" si="395"/>
        <v/>
      </c>
      <c r="GU67" s="41" t="str">
        <f t="shared" si="396"/>
        <v/>
      </c>
      <c r="GV67" s="41" t="str">
        <f t="shared" si="397"/>
        <v/>
      </c>
      <c r="GW67" s="41" t="str">
        <f t="shared" si="398"/>
        <v/>
      </c>
      <c r="GX67" s="41" t="str">
        <f t="shared" si="399"/>
        <v/>
      </c>
      <c r="GY67" s="41" t="str">
        <f t="shared" si="400"/>
        <v/>
      </c>
      <c r="GZ67" s="41" t="str">
        <f t="shared" si="401"/>
        <v/>
      </c>
      <c r="HA67" s="41" t="str">
        <f t="shared" si="402"/>
        <v/>
      </c>
      <c r="HB67" s="41" t="str">
        <f t="shared" si="403"/>
        <v/>
      </c>
      <c r="HC67" s="41" t="str">
        <f t="shared" si="404"/>
        <v/>
      </c>
      <c r="HD67" s="41" t="str">
        <f t="shared" si="405"/>
        <v/>
      </c>
      <c r="HE67" s="41" t="str">
        <f t="shared" si="406"/>
        <v/>
      </c>
      <c r="HF67" s="41" t="str">
        <f t="shared" si="407"/>
        <v/>
      </c>
      <c r="HG67" s="41" t="str">
        <f t="shared" si="408"/>
        <v/>
      </c>
      <c r="HH67" s="41" t="str">
        <f t="shared" si="409"/>
        <v/>
      </c>
      <c r="HI67" s="41" t="str">
        <f t="shared" si="410"/>
        <v/>
      </c>
      <c r="HJ67" s="41" t="str">
        <f t="shared" si="411"/>
        <v/>
      </c>
      <c r="HK67" s="41" t="str">
        <f t="shared" si="412"/>
        <v/>
      </c>
      <c r="HL67" s="41" t="str">
        <f t="shared" si="413"/>
        <v/>
      </c>
      <c r="HM67" s="41" t="str">
        <f t="shared" si="414"/>
        <v/>
      </c>
      <c r="HN67" s="41" t="str">
        <f t="shared" si="415"/>
        <v/>
      </c>
      <c r="HO67" s="41" t="str">
        <f t="shared" si="416"/>
        <v/>
      </c>
      <c r="HP67" s="41" t="str">
        <f t="shared" si="417"/>
        <v/>
      </c>
      <c r="HQ67" s="41" t="str">
        <f t="shared" si="418"/>
        <v/>
      </c>
      <c r="HR67" s="41" t="str">
        <f t="shared" si="419"/>
        <v/>
      </c>
      <c r="HS67" s="41" t="str">
        <f t="shared" si="420"/>
        <v/>
      </c>
      <c r="HT67" s="41" t="str">
        <f t="shared" si="421"/>
        <v/>
      </c>
      <c r="HU67" s="41" t="str">
        <f t="shared" si="422"/>
        <v/>
      </c>
      <c r="HV67" s="41" t="str">
        <f t="shared" si="423"/>
        <v/>
      </c>
      <c r="HW67" s="41" t="str">
        <f t="shared" si="424"/>
        <v/>
      </c>
      <c r="HX67" s="41" t="str">
        <f t="shared" si="425"/>
        <v/>
      </c>
      <c r="HY67" s="41" t="str">
        <f t="shared" si="426"/>
        <v/>
      </c>
      <c r="HZ67" s="41" t="str">
        <f t="shared" si="427"/>
        <v/>
      </c>
      <c r="IA67" s="41" t="str">
        <f t="shared" si="428"/>
        <v/>
      </c>
      <c r="IB67" s="41" t="str">
        <f t="shared" si="429"/>
        <v/>
      </c>
      <c r="IC67" s="41" t="str">
        <f t="shared" si="430"/>
        <v/>
      </c>
      <c r="ID67" s="41" t="str">
        <f t="shared" si="431"/>
        <v/>
      </c>
      <c r="IE67" s="41" t="str">
        <f t="shared" si="432"/>
        <v/>
      </c>
      <c r="IF67" s="41" t="str">
        <f t="shared" si="433"/>
        <v/>
      </c>
      <c r="IG67" s="306">
        <f t="shared" si="434"/>
        <v>1373.3831664584659</v>
      </c>
      <c r="IH67" s="44">
        <f t="shared" si="458"/>
        <v>1165.545230173653</v>
      </c>
      <c r="II67" s="44">
        <f t="shared" si="459"/>
        <v>1243.4844562804578</v>
      </c>
      <c r="IJ67" s="44">
        <f t="shared" si="460"/>
        <v>1373.3831664584659</v>
      </c>
      <c r="IK67" s="44">
        <f t="shared" si="461"/>
        <v>1503.281876636474</v>
      </c>
      <c r="IL67" s="44">
        <f t="shared" si="462"/>
        <v>1581.2211027432786</v>
      </c>
      <c r="IM67" s="306" t="str">
        <f t="shared" si="440"/>
        <v/>
      </c>
      <c r="IN67" s="44" t="str">
        <f t="shared" si="463"/>
        <v/>
      </c>
      <c r="IO67" s="44" t="str">
        <f t="shared" si="464"/>
        <v/>
      </c>
      <c r="IP67" s="44" t="str">
        <f t="shared" si="465"/>
        <v/>
      </c>
      <c r="IQ67" s="44" t="str">
        <f t="shared" si="466"/>
        <v/>
      </c>
      <c r="IR67" s="44" t="str">
        <f t="shared" si="467"/>
        <v/>
      </c>
      <c r="IS67" s="306" t="str">
        <f t="shared" si="446"/>
        <v/>
      </c>
      <c r="IT67" s="44" t="str">
        <f t="shared" si="468"/>
        <v/>
      </c>
      <c r="IU67" s="44" t="str">
        <f t="shared" si="469"/>
        <v/>
      </c>
      <c r="IV67" s="44" t="str">
        <f t="shared" si="470"/>
        <v/>
      </c>
      <c r="IW67" s="44" t="str">
        <f t="shared" si="471"/>
        <v/>
      </c>
      <c r="IX67" s="44" t="str">
        <f t="shared" si="472"/>
        <v/>
      </c>
      <c r="IY67" s="306" t="str">
        <f t="shared" si="452"/>
        <v/>
      </c>
      <c r="IZ67" s="44" t="str">
        <f t="shared" si="473"/>
        <v/>
      </c>
      <c r="JA67" s="44" t="str">
        <f t="shared" si="474"/>
        <v/>
      </c>
      <c r="JB67" s="44" t="str">
        <f t="shared" si="475"/>
        <v/>
      </c>
      <c r="JC67" s="44" t="str">
        <f t="shared" si="476"/>
        <v/>
      </c>
      <c r="JD67" s="307" t="str">
        <f t="shared" si="477"/>
        <v/>
      </c>
      <c r="JF67" s="66">
        <f t="shared" si="224"/>
        <v>67</v>
      </c>
      <c r="JG67" s="66">
        <f t="shared" ca="1" si="340"/>
        <v>1243.4844562804578</v>
      </c>
      <c r="JH67" s="66">
        <f t="shared" ca="1" si="341"/>
        <v>1373.3831664584659</v>
      </c>
      <c r="JI67" s="66">
        <f t="shared" ca="1" si="342"/>
        <v>1503.281876636474</v>
      </c>
      <c r="JJ67" s="66">
        <f t="shared" ca="1" si="343"/>
        <v>2</v>
      </c>
      <c r="JK67" s="33"/>
      <c r="JL67" s="74">
        <f t="shared" ca="1" si="121"/>
        <v>1243.4844562804578</v>
      </c>
      <c r="JM67" s="75">
        <f t="shared" ca="1" si="310"/>
        <v>1308.4338113694619</v>
      </c>
      <c r="JN67" s="75">
        <f t="shared" ca="1" si="311"/>
        <v>1438.3325215474699</v>
      </c>
      <c r="JO67" s="74">
        <f t="shared" ca="1" si="122"/>
        <v>1503.281876636474</v>
      </c>
      <c r="JP67" s="74">
        <f t="shared" ca="1" si="123"/>
        <v>5493.5326658338636</v>
      </c>
    </row>
    <row r="68" spans="1:276" s="1" customFormat="1" x14ac:dyDescent="0.35">
      <c r="A68" s="125">
        <v>0</v>
      </c>
      <c r="B68" s="125">
        <v>0</v>
      </c>
      <c r="C68" s="125">
        <v>1</v>
      </c>
      <c r="D68" s="163"/>
      <c r="E68" s="142" t="s">
        <v>130</v>
      </c>
      <c r="F68" s="227" t="s">
        <v>131</v>
      </c>
      <c r="G68" s="228" t="s">
        <v>530</v>
      </c>
      <c r="H68" s="210" t="s">
        <v>549</v>
      </c>
      <c r="I68" s="8" t="s">
        <v>532</v>
      </c>
      <c r="J68" s="211" t="s">
        <v>805</v>
      </c>
      <c r="K68" s="211" t="s">
        <v>805</v>
      </c>
      <c r="L68" s="211" t="s">
        <v>805</v>
      </c>
      <c r="M68" s="211" t="s">
        <v>805</v>
      </c>
      <c r="N68" s="211" t="s">
        <v>805</v>
      </c>
      <c r="O68" s="211" t="s">
        <v>805</v>
      </c>
      <c r="P68" s="211" t="s">
        <v>805</v>
      </c>
      <c r="Q68" s="211" t="s">
        <v>805</v>
      </c>
      <c r="R68" s="211" t="s">
        <v>805</v>
      </c>
      <c r="S68" s="211" t="s">
        <v>805</v>
      </c>
      <c r="T68" s="211" t="s">
        <v>805</v>
      </c>
      <c r="U68" s="211" t="s">
        <v>805</v>
      </c>
      <c r="V68" s="211" t="s">
        <v>805</v>
      </c>
      <c r="W68" s="211" t="s">
        <v>805</v>
      </c>
      <c r="X68" s="211" t="s">
        <v>805</v>
      </c>
      <c r="Y68" s="211" t="s">
        <v>805</v>
      </c>
      <c r="Z68" s="211" t="s">
        <v>805</v>
      </c>
      <c r="AA68" s="211" t="s">
        <v>805</v>
      </c>
      <c r="AB68" s="211" t="s">
        <v>805</v>
      </c>
      <c r="AC68" s="211" t="s">
        <v>805</v>
      </c>
      <c r="AD68" s="211" t="s">
        <v>805</v>
      </c>
      <c r="AE68" s="211" t="s">
        <v>805</v>
      </c>
      <c r="AF68" s="211" t="s">
        <v>805</v>
      </c>
      <c r="AG68" s="211" t="s">
        <v>805</v>
      </c>
      <c r="AH68" s="211" t="s">
        <v>805</v>
      </c>
      <c r="AI68" s="211" t="s">
        <v>805</v>
      </c>
      <c r="AJ68" s="211" t="s">
        <v>805</v>
      </c>
      <c r="AK68" s="211" t="s">
        <v>805</v>
      </c>
      <c r="AL68" s="211" t="s">
        <v>805</v>
      </c>
      <c r="AM68" s="211" t="s">
        <v>805</v>
      </c>
      <c r="AN68" s="211" t="s">
        <v>805</v>
      </c>
      <c r="AO68" s="211" t="s">
        <v>805</v>
      </c>
      <c r="AP68" s="211" t="s">
        <v>805</v>
      </c>
      <c r="AQ68" s="211" t="s">
        <v>805</v>
      </c>
      <c r="AR68" s="211" t="s">
        <v>805</v>
      </c>
      <c r="AS68" s="211" t="s">
        <v>805</v>
      </c>
      <c r="AT68" s="211" t="s">
        <v>805</v>
      </c>
      <c r="AU68" s="211" t="s">
        <v>805</v>
      </c>
      <c r="AV68" s="211" t="s">
        <v>805</v>
      </c>
      <c r="AW68" s="211" t="s">
        <v>805</v>
      </c>
      <c r="AX68" s="211" t="s">
        <v>805</v>
      </c>
      <c r="AY68" s="211" t="s">
        <v>805</v>
      </c>
      <c r="AZ68" s="211" t="s">
        <v>805</v>
      </c>
      <c r="BA68" s="211" t="s">
        <v>805</v>
      </c>
      <c r="BB68" s="211" t="s">
        <v>805</v>
      </c>
      <c r="BC68" s="211" t="s">
        <v>805</v>
      </c>
      <c r="BD68" s="211" t="s">
        <v>805</v>
      </c>
      <c r="BE68" s="211" t="s">
        <v>805</v>
      </c>
      <c r="BF68" s="211" t="s">
        <v>805</v>
      </c>
      <c r="BG68" s="211" t="s">
        <v>805</v>
      </c>
      <c r="BH68" s="211" t="s">
        <v>805</v>
      </c>
      <c r="BI68" s="211" t="s">
        <v>805</v>
      </c>
      <c r="BJ68" s="211" t="s">
        <v>805</v>
      </c>
      <c r="BK68" s="211" t="s">
        <v>805</v>
      </c>
      <c r="BL68" s="211" t="s">
        <v>805</v>
      </c>
      <c r="BM68" s="211" t="s">
        <v>805</v>
      </c>
      <c r="BN68" s="211" t="s">
        <v>805</v>
      </c>
      <c r="BO68" s="211" t="s">
        <v>805</v>
      </c>
      <c r="BP68" s="211" t="s">
        <v>805</v>
      </c>
      <c r="BQ68" s="211" t="s">
        <v>805</v>
      </c>
      <c r="BR68" s="211" t="s">
        <v>805</v>
      </c>
      <c r="BS68" s="211" t="s">
        <v>805</v>
      </c>
      <c r="BT68" s="211" t="s">
        <v>805</v>
      </c>
      <c r="BU68" s="211" t="s">
        <v>805</v>
      </c>
      <c r="BV68" s="211" t="s">
        <v>805</v>
      </c>
      <c r="BW68" s="211" t="s">
        <v>805</v>
      </c>
      <c r="BX68" s="211" t="s">
        <v>805</v>
      </c>
      <c r="BY68" s="211" t="s">
        <v>805</v>
      </c>
      <c r="BZ68" s="211" t="s">
        <v>805</v>
      </c>
      <c r="CA68" s="211" t="s">
        <v>805</v>
      </c>
      <c r="CB68" s="211" t="s">
        <v>805</v>
      </c>
      <c r="CC68" s="211" t="s">
        <v>805</v>
      </c>
      <c r="CD68" s="211" t="s">
        <v>805</v>
      </c>
      <c r="CE68" s="211" t="s">
        <v>805</v>
      </c>
      <c r="CF68" s="211" t="s">
        <v>805</v>
      </c>
      <c r="CG68" s="211" t="s">
        <v>805</v>
      </c>
      <c r="CH68" s="211" t="s">
        <v>805</v>
      </c>
      <c r="CI68" s="211" t="s">
        <v>805</v>
      </c>
      <c r="CJ68" s="211" t="s">
        <v>805</v>
      </c>
      <c r="CK68" s="211" t="s">
        <v>805</v>
      </c>
      <c r="CL68" s="211" t="s">
        <v>805</v>
      </c>
      <c r="CM68" s="211" t="s">
        <v>805</v>
      </c>
      <c r="CN68" s="211" t="s">
        <v>805</v>
      </c>
      <c r="CO68" s="211" t="s">
        <v>805</v>
      </c>
      <c r="CP68" s="211" t="s">
        <v>805</v>
      </c>
      <c r="CQ68" s="211" t="s">
        <v>805</v>
      </c>
      <c r="CR68" s="211" t="s">
        <v>805</v>
      </c>
      <c r="CS68" s="211" t="s">
        <v>805</v>
      </c>
      <c r="CT68" s="211" t="s">
        <v>805</v>
      </c>
      <c r="CU68" s="211" t="s">
        <v>805</v>
      </c>
      <c r="CV68" s="211" t="s">
        <v>805</v>
      </c>
      <c r="CW68" s="211" t="s">
        <v>805</v>
      </c>
      <c r="CX68" s="211" t="s">
        <v>805</v>
      </c>
      <c r="CY68" s="211" t="s">
        <v>805</v>
      </c>
      <c r="CZ68" s="211" t="s">
        <v>805</v>
      </c>
      <c r="DA68" s="211" t="s">
        <v>805</v>
      </c>
      <c r="DB68" s="211" t="s">
        <v>805</v>
      </c>
      <c r="DC68" s="211" t="s">
        <v>805</v>
      </c>
      <c r="DD68" s="211" t="s">
        <v>805</v>
      </c>
      <c r="DE68" s="211" t="s">
        <v>805</v>
      </c>
      <c r="DF68" s="211" t="s">
        <v>805</v>
      </c>
      <c r="DG68" s="212">
        <f>VLOOKUP(E68,'KPI Count-SHARE'!A:F,3,0)</f>
        <v>0</v>
      </c>
      <c r="DH68" s="213" t="s">
        <v>805</v>
      </c>
      <c r="DI68" s="213" t="s">
        <v>805</v>
      </c>
      <c r="DJ68" s="213" t="s">
        <v>805</v>
      </c>
      <c r="DK68" s="213" t="s">
        <v>805</v>
      </c>
      <c r="DL68" s="213" t="s">
        <v>805</v>
      </c>
      <c r="DM68" s="213" t="s">
        <v>805</v>
      </c>
      <c r="DN68" s="212">
        <f>VLOOKUP(E68,'KPI Count-SHARE'!A:F,4,0)</f>
        <v>0</v>
      </c>
      <c r="DO68" s="213"/>
      <c r="DP68" s="213"/>
      <c r="DQ68" s="213"/>
      <c r="DR68" s="213"/>
      <c r="DS68" s="213"/>
      <c r="DT68" s="213"/>
      <c r="DU68" s="212">
        <f>VLOOKUP(E68,'KPI Count-SHARE'!A:F,5,0)</f>
        <v>0</v>
      </c>
      <c r="DV68" s="213"/>
      <c r="DW68" s="213"/>
      <c r="DX68" s="213"/>
      <c r="DY68" s="213"/>
      <c r="DZ68" s="213"/>
      <c r="EA68" s="213"/>
      <c r="EB68" s="212">
        <f>VLOOKUP(E68,'KPI Count-SHARE'!A:F,6,0)</f>
        <v>0</v>
      </c>
      <c r="EC68" s="213"/>
      <c r="ED68" s="213"/>
      <c r="EE68" s="213"/>
      <c r="EF68" s="213"/>
      <c r="EG68" s="213"/>
      <c r="EH68" s="213"/>
      <c r="EI68" s="214" t="s">
        <v>549</v>
      </c>
      <c r="EJ68" s="41" t="str">
        <f>IFERROR(IF(ISBLANK(J68), "-", IF(OR($I68="c",$I68="r"), J68*$I$5, J68)),"-")</f>
        <v/>
      </c>
      <c r="EK68" s="41" t="str">
        <f t="shared" ref="EK68:EL71" si="479">IFERROR(IF(ISBLANK(K68), "-", IF($I68="c", K68*$I$5, K68)),"-")</f>
        <v/>
      </c>
      <c r="EL68" s="41" t="str">
        <f t="shared" si="479"/>
        <v/>
      </c>
      <c r="EM68" s="41" t="str">
        <f>IFERROR(IF(ISBLANK(M68), "-", IF($I68="c", M68*$I$5,M68)),"-")</f>
        <v/>
      </c>
      <c r="EN68" s="41" t="str">
        <f>IFERROR(IF(ISBLANK(N68), "-", IF($I68="c", N68*$I$5, N68)),"-")</f>
        <v/>
      </c>
      <c r="EO68" s="41" t="str">
        <f>IFERROR(IF(ISBLANK(O68), "-", IF($I68="c", O68*$I$5,O68)),"-")</f>
        <v/>
      </c>
      <c r="EP68" s="41" t="str">
        <f t="shared" ref="EP68:EY71" si="480">IFERROR(IF(ISBLANK(P68), "-", IF($I68="c", P68*$I$5, P68)),"-")</f>
        <v/>
      </c>
      <c r="EQ68" s="41" t="str">
        <f t="shared" si="480"/>
        <v/>
      </c>
      <c r="ER68" s="41" t="str">
        <f t="shared" si="480"/>
        <v/>
      </c>
      <c r="ES68" s="41" t="str">
        <f t="shared" si="480"/>
        <v/>
      </c>
      <c r="ET68" s="41" t="str">
        <f t="shared" si="480"/>
        <v/>
      </c>
      <c r="EU68" s="41" t="str">
        <f t="shared" si="480"/>
        <v/>
      </c>
      <c r="EV68" s="41" t="str">
        <f t="shared" si="480"/>
        <v/>
      </c>
      <c r="EW68" s="41" t="str">
        <f t="shared" si="480"/>
        <v/>
      </c>
      <c r="EX68" s="41" t="str">
        <f t="shared" si="480"/>
        <v/>
      </c>
      <c r="EY68" s="41" t="str">
        <f t="shared" si="480"/>
        <v/>
      </c>
      <c r="EZ68" s="41" t="str">
        <f t="shared" si="349"/>
        <v/>
      </c>
      <c r="FA68" s="41" t="str">
        <f t="shared" si="350"/>
        <v/>
      </c>
      <c r="FB68" s="41" t="str">
        <f t="shared" si="351"/>
        <v/>
      </c>
      <c r="FC68" s="41" t="str">
        <f t="shared" si="352"/>
        <v/>
      </c>
      <c r="FD68" s="41" t="str">
        <f t="shared" si="353"/>
        <v/>
      </c>
      <c r="FE68" s="41" t="str">
        <f t="shared" si="354"/>
        <v/>
      </c>
      <c r="FF68" s="41" t="str">
        <f t="shared" si="355"/>
        <v/>
      </c>
      <c r="FG68" s="41" t="str">
        <f t="shared" si="356"/>
        <v/>
      </c>
      <c r="FH68" s="41" t="str">
        <f t="shared" si="357"/>
        <v/>
      </c>
      <c r="FI68" s="41" t="str">
        <f t="shared" si="358"/>
        <v/>
      </c>
      <c r="FJ68" s="41" t="str">
        <f t="shared" si="359"/>
        <v/>
      </c>
      <c r="FK68" s="41" t="str">
        <f t="shared" si="360"/>
        <v/>
      </c>
      <c r="FL68" s="41" t="str">
        <f t="shared" si="361"/>
        <v/>
      </c>
      <c r="FM68" s="41" t="str">
        <f t="shared" si="362"/>
        <v/>
      </c>
      <c r="FN68" s="41" t="str">
        <f t="shared" si="363"/>
        <v/>
      </c>
      <c r="FO68" s="41" t="str">
        <f t="shared" si="364"/>
        <v/>
      </c>
      <c r="FP68" s="41" t="str">
        <f t="shared" si="365"/>
        <v/>
      </c>
      <c r="FQ68" s="41" t="str">
        <f t="shared" si="366"/>
        <v/>
      </c>
      <c r="FR68" s="41" t="str">
        <f t="shared" si="367"/>
        <v/>
      </c>
      <c r="FS68" s="41" t="str">
        <f t="shared" si="368"/>
        <v/>
      </c>
      <c r="FT68" s="41" t="str">
        <f t="shared" si="369"/>
        <v/>
      </c>
      <c r="FU68" s="41" t="str">
        <f t="shared" si="370"/>
        <v/>
      </c>
      <c r="FV68" s="41" t="str">
        <f t="shared" si="371"/>
        <v/>
      </c>
      <c r="FW68" s="41" t="str">
        <f t="shared" si="372"/>
        <v/>
      </c>
      <c r="FX68" s="41" t="str">
        <f t="shared" si="373"/>
        <v/>
      </c>
      <c r="FY68" s="41" t="str">
        <f t="shared" si="374"/>
        <v/>
      </c>
      <c r="FZ68" s="41" t="str">
        <f t="shared" si="375"/>
        <v/>
      </c>
      <c r="GA68" s="41" t="str">
        <f t="shared" si="376"/>
        <v/>
      </c>
      <c r="GB68" s="41" t="str">
        <f t="shared" si="377"/>
        <v/>
      </c>
      <c r="GC68" s="41" t="str">
        <f t="shared" si="378"/>
        <v/>
      </c>
      <c r="GD68" s="41" t="str">
        <f t="shared" si="379"/>
        <v/>
      </c>
      <c r="GE68" s="41" t="str">
        <f t="shared" si="380"/>
        <v/>
      </c>
      <c r="GF68" s="41" t="str">
        <f t="shared" si="381"/>
        <v/>
      </c>
      <c r="GG68" s="41" t="str">
        <f t="shared" si="382"/>
        <v/>
      </c>
      <c r="GH68" s="41" t="str">
        <f t="shared" si="383"/>
        <v/>
      </c>
      <c r="GI68" s="41" t="str">
        <f t="shared" si="384"/>
        <v/>
      </c>
      <c r="GJ68" s="41" t="str">
        <f t="shared" si="385"/>
        <v/>
      </c>
      <c r="GK68" s="41" t="str">
        <f t="shared" si="386"/>
        <v/>
      </c>
      <c r="GL68" s="41" t="str">
        <f t="shared" si="387"/>
        <v/>
      </c>
      <c r="GM68" s="41" t="str">
        <f t="shared" si="388"/>
        <v/>
      </c>
      <c r="GN68" s="41" t="str">
        <f t="shared" si="389"/>
        <v/>
      </c>
      <c r="GO68" s="41" t="str">
        <f t="shared" si="390"/>
        <v/>
      </c>
      <c r="GP68" s="41" t="str">
        <f t="shared" si="391"/>
        <v/>
      </c>
      <c r="GQ68" s="41" t="str">
        <f t="shared" si="392"/>
        <v/>
      </c>
      <c r="GR68" s="41" t="str">
        <f t="shared" si="393"/>
        <v/>
      </c>
      <c r="GS68" s="41" t="str">
        <f t="shared" si="394"/>
        <v/>
      </c>
      <c r="GT68" s="41" t="str">
        <f t="shared" si="395"/>
        <v/>
      </c>
      <c r="GU68" s="41" t="str">
        <f t="shared" si="396"/>
        <v/>
      </c>
      <c r="GV68" s="41" t="str">
        <f t="shared" si="397"/>
        <v/>
      </c>
      <c r="GW68" s="41" t="str">
        <f t="shared" si="398"/>
        <v/>
      </c>
      <c r="GX68" s="41" t="str">
        <f t="shared" si="399"/>
        <v/>
      </c>
      <c r="GY68" s="41" t="str">
        <f t="shared" si="400"/>
        <v/>
      </c>
      <c r="GZ68" s="41" t="str">
        <f t="shared" si="401"/>
        <v/>
      </c>
      <c r="HA68" s="41" t="str">
        <f t="shared" si="402"/>
        <v/>
      </c>
      <c r="HB68" s="41" t="str">
        <f t="shared" si="403"/>
        <v/>
      </c>
      <c r="HC68" s="41" t="str">
        <f t="shared" si="404"/>
        <v/>
      </c>
      <c r="HD68" s="41" t="str">
        <f t="shared" si="405"/>
        <v/>
      </c>
      <c r="HE68" s="41" t="str">
        <f t="shared" si="406"/>
        <v/>
      </c>
      <c r="HF68" s="41" t="str">
        <f t="shared" si="407"/>
        <v/>
      </c>
      <c r="HG68" s="41" t="str">
        <f t="shared" si="408"/>
        <v/>
      </c>
      <c r="HH68" s="41" t="str">
        <f t="shared" si="409"/>
        <v/>
      </c>
      <c r="HI68" s="41" t="str">
        <f t="shared" si="410"/>
        <v/>
      </c>
      <c r="HJ68" s="41" t="str">
        <f t="shared" si="411"/>
        <v/>
      </c>
      <c r="HK68" s="41" t="str">
        <f t="shared" si="412"/>
        <v/>
      </c>
      <c r="HL68" s="41" t="str">
        <f t="shared" si="413"/>
        <v/>
      </c>
      <c r="HM68" s="41" t="str">
        <f t="shared" si="414"/>
        <v/>
      </c>
      <c r="HN68" s="41" t="str">
        <f t="shared" si="415"/>
        <v/>
      </c>
      <c r="HO68" s="41" t="str">
        <f t="shared" si="416"/>
        <v/>
      </c>
      <c r="HP68" s="41" t="str">
        <f t="shared" si="417"/>
        <v/>
      </c>
      <c r="HQ68" s="41" t="str">
        <f t="shared" si="418"/>
        <v/>
      </c>
      <c r="HR68" s="41" t="str">
        <f t="shared" si="419"/>
        <v/>
      </c>
      <c r="HS68" s="41" t="str">
        <f t="shared" si="420"/>
        <v/>
      </c>
      <c r="HT68" s="41" t="str">
        <f t="shared" si="421"/>
        <v/>
      </c>
      <c r="HU68" s="41" t="str">
        <f t="shared" si="422"/>
        <v/>
      </c>
      <c r="HV68" s="41" t="str">
        <f t="shared" si="423"/>
        <v/>
      </c>
      <c r="HW68" s="41" t="str">
        <f t="shared" si="424"/>
        <v/>
      </c>
      <c r="HX68" s="41" t="str">
        <f t="shared" si="425"/>
        <v/>
      </c>
      <c r="HY68" s="41" t="str">
        <f t="shared" si="426"/>
        <v/>
      </c>
      <c r="HZ68" s="41" t="str">
        <f t="shared" si="427"/>
        <v/>
      </c>
      <c r="IA68" s="41" t="str">
        <f t="shared" si="428"/>
        <v/>
      </c>
      <c r="IB68" s="41" t="str">
        <f t="shared" si="429"/>
        <v/>
      </c>
      <c r="IC68" s="41" t="str">
        <f t="shared" si="430"/>
        <v/>
      </c>
      <c r="ID68" s="41" t="str">
        <f t="shared" si="431"/>
        <v/>
      </c>
      <c r="IE68" s="41" t="str">
        <f t="shared" si="432"/>
        <v/>
      </c>
      <c r="IF68" s="41" t="str">
        <f t="shared" si="433"/>
        <v/>
      </c>
      <c r="IG68" s="306" t="str">
        <f>IFERROR(IF(ISBLANK(DH68), "-", IF($I68="c", DH68*$I$5, DH68)),"-")</f>
        <v/>
      </c>
      <c r="IH68" s="44" t="str">
        <f t="shared" si="458"/>
        <v/>
      </c>
      <c r="II68" s="44" t="str">
        <f t="shared" si="459"/>
        <v/>
      </c>
      <c r="IJ68" s="44" t="str">
        <f t="shared" si="460"/>
        <v/>
      </c>
      <c r="IK68" s="44" t="str">
        <f t="shared" si="461"/>
        <v/>
      </c>
      <c r="IL68" s="44" t="str">
        <f t="shared" si="462"/>
        <v/>
      </c>
      <c r="IM68" s="306" t="str">
        <f>IFERROR(IF(ISBLANK(DO68), "", IF($I68="c",DO68*$I$5, DO68)),"-")</f>
        <v/>
      </c>
      <c r="IN68" s="44" t="str">
        <f t="shared" si="463"/>
        <v/>
      </c>
      <c r="IO68" s="44" t="str">
        <f t="shared" si="464"/>
        <v/>
      </c>
      <c r="IP68" s="44" t="str">
        <f t="shared" si="465"/>
        <v/>
      </c>
      <c r="IQ68" s="44" t="str">
        <f t="shared" si="466"/>
        <v/>
      </c>
      <c r="IR68" s="44" t="str">
        <f t="shared" si="467"/>
        <v/>
      </c>
      <c r="IS68" s="306" t="str">
        <f>IFERROR(IF(ISBLANK(DV68), "", IF($I68="c", DV68*$I$5, DV68)),"-")</f>
        <v/>
      </c>
      <c r="IT68" s="44" t="str">
        <f t="shared" si="468"/>
        <v/>
      </c>
      <c r="IU68" s="44" t="str">
        <f t="shared" si="469"/>
        <v/>
      </c>
      <c r="IV68" s="44" t="str">
        <f t="shared" si="470"/>
        <v/>
      </c>
      <c r="IW68" s="44" t="str">
        <f t="shared" si="471"/>
        <v/>
      </c>
      <c r="IX68" s="44" t="str">
        <f t="shared" si="472"/>
        <v/>
      </c>
      <c r="IY68" s="306" t="str">
        <f>IFERROR(IF(ISBLANK(EC68), "", IF($I68="c", EC68*$I$5, EC68)),"-")</f>
        <v/>
      </c>
      <c r="IZ68" s="44" t="str">
        <f t="shared" si="473"/>
        <v/>
      </c>
      <c r="JA68" s="44" t="str">
        <f t="shared" si="474"/>
        <v/>
      </c>
      <c r="JB68" s="44" t="str">
        <f t="shared" si="475"/>
        <v/>
      </c>
      <c r="JC68" s="44" t="str">
        <f t="shared" si="476"/>
        <v/>
      </c>
      <c r="JD68" s="307" t="str">
        <f t="shared" si="477"/>
        <v/>
      </c>
      <c r="JF68" s="66">
        <f t="shared" si="224"/>
        <v>68</v>
      </c>
      <c r="JG68" s="66">
        <f ca="1">SUM(INDIRECT(VLOOKUP($JH$4,XPEERCOLUMNS,2,0) &amp; JF68 &amp; ":" &amp; VLOOKUP($JH$4,XPEERCOLUMNS,2,0) &amp; JF68))</f>
        <v>0</v>
      </c>
      <c r="JH68" s="66">
        <f ca="1">SUM(INDIRECT(VLOOKUP($JH$4,XPEERCOLUMNS,3,0) &amp; JF68 &amp; ":" &amp; VLOOKUP($JH$4,XPEERCOLUMNS,3,0) &amp; JF68))</f>
        <v>0</v>
      </c>
      <c r="JI68" s="66">
        <f ca="1">SUM(INDIRECT(VLOOKUP($JH$4,XPEERCOLUMNS,4,0) &amp; JF68 &amp; ":" &amp; VLOOKUP($JH$4,XPEERCOLUMNS,4,0) &amp; JF68))</f>
        <v>0</v>
      </c>
      <c r="JJ68" s="66">
        <f ca="1">SUM(INDIRECT(VLOOKUP($JH$4,XPEERCOLUMNS,5,0) &amp; JF68 &amp; ":" &amp; VLOOKUP($JH$4,XPEERCOLUMNS,5,0) &amp; JF68))</f>
        <v>0</v>
      </c>
      <c r="JK68" s="33"/>
      <c r="JL68" s="74" t="str">
        <f ca="1">IF(JG68=0,"-",JG68)</f>
        <v>-</v>
      </c>
      <c r="JM68" s="75">
        <f ca="1">IF(G68="Smaller better",JG68-((JG68-JH68)*0.5),JG68+((JH68-JG68)*0.5))</f>
        <v>0</v>
      </c>
      <c r="JN68" s="75">
        <f ca="1">IF(G68="Smaller better",JH68-((JH68-JI68)*0.5),JH68+((JI68-JH68)*0.5))</f>
        <v>0</v>
      </c>
      <c r="JO68" s="74" t="str">
        <f ca="1">IF(JI68=0,"-",JI68)</f>
        <v>-</v>
      </c>
      <c r="JP68" s="74">
        <f ca="1">SUM(JL68:JO68)</f>
        <v>0</v>
      </c>
    </row>
    <row r="69" spans="1:276" s="1" customFormat="1" x14ac:dyDescent="0.35">
      <c r="A69" s="125">
        <v>0</v>
      </c>
      <c r="B69" s="125">
        <v>0</v>
      </c>
      <c r="C69" s="125">
        <v>1</v>
      </c>
      <c r="D69" s="163"/>
      <c r="E69" s="142" t="s">
        <v>132</v>
      </c>
      <c r="F69" s="227" t="s">
        <v>133</v>
      </c>
      <c r="G69" s="228" t="s">
        <v>530</v>
      </c>
      <c r="H69" s="210" t="s">
        <v>550</v>
      </c>
      <c r="I69" s="8" t="s">
        <v>532</v>
      </c>
      <c r="J69" s="211" t="s">
        <v>805</v>
      </c>
      <c r="K69" s="211" t="s">
        <v>805</v>
      </c>
      <c r="L69" s="211" t="s">
        <v>805</v>
      </c>
      <c r="M69" s="211" t="s">
        <v>805</v>
      </c>
      <c r="N69" s="211" t="s">
        <v>805</v>
      </c>
      <c r="O69" s="211" t="s">
        <v>805</v>
      </c>
      <c r="P69" s="211" t="s">
        <v>805</v>
      </c>
      <c r="Q69" s="211" t="s">
        <v>805</v>
      </c>
      <c r="R69" s="211" t="s">
        <v>805</v>
      </c>
      <c r="S69" s="211" t="s">
        <v>805</v>
      </c>
      <c r="T69" s="211" t="s">
        <v>805</v>
      </c>
      <c r="U69" s="211" t="s">
        <v>805</v>
      </c>
      <c r="V69" s="211" t="s">
        <v>805</v>
      </c>
      <c r="W69" s="211" t="s">
        <v>805</v>
      </c>
      <c r="X69" s="211" t="s">
        <v>805</v>
      </c>
      <c r="Y69" s="211" t="s">
        <v>805</v>
      </c>
      <c r="Z69" s="211" t="s">
        <v>805</v>
      </c>
      <c r="AA69" s="211" t="s">
        <v>805</v>
      </c>
      <c r="AB69" s="211" t="s">
        <v>805</v>
      </c>
      <c r="AC69" s="211" t="s">
        <v>805</v>
      </c>
      <c r="AD69" s="211" t="s">
        <v>805</v>
      </c>
      <c r="AE69" s="211" t="s">
        <v>805</v>
      </c>
      <c r="AF69" s="211" t="s">
        <v>805</v>
      </c>
      <c r="AG69" s="211" t="s">
        <v>805</v>
      </c>
      <c r="AH69" s="211" t="s">
        <v>805</v>
      </c>
      <c r="AI69" s="211" t="s">
        <v>805</v>
      </c>
      <c r="AJ69" s="211" t="s">
        <v>805</v>
      </c>
      <c r="AK69" s="211" t="s">
        <v>805</v>
      </c>
      <c r="AL69" s="211" t="s">
        <v>805</v>
      </c>
      <c r="AM69" s="211" t="s">
        <v>805</v>
      </c>
      <c r="AN69" s="211" t="s">
        <v>805</v>
      </c>
      <c r="AO69" s="211" t="s">
        <v>805</v>
      </c>
      <c r="AP69" s="211" t="s">
        <v>805</v>
      </c>
      <c r="AQ69" s="211" t="s">
        <v>805</v>
      </c>
      <c r="AR69" s="211" t="s">
        <v>805</v>
      </c>
      <c r="AS69" s="211" t="s">
        <v>805</v>
      </c>
      <c r="AT69" s="211" t="s">
        <v>805</v>
      </c>
      <c r="AU69" s="211" t="s">
        <v>805</v>
      </c>
      <c r="AV69" s="211" t="s">
        <v>805</v>
      </c>
      <c r="AW69" s="211" t="s">
        <v>805</v>
      </c>
      <c r="AX69" s="211" t="s">
        <v>805</v>
      </c>
      <c r="AY69" s="211" t="s">
        <v>805</v>
      </c>
      <c r="AZ69" s="211" t="s">
        <v>805</v>
      </c>
      <c r="BA69" s="211" t="s">
        <v>805</v>
      </c>
      <c r="BB69" s="211" t="s">
        <v>805</v>
      </c>
      <c r="BC69" s="211" t="s">
        <v>805</v>
      </c>
      <c r="BD69" s="211" t="s">
        <v>805</v>
      </c>
      <c r="BE69" s="211" t="s">
        <v>805</v>
      </c>
      <c r="BF69" s="211" t="s">
        <v>805</v>
      </c>
      <c r="BG69" s="211" t="s">
        <v>805</v>
      </c>
      <c r="BH69" s="211" t="s">
        <v>805</v>
      </c>
      <c r="BI69" s="211" t="s">
        <v>805</v>
      </c>
      <c r="BJ69" s="211" t="s">
        <v>805</v>
      </c>
      <c r="BK69" s="211" t="s">
        <v>805</v>
      </c>
      <c r="BL69" s="211" t="s">
        <v>805</v>
      </c>
      <c r="BM69" s="211" t="s">
        <v>805</v>
      </c>
      <c r="BN69" s="211" t="s">
        <v>805</v>
      </c>
      <c r="BO69" s="211" t="s">
        <v>805</v>
      </c>
      <c r="BP69" s="211" t="s">
        <v>805</v>
      </c>
      <c r="BQ69" s="211" t="s">
        <v>805</v>
      </c>
      <c r="BR69" s="211" t="s">
        <v>805</v>
      </c>
      <c r="BS69" s="211" t="s">
        <v>805</v>
      </c>
      <c r="BT69" s="211" t="s">
        <v>805</v>
      </c>
      <c r="BU69" s="211" t="s">
        <v>805</v>
      </c>
      <c r="BV69" s="211" t="s">
        <v>805</v>
      </c>
      <c r="BW69" s="211" t="s">
        <v>805</v>
      </c>
      <c r="BX69" s="211" t="s">
        <v>805</v>
      </c>
      <c r="BY69" s="211" t="s">
        <v>805</v>
      </c>
      <c r="BZ69" s="211" t="s">
        <v>805</v>
      </c>
      <c r="CA69" s="211" t="s">
        <v>805</v>
      </c>
      <c r="CB69" s="211" t="s">
        <v>805</v>
      </c>
      <c r="CC69" s="211" t="s">
        <v>805</v>
      </c>
      <c r="CD69" s="211" t="s">
        <v>805</v>
      </c>
      <c r="CE69" s="211" t="s">
        <v>805</v>
      </c>
      <c r="CF69" s="211" t="s">
        <v>805</v>
      </c>
      <c r="CG69" s="211" t="s">
        <v>805</v>
      </c>
      <c r="CH69" s="211" t="s">
        <v>805</v>
      </c>
      <c r="CI69" s="211" t="s">
        <v>805</v>
      </c>
      <c r="CJ69" s="211" t="s">
        <v>805</v>
      </c>
      <c r="CK69" s="211" t="s">
        <v>805</v>
      </c>
      <c r="CL69" s="211" t="s">
        <v>805</v>
      </c>
      <c r="CM69" s="211" t="s">
        <v>805</v>
      </c>
      <c r="CN69" s="211" t="s">
        <v>805</v>
      </c>
      <c r="CO69" s="211" t="s">
        <v>805</v>
      </c>
      <c r="CP69" s="211" t="s">
        <v>805</v>
      </c>
      <c r="CQ69" s="211" t="s">
        <v>805</v>
      </c>
      <c r="CR69" s="211" t="s">
        <v>805</v>
      </c>
      <c r="CS69" s="211" t="s">
        <v>805</v>
      </c>
      <c r="CT69" s="211" t="s">
        <v>805</v>
      </c>
      <c r="CU69" s="211" t="s">
        <v>805</v>
      </c>
      <c r="CV69" s="211" t="s">
        <v>805</v>
      </c>
      <c r="CW69" s="211" t="s">
        <v>805</v>
      </c>
      <c r="CX69" s="211" t="s">
        <v>805</v>
      </c>
      <c r="CY69" s="211" t="s">
        <v>805</v>
      </c>
      <c r="CZ69" s="211" t="s">
        <v>805</v>
      </c>
      <c r="DA69" s="211" t="s">
        <v>805</v>
      </c>
      <c r="DB69" s="211" t="s">
        <v>805</v>
      </c>
      <c r="DC69" s="211" t="s">
        <v>805</v>
      </c>
      <c r="DD69" s="211" t="s">
        <v>805</v>
      </c>
      <c r="DE69" s="211" t="s">
        <v>805</v>
      </c>
      <c r="DF69" s="211" t="s">
        <v>805</v>
      </c>
      <c r="DG69" s="212">
        <f>VLOOKUP(E69,'KPI Count-SHARE'!A:F,3,0)</f>
        <v>0</v>
      </c>
      <c r="DH69" s="213" t="s">
        <v>805</v>
      </c>
      <c r="DI69" s="213" t="s">
        <v>805</v>
      </c>
      <c r="DJ69" s="213" t="s">
        <v>805</v>
      </c>
      <c r="DK69" s="213" t="s">
        <v>805</v>
      </c>
      <c r="DL69" s="213" t="s">
        <v>805</v>
      </c>
      <c r="DM69" s="213" t="s">
        <v>805</v>
      </c>
      <c r="DN69" s="212">
        <f>VLOOKUP(E69,'KPI Count-SHARE'!A:F,4,0)</f>
        <v>0</v>
      </c>
      <c r="DO69" s="213"/>
      <c r="DP69" s="213"/>
      <c r="DQ69" s="213"/>
      <c r="DR69" s="213"/>
      <c r="DS69" s="213"/>
      <c r="DT69" s="213"/>
      <c r="DU69" s="212">
        <f>VLOOKUP(E69,'KPI Count-SHARE'!A:F,5,0)</f>
        <v>0</v>
      </c>
      <c r="DV69" s="213"/>
      <c r="DW69" s="213"/>
      <c r="DX69" s="213"/>
      <c r="DY69" s="213"/>
      <c r="DZ69" s="213"/>
      <c r="EA69" s="213"/>
      <c r="EB69" s="212">
        <f>VLOOKUP(E69,'KPI Count-SHARE'!A:F,6,0)</f>
        <v>0</v>
      </c>
      <c r="EC69" s="213"/>
      <c r="ED69" s="213"/>
      <c r="EE69" s="213"/>
      <c r="EF69" s="213"/>
      <c r="EG69" s="213"/>
      <c r="EH69" s="213"/>
      <c r="EI69" s="214" t="s">
        <v>550</v>
      </c>
      <c r="EJ69" s="41" t="str">
        <f>IFERROR(IF(ISBLANK(J69), "-", IF(OR($I69="c",$I69="r"), J69*$I$5, J69)),"-")</f>
        <v/>
      </c>
      <c r="EK69" s="41" t="str">
        <f t="shared" si="479"/>
        <v/>
      </c>
      <c r="EL69" s="41" t="str">
        <f t="shared" si="479"/>
        <v/>
      </c>
      <c r="EM69" s="41" t="str">
        <f>IFERROR(IF(ISBLANK(M69), "-", IF($I69="c", M69*$I$5,M69)),"-")</f>
        <v/>
      </c>
      <c r="EN69" s="41" t="str">
        <f>IFERROR(IF(ISBLANK(N69), "-", IF($I69="c", N69*$I$5, N69)),"-")</f>
        <v/>
      </c>
      <c r="EO69" s="41" t="str">
        <f>IFERROR(IF(ISBLANK(O69), "-", IF($I69="c", O69*$I$5,O69)),"-")</f>
        <v/>
      </c>
      <c r="EP69" s="41" t="str">
        <f t="shared" si="480"/>
        <v/>
      </c>
      <c r="EQ69" s="41" t="str">
        <f t="shared" si="480"/>
        <v/>
      </c>
      <c r="ER69" s="41" t="str">
        <f t="shared" si="480"/>
        <v/>
      </c>
      <c r="ES69" s="41" t="str">
        <f t="shared" si="480"/>
        <v/>
      </c>
      <c r="ET69" s="41" t="str">
        <f t="shared" si="480"/>
        <v/>
      </c>
      <c r="EU69" s="41" t="str">
        <f t="shared" si="480"/>
        <v/>
      </c>
      <c r="EV69" s="41" t="str">
        <f t="shared" si="480"/>
        <v/>
      </c>
      <c r="EW69" s="41" t="str">
        <f t="shared" si="480"/>
        <v/>
      </c>
      <c r="EX69" s="41" t="str">
        <f t="shared" si="480"/>
        <v/>
      </c>
      <c r="EY69" s="41" t="str">
        <f t="shared" si="480"/>
        <v/>
      </c>
      <c r="EZ69" s="41" t="str">
        <f t="shared" si="349"/>
        <v/>
      </c>
      <c r="FA69" s="41" t="str">
        <f t="shared" si="350"/>
        <v/>
      </c>
      <c r="FB69" s="41" t="str">
        <f t="shared" si="351"/>
        <v/>
      </c>
      <c r="FC69" s="41" t="str">
        <f t="shared" si="352"/>
        <v/>
      </c>
      <c r="FD69" s="41" t="str">
        <f t="shared" si="353"/>
        <v/>
      </c>
      <c r="FE69" s="41" t="str">
        <f t="shared" si="354"/>
        <v/>
      </c>
      <c r="FF69" s="41" t="str">
        <f t="shared" si="355"/>
        <v/>
      </c>
      <c r="FG69" s="41" t="str">
        <f t="shared" si="356"/>
        <v/>
      </c>
      <c r="FH69" s="41" t="str">
        <f t="shared" si="357"/>
        <v/>
      </c>
      <c r="FI69" s="41" t="str">
        <f t="shared" si="358"/>
        <v/>
      </c>
      <c r="FJ69" s="41" t="str">
        <f t="shared" si="359"/>
        <v/>
      </c>
      <c r="FK69" s="41" t="str">
        <f t="shared" si="360"/>
        <v/>
      </c>
      <c r="FL69" s="41" t="str">
        <f t="shared" si="361"/>
        <v/>
      </c>
      <c r="FM69" s="41" t="str">
        <f t="shared" si="362"/>
        <v/>
      </c>
      <c r="FN69" s="41" t="str">
        <f t="shared" si="363"/>
        <v/>
      </c>
      <c r="FO69" s="41" t="str">
        <f t="shared" si="364"/>
        <v/>
      </c>
      <c r="FP69" s="41" t="str">
        <f t="shared" si="365"/>
        <v/>
      </c>
      <c r="FQ69" s="41" t="str">
        <f t="shared" si="366"/>
        <v/>
      </c>
      <c r="FR69" s="41" t="str">
        <f t="shared" si="367"/>
        <v/>
      </c>
      <c r="FS69" s="41" t="str">
        <f t="shared" si="368"/>
        <v/>
      </c>
      <c r="FT69" s="41" t="str">
        <f t="shared" si="369"/>
        <v/>
      </c>
      <c r="FU69" s="41" t="str">
        <f t="shared" si="370"/>
        <v/>
      </c>
      <c r="FV69" s="41" t="str">
        <f t="shared" si="371"/>
        <v/>
      </c>
      <c r="FW69" s="41" t="str">
        <f t="shared" si="372"/>
        <v/>
      </c>
      <c r="FX69" s="41" t="str">
        <f t="shared" si="373"/>
        <v/>
      </c>
      <c r="FY69" s="41" t="str">
        <f t="shared" si="374"/>
        <v/>
      </c>
      <c r="FZ69" s="41" t="str">
        <f t="shared" si="375"/>
        <v/>
      </c>
      <c r="GA69" s="41" t="str">
        <f t="shared" si="376"/>
        <v/>
      </c>
      <c r="GB69" s="41" t="str">
        <f t="shared" si="377"/>
        <v/>
      </c>
      <c r="GC69" s="41" t="str">
        <f t="shared" si="378"/>
        <v/>
      </c>
      <c r="GD69" s="41" t="str">
        <f t="shared" si="379"/>
        <v/>
      </c>
      <c r="GE69" s="41" t="str">
        <f t="shared" si="380"/>
        <v/>
      </c>
      <c r="GF69" s="41" t="str">
        <f t="shared" si="381"/>
        <v/>
      </c>
      <c r="GG69" s="41" t="str">
        <f t="shared" si="382"/>
        <v/>
      </c>
      <c r="GH69" s="41" t="str">
        <f t="shared" si="383"/>
        <v/>
      </c>
      <c r="GI69" s="41" t="str">
        <f t="shared" si="384"/>
        <v/>
      </c>
      <c r="GJ69" s="41" t="str">
        <f t="shared" si="385"/>
        <v/>
      </c>
      <c r="GK69" s="41" t="str">
        <f t="shared" si="386"/>
        <v/>
      </c>
      <c r="GL69" s="41" t="str">
        <f t="shared" si="387"/>
        <v/>
      </c>
      <c r="GM69" s="41" t="str">
        <f t="shared" si="388"/>
        <v/>
      </c>
      <c r="GN69" s="41" t="str">
        <f t="shared" si="389"/>
        <v/>
      </c>
      <c r="GO69" s="41" t="str">
        <f t="shared" si="390"/>
        <v/>
      </c>
      <c r="GP69" s="41" t="str">
        <f t="shared" si="391"/>
        <v/>
      </c>
      <c r="GQ69" s="41" t="str">
        <f t="shared" si="392"/>
        <v/>
      </c>
      <c r="GR69" s="41" t="str">
        <f t="shared" si="393"/>
        <v/>
      </c>
      <c r="GS69" s="41" t="str">
        <f t="shared" si="394"/>
        <v/>
      </c>
      <c r="GT69" s="41" t="str">
        <f t="shared" si="395"/>
        <v/>
      </c>
      <c r="GU69" s="41" t="str">
        <f t="shared" si="396"/>
        <v/>
      </c>
      <c r="GV69" s="41" t="str">
        <f t="shared" si="397"/>
        <v/>
      </c>
      <c r="GW69" s="41" t="str">
        <f t="shared" si="398"/>
        <v/>
      </c>
      <c r="GX69" s="41" t="str">
        <f t="shared" si="399"/>
        <v/>
      </c>
      <c r="GY69" s="41" t="str">
        <f t="shared" si="400"/>
        <v/>
      </c>
      <c r="GZ69" s="41" t="str">
        <f t="shared" si="401"/>
        <v/>
      </c>
      <c r="HA69" s="41" t="str">
        <f t="shared" si="402"/>
        <v/>
      </c>
      <c r="HB69" s="41" t="str">
        <f t="shared" si="403"/>
        <v/>
      </c>
      <c r="HC69" s="41" t="str">
        <f t="shared" si="404"/>
        <v/>
      </c>
      <c r="HD69" s="41" t="str">
        <f t="shared" si="405"/>
        <v/>
      </c>
      <c r="HE69" s="41" t="str">
        <f t="shared" si="406"/>
        <v/>
      </c>
      <c r="HF69" s="41" t="str">
        <f t="shared" si="407"/>
        <v/>
      </c>
      <c r="HG69" s="41" t="str">
        <f t="shared" si="408"/>
        <v/>
      </c>
      <c r="HH69" s="41" t="str">
        <f t="shared" si="409"/>
        <v/>
      </c>
      <c r="HI69" s="41" t="str">
        <f t="shared" si="410"/>
        <v/>
      </c>
      <c r="HJ69" s="41" t="str">
        <f t="shared" si="411"/>
        <v/>
      </c>
      <c r="HK69" s="41" t="str">
        <f t="shared" si="412"/>
        <v/>
      </c>
      <c r="HL69" s="41" t="str">
        <f t="shared" si="413"/>
        <v/>
      </c>
      <c r="HM69" s="41" t="str">
        <f t="shared" si="414"/>
        <v/>
      </c>
      <c r="HN69" s="41" t="str">
        <f t="shared" si="415"/>
        <v/>
      </c>
      <c r="HO69" s="41" t="str">
        <f t="shared" si="416"/>
        <v/>
      </c>
      <c r="HP69" s="41" t="str">
        <f t="shared" si="417"/>
        <v/>
      </c>
      <c r="HQ69" s="41" t="str">
        <f t="shared" si="418"/>
        <v/>
      </c>
      <c r="HR69" s="41" t="str">
        <f t="shared" si="419"/>
        <v/>
      </c>
      <c r="HS69" s="41" t="str">
        <f t="shared" si="420"/>
        <v/>
      </c>
      <c r="HT69" s="41" t="str">
        <f t="shared" si="421"/>
        <v/>
      </c>
      <c r="HU69" s="41" t="str">
        <f t="shared" si="422"/>
        <v/>
      </c>
      <c r="HV69" s="41" t="str">
        <f t="shared" si="423"/>
        <v/>
      </c>
      <c r="HW69" s="41" t="str">
        <f t="shared" si="424"/>
        <v/>
      </c>
      <c r="HX69" s="41" t="str">
        <f t="shared" si="425"/>
        <v/>
      </c>
      <c r="HY69" s="41" t="str">
        <f t="shared" si="426"/>
        <v/>
      </c>
      <c r="HZ69" s="41" t="str">
        <f t="shared" si="427"/>
        <v/>
      </c>
      <c r="IA69" s="41" t="str">
        <f t="shared" si="428"/>
        <v/>
      </c>
      <c r="IB69" s="41" t="str">
        <f t="shared" si="429"/>
        <v/>
      </c>
      <c r="IC69" s="41" t="str">
        <f t="shared" si="430"/>
        <v/>
      </c>
      <c r="ID69" s="41" t="str">
        <f t="shared" si="431"/>
        <v/>
      </c>
      <c r="IE69" s="41" t="str">
        <f t="shared" si="432"/>
        <v/>
      </c>
      <c r="IF69" s="41" t="str">
        <f t="shared" si="433"/>
        <v/>
      </c>
      <c r="IG69" s="306" t="str">
        <f>IFERROR(IF(ISBLANK(DH69), "-", IF($I69="c", DH69*$I$5, DH69)),"-")</f>
        <v/>
      </c>
      <c r="IH69" s="44" t="str">
        <f t="shared" si="458"/>
        <v/>
      </c>
      <c r="II69" s="44" t="str">
        <f t="shared" si="459"/>
        <v/>
      </c>
      <c r="IJ69" s="44" t="str">
        <f t="shared" si="460"/>
        <v/>
      </c>
      <c r="IK69" s="44" t="str">
        <f t="shared" si="461"/>
        <v/>
      </c>
      <c r="IL69" s="44" t="str">
        <f t="shared" si="462"/>
        <v/>
      </c>
      <c r="IM69" s="306" t="str">
        <f>IFERROR(IF(ISBLANK(DO69), "", IF($I69="c",DO69*$I$5, DO69)),"-")</f>
        <v/>
      </c>
      <c r="IN69" s="44" t="str">
        <f t="shared" si="463"/>
        <v/>
      </c>
      <c r="IO69" s="44" t="str">
        <f t="shared" si="464"/>
        <v/>
      </c>
      <c r="IP69" s="44" t="str">
        <f t="shared" si="465"/>
        <v/>
      </c>
      <c r="IQ69" s="44" t="str">
        <f t="shared" si="466"/>
        <v/>
      </c>
      <c r="IR69" s="44" t="str">
        <f t="shared" si="467"/>
        <v/>
      </c>
      <c r="IS69" s="306" t="str">
        <f>IFERROR(IF(ISBLANK(DV69), "", IF($I69="c", DV69*$I$5, DV69)),"-")</f>
        <v/>
      </c>
      <c r="IT69" s="44" t="str">
        <f t="shared" si="468"/>
        <v/>
      </c>
      <c r="IU69" s="44" t="str">
        <f t="shared" si="469"/>
        <v/>
      </c>
      <c r="IV69" s="44" t="str">
        <f t="shared" si="470"/>
        <v/>
      </c>
      <c r="IW69" s="44" t="str">
        <f t="shared" si="471"/>
        <v/>
      </c>
      <c r="IX69" s="44" t="str">
        <f t="shared" si="472"/>
        <v/>
      </c>
      <c r="IY69" s="306" t="str">
        <f>IFERROR(IF(ISBLANK(EC69), "", IF($I69="c", EC69*$I$5, EC69)),"-")</f>
        <v/>
      </c>
      <c r="IZ69" s="44" t="str">
        <f t="shared" si="473"/>
        <v/>
      </c>
      <c r="JA69" s="44" t="str">
        <f t="shared" si="474"/>
        <v/>
      </c>
      <c r="JB69" s="44" t="str">
        <f t="shared" si="475"/>
        <v/>
      </c>
      <c r="JC69" s="44" t="str">
        <f t="shared" si="476"/>
        <v/>
      </c>
      <c r="JD69" s="307" t="str">
        <f t="shared" si="477"/>
        <v/>
      </c>
      <c r="JF69" s="66">
        <f t="shared" si="224"/>
        <v>69</v>
      </c>
      <c r="JG69" s="66">
        <f ca="1">SUM(INDIRECT(VLOOKUP($JH$4,XPEERCOLUMNS,2,0) &amp; JF69 &amp; ":" &amp; VLOOKUP($JH$4,XPEERCOLUMNS,2,0) &amp; JF69))</f>
        <v>0</v>
      </c>
      <c r="JH69" s="66">
        <f ca="1">SUM(INDIRECT(VLOOKUP($JH$4,XPEERCOLUMNS,3,0) &amp; JF69 &amp; ":" &amp; VLOOKUP($JH$4,XPEERCOLUMNS,3,0) &amp; JF69))</f>
        <v>0</v>
      </c>
      <c r="JI69" s="66">
        <f ca="1">SUM(INDIRECT(VLOOKUP($JH$4,XPEERCOLUMNS,4,0) &amp; JF69 &amp; ":" &amp; VLOOKUP($JH$4,XPEERCOLUMNS,4,0) &amp; JF69))</f>
        <v>0</v>
      </c>
      <c r="JJ69" s="66">
        <f ca="1">SUM(INDIRECT(VLOOKUP($JH$4,XPEERCOLUMNS,5,0) &amp; JF69 &amp; ":" &amp; VLOOKUP($JH$4,XPEERCOLUMNS,5,0) &amp; JF69))</f>
        <v>0</v>
      </c>
      <c r="JK69" s="33"/>
      <c r="JL69" s="74" t="str">
        <f ca="1">IF(JG69=0,"-",JG69)</f>
        <v>-</v>
      </c>
      <c r="JM69" s="75">
        <f ca="1">IF(G69="Smaller better",JG69-((JG69-JH69)*0.5),JG69+((JH69-JG69)*0.5))</f>
        <v>0</v>
      </c>
      <c r="JN69" s="75">
        <f ca="1">IF(G69="Smaller better",JH69-((JH69-JI69)*0.5),JH69+((JI69-JH69)*0.5))</f>
        <v>0</v>
      </c>
      <c r="JO69" s="74" t="str">
        <f ca="1">IF(JI69=0,"-",JI69)</f>
        <v>-</v>
      </c>
      <c r="JP69" s="74">
        <f ca="1">SUM(JL69:JO69)</f>
        <v>0</v>
      </c>
    </row>
    <row r="70" spans="1:276" s="1" customFormat="1" x14ac:dyDescent="0.35">
      <c r="A70" s="125">
        <v>0</v>
      </c>
      <c r="B70" s="125">
        <v>0</v>
      </c>
      <c r="C70" s="125">
        <v>1</v>
      </c>
      <c r="D70" s="163"/>
      <c r="E70" s="142" t="s">
        <v>138</v>
      </c>
      <c r="F70" s="227" t="s">
        <v>139</v>
      </c>
      <c r="G70" s="228" t="s">
        <v>530</v>
      </c>
      <c r="H70" s="210" t="s">
        <v>548</v>
      </c>
      <c r="I70" s="8" t="s">
        <v>532</v>
      </c>
      <c r="J70" s="211" t="s">
        <v>805</v>
      </c>
      <c r="K70" s="211" t="s">
        <v>805</v>
      </c>
      <c r="L70" s="211" t="s">
        <v>805</v>
      </c>
      <c r="M70" s="211" t="s">
        <v>805</v>
      </c>
      <c r="N70" s="211" t="s">
        <v>805</v>
      </c>
      <c r="O70" s="211" t="s">
        <v>805</v>
      </c>
      <c r="P70" s="211" t="s">
        <v>805</v>
      </c>
      <c r="Q70" s="211" t="s">
        <v>805</v>
      </c>
      <c r="R70" s="211" t="s">
        <v>805</v>
      </c>
      <c r="S70" s="211" t="s">
        <v>805</v>
      </c>
      <c r="T70" s="211" t="s">
        <v>805</v>
      </c>
      <c r="U70" s="211" t="s">
        <v>805</v>
      </c>
      <c r="V70" s="211" t="s">
        <v>805</v>
      </c>
      <c r="W70" s="211" t="s">
        <v>805</v>
      </c>
      <c r="X70" s="211" t="s">
        <v>805</v>
      </c>
      <c r="Y70" s="211" t="s">
        <v>805</v>
      </c>
      <c r="Z70" s="211" t="s">
        <v>805</v>
      </c>
      <c r="AA70" s="211" t="s">
        <v>805</v>
      </c>
      <c r="AB70" s="211" t="s">
        <v>805</v>
      </c>
      <c r="AC70" s="211" t="s">
        <v>805</v>
      </c>
      <c r="AD70" s="211" t="s">
        <v>805</v>
      </c>
      <c r="AE70" s="211" t="s">
        <v>805</v>
      </c>
      <c r="AF70" s="211" t="s">
        <v>805</v>
      </c>
      <c r="AG70" s="211" t="s">
        <v>805</v>
      </c>
      <c r="AH70" s="211" t="s">
        <v>805</v>
      </c>
      <c r="AI70" s="211" t="s">
        <v>805</v>
      </c>
      <c r="AJ70" s="211" t="s">
        <v>805</v>
      </c>
      <c r="AK70" s="211" t="s">
        <v>805</v>
      </c>
      <c r="AL70" s="211" t="s">
        <v>805</v>
      </c>
      <c r="AM70" s="211" t="s">
        <v>805</v>
      </c>
      <c r="AN70" s="211" t="s">
        <v>805</v>
      </c>
      <c r="AO70" s="211" t="s">
        <v>805</v>
      </c>
      <c r="AP70" s="211" t="s">
        <v>805</v>
      </c>
      <c r="AQ70" s="211" t="s">
        <v>805</v>
      </c>
      <c r="AR70" s="211" t="s">
        <v>805</v>
      </c>
      <c r="AS70" s="211" t="s">
        <v>805</v>
      </c>
      <c r="AT70" s="211" t="s">
        <v>805</v>
      </c>
      <c r="AU70" s="211" t="s">
        <v>805</v>
      </c>
      <c r="AV70" s="211" t="s">
        <v>805</v>
      </c>
      <c r="AW70" s="211" t="s">
        <v>805</v>
      </c>
      <c r="AX70" s="211" t="s">
        <v>805</v>
      </c>
      <c r="AY70" s="211" t="s">
        <v>805</v>
      </c>
      <c r="AZ70" s="211" t="s">
        <v>805</v>
      </c>
      <c r="BA70" s="211" t="s">
        <v>805</v>
      </c>
      <c r="BB70" s="211" t="s">
        <v>805</v>
      </c>
      <c r="BC70" s="211" t="s">
        <v>805</v>
      </c>
      <c r="BD70" s="211" t="s">
        <v>805</v>
      </c>
      <c r="BE70" s="211" t="s">
        <v>805</v>
      </c>
      <c r="BF70" s="211" t="s">
        <v>805</v>
      </c>
      <c r="BG70" s="211" t="s">
        <v>805</v>
      </c>
      <c r="BH70" s="211" t="s">
        <v>805</v>
      </c>
      <c r="BI70" s="211" t="s">
        <v>805</v>
      </c>
      <c r="BJ70" s="211" t="s">
        <v>805</v>
      </c>
      <c r="BK70" s="211" t="s">
        <v>805</v>
      </c>
      <c r="BL70" s="211" t="s">
        <v>805</v>
      </c>
      <c r="BM70" s="211" t="s">
        <v>805</v>
      </c>
      <c r="BN70" s="211" t="s">
        <v>805</v>
      </c>
      <c r="BO70" s="211" t="s">
        <v>805</v>
      </c>
      <c r="BP70" s="211" t="s">
        <v>805</v>
      </c>
      <c r="BQ70" s="211" t="s">
        <v>805</v>
      </c>
      <c r="BR70" s="211" t="s">
        <v>805</v>
      </c>
      <c r="BS70" s="211" t="s">
        <v>805</v>
      </c>
      <c r="BT70" s="211" t="s">
        <v>805</v>
      </c>
      <c r="BU70" s="211" t="s">
        <v>805</v>
      </c>
      <c r="BV70" s="211" t="s">
        <v>805</v>
      </c>
      <c r="BW70" s="211" t="s">
        <v>805</v>
      </c>
      <c r="BX70" s="211" t="s">
        <v>805</v>
      </c>
      <c r="BY70" s="211" t="s">
        <v>805</v>
      </c>
      <c r="BZ70" s="211" t="s">
        <v>805</v>
      </c>
      <c r="CA70" s="211" t="s">
        <v>805</v>
      </c>
      <c r="CB70" s="211" t="s">
        <v>805</v>
      </c>
      <c r="CC70" s="211" t="s">
        <v>805</v>
      </c>
      <c r="CD70" s="211" t="s">
        <v>805</v>
      </c>
      <c r="CE70" s="211" t="s">
        <v>805</v>
      </c>
      <c r="CF70" s="211" t="s">
        <v>805</v>
      </c>
      <c r="CG70" s="211" t="s">
        <v>805</v>
      </c>
      <c r="CH70" s="211" t="s">
        <v>805</v>
      </c>
      <c r="CI70" s="211" t="s">
        <v>805</v>
      </c>
      <c r="CJ70" s="211" t="s">
        <v>805</v>
      </c>
      <c r="CK70" s="211" t="s">
        <v>805</v>
      </c>
      <c r="CL70" s="211" t="s">
        <v>805</v>
      </c>
      <c r="CM70" s="211" t="s">
        <v>805</v>
      </c>
      <c r="CN70" s="211" t="s">
        <v>805</v>
      </c>
      <c r="CO70" s="211" t="s">
        <v>805</v>
      </c>
      <c r="CP70" s="211" t="s">
        <v>805</v>
      </c>
      <c r="CQ70" s="211" t="s">
        <v>805</v>
      </c>
      <c r="CR70" s="211" t="s">
        <v>805</v>
      </c>
      <c r="CS70" s="211" t="s">
        <v>805</v>
      </c>
      <c r="CT70" s="211" t="s">
        <v>805</v>
      </c>
      <c r="CU70" s="211" t="s">
        <v>805</v>
      </c>
      <c r="CV70" s="211" t="s">
        <v>805</v>
      </c>
      <c r="CW70" s="211" t="s">
        <v>805</v>
      </c>
      <c r="CX70" s="211" t="s">
        <v>805</v>
      </c>
      <c r="CY70" s="211" t="s">
        <v>805</v>
      </c>
      <c r="CZ70" s="211" t="s">
        <v>805</v>
      </c>
      <c r="DA70" s="211" t="s">
        <v>805</v>
      </c>
      <c r="DB70" s="211" t="s">
        <v>805</v>
      </c>
      <c r="DC70" s="211" t="s">
        <v>805</v>
      </c>
      <c r="DD70" s="211" t="s">
        <v>805</v>
      </c>
      <c r="DE70" s="211" t="s">
        <v>805</v>
      </c>
      <c r="DF70" s="211" t="s">
        <v>805</v>
      </c>
      <c r="DG70" s="212">
        <f>VLOOKUP(E70,'KPI Count-SHARE'!A:F,3,0)</f>
        <v>0</v>
      </c>
      <c r="DH70" s="213" t="s">
        <v>805</v>
      </c>
      <c r="DI70" s="213" t="s">
        <v>805</v>
      </c>
      <c r="DJ70" s="213" t="s">
        <v>805</v>
      </c>
      <c r="DK70" s="213" t="s">
        <v>805</v>
      </c>
      <c r="DL70" s="213" t="s">
        <v>805</v>
      </c>
      <c r="DM70" s="213" t="s">
        <v>805</v>
      </c>
      <c r="DN70" s="212">
        <f>VLOOKUP(E70,'KPI Count-SHARE'!A:F,4,0)</f>
        <v>0</v>
      </c>
      <c r="DO70" s="213"/>
      <c r="DP70" s="213"/>
      <c r="DQ70" s="213"/>
      <c r="DR70" s="213"/>
      <c r="DS70" s="213"/>
      <c r="DT70" s="213"/>
      <c r="DU70" s="212">
        <f>VLOOKUP(E70,'KPI Count-SHARE'!A:F,5,0)</f>
        <v>0</v>
      </c>
      <c r="DV70" s="213"/>
      <c r="DW70" s="213"/>
      <c r="DX70" s="213"/>
      <c r="DY70" s="213"/>
      <c r="DZ70" s="213"/>
      <c r="EA70" s="213"/>
      <c r="EB70" s="212">
        <f>VLOOKUP(E70,'KPI Count-SHARE'!A:F,6,0)</f>
        <v>0</v>
      </c>
      <c r="EC70" s="213"/>
      <c r="ED70" s="213"/>
      <c r="EE70" s="213"/>
      <c r="EF70" s="213"/>
      <c r="EG70" s="213"/>
      <c r="EH70" s="213"/>
      <c r="EI70" s="214" t="s">
        <v>548</v>
      </c>
      <c r="EJ70" s="41" t="str">
        <f>IFERROR(IF(ISBLANK(J70), "-", IF(OR($I70="c",$I70="r"), J70*$I$5, J70)),"-")</f>
        <v/>
      </c>
      <c r="EK70" s="41" t="str">
        <f t="shared" si="479"/>
        <v/>
      </c>
      <c r="EL70" s="41" t="str">
        <f t="shared" si="479"/>
        <v/>
      </c>
      <c r="EM70" s="41" t="str">
        <f>IFERROR(IF(ISBLANK(M70), "-", IF($I70="c", M70*$I$5,M70)),"-")</f>
        <v/>
      </c>
      <c r="EN70" s="41" t="str">
        <f>IFERROR(IF(ISBLANK(N70), "-", IF($I70="c", N70*$I$5, N70)),"-")</f>
        <v/>
      </c>
      <c r="EO70" s="41" t="str">
        <f>IFERROR(IF(ISBLANK(O70), "-", IF($I70="c", O70*$I$5,O70)),"-")</f>
        <v/>
      </c>
      <c r="EP70" s="41" t="str">
        <f t="shared" si="480"/>
        <v/>
      </c>
      <c r="EQ70" s="41" t="str">
        <f t="shared" si="480"/>
        <v/>
      </c>
      <c r="ER70" s="41" t="str">
        <f t="shared" si="480"/>
        <v/>
      </c>
      <c r="ES70" s="41" t="str">
        <f t="shared" si="480"/>
        <v/>
      </c>
      <c r="ET70" s="41" t="str">
        <f t="shared" si="480"/>
        <v/>
      </c>
      <c r="EU70" s="41" t="str">
        <f t="shared" si="480"/>
        <v/>
      </c>
      <c r="EV70" s="41" t="str">
        <f t="shared" si="480"/>
        <v/>
      </c>
      <c r="EW70" s="41" t="str">
        <f t="shared" si="480"/>
        <v/>
      </c>
      <c r="EX70" s="41" t="str">
        <f t="shared" si="480"/>
        <v/>
      </c>
      <c r="EY70" s="41" t="str">
        <f t="shared" si="480"/>
        <v/>
      </c>
      <c r="EZ70" s="41" t="str">
        <f t="shared" si="349"/>
        <v/>
      </c>
      <c r="FA70" s="41" t="str">
        <f t="shared" si="350"/>
        <v/>
      </c>
      <c r="FB70" s="41" t="str">
        <f t="shared" si="351"/>
        <v/>
      </c>
      <c r="FC70" s="41" t="str">
        <f t="shared" si="352"/>
        <v/>
      </c>
      <c r="FD70" s="41" t="str">
        <f t="shared" si="353"/>
        <v/>
      </c>
      <c r="FE70" s="41" t="str">
        <f t="shared" si="354"/>
        <v/>
      </c>
      <c r="FF70" s="41" t="str">
        <f t="shared" si="355"/>
        <v/>
      </c>
      <c r="FG70" s="41" t="str">
        <f t="shared" si="356"/>
        <v/>
      </c>
      <c r="FH70" s="41" t="str">
        <f t="shared" si="357"/>
        <v/>
      </c>
      <c r="FI70" s="41" t="str">
        <f t="shared" si="358"/>
        <v/>
      </c>
      <c r="FJ70" s="41" t="str">
        <f t="shared" si="359"/>
        <v/>
      </c>
      <c r="FK70" s="41" t="str">
        <f t="shared" si="360"/>
        <v/>
      </c>
      <c r="FL70" s="41" t="str">
        <f t="shared" si="361"/>
        <v/>
      </c>
      <c r="FM70" s="41" t="str">
        <f t="shared" si="362"/>
        <v/>
      </c>
      <c r="FN70" s="41" t="str">
        <f t="shared" si="363"/>
        <v/>
      </c>
      <c r="FO70" s="41" t="str">
        <f t="shared" si="364"/>
        <v/>
      </c>
      <c r="FP70" s="41" t="str">
        <f t="shared" si="365"/>
        <v/>
      </c>
      <c r="FQ70" s="41" t="str">
        <f t="shared" si="366"/>
        <v/>
      </c>
      <c r="FR70" s="41" t="str">
        <f t="shared" si="367"/>
        <v/>
      </c>
      <c r="FS70" s="41" t="str">
        <f t="shared" si="368"/>
        <v/>
      </c>
      <c r="FT70" s="41" t="str">
        <f t="shared" si="369"/>
        <v/>
      </c>
      <c r="FU70" s="41" t="str">
        <f t="shared" si="370"/>
        <v/>
      </c>
      <c r="FV70" s="41" t="str">
        <f t="shared" si="371"/>
        <v/>
      </c>
      <c r="FW70" s="41" t="str">
        <f t="shared" si="372"/>
        <v/>
      </c>
      <c r="FX70" s="41" t="str">
        <f t="shared" si="373"/>
        <v/>
      </c>
      <c r="FY70" s="41" t="str">
        <f t="shared" si="374"/>
        <v/>
      </c>
      <c r="FZ70" s="41" t="str">
        <f t="shared" si="375"/>
        <v/>
      </c>
      <c r="GA70" s="41" t="str">
        <f t="shared" si="376"/>
        <v/>
      </c>
      <c r="GB70" s="41" t="str">
        <f t="shared" si="377"/>
        <v/>
      </c>
      <c r="GC70" s="41" t="str">
        <f t="shared" si="378"/>
        <v/>
      </c>
      <c r="GD70" s="41" t="str">
        <f t="shared" si="379"/>
        <v/>
      </c>
      <c r="GE70" s="41" t="str">
        <f t="shared" si="380"/>
        <v/>
      </c>
      <c r="GF70" s="41" t="str">
        <f t="shared" si="381"/>
        <v/>
      </c>
      <c r="GG70" s="41" t="str">
        <f t="shared" si="382"/>
        <v/>
      </c>
      <c r="GH70" s="41" t="str">
        <f t="shared" si="383"/>
        <v/>
      </c>
      <c r="GI70" s="41" t="str">
        <f t="shared" si="384"/>
        <v/>
      </c>
      <c r="GJ70" s="41" t="str">
        <f t="shared" si="385"/>
        <v/>
      </c>
      <c r="GK70" s="41" t="str">
        <f t="shared" si="386"/>
        <v/>
      </c>
      <c r="GL70" s="41" t="str">
        <f t="shared" si="387"/>
        <v/>
      </c>
      <c r="GM70" s="41" t="str">
        <f t="shared" si="388"/>
        <v/>
      </c>
      <c r="GN70" s="41" t="str">
        <f t="shared" si="389"/>
        <v/>
      </c>
      <c r="GO70" s="41" t="str">
        <f t="shared" si="390"/>
        <v/>
      </c>
      <c r="GP70" s="41" t="str">
        <f t="shared" si="391"/>
        <v/>
      </c>
      <c r="GQ70" s="41" t="str">
        <f t="shared" si="392"/>
        <v/>
      </c>
      <c r="GR70" s="41" t="str">
        <f t="shared" si="393"/>
        <v/>
      </c>
      <c r="GS70" s="41" t="str">
        <f t="shared" si="394"/>
        <v/>
      </c>
      <c r="GT70" s="41" t="str">
        <f t="shared" si="395"/>
        <v/>
      </c>
      <c r="GU70" s="41" t="str">
        <f t="shared" si="396"/>
        <v/>
      </c>
      <c r="GV70" s="41" t="str">
        <f t="shared" si="397"/>
        <v/>
      </c>
      <c r="GW70" s="41" t="str">
        <f t="shared" si="398"/>
        <v/>
      </c>
      <c r="GX70" s="41" t="str">
        <f t="shared" si="399"/>
        <v/>
      </c>
      <c r="GY70" s="41" t="str">
        <f t="shared" si="400"/>
        <v/>
      </c>
      <c r="GZ70" s="41" t="str">
        <f t="shared" si="401"/>
        <v/>
      </c>
      <c r="HA70" s="41" t="str">
        <f t="shared" si="402"/>
        <v/>
      </c>
      <c r="HB70" s="41" t="str">
        <f t="shared" si="403"/>
        <v/>
      </c>
      <c r="HC70" s="41" t="str">
        <f t="shared" si="404"/>
        <v/>
      </c>
      <c r="HD70" s="41" t="str">
        <f t="shared" si="405"/>
        <v/>
      </c>
      <c r="HE70" s="41" t="str">
        <f t="shared" si="406"/>
        <v/>
      </c>
      <c r="HF70" s="41" t="str">
        <f t="shared" si="407"/>
        <v/>
      </c>
      <c r="HG70" s="41" t="str">
        <f t="shared" si="408"/>
        <v/>
      </c>
      <c r="HH70" s="41" t="str">
        <f t="shared" si="409"/>
        <v/>
      </c>
      <c r="HI70" s="41" t="str">
        <f t="shared" si="410"/>
        <v/>
      </c>
      <c r="HJ70" s="41" t="str">
        <f t="shared" si="411"/>
        <v/>
      </c>
      <c r="HK70" s="41" t="str">
        <f t="shared" si="412"/>
        <v/>
      </c>
      <c r="HL70" s="41" t="str">
        <f t="shared" si="413"/>
        <v/>
      </c>
      <c r="HM70" s="41" t="str">
        <f t="shared" si="414"/>
        <v/>
      </c>
      <c r="HN70" s="41" t="str">
        <f t="shared" si="415"/>
        <v/>
      </c>
      <c r="HO70" s="41" t="str">
        <f t="shared" si="416"/>
        <v/>
      </c>
      <c r="HP70" s="41" t="str">
        <f t="shared" si="417"/>
        <v/>
      </c>
      <c r="HQ70" s="41" t="str">
        <f t="shared" si="418"/>
        <v/>
      </c>
      <c r="HR70" s="41" t="str">
        <f t="shared" si="419"/>
        <v/>
      </c>
      <c r="HS70" s="41" t="str">
        <f t="shared" si="420"/>
        <v/>
      </c>
      <c r="HT70" s="41" t="str">
        <f t="shared" si="421"/>
        <v/>
      </c>
      <c r="HU70" s="41" t="str">
        <f t="shared" si="422"/>
        <v/>
      </c>
      <c r="HV70" s="41" t="str">
        <f t="shared" si="423"/>
        <v/>
      </c>
      <c r="HW70" s="41" t="str">
        <f t="shared" si="424"/>
        <v/>
      </c>
      <c r="HX70" s="41" t="str">
        <f t="shared" si="425"/>
        <v/>
      </c>
      <c r="HY70" s="41" t="str">
        <f t="shared" si="426"/>
        <v/>
      </c>
      <c r="HZ70" s="41" t="str">
        <f t="shared" si="427"/>
        <v/>
      </c>
      <c r="IA70" s="41" t="str">
        <f t="shared" si="428"/>
        <v/>
      </c>
      <c r="IB70" s="41" t="str">
        <f t="shared" si="429"/>
        <v/>
      </c>
      <c r="IC70" s="41" t="str">
        <f t="shared" si="430"/>
        <v/>
      </c>
      <c r="ID70" s="41" t="str">
        <f t="shared" si="431"/>
        <v/>
      </c>
      <c r="IE70" s="41" t="str">
        <f t="shared" si="432"/>
        <v/>
      </c>
      <c r="IF70" s="41" t="str">
        <f t="shared" si="433"/>
        <v/>
      </c>
      <c r="IG70" s="306" t="str">
        <f>IFERROR(IF(ISBLANK(DH70), "-", IF($I70="c", DH70*$I$5, DH70)),"-")</f>
        <v/>
      </c>
      <c r="IH70" s="44" t="str">
        <f t="shared" si="458"/>
        <v/>
      </c>
      <c r="II70" s="44" t="str">
        <f t="shared" si="459"/>
        <v/>
      </c>
      <c r="IJ70" s="44" t="str">
        <f t="shared" si="460"/>
        <v/>
      </c>
      <c r="IK70" s="44" t="str">
        <f t="shared" si="461"/>
        <v/>
      </c>
      <c r="IL70" s="44" t="str">
        <f t="shared" si="462"/>
        <v/>
      </c>
      <c r="IM70" s="306" t="str">
        <f>IFERROR(IF(ISBLANK(DO70), "", IF($I70="c",DO70*$I$5, DO70)),"-")</f>
        <v/>
      </c>
      <c r="IN70" s="44" t="str">
        <f t="shared" si="463"/>
        <v/>
      </c>
      <c r="IO70" s="44" t="str">
        <f t="shared" si="464"/>
        <v/>
      </c>
      <c r="IP70" s="44" t="str">
        <f t="shared" si="465"/>
        <v/>
      </c>
      <c r="IQ70" s="44" t="str">
        <f t="shared" si="466"/>
        <v/>
      </c>
      <c r="IR70" s="44" t="str">
        <f t="shared" si="467"/>
        <v/>
      </c>
      <c r="IS70" s="306" t="str">
        <f>IFERROR(IF(ISBLANK(DV70), "", IF($I70="c", DV70*$I$5, DV70)),"-")</f>
        <v/>
      </c>
      <c r="IT70" s="44" t="str">
        <f t="shared" si="468"/>
        <v/>
      </c>
      <c r="IU70" s="44" t="str">
        <f t="shared" si="469"/>
        <v/>
      </c>
      <c r="IV70" s="44" t="str">
        <f t="shared" si="470"/>
        <v/>
      </c>
      <c r="IW70" s="44" t="str">
        <f t="shared" si="471"/>
        <v/>
      </c>
      <c r="IX70" s="44" t="str">
        <f t="shared" si="472"/>
        <v/>
      </c>
      <c r="IY70" s="306" t="str">
        <f>IFERROR(IF(ISBLANK(EC70), "", IF($I70="c", EC70*$I$5, EC70)),"-")</f>
        <v/>
      </c>
      <c r="IZ70" s="44" t="str">
        <f t="shared" si="473"/>
        <v/>
      </c>
      <c r="JA70" s="44" t="str">
        <f t="shared" si="474"/>
        <v/>
      </c>
      <c r="JB70" s="44" t="str">
        <f t="shared" si="475"/>
        <v/>
      </c>
      <c r="JC70" s="44" t="str">
        <f t="shared" si="476"/>
        <v/>
      </c>
      <c r="JD70" s="307" t="str">
        <f t="shared" si="477"/>
        <v/>
      </c>
      <c r="JF70" s="66">
        <f t="shared" si="224"/>
        <v>70</v>
      </c>
      <c r="JG70" s="66">
        <f ca="1">SUM(INDIRECT(VLOOKUP($JH$4,XPEERCOLUMNS,2,0) &amp; JF70 &amp; ":" &amp; VLOOKUP($JH$4,XPEERCOLUMNS,2,0) &amp; JF70))</f>
        <v>0</v>
      </c>
      <c r="JH70" s="66">
        <f ca="1">SUM(INDIRECT(VLOOKUP($JH$4,XPEERCOLUMNS,3,0) &amp; JF70 &amp; ":" &amp; VLOOKUP($JH$4,XPEERCOLUMNS,3,0) &amp; JF70))</f>
        <v>0</v>
      </c>
      <c r="JI70" s="66">
        <f ca="1">SUM(INDIRECT(VLOOKUP($JH$4,XPEERCOLUMNS,4,0) &amp; JF70 &amp; ":" &amp; VLOOKUP($JH$4,XPEERCOLUMNS,4,0) &amp; JF70))</f>
        <v>0</v>
      </c>
      <c r="JJ70" s="66">
        <f ca="1">SUM(INDIRECT(VLOOKUP($JH$4,XPEERCOLUMNS,5,0) &amp; JF70 &amp; ":" &amp; VLOOKUP($JH$4,XPEERCOLUMNS,5,0) &amp; JF70))</f>
        <v>0</v>
      </c>
      <c r="JK70" s="33"/>
      <c r="JL70" s="74" t="str">
        <f ca="1">IF(JG70=0,"-",JG70)</f>
        <v>-</v>
      </c>
      <c r="JM70" s="75">
        <f ca="1">IF(G70="Smaller better",JG70-((JG70-JH70)*0.5),JG70+((JH70-JG70)*0.5))</f>
        <v>0</v>
      </c>
      <c r="JN70" s="75">
        <f ca="1">IF(G70="Smaller better",JH70-((JH70-JI70)*0.5),JH70+((JI70-JH70)*0.5))</f>
        <v>0</v>
      </c>
      <c r="JO70" s="74" t="str">
        <f ca="1">IF(JI70=0,"-",JI70)</f>
        <v>-</v>
      </c>
      <c r="JP70" s="74">
        <f ca="1">SUM(JL70:JO70)</f>
        <v>0</v>
      </c>
    </row>
    <row r="71" spans="1:276" s="1" customFormat="1" x14ac:dyDescent="0.35">
      <c r="A71" s="125">
        <v>0</v>
      </c>
      <c r="B71" s="125">
        <v>0</v>
      </c>
      <c r="C71" s="125">
        <v>1</v>
      </c>
      <c r="D71" s="163"/>
      <c r="E71" s="142" t="s">
        <v>140</v>
      </c>
      <c r="F71" s="227" t="s">
        <v>141</v>
      </c>
      <c r="G71" s="228" t="s">
        <v>530</v>
      </c>
      <c r="H71" s="210" t="s">
        <v>549</v>
      </c>
      <c r="I71" s="8" t="s">
        <v>532</v>
      </c>
      <c r="J71" s="211" t="s">
        <v>805</v>
      </c>
      <c r="K71" s="211" t="s">
        <v>805</v>
      </c>
      <c r="L71" s="211" t="s">
        <v>805</v>
      </c>
      <c r="M71" s="211" t="s">
        <v>805</v>
      </c>
      <c r="N71" s="211" t="s">
        <v>805</v>
      </c>
      <c r="O71" s="211" t="s">
        <v>805</v>
      </c>
      <c r="P71" s="211" t="s">
        <v>805</v>
      </c>
      <c r="Q71" s="211" t="s">
        <v>805</v>
      </c>
      <c r="R71" s="211" t="s">
        <v>805</v>
      </c>
      <c r="S71" s="211" t="s">
        <v>805</v>
      </c>
      <c r="T71" s="211" t="s">
        <v>805</v>
      </c>
      <c r="U71" s="211" t="s">
        <v>805</v>
      </c>
      <c r="V71" s="211" t="s">
        <v>805</v>
      </c>
      <c r="W71" s="211" t="s">
        <v>805</v>
      </c>
      <c r="X71" s="211" t="s">
        <v>805</v>
      </c>
      <c r="Y71" s="211" t="s">
        <v>805</v>
      </c>
      <c r="Z71" s="211" t="s">
        <v>805</v>
      </c>
      <c r="AA71" s="211" t="s">
        <v>805</v>
      </c>
      <c r="AB71" s="211" t="s">
        <v>805</v>
      </c>
      <c r="AC71" s="211" t="s">
        <v>805</v>
      </c>
      <c r="AD71" s="211" t="s">
        <v>805</v>
      </c>
      <c r="AE71" s="211" t="s">
        <v>805</v>
      </c>
      <c r="AF71" s="211" t="s">
        <v>805</v>
      </c>
      <c r="AG71" s="211" t="s">
        <v>805</v>
      </c>
      <c r="AH71" s="211" t="s">
        <v>805</v>
      </c>
      <c r="AI71" s="211" t="s">
        <v>805</v>
      </c>
      <c r="AJ71" s="211" t="s">
        <v>805</v>
      </c>
      <c r="AK71" s="211" t="s">
        <v>805</v>
      </c>
      <c r="AL71" s="211" t="s">
        <v>805</v>
      </c>
      <c r="AM71" s="211" t="s">
        <v>805</v>
      </c>
      <c r="AN71" s="211" t="s">
        <v>805</v>
      </c>
      <c r="AO71" s="211" t="s">
        <v>805</v>
      </c>
      <c r="AP71" s="211" t="s">
        <v>805</v>
      </c>
      <c r="AQ71" s="211" t="s">
        <v>805</v>
      </c>
      <c r="AR71" s="211" t="s">
        <v>805</v>
      </c>
      <c r="AS71" s="211" t="s">
        <v>805</v>
      </c>
      <c r="AT71" s="211" t="s">
        <v>805</v>
      </c>
      <c r="AU71" s="211" t="s">
        <v>805</v>
      </c>
      <c r="AV71" s="211" t="s">
        <v>805</v>
      </c>
      <c r="AW71" s="211" t="s">
        <v>805</v>
      </c>
      <c r="AX71" s="211" t="s">
        <v>805</v>
      </c>
      <c r="AY71" s="211" t="s">
        <v>805</v>
      </c>
      <c r="AZ71" s="211" t="s">
        <v>805</v>
      </c>
      <c r="BA71" s="211" t="s">
        <v>805</v>
      </c>
      <c r="BB71" s="211" t="s">
        <v>805</v>
      </c>
      <c r="BC71" s="211" t="s">
        <v>805</v>
      </c>
      <c r="BD71" s="211" t="s">
        <v>805</v>
      </c>
      <c r="BE71" s="211" t="s">
        <v>805</v>
      </c>
      <c r="BF71" s="211" t="s">
        <v>805</v>
      </c>
      <c r="BG71" s="211" t="s">
        <v>805</v>
      </c>
      <c r="BH71" s="211" t="s">
        <v>805</v>
      </c>
      <c r="BI71" s="211" t="s">
        <v>805</v>
      </c>
      <c r="BJ71" s="211" t="s">
        <v>805</v>
      </c>
      <c r="BK71" s="211" t="s">
        <v>805</v>
      </c>
      <c r="BL71" s="211" t="s">
        <v>805</v>
      </c>
      <c r="BM71" s="211" t="s">
        <v>805</v>
      </c>
      <c r="BN71" s="211" t="s">
        <v>805</v>
      </c>
      <c r="BO71" s="211" t="s">
        <v>805</v>
      </c>
      <c r="BP71" s="211" t="s">
        <v>805</v>
      </c>
      <c r="BQ71" s="211" t="s">
        <v>805</v>
      </c>
      <c r="BR71" s="211" t="s">
        <v>805</v>
      </c>
      <c r="BS71" s="211" t="s">
        <v>805</v>
      </c>
      <c r="BT71" s="211" t="s">
        <v>805</v>
      </c>
      <c r="BU71" s="211" t="s">
        <v>805</v>
      </c>
      <c r="BV71" s="211" t="s">
        <v>805</v>
      </c>
      <c r="BW71" s="211" t="s">
        <v>805</v>
      </c>
      <c r="BX71" s="211" t="s">
        <v>805</v>
      </c>
      <c r="BY71" s="211" t="s">
        <v>805</v>
      </c>
      <c r="BZ71" s="211" t="s">
        <v>805</v>
      </c>
      <c r="CA71" s="211" t="s">
        <v>805</v>
      </c>
      <c r="CB71" s="211" t="s">
        <v>805</v>
      </c>
      <c r="CC71" s="211" t="s">
        <v>805</v>
      </c>
      <c r="CD71" s="211" t="s">
        <v>805</v>
      </c>
      <c r="CE71" s="211" t="s">
        <v>805</v>
      </c>
      <c r="CF71" s="211" t="s">
        <v>805</v>
      </c>
      <c r="CG71" s="211" t="s">
        <v>805</v>
      </c>
      <c r="CH71" s="211" t="s">
        <v>805</v>
      </c>
      <c r="CI71" s="211" t="s">
        <v>805</v>
      </c>
      <c r="CJ71" s="211" t="s">
        <v>805</v>
      </c>
      <c r="CK71" s="211" t="s">
        <v>805</v>
      </c>
      <c r="CL71" s="211" t="s">
        <v>805</v>
      </c>
      <c r="CM71" s="211" t="s">
        <v>805</v>
      </c>
      <c r="CN71" s="211" t="s">
        <v>805</v>
      </c>
      <c r="CO71" s="211" t="s">
        <v>805</v>
      </c>
      <c r="CP71" s="211" t="s">
        <v>805</v>
      </c>
      <c r="CQ71" s="211" t="s">
        <v>805</v>
      </c>
      <c r="CR71" s="211" t="s">
        <v>805</v>
      </c>
      <c r="CS71" s="211" t="s">
        <v>805</v>
      </c>
      <c r="CT71" s="211" t="s">
        <v>805</v>
      </c>
      <c r="CU71" s="211" t="s">
        <v>805</v>
      </c>
      <c r="CV71" s="211" t="s">
        <v>805</v>
      </c>
      <c r="CW71" s="211" t="s">
        <v>805</v>
      </c>
      <c r="CX71" s="211" t="s">
        <v>805</v>
      </c>
      <c r="CY71" s="211" t="s">
        <v>805</v>
      </c>
      <c r="CZ71" s="211" t="s">
        <v>805</v>
      </c>
      <c r="DA71" s="211" t="s">
        <v>805</v>
      </c>
      <c r="DB71" s="211" t="s">
        <v>805</v>
      </c>
      <c r="DC71" s="211" t="s">
        <v>805</v>
      </c>
      <c r="DD71" s="211" t="s">
        <v>805</v>
      </c>
      <c r="DE71" s="211" t="s">
        <v>805</v>
      </c>
      <c r="DF71" s="211" t="s">
        <v>805</v>
      </c>
      <c r="DG71" s="212">
        <f>VLOOKUP(E71,'KPI Count-SHARE'!A:F,3,0)</f>
        <v>0</v>
      </c>
      <c r="DH71" s="213" t="s">
        <v>805</v>
      </c>
      <c r="DI71" s="213" t="s">
        <v>805</v>
      </c>
      <c r="DJ71" s="213" t="s">
        <v>805</v>
      </c>
      <c r="DK71" s="213" t="s">
        <v>805</v>
      </c>
      <c r="DL71" s="213" t="s">
        <v>805</v>
      </c>
      <c r="DM71" s="213" t="s">
        <v>805</v>
      </c>
      <c r="DN71" s="212">
        <f>VLOOKUP(E71,'KPI Count-SHARE'!A:F,4,0)</f>
        <v>0</v>
      </c>
      <c r="DO71" s="213"/>
      <c r="DP71" s="213"/>
      <c r="DQ71" s="213"/>
      <c r="DR71" s="213"/>
      <c r="DS71" s="213"/>
      <c r="DT71" s="213"/>
      <c r="DU71" s="212">
        <f>VLOOKUP(E71,'KPI Count-SHARE'!A:F,5,0)</f>
        <v>0</v>
      </c>
      <c r="DV71" s="213"/>
      <c r="DW71" s="213"/>
      <c r="DX71" s="213"/>
      <c r="DY71" s="213"/>
      <c r="DZ71" s="213"/>
      <c r="EA71" s="213"/>
      <c r="EB71" s="212">
        <f>VLOOKUP(E71,'KPI Count-SHARE'!A:F,6,0)</f>
        <v>0</v>
      </c>
      <c r="EC71" s="213"/>
      <c r="ED71" s="213"/>
      <c r="EE71" s="213"/>
      <c r="EF71" s="213"/>
      <c r="EG71" s="213"/>
      <c r="EH71" s="213"/>
      <c r="EI71" s="214" t="s">
        <v>549</v>
      </c>
      <c r="EJ71" s="58" t="str">
        <f>IFERROR(IF(ISBLANK(J71), "-", IF(OR($I71="c",$I71="r"), J71*$I$5, J71)),"-")</f>
        <v/>
      </c>
      <c r="EK71" s="58" t="str">
        <f t="shared" si="479"/>
        <v/>
      </c>
      <c r="EL71" s="58" t="str">
        <f t="shared" si="479"/>
        <v/>
      </c>
      <c r="EM71" s="58" t="str">
        <f>IFERROR(IF(ISBLANK(M71), "-", IF($I71="c", M71*$I$5,M71)),"-")</f>
        <v/>
      </c>
      <c r="EN71" s="58" t="str">
        <f>IFERROR(IF(ISBLANK(N71), "-", IF($I71="c", N71*$I$5, N71)),"-")</f>
        <v/>
      </c>
      <c r="EO71" s="58" t="str">
        <f>IFERROR(IF(ISBLANK(O71), "-", IF($I71="c", O71*$I$5,O71)),"-")</f>
        <v/>
      </c>
      <c r="EP71" s="58" t="str">
        <f t="shared" si="480"/>
        <v/>
      </c>
      <c r="EQ71" s="58" t="str">
        <f t="shared" si="480"/>
        <v/>
      </c>
      <c r="ER71" s="58" t="str">
        <f t="shared" si="480"/>
        <v/>
      </c>
      <c r="ES71" s="58" t="str">
        <f t="shared" si="480"/>
        <v/>
      </c>
      <c r="ET71" s="58" t="str">
        <f t="shared" si="480"/>
        <v/>
      </c>
      <c r="EU71" s="58" t="str">
        <f t="shared" si="480"/>
        <v/>
      </c>
      <c r="EV71" s="58" t="str">
        <f t="shared" si="480"/>
        <v/>
      </c>
      <c r="EW71" s="58" t="str">
        <f t="shared" si="480"/>
        <v/>
      </c>
      <c r="EX71" s="58" t="str">
        <f t="shared" si="480"/>
        <v/>
      </c>
      <c r="EY71" s="58" t="str">
        <f t="shared" si="480"/>
        <v/>
      </c>
      <c r="EZ71" s="58" t="str">
        <f t="shared" si="349"/>
        <v/>
      </c>
      <c r="FA71" s="58" t="str">
        <f t="shared" si="350"/>
        <v/>
      </c>
      <c r="FB71" s="58" t="str">
        <f t="shared" si="351"/>
        <v/>
      </c>
      <c r="FC71" s="58" t="str">
        <f t="shared" si="352"/>
        <v/>
      </c>
      <c r="FD71" s="58" t="str">
        <f t="shared" si="353"/>
        <v/>
      </c>
      <c r="FE71" s="58" t="str">
        <f t="shared" si="354"/>
        <v/>
      </c>
      <c r="FF71" s="58" t="str">
        <f t="shared" si="355"/>
        <v/>
      </c>
      <c r="FG71" s="58" t="str">
        <f t="shared" si="356"/>
        <v/>
      </c>
      <c r="FH71" s="58" t="str">
        <f t="shared" si="357"/>
        <v/>
      </c>
      <c r="FI71" s="58" t="str">
        <f t="shared" si="358"/>
        <v/>
      </c>
      <c r="FJ71" s="58" t="str">
        <f t="shared" si="359"/>
        <v/>
      </c>
      <c r="FK71" s="58" t="str">
        <f t="shared" si="360"/>
        <v/>
      </c>
      <c r="FL71" s="58" t="str">
        <f t="shared" si="361"/>
        <v/>
      </c>
      <c r="FM71" s="58" t="str">
        <f t="shared" si="362"/>
        <v/>
      </c>
      <c r="FN71" s="58" t="str">
        <f t="shared" si="363"/>
        <v/>
      </c>
      <c r="FO71" s="58" t="str">
        <f t="shared" si="364"/>
        <v/>
      </c>
      <c r="FP71" s="58" t="str">
        <f t="shared" si="365"/>
        <v/>
      </c>
      <c r="FQ71" s="58" t="str">
        <f t="shared" si="366"/>
        <v/>
      </c>
      <c r="FR71" s="58" t="str">
        <f t="shared" si="367"/>
        <v/>
      </c>
      <c r="FS71" s="58" t="str">
        <f t="shared" si="368"/>
        <v/>
      </c>
      <c r="FT71" s="58" t="str">
        <f t="shared" si="369"/>
        <v/>
      </c>
      <c r="FU71" s="58" t="str">
        <f t="shared" si="370"/>
        <v/>
      </c>
      <c r="FV71" s="58" t="str">
        <f t="shared" si="371"/>
        <v/>
      </c>
      <c r="FW71" s="58" t="str">
        <f t="shared" si="372"/>
        <v/>
      </c>
      <c r="FX71" s="58" t="str">
        <f t="shared" si="373"/>
        <v/>
      </c>
      <c r="FY71" s="58" t="str">
        <f t="shared" si="374"/>
        <v/>
      </c>
      <c r="FZ71" s="58" t="str">
        <f t="shared" si="375"/>
        <v/>
      </c>
      <c r="GA71" s="58" t="str">
        <f t="shared" si="376"/>
        <v/>
      </c>
      <c r="GB71" s="58" t="str">
        <f t="shared" si="377"/>
        <v/>
      </c>
      <c r="GC71" s="58" t="str">
        <f t="shared" si="378"/>
        <v/>
      </c>
      <c r="GD71" s="58" t="str">
        <f t="shared" si="379"/>
        <v/>
      </c>
      <c r="GE71" s="58" t="str">
        <f t="shared" si="380"/>
        <v/>
      </c>
      <c r="GF71" s="58" t="str">
        <f t="shared" si="381"/>
        <v/>
      </c>
      <c r="GG71" s="58" t="str">
        <f t="shared" si="382"/>
        <v/>
      </c>
      <c r="GH71" s="58" t="str">
        <f t="shared" si="383"/>
        <v/>
      </c>
      <c r="GI71" s="58" t="str">
        <f t="shared" si="384"/>
        <v/>
      </c>
      <c r="GJ71" s="58" t="str">
        <f t="shared" si="385"/>
        <v/>
      </c>
      <c r="GK71" s="58" t="str">
        <f t="shared" si="386"/>
        <v/>
      </c>
      <c r="GL71" s="58" t="str">
        <f t="shared" si="387"/>
        <v/>
      </c>
      <c r="GM71" s="58" t="str">
        <f t="shared" si="388"/>
        <v/>
      </c>
      <c r="GN71" s="58" t="str">
        <f t="shared" si="389"/>
        <v/>
      </c>
      <c r="GO71" s="58" t="str">
        <f t="shared" si="390"/>
        <v/>
      </c>
      <c r="GP71" s="58" t="str">
        <f t="shared" si="391"/>
        <v/>
      </c>
      <c r="GQ71" s="58" t="str">
        <f t="shared" si="392"/>
        <v/>
      </c>
      <c r="GR71" s="58" t="str">
        <f t="shared" si="393"/>
        <v/>
      </c>
      <c r="GS71" s="58" t="str">
        <f t="shared" si="394"/>
        <v/>
      </c>
      <c r="GT71" s="58" t="str">
        <f t="shared" si="395"/>
        <v/>
      </c>
      <c r="GU71" s="58" t="str">
        <f t="shared" si="396"/>
        <v/>
      </c>
      <c r="GV71" s="58" t="str">
        <f t="shared" si="397"/>
        <v/>
      </c>
      <c r="GW71" s="58" t="str">
        <f t="shared" si="398"/>
        <v/>
      </c>
      <c r="GX71" s="58" t="str">
        <f t="shared" si="399"/>
        <v/>
      </c>
      <c r="GY71" s="58" t="str">
        <f t="shared" si="400"/>
        <v/>
      </c>
      <c r="GZ71" s="58" t="str">
        <f t="shared" si="401"/>
        <v/>
      </c>
      <c r="HA71" s="58" t="str">
        <f t="shared" si="402"/>
        <v/>
      </c>
      <c r="HB71" s="58" t="str">
        <f t="shared" si="403"/>
        <v/>
      </c>
      <c r="HC71" s="58" t="str">
        <f t="shared" si="404"/>
        <v/>
      </c>
      <c r="HD71" s="58" t="str">
        <f t="shared" si="405"/>
        <v/>
      </c>
      <c r="HE71" s="58" t="str">
        <f t="shared" si="406"/>
        <v/>
      </c>
      <c r="HF71" s="58" t="str">
        <f t="shared" si="407"/>
        <v/>
      </c>
      <c r="HG71" s="58" t="str">
        <f t="shared" si="408"/>
        <v/>
      </c>
      <c r="HH71" s="58" t="str">
        <f t="shared" si="409"/>
        <v/>
      </c>
      <c r="HI71" s="58" t="str">
        <f t="shared" si="410"/>
        <v/>
      </c>
      <c r="HJ71" s="58" t="str">
        <f t="shared" si="411"/>
        <v/>
      </c>
      <c r="HK71" s="58" t="str">
        <f t="shared" si="412"/>
        <v/>
      </c>
      <c r="HL71" s="58" t="str">
        <f t="shared" si="413"/>
        <v/>
      </c>
      <c r="HM71" s="58" t="str">
        <f t="shared" si="414"/>
        <v/>
      </c>
      <c r="HN71" s="58" t="str">
        <f t="shared" si="415"/>
        <v/>
      </c>
      <c r="HO71" s="58" t="str">
        <f t="shared" si="416"/>
        <v/>
      </c>
      <c r="HP71" s="58" t="str">
        <f t="shared" si="417"/>
        <v/>
      </c>
      <c r="HQ71" s="58" t="str">
        <f t="shared" si="418"/>
        <v/>
      </c>
      <c r="HR71" s="58" t="str">
        <f t="shared" si="419"/>
        <v/>
      </c>
      <c r="HS71" s="58" t="str">
        <f t="shared" si="420"/>
        <v/>
      </c>
      <c r="HT71" s="58" t="str">
        <f t="shared" si="421"/>
        <v/>
      </c>
      <c r="HU71" s="58" t="str">
        <f t="shared" si="422"/>
        <v/>
      </c>
      <c r="HV71" s="58" t="str">
        <f t="shared" si="423"/>
        <v/>
      </c>
      <c r="HW71" s="58" t="str">
        <f t="shared" si="424"/>
        <v/>
      </c>
      <c r="HX71" s="58" t="str">
        <f t="shared" si="425"/>
        <v/>
      </c>
      <c r="HY71" s="58" t="str">
        <f t="shared" si="426"/>
        <v/>
      </c>
      <c r="HZ71" s="58" t="str">
        <f t="shared" si="427"/>
        <v/>
      </c>
      <c r="IA71" s="58" t="str">
        <f t="shared" si="428"/>
        <v/>
      </c>
      <c r="IB71" s="58" t="str">
        <f t="shared" si="429"/>
        <v/>
      </c>
      <c r="IC71" s="58" t="str">
        <f t="shared" si="430"/>
        <v/>
      </c>
      <c r="ID71" s="58" t="str">
        <f t="shared" si="431"/>
        <v/>
      </c>
      <c r="IE71" s="58" t="str">
        <f t="shared" si="432"/>
        <v/>
      </c>
      <c r="IF71" s="58" t="str">
        <f t="shared" si="433"/>
        <v/>
      </c>
      <c r="IG71" s="316" t="str">
        <f>IFERROR(IF(ISBLANK(DH71), "-", IF($I71="c", DH71*$I$5, DH71)),"-")</f>
        <v/>
      </c>
      <c r="IH71" s="245" t="str">
        <f t="shared" si="458"/>
        <v/>
      </c>
      <c r="II71" s="245" t="str">
        <f t="shared" si="459"/>
        <v/>
      </c>
      <c r="IJ71" s="245" t="str">
        <f t="shared" si="460"/>
        <v/>
      </c>
      <c r="IK71" s="245" t="str">
        <f t="shared" si="461"/>
        <v/>
      </c>
      <c r="IL71" s="245" t="str">
        <f t="shared" si="462"/>
        <v/>
      </c>
      <c r="IM71" s="316" t="str">
        <f>IFERROR(IF(ISBLANK(DO71), "", IF($I71="c",DO71*$I$5, DO71)),"-")</f>
        <v/>
      </c>
      <c r="IN71" s="245" t="str">
        <f t="shared" si="463"/>
        <v/>
      </c>
      <c r="IO71" s="245" t="str">
        <f t="shared" si="464"/>
        <v/>
      </c>
      <c r="IP71" s="245" t="str">
        <f t="shared" si="465"/>
        <v/>
      </c>
      <c r="IQ71" s="245" t="str">
        <f t="shared" si="466"/>
        <v/>
      </c>
      <c r="IR71" s="245" t="str">
        <f t="shared" si="467"/>
        <v/>
      </c>
      <c r="IS71" s="316" t="str">
        <f>IFERROR(IF(ISBLANK(DV71), "", IF($I71="c", DV71*$I$5, DV71)),"-")</f>
        <v/>
      </c>
      <c r="IT71" s="245" t="str">
        <f t="shared" si="468"/>
        <v/>
      </c>
      <c r="IU71" s="245" t="str">
        <f t="shared" si="469"/>
        <v/>
      </c>
      <c r="IV71" s="245" t="str">
        <f t="shared" si="470"/>
        <v/>
      </c>
      <c r="IW71" s="245" t="str">
        <f t="shared" si="471"/>
        <v/>
      </c>
      <c r="IX71" s="245" t="str">
        <f t="shared" si="472"/>
        <v/>
      </c>
      <c r="IY71" s="316" t="str">
        <f>IFERROR(IF(ISBLANK(EC71), "", IF($I71="c", EC71*$I$5, EC71)),"-")</f>
        <v/>
      </c>
      <c r="IZ71" s="245" t="str">
        <f t="shared" si="473"/>
        <v/>
      </c>
      <c r="JA71" s="245" t="str">
        <f t="shared" si="474"/>
        <v/>
      </c>
      <c r="JB71" s="245" t="str">
        <f t="shared" si="475"/>
        <v/>
      </c>
      <c r="JC71" s="245" t="str">
        <f t="shared" si="476"/>
        <v/>
      </c>
      <c r="JD71" s="317" t="str">
        <f t="shared" si="477"/>
        <v/>
      </c>
      <c r="JF71" s="66">
        <f t="shared" si="224"/>
        <v>71</v>
      </c>
      <c r="JG71" s="66">
        <f ca="1">SUM(INDIRECT(VLOOKUP($JH$4,XPEERCOLUMNS,2,0) &amp; JF71 &amp; ":" &amp; VLOOKUP($JH$4,XPEERCOLUMNS,2,0) &amp; JF71))</f>
        <v>0</v>
      </c>
      <c r="JH71" s="66">
        <f ca="1">SUM(INDIRECT(VLOOKUP($JH$4,XPEERCOLUMNS,3,0) &amp; JF71 &amp; ":" &amp; VLOOKUP($JH$4,XPEERCOLUMNS,3,0) &amp; JF71))</f>
        <v>0</v>
      </c>
      <c r="JI71" s="66">
        <f ca="1">SUM(INDIRECT(VLOOKUP($JH$4,XPEERCOLUMNS,4,0) &amp; JF71 &amp; ":" &amp; VLOOKUP($JH$4,XPEERCOLUMNS,4,0) &amp; JF71))</f>
        <v>0</v>
      </c>
      <c r="JJ71" s="66">
        <f ca="1">SUM(INDIRECT(VLOOKUP($JH$4,XPEERCOLUMNS,5,0) &amp; JF71 &amp; ":" &amp; VLOOKUP($JH$4,XPEERCOLUMNS,5,0) &amp; JF71))</f>
        <v>0</v>
      </c>
      <c r="JK71" s="33"/>
      <c r="JL71" s="74" t="str">
        <f ca="1">IF(JG71=0,"-",JG71)</f>
        <v>-</v>
      </c>
      <c r="JM71" s="75">
        <f ca="1">IF(G71="Smaller better",JG71-((JG71-JH71)*0.5),JG71+((JH71-JG71)*0.5))</f>
        <v>0</v>
      </c>
      <c r="JN71" s="75">
        <f ca="1">IF(G71="Smaller better",JH71-((JH71-JI71)*0.5),JH71+((JI71-JH71)*0.5))</f>
        <v>0</v>
      </c>
      <c r="JO71" s="74" t="str">
        <f ca="1">IF(JI71=0,"-",JI71)</f>
        <v>-</v>
      </c>
      <c r="JP71" s="74">
        <f ca="1">SUM(JL71:JO71)</f>
        <v>0</v>
      </c>
    </row>
    <row r="72" spans="1:276" s="1" customFormat="1" x14ac:dyDescent="0.35">
      <c r="A72" s="125" t="s">
        <v>805</v>
      </c>
      <c r="B72" s="125" t="s">
        <v>805</v>
      </c>
      <c r="C72" s="125" t="s">
        <v>805</v>
      </c>
      <c r="D72" s="163"/>
      <c r="E72" s="250"/>
      <c r="F72" s="249" t="s">
        <v>707</v>
      </c>
      <c r="G72" s="250"/>
      <c r="H72" s="251"/>
      <c r="I72" s="251"/>
      <c r="J72" s="251" t="s">
        <v>805</v>
      </c>
      <c r="K72" s="251" t="s">
        <v>805</v>
      </c>
      <c r="L72" s="251" t="s">
        <v>805</v>
      </c>
      <c r="M72" s="251" t="s">
        <v>805</v>
      </c>
      <c r="N72" s="251" t="s">
        <v>805</v>
      </c>
      <c r="O72" s="251" t="s">
        <v>805</v>
      </c>
      <c r="P72" s="251" t="s">
        <v>805</v>
      </c>
      <c r="Q72" s="251" t="s">
        <v>805</v>
      </c>
      <c r="R72" s="251" t="s">
        <v>805</v>
      </c>
      <c r="S72" s="251" t="s">
        <v>805</v>
      </c>
      <c r="T72" s="251" t="s">
        <v>805</v>
      </c>
      <c r="U72" s="251" t="s">
        <v>805</v>
      </c>
      <c r="V72" s="251" t="s">
        <v>805</v>
      </c>
      <c r="W72" s="251" t="s">
        <v>805</v>
      </c>
      <c r="X72" s="251" t="s">
        <v>805</v>
      </c>
      <c r="Y72" s="251" t="s">
        <v>805</v>
      </c>
      <c r="Z72" s="251" t="s">
        <v>805</v>
      </c>
      <c r="AA72" s="251" t="s">
        <v>805</v>
      </c>
      <c r="AB72" s="251" t="s">
        <v>805</v>
      </c>
      <c r="AC72" s="251" t="s">
        <v>805</v>
      </c>
      <c r="AD72" s="251" t="s">
        <v>805</v>
      </c>
      <c r="AE72" s="251" t="s">
        <v>805</v>
      </c>
      <c r="AF72" s="251" t="s">
        <v>805</v>
      </c>
      <c r="AG72" s="251" t="s">
        <v>805</v>
      </c>
      <c r="AH72" s="251" t="s">
        <v>805</v>
      </c>
      <c r="AI72" s="251" t="s">
        <v>805</v>
      </c>
      <c r="AJ72" s="251" t="s">
        <v>805</v>
      </c>
      <c r="AK72" s="251" t="s">
        <v>805</v>
      </c>
      <c r="AL72" s="251" t="s">
        <v>805</v>
      </c>
      <c r="AM72" s="251" t="s">
        <v>805</v>
      </c>
      <c r="AN72" s="251" t="s">
        <v>805</v>
      </c>
      <c r="AO72" s="251" t="s">
        <v>805</v>
      </c>
      <c r="AP72" s="251" t="s">
        <v>805</v>
      </c>
      <c r="AQ72" s="251" t="s">
        <v>805</v>
      </c>
      <c r="AR72" s="251" t="s">
        <v>805</v>
      </c>
      <c r="AS72" s="251" t="s">
        <v>805</v>
      </c>
      <c r="AT72" s="251" t="s">
        <v>805</v>
      </c>
      <c r="AU72" s="251" t="s">
        <v>805</v>
      </c>
      <c r="AV72" s="251" t="s">
        <v>805</v>
      </c>
      <c r="AW72" s="251" t="s">
        <v>805</v>
      </c>
      <c r="AX72" s="251" t="s">
        <v>805</v>
      </c>
      <c r="AY72" s="251" t="s">
        <v>805</v>
      </c>
      <c r="AZ72" s="251" t="s">
        <v>805</v>
      </c>
      <c r="BA72" s="251" t="s">
        <v>805</v>
      </c>
      <c r="BB72" s="251" t="s">
        <v>805</v>
      </c>
      <c r="BC72" s="251" t="s">
        <v>805</v>
      </c>
      <c r="BD72" s="251" t="s">
        <v>805</v>
      </c>
      <c r="BE72" s="251" t="s">
        <v>805</v>
      </c>
      <c r="BF72" s="251" t="s">
        <v>805</v>
      </c>
      <c r="BG72" s="251" t="s">
        <v>805</v>
      </c>
      <c r="BH72" s="251" t="s">
        <v>805</v>
      </c>
      <c r="BI72" s="251" t="s">
        <v>805</v>
      </c>
      <c r="BJ72" s="251" t="s">
        <v>805</v>
      </c>
      <c r="BK72" s="251" t="s">
        <v>805</v>
      </c>
      <c r="BL72" s="251" t="s">
        <v>805</v>
      </c>
      <c r="BM72" s="251" t="s">
        <v>805</v>
      </c>
      <c r="BN72" s="251" t="s">
        <v>805</v>
      </c>
      <c r="BO72" s="251" t="s">
        <v>805</v>
      </c>
      <c r="BP72" s="251" t="s">
        <v>805</v>
      </c>
      <c r="BQ72" s="251" t="s">
        <v>805</v>
      </c>
      <c r="BR72" s="251" t="s">
        <v>805</v>
      </c>
      <c r="BS72" s="251" t="s">
        <v>805</v>
      </c>
      <c r="BT72" s="251" t="s">
        <v>805</v>
      </c>
      <c r="BU72" s="251" t="s">
        <v>805</v>
      </c>
      <c r="BV72" s="251" t="s">
        <v>805</v>
      </c>
      <c r="BW72" s="251" t="s">
        <v>805</v>
      </c>
      <c r="BX72" s="251" t="s">
        <v>805</v>
      </c>
      <c r="BY72" s="251" t="s">
        <v>805</v>
      </c>
      <c r="BZ72" s="251" t="s">
        <v>805</v>
      </c>
      <c r="CA72" s="251" t="s">
        <v>805</v>
      </c>
      <c r="CB72" s="251" t="s">
        <v>805</v>
      </c>
      <c r="CC72" s="251" t="s">
        <v>805</v>
      </c>
      <c r="CD72" s="251" t="s">
        <v>805</v>
      </c>
      <c r="CE72" s="251" t="s">
        <v>805</v>
      </c>
      <c r="CF72" s="251" t="s">
        <v>805</v>
      </c>
      <c r="CG72" s="251" t="s">
        <v>805</v>
      </c>
      <c r="CH72" s="251" t="s">
        <v>805</v>
      </c>
      <c r="CI72" s="251" t="s">
        <v>805</v>
      </c>
      <c r="CJ72" s="251" t="s">
        <v>805</v>
      </c>
      <c r="CK72" s="251" t="s">
        <v>805</v>
      </c>
      <c r="CL72" s="251" t="s">
        <v>805</v>
      </c>
      <c r="CM72" s="251" t="s">
        <v>805</v>
      </c>
      <c r="CN72" s="251" t="s">
        <v>805</v>
      </c>
      <c r="CO72" s="251" t="s">
        <v>805</v>
      </c>
      <c r="CP72" s="251" t="s">
        <v>805</v>
      </c>
      <c r="CQ72" s="251" t="s">
        <v>805</v>
      </c>
      <c r="CR72" s="251" t="s">
        <v>805</v>
      </c>
      <c r="CS72" s="251" t="s">
        <v>805</v>
      </c>
      <c r="CT72" s="251" t="s">
        <v>805</v>
      </c>
      <c r="CU72" s="251" t="s">
        <v>805</v>
      </c>
      <c r="CV72" s="251" t="s">
        <v>805</v>
      </c>
      <c r="CW72" s="251" t="s">
        <v>805</v>
      </c>
      <c r="CX72" s="251" t="s">
        <v>805</v>
      </c>
      <c r="CY72" s="251" t="s">
        <v>805</v>
      </c>
      <c r="CZ72" s="251" t="s">
        <v>805</v>
      </c>
      <c r="DA72" s="251" t="s">
        <v>805</v>
      </c>
      <c r="DB72" s="251" t="s">
        <v>805</v>
      </c>
      <c r="DC72" s="251" t="s">
        <v>805</v>
      </c>
      <c r="DD72" s="251" t="s">
        <v>805</v>
      </c>
      <c r="DE72" s="251" t="s">
        <v>805</v>
      </c>
      <c r="DF72" s="251" t="s">
        <v>805</v>
      </c>
      <c r="DG72" s="251"/>
      <c r="DH72" s="251"/>
      <c r="DI72" s="251"/>
      <c r="DJ72" s="251"/>
      <c r="DK72" s="251"/>
      <c r="DL72" s="251"/>
      <c r="DM72" s="251"/>
      <c r="DN72" s="275"/>
      <c r="DO72" s="251"/>
      <c r="DP72" s="251"/>
      <c r="DQ72" s="251"/>
      <c r="DR72" s="251"/>
      <c r="DS72" s="251"/>
      <c r="DT72" s="251"/>
      <c r="DU72" s="275"/>
      <c r="DV72" s="251"/>
      <c r="DW72" s="251"/>
      <c r="DX72" s="251"/>
      <c r="DY72" s="251"/>
      <c r="DZ72" s="251"/>
      <c r="EA72" s="251"/>
      <c r="EB72" s="275"/>
      <c r="EC72" s="251"/>
      <c r="ED72" s="251"/>
      <c r="EE72" s="251"/>
      <c r="EF72" s="251"/>
      <c r="EG72" s="251"/>
      <c r="EH72" s="251"/>
      <c r="EI72" s="251"/>
      <c r="EJ72" s="251"/>
      <c r="EK72" s="251"/>
      <c r="EL72" s="251"/>
      <c r="EM72" s="251"/>
      <c r="EN72" s="251"/>
      <c r="EO72" s="251"/>
      <c r="EP72" s="251"/>
      <c r="EQ72" s="251"/>
      <c r="ER72" s="251"/>
      <c r="ES72" s="251"/>
      <c r="ET72" s="251"/>
      <c r="EU72" s="251"/>
      <c r="EV72" s="251"/>
      <c r="EW72" s="251"/>
      <c r="EX72" s="251"/>
      <c r="EY72" s="251"/>
      <c r="EZ72" s="251"/>
      <c r="FA72" s="251"/>
      <c r="FB72" s="251"/>
      <c r="FC72" s="251"/>
      <c r="FD72" s="251"/>
      <c r="FE72" s="251"/>
      <c r="FF72" s="251"/>
      <c r="FG72" s="251"/>
      <c r="FH72" s="251"/>
      <c r="FI72" s="251"/>
      <c r="FJ72" s="251"/>
      <c r="FK72" s="251"/>
      <c r="FL72" s="251"/>
      <c r="FM72" s="251"/>
      <c r="FN72" s="251"/>
      <c r="FO72" s="251"/>
      <c r="FP72" s="251"/>
      <c r="FQ72" s="251"/>
      <c r="FR72" s="251"/>
      <c r="FS72" s="251"/>
      <c r="FT72" s="251"/>
      <c r="FU72" s="251"/>
      <c r="FV72" s="251"/>
      <c r="FW72" s="251"/>
      <c r="FX72" s="251"/>
      <c r="FY72" s="251"/>
      <c r="FZ72" s="251"/>
      <c r="GA72" s="251"/>
      <c r="GB72" s="251"/>
      <c r="GC72" s="251"/>
      <c r="GD72" s="251"/>
      <c r="GE72" s="251"/>
      <c r="GF72" s="251"/>
      <c r="GG72" s="251"/>
      <c r="GH72" s="251"/>
      <c r="GI72" s="251"/>
      <c r="GJ72" s="251"/>
      <c r="GK72" s="251"/>
      <c r="GL72" s="251"/>
      <c r="GM72" s="251"/>
      <c r="GN72" s="251"/>
      <c r="GO72" s="251"/>
      <c r="GP72" s="251"/>
      <c r="GQ72" s="251"/>
      <c r="GR72" s="251"/>
      <c r="GS72" s="251"/>
      <c r="GT72" s="251"/>
      <c r="GU72" s="251"/>
      <c r="GV72" s="251"/>
      <c r="GW72" s="251"/>
      <c r="GX72" s="251"/>
      <c r="GY72" s="251"/>
      <c r="GZ72" s="251"/>
      <c r="HA72" s="251"/>
      <c r="HB72" s="251"/>
      <c r="HC72" s="251"/>
      <c r="HD72" s="251"/>
      <c r="HE72" s="251"/>
      <c r="HF72" s="251"/>
      <c r="HG72" s="251"/>
      <c r="HH72" s="251"/>
      <c r="HI72" s="251"/>
      <c r="HJ72" s="251"/>
      <c r="HK72" s="251"/>
      <c r="HL72" s="251"/>
      <c r="HM72" s="251"/>
      <c r="HN72" s="251"/>
      <c r="HO72" s="251"/>
      <c r="HP72" s="251"/>
      <c r="HQ72" s="251"/>
      <c r="HR72" s="251"/>
      <c r="HS72" s="251"/>
      <c r="HT72" s="251"/>
      <c r="HU72" s="251"/>
      <c r="HV72" s="251"/>
      <c r="HW72" s="251"/>
      <c r="HX72" s="251"/>
      <c r="HY72" s="251"/>
      <c r="HZ72" s="251"/>
      <c r="IA72" s="251"/>
      <c r="IB72" s="251"/>
      <c r="IC72" s="251"/>
      <c r="ID72" s="251"/>
      <c r="IE72" s="251"/>
      <c r="IF72" s="251"/>
      <c r="IG72" s="310"/>
      <c r="IH72" s="251"/>
      <c r="II72" s="251"/>
      <c r="IJ72" s="251"/>
      <c r="IK72" s="251"/>
      <c r="IL72" s="251"/>
      <c r="IM72" s="310"/>
      <c r="IN72" s="251"/>
      <c r="IO72" s="251"/>
      <c r="IP72" s="251"/>
      <c r="IQ72" s="251"/>
      <c r="IR72" s="251"/>
      <c r="IS72" s="310"/>
      <c r="IT72" s="251"/>
      <c r="IU72" s="251"/>
      <c r="IV72" s="251"/>
      <c r="IW72" s="251"/>
      <c r="IX72" s="251"/>
      <c r="IY72" s="310"/>
      <c r="IZ72" s="251"/>
      <c r="JA72" s="251"/>
      <c r="JB72" s="251"/>
      <c r="JC72" s="251"/>
      <c r="JD72" s="311"/>
      <c r="JF72" s="66"/>
      <c r="JG72" s="66"/>
      <c r="JH72" s="66"/>
      <c r="JI72" s="66"/>
      <c r="JJ72" s="66"/>
      <c r="JK72" s="33"/>
      <c r="JL72" s="74"/>
      <c r="JM72" s="75"/>
      <c r="JN72" s="75"/>
      <c r="JO72" s="74"/>
      <c r="JP72" s="74"/>
    </row>
    <row r="73" spans="1:276" s="1" customFormat="1" x14ac:dyDescent="0.35">
      <c r="A73" s="125">
        <v>1</v>
      </c>
      <c r="B73" s="125">
        <v>1</v>
      </c>
      <c r="C73" s="125">
        <v>1</v>
      </c>
      <c r="D73" s="163"/>
      <c r="E73" s="142" t="s">
        <v>150</v>
      </c>
      <c r="F73" s="208" t="s">
        <v>151</v>
      </c>
      <c r="G73" s="209" t="s">
        <v>530</v>
      </c>
      <c r="H73" s="210" t="s">
        <v>533</v>
      </c>
      <c r="I73" s="8" t="s">
        <v>534</v>
      </c>
      <c r="J73" s="211" t="s">
        <v>805</v>
      </c>
      <c r="K73" s="215" t="s">
        <v>805</v>
      </c>
      <c r="L73" s="215" t="s">
        <v>805</v>
      </c>
      <c r="M73" s="215" t="s">
        <v>805</v>
      </c>
      <c r="N73" s="215" t="s">
        <v>805</v>
      </c>
      <c r="O73" s="215" t="s">
        <v>805</v>
      </c>
      <c r="P73" s="215" t="s">
        <v>805</v>
      </c>
      <c r="Q73" s="215" t="s">
        <v>805</v>
      </c>
      <c r="R73" s="215" t="s">
        <v>805</v>
      </c>
      <c r="S73" s="215" t="s">
        <v>805</v>
      </c>
      <c r="T73" s="215" t="s">
        <v>805</v>
      </c>
      <c r="U73" s="215" t="s">
        <v>805</v>
      </c>
      <c r="V73" s="215" t="s">
        <v>805</v>
      </c>
      <c r="W73" s="215" t="s">
        <v>805</v>
      </c>
      <c r="X73" s="215" t="s">
        <v>805</v>
      </c>
      <c r="Y73" s="215" t="s">
        <v>805</v>
      </c>
      <c r="Z73" s="215" t="s">
        <v>805</v>
      </c>
      <c r="AA73" s="215" t="s">
        <v>805</v>
      </c>
      <c r="AB73" s="215" t="s">
        <v>805</v>
      </c>
      <c r="AC73" s="215" t="s">
        <v>805</v>
      </c>
      <c r="AD73" s="215" t="s">
        <v>805</v>
      </c>
      <c r="AE73" s="215" t="s">
        <v>805</v>
      </c>
      <c r="AF73" s="215" t="s">
        <v>805</v>
      </c>
      <c r="AG73" s="215" t="s">
        <v>805</v>
      </c>
      <c r="AH73" s="215" t="s">
        <v>805</v>
      </c>
      <c r="AI73" s="215" t="s">
        <v>805</v>
      </c>
      <c r="AJ73" s="215" t="s">
        <v>805</v>
      </c>
      <c r="AK73" s="215" t="s">
        <v>805</v>
      </c>
      <c r="AL73" s="215" t="s">
        <v>805</v>
      </c>
      <c r="AM73" s="215" t="s">
        <v>805</v>
      </c>
      <c r="AN73" s="215" t="s">
        <v>805</v>
      </c>
      <c r="AO73" s="215" t="s">
        <v>805</v>
      </c>
      <c r="AP73" s="215" t="s">
        <v>805</v>
      </c>
      <c r="AQ73" s="215" t="s">
        <v>805</v>
      </c>
      <c r="AR73" s="215" t="s">
        <v>805</v>
      </c>
      <c r="AS73" s="215" t="s">
        <v>805</v>
      </c>
      <c r="AT73" s="215" t="s">
        <v>805</v>
      </c>
      <c r="AU73" s="215" t="s">
        <v>805</v>
      </c>
      <c r="AV73" s="215" t="s">
        <v>805</v>
      </c>
      <c r="AW73" s="215" t="s">
        <v>805</v>
      </c>
      <c r="AX73" s="215" t="s">
        <v>805</v>
      </c>
      <c r="AY73" s="215" t="s">
        <v>805</v>
      </c>
      <c r="AZ73" s="215" t="s">
        <v>805</v>
      </c>
      <c r="BA73" s="215" t="s">
        <v>805</v>
      </c>
      <c r="BB73" s="215" t="s">
        <v>805</v>
      </c>
      <c r="BC73" s="215" t="s">
        <v>805</v>
      </c>
      <c r="BD73" s="215" t="s">
        <v>805</v>
      </c>
      <c r="BE73" s="215" t="s">
        <v>805</v>
      </c>
      <c r="BF73" s="215" t="s">
        <v>805</v>
      </c>
      <c r="BG73" s="215" t="s">
        <v>805</v>
      </c>
      <c r="BH73" s="215" t="s">
        <v>805</v>
      </c>
      <c r="BI73" s="215" t="s">
        <v>805</v>
      </c>
      <c r="BJ73" s="215" t="s">
        <v>805</v>
      </c>
      <c r="BK73" s="215" t="s">
        <v>805</v>
      </c>
      <c r="BL73" s="215" t="s">
        <v>805</v>
      </c>
      <c r="BM73" s="215" t="s">
        <v>805</v>
      </c>
      <c r="BN73" s="215" t="s">
        <v>805</v>
      </c>
      <c r="BO73" s="215" t="s">
        <v>805</v>
      </c>
      <c r="BP73" s="215" t="s">
        <v>805</v>
      </c>
      <c r="BQ73" s="215" t="s">
        <v>805</v>
      </c>
      <c r="BR73" s="215" t="s">
        <v>805</v>
      </c>
      <c r="BS73" s="215" t="s">
        <v>805</v>
      </c>
      <c r="BT73" s="215" t="s">
        <v>805</v>
      </c>
      <c r="BU73" s="215" t="s">
        <v>805</v>
      </c>
      <c r="BV73" s="215" t="s">
        <v>805</v>
      </c>
      <c r="BW73" s="215" t="s">
        <v>805</v>
      </c>
      <c r="BX73" s="215" t="s">
        <v>805</v>
      </c>
      <c r="BY73" s="215" t="s">
        <v>805</v>
      </c>
      <c r="BZ73" s="215" t="s">
        <v>805</v>
      </c>
      <c r="CA73" s="215" t="s">
        <v>805</v>
      </c>
      <c r="CB73" s="215" t="s">
        <v>805</v>
      </c>
      <c r="CC73" s="215" t="s">
        <v>805</v>
      </c>
      <c r="CD73" s="215" t="s">
        <v>805</v>
      </c>
      <c r="CE73" s="215" t="s">
        <v>805</v>
      </c>
      <c r="CF73" s="215" t="s">
        <v>805</v>
      </c>
      <c r="CG73" s="215" t="s">
        <v>805</v>
      </c>
      <c r="CH73" s="215" t="s">
        <v>805</v>
      </c>
      <c r="CI73" s="215" t="s">
        <v>805</v>
      </c>
      <c r="CJ73" s="215" t="s">
        <v>805</v>
      </c>
      <c r="CK73" s="215" t="s">
        <v>805</v>
      </c>
      <c r="CL73" s="215" t="s">
        <v>805</v>
      </c>
      <c r="CM73" s="215" t="s">
        <v>805</v>
      </c>
      <c r="CN73" s="215" t="s">
        <v>805</v>
      </c>
      <c r="CO73" s="215" t="s">
        <v>805</v>
      </c>
      <c r="CP73" s="215" t="s">
        <v>805</v>
      </c>
      <c r="CQ73" s="215" t="s">
        <v>805</v>
      </c>
      <c r="CR73" s="215" t="s">
        <v>805</v>
      </c>
      <c r="CS73" s="215" t="s">
        <v>805</v>
      </c>
      <c r="CT73" s="215" t="s">
        <v>805</v>
      </c>
      <c r="CU73" s="215" t="s">
        <v>805</v>
      </c>
      <c r="CV73" s="215" t="s">
        <v>805</v>
      </c>
      <c r="CW73" s="215" t="s">
        <v>805</v>
      </c>
      <c r="CX73" s="215" t="s">
        <v>805</v>
      </c>
      <c r="CY73" s="215" t="s">
        <v>805</v>
      </c>
      <c r="CZ73" s="215" t="s">
        <v>805</v>
      </c>
      <c r="DA73" s="215" t="s">
        <v>805</v>
      </c>
      <c r="DB73" s="215" t="s">
        <v>805</v>
      </c>
      <c r="DC73" s="215" t="s">
        <v>805</v>
      </c>
      <c r="DD73" s="215" t="s">
        <v>805</v>
      </c>
      <c r="DE73" s="215" t="s">
        <v>805</v>
      </c>
      <c r="DF73" s="215" t="s">
        <v>805</v>
      </c>
      <c r="DG73" s="212">
        <f>VLOOKUP(E73,'KPI Count-SHARE'!A:F,3,0)</f>
        <v>3</v>
      </c>
      <c r="DH73" s="213">
        <v>-4.1157773909461431E-2</v>
      </c>
      <c r="DI73" s="216">
        <v>1.6865738762750469E-2</v>
      </c>
      <c r="DJ73" s="216">
        <v>1.6865738762750469E-2</v>
      </c>
      <c r="DK73" s="216">
        <v>1.6865738762750469E-2</v>
      </c>
      <c r="DL73" s="216">
        <v>1.6865738762750469E-2</v>
      </c>
      <c r="DM73" s="216">
        <v>1.6865738762750469E-2</v>
      </c>
      <c r="DN73" s="212">
        <f>VLOOKUP(E73,'KPI Count-SHARE'!A:F,4,0)</f>
        <v>0</v>
      </c>
      <c r="DO73" s="213"/>
      <c r="DP73" s="216"/>
      <c r="DQ73" s="216"/>
      <c r="DR73" s="216"/>
      <c r="DS73" s="216"/>
      <c r="DT73" s="216"/>
      <c r="DU73" s="212">
        <f>VLOOKUP(E73,'KPI Count-SHARE'!A:F,5,0)</f>
        <v>0</v>
      </c>
      <c r="DV73" s="213"/>
      <c r="DW73" s="216"/>
      <c r="DX73" s="216"/>
      <c r="DY73" s="216"/>
      <c r="DZ73" s="216"/>
      <c r="EA73" s="216"/>
      <c r="EB73" s="212">
        <f>VLOOKUP(E73,'KPI Count-SHARE'!A:F,6,0)</f>
        <v>0</v>
      </c>
      <c r="EC73" s="213"/>
      <c r="ED73" s="216"/>
      <c r="EE73" s="216"/>
      <c r="EF73" s="216"/>
      <c r="EG73" s="216"/>
      <c r="EH73" s="216"/>
      <c r="EI73" s="214" t="s">
        <v>533</v>
      </c>
      <c r="EJ73" s="39" t="str">
        <f t="shared" ref="EJ73:EJ76" si="481">IFERROR(IF(ISBLANK(J73), "-", IF(OR($I73="c",$I73="r"), J73*$I$5, J73)),"-")</f>
        <v/>
      </c>
      <c r="EK73" s="39" t="str">
        <f t="shared" ref="EK73:EK76" si="482">IFERROR(IF(ISBLANK(K73), "-", IF($I73="c", K73*$I$5, K73)),"-")</f>
        <v/>
      </c>
      <c r="EL73" s="39" t="str">
        <f t="shared" ref="EL73:EL76" si="483">IFERROR(IF(ISBLANK(L73), "-", IF($I73="c", L73*$I$5, L73)),"-")</f>
        <v/>
      </c>
      <c r="EM73" s="39" t="str">
        <f t="shared" ref="EM73:EM76" si="484">IFERROR(IF(ISBLANK(M73), "-", IF($I73="c", M73*$I$5,M73)),"-")</f>
        <v/>
      </c>
      <c r="EN73" s="39" t="str">
        <f t="shared" ref="EN73:EN76" si="485">IFERROR(IF(ISBLANK(N73), "-", IF($I73="c", N73*$I$5, N73)),"-")</f>
        <v/>
      </c>
      <c r="EO73" s="39" t="str">
        <f t="shared" ref="EO73:EO76" si="486">IFERROR(IF(ISBLANK(O73), "-", IF($I73="c", O73*$I$5,O73)),"-")</f>
        <v/>
      </c>
      <c r="EP73" s="39" t="str">
        <f t="shared" ref="EP73:EP76" si="487">IFERROR(IF(ISBLANK(P73), "-", IF($I73="c", P73*$I$5, P73)),"-")</f>
        <v/>
      </c>
      <c r="EQ73" s="39" t="str">
        <f t="shared" ref="EQ73:EQ76" si="488">IFERROR(IF(ISBLANK(Q73), "-", IF($I73="c", Q73*$I$5, Q73)),"-")</f>
        <v/>
      </c>
      <c r="ER73" s="39" t="str">
        <f t="shared" ref="ER73:ER76" si="489">IFERROR(IF(ISBLANK(R73), "-", IF($I73="c", R73*$I$5, R73)),"-")</f>
        <v/>
      </c>
      <c r="ES73" s="39" t="str">
        <f t="shared" ref="ES73:ES76" si="490">IFERROR(IF(ISBLANK(S73), "-", IF($I73="c", S73*$I$5, S73)),"-")</f>
        <v/>
      </c>
      <c r="ET73" s="39" t="str">
        <f t="shared" ref="ET73:ET76" si="491">IFERROR(IF(ISBLANK(T73), "-", IF($I73="c", T73*$I$5, T73)),"-")</f>
        <v/>
      </c>
      <c r="EU73" s="39" t="str">
        <f t="shared" si="344"/>
        <v/>
      </c>
      <c r="EV73" s="39" t="str">
        <f t="shared" si="345"/>
        <v/>
      </c>
      <c r="EW73" s="39" t="str">
        <f t="shared" si="346"/>
        <v/>
      </c>
      <c r="EX73" s="39" t="str">
        <f t="shared" si="347"/>
        <v/>
      </c>
      <c r="EY73" s="39" t="str">
        <f t="shared" si="348"/>
        <v/>
      </c>
      <c r="EZ73" s="39" t="str">
        <f t="shared" si="349"/>
        <v/>
      </c>
      <c r="FA73" s="39" t="str">
        <f t="shared" si="350"/>
        <v/>
      </c>
      <c r="FB73" s="39" t="str">
        <f t="shared" si="351"/>
        <v/>
      </c>
      <c r="FC73" s="39" t="str">
        <f t="shared" si="352"/>
        <v/>
      </c>
      <c r="FD73" s="39" t="str">
        <f t="shared" si="353"/>
        <v/>
      </c>
      <c r="FE73" s="39" t="str">
        <f t="shared" si="354"/>
        <v/>
      </c>
      <c r="FF73" s="39" t="str">
        <f t="shared" si="355"/>
        <v/>
      </c>
      <c r="FG73" s="39" t="str">
        <f t="shared" si="356"/>
        <v/>
      </c>
      <c r="FH73" s="39" t="str">
        <f t="shared" si="357"/>
        <v/>
      </c>
      <c r="FI73" s="39" t="str">
        <f t="shared" si="358"/>
        <v/>
      </c>
      <c r="FJ73" s="39" t="str">
        <f t="shared" si="359"/>
        <v/>
      </c>
      <c r="FK73" s="39" t="str">
        <f t="shared" si="360"/>
        <v/>
      </c>
      <c r="FL73" s="39" t="str">
        <f t="shared" si="361"/>
        <v/>
      </c>
      <c r="FM73" s="39" t="str">
        <f t="shared" si="362"/>
        <v/>
      </c>
      <c r="FN73" s="39" t="str">
        <f t="shared" si="363"/>
        <v/>
      </c>
      <c r="FO73" s="39" t="str">
        <f t="shared" si="364"/>
        <v/>
      </c>
      <c r="FP73" s="39" t="str">
        <f t="shared" si="365"/>
        <v/>
      </c>
      <c r="FQ73" s="39" t="str">
        <f t="shared" si="366"/>
        <v/>
      </c>
      <c r="FR73" s="39" t="str">
        <f t="shared" si="367"/>
        <v/>
      </c>
      <c r="FS73" s="39" t="str">
        <f t="shared" si="368"/>
        <v/>
      </c>
      <c r="FT73" s="39" t="str">
        <f t="shared" si="369"/>
        <v/>
      </c>
      <c r="FU73" s="39" t="str">
        <f t="shared" si="370"/>
        <v/>
      </c>
      <c r="FV73" s="39" t="str">
        <f t="shared" si="371"/>
        <v/>
      </c>
      <c r="FW73" s="39" t="str">
        <f t="shared" si="372"/>
        <v/>
      </c>
      <c r="FX73" s="39" t="str">
        <f t="shared" si="373"/>
        <v/>
      </c>
      <c r="FY73" s="39" t="str">
        <f t="shared" si="374"/>
        <v/>
      </c>
      <c r="FZ73" s="39" t="str">
        <f t="shared" si="375"/>
        <v/>
      </c>
      <c r="GA73" s="39" t="str">
        <f t="shared" si="376"/>
        <v/>
      </c>
      <c r="GB73" s="39" t="str">
        <f t="shared" si="377"/>
        <v/>
      </c>
      <c r="GC73" s="39" t="str">
        <f t="shared" si="378"/>
        <v/>
      </c>
      <c r="GD73" s="39" t="str">
        <f t="shared" si="379"/>
        <v/>
      </c>
      <c r="GE73" s="39" t="str">
        <f t="shared" si="380"/>
        <v/>
      </c>
      <c r="GF73" s="39" t="str">
        <f t="shared" si="381"/>
        <v/>
      </c>
      <c r="GG73" s="39" t="str">
        <f t="shared" si="382"/>
        <v/>
      </c>
      <c r="GH73" s="39" t="str">
        <f t="shared" si="383"/>
        <v/>
      </c>
      <c r="GI73" s="39" t="str">
        <f t="shared" si="384"/>
        <v/>
      </c>
      <c r="GJ73" s="39" t="str">
        <f t="shared" si="385"/>
        <v/>
      </c>
      <c r="GK73" s="39" t="str">
        <f t="shared" si="386"/>
        <v/>
      </c>
      <c r="GL73" s="39" t="str">
        <f t="shared" si="387"/>
        <v/>
      </c>
      <c r="GM73" s="39" t="str">
        <f t="shared" si="388"/>
        <v/>
      </c>
      <c r="GN73" s="39" t="str">
        <f t="shared" si="389"/>
        <v/>
      </c>
      <c r="GO73" s="39" t="str">
        <f t="shared" si="390"/>
        <v/>
      </c>
      <c r="GP73" s="39" t="str">
        <f t="shared" si="391"/>
        <v/>
      </c>
      <c r="GQ73" s="39" t="str">
        <f t="shared" si="392"/>
        <v/>
      </c>
      <c r="GR73" s="39" t="str">
        <f t="shared" si="393"/>
        <v/>
      </c>
      <c r="GS73" s="39" t="str">
        <f t="shared" si="394"/>
        <v/>
      </c>
      <c r="GT73" s="39" t="str">
        <f t="shared" si="395"/>
        <v/>
      </c>
      <c r="GU73" s="39" t="str">
        <f t="shared" si="396"/>
        <v/>
      </c>
      <c r="GV73" s="39" t="str">
        <f t="shared" si="397"/>
        <v/>
      </c>
      <c r="GW73" s="39" t="str">
        <f t="shared" si="398"/>
        <v/>
      </c>
      <c r="GX73" s="39" t="str">
        <f t="shared" si="399"/>
        <v/>
      </c>
      <c r="GY73" s="39" t="str">
        <f t="shared" si="400"/>
        <v/>
      </c>
      <c r="GZ73" s="39" t="str">
        <f t="shared" si="401"/>
        <v/>
      </c>
      <c r="HA73" s="39" t="str">
        <f t="shared" si="402"/>
        <v/>
      </c>
      <c r="HB73" s="39" t="str">
        <f t="shared" si="403"/>
        <v/>
      </c>
      <c r="HC73" s="39" t="str">
        <f t="shared" si="404"/>
        <v/>
      </c>
      <c r="HD73" s="39" t="str">
        <f t="shared" si="405"/>
        <v/>
      </c>
      <c r="HE73" s="39" t="str">
        <f t="shared" si="406"/>
        <v/>
      </c>
      <c r="HF73" s="39" t="str">
        <f t="shared" si="407"/>
        <v/>
      </c>
      <c r="HG73" s="39" t="str">
        <f t="shared" si="408"/>
        <v/>
      </c>
      <c r="HH73" s="39" t="str">
        <f t="shared" si="409"/>
        <v/>
      </c>
      <c r="HI73" s="39" t="str">
        <f t="shared" si="410"/>
        <v/>
      </c>
      <c r="HJ73" s="39" t="str">
        <f t="shared" si="411"/>
        <v/>
      </c>
      <c r="HK73" s="39" t="str">
        <f t="shared" si="412"/>
        <v/>
      </c>
      <c r="HL73" s="39" t="str">
        <f t="shared" si="413"/>
        <v/>
      </c>
      <c r="HM73" s="39" t="str">
        <f t="shared" si="414"/>
        <v/>
      </c>
      <c r="HN73" s="39" t="str">
        <f t="shared" si="415"/>
        <v/>
      </c>
      <c r="HO73" s="39" t="str">
        <f t="shared" si="416"/>
        <v/>
      </c>
      <c r="HP73" s="39" t="str">
        <f t="shared" si="417"/>
        <v/>
      </c>
      <c r="HQ73" s="39" t="str">
        <f t="shared" si="418"/>
        <v/>
      </c>
      <c r="HR73" s="39" t="str">
        <f t="shared" si="419"/>
        <v/>
      </c>
      <c r="HS73" s="39" t="str">
        <f t="shared" si="420"/>
        <v/>
      </c>
      <c r="HT73" s="39" t="str">
        <f t="shared" si="421"/>
        <v/>
      </c>
      <c r="HU73" s="39" t="str">
        <f t="shared" si="422"/>
        <v/>
      </c>
      <c r="HV73" s="39" t="str">
        <f t="shared" si="423"/>
        <v/>
      </c>
      <c r="HW73" s="39" t="str">
        <f t="shared" si="424"/>
        <v/>
      </c>
      <c r="HX73" s="39" t="str">
        <f t="shared" si="425"/>
        <v/>
      </c>
      <c r="HY73" s="39" t="str">
        <f t="shared" si="426"/>
        <v/>
      </c>
      <c r="HZ73" s="39" t="str">
        <f t="shared" si="427"/>
        <v/>
      </c>
      <c r="IA73" s="39" t="str">
        <f t="shared" si="428"/>
        <v/>
      </c>
      <c r="IB73" s="39" t="str">
        <f t="shared" si="429"/>
        <v/>
      </c>
      <c r="IC73" s="39" t="str">
        <f t="shared" si="430"/>
        <v/>
      </c>
      <c r="ID73" s="39" t="str">
        <f t="shared" si="431"/>
        <v/>
      </c>
      <c r="IE73" s="39" t="str">
        <f t="shared" si="432"/>
        <v/>
      </c>
      <c r="IF73" s="39" t="str">
        <f t="shared" si="433"/>
        <v/>
      </c>
      <c r="IG73" s="308">
        <f t="shared" si="434"/>
        <v>-4.1157773909461431E-2</v>
      </c>
      <c r="IH73" s="84">
        <f t="shared" ref="IH73:IH76" si="492">IFERROR(IF(ISBLANK(DI73), "-", IF($I73="c", DI73*$I$5, DI73)),"-")</f>
        <v>1.6865738762750469E-2</v>
      </c>
      <c r="II73" s="84">
        <f t="shared" ref="II73:II76" si="493">IFERROR(IF(ISBLANK(DJ73), "-", IF($I73="c", DJ73*$I$5, DJ73)),"-")</f>
        <v>1.6865738762750469E-2</v>
      </c>
      <c r="IJ73" s="84">
        <f t="shared" ref="IJ73:IJ76" si="494">IFERROR(IF(ISBLANK(DK73), "-", IF($I73="c", DK73*$I$5, DK73)),"-")</f>
        <v>1.6865738762750469E-2</v>
      </c>
      <c r="IK73" s="84">
        <f t="shared" ref="IK73:IK76" si="495">IFERROR(IF(ISBLANK(DL73), "-", IF($I73="c", DL73*$I$5, DL73)),"-")</f>
        <v>1.6865738762750469E-2</v>
      </c>
      <c r="IL73" s="84">
        <f t="shared" ref="IL73:IL76" si="496">IFERROR(IF(ISBLANK(DM73), "-", IF($I73="c", DM73*$I$5, DM73)),"-")</f>
        <v>1.6865738762750469E-2</v>
      </c>
      <c r="IM73" s="308" t="str">
        <f t="shared" si="440"/>
        <v/>
      </c>
      <c r="IN73" s="84" t="str">
        <f t="shared" ref="IN73:IN76" si="497">IFERROR(IF(ISBLANK(DP73), "", IF($I73="c",DP73*$I$5, DP73)),"-")</f>
        <v/>
      </c>
      <c r="IO73" s="84" t="str">
        <f t="shared" ref="IO73:IO76" si="498">IFERROR(IF(ISBLANK(DQ73), "", IF($I73="c",DQ73*$I$5, DQ73)),"-")</f>
        <v/>
      </c>
      <c r="IP73" s="84" t="str">
        <f t="shared" ref="IP73:IP76" si="499">IFERROR(IF(ISBLANK(DR73), "", IF($I73="c",DR73*$I$5, DR73)),"-")</f>
        <v/>
      </c>
      <c r="IQ73" s="84" t="str">
        <f t="shared" ref="IQ73:IQ76" si="500">IFERROR(IF(ISBLANK(DS73), "", IF($I73="c",DS73*$I$5, DS73)),"-")</f>
        <v/>
      </c>
      <c r="IR73" s="84" t="str">
        <f t="shared" ref="IR73:IR76" si="501">IFERROR(IF(ISBLANK(DT73), "", IF($I73="c",DT73*$I$5, DT73)),"-")</f>
        <v/>
      </c>
      <c r="IS73" s="308" t="str">
        <f t="shared" si="446"/>
        <v/>
      </c>
      <c r="IT73" s="84" t="str">
        <f t="shared" ref="IT73:IT76" si="502">IFERROR(IF(ISBLANK(DW73), "", IF($I73="c", DW73*$I$5, DW73)),"-")</f>
        <v/>
      </c>
      <c r="IU73" s="84" t="str">
        <f t="shared" ref="IU73:IU76" si="503">IFERROR(IF(ISBLANK(DX73), "", IF($I73="c", DX73*$I$5, DX73)),"-")</f>
        <v/>
      </c>
      <c r="IV73" s="84" t="str">
        <f t="shared" ref="IV73:IV76" si="504">IFERROR(IF(ISBLANK(DY73), "", IF($I73="c", DY73*$I$5, DY73)),"-")</f>
        <v/>
      </c>
      <c r="IW73" s="84" t="str">
        <f t="shared" ref="IW73:IW76" si="505">IFERROR(IF(ISBLANK(DZ73), "", IF($I73="c", DZ73*$I$5, DZ73)),"-")</f>
        <v/>
      </c>
      <c r="IX73" s="84" t="str">
        <f t="shared" ref="IX73:IX76" si="506">IFERROR(IF(ISBLANK(EA73), "", IF($I73="c", EA73*$I$5, EA73)),"-")</f>
        <v/>
      </c>
      <c r="IY73" s="308" t="str">
        <f t="shared" si="452"/>
        <v/>
      </c>
      <c r="IZ73" s="84" t="str">
        <f t="shared" ref="IZ73:IZ76" si="507">IFERROR(IF(ISBLANK(ED73), "", IF($I73="c", ED73*$I$5, ED73)),"-")</f>
        <v/>
      </c>
      <c r="JA73" s="84" t="str">
        <f t="shared" ref="JA73:JA76" si="508">IFERROR(IF(ISBLANK(EE73), "", IF($I73="c", EE73*$I$5, EE73)),"-")</f>
        <v/>
      </c>
      <c r="JB73" s="84" t="str">
        <f t="shared" ref="JB73:JB76" si="509">IFERROR(IF(ISBLANK(EF73), "", IF($I73="c", EF73*$I$5, EF73)),"-")</f>
        <v/>
      </c>
      <c r="JC73" s="84" t="str">
        <f t="shared" ref="JC73:JC76" si="510">IFERROR(IF(ISBLANK(EG73), "", IF($I73="c", EG73*$I$5, EG73)),"-")</f>
        <v/>
      </c>
      <c r="JD73" s="309" t="str">
        <f t="shared" ref="JD73:JD76" si="511">IFERROR(IF(ISBLANK(EH73), "", IF($I73="c", EH73*$I$5, EH73)),"-")</f>
        <v/>
      </c>
      <c r="JF73" s="66">
        <f t="shared" si="224"/>
        <v>73</v>
      </c>
      <c r="JG73" s="66">
        <f t="shared" ref="JG73:JG76" ca="1" si="512">SUM(INDIRECT(VLOOKUP($JH$4,XPEERCOLUMNS,2,0) &amp; JF73 &amp; ":" &amp; VLOOKUP($JH$4,XPEERCOLUMNS,2,0) &amp; JF73))</f>
        <v>1.6865738762750469E-2</v>
      </c>
      <c r="JH73" s="66">
        <f t="shared" ref="JH73:JH76" ca="1" si="513">SUM(INDIRECT(VLOOKUP($JH$4,XPEERCOLUMNS,3,0) &amp; JF73 &amp; ":" &amp; VLOOKUP($JH$4,XPEERCOLUMNS,3,0) &amp; JF73))</f>
        <v>1.6865738762750469E-2</v>
      </c>
      <c r="JI73" s="66">
        <f t="shared" ref="JI73:JI76" ca="1" si="514">SUM(INDIRECT(VLOOKUP($JH$4,XPEERCOLUMNS,4,0) &amp; JF73 &amp; ":" &amp; VLOOKUP($JH$4,XPEERCOLUMNS,4,0) &amp; JF73))</f>
        <v>1.6865738762750469E-2</v>
      </c>
      <c r="JJ73" s="66">
        <f t="shared" ref="JJ73:JJ76" ca="1" si="515">SUM(INDIRECT(VLOOKUP($JH$4,XPEERCOLUMNS,5,0) &amp; JF73 &amp; ":" &amp; VLOOKUP($JH$4,XPEERCOLUMNS,5,0) &amp; JF73))</f>
        <v>3</v>
      </c>
      <c r="JK73" s="33"/>
      <c r="JL73" s="74">
        <f t="shared" ref="JL73:JL76" ca="1" si="516">IF(JG73=0,"-",JG73)</f>
        <v>1.6865738762750469E-2</v>
      </c>
      <c r="JM73" s="75">
        <f t="shared" ca="1" si="310"/>
        <v>1.6865738762750469E-2</v>
      </c>
      <c r="JN73" s="75">
        <f t="shared" ca="1" si="311"/>
        <v>1.6865738762750469E-2</v>
      </c>
      <c r="JO73" s="74">
        <f t="shared" ref="JO73:JO76" ca="1" si="517">IF(JI73=0,"-",JI73)</f>
        <v>1.6865738762750469E-2</v>
      </c>
      <c r="JP73" s="74">
        <f t="shared" ref="JP73:JP76" ca="1" si="518">SUM(JL73:JO73)</f>
        <v>6.7462955051001874E-2</v>
      </c>
    </row>
    <row r="74" spans="1:276" s="1" customFormat="1" x14ac:dyDescent="0.35">
      <c r="A74" s="125">
        <v>1</v>
      </c>
      <c r="B74" s="125">
        <v>1</v>
      </c>
      <c r="C74" s="125">
        <v>1</v>
      </c>
      <c r="D74" s="163"/>
      <c r="E74" s="142" t="s">
        <v>152</v>
      </c>
      <c r="F74" s="208" t="s">
        <v>153</v>
      </c>
      <c r="G74" s="209" t="s">
        <v>530</v>
      </c>
      <c r="H74" s="210" t="s">
        <v>533</v>
      </c>
      <c r="I74" s="8" t="s">
        <v>534</v>
      </c>
      <c r="J74" s="211" t="s">
        <v>805</v>
      </c>
      <c r="K74" s="215" t="s">
        <v>805</v>
      </c>
      <c r="L74" s="215" t="s">
        <v>805</v>
      </c>
      <c r="M74" s="215" t="s">
        <v>805</v>
      </c>
      <c r="N74" s="215" t="s">
        <v>805</v>
      </c>
      <c r="O74" s="215" t="s">
        <v>805</v>
      </c>
      <c r="P74" s="215" t="s">
        <v>805</v>
      </c>
      <c r="Q74" s="215" t="s">
        <v>805</v>
      </c>
      <c r="R74" s="215" t="s">
        <v>805</v>
      </c>
      <c r="S74" s="215" t="s">
        <v>805</v>
      </c>
      <c r="T74" s="215" t="s">
        <v>805</v>
      </c>
      <c r="U74" s="215" t="s">
        <v>805</v>
      </c>
      <c r="V74" s="215" t="s">
        <v>805</v>
      </c>
      <c r="W74" s="215" t="s">
        <v>805</v>
      </c>
      <c r="X74" s="215" t="s">
        <v>805</v>
      </c>
      <c r="Y74" s="215" t="s">
        <v>805</v>
      </c>
      <c r="Z74" s="215" t="s">
        <v>805</v>
      </c>
      <c r="AA74" s="215" t="s">
        <v>805</v>
      </c>
      <c r="AB74" s="215" t="s">
        <v>805</v>
      </c>
      <c r="AC74" s="215" t="s">
        <v>805</v>
      </c>
      <c r="AD74" s="215" t="s">
        <v>805</v>
      </c>
      <c r="AE74" s="215" t="s">
        <v>805</v>
      </c>
      <c r="AF74" s="215" t="s">
        <v>805</v>
      </c>
      <c r="AG74" s="215" t="s">
        <v>805</v>
      </c>
      <c r="AH74" s="215" t="s">
        <v>805</v>
      </c>
      <c r="AI74" s="215" t="s">
        <v>805</v>
      </c>
      <c r="AJ74" s="215" t="s">
        <v>805</v>
      </c>
      <c r="AK74" s="215" t="s">
        <v>805</v>
      </c>
      <c r="AL74" s="215" t="s">
        <v>805</v>
      </c>
      <c r="AM74" s="215" t="s">
        <v>805</v>
      </c>
      <c r="AN74" s="215" t="s">
        <v>805</v>
      </c>
      <c r="AO74" s="215" t="s">
        <v>805</v>
      </c>
      <c r="AP74" s="215" t="s">
        <v>805</v>
      </c>
      <c r="AQ74" s="215" t="s">
        <v>805</v>
      </c>
      <c r="AR74" s="215" t="s">
        <v>805</v>
      </c>
      <c r="AS74" s="215" t="s">
        <v>805</v>
      </c>
      <c r="AT74" s="215" t="s">
        <v>805</v>
      </c>
      <c r="AU74" s="215" t="s">
        <v>805</v>
      </c>
      <c r="AV74" s="215" t="s">
        <v>805</v>
      </c>
      <c r="AW74" s="215" t="s">
        <v>805</v>
      </c>
      <c r="AX74" s="215" t="s">
        <v>805</v>
      </c>
      <c r="AY74" s="215" t="s">
        <v>805</v>
      </c>
      <c r="AZ74" s="215" t="s">
        <v>805</v>
      </c>
      <c r="BA74" s="215" t="s">
        <v>805</v>
      </c>
      <c r="BB74" s="215" t="s">
        <v>805</v>
      </c>
      <c r="BC74" s="215" t="s">
        <v>805</v>
      </c>
      <c r="BD74" s="215" t="s">
        <v>805</v>
      </c>
      <c r="BE74" s="215" t="s">
        <v>805</v>
      </c>
      <c r="BF74" s="215" t="s">
        <v>805</v>
      </c>
      <c r="BG74" s="215" t="s">
        <v>805</v>
      </c>
      <c r="BH74" s="215" t="s">
        <v>805</v>
      </c>
      <c r="BI74" s="215" t="s">
        <v>805</v>
      </c>
      <c r="BJ74" s="215" t="s">
        <v>805</v>
      </c>
      <c r="BK74" s="215" t="s">
        <v>805</v>
      </c>
      <c r="BL74" s="215" t="s">
        <v>805</v>
      </c>
      <c r="BM74" s="215" t="s">
        <v>805</v>
      </c>
      <c r="BN74" s="215" t="s">
        <v>805</v>
      </c>
      <c r="BO74" s="215" t="s">
        <v>805</v>
      </c>
      <c r="BP74" s="215" t="s">
        <v>805</v>
      </c>
      <c r="BQ74" s="215" t="s">
        <v>805</v>
      </c>
      <c r="BR74" s="215" t="s">
        <v>805</v>
      </c>
      <c r="BS74" s="215" t="s">
        <v>805</v>
      </c>
      <c r="BT74" s="215" t="s">
        <v>805</v>
      </c>
      <c r="BU74" s="215" t="s">
        <v>805</v>
      </c>
      <c r="BV74" s="215" t="s">
        <v>805</v>
      </c>
      <c r="BW74" s="215" t="s">
        <v>805</v>
      </c>
      <c r="BX74" s="215" t="s">
        <v>805</v>
      </c>
      <c r="BY74" s="215" t="s">
        <v>805</v>
      </c>
      <c r="BZ74" s="215" t="s">
        <v>805</v>
      </c>
      <c r="CA74" s="215" t="s">
        <v>805</v>
      </c>
      <c r="CB74" s="215" t="s">
        <v>805</v>
      </c>
      <c r="CC74" s="215" t="s">
        <v>805</v>
      </c>
      <c r="CD74" s="215" t="s">
        <v>805</v>
      </c>
      <c r="CE74" s="215" t="s">
        <v>805</v>
      </c>
      <c r="CF74" s="215" t="s">
        <v>805</v>
      </c>
      <c r="CG74" s="215" t="s">
        <v>805</v>
      </c>
      <c r="CH74" s="215" t="s">
        <v>805</v>
      </c>
      <c r="CI74" s="215" t="s">
        <v>805</v>
      </c>
      <c r="CJ74" s="215" t="s">
        <v>805</v>
      </c>
      <c r="CK74" s="215" t="s">
        <v>805</v>
      </c>
      <c r="CL74" s="215" t="s">
        <v>805</v>
      </c>
      <c r="CM74" s="215" t="s">
        <v>805</v>
      </c>
      <c r="CN74" s="215" t="s">
        <v>805</v>
      </c>
      <c r="CO74" s="215" t="s">
        <v>805</v>
      </c>
      <c r="CP74" s="215" t="s">
        <v>805</v>
      </c>
      <c r="CQ74" s="215" t="s">
        <v>805</v>
      </c>
      <c r="CR74" s="215" t="s">
        <v>805</v>
      </c>
      <c r="CS74" s="215" t="s">
        <v>805</v>
      </c>
      <c r="CT74" s="215" t="s">
        <v>805</v>
      </c>
      <c r="CU74" s="215" t="s">
        <v>805</v>
      </c>
      <c r="CV74" s="215" t="s">
        <v>805</v>
      </c>
      <c r="CW74" s="215" t="s">
        <v>805</v>
      </c>
      <c r="CX74" s="215" t="s">
        <v>805</v>
      </c>
      <c r="CY74" s="215" t="s">
        <v>805</v>
      </c>
      <c r="CZ74" s="215" t="s">
        <v>805</v>
      </c>
      <c r="DA74" s="215" t="s">
        <v>805</v>
      </c>
      <c r="DB74" s="215" t="s">
        <v>805</v>
      </c>
      <c r="DC74" s="215" t="s">
        <v>805</v>
      </c>
      <c r="DD74" s="215" t="s">
        <v>805</v>
      </c>
      <c r="DE74" s="215" t="s">
        <v>805</v>
      </c>
      <c r="DF74" s="215" t="s">
        <v>805</v>
      </c>
      <c r="DG74" s="212">
        <f>VLOOKUP(E74,'KPI Count-SHARE'!A:F,3,0)</f>
        <v>0</v>
      </c>
      <c r="DH74" s="213" t="s">
        <v>805</v>
      </c>
      <c r="DI74" s="216" t="s">
        <v>805</v>
      </c>
      <c r="DJ74" s="216" t="s">
        <v>805</v>
      </c>
      <c r="DK74" s="216" t="s">
        <v>805</v>
      </c>
      <c r="DL74" s="216" t="s">
        <v>805</v>
      </c>
      <c r="DM74" s="216" t="s">
        <v>805</v>
      </c>
      <c r="DN74" s="212">
        <f>VLOOKUP(E74,'KPI Count-SHARE'!A:F,4,0)</f>
        <v>0</v>
      </c>
      <c r="DO74" s="213"/>
      <c r="DP74" s="216"/>
      <c r="DQ74" s="216"/>
      <c r="DR74" s="216"/>
      <c r="DS74" s="216"/>
      <c r="DT74" s="216"/>
      <c r="DU74" s="212">
        <f>VLOOKUP(E74,'KPI Count-SHARE'!A:F,5,0)</f>
        <v>0</v>
      </c>
      <c r="DV74" s="213"/>
      <c r="DW74" s="216"/>
      <c r="DX74" s="216"/>
      <c r="DY74" s="216"/>
      <c r="DZ74" s="216"/>
      <c r="EA74" s="216"/>
      <c r="EB74" s="212">
        <f>VLOOKUP(E74,'KPI Count-SHARE'!A:F,6,0)</f>
        <v>0</v>
      </c>
      <c r="EC74" s="213"/>
      <c r="ED74" s="216"/>
      <c r="EE74" s="216"/>
      <c r="EF74" s="216"/>
      <c r="EG74" s="216"/>
      <c r="EH74" s="216"/>
      <c r="EI74" s="214" t="s">
        <v>533</v>
      </c>
      <c r="EJ74" s="39" t="str">
        <f t="shared" si="481"/>
        <v/>
      </c>
      <c r="EK74" s="39" t="str">
        <f t="shared" si="482"/>
        <v/>
      </c>
      <c r="EL74" s="39" t="str">
        <f t="shared" si="483"/>
        <v/>
      </c>
      <c r="EM74" s="39" t="str">
        <f t="shared" si="484"/>
        <v/>
      </c>
      <c r="EN74" s="39" t="str">
        <f t="shared" si="485"/>
        <v/>
      </c>
      <c r="EO74" s="39" t="str">
        <f t="shared" si="486"/>
        <v/>
      </c>
      <c r="EP74" s="39" t="str">
        <f t="shared" si="487"/>
        <v/>
      </c>
      <c r="EQ74" s="39" t="str">
        <f t="shared" si="488"/>
        <v/>
      </c>
      <c r="ER74" s="39" t="str">
        <f t="shared" si="489"/>
        <v/>
      </c>
      <c r="ES74" s="39" t="str">
        <f t="shared" si="490"/>
        <v/>
      </c>
      <c r="ET74" s="39" t="str">
        <f t="shared" si="491"/>
        <v/>
      </c>
      <c r="EU74" s="39" t="str">
        <f t="shared" si="344"/>
        <v/>
      </c>
      <c r="EV74" s="39" t="str">
        <f t="shared" si="345"/>
        <v/>
      </c>
      <c r="EW74" s="39" t="str">
        <f t="shared" si="346"/>
        <v/>
      </c>
      <c r="EX74" s="39" t="str">
        <f t="shared" si="347"/>
        <v/>
      </c>
      <c r="EY74" s="39" t="str">
        <f t="shared" si="348"/>
        <v/>
      </c>
      <c r="EZ74" s="39" t="str">
        <f t="shared" si="349"/>
        <v/>
      </c>
      <c r="FA74" s="39" t="str">
        <f t="shared" si="350"/>
        <v/>
      </c>
      <c r="FB74" s="39" t="str">
        <f t="shared" si="351"/>
        <v/>
      </c>
      <c r="FC74" s="39" t="str">
        <f t="shared" si="352"/>
        <v/>
      </c>
      <c r="FD74" s="39" t="str">
        <f t="shared" si="353"/>
        <v/>
      </c>
      <c r="FE74" s="39" t="str">
        <f t="shared" si="354"/>
        <v/>
      </c>
      <c r="FF74" s="39" t="str">
        <f t="shared" si="355"/>
        <v/>
      </c>
      <c r="FG74" s="39" t="str">
        <f t="shared" si="356"/>
        <v/>
      </c>
      <c r="FH74" s="39" t="str">
        <f t="shared" si="357"/>
        <v/>
      </c>
      <c r="FI74" s="39" t="str">
        <f t="shared" si="358"/>
        <v/>
      </c>
      <c r="FJ74" s="39" t="str">
        <f t="shared" si="359"/>
        <v/>
      </c>
      <c r="FK74" s="39" t="str">
        <f t="shared" si="360"/>
        <v/>
      </c>
      <c r="FL74" s="39" t="str">
        <f t="shared" si="361"/>
        <v/>
      </c>
      <c r="FM74" s="39" t="str">
        <f t="shared" si="362"/>
        <v/>
      </c>
      <c r="FN74" s="39" t="str">
        <f t="shared" si="363"/>
        <v/>
      </c>
      <c r="FO74" s="39" t="str">
        <f t="shared" si="364"/>
        <v/>
      </c>
      <c r="FP74" s="39" t="str">
        <f t="shared" si="365"/>
        <v/>
      </c>
      <c r="FQ74" s="39" t="str">
        <f t="shared" si="366"/>
        <v/>
      </c>
      <c r="FR74" s="39" t="str">
        <f t="shared" si="367"/>
        <v/>
      </c>
      <c r="FS74" s="39" t="str">
        <f t="shared" si="368"/>
        <v/>
      </c>
      <c r="FT74" s="39" t="str">
        <f t="shared" si="369"/>
        <v/>
      </c>
      <c r="FU74" s="39" t="str">
        <f t="shared" si="370"/>
        <v/>
      </c>
      <c r="FV74" s="39" t="str">
        <f t="shared" si="371"/>
        <v/>
      </c>
      <c r="FW74" s="39" t="str">
        <f t="shared" si="372"/>
        <v/>
      </c>
      <c r="FX74" s="39" t="str">
        <f t="shared" si="373"/>
        <v/>
      </c>
      <c r="FY74" s="39" t="str">
        <f t="shared" si="374"/>
        <v/>
      </c>
      <c r="FZ74" s="39" t="str">
        <f t="shared" si="375"/>
        <v/>
      </c>
      <c r="GA74" s="39" t="str">
        <f t="shared" si="376"/>
        <v/>
      </c>
      <c r="GB74" s="39" t="str">
        <f t="shared" si="377"/>
        <v/>
      </c>
      <c r="GC74" s="39" t="str">
        <f t="shared" si="378"/>
        <v/>
      </c>
      <c r="GD74" s="39" t="str">
        <f t="shared" si="379"/>
        <v/>
      </c>
      <c r="GE74" s="39" t="str">
        <f t="shared" si="380"/>
        <v/>
      </c>
      <c r="GF74" s="39" t="str">
        <f t="shared" si="381"/>
        <v/>
      </c>
      <c r="GG74" s="39" t="str">
        <f t="shared" si="382"/>
        <v/>
      </c>
      <c r="GH74" s="39" t="str">
        <f t="shared" si="383"/>
        <v/>
      </c>
      <c r="GI74" s="39" t="str">
        <f t="shared" si="384"/>
        <v/>
      </c>
      <c r="GJ74" s="39" t="str">
        <f t="shared" si="385"/>
        <v/>
      </c>
      <c r="GK74" s="39" t="str">
        <f t="shared" si="386"/>
        <v/>
      </c>
      <c r="GL74" s="39" t="str">
        <f t="shared" si="387"/>
        <v/>
      </c>
      <c r="GM74" s="39" t="str">
        <f t="shared" si="388"/>
        <v/>
      </c>
      <c r="GN74" s="39" t="str">
        <f t="shared" si="389"/>
        <v/>
      </c>
      <c r="GO74" s="39" t="str">
        <f t="shared" si="390"/>
        <v/>
      </c>
      <c r="GP74" s="39" t="str">
        <f t="shared" si="391"/>
        <v/>
      </c>
      <c r="GQ74" s="39" t="str">
        <f t="shared" si="392"/>
        <v/>
      </c>
      <c r="GR74" s="39" t="str">
        <f t="shared" si="393"/>
        <v/>
      </c>
      <c r="GS74" s="39" t="str">
        <f t="shared" si="394"/>
        <v/>
      </c>
      <c r="GT74" s="39" t="str">
        <f t="shared" si="395"/>
        <v/>
      </c>
      <c r="GU74" s="39" t="str">
        <f t="shared" si="396"/>
        <v/>
      </c>
      <c r="GV74" s="39" t="str">
        <f t="shared" si="397"/>
        <v/>
      </c>
      <c r="GW74" s="39" t="str">
        <f t="shared" si="398"/>
        <v/>
      </c>
      <c r="GX74" s="39" t="str">
        <f t="shared" si="399"/>
        <v/>
      </c>
      <c r="GY74" s="39" t="str">
        <f t="shared" si="400"/>
        <v/>
      </c>
      <c r="GZ74" s="39" t="str">
        <f t="shared" si="401"/>
        <v/>
      </c>
      <c r="HA74" s="39" t="str">
        <f t="shared" si="402"/>
        <v/>
      </c>
      <c r="HB74" s="39" t="str">
        <f t="shared" si="403"/>
        <v/>
      </c>
      <c r="HC74" s="39" t="str">
        <f t="shared" si="404"/>
        <v/>
      </c>
      <c r="HD74" s="39" t="str">
        <f t="shared" si="405"/>
        <v/>
      </c>
      <c r="HE74" s="39" t="str">
        <f t="shared" si="406"/>
        <v/>
      </c>
      <c r="HF74" s="39" t="str">
        <f t="shared" si="407"/>
        <v/>
      </c>
      <c r="HG74" s="39" t="str">
        <f t="shared" si="408"/>
        <v/>
      </c>
      <c r="HH74" s="39" t="str">
        <f t="shared" si="409"/>
        <v/>
      </c>
      <c r="HI74" s="39" t="str">
        <f t="shared" si="410"/>
        <v/>
      </c>
      <c r="HJ74" s="39" t="str">
        <f t="shared" si="411"/>
        <v/>
      </c>
      <c r="HK74" s="39" t="str">
        <f t="shared" si="412"/>
        <v/>
      </c>
      <c r="HL74" s="39" t="str">
        <f t="shared" si="413"/>
        <v/>
      </c>
      <c r="HM74" s="39" t="str">
        <f t="shared" si="414"/>
        <v/>
      </c>
      <c r="HN74" s="39" t="str">
        <f t="shared" si="415"/>
        <v/>
      </c>
      <c r="HO74" s="39" t="str">
        <f t="shared" si="416"/>
        <v/>
      </c>
      <c r="HP74" s="39" t="str">
        <f t="shared" si="417"/>
        <v/>
      </c>
      <c r="HQ74" s="39" t="str">
        <f t="shared" si="418"/>
        <v/>
      </c>
      <c r="HR74" s="39" t="str">
        <f t="shared" si="419"/>
        <v/>
      </c>
      <c r="HS74" s="39" t="str">
        <f t="shared" si="420"/>
        <v/>
      </c>
      <c r="HT74" s="39" t="str">
        <f t="shared" si="421"/>
        <v/>
      </c>
      <c r="HU74" s="39" t="str">
        <f t="shared" si="422"/>
        <v/>
      </c>
      <c r="HV74" s="39" t="str">
        <f t="shared" si="423"/>
        <v/>
      </c>
      <c r="HW74" s="39" t="str">
        <f t="shared" si="424"/>
        <v/>
      </c>
      <c r="HX74" s="39" t="str">
        <f t="shared" si="425"/>
        <v/>
      </c>
      <c r="HY74" s="39" t="str">
        <f t="shared" si="426"/>
        <v/>
      </c>
      <c r="HZ74" s="39" t="str">
        <f t="shared" si="427"/>
        <v/>
      </c>
      <c r="IA74" s="39" t="str">
        <f t="shared" si="428"/>
        <v/>
      </c>
      <c r="IB74" s="39" t="str">
        <f t="shared" si="429"/>
        <v/>
      </c>
      <c r="IC74" s="39" t="str">
        <f t="shared" si="430"/>
        <v/>
      </c>
      <c r="ID74" s="39" t="str">
        <f t="shared" si="431"/>
        <v/>
      </c>
      <c r="IE74" s="39" t="str">
        <f t="shared" si="432"/>
        <v/>
      </c>
      <c r="IF74" s="39" t="str">
        <f t="shared" si="433"/>
        <v/>
      </c>
      <c r="IG74" s="308" t="str">
        <f t="shared" si="434"/>
        <v/>
      </c>
      <c r="IH74" s="84" t="str">
        <f t="shared" si="492"/>
        <v/>
      </c>
      <c r="II74" s="84" t="str">
        <f t="shared" si="493"/>
        <v/>
      </c>
      <c r="IJ74" s="84" t="str">
        <f t="shared" si="494"/>
        <v/>
      </c>
      <c r="IK74" s="84" t="str">
        <f t="shared" si="495"/>
        <v/>
      </c>
      <c r="IL74" s="84" t="str">
        <f t="shared" si="496"/>
        <v/>
      </c>
      <c r="IM74" s="308" t="str">
        <f t="shared" si="440"/>
        <v/>
      </c>
      <c r="IN74" s="84" t="str">
        <f t="shared" si="497"/>
        <v/>
      </c>
      <c r="IO74" s="84" t="str">
        <f t="shared" si="498"/>
        <v/>
      </c>
      <c r="IP74" s="84" t="str">
        <f t="shared" si="499"/>
        <v/>
      </c>
      <c r="IQ74" s="84" t="str">
        <f t="shared" si="500"/>
        <v/>
      </c>
      <c r="IR74" s="84" t="str">
        <f t="shared" si="501"/>
        <v/>
      </c>
      <c r="IS74" s="308" t="str">
        <f t="shared" si="446"/>
        <v/>
      </c>
      <c r="IT74" s="84" t="str">
        <f t="shared" si="502"/>
        <v/>
      </c>
      <c r="IU74" s="84" t="str">
        <f t="shared" si="503"/>
        <v/>
      </c>
      <c r="IV74" s="84" t="str">
        <f t="shared" si="504"/>
        <v/>
      </c>
      <c r="IW74" s="84" t="str">
        <f t="shared" si="505"/>
        <v/>
      </c>
      <c r="IX74" s="84" t="str">
        <f t="shared" si="506"/>
        <v/>
      </c>
      <c r="IY74" s="308" t="str">
        <f t="shared" si="452"/>
        <v/>
      </c>
      <c r="IZ74" s="84" t="str">
        <f t="shared" si="507"/>
        <v/>
      </c>
      <c r="JA74" s="84" t="str">
        <f t="shared" si="508"/>
        <v/>
      </c>
      <c r="JB74" s="84" t="str">
        <f t="shared" si="509"/>
        <v/>
      </c>
      <c r="JC74" s="84" t="str">
        <f t="shared" si="510"/>
        <v/>
      </c>
      <c r="JD74" s="309" t="str">
        <f t="shared" si="511"/>
        <v/>
      </c>
      <c r="JF74" s="66">
        <f t="shared" si="224"/>
        <v>74</v>
      </c>
      <c r="JG74" s="66">
        <f t="shared" ca="1" si="512"/>
        <v>0</v>
      </c>
      <c r="JH74" s="66">
        <f t="shared" ca="1" si="513"/>
        <v>0</v>
      </c>
      <c r="JI74" s="66">
        <f t="shared" ca="1" si="514"/>
        <v>0</v>
      </c>
      <c r="JJ74" s="66">
        <f t="shared" ca="1" si="515"/>
        <v>0</v>
      </c>
      <c r="JK74" s="33"/>
      <c r="JL74" s="74" t="str">
        <f t="shared" ca="1" si="516"/>
        <v>-</v>
      </c>
      <c r="JM74" s="75">
        <f t="shared" ca="1" si="310"/>
        <v>0</v>
      </c>
      <c r="JN74" s="75">
        <f t="shared" ca="1" si="311"/>
        <v>0</v>
      </c>
      <c r="JO74" s="74" t="str">
        <f t="shared" ca="1" si="517"/>
        <v>-</v>
      </c>
      <c r="JP74" s="74">
        <f t="shared" ca="1" si="518"/>
        <v>0</v>
      </c>
    </row>
    <row r="75" spans="1:276" s="1" customFormat="1" x14ac:dyDescent="0.35">
      <c r="A75" s="125">
        <v>1</v>
      </c>
      <c r="B75" s="125">
        <v>1</v>
      </c>
      <c r="C75" s="125">
        <v>1</v>
      </c>
      <c r="D75" s="163"/>
      <c r="E75" s="142" t="s">
        <v>154</v>
      </c>
      <c r="F75" s="208" t="s">
        <v>155</v>
      </c>
      <c r="G75" s="209" t="s">
        <v>530</v>
      </c>
      <c r="H75" s="210" t="s">
        <v>533</v>
      </c>
      <c r="I75" s="8" t="s">
        <v>534</v>
      </c>
      <c r="J75" s="211" t="s">
        <v>805</v>
      </c>
      <c r="K75" s="215" t="s">
        <v>805</v>
      </c>
      <c r="L75" s="215" t="s">
        <v>805</v>
      </c>
      <c r="M75" s="215" t="s">
        <v>805</v>
      </c>
      <c r="N75" s="215" t="s">
        <v>805</v>
      </c>
      <c r="O75" s="215" t="s">
        <v>805</v>
      </c>
      <c r="P75" s="215" t="s">
        <v>805</v>
      </c>
      <c r="Q75" s="215" t="s">
        <v>805</v>
      </c>
      <c r="R75" s="215" t="s">
        <v>805</v>
      </c>
      <c r="S75" s="215" t="s">
        <v>805</v>
      </c>
      <c r="T75" s="215" t="s">
        <v>805</v>
      </c>
      <c r="U75" s="215" t="s">
        <v>805</v>
      </c>
      <c r="V75" s="215" t="s">
        <v>805</v>
      </c>
      <c r="W75" s="215" t="s">
        <v>805</v>
      </c>
      <c r="X75" s="215" t="s">
        <v>805</v>
      </c>
      <c r="Y75" s="215" t="s">
        <v>805</v>
      </c>
      <c r="Z75" s="215" t="s">
        <v>805</v>
      </c>
      <c r="AA75" s="215" t="s">
        <v>805</v>
      </c>
      <c r="AB75" s="215" t="s">
        <v>805</v>
      </c>
      <c r="AC75" s="215" t="s">
        <v>805</v>
      </c>
      <c r="AD75" s="215" t="s">
        <v>805</v>
      </c>
      <c r="AE75" s="215" t="s">
        <v>805</v>
      </c>
      <c r="AF75" s="215" t="s">
        <v>805</v>
      </c>
      <c r="AG75" s="215" t="s">
        <v>805</v>
      </c>
      <c r="AH75" s="215" t="s">
        <v>805</v>
      </c>
      <c r="AI75" s="215" t="s">
        <v>805</v>
      </c>
      <c r="AJ75" s="215" t="s">
        <v>805</v>
      </c>
      <c r="AK75" s="215" t="s">
        <v>805</v>
      </c>
      <c r="AL75" s="215" t="s">
        <v>805</v>
      </c>
      <c r="AM75" s="215" t="s">
        <v>805</v>
      </c>
      <c r="AN75" s="215" t="s">
        <v>805</v>
      </c>
      <c r="AO75" s="215" t="s">
        <v>805</v>
      </c>
      <c r="AP75" s="215" t="s">
        <v>805</v>
      </c>
      <c r="AQ75" s="215" t="s">
        <v>805</v>
      </c>
      <c r="AR75" s="215" t="s">
        <v>805</v>
      </c>
      <c r="AS75" s="215" t="s">
        <v>805</v>
      </c>
      <c r="AT75" s="215" t="s">
        <v>805</v>
      </c>
      <c r="AU75" s="215" t="s">
        <v>805</v>
      </c>
      <c r="AV75" s="215" t="s">
        <v>805</v>
      </c>
      <c r="AW75" s="215" t="s">
        <v>805</v>
      </c>
      <c r="AX75" s="215" t="s">
        <v>805</v>
      </c>
      <c r="AY75" s="215" t="s">
        <v>805</v>
      </c>
      <c r="AZ75" s="215" t="s">
        <v>805</v>
      </c>
      <c r="BA75" s="215" t="s">
        <v>805</v>
      </c>
      <c r="BB75" s="215" t="s">
        <v>805</v>
      </c>
      <c r="BC75" s="215" t="s">
        <v>805</v>
      </c>
      <c r="BD75" s="215" t="s">
        <v>805</v>
      </c>
      <c r="BE75" s="215" t="s">
        <v>805</v>
      </c>
      <c r="BF75" s="215" t="s">
        <v>805</v>
      </c>
      <c r="BG75" s="215" t="s">
        <v>805</v>
      </c>
      <c r="BH75" s="215" t="s">
        <v>805</v>
      </c>
      <c r="BI75" s="215" t="s">
        <v>805</v>
      </c>
      <c r="BJ75" s="215" t="s">
        <v>805</v>
      </c>
      <c r="BK75" s="215" t="s">
        <v>805</v>
      </c>
      <c r="BL75" s="215" t="s">
        <v>805</v>
      </c>
      <c r="BM75" s="215" t="s">
        <v>805</v>
      </c>
      <c r="BN75" s="215" t="s">
        <v>805</v>
      </c>
      <c r="BO75" s="215" t="s">
        <v>805</v>
      </c>
      <c r="BP75" s="215" t="s">
        <v>805</v>
      </c>
      <c r="BQ75" s="215" t="s">
        <v>805</v>
      </c>
      <c r="BR75" s="215" t="s">
        <v>805</v>
      </c>
      <c r="BS75" s="215" t="s">
        <v>805</v>
      </c>
      <c r="BT75" s="215" t="s">
        <v>805</v>
      </c>
      <c r="BU75" s="215" t="s">
        <v>805</v>
      </c>
      <c r="BV75" s="215" t="s">
        <v>805</v>
      </c>
      <c r="BW75" s="215" t="s">
        <v>805</v>
      </c>
      <c r="BX75" s="215" t="s">
        <v>805</v>
      </c>
      <c r="BY75" s="215" t="s">
        <v>805</v>
      </c>
      <c r="BZ75" s="215" t="s">
        <v>805</v>
      </c>
      <c r="CA75" s="215" t="s">
        <v>805</v>
      </c>
      <c r="CB75" s="215" t="s">
        <v>805</v>
      </c>
      <c r="CC75" s="215" t="s">
        <v>805</v>
      </c>
      <c r="CD75" s="215" t="s">
        <v>805</v>
      </c>
      <c r="CE75" s="215" t="s">
        <v>805</v>
      </c>
      <c r="CF75" s="215" t="s">
        <v>805</v>
      </c>
      <c r="CG75" s="215" t="s">
        <v>805</v>
      </c>
      <c r="CH75" s="215" t="s">
        <v>805</v>
      </c>
      <c r="CI75" s="215" t="s">
        <v>805</v>
      </c>
      <c r="CJ75" s="215" t="s">
        <v>805</v>
      </c>
      <c r="CK75" s="215" t="s">
        <v>805</v>
      </c>
      <c r="CL75" s="215" t="s">
        <v>805</v>
      </c>
      <c r="CM75" s="215" t="s">
        <v>805</v>
      </c>
      <c r="CN75" s="215" t="s">
        <v>805</v>
      </c>
      <c r="CO75" s="215" t="s">
        <v>805</v>
      </c>
      <c r="CP75" s="215" t="s">
        <v>805</v>
      </c>
      <c r="CQ75" s="215" t="s">
        <v>805</v>
      </c>
      <c r="CR75" s="215" t="s">
        <v>805</v>
      </c>
      <c r="CS75" s="215" t="s">
        <v>805</v>
      </c>
      <c r="CT75" s="215" t="s">
        <v>805</v>
      </c>
      <c r="CU75" s="215" t="s">
        <v>805</v>
      </c>
      <c r="CV75" s="215" t="s">
        <v>805</v>
      </c>
      <c r="CW75" s="215" t="s">
        <v>805</v>
      </c>
      <c r="CX75" s="215" t="s">
        <v>805</v>
      </c>
      <c r="CY75" s="215" t="s">
        <v>805</v>
      </c>
      <c r="CZ75" s="215" t="s">
        <v>805</v>
      </c>
      <c r="DA75" s="215" t="s">
        <v>805</v>
      </c>
      <c r="DB75" s="215" t="s">
        <v>805</v>
      </c>
      <c r="DC75" s="215" t="s">
        <v>805</v>
      </c>
      <c r="DD75" s="215" t="s">
        <v>805</v>
      </c>
      <c r="DE75" s="215" t="s">
        <v>805</v>
      </c>
      <c r="DF75" s="215" t="s">
        <v>805</v>
      </c>
      <c r="DG75" s="212">
        <f>VLOOKUP(E75,'KPI Count-SHARE'!A:F,3,0)</f>
        <v>3</v>
      </c>
      <c r="DH75" s="213">
        <v>-5.2619390322146541E-2</v>
      </c>
      <c r="DI75" s="216" t="s">
        <v>805</v>
      </c>
      <c r="DJ75" s="216" t="s">
        <v>805</v>
      </c>
      <c r="DK75" s="216" t="s">
        <v>805</v>
      </c>
      <c r="DL75" s="216" t="s">
        <v>805</v>
      </c>
      <c r="DM75" s="216" t="s">
        <v>805</v>
      </c>
      <c r="DN75" s="212">
        <f>VLOOKUP(E75,'KPI Count-SHARE'!A:F,4,0)</f>
        <v>0</v>
      </c>
      <c r="DO75" s="213"/>
      <c r="DP75" s="216"/>
      <c r="DQ75" s="216"/>
      <c r="DR75" s="216"/>
      <c r="DS75" s="216"/>
      <c r="DT75" s="216"/>
      <c r="DU75" s="212">
        <f>VLOOKUP(E75,'KPI Count-SHARE'!A:F,5,0)</f>
        <v>0</v>
      </c>
      <c r="DV75" s="213"/>
      <c r="DW75" s="216"/>
      <c r="DX75" s="216"/>
      <c r="DY75" s="216"/>
      <c r="DZ75" s="216"/>
      <c r="EA75" s="216"/>
      <c r="EB75" s="212">
        <f>VLOOKUP(E75,'KPI Count-SHARE'!A:F,6,0)</f>
        <v>0</v>
      </c>
      <c r="EC75" s="213"/>
      <c r="ED75" s="216"/>
      <c r="EE75" s="216"/>
      <c r="EF75" s="216"/>
      <c r="EG75" s="216"/>
      <c r="EH75" s="216"/>
      <c r="EI75" s="214" t="s">
        <v>533</v>
      </c>
      <c r="EJ75" s="39" t="str">
        <f t="shared" si="481"/>
        <v/>
      </c>
      <c r="EK75" s="39" t="str">
        <f t="shared" si="482"/>
        <v/>
      </c>
      <c r="EL75" s="39" t="str">
        <f t="shared" si="483"/>
        <v/>
      </c>
      <c r="EM75" s="39" t="str">
        <f t="shared" si="484"/>
        <v/>
      </c>
      <c r="EN75" s="39" t="str">
        <f t="shared" si="485"/>
        <v/>
      </c>
      <c r="EO75" s="39" t="str">
        <f t="shared" si="486"/>
        <v/>
      </c>
      <c r="EP75" s="39" t="str">
        <f t="shared" si="487"/>
        <v/>
      </c>
      <c r="EQ75" s="39" t="str">
        <f t="shared" si="488"/>
        <v/>
      </c>
      <c r="ER75" s="39" t="str">
        <f t="shared" si="489"/>
        <v/>
      </c>
      <c r="ES75" s="39" t="str">
        <f t="shared" si="490"/>
        <v/>
      </c>
      <c r="ET75" s="39" t="str">
        <f t="shared" si="491"/>
        <v/>
      </c>
      <c r="EU75" s="39" t="str">
        <f t="shared" si="344"/>
        <v/>
      </c>
      <c r="EV75" s="39" t="str">
        <f t="shared" si="345"/>
        <v/>
      </c>
      <c r="EW75" s="39" t="str">
        <f t="shared" si="346"/>
        <v/>
      </c>
      <c r="EX75" s="39" t="str">
        <f t="shared" si="347"/>
        <v/>
      </c>
      <c r="EY75" s="39" t="str">
        <f t="shared" si="348"/>
        <v/>
      </c>
      <c r="EZ75" s="39" t="str">
        <f t="shared" si="349"/>
        <v/>
      </c>
      <c r="FA75" s="39" t="str">
        <f t="shared" si="350"/>
        <v/>
      </c>
      <c r="FB75" s="39" t="str">
        <f t="shared" si="351"/>
        <v/>
      </c>
      <c r="FC75" s="39" t="str">
        <f t="shared" si="352"/>
        <v/>
      </c>
      <c r="FD75" s="39" t="str">
        <f t="shared" si="353"/>
        <v/>
      </c>
      <c r="FE75" s="39" t="str">
        <f t="shared" si="354"/>
        <v/>
      </c>
      <c r="FF75" s="39" t="str">
        <f t="shared" si="355"/>
        <v/>
      </c>
      <c r="FG75" s="39" t="str">
        <f t="shared" si="356"/>
        <v/>
      </c>
      <c r="FH75" s="39" t="str">
        <f t="shared" si="357"/>
        <v/>
      </c>
      <c r="FI75" s="39" t="str">
        <f t="shared" si="358"/>
        <v/>
      </c>
      <c r="FJ75" s="39" t="str">
        <f t="shared" si="359"/>
        <v/>
      </c>
      <c r="FK75" s="39" t="str">
        <f t="shared" si="360"/>
        <v/>
      </c>
      <c r="FL75" s="39" t="str">
        <f t="shared" si="361"/>
        <v/>
      </c>
      <c r="FM75" s="39" t="str">
        <f t="shared" si="362"/>
        <v/>
      </c>
      <c r="FN75" s="39" t="str">
        <f t="shared" si="363"/>
        <v/>
      </c>
      <c r="FO75" s="39" t="str">
        <f t="shared" si="364"/>
        <v/>
      </c>
      <c r="FP75" s="39" t="str">
        <f t="shared" si="365"/>
        <v/>
      </c>
      <c r="FQ75" s="39" t="str">
        <f t="shared" si="366"/>
        <v/>
      </c>
      <c r="FR75" s="39" t="str">
        <f t="shared" si="367"/>
        <v/>
      </c>
      <c r="FS75" s="39" t="str">
        <f t="shared" si="368"/>
        <v/>
      </c>
      <c r="FT75" s="39" t="str">
        <f t="shared" si="369"/>
        <v/>
      </c>
      <c r="FU75" s="39" t="str">
        <f t="shared" si="370"/>
        <v/>
      </c>
      <c r="FV75" s="39" t="str">
        <f t="shared" si="371"/>
        <v/>
      </c>
      <c r="FW75" s="39" t="str">
        <f t="shared" si="372"/>
        <v/>
      </c>
      <c r="FX75" s="39" t="str">
        <f t="shared" si="373"/>
        <v/>
      </c>
      <c r="FY75" s="39" t="str">
        <f t="shared" si="374"/>
        <v/>
      </c>
      <c r="FZ75" s="39" t="str">
        <f t="shared" si="375"/>
        <v/>
      </c>
      <c r="GA75" s="39" t="str">
        <f t="shared" si="376"/>
        <v/>
      </c>
      <c r="GB75" s="39" t="str">
        <f t="shared" si="377"/>
        <v/>
      </c>
      <c r="GC75" s="39" t="str">
        <f t="shared" si="378"/>
        <v/>
      </c>
      <c r="GD75" s="39" t="str">
        <f t="shared" si="379"/>
        <v/>
      </c>
      <c r="GE75" s="39" t="str">
        <f t="shared" si="380"/>
        <v/>
      </c>
      <c r="GF75" s="39" t="str">
        <f t="shared" si="381"/>
        <v/>
      </c>
      <c r="GG75" s="39" t="str">
        <f t="shared" si="382"/>
        <v/>
      </c>
      <c r="GH75" s="39" t="str">
        <f t="shared" si="383"/>
        <v/>
      </c>
      <c r="GI75" s="39" t="str">
        <f t="shared" si="384"/>
        <v/>
      </c>
      <c r="GJ75" s="39" t="str">
        <f t="shared" si="385"/>
        <v/>
      </c>
      <c r="GK75" s="39" t="str">
        <f t="shared" si="386"/>
        <v/>
      </c>
      <c r="GL75" s="39" t="str">
        <f t="shared" si="387"/>
        <v/>
      </c>
      <c r="GM75" s="39" t="str">
        <f t="shared" si="388"/>
        <v/>
      </c>
      <c r="GN75" s="39" t="str">
        <f t="shared" si="389"/>
        <v/>
      </c>
      <c r="GO75" s="39" t="str">
        <f t="shared" si="390"/>
        <v/>
      </c>
      <c r="GP75" s="39" t="str">
        <f t="shared" si="391"/>
        <v/>
      </c>
      <c r="GQ75" s="39" t="str">
        <f t="shared" si="392"/>
        <v/>
      </c>
      <c r="GR75" s="39" t="str">
        <f t="shared" si="393"/>
        <v/>
      </c>
      <c r="GS75" s="39" t="str">
        <f t="shared" si="394"/>
        <v/>
      </c>
      <c r="GT75" s="39" t="str">
        <f t="shared" si="395"/>
        <v/>
      </c>
      <c r="GU75" s="39" t="str">
        <f t="shared" si="396"/>
        <v/>
      </c>
      <c r="GV75" s="39" t="str">
        <f t="shared" si="397"/>
        <v/>
      </c>
      <c r="GW75" s="39" t="str">
        <f t="shared" si="398"/>
        <v/>
      </c>
      <c r="GX75" s="39" t="str">
        <f t="shared" si="399"/>
        <v/>
      </c>
      <c r="GY75" s="39" t="str">
        <f t="shared" si="400"/>
        <v/>
      </c>
      <c r="GZ75" s="39" t="str">
        <f t="shared" si="401"/>
        <v/>
      </c>
      <c r="HA75" s="39" t="str">
        <f t="shared" si="402"/>
        <v/>
      </c>
      <c r="HB75" s="39" t="str">
        <f t="shared" si="403"/>
        <v/>
      </c>
      <c r="HC75" s="39" t="str">
        <f t="shared" si="404"/>
        <v/>
      </c>
      <c r="HD75" s="39" t="str">
        <f t="shared" si="405"/>
        <v/>
      </c>
      <c r="HE75" s="39" t="str">
        <f t="shared" si="406"/>
        <v/>
      </c>
      <c r="HF75" s="39" t="str">
        <f t="shared" si="407"/>
        <v/>
      </c>
      <c r="HG75" s="39" t="str">
        <f t="shared" si="408"/>
        <v/>
      </c>
      <c r="HH75" s="39" t="str">
        <f t="shared" si="409"/>
        <v/>
      </c>
      <c r="HI75" s="39" t="str">
        <f t="shared" si="410"/>
        <v/>
      </c>
      <c r="HJ75" s="39" t="str">
        <f t="shared" si="411"/>
        <v/>
      </c>
      <c r="HK75" s="39" t="str">
        <f t="shared" si="412"/>
        <v/>
      </c>
      <c r="HL75" s="39" t="str">
        <f t="shared" si="413"/>
        <v/>
      </c>
      <c r="HM75" s="39" t="str">
        <f t="shared" si="414"/>
        <v/>
      </c>
      <c r="HN75" s="39" t="str">
        <f t="shared" si="415"/>
        <v/>
      </c>
      <c r="HO75" s="39" t="str">
        <f t="shared" si="416"/>
        <v/>
      </c>
      <c r="HP75" s="39" t="str">
        <f t="shared" si="417"/>
        <v/>
      </c>
      <c r="HQ75" s="39" t="str">
        <f t="shared" si="418"/>
        <v/>
      </c>
      <c r="HR75" s="39" t="str">
        <f t="shared" si="419"/>
        <v/>
      </c>
      <c r="HS75" s="39" t="str">
        <f t="shared" si="420"/>
        <v/>
      </c>
      <c r="HT75" s="39" t="str">
        <f t="shared" si="421"/>
        <v/>
      </c>
      <c r="HU75" s="39" t="str">
        <f t="shared" si="422"/>
        <v/>
      </c>
      <c r="HV75" s="39" t="str">
        <f t="shared" si="423"/>
        <v/>
      </c>
      <c r="HW75" s="39" t="str">
        <f t="shared" si="424"/>
        <v/>
      </c>
      <c r="HX75" s="39" t="str">
        <f t="shared" si="425"/>
        <v/>
      </c>
      <c r="HY75" s="39" t="str">
        <f t="shared" si="426"/>
        <v/>
      </c>
      <c r="HZ75" s="39" t="str">
        <f t="shared" si="427"/>
        <v/>
      </c>
      <c r="IA75" s="39" t="str">
        <f t="shared" si="428"/>
        <v/>
      </c>
      <c r="IB75" s="39" t="str">
        <f t="shared" si="429"/>
        <v/>
      </c>
      <c r="IC75" s="39" t="str">
        <f t="shared" si="430"/>
        <v/>
      </c>
      <c r="ID75" s="39" t="str">
        <f t="shared" si="431"/>
        <v/>
      </c>
      <c r="IE75" s="39" t="str">
        <f t="shared" si="432"/>
        <v/>
      </c>
      <c r="IF75" s="39" t="str">
        <f t="shared" si="433"/>
        <v/>
      </c>
      <c r="IG75" s="308">
        <f t="shared" si="434"/>
        <v>-5.2619390322146541E-2</v>
      </c>
      <c r="IH75" s="84" t="str">
        <f t="shared" si="492"/>
        <v/>
      </c>
      <c r="II75" s="84" t="str">
        <f t="shared" si="493"/>
        <v/>
      </c>
      <c r="IJ75" s="84" t="str">
        <f t="shared" si="494"/>
        <v/>
      </c>
      <c r="IK75" s="84" t="str">
        <f t="shared" si="495"/>
        <v/>
      </c>
      <c r="IL75" s="84" t="str">
        <f t="shared" si="496"/>
        <v/>
      </c>
      <c r="IM75" s="308" t="str">
        <f t="shared" si="440"/>
        <v/>
      </c>
      <c r="IN75" s="84" t="str">
        <f t="shared" si="497"/>
        <v/>
      </c>
      <c r="IO75" s="84" t="str">
        <f t="shared" si="498"/>
        <v/>
      </c>
      <c r="IP75" s="84" t="str">
        <f t="shared" si="499"/>
        <v/>
      </c>
      <c r="IQ75" s="84" t="str">
        <f t="shared" si="500"/>
        <v/>
      </c>
      <c r="IR75" s="84" t="str">
        <f t="shared" si="501"/>
        <v/>
      </c>
      <c r="IS75" s="308" t="str">
        <f t="shared" si="446"/>
        <v/>
      </c>
      <c r="IT75" s="84" t="str">
        <f t="shared" si="502"/>
        <v/>
      </c>
      <c r="IU75" s="84" t="str">
        <f t="shared" si="503"/>
        <v/>
      </c>
      <c r="IV75" s="84" t="str">
        <f t="shared" si="504"/>
        <v/>
      </c>
      <c r="IW75" s="84" t="str">
        <f t="shared" si="505"/>
        <v/>
      </c>
      <c r="IX75" s="84" t="str">
        <f t="shared" si="506"/>
        <v/>
      </c>
      <c r="IY75" s="308" t="str">
        <f t="shared" si="452"/>
        <v/>
      </c>
      <c r="IZ75" s="84" t="str">
        <f t="shared" si="507"/>
        <v/>
      </c>
      <c r="JA75" s="84" t="str">
        <f t="shared" si="508"/>
        <v/>
      </c>
      <c r="JB75" s="84" t="str">
        <f t="shared" si="509"/>
        <v/>
      </c>
      <c r="JC75" s="84" t="str">
        <f t="shared" si="510"/>
        <v/>
      </c>
      <c r="JD75" s="309" t="str">
        <f t="shared" si="511"/>
        <v/>
      </c>
      <c r="JF75" s="66">
        <f t="shared" si="224"/>
        <v>75</v>
      </c>
      <c r="JG75" s="66">
        <f t="shared" ca="1" si="512"/>
        <v>0</v>
      </c>
      <c r="JH75" s="66">
        <f t="shared" ca="1" si="513"/>
        <v>0</v>
      </c>
      <c r="JI75" s="66">
        <f t="shared" ca="1" si="514"/>
        <v>0</v>
      </c>
      <c r="JJ75" s="66">
        <f t="shared" ca="1" si="515"/>
        <v>3</v>
      </c>
      <c r="JK75" s="33"/>
      <c r="JL75" s="74" t="str">
        <f t="shared" ca="1" si="516"/>
        <v>-</v>
      </c>
      <c r="JM75" s="75">
        <f t="shared" ca="1" si="310"/>
        <v>0</v>
      </c>
      <c r="JN75" s="75">
        <f t="shared" ca="1" si="311"/>
        <v>0</v>
      </c>
      <c r="JO75" s="74" t="str">
        <f t="shared" ca="1" si="517"/>
        <v>-</v>
      </c>
      <c r="JP75" s="74">
        <f t="shared" ca="1" si="518"/>
        <v>0</v>
      </c>
    </row>
    <row r="76" spans="1:276" s="1" customFormat="1" x14ac:dyDescent="0.35">
      <c r="A76" s="125">
        <v>1</v>
      </c>
      <c r="B76" s="125">
        <v>1</v>
      </c>
      <c r="C76" s="125">
        <v>1</v>
      </c>
      <c r="D76" s="163"/>
      <c r="E76" s="142" t="s">
        <v>156</v>
      </c>
      <c r="F76" s="208" t="s">
        <v>157</v>
      </c>
      <c r="G76" s="209" t="s">
        <v>530</v>
      </c>
      <c r="H76" s="210" t="s">
        <v>533</v>
      </c>
      <c r="I76" s="8" t="s">
        <v>534</v>
      </c>
      <c r="J76" s="211" t="s">
        <v>805</v>
      </c>
      <c r="K76" s="215" t="s">
        <v>805</v>
      </c>
      <c r="L76" s="215" t="s">
        <v>805</v>
      </c>
      <c r="M76" s="215" t="s">
        <v>805</v>
      </c>
      <c r="N76" s="215" t="s">
        <v>805</v>
      </c>
      <c r="O76" s="215" t="s">
        <v>805</v>
      </c>
      <c r="P76" s="215" t="s">
        <v>805</v>
      </c>
      <c r="Q76" s="215" t="s">
        <v>805</v>
      </c>
      <c r="R76" s="215" t="s">
        <v>805</v>
      </c>
      <c r="S76" s="215" t="s">
        <v>805</v>
      </c>
      <c r="T76" s="215" t="s">
        <v>805</v>
      </c>
      <c r="U76" s="215" t="s">
        <v>805</v>
      </c>
      <c r="V76" s="215" t="s">
        <v>805</v>
      </c>
      <c r="W76" s="215" t="s">
        <v>805</v>
      </c>
      <c r="X76" s="215" t="s">
        <v>805</v>
      </c>
      <c r="Y76" s="215" t="s">
        <v>805</v>
      </c>
      <c r="Z76" s="215" t="s">
        <v>805</v>
      </c>
      <c r="AA76" s="215" t="s">
        <v>805</v>
      </c>
      <c r="AB76" s="215" t="s">
        <v>805</v>
      </c>
      <c r="AC76" s="215" t="s">
        <v>805</v>
      </c>
      <c r="AD76" s="215" t="s">
        <v>805</v>
      </c>
      <c r="AE76" s="215" t="s">
        <v>805</v>
      </c>
      <c r="AF76" s="215" t="s">
        <v>805</v>
      </c>
      <c r="AG76" s="215" t="s">
        <v>805</v>
      </c>
      <c r="AH76" s="215" t="s">
        <v>805</v>
      </c>
      <c r="AI76" s="215" t="s">
        <v>805</v>
      </c>
      <c r="AJ76" s="215" t="s">
        <v>805</v>
      </c>
      <c r="AK76" s="215" t="s">
        <v>805</v>
      </c>
      <c r="AL76" s="215" t="s">
        <v>805</v>
      </c>
      <c r="AM76" s="215" t="s">
        <v>805</v>
      </c>
      <c r="AN76" s="215" t="s">
        <v>805</v>
      </c>
      <c r="AO76" s="215" t="s">
        <v>805</v>
      </c>
      <c r="AP76" s="215" t="s">
        <v>805</v>
      </c>
      <c r="AQ76" s="215" t="s">
        <v>805</v>
      </c>
      <c r="AR76" s="215" t="s">
        <v>805</v>
      </c>
      <c r="AS76" s="215" t="s">
        <v>805</v>
      </c>
      <c r="AT76" s="215" t="s">
        <v>805</v>
      </c>
      <c r="AU76" s="215" t="s">
        <v>805</v>
      </c>
      <c r="AV76" s="215" t="s">
        <v>805</v>
      </c>
      <c r="AW76" s="215" t="s">
        <v>805</v>
      </c>
      <c r="AX76" s="215" t="s">
        <v>805</v>
      </c>
      <c r="AY76" s="215" t="s">
        <v>805</v>
      </c>
      <c r="AZ76" s="215" t="s">
        <v>805</v>
      </c>
      <c r="BA76" s="215" t="s">
        <v>805</v>
      </c>
      <c r="BB76" s="215" t="s">
        <v>805</v>
      </c>
      <c r="BC76" s="215" t="s">
        <v>805</v>
      </c>
      <c r="BD76" s="215" t="s">
        <v>805</v>
      </c>
      <c r="BE76" s="215" t="s">
        <v>805</v>
      </c>
      <c r="BF76" s="215" t="s">
        <v>805</v>
      </c>
      <c r="BG76" s="215" t="s">
        <v>805</v>
      </c>
      <c r="BH76" s="215" t="s">
        <v>805</v>
      </c>
      <c r="BI76" s="215" t="s">
        <v>805</v>
      </c>
      <c r="BJ76" s="215" t="s">
        <v>805</v>
      </c>
      <c r="BK76" s="215" t="s">
        <v>805</v>
      </c>
      <c r="BL76" s="215" t="s">
        <v>805</v>
      </c>
      <c r="BM76" s="215" t="s">
        <v>805</v>
      </c>
      <c r="BN76" s="215" t="s">
        <v>805</v>
      </c>
      <c r="BO76" s="215" t="s">
        <v>805</v>
      </c>
      <c r="BP76" s="215" t="s">
        <v>805</v>
      </c>
      <c r="BQ76" s="215" t="s">
        <v>805</v>
      </c>
      <c r="BR76" s="215" t="s">
        <v>805</v>
      </c>
      <c r="BS76" s="215" t="s">
        <v>805</v>
      </c>
      <c r="BT76" s="215" t="s">
        <v>805</v>
      </c>
      <c r="BU76" s="215" t="s">
        <v>805</v>
      </c>
      <c r="BV76" s="215" t="s">
        <v>805</v>
      </c>
      <c r="BW76" s="215" t="s">
        <v>805</v>
      </c>
      <c r="BX76" s="215" t="s">
        <v>805</v>
      </c>
      <c r="BY76" s="215" t="s">
        <v>805</v>
      </c>
      <c r="BZ76" s="215" t="s">
        <v>805</v>
      </c>
      <c r="CA76" s="215" t="s">
        <v>805</v>
      </c>
      <c r="CB76" s="215" t="s">
        <v>805</v>
      </c>
      <c r="CC76" s="215" t="s">
        <v>805</v>
      </c>
      <c r="CD76" s="215" t="s">
        <v>805</v>
      </c>
      <c r="CE76" s="215" t="s">
        <v>805</v>
      </c>
      <c r="CF76" s="215" t="s">
        <v>805</v>
      </c>
      <c r="CG76" s="215" t="s">
        <v>805</v>
      </c>
      <c r="CH76" s="215" t="s">
        <v>805</v>
      </c>
      <c r="CI76" s="215" t="s">
        <v>805</v>
      </c>
      <c r="CJ76" s="215" t="s">
        <v>805</v>
      </c>
      <c r="CK76" s="215" t="s">
        <v>805</v>
      </c>
      <c r="CL76" s="215" t="s">
        <v>805</v>
      </c>
      <c r="CM76" s="215" t="s">
        <v>805</v>
      </c>
      <c r="CN76" s="215" t="s">
        <v>805</v>
      </c>
      <c r="CO76" s="215" t="s">
        <v>805</v>
      </c>
      <c r="CP76" s="215" t="s">
        <v>805</v>
      </c>
      <c r="CQ76" s="215" t="s">
        <v>805</v>
      </c>
      <c r="CR76" s="215" t="s">
        <v>805</v>
      </c>
      <c r="CS76" s="215" t="s">
        <v>805</v>
      </c>
      <c r="CT76" s="215" t="s">
        <v>805</v>
      </c>
      <c r="CU76" s="215" t="s">
        <v>805</v>
      </c>
      <c r="CV76" s="215" t="s">
        <v>805</v>
      </c>
      <c r="CW76" s="215" t="s">
        <v>805</v>
      </c>
      <c r="CX76" s="215" t="s">
        <v>805</v>
      </c>
      <c r="CY76" s="215" t="s">
        <v>805</v>
      </c>
      <c r="CZ76" s="215" t="s">
        <v>805</v>
      </c>
      <c r="DA76" s="215" t="s">
        <v>805</v>
      </c>
      <c r="DB76" s="215" t="s">
        <v>805</v>
      </c>
      <c r="DC76" s="215" t="s">
        <v>805</v>
      </c>
      <c r="DD76" s="215" t="s">
        <v>805</v>
      </c>
      <c r="DE76" s="215" t="s">
        <v>805</v>
      </c>
      <c r="DF76" s="215" t="s">
        <v>805</v>
      </c>
      <c r="DG76" s="212">
        <f>VLOOKUP(E76,'KPI Count-SHARE'!A:F,3,0)</f>
        <v>0</v>
      </c>
      <c r="DH76" s="213" t="s">
        <v>805</v>
      </c>
      <c r="DI76" s="216" t="s">
        <v>805</v>
      </c>
      <c r="DJ76" s="216" t="s">
        <v>805</v>
      </c>
      <c r="DK76" s="216" t="s">
        <v>805</v>
      </c>
      <c r="DL76" s="216" t="s">
        <v>805</v>
      </c>
      <c r="DM76" s="216" t="s">
        <v>805</v>
      </c>
      <c r="DN76" s="212">
        <f>VLOOKUP(E76,'KPI Count-SHARE'!A:F,4,0)</f>
        <v>0</v>
      </c>
      <c r="DO76" s="213"/>
      <c r="DP76" s="216"/>
      <c r="DQ76" s="216"/>
      <c r="DR76" s="216"/>
      <c r="DS76" s="216"/>
      <c r="DT76" s="216"/>
      <c r="DU76" s="212">
        <f>VLOOKUP(E76,'KPI Count-SHARE'!A:F,5,0)</f>
        <v>0</v>
      </c>
      <c r="DV76" s="213"/>
      <c r="DW76" s="216"/>
      <c r="DX76" s="216"/>
      <c r="DY76" s="216"/>
      <c r="DZ76" s="216"/>
      <c r="EA76" s="216"/>
      <c r="EB76" s="212">
        <f>VLOOKUP(E76,'KPI Count-SHARE'!A:F,6,0)</f>
        <v>0</v>
      </c>
      <c r="EC76" s="213"/>
      <c r="ED76" s="216"/>
      <c r="EE76" s="216"/>
      <c r="EF76" s="216"/>
      <c r="EG76" s="216"/>
      <c r="EH76" s="216"/>
      <c r="EI76" s="214" t="s">
        <v>533</v>
      </c>
      <c r="EJ76" s="39" t="str">
        <f t="shared" si="481"/>
        <v/>
      </c>
      <c r="EK76" s="39" t="str">
        <f t="shared" si="482"/>
        <v/>
      </c>
      <c r="EL76" s="39" t="str">
        <f t="shared" si="483"/>
        <v/>
      </c>
      <c r="EM76" s="39" t="str">
        <f t="shared" si="484"/>
        <v/>
      </c>
      <c r="EN76" s="39" t="str">
        <f t="shared" si="485"/>
        <v/>
      </c>
      <c r="EO76" s="39" t="str">
        <f t="shared" si="486"/>
        <v/>
      </c>
      <c r="EP76" s="39" t="str">
        <f t="shared" si="487"/>
        <v/>
      </c>
      <c r="EQ76" s="39" t="str">
        <f t="shared" si="488"/>
        <v/>
      </c>
      <c r="ER76" s="39" t="str">
        <f t="shared" si="489"/>
        <v/>
      </c>
      <c r="ES76" s="39" t="str">
        <f t="shared" si="490"/>
        <v/>
      </c>
      <c r="ET76" s="39" t="str">
        <f t="shared" si="491"/>
        <v/>
      </c>
      <c r="EU76" s="39" t="str">
        <f t="shared" si="344"/>
        <v/>
      </c>
      <c r="EV76" s="39" t="str">
        <f t="shared" si="345"/>
        <v/>
      </c>
      <c r="EW76" s="39" t="str">
        <f t="shared" si="346"/>
        <v/>
      </c>
      <c r="EX76" s="39" t="str">
        <f t="shared" si="347"/>
        <v/>
      </c>
      <c r="EY76" s="39" t="str">
        <f t="shared" si="348"/>
        <v/>
      </c>
      <c r="EZ76" s="39" t="str">
        <f t="shared" si="349"/>
        <v/>
      </c>
      <c r="FA76" s="39" t="str">
        <f t="shared" si="350"/>
        <v/>
      </c>
      <c r="FB76" s="39" t="str">
        <f t="shared" si="351"/>
        <v/>
      </c>
      <c r="FC76" s="39" t="str">
        <f t="shared" si="352"/>
        <v/>
      </c>
      <c r="FD76" s="39" t="str">
        <f t="shared" si="353"/>
        <v/>
      </c>
      <c r="FE76" s="39" t="str">
        <f t="shared" si="354"/>
        <v/>
      </c>
      <c r="FF76" s="39" t="str">
        <f t="shared" si="355"/>
        <v/>
      </c>
      <c r="FG76" s="39" t="str">
        <f t="shared" si="356"/>
        <v/>
      </c>
      <c r="FH76" s="39" t="str">
        <f t="shared" si="357"/>
        <v/>
      </c>
      <c r="FI76" s="39" t="str">
        <f t="shared" si="358"/>
        <v/>
      </c>
      <c r="FJ76" s="39" t="str">
        <f t="shared" si="359"/>
        <v/>
      </c>
      <c r="FK76" s="39" t="str">
        <f t="shared" si="360"/>
        <v/>
      </c>
      <c r="FL76" s="39" t="str">
        <f t="shared" si="361"/>
        <v/>
      </c>
      <c r="FM76" s="39" t="str">
        <f t="shared" si="362"/>
        <v/>
      </c>
      <c r="FN76" s="39" t="str">
        <f t="shared" si="363"/>
        <v/>
      </c>
      <c r="FO76" s="39" t="str">
        <f t="shared" si="364"/>
        <v/>
      </c>
      <c r="FP76" s="39" t="str">
        <f t="shared" si="365"/>
        <v/>
      </c>
      <c r="FQ76" s="39" t="str">
        <f t="shared" si="366"/>
        <v/>
      </c>
      <c r="FR76" s="39" t="str">
        <f t="shared" si="367"/>
        <v/>
      </c>
      <c r="FS76" s="39" t="str">
        <f t="shared" si="368"/>
        <v/>
      </c>
      <c r="FT76" s="39" t="str">
        <f t="shared" si="369"/>
        <v/>
      </c>
      <c r="FU76" s="39" t="str">
        <f t="shared" si="370"/>
        <v/>
      </c>
      <c r="FV76" s="39" t="str">
        <f t="shared" si="371"/>
        <v/>
      </c>
      <c r="FW76" s="39" t="str">
        <f t="shared" si="372"/>
        <v/>
      </c>
      <c r="FX76" s="39" t="str">
        <f t="shared" si="373"/>
        <v/>
      </c>
      <c r="FY76" s="39" t="str">
        <f t="shared" si="374"/>
        <v/>
      </c>
      <c r="FZ76" s="39" t="str">
        <f t="shared" si="375"/>
        <v/>
      </c>
      <c r="GA76" s="39" t="str">
        <f t="shared" si="376"/>
        <v/>
      </c>
      <c r="GB76" s="39" t="str">
        <f t="shared" si="377"/>
        <v/>
      </c>
      <c r="GC76" s="39" t="str">
        <f t="shared" si="378"/>
        <v/>
      </c>
      <c r="GD76" s="39" t="str">
        <f t="shared" si="379"/>
        <v/>
      </c>
      <c r="GE76" s="39" t="str">
        <f t="shared" si="380"/>
        <v/>
      </c>
      <c r="GF76" s="39" t="str">
        <f t="shared" si="381"/>
        <v/>
      </c>
      <c r="GG76" s="39" t="str">
        <f t="shared" si="382"/>
        <v/>
      </c>
      <c r="GH76" s="39" t="str">
        <f t="shared" si="383"/>
        <v/>
      </c>
      <c r="GI76" s="39" t="str">
        <f t="shared" si="384"/>
        <v/>
      </c>
      <c r="GJ76" s="39" t="str">
        <f t="shared" si="385"/>
        <v/>
      </c>
      <c r="GK76" s="39" t="str">
        <f t="shared" si="386"/>
        <v/>
      </c>
      <c r="GL76" s="39" t="str">
        <f t="shared" si="387"/>
        <v/>
      </c>
      <c r="GM76" s="39" t="str">
        <f t="shared" si="388"/>
        <v/>
      </c>
      <c r="GN76" s="39" t="str">
        <f t="shared" si="389"/>
        <v/>
      </c>
      <c r="GO76" s="39" t="str">
        <f t="shared" si="390"/>
        <v/>
      </c>
      <c r="GP76" s="39" t="str">
        <f t="shared" si="391"/>
        <v/>
      </c>
      <c r="GQ76" s="39" t="str">
        <f t="shared" si="392"/>
        <v/>
      </c>
      <c r="GR76" s="39" t="str">
        <f t="shared" si="393"/>
        <v/>
      </c>
      <c r="GS76" s="39" t="str">
        <f t="shared" si="394"/>
        <v/>
      </c>
      <c r="GT76" s="39" t="str">
        <f t="shared" si="395"/>
        <v/>
      </c>
      <c r="GU76" s="39" t="str">
        <f t="shared" si="396"/>
        <v/>
      </c>
      <c r="GV76" s="39" t="str">
        <f t="shared" si="397"/>
        <v/>
      </c>
      <c r="GW76" s="39" t="str">
        <f t="shared" si="398"/>
        <v/>
      </c>
      <c r="GX76" s="39" t="str">
        <f t="shared" si="399"/>
        <v/>
      </c>
      <c r="GY76" s="39" t="str">
        <f t="shared" si="400"/>
        <v/>
      </c>
      <c r="GZ76" s="39" t="str">
        <f t="shared" si="401"/>
        <v/>
      </c>
      <c r="HA76" s="39" t="str">
        <f t="shared" si="402"/>
        <v/>
      </c>
      <c r="HB76" s="39" t="str">
        <f t="shared" si="403"/>
        <v/>
      </c>
      <c r="HC76" s="39" t="str">
        <f t="shared" si="404"/>
        <v/>
      </c>
      <c r="HD76" s="39" t="str">
        <f t="shared" si="405"/>
        <v/>
      </c>
      <c r="HE76" s="39" t="str">
        <f t="shared" si="406"/>
        <v/>
      </c>
      <c r="HF76" s="39" t="str">
        <f t="shared" si="407"/>
        <v/>
      </c>
      <c r="HG76" s="39" t="str">
        <f t="shared" si="408"/>
        <v/>
      </c>
      <c r="HH76" s="39" t="str">
        <f t="shared" si="409"/>
        <v/>
      </c>
      <c r="HI76" s="39" t="str">
        <f t="shared" si="410"/>
        <v/>
      </c>
      <c r="HJ76" s="39" t="str">
        <f t="shared" si="411"/>
        <v/>
      </c>
      <c r="HK76" s="39" t="str">
        <f t="shared" si="412"/>
        <v/>
      </c>
      <c r="HL76" s="39" t="str">
        <f t="shared" si="413"/>
        <v/>
      </c>
      <c r="HM76" s="39" t="str">
        <f t="shared" si="414"/>
        <v/>
      </c>
      <c r="HN76" s="39" t="str">
        <f t="shared" si="415"/>
        <v/>
      </c>
      <c r="HO76" s="39" t="str">
        <f t="shared" si="416"/>
        <v/>
      </c>
      <c r="HP76" s="39" t="str">
        <f t="shared" si="417"/>
        <v/>
      </c>
      <c r="HQ76" s="39" t="str">
        <f t="shared" si="418"/>
        <v/>
      </c>
      <c r="HR76" s="39" t="str">
        <f t="shared" si="419"/>
        <v/>
      </c>
      <c r="HS76" s="39" t="str">
        <f t="shared" si="420"/>
        <v/>
      </c>
      <c r="HT76" s="39" t="str">
        <f t="shared" si="421"/>
        <v/>
      </c>
      <c r="HU76" s="39" t="str">
        <f t="shared" si="422"/>
        <v/>
      </c>
      <c r="HV76" s="39" t="str">
        <f t="shared" si="423"/>
        <v/>
      </c>
      <c r="HW76" s="39" t="str">
        <f t="shared" si="424"/>
        <v/>
      </c>
      <c r="HX76" s="39" t="str">
        <f t="shared" si="425"/>
        <v/>
      </c>
      <c r="HY76" s="39" t="str">
        <f t="shared" si="426"/>
        <v/>
      </c>
      <c r="HZ76" s="39" t="str">
        <f t="shared" si="427"/>
        <v/>
      </c>
      <c r="IA76" s="39" t="str">
        <f t="shared" si="428"/>
        <v/>
      </c>
      <c r="IB76" s="39" t="str">
        <f t="shared" si="429"/>
        <v/>
      </c>
      <c r="IC76" s="39" t="str">
        <f t="shared" si="430"/>
        <v/>
      </c>
      <c r="ID76" s="39" t="str">
        <f t="shared" si="431"/>
        <v/>
      </c>
      <c r="IE76" s="39" t="str">
        <f t="shared" si="432"/>
        <v/>
      </c>
      <c r="IF76" s="39" t="str">
        <f t="shared" si="433"/>
        <v/>
      </c>
      <c r="IG76" s="308" t="str">
        <f t="shared" si="434"/>
        <v/>
      </c>
      <c r="IH76" s="84" t="str">
        <f t="shared" si="492"/>
        <v/>
      </c>
      <c r="II76" s="84" t="str">
        <f t="shared" si="493"/>
        <v/>
      </c>
      <c r="IJ76" s="84" t="str">
        <f t="shared" si="494"/>
        <v/>
      </c>
      <c r="IK76" s="84" t="str">
        <f t="shared" si="495"/>
        <v/>
      </c>
      <c r="IL76" s="84" t="str">
        <f t="shared" si="496"/>
        <v/>
      </c>
      <c r="IM76" s="308" t="str">
        <f t="shared" si="440"/>
        <v/>
      </c>
      <c r="IN76" s="84" t="str">
        <f t="shared" si="497"/>
        <v/>
      </c>
      <c r="IO76" s="84" t="str">
        <f t="shared" si="498"/>
        <v/>
      </c>
      <c r="IP76" s="84" t="str">
        <f t="shared" si="499"/>
        <v/>
      </c>
      <c r="IQ76" s="84" t="str">
        <f t="shared" si="500"/>
        <v/>
      </c>
      <c r="IR76" s="84" t="str">
        <f t="shared" si="501"/>
        <v/>
      </c>
      <c r="IS76" s="308" t="str">
        <f t="shared" si="446"/>
        <v/>
      </c>
      <c r="IT76" s="84" t="str">
        <f t="shared" si="502"/>
        <v/>
      </c>
      <c r="IU76" s="84" t="str">
        <f t="shared" si="503"/>
        <v/>
      </c>
      <c r="IV76" s="84" t="str">
        <f t="shared" si="504"/>
        <v/>
      </c>
      <c r="IW76" s="84" t="str">
        <f t="shared" si="505"/>
        <v/>
      </c>
      <c r="IX76" s="84" t="str">
        <f t="shared" si="506"/>
        <v/>
      </c>
      <c r="IY76" s="308" t="str">
        <f t="shared" si="452"/>
        <v/>
      </c>
      <c r="IZ76" s="84" t="str">
        <f t="shared" si="507"/>
        <v/>
      </c>
      <c r="JA76" s="84" t="str">
        <f t="shared" si="508"/>
        <v/>
      </c>
      <c r="JB76" s="84" t="str">
        <f t="shared" si="509"/>
        <v/>
      </c>
      <c r="JC76" s="84" t="str">
        <f t="shared" si="510"/>
        <v/>
      </c>
      <c r="JD76" s="309" t="str">
        <f t="shared" si="511"/>
        <v/>
      </c>
      <c r="JF76" s="66">
        <f t="shared" si="224"/>
        <v>76</v>
      </c>
      <c r="JG76" s="66">
        <f t="shared" ca="1" si="512"/>
        <v>0</v>
      </c>
      <c r="JH76" s="66">
        <f t="shared" ca="1" si="513"/>
        <v>0</v>
      </c>
      <c r="JI76" s="66">
        <f t="shared" ca="1" si="514"/>
        <v>0</v>
      </c>
      <c r="JJ76" s="66">
        <f t="shared" ca="1" si="515"/>
        <v>0</v>
      </c>
      <c r="JK76" s="33"/>
      <c r="JL76" s="74" t="str">
        <f t="shared" ca="1" si="516"/>
        <v>-</v>
      </c>
      <c r="JM76" s="75">
        <f t="shared" ca="1" si="310"/>
        <v>0</v>
      </c>
      <c r="JN76" s="75">
        <f t="shared" ca="1" si="311"/>
        <v>0</v>
      </c>
      <c r="JO76" s="74" t="str">
        <f t="shared" ca="1" si="517"/>
        <v>-</v>
      </c>
      <c r="JP76" s="74">
        <f t="shared" ca="1" si="518"/>
        <v>0</v>
      </c>
    </row>
    <row r="77" spans="1:276" s="1" customFormat="1" x14ac:dyDescent="0.35">
      <c r="A77" s="125" t="s">
        <v>805</v>
      </c>
      <c r="B77" s="125" t="s">
        <v>805</v>
      </c>
      <c r="C77" s="125" t="s">
        <v>805</v>
      </c>
      <c r="D77" s="126"/>
      <c r="E77" s="250"/>
      <c r="F77" s="249" t="s">
        <v>708</v>
      </c>
      <c r="G77" s="250"/>
      <c r="H77" s="251"/>
      <c r="I77" s="251"/>
      <c r="J77" s="251" t="s">
        <v>805</v>
      </c>
      <c r="K77" s="251" t="s">
        <v>805</v>
      </c>
      <c r="L77" s="251" t="s">
        <v>805</v>
      </c>
      <c r="M77" s="251" t="s">
        <v>805</v>
      </c>
      <c r="N77" s="251" t="s">
        <v>805</v>
      </c>
      <c r="O77" s="251" t="s">
        <v>805</v>
      </c>
      <c r="P77" s="251" t="s">
        <v>805</v>
      </c>
      <c r="Q77" s="251" t="s">
        <v>805</v>
      </c>
      <c r="R77" s="251" t="s">
        <v>805</v>
      </c>
      <c r="S77" s="251" t="s">
        <v>805</v>
      </c>
      <c r="T77" s="251" t="s">
        <v>805</v>
      </c>
      <c r="U77" s="251" t="s">
        <v>805</v>
      </c>
      <c r="V77" s="251" t="s">
        <v>805</v>
      </c>
      <c r="W77" s="251" t="s">
        <v>805</v>
      </c>
      <c r="X77" s="251" t="s">
        <v>805</v>
      </c>
      <c r="Y77" s="251" t="s">
        <v>805</v>
      </c>
      <c r="Z77" s="251" t="s">
        <v>805</v>
      </c>
      <c r="AA77" s="251" t="s">
        <v>805</v>
      </c>
      <c r="AB77" s="251" t="s">
        <v>805</v>
      </c>
      <c r="AC77" s="251" t="s">
        <v>805</v>
      </c>
      <c r="AD77" s="251" t="s">
        <v>805</v>
      </c>
      <c r="AE77" s="251" t="s">
        <v>805</v>
      </c>
      <c r="AF77" s="251" t="s">
        <v>805</v>
      </c>
      <c r="AG77" s="251" t="s">
        <v>805</v>
      </c>
      <c r="AH77" s="251" t="s">
        <v>805</v>
      </c>
      <c r="AI77" s="251" t="s">
        <v>805</v>
      </c>
      <c r="AJ77" s="251" t="s">
        <v>805</v>
      </c>
      <c r="AK77" s="251" t="s">
        <v>805</v>
      </c>
      <c r="AL77" s="251" t="s">
        <v>805</v>
      </c>
      <c r="AM77" s="251" t="s">
        <v>805</v>
      </c>
      <c r="AN77" s="251" t="s">
        <v>805</v>
      </c>
      <c r="AO77" s="251" t="s">
        <v>805</v>
      </c>
      <c r="AP77" s="251" t="s">
        <v>805</v>
      </c>
      <c r="AQ77" s="251" t="s">
        <v>805</v>
      </c>
      <c r="AR77" s="251" t="s">
        <v>805</v>
      </c>
      <c r="AS77" s="251" t="s">
        <v>805</v>
      </c>
      <c r="AT77" s="251" t="s">
        <v>805</v>
      </c>
      <c r="AU77" s="251" t="s">
        <v>805</v>
      </c>
      <c r="AV77" s="251" t="s">
        <v>805</v>
      </c>
      <c r="AW77" s="251" t="s">
        <v>805</v>
      </c>
      <c r="AX77" s="251" t="s">
        <v>805</v>
      </c>
      <c r="AY77" s="251" t="s">
        <v>805</v>
      </c>
      <c r="AZ77" s="251" t="s">
        <v>805</v>
      </c>
      <c r="BA77" s="251" t="s">
        <v>805</v>
      </c>
      <c r="BB77" s="251" t="s">
        <v>805</v>
      </c>
      <c r="BC77" s="251" t="s">
        <v>805</v>
      </c>
      <c r="BD77" s="251" t="s">
        <v>805</v>
      </c>
      <c r="BE77" s="251" t="s">
        <v>805</v>
      </c>
      <c r="BF77" s="251" t="s">
        <v>805</v>
      </c>
      <c r="BG77" s="251" t="s">
        <v>805</v>
      </c>
      <c r="BH77" s="251" t="s">
        <v>805</v>
      </c>
      <c r="BI77" s="251" t="s">
        <v>805</v>
      </c>
      <c r="BJ77" s="251" t="s">
        <v>805</v>
      </c>
      <c r="BK77" s="251" t="s">
        <v>805</v>
      </c>
      <c r="BL77" s="251" t="s">
        <v>805</v>
      </c>
      <c r="BM77" s="251" t="s">
        <v>805</v>
      </c>
      <c r="BN77" s="251" t="s">
        <v>805</v>
      </c>
      <c r="BO77" s="251" t="s">
        <v>805</v>
      </c>
      <c r="BP77" s="251" t="s">
        <v>805</v>
      </c>
      <c r="BQ77" s="251" t="s">
        <v>805</v>
      </c>
      <c r="BR77" s="251" t="s">
        <v>805</v>
      </c>
      <c r="BS77" s="251" t="s">
        <v>805</v>
      </c>
      <c r="BT77" s="251" t="s">
        <v>805</v>
      </c>
      <c r="BU77" s="251" t="s">
        <v>805</v>
      </c>
      <c r="BV77" s="251" t="s">
        <v>805</v>
      </c>
      <c r="BW77" s="251" t="s">
        <v>805</v>
      </c>
      <c r="BX77" s="251" t="s">
        <v>805</v>
      </c>
      <c r="BY77" s="251" t="s">
        <v>805</v>
      </c>
      <c r="BZ77" s="251" t="s">
        <v>805</v>
      </c>
      <c r="CA77" s="251" t="s">
        <v>805</v>
      </c>
      <c r="CB77" s="251" t="s">
        <v>805</v>
      </c>
      <c r="CC77" s="251" t="s">
        <v>805</v>
      </c>
      <c r="CD77" s="251" t="s">
        <v>805</v>
      </c>
      <c r="CE77" s="251" t="s">
        <v>805</v>
      </c>
      <c r="CF77" s="251" t="s">
        <v>805</v>
      </c>
      <c r="CG77" s="251" t="s">
        <v>805</v>
      </c>
      <c r="CH77" s="251" t="s">
        <v>805</v>
      </c>
      <c r="CI77" s="251" t="s">
        <v>805</v>
      </c>
      <c r="CJ77" s="251" t="s">
        <v>805</v>
      </c>
      <c r="CK77" s="251" t="s">
        <v>805</v>
      </c>
      <c r="CL77" s="251" t="s">
        <v>805</v>
      </c>
      <c r="CM77" s="251" t="s">
        <v>805</v>
      </c>
      <c r="CN77" s="251" t="s">
        <v>805</v>
      </c>
      <c r="CO77" s="251" t="s">
        <v>805</v>
      </c>
      <c r="CP77" s="251" t="s">
        <v>805</v>
      </c>
      <c r="CQ77" s="251" t="s">
        <v>805</v>
      </c>
      <c r="CR77" s="251" t="s">
        <v>805</v>
      </c>
      <c r="CS77" s="251" t="s">
        <v>805</v>
      </c>
      <c r="CT77" s="251" t="s">
        <v>805</v>
      </c>
      <c r="CU77" s="251" t="s">
        <v>805</v>
      </c>
      <c r="CV77" s="251" t="s">
        <v>805</v>
      </c>
      <c r="CW77" s="251" t="s">
        <v>805</v>
      </c>
      <c r="CX77" s="251" t="s">
        <v>805</v>
      </c>
      <c r="CY77" s="251" t="s">
        <v>805</v>
      </c>
      <c r="CZ77" s="251" t="s">
        <v>805</v>
      </c>
      <c r="DA77" s="251" t="s">
        <v>805</v>
      </c>
      <c r="DB77" s="251" t="s">
        <v>805</v>
      </c>
      <c r="DC77" s="251" t="s">
        <v>805</v>
      </c>
      <c r="DD77" s="251" t="s">
        <v>805</v>
      </c>
      <c r="DE77" s="251" t="s">
        <v>805</v>
      </c>
      <c r="DF77" s="251" t="s">
        <v>805</v>
      </c>
      <c r="DG77" s="251"/>
      <c r="DH77" s="251"/>
      <c r="DI77" s="251"/>
      <c r="DJ77" s="251"/>
      <c r="DK77" s="251"/>
      <c r="DL77" s="251"/>
      <c r="DM77" s="251"/>
      <c r="DN77" s="275"/>
      <c r="DO77" s="251"/>
      <c r="DP77" s="251"/>
      <c r="DQ77" s="251"/>
      <c r="DR77" s="251"/>
      <c r="DS77" s="251"/>
      <c r="DT77" s="251"/>
      <c r="DU77" s="275"/>
      <c r="DV77" s="251"/>
      <c r="DW77" s="251"/>
      <c r="DX77" s="251"/>
      <c r="DY77" s="251"/>
      <c r="DZ77" s="251"/>
      <c r="EA77" s="251"/>
      <c r="EB77" s="275"/>
      <c r="EC77" s="251"/>
      <c r="ED77" s="251"/>
      <c r="EE77" s="251"/>
      <c r="EF77" s="251"/>
      <c r="EG77" s="251"/>
      <c r="EH77" s="251"/>
      <c r="EI77" s="251"/>
      <c r="EJ77" s="251"/>
      <c r="EK77" s="251"/>
      <c r="EL77" s="251"/>
      <c r="EM77" s="251"/>
      <c r="EN77" s="251"/>
      <c r="EO77" s="251"/>
      <c r="EP77" s="251"/>
      <c r="EQ77" s="251"/>
      <c r="ER77" s="251"/>
      <c r="ES77" s="251"/>
      <c r="ET77" s="251"/>
      <c r="EU77" s="251"/>
      <c r="EV77" s="251"/>
      <c r="EW77" s="251"/>
      <c r="EX77" s="251"/>
      <c r="EY77" s="251"/>
      <c r="EZ77" s="251"/>
      <c r="FA77" s="251"/>
      <c r="FB77" s="251"/>
      <c r="FC77" s="251"/>
      <c r="FD77" s="251"/>
      <c r="FE77" s="251"/>
      <c r="FF77" s="251"/>
      <c r="FG77" s="251"/>
      <c r="FH77" s="251"/>
      <c r="FI77" s="251"/>
      <c r="FJ77" s="251"/>
      <c r="FK77" s="251"/>
      <c r="FL77" s="251"/>
      <c r="FM77" s="251"/>
      <c r="FN77" s="251"/>
      <c r="FO77" s="251"/>
      <c r="FP77" s="251"/>
      <c r="FQ77" s="251"/>
      <c r="FR77" s="251"/>
      <c r="FS77" s="251"/>
      <c r="FT77" s="251"/>
      <c r="FU77" s="251"/>
      <c r="FV77" s="251"/>
      <c r="FW77" s="251"/>
      <c r="FX77" s="251"/>
      <c r="FY77" s="251"/>
      <c r="FZ77" s="251"/>
      <c r="GA77" s="251"/>
      <c r="GB77" s="251"/>
      <c r="GC77" s="251"/>
      <c r="GD77" s="251"/>
      <c r="GE77" s="251"/>
      <c r="GF77" s="251"/>
      <c r="GG77" s="251"/>
      <c r="GH77" s="251"/>
      <c r="GI77" s="251"/>
      <c r="GJ77" s="251"/>
      <c r="GK77" s="251"/>
      <c r="GL77" s="251"/>
      <c r="GM77" s="251"/>
      <c r="GN77" s="251"/>
      <c r="GO77" s="251"/>
      <c r="GP77" s="251"/>
      <c r="GQ77" s="251"/>
      <c r="GR77" s="251"/>
      <c r="GS77" s="251"/>
      <c r="GT77" s="251"/>
      <c r="GU77" s="251"/>
      <c r="GV77" s="251"/>
      <c r="GW77" s="251"/>
      <c r="GX77" s="251"/>
      <c r="GY77" s="251"/>
      <c r="GZ77" s="251"/>
      <c r="HA77" s="251"/>
      <c r="HB77" s="251"/>
      <c r="HC77" s="251"/>
      <c r="HD77" s="251"/>
      <c r="HE77" s="251"/>
      <c r="HF77" s="251"/>
      <c r="HG77" s="251"/>
      <c r="HH77" s="251"/>
      <c r="HI77" s="251"/>
      <c r="HJ77" s="251"/>
      <c r="HK77" s="251"/>
      <c r="HL77" s="251"/>
      <c r="HM77" s="251"/>
      <c r="HN77" s="251"/>
      <c r="HO77" s="251"/>
      <c r="HP77" s="251"/>
      <c r="HQ77" s="251"/>
      <c r="HR77" s="251"/>
      <c r="HS77" s="251"/>
      <c r="HT77" s="251"/>
      <c r="HU77" s="251"/>
      <c r="HV77" s="251"/>
      <c r="HW77" s="251"/>
      <c r="HX77" s="251"/>
      <c r="HY77" s="251"/>
      <c r="HZ77" s="251"/>
      <c r="IA77" s="251"/>
      <c r="IB77" s="251"/>
      <c r="IC77" s="251"/>
      <c r="ID77" s="251"/>
      <c r="IE77" s="251"/>
      <c r="IF77" s="251"/>
      <c r="IG77" s="310"/>
      <c r="IH77" s="251"/>
      <c r="II77" s="251"/>
      <c r="IJ77" s="251"/>
      <c r="IK77" s="251"/>
      <c r="IL77" s="251"/>
      <c r="IM77" s="310"/>
      <c r="IN77" s="251"/>
      <c r="IO77" s="251"/>
      <c r="IP77" s="251"/>
      <c r="IQ77" s="251"/>
      <c r="IR77" s="251"/>
      <c r="IS77" s="310"/>
      <c r="IT77" s="251"/>
      <c r="IU77" s="251"/>
      <c r="IV77" s="251"/>
      <c r="IW77" s="251"/>
      <c r="IX77" s="251"/>
      <c r="IY77" s="310"/>
      <c r="IZ77" s="251"/>
      <c r="JA77" s="251"/>
      <c r="JB77" s="251"/>
      <c r="JC77" s="251"/>
      <c r="JD77" s="311"/>
      <c r="JF77" s="66"/>
      <c r="JG77" s="66"/>
      <c r="JH77" s="66"/>
      <c r="JI77" s="66"/>
      <c r="JJ77" s="66"/>
      <c r="JK77" s="33"/>
      <c r="JL77" s="74"/>
      <c r="JM77" s="75"/>
      <c r="JN77" s="75"/>
      <c r="JO77" s="74"/>
      <c r="JP77" s="74"/>
    </row>
    <row r="78" spans="1:276" s="1" customFormat="1" x14ac:dyDescent="0.35">
      <c r="A78" s="125">
        <v>0</v>
      </c>
      <c r="B78" s="125">
        <v>0</v>
      </c>
      <c r="C78" s="125">
        <v>1</v>
      </c>
      <c r="E78" s="142" t="s">
        <v>112</v>
      </c>
      <c r="F78" s="227" t="s">
        <v>113</v>
      </c>
      <c r="G78" s="228" t="s">
        <v>530</v>
      </c>
      <c r="H78" s="210" t="s">
        <v>546</v>
      </c>
      <c r="I78" s="8" t="s">
        <v>532</v>
      </c>
      <c r="J78" s="211" t="s">
        <v>805</v>
      </c>
      <c r="K78" s="211" t="s">
        <v>805</v>
      </c>
      <c r="L78" s="211" t="s">
        <v>805</v>
      </c>
      <c r="M78" s="211" t="s">
        <v>805</v>
      </c>
      <c r="N78" s="211" t="s">
        <v>805</v>
      </c>
      <c r="O78" s="211" t="s">
        <v>805</v>
      </c>
      <c r="P78" s="211" t="s">
        <v>805</v>
      </c>
      <c r="Q78" s="211" t="s">
        <v>805</v>
      </c>
      <c r="R78" s="211" t="s">
        <v>805</v>
      </c>
      <c r="S78" s="211" t="s">
        <v>805</v>
      </c>
      <c r="T78" s="211" t="s">
        <v>805</v>
      </c>
      <c r="U78" s="211" t="s">
        <v>805</v>
      </c>
      <c r="V78" s="211" t="s">
        <v>805</v>
      </c>
      <c r="W78" s="211" t="s">
        <v>805</v>
      </c>
      <c r="X78" s="211" t="s">
        <v>805</v>
      </c>
      <c r="Y78" s="211" t="s">
        <v>805</v>
      </c>
      <c r="Z78" s="211" t="s">
        <v>805</v>
      </c>
      <c r="AA78" s="211" t="s">
        <v>805</v>
      </c>
      <c r="AB78" s="211" t="s">
        <v>805</v>
      </c>
      <c r="AC78" s="211" t="s">
        <v>805</v>
      </c>
      <c r="AD78" s="211" t="s">
        <v>805</v>
      </c>
      <c r="AE78" s="211" t="s">
        <v>805</v>
      </c>
      <c r="AF78" s="211" t="s">
        <v>805</v>
      </c>
      <c r="AG78" s="211" t="s">
        <v>805</v>
      </c>
      <c r="AH78" s="211" t="s">
        <v>805</v>
      </c>
      <c r="AI78" s="211" t="s">
        <v>805</v>
      </c>
      <c r="AJ78" s="211" t="s">
        <v>805</v>
      </c>
      <c r="AK78" s="211" t="s">
        <v>805</v>
      </c>
      <c r="AL78" s="211" t="s">
        <v>805</v>
      </c>
      <c r="AM78" s="211" t="s">
        <v>805</v>
      </c>
      <c r="AN78" s="211" t="s">
        <v>805</v>
      </c>
      <c r="AO78" s="211" t="s">
        <v>805</v>
      </c>
      <c r="AP78" s="211" t="s">
        <v>805</v>
      </c>
      <c r="AQ78" s="211" t="s">
        <v>805</v>
      </c>
      <c r="AR78" s="211" t="s">
        <v>805</v>
      </c>
      <c r="AS78" s="211" t="s">
        <v>805</v>
      </c>
      <c r="AT78" s="211" t="s">
        <v>805</v>
      </c>
      <c r="AU78" s="211" t="s">
        <v>805</v>
      </c>
      <c r="AV78" s="211" t="s">
        <v>805</v>
      </c>
      <c r="AW78" s="211" t="s">
        <v>805</v>
      </c>
      <c r="AX78" s="211" t="s">
        <v>805</v>
      </c>
      <c r="AY78" s="211" t="s">
        <v>805</v>
      </c>
      <c r="AZ78" s="211" t="s">
        <v>805</v>
      </c>
      <c r="BA78" s="211" t="s">
        <v>805</v>
      </c>
      <c r="BB78" s="211" t="s">
        <v>805</v>
      </c>
      <c r="BC78" s="211" t="s">
        <v>805</v>
      </c>
      <c r="BD78" s="211" t="s">
        <v>805</v>
      </c>
      <c r="BE78" s="211" t="s">
        <v>805</v>
      </c>
      <c r="BF78" s="211" t="s">
        <v>805</v>
      </c>
      <c r="BG78" s="211" t="s">
        <v>805</v>
      </c>
      <c r="BH78" s="211" t="s">
        <v>805</v>
      </c>
      <c r="BI78" s="211" t="s">
        <v>805</v>
      </c>
      <c r="BJ78" s="211" t="s">
        <v>805</v>
      </c>
      <c r="BK78" s="211" t="s">
        <v>805</v>
      </c>
      <c r="BL78" s="211" t="s">
        <v>805</v>
      </c>
      <c r="BM78" s="211" t="s">
        <v>805</v>
      </c>
      <c r="BN78" s="211" t="s">
        <v>805</v>
      </c>
      <c r="BO78" s="211" t="s">
        <v>805</v>
      </c>
      <c r="BP78" s="211" t="s">
        <v>805</v>
      </c>
      <c r="BQ78" s="211" t="s">
        <v>805</v>
      </c>
      <c r="BR78" s="211" t="s">
        <v>805</v>
      </c>
      <c r="BS78" s="211" t="s">
        <v>805</v>
      </c>
      <c r="BT78" s="211" t="s">
        <v>805</v>
      </c>
      <c r="BU78" s="211" t="s">
        <v>805</v>
      </c>
      <c r="BV78" s="211" t="s">
        <v>805</v>
      </c>
      <c r="BW78" s="211" t="s">
        <v>805</v>
      </c>
      <c r="BX78" s="211" t="s">
        <v>805</v>
      </c>
      <c r="BY78" s="211" t="s">
        <v>805</v>
      </c>
      <c r="BZ78" s="211" t="s">
        <v>805</v>
      </c>
      <c r="CA78" s="211" t="s">
        <v>805</v>
      </c>
      <c r="CB78" s="211" t="s">
        <v>805</v>
      </c>
      <c r="CC78" s="211" t="s">
        <v>805</v>
      </c>
      <c r="CD78" s="211" t="s">
        <v>805</v>
      </c>
      <c r="CE78" s="211" t="s">
        <v>805</v>
      </c>
      <c r="CF78" s="211" t="s">
        <v>805</v>
      </c>
      <c r="CG78" s="211" t="s">
        <v>805</v>
      </c>
      <c r="CH78" s="211" t="s">
        <v>805</v>
      </c>
      <c r="CI78" s="211" t="s">
        <v>805</v>
      </c>
      <c r="CJ78" s="211" t="s">
        <v>805</v>
      </c>
      <c r="CK78" s="211" t="s">
        <v>805</v>
      </c>
      <c r="CL78" s="211" t="s">
        <v>805</v>
      </c>
      <c r="CM78" s="211" t="s">
        <v>805</v>
      </c>
      <c r="CN78" s="211" t="s">
        <v>805</v>
      </c>
      <c r="CO78" s="211" t="s">
        <v>805</v>
      </c>
      <c r="CP78" s="211" t="s">
        <v>805</v>
      </c>
      <c r="CQ78" s="211" t="s">
        <v>805</v>
      </c>
      <c r="CR78" s="211" t="s">
        <v>805</v>
      </c>
      <c r="CS78" s="211" t="s">
        <v>805</v>
      </c>
      <c r="CT78" s="211" t="s">
        <v>805</v>
      </c>
      <c r="CU78" s="211" t="s">
        <v>805</v>
      </c>
      <c r="CV78" s="211" t="s">
        <v>805</v>
      </c>
      <c r="CW78" s="211" t="s">
        <v>805</v>
      </c>
      <c r="CX78" s="211" t="s">
        <v>805</v>
      </c>
      <c r="CY78" s="211" t="s">
        <v>805</v>
      </c>
      <c r="CZ78" s="211" t="s">
        <v>805</v>
      </c>
      <c r="DA78" s="211" t="s">
        <v>805</v>
      </c>
      <c r="DB78" s="211" t="s">
        <v>805</v>
      </c>
      <c r="DC78" s="211" t="s">
        <v>805</v>
      </c>
      <c r="DD78" s="211" t="s">
        <v>805</v>
      </c>
      <c r="DE78" s="211" t="s">
        <v>805</v>
      </c>
      <c r="DF78" s="211" t="s">
        <v>805</v>
      </c>
      <c r="DG78" s="212">
        <f>VLOOKUP(E78,'KPI Count-SHARE'!A:F,3,0)</f>
        <v>0</v>
      </c>
      <c r="DH78" s="213" t="s">
        <v>805</v>
      </c>
      <c r="DI78" s="213" t="s">
        <v>805</v>
      </c>
      <c r="DJ78" s="213" t="s">
        <v>805</v>
      </c>
      <c r="DK78" s="213" t="s">
        <v>805</v>
      </c>
      <c r="DL78" s="213" t="s">
        <v>805</v>
      </c>
      <c r="DM78" s="213" t="s">
        <v>805</v>
      </c>
      <c r="DN78" s="212">
        <f>VLOOKUP(E78,'KPI Count-SHARE'!A:F,4,0)</f>
        <v>0</v>
      </c>
      <c r="DO78" s="213"/>
      <c r="DP78" s="213"/>
      <c r="DQ78" s="213"/>
      <c r="DR78" s="213"/>
      <c r="DS78" s="213"/>
      <c r="DT78" s="213"/>
      <c r="DU78" s="212">
        <f>VLOOKUP(E78,'KPI Count-SHARE'!A:F,5,0)</f>
        <v>0</v>
      </c>
      <c r="DV78" s="213"/>
      <c r="DW78" s="213"/>
      <c r="DX78" s="213"/>
      <c r="DY78" s="213"/>
      <c r="DZ78" s="213"/>
      <c r="EA78" s="213"/>
      <c r="EB78" s="212">
        <f>VLOOKUP(E78,'KPI Count-SHARE'!A:F,6,0)</f>
        <v>0</v>
      </c>
      <c r="EC78" s="213"/>
      <c r="ED78" s="213"/>
      <c r="EE78" s="213"/>
      <c r="EF78" s="213"/>
      <c r="EG78" s="213"/>
      <c r="EH78" s="213"/>
      <c r="EI78" s="214" t="s">
        <v>546</v>
      </c>
      <c r="EJ78" s="41" t="str">
        <f t="shared" ref="EJ78:EJ87" si="519">IFERROR(IF(ISBLANK(J78), "-", IF(OR($I78="c",$I78="r"), J78*$I$5, J78)),"-")</f>
        <v/>
      </c>
      <c r="EK78" s="41" t="str">
        <f t="shared" ref="EK78:EK87" si="520">IFERROR(IF(ISBLANK(K78), "-", IF($I78="c", K78*$I$5, K78)),"-")</f>
        <v/>
      </c>
      <c r="EL78" s="41" t="str">
        <f t="shared" ref="EL78:EL87" si="521">IFERROR(IF(ISBLANK(L78), "-", IF($I78="c", L78*$I$5, L78)),"-")</f>
        <v/>
      </c>
      <c r="EM78" s="41" t="str">
        <f t="shared" ref="EM78:EM87" si="522">IFERROR(IF(ISBLANK(M78), "-", IF($I78="c", M78*$I$5,M78)),"-")</f>
        <v/>
      </c>
      <c r="EN78" s="41" t="str">
        <f t="shared" ref="EN78:EN87" si="523">IFERROR(IF(ISBLANK(N78), "-", IF($I78="c", N78*$I$5, N78)),"-")</f>
        <v/>
      </c>
      <c r="EO78" s="41" t="str">
        <f t="shared" ref="EO78:EO87" si="524">IFERROR(IF(ISBLANK(O78), "-", IF($I78="c", O78*$I$5,O78)),"-")</f>
        <v/>
      </c>
      <c r="EP78" s="41" t="str">
        <f t="shared" ref="EP78:EP87" si="525">IFERROR(IF(ISBLANK(P78), "-", IF($I78="c", P78*$I$5, P78)),"-")</f>
        <v/>
      </c>
      <c r="EQ78" s="41" t="str">
        <f t="shared" ref="EQ78:EQ87" si="526">IFERROR(IF(ISBLANK(Q78), "-", IF($I78="c", Q78*$I$5, Q78)),"-")</f>
        <v/>
      </c>
      <c r="ER78" s="41" t="str">
        <f t="shared" ref="ER78:ER87" si="527">IFERROR(IF(ISBLANK(R78), "-", IF($I78="c", R78*$I$5, R78)),"-")</f>
        <v/>
      </c>
      <c r="ES78" s="41" t="str">
        <f t="shared" ref="ES78:ES87" si="528">IFERROR(IF(ISBLANK(S78), "-", IF($I78="c", S78*$I$5, S78)),"-")</f>
        <v/>
      </c>
      <c r="ET78" s="41" t="str">
        <f t="shared" ref="ET78:ET87" si="529">IFERROR(IF(ISBLANK(T78), "-", IF($I78="c", T78*$I$5, T78)),"-")</f>
        <v/>
      </c>
      <c r="EU78" s="41" t="str">
        <f t="shared" ref="EU78:EU87" si="530">IFERROR(IF(ISBLANK(U78), "-", IF($I78="c", U78*$I$5, U78)),"-")</f>
        <v/>
      </c>
      <c r="EV78" s="41" t="str">
        <f t="shared" ref="EV78:EV87" si="531">IFERROR(IF(ISBLANK(V78), "-", IF($I78="c", V78*$I$5, V78)),"-")</f>
        <v/>
      </c>
      <c r="EW78" s="41" t="str">
        <f t="shared" ref="EW78:EW87" si="532">IFERROR(IF(ISBLANK(W78), "-", IF($I78="c", W78*$I$5, W78)),"-")</f>
        <v/>
      </c>
      <c r="EX78" s="41" t="str">
        <f t="shared" ref="EX78:EX87" si="533">IFERROR(IF(ISBLANK(X78), "-", IF($I78="c", X78*$I$5, X78)),"-")</f>
        <v/>
      </c>
      <c r="EY78" s="41" t="str">
        <f t="shared" ref="EY78:EY87" si="534">IFERROR(IF(ISBLANK(Y78), "-", IF($I78="c", Y78*$I$5, Y78)),"-")</f>
        <v/>
      </c>
      <c r="EZ78" s="41" t="str">
        <f t="shared" ref="EZ78:EZ87" si="535">IFERROR(IF(ISBLANK(Z78), "-", IF($I78="c", Z78*$I$5, Z78)),"-")</f>
        <v/>
      </c>
      <c r="FA78" s="41" t="str">
        <f t="shared" ref="FA78:FA87" si="536">IFERROR(IF(ISBLANK(AA78), "-", IF($I78="c", AA78*$I$5, AA78)),"-")</f>
        <v/>
      </c>
      <c r="FB78" s="41" t="str">
        <f t="shared" ref="FB78:FB87" si="537">IFERROR(IF(ISBLANK(AB78), "-", IF($I78="c", AB78*$I$5, AB78)),"-")</f>
        <v/>
      </c>
      <c r="FC78" s="41" t="str">
        <f t="shared" ref="FC78:FC87" si="538">IFERROR(IF(ISBLANK(AC78), "-", IF($I78="c", AC78*$I$5, AC78)),"-")</f>
        <v/>
      </c>
      <c r="FD78" s="41" t="str">
        <f t="shared" ref="FD78:FD87" si="539">IFERROR(IF(ISBLANK(AD78), "-", IF($I78="c", AD78*$I$5, AD78)),"-")</f>
        <v/>
      </c>
      <c r="FE78" s="41" t="str">
        <f t="shared" ref="FE78:FE87" si="540">IFERROR(IF(ISBLANK(AE78), "-", IF($I78="c", AE78*$I$5, AE78)),"-")</f>
        <v/>
      </c>
      <c r="FF78" s="41" t="str">
        <f t="shared" ref="FF78:FF87" si="541">IFERROR(IF(ISBLANK(AF78), "-", IF($I78="c", AF78*$I$5, AF78)),"-")</f>
        <v/>
      </c>
      <c r="FG78" s="41" t="str">
        <f t="shared" ref="FG78:FG87" si="542">IFERROR(IF(ISBLANK(AG78), "-", IF($I78="c", AG78*$I$5, AG78)),"-")</f>
        <v/>
      </c>
      <c r="FH78" s="41" t="str">
        <f t="shared" ref="FH78:FH87" si="543">IFERROR(IF(ISBLANK(AH78), "-", IF($I78="c", AH78*$I$5, AH78)),"-")</f>
        <v/>
      </c>
      <c r="FI78" s="41" t="str">
        <f t="shared" ref="FI78:FI87" si="544">IFERROR(IF(ISBLANK(AI78), "-", IF($I78="c", AI78*$I$5, AI78)),"-")</f>
        <v/>
      </c>
      <c r="FJ78" s="41" t="str">
        <f t="shared" ref="FJ78:FJ87" si="545">IFERROR(IF(ISBLANK(AJ78), "-", IF($I78="c", AJ78*$I$5, AJ78)),"-")</f>
        <v/>
      </c>
      <c r="FK78" s="41" t="str">
        <f t="shared" ref="FK78:FK87" si="546">IFERROR(IF(ISBLANK(AK78), "-", IF($I78="c", AK78*$I$5, AK78)),"-")</f>
        <v/>
      </c>
      <c r="FL78" s="41" t="str">
        <f t="shared" ref="FL78:FL87" si="547">IFERROR(IF(ISBLANK(AL78), "-", IF($I78="c", AL78*$I$5, AL78)),"-")</f>
        <v/>
      </c>
      <c r="FM78" s="41" t="str">
        <f t="shared" ref="FM78:FM87" si="548">IFERROR(IF(ISBLANK(AM78), "-", IF($I78="c", AM78*$I$5, AM78)),"-")</f>
        <v/>
      </c>
      <c r="FN78" s="41" t="str">
        <f t="shared" ref="FN78:FN87" si="549">IFERROR(IF(ISBLANK(AN78), "-", IF($I78="c", AN78*$I$5, AN78)),"-")</f>
        <v/>
      </c>
      <c r="FO78" s="41" t="str">
        <f t="shared" ref="FO78:FO87" si="550">IFERROR(IF(ISBLANK(AO78), "-", IF($I78="c", AO78*$I$5, AO78)),"-")</f>
        <v/>
      </c>
      <c r="FP78" s="41" t="str">
        <f t="shared" ref="FP78:FP87" si="551">IFERROR(IF(ISBLANK(AP78), "-", IF($I78="c", AP78*$I$5, AP78)),"-")</f>
        <v/>
      </c>
      <c r="FQ78" s="41" t="str">
        <f t="shared" ref="FQ78:FQ87" si="552">IFERROR(IF(ISBLANK(AQ78), "-", IF($I78="c", AQ78*$I$5, AQ78)),"-")</f>
        <v/>
      </c>
      <c r="FR78" s="41" t="str">
        <f t="shared" ref="FR78:FR87" si="553">IFERROR(IF(ISBLANK(AR78), "-", IF($I78="c", AR78*$I$5, AR78)),"-")</f>
        <v/>
      </c>
      <c r="FS78" s="41" t="str">
        <f t="shared" ref="FS78:FS87" si="554">IFERROR(IF(ISBLANK(AS78), "-", IF($I78="c", AS78*$I$5, AS78)),"-")</f>
        <v/>
      </c>
      <c r="FT78" s="41" t="str">
        <f t="shared" ref="FT78:FT87" si="555">IFERROR(IF(ISBLANK(AT78), "-", IF($I78="c", AT78*$I$5, AT78)),"-")</f>
        <v/>
      </c>
      <c r="FU78" s="41" t="str">
        <f t="shared" ref="FU78:FU87" si="556">IFERROR(IF(ISBLANK(AU78), "-", IF($I78="c", AU78*$I$5, AU78)),"-")</f>
        <v/>
      </c>
      <c r="FV78" s="41" t="str">
        <f t="shared" ref="FV78:FV87" si="557">IFERROR(IF(ISBLANK(AV78), "-", IF($I78="c", AV78*$I$5, AV78)),"-")</f>
        <v/>
      </c>
      <c r="FW78" s="41" t="str">
        <f t="shared" ref="FW78:FW87" si="558">IFERROR(IF(ISBLANK(AW78), "-", IF($I78="c", AW78*$I$5, AW78)),"-")</f>
        <v/>
      </c>
      <c r="FX78" s="41" t="str">
        <f t="shared" ref="FX78:FX87" si="559">IFERROR(IF(ISBLANK(AX78), "-", IF($I78="c", AX78*$I$5, AX78)),"-")</f>
        <v/>
      </c>
      <c r="FY78" s="41" t="str">
        <f t="shared" ref="FY78:FY87" si="560">IFERROR(IF(ISBLANK(AY78), "-", IF($I78="c", AY78*$I$5, AY78)),"-")</f>
        <v/>
      </c>
      <c r="FZ78" s="41" t="str">
        <f t="shared" ref="FZ78:FZ87" si="561">IFERROR(IF(ISBLANK(AZ78), "-", IF($I78="c", AZ78*$I$5, AZ78)),"-")</f>
        <v/>
      </c>
      <c r="GA78" s="41" t="str">
        <f t="shared" ref="GA78:GA87" si="562">IFERROR(IF(ISBLANK(BA78), "-", IF($I78="c", BA78*$I$5, BA78)),"-")</f>
        <v/>
      </c>
      <c r="GB78" s="41" t="str">
        <f t="shared" ref="GB78:GB87" si="563">IFERROR(IF(ISBLANK(BB78), "-", IF($I78="c", BB78*$I$5, BB78)),"-")</f>
        <v/>
      </c>
      <c r="GC78" s="41" t="str">
        <f t="shared" ref="GC78:GC87" si="564">IFERROR(IF(ISBLANK(BC78), "-", IF($I78="c", BC78*$I$5, BC78)),"-")</f>
        <v/>
      </c>
      <c r="GD78" s="41" t="str">
        <f t="shared" ref="GD78:GD87" si="565">IFERROR(IF(ISBLANK(BD78), "-", IF($I78="c", BD78*$I$5, BD78)),"-")</f>
        <v/>
      </c>
      <c r="GE78" s="41" t="str">
        <f t="shared" ref="GE78:GE87" si="566">IFERROR(IF(ISBLANK(BE78), "-", IF($I78="c", BE78*$I$5, BE78)),"-")</f>
        <v/>
      </c>
      <c r="GF78" s="41" t="str">
        <f t="shared" ref="GF78:GF87" si="567">IFERROR(IF(ISBLANK(BF78), "-", IF($I78="c", BF78*$I$5, BF78)),"-")</f>
        <v/>
      </c>
      <c r="GG78" s="41" t="str">
        <f t="shared" ref="GG78:GG87" si="568">IFERROR(IF(ISBLANK(BG78), "-", IF($I78="c", BG78*$I$5, BG78)),"-")</f>
        <v/>
      </c>
      <c r="GH78" s="41" t="str">
        <f t="shared" ref="GH78:GH87" si="569">IFERROR(IF(ISBLANK(BH78), "-", IF($I78="c", BH78*$I$5, BH78)),"-")</f>
        <v/>
      </c>
      <c r="GI78" s="41" t="str">
        <f t="shared" ref="GI78:GI87" si="570">IFERROR(IF(ISBLANK(BI78), "-", IF($I78="c", BI78*$I$5, BI78)),"-")</f>
        <v/>
      </c>
      <c r="GJ78" s="41" t="str">
        <f t="shared" ref="GJ78:GJ87" si="571">IFERROR(IF(ISBLANK(BJ78), "-", IF($I78="c", BJ78*$I$5, BJ78)),"-")</f>
        <v/>
      </c>
      <c r="GK78" s="41" t="str">
        <f t="shared" ref="GK78:GK87" si="572">IFERROR(IF(ISBLANK(BK78), "-", IF($I78="c", BK78*$I$5, BK78)),"-")</f>
        <v/>
      </c>
      <c r="GL78" s="41" t="str">
        <f t="shared" ref="GL78:GL87" si="573">IFERROR(IF(ISBLANK(BL78), "-", IF($I78="c", BL78*$I$5, BL78)),"-")</f>
        <v/>
      </c>
      <c r="GM78" s="41" t="str">
        <f t="shared" ref="GM78:GM87" si="574">IFERROR(IF(ISBLANK(BM78), "-", IF($I78="c", BM78*$I$5, BM78)),"-")</f>
        <v/>
      </c>
      <c r="GN78" s="41" t="str">
        <f t="shared" ref="GN78:GN87" si="575">IFERROR(IF(ISBLANK(BN78), "-", IF($I78="c", BN78*$I$5, BN78)),"-")</f>
        <v/>
      </c>
      <c r="GO78" s="41" t="str">
        <f t="shared" ref="GO78:GO87" si="576">IFERROR(IF(ISBLANK(BO78), "-", IF($I78="c", BO78*$I$5, BO78)),"-")</f>
        <v/>
      </c>
      <c r="GP78" s="41" t="str">
        <f t="shared" ref="GP78:GP87" si="577">IFERROR(IF(ISBLANK(BP78), "-", IF($I78="c", BP78*$I$5, BP78)),"-")</f>
        <v/>
      </c>
      <c r="GQ78" s="41" t="str">
        <f t="shared" ref="GQ78:GQ87" si="578">IFERROR(IF(ISBLANK(BQ78), "-", IF($I78="c", BQ78*$I$5, BQ78)),"-")</f>
        <v/>
      </c>
      <c r="GR78" s="41" t="str">
        <f t="shared" ref="GR78:GR87" si="579">IFERROR(IF(ISBLANK(BR78), "-", IF($I78="c", BR78*$I$5, BR78)),"-")</f>
        <v/>
      </c>
      <c r="GS78" s="41" t="str">
        <f t="shared" ref="GS78:GS87" si="580">IFERROR(IF(ISBLANK(BS78), "-", IF($I78="c", BS78*$I$5, BS78)),"-")</f>
        <v/>
      </c>
      <c r="GT78" s="41" t="str">
        <f t="shared" ref="GT78:GT87" si="581">IFERROR(IF(ISBLANK(BT78), "-", IF($I78="c", BT78*$I$5, BT78)),"-")</f>
        <v/>
      </c>
      <c r="GU78" s="41" t="str">
        <f t="shared" ref="GU78:GU87" si="582">IFERROR(IF(ISBLANK(BU78), "-", IF($I78="c", BU78*$I$5, BU78)),"-")</f>
        <v/>
      </c>
      <c r="GV78" s="41" t="str">
        <f t="shared" ref="GV78:GV87" si="583">IFERROR(IF(ISBLANK(BV78), "-", IF($I78="c", BV78*$I$5, BV78)),"-")</f>
        <v/>
      </c>
      <c r="GW78" s="41" t="str">
        <f t="shared" ref="GW78:GW87" si="584">IFERROR(IF(ISBLANK(BW78), "-", IF($I78="c", BW78*$I$5, BW78)),"-")</f>
        <v/>
      </c>
      <c r="GX78" s="41" t="str">
        <f t="shared" ref="GX78:GX87" si="585">IFERROR(IF(ISBLANK(BX78), "-", IF($I78="c", BX78*$I$5, BX78)),"-")</f>
        <v/>
      </c>
      <c r="GY78" s="41" t="str">
        <f t="shared" ref="GY78:GY87" si="586">IFERROR(IF(ISBLANK(BY78), "-", IF($I78="c", BY78*$I$5, BY78)),"-")</f>
        <v/>
      </c>
      <c r="GZ78" s="41" t="str">
        <f t="shared" ref="GZ78:GZ87" si="587">IFERROR(IF(ISBLANK(BZ78), "-", IF($I78="c", BZ78*$I$5, BZ78)),"-")</f>
        <v/>
      </c>
      <c r="HA78" s="41" t="str">
        <f t="shared" ref="HA78:HA87" si="588">IFERROR(IF(ISBLANK(CA78), "-", IF($I78="c", CA78*$I$5, CA78)),"-")</f>
        <v/>
      </c>
      <c r="HB78" s="41" t="str">
        <f t="shared" ref="HB78:HB87" si="589">IFERROR(IF(ISBLANK(CB78), "-", IF($I78="c", CB78*$I$5, CB78)),"-")</f>
        <v/>
      </c>
      <c r="HC78" s="41" t="str">
        <f t="shared" ref="HC78:HC87" si="590">IFERROR(IF(ISBLANK(CC78), "-", IF($I78="c", CC78*$I$5, CC78)),"-")</f>
        <v/>
      </c>
      <c r="HD78" s="41" t="str">
        <f t="shared" ref="HD78:HD87" si="591">IFERROR(IF(ISBLANK(CD78), "-", IF($I78="c", CD78*$I$5, CD78)),"-")</f>
        <v/>
      </c>
      <c r="HE78" s="41" t="str">
        <f t="shared" ref="HE78:HE87" si="592">IFERROR(IF(ISBLANK(CE78), "-", IF($I78="c", CE78*$I$5, CE78)),"-")</f>
        <v/>
      </c>
      <c r="HF78" s="41" t="str">
        <f t="shared" ref="HF78:HF87" si="593">IFERROR(IF(ISBLANK(CF78), "-", IF($I78="c", CF78*$I$5, CF78)),"-")</f>
        <v/>
      </c>
      <c r="HG78" s="41" t="str">
        <f t="shared" ref="HG78:HG87" si="594">IFERROR(IF(ISBLANK(CG78), "-", IF($I78="c", CG78*$I$5, CG78)),"-")</f>
        <v/>
      </c>
      <c r="HH78" s="41" t="str">
        <f t="shared" ref="HH78:HH87" si="595">IFERROR(IF(ISBLANK(CH78), "-", IF($I78="c", CH78*$I$5, CH78)),"-")</f>
        <v/>
      </c>
      <c r="HI78" s="41" t="str">
        <f t="shared" ref="HI78:HI87" si="596">IFERROR(IF(ISBLANK(CI78), "-", IF($I78="c", CI78*$I$5, CI78)),"-")</f>
        <v/>
      </c>
      <c r="HJ78" s="41" t="str">
        <f t="shared" ref="HJ78:HJ87" si="597">IFERROR(IF(ISBLANK(CJ78), "-", IF($I78="c", CJ78*$I$5, CJ78)),"-")</f>
        <v/>
      </c>
      <c r="HK78" s="41" t="str">
        <f t="shared" ref="HK78:HK87" si="598">IFERROR(IF(ISBLANK(CK78), "-", IF($I78="c", CK78*$I$5, CK78)),"-")</f>
        <v/>
      </c>
      <c r="HL78" s="41" t="str">
        <f t="shared" ref="HL78:HL87" si="599">IFERROR(IF(ISBLANK(CL78), "-", IF($I78="c", CL78*$I$5, CL78)),"-")</f>
        <v/>
      </c>
      <c r="HM78" s="41" t="str">
        <f t="shared" ref="HM78:HM87" si="600">IFERROR(IF(ISBLANK(CM78), "-", IF($I78="c", CM78*$I$5, CM78)),"-")</f>
        <v/>
      </c>
      <c r="HN78" s="41" t="str">
        <f t="shared" ref="HN78:HN87" si="601">IFERROR(IF(ISBLANK(CN78), "-", IF($I78="c", CN78*$I$5, CN78)),"-")</f>
        <v/>
      </c>
      <c r="HO78" s="41" t="str">
        <f t="shared" ref="HO78:HO87" si="602">IFERROR(IF(ISBLANK(CO78), "-", IF($I78="c", CO78*$I$5, CO78)),"-")</f>
        <v/>
      </c>
      <c r="HP78" s="41" t="str">
        <f t="shared" ref="HP78:HP87" si="603">IFERROR(IF(ISBLANK(CP78), "-", IF($I78="c", CP78*$I$5, CP78)),"-")</f>
        <v/>
      </c>
      <c r="HQ78" s="41" t="str">
        <f t="shared" ref="HQ78:HQ87" si="604">IFERROR(IF(ISBLANK(CQ78), "-", IF($I78="c", CQ78*$I$5, CQ78)),"-")</f>
        <v/>
      </c>
      <c r="HR78" s="41" t="str">
        <f t="shared" ref="HR78:HR87" si="605">IFERROR(IF(ISBLANK(CR78), "-", IF($I78="c", CR78*$I$5, CR78)),"-")</f>
        <v/>
      </c>
      <c r="HS78" s="41" t="str">
        <f t="shared" ref="HS78:HS87" si="606">IFERROR(IF(ISBLANK(CS78), "-", IF($I78="c", CS78*$I$5, CS78)),"-")</f>
        <v/>
      </c>
      <c r="HT78" s="41" t="str">
        <f t="shared" ref="HT78:HT87" si="607">IFERROR(IF(ISBLANK(CT78), "-", IF($I78="c", CT78*$I$5, CT78)),"-")</f>
        <v/>
      </c>
      <c r="HU78" s="41" t="str">
        <f t="shared" ref="HU78:HU87" si="608">IFERROR(IF(ISBLANK(CU78), "-", IF($I78="c", CU78*$I$5, CU78)),"-")</f>
        <v/>
      </c>
      <c r="HV78" s="41" t="str">
        <f t="shared" ref="HV78:HV87" si="609">IFERROR(IF(ISBLANK(CV78), "-", IF($I78="c", CV78*$I$5, CV78)),"-")</f>
        <v/>
      </c>
      <c r="HW78" s="41" t="str">
        <f t="shared" ref="HW78:HW87" si="610">IFERROR(IF(ISBLANK(CW78), "-", IF($I78="c", CW78*$I$5, CW78)),"-")</f>
        <v/>
      </c>
      <c r="HX78" s="41" t="str">
        <f t="shared" ref="HX78:HX87" si="611">IFERROR(IF(ISBLANK(CX78), "-", IF($I78="c", CX78*$I$5, CX78)),"-")</f>
        <v/>
      </c>
      <c r="HY78" s="41" t="str">
        <f t="shared" ref="HY78:HY87" si="612">IFERROR(IF(ISBLANK(CY78), "-", IF($I78="c", CY78*$I$5, CY78)),"-")</f>
        <v/>
      </c>
      <c r="HZ78" s="41" t="str">
        <f t="shared" ref="HZ78:HZ87" si="613">IFERROR(IF(ISBLANK(CZ78), "-", IF($I78="c", CZ78*$I$5, CZ78)),"-")</f>
        <v/>
      </c>
      <c r="IA78" s="41" t="str">
        <f t="shared" ref="IA78:IA87" si="614">IFERROR(IF(ISBLANK(DA78), "-", IF($I78="c", DA78*$I$5, DA78)),"-")</f>
        <v/>
      </c>
      <c r="IB78" s="41" t="str">
        <f t="shared" ref="IB78:IB87" si="615">IFERROR(IF(ISBLANK(DB78), "-", IF($I78="c", DB78*$I$5, DB78)),"-")</f>
        <v/>
      </c>
      <c r="IC78" s="41" t="str">
        <f t="shared" ref="IC78:IC87" si="616">IFERROR(IF(ISBLANK(DC78), "-", IF($I78="c", DC78*$I$5, DC78)),"-")</f>
        <v/>
      </c>
      <c r="ID78" s="41" t="str">
        <f t="shared" ref="ID78:ID87" si="617">IFERROR(IF(ISBLANK(DD78), "-", IF($I78="c", DD78*$I$5, DD78)),"-")</f>
        <v/>
      </c>
      <c r="IE78" s="41" t="str">
        <f t="shared" ref="IE78:IE87" si="618">IFERROR(IF(ISBLANK(DE78), "-", IF($I78="c", DE78*$I$5, DE78)),"-")</f>
        <v/>
      </c>
      <c r="IF78" s="41" t="str">
        <f t="shared" ref="IF78:IF87" si="619">IFERROR(IF(ISBLANK(DF78), "-", IF($I78="c", DF78*$I$5, DF78)),"-")</f>
        <v/>
      </c>
      <c r="IG78" s="306" t="str">
        <f t="shared" ref="IG78:IG87" si="620">IFERROR(IF(ISBLANK(DH78), "-", IF($I78="c", DH78*$I$5, DH78)),"-")</f>
        <v/>
      </c>
      <c r="IH78" s="44" t="str">
        <f t="shared" ref="IH78:IH87" si="621">IFERROR(IF(ISBLANK(DI78), "-", IF($I78="c", DI78*$I$5, DI78)),"-")</f>
        <v/>
      </c>
      <c r="II78" s="44" t="str">
        <f t="shared" ref="II78:II87" si="622">IFERROR(IF(ISBLANK(DJ78), "-", IF($I78="c", DJ78*$I$5, DJ78)),"-")</f>
        <v/>
      </c>
      <c r="IJ78" s="44" t="str">
        <f t="shared" ref="IJ78:IJ87" si="623">IFERROR(IF(ISBLANK(DK78), "-", IF($I78="c", DK78*$I$5, DK78)),"-")</f>
        <v/>
      </c>
      <c r="IK78" s="44" t="str">
        <f t="shared" ref="IK78:IK87" si="624">IFERROR(IF(ISBLANK(DL78), "-", IF($I78="c", DL78*$I$5, DL78)),"-")</f>
        <v/>
      </c>
      <c r="IL78" s="44" t="str">
        <f t="shared" ref="IL78:IL87" si="625">IFERROR(IF(ISBLANK(DM78), "-", IF($I78="c", DM78*$I$5, DM78)),"-")</f>
        <v/>
      </c>
      <c r="IM78" s="306" t="str">
        <f t="shared" ref="IM78:IM87" si="626">IFERROR(IF(ISBLANK(DO78), "", IF($I78="c",DO78*$I$5, DO78)),"-")</f>
        <v/>
      </c>
      <c r="IN78" s="44" t="str">
        <f t="shared" ref="IN78:IN87" si="627">IFERROR(IF(ISBLANK(DP78), "", IF($I78="c",DP78*$I$5, DP78)),"-")</f>
        <v/>
      </c>
      <c r="IO78" s="44" t="str">
        <f t="shared" ref="IO78:IO87" si="628">IFERROR(IF(ISBLANK(DQ78), "", IF($I78="c",DQ78*$I$5, DQ78)),"-")</f>
        <v/>
      </c>
      <c r="IP78" s="44" t="str">
        <f t="shared" ref="IP78:IP87" si="629">IFERROR(IF(ISBLANK(DR78), "", IF($I78="c",DR78*$I$5, DR78)),"-")</f>
        <v/>
      </c>
      <c r="IQ78" s="44" t="str">
        <f t="shared" ref="IQ78:IQ87" si="630">IFERROR(IF(ISBLANK(DS78), "", IF($I78="c",DS78*$I$5, DS78)),"-")</f>
        <v/>
      </c>
      <c r="IR78" s="44" t="str">
        <f t="shared" ref="IR78:IR87" si="631">IFERROR(IF(ISBLANK(DT78), "", IF($I78="c",DT78*$I$5, DT78)),"-")</f>
        <v/>
      </c>
      <c r="IS78" s="306" t="str">
        <f t="shared" ref="IS78:IS87" si="632">IFERROR(IF(ISBLANK(DV78), "", IF($I78="c", DV78*$I$5, DV78)),"-")</f>
        <v/>
      </c>
      <c r="IT78" s="44" t="str">
        <f t="shared" ref="IT78:IT87" si="633">IFERROR(IF(ISBLANK(DW78), "", IF($I78="c", DW78*$I$5, DW78)),"-")</f>
        <v/>
      </c>
      <c r="IU78" s="44" t="str">
        <f t="shared" ref="IU78:IU87" si="634">IFERROR(IF(ISBLANK(DX78), "", IF($I78="c", DX78*$I$5, DX78)),"-")</f>
        <v/>
      </c>
      <c r="IV78" s="44" t="str">
        <f t="shared" ref="IV78:IV87" si="635">IFERROR(IF(ISBLANK(DY78), "", IF($I78="c", DY78*$I$5, DY78)),"-")</f>
        <v/>
      </c>
      <c r="IW78" s="44" t="str">
        <f t="shared" ref="IW78:IW87" si="636">IFERROR(IF(ISBLANK(DZ78), "", IF($I78="c", DZ78*$I$5, DZ78)),"-")</f>
        <v/>
      </c>
      <c r="IX78" s="44" t="str">
        <f t="shared" ref="IX78:IX87" si="637">IFERROR(IF(ISBLANK(EA78), "", IF($I78="c", EA78*$I$5, EA78)),"-")</f>
        <v/>
      </c>
      <c r="IY78" s="306" t="str">
        <f t="shared" ref="IY78:IY87" si="638">IFERROR(IF(ISBLANK(EC78), "", IF($I78="c", EC78*$I$5, EC78)),"-")</f>
        <v/>
      </c>
      <c r="IZ78" s="44" t="str">
        <f t="shared" ref="IZ78:IZ87" si="639">IFERROR(IF(ISBLANK(ED78), "", IF($I78="c", ED78*$I$5, ED78)),"-")</f>
        <v/>
      </c>
      <c r="JA78" s="44" t="str">
        <f t="shared" ref="JA78:JA87" si="640">IFERROR(IF(ISBLANK(EE78), "", IF($I78="c", EE78*$I$5, EE78)),"-")</f>
        <v/>
      </c>
      <c r="JB78" s="44" t="str">
        <f t="shared" ref="JB78:JB87" si="641">IFERROR(IF(ISBLANK(EF78), "", IF($I78="c", EF78*$I$5, EF78)),"-")</f>
        <v/>
      </c>
      <c r="JC78" s="44" t="str">
        <f t="shared" ref="JC78:JC87" si="642">IFERROR(IF(ISBLANK(EG78), "", IF($I78="c", EG78*$I$5, EG78)),"-")</f>
        <v/>
      </c>
      <c r="JD78" s="307" t="str">
        <f t="shared" ref="JD78:JD87" si="643">IFERROR(IF(ISBLANK(EH78), "", IF($I78="c", EH78*$I$5, EH78)),"-")</f>
        <v/>
      </c>
      <c r="JF78" s="66">
        <f t="shared" si="224"/>
        <v>78</v>
      </c>
      <c r="JG78" s="66">
        <f t="shared" ref="JG78:JG87" ca="1" si="644">SUM(INDIRECT(VLOOKUP($JH$4,XPEERCOLUMNS,2,0) &amp; JF78 &amp; ":" &amp; VLOOKUP($JH$4,XPEERCOLUMNS,2,0) &amp; JF78))</f>
        <v>0</v>
      </c>
      <c r="JH78" s="66">
        <f t="shared" ref="JH78:JH87" ca="1" si="645">SUM(INDIRECT(VLOOKUP($JH$4,XPEERCOLUMNS,3,0) &amp; JF78 &amp; ":" &amp; VLOOKUP($JH$4,XPEERCOLUMNS,3,0) &amp; JF78))</f>
        <v>0</v>
      </c>
      <c r="JI78" s="66">
        <f t="shared" ref="JI78:JI87" ca="1" si="646">SUM(INDIRECT(VLOOKUP($JH$4,XPEERCOLUMNS,4,0) &amp; JF78 &amp; ":" &amp; VLOOKUP($JH$4,XPEERCOLUMNS,4,0) &amp; JF78))</f>
        <v>0</v>
      </c>
      <c r="JJ78" s="66">
        <f t="shared" ref="JJ78:JJ87" ca="1" si="647">SUM(INDIRECT(VLOOKUP($JH$4,XPEERCOLUMNS,5,0) &amp; JF78 &amp; ":" &amp; VLOOKUP($JH$4,XPEERCOLUMNS,5,0) &amp; JF78))</f>
        <v>0</v>
      </c>
      <c r="JK78" s="33"/>
      <c r="JL78" s="74" t="str">
        <f t="shared" ref="JL78:JL87" ca="1" si="648">IF(JG78=0,"-",JG78)</f>
        <v>-</v>
      </c>
      <c r="JM78" s="75">
        <f t="shared" ref="JM78:JM87" ca="1" si="649">IF(G78="Smaller better",JG78-((JG78-JH78)*0.5),JG78+((JH78-JG78)*0.5))</f>
        <v>0</v>
      </c>
      <c r="JN78" s="75">
        <f t="shared" ref="JN78:JN87" ca="1" si="650">IF(G78="Smaller better",JH78-((JH78-JI78)*0.5),JH78+((JI78-JH78)*0.5))</f>
        <v>0</v>
      </c>
      <c r="JO78" s="74" t="str">
        <f t="shared" ref="JO78:JO87" ca="1" si="651">IF(JI78=0,"-",JI78)</f>
        <v>-</v>
      </c>
      <c r="JP78" s="74">
        <f t="shared" ref="JP78:JP87" ca="1" si="652">SUM(JL78:JO78)</f>
        <v>0</v>
      </c>
    </row>
    <row r="79" spans="1:276" s="1" customFormat="1" x14ac:dyDescent="0.35">
      <c r="A79" s="125">
        <v>0</v>
      </c>
      <c r="B79" s="125">
        <v>0</v>
      </c>
      <c r="C79" s="125">
        <v>1</v>
      </c>
      <c r="E79" s="142" t="s">
        <v>114</v>
      </c>
      <c r="F79" s="227" t="s">
        <v>115</v>
      </c>
      <c r="G79" s="228" t="s">
        <v>530</v>
      </c>
      <c r="H79" s="210" t="s">
        <v>547</v>
      </c>
      <c r="I79" s="8" t="s">
        <v>532</v>
      </c>
      <c r="J79" s="211" t="s">
        <v>805</v>
      </c>
      <c r="K79" s="211" t="s">
        <v>805</v>
      </c>
      <c r="L79" s="211" t="s">
        <v>805</v>
      </c>
      <c r="M79" s="211" t="s">
        <v>805</v>
      </c>
      <c r="N79" s="211" t="s">
        <v>805</v>
      </c>
      <c r="O79" s="211" t="s">
        <v>805</v>
      </c>
      <c r="P79" s="211" t="s">
        <v>805</v>
      </c>
      <c r="Q79" s="211" t="s">
        <v>805</v>
      </c>
      <c r="R79" s="211" t="s">
        <v>805</v>
      </c>
      <c r="S79" s="211" t="s">
        <v>805</v>
      </c>
      <c r="T79" s="211" t="s">
        <v>805</v>
      </c>
      <c r="U79" s="211" t="s">
        <v>805</v>
      </c>
      <c r="V79" s="211" t="s">
        <v>805</v>
      </c>
      <c r="W79" s="211" t="s">
        <v>805</v>
      </c>
      <c r="X79" s="211" t="s">
        <v>805</v>
      </c>
      <c r="Y79" s="211" t="s">
        <v>805</v>
      </c>
      <c r="Z79" s="211" t="s">
        <v>805</v>
      </c>
      <c r="AA79" s="211" t="s">
        <v>805</v>
      </c>
      <c r="AB79" s="211" t="s">
        <v>805</v>
      </c>
      <c r="AC79" s="211" t="s">
        <v>805</v>
      </c>
      <c r="AD79" s="211" t="s">
        <v>805</v>
      </c>
      <c r="AE79" s="211" t="s">
        <v>805</v>
      </c>
      <c r="AF79" s="211" t="s">
        <v>805</v>
      </c>
      <c r="AG79" s="211" t="s">
        <v>805</v>
      </c>
      <c r="AH79" s="211" t="s">
        <v>805</v>
      </c>
      <c r="AI79" s="211" t="s">
        <v>805</v>
      </c>
      <c r="AJ79" s="211" t="s">
        <v>805</v>
      </c>
      <c r="AK79" s="211" t="s">
        <v>805</v>
      </c>
      <c r="AL79" s="211" t="s">
        <v>805</v>
      </c>
      <c r="AM79" s="211" t="s">
        <v>805</v>
      </c>
      <c r="AN79" s="211" t="s">
        <v>805</v>
      </c>
      <c r="AO79" s="211" t="s">
        <v>805</v>
      </c>
      <c r="AP79" s="211" t="s">
        <v>805</v>
      </c>
      <c r="AQ79" s="211" t="s">
        <v>805</v>
      </c>
      <c r="AR79" s="211" t="s">
        <v>805</v>
      </c>
      <c r="AS79" s="211" t="s">
        <v>805</v>
      </c>
      <c r="AT79" s="211" t="s">
        <v>805</v>
      </c>
      <c r="AU79" s="211" t="s">
        <v>805</v>
      </c>
      <c r="AV79" s="211" t="s">
        <v>805</v>
      </c>
      <c r="AW79" s="211" t="s">
        <v>805</v>
      </c>
      <c r="AX79" s="211" t="s">
        <v>805</v>
      </c>
      <c r="AY79" s="211" t="s">
        <v>805</v>
      </c>
      <c r="AZ79" s="211" t="s">
        <v>805</v>
      </c>
      <c r="BA79" s="211" t="s">
        <v>805</v>
      </c>
      <c r="BB79" s="211" t="s">
        <v>805</v>
      </c>
      <c r="BC79" s="211" t="s">
        <v>805</v>
      </c>
      <c r="BD79" s="211" t="s">
        <v>805</v>
      </c>
      <c r="BE79" s="211" t="s">
        <v>805</v>
      </c>
      <c r="BF79" s="211" t="s">
        <v>805</v>
      </c>
      <c r="BG79" s="211" t="s">
        <v>805</v>
      </c>
      <c r="BH79" s="211" t="s">
        <v>805</v>
      </c>
      <c r="BI79" s="211" t="s">
        <v>805</v>
      </c>
      <c r="BJ79" s="211" t="s">
        <v>805</v>
      </c>
      <c r="BK79" s="211" t="s">
        <v>805</v>
      </c>
      <c r="BL79" s="211" t="s">
        <v>805</v>
      </c>
      <c r="BM79" s="211" t="s">
        <v>805</v>
      </c>
      <c r="BN79" s="211" t="s">
        <v>805</v>
      </c>
      <c r="BO79" s="211" t="s">
        <v>805</v>
      </c>
      <c r="BP79" s="211" t="s">
        <v>805</v>
      </c>
      <c r="BQ79" s="211" t="s">
        <v>805</v>
      </c>
      <c r="BR79" s="211" t="s">
        <v>805</v>
      </c>
      <c r="BS79" s="211" t="s">
        <v>805</v>
      </c>
      <c r="BT79" s="211" t="s">
        <v>805</v>
      </c>
      <c r="BU79" s="211" t="s">
        <v>805</v>
      </c>
      <c r="BV79" s="211" t="s">
        <v>805</v>
      </c>
      <c r="BW79" s="211" t="s">
        <v>805</v>
      </c>
      <c r="BX79" s="211" t="s">
        <v>805</v>
      </c>
      <c r="BY79" s="211" t="s">
        <v>805</v>
      </c>
      <c r="BZ79" s="211" t="s">
        <v>805</v>
      </c>
      <c r="CA79" s="211" t="s">
        <v>805</v>
      </c>
      <c r="CB79" s="211" t="s">
        <v>805</v>
      </c>
      <c r="CC79" s="211" t="s">
        <v>805</v>
      </c>
      <c r="CD79" s="211" t="s">
        <v>805</v>
      </c>
      <c r="CE79" s="211" t="s">
        <v>805</v>
      </c>
      <c r="CF79" s="211" t="s">
        <v>805</v>
      </c>
      <c r="CG79" s="211" t="s">
        <v>805</v>
      </c>
      <c r="CH79" s="211" t="s">
        <v>805</v>
      </c>
      <c r="CI79" s="211" t="s">
        <v>805</v>
      </c>
      <c r="CJ79" s="211" t="s">
        <v>805</v>
      </c>
      <c r="CK79" s="211" t="s">
        <v>805</v>
      </c>
      <c r="CL79" s="211" t="s">
        <v>805</v>
      </c>
      <c r="CM79" s="211" t="s">
        <v>805</v>
      </c>
      <c r="CN79" s="211" t="s">
        <v>805</v>
      </c>
      <c r="CO79" s="211" t="s">
        <v>805</v>
      </c>
      <c r="CP79" s="211" t="s">
        <v>805</v>
      </c>
      <c r="CQ79" s="211" t="s">
        <v>805</v>
      </c>
      <c r="CR79" s="211" t="s">
        <v>805</v>
      </c>
      <c r="CS79" s="211" t="s">
        <v>805</v>
      </c>
      <c r="CT79" s="211" t="s">
        <v>805</v>
      </c>
      <c r="CU79" s="211" t="s">
        <v>805</v>
      </c>
      <c r="CV79" s="211" t="s">
        <v>805</v>
      </c>
      <c r="CW79" s="211" t="s">
        <v>805</v>
      </c>
      <c r="CX79" s="211" t="s">
        <v>805</v>
      </c>
      <c r="CY79" s="211" t="s">
        <v>805</v>
      </c>
      <c r="CZ79" s="211" t="s">
        <v>805</v>
      </c>
      <c r="DA79" s="211" t="s">
        <v>805</v>
      </c>
      <c r="DB79" s="211" t="s">
        <v>805</v>
      </c>
      <c r="DC79" s="211" t="s">
        <v>805</v>
      </c>
      <c r="DD79" s="211" t="s">
        <v>805</v>
      </c>
      <c r="DE79" s="211" t="s">
        <v>805</v>
      </c>
      <c r="DF79" s="211" t="s">
        <v>805</v>
      </c>
      <c r="DG79" s="212">
        <f>VLOOKUP(E79,'KPI Count-SHARE'!A:F,3,0)</f>
        <v>0</v>
      </c>
      <c r="DH79" s="213" t="s">
        <v>805</v>
      </c>
      <c r="DI79" s="213" t="s">
        <v>805</v>
      </c>
      <c r="DJ79" s="213" t="s">
        <v>805</v>
      </c>
      <c r="DK79" s="213" t="s">
        <v>805</v>
      </c>
      <c r="DL79" s="213" t="s">
        <v>805</v>
      </c>
      <c r="DM79" s="213" t="s">
        <v>805</v>
      </c>
      <c r="DN79" s="212">
        <f>VLOOKUP(E79,'KPI Count-SHARE'!A:F,4,0)</f>
        <v>0</v>
      </c>
      <c r="DO79" s="213"/>
      <c r="DP79" s="213"/>
      <c r="DQ79" s="213"/>
      <c r="DR79" s="213"/>
      <c r="DS79" s="213"/>
      <c r="DT79" s="213"/>
      <c r="DU79" s="212">
        <f>VLOOKUP(E79,'KPI Count-SHARE'!A:F,5,0)</f>
        <v>0</v>
      </c>
      <c r="DV79" s="213"/>
      <c r="DW79" s="213"/>
      <c r="DX79" s="213"/>
      <c r="DY79" s="213"/>
      <c r="DZ79" s="213"/>
      <c r="EA79" s="213"/>
      <c r="EB79" s="212">
        <f>VLOOKUP(E79,'KPI Count-SHARE'!A:F,6,0)</f>
        <v>0</v>
      </c>
      <c r="EC79" s="213"/>
      <c r="ED79" s="213"/>
      <c r="EE79" s="213"/>
      <c r="EF79" s="213"/>
      <c r="EG79" s="213"/>
      <c r="EH79" s="213"/>
      <c r="EI79" s="214" t="s">
        <v>547</v>
      </c>
      <c r="EJ79" s="41" t="str">
        <f t="shared" si="519"/>
        <v/>
      </c>
      <c r="EK79" s="41" t="str">
        <f t="shared" si="520"/>
        <v/>
      </c>
      <c r="EL79" s="41" t="str">
        <f t="shared" si="521"/>
        <v/>
      </c>
      <c r="EM79" s="41" t="str">
        <f t="shared" si="522"/>
        <v/>
      </c>
      <c r="EN79" s="41" t="str">
        <f t="shared" si="523"/>
        <v/>
      </c>
      <c r="EO79" s="41" t="str">
        <f t="shared" si="524"/>
        <v/>
      </c>
      <c r="EP79" s="41" t="str">
        <f t="shared" si="525"/>
        <v/>
      </c>
      <c r="EQ79" s="41" t="str">
        <f t="shared" si="526"/>
        <v/>
      </c>
      <c r="ER79" s="41" t="str">
        <f t="shared" si="527"/>
        <v/>
      </c>
      <c r="ES79" s="41" t="str">
        <f t="shared" si="528"/>
        <v/>
      </c>
      <c r="ET79" s="41" t="str">
        <f t="shared" si="529"/>
        <v/>
      </c>
      <c r="EU79" s="41" t="str">
        <f t="shared" si="530"/>
        <v/>
      </c>
      <c r="EV79" s="41" t="str">
        <f t="shared" si="531"/>
        <v/>
      </c>
      <c r="EW79" s="41" t="str">
        <f t="shared" si="532"/>
        <v/>
      </c>
      <c r="EX79" s="41" t="str">
        <f t="shared" si="533"/>
        <v/>
      </c>
      <c r="EY79" s="41" t="str">
        <f t="shared" si="534"/>
        <v/>
      </c>
      <c r="EZ79" s="41" t="str">
        <f t="shared" si="535"/>
        <v/>
      </c>
      <c r="FA79" s="41" t="str">
        <f t="shared" si="536"/>
        <v/>
      </c>
      <c r="FB79" s="41" t="str">
        <f t="shared" si="537"/>
        <v/>
      </c>
      <c r="FC79" s="41" t="str">
        <f t="shared" si="538"/>
        <v/>
      </c>
      <c r="FD79" s="41" t="str">
        <f t="shared" si="539"/>
        <v/>
      </c>
      <c r="FE79" s="41" t="str">
        <f t="shared" si="540"/>
        <v/>
      </c>
      <c r="FF79" s="41" t="str">
        <f t="shared" si="541"/>
        <v/>
      </c>
      <c r="FG79" s="41" t="str">
        <f t="shared" si="542"/>
        <v/>
      </c>
      <c r="FH79" s="41" t="str">
        <f t="shared" si="543"/>
        <v/>
      </c>
      <c r="FI79" s="41" t="str">
        <f t="shared" si="544"/>
        <v/>
      </c>
      <c r="FJ79" s="41" t="str">
        <f t="shared" si="545"/>
        <v/>
      </c>
      <c r="FK79" s="41" t="str">
        <f t="shared" si="546"/>
        <v/>
      </c>
      <c r="FL79" s="41" t="str">
        <f t="shared" si="547"/>
        <v/>
      </c>
      <c r="FM79" s="41" t="str">
        <f t="shared" si="548"/>
        <v/>
      </c>
      <c r="FN79" s="41" t="str">
        <f t="shared" si="549"/>
        <v/>
      </c>
      <c r="FO79" s="41" t="str">
        <f t="shared" si="550"/>
        <v/>
      </c>
      <c r="FP79" s="41" t="str">
        <f t="shared" si="551"/>
        <v/>
      </c>
      <c r="FQ79" s="41" t="str">
        <f t="shared" si="552"/>
        <v/>
      </c>
      <c r="FR79" s="41" t="str">
        <f t="shared" si="553"/>
        <v/>
      </c>
      <c r="FS79" s="41" t="str">
        <f t="shared" si="554"/>
        <v/>
      </c>
      <c r="FT79" s="41" t="str">
        <f t="shared" si="555"/>
        <v/>
      </c>
      <c r="FU79" s="41" t="str">
        <f t="shared" si="556"/>
        <v/>
      </c>
      <c r="FV79" s="41" t="str">
        <f t="shared" si="557"/>
        <v/>
      </c>
      <c r="FW79" s="41" t="str">
        <f t="shared" si="558"/>
        <v/>
      </c>
      <c r="FX79" s="41" t="str">
        <f t="shared" si="559"/>
        <v/>
      </c>
      <c r="FY79" s="41" t="str">
        <f t="shared" si="560"/>
        <v/>
      </c>
      <c r="FZ79" s="41" t="str">
        <f t="shared" si="561"/>
        <v/>
      </c>
      <c r="GA79" s="41" t="str">
        <f t="shared" si="562"/>
        <v/>
      </c>
      <c r="GB79" s="41" t="str">
        <f t="shared" si="563"/>
        <v/>
      </c>
      <c r="GC79" s="41" t="str">
        <f t="shared" si="564"/>
        <v/>
      </c>
      <c r="GD79" s="41" t="str">
        <f t="shared" si="565"/>
        <v/>
      </c>
      <c r="GE79" s="41" t="str">
        <f t="shared" si="566"/>
        <v/>
      </c>
      <c r="GF79" s="41" t="str">
        <f t="shared" si="567"/>
        <v/>
      </c>
      <c r="GG79" s="41" t="str">
        <f t="shared" si="568"/>
        <v/>
      </c>
      <c r="GH79" s="41" t="str">
        <f t="shared" si="569"/>
        <v/>
      </c>
      <c r="GI79" s="41" t="str">
        <f t="shared" si="570"/>
        <v/>
      </c>
      <c r="GJ79" s="41" t="str">
        <f t="shared" si="571"/>
        <v/>
      </c>
      <c r="GK79" s="41" t="str">
        <f t="shared" si="572"/>
        <v/>
      </c>
      <c r="GL79" s="41" t="str">
        <f t="shared" si="573"/>
        <v/>
      </c>
      <c r="GM79" s="41" t="str">
        <f t="shared" si="574"/>
        <v/>
      </c>
      <c r="GN79" s="41" t="str">
        <f t="shared" si="575"/>
        <v/>
      </c>
      <c r="GO79" s="41" t="str">
        <f t="shared" si="576"/>
        <v/>
      </c>
      <c r="GP79" s="41" t="str">
        <f t="shared" si="577"/>
        <v/>
      </c>
      <c r="GQ79" s="41" t="str">
        <f t="shared" si="578"/>
        <v/>
      </c>
      <c r="GR79" s="41" t="str">
        <f t="shared" si="579"/>
        <v/>
      </c>
      <c r="GS79" s="41" t="str">
        <f t="shared" si="580"/>
        <v/>
      </c>
      <c r="GT79" s="41" t="str">
        <f t="shared" si="581"/>
        <v/>
      </c>
      <c r="GU79" s="41" t="str">
        <f t="shared" si="582"/>
        <v/>
      </c>
      <c r="GV79" s="41" t="str">
        <f t="shared" si="583"/>
        <v/>
      </c>
      <c r="GW79" s="41" t="str">
        <f t="shared" si="584"/>
        <v/>
      </c>
      <c r="GX79" s="41" t="str">
        <f t="shared" si="585"/>
        <v/>
      </c>
      <c r="GY79" s="41" t="str">
        <f t="shared" si="586"/>
        <v/>
      </c>
      <c r="GZ79" s="41" t="str">
        <f t="shared" si="587"/>
        <v/>
      </c>
      <c r="HA79" s="41" t="str">
        <f t="shared" si="588"/>
        <v/>
      </c>
      <c r="HB79" s="41" t="str">
        <f t="shared" si="589"/>
        <v/>
      </c>
      <c r="HC79" s="41" t="str">
        <f t="shared" si="590"/>
        <v/>
      </c>
      <c r="HD79" s="41" t="str">
        <f t="shared" si="591"/>
        <v/>
      </c>
      <c r="HE79" s="41" t="str">
        <f t="shared" si="592"/>
        <v/>
      </c>
      <c r="HF79" s="41" t="str">
        <f t="shared" si="593"/>
        <v/>
      </c>
      <c r="HG79" s="41" t="str">
        <f t="shared" si="594"/>
        <v/>
      </c>
      <c r="HH79" s="41" t="str">
        <f t="shared" si="595"/>
        <v/>
      </c>
      <c r="HI79" s="41" t="str">
        <f t="shared" si="596"/>
        <v/>
      </c>
      <c r="HJ79" s="41" t="str">
        <f t="shared" si="597"/>
        <v/>
      </c>
      <c r="HK79" s="41" t="str">
        <f t="shared" si="598"/>
        <v/>
      </c>
      <c r="HL79" s="41" t="str">
        <f t="shared" si="599"/>
        <v/>
      </c>
      <c r="HM79" s="41" t="str">
        <f t="shared" si="600"/>
        <v/>
      </c>
      <c r="HN79" s="41" t="str">
        <f t="shared" si="601"/>
        <v/>
      </c>
      <c r="HO79" s="41" t="str">
        <f t="shared" si="602"/>
        <v/>
      </c>
      <c r="HP79" s="41" t="str">
        <f t="shared" si="603"/>
        <v/>
      </c>
      <c r="HQ79" s="41" t="str">
        <f t="shared" si="604"/>
        <v/>
      </c>
      <c r="HR79" s="41" t="str">
        <f t="shared" si="605"/>
        <v/>
      </c>
      <c r="HS79" s="41" t="str">
        <f t="shared" si="606"/>
        <v/>
      </c>
      <c r="HT79" s="41" t="str">
        <f t="shared" si="607"/>
        <v/>
      </c>
      <c r="HU79" s="41" t="str">
        <f t="shared" si="608"/>
        <v/>
      </c>
      <c r="HV79" s="41" t="str">
        <f t="shared" si="609"/>
        <v/>
      </c>
      <c r="HW79" s="41" t="str">
        <f t="shared" si="610"/>
        <v/>
      </c>
      <c r="HX79" s="41" t="str">
        <f t="shared" si="611"/>
        <v/>
      </c>
      <c r="HY79" s="41" t="str">
        <f t="shared" si="612"/>
        <v/>
      </c>
      <c r="HZ79" s="41" t="str">
        <f t="shared" si="613"/>
        <v/>
      </c>
      <c r="IA79" s="41" t="str">
        <f t="shared" si="614"/>
        <v/>
      </c>
      <c r="IB79" s="41" t="str">
        <f t="shared" si="615"/>
        <v/>
      </c>
      <c r="IC79" s="41" t="str">
        <f t="shared" si="616"/>
        <v/>
      </c>
      <c r="ID79" s="41" t="str">
        <f t="shared" si="617"/>
        <v/>
      </c>
      <c r="IE79" s="41" t="str">
        <f t="shared" si="618"/>
        <v/>
      </c>
      <c r="IF79" s="41" t="str">
        <f t="shared" si="619"/>
        <v/>
      </c>
      <c r="IG79" s="306" t="str">
        <f t="shared" si="620"/>
        <v/>
      </c>
      <c r="IH79" s="44" t="str">
        <f t="shared" si="621"/>
        <v/>
      </c>
      <c r="II79" s="44" t="str">
        <f t="shared" si="622"/>
        <v/>
      </c>
      <c r="IJ79" s="44" t="str">
        <f t="shared" si="623"/>
        <v/>
      </c>
      <c r="IK79" s="44" t="str">
        <f t="shared" si="624"/>
        <v/>
      </c>
      <c r="IL79" s="44" t="str">
        <f t="shared" si="625"/>
        <v/>
      </c>
      <c r="IM79" s="306" t="str">
        <f t="shared" si="626"/>
        <v/>
      </c>
      <c r="IN79" s="44" t="str">
        <f t="shared" si="627"/>
        <v/>
      </c>
      <c r="IO79" s="44" t="str">
        <f t="shared" si="628"/>
        <v/>
      </c>
      <c r="IP79" s="44" t="str">
        <f t="shared" si="629"/>
        <v/>
      </c>
      <c r="IQ79" s="44" t="str">
        <f t="shared" si="630"/>
        <v/>
      </c>
      <c r="IR79" s="44" t="str">
        <f t="shared" si="631"/>
        <v/>
      </c>
      <c r="IS79" s="306" t="str">
        <f t="shared" si="632"/>
        <v/>
      </c>
      <c r="IT79" s="44" t="str">
        <f t="shared" si="633"/>
        <v/>
      </c>
      <c r="IU79" s="44" t="str">
        <f t="shared" si="634"/>
        <v/>
      </c>
      <c r="IV79" s="44" t="str">
        <f t="shared" si="635"/>
        <v/>
      </c>
      <c r="IW79" s="44" t="str">
        <f t="shared" si="636"/>
        <v/>
      </c>
      <c r="IX79" s="44" t="str">
        <f t="shared" si="637"/>
        <v/>
      </c>
      <c r="IY79" s="306" t="str">
        <f t="shared" si="638"/>
        <v/>
      </c>
      <c r="IZ79" s="44" t="str">
        <f t="shared" si="639"/>
        <v/>
      </c>
      <c r="JA79" s="44" t="str">
        <f t="shared" si="640"/>
        <v/>
      </c>
      <c r="JB79" s="44" t="str">
        <f t="shared" si="641"/>
        <v/>
      </c>
      <c r="JC79" s="44" t="str">
        <f t="shared" si="642"/>
        <v/>
      </c>
      <c r="JD79" s="307" t="str">
        <f t="shared" si="643"/>
        <v/>
      </c>
      <c r="JF79" s="66">
        <f t="shared" si="224"/>
        <v>79</v>
      </c>
      <c r="JG79" s="66">
        <f t="shared" ca="1" si="644"/>
        <v>0</v>
      </c>
      <c r="JH79" s="66">
        <f t="shared" ca="1" si="645"/>
        <v>0</v>
      </c>
      <c r="JI79" s="66">
        <f t="shared" ca="1" si="646"/>
        <v>0</v>
      </c>
      <c r="JJ79" s="66">
        <f t="shared" ca="1" si="647"/>
        <v>0</v>
      </c>
      <c r="JK79" s="33"/>
      <c r="JL79" s="74" t="str">
        <f t="shared" ca="1" si="648"/>
        <v>-</v>
      </c>
      <c r="JM79" s="75">
        <f t="shared" ca="1" si="649"/>
        <v>0</v>
      </c>
      <c r="JN79" s="75">
        <f t="shared" ca="1" si="650"/>
        <v>0</v>
      </c>
      <c r="JO79" s="74" t="str">
        <f t="shared" ca="1" si="651"/>
        <v>-</v>
      </c>
      <c r="JP79" s="74">
        <f t="shared" ca="1" si="652"/>
        <v>0</v>
      </c>
    </row>
    <row r="80" spans="1:276" s="1" customFormat="1" x14ac:dyDescent="0.35">
      <c r="A80" s="125">
        <v>0</v>
      </c>
      <c r="B80" s="125">
        <v>0</v>
      </c>
      <c r="C80" s="125">
        <v>1</v>
      </c>
      <c r="E80" s="142" t="s">
        <v>124</v>
      </c>
      <c r="F80" s="227" t="s">
        <v>125</v>
      </c>
      <c r="G80" s="228" t="s">
        <v>530</v>
      </c>
      <c r="H80" s="210" t="s">
        <v>546</v>
      </c>
      <c r="I80" s="8" t="s">
        <v>532</v>
      </c>
      <c r="J80" s="211" t="s">
        <v>805</v>
      </c>
      <c r="K80" s="211" t="s">
        <v>805</v>
      </c>
      <c r="L80" s="211" t="s">
        <v>805</v>
      </c>
      <c r="M80" s="211" t="s">
        <v>805</v>
      </c>
      <c r="N80" s="211" t="s">
        <v>805</v>
      </c>
      <c r="O80" s="211" t="s">
        <v>805</v>
      </c>
      <c r="P80" s="211" t="s">
        <v>805</v>
      </c>
      <c r="Q80" s="211" t="s">
        <v>805</v>
      </c>
      <c r="R80" s="211" t="s">
        <v>805</v>
      </c>
      <c r="S80" s="211" t="s">
        <v>805</v>
      </c>
      <c r="T80" s="211" t="s">
        <v>805</v>
      </c>
      <c r="U80" s="211" t="s">
        <v>805</v>
      </c>
      <c r="V80" s="211" t="s">
        <v>805</v>
      </c>
      <c r="W80" s="211" t="s">
        <v>805</v>
      </c>
      <c r="X80" s="211" t="s">
        <v>805</v>
      </c>
      <c r="Y80" s="211" t="s">
        <v>805</v>
      </c>
      <c r="Z80" s="211" t="s">
        <v>805</v>
      </c>
      <c r="AA80" s="211" t="s">
        <v>805</v>
      </c>
      <c r="AB80" s="211" t="s">
        <v>805</v>
      </c>
      <c r="AC80" s="211" t="s">
        <v>805</v>
      </c>
      <c r="AD80" s="211" t="s">
        <v>805</v>
      </c>
      <c r="AE80" s="211" t="s">
        <v>805</v>
      </c>
      <c r="AF80" s="211" t="s">
        <v>805</v>
      </c>
      <c r="AG80" s="211" t="s">
        <v>805</v>
      </c>
      <c r="AH80" s="211" t="s">
        <v>805</v>
      </c>
      <c r="AI80" s="211" t="s">
        <v>805</v>
      </c>
      <c r="AJ80" s="211" t="s">
        <v>805</v>
      </c>
      <c r="AK80" s="211" t="s">
        <v>805</v>
      </c>
      <c r="AL80" s="211" t="s">
        <v>805</v>
      </c>
      <c r="AM80" s="211" t="s">
        <v>805</v>
      </c>
      <c r="AN80" s="211" t="s">
        <v>805</v>
      </c>
      <c r="AO80" s="211" t="s">
        <v>805</v>
      </c>
      <c r="AP80" s="211" t="s">
        <v>805</v>
      </c>
      <c r="AQ80" s="211" t="s">
        <v>805</v>
      </c>
      <c r="AR80" s="211" t="s">
        <v>805</v>
      </c>
      <c r="AS80" s="211" t="s">
        <v>805</v>
      </c>
      <c r="AT80" s="211" t="s">
        <v>805</v>
      </c>
      <c r="AU80" s="211" t="s">
        <v>805</v>
      </c>
      <c r="AV80" s="211" t="s">
        <v>805</v>
      </c>
      <c r="AW80" s="211" t="s">
        <v>805</v>
      </c>
      <c r="AX80" s="211" t="s">
        <v>805</v>
      </c>
      <c r="AY80" s="211" t="s">
        <v>805</v>
      </c>
      <c r="AZ80" s="211" t="s">
        <v>805</v>
      </c>
      <c r="BA80" s="211" t="s">
        <v>805</v>
      </c>
      <c r="BB80" s="211" t="s">
        <v>805</v>
      </c>
      <c r="BC80" s="211" t="s">
        <v>805</v>
      </c>
      <c r="BD80" s="211" t="s">
        <v>805</v>
      </c>
      <c r="BE80" s="211" t="s">
        <v>805</v>
      </c>
      <c r="BF80" s="211" t="s">
        <v>805</v>
      </c>
      <c r="BG80" s="211" t="s">
        <v>805</v>
      </c>
      <c r="BH80" s="211" t="s">
        <v>805</v>
      </c>
      <c r="BI80" s="211" t="s">
        <v>805</v>
      </c>
      <c r="BJ80" s="211" t="s">
        <v>805</v>
      </c>
      <c r="BK80" s="211" t="s">
        <v>805</v>
      </c>
      <c r="BL80" s="211" t="s">
        <v>805</v>
      </c>
      <c r="BM80" s="211" t="s">
        <v>805</v>
      </c>
      <c r="BN80" s="211" t="s">
        <v>805</v>
      </c>
      <c r="BO80" s="211" t="s">
        <v>805</v>
      </c>
      <c r="BP80" s="211" t="s">
        <v>805</v>
      </c>
      <c r="BQ80" s="211" t="s">
        <v>805</v>
      </c>
      <c r="BR80" s="211" t="s">
        <v>805</v>
      </c>
      <c r="BS80" s="211" t="s">
        <v>805</v>
      </c>
      <c r="BT80" s="211" t="s">
        <v>805</v>
      </c>
      <c r="BU80" s="211" t="s">
        <v>805</v>
      </c>
      <c r="BV80" s="211" t="s">
        <v>805</v>
      </c>
      <c r="BW80" s="211" t="s">
        <v>805</v>
      </c>
      <c r="BX80" s="211" t="s">
        <v>805</v>
      </c>
      <c r="BY80" s="211" t="s">
        <v>805</v>
      </c>
      <c r="BZ80" s="211" t="s">
        <v>805</v>
      </c>
      <c r="CA80" s="211" t="s">
        <v>805</v>
      </c>
      <c r="CB80" s="211" t="s">
        <v>805</v>
      </c>
      <c r="CC80" s="211" t="s">
        <v>805</v>
      </c>
      <c r="CD80" s="211" t="s">
        <v>805</v>
      </c>
      <c r="CE80" s="211" t="s">
        <v>805</v>
      </c>
      <c r="CF80" s="211" t="s">
        <v>805</v>
      </c>
      <c r="CG80" s="211" t="s">
        <v>805</v>
      </c>
      <c r="CH80" s="211" t="s">
        <v>805</v>
      </c>
      <c r="CI80" s="211" t="s">
        <v>805</v>
      </c>
      <c r="CJ80" s="211" t="s">
        <v>805</v>
      </c>
      <c r="CK80" s="211" t="s">
        <v>805</v>
      </c>
      <c r="CL80" s="211" t="s">
        <v>805</v>
      </c>
      <c r="CM80" s="211" t="s">
        <v>805</v>
      </c>
      <c r="CN80" s="211" t="s">
        <v>805</v>
      </c>
      <c r="CO80" s="211" t="s">
        <v>805</v>
      </c>
      <c r="CP80" s="211" t="s">
        <v>805</v>
      </c>
      <c r="CQ80" s="211" t="s">
        <v>805</v>
      </c>
      <c r="CR80" s="211" t="s">
        <v>805</v>
      </c>
      <c r="CS80" s="211" t="s">
        <v>805</v>
      </c>
      <c r="CT80" s="211" t="s">
        <v>805</v>
      </c>
      <c r="CU80" s="211" t="s">
        <v>805</v>
      </c>
      <c r="CV80" s="211" t="s">
        <v>805</v>
      </c>
      <c r="CW80" s="211" t="s">
        <v>805</v>
      </c>
      <c r="CX80" s="211" t="s">
        <v>805</v>
      </c>
      <c r="CY80" s="211" t="s">
        <v>805</v>
      </c>
      <c r="CZ80" s="211" t="s">
        <v>805</v>
      </c>
      <c r="DA80" s="211" t="s">
        <v>805</v>
      </c>
      <c r="DB80" s="211" t="s">
        <v>805</v>
      </c>
      <c r="DC80" s="211" t="s">
        <v>805</v>
      </c>
      <c r="DD80" s="211" t="s">
        <v>805</v>
      </c>
      <c r="DE80" s="211" t="s">
        <v>805</v>
      </c>
      <c r="DF80" s="211" t="s">
        <v>805</v>
      </c>
      <c r="DG80" s="212">
        <f>VLOOKUP(E80,'KPI Count-SHARE'!A:F,3,0)</f>
        <v>0</v>
      </c>
      <c r="DH80" s="213" t="s">
        <v>805</v>
      </c>
      <c r="DI80" s="213" t="s">
        <v>805</v>
      </c>
      <c r="DJ80" s="213" t="s">
        <v>805</v>
      </c>
      <c r="DK80" s="213" t="s">
        <v>805</v>
      </c>
      <c r="DL80" s="213" t="s">
        <v>805</v>
      </c>
      <c r="DM80" s="213" t="s">
        <v>805</v>
      </c>
      <c r="DN80" s="212">
        <f>VLOOKUP(E80,'KPI Count-SHARE'!A:F,4,0)</f>
        <v>0</v>
      </c>
      <c r="DO80" s="213"/>
      <c r="DP80" s="213"/>
      <c r="DQ80" s="213"/>
      <c r="DR80" s="213"/>
      <c r="DS80" s="213"/>
      <c r="DT80" s="213"/>
      <c r="DU80" s="212">
        <f>VLOOKUP(E80,'KPI Count-SHARE'!A:F,5,0)</f>
        <v>0</v>
      </c>
      <c r="DV80" s="213"/>
      <c r="DW80" s="213"/>
      <c r="DX80" s="213"/>
      <c r="DY80" s="213"/>
      <c r="DZ80" s="213"/>
      <c r="EA80" s="213"/>
      <c r="EB80" s="212">
        <f>VLOOKUP(E80,'KPI Count-SHARE'!A:F,6,0)</f>
        <v>0</v>
      </c>
      <c r="EC80" s="213"/>
      <c r="ED80" s="213"/>
      <c r="EE80" s="213"/>
      <c r="EF80" s="213"/>
      <c r="EG80" s="213"/>
      <c r="EH80" s="213"/>
      <c r="EI80" s="214" t="s">
        <v>546</v>
      </c>
      <c r="EJ80" s="41" t="str">
        <f t="shared" si="519"/>
        <v/>
      </c>
      <c r="EK80" s="41" t="str">
        <f t="shared" si="520"/>
        <v/>
      </c>
      <c r="EL80" s="41" t="str">
        <f t="shared" si="521"/>
        <v/>
      </c>
      <c r="EM80" s="41" t="str">
        <f t="shared" si="522"/>
        <v/>
      </c>
      <c r="EN80" s="41" t="str">
        <f t="shared" si="523"/>
        <v/>
      </c>
      <c r="EO80" s="41" t="str">
        <f t="shared" si="524"/>
        <v/>
      </c>
      <c r="EP80" s="41" t="str">
        <f t="shared" si="525"/>
        <v/>
      </c>
      <c r="EQ80" s="41" t="str">
        <f t="shared" si="526"/>
        <v/>
      </c>
      <c r="ER80" s="41" t="str">
        <f t="shared" si="527"/>
        <v/>
      </c>
      <c r="ES80" s="41" t="str">
        <f t="shared" si="528"/>
        <v/>
      </c>
      <c r="ET80" s="41" t="str">
        <f t="shared" si="529"/>
        <v/>
      </c>
      <c r="EU80" s="41" t="str">
        <f t="shared" si="530"/>
        <v/>
      </c>
      <c r="EV80" s="41" t="str">
        <f t="shared" si="531"/>
        <v/>
      </c>
      <c r="EW80" s="41" t="str">
        <f t="shared" si="532"/>
        <v/>
      </c>
      <c r="EX80" s="41" t="str">
        <f t="shared" si="533"/>
        <v/>
      </c>
      <c r="EY80" s="41" t="str">
        <f t="shared" si="534"/>
        <v/>
      </c>
      <c r="EZ80" s="41" t="str">
        <f t="shared" si="535"/>
        <v/>
      </c>
      <c r="FA80" s="41" t="str">
        <f t="shared" si="536"/>
        <v/>
      </c>
      <c r="FB80" s="41" t="str">
        <f t="shared" si="537"/>
        <v/>
      </c>
      <c r="FC80" s="41" t="str">
        <f t="shared" si="538"/>
        <v/>
      </c>
      <c r="FD80" s="41" t="str">
        <f t="shared" si="539"/>
        <v/>
      </c>
      <c r="FE80" s="41" t="str">
        <f t="shared" si="540"/>
        <v/>
      </c>
      <c r="FF80" s="41" t="str">
        <f t="shared" si="541"/>
        <v/>
      </c>
      <c r="FG80" s="41" t="str">
        <f t="shared" si="542"/>
        <v/>
      </c>
      <c r="FH80" s="41" t="str">
        <f t="shared" si="543"/>
        <v/>
      </c>
      <c r="FI80" s="41" t="str">
        <f t="shared" si="544"/>
        <v/>
      </c>
      <c r="FJ80" s="41" t="str">
        <f t="shared" si="545"/>
        <v/>
      </c>
      <c r="FK80" s="41" t="str">
        <f t="shared" si="546"/>
        <v/>
      </c>
      <c r="FL80" s="41" t="str">
        <f t="shared" si="547"/>
        <v/>
      </c>
      <c r="FM80" s="41" t="str">
        <f t="shared" si="548"/>
        <v/>
      </c>
      <c r="FN80" s="41" t="str">
        <f t="shared" si="549"/>
        <v/>
      </c>
      <c r="FO80" s="41" t="str">
        <f t="shared" si="550"/>
        <v/>
      </c>
      <c r="FP80" s="41" t="str">
        <f t="shared" si="551"/>
        <v/>
      </c>
      <c r="FQ80" s="41" t="str">
        <f t="shared" si="552"/>
        <v/>
      </c>
      <c r="FR80" s="41" t="str">
        <f t="shared" si="553"/>
        <v/>
      </c>
      <c r="FS80" s="41" t="str">
        <f t="shared" si="554"/>
        <v/>
      </c>
      <c r="FT80" s="41" t="str">
        <f t="shared" si="555"/>
        <v/>
      </c>
      <c r="FU80" s="41" t="str">
        <f t="shared" si="556"/>
        <v/>
      </c>
      <c r="FV80" s="41" t="str">
        <f t="shared" si="557"/>
        <v/>
      </c>
      <c r="FW80" s="41" t="str">
        <f t="shared" si="558"/>
        <v/>
      </c>
      <c r="FX80" s="41" t="str">
        <f t="shared" si="559"/>
        <v/>
      </c>
      <c r="FY80" s="41" t="str">
        <f t="shared" si="560"/>
        <v/>
      </c>
      <c r="FZ80" s="41" t="str">
        <f t="shared" si="561"/>
        <v/>
      </c>
      <c r="GA80" s="41" t="str">
        <f t="shared" si="562"/>
        <v/>
      </c>
      <c r="GB80" s="41" t="str">
        <f t="shared" si="563"/>
        <v/>
      </c>
      <c r="GC80" s="41" t="str">
        <f t="shared" si="564"/>
        <v/>
      </c>
      <c r="GD80" s="41" t="str">
        <f t="shared" si="565"/>
        <v/>
      </c>
      <c r="GE80" s="41" t="str">
        <f t="shared" si="566"/>
        <v/>
      </c>
      <c r="GF80" s="41" t="str">
        <f t="shared" si="567"/>
        <v/>
      </c>
      <c r="GG80" s="41" t="str">
        <f t="shared" si="568"/>
        <v/>
      </c>
      <c r="GH80" s="41" t="str">
        <f t="shared" si="569"/>
        <v/>
      </c>
      <c r="GI80" s="41" t="str">
        <f t="shared" si="570"/>
        <v/>
      </c>
      <c r="GJ80" s="41" t="str">
        <f t="shared" si="571"/>
        <v/>
      </c>
      <c r="GK80" s="41" t="str">
        <f t="shared" si="572"/>
        <v/>
      </c>
      <c r="GL80" s="41" t="str">
        <f t="shared" si="573"/>
        <v/>
      </c>
      <c r="GM80" s="41" t="str">
        <f t="shared" si="574"/>
        <v/>
      </c>
      <c r="GN80" s="41" t="str">
        <f t="shared" si="575"/>
        <v/>
      </c>
      <c r="GO80" s="41" t="str">
        <f t="shared" si="576"/>
        <v/>
      </c>
      <c r="GP80" s="41" t="str">
        <f t="shared" si="577"/>
        <v/>
      </c>
      <c r="GQ80" s="41" t="str">
        <f t="shared" si="578"/>
        <v/>
      </c>
      <c r="GR80" s="41" t="str">
        <f t="shared" si="579"/>
        <v/>
      </c>
      <c r="GS80" s="41" t="str">
        <f t="shared" si="580"/>
        <v/>
      </c>
      <c r="GT80" s="41" t="str">
        <f t="shared" si="581"/>
        <v/>
      </c>
      <c r="GU80" s="41" t="str">
        <f t="shared" si="582"/>
        <v/>
      </c>
      <c r="GV80" s="41" t="str">
        <f t="shared" si="583"/>
        <v/>
      </c>
      <c r="GW80" s="41" t="str">
        <f t="shared" si="584"/>
        <v/>
      </c>
      <c r="GX80" s="41" t="str">
        <f t="shared" si="585"/>
        <v/>
      </c>
      <c r="GY80" s="41" t="str">
        <f t="shared" si="586"/>
        <v/>
      </c>
      <c r="GZ80" s="41" t="str">
        <f t="shared" si="587"/>
        <v/>
      </c>
      <c r="HA80" s="41" t="str">
        <f t="shared" si="588"/>
        <v/>
      </c>
      <c r="HB80" s="41" t="str">
        <f t="shared" si="589"/>
        <v/>
      </c>
      <c r="HC80" s="41" t="str">
        <f t="shared" si="590"/>
        <v/>
      </c>
      <c r="HD80" s="41" t="str">
        <f t="shared" si="591"/>
        <v/>
      </c>
      <c r="HE80" s="41" t="str">
        <f t="shared" si="592"/>
        <v/>
      </c>
      <c r="HF80" s="41" t="str">
        <f t="shared" si="593"/>
        <v/>
      </c>
      <c r="HG80" s="41" t="str">
        <f t="shared" si="594"/>
        <v/>
      </c>
      <c r="HH80" s="41" t="str">
        <f t="shared" si="595"/>
        <v/>
      </c>
      <c r="HI80" s="41" t="str">
        <f t="shared" si="596"/>
        <v/>
      </c>
      <c r="HJ80" s="41" t="str">
        <f t="shared" si="597"/>
        <v/>
      </c>
      <c r="HK80" s="41" t="str">
        <f t="shared" si="598"/>
        <v/>
      </c>
      <c r="HL80" s="41" t="str">
        <f t="shared" si="599"/>
        <v/>
      </c>
      <c r="HM80" s="41" t="str">
        <f t="shared" si="600"/>
        <v/>
      </c>
      <c r="HN80" s="41" t="str">
        <f t="shared" si="601"/>
        <v/>
      </c>
      <c r="HO80" s="41" t="str">
        <f t="shared" si="602"/>
        <v/>
      </c>
      <c r="HP80" s="41" t="str">
        <f t="shared" si="603"/>
        <v/>
      </c>
      <c r="HQ80" s="41" t="str">
        <f t="shared" si="604"/>
        <v/>
      </c>
      <c r="HR80" s="41" t="str">
        <f t="shared" si="605"/>
        <v/>
      </c>
      <c r="HS80" s="41" t="str">
        <f t="shared" si="606"/>
        <v/>
      </c>
      <c r="HT80" s="41" t="str">
        <f t="shared" si="607"/>
        <v/>
      </c>
      <c r="HU80" s="41" t="str">
        <f t="shared" si="608"/>
        <v/>
      </c>
      <c r="HV80" s="41" t="str">
        <f t="shared" si="609"/>
        <v/>
      </c>
      <c r="HW80" s="41" t="str">
        <f t="shared" si="610"/>
        <v/>
      </c>
      <c r="HX80" s="41" t="str">
        <f t="shared" si="611"/>
        <v/>
      </c>
      <c r="HY80" s="41" t="str">
        <f t="shared" si="612"/>
        <v/>
      </c>
      <c r="HZ80" s="41" t="str">
        <f t="shared" si="613"/>
        <v/>
      </c>
      <c r="IA80" s="41" t="str">
        <f t="shared" si="614"/>
        <v/>
      </c>
      <c r="IB80" s="41" t="str">
        <f t="shared" si="615"/>
        <v/>
      </c>
      <c r="IC80" s="41" t="str">
        <f t="shared" si="616"/>
        <v/>
      </c>
      <c r="ID80" s="41" t="str">
        <f t="shared" si="617"/>
        <v/>
      </c>
      <c r="IE80" s="41" t="str">
        <f t="shared" si="618"/>
        <v/>
      </c>
      <c r="IF80" s="41" t="str">
        <f t="shared" si="619"/>
        <v/>
      </c>
      <c r="IG80" s="306" t="str">
        <f t="shared" si="620"/>
        <v/>
      </c>
      <c r="IH80" s="44" t="str">
        <f t="shared" si="621"/>
        <v/>
      </c>
      <c r="II80" s="44" t="str">
        <f t="shared" si="622"/>
        <v/>
      </c>
      <c r="IJ80" s="44" t="str">
        <f t="shared" si="623"/>
        <v/>
      </c>
      <c r="IK80" s="44" t="str">
        <f t="shared" si="624"/>
        <v/>
      </c>
      <c r="IL80" s="44" t="str">
        <f t="shared" si="625"/>
        <v/>
      </c>
      <c r="IM80" s="306" t="str">
        <f t="shared" si="626"/>
        <v/>
      </c>
      <c r="IN80" s="44" t="str">
        <f t="shared" si="627"/>
        <v/>
      </c>
      <c r="IO80" s="44" t="str">
        <f t="shared" si="628"/>
        <v/>
      </c>
      <c r="IP80" s="44" t="str">
        <f t="shared" si="629"/>
        <v/>
      </c>
      <c r="IQ80" s="44" t="str">
        <f t="shared" si="630"/>
        <v/>
      </c>
      <c r="IR80" s="44" t="str">
        <f t="shared" si="631"/>
        <v/>
      </c>
      <c r="IS80" s="306" t="str">
        <f t="shared" si="632"/>
        <v/>
      </c>
      <c r="IT80" s="44" t="str">
        <f t="shared" si="633"/>
        <v/>
      </c>
      <c r="IU80" s="44" t="str">
        <f t="shared" si="634"/>
        <v/>
      </c>
      <c r="IV80" s="44" t="str">
        <f t="shared" si="635"/>
        <v/>
      </c>
      <c r="IW80" s="44" t="str">
        <f t="shared" si="636"/>
        <v/>
      </c>
      <c r="IX80" s="44" t="str">
        <f t="shared" si="637"/>
        <v/>
      </c>
      <c r="IY80" s="306" t="str">
        <f t="shared" si="638"/>
        <v/>
      </c>
      <c r="IZ80" s="44" t="str">
        <f t="shared" si="639"/>
        <v/>
      </c>
      <c r="JA80" s="44" t="str">
        <f t="shared" si="640"/>
        <v/>
      </c>
      <c r="JB80" s="44" t="str">
        <f t="shared" si="641"/>
        <v/>
      </c>
      <c r="JC80" s="44" t="str">
        <f t="shared" si="642"/>
        <v/>
      </c>
      <c r="JD80" s="307" t="str">
        <f t="shared" si="643"/>
        <v/>
      </c>
      <c r="JF80" s="66">
        <f t="shared" si="224"/>
        <v>80</v>
      </c>
      <c r="JG80" s="66">
        <f t="shared" ca="1" si="644"/>
        <v>0</v>
      </c>
      <c r="JH80" s="66">
        <f t="shared" ca="1" si="645"/>
        <v>0</v>
      </c>
      <c r="JI80" s="66">
        <f t="shared" ca="1" si="646"/>
        <v>0</v>
      </c>
      <c r="JJ80" s="66">
        <f t="shared" ca="1" si="647"/>
        <v>0</v>
      </c>
      <c r="JK80" s="33"/>
      <c r="JL80" s="74" t="str">
        <f t="shared" ca="1" si="648"/>
        <v>-</v>
      </c>
      <c r="JM80" s="75">
        <f t="shared" ca="1" si="649"/>
        <v>0</v>
      </c>
      <c r="JN80" s="75">
        <f t="shared" ca="1" si="650"/>
        <v>0</v>
      </c>
      <c r="JO80" s="74" t="str">
        <f t="shared" ca="1" si="651"/>
        <v>-</v>
      </c>
      <c r="JP80" s="74">
        <f t="shared" ca="1" si="652"/>
        <v>0</v>
      </c>
    </row>
    <row r="81" spans="1:276" s="1" customFormat="1" x14ac:dyDescent="0.35">
      <c r="A81" s="125">
        <v>0</v>
      </c>
      <c r="B81" s="125">
        <v>0</v>
      </c>
      <c r="C81" s="125">
        <v>1</v>
      </c>
      <c r="E81" s="142" t="s">
        <v>126</v>
      </c>
      <c r="F81" s="227" t="s">
        <v>127</v>
      </c>
      <c r="G81" s="228" t="s">
        <v>530</v>
      </c>
      <c r="H81" s="210" t="s">
        <v>547</v>
      </c>
      <c r="I81" s="8" t="s">
        <v>532</v>
      </c>
      <c r="J81" s="211" t="s">
        <v>805</v>
      </c>
      <c r="K81" s="211" t="s">
        <v>805</v>
      </c>
      <c r="L81" s="211" t="s">
        <v>805</v>
      </c>
      <c r="M81" s="211" t="s">
        <v>805</v>
      </c>
      <c r="N81" s="211" t="s">
        <v>805</v>
      </c>
      <c r="O81" s="211" t="s">
        <v>805</v>
      </c>
      <c r="P81" s="211" t="s">
        <v>805</v>
      </c>
      <c r="Q81" s="211" t="s">
        <v>805</v>
      </c>
      <c r="R81" s="211" t="s">
        <v>805</v>
      </c>
      <c r="S81" s="211" t="s">
        <v>805</v>
      </c>
      <c r="T81" s="211" t="s">
        <v>805</v>
      </c>
      <c r="U81" s="211" t="s">
        <v>805</v>
      </c>
      <c r="V81" s="211" t="s">
        <v>805</v>
      </c>
      <c r="W81" s="211" t="s">
        <v>805</v>
      </c>
      <c r="X81" s="211" t="s">
        <v>805</v>
      </c>
      <c r="Y81" s="211" t="s">
        <v>805</v>
      </c>
      <c r="Z81" s="211" t="s">
        <v>805</v>
      </c>
      <c r="AA81" s="211" t="s">
        <v>805</v>
      </c>
      <c r="AB81" s="211" t="s">
        <v>805</v>
      </c>
      <c r="AC81" s="211" t="s">
        <v>805</v>
      </c>
      <c r="AD81" s="211" t="s">
        <v>805</v>
      </c>
      <c r="AE81" s="211" t="s">
        <v>805</v>
      </c>
      <c r="AF81" s="211" t="s">
        <v>805</v>
      </c>
      <c r="AG81" s="211" t="s">
        <v>805</v>
      </c>
      <c r="AH81" s="211" t="s">
        <v>805</v>
      </c>
      <c r="AI81" s="211" t="s">
        <v>805</v>
      </c>
      <c r="AJ81" s="211" t="s">
        <v>805</v>
      </c>
      <c r="AK81" s="211" t="s">
        <v>805</v>
      </c>
      <c r="AL81" s="211" t="s">
        <v>805</v>
      </c>
      <c r="AM81" s="211" t="s">
        <v>805</v>
      </c>
      <c r="AN81" s="211" t="s">
        <v>805</v>
      </c>
      <c r="AO81" s="211" t="s">
        <v>805</v>
      </c>
      <c r="AP81" s="211" t="s">
        <v>805</v>
      </c>
      <c r="AQ81" s="211" t="s">
        <v>805</v>
      </c>
      <c r="AR81" s="211" t="s">
        <v>805</v>
      </c>
      <c r="AS81" s="211" t="s">
        <v>805</v>
      </c>
      <c r="AT81" s="211" t="s">
        <v>805</v>
      </c>
      <c r="AU81" s="211" t="s">
        <v>805</v>
      </c>
      <c r="AV81" s="211" t="s">
        <v>805</v>
      </c>
      <c r="AW81" s="211" t="s">
        <v>805</v>
      </c>
      <c r="AX81" s="211" t="s">
        <v>805</v>
      </c>
      <c r="AY81" s="211" t="s">
        <v>805</v>
      </c>
      <c r="AZ81" s="211" t="s">
        <v>805</v>
      </c>
      <c r="BA81" s="211" t="s">
        <v>805</v>
      </c>
      <c r="BB81" s="211" t="s">
        <v>805</v>
      </c>
      <c r="BC81" s="211" t="s">
        <v>805</v>
      </c>
      <c r="BD81" s="211" t="s">
        <v>805</v>
      </c>
      <c r="BE81" s="211" t="s">
        <v>805</v>
      </c>
      <c r="BF81" s="211" t="s">
        <v>805</v>
      </c>
      <c r="BG81" s="211" t="s">
        <v>805</v>
      </c>
      <c r="BH81" s="211" t="s">
        <v>805</v>
      </c>
      <c r="BI81" s="211" t="s">
        <v>805</v>
      </c>
      <c r="BJ81" s="211" t="s">
        <v>805</v>
      </c>
      <c r="BK81" s="211" t="s">
        <v>805</v>
      </c>
      <c r="BL81" s="211" t="s">
        <v>805</v>
      </c>
      <c r="BM81" s="211" t="s">
        <v>805</v>
      </c>
      <c r="BN81" s="211" t="s">
        <v>805</v>
      </c>
      <c r="BO81" s="211" t="s">
        <v>805</v>
      </c>
      <c r="BP81" s="211" t="s">
        <v>805</v>
      </c>
      <c r="BQ81" s="211" t="s">
        <v>805</v>
      </c>
      <c r="BR81" s="211" t="s">
        <v>805</v>
      </c>
      <c r="BS81" s="211" t="s">
        <v>805</v>
      </c>
      <c r="BT81" s="211" t="s">
        <v>805</v>
      </c>
      <c r="BU81" s="211" t="s">
        <v>805</v>
      </c>
      <c r="BV81" s="211" t="s">
        <v>805</v>
      </c>
      <c r="BW81" s="211" t="s">
        <v>805</v>
      </c>
      <c r="BX81" s="211" t="s">
        <v>805</v>
      </c>
      <c r="BY81" s="211" t="s">
        <v>805</v>
      </c>
      <c r="BZ81" s="211" t="s">
        <v>805</v>
      </c>
      <c r="CA81" s="211" t="s">
        <v>805</v>
      </c>
      <c r="CB81" s="211" t="s">
        <v>805</v>
      </c>
      <c r="CC81" s="211" t="s">
        <v>805</v>
      </c>
      <c r="CD81" s="211" t="s">
        <v>805</v>
      </c>
      <c r="CE81" s="211" t="s">
        <v>805</v>
      </c>
      <c r="CF81" s="211" t="s">
        <v>805</v>
      </c>
      <c r="CG81" s="211" t="s">
        <v>805</v>
      </c>
      <c r="CH81" s="211" t="s">
        <v>805</v>
      </c>
      <c r="CI81" s="211" t="s">
        <v>805</v>
      </c>
      <c r="CJ81" s="211" t="s">
        <v>805</v>
      </c>
      <c r="CK81" s="211" t="s">
        <v>805</v>
      </c>
      <c r="CL81" s="211" t="s">
        <v>805</v>
      </c>
      <c r="CM81" s="211" t="s">
        <v>805</v>
      </c>
      <c r="CN81" s="211" t="s">
        <v>805</v>
      </c>
      <c r="CO81" s="211" t="s">
        <v>805</v>
      </c>
      <c r="CP81" s="211" t="s">
        <v>805</v>
      </c>
      <c r="CQ81" s="211" t="s">
        <v>805</v>
      </c>
      <c r="CR81" s="211" t="s">
        <v>805</v>
      </c>
      <c r="CS81" s="211" t="s">
        <v>805</v>
      </c>
      <c r="CT81" s="211" t="s">
        <v>805</v>
      </c>
      <c r="CU81" s="211" t="s">
        <v>805</v>
      </c>
      <c r="CV81" s="211" t="s">
        <v>805</v>
      </c>
      <c r="CW81" s="211" t="s">
        <v>805</v>
      </c>
      <c r="CX81" s="211" t="s">
        <v>805</v>
      </c>
      <c r="CY81" s="211" t="s">
        <v>805</v>
      </c>
      <c r="CZ81" s="211" t="s">
        <v>805</v>
      </c>
      <c r="DA81" s="211" t="s">
        <v>805</v>
      </c>
      <c r="DB81" s="211" t="s">
        <v>805</v>
      </c>
      <c r="DC81" s="211" t="s">
        <v>805</v>
      </c>
      <c r="DD81" s="211" t="s">
        <v>805</v>
      </c>
      <c r="DE81" s="211" t="s">
        <v>805</v>
      </c>
      <c r="DF81" s="211" t="s">
        <v>805</v>
      </c>
      <c r="DG81" s="212">
        <f>VLOOKUP(E81,'KPI Count-SHARE'!A:F,3,0)</f>
        <v>0</v>
      </c>
      <c r="DH81" s="213" t="s">
        <v>805</v>
      </c>
      <c r="DI81" s="213" t="s">
        <v>805</v>
      </c>
      <c r="DJ81" s="213" t="s">
        <v>805</v>
      </c>
      <c r="DK81" s="213" t="s">
        <v>805</v>
      </c>
      <c r="DL81" s="213" t="s">
        <v>805</v>
      </c>
      <c r="DM81" s="213" t="s">
        <v>805</v>
      </c>
      <c r="DN81" s="212">
        <f>VLOOKUP(E81,'KPI Count-SHARE'!A:F,4,0)</f>
        <v>0</v>
      </c>
      <c r="DO81" s="213"/>
      <c r="DP81" s="213"/>
      <c r="DQ81" s="213"/>
      <c r="DR81" s="213"/>
      <c r="DS81" s="213"/>
      <c r="DT81" s="213"/>
      <c r="DU81" s="212">
        <f>VLOOKUP(E81,'KPI Count-SHARE'!A:F,5,0)</f>
        <v>0</v>
      </c>
      <c r="DV81" s="213"/>
      <c r="DW81" s="213"/>
      <c r="DX81" s="213"/>
      <c r="DY81" s="213"/>
      <c r="DZ81" s="213"/>
      <c r="EA81" s="213"/>
      <c r="EB81" s="212">
        <f>VLOOKUP(E81,'KPI Count-SHARE'!A:F,6,0)</f>
        <v>0</v>
      </c>
      <c r="EC81" s="213"/>
      <c r="ED81" s="213"/>
      <c r="EE81" s="213"/>
      <c r="EF81" s="213"/>
      <c r="EG81" s="213"/>
      <c r="EH81" s="213"/>
      <c r="EI81" s="214" t="s">
        <v>547</v>
      </c>
      <c r="EJ81" s="41" t="str">
        <f t="shared" si="519"/>
        <v/>
      </c>
      <c r="EK81" s="41" t="str">
        <f t="shared" si="520"/>
        <v/>
      </c>
      <c r="EL81" s="41" t="str">
        <f t="shared" si="521"/>
        <v/>
      </c>
      <c r="EM81" s="41" t="str">
        <f t="shared" si="522"/>
        <v/>
      </c>
      <c r="EN81" s="41" t="str">
        <f t="shared" si="523"/>
        <v/>
      </c>
      <c r="EO81" s="41" t="str">
        <f t="shared" si="524"/>
        <v/>
      </c>
      <c r="EP81" s="41" t="str">
        <f t="shared" si="525"/>
        <v/>
      </c>
      <c r="EQ81" s="41" t="str">
        <f t="shared" si="526"/>
        <v/>
      </c>
      <c r="ER81" s="41" t="str">
        <f t="shared" si="527"/>
        <v/>
      </c>
      <c r="ES81" s="41" t="str">
        <f t="shared" si="528"/>
        <v/>
      </c>
      <c r="ET81" s="41" t="str">
        <f t="shared" si="529"/>
        <v/>
      </c>
      <c r="EU81" s="41" t="str">
        <f t="shared" si="530"/>
        <v/>
      </c>
      <c r="EV81" s="41" t="str">
        <f t="shared" si="531"/>
        <v/>
      </c>
      <c r="EW81" s="41" t="str">
        <f t="shared" si="532"/>
        <v/>
      </c>
      <c r="EX81" s="41" t="str">
        <f t="shared" si="533"/>
        <v/>
      </c>
      <c r="EY81" s="41" t="str">
        <f t="shared" si="534"/>
        <v/>
      </c>
      <c r="EZ81" s="41" t="str">
        <f t="shared" si="535"/>
        <v/>
      </c>
      <c r="FA81" s="41" t="str">
        <f t="shared" si="536"/>
        <v/>
      </c>
      <c r="FB81" s="41" t="str">
        <f t="shared" si="537"/>
        <v/>
      </c>
      <c r="FC81" s="41" t="str">
        <f t="shared" si="538"/>
        <v/>
      </c>
      <c r="FD81" s="41" t="str">
        <f t="shared" si="539"/>
        <v/>
      </c>
      <c r="FE81" s="41" t="str">
        <f t="shared" si="540"/>
        <v/>
      </c>
      <c r="FF81" s="41" t="str">
        <f t="shared" si="541"/>
        <v/>
      </c>
      <c r="FG81" s="41" t="str">
        <f t="shared" si="542"/>
        <v/>
      </c>
      <c r="FH81" s="41" t="str">
        <f t="shared" si="543"/>
        <v/>
      </c>
      <c r="FI81" s="41" t="str">
        <f t="shared" si="544"/>
        <v/>
      </c>
      <c r="FJ81" s="41" t="str">
        <f t="shared" si="545"/>
        <v/>
      </c>
      <c r="FK81" s="41" t="str">
        <f t="shared" si="546"/>
        <v/>
      </c>
      <c r="FL81" s="41" t="str">
        <f t="shared" si="547"/>
        <v/>
      </c>
      <c r="FM81" s="41" t="str">
        <f t="shared" si="548"/>
        <v/>
      </c>
      <c r="FN81" s="41" t="str">
        <f t="shared" si="549"/>
        <v/>
      </c>
      <c r="FO81" s="41" t="str">
        <f t="shared" si="550"/>
        <v/>
      </c>
      <c r="FP81" s="41" t="str">
        <f t="shared" si="551"/>
        <v/>
      </c>
      <c r="FQ81" s="41" t="str">
        <f t="shared" si="552"/>
        <v/>
      </c>
      <c r="FR81" s="41" t="str">
        <f t="shared" si="553"/>
        <v/>
      </c>
      <c r="FS81" s="41" t="str">
        <f t="shared" si="554"/>
        <v/>
      </c>
      <c r="FT81" s="41" t="str">
        <f t="shared" si="555"/>
        <v/>
      </c>
      <c r="FU81" s="41" t="str">
        <f t="shared" si="556"/>
        <v/>
      </c>
      <c r="FV81" s="41" t="str">
        <f t="shared" si="557"/>
        <v/>
      </c>
      <c r="FW81" s="41" t="str">
        <f t="shared" si="558"/>
        <v/>
      </c>
      <c r="FX81" s="41" t="str">
        <f t="shared" si="559"/>
        <v/>
      </c>
      <c r="FY81" s="41" t="str">
        <f t="shared" si="560"/>
        <v/>
      </c>
      <c r="FZ81" s="41" t="str">
        <f t="shared" si="561"/>
        <v/>
      </c>
      <c r="GA81" s="41" t="str">
        <f t="shared" si="562"/>
        <v/>
      </c>
      <c r="GB81" s="41" t="str">
        <f t="shared" si="563"/>
        <v/>
      </c>
      <c r="GC81" s="41" t="str">
        <f t="shared" si="564"/>
        <v/>
      </c>
      <c r="GD81" s="41" t="str">
        <f t="shared" si="565"/>
        <v/>
      </c>
      <c r="GE81" s="41" t="str">
        <f t="shared" si="566"/>
        <v/>
      </c>
      <c r="GF81" s="41" t="str">
        <f t="shared" si="567"/>
        <v/>
      </c>
      <c r="GG81" s="41" t="str">
        <f t="shared" si="568"/>
        <v/>
      </c>
      <c r="GH81" s="41" t="str">
        <f t="shared" si="569"/>
        <v/>
      </c>
      <c r="GI81" s="41" t="str">
        <f t="shared" si="570"/>
        <v/>
      </c>
      <c r="GJ81" s="41" t="str">
        <f t="shared" si="571"/>
        <v/>
      </c>
      <c r="GK81" s="41" t="str">
        <f t="shared" si="572"/>
        <v/>
      </c>
      <c r="GL81" s="41" t="str">
        <f t="shared" si="573"/>
        <v/>
      </c>
      <c r="GM81" s="41" t="str">
        <f t="shared" si="574"/>
        <v/>
      </c>
      <c r="GN81" s="41" t="str">
        <f t="shared" si="575"/>
        <v/>
      </c>
      <c r="GO81" s="41" t="str">
        <f t="shared" si="576"/>
        <v/>
      </c>
      <c r="GP81" s="41" t="str">
        <f t="shared" si="577"/>
        <v/>
      </c>
      <c r="GQ81" s="41" t="str">
        <f t="shared" si="578"/>
        <v/>
      </c>
      <c r="GR81" s="41" t="str">
        <f t="shared" si="579"/>
        <v/>
      </c>
      <c r="GS81" s="41" t="str">
        <f t="shared" si="580"/>
        <v/>
      </c>
      <c r="GT81" s="41" t="str">
        <f t="shared" si="581"/>
        <v/>
      </c>
      <c r="GU81" s="41" t="str">
        <f t="shared" si="582"/>
        <v/>
      </c>
      <c r="GV81" s="41" t="str">
        <f t="shared" si="583"/>
        <v/>
      </c>
      <c r="GW81" s="41" t="str">
        <f t="shared" si="584"/>
        <v/>
      </c>
      <c r="GX81" s="41" t="str">
        <f t="shared" si="585"/>
        <v/>
      </c>
      <c r="GY81" s="41" t="str">
        <f t="shared" si="586"/>
        <v/>
      </c>
      <c r="GZ81" s="41" t="str">
        <f t="shared" si="587"/>
        <v/>
      </c>
      <c r="HA81" s="41" t="str">
        <f t="shared" si="588"/>
        <v/>
      </c>
      <c r="HB81" s="41" t="str">
        <f t="shared" si="589"/>
        <v/>
      </c>
      <c r="HC81" s="41" t="str">
        <f t="shared" si="590"/>
        <v/>
      </c>
      <c r="HD81" s="41" t="str">
        <f t="shared" si="591"/>
        <v/>
      </c>
      <c r="HE81" s="41" t="str">
        <f t="shared" si="592"/>
        <v/>
      </c>
      <c r="HF81" s="41" t="str">
        <f t="shared" si="593"/>
        <v/>
      </c>
      <c r="HG81" s="41" t="str">
        <f t="shared" si="594"/>
        <v/>
      </c>
      <c r="HH81" s="41" t="str">
        <f t="shared" si="595"/>
        <v/>
      </c>
      <c r="HI81" s="41" t="str">
        <f t="shared" si="596"/>
        <v/>
      </c>
      <c r="HJ81" s="41" t="str">
        <f t="shared" si="597"/>
        <v/>
      </c>
      <c r="HK81" s="41" t="str">
        <f t="shared" si="598"/>
        <v/>
      </c>
      <c r="HL81" s="41" t="str">
        <f t="shared" si="599"/>
        <v/>
      </c>
      <c r="HM81" s="41" t="str">
        <f t="shared" si="600"/>
        <v/>
      </c>
      <c r="HN81" s="41" t="str">
        <f t="shared" si="601"/>
        <v/>
      </c>
      <c r="HO81" s="41" t="str">
        <f t="shared" si="602"/>
        <v/>
      </c>
      <c r="HP81" s="41" t="str">
        <f t="shared" si="603"/>
        <v/>
      </c>
      <c r="HQ81" s="41" t="str">
        <f t="shared" si="604"/>
        <v/>
      </c>
      <c r="HR81" s="41" t="str">
        <f t="shared" si="605"/>
        <v/>
      </c>
      <c r="HS81" s="41" t="str">
        <f t="shared" si="606"/>
        <v/>
      </c>
      <c r="HT81" s="41" t="str">
        <f t="shared" si="607"/>
        <v/>
      </c>
      <c r="HU81" s="41" t="str">
        <f t="shared" si="608"/>
        <v/>
      </c>
      <c r="HV81" s="41" t="str">
        <f t="shared" si="609"/>
        <v/>
      </c>
      <c r="HW81" s="41" t="str">
        <f t="shared" si="610"/>
        <v/>
      </c>
      <c r="HX81" s="41" t="str">
        <f t="shared" si="611"/>
        <v/>
      </c>
      <c r="HY81" s="41" t="str">
        <f t="shared" si="612"/>
        <v/>
      </c>
      <c r="HZ81" s="41" t="str">
        <f t="shared" si="613"/>
        <v/>
      </c>
      <c r="IA81" s="41" t="str">
        <f t="shared" si="614"/>
        <v/>
      </c>
      <c r="IB81" s="41" t="str">
        <f t="shared" si="615"/>
        <v/>
      </c>
      <c r="IC81" s="41" t="str">
        <f t="shared" si="616"/>
        <v/>
      </c>
      <c r="ID81" s="41" t="str">
        <f t="shared" si="617"/>
        <v/>
      </c>
      <c r="IE81" s="41" t="str">
        <f t="shared" si="618"/>
        <v/>
      </c>
      <c r="IF81" s="41" t="str">
        <f t="shared" si="619"/>
        <v/>
      </c>
      <c r="IG81" s="306" t="str">
        <f t="shared" si="620"/>
        <v/>
      </c>
      <c r="IH81" s="44" t="str">
        <f t="shared" si="621"/>
        <v/>
      </c>
      <c r="II81" s="44" t="str">
        <f t="shared" si="622"/>
        <v/>
      </c>
      <c r="IJ81" s="44" t="str">
        <f t="shared" si="623"/>
        <v/>
      </c>
      <c r="IK81" s="44" t="str">
        <f t="shared" si="624"/>
        <v/>
      </c>
      <c r="IL81" s="44" t="str">
        <f t="shared" si="625"/>
        <v/>
      </c>
      <c r="IM81" s="306" t="str">
        <f t="shared" si="626"/>
        <v/>
      </c>
      <c r="IN81" s="44" t="str">
        <f t="shared" si="627"/>
        <v/>
      </c>
      <c r="IO81" s="44" t="str">
        <f t="shared" si="628"/>
        <v/>
      </c>
      <c r="IP81" s="44" t="str">
        <f t="shared" si="629"/>
        <v/>
      </c>
      <c r="IQ81" s="44" t="str">
        <f t="shared" si="630"/>
        <v/>
      </c>
      <c r="IR81" s="44" t="str">
        <f t="shared" si="631"/>
        <v/>
      </c>
      <c r="IS81" s="306" t="str">
        <f t="shared" si="632"/>
        <v/>
      </c>
      <c r="IT81" s="44" t="str">
        <f t="shared" si="633"/>
        <v/>
      </c>
      <c r="IU81" s="44" t="str">
        <f t="shared" si="634"/>
        <v/>
      </c>
      <c r="IV81" s="44" t="str">
        <f t="shared" si="635"/>
        <v/>
      </c>
      <c r="IW81" s="44" t="str">
        <f t="shared" si="636"/>
        <v/>
      </c>
      <c r="IX81" s="44" t="str">
        <f t="shared" si="637"/>
        <v/>
      </c>
      <c r="IY81" s="306" t="str">
        <f t="shared" si="638"/>
        <v/>
      </c>
      <c r="IZ81" s="44" t="str">
        <f t="shared" si="639"/>
        <v/>
      </c>
      <c r="JA81" s="44" t="str">
        <f t="shared" si="640"/>
        <v/>
      </c>
      <c r="JB81" s="44" t="str">
        <f t="shared" si="641"/>
        <v/>
      </c>
      <c r="JC81" s="44" t="str">
        <f t="shared" si="642"/>
        <v/>
      </c>
      <c r="JD81" s="307" t="str">
        <f t="shared" si="643"/>
        <v/>
      </c>
      <c r="JF81" s="66">
        <f t="shared" si="224"/>
        <v>81</v>
      </c>
      <c r="JG81" s="66">
        <f t="shared" ca="1" si="644"/>
        <v>0</v>
      </c>
      <c r="JH81" s="66">
        <f t="shared" ca="1" si="645"/>
        <v>0</v>
      </c>
      <c r="JI81" s="66">
        <f t="shared" ca="1" si="646"/>
        <v>0</v>
      </c>
      <c r="JJ81" s="66">
        <f t="shared" ca="1" si="647"/>
        <v>0</v>
      </c>
      <c r="JK81" s="33"/>
      <c r="JL81" s="74" t="str">
        <f t="shared" ca="1" si="648"/>
        <v>-</v>
      </c>
      <c r="JM81" s="75">
        <f t="shared" ca="1" si="649"/>
        <v>0</v>
      </c>
      <c r="JN81" s="75">
        <f t="shared" ca="1" si="650"/>
        <v>0</v>
      </c>
      <c r="JO81" s="74" t="str">
        <f t="shared" ca="1" si="651"/>
        <v>-</v>
      </c>
      <c r="JP81" s="74">
        <f t="shared" ca="1" si="652"/>
        <v>0</v>
      </c>
    </row>
    <row r="82" spans="1:276" s="1" customFormat="1" x14ac:dyDescent="0.35">
      <c r="A82" s="125">
        <v>0</v>
      </c>
      <c r="B82" s="125">
        <v>0</v>
      </c>
      <c r="C82" s="125">
        <v>1</v>
      </c>
      <c r="E82" s="142" t="s">
        <v>134</v>
      </c>
      <c r="F82" s="227" t="s">
        <v>135</v>
      </c>
      <c r="G82" s="228" t="s">
        <v>530</v>
      </c>
      <c r="H82" s="210" t="s">
        <v>547</v>
      </c>
      <c r="I82" s="8" t="s">
        <v>532</v>
      </c>
      <c r="J82" s="211" t="s">
        <v>805</v>
      </c>
      <c r="K82" s="211" t="s">
        <v>805</v>
      </c>
      <c r="L82" s="211" t="s">
        <v>805</v>
      </c>
      <c r="M82" s="211" t="s">
        <v>805</v>
      </c>
      <c r="N82" s="211" t="s">
        <v>805</v>
      </c>
      <c r="O82" s="211" t="s">
        <v>805</v>
      </c>
      <c r="P82" s="211" t="s">
        <v>805</v>
      </c>
      <c r="Q82" s="211" t="s">
        <v>805</v>
      </c>
      <c r="R82" s="211" t="s">
        <v>805</v>
      </c>
      <c r="S82" s="211" t="s">
        <v>805</v>
      </c>
      <c r="T82" s="211" t="s">
        <v>805</v>
      </c>
      <c r="U82" s="211" t="s">
        <v>805</v>
      </c>
      <c r="V82" s="211" t="s">
        <v>805</v>
      </c>
      <c r="W82" s="211" t="s">
        <v>805</v>
      </c>
      <c r="X82" s="211" t="s">
        <v>805</v>
      </c>
      <c r="Y82" s="211" t="s">
        <v>805</v>
      </c>
      <c r="Z82" s="211" t="s">
        <v>805</v>
      </c>
      <c r="AA82" s="211" t="s">
        <v>805</v>
      </c>
      <c r="AB82" s="211" t="s">
        <v>805</v>
      </c>
      <c r="AC82" s="211" t="s">
        <v>805</v>
      </c>
      <c r="AD82" s="211" t="s">
        <v>805</v>
      </c>
      <c r="AE82" s="211" t="s">
        <v>805</v>
      </c>
      <c r="AF82" s="211" t="s">
        <v>805</v>
      </c>
      <c r="AG82" s="211" t="s">
        <v>805</v>
      </c>
      <c r="AH82" s="211" t="s">
        <v>805</v>
      </c>
      <c r="AI82" s="211" t="s">
        <v>805</v>
      </c>
      <c r="AJ82" s="211" t="s">
        <v>805</v>
      </c>
      <c r="AK82" s="211" t="s">
        <v>805</v>
      </c>
      <c r="AL82" s="211" t="s">
        <v>805</v>
      </c>
      <c r="AM82" s="211" t="s">
        <v>805</v>
      </c>
      <c r="AN82" s="211" t="s">
        <v>805</v>
      </c>
      <c r="AO82" s="211" t="s">
        <v>805</v>
      </c>
      <c r="AP82" s="211" t="s">
        <v>805</v>
      </c>
      <c r="AQ82" s="211" t="s">
        <v>805</v>
      </c>
      <c r="AR82" s="211" t="s">
        <v>805</v>
      </c>
      <c r="AS82" s="211" t="s">
        <v>805</v>
      </c>
      <c r="AT82" s="211" t="s">
        <v>805</v>
      </c>
      <c r="AU82" s="211" t="s">
        <v>805</v>
      </c>
      <c r="AV82" s="211" t="s">
        <v>805</v>
      </c>
      <c r="AW82" s="211" t="s">
        <v>805</v>
      </c>
      <c r="AX82" s="211" t="s">
        <v>805</v>
      </c>
      <c r="AY82" s="211" t="s">
        <v>805</v>
      </c>
      <c r="AZ82" s="211" t="s">
        <v>805</v>
      </c>
      <c r="BA82" s="211" t="s">
        <v>805</v>
      </c>
      <c r="BB82" s="211" t="s">
        <v>805</v>
      </c>
      <c r="BC82" s="211" t="s">
        <v>805</v>
      </c>
      <c r="BD82" s="211" t="s">
        <v>805</v>
      </c>
      <c r="BE82" s="211" t="s">
        <v>805</v>
      </c>
      <c r="BF82" s="211" t="s">
        <v>805</v>
      </c>
      <c r="BG82" s="211" t="s">
        <v>805</v>
      </c>
      <c r="BH82" s="211" t="s">
        <v>805</v>
      </c>
      <c r="BI82" s="211" t="s">
        <v>805</v>
      </c>
      <c r="BJ82" s="211" t="s">
        <v>805</v>
      </c>
      <c r="BK82" s="211" t="s">
        <v>805</v>
      </c>
      <c r="BL82" s="211" t="s">
        <v>805</v>
      </c>
      <c r="BM82" s="211" t="s">
        <v>805</v>
      </c>
      <c r="BN82" s="211" t="s">
        <v>805</v>
      </c>
      <c r="BO82" s="211" t="s">
        <v>805</v>
      </c>
      <c r="BP82" s="211" t="s">
        <v>805</v>
      </c>
      <c r="BQ82" s="211" t="s">
        <v>805</v>
      </c>
      <c r="BR82" s="211" t="s">
        <v>805</v>
      </c>
      <c r="BS82" s="211" t="s">
        <v>805</v>
      </c>
      <c r="BT82" s="211" t="s">
        <v>805</v>
      </c>
      <c r="BU82" s="211" t="s">
        <v>805</v>
      </c>
      <c r="BV82" s="211" t="s">
        <v>805</v>
      </c>
      <c r="BW82" s="211" t="s">
        <v>805</v>
      </c>
      <c r="BX82" s="211" t="s">
        <v>805</v>
      </c>
      <c r="BY82" s="211" t="s">
        <v>805</v>
      </c>
      <c r="BZ82" s="211" t="s">
        <v>805</v>
      </c>
      <c r="CA82" s="211" t="s">
        <v>805</v>
      </c>
      <c r="CB82" s="211" t="s">
        <v>805</v>
      </c>
      <c r="CC82" s="211" t="s">
        <v>805</v>
      </c>
      <c r="CD82" s="211" t="s">
        <v>805</v>
      </c>
      <c r="CE82" s="211" t="s">
        <v>805</v>
      </c>
      <c r="CF82" s="211" t="s">
        <v>805</v>
      </c>
      <c r="CG82" s="211" t="s">
        <v>805</v>
      </c>
      <c r="CH82" s="211" t="s">
        <v>805</v>
      </c>
      <c r="CI82" s="211" t="s">
        <v>805</v>
      </c>
      <c r="CJ82" s="211" t="s">
        <v>805</v>
      </c>
      <c r="CK82" s="211" t="s">
        <v>805</v>
      </c>
      <c r="CL82" s="211" t="s">
        <v>805</v>
      </c>
      <c r="CM82" s="211" t="s">
        <v>805</v>
      </c>
      <c r="CN82" s="211" t="s">
        <v>805</v>
      </c>
      <c r="CO82" s="211" t="s">
        <v>805</v>
      </c>
      <c r="CP82" s="211" t="s">
        <v>805</v>
      </c>
      <c r="CQ82" s="211" t="s">
        <v>805</v>
      </c>
      <c r="CR82" s="211" t="s">
        <v>805</v>
      </c>
      <c r="CS82" s="211" t="s">
        <v>805</v>
      </c>
      <c r="CT82" s="211" t="s">
        <v>805</v>
      </c>
      <c r="CU82" s="211" t="s">
        <v>805</v>
      </c>
      <c r="CV82" s="211" t="s">
        <v>805</v>
      </c>
      <c r="CW82" s="211" t="s">
        <v>805</v>
      </c>
      <c r="CX82" s="211" t="s">
        <v>805</v>
      </c>
      <c r="CY82" s="211" t="s">
        <v>805</v>
      </c>
      <c r="CZ82" s="211" t="s">
        <v>805</v>
      </c>
      <c r="DA82" s="211" t="s">
        <v>805</v>
      </c>
      <c r="DB82" s="211" t="s">
        <v>805</v>
      </c>
      <c r="DC82" s="211" t="s">
        <v>805</v>
      </c>
      <c r="DD82" s="211" t="s">
        <v>805</v>
      </c>
      <c r="DE82" s="211" t="s">
        <v>805</v>
      </c>
      <c r="DF82" s="211" t="s">
        <v>805</v>
      </c>
      <c r="DG82" s="212">
        <f>VLOOKUP(E82,'KPI Count-SHARE'!A:F,3,0)</f>
        <v>0</v>
      </c>
      <c r="DH82" s="213" t="s">
        <v>805</v>
      </c>
      <c r="DI82" s="213" t="s">
        <v>805</v>
      </c>
      <c r="DJ82" s="213" t="s">
        <v>805</v>
      </c>
      <c r="DK82" s="213" t="s">
        <v>805</v>
      </c>
      <c r="DL82" s="213" t="s">
        <v>805</v>
      </c>
      <c r="DM82" s="213" t="s">
        <v>805</v>
      </c>
      <c r="DN82" s="212">
        <f>VLOOKUP(E82,'KPI Count-SHARE'!A:F,4,0)</f>
        <v>0</v>
      </c>
      <c r="DO82" s="213"/>
      <c r="DP82" s="213"/>
      <c r="DQ82" s="213"/>
      <c r="DR82" s="213"/>
      <c r="DS82" s="213"/>
      <c r="DT82" s="213"/>
      <c r="DU82" s="212">
        <f>VLOOKUP(E82,'KPI Count-SHARE'!A:F,5,0)</f>
        <v>0</v>
      </c>
      <c r="DV82" s="213"/>
      <c r="DW82" s="213"/>
      <c r="DX82" s="213"/>
      <c r="DY82" s="213"/>
      <c r="DZ82" s="213"/>
      <c r="EA82" s="213"/>
      <c r="EB82" s="212">
        <f>VLOOKUP(E82,'KPI Count-SHARE'!A:F,6,0)</f>
        <v>0</v>
      </c>
      <c r="EC82" s="213"/>
      <c r="ED82" s="213"/>
      <c r="EE82" s="213"/>
      <c r="EF82" s="213"/>
      <c r="EG82" s="213"/>
      <c r="EH82" s="213"/>
      <c r="EI82" s="214" t="s">
        <v>547</v>
      </c>
      <c r="EJ82" s="41" t="str">
        <f t="shared" si="519"/>
        <v/>
      </c>
      <c r="EK82" s="41" t="str">
        <f t="shared" si="520"/>
        <v/>
      </c>
      <c r="EL82" s="41" t="str">
        <f t="shared" si="521"/>
        <v/>
      </c>
      <c r="EM82" s="41" t="str">
        <f t="shared" si="522"/>
        <v/>
      </c>
      <c r="EN82" s="41" t="str">
        <f t="shared" si="523"/>
        <v/>
      </c>
      <c r="EO82" s="41" t="str">
        <f t="shared" si="524"/>
        <v/>
      </c>
      <c r="EP82" s="41" t="str">
        <f t="shared" si="525"/>
        <v/>
      </c>
      <c r="EQ82" s="41" t="str">
        <f t="shared" si="526"/>
        <v/>
      </c>
      <c r="ER82" s="41" t="str">
        <f t="shared" si="527"/>
        <v/>
      </c>
      <c r="ES82" s="41" t="str">
        <f t="shared" si="528"/>
        <v/>
      </c>
      <c r="ET82" s="41" t="str">
        <f t="shared" si="529"/>
        <v/>
      </c>
      <c r="EU82" s="41" t="str">
        <f t="shared" si="530"/>
        <v/>
      </c>
      <c r="EV82" s="41" t="str">
        <f t="shared" si="531"/>
        <v/>
      </c>
      <c r="EW82" s="41" t="str">
        <f t="shared" si="532"/>
        <v/>
      </c>
      <c r="EX82" s="41" t="str">
        <f t="shared" si="533"/>
        <v/>
      </c>
      <c r="EY82" s="41" t="str">
        <f t="shared" si="534"/>
        <v/>
      </c>
      <c r="EZ82" s="41" t="str">
        <f t="shared" si="535"/>
        <v/>
      </c>
      <c r="FA82" s="41" t="str">
        <f t="shared" si="536"/>
        <v/>
      </c>
      <c r="FB82" s="41" t="str">
        <f t="shared" si="537"/>
        <v/>
      </c>
      <c r="FC82" s="41" t="str">
        <f t="shared" si="538"/>
        <v/>
      </c>
      <c r="FD82" s="41" t="str">
        <f t="shared" si="539"/>
        <v/>
      </c>
      <c r="FE82" s="41" t="str">
        <f t="shared" si="540"/>
        <v/>
      </c>
      <c r="FF82" s="41" t="str">
        <f t="shared" si="541"/>
        <v/>
      </c>
      <c r="FG82" s="41" t="str">
        <f t="shared" si="542"/>
        <v/>
      </c>
      <c r="FH82" s="41" t="str">
        <f t="shared" si="543"/>
        <v/>
      </c>
      <c r="FI82" s="41" t="str">
        <f t="shared" si="544"/>
        <v/>
      </c>
      <c r="FJ82" s="41" t="str">
        <f t="shared" si="545"/>
        <v/>
      </c>
      <c r="FK82" s="41" t="str">
        <f t="shared" si="546"/>
        <v/>
      </c>
      <c r="FL82" s="41" t="str">
        <f t="shared" si="547"/>
        <v/>
      </c>
      <c r="FM82" s="41" t="str">
        <f t="shared" si="548"/>
        <v/>
      </c>
      <c r="FN82" s="41" t="str">
        <f t="shared" si="549"/>
        <v/>
      </c>
      <c r="FO82" s="41" t="str">
        <f t="shared" si="550"/>
        <v/>
      </c>
      <c r="FP82" s="41" t="str">
        <f t="shared" si="551"/>
        <v/>
      </c>
      <c r="FQ82" s="41" t="str">
        <f t="shared" si="552"/>
        <v/>
      </c>
      <c r="FR82" s="41" t="str">
        <f t="shared" si="553"/>
        <v/>
      </c>
      <c r="FS82" s="41" t="str">
        <f t="shared" si="554"/>
        <v/>
      </c>
      <c r="FT82" s="41" t="str">
        <f t="shared" si="555"/>
        <v/>
      </c>
      <c r="FU82" s="41" t="str">
        <f t="shared" si="556"/>
        <v/>
      </c>
      <c r="FV82" s="41" t="str">
        <f t="shared" si="557"/>
        <v/>
      </c>
      <c r="FW82" s="41" t="str">
        <f t="shared" si="558"/>
        <v/>
      </c>
      <c r="FX82" s="41" t="str">
        <f t="shared" si="559"/>
        <v/>
      </c>
      <c r="FY82" s="41" t="str">
        <f t="shared" si="560"/>
        <v/>
      </c>
      <c r="FZ82" s="41" t="str">
        <f t="shared" si="561"/>
        <v/>
      </c>
      <c r="GA82" s="41" t="str">
        <f t="shared" si="562"/>
        <v/>
      </c>
      <c r="GB82" s="41" t="str">
        <f t="shared" si="563"/>
        <v/>
      </c>
      <c r="GC82" s="41" t="str">
        <f t="shared" si="564"/>
        <v/>
      </c>
      <c r="GD82" s="41" t="str">
        <f t="shared" si="565"/>
        <v/>
      </c>
      <c r="GE82" s="41" t="str">
        <f t="shared" si="566"/>
        <v/>
      </c>
      <c r="GF82" s="41" t="str">
        <f t="shared" si="567"/>
        <v/>
      </c>
      <c r="GG82" s="41" t="str">
        <f t="shared" si="568"/>
        <v/>
      </c>
      <c r="GH82" s="41" t="str">
        <f t="shared" si="569"/>
        <v/>
      </c>
      <c r="GI82" s="41" t="str">
        <f t="shared" si="570"/>
        <v/>
      </c>
      <c r="GJ82" s="41" t="str">
        <f t="shared" si="571"/>
        <v/>
      </c>
      <c r="GK82" s="41" t="str">
        <f t="shared" si="572"/>
        <v/>
      </c>
      <c r="GL82" s="41" t="str">
        <f t="shared" si="573"/>
        <v/>
      </c>
      <c r="GM82" s="41" t="str">
        <f t="shared" si="574"/>
        <v/>
      </c>
      <c r="GN82" s="41" t="str">
        <f t="shared" si="575"/>
        <v/>
      </c>
      <c r="GO82" s="41" t="str">
        <f t="shared" si="576"/>
        <v/>
      </c>
      <c r="GP82" s="41" t="str">
        <f t="shared" si="577"/>
        <v/>
      </c>
      <c r="GQ82" s="41" t="str">
        <f t="shared" si="578"/>
        <v/>
      </c>
      <c r="GR82" s="41" t="str">
        <f t="shared" si="579"/>
        <v/>
      </c>
      <c r="GS82" s="41" t="str">
        <f t="shared" si="580"/>
        <v/>
      </c>
      <c r="GT82" s="41" t="str">
        <f t="shared" si="581"/>
        <v/>
      </c>
      <c r="GU82" s="41" t="str">
        <f t="shared" si="582"/>
        <v/>
      </c>
      <c r="GV82" s="41" t="str">
        <f t="shared" si="583"/>
        <v/>
      </c>
      <c r="GW82" s="41" t="str">
        <f t="shared" si="584"/>
        <v/>
      </c>
      <c r="GX82" s="41" t="str">
        <f t="shared" si="585"/>
        <v/>
      </c>
      <c r="GY82" s="41" t="str">
        <f t="shared" si="586"/>
        <v/>
      </c>
      <c r="GZ82" s="41" t="str">
        <f t="shared" si="587"/>
        <v/>
      </c>
      <c r="HA82" s="41" t="str">
        <f t="shared" si="588"/>
        <v/>
      </c>
      <c r="HB82" s="41" t="str">
        <f t="shared" si="589"/>
        <v/>
      </c>
      <c r="HC82" s="41" t="str">
        <f t="shared" si="590"/>
        <v/>
      </c>
      <c r="HD82" s="41" t="str">
        <f t="shared" si="591"/>
        <v/>
      </c>
      <c r="HE82" s="41" t="str">
        <f t="shared" si="592"/>
        <v/>
      </c>
      <c r="HF82" s="41" t="str">
        <f t="shared" si="593"/>
        <v/>
      </c>
      <c r="HG82" s="41" t="str">
        <f t="shared" si="594"/>
        <v/>
      </c>
      <c r="HH82" s="41" t="str">
        <f t="shared" si="595"/>
        <v/>
      </c>
      <c r="HI82" s="41" t="str">
        <f t="shared" si="596"/>
        <v/>
      </c>
      <c r="HJ82" s="41" t="str">
        <f t="shared" si="597"/>
        <v/>
      </c>
      <c r="HK82" s="41" t="str">
        <f t="shared" si="598"/>
        <v/>
      </c>
      <c r="HL82" s="41" t="str">
        <f t="shared" si="599"/>
        <v/>
      </c>
      <c r="HM82" s="41" t="str">
        <f t="shared" si="600"/>
        <v/>
      </c>
      <c r="HN82" s="41" t="str">
        <f t="shared" si="601"/>
        <v/>
      </c>
      <c r="HO82" s="41" t="str">
        <f t="shared" si="602"/>
        <v/>
      </c>
      <c r="HP82" s="41" t="str">
        <f t="shared" si="603"/>
        <v/>
      </c>
      <c r="HQ82" s="41" t="str">
        <f t="shared" si="604"/>
        <v/>
      </c>
      <c r="HR82" s="41" t="str">
        <f t="shared" si="605"/>
        <v/>
      </c>
      <c r="HS82" s="41" t="str">
        <f t="shared" si="606"/>
        <v/>
      </c>
      <c r="HT82" s="41" t="str">
        <f t="shared" si="607"/>
        <v/>
      </c>
      <c r="HU82" s="41" t="str">
        <f t="shared" si="608"/>
        <v/>
      </c>
      <c r="HV82" s="41" t="str">
        <f t="shared" si="609"/>
        <v/>
      </c>
      <c r="HW82" s="41" t="str">
        <f t="shared" si="610"/>
        <v/>
      </c>
      <c r="HX82" s="41" t="str">
        <f t="shared" si="611"/>
        <v/>
      </c>
      <c r="HY82" s="41" t="str">
        <f t="shared" si="612"/>
        <v/>
      </c>
      <c r="HZ82" s="41" t="str">
        <f t="shared" si="613"/>
        <v/>
      </c>
      <c r="IA82" s="41" t="str">
        <f t="shared" si="614"/>
        <v/>
      </c>
      <c r="IB82" s="41" t="str">
        <f t="shared" si="615"/>
        <v/>
      </c>
      <c r="IC82" s="41" t="str">
        <f t="shared" si="616"/>
        <v/>
      </c>
      <c r="ID82" s="41" t="str">
        <f t="shared" si="617"/>
        <v/>
      </c>
      <c r="IE82" s="41" t="str">
        <f t="shared" si="618"/>
        <v/>
      </c>
      <c r="IF82" s="41" t="str">
        <f t="shared" si="619"/>
        <v/>
      </c>
      <c r="IG82" s="306" t="str">
        <f t="shared" si="620"/>
        <v/>
      </c>
      <c r="IH82" s="44" t="str">
        <f t="shared" si="621"/>
        <v/>
      </c>
      <c r="II82" s="44" t="str">
        <f t="shared" si="622"/>
        <v/>
      </c>
      <c r="IJ82" s="44" t="str">
        <f t="shared" si="623"/>
        <v/>
      </c>
      <c r="IK82" s="44" t="str">
        <f t="shared" si="624"/>
        <v/>
      </c>
      <c r="IL82" s="44" t="str">
        <f t="shared" si="625"/>
        <v/>
      </c>
      <c r="IM82" s="306" t="str">
        <f t="shared" si="626"/>
        <v/>
      </c>
      <c r="IN82" s="44" t="str">
        <f t="shared" si="627"/>
        <v/>
      </c>
      <c r="IO82" s="44" t="str">
        <f t="shared" si="628"/>
        <v/>
      </c>
      <c r="IP82" s="44" t="str">
        <f t="shared" si="629"/>
        <v/>
      </c>
      <c r="IQ82" s="44" t="str">
        <f t="shared" si="630"/>
        <v/>
      </c>
      <c r="IR82" s="44" t="str">
        <f t="shared" si="631"/>
        <v/>
      </c>
      <c r="IS82" s="306" t="str">
        <f t="shared" si="632"/>
        <v/>
      </c>
      <c r="IT82" s="44" t="str">
        <f t="shared" si="633"/>
        <v/>
      </c>
      <c r="IU82" s="44" t="str">
        <f t="shared" si="634"/>
        <v/>
      </c>
      <c r="IV82" s="44" t="str">
        <f t="shared" si="635"/>
        <v/>
      </c>
      <c r="IW82" s="44" t="str">
        <f t="shared" si="636"/>
        <v/>
      </c>
      <c r="IX82" s="44" t="str">
        <f t="shared" si="637"/>
        <v/>
      </c>
      <c r="IY82" s="306" t="str">
        <f t="shared" si="638"/>
        <v/>
      </c>
      <c r="IZ82" s="44" t="str">
        <f t="shared" si="639"/>
        <v/>
      </c>
      <c r="JA82" s="44" t="str">
        <f t="shared" si="640"/>
        <v/>
      </c>
      <c r="JB82" s="44" t="str">
        <f t="shared" si="641"/>
        <v/>
      </c>
      <c r="JC82" s="44" t="str">
        <f t="shared" si="642"/>
        <v/>
      </c>
      <c r="JD82" s="307" t="str">
        <f t="shared" si="643"/>
        <v/>
      </c>
      <c r="JF82" s="66">
        <f t="shared" si="224"/>
        <v>82</v>
      </c>
      <c r="JG82" s="66">
        <f t="shared" ca="1" si="644"/>
        <v>0</v>
      </c>
      <c r="JH82" s="66">
        <f t="shared" ca="1" si="645"/>
        <v>0</v>
      </c>
      <c r="JI82" s="66">
        <f t="shared" ca="1" si="646"/>
        <v>0</v>
      </c>
      <c r="JJ82" s="66">
        <f t="shared" ca="1" si="647"/>
        <v>0</v>
      </c>
      <c r="JK82" s="33"/>
      <c r="JL82" s="74" t="str">
        <f t="shared" ca="1" si="648"/>
        <v>-</v>
      </c>
      <c r="JM82" s="75">
        <f t="shared" ca="1" si="649"/>
        <v>0</v>
      </c>
      <c r="JN82" s="75">
        <f t="shared" ca="1" si="650"/>
        <v>0</v>
      </c>
      <c r="JO82" s="74" t="str">
        <f t="shared" ca="1" si="651"/>
        <v>-</v>
      </c>
      <c r="JP82" s="74">
        <f t="shared" ca="1" si="652"/>
        <v>0</v>
      </c>
    </row>
    <row r="83" spans="1:276" s="1" customFormat="1" x14ac:dyDescent="0.35">
      <c r="A83" s="125">
        <v>0</v>
      </c>
      <c r="B83" s="125">
        <v>0</v>
      </c>
      <c r="C83" s="125">
        <v>1</v>
      </c>
      <c r="E83" s="142" t="s">
        <v>136</v>
      </c>
      <c r="F83" s="227" t="s">
        <v>137</v>
      </c>
      <c r="G83" s="228" t="s">
        <v>530</v>
      </c>
      <c r="H83" s="210" t="s">
        <v>547</v>
      </c>
      <c r="I83" s="8" t="s">
        <v>532</v>
      </c>
      <c r="J83" s="211" t="s">
        <v>805</v>
      </c>
      <c r="K83" s="211" t="s">
        <v>805</v>
      </c>
      <c r="L83" s="211" t="s">
        <v>805</v>
      </c>
      <c r="M83" s="211" t="s">
        <v>805</v>
      </c>
      <c r="N83" s="211" t="s">
        <v>805</v>
      </c>
      <c r="O83" s="211" t="s">
        <v>805</v>
      </c>
      <c r="P83" s="211" t="s">
        <v>805</v>
      </c>
      <c r="Q83" s="211" t="s">
        <v>805</v>
      </c>
      <c r="R83" s="211" t="s">
        <v>805</v>
      </c>
      <c r="S83" s="211" t="s">
        <v>805</v>
      </c>
      <c r="T83" s="211" t="s">
        <v>805</v>
      </c>
      <c r="U83" s="211" t="s">
        <v>805</v>
      </c>
      <c r="V83" s="211" t="s">
        <v>805</v>
      </c>
      <c r="W83" s="211" t="s">
        <v>805</v>
      </c>
      <c r="X83" s="211" t="s">
        <v>805</v>
      </c>
      <c r="Y83" s="211" t="s">
        <v>805</v>
      </c>
      <c r="Z83" s="211" t="s">
        <v>805</v>
      </c>
      <c r="AA83" s="211" t="s">
        <v>805</v>
      </c>
      <c r="AB83" s="211" t="s">
        <v>805</v>
      </c>
      <c r="AC83" s="211" t="s">
        <v>805</v>
      </c>
      <c r="AD83" s="211" t="s">
        <v>805</v>
      </c>
      <c r="AE83" s="211" t="s">
        <v>805</v>
      </c>
      <c r="AF83" s="211" t="s">
        <v>805</v>
      </c>
      <c r="AG83" s="211" t="s">
        <v>805</v>
      </c>
      <c r="AH83" s="211" t="s">
        <v>805</v>
      </c>
      <c r="AI83" s="211" t="s">
        <v>805</v>
      </c>
      <c r="AJ83" s="211" t="s">
        <v>805</v>
      </c>
      <c r="AK83" s="211" t="s">
        <v>805</v>
      </c>
      <c r="AL83" s="211" t="s">
        <v>805</v>
      </c>
      <c r="AM83" s="211" t="s">
        <v>805</v>
      </c>
      <c r="AN83" s="211" t="s">
        <v>805</v>
      </c>
      <c r="AO83" s="211" t="s">
        <v>805</v>
      </c>
      <c r="AP83" s="211" t="s">
        <v>805</v>
      </c>
      <c r="AQ83" s="211" t="s">
        <v>805</v>
      </c>
      <c r="AR83" s="211" t="s">
        <v>805</v>
      </c>
      <c r="AS83" s="211" t="s">
        <v>805</v>
      </c>
      <c r="AT83" s="211" t="s">
        <v>805</v>
      </c>
      <c r="AU83" s="211" t="s">
        <v>805</v>
      </c>
      <c r="AV83" s="211" t="s">
        <v>805</v>
      </c>
      <c r="AW83" s="211" t="s">
        <v>805</v>
      </c>
      <c r="AX83" s="211" t="s">
        <v>805</v>
      </c>
      <c r="AY83" s="211" t="s">
        <v>805</v>
      </c>
      <c r="AZ83" s="211" t="s">
        <v>805</v>
      </c>
      <c r="BA83" s="211" t="s">
        <v>805</v>
      </c>
      <c r="BB83" s="211" t="s">
        <v>805</v>
      </c>
      <c r="BC83" s="211" t="s">
        <v>805</v>
      </c>
      <c r="BD83" s="211" t="s">
        <v>805</v>
      </c>
      <c r="BE83" s="211" t="s">
        <v>805</v>
      </c>
      <c r="BF83" s="211" t="s">
        <v>805</v>
      </c>
      <c r="BG83" s="211" t="s">
        <v>805</v>
      </c>
      <c r="BH83" s="211" t="s">
        <v>805</v>
      </c>
      <c r="BI83" s="211" t="s">
        <v>805</v>
      </c>
      <c r="BJ83" s="211" t="s">
        <v>805</v>
      </c>
      <c r="BK83" s="211" t="s">
        <v>805</v>
      </c>
      <c r="BL83" s="211" t="s">
        <v>805</v>
      </c>
      <c r="BM83" s="211" t="s">
        <v>805</v>
      </c>
      <c r="BN83" s="211" t="s">
        <v>805</v>
      </c>
      <c r="BO83" s="211" t="s">
        <v>805</v>
      </c>
      <c r="BP83" s="211" t="s">
        <v>805</v>
      </c>
      <c r="BQ83" s="211" t="s">
        <v>805</v>
      </c>
      <c r="BR83" s="211" t="s">
        <v>805</v>
      </c>
      <c r="BS83" s="211" t="s">
        <v>805</v>
      </c>
      <c r="BT83" s="211" t="s">
        <v>805</v>
      </c>
      <c r="BU83" s="211" t="s">
        <v>805</v>
      </c>
      <c r="BV83" s="211" t="s">
        <v>805</v>
      </c>
      <c r="BW83" s="211" t="s">
        <v>805</v>
      </c>
      <c r="BX83" s="211" t="s">
        <v>805</v>
      </c>
      <c r="BY83" s="211" t="s">
        <v>805</v>
      </c>
      <c r="BZ83" s="211" t="s">
        <v>805</v>
      </c>
      <c r="CA83" s="211" t="s">
        <v>805</v>
      </c>
      <c r="CB83" s="211" t="s">
        <v>805</v>
      </c>
      <c r="CC83" s="211" t="s">
        <v>805</v>
      </c>
      <c r="CD83" s="211" t="s">
        <v>805</v>
      </c>
      <c r="CE83" s="211" t="s">
        <v>805</v>
      </c>
      <c r="CF83" s="211" t="s">
        <v>805</v>
      </c>
      <c r="CG83" s="211" t="s">
        <v>805</v>
      </c>
      <c r="CH83" s="211" t="s">
        <v>805</v>
      </c>
      <c r="CI83" s="211" t="s">
        <v>805</v>
      </c>
      <c r="CJ83" s="211" t="s">
        <v>805</v>
      </c>
      <c r="CK83" s="211" t="s">
        <v>805</v>
      </c>
      <c r="CL83" s="211" t="s">
        <v>805</v>
      </c>
      <c r="CM83" s="211" t="s">
        <v>805</v>
      </c>
      <c r="CN83" s="211" t="s">
        <v>805</v>
      </c>
      <c r="CO83" s="211" t="s">
        <v>805</v>
      </c>
      <c r="CP83" s="211" t="s">
        <v>805</v>
      </c>
      <c r="CQ83" s="211" t="s">
        <v>805</v>
      </c>
      <c r="CR83" s="211" t="s">
        <v>805</v>
      </c>
      <c r="CS83" s="211" t="s">
        <v>805</v>
      </c>
      <c r="CT83" s="211" t="s">
        <v>805</v>
      </c>
      <c r="CU83" s="211" t="s">
        <v>805</v>
      </c>
      <c r="CV83" s="211" t="s">
        <v>805</v>
      </c>
      <c r="CW83" s="211" t="s">
        <v>805</v>
      </c>
      <c r="CX83" s="211" t="s">
        <v>805</v>
      </c>
      <c r="CY83" s="211" t="s">
        <v>805</v>
      </c>
      <c r="CZ83" s="211" t="s">
        <v>805</v>
      </c>
      <c r="DA83" s="211" t="s">
        <v>805</v>
      </c>
      <c r="DB83" s="211" t="s">
        <v>805</v>
      </c>
      <c r="DC83" s="211" t="s">
        <v>805</v>
      </c>
      <c r="DD83" s="211" t="s">
        <v>805</v>
      </c>
      <c r="DE83" s="211" t="s">
        <v>805</v>
      </c>
      <c r="DF83" s="211" t="s">
        <v>805</v>
      </c>
      <c r="DG83" s="212">
        <f>VLOOKUP(E83,'KPI Count-SHARE'!A:F,3,0)</f>
        <v>0</v>
      </c>
      <c r="DH83" s="213" t="s">
        <v>805</v>
      </c>
      <c r="DI83" s="213" t="s">
        <v>805</v>
      </c>
      <c r="DJ83" s="213" t="s">
        <v>805</v>
      </c>
      <c r="DK83" s="213" t="s">
        <v>805</v>
      </c>
      <c r="DL83" s="213" t="s">
        <v>805</v>
      </c>
      <c r="DM83" s="213" t="s">
        <v>805</v>
      </c>
      <c r="DN83" s="212">
        <f>VLOOKUP(E83,'KPI Count-SHARE'!A:F,4,0)</f>
        <v>0</v>
      </c>
      <c r="DO83" s="213"/>
      <c r="DP83" s="213"/>
      <c r="DQ83" s="213"/>
      <c r="DR83" s="213"/>
      <c r="DS83" s="213"/>
      <c r="DT83" s="213"/>
      <c r="DU83" s="212">
        <f>VLOOKUP(E83,'KPI Count-SHARE'!A:F,5,0)</f>
        <v>0</v>
      </c>
      <c r="DV83" s="213"/>
      <c r="DW83" s="213"/>
      <c r="DX83" s="213"/>
      <c r="DY83" s="213"/>
      <c r="DZ83" s="213"/>
      <c r="EA83" s="213"/>
      <c r="EB83" s="212">
        <f>VLOOKUP(E83,'KPI Count-SHARE'!A:F,6,0)</f>
        <v>0</v>
      </c>
      <c r="EC83" s="213"/>
      <c r="ED83" s="213"/>
      <c r="EE83" s="213"/>
      <c r="EF83" s="213"/>
      <c r="EG83" s="213"/>
      <c r="EH83" s="213"/>
      <c r="EI83" s="214" t="s">
        <v>547</v>
      </c>
      <c r="EJ83" s="41" t="str">
        <f t="shared" si="519"/>
        <v/>
      </c>
      <c r="EK83" s="41" t="str">
        <f t="shared" si="520"/>
        <v/>
      </c>
      <c r="EL83" s="41" t="str">
        <f t="shared" si="521"/>
        <v/>
      </c>
      <c r="EM83" s="41" t="str">
        <f t="shared" si="522"/>
        <v/>
      </c>
      <c r="EN83" s="41" t="str">
        <f t="shared" si="523"/>
        <v/>
      </c>
      <c r="EO83" s="41" t="str">
        <f t="shared" si="524"/>
        <v/>
      </c>
      <c r="EP83" s="41" t="str">
        <f t="shared" si="525"/>
        <v/>
      </c>
      <c r="EQ83" s="41" t="str">
        <f t="shared" si="526"/>
        <v/>
      </c>
      <c r="ER83" s="41" t="str">
        <f t="shared" si="527"/>
        <v/>
      </c>
      <c r="ES83" s="41" t="str">
        <f t="shared" si="528"/>
        <v/>
      </c>
      <c r="ET83" s="41" t="str">
        <f t="shared" si="529"/>
        <v/>
      </c>
      <c r="EU83" s="41" t="str">
        <f t="shared" si="530"/>
        <v/>
      </c>
      <c r="EV83" s="41" t="str">
        <f t="shared" si="531"/>
        <v/>
      </c>
      <c r="EW83" s="41" t="str">
        <f t="shared" si="532"/>
        <v/>
      </c>
      <c r="EX83" s="41" t="str">
        <f t="shared" si="533"/>
        <v/>
      </c>
      <c r="EY83" s="41" t="str">
        <f t="shared" si="534"/>
        <v/>
      </c>
      <c r="EZ83" s="41" t="str">
        <f t="shared" si="535"/>
        <v/>
      </c>
      <c r="FA83" s="41" t="str">
        <f t="shared" si="536"/>
        <v/>
      </c>
      <c r="FB83" s="41" t="str">
        <f t="shared" si="537"/>
        <v/>
      </c>
      <c r="FC83" s="41" t="str">
        <f t="shared" si="538"/>
        <v/>
      </c>
      <c r="FD83" s="41" t="str">
        <f t="shared" si="539"/>
        <v/>
      </c>
      <c r="FE83" s="41" t="str">
        <f t="shared" si="540"/>
        <v/>
      </c>
      <c r="FF83" s="41" t="str">
        <f t="shared" si="541"/>
        <v/>
      </c>
      <c r="FG83" s="41" t="str">
        <f t="shared" si="542"/>
        <v/>
      </c>
      <c r="FH83" s="41" t="str">
        <f t="shared" si="543"/>
        <v/>
      </c>
      <c r="FI83" s="41" t="str">
        <f t="shared" si="544"/>
        <v/>
      </c>
      <c r="FJ83" s="41" t="str">
        <f t="shared" si="545"/>
        <v/>
      </c>
      <c r="FK83" s="41" t="str">
        <f t="shared" si="546"/>
        <v/>
      </c>
      <c r="FL83" s="41" t="str">
        <f t="shared" si="547"/>
        <v/>
      </c>
      <c r="FM83" s="41" t="str">
        <f t="shared" si="548"/>
        <v/>
      </c>
      <c r="FN83" s="41" t="str">
        <f t="shared" si="549"/>
        <v/>
      </c>
      <c r="FO83" s="41" t="str">
        <f t="shared" si="550"/>
        <v/>
      </c>
      <c r="FP83" s="41" t="str">
        <f t="shared" si="551"/>
        <v/>
      </c>
      <c r="FQ83" s="41" t="str">
        <f t="shared" si="552"/>
        <v/>
      </c>
      <c r="FR83" s="41" t="str">
        <f t="shared" si="553"/>
        <v/>
      </c>
      <c r="FS83" s="41" t="str">
        <f t="shared" si="554"/>
        <v/>
      </c>
      <c r="FT83" s="41" t="str">
        <f t="shared" si="555"/>
        <v/>
      </c>
      <c r="FU83" s="41" t="str">
        <f t="shared" si="556"/>
        <v/>
      </c>
      <c r="FV83" s="41" t="str">
        <f t="shared" si="557"/>
        <v/>
      </c>
      <c r="FW83" s="41" t="str">
        <f t="shared" si="558"/>
        <v/>
      </c>
      <c r="FX83" s="41" t="str">
        <f t="shared" si="559"/>
        <v/>
      </c>
      <c r="FY83" s="41" t="str">
        <f t="shared" si="560"/>
        <v/>
      </c>
      <c r="FZ83" s="41" t="str">
        <f t="shared" si="561"/>
        <v/>
      </c>
      <c r="GA83" s="41" t="str">
        <f t="shared" si="562"/>
        <v/>
      </c>
      <c r="GB83" s="41" t="str">
        <f t="shared" si="563"/>
        <v/>
      </c>
      <c r="GC83" s="41" t="str">
        <f t="shared" si="564"/>
        <v/>
      </c>
      <c r="GD83" s="41" t="str">
        <f t="shared" si="565"/>
        <v/>
      </c>
      <c r="GE83" s="41" t="str">
        <f t="shared" si="566"/>
        <v/>
      </c>
      <c r="GF83" s="41" t="str">
        <f t="shared" si="567"/>
        <v/>
      </c>
      <c r="GG83" s="41" t="str">
        <f t="shared" si="568"/>
        <v/>
      </c>
      <c r="GH83" s="41" t="str">
        <f t="shared" si="569"/>
        <v/>
      </c>
      <c r="GI83" s="41" t="str">
        <f t="shared" si="570"/>
        <v/>
      </c>
      <c r="GJ83" s="41" t="str">
        <f t="shared" si="571"/>
        <v/>
      </c>
      <c r="GK83" s="41" t="str">
        <f t="shared" si="572"/>
        <v/>
      </c>
      <c r="GL83" s="41" t="str">
        <f t="shared" si="573"/>
        <v/>
      </c>
      <c r="GM83" s="41" t="str">
        <f t="shared" si="574"/>
        <v/>
      </c>
      <c r="GN83" s="41" t="str">
        <f t="shared" si="575"/>
        <v/>
      </c>
      <c r="GO83" s="41" t="str">
        <f t="shared" si="576"/>
        <v/>
      </c>
      <c r="GP83" s="41" t="str">
        <f t="shared" si="577"/>
        <v/>
      </c>
      <c r="GQ83" s="41" t="str">
        <f t="shared" si="578"/>
        <v/>
      </c>
      <c r="GR83" s="41" t="str">
        <f t="shared" si="579"/>
        <v/>
      </c>
      <c r="GS83" s="41" t="str">
        <f t="shared" si="580"/>
        <v/>
      </c>
      <c r="GT83" s="41" t="str">
        <f t="shared" si="581"/>
        <v/>
      </c>
      <c r="GU83" s="41" t="str">
        <f t="shared" si="582"/>
        <v/>
      </c>
      <c r="GV83" s="41" t="str">
        <f t="shared" si="583"/>
        <v/>
      </c>
      <c r="GW83" s="41" t="str">
        <f t="shared" si="584"/>
        <v/>
      </c>
      <c r="GX83" s="41" t="str">
        <f t="shared" si="585"/>
        <v/>
      </c>
      <c r="GY83" s="41" t="str">
        <f t="shared" si="586"/>
        <v/>
      </c>
      <c r="GZ83" s="41" t="str">
        <f t="shared" si="587"/>
        <v/>
      </c>
      <c r="HA83" s="41" t="str">
        <f t="shared" si="588"/>
        <v/>
      </c>
      <c r="HB83" s="41" t="str">
        <f t="shared" si="589"/>
        <v/>
      </c>
      <c r="HC83" s="41" t="str">
        <f t="shared" si="590"/>
        <v/>
      </c>
      <c r="HD83" s="41" t="str">
        <f t="shared" si="591"/>
        <v/>
      </c>
      <c r="HE83" s="41" t="str">
        <f t="shared" si="592"/>
        <v/>
      </c>
      <c r="HF83" s="41" t="str">
        <f t="shared" si="593"/>
        <v/>
      </c>
      <c r="HG83" s="41" t="str">
        <f t="shared" si="594"/>
        <v/>
      </c>
      <c r="HH83" s="41" t="str">
        <f t="shared" si="595"/>
        <v/>
      </c>
      <c r="HI83" s="41" t="str">
        <f t="shared" si="596"/>
        <v/>
      </c>
      <c r="HJ83" s="41" t="str">
        <f t="shared" si="597"/>
        <v/>
      </c>
      <c r="HK83" s="41" t="str">
        <f t="shared" si="598"/>
        <v/>
      </c>
      <c r="HL83" s="41" t="str">
        <f t="shared" si="599"/>
        <v/>
      </c>
      <c r="HM83" s="41" t="str">
        <f t="shared" si="600"/>
        <v/>
      </c>
      <c r="HN83" s="41" t="str">
        <f t="shared" si="601"/>
        <v/>
      </c>
      <c r="HO83" s="41" t="str">
        <f t="shared" si="602"/>
        <v/>
      </c>
      <c r="HP83" s="41" t="str">
        <f t="shared" si="603"/>
        <v/>
      </c>
      <c r="HQ83" s="41" t="str">
        <f t="shared" si="604"/>
        <v/>
      </c>
      <c r="HR83" s="41" t="str">
        <f t="shared" si="605"/>
        <v/>
      </c>
      <c r="HS83" s="41" t="str">
        <f t="shared" si="606"/>
        <v/>
      </c>
      <c r="HT83" s="41" t="str">
        <f t="shared" si="607"/>
        <v/>
      </c>
      <c r="HU83" s="41" t="str">
        <f t="shared" si="608"/>
        <v/>
      </c>
      <c r="HV83" s="41" t="str">
        <f t="shared" si="609"/>
        <v/>
      </c>
      <c r="HW83" s="41" t="str">
        <f t="shared" si="610"/>
        <v/>
      </c>
      <c r="HX83" s="41" t="str">
        <f t="shared" si="611"/>
        <v/>
      </c>
      <c r="HY83" s="41" t="str">
        <f t="shared" si="612"/>
        <v/>
      </c>
      <c r="HZ83" s="41" t="str">
        <f t="shared" si="613"/>
        <v/>
      </c>
      <c r="IA83" s="41" t="str">
        <f t="shared" si="614"/>
        <v/>
      </c>
      <c r="IB83" s="41" t="str">
        <f t="shared" si="615"/>
        <v/>
      </c>
      <c r="IC83" s="41" t="str">
        <f t="shared" si="616"/>
        <v/>
      </c>
      <c r="ID83" s="41" t="str">
        <f t="shared" si="617"/>
        <v/>
      </c>
      <c r="IE83" s="41" t="str">
        <f t="shared" si="618"/>
        <v/>
      </c>
      <c r="IF83" s="41" t="str">
        <f t="shared" si="619"/>
        <v/>
      </c>
      <c r="IG83" s="306" t="str">
        <f t="shared" si="620"/>
        <v/>
      </c>
      <c r="IH83" s="44" t="str">
        <f t="shared" si="621"/>
        <v/>
      </c>
      <c r="II83" s="44" t="str">
        <f t="shared" si="622"/>
        <v/>
      </c>
      <c r="IJ83" s="44" t="str">
        <f t="shared" si="623"/>
        <v/>
      </c>
      <c r="IK83" s="44" t="str">
        <f t="shared" si="624"/>
        <v/>
      </c>
      <c r="IL83" s="44" t="str">
        <f t="shared" si="625"/>
        <v/>
      </c>
      <c r="IM83" s="306" t="str">
        <f t="shared" si="626"/>
        <v/>
      </c>
      <c r="IN83" s="44" t="str">
        <f t="shared" si="627"/>
        <v/>
      </c>
      <c r="IO83" s="44" t="str">
        <f t="shared" si="628"/>
        <v/>
      </c>
      <c r="IP83" s="44" t="str">
        <f t="shared" si="629"/>
        <v/>
      </c>
      <c r="IQ83" s="44" t="str">
        <f t="shared" si="630"/>
        <v/>
      </c>
      <c r="IR83" s="44" t="str">
        <f t="shared" si="631"/>
        <v/>
      </c>
      <c r="IS83" s="306" t="str">
        <f t="shared" si="632"/>
        <v/>
      </c>
      <c r="IT83" s="44" t="str">
        <f t="shared" si="633"/>
        <v/>
      </c>
      <c r="IU83" s="44" t="str">
        <f t="shared" si="634"/>
        <v/>
      </c>
      <c r="IV83" s="44" t="str">
        <f t="shared" si="635"/>
        <v/>
      </c>
      <c r="IW83" s="44" t="str">
        <f t="shared" si="636"/>
        <v/>
      </c>
      <c r="IX83" s="44" t="str">
        <f t="shared" si="637"/>
        <v/>
      </c>
      <c r="IY83" s="306" t="str">
        <f t="shared" si="638"/>
        <v/>
      </c>
      <c r="IZ83" s="44" t="str">
        <f t="shared" si="639"/>
        <v/>
      </c>
      <c r="JA83" s="44" t="str">
        <f t="shared" si="640"/>
        <v/>
      </c>
      <c r="JB83" s="44" t="str">
        <f t="shared" si="641"/>
        <v/>
      </c>
      <c r="JC83" s="44" t="str">
        <f t="shared" si="642"/>
        <v/>
      </c>
      <c r="JD83" s="307" t="str">
        <f t="shared" si="643"/>
        <v/>
      </c>
      <c r="JF83" s="66">
        <f t="shared" si="224"/>
        <v>83</v>
      </c>
      <c r="JG83" s="66">
        <f t="shared" ca="1" si="644"/>
        <v>0</v>
      </c>
      <c r="JH83" s="66">
        <f t="shared" ca="1" si="645"/>
        <v>0</v>
      </c>
      <c r="JI83" s="66">
        <f t="shared" ca="1" si="646"/>
        <v>0</v>
      </c>
      <c r="JJ83" s="66">
        <f t="shared" ca="1" si="647"/>
        <v>0</v>
      </c>
      <c r="JK83" s="33"/>
      <c r="JL83" s="74" t="str">
        <f t="shared" ca="1" si="648"/>
        <v>-</v>
      </c>
      <c r="JM83" s="75">
        <f t="shared" ca="1" si="649"/>
        <v>0</v>
      </c>
      <c r="JN83" s="75">
        <f t="shared" ca="1" si="650"/>
        <v>0</v>
      </c>
      <c r="JO83" s="74" t="str">
        <f t="shared" ca="1" si="651"/>
        <v>-</v>
      </c>
      <c r="JP83" s="74">
        <f t="shared" ca="1" si="652"/>
        <v>0</v>
      </c>
    </row>
    <row r="84" spans="1:276" s="1" customFormat="1" x14ac:dyDescent="0.35">
      <c r="A84" s="125">
        <v>0</v>
      </c>
      <c r="B84" s="125">
        <v>0</v>
      </c>
      <c r="C84" s="125">
        <v>1</v>
      </c>
      <c r="E84" s="142" t="s">
        <v>142</v>
      </c>
      <c r="F84" s="208" t="s">
        <v>143</v>
      </c>
      <c r="G84" s="209" t="s">
        <v>530</v>
      </c>
      <c r="H84" s="210" t="s">
        <v>551</v>
      </c>
      <c r="I84" s="8" t="s">
        <v>534</v>
      </c>
      <c r="J84" s="211" t="s">
        <v>805</v>
      </c>
      <c r="K84" s="211" t="s">
        <v>805</v>
      </c>
      <c r="L84" s="211" t="s">
        <v>805</v>
      </c>
      <c r="M84" s="211" t="s">
        <v>805</v>
      </c>
      <c r="N84" s="211" t="s">
        <v>805</v>
      </c>
      <c r="O84" s="211" t="s">
        <v>805</v>
      </c>
      <c r="P84" s="211" t="s">
        <v>805</v>
      </c>
      <c r="Q84" s="211" t="s">
        <v>805</v>
      </c>
      <c r="R84" s="211" t="s">
        <v>805</v>
      </c>
      <c r="S84" s="211" t="s">
        <v>805</v>
      </c>
      <c r="T84" s="211" t="s">
        <v>805</v>
      </c>
      <c r="U84" s="211" t="s">
        <v>805</v>
      </c>
      <c r="V84" s="211" t="s">
        <v>805</v>
      </c>
      <c r="W84" s="211" t="s">
        <v>805</v>
      </c>
      <c r="X84" s="211" t="s">
        <v>805</v>
      </c>
      <c r="Y84" s="211" t="s">
        <v>805</v>
      </c>
      <c r="Z84" s="211" t="s">
        <v>805</v>
      </c>
      <c r="AA84" s="211" t="s">
        <v>805</v>
      </c>
      <c r="AB84" s="211" t="s">
        <v>805</v>
      </c>
      <c r="AC84" s="211" t="s">
        <v>805</v>
      </c>
      <c r="AD84" s="211" t="s">
        <v>805</v>
      </c>
      <c r="AE84" s="211" t="s">
        <v>805</v>
      </c>
      <c r="AF84" s="211" t="s">
        <v>805</v>
      </c>
      <c r="AG84" s="211" t="s">
        <v>805</v>
      </c>
      <c r="AH84" s="211" t="s">
        <v>805</v>
      </c>
      <c r="AI84" s="211" t="s">
        <v>805</v>
      </c>
      <c r="AJ84" s="211" t="s">
        <v>805</v>
      </c>
      <c r="AK84" s="211" t="s">
        <v>805</v>
      </c>
      <c r="AL84" s="211" t="s">
        <v>805</v>
      </c>
      <c r="AM84" s="211" t="s">
        <v>805</v>
      </c>
      <c r="AN84" s="211" t="s">
        <v>805</v>
      </c>
      <c r="AO84" s="211" t="s">
        <v>805</v>
      </c>
      <c r="AP84" s="211" t="s">
        <v>805</v>
      </c>
      <c r="AQ84" s="211" t="s">
        <v>805</v>
      </c>
      <c r="AR84" s="211" t="s">
        <v>805</v>
      </c>
      <c r="AS84" s="211" t="s">
        <v>805</v>
      </c>
      <c r="AT84" s="211" t="s">
        <v>805</v>
      </c>
      <c r="AU84" s="211" t="s">
        <v>805</v>
      </c>
      <c r="AV84" s="211" t="s">
        <v>805</v>
      </c>
      <c r="AW84" s="211" t="s">
        <v>805</v>
      </c>
      <c r="AX84" s="211" t="s">
        <v>805</v>
      </c>
      <c r="AY84" s="211" t="s">
        <v>805</v>
      </c>
      <c r="AZ84" s="211" t="s">
        <v>805</v>
      </c>
      <c r="BA84" s="211" t="s">
        <v>805</v>
      </c>
      <c r="BB84" s="211" t="s">
        <v>805</v>
      </c>
      <c r="BC84" s="211" t="s">
        <v>805</v>
      </c>
      <c r="BD84" s="211" t="s">
        <v>805</v>
      </c>
      <c r="BE84" s="211" t="s">
        <v>805</v>
      </c>
      <c r="BF84" s="211" t="s">
        <v>805</v>
      </c>
      <c r="BG84" s="211" t="s">
        <v>805</v>
      </c>
      <c r="BH84" s="211" t="s">
        <v>805</v>
      </c>
      <c r="BI84" s="211" t="s">
        <v>805</v>
      </c>
      <c r="BJ84" s="211" t="s">
        <v>805</v>
      </c>
      <c r="BK84" s="211" t="s">
        <v>805</v>
      </c>
      <c r="BL84" s="211" t="s">
        <v>805</v>
      </c>
      <c r="BM84" s="211" t="s">
        <v>805</v>
      </c>
      <c r="BN84" s="211" t="s">
        <v>805</v>
      </c>
      <c r="BO84" s="211" t="s">
        <v>805</v>
      </c>
      <c r="BP84" s="211" t="s">
        <v>805</v>
      </c>
      <c r="BQ84" s="211" t="s">
        <v>805</v>
      </c>
      <c r="BR84" s="211" t="s">
        <v>805</v>
      </c>
      <c r="BS84" s="211" t="s">
        <v>805</v>
      </c>
      <c r="BT84" s="211" t="s">
        <v>805</v>
      </c>
      <c r="BU84" s="211" t="s">
        <v>805</v>
      </c>
      <c r="BV84" s="211" t="s">
        <v>805</v>
      </c>
      <c r="BW84" s="211" t="s">
        <v>805</v>
      </c>
      <c r="BX84" s="211" t="s">
        <v>805</v>
      </c>
      <c r="BY84" s="211" t="s">
        <v>805</v>
      </c>
      <c r="BZ84" s="211" t="s">
        <v>805</v>
      </c>
      <c r="CA84" s="211" t="s">
        <v>805</v>
      </c>
      <c r="CB84" s="211" t="s">
        <v>805</v>
      </c>
      <c r="CC84" s="211" t="s">
        <v>805</v>
      </c>
      <c r="CD84" s="211" t="s">
        <v>805</v>
      </c>
      <c r="CE84" s="211" t="s">
        <v>805</v>
      </c>
      <c r="CF84" s="211" t="s">
        <v>805</v>
      </c>
      <c r="CG84" s="211" t="s">
        <v>805</v>
      </c>
      <c r="CH84" s="211" t="s">
        <v>805</v>
      </c>
      <c r="CI84" s="211" t="s">
        <v>805</v>
      </c>
      <c r="CJ84" s="211" t="s">
        <v>805</v>
      </c>
      <c r="CK84" s="211" t="s">
        <v>805</v>
      </c>
      <c r="CL84" s="211" t="s">
        <v>805</v>
      </c>
      <c r="CM84" s="211" t="s">
        <v>805</v>
      </c>
      <c r="CN84" s="211" t="s">
        <v>805</v>
      </c>
      <c r="CO84" s="211" t="s">
        <v>805</v>
      </c>
      <c r="CP84" s="211" t="s">
        <v>805</v>
      </c>
      <c r="CQ84" s="211" t="s">
        <v>805</v>
      </c>
      <c r="CR84" s="211" t="s">
        <v>805</v>
      </c>
      <c r="CS84" s="211" t="s">
        <v>805</v>
      </c>
      <c r="CT84" s="211" t="s">
        <v>805</v>
      </c>
      <c r="CU84" s="211" t="s">
        <v>805</v>
      </c>
      <c r="CV84" s="211" t="s">
        <v>805</v>
      </c>
      <c r="CW84" s="211" t="s">
        <v>805</v>
      </c>
      <c r="CX84" s="211" t="s">
        <v>805</v>
      </c>
      <c r="CY84" s="211" t="s">
        <v>805</v>
      </c>
      <c r="CZ84" s="211" t="s">
        <v>805</v>
      </c>
      <c r="DA84" s="211" t="s">
        <v>805</v>
      </c>
      <c r="DB84" s="211" t="s">
        <v>805</v>
      </c>
      <c r="DC84" s="211" t="s">
        <v>805</v>
      </c>
      <c r="DD84" s="211" t="s">
        <v>805</v>
      </c>
      <c r="DE84" s="211" t="s">
        <v>805</v>
      </c>
      <c r="DF84" s="211" t="s">
        <v>805</v>
      </c>
      <c r="DG84" s="212">
        <f>VLOOKUP(E84,'KPI Count-SHARE'!A:F,3,0)</f>
        <v>0</v>
      </c>
      <c r="DH84" s="213" t="s">
        <v>805</v>
      </c>
      <c r="DI84" s="213" t="s">
        <v>805</v>
      </c>
      <c r="DJ84" s="213" t="s">
        <v>805</v>
      </c>
      <c r="DK84" s="213" t="s">
        <v>805</v>
      </c>
      <c r="DL84" s="213" t="s">
        <v>805</v>
      </c>
      <c r="DM84" s="213" t="s">
        <v>805</v>
      </c>
      <c r="DN84" s="212">
        <f>VLOOKUP(E84,'KPI Count-SHARE'!A:F,4,0)</f>
        <v>0</v>
      </c>
      <c r="DO84" s="213"/>
      <c r="DP84" s="213"/>
      <c r="DQ84" s="213"/>
      <c r="DR84" s="213"/>
      <c r="DS84" s="213"/>
      <c r="DT84" s="213"/>
      <c r="DU84" s="212">
        <f>VLOOKUP(E84,'KPI Count-SHARE'!A:F,5,0)</f>
        <v>0</v>
      </c>
      <c r="DV84" s="213"/>
      <c r="DW84" s="213"/>
      <c r="DX84" s="213"/>
      <c r="DY84" s="213"/>
      <c r="DZ84" s="213"/>
      <c r="EA84" s="213"/>
      <c r="EB84" s="212">
        <f>VLOOKUP(E84,'KPI Count-SHARE'!A:F,6,0)</f>
        <v>0</v>
      </c>
      <c r="EC84" s="213"/>
      <c r="ED84" s="213"/>
      <c r="EE84" s="213"/>
      <c r="EF84" s="213"/>
      <c r="EG84" s="213"/>
      <c r="EH84" s="213"/>
      <c r="EI84" s="214" t="s">
        <v>551</v>
      </c>
      <c r="EJ84" s="39" t="str">
        <f t="shared" si="519"/>
        <v/>
      </c>
      <c r="EK84" s="39" t="str">
        <f t="shared" si="520"/>
        <v/>
      </c>
      <c r="EL84" s="39" t="str">
        <f t="shared" si="521"/>
        <v/>
      </c>
      <c r="EM84" s="39" t="str">
        <f t="shared" si="522"/>
        <v/>
      </c>
      <c r="EN84" s="39" t="str">
        <f t="shared" si="523"/>
        <v/>
      </c>
      <c r="EO84" s="39" t="str">
        <f t="shared" si="524"/>
        <v/>
      </c>
      <c r="EP84" s="39" t="str">
        <f t="shared" si="525"/>
        <v/>
      </c>
      <c r="EQ84" s="39" t="str">
        <f t="shared" si="526"/>
        <v/>
      </c>
      <c r="ER84" s="39" t="str">
        <f t="shared" si="527"/>
        <v/>
      </c>
      <c r="ES84" s="39" t="str">
        <f t="shared" si="528"/>
        <v/>
      </c>
      <c r="ET84" s="39" t="str">
        <f t="shared" si="529"/>
        <v/>
      </c>
      <c r="EU84" s="39" t="str">
        <f t="shared" si="530"/>
        <v/>
      </c>
      <c r="EV84" s="39" t="str">
        <f t="shared" si="531"/>
        <v/>
      </c>
      <c r="EW84" s="39" t="str">
        <f t="shared" si="532"/>
        <v/>
      </c>
      <c r="EX84" s="39" t="str">
        <f t="shared" si="533"/>
        <v/>
      </c>
      <c r="EY84" s="39" t="str">
        <f t="shared" si="534"/>
        <v/>
      </c>
      <c r="EZ84" s="39" t="str">
        <f t="shared" si="535"/>
        <v/>
      </c>
      <c r="FA84" s="39" t="str">
        <f t="shared" si="536"/>
        <v/>
      </c>
      <c r="FB84" s="39" t="str">
        <f t="shared" si="537"/>
        <v/>
      </c>
      <c r="FC84" s="39" t="str">
        <f t="shared" si="538"/>
        <v/>
      </c>
      <c r="FD84" s="39" t="str">
        <f t="shared" si="539"/>
        <v/>
      </c>
      <c r="FE84" s="39" t="str">
        <f t="shared" si="540"/>
        <v/>
      </c>
      <c r="FF84" s="39" t="str">
        <f t="shared" si="541"/>
        <v/>
      </c>
      <c r="FG84" s="39" t="str">
        <f t="shared" si="542"/>
        <v/>
      </c>
      <c r="FH84" s="39" t="str">
        <f t="shared" si="543"/>
        <v/>
      </c>
      <c r="FI84" s="39" t="str">
        <f t="shared" si="544"/>
        <v/>
      </c>
      <c r="FJ84" s="39" t="str">
        <f t="shared" si="545"/>
        <v/>
      </c>
      <c r="FK84" s="39" t="str">
        <f t="shared" si="546"/>
        <v/>
      </c>
      <c r="FL84" s="39" t="str">
        <f t="shared" si="547"/>
        <v/>
      </c>
      <c r="FM84" s="39" t="str">
        <f t="shared" si="548"/>
        <v/>
      </c>
      <c r="FN84" s="39" t="str">
        <f t="shared" si="549"/>
        <v/>
      </c>
      <c r="FO84" s="39" t="str">
        <f t="shared" si="550"/>
        <v/>
      </c>
      <c r="FP84" s="39" t="str">
        <f t="shared" si="551"/>
        <v/>
      </c>
      <c r="FQ84" s="39" t="str">
        <f t="shared" si="552"/>
        <v/>
      </c>
      <c r="FR84" s="39" t="str">
        <f t="shared" si="553"/>
        <v/>
      </c>
      <c r="FS84" s="39" t="str">
        <f t="shared" si="554"/>
        <v/>
      </c>
      <c r="FT84" s="39" t="str">
        <f t="shared" si="555"/>
        <v/>
      </c>
      <c r="FU84" s="39" t="str">
        <f t="shared" si="556"/>
        <v/>
      </c>
      <c r="FV84" s="39" t="str">
        <f t="shared" si="557"/>
        <v/>
      </c>
      <c r="FW84" s="39" t="str">
        <f t="shared" si="558"/>
        <v/>
      </c>
      <c r="FX84" s="39" t="str">
        <f t="shared" si="559"/>
        <v/>
      </c>
      <c r="FY84" s="39" t="str">
        <f t="shared" si="560"/>
        <v/>
      </c>
      <c r="FZ84" s="39" t="str">
        <f t="shared" si="561"/>
        <v/>
      </c>
      <c r="GA84" s="39" t="str">
        <f t="shared" si="562"/>
        <v/>
      </c>
      <c r="GB84" s="39" t="str">
        <f t="shared" si="563"/>
        <v/>
      </c>
      <c r="GC84" s="39" t="str">
        <f t="shared" si="564"/>
        <v/>
      </c>
      <c r="GD84" s="39" t="str">
        <f t="shared" si="565"/>
        <v/>
      </c>
      <c r="GE84" s="39" t="str">
        <f t="shared" si="566"/>
        <v/>
      </c>
      <c r="GF84" s="39" t="str">
        <f t="shared" si="567"/>
        <v/>
      </c>
      <c r="GG84" s="39" t="str">
        <f t="shared" si="568"/>
        <v/>
      </c>
      <c r="GH84" s="39" t="str">
        <f t="shared" si="569"/>
        <v/>
      </c>
      <c r="GI84" s="39" t="str">
        <f t="shared" si="570"/>
        <v/>
      </c>
      <c r="GJ84" s="39" t="str">
        <f t="shared" si="571"/>
        <v/>
      </c>
      <c r="GK84" s="39" t="str">
        <f t="shared" si="572"/>
        <v/>
      </c>
      <c r="GL84" s="39" t="str">
        <f t="shared" si="573"/>
        <v/>
      </c>
      <c r="GM84" s="39" t="str">
        <f t="shared" si="574"/>
        <v/>
      </c>
      <c r="GN84" s="39" t="str">
        <f t="shared" si="575"/>
        <v/>
      </c>
      <c r="GO84" s="39" t="str">
        <f t="shared" si="576"/>
        <v/>
      </c>
      <c r="GP84" s="39" t="str">
        <f t="shared" si="577"/>
        <v/>
      </c>
      <c r="GQ84" s="39" t="str">
        <f t="shared" si="578"/>
        <v/>
      </c>
      <c r="GR84" s="39" t="str">
        <f t="shared" si="579"/>
        <v/>
      </c>
      <c r="GS84" s="39" t="str">
        <f t="shared" si="580"/>
        <v/>
      </c>
      <c r="GT84" s="39" t="str">
        <f t="shared" si="581"/>
        <v/>
      </c>
      <c r="GU84" s="39" t="str">
        <f t="shared" si="582"/>
        <v/>
      </c>
      <c r="GV84" s="39" t="str">
        <f t="shared" si="583"/>
        <v/>
      </c>
      <c r="GW84" s="39" t="str">
        <f t="shared" si="584"/>
        <v/>
      </c>
      <c r="GX84" s="39" t="str">
        <f t="shared" si="585"/>
        <v/>
      </c>
      <c r="GY84" s="39" t="str">
        <f t="shared" si="586"/>
        <v/>
      </c>
      <c r="GZ84" s="39" t="str">
        <f t="shared" si="587"/>
        <v/>
      </c>
      <c r="HA84" s="39" t="str">
        <f t="shared" si="588"/>
        <v/>
      </c>
      <c r="HB84" s="39" t="str">
        <f t="shared" si="589"/>
        <v/>
      </c>
      <c r="HC84" s="39" t="str">
        <f t="shared" si="590"/>
        <v/>
      </c>
      <c r="HD84" s="39" t="str">
        <f t="shared" si="591"/>
        <v/>
      </c>
      <c r="HE84" s="39" t="str">
        <f t="shared" si="592"/>
        <v/>
      </c>
      <c r="HF84" s="39" t="str">
        <f t="shared" si="593"/>
        <v/>
      </c>
      <c r="HG84" s="39" t="str">
        <f t="shared" si="594"/>
        <v/>
      </c>
      <c r="HH84" s="39" t="str">
        <f t="shared" si="595"/>
        <v/>
      </c>
      <c r="HI84" s="39" t="str">
        <f t="shared" si="596"/>
        <v/>
      </c>
      <c r="HJ84" s="39" t="str">
        <f t="shared" si="597"/>
        <v/>
      </c>
      <c r="HK84" s="39" t="str">
        <f t="shared" si="598"/>
        <v/>
      </c>
      <c r="HL84" s="39" t="str">
        <f t="shared" si="599"/>
        <v/>
      </c>
      <c r="HM84" s="39" t="str">
        <f t="shared" si="600"/>
        <v/>
      </c>
      <c r="HN84" s="39" t="str">
        <f t="shared" si="601"/>
        <v/>
      </c>
      <c r="HO84" s="39" t="str">
        <f t="shared" si="602"/>
        <v/>
      </c>
      <c r="HP84" s="39" t="str">
        <f t="shared" si="603"/>
        <v/>
      </c>
      <c r="HQ84" s="39" t="str">
        <f t="shared" si="604"/>
        <v/>
      </c>
      <c r="HR84" s="39" t="str">
        <f t="shared" si="605"/>
        <v/>
      </c>
      <c r="HS84" s="39" t="str">
        <f t="shared" si="606"/>
        <v/>
      </c>
      <c r="HT84" s="39" t="str">
        <f t="shared" si="607"/>
        <v/>
      </c>
      <c r="HU84" s="39" t="str">
        <f t="shared" si="608"/>
        <v/>
      </c>
      <c r="HV84" s="39" t="str">
        <f t="shared" si="609"/>
        <v/>
      </c>
      <c r="HW84" s="39" t="str">
        <f t="shared" si="610"/>
        <v/>
      </c>
      <c r="HX84" s="39" t="str">
        <f t="shared" si="611"/>
        <v/>
      </c>
      <c r="HY84" s="39" t="str">
        <f t="shared" si="612"/>
        <v/>
      </c>
      <c r="HZ84" s="39" t="str">
        <f t="shared" si="613"/>
        <v/>
      </c>
      <c r="IA84" s="39" t="str">
        <f t="shared" si="614"/>
        <v/>
      </c>
      <c r="IB84" s="39" t="str">
        <f t="shared" si="615"/>
        <v/>
      </c>
      <c r="IC84" s="39" t="str">
        <f t="shared" si="616"/>
        <v/>
      </c>
      <c r="ID84" s="39" t="str">
        <f t="shared" si="617"/>
        <v/>
      </c>
      <c r="IE84" s="39" t="str">
        <f t="shared" si="618"/>
        <v/>
      </c>
      <c r="IF84" s="39" t="str">
        <f t="shared" si="619"/>
        <v/>
      </c>
      <c r="IG84" s="308" t="str">
        <f t="shared" si="620"/>
        <v/>
      </c>
      <c r="IH84" s="84" t="str">
        <f t="shared" si="621"/>
        <v/>
      </c>
      <c r="II84" s="84" t="str">
        <f t="shared" si="622"/>
        <v/>
      </c>
      <c r="IJ84" s="84" t="str">
        <f t="shared" si="623"/>
        <v/>
      </c>
      <c r="IK84" s="84" t="str">
        <f t="shared" si="624"/>
        <v/>
      </c>
      <c r="IL84" s="84" t="str">
        <f t="shared" si="625"/>
        <v/>
      </c>
      <c r="IM84" s="308" t="str">
        <f t="shared" si="626"/>
        <v/>
      </c>
      <c r="IN84" s="84" t="str">
        <f t="shared" si="627"/>
        <v/>
      </c>
      <c r="IO84" s="84" t="str">
        <f t="shared" si="628"/>
        <v/>
      </c>
      <c r="IP84" s="84" t="str">
        <f t="shared" si="629"/>
        <v/>
      </c>
      <c r="IQ84" s="84" t="str">
        <f t="shared" si="630"/>
        <v/>
      </c>
      <c r="IR84" s="84" t="str">
        <f t="shared" si="631"/>
        <v/>
      </c>
      <c r="IS84" s="308" t="str">
        <f t="shared" si="632"/>
        <v/>
      </c>
      <c r="IT84" s="84" t="str">
        <f t="shared" si="633"/>
        <v/>
      </c>
      <c r="IU84" s="84" t="str">
        <f t="shared" si="634"/>
        <v/>
      </c>
      <c r="IV84" s="84" t="str">
        <f t="shared" si="635"/>
        <v/>
      </c>
      <c r="IW84" s="84" t="str">
        <f t="shared" si="636"/>
        <v/>
      </c>
      <c r="IX84" s="84" t="str">
        <f t="shared" si="637"/>
        <v/>
      </c>
      <c r="IY84" s="308" t="str">
        <f t="shared" si="638"/>
        <v/>
      </c>
      <c r="IZ84" s="84" t="str">
        <f t="shared" si="639"/>
        <v/>
      </c>
      <c r="JA84" s="84" t="str">
        <f t="shared" si="640"/>
        <v/>
      </c>
      <c r="JB84" s="84" t="str">
        <f t="shared" si="641"/>
        <v/>
      </c>
      <c r="JC84" s="84" t="str">
        <f t="shared" si="642"/>
        <v/>
      </c>
      <c r="JD84" s="309" t="str">
        <f t="shared" si="643"/>
        <v/>
      </c>
      <c r="JF84" s="66">
        <f t="shared" ref="JF84:JF87" si="653">ROW(F84)</f>
        <v>84</v>
      </c>
      <c r="JG84" s="66">
        <f t="shared" ca="1" si="644"/>
        <v>0</v>
      </c>
      <c r="JH84" s="66">
        <f t="shared" ca="1" si="645"/>
        <v>0</v>
      </c>
      <c r="JI84" s="66">
        <f t="shared" ca="1" si="646"/>
        <v>0</v>
      </c>
      <c r="JJ84" s="66">
        <f t="shared" ca="1" si="647"/>
        <v>0</v>
      </c>
      <c r="JK84" s="33"/>
      <c r="JL84" s="74" t="str">
        <f t="shared" ca="1" si="648"/>
        <v>-</v>
      </c>
      <c r="JM84" s="75">
        <f t="shared" ca="1" si="649"/>
        <v>0</v>
      </c>
      <c r="JN84" s="75">
        <f t="shared" ca="1" si="650"/>
        <v>0</v>
      </c>
      <c r="JO84" s="74" t="str">
        <f t="shared" ca="1" si="651"/>
        <v>-</v>
      </c>
      <c r="JP84" s="74">
        <f t="shared" ca="1" si="652"/>
        <v>0</v>
      </c>
    </row>
    <row r="85" spans="1:276" s="1" customFormat="1" x14ac:dyDescent="0.35">
      <c r="A85" s="125">
        <v>0</v>
      </c>
      <c r="B85" s="125">
        <v>0</v>
      </c>
      <c r="C85" s="125">
        <v>1</v>
      </c>
      <c r="E85" s="142" t="s">
        <v>144</v>
      </c>
      <c r="F85" s="208" t="s">
        <v>145</v>
      </c>
      <c r="G85" s="209" t="s">
        <v>530</v>
      </c>
      <c r="H85" s="210" t="s">
        <v>552</v>
      </c>
      <c r="I85" s="8" t="s">
        <v>534</v>
      </c>
      <c r="J85" s="211" t="s">
        <v>805</v>
      </c>
      <c r="K85" s="211" t="s">
        <v>805</v>
      </c>
      <c r="L85" s="211" t="s">
        <v>805</v>
      </c>
      <c r="M85" s="211" t="s">
        <v>805</v>
      </c>
      <c r="N85" s="211" t="s">
        <v>805</v>
      </c>
      <c r="O85" s="211" t="s">
        <v>805</v>
      </c>
      <c r="P85" s="211" t="s">
        <v>805</v>
      </c>
      <c r="Q85" s="211" t="s">
        <v>805</v>
      </c>
      <c r="R85" s="211" t="s">
        <v>805</v>
      </c>
      <c r="S85" s="211" t="s">
        <v>805</v>
      </c>
      <c r="T85" s="211" t="s">
        <v>805</v>
      </c>
      <c r="U85" s="211" t="s">
        <v>805</v>
      </c>
      <c r="V85" s="211" t="s">
        <v>805</v>
      </c>
      <c r="W85" s="211" t="s">
        <v>805</v>
      </c>
      <c r="X85" s="211" t="s">
        <v>805</v>
      </c>
      <c r="Y85" s="211" t="s">
        <v>805</v>
      </c>
      <c r="Z85" s="211" t="s">
        <v>805</v>
      </c>
      <c r="AA85" s="211" t="s">
        <v>805</v>
      </c>
      <c r="AB85" s="211" t="s">
        <v>805</v>
      </c>
      <c r="AC85" s="211" t="s">
        <v>805</v>
      </c>
      <c r="AD85" s="211" t="s">
        <v>805</v>
      </c>
      <c r="AE85" s="211" t="s">
        <v>805</v>
      </c>
      <c r="AF85" s="211" t="s">
        <v>805</v>
      </c>
      <c r="AG85" s="211" t="s">
        <v>805</v>
      </c>
      <c r="AH85" s="211" t="s">
        <v>805</v>
      </c>
      <c r="AI85" s="211" t="s">
        <v>805</v>
      </c>
      <c r="AJ85" s="211" t="s">
        <v>805</v>
      </c>
      <c r="AK85" s="211" t="s">
        <v>805</v>
      </c>
      <c r="AL85" s="211" t="s">
        <v>805</v>
      </c>
      <c r="AM85" s="211" t="s">
        <v>805</v>
      </c>
      <c r="AN85" s="211" t="s">
        <v>805</v>
      </c>
      <c r="AO85" s="211" t="s">
        <v>805</v>
      </c>
      <c r="AP85" s="211" t="s">
        <v>805</v>
      </c>
      <c r="AQ85" s="211" t="s">
        <v>805</v>
      </c>
      <c r="AR85" s="211" t="s">
        <v>805</v>
      </c>
      <c r="AS85" s="211" t="s">
        <v>805</v>
      </c>
      <c r="AT85" s="211" t="s">
        <v>805</v>
      </c>
      <c r="AU85" s="211" t="s">
        <v>805</v>
      </c>
      <c r="AV85" s="211" t="s">
        <v>805</v>
      </c>
      <c r="AW85" s="211" t="s">
        <v>805</v>
      </c>
      <c r="AX85" s="211" t="s">
        <v>805</v>
      </c>
      <c r="AY85" s="211" t="s">
        <v>805</v>
      </c>
      <c r="AZ85" s="211" t="s">
        <v>805</v>
      </c>
      <c r="BA85" s="211" t="s">
        <v>805</v>
      </c>
      <c r="BB85" s="211" t="s">
        <v>805</v>
      </c>
      <c r="BC85" s="211" t="s">
        <v>805</v>
      </c>
      <c r="BD85" s="211" t="s">
        <v>805</v>
      </c>
      <c r="BE85" s="211" t="s">
        <v>805</v>
      </c>
      <c r="BF85" s="211" t="s">
        <v>805</v>
      </c>
      <c r="BG85" s="211" t="s">
        <v>805</v>
      </c>
      <c r="BH85" s="211" t="s">
        <v>805</v>
      </c>
      <c r="BI85" s="211" t="s">
        <v>805</v>
      </c>
      <c r="BJ85" s="211" t="s">
        <v>805</v>
      </c>
      <c r="BK85" s="211" t="s">
        <v>805</v>
      </c>
      <c r="BL85" s="211" t="s">
        <v>805</v>
      </c>
      <c r="BM85" s="211" t="s">
        <v>805</v>
      </c>
      <c r="BN85" s="211" t="s">
        <v>805</v>
      </c>
      <c r="BO85" s="211" t="s">
        <v>805</v>
      </c>
      <c r="BP85" s="211" t="s">
        <v>805</v>
      </c>
      <c r="BQ85" s="211" t="s">
        <v>805</v>
      </c>
      <c r="BR85" s="211" t="s">
        <v>805</v>
      </c>
      <c r="BS85" s="211" t="s">
        <v>805</v>
      </c>
      <c r="BT85" s="211" t="s">
        <v>805</v>
      </c>
      <c r="BU85" s="211" t="s">
        <v>805</v>
      </c>
      <c r="BV85" s="211" t="s">
        <v>805</v>
      </c>
      <c r="BW85" s="211" t="s">
        <v>805</v>
      </c>
      <c r="BX85" s="211" t="s">
        <v>805</v>
      </c>
      <c r="BY85" s="211" t="s">
        <v>805</v>
      </c>
      <c r="BZ85" s="211" t="s">
        <v>805</v>
      </c>
      <c r="CA85" s="211" t="s">
        <v>805</v>
      </c>
      <c r="CB85" s="211" t="s">
        <v>805</v>
      </c>
      <c r="CC85" s="211" t="s">
        <v>805</v>
      </c>
      <c r="CD85" s="211" t="s">
        <v>805</v>
      </c>
      <c r="CE85" s="211" t="s">
        <v>805</v>
      </c>
      <c r="CF85" s="211" t="s">
        <v>805</v>
      </c>
      <c r="CG85" s="211" t="s">
        <v>805</v>
      </c>
      <c r="CH85" s="211" t="s">
        <v>805</v>
      </c>
      <c r="CI85" s="211" t="s">
        <v>805</v>
      </c>
      <c r="CJ85" s="211" t="s">
        <v>805</v>
      </c>
      <c r="CK85" s="211" t="s">
        <v>805</v>
      </c>
      <c r="CL85" s="211" t="s">
        <v>805</v>
      </c>
      <c r="CM85" s="211" t="s">
        <v>805</v>
      </c>
      <c r="CN85" s="211" t="s">
        <v>805</v>
      </c>
      <c r="CO85" s="211" t="s">
        <v>805</v>
      </c>
      <c r="CP85" s="211" t="s">
        <v>805</v>
      </c>
      <c r="CQ85" s="211" t="s">
        <v>805</v>
      </c>
      <c r="CR85" s="211" t="s">
        <v>805</v>
      </c>
      <c r="CS85" s="211" t="s">
        <v>805</v>
      </c>
      <c r="CT85" s="211" t="s">
        <v>805</v>
      </c>
      <c r="CU85" s="211" t="s">
        <v>805</v>
      </c>
      <c r="CV85" s="211" t="s">
        <v>805</v>
      </c>
      <c r="CW85" s="211" t="s">
        <v>805</v>
      </c>
      <c r="CX85" s="211" t="s">
        <v>805</v>
      </c>
      <c r="CY85" s="211" t="s">
        <v>805</v>
      </c>
      <c r="CZ85" s="211" t="s">
        <v>805</v>
      </c>
      <c r="DA85" s="211" t="s">
        <v>805</v>
      </c>
      <c r="DB85" s="211" t="s">
        <v>805</v>
      </c>
      <c r="DC85" s="211" t="s">
        <v>805</v>
      </c>
      <c r="DD85" s="211" t="s">
        <v>805</v>
      </c>
      <c r="DE85" s="211" t="s">
        <v>805</v>
      </c>
      <c r="DF85" s="211" t="s">
        <v>805</v>
      </c>
      <c r="DG85" s="212">
        <f>VLOOKUP(E85,'KPI Count-SHARE'!A:F,3,0)</f>
        <v>0</v>
      </c>
      <c r="DH85" s="213" t="s">
        <v>805</v>
      </c>
      <c r="DI85" s="213" t="s">
        <v>805</v>
      </c>
      <c r="DJ85" s="213" t="s">
        <v>805</v>
      </c>
      <c r="DK85" s="213" t="s">
        <v>805</v>
      </c>
      <c r="DL85" s="213" t="s">
        <v>805</v>
      </c>
      <c r="DM85" s="213" t="s">
        <v>805</v>
      </c>
      <c r="DN85" s="212">
        <f>VLOOKUP(E85,'KPI Count-SHARE'!A:F,4,0)</f>
        <v>0</v>
      </c>
      <c r="DO85" s="213"/>
      <c r="DP85" s="213"/>
      <c r="DQ85" s="213"/>
      <c r="DR85" s="213"/>
      <c r="DS85" s="213"/>
      <c r="DT85" s="213"/>
      <c r="DU85" s="212">
        <f>VLOOKUP(E85,'KPI Count-SHARE'!A:F,5,0)</f>
        <v>0</v>
      </c>
      <c r="DV85" s="213"/>
      <c r="DW85" s="213"/>
      <c r="DX85" s="213"/>
      <c r="DY85" s="213"/>
      <c r="DZ85" s="213"/>
      <c r="EA85" s="213"/>
      <c r="EB85" s="212">
        <f>VLOOKUP(E85,'KPI Count-SHARE'!A:F,6,0)</f>
        <v>0</v>
      </c>
      <c r="EC85" s="213"/>
      <c r="ED85" s="213"/>
      <c r="EE85" s="213"/>
      <c r="EF85" s="213"/>
      <c r="EG85" s="213"/>
      <c r="EH85" s="213"/>
      <c r="EI85" s="214" t="s">
        <v>552</v>
      </c>
      <c r="EJ85" s="246" t="str">
        <f t="shared" si="519"/>
        <v/>
      </c>
      <c r="EK85" s="246" t="str">
        <f t="shared" si="520"/>
        <v/>
      </c>
      <c r="EL85" s="246" t="str">
        <f t="shared" si="521"/>
        <v/>
      </c>
      <c r="EM85" s="246" t="str">
        <f t="shared" si="522"/>
        <v/>
      </c>
      <c r="EN85" s="246" t="str">
        <f t="shared" si="523"/>
        <v/>
      </c>
      <c r="EO85" s="246" t="str">
        <f t="shared" si="524"/>
        <v/>
      </c>
      <c r="EP85" s="246" t="str">
        <f t="shared" si="525"/>
        <v/>
      </c>
      <c r="EQ85" s="246" t="str">
        <f t="shared" si="526"/>
        <v/>
      </c>
      <c r="ER85" s="246" t="str">
        <f t="shared" si="527"/>
        <v/>
      </c>
      <c r="ES85" s="246" t="str">
        <f t="shared" si="528"/>
        <v/>
      </c>
      <c r="ET85" s="246" t="str">
        <f t="shared" si="529"/>
        <v/>
      </c>
      <c r="EU85" s="246" t="str">
        <f t="shared" si="530"/>
        <v/>
      </c>
      <c r="EV85" s="246" t="str">
        <f t="shared" si="531"/>
        <v/>
      </c>
      <c r="EW85" s="246" t="str">
        <f t="shared" si="532"/>
        <v/>
      </c>
      <c r="EX85" s="246" t="str">
        <f t="shared" si="533"/>
        <v/>
      </c>
      <c r="EY85" s="246" t="str">
        <f t="shared" si="534"/>
        <v/>
      </c>
      <c r="EZ85" s="246" t="str">
        <f t="shared" si="535"/>
        <v/>
      </c>
      <c r="FA85" s="246" t="str">
        <f t="shared" si="536"/>
        <v/>
      </c>
      <c r="FB85" s="246" t="str">
        <f t="shared" si="537"/>
        <v/>
      </c>
      <c r="FC85" s="246" t="str">
        <f t="shared" si="538"/>
        <v/>
      </c>
      <c r="FD85" s="246" t="str">
        <f t="shared" si="539"/>
        <v/>
      </c>
      <c r="FE85" s="246" t="str">
        <f t="shared" si="540"/>
        <v/>
      </c>
      <c r="FF85" s="246" t="str">
        <f t="shared" si="541"/>
        <v/>
      </c>
      <c r="FG85" s="246" t="str">
        <f t="shared" si="542"/>
        <v/>
      </c>
      <c r="FH85" s="246" t="str">
        <f t="shared" si="543"/>
        <v/>
      </c>
      <c r="FI85" s="246" t="str">
        <f t="shared" si="544"/>
        <v/>
      </c>
      <c r="FJ85" s="246" t="str">
        <f t="shared" si="545"/>
        <v/>
      </c>
      <c r="FK85" s="246" t="str">
        <f t="shared" si="546"/>
        <v/>
      </c>
      <c r="FL85" s="246" t="str">
        <f t="shared" si="547"/>
        <v/>
      </c>
      <c r="FM85" s="246" t="str">
        <f t="shared" si="548"/>
        <v/>
      </c>
      <c r="FN85" s="246" t="str">
        <f t="shared" si="549"/>
        <v/>
      </c>
      <c r="FO85" s="246" t="str">
        <f t="shared" si="550"/>
        <v/>
      </c>
      <c r="FP85" s="246" t="str">
        <f t="shared" si="551"/>
        <v/>
      </c>
      <c r="FQ85" s="246" t="str">
        <f t="shared" si="552"/>
        <v/>
      </c>
      <c r="FR85" s="246" t="str">
        <f t="shared" si="553"/>
        <v/>
      </c>
      <c r="FS85" s="246" t="str">
        <f t="shared" si="554"/>
        <v/>
      </c>
      <c r="FT85" s="246" t="str">
        <f t="shared" si="555"/>
        <v/>
      </c>
      <c r="FU85" s="246" t="str">
        <f t="shared" si="556"/>
        <v/>
      </c>
      <c r="FV85" s="246" t="str">
        <f t="shared" si="557"/>
        <v/>
      </c>
      <c r="FW85" s="246" t="str">
        <f t="shared" si="558"/>
        <v/>
      </c>
      <c r="FX85" s="246" t="str">
        <f t="shared" si="559"/>
        <v/>
      </c>
      <c r="FY85" s="246" t="str">
        <f t="shared" si="560"/>
        <v/>
      </c>
      <c r="FZ85" s="246" t="str">
        <f t="shared" si="561"/>
        <v/>
      </c>
      <c r="GA85" s="246" t="str">
        <f t="shared" si="562"/>
        <v/>
      </c>
      <c r="GB85" s="246" t="str">
        <f t="shared" si="563"/>
        <v/>
      </c>
      <c r="GC85" s="246" t="str">
        <f t="shared" si="564"/>
        <v/>
      </c>
      <c r="GD85" s="246" t="str">
        <f t="shared" si="565"/>
        <v/>
      </c>
      <c r="GE85" s="246" t="str">
        <f t="shared" si="566"/>
        <v/>
      </c>
      <c r="GF85" s="246" t="str">
        <f t="shared" si="567"/>
        <v/>
      </c>
      <c r="GG85" s="246" t="str">
        <f t="shared" si="568"/>
        <v/>
      </c>
      <c r="GH85" s="246" t="str">
        <f t="shared" si="569"/>
        <v/>
      </c>
      <c r="GI85" s="246" t="str">
        <f t="shared" si="570"/>
        <v/>
      </c>
      <c r="GJ85" s="246" t="str">
        <f t="shared" si="571"/>
        <v/>
      </c>
      <c r="GK85" s="246" t="str">
        <f t="shared" si="572"/>
        <v/>
      </c>
      <c r="GL85" s="246" t="str">
        <f t="shared" si="573"/>
        <v/>
      </c>
      <c r="GM85" s="246" t="str">
        <f t="shared" si="574"/>
        <v/>
      </c>
      <c r="GN85" s="246" t="str">
        <f t="shared" si="575"/>
        <v/>
      </c>
      <c r="GO85" s="246" t="str">
        <f t="shared" si="576"/>
        <v/>
      </c>
      <c r="GP85" s="246" t="str">
        <f t="shared" si="577"/>
        <v/>
      </c>
      <c r="GQ85" s="246" t="str">
        <f t="shared" si="578"/>
        <v/>
      </c>
      <c r="GR85" s="246" t="str">
        <f t="shared" si="579"/>
        <v/>
      </c>
      <c r="GS85" s="246" t="str">
        <f t="shared" si="580"/>
        <v/>
      </c>
      <c r="GT85" s="246" t="str">
        <f t="shared" si="581"/>
        <v/>
      </c>
      <c r="GU85" s="246" t="str">
        <f t="shared" si="582"/>
        <v/>
      </c>
      <c r="GV85" s="246" t="str">
        <f t="shared" si="583"/>
        <v/>
      </c>
      <c r="GW85" s="246" t="str">
        <f t="shared" si="584"/>
        <v/>
      </c>
      <c r="GX85" s="246" t="str">
        <f t="shared" si="585"/>
        <v/>
      </c>
      <c r="GY85" s="246" t="str">
        <f t="shared" si="586"/>
        <v/>
      </c>
      <c r="GZ85" s="246" t="str">
        <f t="shared" si="587"/>
        <v/>
      </c>
      <c r="HA85" s="246" t="str">
        <f t="shared" si="588"/>
        <v/>
      </c>
      <c r="HB85" s="246" t="str">
        <f t="shared" si="589"/>
        <v/>
      </c>
      <c r="HC85" s="246" t="str">
        <f t="shared" si="590"/>
        <v/>
      </c>
      <c r="HD85" s="246" t="str">
        <f t="shared" si="591"/>
        <v/>
      </c>
      <c r="HE85" s="246" t="str">
        <f t="shared" si="592"/>
        <v/>
      </c>
      <c r="HF85" s="246" t="str">
        <f t="shared" si="593"/>
        <v/>
      </c>
      <c r="HG85" s="246" t="str">
        <f t="shared" si="594"/>
        <v/>
      </c>
      <c r="HH85" s="246" t="str">
        <f t="shared" si="595"/>
        <v/>
      </c>
      <c r="HI85" s="246" t="str">
        <f t="shared" si="596"/>
        <v/>
      </c>
      <c r="HJ85" s="246" t="str">
        <f t="shared" si="597"/>
        <v/>
      </c>
      <c r="HK85" s="246" t="str">
        <f t="shared" si="598"/>
        <v/>
      </c>
      <c r="HL85" s="246" t="str">
        <f t="shared" si="599"/>
        <v/>
      </c>
      <c r="HM85" s="246" t="str">
        <f t="shared" si="600"/>
        <v/>
      </c>
      <c r="HN85" s="246" t="str">
        <f t="shared" si="601"/>
        <v/>
      </c>
      <c r="HO85" s="246" t="str">
        <f t="shared" si="602"/>
        <v/>
      </c>
      <c r="HP85" s="246" t="str">
        <f t="shared" si="603"/>
        <v/>
      </c>
      <c r="HQ85" s="246" t="str">
        <f t="shared" si="604"/>
        <v/>
      </c>
      <c r="HR85" s="246" t="str">
        <f t="shared" si="605"/>
        <v/>
      </c>
      <c r="HS85" s="246" t="str">
        <f t="shared" si="606"/>
        <v/>
      </c>
      <c r="HT85" s="246" t="str">
        <f t="shared" si="607"/>
        <v/>
      </c>
      <c r="HU85" s="246" t="str">
        <f t="shared" si="608"/>
        <v/>
      </c>
      <c r="HV85" s="246" t="str">
        <f t="shared" si="609"/>
        <v/>
      </c>
      <c r="HW85" s="246" t="str">
        <f t="shared" si="610"/>
        <v/>
      </c>
      <c r="HX85" s="246" t="str">
        <f t="shared" si="611"/>
        <v/>
      </c>
      <c r="HY85" s="246" t="str">
        <f t="shared" si="612"/>
        <v/>
      </c>
      <c r="HZ85" s="246" t="str">
        <f t="shared" si="613"/>
        <v/>
      </c>
      <c r="IA85" s="246" t="str">
        <f t="shared" si="614"/>
        <v/>
      </c>
      <c r="IB85" s="246" t="str">
        <f t="shared" si="615"/>
        <v/>
      </c>
      <c r="IC85" s="246" t="str">
        <f t="shared" si="616"/>
        <v/>
      </c>
      <c r="ID85" s="246" t="str">
        <f t="shared" si="617"/>
        <v/>
      </c>
      <c r="IE85" s="246" t="str">
        <f t="shared" si="618"/>
        <v/>
      </c>
      <c r="IF85" s="246" t="str">
        <f t="shared" si="619"/>
        <v/>
      </c>
      <c r="IG85" s="318" t="str">
        <f t="shared" si="620"/>
        <v/>
      </c>
      <c r="IH85" s="247" t="str">
        <f t="shared" si="621"/>
        <v/>
      </c>
      <c r="II85" s="247" t="str">
        <f t="shared" si="622"/>
        <v/>
      </c>
      <c r="IJ85" s="247" t="str">
        <f t="shared" si="623"/>
        <v/>
      </c>
      <c r="IK85" s="247" t="str">
        <f t="shared" si="624"/>
        <v/>
      </c>
      <c r="IL85" s="247" t="str">
        <f t="shared" si="625"/>
        <v/>
      </c>
      <c r="IM85" s="318" t="str">
        <f t="shared" si="626"/>
        <v/>
      </c>
      <c r="IN85" s="247" t="str">
        <f t="shared" si="627"/>
        <v/>
      </c>
      <c r="IO85" s="247" t="str">
        <f t="shared" si="628"/>
        <v/>
      </c>
      <c r="IP85" s="247" t="str">
        <f t="shared" si="629"/>
        <v/>
      </c>
      <c r="IQ85" s="247" t="str">
        <f t="shared" si="630"/>
        <v/>
      </c>
      <c r="IR85" s="247" t="str">
        <f t="shared" si="631"/>
        <v/>
      </c>
      <c r="IS85" s="318" t="str">
        <f t="shared" si="632"/>
        <v/>
      </c>
      <c r="IT85" s="247" t="str">
        <f t="shared" si="633"/>
        <v/>
      </c>
      <c r="IU85" s="247" t="str">
        <f t="shared" si="634"/>
        <v/>
      </c>
      <c r="IV85" s="247" t="str">
        <f t="shared" si="635"/>
        <v/>
      </c>
      <c r="IW85" s="247" t="str">
        <f t="shared" si="636"/>
        <v/>
      </c>
      <c r="IX85" s="247" t="str">
        <f t="shared" si="637"/>
        <v/>
      </c>
      <c r="IY85" s="318" t="str">
        <f t="shared" si="638"/>
        <v/>
      </c>
      <c r="IZ85" s="247" t="str">
        <f t="shared" si="639"/>
        <v/>
      </c>
      <c r="JA85" s="247" t="str">
        <f t="shared" si="640"/>
        <v/>
      </c>
      <c r="JB85" s="247" t="str">
        <f t="shared" si="641"/>
        <v/>
      </c>
      <c r="JC85" s="247" t="str">
        <f t="shared" si="642"/>
        <v/>
      </c>
      <c r="JD85" s="319" t="str">
        <f t="shared" si="643"/>
        <v/>
      </c>
      <c r="JF85" s="66">
        <f t="shared" si="653"/>
        <v>85</v>
      </c>
      <c r="JG85" s="66">
        <f t="shared" ca="1" si="644"/>
        <v>0</v>
      </c>
      <c r="JH85" s="66">
        <f t="shared" ca="1" si="645"/>
        <v>0</v>
      </c>
      <c r="JI85" s="66">
        <f t="shared" ca="1" si="646"/>
        <v>0</v>
      </c>
      <c r="JJ85" s="66">
        <f t="shared" ca="1" si="647"/>
        <v>0</v>
      </c>
      <c r="JK85" s="33"/>
      <c r="JL85" s="74" t="str">
        <f t="shared" ca="1" si="648"/>
        <v>-</v>
      </c>
      <c r="JM85" s="75">
        <f t="shared" ca="1" si="649"/>
        <v>0</v>
      </c>
      <c r="JN85" s="75">
        <f t="shared" ca="1" si="650"/>
        <v>0</v>
      </c>
      <c r="JO85" s="74" t="str">
        <f t="shared" ca="1" si="651"/>
        <v>-</v>
      </c>
      <c r="JP85" s="74">
        <f t="shared" ca="1" si="652"/>
        <v>0</v>
      </c>
    </row>
    <row r="86" spans="1:276" s="1" customFormat="1" x14ac:dyDescent="0.35">
      <c r="A86" s="125">
        <v>0</v>
      </c>
      <c r="B86" s="125">
        <v>0</v>
      </c>
      <c r="C86" s="125">
        <v>1</v>
      </c>
      <c r="E86" s="142" t="s">
        <v>146</v>
      </c>
      <c r="F86" s="208" t="s">
        <v>147</v>
      </c>
      <c r="G86" s="209" t="s">
        <v>530</v>
      </c>
      <c r="H86" s="210" t="s">
        <v>553</v>
      </c>
      <c r="I86" s="8" t="s">
        <v>536</v>
      </c>
      <c r="J86" s="211" t="s">
        <v>805</v>
      </c>
      <c r="K86" s="217" t="s">
        <v>805</v>
      </c>
      <c r="L86" s="217" t="s">
        <v>805</v>
      </c>
      <c r="M86" s="217" t="s">
        <v>805</v>
      </c>
      <c r="N86" s="217" t="s">
        <v>805</v>
      </c>
      <c r="O86" s="217" t="s">
        <v>805</v>
      </c>
      <c r="P86" s="217" t="s">
        <v>805</v>
      </c>
      <c r="Q86" s="217" t="s">
        <v>805</v>
      </c>
      <c r="R86" s="217" t="s">
        <v>805</v>
      </c>
      <c r="S86" s="217" t="s">
        <v>805</v>
      </c>
      <c r="T86" s="217" t="s">
        <v>805</v>
      </c>
      <c r="U86" s="217" t="s">
        <v>805</v>
      </c>
      <c r="V86" s="217" t="s">
        <v>805</v>
      </c>
      <c r="W86" s="217" t="s">
        <v>805</v>
      </c>
      <c r="X86" s="217" t="s">
        <v>805</v>
      </c>
      <c r="Y86" s="217" t="s">
        <v>805</v>
      </c>
      <c r="Z86" s="217" t="s">
        <v>805</v>
      </c>
      <c r="AA86" s="217" t="s">
        <v>805</v>
      </c>
      <c r="AB86" s="217" t="s">
        <v>805</v>
      </c>
      <c r="AC86" s="217" t="s">
        <v>805</v>
      </c>
      <c r="AD86" s="217" t="s">
        <v>805</v>
      </c>
      <c r="AE86" s="217" t="s">
        <v>805</v>
      </c>
      <c r="AF86" s="217" t="s">
        <v>805</v>
      </c>
      <c r="AG86" s="217" t="s">
        <v>805</v>
      </c>
      <c r="AH86" s="217" t="s">
        <v>805</v>
      </c>
      <c r="AI86" s="217" t="s">
        <v>805</v>
      </c>
      <c r="AJ86" s="217" t="s">
        <v>805</v>
      </c>
      <c r="AK86" s="217" t="s">
        <v>805</v>
      </c>
      <c r="AL86" s="217" t="s">
        <v>805</v>
      </c>
      <c r="AM86" s="217" t="s">
        <v>805</v>
      </c>
      <c r="AN86" s="217" t="s">
        <v>805</v>
      </c>
      <c r="AO86" s="217" t="s">
        <v>805</v>
      </c>
      <c r="AP86" s="217" t="s">
        <v>805</v>
      </c>
      <c r="AQ86" s="217" t="s">
        <v>805</v>
      </c>
      <c r="AR86" s="217" t="s">
        <v>805</v>
      </c>
      <c r="AS86" s="217" t="s">
        <v>805</v>
      </c>
      <c r="AT86" s="217" t="s">
        <v>805</v>
      </c>
      <c r="AU86" s="217" t="s">
        <v>805</v>
      </c>
      <c r="AV86" s="217" t="s">
        <v>805</v>
      </c>
      <c r="AW86" s="217" t="s">
        <v>805</v>
      </c>
      <c r="AX86" s="217" t="s">
        <v>805</v>
      </c>
      <c r="AY86" s="217" t="s">
        <v>805</v>
      </c>
      <c r="AZ86" s="217" t="s">
        <v>805</v>
      </c>
      <c r="BA86" s="217" t="s">
        <v>805</v>
      </c>
      <c r="BB86" s="217" t="s">
        <v>805</v>
      </c>
      <c r="BC86" s="217" t="s">
        <v>805</v>
      </c>
      <c r="BD86" s="217" t="s">
        <v>805</v>
      </c>
      <c r="BE86" s="217" t="s">
        <v>805</v>
      </c>
      <c r="BF86" s="217" t="s">
        <v>805</v>
      </c>
      <c r="BG86" s="217" t="s">
        <v>805</v>
      </c>
      <c r="BH86" s="217" t="s">
        <v>805</v>
      </c>
      <c r="BI86" s="217" t="s">
        <v>805</v>
      </c>
      <c r="BJ86" s="217" t="s">
        <v>805</v>
      </c>
      <c r="BK86" s="217" t="s">
        <v>805</v>
      </c>
      <c r="BL86" s="217" t="s">
        <v>805</v>
      </c>
      <c r="BM86" s="217" t="s">
        <v>805</v>
      </c>
      <c r="BN86" s="217" t="s">
        <v>805</v>
      </c>
      <c r="BO86" s="217" t="s">
        <v>805</v>
      </c>
      <c r="BP86" s="217" t="s">
        <v>805</v>
      </c>
      <c r="BQ86" s="217" t="s">
        <v>805</v>
      </c>
      <c r="BR86" s="217" t="s">
        <v>805</v>
      </c>
      <c r="BS86" s="217" t="s">
        <v>805</v>
      </c>
      <c r="BT86" s="217" t="s">
        <v>805</v>
      </c>
      <c r="BU86" s="217" t="s">
        <v>805</v>
      </c>
      <c r="BV86" s="217" t="s">
        <v>805</v>
      </c>
      <c r="BW86" s="217" t="s">
        <v>805</v>
      </c>
      <c r="BX86" s="217" t="s">
        <v>805</v>
      </c>
      <c r="BY86" s="217" t="s">
        <v>805</v>
      </c>
      <c r="BZ86" s="217" t="s">
        <v>805</v>
      </c>
      <c r="CA86" s="217" t="s">
        <v>805</v>
      </c>
      <c r="CB86" s="217" t="s">
        <v>805</v>
      </c>
      <c r="CC86" s="217" t="s">
        <v>805</v>
      </c>
      <c r="CD86" s="217" t="s">
        <v>805</v>
      </c>
      <c r="CE86" s="217" t="s">
        <v>805</v>
      </c>
      <c r="CF86" s="217" t="s">
        <v>805</v>
      </c>
      <c r="CG86" s="217" t="s">
        <v>805</v>
      </c>
      <c r="CH86" s="217" t="s">
        <v>805</v>
      </c>
      <c r="CI86" s="217" t="s">
        <v>805</v>
      </c>
      <c r="CJ86" s="217" t="s">
        <v>805</v>
      </c>
      <c r="CK86" s="217" t="s">
        <v>805</v>
      </c>
      <c r="CL86" s="217" t="s">
        <v>805</v>
      </c>
      <c r="CM86" s="217" t="s">
        <v>805</v>
      </c>
      <c r="CN86" s="217" t="s">
        <v>805</v>
      </c>
      <c r="CO86" s="217" t="s">
        <v>805</v>
      </c>
      <c r="CP86" s="217" t="s">
        <v>805</v>
      </c>
      <c r="CQ86" s="217" t="s">
        <v>805</v>
      </c>
      <c r="CR86" s="217" t="s">
        <v>805</v>
      </c>
      <c r="CS86" s="217" t="s">
        <v>805</v>
      </c>
      <c r="CT86" s="217" t="s">
        <v>805</v>
      </c>
      <c r="CU86" s="217" t="s">
        <v>805</v>
      </c>
      <c r="CV86" s="217" t="s">
        <v>805</v>
      </c>
      <c r="CW86" s="217" t="s">
        <v>805</v>
      </c>
      <c r="CX86" s="217" t="s">
        <v>805</v>
      </c>
      <c r="CY86" s="217" t="s">
        <v>805</v>
      </c>
      <c r="CZ86" s="217" t="s">
        <v>805</v>
      </c>
      <c r="DA86" s="217" t="s">
        <v>805</v>
      </c>
      <c r="DB86" s="217" t="s">
        <v>805</v>
      </c>
      <c r="DC86" s="217" t="s">
        <v>805</v>
      </c>
      <c r="DD86" s="217" t="s">
        <v>805</v>
      </c>
      <c r="DE86" s="217" t="s">
        <v>805</v>
      </c>
      <c r="DF86" s="217" t="s">
        <v>805</v>
      </c>
      <c r="DG86" s="212">
        <f>VLOOKUP(E86,'KPI Count-SHARE'!A:F,3,0)</f>
        <v>2</v>
      </c>
      <c r="DH86" s="213">
        <v>3.0209076422345049</v>
      </c>
      <c r="DI86" s="218">
        <v>2.5917697560221091</v>
      </c>
      <c r="DJ86" s="218">
        <v>2.7526964633517572</v>
      </c>
      <c r="DK86" s="218">
        <v>3.0209076422345049</v>
      </c>
      <c r="DL86" s="218">
        <v>3.2891188211172526</v>
      </c>
      <c r="DM86" s="218">
        <v>3.4500455284469007</v>
      </c>
      <c r="DN86" s="212">
        <f>VLOOKUP(E86,'KPI Count-SHARE'!A:F,4,0)</f>
        <v>0</v>
      </c>
      <c r="DO86" s="213"/>
      <c r="DP86" s="218"/>
      <c r="DQ86" s="218"/>
      <c r="DR86" s="218"/>
      <c r="DS86" s="218"/>
      <c r="DT86" s="218"/>
      <c r="DU86" s="212">
        <f>VLOOKUP(E86,'KPI Count-SHARE'!A:F,5,0)</f>
        <v>0</v>
      </c>
      <c r="DV86" s="213"/>
      <c r="DW86" s="218"/>
      <c r="DX86" s="218"/>
      <c r="DY86" s="218"/>
      <c r="DZ86" s="218"/>
      <c r="EA86" s="218"/>
      <c r="EB86" s="212">
        <f>VLOOKUP(E86,'KPI Count-SHARE'!A:F,6,0)</f>
        <v>0</v>
      </c>
      <c r="EC86" s="213"/>
      <c r="ED86" s="218"/>
      <c r="EE86" s="218"/>
      <c r="EF86" s="218"/>
      <c r="EG86" s="218"/>
      <c r="EH86" s="218"/>
      <c r="EI86" s="214" t="str">
        <f xml:space="preserve"> XCurrency &amp; " '000 per order"</f>
        <v>USD '000 per order</v>
      </c>
      <c r="EJ86" s="41" t="str">
        <f t="shared" si="519"/>
        <v>-</v>
      </c>
      <c r="EK86" s="41" t="str">
        <f t="shared" si="520"/>
        <v>-</v>
      </c>
      <c r="EL86" s="41" t="str">
        <f t="shared" si="521"/>
        <v>-</v>
      </c>
      <c r="EM86" s="41" t="str">
        <f t="shared" si="522"/>
        <v>-</v>
      </c>
      <c r="EN86" s="41" t="str">
        <f t="shared" si="523"/>
        <v>-</v>
      </c>
      <c r="EO86" s="41" t="str">
        <f t="shared" si="524"/>
        <v>-</v>
      </c>
      <c r="EP86" s="41" t="str">
        <f t="shared" si="525"/>
        <v>-</v>
      </c>
      <c r="EQ86" s="41" t="str">
        <f t="shared" si="526"/>
        <v>-</v>
      </c>
      <c r="ER86" s="41" t="str">
        <f t="shared" si="527"/>
        <v>-</v>
      </c>
      <c r="ES86" s="41" t="str">
        <f t="shared" si="528"/>
        <v>-</v>
      </c>
      <c r="ET86" s="41" t="str">
        <f t="shared" si="529"/>
        <v>-</v>
      </c>
      <c r="EU86" s="41" t="str">
        <f t="shared" si="530"/>
        <v>-</v>
      </c>
      <c r="EV86" s="41" t="str">
        <f t="shared" si="531"/>
        <v>-</v>
      </c>
      <c r="EW86" s="41" t="str">
        <f t="shared" si="532"/>
        <v>-</v>
      </c>
      <c r="EX86" s="41" t="str">
        <f t="shared" si="533"/>
        <v>-</v>
      </c>
      <c r="EY86" s="41" t="str">
        <f t="shared" si="534"/>
        <v>-</v>
      </c>
      <c r="EZ86" s="41" t="str">
        <f t="shared" si="535"/>
        <v>-</v>
      </c>
      <c r="FA86" s="41" t="str">
        <f t="shared" si="536"/>
        <v>-</v>
      </c>
      <c r="FB86" s="41" t="str">
        <f t="shared" si="537"/>
        <v>-</v>
      </c>
      <c r="FC86" s="41" t="str">
        <f t="shared" si="538"/>
        <v>-</v>
      </c>
      <c r="FD86" s="41" t="str">
        <f t="shared" si="539"/>
        <v>-</v>
      </c>
      <c r="FE86" s="41" t="str">
        <f t="shared" si="540"/>
        <v>-</v>
      </c>
      <c r="FF86" s="41" t="str">
        <f t="shared" si="541"/>
        <v>-</v>
      </c>
      <c r="FG86" s="41" t="str">
        <f t="shared" si="542"/>
        <v>-</v>
      </c>
      <c r="FH86" s="41" t="str">
        <f t="shared" si="543"/>
        <v>-</v>
      </c>
      <c r="FI86" s="41" t="str">
        <f t="shared" si="544"/>
        <v>-</v>
      </c>
      <c r="FJ86" s="41" t="str">
        <f t="shared" si="545"/>
        <v>-</v>
      </c>
      <c r="FK86" s="41" t="str">
        <f t="shared" si="546"/>
        <v>-</v>
      </c>
      <c r="FL86" s="41" t="str">
        <f t="shared" si="547"/>
        <v>-</v>
      </c>
      <c r="FM86" s="41" t="str">
        <f t="shared" si="548"/>
        <v>-</v>
      </c>
      <c r="FN86" s="41" t="str">
        <f t="shared" si="549"/>
        <v>-</v>
      </c>
      <c r="FO86" s="41" t="str">
        <f t="shared" si="550"/>
        <v>-</v>
      </c>
      <c r="FP86" s="41" t="str">
        <f t="shared" si="551"/>
        <v>-</v>
      </c>
      <c r="FQ86" s="41" t="str">
        <f t="shared" si="552"/>
        <v>-</v>
      </c>
      <c r="FR86" s="41" t="str">
        <f t="shared" si="553"/>
        <v>-</v>
      </c>
      <c r="FS86" s="41" t="str">
        <f t="shared" si="554"/>
        <v>-</v>
      </c>
      <c r="FT86" s="41" t="str">
        <f t="shared" si="555"/>
        <v>-</v>
      </c>
      <c r="FU86" s="41" t="str">
        <f t="shared" si="556"/>
        <v>-</v>
      </c>
      <c r="FV86" s="41" t="str">
        <f t="shared" si="557"/>
        <v>-</v>
      </c>
      <c r="FW86" s="41" t="str">
        <f t="shared" si="558"/>
        <v>-</v>
      </c>
      <c r="FX86" s="41" t="str">
        <f t="shared" si="559"/>
        <v>-</v>
      </c>
      <c r="FY86" s="41" t="str">
        <f t="shared" si="560"/>
        <v>-</v>
      </c>
      <c r="FZ86" s="41" t="str">
        <f t="shared" si="561"/>
        <v>-</v>
      </c>
      <c r="GA86" s="41" t="str">
        <f t="shared" si="562"/>
        <v>-</v>
      </c>
      <c r="GB86" s="41" t="str">
        <f t="shared" si="563"/>
        <v>-</v>
      </c>
      <c r="GC86" s="41" t="str">
        <f t="shared" si="564"/>
        <v>-</v>
      </c>
      <c r="GD86" s="41" t="str">
        <f t="shared" si="565"/>
        <v>-</v>
      </c>
      <c r="GE86" s="41" t="str">
        <f t="shared" si="566"/>
        <v>-</v>
      </c>
      <c r="GF86" s="41" t="str">
        <f t="shared" si="567"/>
        <v>-</v>
      </c>
      <c r="GG86" s="41" t="str">
        <f t="shared" si="568"/>
        <v>-</v>
      </c>
      <c r="GH86" s="41" t="str">
        <f t="shared" si="569"/>
        <v>-</v>
      </c>
      <c r="GI86" s="41" t="str">
        <f t="shared" si="570"/>
        <v>-</v>
      </c>
      <c r="GJ86" s="41" t="str">
        <f t="shared" si="571"/>
        <v>-</v>
      </c>
      <c r="GK86" s="41" t="str">
        <f t="shared" si="572"/>
        <v>-</v>
      </c>
      <c r="GL86" s="41" t="str">
        <f t="shared" si="573"/>
        <v>-</v>
      </c>
      <c r="GM86" s="41" t="str">
        <f t="shared" si="574"/>
        <v>-</v>
      </c>
      <c r="GN86" s="41" t="str">
        <f t="shared" si="575"/>
        <v>-</v>
      </c>
      <c r="GO86" s="41" t="str">
        <f t="shared" si="576"/>
        <v>-</v>
      </c>
      <c r="GP86" s="41" t="str">
        <f t="shared" si="577"/>
        <v>-</v>
      </c>
      <c r="GQ86" s="41" t="str">
        <f t="shared" si="578"/>
        <v>-</v>
      </c>
      <c r="GR86" s="41" t="str">
        <f t="shared" si="579"/>
        <v>-</v>
      </c>
      <c r="GS86" s="41" t="str">
        <f t="shared" si="580"/>
        <v>-</v>
      </c>
      <c r="GT86" s="41" t="str">
        <f t="shared" si="581"/>
        <v>-</v>
      </c>
      <c r="GU86" s="41" t="str">
        <f t="shared" si="582"/>
        <v>-</v>
      </c>
      <c r="GV86" s="41" t="str">
        <f t="shared" si="583"/>
        <v>-</v>
      </c>
      <c r="GW86" s="41" t="str">
        <f t="shared" si="584"/>
        <v>-</v>
      </c>
      <c r="GX86" s="41" t="str">
        <f t="shared" si="585"/>
        <v>-</v>
      </c>
      <c r="GY86" s="41" t="str">
        <f t="shared" si="586"/>
        <v>-</v>
      </c>
      <c r="GZ86" s="41" t="str">
        <f t="shared" si="587"/>
        <v>-</v>
      </c>
      <c r="HA86" s="41" t="str">
        <f t="shared" si="588"/>
        <v>-</v>
      </c>
      <c r="HB86" s="41" t="str">
        <f t="shared" si="589"/>
        <v>-</v>
      </c>
      <c r="HC86" s="41" t="str">
        <f t="shared" si="590"/>
        <v>-</v>
      </c>
      <c r="HD86" s="41" t="str">
        <f t="shared" si="591"/>
        <v>-</v>
      </c>
      <c r="HE86" s="41" t="str">
        <f t="shared" si="592"/>
        <v>-</v>
      </c>
      <c r="HF86" s="41" t="str">
        <f t="shared" si="593"/>
        <v>-</v>
      </c>
      <c r="HG86" s="41" t="str">
        <f t="shared" si="594"/>
        <v>-</v>
      </c>
      <c r="HH86" s="41" t="str">
        <f t="shared" si="595"/>
        <v>-</v>
      </c>
      <c r="HI86" s="41" t="str">
        <f t="shared" si="596"/>
        <v>-</v>
      </c>
      <c r="HJ86" s="41" t="str">
        <f t="shared" si="597"/>
        <v>-</v>
      </c>
      <c r="HK86" s="41" t="str">
        <f t="shared" si="598"/>
        <v>-</v>
      </c>
      <c r="HL86" s="41" t="str">
        <f t="shared" si="599"/>
        <v>-</v>
      </c>
      <c r="HM86" s="41" t="str">
        <f t="shared" si="600"/>
        <v>-</v>
      </c>
      <c r="HN86" s="41" t="str">
        <f t="shared" si="601"/>
        <v>-</v>
      </c>
      <c r="HO86" s="41" t="str">
        <f t="shared" si="602"/>
        <v>-</v>
      </c>
      <c r="HP86" s="41" t="str">
        <f t="shared" si="603"/>
        <v>-</v>
      </c>
      <c r="HQ86" s="41" t="str">
        <f t="shared" si="604"/>
        <v>-</v>
      </c>
      <c r="HR86" s="41" t="str">
        <f t="shared" si="605"/>
        <v>-</v>
      </c>
      <c r="HS86" s="41" t="str">
        <f t="shared" si="606"/>
        <v>-</v>
      </c>
      <c r="HT86" s="41" t="str">
        <f t="shared" si="607"/>
        <v>-</v>
      </c>
      <c r="HU86" s="41" t="str">
        <f t="shared" si="608"/>
        <v>-</v>
      </c>
      <c r="HV86" s="41" t="str">
        <f t="shared" si="609"/>
        <v>-</v>
      </c>
      <c r="HW86" s="41" t="str">
        <f t="shared" si="610"/>
        <v>-</v>
      </c>
      <c r="HX86" s="41" t="str">
        <f t="shared" si="611"/>
        <v>-</v>
      </c>
      <c r="HY86" s="41" t="str">
        <f t="shared" si="612"/>
        <v>-</v>
      </c>
      <c r="HZ86" s="41" t="str">
        <f t="shared" si="613"/>
        <v>-</v>
      </c>
      <c r="IA86" s="41" t="str">
        <f t="shared" si="614"/>
        <v>-</v>
      </c>
      <c r="IB86" s="41" t="str">
        <f t="shared" si="615"/>
        <v>-</v>
      </c>
      <c r="IC86" s="41" t="str">
        <f t="shared" si="616"/>
        <v>-</v>
      </c>
      <c r="ID86" s="41" t="str">
        <f t="shared" si="617"/>
        <v>-</v>
      </c>
      <c r="IE86" s="41" t="str">
        <f t="shared" si="618"/>
        <v>-</v>
      </c>
      <c r="IF86" s="41" t="str">
        <f t="shared" si="619"/>
        <v>-</v>
      </c>
      <c r="IG86" s="306">
        <f t="shared" si="620"/>
        <v>3.3942782497016912</v>
      </c>
      <c r="IH86" s="44">
        <f t="shared" si="621"/>
        <v>2.912100849463044</v>
      </c>
      <c r="II86" s="44">
        <f t="shared" si="622"/>
        <v>3.0929173745525365</v>
      </c>
      <c r="IJ86" s="44">
        <f t="shared" si="623"/>
        <v>3.3942782497016912</v>
      </c>
      <c r="IK86" s="44">
        <f t="shared" si="624"/>
        <v>3.695639124850846</v>
      </c>
      <c r="IL86" s="44">
        <f t="shared" si="625"/>
        <v>3.876455649940338</v>
      </c>
      <c r="IM86" s="306" t="str">
        <f t="shared" si="626"/>
        <v/>
      </c>
      <c r="IN86" s="44" t="str">
        <f t="shared" si="627"/>
        <v/>
      </c>
      <c r="IO86" s="44" t="str">
        <f t="shared" si="628"/>
        <v/>
      </c>
      <c r="IP86" s="44" t="str">
        <f t="shared" si="629"/>
        <v/>
      </c>
      <c r="IQ86" s="44" t="str">
        <f t="shared" si="630"/>
        <v/>
      </c>
      <c r="IR86" s="44" t="str">
        <f t="shared" si="631"/>
        <v/>
      </c>
      <c r="IS86" s="306" t="str">
        <f t="shared" si="632"/>
        <v/>
      </c>
      <c r="IT86" s="44" t="str">
        <f t="shared" si="633"/>
        <v/>
      </c>
      <c r="IU86" s="44" t="str">
        <f t="shared" si="634"/>
        <v/>
      </c>
      <c r="IV86" s="44" t="str">
        <f t="shared" si="635"/>
        <v/>
      </c>
      <c r="IW86" s="44" t="str">
        <f t="shared" si="636"/>
        <v/>
      </c>
      <c r="IX86" s="44" t="str">
        <f t="shared" si="637"/>
        <v/>
      </c>
      <c r="IY86" s="306" t="str">
        <f t="shared" si="638"/>
        <v/>
      </c>
      <c r="IZ86" s="44" t="str">
        <f t="shared" si="639"/>
        <v/>
      </c>
      <c r="JA86" s="44" t="str">
        <f t="shared" si="640"/>
        <v/>
      </c>
      <c r="JB86" s="44" t="str">
        <f t="shared" si="641"/>
        <v/>
      </c>
      <c r="JC86" s="44" t="str">
        <f t="shared" si="642"/>
        <v/>
      </c>
      <c r="JD86" s="307" t="str">
        <f t="shared" si="643"/>
        <v/>
      </c>
      <c r="JF86" s="66">
        <f t="shared" si="653"/>
        <v>86</v>
      </c>
      <c r="JG86" s="66">
        <f t="shared" ca="1" si="644"/>
        <v>3.0929173745525365</v>
      </c>
      <c r="JH86" s="66">
        <f t="shared" ca="1" si="645"/>
        <v>3.3942782497016912</v>
      </c>
      <c r="JI86" s="66">
        <f t="shared" ca="1" si="646"/>
        <v>3.695639124850846</v>
      </c>
      <c r="JJ86" s="66">
        <f t="shared" ca="1" si="647"/>
        <v>2</v>
      </c>
      <c r="JK86" s="33"/>
      <c r="JL86" s="74">
        <f t="shared" ca="1" si="648"/>
        <v>3.0929173745525365</v>
      </c>
      <c r="JM86" s="75">
        <f t="shared" ca="1" si="649"/>
        <v>3.2435978121271138</v>
      </c>
      <c r="JN86" s="75">
        <f t="shared" ca="1" si="650"/>
        <v>3.5449586872762686</v>
      </c>
      <c r="JO86" s="74">
        <f t="shared" ca="1" si="651"/>
        <v>3.695639124850846</v>
      </c>
      <c r="JP86" s="74">
        <f t="shared" ca="1" si="652"/>
        <v>13.577112998806765</v>
      </c>
    </row>
    <row r="87" spans="1:276" s="1" customFormat="1" x14ac:dyDescent="0.35">
      <c r="A87" s="125">
        <v>0</v>
      </c>
      <c r="B87" s="125">
        <v>0</v>
      </c>
      <c r="C87" s="125">
        <v>1</v>
      </c>
      <c r="E87" s="142" t="s">
        <v>148</v>
      </c>
      <c r="F87" s="208" t="s">
        <v>149</v>
      </c>
      <c r="G87" s="209" t="s">
        <v>530</v>
      </c>
      <c r="H87" s="210" t="s">
        <v>554</v>
      </c>
      <c r="I87" s="8" t="s">
        <v>536</v>
      </c>
      <c r="J87" s="211" t="s">
        <v>805</v>
      </c>
      <c r="K87" s="217" t="s">
        <v>805</v>
      </c>
      <c r="L87" s="217" t="s">
        <v>805</v>
      </c>
      <c r="M87" s="217" t="s">
        <v>805</v>
      </c>
      <c r="N87" s="217" t="s">
        <v>805</v>
      </c>
      <c r="O87" s="217" t="s">
        <v>805</v>
      </c>
      <c r="P87" s="217" t="s">
        <v>805</v>
      </c>
      <c r="Q87" s="217" t="s">
        <v>805</v>
      </c>
      <c r="R87" s="217" t="s">
        <v>805</v>
      </c>
      <c r="S87" s="217" t="s">
        <v>805</v>
      </c>
      <c r="T87" s="217" t="s">
        <v>805</v>
      </c>
      <c r="U87" s="217" t="s">
        <v>805</v>
      </c>
      <c r="V87" s="217" t="s">
        <v>805</v>
      </c>
      <c r="W87" s="217" t="s">
        <v>805</v>
      </c>
      <c r="X87" s="217" t="s">
        <v>805</v>
      </c>
      <c r="Y87" s="217" t="s">
        <v>805</v>
      </c>
      <c r="Z87" s="217" t="s">
        <v>805</v>
      </c>
      <c r="AA87" s="217" t="s">
        <v>805</v>
      </c>
      <c r="AB87" s="217" t="s">
        <v>805</v>
      </c>
      <c r="AC87" s="217" t="s">
        <v>805</v>
      </c>
      <c r="AD87" s="217" t="s">
        <v>805</v>
      </c>
      <c r="AE87" s="217" t="s">
        <v>805</v>
      </c>
      <c r="AF87" s="217" t="s">
        <v>805</v>
      </c>
      <c r="AG87" s="217" t="s">
        <v>805</v>
      </c>
      <c r="AH87" s="217" t="s">
        <v>805</v>
      </c>
      <c r="AI87" s="217" t="s">
        <v>805</v>
      </c>
      <c r="AJ87" s="217" t="s">
        <v>805</v>
      </c>
      <c r="AK87" s="217" t="s">
        <v>805</v>
      </c>
      <c r="AL87" s="217" t="s">
        <v>805</v>
      </c>
      <c r="AM87" s="217" t="s">
        <v>805</v>
      </c>
      <c r="AN87" s="217" t="s">
        <v>805</v>
      </c>
      <c r="AO87" s="217" t="s">
        <v>805</v>
      </c>
      <c r="AP87" s="217" t="s">
        <v>805</v>
      </c>
      <c r="AQ87" s="217" t="s">
        <v>805</v>
      </c>
      <c r="AR87" s="217" t="s">
        <v>805</v>
      </c>
      <c r="AS87" s="217" t="s">
        <v>805</v>
      </c>
      <c r="AT87" s="217" t="s">
        <v>805</v>
      </c>
      <c r="AU87" s="217" t="s">
        <v>805</v>
      </c>
      <c r="AV87" s="217" t="s">
        <v>805</v>
      </c>
      <c r="AW87" s="217" t="s">
        <v>805</v>
      </c>
      <c r="AX87" s="217" t="s">
        <v>805</v>
      </c>
      <c r="AY87" s="217" t="s">
        <v>805</v>
      </c>
      <c r="AZ87" s="217" t="s">
        <v>805</v>
      </c>
      <c r="BA87" s="217" t="s">
        <v>805</v>
      </c>
      <c r="BB87" s="217" t="s">
        <v>805</v>
      </c>
      <c r="BC87" s="217" t="s">
        <v>805</v>
      </c>
      <c r="BD87" s="217" t="s">
        <v>805</v>
      </c>
      <c r="BE87" s="217" t="s">
        <v>805</v>
      </c>
      <c r="BF87" s="217" t="s">
        <v>805</v>
      </c>
      <c r="BG87" s="217" t="s">
        <v>805</v>
      </c>
      <c r="BH87" s="217" t="s">
        <v>805</v>
      </c>
      <c r="BI87" s="217" t="s">
        <v>805</v>
      </c>
      <c r="BJ87" s="217" t="s">
        <v>805</v>
      </c>
      <c r="BK87" s="217" t="s">
        <v>805</v>
      </c>
      <c r="BL87" s="217" t="s">
        <v>805</v>
      </c>
      <c r="BM87" s="217" t="s">
        <v>805</v>
      </c>
      <c r="BN87" s="217" t="s">
        <v>805</v>
      </c>
      <c r="BO87" s="217" t="s">
        <v>805</v>
      </c>
      <c r="BP87" s="217" t="s">
        <v>805</v>
      </c>
      <c r="BQ87" s="217" t="s">
        <v>805</v>
      </c>
      <c r="BR87" s="217" t="s">
        <v>805</v>
      </c>
      <c r="BS87" s="217" t="s">
        <v>805</v>
      </c>
      <c r="BT87" s="217" t="s">
        <v>805</v>
      </c>
      <c r="BU87" s="217" t="s">
        <v>805</v>
      </c>
      <c r="BV87" s="217" t="s">
        <v>805</v>
      </c>
      <c r="BW87" s="217" t="s">
        <v>805</v>
      </c>
      <c r="BX87" s="217" t="s">
        <v>805</v>
      </c>
      <c r="BY87" s="217" t="s">
        <v>805</v>
      </c>
      <c r="BZ87" s="217" t="s">
        <v>805</v>
      </c>
      <c r="CA87" s="217" t="s">
        <v>805</v>
      </c>
      <c r="CB87" s="217" t="s">
        <v>805</v>
      </c>
      <c r="CC87" s="217" t="s">
        <v>805</v>
      </c>
      <c r="CD87" s="217" t="s">
        <v>805</v>
      </c>
      <c r="CE87" s="217" t="s">
        <v>805</v>
      </c>
      <c r="CF87" s="217" t="s">
        <v>805</v>
      </c>
      <c r="CG87" s="217" t="s">
        <v>805</v>
      </c>
      <c r="CH87" s="217" t="s">
        <v>805</v>
      </c>
      <c r="CI87" s="217" t="s">
        <v>805</v>
      </c>
      <c r="CJ87" s="217" t="s">
        <v>805</v>
      </c>
      <c r="CK87" s="217" t="s">
        <v>805</v>
      </c>
      <c r="CL87" s="217" t="s">
        <v>805</v>
      </c>
      <c r="CM87" s="217" t="s">
        <v>805</v>
      </c>
      <c r="CN87" s="217" t="s">
        <v>805</v>
      </c>
      <c r="CO87" s="217" t="s">
        <v>805</v>
      </c>
      <c r="CP87" s="217" t="s">
        <v>805</v>
      </c>
      <c r="CQ87" s="217" t="s">
        <v>805</v>
      </c>
      <c r="CR87" s="217" t="s">
        <v>805</v>
      </c>
      <c r="CS87" s="217" t="s">
        <v>805</v>
      </c>
      <c r="CT87" s="217" t="s">
        <v>805</v>
      </c>
      <c r="CU87" s="217" t="s">
        <v>805</v>
      </c>
      <c r="CV87" s="217" t="s">
        <v>805</v>
      </c>
      <c r="CW87" s="217" t="s">
        <v>805</v>
      </c>
      <c r="CX87" s="217" t="s">
        <v>805</v>
      </c>
      <c r="CY87" s="217" t="s">
        <v>805</v>
      </c>
      <c r="CZ87" s="217" t="s">
        <v>805</v>
      </c>
      <c r="DA87" s="217" t="s">
        <v>805</v>
      </c>
      <c r="DB87" s="217" t="s">
        <v>805</v>
      </c>
      <c r="DC87" s="217" t="s">
        <v>805</v>
      </c>
      <c r="DD87" s="217" t="s">
        <v>805</v>
      </c>
      <c r="DE87" s="217" t="s">
        <v>805</v>
      </c>
      <c r="DF87" s="217" t="s">
        <v>805</v>
      </c>
      <c r="DG87" s="212">
        <f>VLOOKUP(E87,'KPI Count-SHARE'!A:F,3,0)</f>
        <v>0</v>
      </c>
      <c r="DH87" s="213" t="s">
        <v>805</v>
      </c>
      <c r="DI87" s="218" t="s">
        <v>805</v>
      </c>
      <c r="DJ87" s="218" t="s">
        <v>805</v>
      </c>
      <c r="DK87" s="218" t="s">
        <v>805</v>
      </c>
      <c r="DL87" s="218" t="s">
        <v>805</v>
      </c>
      <c r="DM87" s="218" t="s">
        <v>805</v>
      </c>
      <c r="DN87" s="212">
        <f>VLOOKUP(E87,'KPI Count-SHARE'!A:F,4,0)</f>
        <v>0</v>
      </c>
      <c r="DO87" s="213"/>
      <c r="DP87" s="218"/>
      <c r="DQ87" s="218"/>
      <c r="DR87" s="218"/>
      <c r="DS87" s="218"/>
      <c r="DT87" s="218"/>
      <c r="DU87" s="212">
        <f>VLOOKUP(E87,'KPI Count-SHARE'!A:F,5,0)</f>
        <v>0</v>
      </c>
      <c r="DV87" s="213"/>
      <c r="DW87" s="218"/>
      <c r="DX87" s="218"/>
      <c r="DY87" s="218"/>
      <c r="DZ87" s="218"/>
      <c r="EA87" s="218"/>
      <c r="EB87" s="212">
        <f>VLOOKUP(E87,'KPI Count-SHARE'!A:F,6,0)</f>
        <v>0</v>
      </c>
      <c r="EC87" s="213"/>
      <c r="ED87" s="218"/>
      <c r="EE87" s="218"/>
      <c r="EF87" s="218"/>
      <c r="EG87" s="218"/>
      <c r="EH87" s="218"/>
      <c r="EI87" s="214" t="str">
        <f>XCurrency &amp;" '000 per orderline"</f>
        <v>USD '000 per orderline</v>
      </c>
      <c r="EJ87" s="41" t="str">
        <f t="shared" si="519"/>
        <v>-</v>
      </c>
      <c r="EK87" s="41" t="str">
        <f t="shared" si="520"/>
        <v>-</v>
      </c>
      <c r="EL87" s="41" t="str">
        <f t="shared" si="521"/>
        <v>-</v>
      </c>
      <c r="EM87" s="41" t="str">
        <f t="shared" si="522"/>
        <v>-</v>
      </c>
      <c r="EN87" s="41" t="str">
        <f t="shared" si="523"/>
        <v>-</v>
      </c>
      <c r="EO87" s="41" t="str">
        <f t="shared" si="524"/>
        <v>-</v>
      </c>
      <c r="EP87" s="41" t="str">
        <f t="shared" si="525"/>
        <v>-</v>
      </c>
      <c r="EQ87" s="41" t="str">
        <f t="shared" si="526"/>
        <v>-</v>
      </c>
      <c r="ER87" s="41" t="str">
        <f t="shared" si="527"/>
        <v>-</v>
      </c>
      <c r="ES87" s="41" t="str">
        <f t="shared" si="528"/>
        <v>-</v>
      </c>
      <c r="ET87" s="41" t="str">
        <f t="shared" si="529"/>
        <v>-</v>
      </c>
      <c r="EU87" s="41" t="str">
        <f t="shared" si="530"/>
        <v>-</v>
      </c>
      <c r="EV87" s="41" t="str">
        <f t="shared" si="531"/>
        <v>-</v>
      </c>
      <c r="EW87" s="41" t="str">
        <f t="shared" si="532"/>
        <v>-</v>
      </c>
      <c r="EX87" s="41" t="str">
        <f t="shared" si="533"/>
        <v>-</v>
      </c>
      <c r="EY87" s="41" t="str">
        <f t="shared" si="534"/>
        <v>-</v>
      </c>
      <c r="EZ87" s="41" t="str">
        <f t="shared" si="535"/>
        <v>-</v>
      </c>
      <c r="FA87" s="41" t="str">
        <f t="shared" si="536"/>
        <v>-</v>
      </c>
      <c r="FB87" s="41" t="str">
        <f t="shared" si="537"/>
        <v>-</v>
      </c>
      <c r="FC87" s="41" t="str">
        <f t="shared" si="538"/>
        <v>-</v>
      </c>
      <c r="FD87" s="41" t="str">
        <f t="shared" si="539"/>
        <v>-</v>
      </c>
      <c r="FE87" s="41" t="str">
        <f t="shared" si="540"/>
        <v>-</v>
      </c>
      <c r="FF87" s="41" t="str">
        <f t="shared" si="541"/>
        <v>-</v>
      </c>
      <c r="FG87" s="41" t="str">
        <f t="shared" si="542"/>
        <v>-</v>
      </c>
      <c r="FH87" s="41" t="str">
        <f t="shared" si="543"/>
        <v>-</v>
      </c>
      <c r="FI87" s="41" t="str">
        <f t="shared" si="544"/>
        <v>-</v>
      </c>
      <c r="FJ87" s="41" t="str">
        <f t="shared" si="545"/>
        <v>-</v>
      </c>
      <c r="FK87" s="41" t="str">
        <f t="shared" si="546"/>
        <v>-</v>
      </c>
      <c r="FL87" s="41" t="str">
        <f t="shared" si="547"/>
        <v>-</v>
      </c>
      <c r="FM87" s="41" t="str">
        <f t="shared" si="548"/>
        <v>-</v>
      </c>
      <c r="FN87" s="41" t="str">
        <f t="shared" si="549"/>
        <v>-</v>
      </c>
      <c r="FO87" s="41" t="str">
        <f t="shared" si="550"/>
        <v>-</v>
      </c>
      <c r="FP87" s="41" t="str">
        <f t="shared" si="551"/>
        <v>-</v>
      </c>
      <c r="FQ87" s="41" t="str">
        <f t="shared" si="552"/>
        <v>-</v>
      </c>
      <c r="FR87" s="41" t="str">
        <f t="shared" si="553"/>
        <v>-</v>
      </c>
      <c r="FS87" s="41" t="str">
        <f t="shared" si="554"/>
        <v>-</v>
      </c>
      <c r="FT87" s="41" t="str">
        <f t="shared" si="555"/>
        <v>-</v>
      </c>
      <c r="FU87" s="41" t="str">
        <f t="shared" si="556"/>
        <v>-</v>
      </c>
      <c r="FV87" s="41" t="str">
        <f t="shared" si="557"/>
        <v>-</v>
      </c>
      <c r="FW87" s="41" t="str">
        <f t="shared" si="558"/>
        <v>-</v>
      </c>
      <c r="FX87" s="41" t="str">
        <f t="shared" si="559"/>
        <v>-</v>
      </c>
      <c r="FY87" s="41" t="str">
        <f t="shared" si="560"/>
        <v>-</v>
      </c>
      <c r="FZ87" s="41" t="str">
        <f t="shared" si="561"/>
        <v>-</v>
      </c>
      <c r="GA87" s="41" t="str">
        <f t="shared" si="562"/>
        <v>-</v>
      </c>
      <c r="GB87" s="41" t="str">
        <f t="shared" si="563"/>
        <v>-</v>
      </c>
      <c r="GC87" s="41" t="str">
        <f t="shared" si="564"/>
        <v>-</v>
      </c>
      <c r="GD87" s="41" t="str">
        <f t="shared" si="565"/>
        <v>-</v>
      </c>
      <c r="GE87" s="41" t="str">
        <f t="shared" si="566"/>
        <v>-</v>
      </c>
      <c r="GF87" s="41" t="str">
        <f t="shared" si="567"/>
        <v>-</v>
      </c>
      <c r="GG87" s="41" t="str">
        <f t="shared" si="568"/>
        <v>-</v>
      </c>
      <c r="GH87" s="41" t="str">
        <f t="shared" si="569"/>
        <v>-</v>
      </c>
      <c r="GI87" s="41" t="str">
        <f t="shared" si="570"/>
        <v>-</v>
      </c>
      <c r="GJ87" s="41" t="str">
        <f t="shared" si="571"/>
        <v>-</v>
      </c>
      <c r="GK87" s="41" t="str">
        <f t="shared" si="572"/>
        <v>-</v>
      </c>
      <c r="GL87" s="41" t="str">
        <f t="shared" si="573"/>
        <v>-</v>
      </c>
      <c r="GM87" s="41" t="str">
        <f t="shared" si="574"/>
        <v>-</v>
      </c>
      <c r="GN87" s="41" t="str">
        <f t="shared" si="575"/>
        <v>-</v>
      </c>
      <c r="GO87" s="41" t="str">
        <f t="shared" si="576"/>
        <v>-</v>
      </c>
      <c r="GP87" s="41" t="str">
        <f t="shared" si="577"/>
        <v>-</v>
      </c>
      <c r="GQ87" s="41" t="str">
        <f t="shared" si="578"/>
        <v>-</v>
      </c>
      <c r="GR87" s="41" t="str">
        <f t="shared" si="579"/>
        <v>-</v>
      </c>
      <c r="GS87" s="41" t="str">
        <f t="shared" si="580"/>
        <v>-</v>
      </c>
      <c r="GT87" s="41" t="str">
        <f t="shared" si="581"/>
        <v>-</v>
      </c>
      <c r="GU87" s="41" t="str">
        <f t="shared" si="582"/>
        <v>-</v>
      </c>
      <c r="GV87" s="41" t="str">
        <f t="shared" si="583"/>
        <v>-</v>
      </c>
      <c r="GW87" s="41" t="str">
        <f t="shared" si="584"/>
        <v>-</v>
      </c>
      <c r="GX87" s="41" t="str">
        <f t="shared" si="585"/>
        <v>-</v>
      </c>
      <c r="GY87" s="41" t="str">
        <f t="shared" si="586"/>
        <v>-</v>
      </c>
      <c r="GZ87" s="41" t="str">
        <f t="shared" si="587"/>
        <v>-</v>
      </c>
      <c r="HA87" s="41" t="str">
        <f t="shared" si="588"/>
        <v>-</v>
      </c>
      <c r="HB87" s="41" t="str">
        <f t="shared" si="589"/>
        <v>-</v>
      </c>
      <c r="HC87" s="41" t="str">
        <f t="shared" si="590"/>
        <v>-</v>
      </c>
      <c r="HD87" s="41" t="str">
        <f t="shared" si="591"/>
        <v>-</v>
      </c>
      <c r="HE87" s="41" t="str">
        <f t="shared" si="592"/>
        <v>-</v>
      </c>
      <c r="HF87" s="41" t="str">
        <f t="shared" si="593"/>
        <v>-</v>
      </c>
      <c r="HG87" s="41" t="str">
        <f t="shared" si="594"/>
        <v>-</v>
      </c>
      <c r="HH87" s="41" t="str">
        <f t="shared" si="595"/>
        <v>-</v>
      </c>
      <c r="HI87" s="41" t="str">
        <f t="shared" si="596"/>
        <v>-</v>
      </c>
      <c r="HJ87" s="41" t="str">
        <f t="shared" si="597"/>
        <v>-</v>
      </c>
      <c r="HK87" s="41" t="str">
        <f t="shared" si="598"/>
        <v>-</v>
      </c>
      <c r="HL87" s="41" t="str">
        <f t="shared" si="599"/>
        <v>-</v>
      </c>
      <c r="HM87" s="41" t="str">
        <f t="shared" si="600"/>
        <v>-</v>
      </c>
      <c r="HN87" s="41" t="str">
        <f t="shared" si="601"/>
        <v>-</v>
      </c>
      <c r="HO87" s="41" t="str">
        <f t="shared" si="602"/>
        <v>-</v>
      </c>
      <c r="HP87" s="41" t="str">
        <f t="shared" si="603"/>
        <v>-</v>
      </c>
      <c r="HQ87" s="41" t="str">
        <f t="shared" si="604"/>
        <v>-</v>
      </c>
      <c r="HR87" s="41" t="str">
        <f t="shared" si="605"/>
        <v>-</v>
      </c>
      <c r="HS87" s="41" t="str">
        <f t="shared" si="606"/>
        <v>-</v>
      </c>
      <c r="HT87" s="41" t="str">
        <f t="shared" si="607"/>
        <v>-</v>
      </c>
      <c r="HU87" s="41" t="str">
        <f t="shared" si="608"/>
        <v>-</v>
      </c>
      <c r="HV87" s="41" t="str">
        <f t="shared" si="609"/>
        <v>-</v>
      </c>
      <c r="HW87" s="41" t="str">
        <f t="shared" si="610"/>
        <v>-</v>
      </c>
      <c r="HX87" s="41" t="str">
        <f t="shared" si="611"/>
        <v>-</v>
      </c>
      <c r="HY87" s="41" t="str">
        <f t="shared" si="612"/>
        <v>-</v>
      </c>
      <c r="HZ87" s="41" t="str">
        <f t="shared" si="613"/>
        <v>-</v>
      </c>
      <c r="IA87" s="41" t="str">
        <f t="shared" si="614"/>
        <v>-</v>
      </c>
      <c r="IB87" s="41" t="str">
        <f t="shared" si="615"/>
        <v>-</v>
      </c>
      <c r="IC87" s="41" t="str">
        <f t="shared" si="616"/>
        <v>-</v>
      </c>
      <c r="ID87" s="41" t="str">
        <f t="shared" si="617"/>
        <v>-</v>
      </c>
      <c r="IE87" s="41" t="str">
        <f t="shared" si="618"/>
        <v>-</v>
      </c>
      <c r="IF87" s="41" t="str">
        <f t="shared" si="619"/>
        <v>-</v>
      </c>
      <c r="IG87" s="306" t="str">
        <f t="shared" si="620"/>
        <v>-</v>
      </c>
      <c r="IH87" s="44" t="str">
        <f t="shared" si="621"/>
        <v>-</v>
      </c>
      <c r="II87" s="44" t="str">
        <f t="shared" si="622"/>
        <v>-</v>
      </c>
      <c r="IJ87" s="44" t="str">
        <f t="shared" si="623"/>
        <v>-</v>
      </c>
      <c r="IK87" s="44" t="str">
        <f t="shared" si="624"/>
        <v>-</v>
      </c>
      <c r="IL87" s="44" t="str">
        <f t="shared" si="625"/>
        <v>-</v>
      </c>
      <c r="IM87" s="306" t="str">
        <f t="shared" si="626"/>
        <v/>
      </c>
      <c r="IN87" s="44" t="str">
        <f t="shared" si="627"/>
        <v/>
      </c>
      <c r="IO87" s="44" t="str">
        <f t="shared" si="628"/>
        <v/>
      </c>
      <c r="IP87" s="44" t="str">
        <f t="shared" si="629"/>
        <v/>
      </c>
      <c r="IQ87" s="44" t="str">
        <f t="shared" si="630"/>
        <v/>
      </c>
      <c r="IR87" s="44" t="str">
        <f t="shared" si="631"/>
        <v/>
      </c>
      <c r="IS87" s="306" t="str">
        <f t="shared" si="632"/>
        <v/>
      </c>
      <c r="IT87" s="44" t="str">
        <f t="shared" si="633"/>
        <v/>
      </c>
      <c r="IU87" s="44" t="str">
        <f t="shared" si="634"/>
        <v/>
      </c>
      <c r="IV87" s="44" t="str">
        <f t="shared" si="635"/>
        <v/>
      </c>
      <c r="IW87" s="44" t="str">
        <f t="shared" si="636"/>
        <v/>
      </c>
      <c r="IX87" s="44" t="str">
        <f t="shared" si="637"/>
        <v/>
      </c>
      <c r="IY87" s="306" t="str">
        <f t="shared" si="638"/>
        <v/>
      </c>
      <c r="IZ87" s="44" t="str">
        <f t="shared" si="639"/>
        <v/>
      </c>
      <c r="JA87" s="44" t="str">
        <f t="shared" si="640"/>
        <v/>
      </c>
      <c r="JB87" s="44" t="str">
        <f t="shared" si="641"/>
        <v/>
      </c>
      <c r="JC87" s="44" t="str">
        <f t="shared" si="642"/>
        <v/>
      </c>
      <c r="JD87" s="307" t="str">
        <f t="shared" si="643"/>
        <v/>
      </c>
      <c r="JF87" s="66">
        <f t="shared" si="653"/>
        <v>87</v>
      </c>
      <c r="JG87" s="66">
        <f t="shared" ca="1" si="644"/>
        <v>0</v>
      </c>
      <c r="JH87" s="66">
        <f t="shared" ca="1" si="645"/>
        <v>0</v>
      </c>
      <c r="JI87" s="66">
        <f t="shared" ca="1" si="646"/>
        <v>0</v>
      </c>
      <c r="JJ87" s="66">
        <f t="shared" ca="1" si="647"/>
        <v>0</v>
      </c>
      <c r="JK87" s="33"/>
      <c r="JL87" s="74" t="str">
        <f t="shared" ca="1" si="648"/>
        <v>-</v>
      </c>
      <c r="JM87" s="75">
        <f t="shared" ca="1" si="649"/>
        <v>0</v>
      </c>
      <c r="JN87" s="75">
        <f t="shared" ca="1" si="650"/>
        <v>0</v>
      </c>
      <c r="JO87" s="74" t="str">
        <f t="shared" ca="1" si="651"/>
        <v>-</v>
      </c>
      <c r="JP87" s="74">
        <f t="shared" ca="1" si="652"/>
        <v>0</v>
      </c>
    </row>
    <row r="88" spans="1:276" s="1" customFormat="1" x14ac:dyDescent="0.35">
      <c r="A88" s="125" t="s">
        <v>805</v>
      </c>
      <c r="B88" s="125" t="s">
        <v>805</v>
      </c>
      <c r="C88" s="125" t="s">
        <v>805</v>
      </c>
      <c r="E88" s="142"/>
      <c r="F88" s="208"/>
      <c r="G88" s="209"/>
      <c r="H88" s="210"/>
      <c r="I88" s="8"/>
      <c r="J88" s="211" t="s">
        <v>805</v>
      </c>
      <c r="K88" s="217" t="s">
        <v>805</v>
      </c>
      <c r="L88" s="217" t="s">
        <v>805</v>
      </c>
      <c r="M88" s="217" t="s">
        <v>805</v>
      </c>
      <c r="N88" s="217" t="s">
        <v>805</v>
      </c>
      <c r="O88" s="217" t="s">
        <v>805</v>
      </c>
      <c r="P88" s="217" t="s">
        <v>805</v>
      </c>
      <c r="Q88" s="217" t="s">
        <v>805</v>
      </c>
      <c r="R88" s="217" t="s">
        <v>805</v>
      </c>
      <c r="S88" s="217" t="s">
        <v>805</v>
      </c>
      <c r="T88" s="217" t="s">
        <v>805</v>
      </c>
      <c r="U88" s="217" t="s">
        <v>805</v>
      </c>
      <c r="V88" s="217" t="s">
        <v>805</v>
      </c>
      <c r="W88" s="217" t="s">
        <v>805</v>
      </c>
      <c r="X88" s="217" t="s">
        <v>805</v>
      </c>
      <c r="Y88" s="217" t="s">
        <v>805</v>
      </c>
      <c r="Z88" s="217" t="s">
        <v>805</v>
      </c>
      <c r="AA88" s="217" t="s">
        <v>805</v>
      </c>
      <c r="AB88" s="217" t="s">
        <v>805</v>
      </c>
      <c r="AC88" s="217" t="s">
        <v>805</v>
      </c>
      <c r="AD88" s="217" t="s">
        <v>805</v>
      </c>
      <c r="AE88" s="217" t="s">
        <v>805</v>
      </c>
      <c r="AF88" s="217" t="s">
        <v>805</v>
      </c>
      <c r="AG88" s="217" t="s">
        <v>805</v>
      </c>
      <c r="AH88" s="217" t="s">
        <v>805</v>
      </c>
      <c r="AI88" s="217" t="s">
        <v>805</v>
      </c>
      <c r="AJ88" s="217" t="s">
        <v>805</v>
      </c>
      <c r="AK88" s="217" t="s">
        <v>805</v>
      </c>
      <c r="AL88" s="217" t="s">
        <v>805</v>
      </c>
      <c r="AM88" s="217" t="s">
        <v>805</v>
      </c>
      <c r="AN88" s="217" t="s">
        <v>805</v>
      </c>
      <c r="AO88" s="217" t="s">
        <v>805</v>
      </c>
      <c r="AP88" s="217" t="s">
        <v>805</v>
      </c>
      <c r="AQ88" s="217" t="s">
        <v>805</v>
      </c>
      <c r="AR88" s="217" t="s">
        <v>805</v>
      </c>
      <c r="AS88" s="217" t="s">
        <v>805</v>
      </c>
      <c r="AT88" s="217" t="s">
        <v>805</v>
      </c>
      <c r="AU88" s="217" t="s">
        <v>805</v>
      </c>
      <c r="AV88" s="217" t="s">
        <v>805</v>
      </c>
      <c r="AW88" s="217" t="s">
        <v>805</v>
      </c>
      <c r="AX88" s="217" t="s">
        <v>805</v>
      </c>
      <c r="AY88" s="217" t="s">
        <v>805</v>
      </c>
      <c r="AZ88" s="217" t="s">
        <v>805</v>
      </c>
      <c r="BA88" s="217" t="s">
        <v>805</v>
      </c>
      <c r="BB88" s="217" t="s">
        <v>805</v>
      </c>
      <c r="BC88" s="217" t="s">
        <v>805</v>
      </c>
      <c r="BD88" s="217" t="s">
        <v>805</v>
      </c>
      <c r="BE88" s="217" t="s">
        <v>805</v>
      </c>
      <c r="BF88" s="217" t="s">
        <v>805</v>
      </c>
      <c r="BG88" s="217" t="s">
        <v>805</v>
      </c>
      <c r="BH88" s="217" t="s">
        <v>805</v>
      </c>
      <c r="BI88" s="217" t="s">
        <v>805</v>
      </c>
      <c r="BJ88" s="217" t="s">
        <v>805</v>
      </c>
      <c r="BK88" s="217" t="s">
        <v>805</v>
      </c>
      <c r="BL88" s="217" t="s">
        <v>805</v>
      </c>
      <c r="BM88" s="217" t="s">
        <v>805</v>
      </c>
      <c r="BN88" s="217" t="s">
        <v>805</v>
      </c>
      <c r="BO88" s="217" t="s">
        <v>805</v>
      </c>
      <c r="BP88" s="217" t="s">
        <v>805</v>
      </c>
      <c r="BQ88" s="217" t="s">
        <v>805</v>
      </c>
      <c r="BR88" s="217" t="s">
        <v>805</v>
      </c>
      <c r="BS88" s="217" t="s">
        <v>805</v>
      </c>
      <c r="BT88" s="217" t="s">
        <v>805</v>
      </c>
      <c r="BU88" s="217" t="s">
        <v>805</v>
      </c>
      <c r="BV88" s="217" t="s">
        <v>805</v>
      </c>
      <c r="BW88" s="217" t="s">
        <v>805</v>
      </c>
      <c r="BX88" s="217" t="s">
        <v>805</v>
      </c>
      <c r="BY88" s="217" t="s">
        <v>805</v>
      </c>
      <c r="BZ88" s="217" t="s">
        <v>805</v>
      </c>
      <c r="CA88" s="217" t="s">
        <v>805</v>
      </c>
      <c r="CB88" s="217" t="s">
        <v>805</v>
      </c>
      <c r="CC88" s="217" t="s">
        <v>805</v>
      </c>
      <c r="CD88" s="217" t="s">
        <v>805</v>
      </c>
      <c r="CE88" s="217" t="s">
        <v>805</v>
      </c>
      <c r="CF88" s="217" t="s">
        <v>805</v>
      </c>
      <c r="CG88" s="217" t="s">
        <v>805</v>
      </c>
      <c r="CH88" s="217" t="s">
        <v>805</v>
      </c>
      <c r="CI88" s="217" t="s">
        <v>805</v>
      </c>
      <c r="CJ88" s="217" t="s">
        <v>805</v>
      </c>
      <c r="CK88" s="217" t="s">
        <v>805</v>
      </c>
      <c r="CL88" s="217" t="s">
        <v>805</v>
      </c>
      <c r="CM88" s="217" t="s">
        <v>805</v>
      </c>
      <c r="CN88" s="217" t="s">
        <v>805</v>
      </c>
      <c r="CO88" s="217" t="s">
        <v>805</v>
      </c>
      <c r="CP88" s="217" t="s">
        <v>805</v>
      </c>
      <c r="CQ88" s="217" t="s">
        <v>805</v>
      </c>
      <c r="CR88" s="217" t="s">
        <v>805</v>
      </c>
      <c r="CS88" s="217" t="s">
        <v>805</v>
      </c>
      <c r="CT88" s="217" t="s">
        <v>805</v>
      </c>
      <c r="CU88" s="217" t="s">
        <v>805</v>
      </c>
      <c r="CV88" s="217" t="s">
        <v>805</v>
      </c>
      <c r="CW88" s="217" t="s">
        <v>805</v>
      </c>
      <c r="CX88" s="217" t="s">
        <v>805</v>
      </c>
      <c r="CY88" s="217" t="s">
        <v>805</v>
      </c>
      <c r="CZ88" s="217" t="s">
        <v>805</v>
      </c>
      <c r="DA88" s="217" t="s">
        <v>805</v>
      </c>
      <c r="DB88" s="217" t="s">
        <v>805</v>
      </c>
      <c r="DC88" s="217" t="s">
        <v>805</v>
      </c>
      <c r="DD88" s="217" t="s">
        <v>805</v>
      </c>
      <c r="DE88" s="217" t="s">
        <v>805</v>
      </c>
      <c r="DF88" s="217" t="s">
        <v>805</v>
      </c>
      <c r="DG88" s="212"/>
      <c r="DH88" s="213"/>
      <c r="DI88" s="218"/>
      <c r="DJ88" s="218"/>
      <c r="DK88" s="218"/>
      <c r="DL88" s="218"/>
      <c r="DM88" s="218"/>
      <c r="DN88" s="212"/>
      <c r="DO88" s="213"/>
      <c r="DP88" s="218"/>
      <c r="DQ88" s="218"/>
      <c r="DR88" s="218"/>
      <c r="DS88" s="218"/>
      <c r="DT88" s="218"/>
      <c r="DU88" s="212"/>
      <c r="DV88" s="213"/>
      <c r="DW88" s="218"/>
      <c r="DX88" s="218"/>
      <c r="DY88" s="218"/>
      <c r="DZ88" s="218"/>
      <c r="EA88" s="218"/>
      <c r="EB88" s="212"/>
      <c r="EC88" s="213"/>
      <c r="ED88" s="218"/>
      <c r="EE88" s="218"/>
      <c r="EF88" s="218"/>
      <c r="EG88" s="218"/>
      <c r="EH88" s="218"/>
      <c r="EI88" s="214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306"/>
      <c r="IH88" s="44"/>
      <c r="II88" s="44"/>
      <c r="IJ88" s="44"/>
      <c r="IK88" s="44"/>
      <c r="IL88" s="44"/>
      <c r="IM88" s="306"/>
      <c r="IN88" s="44"/>
      <c r="IO88" s="44"/>
      <c r="IP88" s="44"/>
      <c r="IQ88" s="44"/>
      <c r="IR88" s="44"/>
      <c r="IS88" s="306"/>
      <c r="IT88" s="44"/>
      <c r="IU88" s="44"/>
      <c r="IV88" s="44"/>
      <c r="IW88" s="44"/>
      <c r="IX88" s="44"/>
      <c r="IY88" s="306"/>
      <c r="IZ88" s="44"/>
      <c r="JA88" s="44"/>
      <c r="JB88" s="44"/>
      <c r="JC88" s="44"/>
      <c r="JD88" s="307"/>
      <c r="JF88"/>
      <c r="JG88"/>
      <c r="JH88"/>
      <c r="JI88"/>
      <c r="JJ88"/>
      <c r="JK88"/>
      <c r="JL88"/>
      <c r="JM88"/>
      <c r="JN88"/>
      <c r="JO88"/>
      <c r="JP88"/>
    </row>
    <row r="89" spans="1:276" s="1" customFormat="1" ht="21" hidden="1" x14ac:dyDescent="0.5">
      <c r="A89" s="125" t="s">
        <v>805</v>
      </c>
      <c r="B89" s="125" t="s">
        <v>805</v>
      </c>
      <c r="C89" s="125" t="s">
        <v>805</v>
      </c>
      <c r="D89" s="263"/>
      <c r="E89" s="263"/>
      <c r="F89" s="264" t="s">
        <v>789</v>
      </c>
      <c r="G89" s="265"/>
      <c r="H89" s="266"/>
      <c r="I89" s="266"/>
      <c r="J89" s="266" t="s">
        <v>805</v>
      </c>
      <c r="K89" s="266" t="s">
        <v>805</v>
      </c>
      <c r="L89" s="266" t="s">
        <v>805</v>
      </c>
      <c r="M89" s="266" t="s">
        <v>805</v>
      </c>
      <c r="N89" s="266" t="s">
        <v>805</v>
      </c>
      <c r="O89" s="266" t="s">
        <v>805</v>
      </c>
      <c r="P89" s="266" t="s">
        <v>805</v>
      </c>
      <c r="Q89" s="266" t="s">
        <v>805</v>
      </c>
      <c r="R89" s="266" t="s">
        <v>805</v>
      </c>
      <c r="S89" s="266" t="s">
        <v>805</v>
      </c>
      <c r="T89" s="266" t="s">
        <v>805</v>
      </c>
      <c r="U89" s="266" t="s">
        <v>805</v>
      </c>
      <c r="V89" s="266" t="s">
        <v>805</v>
      </c>
      <c r="W89" s="266" t="s">
        <v>805</v>
      </c>
      <c r="X89" s="266" t="s">
        <v>805</v>
      </c>
      <c r="Y89" s="266" t="s">
        <v>805</v>
      </c>
      <c r="Z89" s="266" t="s">
        <v>805</v>
      </c>
      <c r="AA89" s="266" t="s">
        <v>805</v>
      </c>
      <c r="AB89" s="266" t="s">
        <v>805</v>
      </c>
      <c r="AC89" s="266" t="s">
        <v>805</v>
      </c>
      <c r="AD89" s="266" t="s">
        <v>805</v>
      </c>
      <c r="AE89" s="266" t="s">
        <v>805</v>
      </c>
      <c r="AF89" s="266" t="s">
        <v>805</v>
      </c>
      <c r="AG89" s="266" t="s">
        <v>805</v>
      </c>
      <c r="AH89" s="266" t="s">
        <v>805</v>
      </c>
      <c r="AI89" s="266" t="s">
        <v>805</v>
      </c>
      <c r="AJ89" s="266" t="s">
        <v>805</v>
      </c>
      <c r="AK89" s="266" t="s">
        <v>805</v>
      </c>
      <c r="AL89" s="266" t="s">
        <v>805</v>
      </c>
      <c r="AM89" s="266" t="s">
        <v>805</v>
      </c>
      <c r="AN89" s="266" t="s">
        <v>805</v>
      </c>
      <c r="AO89" s="266" t="s">
        <v>805</v>
      </c>
      <c r="AP89" s="266" t="s">
        <v>805</v>
      </c>
      <c r="AQ89" s="266" t="s">
        <v>805</v>
      </c>
      <c r="AR89" s="266" t="s">
        <v>805</v>
      </c>
      <c r="AS89" s="266" t="s">
        <v>805</v>
      </c>
      <c r="AT89" s="266" t="s">
        <v>805</v>
      </c>
      <c r="AU89" s="266" t="s">
        <v>805</v>
      </c>
      <c r="AV89" s="266" t="s">
        <v>805</v>
      </c>
      <c r="AW89" s="266" t="s">
        <v>805</v>
      </c>
      <c r="AX89" s="266" t="s">
        <v>805</v>
      </c>
      <c r="AY89" s="266" t="s">
        <v>805</v>
      </c>
      <c r="AZ89" s="266" t="s">
        <v>805</v>
      </c>
      <c r="BA89" s="266" t="s">
        <v>805</v>
      </c>
      <c r="BB89" s="266" t="s">
        <v>805</v>
      </c>
      <c r="BC89" s="266" t="s">
        <v>805</v>
      </c>
      <c r="BD89" s="266" t="s">
        <v>805</v>
      </c>
      <c r="BE89" s="266" t="s">
        <v>805</v>
      </c>
      <c r="BF89" s="266" t="s">
        <v>805</v>
      </c>
      <c r="BG89" s="266" t="s">
        <v>805</v>
      </c>
      <c r="BH89" s="266" t="s">
        <v>805</v>
      </c>
      <c r="BI89" s="266" t="s">
        <v>805</v>
      </c>
      <c r="BJ89" s="266" t="s">
        <v>805</v>
      </c>
      <c r="BK89" s="266" t="s">
        <v>805</v>
      </c>
      <c r="BL89" s="266" t="s">
        <v>805</v>
      </c>
      <c r="BM89" s="266" t="s">
        <v>805</v>
      </c>
      <c r="BN89" s="266" t="s">
        <v>805</v>
      </c>
      <c r="BO89" s="266" t="s">
        <v>805</v>
      </c>
      <c r="BP89" s="266" t="s">
        <v>805</v>
      </c>
      <c r="BQ89" s="266" t="s">
        <v>805</v>
      </c>
      <c r="BR89" s="266" t="s">
        <v>805</v>
      </c>
      <c r="BS89" s="266" t="s">
        <v>805</v>
      </c>
      <c r="BT89" s="266" t="s">
        <v>805</v>
      </c>
      <c r="BU89" s="266" t="s">
        <v>805</v>
      </c>
      <c r="BV89" s="266" t="s">
        <v>805</v>
      </c>
      <c r="BW89" s="266" t="s">
        <v>805</v>
      </c>
      <c r="BX89" s="266" t="s">
        <v>805</v>
      </c>
      <c r="BY89" s="266" t="s">
        <v>805</v>
      </c>
      <c r="BZ89" s="266" t="s">
        <v>805</v>
      </c>
      <c r="CA89" s="266" t="s">
        <v>805</v>
      </c>
      <c r="CB89" s="266" t="s">
        <v>805</v>
      </c>
      <c r="CC89" s="266" t="s">
        <v>805</v>
      </c>
      <c r="CD89" s="266" t="s">
        <v>805</v>
      </c>
      <c r="CE89" s="266" t="s">
        <v>805</v>
      </c>
      <c r="CF89" s="266" t="s">
        <v>805</v>
      </c>
      <c r="CG89" s="266" t="s">
        <v>805</v>
      </c>
      <c r="CH89" s="266" t="s">
        <v>805</v>
      </c>
      <c r="CI89" s="266" t="s">
        <v>805</v>
      </c>
      <c r="CJ89" s="266" t="s">
        <v>805</v>
      </c>
      <c r="CK89" s="266" t="s">
        <v>805</v>
      </c>
      <c r="CL89" s="266" t="s">
        <v>805</v>
      </c>
      <c r="CM89" s="266" t="s">
        <v>805</v>
      </c>
      <c r="CN89" s="266" t="s">
        <v>805</v>
      </c>
      <c r="CO89" s="266" t="s">
        <v>805</v>
      </c>
      <c r="CP89" s="266" t="s">
        <v>805</v>
      </c>
      <c r="CQ89" s="266" t="s">
        <v>805</v>
      </c>
      <c r="CR89" s="266" t="s">
        <v>805</v>
      </c>
      <c r="CS89" s="266" t="s">
        <v>805</v>
      </c>
      <c r="CT89" s="266" t="s">
        <v>805</v>
      </c>
      <c r="CU89" s="266" t="s">
        <v>805</v>
      </c>
      <c r="CV89" s="266" t="s">
        <v>805</v>
      </c>
      <c r="CW89" s="266" t="s">
        <v>805</v>
      </c>
      <c r="CX89" s="266" t="s">
        <v>805</v>
      </c>
      <c r="CY89" s="266" t="s">
        <v>805</v>
      </c>
      <c r="CZ89" s="266" t="s">
        <v>805</v>
      </c>
      <c r="DA89" s="266" t="s">
        <v>805</v>
      </c>
      <c r="DB89" s="266" t="s">
        <v>805</v>
      </c>
      <c r="DC89" s="266" t="s">
        <v>805</v>
      </c>
      <c r="DD89" s="266" t="s">
        <v>805</v>
      </c>
      <c r="DE89" s="266" t="s">
        <v>805</v>
      </c>
      <c r="DF89" s="266" t="s">
        <v>805</v>
      </c>
      <c r="DG89" s="270"/>
      <c r="DH89" s="266"/>
      <c r="DI89" s="266"/>
      <c r="DJ89" s="266"/>
      <c r="DK89" s="266"/>
      <c r="DL89" s="266"/>
      <c r="DM89" s="266"/>
      <c r="DN89" s="270"/>
      <c r="DO89" s="266"/>
      <c r="DP89" s="266"/>
      <c r="DQ89" s="266"/>
      <c r="DR89" s="266"/>
      <c r="DS89" s="266"/>
      <c r="DT89" s="266"/>
      <c r="DU89" s="270"/>
      <c r="DV89" s="266"/>
      <c r="DW89" s="266"/>
      <c r="DX89" s="266"/>
      <c r="DY89" s="266"/>
      <c r="DZ89" s="266"/>
      <c r="EA89" s="266"/>
      <c r="EB89" s="270"/>
      <c r="EC89" s="266"/>
      <c r="ED89" s="266"/>
      <c r="EE89" s="266"/>
      <c r="EF89" s="266"/>
      <c r="EG89" s="266"/>
      <c r="EH89" s="266"/>
      <c r="EI89" s="266"/>
      <c r="EJ89" s="266"/>
      <c r="EK89" s="266"/>
      <c r="EL89" s="266"/>
      <c r="EM89" s="266"/>
      <c r="EN89" s="266"/>
      <c r="EO89" s="266"/>
      <c r="EP89" s="266"/>
      <c r="EQ89" s="266"/>
      <c r="ER89" s="266"/>
      <c r="ES89" s="266"/>
      <c r="ET89" s="266"/>
      <c r="EU89" s="266"/>
      <c r="EV89" s="266"/>
      <c r="EW89" s="266"/>
      <c r="EX89" s="266"/>
      <c r="EY89" s="266"/>
      <c r="EZ89" s="266"/>
      <c r="FA89" s="266"/>
      <c r="FB89" s="266"/>
      <c r="FC89" s="266"/>
      <c r="FD89" s="266"/>
      <c r="FE89" s="266"/>
      <c r="FF89" s="266"/>
      <c r="FG89" s="266"/>
      <c r="FH89" s="266"/>
      <c r="FI89" s="266"/>
      <c r="FJ89" s="266"/>
      <c r="FK89" s="266"/>
      <c r="FL89" s="266"/>
      <c r="FM89" s="266"/>
      <c r="FN89" s="266"/>
      <c r="FO89" s="266"/>
      <c r="FP89" s="266"/>
      <c r="FQ89" s="266"/>
      <c r="FR89" s="266"/>
      <c r="FS89" s="266"/>
      <c r="FT89" s="266"/>
      <c r="FU89" s="266"/>
      <c r="FV89" s="266"/>
      <c r="FW89" s="266"/>
      <c r="FX89" s="266"/>
      <c r="FY89" s="266"/>
      <c r="FZ89" s="266"/>
      <c r="GA89" s="266"/>
      <c r="GB89" s="266"/>
      <c r="GC89" s="266"/>
      <c r="GD89" s="266"/>
      <c r="GE89" s="266"/>
      <c r="GF89" s="266"/>
      <c r="GG89" s="266"/>
      <c r="GH89" s="266"/>
      <c r="GI89" s="266"/>
      <c r="GJ89" s="266"/>
      <c r="GK89" s="266"/>
      <c r="GL89" s="266"/>
      <c r="GM89" s="266"/>
      <c r="GN89" s="266"/>
      <c r="GO89" s="266"/>
      <c r="GP89" s="266"/>
      <c r="GQ89" s="266"/>
      <c r="GR89" s="266"/>
      <c r="GS89" s="266"/>
      <c r="GT89" s="266"/>
      <c r="GU89" s="266"/>
      <c r="GV89" s="266"/>
      <c r="GW89" s="266"/>
      <c r="GX89" s="266"/>
      <c r="GY89" s="266"/>
      <c r="GZ89" s="266"/>
      <c r="HA89" s="266"/>
      <c r="HB89" s="266"/>
      <c r="HC89" s="266"/>
      <c r="HD89" s="266"/>
      <c r="HE89" s="266"/>
      <c r="HF89" s="266"/>
      <c r="HG89" s="266"/>
      <c r="HH89" s="266"/>
      <c r="HI89" s="266"/>
      <c r="HJ89" s="266"/>
      <c r="HK89" s="266"/>
      <c r="HL89" s="266"/>
      <c r="HM89" s="266"/>
      <c r="HN89" s="266"/>
      <c r="HO89" s="266"/>
      <c r="HP89" s="266"/>
      <c r="HQ89" s="266"/>
      <c r="HR89" s="266"/>
      <c r="HS89" s="266"/>
      <c r="HT89" s="266"/>
      <c r="HU89" s="266"/>
      <c r="HV89" s="266"/>
      <c r="HW89" s="266"/>
      <c r="HX89" s="266"/>
      <c r="HY89" s="266"/>
      <c r="HZ89" s="266"/>
      <c r="IA89" s="266"/>
      <c r="IB89" s="266"/>
      <c r="IC89" s="266"/>
      <c r="ID89" s="266"/>
      <c r="IE89" s="266"/>
      <c r="IF89" s="266"/>
      <c r="IG89" s="320"/>
      <c r="IH89" s="266"/>
      <c r="II89" s="266"/>
      <c r="IJ89" s="266"/>
      <c r="IK89" s="266"/>
      <c r="IL89" s="266"/>
      <c r="IM89" s="320"/>
      <c r="IN89" s="266"/>
      <c r="IO89" s="266"/>
      <c r="IP89" s="266"/>
      <c r="IQ89" s="266"/>
      <c r="IR89" s="266"/>
      <c r="IS89" s="320"/>
      <c r="IT89" s="266"/>
      <c r="IU89" s="266"/>
      <c r="IV89" s="266"/>
      <c r="IW89" s="266"/>
      <c r="IX89" s="266"/>
      <c r="IY89" s="320"/>
      <c r="IZ89" s="266"/>
      <c r="JA89" s="266"/>
      <c r="JB89" s="266"/>
      <c r="JC89" s="266"/>
      <c r="JD89" s="321"/>
      <c r="JF89"/>
      <c r="JG89"/>
      <c r="JH89"/>
      <c r="JI89"/>
      <c r="JJ89"/>
      <c r="JK89"/>
      <c r="JL89"/>
      <c r="JM89"/>
      <c r="JN89"/>
      <c r="JO89"/>
      <c r="JP89"/>
    </row>
    <row r="90" spans="1:276" hidden="1" x14ac:dyDescent="0.35">
      <c r="A90" s="125" t="s">
        <v>805</v>
      </c>
      <c r="B90" s="125" t="s">
        <v>805</v>
      </c>
      <c r="C90" s="125" t="s">
        <v>805</v>
      </c>
      <c r="J90" t="s">
        <v>805</v>
      </c>
      <c r="K90" t="s">
        <v>805</v>
      </c>
      <c r="L90" t="s">
        <v>805</v>
      </c>
      <c r="M90" t="s">
        <v>805</v>
      </c>
      <c r="N90" t="s">
        <v>805</v>
      </c>
      <c r="O90" t="s">
        <v>805</v>
      </c>
      <c r="P90" t="s">
        <v>805</v>
      </c>
      <c r="Q90" t="s">
        <v>805</v>
      </c>
      <c r="R90" t="s">
        <v>805</v>
      </c>
      <c r="S90" t="s">
        <v>805</v>
      </c>
      <c r="T90" t="s">
        <v>805</v>
      </c>
      <c r="U90" t="s">
        <v>805</v>
      </c>
      <c r="V90" t="s">
        <v>805</v>
      </c>
      <c r="W90" t="s">
        <v>805</v>
      </c>
      <c r="X90" t="s">
        <v>805</v>
      </c>
      <c r="Y90" t="s">
        <v>805</v>
      </c>
      <c r="Z90" t="s">
        <v>805</v>
      </c>
      <c r="AA90" t="s">
        <v>805</v>
      </c>
      <c r="AB90" t="s">
        <v>805</v>
      </c>
      <c r="AC90" t="s">
        <v>805</v>
      </c>
      <c r="AD90" t="s">
        <v>805</v>
      </c>
      <c r="AE90" t="s">
        <v>805</v>
      </c>
      <c r="AF90" t="s">
        <v>805</v>
      </c>
      <c r="AG90" t="s">
        <v>805</v>
      </c>
      <c r="AH90" t="s">
        <v>805</v>
      </c>
      <c r="AI90" t="s">
        <v>805</v>
      </c>
      <c r="AJ90" t="s">
        <v>805</v>
      </c>
      <c r="AK90" t="s">
        <v>805</v>
      </c>
      <c r="AL90" t="s">
        <v>805</v>
      </c>
      <c r="AM90" t="s">
        <v>805</v>
      </c>
      <c r="AN90" t="s">
        <v>805</v>
      </c>
      <c r="AO90" t="s">
        <v>805</v>
      </c>
      <c r="AP90" t="s">
        <v>805</v>
      </c>
      <c r="AQ90" t="s">
        <v>805</v>
      </c>
      <c r="AR90" t="s">
        <v>805</v>
      </c>
      <c r="AS90" t="s">
        <v>805</v>
      </c>
      <c r="AT90" t="s">
        <v>805</v>
      </c>
      <c r="AU90" t="s">
        <v>805</v>
      </c>
      <c r="AV90" t="s">
        <v>805</v>
      </c>
      <c r="AW90" t="s">
        <v>805</v>
      </c>
      <c r="AX90" t="s">
        <v>805</v>
      </c>
      <c r="AY90" t="s">
        <v>805</v>
      </c>
      <c r="AZ90" t="s">
        <v>805</v>
      </c>
      <c r="BA90" t="s">
        <v>805</v>
      </c>
      <c r="BB90" t="s">
        <v>805</v>
      </c>
      <c r="BC90" t="s">
        <v>805</v>
      </c>
      <c r="BD90" t="s">
        <v>805</v>
      </c>
      <c r="BE90" t="s">
        <v>805</v>
      </c>
      <c r="BF90" t="s">
        <v>805</v>
      </c>
      <c r="BG90" t="s">
        <v>805</v>
      </c>
      <c r="BH90" t="s">
        <v>805</v>
      </c>
      <c r="BI90" t="s">
        <v>805</v>
      </c>
      <c r="BJ90" t="s">
        <v>805</v>
      </c>
      <c r="BK90" t="s">
        <v>805</v>
      </c>
      <c r="BL90" t="s">
        <v>805</v>
      </c>
      <c r="BM90" t="s">
        <v>805</v>
      </c>
      <c r="BN90" t="s">
        <v>805</v>
      </c>
      <c r="BO90" t="s">
        <v>805</v>
      </c>
      <c r="BP90" t="s">
        <v>805</v>
      </c>
      <c r="BQ90" t="s">
        <v>805</v>
      </c>
      <c r="BR90" t="s">
        <v>805</v>
      </c>
      <c r="BS90" t="s">
        <v>805</v>
      </c>
      <c r="BT90" t="s">
        <v>805</v>
      </c>
      <c r="BU90" t="s">
        <v>805</v>
      </c>
      <c r="BV90" t="s">
        <v>805</v>
      </c>
      <c r="BW90" t="s">
        <v>805</v>
      </c>
      <c r="BX90" t="s">
        <v>805</v>
      </c>
      <c r="BY90" t="s">
        <v>805</v>
      </c>
      <c r="BZ90" t="s">
        <v>805</v>
      </c>
      <c r="CA90" t="s">
        <v>805</v>
      </c>
      <c r="CB90" t="s">
        <v>805</v>
      </c>
      <c r="CC90" t="s">
        <v>805</v>
      </c>
      <c r="CD90" t="s">
        <v>805</v>
      </c>
      <c r="CE90" t="s">
        <v>805</v>
      </c>
      <c r="CF90" t="s">
        <v>805</v>
      </c>
      <c r="CG90" t="s">
        <v>805</v>
      </c>
      <c r="CH90" t="s">
        <v>805</v>
      </c>
      <c r="CI90" t="s">
        <v>805</v>
      </c>
      <c r="CJ90" t="s">
        <v>805</v>
      </c>
      <c r="CK90" t="s">
        <v>805</v>
      </c>
      <c r="CL90" t="s">
        <v>805</v>
      </c>
      <c r="CM90" t="s">
        <v>805</v>
      </c>
      <c r="CN90" t="s">
        <v>805</v>
      </c>
      <c r="CO90" t="s">
        <v>805</v>
      </c>
      <c r="CP90" t="s">
        <v>805</v>
      </c>
      <c r="CQ90" t="s">
        <v>805</v>
      </c>
      <c r="CR90" t="s">
        <v>805</v>
      </c>
      <c r="CS90" t="s">
        <v>805</v>
      </c>
      <c r="CT90" t="s">
        <v>805</v>
      </c>
      <c r="CU90" t="s">
        <v>805</v>
      </c>
      <c r="CV90" t="s">
        <v>805</v>
      </c>
      <c r="CW90" t="s">
        <v>805</v>
      </c>
      <c r="CX90" t="s">
        <v>805</v>
      </c>
      <c r="CY90" t="s">
        <v>805</v>
      </c>
      <c r="CZ90" t="s">
        <v>805</v>
      </c>
      <c r="DA90" t="s">
        <v>805</v>
      </c>
      <c r="DB90" t="s">
        <v>805</v>
      </c>
      <c r="DC90" t="s">
        <v>805</v>
      </c>
      <c r="DD90" t="s">
        <v>805</v>
      </c>
      <c r="DE90" t="s">
        <v>805</v>
      </c>
      <c r="DF90" t="s">
        <v>805</v>
      </c>
      <c r="DG90" s="28"/>
      <c r="DN90" s="28"/>
      <c r="DU90" s="28"/>
      <c r="EB90" s="28"/>
    </row>
    <row r="91" spans="1:276" ht="18.5" hidden="1" x14ac:dyDescent="0.45">
      <c r="A91" s="125" t="s">
        <v>805</v>
      </c>
      <c r="B91" s="125" t="s">
        <v>805</v>
      </c>
      <c r="C91" s="125" t="s">
        <v>805</v>
      </c>
      <c r="D91" s="260"/>
      <c r="E91" s="260"/>
      <c r="F91" s="259" t="s">
        <v>709</v>
      </c>
      <c r="G91" s="261"/>
      <c r="H91" s="262"/>
      <c r="I91" s="262"/>
      <c r="J91" s="262" t="s">
        <v>805</v>
      </c>
      <c r="K91" s="262" t="s">
        <v>805</v>
      </c>
      <c r="L91" s="262" t="s">
        <v>805</v>
      </c>
      <c r="M91" s="262" t="s">
        <v>805</v>
      </c>
      <c r="N91" s="262" t="s">
        <v>805</v>
      </c>
      <c r="O91" s="262" t="s">
        <v>805</v>
      </c>
      <c r="P91" s="262" t="s">
        <v>805</v>
      </c>
      <c r="Q91" s="262" t="s">
        <v>805</v>
      </c>
      <c r="R91" s="262" t="s">
        <v>805</v>
      </c>
      <c r="S91" s="262" t="s">
        <v>805</v>
      </c>
      <c r="T91" s="262" t="s">
        <v>805</v>
      </c>
      <c r="U91" s="262" t="s">
        <v>805</v>
      </c>
      <c r="V91" s="262" t="s">
        <v>805</v>
      </c>
      <c r="W91" s="262" t="s">
        <v>805</v>
      </c>
      <c r="X91" s="262" t="s">
        <v>805</v>
      </c>
      <c r="Y91" s="262" t="s">
        <v>805</v>
      </c>
      <c r="Z91" s="262" t="s">
        <v>805</v>
      </c>
      <c r="AA91" s="262" t="s">
        <v>805</v>
      </c>
      <c r="AB91" s="262" t="s">
        <v>805</v>
      </c>
      <c r="AC91" s="262" t="s">
        <v>805</v>
      </c>
      <c r="AD91" s="262" t="s">
        <v>805</v>
      </c>
      <c r="AE91" s="262" t="s">
        <v>805</v>
      </c>
      <c r="AF91" s="262" t="s">
        <v>805</v>
      </c>
      <c r="AG91" s="262" t="s">
        <v>805</v>
      </c>
      <c r="AH91" s="262" t="s">
        <v>805</v>
      </c>
      <c r="AI91" s="262" t="s">
        <v>805</v>
      </c>
      <c r="AJ91" s="262" t="s">
        <v>805</v>
      </c>
      <c r="AK91" s="262" t="s">
        <v>805</v>
      </c>
      <c r="AL91" s="262" t="s">
        <v>805</v>
      </c>
      <c r="AM91" s="262" t="s">
        <v>805</v>
      </c>
      <c r="AN91" s="262" t="s">
        <v>805</v>
      </c>
      <c r="AO91" s="262" t="s">
        <v>805</v>
      </c>
      <c r="AP91" s="262" t="s">
        <v>805</v>
      </c>
      <c r="AQ91" s="262" t="s">
        <v>805</v>
      </c>
      <c r="AR91" s="262" t="s">
        <v>805</v>
      </c>
      <c r="AS91" s="262" t="s">
        <v>805</v>
      </c>
      <c r="AT91" s="262" t="s">
        <v>805</v>
      </c>
      <c r="AU91" s="262" t="s">
        <v>805</v>
      </c>
      <c r="AV91" s="262" t="s">
        <v>805</v>
      </c>
      <c r="AW91" s="262" t="s">
        <v>805</v>
      </c>
      <c r="AX91" s="262" t="s">
        <v>805</v>
      </c>
      <c r="AY91" s="262" t="s">
        <v>805</v>
      </c>
      <c r="AZ91" s="262" t="s">
        <v>805</v>
      </c>
      <c r="BA91" s="262" t="s">
        <v>805</v>
      </c>
      <c r="BB91" s="262" t="s">
        <v>805</v>
      </c>
      <c r="BC91" s="262" t="s">
        <v>805</v>
      </c>
      <c r="BD91" s="262" t="s">
        <v>805</v>
      </c>
      <c r="BE91" s="262" t="s">
        <v>805</v>
      </c>
      <c r="BF91" s="262" t="s">
        <v>805</v>
      </c>
      <c r="BG91" s="262" t="s">
        <v>805</v>
      </c>
      <c r="BH91" s="262" t="s">
        <v>805</v>
      </c>
      <c r="BI91" s="262" t="s">
        <v>805</v>
      </c>
      <c r="BJ91" s="262" t="s">
        <v>805</v>
      </c>
      <c r="BK91" s="262" t="s">
        <v>805</v>
      </c>
      <c r="BL91" s="262" t="s">
        <v>805</v>
      </c>
      <c r="BM91" s="262" t="s">
        <v>805</v>
      </c>
      <c r="BN91" s="262" t="s">
        <v>805</v>
      </c>
      <c r="BO91" s="262" t="s">
        <v>805</v>
      </c>
      <c r="BP91" s="262" t="s">
        <v>805</v>
      </c>
      <c r="BQ91" s="262" t="s">
        <v>805</v>
      </c>
      <c r="BR91" s="262" t="s">
        <v>805</v>
      </c>
      <c r="BS91" s="262" t="s">
        <v>805</v>
      </c>
      <c r="BT91" s="262" t="s">
        <v>805</v>
      </c>
      <c r="BU91" s="262" t="s">
        <v>805</v>
      </c>
      <c r="BV91" s="262" t="s">
        <v>805</v>
      </c>
      <c r="BW91" s="262" t="s">
        <v>805</v>
      </c>
      <c r="BX91" s="262" t="s">
        <v>805</v>
      </c>
      <c r="BY91" s="262" t="s">
        <v>805</v>
      </c>
      <c r="BZ91" s="262" t="s">
        <v>805</v>
      </c>
      <c r="CA91" s="262" t="s">
        <v>805</v>
      </c>
      <c r="CB91" s="262" t="s">
        <v>805</v>
      </c>
      <c r="CC91" s="262" t="s">
        <v>805</v>
      </c>
      <c r="CD91" s="262" t="s">
        <v>805</v>
      </c>
      <c r="CE91" s="262" t="s">
        <v>805</v>
      </c>
      <c r="CF91" s="262" t="s">
        <v>805</v>
      </c>
      <c r="CG91" s="262" t="s">
        <v>805</v>
      </c>
      <c r="CH91" s="262" t="s">
        <v>805</v>
      </c>
      <c r="CI91" s="262" t="s">
        <v>805</v>
      </c>
      <c r="CJ91" s="262" t="s">
        <v>805</v>
      </c>
      <c r="CK91" s="262" t="s">
        <v>805</v>
      </c>
      <c r="CL91" s="262" t="s">
        <v>805</v>
      </c>
      <c r="CM91" s="262" t="s">
        <v>805</v>
      </c>
      <c r="CN91" s="262" t="s">
        <v>805</v>
      </c>
      <c r="CO91" s="262" t="s">
        <v>805</v>
      </c>
      <c r="CP91" s="262" t="s">
        <v>805</v>
      </c>
      <c r="CQ91" s="262" t="s">
        <v>805</v>
      </c>
      <c r="CR91" s="262" t="s">
        <v>805</v>
      </c>
      <c r="CS91" s="262" t="s">
        <v>805</v>
      </c>
      <c r="CT91" s="262" t="s">
        <v>805</v>
      </c>
      <c r="CU91" s="262" t="s">
        <v>805</v>
      </c>
      <c r="CV91" s="262" t="s">
        <v>805</v>
      </c>
      <c r="CW91" s="262" t="s">
        <v>805</v>
      </c>
      <c r="CX91" s="262" t="s">
        <v>805</v>
      </c>
      <c r="CY91" s="262" t="s">
        <v>805</v>
      </c>
      <c r="CZ91" s="262" t="s">
        <v>805</v>
      </c>
      <c r="DA91" s="262" t="s">
        <v>805</v>
      </c>
      <c r="DB91" s="262" t="s">
        <v>805</v>
      </c>
      <c r="DC91" s="262" t="s">
        <v>805</v>
      </c>
      <c r="DD91" s="262" t="s">
        <v>805</v>
      </c>
      <c r="DE91" s="262" t="s">
        <v>805</v>
      </c>
      <c r="DF91" s="262" t="s">
        <v>805</v>
      </c>
      <c r="DG91" s="271"/>
      <c r="DH91" s="262"/>
      <c r="DI91" s="262"/>
      <c r="DJ91" s="262"/>
      <c r="DK91" s="262"/>
      <c r="DL91" s="262"/>
      <c r="DM91" s="262"/>
      <c r="DN91" s="271"/>
      <c r="DO91" s="262"/>
      <c r="DP91" s="262"/>
      <c r="DQ91" s="262"/>
      <c r="DR91" s="262"/>
      <c r="DS91" s="262"/>
      <c r="DT91" s="262"/>
      <c r="DU91" s="271"/>
      <c r="DV91" s="262"/>
      <c r="DW91" s="262"/>
      <c r="DX91" s="262"/>
      <c r="DY91" s="262"/>
      <c r="DZ91" s="262"/>
      <c r="EA91" s="262"/>
      <c r="EB91" s="271"/>
      <c r="EC91" s="262"/>
      <c r="ED91" s="262"/>
      <c r="EE91" s="262"/>
      <c r="EF91" s="262"/>
      <c r="EG91" s="262"/>
      <c r="EH91" s="262"/>
      <c r="EI91" s="262"/>
      <c r="EJ91" s="262"/>
      <c r="EK91" s="262"/>
      <c r="EL91" s="262"/>
      <c r="EM91" s="262"/>
      <c r="EN91" s="262"/>
      <c r="EO91" s="262"/>
      <c r="EP91" s="262"/>
      <c r="EQ91" s="262"/>
      <c r="ER91" s="262"/>
      <c r="ES91" s="262"/>
      <c r="ET91" s="262"/>
      <c r="EU91" s="262"/>
      <c r="EV91" s="262"/>
      <c r="EW91" s="262"/>
      <c r="EX91" s="262"/>
      <c r="EY91" s="262"/>
      <c r="EZ91" s="262"/>
      <c r="FA91" s="262"/>
      <c r="FB91" s="262"/>
      <c r="FC91" s="262"/>
      <c r="FD91" s="262"/>
      <c r="FE91" s="262"/>
      <c r="FF91" s="262"/>
      <c r="FG91" s="262"/>
      <c r="FH91" s="262"/>
      <c r="FI91" s="262"/>
      <c r="FJ91" s="262"/>
      <c r="FK91" s="262"/>
      <c r="FL91" s="262"/>
      <c r="FM91" s="262"/>
      <c r="FN91" s="262"/>
      <c r="FO91" s="262"/>
      <c r="FP91" s="262"/>
      <c r="FQ91" s="262"/>
      <c r="FR91" s="262"/>
      <c r="FS91" s="262"/>
      <c r="FT91" s="262"/>
      <c r="FU91" s="262"/>
      <c r="FV91" s="262"/>
      <c r="FW91" s="262"/>
      <c r="FX91" s="262"/>
      <c r="FY91" s="262"/>
      <c r="FZ91" s="262"/>
      <c r="GA91" s="262"/>
      <c r="GB91" s="262"/>
      <c r="GC91" s="262"/>
      <c r="GD91" s="262"/>
      <c r="GE91" s="262"/>
      <c r="GF91" s="262"/>
      <c r="GG91" s="262"/>
      <c r="GH91" s="262"/>
      <c r="GI91" s="262"/>
      <c r="GJ91" s="262"/>
      <c r="GK91" s="262"/>
      <c r="GL91" s="262"/>
      <c r="GM91" s="262"/>
      <c r="GN91" s="262"/>
      <c r="GO91" s="262"/>
      <c r="GP91" s="262"/>
      <c r="GQ91" s="262"/>
      <c r="GR91" s="262"/>
      <c r="GS91" s="262"/>
      <c r="GT91" s="262"/>
      <c r="GU91" s="262"/>
      <c r="GV91" s="262"/>
      <c r="GW91" s="262"/>
      <c r="GX91" s="262"/>
      <c r="GY91" s="262"/>
      <c r="GZ91" s="262"/>
      <c r="HA91" s="262"/>
      <c r="HB91" s="262"/>
      <c r="HC91" s="262"/>
      <c r="HD91" s="262"/>
      <c r="HE91" s="262"/>
      <c r="HF91" s="262"/>
      <c r="HG91" s="262"/>
      <c r="HH91" s="262"/>
      <c r="HI91" s="262"/>
      <c r="HJ91" s="262"/>
      <c r="HK91" s="262"/>
      <c r="HL91" s="262"/>
      <c r="HM91" s="262"/>
      <c r="HN91" s="262"/>
      <c r="HO91" s="262"/>
      <c r="HP91" s="262"/>
      <c r="HQ91" s="262"/>
      <c r="HR91" s="262"/>
      <c r="HS91" s="262"/>
      <c r="HT91" s="262"/>
      <c r="HU91" s="262"/>
      <c r="HV91" s="262"/>
      <c r="HW91" s="262"/>
      <c r="HX91" s="262"/>
      <c r="HY91" s="262"/>
      <c r="HZ91" s="262"/>
      <c r="IA91" s="262"/>
      <c r="IB91" s="262"/>
      <c r="IC91" s="262"/>
      <c r="ID91" s="262"/>
      <c r="IE91" s="262"/>
      <c r="IF91" s="262"/>
      <c r="IG91" s="324"/>
      <c r="IH91" s="262"/>
      <c r="II91" s="262"/>
      <c r="IJ91" s="262"/>
      <c r="IK91" s="262"/>
      <c r="IL91" s="262"/>
      <c r="IM91" s="324"/>
      <c r="IN91" s="262"/>
      <c r="IO91" s="262"/>
      <c r="IP91" s="262"/>
      <c r="IQ91" s="262"/>
      <c r="IR91" s="262"/>
      <c r="IS91" s="324"/>
      <c r="IT91" s="262"/>
      <c r="IU91" s="262"/>
      <c r="IV91" s="262"/>
      <c r="IW91" s="262"/>
      <c r="IX91" s="262"/>
      <c r="IY91" s="324"/>
      <c r="IZ91" s="262"/>
      <c r="JA91" s="262"/>
      <c r="JB91" s="262"/>
      <c r="JC91" s="262"/>
      <c r="JD91" s="325"/>
    </row>
    <row r="92" spans="1:276" hidden="1" x14ac:dyDescent="0.35">
      <c r="A92" s="125" t="s">
        <v>805</v>
      </c>
      <c r="B92" s="125" t="s">
        <v>805</v>
      </c>
      <c r="C92" s="125" t="s">
        <v>805</v>
      </c>
      <c r="D92" s="253"/>
      <c r="E92" s="253"/>
      <c r="F92" s="249" t="s">
        <v>710</v>
      </c>
      <c r="G92" s="253"/>
      <c r="H92" s="253"/>
      <c r="I92" s="253"/>
      <c r="J92" s="253" t="s">
        <v>805</v>
      </c>
      <c r="K92" s="253" t="s">
        <v>805</v>
      </c>
      <c r="L92" s="253" t="s">
        <v>805</v>
      </c>
      <c r="M92" s="253" t="s">
        <v>805</v>
      </c>
      <c r="N92" s="253" t="s">
        <v>805</v>
      </c>
      <c r="O92" s="253" t="s">
        <v>805</v>
      </c>
      <c r="P92" s="253" t="s">
        <v>805</v>
      </c>
      <c r="Q92" s="253" t="s">
        <v>805</v>
      </c>
      <c r="R92" s="253" t="s">
        <v>805</v>
      </c>
      <c r="S92" s="253" t="s">
        <v>805</v>
      </c>
      <c r="T92" s="253" t="s">
        <v>805</v>
      </c>
      <c r="U92" s="253" t="s">
        <v>805</v>
      </c>
      <c r="V92" s="253" t="s">
        <v>805</v>
      </c>
      <c r="W92" s="253" t="s">
        <v>805</v>
      </c>
      <c r="X92" s="253" t="s">
        <v>805</v>
      </c>
      <c r="Y92" s="253" t="s">
        <v>805</v>
      </c>
      <c r="Z92" s="253" t="s">
        <v>805</v>
      </c>
      <c r="AA92" s="253" t="s">
        <v>805</v>
      </c>
      <c r="AB92" s="253" t="s">
        <v>805</v>
      </c>
      <c r="AC92" s="253" t="s">
        <v>805</v>
      </c>
      <c r="AD92" s="253" t="s">
        <v>805</v>
      </c>
      <c r="AE92" s="253" t="s">
        <v>805</v>
      </c>
      <c r="AF92" s="253" t="s">
        <v>805</v>
      </c>
      <c r="AG92" s="253" t="s">
        <v>805</v>
      </c>
      <c r="AH92" s="253" t="s">
        <v>805</v>
      </c>
      <c r="AI92" s="253" t="s">
        <v>805</v>
      </c>
      <c r="AJ92" s="253" t="s">
        <v>805</v>
      </c>
      <c r="AK92" s="253" t="s">
        <v>805</v>
      </c>
      <c r="AL92" s="253" t="s">
        <v>805</v>
      </c>
      <c r="AM92" s="253" t="s">
        <v>805</v>
      </c>
      <c r="AN92" s="253" t="s">
        <v>805</v>
      </c>
      <c r="AO92" s="253" t="s">
        <v>805</v>
      </c>
      <c r="AP92" s="253" t="s">
        <v>805</v>
      </c>
      <c r="AQ92" s="253" t="s">
        <v>805</v>
      </c>
      <c r="AR92" s="253" t="s">
        <v>805</v>
      </c>
      <c r="AS92" s="253" t="s">
        <v>805</v>
      </c>
      <c r="AT92" s="253" t="s">
        <v>805</v>
      </c>
      <c r="AU92" s="253" t="s">
        <v>805</v>
      </c>
      <c r="AV92" s="253" t="s">
        <v>805</v>
      </c>
      <c r="AW92" s="253" t="s">
        <v>805</v>
      </c>
      <c r="AX92" s="253" t="s">
        <v>805</v>
      </c>
      <c r="AY92" s="253" t="s">
        <v>805</v>
      </c>
      <c r="AZ92" s="253" t="s">
        <v>805</v>
      </c>
      <c r="BA92" s="253" t="s">
        <v>805</v>
      </c>
      <c r="BB92" s="253" t="s">
        <v>805</v>
      </c>
      <c r="BC92" s="253" t="s">
        <v>805</v>
      </c>
      <c r="BD92" s="253" t="s">
        <v>805</v>
      </c>
      <c r="BE92" s="253" t="s">
        <v>805</v>
      </c>
      <c r="BF92" s="253" t="s">
        <v>805</v>
      </c>
      <c r="BG92" s="253" t="s">
        <v>805</v>
      </c>
      <c r="BH92" s="253" t="s">
        <v>805</v>
      </c>
      <c r="BI92" s="253" t="s">
        <v>805</v>
      </c>
      <c r="BJ92" s="253" t="s">
        <v>805</v>
      </c>
      <c r="BK92" s="253" t="s">
        <v>805</v>
      </c>
      <c r="BL92" s="253" t="s">
        <v>805</v>
      </c>
      <c r="BM92" s="253" t="s">
        <v>805</v>
      </c>
      <c r="BN92" s="253" t="s">
        <v>805</v>
      </c>
      <c r="BO92" s="253" t="s">
        <v>805</v>
      </c>
      <c r="BP92" s="253" t="s">
        <v>805</v>
      </c>
      <c r="BQ92" s="253" t="s">
        <v>805</v>
      </c>
      <c r="BR92" s="253" t="s">
        <v>805</v>
      </c>
      <c r="BS92" s="253" t="s">
        <v>805</v>
      </c>
      <c r="BT92" s="253" t="s">
        <v>805</v>
      </c>
      <c r="BU92" s="253" t="s">
        <v>805</v>
      </c>
      <c r="BV92" s="253" t="s">
        <v>805</v>
      </c>
      <c r="BW92" s="253" t="s">
        <v>805</v>
      </c>
      <c r="BX92" s="253" t="s">
        <v>805</v>
      </c>
      <c r="BY92" s="253" t="s">
        <v>805</v>
      </c>
      <c r="BZ92" s="253" t="s">
        <v>805</v>
      </c>
      <c r="CA92" s="253" t="s">
        <v>805</v>
      </c>
      <c r="CB92" s="253" t="s">
        <v>805</v>
      </c>
      <c r="CC92" s="253" t="s">
        <v>805</v>
      </c>
      <c r="CD92" s="253" t="s">
        <v>805</v>
      </c>
      <c r="CE92" s="253" t="s">
        <v>805</v>
      </c>
      <c r="CF92" s="253" t="s">
        <v>805</v>
      </c>
      <c r="CG92" s="253" t="s">
        <v>805</v>
      </c>
      <c r="CH92" s="253" t="s">
        <v>805</v>
      </c>
      <c r="CI92" s="253" t="s">
        <v>805</v>
      </c>
      <c r="CJ92" s="253" t="s">
        <v>805</v>
      </c>
      <c r="CK92" s="253" t="s">
        <v>805</v>
      </c>
      <c r="CL92" s="253" t="s">
        <v>805</v>
      </c>
      <c r="CM92" s="253" t="s">
        <v>805</v>
      </c>
      <c r="CN92" s="253" t="s">
        <v>805</v>
      </c>
      <c r="CO92" s="253" t="s">
        <v>805</v>
      </c>
      <c r="CP92" s="253" t="s">
        <v>805</v>
      </c>
      <c r="CQ92" s="253" t="s">
        <v>805</v>
      </c>
      <c r="CR92" s="253" t="s">
        <v>805</v>
      </c>
      <c r="CS92" s="253" t="s">
        <v>805</v>
      </c>
      <c r="CT92" s="253" t="s">
        <v>805</v>
      </c>
      <c r="CU92" s="253" t="s">
        <v>805</v>
      </c>
      <c r="CV92" s="253" t="s">
        <v>805</v>
      </c>
      <c r="CW92" s="253" t="s">
        <v>805</v>
      </c>
      <c r="CX92" s="253" t="s">
        <v>805</v>
      </c>
      <c r="CY92" s="253" t="s">
        <v>805</v>
      </c>
      <c r="CZ92" s="253" t="s">
        <v>805</v>
      </c>
      <c r="DA92" s="253" t="s">
        <v>805</v>
      </c>
      <c r="DB92" s="253" t="s">
        <v>805</v>
      </c>
      <c r="DC92" s="253" t="s">
        <v>805</v>
      </c>
      <c r="DD92" s="253" t="s">
        <v>805</v>
      </c>
      <c r="DE92" s="253" t="s">
        <v>805</v>
      </c>
      <c r="DF92" s="253" t="s">
        <v>805</v>
      </c>
      <c r="DG92" s="272"/>
      <c r="DH92" s="253"/>
      <c r="DI92" s="253"/>
      <c r="DJ92" s="253"/>
      <c r="DK92" s="253"/>
      <c r="DL92" s="253"/>
      <c r="DM92" s="253"/>
      <c r="DN92" s="272"/>
      <c r="DO92" s="253"/>
      <c r="DP92" s="253"/>
      <c r="DQ92" s="253"/>
      <c r="DR92" s="253"/>
      <c r="DS92" s="253"/>
      <c r="DT92" s="253"/>
      <c r="DU92" s="272"/>
      <c r="DV92" s="253"/>
      <c r="DW92" s="253"/>
      <c r="DX92" s="253"/>
      <c r="DY92" s="253"/>
      <c r="DZ92" s="253"/>
      <c r="EA92" s="253"/>
      <c r="EB92" s="272"/>
      <c r="EC92" s="253"/>
      <c r="ED92" s="253"/>
      <c r="EE92" s="253"/>
      <c r="EF92" s="253"/>
      <c r="EG92" s="253"/>
      <c r="EH92" s="253"/>
      <c r="EI92" s="253"/>
      <c r="EJ92" s="253"/>
      <c r="EK92" s="253"/>
      <c r="EL92" s="253"/>
      <c r="EM92" s="253"/>
      <c r="EN92" s="253"/>
      <c r="EO92" s="253"/>
      <c r="EP92" s="253"/>
      <c r="EQ92" s="253"/>
      <c r="ER92" s="253"/>
      <c r="ES92" s="253"/>
      <c r="ET92" s="253"/>
      <c r="EU92" s="253"/>
      <c r="EV92" s="253"/>
      <c r="EW92" s="253"/>
      <c r="EX92" s="253"/>
      <c r="EY92" s="253"/>
      <c r="EZ92" s="253"/>
      <c r="FA92" s="253"/>
      <c r="FB92" s="253"/>
      <c r="FC92" s="253"/>
      <c r="FD92" s="253"/>
      <c r="FE92" s="253"/>
      <c r="FF92" s="253"/>
      <c r="FG92" s="253"/>
      <c r="FH92" s="253"/>
      <c r="FI92" s="253"/>
      <c r="FJ92" s="253"/>
      <c r="FK92" s="253"/>
      <c r="FL92" s="253"/>
      <c r="FM92" s="253"/>
      <c r="FN92" s="253"/>
      <c r="FO92" s="253"/>
      <c r="FP92" s="253"/>
      <c r="FQ92" s="253"/>
      <c r="FR92" s="253"/>
      <c r="FS92" s="253"/>
      <c r="FT92" s="253"/>
      <c r="FU92" s="253"/>
      <c r="FV92" s="253"/>
      <c r="FW92" s="253"/>
      <c r="FX92" s="253"/>
      <c r="FY92" s="253"/>
      <c r="FZ92" s="253"/>
      <c r="GA92" s="253"/>
      <c r="GB92" s="253"/>
      <c r="GC92" s="253"/>
      <c r="GD92" s="253"/>
      <c r="GE92" s="253"/>
      <c r="GF92" s="253"/>
      <c r="GG92" s="253"/>
      <c r="GH92" s="253"/>
      <c r="GI92" s="253"/>
      <c r="GJ92" s="253"/>
      <c r="GK92" s="253"/>
      <c r="GL92" s="253"/>
      <c r="GM92" s="253"/>
      <c r="GN92" s="253"/>
      <c r="GO92" s="253"/>
      <c r="GP92" s="253"/>
      <c r="GQ92" s="253"/>
      <c r="GR92" s="253"/>
      <c r="GS92" s="253"/>
      <c r="GT92" s="253"/>
      <c r="GU92" s="253"/>
      <c r="GV92" s="253"/>
      <c r="GW92" s="253"/>
      <c r="GX92" s="253"/>
      <c r="GY92" s="253"/>
      <c r="GZ92" s="253"/>
      <c r="HA92" s="253"/>
      <c r="HB92" s="253"/>
      <c r="HC92" s="253"/>
      <c r="HD92" s="253"/>
      <c r="HE92" s="253"/>
      <c r="HF92" s="253"/>
      <c r="HG92" s="253"/>
      <c r="HH92" s="253"/>
      <c r="HI92" s="253"/>
      <c r="HJ92" s="253"/>
      <c r="HK92" s="253"/>
      <c r="HL92" s="253"/>
      <c r="HM92" s="253"/>
      <c r="HN92" s="253"/>
      <c r="HO92" s="253"/>
      <c r="HP92" s="253"/>
      <c r="HQ92" s="253"/>
      <c r="HR92" s="253"/>
      <c r="HS92" s="253"/>
      <c r="HT92" s="253"/>
      <c r="HU92" s="253"/>
      <c r="HV92" s="253"/>
      <c r="HW92" s="253"/>
      <c r="HX92" s="253"/>
      <c r="HY92" s="253"/>
      <c r="HZ92" s="253"/>
      <c r="IA92" s="253"/>
      <c r="IB92" s="253"/>
      <c r="IC92" s="253"/>
      <c r="ID92" s="253"/>
      <c r="IE92" s="253"/>
      <c r="IF92" s="253"/>
      <c r="IG92" s="326"/>
      <c r="IH92" s="286"/>
      <c r="II92" s="286"/>
      <c r="IJ92" s="286"/>
      <c r="IK92" s="286"/>
      <c r="IL92" s="286"/>
      <c r="IM92" s="326"/>
      <c r="IN92" s="286"/>
      <c r="IO92" s="286"/>
      <c r="IP92" s="286"/>
      <c r="IQ92" s="286"/>
      <c r="IR92" s="286"/>
      <c r="IS92" s="326"/>
      <c r="IT92" s="286"/>
      <c r="IU92" s="286"/>
      <c r="IV92" s="286"/>
      <c r="IW92" s="286"/>
      <c r="IX92" s="286"/>
      <c r="IY92" s="326"/>
      <c r="IZ92" s="286"/>
      <c r="JA92" s="286"/>
      <c r="JB92" s="286"/>
      <c r="JC92" s="286"/>
      <c r="JD92" s="327"/>
    </row>
    <row r="93" spans="1:276" hidden="1" x14ac:dyDescent="0.35">
      <c r="A93" s="125" t="s">
        <v>805</v>
      </c>
      <c r="B93" s="125" t="s">
        <v>805</v>
      </c>
      <c r="C93" s="125" t="s">
        <v>805</v>
      </c>
      <c r="E93" s="142" t="s">
        <v>825</v>
      </c>
      <c r="F93" s="254" t="s">
        <v>711</v>
      </c>
      <c r="G93" t="s">
        <v>540</v>
      </c>
      <c r="H93" t="s">
        <v>531</v>
      </c>
      <c r="I93" t="s">
        <v>534</v>
      </c>
      <c r="J93" s="211" t="s">
        <v>805</v>
      </c>
      <c r="K93" t="s">
        <v>805</v>
      </c>
      <c r="L93" t="s">
        <v>805</v>
      </c>
      <c r="M93" t="s">
        <v>805</v>
      </c>
      <c r="N93" t="s">
        <v>805</v>
      </c>
      <c r="O93" t="s">
        <v>805</v>
      </c>
      <c r="P93" t="s">
        <v>805</v>
      </c>
      <c r="Q93" t="s">
        <v>805</v>
      </c>
      <c r="R93" t="s">
        <v>805</v>
      </c>
      <c r="S93" t="s">
        <v>805</v>
      </c>
      <c r="T93" t="s">
        <v>805</v>
      </c>
      <c r="U93" t="s">
        <v>805</v>
      </c>
      <c r="V93" t="s">
        <v>805</v>
      </c>
      <c r="W93" t="s">
        <v>805</v>
      </c>
      <c r="X93" t="s">
        <v>805</v>
      </c>
      <c r="Y93" t="s">
        <v>805</v>
      </c>
      <c r="Z93" t="s">
        <v>805</v>
      </c>
      <c r="AA93" t="s">
        <v>805</v>
      </c>
      <c r="AB93" t="s">
        <v>805</v>
      </c>
      <c r="AC93" t="s">
        <v>805</v>
      </c>
      <c r="AD93" t="s">
        <v>805</v>
      </c>
      <c r="AE93" t="s">
        <v>805</v>
      </c>
      <c r="AF93" t="s">
        <v>805</v>
      </c>
      <c r="AG93" t="s">
        <v>805</v>
      </c>
      <c r="AH93" t="s">
        <v>805</v>
      </c>
      <c r="AI93" t="s">
        <v>805</v>
      </c>
      <c r="AJ93" t="s">
        <v>805</v>
      </c>
      <c r="AK93" t="s">
        <v>805</v>
      </c>
      <c r="AL93" t="s">
        <v>805</v>
      </c>
      <c r="AM93" t="s">
        <v>805</v>
      </c>
      <c r="AN93" t="s">
        <v>805</v>
      </c>
      <c r="AO93" t="s">
        <v>805</v>
      </c>
      <c r="AP93" t="s">
        <v>805</v>
      </c>
      <c r="AQ93" t="s">
        <v>805</v>
      </c>
      <c r="AR93" t="s">
        <v>805</v>
      </c>
      <c r="AS93" t="s">
        <v>805</v>
      </c>
      <c r="AT93" t="s">
        <v>805</v>
      </c>
      <c r="AU93" t="s">
        <v>805</v>
      </c>
      <c r="AV93" t="s">
        <v>805</v>
      </c>
      <c r="AW93" t="s">
        <v>805</v>
      </c>
      <c r="AX93" t="s">
        <v>805</v>
      </c>
      <c r="AY93" t="s">
        <v>805</v>
      </c>
      <c r="AZ93" t="s">
        <v>805</v>
      </c>
      <c r="BA93" t="s">
        <v>805</v>
      </c>
      <c r="BB93" t="s">
        <v>805</v>
      </c>
      <c r="BC93" t="s">
        <v>805</v>
      </c>
      <c r="BD93" t="s">
        <v>805</v>
      </c>
      <c r="BE93" t="s">
        <v>805</v>
      </c>
      <c r="BF93" t="s">
        <v>805</v>
      </c>
      <c r="BG93" t="s">
        <v>805</v>
      </c>
      <c r="BH93" t="s">
        <v>805</v>
      </c>
      <c r="BI93" t="s">
        <v>805</v>
      </c>
      <c r="BJ93" t="s">
        <v>805</v>
      </c>
      <c r="BK93" t="s">
        <v>805</v>
      </c>
      <c r="BL93" t="s">
        <v>805</v>
      </c>
      <c r="BM93" t="s">
        <v>805</v>
      </c>
      <c r="BN93" t="s">
        <v>805</v>
      </c>
      <c r="BO93" t="s">
        <v>805</v>
      </c>
      <c r="BP93" t="s">
        <v>805</v>
      </c>
      <c r="BQ93" t="s">
        <v>805</v>
      </c>
      <c r="BR93" t="s">
        <v>805</v>
      </c>
      <c r="BS93" t="s">
        <v>805</v>
      </c>
      <c r="BT93" t="s">
        <v>805</v>
      </c>
      <c r="BU93" t="s">
        <v>805</v>
      </c>
      <c r="BV93" t="s">
        <v>805</v>
      </c>
      <c r="BW93" t="s">
        <v>805</v>
      </c>
      <c r="BX93" t="s">
        <v>805</v>
      </c>
      <c r="BY93" t="s">
        <v>805</v>
      </c>
      <c r="BZ93" t="s">
        <v>805</v>
      </c>
      <c r="CA93" t="s">
        <v>805</v>
      </c>
      <c r="CB93" t="s">
        <v>805</v>
      </c>
      <c r="CC93" t="s">
        <v>805</v>
      </c>
      <c r="CD93" t="s">
        <v>805</v>
      </c>
      <c r="CE93" t="s">
        <v>805</v>
      </c>
      <c r="CF93" t="s">
        <v>805</v>
      </c>
      <c r="CG93" t="s">
        <v>805</v>
      </c>
      <c r="CH93" t="s">
        <v>805</v>
      </c>
      <c r="CI93" t="s">
        <v>805</v>
      </c>
      <c r="CJ93" t="s">
        <v>805</v>
      </c>
      <c r="CK93" t="s">
        <v>805</v>
      </c>
      <c r="CL93" t="s">
        <v>805</v>
      </c>
      <c r="CM93" t="s">
        <v>805</v>
      </c>
      <c r="CN93" t="s">
        <v>805</v>
      </c>
      <c r="CO93" t="s">
        <v>805</v>
      </c>
      <c r="CP93" t="s">
        <v>805</v>
      </c>
      <c r="CQ93" t="s">
        <v>805</v>
      </c>
      <c r="CR93" t="s">
        <v>805</v>
      </c>
      <c r="CS93" t="s">
        <v>805</v>
      </c>
      <c r="CT93" t="s">
        <v>805</v>
      </c>
      <c r="CU93" t="s">
        <v>805</v>
      </c>
      <c r="CV93" t="s">
        <v>805</v>
      </c>
      <c r="CW93" t="s">
        <v>805</v>
      </c>
      <c r="CX93" t="s">
        <v>805</v>
      </c>
      <c r="CY93" t="s">
        <v>805</v>
      </c>
      <c r="CZ93" t="s">
        <v>805</v>
      </c>
      <c r="DA93" t="s">
        <v>805</v>
      </c>
      <c r="DB93" t="s">
        <v>805</v>
      </c>
      <c r="DC93" t="s">
        <v>805</v>
      </c>
      <c r="DD93" t="s">
        <v>805</v>
      </c>
      <c r="DE93" t="s">
        <v>805</v>
      </c>
      <c r="DF93" t="s">
        <v>805</v>
      </c>
      <c r="DG93" s="28">
        <f>VLOOKUP(E93,'KPI Count-SHARE'!A:F,3,0)</f>
        <v>0</v>
      </c>
      <c r="DH93" t="s">
        <v>805</v>
      </c>
      <c r="DI93" t="s">
        <v>805</v>
      </c>
      <c r="DJ93" t="s">
        <v>805</v>
      </c>
      <c r="DK93" t="s">
        <v>805</v>
      </c>
      <c r="DL93" t="s">
        <v>805</v>
      </c>
      <c r="DM93" t="s">
        <v>805</v>
      </c>
      <c r="DN93" s="28">
        <f>VLOOKUP(E93,'KPI Count-SHARE'!A:F,4,0)</f>
        <v>0</v>
      </c>
      <c r="DU93" s="28">
        <f>VLOOKUP(E93,'KPI Count-SHARE'!A:F,5,0)</f>
        <v>0</v>
      </c>
      <c r="EB93" s="28">
        <f>VLOOKUP(E93,'KPI Count-SHARE'!A:F,6,0)</f>
        <v>0</v>
      </c>
      <c r="EI93" t="s">
        <v>531</v>
      </c>
      <c r="EJ93" s="237" t="str">
        <f t="shared" ref="EJ93:EJ106" si="654">IFERROR(IF(ISBLANK(J93), "-", IF(OR($I93="c",$I93="r"), J93*$I$5, J93)),"-")</f>
        <v/>
      </c>
      <c r="EK93" s="237" t="str">
        <f t="shared" ref="EK93:EK106" si="655">IFERROR(IF(ISBLANK(K93), "-", IF($I93="c", K93*$I$5, K93)),"-")</f>
        <v/>
      </c>
      <c r="EL93" s="237" t="str">
        <f t="shared" ref="EL93:EL106" si="656">IFERROR(IF(ISBLANK(L93), "-", IF($I93="c", L93*$I$5, L93)),"-")</f>
        <v/>
      </c>
      <c r="EM93" s="237" t="str">
        <f t="shared" ref="EM93:EM106" si="657">IFERROR(IF(ISBLANK(M93), "-", IF($I93="c", M93*$I$5,M93)),"-")</f>
        <v/>
      </c>
      <c r="EN93" s="237" t="str">
        <f t="shared" ref="EN93:EN106" si="658">IFERROR(IF(ISBLANK(N93), "-", IF($I93="c", N93*$I$5, N93)),"-")</f>
        <v/>
      </c>
      <c r="EO93" s="237" t="str">
        <f t="shared" ref="EO93:EO106" si="659">IFERROR(IF(ISBLANK(O93), "-", IF($I93="c", O93*$I$5,O93)),"-")</f>
        <v/>
      </c>
      <c r="EP93" s="237" t="str">
        <f t="shared" ref="EP93:EP106" si="660">IFERROR(IF(ISBLANK(P93), "-", IF($I93="c", P93*$I$5, P93)),"-")</f>
        <v/>
      </c>
      <c r="EQ93" s="237" t="str">
        <f t="shared" ref="EQ93:EQ106" si="661">IFERROR(IF(ISBLANK(Q93), "-", IF($I93="c", Q93*$I$5, Q93)),"-")</f>
        <v/>
      </c>
      <c r="ER93" s="237" t="str">
        <f t="shared" ref="ER93:ER106" si="662">IFERROR(IF(ISBLANK(R93), "-", IF($I93="c", R93*$I$5, R93)),"-")</f>
        <v/>
      </c>
      <c r="ES93" s="237" t="str">
        <f t="shared" ref="ES93:ES106" si="663">IFERROR(IF(ISBLANK(S93), "-", IF($I93="c", S93*$I$5, S93)),"-")</f>
        <v/>
      </c>
      <c r="ET93" s="237" t="str">
        <f t="shared" ref="ET93:ET106" si="664">IFERROR(IF(ISBLANK(T93), "-", IF($I93="c", T93*$I$5, T93)),"-")</f>
        <v/>
      </c>
      <c r="EU93" s="237" t="str">
        <f t="shared" ref="EU93:EU106" si="665">IFERROR(IF(ISBLANK(U93), "-", IF($I93="c", U93*$I$5, U93)),"-")</f>
        <v/>
      </c>
      <c r="EV93" s="237" t="str">
        <f t="shared" ref="EV93:EV106" si="666">IFERROR(IF(ISBLANK(V93), "-", IF($I93="c", V93*$I$5, V93)),"-")</f>
        <v/>
      </c>
      <c r="EW93" s="237" t="str">
        <f t="shared" ref="EW93:EW106" si="667">IFERROR(IF(ISBLANK(W93), "-", IF($I93="c", W93*$I$5, W93)),"-")</f>
        <v/>
      </c>
      <c r="EX93" s="237" t="str">
        <f t="shared" ref="EX93:EX106" si="668">IFERROR(IF(ISBLANK(X93), "-", IF($I93="c", X93*$I$5, X93)),"-")</f>
        <v/>
      </c>
      <c r="EY93" s="237" t="str">
        <f t="shared" ref="EY93:EY106" si="669">IFERROR(IF(ISBLANK(Y93), "-", IF($I93="c", Y93*$I$5, Y93)),"-")</f>
        <v/>
      </c>
      <c r="EZ93" s="237" t="str">
        <f t="shared" ref="EZ93:EZ106" si="670">IFERROR(IF(ISBLANK(Z93), "-", IF($I93="c", Z93*$I$5, Z93)),"-")</f>
        <v/>
      </c>
      <c r="FA93" s="237" t="str">
        <f t="shared" ref="FA93:FA106" si="671">IFERROR(IF(ISBLANK(AA93), "-", IF($I93="c", AA93*$I$5, AA93)),"-")</f>
        <v/>
      </c>
      <c r="FB93" s="237" t="str">
        <f t="shared" ref="FB93:FB106" si="672">IFERROR(IF(ISBLANK(AB93), "-", IF($I93="c", AB93*$I$5, AB93)),"-")</f>
        <v/>
      </c>
      <c r="FC93" s="237" t="str">
        <f t="shared" ref="FC93:FC106" si="673">IFERROR(IF(ISBLANK(AC93), "-", IF($I93="c", AC93*$I$5, AC93)),"-")</f>
        <v/>
      </c>
      <c r="FD93" s="237" t="str">
        <f t="shared" ref="FD93:FD106" si="674">IFERROR(IF(ISBLANK(AD93), "-", IF($I93="c", AD93*$I$5, AD93)),"-")</f>
        <v/>
      </c>
      <c r="FE93" s="237" t="str">
        <f t="shared" ref="FE93:FE106" si="675">IFERROR(IF(ISBLANK(AE93), "-", IF($I93="c", AE93*$I$5, AE93)),"-")</f>
        <v/>
      </c>
      <c r="FF93" s="237" t="str">
        <f t="shared" ref="FF93:FF106" si="676">IFERROR(IF(ISBLANK(AF93), "-", IF($I93="c", AF93*$I$5, AF93)),"-")</f>
        <v/>
      </c>
      <c r="FG93" s="237" t="str">
        <f t="shared" ref="FG93:FG106" si="677">IFERROR(IF(ISBLANK(AG93), "-", IF($I93="c", AG93*$I$5, AG93)),"-")</f>
        <v/>
      </c>
      <c r="FH93" s="237" t="str">
        <f t="shared" ref="FH93:FH106" si="678">IFERROR(IF(ISBLANK(AH93), "-", IF($I93="c", AH93*$I$5, AH93)),"-")</f>
        <v/>
      </c>
      <c r="FI93" s="237" t="str">
        <f t="shared" ref="FI93:FI106" si="679">IFERROR(IF(ISBLANK(AI93), "-", IF($I93="c", AI93*$I$5, AI93)),"-")</f>
        <v/>
      </c>
      <c r="FJ93" s="237" t="str">
        <f t="shared" ref="FJ93:FJ106" si="680">IFERROR(IF(ISBLANK(AJ93), "-", IF($I93="c", AJ93*$I$5, AJ93)),"-")</f>
        <v/>
      </c>
      <c r="FK93" s="237" t="str">
        <f t="shared" ref="FK93:FK106" si="681">IFERROR(IF(ISBLANK(AK93), "-", IF($I93="c", AK93*$I$5, AK93)),"-")</f>
        <v/>
      </c>
      <c r="FL93" s="237" t="str">
        <f t="shared" ref="FL93:FL106" si="682">IFERROR(IF(ISBLANK(AL93), "-", IF($I93="c", AL93*$I$5, AL93)),"-")</f>
        <v/>
      </c>
      <c r="FM93" s="237" t="str">
        <f t="shared" ref="FM93:FM106" si="683">IFERROR(IF(ISBLANK(AM93), "-", IF($I93="c", AM93*$I$5, AM93)),"-")</f>
        <v/>
      </c>
      <c r="FN93" s="237" t="str">
        <f t="shared" ref="FN93:FN106" si="684">IFERROR(IF(ISBLANK(AN93), "-", IF($I93="c", AN93*$I$5, AN93)),"-")</f>
        <v/>
      </c>
      <c r="FO93" s="237" t="str">
        <f t="shared" ref="FO93:FO106" si="685">IFERROR(IF(ISBLANK(AO93), "-", IF($I93="c", AO93*$I$5, AO93)),"-")</f>
        <v/>
      </c>
      <c r="FP93" s="237" t="str">
        <f t="shared" ref="FP93:FP106" si="686">IFERROR(IF(ISBLANK(AP93), "-", IF($I93="c", AP93*$I$5, AP93)),"-")</f>
        <v/>
      </c>
      <c r="FQ93" s="237" t="str">
        <f t="shared" ref="FQ93:FQ106" si="687">IFERROR(IF(ISBLANK(AQ93), "-", IF($I93="c", AQ93*$I$5, AQ93)),"-")</f>
        <v/>
      </c>
      <c r="FR93" s="237" t="str">
        <f t="shared" ref="FR93:FR106" si="688">IFERROR(IF(ISBLANK(AR93), "-", IF($I93="c", AR93*$I$5, AR93)),"-")</f>
        <v/>
      </c>
      <c r="FS93" s="237" t="str">
        <f t="shared" ref="FS93:FS106" si="689">IFERROR(IF(ISBLANK(AS93), "-", IF($I93="c", AS93*$I$5, AS93)),"-")</f>
        <v/>
      </c>
      <c r="FT93" s="237" t="str">
        <f t="shared" ref="FT93:FT106" si="690">IFERROR(IF(ISBLANK(AT93), "-", IF($I93="c", AT93*$I$5, AT93)),"-")</f>
        <v/>
      </c>
      <c r="FU93" s="237" t="str">
        <f t="shared" ref="FU93:FU106" si="691">IFERROR(IF(ISBLANK(AU93), "-", IF($I93="c", AU93*$I$5, AU93)),"-")</f>
        <v/>
      </c>
      <c r="FV93" s="237" t="str">
        <f t="shared" ref="FV93:FV106" si="692">IFERROR(IF(ISBLANK(AV93), "-", IF($I93="c", AV93*$I$5, AV93)),"-")</f>
        <v/>
      </c>
      <c r="FW93" s="237" t="str">
        <f t="shared" ref="FW93:FW106" si="693">IFERROR(IF(ISBLANK(AW93), "-", IF($I93="c", AW93*$I$5, AW93)),"-")</f>
        <v/>
      </c>
      <c r="FX93" s="237" t="str">
        <f t="shared" ref="FX93:FX106" si="694">IFERROR(IF(ISBLANK(AX93), "-", IF($I93="c", AX93*$I$5, AX93)),"-")</f>
        <v/>
      </c>
      <c r="FY93" s="237" t="str">
        <f t="shared" ref="FY93:FY106" si="695">IFERROR(IF(ISBLANK(AY93), "-", IF($I93="c", AY93*$I$5, AY93)),"-")</f>
        <v/>
      </c>
      <c r="FZ93" s="237" t="str">
        <f t="shared" ref="FZ93:FZ106" si="696">IFERROR(IF(ISBLANK(AZ93), "-", IF($I93="c", AZ93*$I$5, AZ93)),"-")</f>
        <v/>
      </c>
      <c r="GA93" s="237" t="str">
        <f t="shared" ref="GA93:GA106" si="697">IFERROR(IF(ISBLANK(BA93), "-", IF($I93="c", BA93*$I$5, BA93)),"-")</f>
        <v/>
      </c>
      <c r="GB93" s="237" t="str">
        <f t="shared" ref="GB93:GB106" si="698">IFERROR(IF(ISBLANK(BB93), "-", IF($I93="c", BB93*$I$5, BB93)),"-")</f>
        <v/>
      </c>
      <c r="GC93" s="237" t="str">
        <f t="shared" ref="GC93:GC106" si="699">IFERROR(IF(ISBLANK(BC93), "-", IF($I93="c", BC93*$I$5, BC93)),"-")</f>
        <v/>
      </c>
      <c r="GD93" s="237" t="str">
        <f t="shared" ref="GD93:GD106" si="700">IFERROR(IF(ISBLANK(BD93), "-", IF($I93="c", BD93*$I$5, BD93)),"-")</f>
        <v/>
      </c>
      <c r="GE93" s="237" t="str">
        <f t="shared" ref="GE93:GE106" si="701">IFERROR(IF(ISBLANK(BE93), "-", IF($I93="c", BE93*$I$5, BE93)),"-")</f>
        <v/>
      </c>
      <c r="GF93" s="237" t="str">
        <f t="shared" ref="GF93:GF106" si="702">IFERROR(IF(ISBLANK(BF93), "-", IF($I93="c", BF93*$I$5, BF93)),"-")</f>
        <v/>
      </c>
      <c r="GG93" s="237" t="str">
        <f t="shared" ref="GG93:GG106" si="703">IFERROR(IF(ISBLANK(BG93), "-", IF($I93="c", BG93*$I$5, BG93)),"-")</f>
        <v/>
      </c>
      <c r="GH93" s="237" t="str">
        <f t="shared" ref="GH93:GH106" si="704">IFERROR(IF(ISBLANK(BH93), "-", IF($I93="c", BH93*$I$5, BH93)),"-")</f>
        <v/>
      </c>
      <c r="GI93" s="237" t="str">
        <f t="shared" ref="GI93:GI106" si="705">IFERROR(IF(ISBLANK(BI93), "-", IF($I93="c", BI93*$I$5, BI93)),"-")</f>
        <v/>
      </c>
      <c r="GJ93" s="237" t="str">
        <f t="shared" ref="GJ93:GJ106" si="706">IFERROR(IF(ISBLANK(BJ93), "-", IF($I93="c", BJ93*$I$5, BJ93)),"-")</f>
        <v/>
      </c>
      <c r="GK93" s="237" t="str">
        <f t="shared" ref="GK93:GK106" si="707">IFERROR(IF(ISBLANK(BK93), "-", IF($I93="c", BK93*$I$5, BK93)),"-")</f>
        <v/>
      </c>
      <c r="GL93" s="237" t="str">
        <f t="shared" ref="GL93:GL106" si="708">IFERROR(IF(ISBLANK(BL93), "-", IF($I93="c", BL93*$I$5, BL93)),"-")</f>
        <v/>
      </c>
      <c r="GM93" s="237" t="str">
        <f t="shared" ref="GM93:GM106" si="709">IFERROR(IF(ISBLANK(BM93), "-", IF($I93="c", BM93*$I$5, BM93)),"-")</f>
        <v/>
      </c>
      <c r="GN93" s="237" t="str">
        <f t="shared" ref="GN93:GN106" si="710">IFERROR(IF(ISBLANK(BN93), "-", IF($I93="c", BN93*$I$5, BN93)),"-")</f>
        <v/>
      </c>
      <c r="GO93" s="237" t="str">
        <f t="shared" ref="GO93:GO106" si="711">IFERROR(IF(ISBLANK(BO93), "-", IF($I93="c", BO93*$I$5, BO93)),"-")</f>
        <v/>
      </c>
      <c r="GP93" s="237" t="str">
        <f t="shared" ref="GP93:GP106" si="712">IFERROR(IF(ISBLANK(BP93), "-", IF($I93="c", BP93*$I$5, BP93)),"-")</f>
        <v/>
      </c>
      <c r="GQ93" s="237" t="str">
        <f t="shared" ref="GQ93:GQ106" si="713">IFERROR(IF(ISBLANK(BQ93), "-", IF($I93="c", BQ93*$I$5, BQ93)),"-")</f>
        <v/>
      </c>
      <c r="GR93" s="237" t="str">
        <f t="shared" ref="GR93:GR106" si="714">IFERROR(IF(ISBLANK(BR93), "-", IF($I93="c", BR93*$I$5, BR93)),"-")</f>
        <v/>
      </c>
      <c r="GS93" s="237" t="str">
        <f t="shared" ref="GS93:GS106" si="715">IFERROR(IF(ISBLANK(BS93), "-", IF($I93="c", BS93*$I$5, BS93)),"-")</f>
        <v/>
      </c>
      <c r="GT93" s="237" t="str">
        <f t="shared" ref="GT93:GT106" si="716">IFERROR(IF(ISBLANK(BT93), "-", IF($I93="c", BT93*$I$5, BT93)),"-")</f>
        <v/>
      </c>
      <c r="GU93" s="237" t="str">
        <f t="shared" ref="GU93:GU106" si="717">IFERROR(IF(ISBLANK(BU93), "-", IF($I93="c", BU93*$I$5, BU93)),"-")</f>
        <v/>
      </c>
      <c r="GV93" s="237" t="str">
        <f t="shared" ref="GV93:GV106" si="718">IFERROR(IF(ISBLANK(BV93), "-", IF($I93="c", BV93*$I$5, BV93)),"-")</f>
        <v/>
      </c>
      <c r="GW93" s="237" t="str">
        <f t="shared" ref="GW93:GW106" si="719">IFERROR(IF(ISBLANK(BW93), "-", IF($I93="c", BW93*$I$5, BW93)),"-")</f>
        <v/>
      </c>
      <c r="GX93" s="237" t="str">
        <f t="shared" ref="GX93:GX106" si="720">IFERROR(IF(ISBLANK(BX93), "-", IF($I93="c", BX93*$I$5, BX93)),"-")</f>
        <v/>
      </c>
      <c r="GY93" s="237" t="str">
        <f t="shared" ref="GY93:GY106" si="721">IFERROR(IF(ISBLANK(BY93), "-", IF($I93="c", BY93*$I$5, BY93)),"-")</f>
        <v/>
      </c>
      <c r="GZ93" s="237" t="str">
        <f t="shared" ref="GZ93:GZ106" si="722">IFERROR(IF(ISBLANK(BZ93), "-", IF($I93="c", BZ93*$I$5, BZ93)),"-")</f>
        <v/>
      </c>
      <c r="HA93" s="237" t="str">
        <f t="shared" ref="HA93:HA106" si="723">IFERROR(IF(ISBLANK(CA93), "-", IF($I93="c", CA93*$I$5, CA93)),"-")</f>
        <v/>
      </c>
      <c r="HB93" s="237" t="str">
        <f t="shared" ref="HB93:HB106" si="724">IFERROR(IF(ISBLANK(CB93), "-", IF($I93="c", CB93*$I$5, CB93)),"-")</f>
        <v/>
      </c>
      <c r="HC93" s="237" t="str">
        <f t="shared" ref="HC93:HC106" si="725">IFERROR(IF(ISBLANK(CC93), "-", IF($I93="c", CC93*$I$5, CC93)),"-")</f>
        <v/>
      </c>
      <c r="HD93" s="237" t="str">
        <f t="shared" ref="HD93:HD106" si="726">IFERROR(IF(ISBLANK(CD93), "-", IF($I93="c", CD93*$I$5, CD93)),"-")</f>
        <v/>
      </c>
      <c r="HE93" s="237" t="str">
        <f t="shared" ref="HE93:HE106" si="727">IFERROR(IF(ISBLANK(CE93), "-", IF($I93="c", CE93*$I$5, CE93)),"-")</f>
        <v/>
      </c>
      <c r="HF93" s="237" t="str">
        <f t="shared" ref="HF93:HF106" si="728">IFERROR(IF(ISBLANK(CF93), "-", IF($I93="c", CF93*$I$5, CF93)),"-")</f>
        <v/>
      </c>
      <c r="HG93" s="237" t="str">
        <f t="shared" ref="HG93:HG106" si="729">IFERROR(IF(ISBLANK(CG93), "-", IF($I93="c", CG93*$I$5, CG93)),"-")</f>
        <v/>
      </c>
      <c r="HH93" s="237" t="str">
        <f t="shared" ref="HH93:HH106" si="730">IFERROR(IF(ISBLANK(CH93), "-", IF($I93="c", CH93*$I$5, CH93)),"-")</f>
        <v/>
      </c>
      <c r="HI93" s="237" t="str">
        <f t="shared" ref="HI93:HI106" si="731">IFERROR(IF(ISBLANK(CI93), "-", IF($I93="c", CI93*$I$5, CI93)),"-")</f>
        <v/>
      </c>
      <c r="HJ93" s="237" t="str">
        <f t="shared" ref="HJ93:HJ106" si="732">IFERROR(IF(ISBLANK(CJ93), "-", IF($I93="c", CJ93*$I$5, CJ93)),"-")</f>
        <v/>
      </c>
      <c r="HK93" s="237" t="str">
        <f t="shared" ref="HK93:HK106" si="733">IFERROR(IF(ISBLANK(CK93), "-", IF($I93="c", CK93*$I$5, CK93)),"-")</f>
        <v/>
      </c>
      <c r="HL93" s="237" t="str">
        <f t="shared" ref="HL93:HL106" si="734">IFERROR(IF(ISBLANK(CL93), "-", IF($I93="c", CL93*$I$5, CL93)),"-")</f>
        <v/>
      </c>
      <c r="HM93" s="237" t="str">
        <f t="shared" ref="HM93:HM106" si="735">IFERROR(IF(ISBLANK(CM93), "-", IF($I93="c", CM93*$I$5, CM93)),"-")</f>
        <v/>
      </c>
      <c r="HN93" s="237" t="str">
        <f t="shared" ref="HN93:HN106" si="736">IFERROR(IF(ISBLANK(CN93), "-", IF($I93="c", CN93*$I$5, CN93)),"-")</f>
        <v/>
      </c>
      <c r="HO93" s="237" t="str">
        <f t="shared" ref="HO93:HO106" si="737">IFERROR(IF(ISBLANK(CO93), "-", IF($I93="c", CO93*$I$5, CO93)),"-")</f>
        <v/>
      </c>
      <c r="HP93" s="237" t="str">
        <f t="shared" ref="HP93:HP106" si="738">IFERROR(IF(ISBLANK(CP93), "-", IF($I93="c", CP93*$I$5, CP93)),"-")</f>
        <v/>
      </c>
      <c r="HQ93" s="237" t="str">
        <f t="shared" ref="HQ93:HQ106" si="739">IFERROR(IF(ISBLANK(CQ93), "-", IF($I93="c", CQ93*$I$5, CQ93)),"-")</f>
        <v/>
      </c>
      <c r="HR93" s="237" t="str">
        <f t="shared" ref="HR93:HR106" si="740">IFERROR(IF(ISBLANK(CR93), "-", IF($I93="c", CR93*$I$5, CR93)),"-")</f>
        <v/>
      </c>
      <c r="HS93" s="237" t="str">
        <f t="shared" ref="HS93:HS106" si="741">IFERROR(IF(ISBLANK(CS93), "-", IF($I93="c", CS93*$I$5, CS93)),"-")</f>
        <v/>
      </c>
      <c r="HT93" s="237" t="str">
        <f t="shared" ref="HT93:HT106" si="742">IFERROR(IF(ISBLANK(CT93), "-", IF($I93="c", CT93*$I$5, CT93)),"-")</f>
        <v/>
      </c>
      <c r="HU93" s="237" t="str">
        <f t="shared" ref="HU93:HU106" si="743">IFERROR(IF(ISBLANK(CU93), "-", IF($I93="c", CU93*$I$5, CU93)),"-")</f>
        <v/>
      </c>
      <c r="HV93" s="237" t="str">
        <f t="shared" ref="HV93:HV106" si="744">IFERROR(IF(ISBLANK(CV93), "-", IF($I93="c", CV93*$I$5, CV93)),"-")</f>
        <v/>
      </c>
      <c r="HW93" s="237" t="str">
        <f t="shared" ref="HW93:HW106" si="745">IFERROR(IF(ISBLANK(CW93), "-", IF($I93="c", CW93*$I$5, CW93)),"-")</f>
        <v/>
      </c>
      <c r="HX93" s="237" t="str">
        <f t="shared" ref="HX93:HX106" si="746">IFERROR(IF(ISBLANK(CX93), "-", IF($I93="c", CX93*$I$5, CX93)),"-")</f>
        <v/>
      </c>
      <c r="HY93" s="237" t="str">
        <f t="shared" ref="HY93:HY106" si="747">IFERROR(IF(ISBLANK(CY93), "-", IF($I93="c", CY93*$I$5, CY93)),"-")</f>
        <v/>
      </c>
      <c r="HZ93" s="237" t="str">
        <f t="shared" ref="HZ93:HZ106" si="748">IFERROR(IF(ISBLANK(CZ93), "-", IF($I93="c", CZ93*$I$5, CZ93)),"-")</f>
        <v/>
      </c>
      <c r="IA93" s="237" t="str">
        <f t="shared" ref="IA93:IA106" si="749">IFERROR(IF(ISBLANK(DA93), "-", IF($I93="c", DA93*$I$5, DA93)),"-")</f>
        <v/>
      </c>
      <c r="IB93" s="237" t="str">
        <f t="shared" ref="IB93:IB106" si="750">IFERROR(IF(ISBLANK(DB93), "-", IF($I93="c", DB93*$I$5, DB93)),"-")</f>
        <v/>
      </c>
      <c r="IC93" s="237" t="str">
        <f t="shared" ref="IC93:IC106" si="751">IFERROR(IF(ISBLANK(DC93), "-", IF($I93="c", DC93*$I$5, DC93)),"-")</f>
        <v/>
      </c>
      <c r="ID93" s="237" t="str">
        <f t="shared" ref="ID93:ID106" si="752">IFERROR(IF(ISBLANK(DD93), "-", IF($I93="c", DD93*$I$5, DD93)),"-")</f>
        <v/>
      </c>
      <c r="IE93" s="237" t="str">
        <f t="shared" ref="IE93:IE106" si="753">IFERROR(IF(ISBLANK(DE93), "-", IF($I93="c", DE93*$I$5, DE93)),"-")</f>
        <v/>
      </c>
      <c r="IF93" s="237" t="str">
        <f t="shared" ref="IF93:IF106" si="754">IFERROR(IF(ISBLANK(DF93), "-", IF($I93="c", DF93*$I$5, DF93)),"-")</f>
        <v/>
      </c>
      <c r="IG93" s="312" t="str">
        <f t="shared" ref="IG93:IG106" si="755">IFERROR(IF(ISBLANK(DH93), "-", IF($I93="c", DH93*$I$5, DH93)),"-")</f>
        <v/>
      </c>
      <c r="IH93" s="99" t="str">
        <f t="shared" ref="IH93:IH106" si="756">IFERROR(IF(ISBLANK(DI93), "-", IF($I93="c", DI93*$I$5, DI93)),"-")</f>
        <v/>
      </c>
      <c r="II93" s="99" t="str">
        <f t="shared" ref="II93:II106" si="757">IFERROR(IF(ISBLANK(DJ93), "-", IF($I93="c", DJ93*$I$5, DJ93)),"-")</f>
        <v/>
      </c>
      <c r="IJ93" s="99" t="str">
        <f t="shared" ref="IJ93:IJ106" si="758">IFERROR(IF(ISBLANK(DK93), "-", IF($I93="c", DK93*$I$5, DK93)),"-")</f>
        <v/>
      </c>
      <c r="IK93" s="99" t="str">
        <f t="shared" ref="IK93:IK106" si="759">IFERROR(IF(ISBLANK(DL93), "-", IF($I93="c", DL93*$I$5, DL93)),"-")</f>
        <v/>
      </c>
      <c r="IL93" s="99" t="str">
        <f t="shared" ref="IL93:IL106" si="760">IFERROR(IF(ISBLANK(DM93), "-", IF($I93="c", DM93*$I$5, DM93)),"-")</f>
        <v/>
      </c>
      <c r="IM93" s="312" t="str">
        <f t="shared" ref="IM93:IM106" si="761">IFERROR(IF(ISBLANK(DO93), "", IF($I93="c",DO93*$I$5, DO93)),"-")</f>
        <v/>
      </c>
      <c r="IN93" s="99" t="str">
        <f t="shared" ref="IN93:IN106" si="762">IFERROR(IF(ISBLANK(DP93), "", IF($I93="c",DP93*$I$5, DP93)),"-")</f>
        <v/>
      </c>
      <c r="IO93" s="99" t="str">
        <f t="shared" ref="IO93:IO106" si="763">IFERROR(IF(ISBLANK(DQ93), "", IF($I93="c",DQ93*$I$5, DQ93)),"-")</f>
        <v/>
      </c>
      <c r="IP93" s="99" t="str">
        <f t="shared" ref="IP93:IP106" si="764">IFERROR(IF(ISBLANK(DR93), "", IF($I93="c",DR93*$I$5, DR93)),"-")</f>
        <v/>
      </c>
      <c r="IQ93" s="99" t="str">
        <f t="shared" ref="IQ93:IQ106" si="765">IFERROR(IF(ISBLANK(DS93), "", IF($I93="c",DS93*$I$5, DS93)),"-")</f>
        <v/>
      </c>
      <c r="IR93" s="99" t="str">
        <f t="shared" ref="IR93:IR106" si="766">IFERROR(IF(ISBLANK(DT93), "", IF($I93="c",DT93*$I$5, DT93)),"-")</f>
        <v/>
      </c>
      <c r="IS93" s="312" t="str">
        <f t="shared" ref="IS93:IS106" si="767">IFERROR(IF(ISBLANK(DV93), "", IF($I93="c", DV93*$I$5, DV93)),"-")</f>
        <v/>
      </c>
      <c r="IT93" s="99" t="str">
        <f t="shared" ref="IT93:IT106" si="768">IFERROR(IF(ISBLANK(DW93), "", IF($I93="c", DW93*$I$5, DW93)),"-")</f>
        <v/>
      </c>
      <c r="IU93" s="99" t="str">
        <f t="shared" ref="IU93:IU106" si="769">IFERROR(IF(ISBLANK(DX93), "", IF($I93="c", DX93*$I$5, DX93)),"-")</f>
        <v/>
      </c>
      <c r="IV93" s="99" t="str">
        <f t="shared" ref="IV93:IV106" si="770">IFERROR(IF(ISBLANK(DY93), "", IF($I93="c", DY93*$I$5, DY93)),"-")</f>
        <v/>
      </c>
      <c r="IW93" s="99" t="str">
        <f t="shared" ref="IW93:IW106" si="771">IFERROR(IF(ISBLANK(DZ93), "", IF($I93="c", DZ93*$I$5, DZ93)),"-")</f>
        <v/>
      </c>
      <c r="IX93" s="99" t="str">
        <f t="shared" ref="IX93:IX106" si="772">IFERROR(IF(ISBLANK(EA93), "", IF($I93="c", EA93*$I$5, EA93)),"-")</f>
        <v/>
      </c>
      <c r="IY93" s="312" t="str">
        <f t="shared" ref="IY93:IY106" si="773">IFERROR(IF(ISBLANK(EC93), "", IF($I93="c", EC93*$I$5, EC93)),"-")</f>
        <v/>
      </c>
      <c r="IZ93" s="99" t="str">
        <f t="shared" ref="IZ93:IZ106" si="774">IFERROR(IF(ISBLANK(ED93), "", IF($I93="c", ED93*$I$5, ED93)),"-")</f>
        <v/>
      </c>
      <c r="JA93" s="99" t="str">
        <f t="shared" ref="JA93:JA106" si="775">IFERROR(IF(ISBLANK(EE93), "", IF($I93="c", EE93*$I$5, EE93)),"-")</f>
        <v/>
      </c>
      <c r="JB93" s="99" t="str">
        <f t="shared" ref="JB93:JB106" si="776">IFERROR(IF(ISBLANK(EF93), "", IF($I93="c", EF93*$I$5, EF93)),"-")</f>
        <v/>
      </c>
      <c r="JC93" s="99" t="str">
        <f t="shared" ref="JC93:JC106" si="777">IFERROR(IF(ISBLANK(EG93), "", IF($I93="c", EG93*$I$5, EG93)),"-")</f>
        <v/>
      </c>
      <c r="JD93" s="313" t="str">
        <f t="shared" ref="JD93:JD106" si="778">IFERROR(IF(ISBLANK(EH93), "", IF($I93="c", EH93*$I$5, EH93)),"-")</f>
        <v/>
      </c>
      <c r="JF93" s="66">
        <f t="shared" ref="JF93:JF156" si="779">ROW(F93)</f>
        <v>93</v>
      </c>
      <c r="JG93" s="66">
        <f t="shared" ref="JG93" ca="1" si="780">SUM(INDIRECT(VLOOKUP($JH$4,XPEERCOLUMNS,2,0) &amp; JF93 &amp; ":" &amp; VLOOKUP($JH$4,XPEERCOLUMNS,2,0) &amp; JF93))</f>
        <v>0</v>
      </c>
      <c r="JH93" s="66">
        <f t="shared" ref="JH93" ca="1" si="781">SUM(INDIRECT(VLOOKUP($JH$4,XPEERCOLUMNS,3,0) &amp; JF93 &amp; ":" &amp; VLOOKUP($JH$4,XPEERCOLUMNS,3,0) &amp; JF93))</f>
        <v>0</v>
      </c>
      <c r="JI93" s="66">
        <f t="shared" ref="JI93" ca="1" si="782">SUM(INDIRECT(VLOOKUP($JH$4,XPEERCOLUMNS,4,0) &amp; JF93 &amp; ":" &amp; VLOOKUP($JH$4,XPEERCOLUMNS,4,0) &amp; JF93))</f>
        <v>0</v>
      </c>
      <c r="JJ93" s="66">
        <f t="shared" ref="JJ93" ca="1" si="783">SUM(INDIRECT(VLOOKUP($JH$4,XPEERCOLUMNS,5,0) &amp; JF93 &amp; ":" &amp; VLOOKUP($JH$4,XPEERCOLUMNS,5,0) &amp; JF93))</f>
        <v>0</v>
      </c>
      <c r="JK93" s="33"/>
      <c r="JL93" s="74" t="str">
        <f t="shared" ref="JL93" ca="1" si="784">IF(JG93=0,"-",JG93)</f>
        <v>-</v>
      </c>
      <c r="JM93" s="75">
        <f t="shared" ref="JM93" ca="1" si="785">IF(G93="Smaller better",JG93-((JG93-JH93)*0.5),JG93+((JH93-JG93)*0.5))</f>
        <v>0</v>
      </c>
      <c r="JN93" s="75">
        <f t="shared" ref="JN93" ca="1" si="786">IF(G93="Smaller better",JH93-((JH93-JI93)*0.5),JH93+((JI93-JH93)*0.5))</f>
        <v>0</v>
      </c>
      <c r="JO93" s="74" t="str">
        <f t="shared" ref="JO93" ca="1" si="787">IF(JI93=0,"-",JI93)</f>
        <v>-</v>
      </c>
      <c r="JP93" s="74">
        <f t="shared" ref="JP93" ca="1" si="788">SUM(JL93:JO93)</f>
        <v>0</v>
      </c>
    </row>
    <row r="94" spans="1:276" hidden="1" x14ac:dyDescent="0.35">
      <c r="A94" s="125" t="s">
        <v>805</v>
      </c>
      <c r="B94" s="125" t="s">
        <v>805</v>
      </c>
      <c r="C94" s="125" t="s">
        <v>805</v>
      </c>
      <c r="E94" s="142" t="s">
        <v>826</v>
      </c>
      <c r="F94" s="254" t="s">
        <v>712</v>
      </c>
      <c r="G94" t="s">
        <v>530</v>
      </c>
      <c r="H94" t="s">
        <v>535</v>
      </c>
      <c r="I94" t="s">
        <v>536</v>
      </c>
      <c r="J94" s="211" t="s">
        <v>805</v>
      </c>
      <c r="K94" t="s">
        <v>805</v>
      </c>
      <c r="L94" t="s">
        <v>805</v>
      </c>
      <c r="M94" t="s">
        <v>805</v>
      </c>
      <c r="N94" t="s">
        <v>805</v>
      </c>
      <c r="O94" t="s">
        <v>805</v>
      </c>
      <c r="P94" t="s">
        <v>805</v>
      </c>
      <c r="Q94" t="s">
        <v>805</v>
      </c>
      <c r="R94" t="s">
        <v>805</v>
      </c>
      <c r="S94" t="s">
        <v>805</v>
      </c>
      <c r="T94" t="s">
        <v>805</v>
      </c>
      <c r="U94" t="s">
        <v>805</v>
      </c>
      <c r="V94" t="s">
        <v>805</v>
      </c>
      <c r="W94" t="s">
        <v>805</v>
      </c>
      <c r="X94" t="s">
        <v>805</v>
      </c>
      <c r="Y94" t="s">
        <v>805</v>
      </c>
      <c r="Z94" t="s">
        <v>805</v>
      </c>
      <c r="AA94" t="s">
        <v>805</v>
      </c>
      <c r="AB94" t="s">
        <v>805</v>
      </c>
      <c r="AC94" t="s">
        <v>805</v>
      </c>
      <c r="AD94" t="s">
        <v>805</v>
      </c>
      <c r="AE94" t="s">
        <v>805</v>
      </c>
      <c r="AF94" t="s">
        <v>805</v>
      </c>
      <c r="AG94" t="s">
        <v>805</v>
      </c>
      <c r="AH94" t="s">
        <v>805</v>
      </c>
      <c r="AI94" t="s">
        <v>805</v>
      </c>
      <c r="AJ94" t="s">
        <v>805</v>
      </c>
      <c r="AK94" t="s">
        <v>805</v>
      </c>
      <c r="AL94" t="s">
        <v>805</v>
      </c>
      <c r="AM94" t="s">
        <v>805</v>
      </c>
      <c r="AN94" t="s">
        <v>805</v>
      </c>
      <c r="AO94" t="s">
        <v>805</v>
      </c>
      <c r="AP94" t="s">
        <v>805</v>
      </c>
      <c r="AQ94" t="s">
        <v>805</v>
      </c>
      <c r="AR94" t="s">
        <v>805</v>
      </c>
      <c r="AS94" t="s">
        <v>805</v>
      </c>
      <c r="AT94" t="s">
        <v>805</v>
      </c>
      <c r="AU94" t="s">
        <v>805</v>
      </c>
      <c r="AV94" t="s">
        <v>805</v>
      </c>
      <c r="AW94" t="s">
        <v>805</v>
      </c>
      <c r="AX94" t="s">
        <v>805</v>
      </c>
      <c r="AY94" t="s">
        <v>805</v>
      </c>
      <c r="AZ94" t="s">
        <v>805</v>
      </c>
      <c r="BA94" t="s">
        <v>805</v>
      </c>
      <c r="BB94" t="s">
        <v>805</v>
      </c>
      <c r="BC94" t="s">
        <v>805</v>
      </c>
      <c r="BD94" t="s">
        <v>805</v>
      </c>
      <c r="BE94" t="s">
        <v>805</v>
      </c>
      <c r="BF94" t="s">
        <v>805</v>
      </c>
      <c r="BG94" t="s">
        <v>805</v>
      </c>
      <c r="BH94" t="s">
        <v>805</v>
      </c>
      <c r="BI94" t="s">
        <v>805</v>
      </c>
      <c r="BJ94" t="s">
        <v>805</v>
      </c>
      <c r="BK94" t="s">
        <v>805</v>
      </c>
      <c r="BL94" t="s">
        <v>805</v>
      </c>
      <c r="BM94" t="s">
        <v>805</v>
      </c>
      <c r="BN94" t="s">
        <v>805</v>
      </c>
      <c r="BO94" t="s">
        <v>805</v>
      </c>
      <c r="BP94" t="s">
        <v>805</v>
      </c>
      <c r="BQ94" t="s">
        <v>805</v>
      </c>
      <c r="BR94" t="s">
        <v>805</v>
      </c>
      <c r="BS94" t="s">
        <v>805</v>
      </c>
      <c r="BT94" t="s">
        <v>805</v>
      </c>
      <c r="BU94" t="s">
        <v>805</v>
      </c>
      <c r="BV94" t="s">
        <v>805</v>
      </c>
      <c r="BW94" t="s">
        <v>805</v>
      </c>
      <c r="BX94" t="s">
        <v>805</v>
      </c>
      <c r="BY94" t="s">
        <v>805</v>
      </c>
      <c r="BZ94" t="s">
        <v>805</v>
      </c>
      <c r="CA94" t="s">
        <v>805</v>
      </c>
      <c r="CB94" t="s">
        <v>805</v>
      </c>
      <c r="CC94" t="s">
        <v>805</v>
      </c>
      <c r="CD94" t="s">
        <v>805</v>
      </c>
      <c r="CE94" t="s">
        <v>805</v>
      </c>
      <c r="CF94" t="s">
        <v>805</v>
      </c>
      <c r="CG94" t="s">
        <v>805</v>
      </c>
      <c r="CH94" t="s">
        <v>805</v>
      </c>
      <c r="CI94" t="s">
        <v>805</v>
      </c>
      <c r="CJ94" t="s">
        <v>805</v>
      </c>
      <c r="CK94" t="s">
        <v>805</v>
      </c>
      <c r="CL94" t="s">
        <v>805</v>
      </c>
      <c r="CM94" t="s">
        <v>805</v>
      </c>
      <c r="CN94" t="s">
        <v>805</v>
      </c>
      <c r="CO94" t="s">
        <v>805</v>
      </c>
      <c r="CP94" t="s">
        <v>805</v>
      </c>
      <c r="CQ94" t="s">
        <v>805</v>
      </c>
      <c r="CR94" t="s">
        <v>805</v>
      </c>
      <c r="CS94" t="s">
        <v>805</v>
      </c>
      <c r="CT94" t="s">
        <v>805</v>
      </c>
      <c r="CU94" t="s">
        <v>805</v>
      </c>
      <c r="CV94" t="s">
        <v>805</v>
      </c>
      <c r="CW94" t="s">
        <v>805</v>
      </c>
      <c r="CX94" t="s">
        <v>805</v>
      </c>
      <c r="CY94" t="s">
        <v>805</v>
      </c>
      <c r="CZ94" t="s">
        <v>805</v>
      </c>
      <c r="DA94" t="s">
        <v>805</v>
      </c>
      <c r="DB94" t="s">
        <v>805</v>
      </c>
      <c r="DC94" t="s">
        <v>805</v>
      </c>
      <c r="DD94" t="s">
        <v>805</v>
      </c>
      <c r="DE94" t="s">
        <v>805</v>
      </c>
      <c r="DF94" t="s">
        <v>805</v>
      </c>
      <c r="DG94" s="28">
        <f>VLOOKUP(E94,'KPI Count-SHARE'!A:F,3,0)</f>
        <v>0</v>
      </c>
      <c r="DH94">
        <v>0</v>
      </c>
      <c r="DI94" t="s">
        <v>805</v>
      </c>
      <c r="DJ94" t="s">
        <v>805</v>
      </c>
      <c r="DK94" t="s">
        <v>805</v>
      </c>
      <c r="DL94" t="s">
        <v>805</v>
      </c>
      <c r="DM94" t="s">
        <v>805</v>
      </c>
      <c r="DN94" s="28">
        <f>VLOOKUP(E94,'KPI Count-SHARE'!A:F,4,0)</f>
        <v>0</v>
      </c>
      <c r="DU94" s="28">
        <f>VLOOKUP(E94,'KPI Count-SHARE'!A:F,5,0)</f>
        <v>0</v>
      </c>
      <c r="EB94" s="28">
        <f>VLOOKUP(E94,'KPI Count-SHARE'!A:F,6,0)</f>
        <v>0</v>
      </c>
      <c r="EI94" t="str">
        <f>XCurrency &amp; " '000 per FTE"</f>
        <v>USD '000 per FTE</v>
      </c>
      <c r="EJ94" s="41" t="str">
        <f t="shared" si="654"/>
        <v>-</v>
      </c>
      <c r="EK94" s="41" t="str">
        <f t="shared" si="655"/>
        <v>-</v>
      </c>
      <c r="EL94" s="41" t="str">
        <f t="shared" si="656"/>
        <v>-</v>
      </c>
      <c r="EM94" s="41" t="str">
        <f t="shared" si="657"/>
        <v>-</v>
      </c>
      <c r="EN94" s="41" t="str">
        <f t="shared" si="658"/>
        <v>-</v>
      </c>
      <c r="EO94" s="41" t="str">
        <f t="shared" si="659"/>
        <v>-</v>
      </c>
      <c r="EP94" s="41" t="str">
        <f t="shared" si="660"/>
        <v>-</v>
      </c>
      <c r="EQ94" s="41" t="str">
        <f t="shared" si="661"/>
        <v>-</v>
      </c>
      <c r="ER94" s="41" t="str">
        <f t="shared" si="662"/>
        <v>-</v>
      </c>
      <c r="ES94" s="41" t="str">
        <f t="shared" si="663"/>
        <v>-</v>
      </c>
      <c r="ET94" s="41" t="str">
        <f t="shared" si="664"/>
        <v>-</v>
      </c>
      <c r="EU94" s="41" t="str">
        <f t="shared" si="665"/>
        <v>-</v>
      </c>
      <c r="EV94" s="41" t="str">
        <f t="shared" si="666"/>
        <v>-</v>
      </c>
      <c r="EW94" s="41" t="str">
        <f t="shared" si="667"/>
        <v>-</v>
      </c>
      <c r="EX94" s="41" t="str">
        <f t="shared" si="668"/>
        <v>-</v>
      </c>
      <c r="EY94" s="41" t="str">
        <f t="shared" si="669"/>
        <v>-</v>
      </c>
      <c r="EZ94" s="41" t="str">
        <f t="shared" si="670"/>
        <v>-</v>
      </c>
      <c r="FA94" s="41" t="str">
        <f t="shared" si="671"/>
        <v>-</v>
      </c>
      <c r="FB94" s="41" t="str">
        <f t="shared" si="672"/>
        <v>-</v>
      </c>
      <c r="FC94" s="41" t="str">
        <f t="shared" si="673"/>
        <v>-</v>
      </c>
      <c r="FD94" s="41" t="str">
        <f t="shared" si="674"/>
        <v>-</v>
      </c>
      <c r="FE94" s="41" t="str">
        <f t="shared" si="675"/>
        <v>-</v>
      </c>
      <c r="FF94" s="41" t="str">
        <f t="shared" si="676"/>
        <v>-</v>
      </c>
      <c r="FG94" s="41" t="str">
        <f t="shared" si="677"/>
        <v>-</v>
      </c>
      <c r="FH94" s="41" t="str">
        <f t="shared" si="678"/>
        <v>-</v>
      </c>
      <c r="FI94" s="41" t="str">
        <f t="shared" si="679"/>
        <v>-</v>
      </c>
      <c r="FJ94" s="41" t="str">
        <f t="shared" si="680"/>
        <v>-</v>
      </c>
      <c r="FK94" s="41" t="str">
        <f t="shared" si="681"/>
        <v>-</v>
      </c>
      <c r="FL94" s="41" t="str">
        <f t="shared" si="682"/>
        <v>-</v>
      </c>
      <c r="FM94" s="41" t="str">
        <f t="shared" si="683"/>
        <v>-</v>
      </c>
      <c r="FN94" s="41" t="str">
        <f t="shared" si="684"/>
        <v>-</v>
      </c>
      <c r="FO94" s="41" t="str">
        <f t="shared" si="685"/>
        <v>-</v>
      </c>
      <c r="FP94" s="41" t="str">
        <f t="shared" si="686"/>
        <v>-</v>
      </c>
      <c r="FQ94" s="41" t="str">
        <f t="shared" si="687"/>
        <v>-</v>
      </c>
      <c r="FR94" s="41" t="str">
        <f t="shared" si="688"/>
        <v>-</v>
      </c>
      <c r="FS94" s="41" t="str">
        <f t="shared" si="689"/>
        <v>-</v>
      </c>
      <c r="FT94" s="41" t="str">
        <f t="shared" si="690"/>
        <v>-</v>
      </c>
      <c r="FU94" s="41" t="str">
        <f t="shared" si="691"/>
        <v>-</v>
      </c>
      <c r="FV94" s="41" t="str">
        <f t="shared" si="692"/>
        <v>-</v>
      </c>
      <c r="FW94" s="41" t="str">
        <f t="shared" si="693"/>
        <v>-</v>
      </c>
      <c r="FX94" s="41" t="str">
        <f t="shared" si="694"/>
        <v>-</v>
      </c>
      <c r="FY94" s="41" t="str">
        <f t="shared" si="695"/>
        <v>-</v>
      </c>
      <c r="FZ94" s="41" t="str">
        <f t="shared" si="696"/>
        <v>-</v>
      </c>
      <c r="GA94" s="41" t="str">
        <f t="shared" si="697"/>
        <v>-</v>
      </c>
      <c r="GB94" s="41" t="str">
        <f t="shared" si="698"/>
        <v>-</v>
      </c>
      <c r="GC94" s="41" t="str">
        <f t="shared" si="699"/>
        <v>-</v>
      </c>
      <c r="GD94" s="41" t="str">
        <f t="shared" si="700"/>
        <v>-</v>
      </c>
      <c r="GE94" s="41" t="str">
        <f t="shared" si="701"/>
        <v>-</v>
      </c>
      <c r="GF94" s="41" t="str">
        <f t="shared" si="702"/>
        <v>-</v>
      </c>
      <c r="GG94" s="41" t="str">
        <f t="shared" si="703"/>
        <v>-</v>
      </c>
      <c r="GH94" s="41" t="str">
        <f t="shared" si="704"/>
        <v>-</v>
      </c>
      <c r="GI94" s="41" t="str">
        <f t="shared" si="705"/>
        <v>-</v>
      </c>
      <c r="GJ94" s="41" t="str">
        <f t="shared" si="706"/>
        <v>-</v>
      </c>
      <c r="GK94" s="41" t="str">
        <f t="shared" si="707"/>
        <v>-</v>
      </c>
      <c r="GL94" s="41" t="str">
        <f t="shared" si="708"/>
        <v>-</v>
      </c>
      <c r="GM94" s="41" t="str">
        <f t="shared" si="709"/>
        <v>-</v>
      </c>
      <c r="GN94" s="41" t="str">
        <f t="shared" si="710"/>
        <v>-</v>
      </c>
      <c r="GO94" s="41" t="str">
        <f t="shared" si="711"/>
        <v>-</v>
      </c>
      <c r="GP94" s="41" t="str">
        <f t="shared" si="712"/>
        <v>-</v>
      </c>
      <c r="GQ94" s="41" t="str">
        <f t="shared" si="713"/>
        <v>-</v>
      </c>
      <c r="GR94" s="41" t="str">
        <f t="shared" si="714"/>
        <v>-</v>
      </c>
      <c r="GS94" s="41" t="str">
        <f t="shared" si="715"/>
        <v>-</v>
      </c>
      <c r="GT94" s="41" t="str">
        <f t="shared" si="716"/>
        <v>-</v>
      </c>
      <c r="GU94" s="41" t="str">
        <f t="shared" si="717"/>
        <v>-</v>
      </c>
      <c r="GV94" s="41" t="str">
        <f t="shared" si="718"/>
        <v>-</v>
      </c>
      <c r="GW94" s="41" t="str">
        <f t="shared" si="719"/>
        <v>-</v>
      </c>
      <c r="GX94" s="41" t="str">
        <f t="shared" si="720"/>
        <v>-</v>
      </c>
      <c r="GY94" s="41" t="str">
        <f t="shared" si="721"/>
        <v>-</v>
      </c>
      <c r="GZ94" s="41" t="str">
        <f t="shared" si="722"/>
        <v>-</v>
      </c>
      <c r="HA94" s="41" t="str">
        <f t="shared" si="723"/>
        <v>-</v>
      </c>
      <c r="HB94" s="41" t="str">
        <f t="shared" si="724"/>
        <v>-</v>
      </c>
      <c r="HC94" s="41" t="str">
        <f t="shared" si="725"/>
        <v>-</v>
      </c>
      <c r="HD94" s="41" t="str">
        <f t="shared" si="726"/>
        <v>-</v>
      </c>
      <c r="HE94" s="41" t="str">
        <f t="shared" si="727"/>
        <v>-</v>
      </c>
      <c r="HF94" s="41" t="str">
        <f t="shared" si="728"/>
        <v>-</v>
      </c>
      <c r="HG94" s="41" t="str">
        <f t="shared" si="729"/>
        <v>-</v>
      </c>
      <c r="HH94" s="41" t="str">
        <f t="shared" si="730"/>
        <v>-</v>
      </c>
      <c r="HI94" s="41" t="str">
        <f t="shared" si="731"/>
        <v>-</v>
      </c>
      <c r="HJ94" s="41" t="str">
        <f t="shared" si="732"/>
        <v>-</v>
      </c>
      <c r="HK94" s="41" t="str">
        <f t="shared" si="733"/>
        <v>-</v>
      </c>
      <c r="HL94" s="41" t="str">
        <f t="shared" si="734"/>
        <v>-</v>
      </c>
      <c r="HM94" s="41" t="str">
        <f t="shared" si="735"/>
        <v>-</v>
      </c>
      <c r="HN94" s="41" t="str">
        <f t="shared" si="736"/>
        <v>-</v>
      </c>
      <c r="HO94" s="41" t="str">
        <f t="shared" si="737"/>
        <v>-</v>
      </c>
      <c r="HP94" s="41" t="str">
        <f t="shared" si="738"/>
        <v>-</v>
      </c>
      <c r="HQ94" s="41" t="str">
        <f t="shared" si="739"/>
        <v>-</v>
      </c>
      <c r="HR94" s="41" t="str">
        <f t="shared" si="740"/>
        <v>-</v>
      </c>
      <c r="HS94" s="41" t="str">
        <f t="shared" si="741"/>
        <v>-</v>
      </c>
      <c r="HT94" s="41" t="str">
        <f t="shared" si="742"/>
        <v>-</v>
      </c>
      <c r="HU94" s="41" t="str">
        <f t="shared" si="743"/>
        <v>-</v>
      </c>
      <c r="HV94" s="41" t="str">
        <f t="shared" si="744"/>
        <v>-</v>
      </c>
      <c r="HW94" s="41" t="str">
        <f t="shared" si="745"/>
        <v>-</v>
      </c>
      <c r="HX94" s="41" t="str">
        <f t="shared" si="746"/>
        <v>-</v>
      </c>
      <c r="HY94" s="41" t="str">
        <f t="shared" si="747"/>
        <v>-</v>
      </c>
      <c r="HZ94" s="41" t="str">
        <f t="shared" si="748"/>
        <v>-</v>
      </c>
      <c r="IA94" s="41" t="str">
        <f t="shared" si="749"/>
        <v>-</v>
      </c>
      <c r="IB94" s="41" t="str">
        <f t="shared" si="750"/>
        <v>-</v>
      </c>
      <c r="IC94" s="41" t="str">
        <f t="shared" si="751"/>
        <v>-</v>
      </c>
      <c r="ID94" s="41" t="str">
        <f t="shared" si="752"/>
        <v>-</v>
      </c>
      <c r="IE94" s="41" t="str">
        <f t="shared" si="753"/>
        <v>-</v>
      </c>
      <c r="IF94" s="41" t="str">
        <f t="shared" si="754"/>
        <v>-</v>
      </c>
      <c r="IG94" s="306">
        <f t="shared" si="755"/>
        <v>0</v>
      </c>
      <c r="IH94" s="44" t="str">
        <f t="shared" si="756"/>
        <v>-</v>
      </c>
      <c r="II94" s="44" t="str">
        <f t="shared" si="757"/>
        <v>-</v>
      </c>
      <c r="IJ94" s="44" t="str">
        <f t="shared" si="758"/>
        <v>-</v>
      </c>
      <c r="IK94" s="44" t="str">
        <f t="shared" si="759"/>
        <v>-</v>
      </c>
      <c r="IL94" s="44" t="str">
        <f t="shared" si="760"/>
        <v>-</v>
      </c>
      <c r="IM94" s="306" t="str">
        <f t="shared" si="761"/>
        <v/>
      </c>
      <c r="IN94" s="44" t="str">
        <f t="shared" si="762"/>
        <v/>
      </c>
      <c r="IO94" s="44" t="str">
        <f t="shared" si="763"/>
        <v/>
      </c>
      <c r="IP94" s="44" t="str">
        <f t="shared" si="764"/>
        <v/>
      </c>
      <c r="IQ94" s="44" t="str">
        <f t="shared" si="765"/>
        <v/>
      </c>
      <c r="IR94" s="44" t="str">
        <f t="shared" si="766"/>
        <v/>
      </c>
      <c r="IS94" s="306" t="str">
        <f t="shared" si="767"/>
        <v/>
      </c>
      <c r="IT94" s="44" t="str">
        <f t="shared" si="768"/>
        <v/>
      </c>
      <c r="IU94" s="44" t="str">
        <f t="shared" si="769"/>
        <v/>
      </c>
      <c r="IV94" s="44" t="str">
        <f t="shared" si="770"/>
        <v/>
      </c>
      <c r="IW94" s="44" t="str">
        <f t="shared" si="771"/>
        <v/>
      </c>
      <c r="IX94" s="44" t="str">
        <f t="shared" si="772"/>
        <v/>
      </c>
      <c r="IY94" s="306" t="str">
        <f t="shared" si="773"/>
        <v/>
      </c>
      <c r="IZ94" s="44" t="str">
        <f t="shared" si="774"/>
        <v/>
      </c>
      <c r="JA94" s="44" t="str">
        <f t="shared" si="775"/>
        <v/>
      </c>
      <c r="JB94" s="44" t="str">
        <f t="shared" si="776"/>
        <v/>
      </c>
      <c r="JC94" s="44" t="str">
        <f t="shared" si="777"/>
        <v/>
      </c>
      <c r="JD94" s="307" t="str">
        <f t="shared" si="778"/>
        <v/>
      </c>
      <c r="JF94" s="66">
        <f t="shared" si="779"/>
        <v>94</v>
      </c>
      <c r="JG94" s="66">
        <f t="shared" ref="JG94:JG157" ca="1" si="789">SUM(INDIRECT(VLOOKUP($JH$4,XPEERCOLUMNS,2,0) &amp; JF94 &amp; ":" &amp; VLOOKUP($JH$4,XPEERCOLUMNS,2,0) &amp; JF94))</f>
        <v>0</v>
      </c>
      <c r="JH94" s="66">
        <f t="shared" ref="JH94:JH157" ca="1" si="790">SUM(INDIRECT(VLOOKUP($JH$4,XPEERCOLUMNS,3,0) &amp; JF94 &amp; ":" &amp; VLOOKUP($JH$4,XPEERCOLUMNS,3,0) &amp; JF94))</f>
        <v>0</v>
      </c>
      <c r="JI94" s="66">
        <f t="shared" ref="JI94:JI157" ca="1" si="791">SUM(INDIRECT(VLOOKUP($JH$4,XPEERCOLUMNS,4,0) &amp; JF94 &amp; ":" &amp; VLOOKUP($JH$4,XPEERCOLUMNS,4,0) &amp; JF94))</f>
        <v>0</v>
      </c>
      <c r="JJ94" s="66">
        <f t="shared" ref="JJ94:JJ157" ca="1" si="792">SUM(INDIRECT(VLOOKUP($JH$4,XPEERCOLUMNS,5,0) &amp; JF94 &amp; ":" &amp; VLOOKUP($JH$4,XPEERCOLUMNS,5,0) &amp; JF94))</f>
        <v>0</v>
      </c>
      <c r="JK94" s="33"/>
      <c r="JL94" s="74" t="str">
        <f t="shared" ref="JL94:JL157" ca="1" si="793">IF(JG94=0,"-",JG94)</f>
        <v>-</v>
      </c>
      <c r="JM94" s="75">
        <f t="shared" ref="JM94:JM157" ca="1" si="794">IF(G94="Smaller better",JG94-((JG94-JH94)*0.5),JG94+((JH94-JG94)*0.5))</f>
        <v>0</v>
      </c>
      <c r="JN94" s="75">
        <f t="shared" ref="JN94:JN157" ca="1" si="795">IF(G94="Smaller better",JH94-((JH94-JI94)*0.5),JH94+((JI94-JH94)*0.5))</f>
        <v>0</v>
      </c>
      <c r="JO94" s="74" t="str">
        <f t="shared" ref="JO94:JO157" ca="1" si="796">IF(JI94=0,"-",JI94)</f>
        <v>-</v>
      </c>
      <c r="JP94" s="74">
        <f t="shared" ref="JP94:JP157" ca="1" si="797">SUM(JL94:JO94)</f>
        <v>0</v>
      </c>
    </row>
    <row r="95" spans="1:276" hidden="1" x14ac:dyDescent="0.35">
      <c r="A95" s="125" t="s">
        <v>805</v>
      </c>
      <c r="B95" s="125" t="s">
        <v>805</v>
      </c>
      <c r="C95" s="125" t="s">
        <v>805</v>
      </c>
      <c r="E95" s="142" t="s">
        <v>827</v>
      </c>
      <c r="F95" s="254" t="s">
        <v>713</v>
      </c>
      <c r="G95" t="s">
        <v>530</v>
      </c>
      <c r="H95" t="s">
        <v>535</v>
      </c>
      <c r="I95" t="s">
        <v>536</v>
      </c>
      <c r="J95" s="211" t="s">
        <v>805</v>
      </c>
      <c r="K95" t="s">
        <v>805</v>
      </c>
      <c r="L95" t="s">
        <v>805</v>
      </c>
      <c r="M95" t="s">
        <v>805</v>
      </c>
      <c r="N95" t="s">
        <v>805</v>
      </c>
      <c r="O95" t="s">
        <v>805</v>
      </c>
      <c r="P95" t="s">
        <v>805</v>
      </c>
      <c r="Q95" t="s">
        <v>805</v>
      </c>
      <c r="R95" t="s">
        <v>805</v>
      </c>
      <c r="S95" t="s">
        <v>805</v>
      </c>
      <c r="T95" t="s">
        <v>805</v>
      </c>
      <c r="U95" t="s">
        <v>805</v>
      </c>
      <c r="V95" t="s">
        <v>805</v>
      </c>
      <c r="W95" t="s">
        <v>805</v>
      </c>
      <c r="X95" t="s">
        <v>805</v>
      </c>
      <c r="Y95" t="s">
        <v>805</v>
      </c>
      <c r="Z95" t="s">
        <v>805</v>
      </c>
      <c r="AA95" t="s">
        <v>805</v>
      </c>
      <c r="AB95" t="s">
        <v>805</v>
      </c>
      <c r="AC95" t="s">
        <v>805</v>
      </c>
      <c r="AD95" t="s">
        <v>805</v>
      </c>
      <c r="AE95" t="s">
        <v>805</v>
      </c>
      <c r="AF95" t="s">
        <v>805</v>
      </c>
      <c r="AG95" t="s">
        <v>805</v>
      </c>
      <c r="AH95" t="s">
        <v>805</v>
      </c>
      <c r="AI95" t="s">
        <v>805</v>
      </c>
      <c r="AJ95" t="s">
        <v>805</v>
      </c>
      <c r="AK95" t="s">
        <v>805</v>
      </c>
      <c r="AL95" t="s">
        <v>805</v>
      </c>
      <c r="AM95" t="s">
        <v>805</v>
      </c>
      <c r="AN95" t="s">
        <v>805</v>
      </c>
      <c r="AO95" t="s">
        <v>805</v>
      </c>
      <c r="AP95" t="s">
        <v>805</v>
      </c>
      <c r="AQ95" t="s">
        <v>805</v>
      </c>
      <c r="AR95" t="s">
        <v>805</v>
      </c>
      <c r="AS95" t="s">
        <v>805</v>
      </c>
      <c r="AT95" t="s">
        <v>805</v>
      </c>
      <c r="AU95" t="s">
        <v>805</v>
      </c>
      <c r="AV95" t="s">
        <v>805</v>
      </c>
      <c r="AW95" t="s">
        <v>805</v>
      </c>
      <c r="AX95" t="s">
        <v>805</v>
      </c>
      <c r="AY95" t="s">
        <v>805</v>
      </c>
      <c r="AZ95" t="s">
        <v>805</v>
      </c>
      <c r="BA95" t="s">
        <v>805</v>
      </c>
      <c r="BB95" t="s">
        <v>805</v>
      </c>
      <c r="BC95" t="s">
        <v>805</v>
      </c>
      <c r="BD95" t="s">
        <v>805</v>
      </c>
      <c r="BE95" t="s">
        <v>805</v>
      </c>
      <c r="BF95" t="s">
        <v>805</v>
      </c>
      <c r="BG95" t="s">
        <v>805</v>
      </c>
      <c r="BH95" t="s">
        <v>805</v>
      </c>
      <c r="BI95" t="s">
        <v>805</v>
      </c>
      <c r="BJ95" t="s">
        <v>805</v>
      </c>
      <c r="BK95" t="s">
        <v>805</v>
      </c>
      <c r="BL95" t="s">
        <v>805</v>
      </c>
      <c r="BM95" t="s">
        <v>805</v>
      </c>
      <c r="BN95" t="s">
        <v>805</v>
      </c>
      <c r="BO95" t="s">
        <v>805</v>
      </c>
      <c r="BP95" t="s">
        <v>805</v>
      </c>
      <c r="BQ95" t="s">
        <v>805</v>
      </c>
      <c r="BR95" t="s">
        <v>805</v>
      </c>
      <c r="BS95" t="s">
        <v>805</v>
      </c>
      <c r="BT95" t="s">
        <v>805</v>
      </c>
      <c r="BU95" t="s">
        <v>805</v>
      </c>
      <c r="BV95" t="s">
        <v>805</v>
      </c>
      <c r="BW95" t="s">
        <v>805</v>
      </c>
      <c r="BX95" t="s">
        <v>805</v>
      </c>
      <c r="BY95" t="s">
        <v>805</v>
      </c>
      <c r="BZ95" t="s">
        <v>805</v>
      </c>
      <c r="CA95" t="s">
        <v>805</v>
      </c>
      <c r="CB95" t="s">
        <v>805</v>
      </c>
      <c r="CC95" t="s">
        <v>805</v>
      </c>
      <c r="CD95" t="s">
        <v>805</v>
      </c>
      <c r="CE95" t="s">
        <v>805</v>
      </c>
      <c r="CF95" t="s">
        <v>805</v>
      </c>
      <c r="CG95" t="s">
        <v>805</v>
      </c>
      <c r="CH95" t="s">
        <v>805</v>
      </c>
      <c r="CI95" t="s">
        <v>805</v>
      </c>
      <c r="CJ95" t="s">
        <v>805</v>
      </c>
      <c r="CK95" t="s">
        <v>805</v>
      </c>
      <c r="CL95" t="s">
        <v>805</v>
      </c>
      <c r="CM95" t="s">
        <v>805</v>
      </c>
      <c r="CN95" t="s">
        <v>805</v>
      </c>
      <c r="CO95" t="s">
        <v>805</v>
      </c>
      <c r="CP95" t="s">
        <v>805</v>
      </c>
      <c r="CQ95" t="s">
        <v>805</v>
      </c>
      <c r="CR95" t="s">
        <v>805</v>
      </c>
      <c r="CS95" t="s">
        <v>805</v>
      </c>
      <c r="CT95" t="s">
        <v>805</v>
      </c>
      <c r="CU95" t="s">
        <v>805</v>
      </c>
      <c r="CV95" t="s">
        <v>805</v>
      </c>
      <c r="CW95" t="s">
        <v>805</v>
      </c>
      <c r="CX95" t="s">
        <v>805</v>
      </c>
      <c r="CY95" t="s">
        <v>805</v>
      </c>
      <c r="CZ95" t="s">
        <v>805</v>
      </c>
      <c r="DA95" t="s">
        <v>805</v>
      </c>
      <c r="DB95" t="s">
        <v>805</v>
      </c>
      <c r="DC95" t="s">
        <v>805</v>
      </c>
      <c r="DD95" t="s">
        <v>805</v>
      </c>
      <c r="DE95" t="s">
        <v>805</v>
      </c>
      <c r="DF95" t="s">
        <v>805</v>
      </c>
      <c r="DG95" s="28">
        <f>VLOOKUP(E95,'KPI Count-SHARE'!A:F,3,0)</f>
        <v>0</v>
      </c>
      <c r="DH95">
        <v>0</v>
      </c>
      <c r="DI95" t="s">
        <v>805</v>
      </c>
      <c r="DJ95" t="s">
        <v>805</v>
      </c>
      <c r="DK95" t="s">
        <v>805</v>
      </c>
      <c r="DL95" t="s">
        <v>805</v>
      </c>
      <c r="DM95" t="s">
        <v>805</v>
      </c>
      <c r="DN95" s="28">
        <f>VLOOKUP(E95,'KPI Count-SHARE'!A:F,4,0)</f>
        <v>0</v>
      </c>
      <c r="DU95" s="28">
        <f>VLOOKUP(E95,'KPI Count-SHARE'!A:F,5,0)</f>
        <v>0</v>
      </c>
      <c r="EB95" s="28">
        <f>VLOOKUP(E95,'KPI Count-SHARE'!A:F,6,0)</f>
        <v>0</v>
      </c>
      <c r="EI95" t="str">
        <f>XCurrency &amp; " '000 per FTE"</f>
        <v>USD '000 per FTE</v>
      </c>
      <c r="EJ95" s="41" t="str">
        <f t="shared" si="654"/>
        <v>-</v>
      </c>
      <c r="EK95" s="41" t="str">
        <f t="shared" si="655"/>
        <v>-</v>
      </c>
      <c r="EL95" s="41" t="str">
        <f t="shared" si="656"/>
        <v>-</v>
      </c>
      <c r="EM95" s="41" t="str">
        <f t="shared" si="657"/>
        <v>-</v>
      </c>
      <c r="EN95" s="41" t="str">
        <f t="shared" si="658"/>
        <v>-</v>
      </c>
      <c r="EO95" s="41" t="str">
        <f t="shared" si="659"/>
        <v>-</v>
      </c>
      <c r="EP95" s="41" t="str">
        <f t="shared" si="660"/>
        <v>-</v>
      </c>
      <c r="EQ95" s="41" t="str">
        <f t="shared" si="661"/>
        <v>-</v>
      </c>
      <c r="ER95" s="41" t="str">
        <f t="shared" si="662"/>
        <v>-</v>
      </c>
      <c r="ES95" s="41" t="str">
        <f t="shared" si="663"/>
        <v>-</v>
      </c>
      <c r="ET95" s="41" t="str">
        <f t="shared" si="664"/>
        <v>-</v>
      </c>
      <c r="EU95" s="41" t="str">
        <f t="shared" si="665"/>
        <v>-</v>
      </c>
      <c r="EV95" s="41" t="str">
        <f t="shared" si="666"/>
        <v>-</v>
      </c>
      <c r="EW95" s="41" t="str">
        <f t="shared" si="667"/>
        <v>-</v>
      </c>
      <c r="EX95" s="41" t="str">
        <f t="shared" si="668"/>
        <v>-</v>
      </c>
      <c r="EY95" s="41" t="str">
        <f t="shared" si="669"/>
        <v>-</v>
      </c>
      <c r="EZ95" s="41" t="str">
        <f t="shared" si="670"/>
        <v>-</v>
      </c>
      <c r="FA95" s="41" t="str">
        <f t="shared" si="671"/>
        <v>-</v>
      </c>
      <c r="FB95" s="41" t="str">
        <f t="shared" si="672"/>
        <v>-</v>
      </c>
      <c r="FC95" s="41" t="str">
        <f t="shared" si="673"/>
        <v>-</v>
      </c>
      <c r="FD95" s="41" t="str">
        <f t="shared" si="674"/>
        <v>-</v>
      </c>
      <c r="FE95" s="41" t="str">
        <f t="shared" si="675"/>
        <v>-</v>
      </c>
      <c r="FF95" s="41" t="str">
        <f t="shared" si="676"/>
        <v>-</v>
      </c>
      <c r="FG95" s="41" t="str">
        <f t="shared" si="677"/>
        <v>-</v>
      </c>
      <c r="FH95" s="41" t="str">
        <f t="shared" si="678"/>
        <v>-</v>
      </c>
      <c r="FI95" s="41" t="str">
        <f t="shared" si="679"/>
        <v>-</v>
      </c>
      <c r="FJ95" s="41" t="str">
        <f t="shared" si="680"/>
        <v>-</v>
      </c>
      <c r="FK95" s="41" t="str">
        <f t="shared" si="681"/>
        <v>-</v>
      </c>
      <c r="FL95" s="41" t="str">
        <f t="shared" si="682"/>
        <v>-</v>
      </c>
      <c r="FM95" s="41" t="str">
        <f t="shared" si="683"/>
        <v>-</v>
      </c>
      <c r="FN95" s="41" t="str">
        <f t="shared" si="684"/>
        <v>-</v>
      </c>
      <c r="FO95" s="41" t="str">
        <f t="shared" si="685"/>
        <v>-</v>
      </c>
      <c r="FP95" s="41" t="str">
        <f t="shared" si="686"/>
        <v>-</v>
      </c>
      <c r="FQ95" s="41" t="str">
        <f t="shared" si="687"/>
        <v>-</v>
      </c>
      <c r="FR95" s="41" t="str">
        <f t="shared" si="688"/>
        <v>-</v>
      </c>
      <c r="FS95" s="41" t="str">
        <f t="shared" si="689"/>
        <v>-</v>
      </c>
      <c r="FT95" s="41" t="str">
        <f t="shared" si="690"/>
        <v>-</v>
      </c>
      <c r="FU95" s="41" t="str">
        <f t="shared" si="691"/>
        <v>-</v>
      </c>
      <c r="FV95" s="41" t="str">
        <f t="shared" si="692"/>
        <v>-</v>
      </c>
      <c r="FW95" s="41" t="str">
        <f t="shared" si="693"/>
        <v>-</v>
      </c>
      <c r="FX95" s="41" t="str">
        <f t="shared" si="694"/>
        <v>-</v>
      </c>
      <c r="FY95" s="41" t="str">
        <f t="shared" si="695"/>
        <v>-</v>
      </c>
      <c r="FZ95" s="41" t="str">
        <f t="shared" si="696"/>
        <v>-</v>
      </c>
      <c r="GA95" s="41" t="str">
        <f t="shared" si="697"/>
        <v>-</v>
      </c>
      <c r="GB95" s="41" t="str">
        <f t="shared" si="698"/>
        <v>-</v>
      </c>
      <c r="GC95" s="41" t="str">
        <f t="shared" si="699"/>
        <v>-</v>
      </c>
      <c r="GD95" s="41" t="str">
        <f t="shared" si="700"/>
        <v>-</v>
      </c>
      <c r="GE95" s="41" t="str">
        <f t="shared" si="701"/>
        <v>-</v>
      </c>
      <c r="GF95" s="41" t="str">
        <f t="shared" si="702"/>
        <v>-</v>
      </c>
      <c r="GG95" s="41" t="str">
        <f t="shared" si="703"/>
        <v>-</v>
      </c>
      <c r="GH95" s="41" t="str">
        <f t="shared" si="704"/>
        <v>-</v>
      </c>
      <c r="GI95" s="41" t="str">
        <f t="shared" si="705"/>
        <v>-</v>
      </c>
      <c r="GJ95" s="41" t="str">
        <f t="shared" si="706"/>
        <v>-</v>
      </c>
      <c r="GK95" s="41" t="str">
        <f t="shared" si="707"/>
        <v>-</v>
      </c>
      <c r="GL95" s="41" t="str">
        <f t="shared" si="708"/>
        <v>-</v>
      </c>
      <c r="GM95" s="41" t="str">
        <f t="shared" si="709"/>
        <v>-</v>
      </c>
      <c r="GN95" s="41" t="str">
        <f t="shared" si="710"/>
        <v>-</v>
      </c>
      <c r="GO95" s="41" t="str">
        <f t="shared" si="711"/>
        <v>-</v>
      </c>
      <c r="GP95" s="41" t="str">
        <f t="shared" si="712"/>
        <v>-</v>
      </c>
      <c r="GQ95" s="41" t="str">
        <f t="shared" si="713"/>
        <v>-</v>
      </c>
      <c r="GR95" s="41" t="str">
        <f t="shared" si="714"/>
        <v>-</v>
      </c>
      <c r="GS95" s="41" t="str">
        <f t="shared" si="715"/>
        <v>-</v>
      </c>
      <c r="GT95" s="41" t="str">
        <f t="shared" si="716"/>
        <v>-</v>
      </c>
      <c r="GU95" s="41" t="str">
        <f t="shared" si="717"/>
        <v>-</v>
      </c>
      <c r="GV95" s="41" t="str">
        <f t="shared" si="718"/>
        <v>-</v>
      </c>
      <c r="GW95" s="41" t="str">
        <f t="shared" si="719"/>
        <v>-</v>
      </c>
      <c r="GX95" s="41" t="str">
        <f t="shared" si="720"/>
        <v>-</v>
      </c>
      <c r="GY95" s="41" t="str">
        <f t="shared" si="721"/>
        <v>-</v>
      </c>
      <c r="GZ95" s="41" t="str">
        <f t="shared" si="722"/>
        <v>-</v>
      </c>
      <c r="HA95" s="41" t="str">
        <f t="shared" si="723"/>
        <v>-</v>
      </c>
      <c r="HB95" s="41" t="str">
        <f t="shared" si="724"/>
        <v>-</v>
      </c>
      <c r="HC95" s="41" t="str">
        <f t="shared" si="725"/>
        <v>-</v>
      </c>
      <c r="HD95" s="41" t="str">
        <f t="shared" si="726"/>
        <v>-</v>
      </c>
      <c r="HE95" s="41" t="str">
        <f t="shared" si="727"/>
        <v>-</v>
      </c>
      <c r="HF95" s="41" t="str">
        <f t="shared" si="728"/>
        <v>-</v>
      </c>
      <c r="HG95" s="41" t="str">
        <f t="shared" si="729"/>
        <v>-</v>
      </c>
      <c r="HH95" s="41" t="str">
        <f t="shared" si="730"/>
        <v>-</v>
      </c>
      <c r="HI95" s="41" t="str">
        <f t="shared" si="731"/>
        <v>-</v>
      </c>
      <c r="HJ95" s="41" t="str">
        <f t="shared" si="732"/>
        <v>-</v>
      </c>
      <c r="HK95" s="41" t="str">
        <f t="shared" si="733"/>
        <v>-</v>
      </c>
      <c r="HL95" s="41" t="str">
        <f t="shared" si="734"/>
        <v>-</v>
      </c>
      <c r="HM95" s="41" t="str">
        <f t="shared" si="735"/>
        <v>-</v>
      </c>
      <c r="HN95" s="41" t="str">
        <f t="shared" si="736"/>
        <v>-</v>
      </c>
      <c r="HO95" s="41" t="str">
        <f t="shared" si="737"/>
        <v>-</v>
      </c>
      <c r="HP95" s="41" t="str">
        <f t="shared" si="738"/>
        <v>-</v>
      </c>
      <c r="HQ95" s="41" t="str">
        <f t="shared" si="739"/>
        <v>-</v>
      </c>
      <c r="HR95" s="41" t="str">
        <f t="shared" si="740"/>
        <v>-</v>
      </c>
      <c r="HS95" s="41" t="str">
        <f t="shared" si="741"/>
        <v>-</v>
      </c>
      <c r="HT95" s="41" t="str">
        <f t="shared" si="742"/>
        <v>-</v>
      </c>
      <c r="HU95" s="41" t="str">
        <f t="shared" si="743"/>
        <v>-</v>
      </c>
      <c r="HV95" s="41" t="str">
        <f t="shared" si="744"/>
        <v>-</v>
      </c>
      <c r="HW95" s="41" t="str">
        <f t="shared" si="745"/>
        <v>-</v>
      </c>
      <c r="HX95" s="41" t="str">
        <f t="shared" si="746"/>
        <v>-</v>
      </c>
      <c r="HY95" s="41" t="str">
        <f t="shared" si="747"/>
        <v>-</v>
      </c>
      <c r="HZ95" s="41" t="str">
        <f t="shared" si="748"/>
        <v>-</v>
      </c>
      <c r="IA95" s="41" t="str">
        <f t="shared" si="749"/>
        <v>-</v>
      </c>
      <c r="IB95" s="41" t="str">
        <f t="shared" si="750"/>
        <v>-</v>
      </c>
      <c r="IC95" s="41" t="str">
        <f t="shared" si="751"/>
        <v>-</v>
      </c>
      <c r="ID95" s="41" t="str">
        <f t="shared" si="752"/>
        <v>-</v>
      </c>
      <c r="IE95" s="41" t="str">
        <f t="shared" si="753"/>
        <v>-</v>
      </c>
      <c r="IF95" s="41" t="str">
        <f t="shared" si="754"/>
        <v>-</v>
      </c>
      <c r="IG95" s="306">
        <f t="shared" si="755"/>
        <v>0</v>
      </c>
      <c r="IH95" s="44" t="str">
        <f t="shared" si="756"/>
        <v>-</v>
      </c>
      <c r="II95" s="44" t="str">
        <f t="shared" si="757"/>
        <v>-</v>
      </c>
      <c r="IJ95" s="44" t="str">
        <f t="shared" si="758"/>
        <v>-</v>
      </c>
      <c r="IK95" s="44" t="str">
        <f t="shared" si="759"/>
        <v>-</v>
      </c>
      <c r="IL95" s="44" t="str">
        <f t="shared" si="760"/>
        <v>-</v>
      </c>
      <c r="IM95" s="306" t="str">
        <f t="shared" si="761"/>
        <v/>
      </c>
      <c r="IN95" s="44" t="str">
        <f t="shared" si="762"/>
        <v/>
      </c>
      <c r="IO95" s="44" t="str">
        <f t="shared" si="763"/>
        <v/>
      </c>
      <c r="IP95" s="44" t="str">
        <f t="shared" si="764"/>
        <v/>
      </c>
      <c r="IQ95" s="44" t="str">
        <f t="shared" si="765"/>
        <v/>
      </c>
      <c r="IR95" s="44" t="str">
        <f t="shared" si="766"/>
        <v/>
      </c>
      <c r="IS95" s="306" t="str">
        <f t="shared" si="767"/>
        <v/>
      </c>
      <c r="IT95" s="44" t="str">
        <f t="shared" si="768"/>
        <v/>
      </c>
      <c r="IU95" s="44" t="str">
        <f t="shared" si="769"/>
        <v/>
      </c>
      <c r="IV95" s="44" t="str">
        <f t="shared" si="770"/>
        <v/>
      </c>
      <c r="IW95" s="44" t="str">
        <f t="shared" si="771"/>
        <v/>
      </c>
      <c r="IX95" s="44" t="str">
        <f t="shared" si="772"/>
        <v/>
      </c>
      <c r="IY95" s="306" t="str">
        <f t="shared" si="773"/>
        <v/>
      </c>
      <c r="IZ95" s="44" t="str">
        <f t="shared" si="774"/>
        <v/>
      </c>
      <c r="JA95" s="44" t="str">
        <f t="shared" si="775"/>
        <v/>
      </c>
      <c r="JB95" s="44" t="str">
        <f t="shared" si="776"/>
        <v/>
      </c>
      <c r="JC95" s="44" t="str">
        <f t="shared" si="777"/>
        <v/>
      </c>
      <c r="JD95" s="307" t="str">
        <f t="shared" si="778"/>
        <v/>
      </c>
      <c r="JF95" s="66">
        <f t="shared" si="779"/>
        <v>95</v>
      </c>
      <c r="JG95" s="66">
        <f t="shared" ca="1" si="789"/>
        <v>0</v>
      </c>
      <c r="JH95" s="66">
        <f t="shared" ca="1" si="790"/>
        <v>0</v>
      </c>
      <c r="JI95" s="66">
        <f t="shared" ca="1" si="791"/>
        <v>0</v>
      </c>
      <c r="JJ95" s="66">
        <f t="shared" ca="1" si="792"/>
        <v>0</v>
      </c>
      <c r="JK95" s="33"/>
      <c r="JL95" s="74" t="str">
        <f t="shared" ca="1" si="793"/>
        <v>-</v>
      </c>
      <c r="JM95" s="75">
        <f t="shared" ca="1" si="794"/>
        <v>0</v>
      </c>
      <c r="JN95" s="75">
        <f t="shared" ca="1" si="795"/>
        <v>0</v>
      </c>
      <c r="JO95" s="74" t="str">
        <f t="shared" ca="1" si="796"/>
        <v>-</v>
      </c>
      <c r="JP95" s="74">
        <f t="shared" ca="1" si="797"/>
        <v>0</v>
      </c>
    </row>
    <row r="96" spans="1:276" hidden="1" x14ac:dyDescent="0.35">
      <c r="A96" s="125" t="s">
        <v>805</v>
      </c>
      <c r="B96" s="125" t="s">
        <v>805</v>
      </c>
      <c r="C96" s="125" t="s">
        <v>805</v>
      </c>
      <c r="E96" s="142" t="s">
        <v>828</v>
      </c>
      <c r="F96" s="254" t="s">
        <v>714</v>
      </c>
      <c r="G96" t="s">
        <v>530</v>
      </c>
      <c r="H96" t="s">
        <v>535</v>
      </c>
      <c r="I96" t="s">
        <v>536</v>
      </c>
      <c r="J96" s="211" t="s">
        <v>805</v>
      </c>
      <c r="K96" t="s">
        <v>805</v>
      </c>
      <c r="L96" t="s">
        <v>805</v>
      </c>
      <c r="M96" t="s">
        <v>805</v>
      </c>
      <c r="N96" t="s">
        <v>805</v>
      </c>
      <c r="O96" t="s">
        <v>805</v>
      </c>
      <c r="P96" t="s">
        <v>805</v>
      </c>
      <c r="Q96" t="s">
        <v>805</v>
      </c>
      <c r="R96" t="s">
        <v>805</v>
      </c>
      <c r="S96" t="s">
        <v>805</v>
      </c>
      <c r="T96" t="s">
        <v>805</v>
      </c>
      <c r="U96" t="s">
        <v>805</v>
      </c>
      <c r="V96" t="s">
        <v>805</v>
      </c>
      <c r="W96" t="s">
        <v>805</v>
      </c>
      <c r="X96" t="s">
        <v>805</v>
      </c>
      <c r="Y96" t="s">
        <v>805</v>
      </c>
      <c r="Z96" t="s">
        <v>805</v>
      </c>
      <c r="AA96" t="s">
        <v>805</v>
      </c>
      <c r="AB96" t="s">
        <v>805</v>
      </c>
      <c r="AC96" t="s">
        <v>805</v>
      </c>
      <c r="AD96" t="s">
        <v>805</v>
      </c>
      <c r="AE96" t="s">
        <v>805</v>
      </c>
      <c r="AF96" t="s">
        <v>805</v>
      </c>
      <c r="AG96" t="s">
        <v>805</v>
      </c>
      <c r="AH96" t="s">
        <v>805</v>
      </c>
      <c r="AI96" t="s">
        <v>805</v>
      </c>
      <c r="AJ96" t="s">
        <v>805</v>
      </c>
      <c r="AK96" t="s">
        <v>805</v>
      </c>
      <c r="AL96" t="s">
        <v>805</v>
      </c>
      <c r="AM96" t="s">
        <v>805</v>
      </c>
      <c r="AN96" t="s">
        <v>805</v>
      </c>
      <c r="AO96" t="s">
        <v>805</v>
      </c>
      <c r="AP96" t="s">
        <v>805</v>
      </c>
      <c r="AQ96" t="s">
        <v>805</v>
      </c>
      <c r="AR96" t="s">
        <v>805</v>
      </c>
      <c r="AS96" t="s">
        <v>805</v>
      </c>
      <c r="AT96" t="s">
        <v>805</v>
      </c>
      <c r="AU96" t="s">
        <v>805</v>
      </c>
      <c r="AV96" t="s">
        <v>805</v>
      </c>
      <c r="AW96" t="s">
        <v>805</v>
      </c>
      <c r="AX96" t="s">
        <v>805</v>
      </c>
      <c r="AY96" t="s">
        <v>805</v>
      </c>
      <c r="AZ96" t="s">
        <v>805</v>
      </c>
      <c r="BA96" t="s">
        <v>805</v>
      </c>
      <c r="BB96" t="s">
        <v>805</v>
      </c>
      <c r="BC96" t="s">
        <v>805</v>
      </c>
      <c r="BD96" t="s">
        <v>805</v>
      </c>
      <c r="BE96" t="s">
        <v>805</v>
      </c>
      <c r="BF96" t="s">
        <v>805</v>
      </c>
      <c r="BG96" t="s">
        <v>805</v>
      </c>
      <c r="BH96" t="s">
        <v>805</v>
      </c>
      <c r="BI96" t="s">
        <v>805</v>
      </c>
      <c r="BJ96" t="s">
        <v>805</v>
      </c>
      <c r="BK96" t="s">
        <v>805</v>
      </c>
      <c r="BL96" t="s">
        <v>805</v>
      </c>
      <c r="BM96" t="s">
        <v>805</v>
      </c>
      <c r="BN96" t="s">
        <v>805</v>
      </c>
      <c r="BO96" t="s">
        <v>805</v>
      </c>
      <c r="BP96" t="s">
        <v>805</v>
      </c>
      <c r="BQ96" t="s">
        <v>805</v>
      </c>
      <c r="BR96" t="s">
        <v>805</v>
      </c>
      <c r="BS96" t="s">
        <v>805</v>
      </c>
      <c r="BT96" t="s">
        <v>805</v>
      </c>
      <c r="BU96" t="s">
        <v>805</v>
      </c>
      <c r="BV96" t="s">
        <v>805</v>
      </c>
      <c r="BW96" t="s">
        <v>805</v>
      </c>
      <c r="BX96" t="s">
        <v>805</v>
      </c>
      <c r="BY96" t="s">
        <v>805</v>
      </c>
      <c r="BZ96" t="s">
        <v>805</v>
      </c>
      <c r="CA96" t="s">
        <v>805</v>
      </c>
      <c r="CB96" t="s">
        <v>805</v>
      </c>
      <c r="CC96" t="s">
        <v>805</v>
      </c>
      <c r="CD96" t="s">
        <v>805</v>
      </c>
      <c r="CE96" t="s">
        <v>805</v>
      </c>
      <c r="CF96" t="s">
        <v>805</v>
      </c>
      <c r="CG96" t="s">
        <v>805</v>
      </c>
      <c r="CH96" t="s">
        <v>805</v>
      </c>
      <c r="CI96" t="s">
        <v>805</v>
      </c>
      <c r="CJ96" t="s">
        <v>805</v>
      </c>
      <c r="CK96" t="s">
        <v>805</v>
      </c>
      <c r="CL96" t="s">
        <v>805</v>
      </c>
      <c r="CM96" t="s">
        <v>805</v>
      </c>
      <c r="CN96" t="s">
        <v>805</v>
      </c>
      <c r="CO96" t="s">
        <v>805</v>
      </c>
      <c r="CP96" t="s">
        <v>805</v>
      </c>
      <c r="CQ96" t="s">
        <v>805</v>
      </c>
      <c r="CR96" t="s">
        <v>805</v>
      </c>
      <c r="CS96" t="s">
        <v>805</v>
      </c>
      <c r="CT96" t="s">
        <v>805</v>
      </c>
      <c r="CU96" t="s">
        <v>805</v>
      </c>
      <c r="CV96" t="s">
        <v>805</v>
      </c>
      <c r="CW96" t="s">
        <v>805</v>
      </c>
      <c r="CX96" t="s">
        <v>805</v>
      </c>
      <c r="CY96" t="s">
        <v>805</v>
      </c>
      <c r="CZ96" t="s">
        <v>805</v>
      </c>
      <c r="DA96" t="s">
        <v>805</v>
      </c>
      <c r="DB96" t="s">
        <v>805</v>
      </c>
      <c r="DC96" t="s">
        <v>805</v>
      </c>
      <c r="DD96" t="s">
        <v>805</v>
      </c>
      <c r="DE96" t="s">
        <v>805</v>
      </c>
      <c r="DF96" t="s">
        <v>805</v>
      </c>
      <c r="DG96" s="28">
        <f>VLOOKUP(E96,'KPI Count-SHARE'!A:F,3,0)</f>
        <v>0</v>
      </c>
      <c r="DH96" t="s">
        <v>805</v>
      </c>
      <c r="DI96" t="s">
        <v>805</v>
      </c>
      <c r="DJ96" t="s">
        <v>805</v>
      </c>
      <c r="DK96" t="s">
        <v>805</v>
      </c>
      <c r="DL96" t="s">
        <v>805</v>
      </c>
      <c r="DM96" t="s">
        <v>805</v>
      </c>
      <c r="DN96" s="28">
        <f>VLOOKUP(E96,'KPI Count-SHARE'!A:F,4,0)</f>
        <v>0</v>
      </c>
      <c r="DU96" s="28">
        <f>VLOOKUP(E96,'KPI Count-SHARE'!A:F,5,0)</f>
        <v>0</v>
      </c>
      <c r="EB96" s="28">
        <f>VLOOKUP(E96,'KPI Count-SHARE'!A:F,6,0)</f>
        <v>0</v>
      </c>
      <c r="EI96" t="str">
        <f>XCurrency &amp; " '000 per FTE"</f>
        <v>USD '000 per FTE</v>
      </c>
      <c r="EJ96" s="41" t="str">
        <f t="shared" si="654"/>
        <v>-</v>
      </c>
      <c r="EK96" s="41" t="str">
        <f t="shared" si="655"/>
        <v>-</v>
      </c>
      <c r="EL96" s="41" t="str">
        <f t="shared" si="656"/>
        <v>-</v>
      </c>
      <c r="EM96" s="41" t="str">
        <f t="shared" si="657"/>
        <v>-</v>
      </c>
      <c r="EN96" s="41" t="str">
        <f t="shared" si="658"/>
        <v>-</v>
      </c>
      <c r="EO96" s="41" t="str">
        <f t="shared" si="659"/>
        <v>-</v>
      </c>
      <c r="EP96" s="41" t="str">
        <f t="shared" si="660"/>
        <v>-</v>
      </c>
      <c r="EQ96" s="41" t="str">
        <f t="shared" si="661"/>
        <v>-</v>
      </c>
      <c r="ER96" s="41" t="str">
        <f t="shared" si="662"/>
        <v>-</v>
      </c>
      <c r="ES96" s="41" t="str">
        <f t="shared" si="663"/>
        <v>-</v>
      </c>
      <c r="ET96" s="41" t="str">
        <f t="shared" si="664"/>
        <v>-</v>
      </c>
      <c r="EU96" s="41" t="str">
        <f t="shared" si="665"/>
        <v>-</v>
      </c>
      <c r="EV96" s="41" t="str">
        <f t="shared" si="666"/>
        <v>-</v>
      </c>
      <c r="EW96" s="41" t="str">
        <f t="shared" si="667"/>
        <v>-</v>
      </c>
      <c r="EX96" s="41" t="str">
        <f t="shared" si="668"/>
        <v>-</v>
      </c>
      <c r="EY96" s="41" t="str">
        <f t="shared" si="669"/>
        <v>-</v>
      </c>
      <c r="EZ96" s="41" t="str">
        <f t="shared" si="670"/>
        <v>-</v>
      </c>
      <c r="FA96" s="41" t="str">
        <f t="shared" si="671"/>
        <v>-</v>
      </c>
      <c r="FB96" s="41" t="str">
        <f t="shared" si="672"/>
        <v>-</v>
      </c>
      <c r="FC96" s="41" t="str">
        <f t="shared" si="673"/>
        <v>-</v>
      </c>
      <c r="FD96" s="41" t="str">
        <f t="shared" si="674"/>
        <v>-</v>
      </c>
      <c r="FE96" s="41" t="str">
        <f t="shared" si="675"/>
        <v>-</v>
      </c>
      <c r="FF96" s="41" t="str">
        <f t="shared" si="676"/>
        <v>-</v>
      </c>
      <c r="FG96" s="41" t="str">
        <f t="shared" si="677"/>
        <v>-</v>
      </c>
      <c r="FH96" s="41" t="str">
        <f t="shared" si="678"/>
        <v>-</v>
      </c>
      <c r="FI96" s="41" t="str">
        <f t="shared" si="679"/>
        <v>-</v>
      </c>
      <c r="FJ96" s="41" t="str">
        <f t="shared" si="680"/>
        <v>-</v>
      </c>
      <c r="FK96" s="41" t="str">
        <f t="shared" si="681"/>
        <v>-</v>
      </c>
      <c r="FL96" s="41" t="str">
        <f t="shared" si="682"/>
        <v>-</v>
      </c>
      <c r="FM96" s="41" t="str">
        <f t="shared" si="683"/>
        <v>-</v>
      </c>
      <c r="FN96" s="41" t="str">
        <f t="shared" si="684"/>
        <v>-</v>
      </c>
      <c r="FO96" s="41" t="str">
        <f t="shared" si="685"/>
        <v>-</v>
      </c>
      <c r="FP96" s="41" t="str">
        <f t="shared" si="686"/>
        <v>-</v>
      </c>
      <c r="FQ96" s="41" t="str">
        <f t="shared" si="687"/>
        <v>-</v>
      </c>
      <c r="FR96" s="41" t="str">
        <f t="shared" si="688"/>
        <v>-</v>
      </c>
      <c r="FS96" s="41" t="str">
        <f t="shared" si="689"/>
        <v>-</v>
      </c>
      <c r="FT96" s="41" t="str">
        <f t="shared" si="690"/>
        <v>-</v>
      </c>
      <c r="FU96" s="41" t="str">
        <f t="shared" si="691"/>
        <v>-</v>
      </c>
      <c r="FV96" s="41" t="str">
        <f t="shared" si="692"/>
        <v>-</v>
      </c>
      <c r="FW96" s="41" t="str">
        <f t="shared" si="693"/>
        <v>-</v>
      </c>
      <c r="FX96" s="41" t="str">
        <f t="shared" si="694"/>
        <v>-</v>
      </c>
      <c r="FY96" s="41" t="str">
        <f t="shared" si="695"/>
        <v>-</v>
      </c>
      <c r="FZ96" s="41" t="str">
        <f t="shared" si="696"/>
        <v>-</v>
      </c>
      <c r="GA96" s="41" t="str">
        <f t="shared" si="697"/>
        <v>-</v>
      </c>
      <c r="GB96" s="41" t="str">
        <f t="shared" si="698"/>
        <v>-</v>
      </c>
      <c r="GC96" s="41" t="str">
        <f t="shared" si="699"/>
        <v>-</v>
      </c>
      <c r="GD96" s="41" t="str">
        <f t="shared" si="700"/>
        <v>-</v>
      </c>
      <c r="GE96" s="41" t="str">
        <f t="shared" si="701"/>
        <v>-</v>
      </c>
      <c r="GF96" s="41" t="str">
        <f t="shared" si="702"/>
        <v>-</v>
      </c>
      <c r="GG96" s="41" t="str">
        <f t="shared" si="703"/>
        <v>-</v>
      </c>
      <c r="GH96" s="41" t="str">
        <f t="shared" si="704"/>
        <v>-</v>
      </c>
      <c r="GI96" s="41" t="str">
        <f t="shared" si="705"/>
        <v>-</v>
      </c>
      <c r="GJ96" s="41" t="str">
        <f t="shared" si="706"/>
        <v>-</v>
      </c>
      <c r="GK96" s="41" t="str">
        <f t="shared" si="707"/>
        <v>-</v>
      </c>
      <c r="GL96" s="41" t="str">
        <f t="shared" si="708"/>
        <v>-</v>
      </c>
      <c r="GM96" s="41" t="str">
        <f t="shared" si="709"/>
        <v>-</v>
      </c>
      <c r="GN96" s="41" t="str">
        <f t="shared" si="710"/>
        <v>-</v>
      </c>
      <c r="GO96" s="41" t="str">
        <f t="shared" si="711"/>
        <v>-</v>
      </c>
      <c r="GP96" s="41" t="str">
        <f t="shared" si="712"/>
        <v>-</v>
      </c>
      <c r="GQ96" s="41" t="str">
        <f t="shared" si="713"/>
        <v>-</v>
      </c>
      <c r="GR96" s="41" t="str">
        <f t="shared" si="714"/>
        <v>-</v>
      </c>
      <c r="GS96" s="41" t="str">
        <f t="shared" si="715"/>
        <v>-</v>
      </c>
      <c r="GT96" s="41" t="str">
        <f t="shared" si="716"/>
        <v>-</v>
      </c>
      <c r="GU96" s="41" t="str">
        <f t="shared" si="717"/>
        <v>-</v>
      </c>
      <c r="GV96" s="41" t="str">
        <f t="shared" si="718"/>
        <v>-</v>
      </c>
      <c r="GW96" s="41" t="str">
        <f t="shared" si="719"/>
        <v>-</v>
      </c>
      <c r="GX96" s="41" t="str">
        <f t="shared" si="720"/>
        <v>-</v>
      </c>
      <c r="GY96" s="41" t="str">
        <f t="shared" si="721"/>
        <v>-</v>
      </c>
      <c r="GZ96" s="41" t="str">
        <f t="shared" si="722"/>
        <v>-</v>
      </c>
      <c r="HA96" s="41" t="str">
        <f t="shared" si="723"/>
        <v>-</v>
      </c>
      <c r="HB96" s="41" t="str">
        <f t="shared" si="724"/>
        <v>-</v>
      </c>
      <c r="HC96" s="41" t="str">
        <f t="shared" si="725"/>
        <v>-</v>
      </c>
      <c r="HD96" s="41" t="str">
        <f t="shared" si="726"/>
        <v>-</v>
      </c>
      <c r="HE96" s="41" t="str">
        <f t="shared" si="727"/>
        <v>-</v>
      </c>
      <c r="HF96" s="41" t="str">
        <f t="shared" si="728"/>
        <v>-</v>
      </c>
      <c r="HG96" s="41" t="str">
        <f t="shared" si="729"/>
        <v>-</v>
      </c>
      <c r="HH96" s="41" t="str">
        <f t="shared" si="730"/>
        <v>-</v>
      </c>
      <c r="HI96" s="41" t="str">
        <f t="shared" si="731"/>
        <v>-</v>
      </c>
      <c r="HJ96" s="41" t="str">
        <f t="shared" si="732"/>
        <v>-</v>
      </c>
      <c r="HK96" s="41" t="str">
        <f t="shared" si="733"/>
        <v>-</v>
      </c>
      <c r="HL96" s="41" t="str">
        <f t="shared" si="734"/>
        <v>-</v>
      </c>
      <c r="HM96" s="41" t="str">
        <f t="shared" si="735"/>
        <v>-</v>
      </c>
      <c r="HN96" s="41" t="str">
        <f t="shared" si="736"/>
        <v>-</v>
      </c>
      <c r="HO96" s="41" t="str">
        <f t="shared" si="737"/>
        <v>-</v>
      </c>
      <c r="HP96" s="41" t="str">
        <f t="shared" si="738"/>
        <v>-</v>
      </c>
      <c r="HQ96" s="41" t="str">
        <f t="shared" si="739"/>
        <v>-</v>
      </c>
      <c r="HR96" s="41" t="str">
        <f t="shared" si="740"/>
        <v>-</v>
      </c>
      <c r="HS96" s="41" t="str">
        <f t="shared" si="741"/>
        <v>-</v>
      </c>
      <c r="HT96" s="41" t="str">
        <f t="shared" si="742"/>
        <v>-</v>
      </c>
      <c r="HU96" s="41" t="str">
        <f t="shared" si="743"/>
        <v>-</v>
      </c>
      <c r="HV96" s="41" t="str">
        <f t="shared" si="744"/>
        <v>-</v>
      </c>
      <c r="HW96" s="41" t="str">
        <f t="shared" si="745"/>
        <v>-</v>
      </c>
      <c r="HX96" s="41" t="str">
        <f t="shared" si="746"/>
        <v>-</v>
      </c>
      <c r="HY96" s="41" t="str">
        <f t="shared" si="747"/>
        <v>-</v>
      </c>
      <c r="HZ96" s="41" t="str">
        <f t="shared" si="748"/>
        <v>-</v>
      </c>
      <c r="IA96" s="41" t="str">
        <f t="shared" si="749"/>
        <v>-</v>
      </c>
      <c r="IB96" s="41" t="str">
        <f t="shared" si="750"/>
        <v>-</v>
      </c>
      <c r="IC96" s="41" t="str">
        <f t="shared" si="751"/>
        <v>-</v>
      </c>
      <c r="ID96" s="41" t="str">
        <f t="shared" si="752"/>
        <v>-</v>
      </c>
      <c r="IE96" s="41" t="str">
        <f t="shared" si="753"/>
        <v>-</v>
      </c>
      <c r="IF96" s="41" t="str">
        <f t="shared" si="754"/>
        <v>-</v>
      </c>
      <c r="IG96" s="306" t="str">
        <f t="shared" si="755"/>
        <v>-</v>
      </c>
      <c r="IH96" s="44" t="str">
        <f t="shared" si="756"/>
        <v>-</v>
      </c>
      <c r="II96" s="44" t="str">
        <f t="shared" si="757"/>
        <v>-</v>
      </c>
      <c r="IJ96" s="44" t="str">
        <f t="shared" si="758"/>
        <v>-</v>
      </c>
      <c r="IK96" s="44" t="str">
        <f t="shared" si="759"/>
        <v>-</v>
      </c>
      <c r="IL96" s="44" t="str">
        <f t="shared" si="760"/>
        <v>-</v>
      </c>
      <c r="IM96" s="306" t="str">
        <f t="shared" si="761"/>
        <v/>
      </c>
      <c r="IN96" s="44" t="str">
        <f t="shared" si="762"/>
        <v/>
      </c>
      <c r="IO96" s="44" t="str">
        <f t="shared" si="763"/>
        <v/>
      </c>
      <c r="IP96" s="44" t="str">
        <f t="shared" si="764"/>
        <v/>
      </c>
      <c r="IQ96" s="44" t="str">
        <f t="shared" si="765"/>
        <v/>
      </c>
      <c r="IR96" s="44" t="str">
        <f t="shared" si="766"/>
        <v/>
      </c>
      <c r="IS96" s="306" t="str">
        <f t="shared" si="767"/>
        <v/>
      </c>
      <c r="IT96" s="44" t="str">
        <f t="shared" si="768"/>
        <v/>
      </c>
      <c r="IU96" s="44" t="str">
        <f t="shared" si="769"/>
        <v/>
      </c>
      <c r="IV96" s="44" t="str">
        <f t="shared" si="770"/>
        <v/>
      </c>
      <c r="IW96" s="44" t="str">
        <f t="shared" si="771"/>
        <v/>
      </c>
      <c r="IX96" s="44" t="str">
        <f t="shared" si="772"/>
        <v/>
      </c>
      <c r="IY96" s="306" t="str">
        <f t="shared" si="773"/>
        <v/>
      </c>
      <c r="IZ96" s="44" t="str">
        <f t="shared" si="774"/>
        <v/>
      </c>
      <c r="JA96" s="44" t="str">
        <f t="shared" si="775"/>
        <v/>
      </c>
      <c r="JB96" s="44" t="str">
        <f t="shared" si="776"/>
        <v/>
      </c>
      <c r="JC96" s="44" t="str">
        <f t="shared" si="777"/>
        <v/>
      </c>
      <c r="JD96" s="307" t="str">
        <f t="shared" si="778"/>
        <v/>
      </c>
      <c r="JF96" s="66">
        <f t="shared" si="779"/>
        <v>96</v>
      </c>
      <c r="JG96" s="66">
        <f t="shared" ca="1" si="789"/>
        <v>0</v>
      </c>
      <c r="JH96" s="66">
        <f t="shared" ca="1" si="790"/>
        <v>0</v>
      </c>
      <c r="JI96" s="66">
        <f t="shared" ca="1" si="791"/>
        <v>0</v>
      </c>
      <c r="JJ96" s="66">
        <f t="shared" ca="1" si="792"/>
        <v>0</v>
      </c>
      <c r="JK96" s="33"/>
      <c r="JL96" s="74" t="str">
        <f t="shared" ca="1" si="793"/>
        <v>-</v>
      </c>
      <c r="JM96" s="75">
        <f t="shared" ca="1" si="794"/>
        <v>0</v>
      </c>
      <c r="JN96" s="75">
        <f t="shared" ca="1" si="795"/>
        <v>0</v>
      </c>
      <c r="JO96" s="74" t="str">
        <f t="shared" ca="1" si="796"/>
        <v>-</v>
      </c>
      <c r="JP96" s="74">
        <f t="shared" ca="1" si="797"/>
        <v>0</v>
      </c>
    </row>
    <row r="97" spans="1:276" hidden="1" x14ac:dyDescent="0.35">
      <c r="A97" s="125" t="s">
        <v>805</v>
      </c>
      <c r="B97" s="125" t="s">
        <v>805</v>
      </c>
      <c r="C97" s="125" t="s">
        <v>805</v>
      </c>
      <c r="E97" s="142" t="s">
        <v>829</v>
      </c>
      <c r="F97" s="254" t="s">
        <v>715</v>
      </c>
      <c r="G97" t="s">
        <v>530</v>
      </c>
      <c r="H97" t="s">
        <v>535</v>
      </c>
      <c r="I97" t="s">
        <v>536</v>
      </c>
      <c r="J97" s="211" t="s">
        <v>805</v>
      </c>
      <c r="K97" t="s">
        <v>805</v>
      </c>
      <c r="L97" t="s">
        <v>805</v>
      </c>
      <c r="M97" t="s">
        <v>805</v>
      </c>
      <c r="N97" t="s">
        <v>805</v>
      </c>
      <c r="O97" t="s">
        <v>805</v>
      </c>
      <c r="P97" t="s">
        <v>805</v>
      </c>
      <c r="Q97" t="s">
        <v>805</v>
      </c>
      <c r="R97" t="s">
        <v>805</v>
      </c>
      <c r="S97" t="s">
        <v>805</v>
      </c>
      <c r="T97" t="s">
        <v>805</v>
      </c>
      <c r="U97" t="s">
        <v>805</v>
      </c>
      <c r="V97" t="s">
        <v>805</v>
      </c>
      <c r="W97" t="s">
        <v>805</v>
      </c>
      <c r="X97" t="s">
        <v>805</v>
      </c>
      <c r="Y97" t="s">
        <v>805</v>
      </c>
      <c r="Z97" t="s">
        <v>805</v>
      </c>
      <c r="AA97" t="s">
        <v>805</v>
      </c>
      <c r="AB97" t="s">
        <v>805</v>
      </c>
      <c r="AC97" t="s">
        <v>805</v>
      </c>
      <c r="AD97" t="s">
        <v>805</v>
      </c>
      <c r="AE97" t="s">
        <v>805</v>
      </c>
      <c r="AF97" t="s">
        <v>805</v>
      </c>
      <c r="AG97" t="s">
        <v>805</v>
      </c>
      <c r="AH97" t="s">
        <v>805</v>
      </c>
      <c r="AI97" t="s">
        <v>805</v>
      </c>
      <c r="AJ97" t="s">
        <v>805</v>
      </c>
      <c r="AK97" t="s">
        <v>805</v>
      </c>
      <c r="AL97" t="s">
        <v>805</v>
      </c>
      <c r="AM97" t="s">
        <v>805</v>
      </c>
      <c r="AN97" t="s">
        <v>805</v>
      </c>
      <c r="AO97" t="s">
        <v>805</v>
      </c>
      <c r="AP97" t="s">
        <v>805</v>
      </c>
      <c r="AQ97" t="s">
        <v>805</v>
      </c>
      <c r="AR97" t="s">
        <v>805</v>
      </c>
      <c r="AS97" t="s">
        <v>805</v>
      </c>
      <c r="AT97" t="s">
        <v>805</v>
      </c>
      <c r="AU97" t="s">
        <v>805</v>
      </c>
      <c r="AV97" t="s">
        <v>805</v>
      </c>
      <c r="AW97" t="s">
        <v>805</v>
      </c>
      <c r="AX97" t="s">
        <v>805</v>
      </c>
      <c r="AY97" t="s">
        <v>805</v>
      </c>
      <c r="AZ97" t="s">
        <v>805</v>
      </c>
      <c r="BA97" t="s">
        <v>805</v>
      </c>
      <c r="BB97" t="s">
        <v>805</v>
      </c>
      <c r="BC97" t="s">
        <v>805</v>
      </c>
      <c r="BD97" t="s">
        <v>805</v>
      </c>
      <c r="BE97" t="s">
        <v>805</v>
      </c>
      <c r="BF97" t="s">
        <v>805</v>
      </c>
      <c r="BG97" t="s">
        <v>805</v>
      </c>
      <c r="BH97" t="s">
        <v>805</v>
      </c>
      <c r="BI97" t="s">
        <v>805</v>
      </c>
      <c r="BJ97" t="s">
        <v>805</v>
      </c>
      <c r="BK97" t="s">
        <v>805</v>
      </c>
      <c r="BL97" t="s">
        <v>805</v>
      </c>
      <c r="BM97" t="s">
        <v>805</v>
      </c>
      <c r="BN97" t="s">
        <v>805</v>
      </c>
      <c r="BO97" t="s">
        <v>805</v>
      </c>
      <c r="BP97" t="s">
        <v>805</v>
      </c>
      <c r="BQ97" t="s">
        <v>805</v>
      </c>
      <c r="BR97" t="s">
        <v>805</v>
      </c>
      <c r="BS97" t="s">
        <v>805</v>
      </c>
      <c r="BT97" t="s">
        <v>805</v>
      </c>
      <c r="BU97" t="s">
        <v>805</v>
      </c>
      <c r="BV97" t="s">
        <v>805</v>
      </c>
      <c r="BW97" t="s">
        <v>805</v>
      </c>
      <c r="BX97" t="s">
        <v>805</v>
      </c>
      <c r="BY97" t="s">
        <v>805</v>
      </c>
      <c r="BZ97" t="s">
        <v>805</v>
      </c>
      <c r="CA97" t="s">
        <v>805</v>
      </c>
      <c r="CB97" t="s">
        <v>805</v>
      </c>
      <c r="CC97" t="s">
        <v>805</v>
      </c>
      <c r="CD97" t="s">
        <v>805</v>
      </c>
      <c r="CE97" t="s">
        <v>805</v>
      </c>
      <c r="CF97" t="s">
        <v>805</v>
      </c>
      <c r="CG97" t="s">
        <v>805</v>
      </c>
      <c r="CH97" t="s">
        <v>805</v>
      </c>
      <c r="CI97" t="s">
        <v>805</v>
      </c>
      <c r="CJ97" t="s">
        <v>805</v>
      </c>
      <c r="CK97" t="s">
        <v>805</v>
      </c>
      <c r="CL97" t="s">
        <v>805</v>
      </c>
      <c r="CM97" t="s">
        <v>805</v>
      </c>
      <c r="CN97" t="s">
        <v>805</v>
      </c>
      <c r="CO97" t="s">
        <v>805</v>
      </c>
      <c r="CP97" t="s">
        <v>805</v>
      </c>
      <c r="CQ97" t="s">
        <v>805</v>
      </c>
      <c r="CR97" t="s">
        <v>805</v>
      </c>
      <c r="CS97" t="s">
        <v>805</v>
      </c>
      <c r="CT97" t="s">
        <v>805</v>
      </c>
      <c r="CU97" t="s">
        <v>805</v>
      </c>
      <c r="CV97" t="s">
        <v>805</v>
      </c>
      <c r="CW97" t="s">
        <v>805</v>
      </c>
      <c r="CX97" t="s">
        <v>805</v>
      </c>
      <c r="CY97" t="s">
        <v>805</v>
      </c>
      <c r="CZ97" t="s">
        <v>805</v>
      </c>
      <c r="DA97" t="s">
        <v>805</v>
      </c>
      <c r="DB97" t="s">
        <v>805</v>
      </c>
      <c r="DC97" t="s">
        <v>805</v>
      </c>
      <c r="DD97" t="s">
        <v>805</v>
      </c>
      <c r="DE97" t="s">
        <v>805</v>
      </c>
      <c r="DF97" t="s">
        <v>805</v>
      </c>
      <c r="DG97" s="28">
        <f>VLOOKUP(E97,'KPI Count-SHARE'!A:F,3,0)</f>
        <v>0</v>
      </c>
      <c r="DH97" t="s">
        <v>805</v>
      </c>
      <c r="DI97" t="s">
        <v>805</v>
      </c>
      <c r="DJ97" t="s">
        <v>805</v>
      </c>
      <c r="DK97" t="s">
        <v>805</v>
      </c>
      <c r="DL97" t="s">
        <v>805</v>
      </c>
      <c r="DM97" t="s">
        <v>805</v>
      </c>
      <c r="DN97" s="28">
        <f>VLOOKUP(E97,'KPI Count-SHARE'!A:F,4,0)</f>
        <v>0</v>
      </c>
      <c r="DU97" s="28">
        <f>VLOOKUP(E97,'KPI Count-SHARE'!A:F,5,0)</f>
        <v>0</v>
      </c>
      <c r="EB97" s="28">
        <f>VLOOKUP(E97,'KPI Count-SHARE'!A:F,6,0)</f>
        <v>0</v>
      </c>
      <c r="EI97" t="str">
        <f>XCurrency &amp; " '000 per FTE"</f>
        <v>USD '000 per FTE</v>
      </c>
      <c r="EJ97" s="41" t="str">
        <f t="shared" si="654"/>
        <v>-</v>
      </c>
      <c r="EK97" s="41" t="str">
        <f t="shared" si="655"/>
        <v>-</v>
      </c>
      <c r="EL97" s="41" t="str">
        <f t="shared" si="656"/>
        <v>-</v>
      </c>
      <c r="EM97" s="41" t="str">
        <f t="shared" si="657"/>
        <v>-</v>
      </c>
      <c r="EN97" s="41" t="str">
        <f t="shared" si="658"/>
        <v>-</v>
      </c>
      <c r="EO97" s="41" t="str">
        <f t="shared" si="659"/>
        <v>-</v>
      </c>
      <c r="EP97" s="41" t="str">
        <f t="shared" si="660"/>
        <v>-</v>
      </c>
      <c r="EQ97" s="41" t="str">
        <f t="shared" si="661"/>
        <v>-</v>
      </c>
      <c r="ER97" s="41" t="str">
        <f t="shared" si="662"/>
        <v>-</v>
      </c>
      <c r="ES97" s="41" t="str">
        <f t="shared" si="663"/>
        <v>-</v>
      </c>
      <c r="ET97" s="41" t="str">
        <f t="shared" si="664"/>
        <v>-</v>
      </c>
      <c r="EU97" s="41" t="str">
        <f t="shared" si="665"/>
        <v>-</v>
      </c>
      <c r="EV97" s="41" t="str">
        <f t="shared" si="666"/>
        <v>-</v>
      </c>
      <c r="EW97" s="41" t="str">
        <f t="shared" si="667"/>
        <v>-</v>
      </c>
      <c r="EX97" s="41" t="str">
        <f t="shared" si="668"/>
        <v>-</v>
      </c>
      <c r="EY97" s="41" t="str">
        <f t="shared" si="669"/>
        <v>-</v>
      </c>
      <c r="EZ97" s="41" t="str">
        <f t="shared" si="670"/>
        <v>-</v>
      </c>
      <c r="FA97" s="41" t="str">
        <f t="shared" si="671"/>
        <v>-</v>
      </c>
      <c r="FB97" s="41" t="str">
        <f t="shared" si="672"/>
        <v>-</v>
      </c>
      <c r="FC97" s="41" t="str">
        <f t="shared" si="673"/>
        <v>-</v>
      </c>
      <c r="FD97" s="41" t="str">
        <f t="shared" si="674"/>
        <v>-</v>
      </c>
      <c r="FE97" s="41" t="str">
        <f t="shared" si="675"/>
        <v>-</v>
      </c>
      <c r="FF97" s="41" t="str">
        <f t="shared" si="676"/>
        <v>-</v>
      </c>
      <c r="FG97" s="41" t="str">
        <f t="shared" si="677"/>
        <v>-</v>
      </c>
      <c r="FH97" s="41" t="str">
        <f t="shared" si="678"/>
        <v>-</v>
      </c>
      <c r="FI97" s="41" t="str">
        <f t="shared" si="679"/>
        <v>-</v>
      </c>
      <c r="FJ97" s="41" t="str">
        <f t="shared" si="680"/>
        <v>-</v>
      </c>
      <c r="FK97" s="41" t="str">
        <f t="shared" si="681"/>
        <v>-</v>
      </c>
      <c r="FL97" s="41" t="str">
        <f t="shared" si="682"/>
        <v>-</v>
      </c>
      <c r="FM97" s="41" t="str">
        <f t="shared" si="683"/>
        <v>-</v>
      </c>
      <c r="FN97" s="41" t="str">
        <f t="shared" si="684"/>
        <v>-</v>
      </c>
      <c r="FO97" s="41" t="str">
        <f t="shared" si="685"/>
        <v>-</v>
      </c>
      <c r="FP97" s="41" t="str">
        <f t="shared" si="686"/>
        <v>-</v>
      </c>
      <c r="FQ97" s="41" t="str">
        <f t="shared" si="687"/>
        <v>-</v>
      </c>
      <c r="FR97" s="41" t="str">
        <f t="shared" si="688"/>
        <v>-</v>
      </c>
      <c r="FS97" s="41" t="str">
        <f t="shared" si="689"/>
        <v>-</v>
      </c>
      <c r="FT97" s="41" t="str">
        <f t="shared" si="690"/>
        <v>-</v>
      </c>
      <c r="FU97" s="41" t="str">
        <f t="shared" si="691"/>
        <v>-</v>
      </c>
      <c r="FV97" s="41" t="str">
        <f t="shared" si="692"/>
        <v>-</v>
      </c>
      <c r="FW97" s="41" t="str">
        <f t="shared" si="693"/>
        <v>-</v>
      </c>
      <c r="FX97" s="41" t="str">
        <f t="shared" si="694"/>
        <v>-</v>
      </c>
      <c r="FY97" s="41" t="str">
        <f t="shared" si="695"/>
        <v>-</v>
      </c>
      <c r="FZ97" s="41" t="str">
        <f t="shared" si="696"/>
        <v>-</v>
      </c>
      <c r="GA97" s="41" t="str">
        <f t="shared" si="697"/>
        <v>-</v>
      </c>
      <c r="GB97" s="41" t="str">
        <f t="shared" si="698"/>
        <v>-</v>
      </c>
      <c r="GC97" s="41" t="str">
        <f t="shared" si="699"/>
        <v>-</v>
      </c>
      <c r="GD97" s="41" t="str">
        <f t="shared" si="700"/>
        <v>-</v>
      </c>
      <c r="GE97" s="41" t="str">
        <f t="shared" si="701"/>
        <v>-</v>
      </c>
      <c r="GF97" s="41" t="str">
        <f t="shared" si="702"/>
        <v>-</v>
      </c>
      <c r="GG97" s="41" t="str">
        <f t="shared" si="703"/>
        <v>-</v>
      </c>
      <c r="GH97" s="41" t="str">
        <f t="shared" si="704"/>
        <v>-</v>
      </c>
      <c r="GI97" s="41" t="str">
        <f t="shared" si="705"/>
        <v>-</v>
      </c>
      <c r="GJ97" s="41" t="str">
        <f t="shared" si="706"/>
        <v>-</v>
      </c>
      <c r="GK97" s="41" t="str">
        <f t="shared" si="707"/>
        <v>-</v>
      </c>
      <c r="GL97" s="41" t="str">
        <f t="shared" si="708"/>
        <v>-</v>
      </c>
      <c r="GM97" s="41" t="str">
        <f t="shared" si="709"/>
        <v>-</v>
      </c>
      <c r="GN97" s="41" t="str">
        <f t="shared" si="710"/>
        <v>-</v>
      </c>
      <c r="GO97" s="41" t="str">
        <f t="shared" si="711"/>
        <v>-</v>
      </c>
      <c r="GP97" s="41" t="str">
        <f t="shared" si="712"/>
        <v>-</v>
      </c>
      <c r="GQ97" s="41" t="str">
        <f t="shared" si="713"/>
        <v>-</v>
      </c>
      <c r="GR97" s="41" t="str">
        <f t="shared" si="714"/>
        <v>-</v>
      </c>
      <c r="GS97" s="41" t="str">
        <f t="shared" si="715"/>
        <v>-</v>
      </c>
      <c r="GT97" s="41" t="str">
        <f t="shared" si="716"/>
        <v>-</v>
      </c>
      <c r="GU97" s="41" t="str">
        <f t="shared" si="717"/>
        <v>-</v>
      </c>
      <c r="GV97" s="41" t="str">
        <f t="shared" si="718"/>
        <v>-</v>
      </c>
      <c r="GW97" s="41" t="str">
        <f t="shared" si="719"/>
        <v>-</v>
      </c>
      <c r="GX97" s="41" t="str">
        <f t="shared" si="720"/>
        <v>-</v>
      </c>
      <c r="GY97" s="41" t="str">
        <f t="shared" si="721"/>
        <v>-</v>
      </c>
      <c r="GZ97" s="41" t="str">
        <f t="shared" si="722"/>
        <v>-</v>
      </c>
      <c r="HA97" s="41" t="str">
        <f t="shared" si="723"/>
        <v>-</v>
      </c>
      <c r="HB97" s="41" t="str">
        <f t="shared" si="724"/>
        <v>-</v>
      </c>
      <c r="HC97" s="41" t="str">
        <f t="shared" si="725"/>
        <v>-</v>
      </c>
      <c r="HD97" s="41" t="str">
        <f t="shared" si="726"/>
        <v>-</v>
      </c>
      <c r="HE97" s="41" t="str">
        <f t="shared" si="727"/>
        <v>-</v>
      </c>
      <c r="HF97" s="41" t="str">
        <f t="shared" si="728"/>
        <v>-</v>
      </c>
      <c r="HG97" s="41" t="str">
        <f t="shared" si="729"/>
        <v>-</v>
      </c>
      <c r="HH97" s="41" t="str">
        <f t="shared" si="730"/>
        <v>-</v>
      </c>
      <c r="HI97" s="41" t="str">
        <f t="shared" si="731"/>
        <v>-</v>
      </c>
      <c r="HJ97" s="41" t="str">
        <f t="shared" si="732"/>
        <v>-</v>
      </c>
      <c r="HK97" s="41" t="str">
        <f t="shared" si="733"/>
        <v>-</v>
      </c>
      <c r="HL97" s="41" t="str">
        <f t="shared" si="734"/>
        <v>-</v>
      </c>
      <c r="HM97" s="41" t="str">
        <f t="shared" si="735"/>
        <v>-</v>
      </c>
      <c r="HN97" s="41" t="str">
        <f t="shared" si="736"/>
        <v>-</v>
      </c>
      <c r="HO97" s="41" t="str">
        <f t="shared" si="737"/>
        <v>-</v>
      </c>
      <c r="HP97" s="41" t="str">
        <f t="shared" si="738"/>
        <v>-</v>
      </c>
      <c r="HQ97" s="41" t="str">
        <f t="shared" si="739"/>
        <v>-</v>
      </c>
      <c r="HR97" s="41" t="str">
        <f t="shared" si="740"/>
        <v>-</v>
      </c>
      <c r="HS97" s="41" t="str">
        <f t="shared" si="741"/>
        <v>-</v>
      </c>
      <c r="HT97" s="41" t="str">
        <f t="shared" si="742"/>
        <v>-</v>
      </c>
      <c r="HU97" s="41" t="str">
        <f t="shared" si="743"/>
        <v>-</v>
      </c>
      <c r="HV97" s="41" t="str">
        <f t="shared" si="744"/>
        <v>-</v>
      </c>
      <c r="HW97" s="41" t="str">
        <f t="shared" si="745"/>
        <v>-</v>
      </c>
      <c r="HX97" s="41" t="str">
        <f t="shared" si="746"/>
        <v>-</v>
      </c>
      <c r="HY97" s="41" t="str">
        <f t="shared" si="747"/>
        <v>-</v>
      </c>
      <c r="HZ97" s="41" t="str">
        <f t="shared" si="748"/>
        <v>-</v>
      </c>
      <c r="IA97" s="41" t="str">
        <f t="shared" si="749"/>
        <v>-</v>
      </c>
      <c r="IB97" s="41" t="str">
        <f t="shared" si="750"/>
        <v>-</v>
      </c>
      <c r="IC97" s="41" t="str">
        <f t="shared" si="751"/>
        <v>-</v>
      </c>
      <c r="ID97" s="41" t="str">
        <f t="shared" si="752"/>
        <v>-</v>
      </c>
      <c r="IE97" s="41" t="str">
        <f t="shared" si="753"/>
        <v>-</v>
      </c>
      <c r="IF97" s="41" t="str">
        <f t="shared" si="754"/>
        <v>-</v>
      </c>
      <c r="IG97" s="306" t="str">
        <f t="shared" si="755"/>
        <v>-</v>
      </c>
      <c r="IH97" s="44" t="str">
        <f t="shared" si="756"/>
        <v>-</v>
      </c>
      <c r="II97" s="44" t="str">
        <f t="shared" si="757"/>
        <v>-</v>
      </c>
      <c r="IJ97" s="44" t="str">
        <f t="shared" si="758"/>
        <v>-</v>
      </c>
      <c r="IK97" s="44" t="str">
        <f t="shared" si="759"/>
        <v>-</v>
      </c>
      <c r="IL97" s="44" t="str">
        <f t="shared" si="760"/>
        <v>-</v>
      </c>
      <c r="IM97" s="306" t="str">
        <f t="shared" si="761"/>
        <v/>
      </c>
      <c r="IN97" s="44" t="str">
        <f t="shared" si="762"/>
        <v/>
      </c>
      <c r="IO97" s="44" t="str">
        <f t="shared" si="763"/>
        <v/>
      </c>
      <c r="IP97" s="44" t="str">
        <f t="shared" si="764"/>
        <v/>
      </c>
      <c r="IQ97" s="44" t="str">
        <f t="shared" si="765"/>
        <v/>
      </c>
      <c r="IR97" s="44" t="str">
        <f t="shared" si="766"/>
        <v/>
      </c>
      <c r="IS97" s="306" t="str">
        <f t="shared" si="767"/>
        <v/>
      </c>
      <c r="IT97" s="44" t="str">
        <f t="shared" si="768"/>
        <v/>
      </c>
      <c r="IU97" s="44" t="str">
        <f t="shared" si="769"/>
        <v/>
      </c>
      <c r="IV97" s="44" t="str">
        <f t="shared" si="770"/>
        <v/>
      </c>
      <c r="IW97" s="44" t="str">
        <f t="shared" si="771"/>
        <v/>
      </c>
      <c r="IX97" s="44" t="str">
        <f t="shared" si="772"/>
        <v/>
      </c>
      <c r="IY97" s="306" t="str">
        <f t="shared" si="773"/>
        <v/>
      </c>
      <c r="IZ97" s="44" t="str">
        <f t="shared" si="774"/>
        <v/>
      </c>
      <c r="JA97" s="44" t="str">
        <f t="shared" si="775"/>
        <v/>
      </c>
      <c r="JB97" s="44" t="str">
        <f t="shared" si="776"/>
        <v/>
      </c>
      <c r="JC97" s="44" t="str">
        <f t="shared" si="777"/>
        <v/>
      </c>
      <c r="JD97" s="307" t="str">
        <f t="shared" si="778"/>
        <v/>
      </c>
      <c r="JF97" s="66">
        <f t="shared" si="779"/>
        <v>97</v>
      </c>
      <c r="JG97" s="66">
        <f t="shared" ca="1" si="789"/>
        <v>0</v>
      </c>
      <c r="JH97" s="66">
        <f t="shared" ca="1" si="790"/>
        <v>0</v>
      </c>
      <c r="JI97" s="66">
        <f t="shared" ca="1" si="791"/>
        <v>0</v>
      </c>
      <c r="JJ97" s="66">
        <f t="shared" ca="1" si="792"/>
        <v>0</v>
      </c>
      <c r="JK97" s="33"/>
      <c r="JL97" s="74" t="str">
        <f t="shared" ca="1" si="793"/>
        <v>-</v>
      </c>
      <c r="JM97" s="75">
        <f t="shared" ca="1" si="794"/>
        <v>0</v>
      </c>
      <c r="JN97" s="75">
        <f t="shared" ca="1" si="795"/>
        <v>0</v>
      </c>
      <c r="JO97" s="74" t="str">
        <f t="shared" ca="1" si="796"/>
        <v>-</v>
      </c>
      <c r="JP97" s="74">
        <f t="shared" ca="1" si="797"/>
        <v>0</v>
      </c>
    </row>
    <row r="98" spans="1:276" hidden="1" x14ac:dyDescent="0.35">
      <c r="A98" s="125" t="s">
        <v>805</v>
      </c>
      <c r="B98" s="125" t="s">
        <v>805</v>
      </c>
      <c r="C98" s="125" t="s">
        <v>805</v>
      </c>
      <c r="E98" s="142" t="s">
        <v>830</v>
      </c>
      <c r="F98" s="254" t="s">
        <v>716</v>
      </c>
      <c r="G98" t="s">
        <v>530</v>
      </c>
      <c r="H98" t="s">
        <v>535</v>
      </c>
      <c r="I98" t="s">
        <v>536</v>
      </c>
      <c r="J98" s="211" t="s">
        <v>805</v>
      </c>
      <c r="K98" t="s">
        <v>805</v>
      </c>
      <c r="L98" t="s">
        <v>805</v>
      </c>
      <c r="M98" t="s">
        <v>805</v>
      </c>
      <c r="N98" t="s">
        <v>805</v>
      </c>
      <c r="O98" t="s">
        <v>805</v>
      </c>
      <c r="P98" t="s">
        <v>805</v>
      </c>
      <c r="Q98" t="s">
        <v>805</v>
      </c>
      <c r="R98" t="s">
        <v>805</v>
      </c>
      <c r="S98" t="s">
        <v>805</v>
      </c>
      <c r="T98" t="s">
        <v>805</v>
      </c>
      <c r="U98" t="s">
        <v>805</v>
      </c>
      <c r="V98" t="s">
        <v>805</v>
      </c>
      <c r="W98" t="s">
        <v>805</v>
      </c>
      <c r="X98" t="s">
        <v>805</v>
      </c>
      <c r="Y98" t="s">
        <v>805</v>
      </c>
      <c r="Z98" t="s">
        <v>805</v>
      </c>
      <c r="AA98" t="s">
        <v>805</v>
      </c>
      <c r="AB98" t="s">
        <v>805</v>
      </c>
      <c r="AC98" t="s">
        <v>805</v>
      </c>
      <c r="AD98" t="s">
        <v>805</v>
      </c>
      <c r="AE98" t="s">
        <v>805</v>
      </c>
      <c r="AF98" t="s">
        <v>805</v>
      </c>
      <c r="AG98" t="s">
        <v>805</v>
      </c>
      <c r="AH98" t="s">
        <v>805</v>
      </c>
      <c r="AI98" t="s">
        <v>805</v>
      </c>
      <c r="AJ98" t="s">
        <v>805</v>
      </c>
      <c r="AK98" t="s">
        <v>805</v>
      </c>
      <c r="AL98" t="s">
        <v>805</v>
      </c>
      <c r="AM98" t="s">
        <v>805</v>
      </c>
      <c r="AN98" t="s">
        <v>805</v>
      </c>
      <c r="AO98" t="s">
        <v>805</v>
      </c>
      <c r="AP98" t="s">
        <v>805</v>
      </c>
      <c r="AQ98" t="s">
        <v>805</v>
      </c>
      <c r="AR98" t="s">
        <v>805</v>
      </c>
      <c r="AS98" t="s">
        <v>805</v>
      </c>
      <c r="AT98" t="s">
        <v>805</v>
      </c>
      <c r="AU98" t="s">
        <v>805</v>
      </c>
      <c r="AV98" t="s">
        <v>805</v>
      </c>
      <c r="AW98" t="s">
        <v>805</v>
      </c>
      <c r="AX98" t="s">
        <v>805</v>
      </c>
      <c r="AY98" t="s">
        <v>805</v>
      </c>
      <c r="AZ98" t="s">
        <v>805</v>
      </c>
      <c r="BA98" t="s">
        <v>805</v>
      </c>
      <c r="BB98" t="s">
        <v>805</v>
      </c>
      <c r="BC98" t="s">
        <v>805</v>
      </c>
      <c r="BD98" t="s">
        <v>805</v>
      </c>
      <c r="BE98" t="s">
        <v>805</v>
      </c>
      <c r="BF98" t="s">
        <v>805</v>
      </c>
      <c r="BG98" t="s">
        <v>805</v>
      </c>
      <c r="BH98" t="s">
        <v>805</v>
      </c>
      <c r="BI98" t="s">
        <v>805</v>
      </c>
      <c r="BJ98" t="s">
        <v>805</v>
      </c>
      <c r="BK98" t="s">
        <v>805</v>
      </c>
      <c r="BL98" t="s">
        <v>805</v>
      </c>
      <c r="BM98" t="s">
        <v>805</v>
      </c>
      <c r="BN98" t="s">
        <v>805</v>
      </c>
      <c r="BO98" t="s">
        <v>805</v>
      </c>
      <c r="BP98" t="s">
        <v>805</v>
      </c>
      <c r="BQ98" t="s">
        <v>805</v>
      </c>
      <c r="BR98" t="s">
        <v>805</v>
      </c>
      <c r="BS98" t="s">
        <v>805</v>
      </c>
      <c r="BT98" t="s">
        <v>805</v>
      </c>
      <c r="BU98" t="s">
        <v>805</v>
      </c>
      <c r="BV98" t="s">
        <v>805</v>
      </c>
      <c r="BW98" t="s">
        <v>805</v>
      </c>
      <c r="BX98" t="s">
        <v>805</v>
      </c>
      <c r="BY98" t="s">
        <v>805</v>
      </c>
      <c r="BZ98" t="s">
        <v>805</v>
      </c>
      <c r="CA98" t="s">
        <v>805</v>
      </c>
      <c r="CB98" t="s">
        <v>805</v>
      </c>
      <c r="CC98" t="s">
        <v>805</v>
      </c>
      <c r="CD98" t="s">
        <v>805</v>
      </c>
      <c r="CE98" t="s">
        <v>805</v>
      </c>
      <c r="CF98" t="s">
        <v>805</v>
      </c>
      <c r="CG98" t="s">
        <v>805</v>
      </c>
      <c r="CH98" t="s">
        <v>805</v>
      </c>
      <c r="CI98" t="s">
        <v>805</v>
      </c>
      <c r="CJ98" t="s">
        <v>805</v>
      </c>
      <c r="CK98" t="s">
        <v>805</v>
      </c>
      <c r="CL98" t="s">
        <v>805</v>
      </c>
      <c r="CM98" t="s">
        <v>805</v>
      </c>
      <c r="CN98" t="s">
        <v>805</v>
      </c>
      <c r="CO98" t="s">
        <v>805</v>
      </c>
      <c r="CP98" t="s">
        <v>805</v>
      </c>
      <c r="CQ98" t="s">
        <v>805</v>
      </c>
      <c r="CR98" t="s">
        <v>805</v>
      </c>
      <c r="CS98" t="s">
        <v>805</v>
      </c>
      <c r="CT98" t="s">
        <v>805</v>
      </c>
      <c r="CU98" t="s">
        <v>805</v>
      </c>
      <c r="CV98" t="s">
        <v>805</v>
      </c>
      <c r="CW98" t="s">
        <v>805</v>
      </c>
      <c r="CX98" t="s">
        <v>805</v>
      </c>
      <c r="CY98" t="s">
        <v>805</v>
      </c>
      <c r="CZ98" t="s">
        <v>805</v>
      </c>
      <c r="DA98" t="s">
        <v>805</v>
      </c>
      <c r="DB98" t="s">
        <v>805</v>
      </c>
      <c r="DC98" t="s">
        <v>805</v>
      </c>
      <c r="DD98" t="s">
        <v>805</v>
      </c>
      <c r="DE98" t="s">
        <v>805</v>
      </c>
      <c r="DF98" t="s">
        <v>805</v>
      </c>
      <c r="DG98" s="28">
        <f>VLOOKUP(E98,'KPI Count-SHARE'!A:F,3,0)</f>
        <v>0</v>
      </c>
      <c r="DH98" t="s">
        <v>805</v>
      </c>
      <c r="DI98" t="s">
        <v>805</v>
      </c>
      <c r="DJ98" t="s">
        <v>805</v>
      </c>
      <c r="DK98" t="s">
        <v>805</v>
      </c>
      <c r="DL98" t="s">
        <v>805</v>
      </c>
      <c r="DM98" t="s">
        <v>805</v>
      </c>
      <c r="DN98" s="28">
        <f>VLOOKUP(E98,'KPI Count-SHARE'!A:F,4,0)</f>
        <v>0</v>
      </c>
      <c r="DU98" s="28">
        <f>VLOOKUP(E98,'KPI Count-SHARE'!A:F,5,0)</f>
        <v>0</v>
      </c>
      <c r="EB98" s="28">
        <f>VLOOKUP(E98,'KPI Count-SHARE'!A:F,6,0)</f>
        <v>0</v>
      </c>
      <c r="EI98" t="str">
        <f>XCurrency &amp; " '000 per FTE"</f>
        <v>USD '000 per FTE</v>
      </c>
      <c r="EJ98" s="41" t="str">
        <f t="shared" si="654"/>
        <v>-</v>
      </c>
      <c r="EK98" s="41" t="str">
        <f t="shared" si="655"/>
        <v>-</v>
      </c>
      <c r="EL98" s="41" t="str">
        <f t="shared" si="656"/>
        <v>-</v>
      </c>
      <c r="EM98" s="41" t="str">
        <f t="shared" si="657"/>
        <v>-</v>
      </c>
      <c r="EN98" s="41" t="str">
        <f t="shared" si="658"/>
        <v>-</v>
      </c>
      <c r="EO98" s="41" t="str">
        <f t="shared" si="659"/>
        <v>-</v>
      </c>
      <c r="EP98" s="41" t="str">
        <f t="shared" si="660"/>
        <v>-</v>
      </c>
      <c r="EQ98" s="41" t="str">
        <f t="shared" si="661"/>
        <v>-</v>
      </c>
      <c r="ER98" s="41" t="str">
        <f t="shared" si="662"/>
        <v>-</v>
      </c>
      <c r="ES98" s="41" t="str">
        <f t="shared" si="663"/>
        <v>-</v>
      </c>
      <c r="ET98" s="41" t="str">
        <f t="shared" si="664"/>
        <v>-</v>
      </c>
      <c r="EU98" s="41" t="str">
        <f t="shared" si="665"/>
        <v>-</v>
      </c>
      <c r="EV98" s="41" t="str">
        <f t="shared" si="666"/>
        <v>-</v>
      </c>
      <c r="EW98" s="41" t="str">
        <f t="shared" si="667"/>
        <v>-</v>
      </c>
      <c r="EX98" s="41" t="str">
        <f t="shared" si="668"/>
        <v>-</v>
      </c>
      <c r="EY98" s="41" t="str">
        <f t="shared" si="669"/>
        <v>-</v>
      </c>
      <c r="EZ98" s="41" t="str">
        <f t="shared" si="670"/>
        <v>-</v>
      </c>
      <c r="FA98" s="41" t="str">
        <f t="shared" si="671"/>
        <v>-</v>
      </c>
      <c r="FB98" s="41" t="str">
        <f t="shared" si="672"/>
        <v>-</v>
      </c>
      <c r="FC98" s="41" t="str">
        <f t="shared" si="673"/>
        <v>-</v>
      </c>
      <c r="FD98" s="41" t="str">
        <f t="shared" si="674"/>
        <v>-</v>
      </c>
      <c r="FE98" s="41" t="str">
        <f t="shared" si="675"/>
        <v>-</v>
      </c>
      <c r="FF98" s="41" t="str">
        <f t="shared" si="676"/>
        <v>-</v>
      </c>
      <c r="FG98" s="41" t="str">
        <f t="shared" si="677"/>
        <v>-</v>
      </c>
      <c r="FH98" s="41" t="str">
        <f t="shared" si="678"/>
        <v>-</v>
      </c>
      <c r="FI98" s="41" t="str">
        <f t="shared" si="679"/>
        <v>-</v>
      </c>
      <c r="FJ98" s="41" t="str">
        <f t="shared" si="680"/>
        <v>-</v>
      </c>
      <c r="FK98" s="41" t="str">
        <f t="shared" si="681"/>
        <v>-</v>
      </c>
      <c r="FL98" s="41" t="str">
        <f t="shared" si="682"/>
        <v>-</v>
      </c>
      <c r="FM98" s="41" t="str">
        <f t="shared" si="683"/>
        <v>-</v>
      </c>
      <c r="FN98" s="41" t="str">
        <f t="shared" si="684"/>
        <v>-</v>
      </c>
      <c r="FO98" s="41" t="str">
        <f t="shared" si="685"/>
        <v>-</v>
      </c>
      <c r="FP98" s="41" t="str">
        <f t="shared" si="686"/>
        <v>-</v>
      </c>
      <c r="FQ98" s="41" t="str">
        <f t="shared" si="687"/>
        <v>-</v>
      </c>
      <c r="FR98" s="41" t="str">
        <f t="shared" si="688"/>
        <v>-</v>
      </c>
      <c r="FS98" s="41" t="str">
        <f t="shared" si="689"/>
        <v>-</v>
      </c>
      <c r="FT98" s="41" t="str">
        <f t="shared" si="690"/>
        <v>-</v>
      </c>
      <c r="FU98" s="41" t="str">
        <f t="shared" si="691"/>
        <v>-</v>
      </c>
      <c r="FV98" s="41" t="str">
        <f t="shared" si="692"/>
        <v>-</v>
      </c>
      <c r="FW98" s="41" t="str">
        <f t="shared" si="693"/>
        <v>-</v>
      </c>
      <c r="FX98" s="41" t="str">
        <f t="shared" si="694"/>
        <v>-</v>
      </c>
      <c r="FY98" s="41" t="str">
        <f t="shared" si="695"/>
        <v>-</v>
      </c>
      <c r="FZ98" s="41" t="str">
        <f t="shared" si="696"/>
        <v>-</v>
      </c>
      <c r="GA98" s="41" t="str">
        <f t="shared" si="697"/>
        <v>-</v>
      </c>
      <c r="GB98" s="41" t="str">
        <f t="shared" si="698"/>
        <v>-</v>
      </c>
      <c r="GC98" s="41" t="str">
        <f t="shared" si="699"/>
        <v>-</v>
      </c>
      <c r="GD98" s="41" t="str">
        <f t="shared" si="700"/>
        <v>-</v>
      </c>
      <c r="GE98" s="41" t="str">
        <f t="shared" si="701"/>
        <v>-</v>
      </c>
      <c r="GF98" s="41" t="str">
        <f t="shared" si="702"/>
        <v>-</v>
      </c>
      <c r="GG98" s="41" t="str">
        <f t="shared" si="703"/>
        <v>-</v>
      </c>
      <c r="GH98" s="41" t="str">
        <f t="shared" si="704"/>
        <v>-</v>
      </c>
      <c r="GI98" s="41" t="str">
        <f t="shared" si="705"/>
        <v>-</v>
      </c>
      <c r="GJ98" s="41" t="str">
        <f t="shared" si="706"/>
        <v>-</v>
      </c>
      <c r="GK98" s="41" t="str">
        <f t="shared" si="707"/>
        <v>-</v>
      </c>
      <c r="GL98" s="41" t="str">
        <f t="shared" si="708"/>
        <v>-</v>
      </c>
      <c r="GM98" s="41" t="str">
        <f t="shared" si="709"/>
        <v>-</v>
      </c>
      <c r="GN98" s="41" t="str">
        <f t="shared" si="710"/>
        <v>-</v>
      </c>
      <c r="GO98" s="41" t="str">
        <f t="shared" si="711"/>
        <v>-</v>
      </c>
      <c r="GP98" s="41" t="str">
        <f t="shared" si="712"/>
        <v>-</v>
      </c>
      <c r="GQ98" s="41" t="str">
        <f t="shared" si="713"/>
        <v>-</v>
      </c>
      <c r="GR98" s="41" t="str">
        <f t="shared" si="714"/>
        <v>-</v>
      </c>
      <c r="GS98" s="41" t="str">
        <f t="shared" si="715"/>
        <v>-</v>
      </c>
      <c r="GT98" s="41" t="str">
        <f t="shared" si="716"/>
        <v>-</v>
      </c>
      <c r="GU98" s="41" t="str">
        <f t="shared" si="717"/>
        <v>-</v>
      </c>
      <c r="GV98" s="41" t="str">
        <f t="shared" si="718"/>
        <v>-</v>
      </c>
      <c r="GW98" s="41" t="str">
        <f t="shared" si="719"/>
        <v>-</v>
      </c>
      <c r="GX98" s="41" t="str">
        <f t="shared" si="720"/>
        <v>-</v>
      </c>
      <c r="GY98" s="41" t="str">
        <f t="shared" si="721"/>
        <v>-</v>
      </c>
      <c r="GZ98" s="41" t="str">
        <f t="shared" si="722"/>
        <v>-</v>
      </c>
      <c r="HA98" s="41" t="str">
        <f t="shared" si="723"/>
        <v>-</v>
      </c>
      <c r="HB98" s="41" t="str">
        <f t="shared" si="724"/>
        <v>-</v>
      </c>
      <c r="HC98" s="41" t="str">
        <f t="shared" si="725"/>
        <v>-</v>
      </c>
      <c r="HD98" s="41" t="str">
        <f t="shared" si="726"/>
        <v>-</v>
      </c>
      <c r="HE98" s="41" t="str">
        <f t="shared" si="727"/>
        <v>-</v>
      </c>
      <c r="HF98" s="41" t="str">
        <f t="shared" si="728"/>
        <v>-</v>
      </c>
      <c r="HG98" s="41" t="str">
        <f t="shared" si="729"/>
        <v>-</v>
      </c>
      <c r="HH98" s="41" t="str">
        <f t="shared" si="730"/>
        <v>-</v>
      </c>
      <c r="HI98" s="41" t="str">
        <f t="shared" si="731"/>
        <v>-</v>
      </c>
      <c r="HJ98" s="41" t="str">
        <f t="shared" si="732"/>
        <v>-</v>
      </c>
      <c r="HK98" s="41" t="str">
        <f t="shared" si="733"/>
        <v>-</v>
      </c>
      <c r="HL98" s="41" t="str">
        <f t="shared" si="734"/>
        <v>-</v>
      </c>
      <c r="HM98" s="41" t="str">
        <f t="shared" si="735"/>
        <v>-</v>
      </c>
      <c r="HN98" s="41" t="str">
        <f t="shared" si="736"/>
        <v>-</v>
      </c>
      <c r="HO98" s="41" t="str">
        <f t="shared" si="737"/>
        <v>-</v>
      </c>
      <c r="HP98" s="41" t="str">
        <f t="shared" si="738"/>
        <v>-</v>
      </c>
      <c r="HQ98" s="41" t="str">
        <f t="shared" si="739"/>
        <v>-</v>
      </c>
      <c r="HR98" s="41" t="str">
        <f t="shared" si="740"/>
        <v>-</v>
      </c>
      <c r="HS98" s="41" t="str">
        <f t="shared" si="741"/>
        <v>-</v>
      </c>
      <c r="HT98" s="41" t="str">
        <f t="shared" si="742"/>
        <v>-</v>
      </c>
      <c r="HU98" s="41" t="str">
        <f t="shared" si="743"/>
        <v>-</v>
      </c>
      <c r="HV98" s="41" t="str">
        <f t="shared" si="744"/>
        <v>-</v>
      </c>
      <c r="HW98" s="41" t="str">
        <f t="shared" si="745"/>
        <v>-</v>
      </c>
      <c r="HX98" s="41" t="str">
        <f t="shared" si="746"/>
        <v>-</v>
      </c>
      <c r="HY98" s="41" t="str">
        <f t="shared" si="747"/>
        <v>-</v>
      </c>
      <c r="HZ98" s="41" t="str">
        <f t="shared" si="748"/>
        <v>-</v>
      </c>
      <c r="IA98" s="41" t="str">
        <f t="shared" si="749"/>
        <v>-</v>
      </c>
      <c r="IB98" s="41" t="str">
        <f t="shared" si="750"/>
        <v>-</v>
      </c>
      <c r="IC98" s="41" t="str">
        <f t="shared" si="751"/>
        <v>-</v>
      </c>
      <c r="ID98" s="41" t="str">
        <f t="shared" si="752"/>
        <v>-</v>
      </c>
      <c r="IE98" s="41" t="str">
        <f t="shared" si="753"/>
        <v>-</v>
      </c>
      <c r="IF98" s="41" t="str">
        <f t="shared" si="754"/>
        <v>-</v>
      </c>
      <c r="IG98" s="306" t="str">
        <f t="shared" si="755"/>
        <v>-</v>
      </c>
      <c r="IH98" s="44" t="str">
        <f t="shared" si="756"/>
        <v>-</v>
      </c>
      <c r="II98" s="44" t="str">
        <f t="shared" si="757"/>
        <v>-</v>
      </c>
      <c r="IJ98" s="44" t="str">
        <f t="shared" si="758"/>
        <v>-</v>
      </c>
      <c r="IK98" s="44" t="str">
        <f t="shared" si="759"/>
        <v>-</v>
      </c>
      <c r="IL98" s="44" t="str">
        <f t="shared" si="760"/>
        <v>-</v>
      </c>
      <c r="IM98" s="306" t="str">
        <f t="shared" si="761"/>
        <v/>
      </c>
      <c r="IN98" s="44" t="str">
        <f t="shared" si="762"/>
        <v/>
      </c>
      <c r="IO98" s="44" t="str">
        <f t="shared" si="763"/>
        <v/>
      </c>
      <c r="IP98" s="44" t="str">
        <f t="shared" si="764"/>
        <v/>
      </c>
      <c r="IQ98" s="44" t="str">
        <f t="shared" si="765"/>
        <v/>
      </c>
      <c r="IR98" s="44" t="str">
        <f t="shared" si="766"/>
        <v/>
      </c>
      <c r="IS98" s="306" t="str">
        <f t="shared" si="767"/>
        <v/>
      </c>
      <c r="IT98" s="44" t="str">
        <f t="shared" si="768"/>
        <v/>
      </c>
      <c r="IU98" s="44" t="str">
        <f t="shared" si="769"/>
        <v/>
      </c>
      <c r="IV98" s="44" t="str">
        <f t="shared" si="770"/>
        <v/>
      </c>
      <c r="IW98" s="44" t="str">
        <f t="shared" si="771"/>
        <v/>
      </c>
      <c r="IX98" s="44" t="str">
        <f t="shared" si="772"/>
        <v/>
      </c>
      <c r="IY98" s="306" t="str">
        <f t="shared" si="773"/>
        <v/>
      </c>
      <c r="IZ98" s="44" t="str">
        <f t="shared" si="774"/>
        <v/>
      </c>
      <c r="JA98" s="44" t="str">
        <f t="shared" si="775"/>
        <v/>
      </c>
      <c r="JB98" s="44" t="str">
        <f t="shared" si="776"/>
        <v/>
      </c>
      <c r="JC98" s="44" t="str">
        <f t="shared" si="777"/>
        <v/>
      </c>
      <c r="JD98" s="307" t="str">
        <f t="shared" si="778"/>
        <v/>
      </c>
      <c r="JF98" s="66">
        <f t="shared" si="779"/>
        <v>98</v>
      </c>
      <c r="JG98" s="66">
        <f t="shared" ca="1" si="789"/>
        <v>0</v>
      </c>
      <c r="JH98" s="66">
        <f t="shared" ca="1" si="790"/>
        <v>0</v>
      </c>
      <c r="JI98" s="66">
        <f t="shared" ca="1" si="791"/>
        <v>0</v>
      </c>
      <c r="JJ98" s="66">
        <f t="shared" ca="1" si="792"/>
        <v>0</v>
      </c>
      <c r="JK98" s="33"/>
      <c r="JL98" s="74" t="str">
        <f t="shared" ca="1" si="793"/>
        <v>-</v>
      </c>
      <c r="JM98" s="75">
        <f t="shared" ca="1" si="794"/>
        <v>0</v>
      </c>
      <c r="JN98" s="75">
        <f t="shared" ca="1" si="795"/>
        <v>0</v>
      </c>
      <c r="JO98" s="74" t="str">
        <f t="shared" ca="1" si="796"/>
        <v>-</v>
      </c>
      <c r="JP98" s="74">
        <f t="shared" ca="1" si="797"/>
        <v>0</v>
      </c>
    </row>
    <row r="99" spans="1:276" hidden="1" x14ac:dyDescent="0.35">
      <c r="A99" s="125" t="s">
        <v>805</v>
      </c>
      <c r="B99" s="125" t="s">
        <v>805</v>
      </c>
      <c r="C99" s="125" t="s">
        <v>805</v>
      </c>
      <c r="E99" s="142" t="s">
        <v>831</v>
      </c>
      <c r="F99" s="254" t="s">
        <v>717</v>
      </c>
      <c r="G99" t="s">
        <v>530</v>
      </c>
      <c r="H99" t="s">
        <v>539</v>
      </c>
      <c r="I99" t="s">
        <v>536</v>
      </c>
      <c r="J99" s="211" t="s">
        <v>805</v>
      </c>
      <c r="K99" t="s">
        <v>805</v>
      </c>
      <c r="L99" t="s">
        <v>805</v>
      </c>
      <c r="M99" t="s">
        <v>805</v>
      </c>
      <c r="N99" t="s">
        <v>805</v>
      </c>
      <c r="O99" t="s">
        <v>805</v>
      </c>
      <c r="P99" t="s">
        <v>805</v>
      </c>
      <c r="Q99" t="s">
        <v>805</v>
      </c>
      <c r="R99" t="s">
        <v>805</v>
      </c>
      <c r="S99" t="s">
        <v>805</v>
      </c>
      <c r="T99" t="s">
        <v>805</v>
      </c>
      <c r="U99" t="s">
        <v>805</v>
      </c>
      <c r="V99" t="s">
        <v>805</v>
      </c>
      <c r="W99" t="s">
        <v>805</v>
      </c>
      <c r="X99" t="s">
        <v>805</v>
      </c>
      <c r="Y99" t="s">
        <v>805</v>
      </c>
      <c r="Z99" t="s">
        <v>805</v>
      </c>
      <c r="AA99" t="s">
        <v>805</v>
      </c>
      <c r="AB99" t="s">
        <v>805</v>
      </c>
      <c r="AC99" t="s">
        <v>805</v>
      </c>
      <c r="AD99" t="s">
        <v>805</v>
      </c>
      <c r="AE99" t="s">
        <v>805</v>
      </c>
      <c r="AF99" t="s">
        <v>805</v>
      </c>
      <c r="AG99" t="s">
        <v>805</v>
      </c>
      <c r="AH99" t="s">
        <v>805</v>
      </c>
      <c r="AI99" t="s">
        <v>805</v>
      </c>
      <c r="AJ99" t="s">
        <v>805</v>
      </c>
      <c r="AK99" t="s">
        <v>805</v>
      </c>
      <c r="AL99" t="s">
        <v>805</v>
      </c>
      <c r="AM99" t="s">
        <v>805</v>
      </c>
      <c r="AN99" t="s">
        <v>805</v>
      </c>
      <c r="AO99" t="s">
        <v>805</v>
      </c>
      <c r="AP99" t="s">
        <v>805</v>
      </c>
      <c r="AQ99" t="s">
        <v>805</v>
      </c>
      <c r="AR99" t="s">
        <v>805</v>
      </c>
      <c r="AS99" t="s">
        <v>805</v>
      </c>
      <c r="AT99" t="s">
        <v>805</v>
      </c>
      <c r="AU99" t="s">
        <v>805</v>
      </c>
      <c r="AV99" t="s">
        <v>805</v>
      </c>
      <c r="AW99" t="s">
        <v>805</v>
      </c>
      <c r="AX99" t="s">
        <v>805</v>
      </c>
      <c r="AY99" t="s">
        <v>805</v>
      </c>
      <c r="AZ99" t="s">
        <v>805</v>
      </c>
      <c r="BA99" t="s">
        <v>805</v>
      </c>
      <c r="BB99" t="s">
        <v>805</v>
      </c>
      <c r="BC99" t="s">
        <v>805</v>
      </c>
      <c r="BD99" t="s">
        <v>805</v>
      </c>
      <c r="BE99" t="s">
        <v>805</v>
      </c>
      <c r="BF99" t="s">
        <v>805</v>
      </c>
      <c r="BG99" t="s">
        <v>805</v>
      </c>
      <c r="BH99" t="s">
        <v>805</v>
      </c>
      <c r="BI99" t="s">
        <v>805</v>
      </c>
      <c r="BJ99" t="s">
        <v>805</v>
      </c>
      <c r="BK99" t="s">
        <v>805</v>
      </c>
      <c r="BL99" t="s">
        <v>805</v>
      </c>
      <c r="BM99" t="s">
        <v>805</v>
      </c>
      <c r="BN99" t="s">
        <v>805</v>
      </c>
      <c r="BO99" t="s">
        <v>805</v>
      </c>
      <c r="BP99" t="s">
        <v>805</v>
      </c>
      <c r="BQ99" t="s">
        <v>805</v>
      </c>
      <c r="BR99" t="s">
        <v>805</v>
      </c>
      <c r="BS99" t="s">
        <v>805</v>
      </c>
      <c r="BT99" t="s">
        <v>805</v>
      </c>
      <c r="BU99" t="s">
        <v>805</v>
      </c>
      <c r="BV99" t="s">
        <v>805</v>
      </c>
      <c r="BW99" t="s">
        <v>805</v>
      </c>
      <c r="BX99" t="s">
        <v>805</v>
      </c>
      <c r="BY99" t="s">
        <v>805</v>
      </c>
      <c r="BZ99" t="s">
        <v>805</v>
      </c>
      <c r="CA99" t="s">
        <v>805</v>
      </c>
      <c r="CB99" t="s">
        <v>805</v>
      </c>
      <c r="CC99" t="s">
        <v>805</v>
      </c>
      <c r="CD99" t="s">
        <v>805</v>
      </c>
      <c r="CE99" t="s">
        <v>805</v>
      </c>
      <c r="CF99" t="s">
        <v>805</v>
      </c>
      <c r="CG99" t="s">
        <v>805</v>
      </c>
      <c r="CH99" t="s">
        <v>805</v>
      </c>
      <c r="CI99" t="s">
        <v>805</v>
      </c>
      <c r="CJ99" t="s">
        <v>805</v>
      </c>
      <c r="CK99" t="s">
        <v>805</v>
      </c>
      <c r="CL99" t="s">
        <v>805</v>
      </c>
      <c r="CM99" t="s">
        <v>805</v>
      </c>
      <c r="CN99" t="s">
        <v>805</v>
      </c>
      <c r="CO99" t="s">
        <v>805</v>
      </c>
      <c r="CP99" t="s">
        <v>805</v>
      </c>
      <c r="CQ99" t="s">
        <v>805</v>
      </c>
      <c r="CR99" t="s">
        <v>805</v>
      </c>
      <c r="CS99" t="s">
        <v>805</v>
      </c>
      <c r="CT99" t="s">
        <v>805</v>
      </c>
      <c r="CU99" t="s">
        <v>805</v>
      </c>
      <c r="CV99" t="s">
        <v>805</v>
      </c>
      <c r="CW99" t="s">
        <v>805</v>
      </c>
      <c r="CX99" t="s">
        <v>805</v>
      </c>
      <c r="CY99" t="s">
        <v>805</v>
      </c>
      <c r="CZ99" t="s">
        <v>805</v>
      </c>
      <c r="DA99" t="s">
        <v>805</v>
      </c>
      <c r="DB99" t="s">
        <v>805</v>
      </c>
      <c r="DC99" t="s">
        <v>805</v>
      </c>
      <c r="DD99" t="s">
        <v>805</v>
      </c>
      <c r="DE99" t="s">
        <v>805</v>
      </c>
      <c r="DF99" t="s">
        <v>805</v>
      </c>
      <c r="DG99" s="28">
        <f>VLOOKUP(E99,'KPI Count-SHARE'!A:F,3,0)</f>
        <v>0</v>
      </c>
      <c r="DH99" t="s">
        <v>805</v>
      </c>
      <c r="DI99" t="s">
        <v>805</v>
      </c>
      <c r="DJ99" t="s">
        <v>805</v>
      </c>
      <c r="DK99" t="s">
        <v>805</v>
      </c>
      <c r="DL99" t="s">
        <v>805</v>
      </c>
      <c r="DM99" t="s">
        <v>805</v>
      </c>
      <c r="DN99" s="28">
        <f>VLOOKUP(E99,'KPI Count-SHARE'!A:F,4,0)</f>
        <v>0</v>
      </c>
      <c r="DU99" s="28">
        <f>VLOOKUP(E99,'KPI Count-SHARE'!A:F,5,0)</f>
        <v>0</v>
      </c>
      <c r="EB99" s="28">
        <f>VLOOKUP(E99,'KPI Count-SHARE'!A:F,6,0)</f>
        <v>0</v>
      </c>
      <c r="EI99" t="str">
        <f>XCurrency &amp; " '000 per account"</f>
        <v>USD '000 per account</v>
      </c>
      <c r="EJ99" s="41" t="str">
        <f t="shared" si="654"/>
        <v>-</v>
      </c>
      <c r="EK99" s="41" t="str">
        <f t="shared" si="655"/>
        <v>-</v>
      </c>
      <c r="EL99" s="41" t="str">
        <f t="shared" si="656"/>
        <v>-</v>
      </c>
      <c r="EM99" s="41" t="str">
        <f t="shared" si="657"/>
        <v>-</v>
      </c>
      <c r="EN99" s="41" t="str">
        <f t="shared" si="658"/>
        <v>-</v>
      </c>
      <c r="EO99" s="41" t="str">
        <f t="shared" si="659"/>
        <v>-</v>
      </c>
      <c r="EP99" s="41" t="str">
        <f t="shared" si="660"/>
        <v>-</v>
      </c>
      <c r="EQ99" s="41" t="str">
        <f t="shared" si="661"/>
        <v>-</v>
      </c>
      <c r="ER99" s="41" t="str">
        <f t="shared" si="662"/>
        <v>-</v>
      </c>
      <c r="ES99" s="41" t="str">
        <f t="shared" si="663"/>
        <v>-</v>
      </c>
      <c r="ET99" s="41" t="str">
        <f t="shared" si="664"/>
        <v>-</v>
      </c>
      <c r="EU99" s="41" t="str">
        <f t="shared" si="665"/>
        <v>-</v>
      </c>
      <c r="EV99" s="41" t="str">
        <f t="shared" si="666"/>
        <v>-</v>
      </c>
      <c r="EW99" s="41" t="str">
        <f t="shared" si="667"/>
        <v>-</v>
      </c>
      <c r="EX99" s="41" t="str">
        <f t="shared" si="668"/>
        <v>-</v>
      </c>
      <c r="EY99" s="41" t="str">
        <f t="shared" si="669"/>
        <v>-</v>
      </c>
      <c r="EZ99" s="41" t="str">
        <f t="shared" si="670"/>
        <v>-</v>
      </c>
      <c r="FA99" s="41" t="str">
        <f t="shared" si="671"/>
        <v>-</v>
      </c>
      <c r="FB99" s="41" t="str">
        <f t="shared" si="672"/>
        <v>-</v>
      </c>
      <c r="FC99" s="41" t="str">
        <f t="shared" si="673"/>
        <v>-</v>
      </c>
      <c r="FD99" s="41" t="str">
        <f t="shared" si="674"/>
        <v>-</v>
      </c>
      <c r="FE99" s="41" t="str">
        <f t="shared" si="675"/>
        <v>-</v>
      </c>
      <c r="FF99" s="41" t="str">
        <f t="shared" si="676"/>
        <v>-</v>
      </c>
      <c r="FG99" s="41" t="str">
        <f t="shared" si="677"/>
        <v>-</v>
      </c>
      <c r="FH99" s="41" t="str">
        <f t="shared" si="678"/>
        <v>-</v>
      </c>
      <c r="FI99" s="41" t="str">
        <f t="shared" si="679"/>
        <v>-</v>
      </c>
      <c r="FJ99" s="41" t="str">
        <f t="shared" si="680"/>
        <v>-</v>
      </c>
      <c r="FK99" s="41" t="str">
        <f t="shared" si="681"/>
        <v>-</v>
      </c>
      <c r="FL99" s="41" t="str">
        <f t="shared" si="682"/>
        <v>-</v>
      </c>
      <c r="FM99" s="41" t="str">
        <f t="shared" si="683"/>
        <v>-</v>
      </c>
      <c r="FN99" s="41" t="str">
        <f t="shared" si="684"/>
        <v>-</v>
      </c>
      <c r="FO99" s="41" t="str">
        <f t="shared" si="685"/>
        <v>-</v>
      </c>
      <c r="FP99" s="41" t="str">
        <f t="shared" si="686"/>
        <v>-</v>
      </c>
      <c r="FQ99" s="41" t="str">
        <f t="shared" si="687"/>
        <v>-</v>
      </c>
      <c r="FR99" s="41" t="str">
        <f t="shared" si="688"/>
        <v>-</v>
      </c>
      <c r="FS99" s="41" t="str">
        <f t="shared" si="689"/>
        <v>-</v>
      </c>
      <c r="FT99" s="41" t="str">
        <f t="shared" si="690"/>
        <v>-</v>
      </c>
      <c r="FU99" s="41" t="str">
        <f t="shared" si="691"/>
        <v>-</v>
      </c>
      <c r="FV99" s="41" t="str">
        <f t="shared" si="692"/>
        <v>-</v>
      </c>
      <c r="FW99" s="41" t="str">
        <f t="shared" si="693"/>
        <v>-</v>
      </c>
      <c r="FX99" s="41" t="str">
        <f t="shared" si="694"/>
        <v>-</v>
      </c>
      <c r="FY99" s="41" t="str">
        <f t="shared" si="695"/>
        <v>-</v>
      </c>
      <c r="FZ99" s="41" t="str">
        <f t="shared" si="696"/>
        <v>-</v>
      </c>
      <c r="GA99" s="41" t="str">
        <f t="shared" si="697"/>
        <v>-</v>
      </c>
      <c r="GB99" s="41" t="str">
        <f t="shared" si="698"/>
        <v>-</v>
      </c>
      <c r="GC99" s="41" t="str">
        <f t="shared" si="699"/>
        <v>-</v>
      </c>
      <c r="GD99" s="41" t="str">
        <f t="shared" si="700"/>
        <v>-</v>
      </c>
      <c r="GE99" s="41" t="str">
        <f t="shared" si="701"/>
        <v>-</v>
      </c>
      <c r="GF99" s="41" t="str">
        <f t="shared" si="702"/>
        <v>-</v>
      </c>
      <c r="GG99" s="41" t="str">
        <f t="shared" si="703"/>
        <v>-</v>
      </c>
      <c r="GH99" s="41" t="str">
        <f t="shared" si="704"/>
        <v>-</v>
      </c>
      <c r="GI99" s="41" t="str">
        <f t="shared" si="705"/>
        <v>-</v>
      </c>
      <c r="GJ99" s="41" t="str">
        <f t="shared" si="706"/>
        <v>-</v>
      </c>
      <c r="GK99" s="41" t="str">
        <f t="shared" si="707"/>
        <v>-</v>
      </c>
      <c r="GL99" s="41" t="str">
        <f t="shared" si="708"/>
        <v>-</v>
      </c>
      <c r="GM99" s="41" t="str">
        <f t="shared" si="709"/>
        <v>-</v>
      </c>
      <c r="GN99" s="41" t="str">
        <f t="shared" si="710"/>
        <v>-</v>
      </c>
      <c r="GO99" s="41" t="str">
        <f t="shared" si="711"/>
        <v>-</v>
      </c>
      <c r="GP99" s="41" t="str">
        <f t="shared" si="712"/>
        <v>-</v>
      </c>
      <c r="GQ99" s="41" t="str">
        <f t="shared" si="713"/>
        <v>-</v>
      </c>
      <c r="GR99" s="41" t="str">
        <f t="shared" si="714"/>
        <v>-</v>
      </c>
      <c r="GS99" s="41" t="str">
        <f t="shared" si="715"/>
        <v>-</v>
      </c>
      <c r="GT99" s="41" t="str">
        <f t="shared" si="716"/>
        <v>-</v>
      </c>
      <c r="GU99" s="41" t="str">
        <f t="shared" si="717"/>
        <v>-</v>
      </c>
      <c r="GV99" s="41" t="str">
        <f t="shared" si="718"/>
        <v>-</v>
      </c>
      <c r="GW99" s="41" t="str">
        <f t="shared" si="719"/>
        <v>-</v>
      </c>
      <c r="GX99" s="41" t="str">
        <f t="shared" si="720"/>
        <v>-</v>
      </c>
      <c r="GY99" s="41" t="str">
        <f t="shared" si="721"/>
        <v>-</v>
      </c>
      <c r="GZ99" s="41" t="str">
        <f t="shared" si="722"/>
        <v>-</v>
      </c>
      <c r="HA99" s="41" t="str">
        <f t="shared" si="723"/>
        <v>-</v>
      </c>
      <c r="HB99" s="41" t="str">
        <f t="shared" si="724"/>
        <v>-</v>
      </c>
      <c r="HC99" s="41" t="str">
        <f t="shared" si="725"/>
        <v>-</v>
      </c>
      <c r="HD99" s="41" t="str">
        <f t="shared" si="726"/>
        <v>-</v>
      </c>
      <c r="HE99" s="41" t="str">
        <f t="shared" si="727"/>
        <v>-</v>
      </c>
      <c r="HF99" s="41" t="str">
        <f t="shared" si="728"/>
        <v>-</v>
      </c>
      <c r="HG99" s="41" t="str">
        <f t="shared" si="729"/>
        <v>-</v>
      </c>
      <c r="HH99" s="41" t="str">
        <f t="shared" si="730"/>
        <v>-</v>
      </c>
      <c r="HI99" s="41" t="str">
        <f t="shared" si="731"/>
        <v>-</v>
      </c>
      <c r="HJ99" s="41" t="str">
        <f t="shared" si="732"/>
        <v>-</v>
      </c>
      <c r="HK99" s="41" t="str">
        <f t="shared" si="733"/>
        <v>-</v>
      </c>
      <c r="HL99" s="41" t="str">
        <f t="shared" si="734"/>
        <v>-</v>
      </c>
      <c r="HM99" s="41" t="str">
        <f t="shared" si="735"/>
        <v>-</v>
      </c>
      <c r="HN99" s="41" t="str">
        <f t="shared" si="736"/>
        <v>-</v>
      </c>
      <c r="HO99" s="41" t="str">
        <f t="shared" si="737"/>
        <v>-</v>
      </c>
      <c r="HP99" s="41" t="str">
        <f t="shared" si="738"/>
        <v>-</v>
      </c>
      <c r="HQ99" s="41" t="str">
        <f t="shared" si="739"/>
        <v>-</v>
      </c>
      <c r="HR99" s="41" t="str">
        <f t="shared" si="740"/>
        <v>-</v>
      </c>
      <c r="HS99" s="41" t="str">
        <f t="shared" si="741"/>
        <v>-</v>
      </c>
      <c r="HT99" s="41" t="str">
        <f t="shared" si="742"/>
        <v>-</v>
      </c>
      <c r="HU99" s="41" t="str">
        <f t="shared" si="743"/>
        <v>-</v>
      </c>
      <c r="HV99" s="41" t="str">
        <f t="shared" si="744"/>
        <v>-</v>
      </c>
      <c r="HW99" s="41" t="str">
        <f t="shared" si="745"/>
        <v>-</v>
      </c>
      <c r="HX99" s="41" t="str">
        <f t="shared" si="746"/>
        <v>-</v>
      </c>
      <c r="HY99" s="41" t="str">
        <f t="shared" si="747"/>
        <v>-</v>
      </c>
      <c r="HZ99" s="41" t="str">
        <f t="shared" si="748"/>
        <v>-</v>
      </c>
      <c r="IA99" s="41" t="str">
        <f t="shared" si="749"/>
        <v>-</v>
      </c>
      <c r="IB99" s="41" t="str">
        <f t="shared" si="750"/>
        <v>-</v>
      </c>
      <c r="IC99" s="41" t="str">
        <f t="shared" si="751"/>
        <v>-</v>
      </c>
      <c r="ID99" s="41" t="str">
        <f t="shared" si="752"/>
        <v>-</v>
      </c>
      <c r="IE99" s="41" t="str">
        <f t="shared" si="753"/>
        <v>-</v>
      </c>
      <c r="IF99" s="41" t="str">
        <f t="shared" si="754"/>
        <v>-</v>
      </c>
      <c r="IG99" s="306" t="str">
        <f t="shared" si="755"/>
        <v>-</v>
      </c>
      <c r="IH99" s="44" t="str">
        <f t="shared" si="756"/>
        <v>-</v>
      </c>
      <c r="II99" s="44" t="str">
        <f t="shared" si="757"/>
        <v>-</v>
      </c>
      <c r="IJ99" s="44" t="str">
        <f t="shared" si="758"/>
        <v>-</v>
      </c>
      <c r="IK99" s="44" t="str">
        <f t="shared" si="759"/>
        <v>-</v>
      </c>
      <c r="IL99" s="44" t="str">
        <f t="shared" si="760"/>
        <v>-</v>
      </c>
      <c r="IM99" s="306" t="str">
        <f t="shared" si="761"/>
        <v/>
      </c>
      <c r="IN99" s="44" t="str">
        <f t="shared" si="762"/>
        <v/>
      </c>
      <c r="IO99" s="44" t="str">
        <f t="shared" si="763"/>
        <v/>
      </c>
      <c r="IP99" s="44" t="str">
        <f t="shared" si="764"/>
        <v/>
      </c>
      <c r="IQ99" s="44" t="str">
        <f t="shared" si="765"/>
        <v/>
      </c>
      <c r="IR99" s="44" t="str">
        <f t="shared" si="766"/>
        <v/>
      </c>
      <c r="IS99" s="306" t="str">
        <f t="shared" si="767"/>
        <v/>
      </c>
      <c r="IT99" s="44" t="str">
        <f t="shared" si="768"/>
        <v/>
      </c>
      <c r="IU99" s="44" t="str">
        <f t="shared" si="769"/>
        <v/>
      </c>
      <c r="IV99" s="44" t="str">
        <f t="shared" si="770"/>
        <v/>
      </c>
      <c r="IW99" s="44" t="str">
        <f t="shared" si="771"/>
        <v/>
      </c>
      <c r="IX99" s="44" t="str">
        <f t="shared" si="772"/>
        <v/>
      </c>
      <c r="IY99" s="306" t="str">
        <f t="shared" si="773"/>
        <v/>
      </c>
      <c r="IZ99" s="44" t="str">
        <f t="shared" si="774"/>
        <v/>
      </c>
      <c r="JA99" s="44" t="str">
        <f t="shared" si="775"/>
        <v/>
      </c>
      <c r="JB99" s="44" t="str">
        <f t="shared" si="776"/>
        <v/>
      </c>
      <c r="JC99" s="44" t="str">
        <f t="shared" si="777"/>
        <v/>
      </c>
      <c r="JD99" s="307" t="str">
        <f t="shared" si="778"/>
        <v/>
      </c>
      <c r="JF99" s="66">
        <f t="shared" si="779"/>
        <v>99</v>
      </c>
      <c r="JG99" s="66">
        <f t="shared" ca="1" si="789"/>
        <v>0</v>
      </c>
      <c r="JH99" s="66">
        <f t="shared" ca="1" si="790"/>
        <v>0</v>
      </c>
      <c r="JI99" s="66">
        <f t="shared" ca="1" si="791"/>
        <v>0</v>
      </c>
      <c r="JJ99" s="66">
        <f t="shared" ca="1" si="792"/>
        <v>0</v>
      </c>
      <c r="JK99" s="33"/>
      <c r="JL99" s="74" t="str">
        <f t="shared" ca="1" si="793"/>
        <v>-</v>
      </c>
      <c r="JM99" s="75">
        <f t="shared" ca="1" si="794"/>
        <v>0</v>
      </c>
      <c r="JN99" s="75">
        <f t="shared" ca="1" si="795"/>
        <v>0</v>
      </c>
      <c r="JO99" s="74" t="str">
        <f t="shared" ca="1" si="796"/>
        <v>-</v>
      </c>
      <c r="JP99" s="74">
        <f t="shared" ca="1" si="797"/>
        <v>0</v>
      </c>
    </row>
    <row r="100" spans="1:276" hidden="1" x14ac:dyDescent="0.35">
      <c r="A100" s="125" t="s">
        <v>805</v>
      </c>
      <c r="B100" s="125" t="s">
        <v>805</v>
      </c>
      <c r="C100" s="125" t="s">
        <v>805</v>
      </c>
      <c r="E100" s="142" t="s">
        <v>832</v>
      </c>
      <c r="F100" s="254" t="s">
        <v>718</v>
      </c>
      <c r="G100" t="s">
        <v>530</v>
      </c>
      <c r="H100" t="s">
        <v>539</v>
      </c>
      <c r="I100" t="s">
        <v>536</v>
      </c>
      <c r="J100" s="211" t="s">
        <v>805</v>
      </c>
      <c r="K100" t="s">
        <v>805</v>
      </c>
      <c r="L100" t="s">
        <v>805</v>
      </c>
      <c r="M100" t="s">
        <v>805</v>
      </c>
      <c r="N100" t="s">
        <v>805</v>
      </c>
      <c r="O100" t="s">
        <v>805</v>
      </c>
      <c r="P100" t="s">
        <v>805</v>
      </c>
      <c r="Q100" t="s">
        <v>805</v>
      </c>
      <c r="R100" t="s">
        <v>805</v>
      </c>
      <c r="S100" t="s">
        <v>805</v>
      </c>
      <c r="T100" t="s">
        <v>805</v>
      </c>
      <c r="U100" t="s">
        <v>805</v>
      </c>
      <c r="V100" t="s">
        <v>805</v>
      </c>
      <c r="W100" t="s">
        <v>805</v>
      </c>
      <c r="X100" t="s">
        <v>805</v>
      </c>
      <c r="Y100" t="s">
        <v>805</v>
      </c>
      <c r="Z100" t="s">
        <v>805</v>
      </c>
      <c r="AA100" t="s">
        <v>805</v>
      </c>
      <c r="AB100" t="s">
        <v>805</v>
      </c>
      <c r="AC100" t="s">
        <v>805</v>
      </c>
      <c r="AD100" t="s">
        <v>805</v>
      </c>
      <c r="AE100" t="s">
        <v>805</v>
      </c>
      <c r="AF100" t="s">
        <v>805</v>
      </c>
      <c r="AG100" t="s">
        <v>805</v>
      </c>
      <c r="AH100" t="s">
        <v>805</v>
      </c>
      <c r="AI100" t="s">
        <v>805</v>
      </c>
      <c r="AJ100" t="s">
        <v>805</v>
      </c>
      <c r="AK100" t="s">
        <v>805</v>
      </c>
      <c r="AL100" t="s">
        <v>805</v>
      </c>
      <c r="AM100" t="s">
        <v>805</v>
      </c>
      <c r="AN100" t="s">
        <v>805</v>
      </c>
      <c r="AO100" t="s">
        <v>805</v>
      </c>
      <c r="AP100" t="s">
        <v>805</v>
      </c>
      <c r="AQ100" t="s">
        <v>805</v>
      </c>
      <c r="AR100" t="s">
        <v>805</v>
      </c>
      <c r="AS100" t="s">
        <v>805</v>
      </c>
      <c r="AT100" t="s">
        <v>805</v>
      </c>
      <c r="AU100" t="s">
        <v>805</v>
      </c>
      <c r="AV100" t="s">
        <v>805</v>
      </c>
      <c r="AW100" t="s">
        <v>805</v>
      </c>
      <c r="AX100" t="s">
        <v>805</v>
      </c>
      <c r="AY100" t="s">
        <v>805</v>
      </c>
      <c r="AZ100" t="s">
        <v>805</v>
      </c>
      <c r="BA100" t="s">
        <v>805</v>
      </c>
      <c r="BB100" t="s">
        <v>805</v>
      </c>
      <c r="BC100" t="s">
        <v>805</v>
      </c>
      <c r="BD100" t="s">
        <v>805</v>
      </c>
      <c r="BE100" t="s">
        <v>805</v>
      </c>
      <c r="BF100" t="s">
        <v>805</v>
      </c>
      <c r="BG100" t="s">
        <v>805</v>
      </c>
      <c r="BH100" t="s">
        <v>805</v>
      </c>
      <c r="BI100" t="s">
        <v>805</v>
      </c>
      <c r="BJ100" t="s">
        <v>805</v>
      </c>
      <c r="BK100" t="s">
        <v>805</v>
      </c>
      <c r="BL100" t="s">
        <v>805</v>
      </c>
      <c r="BM100" t="s">
        <v>805</v>
      </c>
      <c r="BN100" t="s">
        <v>805</v>
      </c>
      <c r="BO100" t="s">
        <v>805</v>
      </c>
      <c r="BP100" t="s">
        <v>805</v>
      </c>
      <c r="BQ100" t="s">
        <v>805</v>
      </c>
      <c r="BR100" t="s">
        <v>805</v>
      </c>
      <c r="BS100" t="s">
        <v>805</v>
      </c>
      <c r="BT100" t="s">
        <v>805</v>
      </c>
      <c r="BU100" t="s">
        <v>805</v>
      </c>
      <c r="BV100" t="s">
        <v>805</v>
      </c>
      <c r="BW100" t="s">
        <v>805</v>
      </c>
      <c r="BX100" t="s">
        <v>805</v>
      </c>
      <c r="BY100" t="s">
        <v>805</v>
      </c>
      <c r="BZ100" t="s">
        <v>805</v>
      </c>
      <c r="CA100" t="s">
        <v>805</v>
      </c>
      <c r="CB100" t="s">
        <v>805</v>
      </c>
      <c r="CC100" t="s">
        <v>805</v>
      </c>
      <c r="CD100" t="s">
        <v>805</v>
      </c>
      <c r="CE100" t="s">
        <v>805</v>
      </c>
      <c r="CF100" t="s">
        <v>805</v>
      </c>
      <c r="CG100" t="s">
        <v>805</v>
      </c>
      <c r="CH100" t="s">
        <v>805</v>
      </c>
      <c r="CI100" t="s">
        <v>805</v>
      </c>
      <c r="CJ100" t="s">
        <v>805</v>
      </c>
      <c r="CK100" t="s">
        <v>805</v>
      </c>
      <c r="CL100" t="s">
        <v>805</v>
      </c>
      <c r="CM100" t="s">
        <v>805</v>
      </c>
      <c r="CN100" t="s">
        <v>805</v>
      </c>
      <c r="CO100" t="s">
        <v>805</v>
      </c>
      <c r="CP100" t="s">
        <v>805</v>
      </c>
      <c r="CQ100" t="s">
        <v>805</v>
      </c>
      <c r="CR100" t="s">
        <v>805</v>
      </c>
      <c r="CS100" t="s">
        <v>805</v>
      </c>
      <c r="CT100" t="s">
        <v>805</v>
      </c>
      <c r="CU100" t="s">
        <v>805</v>
      </c>
      <c r="CV100" t="s">
        <v>805</v>
      </c>
      <c r="CW100" t="s">
        <v>805</v>
      </c>
      <c r="CX100" t="s">
        <v>805</v>
      </c>
      <c r="CY100" t="s">
        <v>805</v>
      </c>
      <c r="CZ100" t="s">
        <v>805</v>
      </c>
      <c r="DA100" t="s">
        <v>805</v>
      </c>
      <c r="DB100" t="s">
        <v>805</v>
      </c>
      <c r="DC100" t="s">
        <v>805</v>
      </c>
      <c r="DD100" t="s">
        <v>805</v>
      </c>
      <c r="DE100" t="s">
        <v>805</v>
      </c>
      <c r="DF100" t="s">
        <v>805</v>
      </c>
      <c r="DG100" s="28">
        <f>VLOOKUP(E100,'KPI Count-SHARE'!A:F,3,0)</f>
        <v>0</v>
      </c>
      <c r="DH100" t="s">
        <v>805</v>
      </c>
      <c r="DI100" t="s">
        <v>805</v>
      </c>
      <c r="DJ100" t="s">
        <v>805</v>
      </c>
      <c r="DK100" t="s">
        <v>805</v>
      </c>
      <c r="DL100" t="s">
        <v>805</v>
      </c>
      <c r="DM100" t="s">
        <v>805</v>
      </c>
      <c r="DN100" s="28">
        <f>VLOOKUP(E100,'KPI Count-SHARE'!A:F,4,0)</f>
        <v>0</v>
      </c>
      <c r="DU100" s="28">
        <f>VLOOKUP(E100,'KPI Count-SHARE'!A:F,5,0)</f>
        <v>0</v>
      </c>
      <c r="EB100" s="28">
        <f>VLOOKUP(E100,'KPI Count-SHARE'!A:F,6,0)</f>
        <v>0</v>
      </c>
      <c r="EI100" t="str">
        <f>XCurrency &amp; " '000 per account"</f>
        <v>USD '000 per account</v>
      </c>
      <c r="EJ100" s="41" t="str">
        <f t="shared" si="654"/>
        <v>-</v>
      </c>
      <c r="EK100" s="41" t="str">
        <f t="shared" si="655"/>
        <v>-</v>
      </c>
      <c r="EL100" s="41" t="str">
        <f t="shared" si="656"/>
        <v>-</v>
      </c>
      <c r="EM100" s="41" t="str">
        <f t="shared" si="657"/>
        <v>-</v>
      </c>
      <c r="EN100" s="41" t="str">
        <f t="shared" si="658"/>
        <v>-</v>
      </c>
      <c r="EO100" s="41" t="str">
        <f t="shared" si="659"/>
        <v>-</v>
      </c>
      <c r="EP100" s="41" t="str">
        <f t="shared" si="660"/>
        <v>-</v>
      </c>
      <c r="EQ100" s="41" t="str">
        <f t="shared" si="661"/>
        <v>-</v>
      </c>
      <c r="ER100" s="41" t="str">
        <f t="shared" si="662"/>
        <v>-</v>
      </c>
      <c r="ES100" s="41" t="str">
        <f t="shared" si="663"/>
        <v>-</v>
      </c>
      <c r="ET100" s="41" t="str">
        <f t="shared" si="664"/>
        <v>-</v>
      </c>
      <c r="EU100" s="41" t="str">
        <f t="shared" si="665"/>
        <v>-</v>
      </c>
      <c r="EV100" s="41" t="str">
        <f t="shared" si="666"/>
        <v>-</v>
      </c>
      <c r="EW100" s="41" t="str">
        <f t="shared" si="667"/>
        <v>-</v>
      </c>
      <c r="EX100" s="41" t="str">
        <f t="shared" si="668"/>
        <v>-</v>
      </c>
      <c r="EY100" s="41" t="str">
        <f t="shared" si="669"/>
        <v>-</v>
      </c>
      <c r="EZ100" s="41" t="str">
        <f t="shared" si="670"/>
        <v>-</v>
      </c>
      <c r="FA100" s="41" t="str">
        <f t="shared" si="671"/>
        <v>-</v>
      </c>
      <c r="FB100" s="41" t="str">
        <f t="shared" si="672"/>
        <v>-</v>
      </c>
      <c r="FC100" s="41" t="str">
        <f t="shared" si="673"/>
        <v>-</v>
      </c>
      <c r="FD100" s="41" t="str">
        <f t="shared" si="674"/>
        <v>-</v>
      </c>
      <c r="FE100" s="41" t="str">
        <f t="shared" si="675"/>
        <v>-</v>
      </c>
      <c r="FF100" s="41" t="str">
        <f t="shared" si="676"/>
        <v>-</v>
      </c>
      <c r="FG100" s="41" t="str">
        <f t="shared" si="677"/>
        <v>-</v>
      </c>
      <c r="FH100" s="41" t="str">
        <f t="shared" si="678"/>
        <v>-</v>
      </c>
      <c r="FI100" s="41" t="str">
        <f t="shared" si="679"/>
        <v>-</v>
      </c>
      <c r="FJ100" s="41" t="str">
        <f t="shared" si="680"/>
        <v>-</v>
      </c>
      <c r="FK100" s="41" t="str">
        <f t="shared" si="681"/>
        <v>-</v>
      </c>
      <c r="FL100" s="41" t="str">
        <f t="shared" si="682"/>
        <v>-</v>
      </c>
      <c r="FM100" s="41" t="str">
        <f t="shared" si="683"/>
        <v>-</v>
      </c>
      <c r="FN100" s="41" t="str">
        <f t="shared" si="684"/>
        <v>-</v>
      </c>
      <c r="FO100" s="41" t="str">
        <f t="shared" si="685"/>
        <v>-</v>
      </c>
      <c r="FP100" s="41" t="str">
        <f t="shared" si="686"/>
        <v>-</v>
      </c>
      <c r="FQ100" s="41" t="str">
        <f t="shared" si="687"/>
        <v>-</v>
      </c>
      <c r="FR100" s="41" t="str">
        <f t="shared" si="688"/>
        <v>-</v>
      </c>
      <c r="FS100" s="41" t="str">
        <f t="shared" si="689"/>
        <v>-</v>
      </c>
      <c r="FT100" s="41" t="str">
        <f t="shared" si="690"/>
        <v>-</v>
      </c>
      <c r="FU100" s="41" t="str">
        <f t="shared" si="691"/>
        <v>-</v>
      </c>
      <c r="FV100" s="41" t="str">
        <f t="shared" si="692"/>
        <v>-</v>
      </c>
      <c r="FW100" s="41" t="str">
        <f t="shared" si="693"/>
        <v>-</v>
      </c>
      <c r="FX100" s="41" t="str">
        <f t="shared" si="694"/>
        <v>-</v>
      </c>
      <c r="FY100" s="41" t="str">
        <f t="shared" si="695"/>
        <v>-</v>
      </c>
      <c r="FZ100" s="41" t="str">
        <f t="shared" si="696"/>
        <v>-</v>
      </c>
      <c r="GA100" s="41" t="str">
        <f t="shared" si="697"/>
        <v>-</v>
      </c>
      <c r="GB100" s="41" t="str">
        <f t="shared" si="698"/>
        <v>-</v>
      </c>
      <c r="GC100" s="41" t="str">
        <f t="shared" si="699"/>
        <v>-</v>
      </c>
      <c r="GD100" s="41" t="str">
        <f t="shared" si="700"/>
        <v>-</v>
      </c>
      <c r="GE100" s="41" t="str">
        <f t="shared" si="701"/>
        <v>-</v>
      </c>
      <c r="GF100" s="41" t="str">
        <f t="shared" si="702"/>
        <v>-</v>
      </c>
      <c r="GG100" s="41" t="str">
        <f t="shared" si="703"/>
        <v>-</v>
      </c>
      <c r="GH100" s="41" t="str">
        <f t="shared" si="704"/>
        <v>-</v>
      </c>
      <c r="GI100" s="41" t="str">
        <f t="shared" si="705"/>
        <v>-</v>
      </c>
      <c r="GJ100" s="41" t="str">
        <f t="shared" si="706"/>
        <v>-</v>
      </c>
      <c r="GK100" s="41" t="str">
        <f t="shared" si="707"/>
        <v>-</v>
      </c>
      <c r="GL100" s="41" t="str">
        <f t="shared" si="708"/>
        <v>-</v>
      </c>
      <c r="GM100" s="41" t="str">
        <f t="shared" si="709"/>
        <v>-</v>
      </c>
      <c r="GN100" s="41" t="str">
        <f t="shared" si="710"/>
        <v>-</v>
      </c>
      <c r="GO100" s="41" t="str">
        <f t="shared" si="711"/>
        <v>-</v>
      </c>
      <c r="GP100" s="41" t="str">
        <f t="shared" si="712"/>
        <v>-</v>
      </c>
      <c r="GQ100" s="41" t="str">
        <f t="shared" si="713"/>
        <v>-</v>
      </c>
      <c r="GR100" s="41" t="str">
        <f t="shared" si="714"/>
        <v>-</v>
      </c>
      <c r="GS100" s="41" t="str">
        <f t="shared" si="715"/>
        <v>-</v>
      </c>
      <c r="GT100" s="41" t="str">
        <f t="shared" si="716"/>
        <v>-</v>
      </c>
      <c r="GU100" s="41" t="str">
        <f t="shared" si="717"/>
        <v>-</v>
      </c>
      <c r="GV100" s="41" t="str">
        <f t="shared" si="718"/>
        <v>-</v>
      </c>
      <c r="GW100" s="41" t="str">
        <f t="shared" si="719"/>
        <v>-</v>
      </c>
      <c r="GX100" s="41" t="str">
        <f t="shared" si="720"/>
        <v>-</v>
      </c>
      <c r="GY100" s="41" t="str">
        <f t="shared" si="721"/>
        <v>-</v>
      </c>
      <c r="GZ100" s="41" t="str">
        <f t="shared" si="722"/>
        <v>-</v>
      </c>
      <c r="HA100" s="41" t="str">
        <f t="shared" si="723"/>
        <v>-</v>
      </c>
      <c r="HB100" s="41" t="str">
        <f t="shared" si="724"/>
        <v>-</v>
      </c>
      <c r="HC100" s="41" t="str">
        <f t="shared" si="725"/>
        <v>-</v>
      </c>
      <c r="HD100" s="41" t="str">
        <f t="shared" si="726"/>
        <v>-</v>
      </c>
      <c r="HE100" s="41" t="str">
        <f t="shared" si="727"/>
        <v>-</v>
      </c>
      <c r="HF100" s="41" t="str">
        <f t="shared" si="728"/>
        <v>-</v>
      </c>
      <c r="HG100" s="41" t="str">
        <f t="shared" si="729"/>
        <v>-</v>
      </c>
      <c r="HH100" s="41" t="str">
        <f t="shared" si="730"/>
        <v>-</v>
      </c>
      <c r="HI100" s="41" t="str">
        <f t="shared" si="731"/>
        <v>-</v>
      </c>
      <c r="HJ100" s="41" t="str">
        <f t="shared" si="732"/>
        <v>-</v>
      </c>
      <c r="HK100" s="41" t="str">
        <f t="shared" si="733"/>
        <v>-</v>
      </c>
      <c r="HL100" s="41" t="str">
        <f t="shared" si="734"/>
        <v>-</v>
      </c>
      <c r="HM100" s="41" t="str">
        <f t="shared" si="735"/>
        <v>-</v>
      </c>
      <c r="HN100" s="41" t="str">
        <f t="shared" si="736"/>
        <v>-</v>
      </c>
      <c r="HO100" s="41" t="str">
        <f t="shared" si="737"/>
        <v>-</v>
      </c>
      <c r="HP100" s="41" t="str">
        <f t="shared" si="738"/>
        <v>-</v>
      </c>
      <c r="HQ100" s="41" t="str">
        <f t="shared" si="739"/>
        <v>-</v>
      </c>
      <c r="HR100" s="41" t="str">
        <f t="shared" si="740"/>
        <v>-</v>
      </c>
      <c r="HS100" s="41" t="str">
        <f t="shared" si="741"/>
        <v>-</v>
      </c>
      <c r="HT100" s="41" t="str">
        <f t="shared" si="742"/>
        <v>-</v>
      </c>
      <c r="HU100" s="41" t="str">
        <f t="shared" si="743"/>
        <v>-</v>
      </c>
      <c r="HV100" s="41" t="str">
        <f t="shared" si="744"/>
        <v>-</v>
      </c>
      <c r="HW100" s="41" t="str">
        <f t="shared" si="745"/>
        <v>-</v>
      </c>
      <c r="HX100" s="41" t="str">
        <f t="shared" si="746"/>
        <v>-</v>
      </c>
      <c r="HY100" s="41" t="str">
        <f t="shared" si="747"/>
        <v>-</v>
      </c>
      <c r="HZ100" s="41" t="str">
        <f t="shared" si="748"/>
        <v>-</v>
      </c>
      <c r="IA100" s="41" t="str">
        <f t="shared" si="749"/>
        <v>-</v>
      </c>
      <c r="IB100" s="41" t="str">
        <f t="shared" si="750"/>
        <v>-</v>
      </c>
      <c r="IC100" s="41" t="str">
        <f t="shared" si="751"/>
        <v>-</v>
      </c>
      <c r="ID100" s="41" t="str">
        <f t="shared" si="752"/>
        <v>-</v>
      </c>
      <c r="IE100" s="41" t="str">
        <f t="shared" si="753"/>
        <v>-</v>
      </c>
      <c r="IF100" s="41" t="str">
        <f t="shared" si="754"/>
        <v>-</v>
      </c>
      <c r="IG100" s="306" t="str">
        <f t="shared" si="755"/>
        <v>-</v>
      </c>
      <c r="IH100" s="44" t="str">
        <f t="shared" si="756"/>
        <v>-</v>
      </c>
      <c r="II100" s="44" t="str">
        <f t="shared" si="757"/>
        <v>-</v>
      </c>
      <c r="IJ100" s="44" t="str">
        <f t="shared" si="758"/>
        <v>-</v>
      </c>
      <c r="IK100" s="44" t="str">
        <f t="shared" si="759"/>
        <v>-</v>
      </c>
      <c r="IL100" s="44" t="str">
        <f t="shared" si="760"/>
        <v>-</v>
      </c>
      <c r="IM100" s="306" t="str">
        <f t="shared" si="761"/>
        <v/>
      </c>
      <c r="IN100" s="44" t="str">
        <f t="shared" si="762"/>
        <v/>
      </c>
      <c r="IO100" s="44" t="str">
        <f t="shared" si="763"/>
        <v/>
      </c>
      <c r="IP100" s="44" t="str">
        <f t="shared" si="764"/>
        <v/>
      </c>
      <c r="IQ100" s="44" t="str">
        <f t="shared" si="765"/>
        <v/>
      </c>
      <c r="IR100" s="44" t="str">
        <f t="shared" si="766"/>
        <v/>
      </c>
      <c r="IS100" s="306" t="str">
        <f t="shared" si="767"/>
        <v/>
      </c>
      <c r="IT100" s="44" t="str">
        <f t="shared" si="768"/>
        <v/>
      </c>
      <c r="IU100" s="44" t="str">
        <f t="shared" si="769"/>
        <v/>
      </c>
      <c r="IV100" s="44" t="str">
        <f t="shared" si="770"/>
        <v/>
      </c>
      <c r="IW100" s="44" t="str">
        <f t="shared" si="771"/>
        <v/>
      </c>
      <c r="IX100" s="44" t="str">
        <f t="shared" si="772"/>
        <v/>
      </c>
      <c r="IY100" s="306" t="str">
        <f t="shared" si="773"/>
        <v/>
      </c>
      <c r="IZ100" s="44" t="str">
        <f t="shared" si="774"/>
        <v/>
      </c>
      <c r="JA100" s="44" t="str">
        <f t="shared" si="775"/>
        <v/>
      </c>
      <c r="JB100" s="44" t="str">
        <f t="shared" si="776"/>
        <v/>
      </c>
      <c r="JC100" s="44" t="str">
        <f t="shared" si="777"/>
        <v/>
      </c>
      <c r="JD100" s="307" t="str">
        <f t="shared" si="778"/>
        <v/>
      </c>
      <c r="JF100" s="66">
        <f t="shared" si="779"/>
        <v>100</v>
      </c>
      <c r="JG100" s="66">
        <f t="shared" ca="1" si="789"/>
        <v>0</v>
      </c>
      <c r="JH100" s="66">
        <f t="shared" ca="1" si="790"/>
        <v>0</v>
      </c>
      <c r="JI100" s="66">
        <f t="shared" ca="1" si="791"/>
        <v>0</v>
      </c>
      <c r="JJ100" s="66">
        <f t="shared" ca="1" si="792"/>
        <v>0</v>
      </c>
      <c r="JK100" s="33"/>
      <c r="JL100" s="74" t="str">
        <f t="shared" ca="1" si="793"/>
        <v>-</v>
      </c>
      <c r="JM100" s="75">
        <f t="shared" ca="1" si="794"/>
        <v>0</v>
      </c>
      <c r="JN100" s="75">
        <f t="shared" ca="1" si="795"/>
        <v>0</v>
      </c>
      <c r="JO100" s="74" t="str">
        <f t="shared" ca="1" si="796"/>
        <v>-</v>
      </c>
      <c r="JP100" s="74">
        <f t="shared" ca="1" si="797"/>
        <v>0</v>
      </c>
    </row>
    <row r="101" spans="1:276" hidden="1" x14ac:dyDescent="0.35">
      <c r="A101" s="125" t="s">
        <v>805</v>
      </c>
      <c r="B101" s="125" t="s">
        <v>805</v>
      </c>
      <c r="C101" s="125" t="s">
        <v>805</v>
      </c>
      <c r="E101" s="142" t="s">
        <v>833</v>
      </c>
      <c r="F101" s="254" t="s">
        <v>719</v>
      </c>
      <c r="G101" t="s">
        <v>530</v>
      </c>
      <c r="H101" t="s">
        <v>790</v>
      </c>
      <c r="I101" t="s">
        <v>536</v>
      </c>
      <c r="J101" s="211" t="s">
        <v>805</v>
      </c>
      <c r="K101" t="s">
        <v>805</v>
      </c>
      <c r="L101" t="s">
        <v>805</v>
      </c>
      <c r="M101" t="s">
        <v>805</v>
      </c>
      <c r="N101" t="s">
        <v>805</v>
      </c>
      <c r="O101" t="s">
        <v>805</v>
      </c>
      <c r="P101" t="s">
        <v>805</v>
      </c>
      <c r="Q101" t="s">
        <v>805</v>
      </c>
      <c r="R101" t="s">
        <v>805</v>
      </c>
      <c r="S101" t="s">
        <v>805</v>
      </c>
      <c r="T101" t="s">
        <v>805</v>
      </c>
      <c r="U101" t="s">
        <v>805</v>
      </c>
      <c r="V101" t="s">
        <v>805</v>
      </c>
      <c r="W101" t="s">
        <v>805</v>
      </c>
      <c r="X101" t="s">
        <v>805</v>
      </c>
      <c r="Y101" t="s">
        <v>805</v>
      </c>
      <c r="Z101" t="s">
        <v>805</v>
      </c>
      <c r="AA101" t="s">
        <v>805</v>
      </c>
      <c r="AB101" t="s">
        <v>805</v>
      </c>
      <c r="AC101" t="s">
        <v>805</v>
      </c>
      <c r="AD101" t="s">
        <v>805</v>
      </c>
      <c r="AE101" t="s">
        <v>805</v>
      </c>
      <c r="AF101" t="s">
        <v>805</v>
      </c>
      <c r="AG101" t="s">
        <v>805</v>
      </c>
      <c r="AH101" t="s">
        <v>805</v>
      </c>
      <c r="AI101" t="s">
        <v>805</v>
      </c>
      <c r="AJ101" t="s">
        <v>805</v>
      </c>
      <c r="AK101" t="s">
        <v>805</v>
      </c>
      <c r="AL101" t="s">
        <v>805</v>
      </c>
      <c r="AM101" t="s">
        <v>805</v>
      </c>
      <c r="AN101" t="s">
        <v>805</v>
      </c>
      <c r="AO101" t="s">
        <v>805</v>
      </c>
      <c r="AP101" t="s">
        <v>805</v>
      </c>
      <c r="AQ101" t="s">
        <v>805</v>
      </c>
      <c r="AR101" t="s">
        <v>805</v>
      </c>
      <c r="AS101" t="s">
        <v>805</v>
      </c>
      <c r="AT101" t="s">
        <v>805</v>
      </c>
      <c r="AU101" t="s">
        <v>805</v>
      </c>
      <c r="AV101" t="s">
        <v>805</v>
      </c>
      <c r="AW101" t="s">
        <v>805</v>
      </c>
      <c r="AX101" t="s">
        <v>805</v>
      </c>
      <c r="AY101" t="s">
        <v>805</v>
      </c>
      <c r="AZ101" t="s">
        <v>805</v>
      </c>
      <c r="BA101" t="s">
        <v>805</v>
      </c>
      <c r="BB101" t="s">
        <v>805</v>
      </c>
      <c r="BC101" t="s">
        <v>805</v>
      </c>
      <c r="BD101" t="s">
        <v>805</v>
      </c>
      <c r="BE101" t="s">
        <v>805</v>
      </c>
      <c r="BF101" t="s">
        <v>805</v>
      </c>
      <c r="BG101" t="s">
        <v>805</v>
      </c>
      <c r="BH101" t="s">
        <v>805</v>
      </c>
      <c r="BI101" t="s">
        <v>805</v>
      </c>
      <c r="BJ101" t="s">
        <v>805</v>
      </c>
      <c r="BK101" t="s">
        <v>805</v>
      </c>
      <c r="BL101" t="s">
        <v>805</v>
      </c>
      <c r="BM101" t="s">
        <v>805</v>
      </c>
      <c r="BN101" t="s">
        <v>805</v>
      </c>
      <c r="BO101" t="s">
        <v>805</v>
      </c>
      <c r="BP101" t="s">
        <v>805</v>
      </c>
      <c r="BQ101" t="s">
        <v>805</v>
      </c>
      <c r="BR101" t="s">
        <v>805</v>
      </c>
      <c r="BS101" t="s">
        <v>805</v>
      </c>
      <c r="BT101" t="s">
        <v>805</v>
      </c>
      <c r="BU101" t="s">
        <v>805</v>
      </c>
      <c r="BV101" t="s">
        <v>805</v>
      </c>
      <c r="BW101" t="s">
        <v>805</v>
      </c>
      <c r="BX101" t="s">
        <v>805</v>
      </c>
      <c r="BY101" t="s">
        <v>805</v>
      </c>
      <c r="BZ101" t="s">
        <v>805</v>
      </c>
      <c r="CA101" t="s">
        <v>805</v>
      </c>
      <c r="CB101" t="s">
        <v>805</v>
      </c>
      <c r="CC101" t="s">
        <v>805</v>
      </c>
      <c r="CD101" t="s">
        <v>805</v>
      </c>
      <c r="CE101" t="s">
        <v>805</v>
      </c>
      <c r="CF101" t="s">
        <v>805</v>
      </c>
      <c r="CG101" t="s">
        <v>805</v>
      </c>
      <c r="CH101" t="s">
        <v>805</v>
      </c>
      <c r="CI101" t="s">
        <v>805</v>
      </c>
      <c r="CJ101" t="s">
        <v>805</v>
      </c>
      <c r="CK101" t="s">
        <v>805</v>
      </c>
      <c r="CL101" t="s">
        <v>805</v>
      </c>
      <c r="CM101" t="s">
        <v>805</v>
      </c>
      <c r="CN101" t="s">
        <v>805</v>
      </c>
      <c r="CO101" t="s">
        <v>805</v>
      </c>
      <c r="CP101" t="s">
        <v>805</v>
      </c>
      <c r="CQ101" t="s">
        <v>805</v>
      </c>
      <c r="CR101" t="s">
        <v>805</v>
      </c>
      <c r="CS101" t="s">
        <v>805</v>
      </c>
      <c r="CT101" t="s">
        <v>805</v>
      </c>
      <c r="CU101" t="s">
        <v>805</v>
      </c>
      <c r="CV101" t="s">
        <v>805</v>
      </c>
      <c r="CW101" t="s">
        <v>805</v>
      </c>
      <c r="CX101" t="s">
        <v>805</v>
      </c>
      <c r="CY101" t="s">
        <v>805</v>
      </c>
      <c r="CZ101" t="s">
        <v>805</v>
      </c>
      <c r="DA101" t="s">
        <v>805</v>
      </c>
      <c r="DB101" t="s">
        <v>805</v>
      </c>
      <c r="DC101" t="s">
        <v>805</v>
      </c>
      <c r="DD101" t="s">
        <v>805</v>
      </c>
      <c r="DE101" t="s">
        <v>805</v>
      </c>
      <c r="DF101" t="s">
        <v>805</v>
      </c>
      <c r="DG101" s="28">
        <f>VLOOKUP(E101,'KPI Count-SHARE'!A:F,3,0)</f>
        <v>0</v>
      </c>
      <c r="DH101" t="s">
        <v>805</v>
      </c>
      <c r="DI101" t="s">
        <v>805</v>
      </c>
      <c r="DJ101" t="s">
        <v>805</v>
      </c>
      <c r="DK101" t="s">
        <v>805</v>
      </c>
      <c r="DL101" t="s">
        <v>805</v>
      </c>
      <c r="DM101" t="s">
        <v>805</v>
      </c>
      <c r="DN101" s="28">
        <f>VLOOKUP(E101,'KPI Count-SHARE'!A:F,4,0)</f>
        <v>0</v>
      </c>
      <c r="DU101" s="28">
        <f>VLOOKUP(E101,'KPI Count-SHARE'!A:F,5,0)</f>
        <v>0</v>
      </c>
      <c r="EB101" s="28">
        <f>VLOOKUP(E101,'KPI Count-SHARE'!A:F,6,0)</f>
        <v>0</v>
      </c>
      <c r="EI101" t="str">
        <f>XCurrency &amp; " '000 per bearing"</f>
        <v>USD '000 per bearing</v>
      </c>
      <c r="EJ101" s="41" t="str">
        <f t="shared" si="654"/>
        <v>-</v>
      </c>
      <c r="EK101" s="41" t="str">
        <f t="shared" si="655"/>
        <v>-</v>
      </c>
      <c r="EL101" s="41" t="str">
        <f t="shared" si="656"/>
        <v>-</v>
      </c>
      <c r="EM101" s="41" t="str">
        <f t="shared" si="657"/>
        <v>-</v>
      </c>
      <c r="EN101" s="41" t="str">
        <f t="shared" si="658"/>
        <v>-</v>
      </c>
      <c r="EO101" s="41" t="str">
        <f t="shared" si="659"/>
        <v>-</v>
      </c>
      <c r="EP101" s="41" t="str">
        <f t="shared" si="660"/>
        <v>-</v>
      </c>
      <c r="EQ101" s="41" t="str">
        <f t="shared" si="661"/>
        <v>-</v>
      </c>
      <c r="ER101" s="41" t="str">
        <f t="shared" si="662"/>
        <v>-</v>
      </c>
      <c r="ES101" s="41" t="str">
        <f t="shared" si="663"/>
        <v>-</v>
      </c>
      <c r="ET101" s="41" t="str">
        <f t="shared" si="664"/>
        <v>-</v>
      </c>
      <c r="EU101" s="41" t="str">
        <f t="shared" si="665"/>
        <v>-</v>
      </c>
      <c r="EV101" s="41" t="str">
        <f t="shared" si="666"/>
        <v>-</v>
      </c>
      <c r="EW101" s="41" t="str">
        <f t="shared" si="667"/>
        <v>-</v>
      </c>
      <c r="EX101" s="41" t="str">
        <f t="shared" si="668"/>
        <v>-</v>
      </c>
      <c r="EY101" s="41" t="str">
        <f t="shared" si="669"/>
        <v>-</v>
      </c>
      <c r="EZ101" s="41" t="str">
        <f t="shared" si="670"/>
        <v>-</v>
      </c>
      <c r="FA101" s="41" t="str">
        <f t="shared" si="671"/>
        <v>-</v>
      </c>
      <c r="FB101" s="41" t="str">
        <f t="shared" si="672"/>
        <v>-</v>
      </c>
      <c r="FC101" s="41" t="str">
        <f t="shared" si="673"/>
        <v>-</v>
      </c>
      <c r="FD101" s="41" t="str">
        <f t="shared" si="674"/>
        <v>-</v>
      </c>
      <c r="FE101" s="41" t="str">
        <f t="shared" si="675"/>
        <v>-</v>
      </c>
      <c r="FF101" s="41" t="str">
        <f t="shared" si="676"/>
        <v>-</v>
      </c>
      <c r="FG101" s="41" t="str">
        <f t="shared" si="677"/>
        <v>-</v>
      </c>
      <c r="FH101" s="41" t="str">
        <f t="shared" si="678"/>
        <v>-</v>
      </c>
      <c r="FI101" s="41" t="str">
        <f t="shared" si="679"/>
        <v>-</v>
      </c>
      <c r="FJ101" s="41" t="str">
        <f t="shared" si="680"/>
        <v>-</v>
      </c>
      <c r="FK101" s="41" t="str">
        <f t="shared" si="681"/>
        <v>-</v>
      </c>
      <c r="FL101" s="41" t="str">
        <f t="shared" si="682"/>
        <v>-</v>
      </c>
      <c r="FM101" s="41" t="str">
        <f t="shared" si="683"/>
        <v>-</v>
      </c>
      <c r="FN101" s="41" t="str">
        <f t="shared" si="684"/>
        <v>-</v>
      </c>
      <c r="FO101" s="41" t="str">
        <f t="shared" si="685"/>
        <v>-</v>
      </c>
      <c r="FP101" s="41" t="str">
        <f t="shared" si="686"/>
        <v>-</v>
      </c>
      <c r="FQ101" s="41" t="str">
        <f t="shared" si="687"/>
        <v>-</v>
      </c>
      <c r="FR101" s="41" t="str">
        <f t="shared" si="688"/>
        <v>-</v>
      </c>
      <c r="FS101" s="41" t="str">
        <f t="shared" si="689"/>
        <v>-</v>
      </c>
      <c r="FT101" s="41" t="str">
        <f t="shared" si="690"/>
        <v>-</v>
      </c>
      <c r="FU101" s="41" t="str">
        <f t="shared" si="691"/>
        <v>-</v>
      </c>
      <c r="FV101" s="41" t="str">
        <f t="shared" si="692"/>
        <v>-</v>
      </c>
      <c r="FW101" s="41" t="str">
        <f t="shared" si="693"/>
        <v>-</v>
      </c>
      <c r="FX101" s="41" t="str">
        <f t="shared" si="694"/>
        <v>-</v>
      </c>
      <c r="FY101" s="41" t="str">
        <f t="shared" si="695"/>
        <v>-</v>
      </c>
      <c r="FZ101" s="41" t="str">
        <f t="shared" si="696"/>
        <v>-</v>
      </c>
      <c r="GA101" s="41" t="str">
        <f t="shared" si="697"/>
        <v>-</v>
      </c>
      <c r="GB101" s="41" t="str">
        <f t="shared" si="698"/>
        <v>-</v>
      </c>
      <c r="GC101" s="41" t="str">
        <f t="shared" si="699"/>
        <v>-</v>
      </c>
      <c r="GD101" s="41" t="str">
        <f t="shared" si="700"/>
        <v>-</v>
      </c>
      <c r="GE101" s="41" t="str">
        <f t="shared" si="701"/>
        <v>-</v>
      </c>
      <c r="GF101" s="41" t="str">
        <f t="shared" si="702"/>
        <v>-</v>
      </c>
      <c r="GG101" s="41" t="str">
        <f t="shared" si="703"/>
        <v>-</v>
      </c>
      <c r="GH101" s="41" t="str">
        <f t="shared" si="704"/>
        <v>-</v>
      </c>
      <c r="GI101" s="41" t="str">
        <f t="shared" si="705"/>
        <v>-</v>
      </c>
      <c r="GJ101" s="41" t="str">
        <f t="shared" si="706"/>
        <v>-</v>
      </c>
      <c r="GK101" s="41" t="str">
        <f t="shared" si="707"/>
        <v>-</v>
      </c>
      <c r="GL101" s="41" t="str">
        <f t="shared" si="708"/>
        <v>-</v>
      </c>
      <c r="GM101" s="41" t="str">
        <f t="shared" si="709"/>
        <v>-</v>
      </c>
      <c r="GN101" s="41" t="str">
        <f t="shared" si="710"/>
        <v>-</v>
      </c>
      <c r="GO101" s="41" t="str">
        <f t="shared" si="711"/>
        <v>-</v>
      </c>
      <c r="GP101" s="41" t="str">
        <f t="shared" si="712"/>
        <v>-</v>
      </c>
      <c r="GQ101" s="41" t="str">
        <f t="shared" si="713"/>
        <v>-</v>
      </c>
      <c r="GR101" s="41" t="str">
        <f t="shared" si="714"/>
        <v>-</v>
      </c>
      <c r="GS101" s="41" t="str">
        <f t="shared" si="715"/>
        <v>-</v>
      </c>
      <c r="GT101" s="41" t="str">
        <f t="shared" si="716"/>
        <v>-</v>
      </c>
      <c r="GU101" s="41" t="str">
        <f t="shared" si="717"/>
        <v>-</v>
      </c>
      <c r="GV101" s="41" t="str">
        <f t="shared" si="718"/>
        <v>-</v>
      </c>
      <c r="GW101" s="41" t="str">
        <f t="shared" si="719"/>
        <v>-</v>
      </c>
      <c r="GX101" s="41" t="str">
        <f t="shared" si="720"/>
        <v>-</v>
      </c>
      <c r="GY101" s="41" t="str">
        <f t="shared" si="721"/>
        <v>-</v>
      </c>
      <c r="GZ101" s="41" t="str">
        <f t="shared" si="722"/>
        <v>-</v>
      </c>
      <c r="HA101" s="41" t="str">
        <f t="shared" si="723"/>
        <v>-</v>
      </c>
      <c r="HB101" s="41" t="str">
        <f t="shared" si="724"/>
        <v>-</v>
      </c>
      <c r="HC101" s="41" t="str">
        <f t="shared" si="725"/>
        <v>-</v>
      </c>
      <c r="HD101" s="41" t="str">
        <f t="shared" si="726"/>
        <v>-</v>
      </c>
      <c r="HE101" s="41" t="str">
        <f t="shared" si="727"/>
        <v>-</v>
      </c>
      <c r="HF101" s="41" t="str">
        <f t="shared" si="728"/>
        <v>-</v>
      </c>
      <c r="HG101" s="41" t="str">
        <f t="shared" si="729"/>
        <v>-</v>
      </c>
      <c r="HH101" s="41" t="str">
        <f t="shared" si="730"/>
        <v>-</v>
      </c>
      <c r="HI101" s="41" t="str">
        <f t="shared" si="731"/>
        <v>-</v>
      </c>
      <c r="HJ101" s="41" t="str">
        <f t="shared" si="732"/>
        <v>-</v>
      </c>
      <c r="HK101" s="41" t="str">
        <f t="shared" si="733"/>
        <v>-</v>
      </c>
      <c r="HL101" s="41" t="str">
        <f t="shared" si="734"/>
        <v>-</v>
      </c>
      <c r="HM101" s="41" t="str">
        <f t="shared" si="735"/>
        <v>-</v>
      </c>
      <c r="HN101" s="41" t="str">
        <f t="shared" si="736"/>
        <v>-</v>
      </c>
      <c r="HO101" s="41" t="str">
        <f t="shared" si="737"/>
        <v>-</v>
      </c>
      <c r="HP101" s="41" t="str">
        <f t="shared" si="738"/>
        <v>-</v>
      </c>
      <c r="HQ101" s="41" t="str">
        <f t="shared" si="739"/>
        <v>-</v>
      </c>
      <c r="HR101" s="41" t="str">
        <f t="shared" si="740"/>
        <v>-</v>
      </c>
      <c r="HS101" s="41" t="str">
        <f t="shared" si="741"/>
        <v>-</v>
      </c>
      <c r="HT101" s="41" t="str">
        <f t="shared" si="742"/>
        <v>-</v>
      </c>
      <c r="HU101" s="41" t="str">
        <f t="shared" si="743"/>
        <v>-</v>
      </c>
      <c r="HV101" s="41" t="str">
        <f t="shared" si="744"/>
        <v>-</v>
      </c>
      <c r="HW101" s="41" t="str">
        <f t="shared" si="745"/>
        <v>-</v>
      </c>
      <c r="HX101" s="41" t="str">
        <f t="shared" si="746"/>
        <v>-</v>
      </c>
      <c r="HY101" s="41" t="str">
        <f t="shared" si="747"/>
        <v>-</v>
      </c>
      <c r="HZ101" s="41" t="str">
        <f t="shared" si="748"/>
        <v>-</v>
      </c>
      <c r="IA101" s="41" t="str">
        <f t="shared" si="749"/>
        <v>-</v>
      </c>
      <c r="IB101" s="41" t="str">
        <f t="shared" si="750"/>
        <v>-</v>
      </c>
      <c r="IC101" s="41" t="str">
        <f t="shared" si="751"/>
        <v>-</v>
      </c>
      <c r="ID101" s="41" t="str">
        <f t="shared" si="752"/>
        <v>-</v>
      </c>
      <c r="IE101" s="41" t="str">
        <f t="shared" si="753"/>
        <v>-</v>
      </c>
      <c r="IF101" s="41" t="str">
        <f t="shared" si="754"/>
        <v>-</v>
      </c>
      <c r="IG101" s="306" t="str">
        <f t="shared" si="755"/>
        <v>-</v>
      </c>
      <c r="IH101" s="44" t="str">
        <f t="shared" si="756"/>
        <v>-</v>
      </c>
      <c r="II101" s="44" t="str">
        <f t="shared" si="757"/>
        <v>-</v>
      </c>
      <c r="IJ101" s="44" t="str">
        <f t="shared" si="758"/>
        <v>-</v>
      </c>
      <c r="IK101" s="44" t="str">
        <f t="shared" si="759"/>
        <v>-</v>
      </c>
      <c r="IL101" s="44" t="str">
        <f t="shared" si="760"/>
        <v>-</v>
      </c>
      <c r="IM101" s="306" t="str">
        <f t="shared" si="761"/>
        <v/>
      </c>
      <c r="IN101" s="44" t="str">
        <f t="shared" si="762"/>
        <v/>
      </c>
      <c r="IO101" s="44" t="str">
        <f t="shared" si="763"/>
        <v/>
      </c>
      <c r="IP101" s="44" t="str">
        <f t="shared" si="764"/>
        <v/>
      </c>
      <c r="IQ101" s="44" t="str">
        <f t="shared" si="765"/>
        <v/>
      </c>
      <c r="IR101" s="44" t="str">
        <f t="shared" si="766"/>
        <v/>
      </c>
      <c r="IS101" s="306" t="str">
        <f t="shared" si="767"/>
        <v/>
      </c>
      <c r="IT101" s="44" t="str">
        <f t="shared" si="768"/>
        <v/>
      </c>
      <c r="IU101" s="44" t="str">
        <f t="shared" si="769"/>
        <v/>
      </c>
      <c r="IV101" s="44" t="str">
        <f t="shared" si="770"/>
        <v/>
      </c>
      <c r="IW101" s="44" t="str">
        <f t="shared" si="771"/>
        <v/>
      </c>
      <c r="IX101" s="44" t="str">
        <f t="shared" si="772"/>
        <v/>
      </c>
      <c r="IY101" s="306" t="str">
        <f t="shared" si="773"/>
        <v/>
      </c>
      <c r="IZ101" s="44" t="str">
        <f t="shared" si="774"/>
        <v/>
      </c>
      <c r="JA101" s="44" t="str">
        <f t="shared" si="775"/>
        <v/>
      </c>
      <c r="JB101" s="44" t="str">
        <f t="shared" si="776"/>
        <v/>
      </c>
      <c r="JC101" s="44" t="str">
        <f t="shared" si="777"/>
        <v/>
      </c>
      <c r="JD101" s="307" t="str">
        <f t="shared" si="778"/>
        <v/>
      </c>
      <c r="JF101" s="66">
        <f t="shared" si="779"/>
        <v>101</v>
      </c>
      <c r="JG101" s="66">
        <f t="shared" ca="1" si="789"/>
        <v>0</v>
      </c>
      <c r="JH101" s="66">
        <f t="shared" ca="1" si="790"/>
        <v>0</v>
      </c>
      <c r="JI101" s="66">
        <f t="shared" ca="1" si="791"/>
        <v>0</v>
      </c>
      <c r="JJ101" s="66">
        <f t="shared" ca="1" si="792"/>
        <v>0</v>
      </c>
      <c r="JK101" s="33"/>
      <c r="JL101" s="74" t="str">
        <f t="shared" ca="1" si="793"/>
        <v>-</v>
      </c>
      <c r="JM101" s="75">
        <f t="shared" ca="1" si="794"/>
        <v>0</v>
      </c>
      <c r="JN101" s="75">
        <f t="shared" ca="1" si="795"/>
        <v>0</v>
      </c>
      <c r="JO101" s="74" t="str">
        <f t="shared" ca="1" si="796"/>
        <v>-</v>
      </c>
      <c r="JP101" s="74">
        <f t="shared" ca="1" si="797"/>
        <v>0</v>
      </c>
    </row>
    <row r="102" spans="1:276" hidden="1" x14ac:dyDescent="0.35">
      <c r="A102" s="125" t="s">
        <v>805</v>
      </c>
      <c r="B102" s="125" t="s">
        <v>805</v>
      </c>
      <c r="C102" s="125" t="s">
        <v>805</v>
      </c>
      <c r="E102" s="142" t="s">
        <v>834</v>
      </c>
      <c r="F102" s="254" t="s">
        <v>720</v>
      </c>
      <c r="G102" t="s">
        <v>530</v>
      </c>
      <c r="H102" t="s">
        <v>790</v>
      </c>
      <c r="I102" t="s">
        <v>536</v>
      </c>
      <c r="J102" s="211" t="s">
        <v>805</v>
      </c>
      <c r="K102" t="s">
        <v>805</v>
      </c>
      <c r="L102" t="s">
        <v>805</v>
      </c>
      <c r="M102" t="s">
        <v>805</v>
      </c>
      <c r="N102" t="s">
        <v>805</v>
      </c>
      <c r="O102" t="s">
        <v>805</v>
      </c>
      <c r="P102" t="s">
        <v>805</v>
      </c>
      <c r="Q102" t="s">
        <v>805</v>
      </c>
      <c r="R102" t="s">
        <v>805</v>
      </c>
      <c r="S102" t="s">
        <v>805</v>
      </c>
      <c r="T102" t="s">
        <v>805</v>
      </c>
      <c r="U102" t="s">
        <v>805</v>
      </c>
      <c r="V102" t="s">
        <v>805</v>
      </c>
      <c r="W102" t="s">
        <v>805</v>
      </c>
      <c r="X102" t="s">
        <v>805</v>
      </c>
      <c r="Y102" t="s">
        <v>805</v>
      </c>
      <c r="Z102" t="s">
        <v>805</v>
      </c>
      <c r="AA102" t="s">
        <v>805</v>
      </c>
      <c r="AB102" t="s">
        <v>805</v>
      </c>
      <c r="AC102" t="s">
        <v>805</v>
      </c>
      <c r="AD102" t="s">
        <v>805</v>
      </c>
      <c r="AE102" t="s">
        <v>805</v>
      </c>
      <c r="AF102" t="s">
        <v>805</v>
      </c>
      <c r="AG102" t="s">
        <v>805</v>
      </c>
      <c r="AH102" t="s">
        <v>805</v>
      </c>
      <c r="AI102" t="s">
        <v>805</v>
      </c>
      <c r="AJ102" t="s">
        <v>805</v>
      </c>
      <c r="AK102" t="s">
        <v>805</v>
      </c>
      <c r="AL102" t="s">
        <v>805</v>
      </c>
      <c r="AM102" t="s">
        <v>805</v>
      </c>
      <c r="AN102" t="s">
        <v>805</v>
      </c>
      <c r="AO102" t="s">
        <v>805</v>
      </c>
      <c r="AP102" t="s">
        <v>805</v>
      </c>
      <c r="AQ102" t="s">
        <v>805</v>
      </c>
      <c r="AR102" t="s">
        <v>805</v>
      </c>
      <c r="AS102" t="s">
        <v>805</v>
      </c>
      <c r="AT102" t="s">
        <v>805</v>
      </c>
      <c r="AU102" t="s">
        <v>805</v>
      </c>
      <c r="AV102" t="s">
        <v>805</v>
      </c>
      <c r="AW102" t="s">
        <v>805</v>
      </c>
      <c r="AX102" t="s">
        <v>805</v>
      </c>
      <c r="AY102" t="s">
        <v>805</v>
      </c>
      <c r="AZ102" t="s">
        <v>805</v>
      </c>
      <c r="BA102" t="s">
        <v>805</v>
      </c>
      <c r="BB102" t="s">
        <v>805</v>
      </c>
      <c r="BC102" t="s">
        <v>805</v>
      </c>
      <c r="BD102" t="s">
        <v>805</v>
      </c>
      <c r="BE102" t="s">
        <v>805</v>
      </c>
      <c r="BF102" t="s">
        <v>805</v>
      </c>
      <c r="BG102" t="s">
        <v>805</v>
      </c>
      <c r="BH102" t="s">
        <v>805</v>
      </c>
      <c r="BI102" t="s">
        <v>805</v>
      </c>
      <c r="BJ102" t="s">
        <v>805</v>
      </c>
      <c r="BK102" t="s">
        <v>805</v>
      </c>
      <c r="BL102" t="s">
        <v>805</v>
      </c>
      <c r="BM102" t="s">
        <v>805</v>
      </c>
      <c r="BN102" t="s">
        <v>805</v>
      </c>
      <c r="BO102" t="s">
        <v>805</v>
      </c>
      <c r="BP102" t="s">
        <v>805</v>
      </c>
      <c r="BQ102" t="s">
        <v>805</v>
      </c>
      <c r="BR102" t="s">
        <v>805</v>
      </c>
      <c r="BS102" t="s">
        <v>805</v>
      </c>
      <c r="BT102" t="s">
        <v>805</v>
      </c>
      <c r="BU102" t="s">
        <v>805</v>
      </c>
      <c r="BV102" t="s">
        <v>805</v>
      </c>
      <c r="BW102" t="s">
        <v>805</v>
      </c>
      <c r="BX102" t="s">
        <v>805</v>
      </c>
      <c r="BY102" t="s">
        <v>805</v>
      </c>
      <c r="BZ102" t="s">
        <v>805</v>
      </c>
      <c r="CA102" t="s">
        <v>805</v>
      </c>
      <c r="CB102" t="s">
        <v>805</v>
      </c>
      <c r="CC102" t="s">
        <v>805</v>
      </c>
      <c r="CD102" t="s">
        <v>805</v>
      </c>
      <c r="CE102" t="s">
        <v>805</v>
      </c>
      <c r="CF102" t="s">
        <v>805</v>
      </c>
      <c r="CG102" t="s">
        <v>805</v>
      </c>
      <c r="CH102" t="s">
        <v>805</v>
      </c>
      <c r="CI102" t="s">
        <v>805</v>
      </c>
      <c r="CJ102" t="s">
        <v>805</v>
      </c>
      <c r="CK102" t="s">
        <v>805</v>
      </c>
      <c r="CL102" t="s">
        <v>805</v>
      </c>
      <c r="CM102" t="s">
        <v>805</v>
      </c>
      <c r="CN102" t="s">
        <v>805</v>
      </c>
      <c r="CO102" t="s">
        <v>805</v>
      </c>
      <c r="CP102" t="s">
        <v>805</v>
      </c>
      <c r="CQ102" t="s">
        <v>805</v>
      </c>
      <c r="CR102" t="s">
        <v>805</v>
      </c>
      <c r="CS102" t="s">
        <v>805</v>
      </c>
      <c r="CT102" t="s">
        <v>805</v>
      </c>
      <c r="CU102" t="s">
        <v>805</v>
      </c>
      <c r="CV102" t="s">
        <v>805</v>
      </c>
      <c r="CW102" t="s">
        <v>805</v>
      </c>
      <c r="CX102" t="s">
        <v>805</v>
      </c>
      <c r="CY102" t="s">
        <v>805</v>
      </c>
      <c r="CZ102" t="s">
        <v>805</v>
      </c>
      <c r="DA102" t="s">
        <v>805</v>
      </c>
      <c r="DB102" t="s">
        <v>805</v>
      </c>
      <c r="DC102" t="s">
        <v>805</v>
      </c>
      <c r="DD102" t="s">
        <v>805</v>
      </c>
      <c r="DE102" t="s">
        <v>805</v>
      </c>
      <c r="DF102" t="s">
        <v>805</v>
      </c>
      <c r="DG102" s="28">
        <f>VLOOKUP(E102,'KPI Count-SHARE'!A:F,3,0)</f>
        <v>0</v>
      </c>
      <c r="DH102" t="s">
        <v>805</v>
      </c>
      <c r="DI102" t="s">
        <v>805</v>
      </c>
      <c r="DJ102" t="s">
        <v>805</v>
      </c>
      <c r="DK102" t="s">
        <v>805</v>
      </c>
      <c r="DL102" t="s">
        <v>805</v>
      </c>
      <c r="DM102" t="s">
        <v>805</v>
      </c>
      <c r="DN102" s="28">
        <f>VLOOKUP(E102,'KPI Count-SHARE'!A:F,4,0)</f>
        <v>0</v>
      </c>
      <c r="DU102" s="28">
        <f>VLOOKUP(E102,'KPI Count-SHARE'!A:F,5,0)</f>
        <v>0</v>
      </c>
      <c r="EB102" s="28">
        <f>VLOOKUP(E102,'KPI Count-SHARE'!A:F,6,0)</f>
        <v>0</v>
      </c>
      <c r="EI102" t="str">
        <f>XCurrency &amp; " '000 per bearing"</f>
        <v>USD '000 per bearing</v>
      </c>
      <c r="EJ102" s="41" t="str">
        <f t="shared" si="654"/>
        <v>-</v>
      </c>
      <c r="EK102" s="41" t="str">
        <f t="shared" si="655"/>
        <v>-</v>
      </c>
      <c r="EL102" s="41" t="str">
        <f t="shared" si="656"/>
        <v>-</v>
      </c>
      <c r="EM102" s="41" t="str">
        <f t="shared" si="657"/>
        <v>-</v>
      </c>
      <c r="EN102" s="41" t="str">
        <f t="shared" si="658"/>
        <v>-</v>
      </c>
      <c r="EO102" s="41" t="str">
        <f t="shared" si="659"/>
        <v>-</v>
      </c>
      <c r="EP102" s="41" t="str">
        <f t="shared" si="660"/>
        <v>-</v>
      </c>
      <c r="EQ102" s="41" t="str">
        <f t="shared" si="661"/>
        <v>-</v>
      </c>
      <c r="ER102" s="41" t="str">
        <f t="shared" si="662"/>
        <v>-</v>
      </c>
      <c r="ES102" s="41" t="str">
        <f t="shared" si="663"/>
        <v>-</v>
      </c>
      <c r="ET102" s="41" t="str">
        <f t="shared" si="664"/>
        <v>-</v>
      </c>
      <c r="EU102" s="41" t="str">
        <f t="shared" si="665"/>
        <v>-</v>
      </c>
      <c r="EV102" s="41" t="str">
        <f t="shared" si="666"/>
        <v>-</v>
      </c>
      <c r="EW102" s="41" t="str">
        <f t="shared" si="667"/>
        <v>-</v>
      </c>
      <c r="EX102" s="41" t="str">
        <f t="shared" si="668"/>
        <v>-</v>
      </c>
      <c r="EY102" s="41" t="str">
        <f t="shared" si="669"/>
        <v>-</v>
      </c>
      <c r="EZ102" s="41" t="str">
        <f t="shared" si="670"/>
        <v>-</v>
      </c>
      <c r="FA102" s="41" t="str">
        <f t="shared" si="671"/>
        <v>-</v>
      </c>
      <c r="FB102" s="41" t="str">
        <f t="shared" si="672"/>
        <v>-</v>
      </c>
      <c r="FC102" s="41" t="str">
        <f t="shared" si="673"/>
        <v>-</v>
      </c>
      <c r="FD102" s="41" t="str">
        <f t="shared" si="674"/>
        <v>-</v>
      </c>
      <c r="FE102" s="41" t="str">
        <f t="shared" si="675"/>
        <v>-</v>
      </c>
      <c r="FF102" s="41" t="str">
        <f t="shared" si="676"/>
        <v>-</v>
      </c>
      <c r="FG102" s="41" t="str">
        <f t="shared" si="677"/>
        <v>-</v>
      </c>
      <c r="FH102" s="41" t="str">
        <f t="shared" si="678"/>
        <v>-</v>
      </c>
      <c r="FI102" s="41" t="str">
        <f t="shared" si="679"/>
        <v>-</v>
      </c>
      <c r="FJ102" s="41" t="str">
        <f t="shared" si="680"/>
        <v>-</v>
      </c>
      <c r="FK102" s="41" t="str">
        <f t="shared" si="681"/>
        <v>-</v>
      </c>
      <c r="FL102" s="41" t="str">
        <f t="shared" si="682"/>
        <v>-</v>
      </c>
      <c r="FM102" s="41" t="str">
        <f t="shared" si="683"/>
        <v>-</v>
      </c>
      <c r="FN102" s="41" t="str">
        <f t="shared" si="684"/>
        <v>-</v>
      </c>
      <c r="FO102" s="41" t="str">
        <f t="shared" si="685"/>
        <v>-</v>
      </c>
      <c r="FP102" s="41" t="str">
        <f t="shared" si="686"/>
        <v>-</v>
      </c>
      <c r="FQ102" s="41" t="str">
        <f t="shared" si="687"/>
        <v>-</v>
      </c>
      <c r="FR102" s="41" t="str">
        <f t="shared" si="688"/>
        <v>-</v>
      </c>
      <c r="FS102" s="41" t="str">
        <f t="shared" si="689"/>
        <v>-</v>
      </c>
      <c r="FT102" s="41" t="str">
        <f t="shared" si="690"/>
        <v>-</v>
      </c>
      <c r="FU102" s="41" t="str">
        <f t="shared" si="691"/>
        <v>-</v>
      </c>
      <c r="FV102" s="41" t="str">
        <f t="shared" si="692"/>
        <v>-</v>
      </c>
      <c r="FW102" s="41" t="str">
        <f t="shared" si="693"/>
        <v>-</v>
      </c>
      <c r="FX102" s="41" t="str">
        <f t="shared" si="694"/>
        <v>-</v>
      </c>
      <c r="FY102" s="41" t="str">
        <f t="shared" si="695"/>
        <v>-</v>
      </c>
      <c r="FZ102" s="41" t="str">
        <f t="shared" si="696"/>
        <v>-</v>
      </c>
      <c r="GA102" s="41" t="str">
        <f t="shared" si="697"/>
        <v>-</v>
      </c>
      <c r="GB102" s="41" t="str">
        <f t="shared" si="698"/>
        <v>-</v>
      </c>
      <c r="GC102" s="41" t="str">
        <f t="shared" si="699"/>
        <v>-</v>
      </c>
      <c r="GD102" s="41" t="str">
        <f t="shared" si="700"/>
        <v>-</v>
      </c>
      <c r="GE102" s="41" t="str">
        <f t="shared" si="701"/>
        <v>-</v>
      </c>
      <c r="GF102" s="41" t="str">
        <f t="shared" si="702"/>
        <v>-</v>
      </c>
      <c r="GG102" s="41" t="str">
        <f t="shared" si="703"/>
        <v>-</v>
      </c>
      <c r="GH102" s="41" t="str">
        <f t="shared" si="704"/>
        <v>-</v>
      </c>
      <c r="GI102" s="41" t="str">
        <f t="shared" si="705"/>
        <v>-</v>
      </c>
      <c r="GJ102" s="41" t="str">
        <f t="shared" si="706"/>
        <v>-</v>
      </c>
      <c r="GK102" s="41" t="str">
        <f t="shared" si="707"/>
        <v>-</v>
      </c>
      <c r="GL102" s="41" t="str">
        <f t="shared" si="708"/>
        <v>-</v>
      </c>
      <c r="GM102" s="41" t="str">
        <f t="shared" si="709"/>
        <v>-</v>
      </c>
      <c r="GN102" s="41" t="str">
        <f t="shared" si="710"/>
        <v>-</v>
      </c>
      <c r="GO102" s="41" t="str">
        <f t="shared" si="711"/>
        <v>-</v>
      </c>
      <c r="GP102" s="41" t="str">
        <f t="shared" si="712"/>
        <v>-</v>
      </c>
      <c r="GQ102" s="41" t="str">
        <f t="shared" si="713"/>
        <v>-</v>
      </c>
      <c r="GR102" s="41" t="str">
        <f t="shared" si="714"/>
        <v>-</v>
      </c>
      <c r="GS102" s="41" t="str">
        <f t="shared" si="715"/>
        <v>-</v>
      </c>
      <c r="GT102" s="41" t="str">
        <f t="shared" si="716"/>
        <v>-</v>
      </c>
      <c r="GU102" s="41" t="str">
        <f t="shared" si="717"/>
        <v>-</v>
      </c>
      <c r="GV102" s="41" t="str">
        <f t="shared" si="718"/>
        <v>-</v>
      </c>
      <c r="GW102" s="41" t="str">
        <f t="shared" si="719"/>
        <v>-</v>
      </c>
      <c r="GX102" s="41" t="str">
        <f t="shared" si="720"/>
        <v>-</v>
      </c>
      <c r="GY102" s="41" t="str">
        <f t="shared" si="721"/>
        <v>-</v>
      </c>
      <c r="GZ102" s="41" t="str">
        <f t="shared" si="722"/>
        <v>-</v>
      </c>
      <c r="HA102" s="41" t="str">
        <f t="shared" si="723"/>
        <v>-</v>
      </c>
      <c r="HB102" s="41" t="str">
        <f t="shared" si="724"/>
        <v>-</v>
      </c>
      <c r="HC102" s="41" t="str">
        <f t="shared" si="725"/>
        <v>-</v>
      </c>
      <c r="HD102" s="41" t="str">
        <f t="shared" si="726"/>
        <v>-</v>
      </c>
      <c r="HE102" s="41" t="str">
        <f t="shared" si="727"/>
        <v>-</v>
      </c>
      <c r="HF102" s="41" t="str">
        <f t="shared" si="728"/>
        <v>-</v>
      </c>
      <c r="HG102" s="41" t="str">
        <f t="shared" si="729"/>
        <v>-</v>
      </c>
      <c r="HH102" s="41" t="str">
        <f t="shared" si="730"/>
        <v>-</v>
      </c>
      <c r="HI102" s="41" t="str">
        <f t="shared" si="731"/>
        <v>-</v>
      </c>
      <c r="HJ102" s="41" t="str">
        <f t="shared" si="732"/>
        <v>-</v>
      </c>
      <c r="HK102" s="41" t="str">
        <f t="shared" si="733"/>
        <v>-</v>
      </c>
      <c r="HL102" s="41" t="str">
        <f t="shared" si="734"/>
        <v>-</v>
      </c>
      <c r="HM102" s="41" t="str">
        <f t="shared" si="735"/>
        <v>-</v>
      </c>
      <c r="HN102" s="41" t="str">
        <f t="shared" si="736"/>
        <v>-</v>
      </c>
      <c r="HO102" s="41" t="str">
        <f t="shared" si="737"/>
        <v>-</v>
      </c>
      <c r="HP102" s="41" t="str">
        <f t="shared" si="738"/>
        <v>-</v>
      </c>
      <c r="HQ102" s="41" t="str">
        <f t="shared" si="739"/>
        <v>-</v>
      </c>
      <c r="HR102" s="41" t="str">
        <f t="shared" si="740"/>
        <v>-</v>
      </c>
      <c r="HS102" s="41" t="str">
        <f t="shared" si="741"/>
        <v>-</v>
      </c>
      <c r="HT102" s="41" t="str">
        <f t="shared" si="742"/>
        <v>-</v>
      </c>
      <c r="HU102" s="41" t="str">
        <f t="shared" si="743"/>
        <v>-</v>
      </c>
      <c r="HV102" s="41" t="str">
        <f t="shared" si="744"/>
        <v>-</v>
      </c>
      <c r="HW102" s="41" t="str">
        <f t="shared" si="745"/>
        <v>-</v>
      </c>
      <c r="HX102" s="41" t="str">
        <f t="shared" si="746"/>
        <v>-</v>
      </c>
      <c r="HY102" s="41" t="str">
        <f t="shared" si="747"/>
        <v>-</v>
      </c>
      <c r="HZ102" s="41" t="str">
        <f t="shared" si="748"/>
        <v>-</v>
      </c>
      <c r="IA102" s="41" t="str">
        <f t="shared" si="749"/>
        <v>-</v>
      </c>
      <c r="IB102" s="41" t="str">
        <f t="shared" si="750"/>
        <v>-</v>
      </c>
      <c r="IC102" s="41" t="str">
        <f t="shared" si="751"/>
        <v>-</v>
      </c>
      <c r="ID102" s="41" t="str">
        <f t="shared" si="752"/>
        <v>-</v>
      </c>
      <c r="IE102" s="41" t="str">
        <f t="shared" si="753"/>
        <v>-</v>
      </c>
      <c r="IF102" s="41" t="str">
        <f t="shared" si="754"/>
        <v>-</v>
      </c>
      <c r="IG102" s="306" t="str">
        <f t="shared" si="755"/>
        <v>-</v>
      </c>
      <c r="IH102" s="44" t="str">
        <f t="shared" si="756"/>
        <v>-</v>
      </c>
      <c r="II102" s="44" t="str">
        <f t="shared" si="757"/>
        <v>-</v>
      </c>
      <c r="IJ102" s="44" t="str">
        <f t="shared" si="758"/>
        <v>-</v>
      </c>
      <c r="IK102" s="44" t="str">
        <f t="shared" si="759"/>
        <v>-</v>
      </c>
      <c r="IL102" s="44" t="str">
        <f t="shared" si="760"/>
        <v>-</v>
      </c>
      <c r="IM102" s="306" t="str">
        <f t="shared" si="761"/>
        <v/>
      </c>
      <c r="IN102" s="44" t="str">
        <f t="shared" si="762"/>
        <v/>
      </c>
      <c r="IO102" s="44" t="str">
        <f t="shared" si="763"/>
        <v/>
      </c>
      <c r="IP102" s="44" t="str">
        <f t="shared" si="764"/>
        <v/>
      </c>
      <c r="IQ102" s="44" t="str">
        <f t="shared" si="765"/>
        <v/>
      </c>
      <c r="IR102" s="44" t="str">
        <f t="shared" si="766"/>
        <v/>
      </c>
      <c r="IS102" s="306" t="str">
        <f t="shared" si="767"/>
        <v/>
      </c>
      <c r="IT102" s="44" t="str">
        <f t="shared" si="768"/>
        <v/>
      </c>
      <c r="IU102" s="44" t="str">
        <f t="shared" si="769"/>
        <v/>
      </c>
      <c r="IV102" s="44" t="str">
        <f t="shared" si="770"/>
        <v/>
      </c>
      <c r="IW102" s="44" t="str">
        <f t="shared" si="771"/>
        <v/>
      </c>
      <c r="IX102" s="44" t="str">
        <f t="shared" si="772"/>
        <v/>
      </c>
      <c r="IY102" s="306" t="str">
        <f t="shared" si="773"/>
        <v/>
      </c>
      <c r="IZ102" s="44" t="str">
        <f t="shared" si="774"/>
        <v/>
      </c>
      <c r="JA102" s="44" t="str">
        <f t="shared" si="775"/>
        <v/>
      </c>
      <c r="JB102" s="44" t="str">
        <f t="shared" si="776"/>
        <v/>
      </c>
      <c r="JC102" s="44" t="str">
        <f t="shared" si="777"/>
        <v/>
      </c>
      <c r="JD102" s="307" t="str">
        <f t="shared" si="778"/>
        <v/>
      </c>
      <c r="JF102" s="66">
        <f t="shared" si="779"/>
        <v>102</v>
      </c>
      <c r="JG102" s="66">
        <f t="shared" ca="1" si="789"/>
        <v>0</v>
      </c>
      <c r="JH102" s="66">
        <f t="shared" ca="1" si="790"/>
        <v>0</v>
      </c>
      <c r="JI102" s="66">
        <f t="shared" ca="1" si="791"/>
        <v>0</v>
      </c>
      <c r="JJ102" s="66">
        <f t="shared" ca="1" si="792"/>
        <v>0</v>
      </c>
      <c r="JK102" s="33"/>
      <c r="JL102" s="74" t="str">
        <f t="shared" ca="1" si="793"/>
        <v>-</v>
      </c>
      <c r="JM102" s="75">
        <f t="shared" ca="1" si="794"/>
        <v>0</v>
      </c>
      <c r="JN102" s="75">
        <f t="shared" ca="1" si="795"/>
        <v>0</v>
      </c>
      <c r="JO102" s="74" t="str">
        <f t="shared" ca="1" si="796"/>
        <v>-</v>
      </c>
      <c r="JP102" s="74">
        <f t="shared" ca="1" si="797"/>
        <v>0</v>
      </c>
    </row>
    <row r="103" spans="1:276" hidden="1" x14ac:dyDescent="0.35">
      <c r="A103" s="125" t="s">
        <v>805</v>
      </c>
      <c r="B103" s="125" t="s">
        <v>805</v>
      </c>
      <c r="C103" s="125" t="s">
        <v>805</v>
      </c>
      <c r="E103" s="142" t="s">
        <v>835</v>
      </c>
      <c r="F103" s="254" t="s">
        <v>721</v>
      </c>
      <c r="G103" t="s">
        <v>542</v>
      </c>
      <c r="H103" t="s">
        <v>531</v>
      </c>
      <c r="I103" t="s">
        <v>534</v>
      </c>
      <c r="J103" s="211" t="s">
        <v>805</v>
      </c>
      <c r="K103" t="s">
        <v>805</v>
      </c>
      <c r="L103" t="s">
        <v>805</v>
      </c>
      <c r="M103" t="s">
        <v>805</v>
      </c>
      <c r="N103" t="s">
        <v>805</v>
      </c>
      <c r="O103" t="s">
        <v>805</v>
      </c>
      <c r="P103" t="s">
        <v>805</v>
      </c>
      <c r="Q103" t="s">
        <v>805</v>
      </c>
      <c r="R103" t="s">
        <v>805</v>
      </c>
      <c r="S103" t="s">
        <v>805</v>
      </c>
      <c r="T103" t="s">
        <v>805</v>
      </c>
      <c r="U103" t="s">
        <v>805</v>
      </c>
      <c r="V103" t="s">
        <v>805</v>
      </c>
      <c r="W103" t="s">
        <v>805</v>
      </c>
      <c r="X103" t="s">
        <v>805</v>
      </c>
      <c r="Y103" t="s">
        <v>805</v>
      </c>
      <c r="Z103" t="s">
        <v>805</v>
      </c>
      <c r="AA103" t="s">
        <v>805</v>
      </c>
      <c r="AB103" t="s">
        <v>805</v>
      </c>
      <c r="AC103" t="s">
        <v>805</v>
      </c>
      <c r="AD103" t="s">
        <v>805</v>
      </c>
      <c r="AE103" t="s">
        <v>805</v>
      </c>
      <c r="AF103" t="s">
        <v>805</v>
      </c>
      <c r="AG103" t="s">
        <v>805</v>
      </c>
      <c r="AH103" t="s">
        <v>805</v>
      </c>
      <c r="AI103" t="s">
        <v>805</v>
      </c>
      <c r="AJ103" t="s">
        <v>805</v>
      </c>
      <c r="AK103" t="s">
        <v>805</v>
      </c>
      <c r="AL103" t="s">
        <v>805</v>
      </c>
      <c r="AM103" t="s">
        <v>805</v>
      </c>
      <c r="AN103" t="s">
        <v>805</v>
      </c>
      <c r="AO103" t="s">
        <v>805</v>
      </c>
      <c r="AP103" t="s">
        <v>805</v>
      </c>
      <c r="AQ103" t="s">
        <v>805</v>
      </c>
      <c r="AR103" t="s">
        <v>805</v>
      </c>
      <c r="AS103" t="s">
        <v>805</v>
      </c>
      <c r="AT103" t="s">
        <v>805</v>
      </c>
      <c r="AU103" t="s">
        <v>805</v>
      </c>
      <c r="AV103" t="s">
        <v>805</v>
      </c>
      <c r="AW103" t="s">
        <v>805</v>
      </c>
      <c r="AX103" t="s">
        <v>805</v>
      </c>
      <c r="AY103" t="s">
        <v>805</v>
      </c>
      <c r="AZ103" t="s">
        <v>805</v>
      </c>
      <c r="BA103" t="s">
        <v>805</v>
      </c>
      <c r="BB103" t="s">
        <v>805</v>
      </c>
      <c r="BC103" t="s">
        <v>805</v>
      </c>
      <c r="BD103" t="s">
        <v>805</v>
      </c>
      <c r="BE103" t="s">
        <v>805</v>
      </c>
      <c r="BF103" t="s">
        <v>805</v>
      </c>
      <c r="BG103" t="s">
        <v>805</v>
      </c>
      <c r="BH103" t="s">
        <v>805</v>
      </c>
      <c r="BI103" t="s">
        <v>805</v>
      </c>
      <c r="BJ103" t="s">
        <v>805</v>
      </c>
      <c r="BK103" t="s">
        <v>805</v>
      </c>
      <c r="BL103" t="s">
        <v>805</v>
      </c>
      <c r="BM103" t="s">
        <v>805</v>
      </c>
      <c r="BN103" t="s">
        <v>805</v>
      </c>
      <c r="BO103" t="s">
        <v>805</v>
      </c>
      <c r="BP103" t="s">
        <v>805</v>
      </c>
      <c r="BQ103" t="s">
        <v>805</v>
      </c>
      <c r="BR103" t="s">
        <v>805</v>
      </c>
      <c r="BS103" t="s">
        <v>805</v>
      </c>
      <c r="BT103" t="s">
        <v>805</v>
      </c>
      <c r="BU103" t="s">
        <v>805</v>
      </c>
      <c r="BV103" t="s">
        <v>805</v>
      </c>
      <c r="BW103" t="s">
        <v>805</v>
      </c>
      <c r="BX103" t="s">
        <v>805</v>
      </c>
      <c r="BY103" t="s">
        <v>805</v>
      </c>
      <c r="BZ103" t="s">
        <v>805</v>
      </c>
      <c r="CA103" t="s">
        <v>805</v>
      </c>
      <c r="CB103" t="s">
        <v>805</v>
      </c>
      <c r="CC103" t="s">
        <v>805</v>
      </c>
      <c r="CD103" t="s">
        <v>805</v>
      </c>
      <c r="CE103" t="s">
        <v>805</v>
      </c>
      <c r="CF103" t="s">
        <v>805</v>
      </c>
      <c r="CG103" t="s">
        <v>805</v>
      </c>
      <c r="CH103" t="s">
        <v>805</v>
      </c>
      <c r="CI103" t="s">
        <v>805</v>
      </c>
      <c r="CJ103" t="s">
        <v>805</v>
      </c>
      <c r="CK103" t="s">
        <v>805</v>
      </c>
      <c r="CL103" t="s">
        <v>805</v>
      </c>
      <c r="CM103" t="s">
        <v>805</v>
      </c>
      <c r="CN103" t="s">
        <v>805</v>
      </c>
      <c r="CO103" t="s">
        <v>805</v>
      </c>
      <c r="CP103" t="s">
        <v>805</v>
      </c>
      <c r="CQ103" t="s">
        <v>805</v>
      </c>
      <c r="CR103" t="s">
        <v>805</v>
      </c>
      <c r="CS103" t="s">
        <v>805</v>
      </c>
      <c r="CT103" t="s">
        <v>805</v>
      </c>
      <c r="CU103" t="s">
        <v>805</v>
      </c>
      <c r="CV103" t="s">
        <v>805</v>
      </c>
      <c r="CW103" t="s">
        <v>805</v>
      </c>
      <c r="CX103" t="s">
        <v>805</v>
      </c>
      <c r="CY103" t="s">
        <v>805</v>
      </c>
      <c r="CZ103" t="s">
        <v>805</v>
      </c>
      <c r="DA103" t="s">
        <v>805</v>
      </c>
      <c r="DB103" t="s">
        <v>805</v>
      </c>
      <c r="DC103" t="s">
        <v>805</v>
      </c>
      <c r="DD103" t="s">
        <v>805</v>
      </c>
      <c r="DE103" t="s">
        <v>805</v>
      </c>
      <c r="DF103" t="s">
        <v>805</v>
      </c>
      <c r="DG103" s="28">
        <f>VLOOKUP(E103,'KPI Count-SHARE'!A:F,3,0)</f>
        <v>0</v>
      </c>
      <c r="DH103">
        <v>0</v>
      </c>
      <c r="DI103" t="s">
        <v>805</v>
      </c>
      <c r="DJ103" t="s">
        <v>805</v>
      </c>
      <c r="DK103" t="s">
        <v>805</v>
      </c>
      <c r="DL103" t="s">
        <v>805</v>
      </c>
      <c r="DM103" t="s">
        <v>805</v>
      </c>
      <c r="DN103" s="28">
        <f>VLOOKUP(E103,'KPI Count-SHARE'!A:F,4,0)</f>
        <v>0</v>
      </c>
      <c r="DU103" s="28">
        <f>VLOOKUP(E103,'KPI Count-SHARE'!A:F,5,0)</f>
        <v>0</v>
      </c>
      <c r="EB103" s="28">
        <f>VLOOKUP(E103,'KPI Count-SHARE'!A:F,6,0)</f>
        <v>0</v>
      </c>
      <c r="EI103" t="s">
        <v>531</v>
      </c>
      <c r="EJ103" s="41" t="str">
        <f t="shared" si="654"/>
        <v/>
      </c>
      <c r="EK103" s="41" t="str">
        <f t="shared" si="655"/>
        <v/>
      </c>
      <c r="EL103" s="41" t="str">
        <f t="shared" si="656"/>
        <v/>
      </c>
      <c r="EM103" s="41" t="str">
        <f t="shared" si="657"/>
        <v/>
      </c>
      <c r="EN103" s="41" t="str">
        <f t="shared" si="658"/>
        <v/>
      </c>
      <c r="EO103" s="41" t="str">
        <f t="shared" si="659"/>
        <v/>
      </c>
      <c r="EP103" s="41" t="str">
        <f t="shared" si="660"/>
        <v/>
      </c>
      <c r="EQ103" s="41" t="str">
        <f t="shared" si="661"/>
        <v/>
      </c>
      <c r="ER103" s="41" t="str">
        <f t="shared" si="662"/>
        <v/>
      </c>
      <c r="ES103" s="41" t="str">
        <f t="shared" si="663"/>
        <v/>
      </c>
      <c r="ET103" s="41" t="str">
        <f t="shared" si="664"/>
        <v/>
      </c>
      <c r="EU103" s="41" t="str">
        <f t="shared" si="665"/>
        <v/>
      </c>
      <c r="EV103" s="41" t="str">
        <f t="shared" si="666"/>
        <v/>
      </c>
      <c r="EW103" s="41" t="str">
        <f t="shared" si="667"/>
        <v/>
      </c>
      <c r="EX103" s="41" t="str">
        <f t="shared" si="668"/>
        <v/>
      </c>
      <c r="EY103" s="41" t="str">
        <f t="shared" si="669"/>
        <v/>
      </c>
      <c r="EZ103" s="41" t="str">
        <f t="shared" si="670"/>
        <v/>
      </c>
      <c r="FA103" s="41" t="str">
        <f t="shared" si="671"/>
        <v/>
      </c>
      <c r="FB103" s="41" t="str">
        <f t="shared" si="672"/>
        <v/>
      </c>
      <c r="FC103" s="41" t="str">
        <f t="shared" si="673"/>
        <v/>
      </c>
      <c r="FD103" s="41" t="str">
        <f t="shared" si="674"/>
        <v/>
      </c>
      <c r="FE103" s="41" t="str">
        <f t="shared" si="675"/>
        <v/>
      </c>
      <c r="FF103" s="41" t="str">
        <f t="shared" si="676"/>
        <v/>
      </c>
      <c r="FG103" s="41" t="str">
        <f t="shared" si="677"/>
        <v/>
      </c>
      <c r="FH103" s="41" t="str">
        <f t="shared" si="678"/>
        <v/>
      </c>
      <c r="FI103" s="41" t="str">
        <f t="shared" si="679"/>
        <v/>
      </c>
      <c r="FJ103" s="41" t="str">
        <f t="shared" si="680"/>
        <v/>
      </c>
      <c r="FK103" s="41" t="str">
        <f t="shared" si="681"/>
        <v/>
      </c>
      <c r="FL103" s="41" t="str">
        <f t="shared" si="682"/>
        <v/>
      </c>
      <c r="FM103" s="41" t="str">
        <f t="shared" si="683"/>
        <v/>
      </c>
      <c r="FN103" s="41" t="str">
        <f t="shared" si="684"/>
        <v/>
      </c>
      <c r="FO103" s="41" t="str">
        <f t="shared" si="685"/>
        <v/>
      </c>
      <c r="FP103" s="41" t="str">
        <f t="shared" si="686"/>
        <v/>
      </c>
      <c r="FQ103" s="41" t="str">
        <f t="shared" si="687"/>
        <v/>
      </c>
      <c r="FR103" s="41" t="str">
        <f t="shared" si="688"/>
        <v/>
      </c>
      <c r="FS103" s="41" t="str">
        <f t="shared" si="689"/>
        <v/>
      </c>
      <c r="FT103" s="41" t="str">
        <f t="shared" si="690"/>
        <v/>
      </c>
      <c r="FU103" s="41" t="str">
        <f t="shared" si="691"/>
        <v/>
      </c>
      <c r="FV103" s="41" t="str">
        <f t="shared" si="692"/>
        <v/>
      </c>
      <c r="FW103" s="41" t="str">
        <f t="shared" si="693"/>
        <v/>
      </c>
      <c r="FX103" s="41" t="str">
        <f t="shared" si="694"/>
        <v/>
      </c>
      <c r="FY103" s="41" t="str">
        <f t="shared" si="695"/>
        <v/>
      </c>
      <c r="FZ103" s="41" t="str">
        <f t="shared" si="696"/>
        <v/>
      </c>
      <c r="GA103" s="41" t="str">
        <f t="shared" si="697"/>
        <v/>
      </c>
      <c r="GB103" s="41" t="str">
        <f t="shared" si="698"/>
        <v/>
      </c>
      <c r="GC103" s="41" t="str">
        <f t="shared" si="699"/>
        <v/>
      </c>
      <c r="GD103" s="41" t="str">
        <f t="shared" si="700"/>
        <v/>
      </c>
      <c r="GE103" s="41" t="str">
        <f t="shared" si="701"/>
        <v/>
      </c>
      <c r="GF103" s="41" t="str">
        <f t="shared" si="702"/>
        <v/>
      </c>
      <c r="GG103" s="41" t="str">
        <f t="shared" si="703"/>
        <v/>
      </c>
      <c r="GH103" s="41" t="str">
        <f t="shared" si="704"/>
        <v/>
      </c>
      <c r="GI103" s="41" t="str">
        <f t="shared" si="705"/>
        <v/>
      </c>
      <c r="GJ103" s="41" t="str">
        <f t="shared" si="706"/>
        <v/>
      </c>
      <c r="GK103" s="41" t="str">
        <f t="shared" si="707"/>
        <v/>
      </c>
      <c r="GL103" s="41" t="str">
        <f t="shared" si="708"/>
        <v/>
      </c>
      <c r="GM103" s="41" t="str">
        <f t="shared" si="709"/>
        <v/>
      </c>
      <c r="GN103" s="41" t="str">
        <f t="shared" si="710"/>
        <v/>
      </c>
      <c r="GO103" s="41" t="str">
        <f t="shared" si="711"/>
        <v/>
      </c>
      <c r="GP103" s="41" t="str">
        <f t="shared" si="712"/>
        <v/>
      </c>
      <c r="GQ103" s="41" t="str">
        <f t="shared" si="713"/>
        <v/>
      </c>
      <c r="GR103" s="41" t="str">
        <f t="shared" si="714"/>
        <v/>
      </c>
      <c r="GS103" s="41" t="str">
        <f t="shared" si="715"/>
        <v/>
      </c>
      <c r="GT103" s="41" t="str">
        <f t="shared" si="716"/>
        <v/>
      </c>
      <c r="GU103" s="41" t="str">
        <f t="shared" si="717"/>
        <v/>
      </c>
      <c r="GV103" s="41" t="str">
        <f t="shared" si="718"/>
        <v/>
      </c>
      <c r="GW103" s="41" t="str">
        <f t="shared" si="719"/>
        <v/>
      </c>
      <c r="GX103" s="41" t="str">
        <f t="shared" si="720"/>
        <v/>
      </c>
      <c r="GY103" s="41" t="str">
        <f t="shared" si="721"/>
        <v/>
      </c>
      <c r="GZ103" s="41" t="str">
        <f t="shared" si="722"/>
        <v/>
      </c>
      <c r="HA103" s="41" t="str">
        <f t="shared" si="723"/>
        <v/>
      </c>
      <c r="HB103" s="41" t="str">
        <f t="shared" si="724"/>
        <v/>
      </c>
      <c r="HC103" s="41" t="str">
        <f t="shared" si="725"/>
        <v/>
      </c>
      <c r="HD103" s="41" t="str">
        <f t="shared" si="726"/>
        <v/>
      </c>
      <c r="HE103" s="41" t="str">
        <f t="shared" si="727"/>
        <v/>
      </c>
      <c r="HF103" s="41" t="str">
        <f t="shared" si="728"/>
        <v/>
      </c>
      <c r="HG103" s="41" t="str">
        <f t="shared" si="729"/>
        <v/>
      </c>
      <c r="HH103" s="41" t="str">
        <f t="shared" si="730"/>
        <v/>
      </c>
      <c r="HI103" s="41" t="str">
        <f t="shared" si="731"/>
        <v/>
      </c>
      <c r="HJ103" s="41" t="str">
        <f t="shared" si="732"/>
        <v/>
      </c>
      <c r="HK103" s="41" t="str">
        <f t="shared" si="733"/>
        <v/>
      </c>
      <c r="HL103" s="41" t="str">
        <f t="shared" si="734"/>
        <v/>
      </c>
      <c r="HM103" s="41" t="str">
        <f t="shared" si="735"/>
        <v/>
      </c>
      <c r="HN103" s="41" t="str">
        <f t="shared" si="736"/>
        <v/>
      </c>
      <c r="HO103" s="41" t="str">
        <f t="shared" si="737"/>
        <v/>
      </c>
      <c r="HP103" s="41" t="str">
        <f t="shared" si="738"/>
        <v/>
      </c>
      <c r="HQ103" s="41" t="str">
        <f t="shared" si="739"/>
        <v/>
      </c>
      <c r="HR103" s="41" t="str">
        <f t="shared" si="740"/>
        <v/>
      </c>
      <c r="HS103" s="41" t="str">
        <f t="shared" si="741"/>
        <v/>
      </c>
      <c r="HT103" s="41" t="str">
        <f t="shared" si="742"/>
        <v/>
      </c>
      <c r="HU103" s="41" t="str">
        <f t="shared" si="743"/>
        <v/>
      </c>
      <c r="HV103" s="41" t="str">
        <f t="shared" si="744"/>
        <v/>
      </c>
      <c r="HW103" s="41" t="str">
        <f t="shared" si="745"/>
        <v/>
      </c>
      <c r="HX103" s="41" t="str">
        <f t="shared" si="746"/>
        <v/>
      </c>
      <c r="HY103" s="41" t="str">
        <f t="shared" si="747"/>
        <v/>
      </c>
      <c r="HZ103" s="41" t="str">
        <f t="shared" si="748"/>
        <v/>
      </c>
      <c r="IA103" s="41" t="str">
        <f t="shared" si="749"/>
        <v/>
      </c>
      <c r="IB103" s="41" t="str">
        <f t="shared" si="750"/>
        <v/>
      </c>
      <c r="IC103" s="41" t="str">
        <f t="shared" si="751"/>
        <v/>
      </c>
      <c r="ID103" s="41" t="str">
        <f t="shared" si="752"/>
        <v/>
      </c>
      <c r="IE103" s="41" t="str">
        <f t="shared" si="753"/>
        <v/>
      </c>
      <c r="IF103" s="41" t="str">
        <f t="shared" si="754"/>
        <v/>
      </c>
      <c r="IG103" s="306">
        <f t="shared" si="755"/>
        <v>0</v>
      </c>
      <c r="IH103" s="44" t="str">
        <f t="shared" si="756"/>
        <v/>
      </c>
      <c r="II103" s="44" t="str">
        <f t="shared" si="757"/>
        <v/>
      </c>
      <c r="IJ103" s="44" t="str">
        <f t="shared" si="758"/>
        <v/>
      </c>
      <c r="IK103" s="44" t="str">
        <f t="shared" si="759"/>
        <v/>
      </c>
      <c r="IL103" s="44" t="str">
        <f t="shared" si="760"/>
        <v/>
      </c>
      <c r="IM103" s="306" t="str">
        <f t="shared" si="761"/>
        <v/>
      </c>
      <c r="IN103" s="44" t="str">
        <f t="shared" si="762"/>
        <v/>
      </c>
      <c r="IO103" s="44" t="str">
        <f t="shared" si="763"/>
        <v/>
      </c>
      <c r="IP103" s="44" t="str">
        <f t="shared" si="764"/>
        <v/>
      </c>
      <c r="IQ103" s="44" t="str">
        <f t="shared" si="765"/>
        <v/>
      </c>
      <c r="IR103" s="44" t="str">
        <f t="shared" si="766"/>
        <v/>
      </c>
      <c r="IS103" s="306" t="str">
        <f t="shared" si="767"/>
        <v/>
      </c>
      <c r="IT103" s="44" t="str">
        <f t="shared" si="768"/>
        <v/>
      </c>
      <c r="IU103" s="44" t="str">
        <f t="shared" si="769"/>
        <v/>
      </c>
      <c r="IV103" s="44" t="str">
        <f t="shared" si="770"/>
        <v/>
      </c>
      <c r="IW103" s="44" t="str">
        <f t="shared" si="771"/>
        <v/>
      </c>
      <c r="IX103" s="44" t="str">
        <f t="shared" si="772"/>
        <v/>
      </c>
      <c r="IY103" s="306" t="str">
        <f t="shared" si="773"/>
        <v/>
      </c>
      <c r="IZ103" s="44" t="str">
        <f t="shared" si="774"/>
        <v/>
      </c>
      <c r="JA103" s="44" t="str">
        <f t="shared" si="775"/>
        <v/>
      </c>
      <c r="JB103" s="44" t="str">
        <f t="shared" si="776"/>
        <v/>
      </c>
      <c r="JC103" s="44" t="str">
        <f t="shared" si="777"/>
        <v/>
      </c>
      <c r="JD103" s="307" t="str">
        <f t="shared" si="778"/>
        <v/>
      </c>
      <c r="JF103" s="66">
        <f t="shared" si="779"/>
        <v>103</v>
      </c>
      <c r="JG103" s="66">
        <f t="shared" ca="1" si="789"/>
        <v>0</v>
      </c>
      <c r="JH103" s="66">
        <f t="shared" ca="1" si="790"/>
        <v>0</v>
      </c>
      <c r="JI103" s="66">
        <f t="shared" ca="1" si="791"/>
        <v>0</v>
      </c>
      <c r="JJ103" s="66">
        <f t="shared" ca="1" si="792"/>
        <v>0</v>
      </c>
      <c r="JK103" s="33"/>
      <c r="JL103" s="74" t="str">
        <f t="shared" ca="1" si="793"/>
        <v>-</v>
      </c>
      <c r="JM103" s="75">
        <f t="shared" ca="1" si="794"/>
        <v>0</v>
      </c>
      <c r="JN103" s="75">
        <f t="shared" ca="1" si="795"/>
        <v>0</v>
      </c>
      <c r="JO103" s="74" t="str">
        <f t="shared" ca="1" si="796"/>
        <v>-</v>
      </c>
      <c r="JP103" s="74">
        <f t="shared" ca="1" si="797"/>
        <v>0</v>
      </c>
    </row>
    <row r="104" spans="1:276" hidden="1" x14ac:dyDescent="0.35">
      <c r="A104" s="125" t="s">
        <v>805</v>
      </c>
      <c r="B104" s="125" t="s">
        <v>805</v>
      </c>
      <c r="C104" s="125" t="s">
        <v>805</v>
      </c>
      <c r="E104" s="142" t="s">
        <v>836</v>
      </c>
      <c r="F104" s="254" t="s">
        <v>791</v>
      </c>
      <c r="G104" t="s">
        <v>542</v>
      </c>
      <c r="H104" t="s">
        <v>531</v>
      </c>
      <c r="I104" t="s">
        <v>534</v>
      </c>
      <c r="J104" s="211" t="s">
        <v>805</v>
      </c>
      <c r="K104" t="s">
        <v>805</v>
      </c>
      <c r="L104" t="s">
        <v>805</v>
      </c>
      <c r="M104" t="s">
        <v>805</v>
      </c>
      <c r="N104" t="s">
        <v>805</v>
      </c>
      <c r="O104" t="s">
        <v>805</v>
      </c>
      <c r="P104" t="s">
        <v>805</v>
      </c>
      <c r="Q104" t="s">
        <v>805</v>
      </c>
      <c r="R104" t="s">
        <v>805</v>
      </c>
      <c r="S104" t="s">
        <v>805</v>
      </c>
      <c r="T104" t="s">
        <v>805</v>
      </c>
      <c r="U104" t="s">
        <v>805</v>
      </c>
      <c r="V104" t="s">
        <v>805</v>
      </c>
      <c r="W104" t="s">
        <v>805</v>
      </c>
      <c r="X104" t="s">
        <v>805</v>
      </c>
      <c r="Y104" t="s">
        <v>805</v>
      </c>
      <c r="Z104" t="s">
        <v>805</v>
      </c>
      <c r="AA104" t="s">
        <v>805</v>
      </c>
      <c r="AB104" t="s">
        <v>805</v>
      </c>
      <c r="AC104" t="s">
        <v>805</v>
      </c>
      <c r="AD104" t="s">
        <v>805</v>
      </c>
      <c r="AE104" t="s">
        <v>805</v>
      </c>
      <c r="AF104" t="s">
        <v>805</v>
      </c>
      <c r="AG104" t="s">
        <v>805</v>
      </c>
      <c r="AH104" t="s">
        <v>805</v>
      </c>
      <c r="AI104" t="s">
        <v>805</v>
      </c>
      <c r="AJ104" t="s">
        <v>805</v>
      </c>
      <c r="AK104" t="s">
        <v>805</v>
      </c>
      <c r="AL104" t="s">
        <v>805</v>
      </c>
      <c r="AM104" t="s">
        <v>805</v>
      </c>
      <c r="AN104" t="s">
        <v>805</v>
      </c>
      <c r="AO104" t="s">
        <v>805</v>
      </c>
      <c r="AP104" t="s">
        <v>805</v>
      </c>
      <c r="AQ104" t="s">
        <v>805</v>
      </c>
      <c r="AR104" t="s">
        <v>805</v>
      </c>
      <c r="AS104" t="s">
        <v>805</v>
      </c>
      <c r="AT104" t="s">
        <v>805</v>
      </c>
      <c r="AU104" t="s">
        <v>805</v>
      </c>
      <c r="AV104" t="s">
        <v>805</v>
      </c>
      <c r="AW104" t="s">
        <v>805</v>
      </c>
      <c r="AX104" t="s">
        <v>805</v>
      </c>
      <c r="AY104" t="s">
        <v>805</v>
      </c>
      <c r="AZ104" t="s">
        <v>805</v>
      </c>
      <c r="BA104" t="s">
        <v>805</v>
      </c>
      <c r="BB104" t="s">
        <v>805</v>
      </c>
      <c r="BC104" t="s">
        <v>805</v>
      </c>
      <c r="BD104" t="s">
        <v>805</v>
      </c>
      <c r="BE104" t="s">
        <v>805</v>
      </c>
      <c r="BF104" t="s">
        <v>805</v>
      </c>
      <c r="BG104" t="s">
        <v>805</v>
      </c>
      <c r="BH104" t="s">
        <v>805</v>
      </c>
      <c r="BI104" t="s">
        <v>805</v>
      </c>
      <c r="BJ104" t="s">
        <v>805</v>
      </c>
      <c r="BK104" t="s">
        <v>805</v>
      </c>
      <c r="BL104" t="s">
        <v>805</v>
      </c>
      <c r="BM104" t="s">
        <v>805</v>
      </c>
      <c r="BN104" t="s">
        <v>805</v>
      </c>
      <c r="BO104" t="s">
        <v>805</v>
      </c>
      <c r="BP104" t="s">
        <v>805</v>
      </c>
      <c r="BQ104" t="s">
        <v>805</v>
      </c>
      <c r="BR104" t="s">
        <v>805</v>
      </c>
      <c r="BS104" t="s">
        <v>805</v>
      </c>
      <c r="BT104" t="s">
        <v>805</v>
      </c>
      <c r="BU104" t="s">
        <v>805</v>
      </c>
      <c r="BV104" t="s">
        <v>805</v>
      </c>
      <c r="BW104" t="s">
        <v>805</v>
      </c>
      <c r="BX104" t="s">
        <v>805</v>
      </c>
      <c r="BY104" t="s">
        <v>805</v>
      </c>
      <c r="BZ104" t="s">
        <v>805</v>
      </c>
      <c r="CA104" t="s">
        <v>805</v>
      </c>
      <c r="CB104" t="s">
        <v>805</v>
      </c>
      <c r="CC104" t="s">
        <v>805</v>
      </c>
      <c r="CD104" t="s">
        <v>805</v>
      </c>
      <c r="CE104" t="s">
        <v>805</v>
      </c>
      <c r="CF104" t="s">
        <v>805</v>
      </c>
      <c r="CG104" t="s">
        <v>805</v>
      </c>
      <c r="CH104" t="s">
        <v>805</v>
      </c>
      <c r="CI104" t="s">
        <v>805</v>
      </c>
      <c r="CJ104" t="s">
        <v>805</v>
      </c>
      <c r="CK104" t="s">
        <v>805</v>
      </c>
      <c r="CL104" t="s">
        <v>805</v>
      </c>
      <c r="CM104" t="s">
        <v>805</v>
      </c>
      <c r="CN104" t="s">
        <v>805</v>
      </c>
      <c r="CO104" t="s">
        <v>805</v>
      </c>
      <c r="CP104" t="s">
        <v>805</v>
      </c>
      <c r="CQ104" t="s">
        <v>805</v>
      </c>
      <c r="CR104" t="s">
        <v>805</v>
      </c>
      <c r="CS104" t="s">
        <v>805</v>
      </c>
      <c r="CT104" t="s">
        <v>805</v>
      </c>
      <c r="CU104" t="s">
        <v>805</v>
      </c>
      <c r="CV104" t="s">
        <v>805</v>
      </c>
      <c r="CW104" t="s">
        <v>805</v>
      </c>
      <c r="CX104" t="s">
        <v>805</v>
      </c>
      <c r="CY104" t="s">
        <v>805</v>
      </c>
      <c r="CZ104" t="s">
        <v>805</v>
      </c>
      <c r="DA104" t="s">
        <v>805</v>
      </c>
      <c r="DB104" t="s">
        <v>805</v>
      </c>
      <c r="DC104" t="s">
        <v>805</v>
      </c>
      <c r="DD104" t="s">
        <v>805</v>
      </c>
      <c r="DE104" t="s">
        <v>805</v>
      </c>
      <c r="DF104" t="s">
        <v>805</v>
      </c>
      <c r="DG104" s="28">
        <f>VLOOKUP(E104,'KPI Count-SHARE'!A:F,3,0)</f>
        <v>0</v>
      </c>
      <c r="DH104">
        <v>0</v>
      </c>
      <c r="DI104" t="s">
        <v>805</v>
      </c>
      <c r="DJ104" t="s">
        <v>805</v>
      </c>
      <c r="DK104" t="s">
        <v>805</v>
      </c>
      <c r="DL104" t="s">
        <v>805</v>
      </c>
      <c r="DM104" t="s">
        <v>805</v>
      </c>
      <c r="DN104" s="28">
        <f>VLOOKUP(E104,'KPI Count-SHARE'!A:F,4,0)</f>
        <v>0</v>
      </c>
      <c r="DU104" s="28">
        <f>VLOOKUP(E104,'KPI Count-SHARE'!A:F,5,0)</f>
        <v>0</v>
      </c>
      <c r="EB104" s="28">
        <f>VLOOKUP(E104,'KPI Count-SHARE'!A:F,6,0)</f>
        <v>0</v>
      </c>
      <c r="EI104" t="s">
        <v>531</v>
      </c>
      <c r="EJ104" s="41" t="str">
        <f t="shared" si="654"/>
        <v/>
      </c>
      <c r="EK104" s="41" t="str">
        <f t="shared" si="655"/>
        <v/>
      </c>
      <c r="EL104" s="41" t="str">
        <f t="shared" si="656"/>
        <v/>
      </c>
      <c r="EM104" s="41" t="str">
        <f t="shared" si="657"/>
        <v/>
      </c>
      <c r="EN104" s="41" t="str">
        <f t="shared" si="658"/>
        <v/>
      </c>
      <c r="EO104" s="41" t="str">
        <f t="shared" si="659"/>
        <v/>
      </c>
      <c r="EP104" s="41" t="str">
        <f t="shared" si="660"/>
        <v/>
      </c>
      <c r="EQ104" s="41" t="str">
        <f t="shared" si="661"/>
        <v/>
      </c>
      <c r="ER104" s="41" t="str">
        <f t="shared" si="662"/>
        <v/>
      </c>
      <c r="ES104" s="41" t="str">
        <f t="shared" si="663"/>
        <v/>
      </c>
      <c r="ET104" s="41" t="str">
        <f t="shared" si="664"/>
        <v/>
      </c>
      <c r="EU104" s="41" t="str">
        <f t="shared" si="665"/>
        <v/>
      </c>
      <c r="EV104" s="41" t="str">
        <f t="shared" si="666"/>
        <v/>
      </c>
      <c r="EW104" s="41" t="str">
        <f t="shared" si="667"/>
        <v/>
      </c>
      <c r="EX104" s="41" t="str">
        <f t="shared" si="668"/>
        <v/>
      </c>
      <c r="EY104" s="41" t="str">
        <f t="shared" si="669"/>
        <v/>
      </c>
      <c r="EZ104" s="41" t="str">
        <f t="shared" si="670"/>
        <v/>
      </c>
      <c r="FA104" s="41" t="str">
        <f t="shared" si="671"/>
        <v/>
      </c>
      <c r="FB104" s="41" t="str">
        <f t="shared" si="672"/>
        <v/>
      </c>
      <c r="FC104" s="41" t="str">
        <f t="shared" si="673"/>
        <v/>
      </c>
      <c r="FD104" s="41" t="str">
        <f t="shared" si="674"/>
        <v/>
      </c>
      <c r="FE104" s="41" t="str">
        <f t="shared" si="675"/>
        <v/>
      </c>
      <c r="FF104" s="41" t="str">
        <f t="shared" si="676"/>
        <v/>
      </c>
      <c r="FG104" s="41" t="str">
        <f t="shared" si="677"/>
        <v/>
      </c>
      <c r="FH104" s="41" t="str">
        <f t="shared" si="678"/>
        <v/>
      </c>
      <c r="FI104" s="41" t="str">
        <f t="shared" si="679"/>
        <v/>
      </c>
      <c r="FJ104" s="41" t="str">
        <f t="shared" si="680"/>
        <v/>
      </c>
      <c r="FK104" s="41" t="str">
        <f t="shared" si="681"/>
        <v/>
      </c>
      <c r="FL104" s="41" t="str">
        <f t="shared" si="682"/>
        <v/>
      </c>
      <c r="FM104" s="41" t="str">
        <f t="shared" si="683"/>
        <v/>
      </c>
      <c r="FN104" s="41" t="str">
        <f t="shared" si="684"/>
        <v/>
      </c>
      <c r="FO104" s="41" t="str">
        <f t="shared" si="685"/>
        <v/>
      </c>
      <c r="FP104" s="41" t="str">
        <f t="shared" si="686"/>
        <v/>
      </c>
      <c r="FQ104" s="41" t="str">
        <f t="shared" si="687"/>
        <v/>
      </c>
      <c r="FR104" s="41" t="str">
        <f t="shared" si="688"/>
        <v/>
      </c>
      <c r="FS104" s="41" t="str">
        <f t="shared" si="689"/>
        <v/>
      </c>
      <c r="FT104" s="41" t="str">
        <f t="shared" si="690"/>
        <v/>
      </c>
      <c r="FU104" s="41" t="str">
        <f t="shared" si="691"/>
        <v/>
      </c>
      <c r="FV104" s="41" t="str">
        <f t="shared" si="692"/>
        <v/>
      </c>
      <c r="FW104" s="41" t="str">
        <f t="shared" si="693"/>
        <v/>
      </c>
      <c r="FX104" s="41" t="str">
        <f t="shared" si="694"/>
        <v/>
      </c>
      <c r="FY104" s="41" t="str">
        <f t="shared" si="695"/>
        <v/>
      </c>
      <c r="FZ104" s="41" t="str">
        <f t="shared" si="696"/>
        <v/>
      </c>
      <c r="GA104" s="41" t="str">
        <f t="shared" si="697"/>
        <v/>
      </c>
      <c r="GB104" s="41" t="str">
        <f t="shared" si="698"/>
        <v/>
      </c>
      <c r="GC104" s="41" t="str">
        <f t="shared" si="699"/>
        <v/>
      </c>
      <c r="GD104" s="41" t="str">
        <f t="shared" si="700"/>
        <v/>
      </c>
      <c r="GE104" s="41" t="str">
        <f t="shared" si="701"/>
        <v/>
      </c>
      <c r="GF104" s="41" t="str">
        <f t="shared" si="702"/>
        <v/>
      </c>
      <c r="GG104" s="41" t="str">
        <f t="shared" si="703"/>
        <v/>
      </c>
      <c r="GH104" s="41" t="str">
        <f t="shared" si="704"/>
        <v/>
      </c>
      <c r="GI104" s="41" t="str">
        <f t="shared" si="705"/>
        <v/>
      </c>
      <c r="GJ104" s="41" t="str">
        <f t="shared" si="706"/>
        <v/>
      </c>
      <c r="GK104" s="41" t="str">
        <f t="shared" si="707"/>
        <v/>
      </c>
      <c r="GL104" s="41" t="str">
        <f t="shared" si="708"/>
        <v/>
      </c>
      <c r="GM104" s="41" t="str">
        <f t="shared" si="709"/>
        <v/>
      </c>
      <c r="GN104" s="41" t="str">
        <f t="shared" si="710"/>
        <v/>
      </c>
      <c r="GO104" s="41" t="str">
        <f t="shared" si="711"/>
        <v/>
      </c>
      <c r="GP104" s="41" t="str">
        <f t="shared" si="712"/>
        <v/>
      </c>
      <c r="GQ104" s="41" t="str">
        <f t="shared" si="713"/>
        <v/>
      </c>
      <c r="GR104" s="41" t="str">
        <f t="shared" si="714"/>
        <v/>
      </c>
      <c r="GS104" s="41" t="str">
        <f t="shared" si="715"/>
        <v/>
      </c>
      <c r="GT104" s="41" t="str">
        <f t="shared" si="716"/>
        <v/>
      </c>
      <c r="GU104" s="41" t="str">
        <f t="shared" si="717"/>
        <v/>
      </c>
      <c r="GV104" s="41" t="str">
        <f t="shared" si="718"/>
        <v/>
      </c>
      <c r="GW104" s="41" t="str">
        <f t="shared" si="719"/>
        <v/>
      </c>
      <c r="GX104" s="41" t="str">
        <f t="shared" si="720"/>
        <v/>
      </c>
      <c r="GY104" s="41" t="str">
        <f t="shared" si="721"/>
        <v/>
      </c>
      <c r="GZ104" s="41" t="str">
        <f t="shared" si="722"/>
        <v/>
      </c>
      <c r="HA104" s="41" t="str">
        <f t="shared" si="723"/>
        <v/>
      </c>
      <c r="HB104" s="41" t="str">
        <f t="shared" si="724"/>
        <v/>
      </c>
      <c r="HC104" s="41" t="str">
        <f t="shared" si="725"/>
        <v/>
      </c>
      <c r="HD104" s="41" t="str">
        <f t="shared" si="726"/>
        <v/>
      </c>
      <c r="HE104" s="41" t="str">
        <f t="shared" si="727"/>
        <v/>
      </c>
      <c r="HF104" s="41" t="str">
        <f t="shared" si="728"/>
        <v/>
      </c>
      <c r="HG104" s="41" t="str">
        <f t="shared" si="729"/>
        <v/>
      </c>
      <c r="HH104" s="41" t="str">
        <f t="shared" si="730"/>
        <v/>
      </c>
      <c r="HI104" s="41" t="str">
        <f t="shared" si="731"/>
        <v/>
      </c>
      <c r="HJ104" s="41" t="str">
        <f t="shared" si="732"/>
        <v/>
      </c>
      <c r="HK104" s="41" t="str">
        <f t="shared" si="733"/>
        <v/>
      </c>
      <c r="HL104" s="41" t="str">
        <f t="shared" si="734"/>
        <v/>
      </c>
      <c r="HM104" s="41" t="str">
        <f t="shared" si="735"/>
        <v/>
      </c>
      <c r="HN104" s="41" t="str">
        <f t="shared" si="736"/>
        <v/>
      </c>
      <c r="HO104" s="41" t="str">
        <f t="shared" si="737"/>
        <v/>
      </c>
      <c r="HP104" s="41" t="str">
        <f t="shared" si="738"/>
        <v/>
      </c>
      <c r="HQ104" s="41" t="str">
        <f t="shared" si="739"/>
        <v/>
      </c>
      <c r="HR104" s="41" t="str">
        <f t="shared" si="740"/>
        <v/>
      </c>
      <c r="HS104" s="41" t="str">
        <f t="shared" si="741"/>
        <v/>
      </c>
      <c r="HT104" s="41" t="str">
        <f t="shared" si="742"/>
        <v/>
      </c>
      <c r="HU104" s="41" t="str">
        <f t="shared" si="743"/>
        <v/>
      </c>
      <c r="HV104" s="41" t="str">
        <f t="shared" si="744"/>
        <v/>
      </c>
      <c r="HW104" s="41" t="str">
        <f t="shared" si="745"/>
        <v/>
      </c>
      <c r="HX104" s="41" t="str">
        <f t="shared" si="746"/>
        <v/>
      </c>
      <c r="HY104" s="41" t="str">
        <f t="shared" si="747"/>
        <v/>
      </c>
      <c r="HZ104" s="41" t="str">
        <f t="shared" si="748"/>
        <v/>
      </c>
      <c r="IA104" s="41" t="str">
        <f t="shared" si="749"/>
        <v/>
      </c>
      <c r="IB104" s="41" t="str">
        <f t="shared" si="750"/>
        <v/>
      </c>
      <c r="IC104" s="41" t="str">
        <f t="shared" si="751"/>
        <v/>
      </c>
      <c r="ID104" s="41" t="str">
        <f t="shared" si="752"/>
        <v/>
      </c>
      <c r="IE104" s="41" t="str">
        <f t="shared" si="753"/>
        <v/>
      </c>
      <c r="IF104" s="41" t="str">
        <f t="shared" si="754"/>
        <v/>
      </c>
      <c r="IG104" s="306">
        <f t="shared" si="755"/>
        <v>0</v>
      </c>
      <c r="IH104" s="44" t="str">
        <f t="shared" si="756"/>
        <v/>
      </c>
      <c r="II104" s="44" t="str">
        <f t="shared" si="757"/>
        <v/>
      </c>
      <c r="IJ104" s="44" t="str">
        <f t="shared" si="758"/>
        <v/>
      </c>
      <c r="IK104" s="44" t="str">
        <f t="shared" si="759"/>
        <v/>
      </c>
      <c r="IL104" s="44" t="str">
        <f t="shared" si="760"/>
        <v/>
      </c>
      <c r="IM104" s="306" t="str">
        <f t="shared" si="761"/>
        <v/>
      </c>
      <c r="IN104" s="44" t="str">
        <f t="shared" si="762"/>
        <v/>
      </c>
      <c r="IO104" s="44" t="str">
        <f t="shared" si="763"/>
        <v/>
      </c>
      <c r="IP104" s="44" t="str">
        <f t="shared" si="764"/>
        <v/>
      </c>
      <c r="IQ104" s="44" t="str">
        <f t="shared" si="765"/>
        <v/>
      </c>
      <c r="IR104" s="44" t="str">
        <f t="shared" si="766"/>
        <v/>
      </c>
      <c r="IS104" s="306" t="str">
        <f t="shared" si="767"/>
        <v/>
      </c>
      <c r="IT104" s="44" t="str">
        <f t="shared" si="768"/>
        <v/>
      </c>
      <c r="IU104" s="44" t="str">
        <f t="shared" si="769"/>
        <v/>
      </c>
      <c r="IV104" s="44" t="str">
        <f t="shared" si="770"/>
        <v/>
      </c>
      <c r="IW104" s="44" t="str">
        <f t="shared" si="771"/>
        <v/>
      </c>
      <c r="IX104" s="44" t="str">
        <f t="shared" si="772"/>
        <v/>
      </c>
      <c r="IY104" s="306" t="str">
        <f t="shared" si="773"/>
        <v/>
      </c>
      <c r="IZ104" s="44" t="str">
        <f t="shared" si="774"/>
        <v/>
      </c>
      <c r="JA104" s="44" t="str">
        <f t="shared" si="775"/>
        <v/>
      </c>
      <c r="JB104" s="44" t="str">
        <f t="shared" si="776"/>
        <v/>
      </c>
      <c r="JC104" s="44" t="str">
        <f t="shared" si="777"/>
        <v/>
      </c>
      <c r="JD104" s="307" t="str">
        <f t="shared" si="778"/>
        <v/>
      </c>
      <c r="JF104" s="66">
        <f t="shared" si="779"/>
        <v>104</v>
      </c>
      <c r="JG104" s="66">
        <f t="shared" ca="1" si="789"/>
        <v>0</v>
      </c>
      <c r="JH104" s="66">
        <f t="shared" ca="1" si="790"/>
        <v>0</v>
      </c>
      <c r="JI104" s="66">
        <f t="shared" ca="1" si="791"/>
        <v>0</v>
      </c>
      <c r="JJ104" s="66">
        <f t="shared" ca="1" si="792"/>
        <v>0</v>
      </c>
      <c r="JK104" s="33"/>
      <c r="JL104" s="74" t="str">
        <f t="shared" ca="1" si="793"/>
        <v>-</v>
      </c>
      <c r="JM104" s="75">
        <f t="shared" ca="1" si="794"/>
        <v>0</v>
      </c>
      <c r="JN104" s="75">
        <f t="shared" ca="1" si="795"/>
        <v>0</v>
      </c>
      <c r="JO104" s="74" t="str">
        <f t="shared" ca="1" si="796"/>
        <v>-</v>
      </c>
      <c r="JP104" s="74">
        <f t="shared" ca="1" si="797"/>
        <v>0</v>
      </c>
    </row>
    <row r="105" spans="1:276" hidden="1" x14ac:dyDescent="0.35">
      <c r="A105" s="125" t="s">
        <v>805</v>
      </c>
      <c r="B105" s="125" t="s">
        <v>805</v>
      </c>
      <c r="C105" s="125" t="s">
        <v>805</v>
      </c>
      <c r="E105" s="142" t="s">
        <v>837</v>
      </c>
      <c r="F105" s="254" t="s">
        <v>722</v>
      </c>
      <c r="G105" t="s">
        <v>530</v>
      </c>
      <c r="H105" t="s">
        <v>531</v>
      </c>
      <c r="I105" t="s">
        <v>534</v>
      </c>
      <c r="J105" s="211" t="s">
        <v>805</v>
      </c>
      <c r="K105" t="s">
        <v>805</v>
      </c>
      <c r="L105" t="s">
        <v>805</v>
      </c>
      <c r="M105" t="s">
        <v>805</v>
      </c>
      <c r="N105" t="s">
        <v>805</v>
      </c>
      <c r="O105" t="s">
        <v>805</v>
      </c>
      <c r="P105" t="s">
        <v>805</v>
      </c>
      <c r="Q105" t="s">
        <v>805</v>
      </c>
      <c r="R105" t="s">
        <v>805</v>
      </c>
      <c r="S105" t="s">
        <v>805</v>
      </c>
      <c r="T105" t="s">
        <v>805</v>
      </c>
      <c r="U105" t="s">
        <v>805</v>
      </c>
      <c r="V105" t="s">
        <v>805</v>
      </c>
      <c r="W105" t="s">
        <v>805</v>
      </c>
      <c r="X105" t="s">
        <v>805</v>
      </c>
      <c r="Y105" t="s">
        <v>805</v>
      </c>
      <c r="Z105" t="s">
        <v>805</v>
      </c>
      <c r="AA105" t="s">
        <v>805</v>
      </c>
      <c r="AB105" t="s">
        <v>805</v>
      </c>
      <c r="AC105" t="s">
        <v>805</v>
      </c>
      <c r="AD105" t="s">
        <v>805</v>
      </c>
      <c r="AE105" t="s">
        <v>805</v>
      </c>
      <c r="AF105" t="s">
        <v>805</v>
      </c>
      <c r="AG105" t="s">
        <v>805</v>
      </c>
      <c r="AH105" t="s">
        <v>805</v>
      </c>
      <c r="AI105" t="s">
        <v>805</v>
      </c>
      <c r="AJ105" t="s">
        <v>805</v>
      </c>
      <c r="AK105" t="s">
        <v>805</v>
      </c>
      <c r="AL105" t="s">
        <v>805</v>
      </c>
      <c r="AM105" t="s">
        <v>805</v>
      </c>
      <c r="AN105" t="s">
        <v>805</v>
      </c>
      <c r="AO105" t="s">
        <v>805</v>
      </c>
      <c r="AP105" t="s">
        <v>805</v>
      </c>
      <c r="AQ105" t="s">
        <v>805</v>
      </c>
      <c r="AR105" t="s">
        <v>805</v>
      </c>
      <c r="AS105" t="s">
        <v>805</v>
      </c>
      <c r="AT105" t="s">
        <v>805</v>
      </c>
      <c r="AU105" t="s">
        <v>805</v>
      </c>
      <c r="AV105" t="s">
        <v>805</v>
      </c>
      <c r="AW105" t="s">
        <v>805</v>
      </c>
      <c r="AX105" t="s">
        <v>805</v>
      </c>
      <c r="AY105" t="s">
        <v>805</v>
      </c>
      <c r="AZ105" t="s">
        <v>805</v>
      </c>
      <c r="BA105" t="s">
        <v>805</v>
      </c>
      <c r="BB105" t="s">
        <v>805</v>
      </c>
      <c r="BC105" t="s">
        <v>805</v>
      </c>
      <c r="BD105" t="s">
        <v>805</v>
      </c>
      <c r="BE105" t="s">
        <v>805</v>
      </c>
      <c r="BF105" t="s">
        <v>805</v>
      </c>
      <c r="BG105" t="s">
        <v>805</v>
      </c>
      <c r="BH105" t="s">
        <v>805</v>
      </c>
      <c r="BI105" t="s">
        <v>805</v>
      </c>
      <c r="BJ105" t="s">
        <v>805</v>
      </c>
      <c r="BK105" t="s">
        <v>805</v>
      </c>
      <c r="BL105" t="s">
        <v>805</v>
      </c>
      <c r="BM105" t="s">
        <v>805</v>
      </c>
      <c r="BN105" t="s">
        <v>805</v>
      </c>
      <c r="BO105" t="s">
        <v>805</v>
      </c>
      <c r="BP105" t="s">
        <v>805</v>
      </c>
      <c r="BQ105" t="s">
        <v>805</v>
      </c>
      <c r="BR105" t="s">
        <v>805</v>
      </c>
      <c r="BS105" t="s">
        <v>805</v>
      </c>
      <c r="BT105" t="s">
        <v>805</v>
      </c>
      <c r="BU105" t="s">
        <v>805</v>
      </c>
      <c r="BV105" t="s">
        <v>805</v>
      </c>
      <c r="BW105" t="s">
        <v>805</v>
      </c>
      <c r="BX105" t="s">
        <v>805</v>
      </c>
      <c r="BY105" t="s">
        <v>805</v>
      </c>
      <c r="BZ105" t="s">
        <v>805</v>
      </c>
      <c r="CA105" t="s">
        <v>805</v>
      </c>
      <c r="CB105" t="s">
        <v>805</v>
      </c>
      <c r="CC105" t="s">
        <v>805</v>
      </c>
      <c r="CD105" t="s">
        <v>805</v>
      </c>
      <c r="CE105" t="s">
        <v>805</v>
      </c>
      <c r="CF105" t="s">
        <v>805</v>
      </c>
      <c r="CG105" t="s">
        <v>805</v>
      </c>
      <c r="CH105" t="s">
        <v>805</v>
      </c>
      <c r="CI105" t="s">
        <v>805</v>
      </c>
      <c r="CJ105" t="s">
        <v>805</v>
      </c>
      <c r="CK105" t="s">
        <v>805</v>
      </c>
      <c r="CL105" t="s">
        <v>805</v>
      </c>
      <c r="CM105" t="s">
        <v>805</v>
      </c>
      <c r="CN105" t="s">
        <v>805</v>
      </c>
      <c r="CO105" t="s">
        <v>805</v>
      </c>
      <c r="CP105" t="s">
        <v>805</v>
      </c>
      <c r="CQ105" t="s">
        <v>805</v>
      </c>
      <c r="CR105" t="s">
        <v>805</v>
      </c>
      <c r="CS105" t="s">
        <v>805</v>
      </c>
      <c r="CT105" t="s">
        <v>805</v>
      </c>
      <c r="CU105" t="s">
        <v>805</v>
      </c>
      <c r="CV105" t="s">
        <v>805</v>
      </c>
      <c r="CW105" t="s">
        <v>805</v>
      </c>
      <c r="CX105" t="s">
        <v>805</v>
      </c>
      <c r="CY105" t="s">
        <v>805</v>
      </c>
      <c r="CZ105" t="s">
        <v>805</v>
      </c>
      <c r="DA105" t="s">
        <v>805</v>
      </c>
      <c r="DB105" t="s">
        <v>805</v>
      </c>
      <c r="DC105" t="s">
        <v>805</v>
      </c>
      <c r="DD105" t="s">
        <v>805</v>
      </c>
      <c r="DE105" t="s">
        <v>805</v>
      </c>
      <c r="DF105" t="s">
        <v>805</v>
      </c>
      <c r="DG105" s="28">
        <f>VLOOKUP(E105,'KPI Count-SHARE'!A:F,3,0)</f>
        <v>0</v>
      </c>
      <c r="DH105" t="s">
        <v>805</v>
      </c>
      <c r="DI105" t="s">
        <v>805</v>
      </c>
      <c r="DJ105" t="s">
        <v>805</v>
      </c>
      <c r="DK105" t="s">
        <v>805</v>
      </c>
      <c r="DL105" t="s">
        <v>805</v>
      </c>
      <c r="DM105" t="s">
        <v>805</v>
      </c>
      <c r="DN105" s="28">
        <f>VLOOKUP(E105,'KPI Count-SHARE'!A:F,4,0)</f>
        <v>0</v>
      </c>
      <c r="DU105" s="28">
        <f>VLOOKUP(E105,'KPI Count-SHARE'!A:F,5,0)</f>
        <v>0</v>
      </c>
      <c r="EB105" s="28">
        <f>VLOOKUP(E105,'KPI Count-SHARE'!A:F,6,0)</f>
        <v>0</v>
      </c>
      <c r="EI105" t="s">
        <v>531</v>
      </c>
      <c r="EJ105" s="41" t="str">
        <f t="shared" si="654"/>
        <v/>
      </c>
      <c r="EK105" s="41" t="str">
        <f t="shared" si="655"/>
        <v/>
      </c>
      <c r="EL105" s="41" t="str">
        <f t="shared" si="656"/>
        <v/>
      </c>
      <c r="EM105" s="41" t="str">
        <f t="shared" si="657"/>
        <v/>
      </c>
      <c r="EN105" s="41" t="str">
        <f t="shared" si="658"/>
        <v/>
      </c>
      <c r="EO105" s="41" t="str">
        <f t="shared" si="659"/>
        <v/>
      </c>
      <c r="EP105" s="41" t="str">
        <f t="shared" si="660"/>
        <v/>
      </c>
      <c r="EQ105" s="41" t="str">
        <f t="shared" si="661"/>
        <v/>
      </c>
      <c r="ER105" s="41" t="str">
        <f t="shared" si="662"/>
        <v/>
      </c>
      <c r="ES105" s="41" t="str">
        <f t="shared" si="663"/>
        <v/>
      </c>
      <c r="ET105" s="41" t="str">
        <f t="shared" si="664"/>
        <v/>
      </c>
      <c r="EU105" s="41" t="str">
        <f t="shared" si="665"/>
        <v/>
      </c>
      <c r="EV105" s="41" t="str">
        <f t="shared" si="666"/>
        <v/>
      </c>
      <c r="EW105" s="41" t="str">
        <f t="shared" si="667"/>
        <v/>
      </c>
      <c r="EX105" s="41" t="str">
        <f t="shared" si="668"/>
        <v/>
      </c>
      <c r="EY105" s="41" t="str">
        <f t="shared" si="669"/>
        <v/>
      </c>
      <c r="EZ105" s="41" t="str">
        <f t="shared" si="670"/>
        <v/>
      </c>
      <c r="FA105" s="41" t="str">
        <f t="shared" si="671"/>
        <v/>
      </c>
      <c r="FB105" s="41" t="str">
        <f t="shared" si="672"/>
        <v/>
      </c>
      <c r="FC105" s="41" t="str">
        <f t="shared" si="673"/>
        <v/>
      </c>
      <c r="FD105" s="41" t="str">
        <f t="shared" si="674"/>
        <v/>
      </c>
      <c r="FE105" s="41" t="str">
        <f t="shared" si="675"/>
        <v/>
      </c>
      <c r="FF105" s="41" t="str">
        <f t="shared" si="676"/>
        <v/>
      </c>
      <c r="FG105" s="41" t="str">
        <f t="shared" si="677"/>
        <v/>
      </c>
      <c r="FH105" s="41" t="str">
        <f t="shared" si="678"/>
        <v/>
      </c>
      <c r="FI105" s="41" t="str">
        <f t="shared" si="679"/>
        <v/>
      </c>
      <c r="FJ105" s="41" t="str">
        <f t="shared" si="680"/>
        <v/>
      </c>
      <c r="FK105" s="41" t="str">
        <f t="shared" si="681"/>
        <v/>
      </c>
      <c r="FL105" s="41" t="str">
        <f t="shared" si="682"/>
        <v/>
      </c>
      <c r="FM105" s="41" t="str">
        <f t="shared" si="683"/>
        <v/>
      </c>
      <c r="FN105" s="41" t="str">
        <f t="shared" si="684"/>
        <v/>
      </c>
      <c r="FO105" s="41" t="str">
        <f t="shared" si="685"/>
        <v/>
      </c>
      <c r="FP105" s="41" t="str">
        <f t="shared" si="686"/>
        <v/>
      </c>
      <c r="FQ105" s="41" t="str">
        <f t="shared" si="687"/>
        <v/>
      </c>
      <c r="FR105" s="41" t="str">
        <f t="shared" si="688"/>
        <v/>
      </c>
      <c r="FS105" s="41" t="str">
        <f t="shared" si="689"/>
        <v/>
      </c>
      <c r="FT105" s="41" t="str">
        <f t="shared" si="690"/>
        <v/>
      </c>
      <c r="FU105" s="41" t="str">
        <f t="shared" si="691"/>
        <v/>
      </c>
      <c r="FV105" s="41" t="str">
        <f t="shared" si="692"/>
        <v/>
      </c>
      <c r="FW105" s="41" t="str">
        <f t="shared" si="693"/>
        <v/>
      </c>
      <c r="FX105" s="41" t="str">
        <f t="shared" si="694"/>
        <v/>
      </c>
      <c r="FY105" s="41" t="str">
        <f t="shared" si="695"/>
        <v/>
      </c>
      <c r="FZ105" s="41" t="str">
        <f t="shared" si="696"/>
        <v/>
      </c>
      <c r="GA105" s="41" t="str">
        <f t="shared" si="697"/>
        <v/>
      </c>
      <c r="GB105" s="41" t="str">
        <f t="shared" si="698"/>
        <v/>
      </c>
      <c r="GC105" s="41" t="str">
        <f t="shared" si="699"/>
        <v/>
      </c>
      <c r="GD105" s="41" t="str">
        <f t="shared" si="700"/>
        <v/>
      </c>
      <c r="GE105" s="41" t="str">
        <f t="shared" si="701"/>
        <v/>
      </c>
      <c r="GF105" s="41" t="str">
        <f t="shared" si="702"/>
        <v/>
      </c>
      <c r="GG105" s="41" t="str">
        <f t="shared" si="703"/>
        <v/>
      </c>
      <c r="GH105" s="41" t="str">
        <f t="shared" si="704"/>
        <v/>
      </c>
      <c r="GI105" s="41" t="str">
        <f t="shared" si="705"/>
        <v/>
      </c>
      <c r="GJ105" s="41" t="str">
        <f t="shared" si="706"/>
        <v/>
      </c>
      <c r="GK105" s="41" t="str">
        <f t="shared" si="707"/>
        <v/>
      </c>
      <c r="GL105" s="41" t="str">
        <f t="shared" si="708"/>
        <v/>
      </c>
      <c r="GM105" s="41" t="str">
        <f t="shared" si="709"/>
        <v/>
      </c>
      <c r="GN105" s="41" t="str">
        <f t="shared" si="710"/>
        <v/>
      </c>
      <c r="GO105" s="41" t="str">
        <f t="shared" si="711"/>
        <v/>
      </c>
      <c r="GP105" s="41" t="str">
        <f t="shared" si="712"/>
        <v/>
      </c>
      <c r="GQ105" s="41" t="str">
        <f t="shared" si="713"/>
        <v/>
      </c>
      <c r="GR105" s="41" t="str">
        <f t="shared" si="714"/>
        <v/>
      </c>
      <c r="GS105" s="41" t="str">
        <f t="shared" si="715"/>
        <v/>
      </c>
      <c r="GT105" s="41" t="str">
        <f t="shared" si="716"/>
        <v/>
      </c>
      <c r="GU105" s="41" t="str">
        <f t="shared" si="717"/>
        <v/>
      </c>
      <c r="GV105" s="41" t="str">
        <f t="shared" si="718"/>
        <v/>
      </c>
      <c r="GW105" s="41" t="str">
        <f t="shared" si="719"/>
        <v/>
      </c>
      <c r="GX105" s="41" t="str">
        <f t="shared" si="720"/>
        <v/>
      </c>
      <c r="GY105" s="41" t="str">
        <f t="shared" si="721"/>
        <v/>
      </c>
      <c r="GZ105" s="41" t="str">
        <f t="shared" si="722"/>
        <v/>
      </c>
      <c r="HA105" s="41" t="str">
        <f t="shared" si="723"/>
        <v/>
      </c>
      <c r="HB105" s="41" t="str">
        <f t="shared" si="724"/>
        <v/>
      </c>
      <c r="HC105" s="41" t="str">
        <f t="shared" si="725"/>
        <v/>
      </c>
      <c r="HD105" s="41" t="str">
        <f t="shared" si="726"/>
        <v/>
      </c>
      <c r="HE105" s="41" t="str">
        <f t="shared" si="727"/>
        <v/>
      </c>
      <c r="HF105" s="41" t="str">
        <f t="shared" si="728"/>
        <v/>
      </c>
      <c r="HG105" s="41" t="str">
        <f t="shared" si="729"/>
        <v/>
      </c>
      <c r="HH105" s="41" t="str">
        <f t="shared" si="730"/>
        <v/>
      </c>
      <c r="HI105" s="41" t="str">
        <f t="shared" si="731"/>
        <v/>
      </c>
      <c r="HJ105" s="41" t="str">
        <f t="shared" si="732"/>
        <v/>
      </c>
      <c r="HK105" s="41" t="str">
        <f t="shared" si="733"/>
        <v/>
      </c>
      <c r="HL105" s="41" t="str">
        <f t="shared" si="734"/>
        <v/>
      </c>
      <c r="HM105" s="41" t="str">
        <f t="shared" si="735"/>
        <v/>
      </c>
      <c r="HN105" s="41" t="str">
        <f t="shared" si="736"/>
        <v/>
      </c>
      <c r="HO105" s="41" t="str">
        <f t="shared" si="737"/>
        <v/>
      </c>
      <c r="HP105" s="41" t="str">
        <f t="shared" si="738"/>
        <v/>
      </c>
      <c r="HQ105" s="41" t="str">
        <f t="shared" si="739"/>
        <v/>
      </c>
      <c r="HR105" s="41" t="str">
        <f t="shared" si="740"/>
        <v/>
      </c>
      <c r="HS105" s="41" t="str">
        <f t="shared" si="741"/>
        <v/>
      </c>
      <c r="HT105" s="41" t="str">
        <f t="shared" si="742"/>
        <v/>
      </c>
      <c r="HU105" s="41" t="str">
        <f t="shared" si="743"/>
        <v/>
      </c>
      <c r="HV105" s="41" t="str">
        <f t="shared" si="744"/>
        <v/>
      </c>
      <c r="HW105" s="41" t="str">
        <f t="shared" si="745"/>
        <v/>
      </c>
      <c r="HX105" s="41" t="str">
        <f t="shared" si="746"/>
        <v/>
      </c>
      <c r="HY105" s="41" t="str">
        <f t="shared" si="747"/>
        <v/>
      </c>
      <c r="HZ105" s="41" t="str">
        <f t="shared" si="748"/>
        <v/>
      </c>
      <c r="IA105" s="41" t="str">
        <f t="shared" si="749"/>
        <v/>
      </c>
      <c r="IB105" s="41" t="str">
        <f t="shared" si="750"/>
        <v/>
      </c>
      <c r="IC105" s="41" t="str">
        <f t="shared" si="751"/>
        <v/>
      </c>
      <c r="ID105" s="41" t="str">
        <f t="shared" si="752"/>
        <v/>
      </c>
      <c r="IE105" s="41" t="str">
        <f t="shared" si="753"/>
        <v/>
      </c>
      <c r="IF105" s="41" t="str">
        <f t="shared" si="754"/>
        <v/>
      </c>
      <c r="IG105" s="306" t="str">
        <f t="shared" si="755"/>
        <v/>
      </c>
      <c r="IH105" s="44" t="str">
        <f t="shared" si="756"/>
        <v/>
      </c>
      <c r="II105" s="44" t="str">
        <f t="shared" si="757"/>
        <v/>
      </c>
      <c r="IJ105" s="44" t="str">
        <f t="shared" si="758"/>
        <v/>
      </c>
      <c r="IK105" s="44" t="str">
        <f t="shared" si="759"/>
        <v/>
      </c>
      <c r="IL105" s="44" t="str">
        <f t="shared" si="760"/>
        <v/>
      </c>
      <c r="IM105" s="306" t="str">
        <f t="shared" si="761"/>
        <v/>
      </c>
      <c r="IN105" s="44" t="str">
        <f t="shared" si="762"/>
        <v/>
      </c>
      <c r="IO105" s="44" t="str">
        <f t="shared" si="763"/>
        <v/>
      </c>
      <c r="IP105" s="44" t="str">
        <f t="shared" si="764"/>
        <v/>
      </c>
      <c r="IQ105" s="44" t="str">
        <f t="shared" si="765"/>
        <v/>
      </c>
      <c r="IR105" s="44" t="str">
        <f t="shared" si="766"/>
        <v/>
      </c>
      <c r="IS105" s="306" t="str">
        <f t="shared" si="767"/>
        <v/>
      </c>
      <c r="IT105" s="44" t="str">
        <f t="shared" si="768"/>
        <v/>
      </c>
      <c r="IU105" s="44" t="str">
        <f t="shared" si="769"/>
        <v/>
      </c>
      <c r="IV105" s="44" t="str">
        <f t="shared" si="770"/>
        <v/>
      </c>
      <c r="IW105" s="44" t="str">
        <f t="shared" si="771"/>
        <v/>
      </c>
      <c r="IX105" s="44" t="str">
        <f t="shared" si="772"/>
        <v/>
      </c>
      <c r="IY105" s="306" t="str">
        <f t="shared" si="773"/>
        <v/>
      </c>
      <c r="IZ105" s="44" t="str">
        <f t="shared" si="774"/>
        <v/>
      </c>
      <c r="JA105" s="44" t="str">
        <f t="shared" si="775"/>
        <v/>
      </c>
      <c r="JB105" s="44" t="str">
        <f t="shared" si="776"/>
        <v/>
      </c>
      <c r="JC105" s="44" t="str">
        <f t="shared" si="777"/>
        <v/>
      </c>
      <c r="JD105" s="307" t="str">
        <f t="shared" si="778"/>
        <v/>
      </c>
      <c r="JF105" s="66">
        <f t="shared" si="779"/>
        <v>105</v>
      </c>
      <c r="JG105" s="66">
        <f t="shared" ca="1" si="789"/>
        <v>0</v>
      </c>
      <c r="JH105" s="66">
        <f t="shared" ca="1" si="790"/>
        <v>0</v>
      </c>
      <c r="JI105" s="66">
        <f t="shared" ca="1" si="791"/>
        <v>0</v>
      </c>
      <c r="JJ105" s="66">
        <f t="shared" ca="1" si="792"/>
        <v>0</v>
      </c>
      <c r="JK105" s="33"/>
      <c r="JL105" s="74" t="str">
        <f t="shared" ca="1" si="793"/>
        <v>-</v>
      </c>
      <c r="JM105" s="75">
        <f t="shared" ca="1" si="794"/>
        <v>0</v>
      </c>
      <c r="JN105" s="75">
        <f t="shared" ca="1" si="795"/>
        <v>0</v>
      </c>
      <c r="JO105" s="74" t="str">
        <f t="shared" ca="1" si="796"/>
        <v>-</v>
      </c>
      <c r="JP105" s="74">
        <f t="shared" ca="1" si="797"/>
        <v>0</v>
      </c>
    </row>
    <row r="106" spans="1:276" hidden="1" x14ac:dyDescent="0.35">
      <c r="A106" s="125" t="s">
        <v>805</v>
      </c>
      <c r="B106" s="125" t="s">
        <v>805</v>
      </c>
      <c r="C106" s="125" t="s">
        <v>805</v>
      </c>
      <c r="E106" s="142" t="s">
        <v>838</v>
      </c>
      <c r="F106" s="254" t="s">
        <v>723</v>
      </c>
      <c r="G106" t="s">
        <v>530</v>
      </c>
      <c r="H106" t="s">
        <v>531</v>
      </c>
      <c r="I106" t="s">
        <v>534</v>
      </c>
      <c r="J106" s="211" t="s">
        <v>805</v>
      </c>
      <c r="K106" t="s">
        <v>805</v>
      </c>
      <c r="L106" t="s">
        <v>805</v>
      </c>
      <c r="M106" t="s">
        <v>805</v>
      </c>
      <c r="N106" t="s">
        <v>805</v>
      </c>
      <c r="O106" t="s">
        <v>805</v>
      </c>
      <c r="P106" t="s">
        <v>805</v>
      </c>
      <c r="Q106" t="s">
        <v>805</v>
      </c>
      <c r="R106" t="s">
        <v>805</v>
      </c>
      <c r="S106" t="s">
        <v>805</v>
      </c>
      <c r="T106" t="s">
        <v>805</v>
      </c>
      <c r="U106" t="s">
        <v>805</v>
      </c>
      <c r="V106" t="s">
        <v>805</v>
      </c>
      <c r="W106" t="s">
        <v>805</v>
      </c>
      <c r="X106" t="s">
        <v>805</v>
      </c>
      <c r="Y106" t="s">
        <v>805</v>
      </c>
      <c r="Z106" t="s">
        <v>805</v>
      </c>
      <c r="AA106" t="s">
        <v>805</v>
      </c>
      <c r="AB106" t="s">
        <v>805</v>
      </c>
      <c r="AC106" t="s">
        <v>805</v>
      </c>
      <c r="AD106" t="s">
        <v>805</v>
      </c>
      <c r="AE106" t="s">
        <v>805</v>
      </c>
      <c r="AF106" t="s">
        <v>805</v>
      </c>
      <c r="AG106" t="s">
        <v>805</v>
      </c>
      <c r="AH106" t="s">
        <v>805</v>
      </c>
      <c r="AI106" t="s">
        <v>805</v>
      </c>
      <c r="AJ106" t="s">
        <v>805</v>
      </c>
      <c r="AK106" t="s">
        <v>805</v>
      </c>
      <c r="AL106" t="s">
        <v>805</v>
      </c>
      <c r="AM106" t="s">
        <v>805</v>
      </c>
      <c r="AN106" t="s">
        <v>805</v>
      </c>
      <c r="AO106" t="s">
        <v>805</v>
      </c>
      <c r="AP106" t="s">
        <v>805</v>
      </c>
      <c r="AQ106" t="s">
        <v>805</v>
      </c>
      <c r="AR106" t="s">
        <v>805</v>
      </c>
      <c r="AS106" t="s">
        <v>805</v>
      </c>
      <c r="AT106" t="s">
        <v>805</v>
      </c>
      <c r="AU106" t="s">
        <v>805</v>
      </c>
      <c r="AV106" t="s">
        <v>805</v>
      </c>
      <c r="AW106" t="s">
        <v>805</v>
      </c>
      <c r="AX106" t="s">
        <v>805</v>
      </c>
      <c r="AY106" t="s">
        <v>805</v>
      </c>
      <c r="AZ106" t="s">
        <v>805</v>
      </c>
      <c r="BA106" t="s">
        <v>805</v>
      </c>
      <c r="BB106" t="s">
        <v>805</v>
      </c>
      <c r="BC106" t="s">
        <v>805</v>
      </c>
      <c r="BD106" t="s">
        <v>805</v>
      </c>
      <c r="BE106" t="s">
        <v>805</v>
      </c>
      <c r="BF106" t="s">
        <v>805</v>
      </c>
      <c r="BG106" t="s">
        <v>805</v>
      </c>
      <c r="BH106" t="s">
        <v>805</v>
      </c>
      <c r="BI106" t="s">
        <v>805</v>
      </c>
      <c r="BJ106" t="s">
        <v>805</v>
      </c>
      <c r="BK106" t="s">
        <v>805</v>
      </c>
      <c r="BL106" t="s">
        <v>805</v>
      </c>
      <c r="BM106" t="s">
        <v>805</v>
      </c>
      <c r="BN106" t="s">
        <v>805</v>
      </c>
      <c r="BO106" t="s">
        <v>805</v>
      </c>
      <c r="BP106" t="s">
        <v>805</v>
      </c>
      <c r="BQ106" t="s">
        <v>805</v>
      </c>
      <c r="BR106" t="s">
        <v>805</v>
      </c>
      <c r="BS106" t="s">
        <v>805</v>
      </c>
      <c r="BT106" t="s">
        <v>805</v>
      </c>
      <c r="BU106" t="s">
        <v>805</v>
      </c>
      <c r="BV106" t="s">
        <v>805</v>
      </c>
      <c r="BW106" t="s">
        <v>805</v>
      </c>
      <c r="BX106" t="s">
        <v>805</v>
      </c>
      <c r="BY106" t="s">
        <v>805</v>
      </c>
      <c r="BZ106" t="s">
        <v>805</v>
      </c>
      <c r="CA106" t="s">
        <v>805</v>
      </c>
      <c r="CB106" t="s">
        <v>805</v>
      </c>
      <c r="CC106" t="s">
        <v>805</v>
      </c>
      <c r="CD106" t="s">
        <v>805</v>
      </c>
      <c r="CE106" t="s">
        <v>805</v>
      </c>
      <c r="CF106" t="s">
        <v>805</v>
      </c>
      <c r="CG106" t="s">
        <v>805</v>
      </c>
      <c r="CH106" t="s">
        <v>805</v>
      </c>
      <c r="CI106" t="s">
        <v>805</v>
      </c>
      <c r="CJ106" t="s">
        <v>805</v>
      </c>
      <c r="CK106" t="s">
        <v>805</v>
      </c>
      <c r="CL106" t="s">
        <v>805</v>
      </c>
      <c r="CM106" t="s">
        <v>805</v>
      </c>
      <c r="CN106" t="s">
        <v>805</v>
      </c>
      <c r="CO106" t="s">
        <v>805</v>
      </c>
      <c r="CP106" t="s">
        <v>805</v>
      </c>
      <c r="CQ106" t="s">
        <v>805</v>
      </c>
      <c r="CR106" t="s">
        <v>805</v>
      </c>
      <c r="CS106" t="s">
        <v>805</v>
      </c>
      <c r="CT106" t="s">
        <v>805</v>
      </c>
      <c r="CU106" t="s">
        <v>805</v>
      </c>
      <c r="CV106" t="s">
        <v>805</v>
      </c>
      <c r="CW106" t="s">
        <v>805</v>
      </c>
      <c r="CX106" t="s">
        <v>805</v>
      </c>
      <c r="CY106" t="s">
        <v>805</v>
      </c>
      <c r="CZ106" t="s">
        <v>805</v>
      </c>
      <c r="DA106" t="s">
        <v>805</v>
      </c>
      <c r="DB106" t="s">
        <v>805</v>
      </c>
      <c r="DC106" t="s">
        <v>805</v>
      </c>
      <c r="DD106" t="s">
        <v>805</v>
      </c>
      <c r="DE106" t="s">
        <v>805</v>
      </c>
      <c r="DF106" t="s">
        <v>805</v>
      </c>
      <c r="DG106" s="28">
        <f>VLOOKUP(E106,'KPI Count-SHARE'!A:F,3,0)</f>
        <v>0</v>
      </c>
      <c r="DH106" t="s">
        <v>805</v>
      </c>
      <c r="DI106" t="s">
        <v>805</v>
      </c>
      <c r="DJ106" t="s">
        <v>805</v>
      </c>
      <c r="DK106" t="s">
        <v>805</v>
      </c>
      <c r="DL106" t="s">
        <v>805</v>
      </c>
      <c r="DM106" t="s">
        <v>805</v>
      </c>
      <c r="DN106" s="28">
        <f>VLOOKUP(E106,'KPI Count-SHARE'!A:F,4,0)</f>
        <v>0</v>
      </c>
      <c r="DU106" s="28">
        <f>VLOOKUP(E106,'KPI Count-SHARE'!A:F,5,0)</f>
        <v>0</v>
      </c>
      <c r="EB106" s="28">
        <f>VLOOKUP(E106,'KPI Count-SHARE'!A:F,6,0)</f>
        <v>0</v>
      </c>
      <c r="EI106" t="s">
        <v>531</v>
      </c>
      <c r="EJ106" s="41" t="str">
        <f t="shared" si="654"/>
        <v/>
      </c>
      <c r="EK106" s="41" t="str">
        <f t="shared" si="655"/>
        <v/>
      </c>
      <c r="EL106" s="41" t="str">
        <f t="shared" si="656"/>
        <v/>
      </c>
      <c r="EM106" s="41" t="str">
        <f t="shared" si="657"/>
        <v/>
      </c>
      <c r="EN106" s="41" t="str">
        <f t="shared" si="658"/>
        <v/>
      </c>
      <c r="EO106" s="41" t="str">
        <f t="shared" si="659"/>
        <v/>
      </c>
      <c r="EP106" s="41" t="str">
        <f t="shared" si="660"/>
        <v/>
      </c>
      <c r="EQ106" s="41" t="str">
        <f t="shared" si="661"/>
        <v/>
      </c>
      <c r="ER106" s="41" t="str">
        <f t="shared" si="662"/>
        <v/>
      </c>
      <c r="ES106" s="41" t="str">
        <f t="shared" si="663"/>
        <v/>
      </c>
      <c r="ET106" s="41" t="str">
        <f t="shared" si="664"/>
        <v/>
      </c>
      <c r="EU106" s="41" t="str">
        <f t="shared" si="665"/>
        <v/>
      </c>
      <c r="EV106" s="41" t="str">
        <f t="shared" si="666"/>
        <v/>
      </c>
      <c r="EW106" s="41" t="str">
        <f t="shared" si="667"/>
        <v/>
      </c>
      <c r="EX106" s="41" t="str">
        <f t="shared" si="668"/>
        <v/>
      </c>
      <c r="EY106" s="41" t="str">
        <f t="shared" si="669"/>
        <v/>
      </c>
      <c r="EZ106" s="41" t="str">
        <f t="shared" si="670"/>
        <v/>
      </c>
      <c r="FA106" s="41" t="str">
        <f t="shared" si="671"/>
        <v/>
      </c>
      <c r="FB106" s="41" t="str">
        <f t="shared" si="672"/>
        <v/>
      </c>
      <c r="FC106" s="41" t="str">
        <f t="shared" si="673"/>
        <v/>
      </c>
      <c r="FD106" s="41" t="str">
        <f t="shared" si="674"/>
        <v/>
      </c>
      <c r="FE106" s="41" t="str">
        <f t="shared" si="675"/>
        <v/>
      </c>
      <c r="FF106" s="41" t="str">
        <f t="shared" si="676"/>
        <v/>
      </c>
      <c r="FG106" s="41" t="str">
        <f t="shared" si="677"/>
        <v/>
      </c>
      <c r="FH106" s="41" t="str">
        <f t="shared" si="678"/>
        <v/>
      </c>
      <c r="FI106" s="41" t="str">
        <f t="shared" si="679"/>
        <v/>
      </c>
      <c r="FJ106" s="41" t="str">
        <f t="shared" si="680"/>
        <v/>
      </c>
      <c r="FK106" s="41" t="str">
        <f t="shared" si="681"/>
        <v/>
      </c>
      <c r="FL106" s="41" t="str">
        <f t="shared" si="682"/>
        <v/>
      </c>
      <c r="FM106" s="41" t="str">
        <f t="shared" si="683"/>
        <v/>
      </c>
      <c r="FN106" s="41" t="str">
        <f t="shared" si="684"/>
        <v/>
      </c>
      <c r="FO106" s="41" t="str">
        <f t="shared" si="685"/>
        <v/>
      </c>
      <c r="FP106" s="41" t="str">
        <f t="shared" si="686"/>
        <v/>
      </c>
      <c r="FQ106" s="41" t="str">
        <f t="shared" si="687"/>
        <v/>
      </c>
      <c r="FR106" s="41" t="str">
        <f t="shared" si="688"/>
        <v/>
      </c>
      <c r="FS106" s="41" t="str">
        <f t="shared" si="689"/>
        <v/>
      </c>
      <c r="FT106" s="41" t="str">
        <f t="shared" si="690"/>
        <v/>
      </c>
      <c r="FU106" s="41" t="str">
        <f t="shared" si="691"/>
        <v/>
      </c>
      <c r="FV106" s="41" t="str">
        <f t="shared" si="692"/>
        <v/>
      </c>
      <c r="FW106" s="41" t="str">
        <f t="shared" si="693"/>
        <v/>
      </c>
      <c r="FX106" s="41" t="str">
        <f t="shared" si="694"/>
        <v/>
      </c>
      <c r="FY106" s="41" t="str">
        <f t="shared" si="695"/>
        <v/>
      </c>
      <c r="FZ106" s="41" t="str">
        <f t="shared" si="696"/>
        <v/>
      </c>
      <c r="GA106" s="41" t="str">
        <f t="shared" si="697"/>
        <v/>
      </c>
      <c r="GB106" s="41" t="str">
        <f t="shared" si="698"/>
        <v/>
      </c>
      <c r="GC106" s="41" t="str">
        <f t="shared" si="699"/>
        <v/>
      </c>
      <c r="GD106" s="41" t="str">
        <f t="shared" si="700"/>
        <v/>
      </c>
      <c r="GE106" s="41" t="str">
        <f t="shared" si="701"/>
        <v/>
      </c>
      <c r="GF106" s="41" t="str">
        <f t="shared" si="702"/>
        <v/>
      </c>
      <c r="GG106" s="41" t="str">
        <f t="shared" si="703"/>
        <v/>
      </c>
      <c r="GH106" s="41" t="str">
        <f t="shared" si="704"/>
        <v/>
      </c>
      <c r="GI106" s="41" t="str">
        <f t="shared" si="705"/>
        <v/>
      </c>
      <c r="GJ106" s="41" t="str">
        <f t="shared" si="706"/>
        <v/>
      </c>
      <c r="GK106" s="41" t="str">
        <f t="shared" si="707"/>
        <v/>
      </c>
      <c r="GL106" s="41" t="str">
        <f t="shared" si="708"/>
        <v/>
      </c>
      <c r="GM106" s="41" t="str">
        <f t="shared" si="709"/>
        <v/>
      </c>
      <c r="GN106" s="41" t="str">
        <f t="shared" si="710"/>
        <v/>
      </c>
      <c r="GO106" s="41" t="str">
        <f t="shared" si="711"/>
        <v/>
      </c>
      <c r="GP106" s="41" t="str">
        <f t="shared" si="712"/>
        <v/>
      </c>
      <c r="GQ106" s="41" t="str">
        <f t="shared" si="713"/>
        <v/>
      </c>
      <c r="GR106" s="41" t="str">
        <f t="shared" si="714"/>
        <v/>
      </c>
      <c r="GS106" s="41" t="str">
        <f t="shared" si="715"/>
        <v/>
      </c>
      <c r="GT106" s="41" t="str">
        <f t="shared" si="716"/>
        <v/>
      </c>
      <c r="GU106" s="41" t="str">
        <f t="shared" si="717"/>
        <v/>
      </c>
      <c r="GV106" s="41" t="str">
        <f t="shared" si="718"/>
        <v/>
      </c>
      <c r="GW106" s="41" t="str">
        <f t="shared" si="719"/>
        <v/>
      </c>
      <c r="GX106" s="41" t="str">
        <f t="shared" si="720"/>
        <v/>
      </c>
      <c r="GY106" s="41" t="str">
        <f t="shared" si="721"/>
        <v/>
      </c>
      <c r="GZ106" s="41" t="str">
        <f t="shared" si="722"/>
        <v/>
      </c>
      <c r="HA106" s="41" t="str">
        <f t="shared" si="723"/>
        <v/>
      </c>
      <c r="HB106" s="41" t="str">
        <f t="shared" si="724"/>
        <v/>
      </c>
      <c r="HC106" s="41" t="str">
        <f t="shared" si="725"/>
        <v/>
      </c>
      <c r="HD106" s="41" t="str">
        <f t="shared" si="726"/>
        <v/>
      </c>
      <c r="HE106" s="41" t="str">
        <f t="shared" si="727"/>
        <v/>
      </c>
      <c r="HF106" s="41" t="str">
        <f t="shared" si="728"/>
        <v/>
      </c>
      <c r="HG106" s="41" t="str">
        <f t="shared" si="729"/>
        <v/>
      </c>
      <c r="HH106" s="41" t="str">
        <f t="shared" si="730"/>
        <v/>
      </c>
      <c r="HI106" s="41" t="str">
        <f t="shared" si="731"/>
        <v/>
      </c>
      <c r="HJ106" s="41" t="str">
        <f t="shared" si="732"/>
        <v/>
      </c>
      <c r="HK106" s="41" t="str">
        <f t="shared" si="733"/>
        <v/>
      </c>
      <c r="HL106" s="41" t="str">
        <f t="shared" si="734"/>
        <v/>
      </c>
      <c r="HM106" s="41" t="str">
        <f t="shared" si="735"/>
        <v/>
      </c>
      <c r="HN106" s="41" t="str">
        <f t="shared" si="736"/>
        <v/>
      </c>
      <c r="HO106" s="41" t="str">
        <f t="shared" si="737"/>
        <v/>
      </c>
      <c r="HP106" s="41" t="str">
        <f t="shared" si="738"/>
        <v/>
      </c>
      <c r="HQ106" s="41" t="str">
        <f t="shared" si="739"/>
        <v/>
      </c>
      <c r="HR106" s="41" t="str">
        <f t="shared" si="740"/>
        <v/>
      </c>
      <c r="HS106" s="41" t="str">
        <f t="shared" si="741"/>
        <v/>
      </c>
      <c r="HT106" s="41" t="str">
        <f t="shared" si="742"/>
        <v/>
      </c>
      <c r="HU106" s="41" t="str">
        <f t="shared" si="743"/>
        <v/>
      </c>
      <c r="HV106" s="41" t="str">
        <f t="shared" si="744"/>
        <v/>
      </c>
      <c r="HW106" s="41" t="str">
        <f t="shared" si="745"/>
        <v/>
      </c>
      <c r="HX106" s="41" t="str">
        <f t="shared" si="746"/>
        <v/>
      </c>
      <c r="HY106" s="41" t="str">
        <f t="shared" si="747"/>
        <v/>
      </c>
      <c r="HZ106" s="41" t="str">
        <f t="shared" si="748"/>
        <v/>
      </c>
      <c r="IA106" s="41" t="str">
        <f t="shared" si="749"/>
        <v/>
      </c>
      <c r="IB106" s="41" t="str">
        <f t="shared" si="750"/>
        <v/>
      </c>
      <c r="IC106" s="41" t="str">
        <f t="shared" si="751"/>
        <v/>
      </c>
      <c r="ID106" s="41" t="str">
        <f t="shared" si="752"/>
        <v/>
      </c>
      <c r="IE106" s="41" t="str">
        <f t="shared" si="753"/>
        <v/>
      </c>
      <c r="IF106" s="41" t="str">
        <f t="shared" si="754"/>
        <v/>
      </c>
      <c r="IG106" s="306" t="str">
        <f t="shared" si="755"/>
        <v/>
      </c>
      <c r="IH106" s="44" t="str">
        <f t="shared" si="756"/>
        <v/>
      </c>
      <c r="II106" s="44" t="str">
        <f t="shared" si="757"/>
        <v/>
      </c>
      <c r="IJ106" s="44" t="str">
        <f t="shared" si="758"/>
        <v/>
      </c>
      <c r="IK106" s="44" t="str">
        <f t="shared" si="759"/>
        <v/>
      </c>
      <c r="IL106" s="44" t="str">
        <f t="shared" si="760"/>
        <v/>
      </c>
      <c r="IM106" s="306" t="str">
        <f t="shared" si="761"/>
        <v/>
      </c>
      <c r="IN106" s="44" t="str">
        <f t="shared" si="762"/>
        <v/>
      </c>
      <c r="IO106" s="44" t="str">
        <f t="shared" si="763"/>
        <v/>
      </c>
      <c r="IP106" s="44" t="str">
        <f t="shared" si="764"/>
        <v/>
      </c>
      <c r="IQ106" s="44" t="str">
        <f t="shared" si="765"/>
        <v/>
      </c>
      <c r="IR106" s="44" t="str">
        <f t="shared" si="766"/>
        <v/>
      </c>
      <c r="IS106" s="306" t="str">
        <f t="shared" si="767"/>
        <v/>
      </c>
      <c r="IT106" s="44" t="str">
        <f t="shared" si="768"/>
        <v/>
      </c>
      <c r="IU106" s="44" t="str">
        <f t="shared" si="769"/>
        <v/>
      </c>
      <c r="IV106" s="44" t="str">
        <f t="shared" si="770"/>
        <v/>
      </c>
      <c r="IW106" s="44" t="str">
        <f t="shared" si="771"/>
        <v/>
      </c>
      <c r="IX106" s="44" t="str">
        <f t="shared" si="772"/>
        <v/>
      </c>
      <c r="IY106" s="306" t="str">
        <f t="shared" si="773"/>
        <v/>
      </c>
      <c r="IZ106" s="44" t="str">
        <f t="shared" si="774"/>
        <v/>
      </c>
      <c r="JA106" s="44" t="str">
        <f t="shared" si="775"/>
        <v/>
      </c>
      <c r="JB106" s="44" t="str">
        <f t="shared" si="776"/>
        <v/>
      </c>
      <c r="JC106" s="44" t="str">
        <f t="shared" si="777"/>
        <v/>
      </c>
      <c r="JD106" s="307" t="str">
        <f t="shared" si="778"/>
        <v/>
      </c>
      <c r="JF106" s="66">
        <f t="shared" si="779"/>
        <v>106</v>
      </c>
      <c r="JG106" s="66">
        <f t="shared" ca="1" si="789"/>
        <v>0</v>
      </c>
      <c r="JH106" s="66">
        <f t="shared" ca="1" si="790"/>
        <v>0</v>
      </c>
      <c r="JI106" s="66">
        <f t="shared" ca="1" si="791"/>
        <v>0</v>
      </c>
      <c r="JJ106" s="66">
        <f t="shared" ca="1" si="792"/>
        <v>0</v>
      </c>
      <c r="JK106" s="33"/>
      <c r="JL106" s="74" t="str">
        <f t="shared" ca="1" si="793"/>
        <v>-</v>
      </c>
      <c r="JM106" s="75">
        <f t="shared" ca="1" si="794"/>
        <v>0</v>
      </c>
      <c r="JN106" s="75">
        <f t="shared" ca="1" si="795"/>
        <v>0</v>
      </c>
      <c r="JO106" s="74" t="str">
        <f t="shared" ca="1" si="796"/>
        <v>-</v>
      </c>
      <c r="JP106" s="74">
        <f t="shared" ca="1" si="797"/>
        <v>0</v>
      </c>
    </row>
    <row r="107" spans="1:276" hidden="1" x14ac:dyDescent="0.35">
      <c r="A107" s="125" t="s">
        <v>805</v>
      </c>
      <c r="B107" s="125" t="s">
        <v>805</v>
      </c>
      <c r="C107" s="125" t="s">
        <v>805</v>
      </c>
      <c r="E107" s="142"/>
      <c r="F107" s="255"/>
      <c r="J107" s="211" t="s">
        <v>805</v>
      </c>
      <c r="K107" t="s">
        <v>805</v>
      </c>
      <c r="L107" t="s">
        <v>805</v>
      </c>
      <c r="M107" t="s">
        <v>805</v>
      </c>
      <c r="N107" t="s">
        <v>805</v>
      </c>
      <c r="O107" t="s">
        <v>805</v>
      </c>
      <c r="P107" t="s">
        <v>805</v>
      </c>
      <c r="Q107" t="s">
        <v>805</v>
      </c>
      <c r="R107" t="s">
        <v>805</v>
      </c>
      <c r="S107" t="s">
        <v>805</v>
      </c>
      <c r="T107" t="s">
        <v>805</v>
      </c>
      <c r="U107" t="s">
        <v>805</v>
      </c>
      <c r="V107" t="s">
        <v>805</v>
      </c>
      <c r="W107" t="s">
        <v>805</v>
      </c>
      <c r="X107" t="s">
        <v>805</v>
      </c>
      <c r="Y107" t="s">
        <v>805</v>
      </c>
      <c r="Z107" t="s">
        <v>805</v>
      </c>
      <c r="AA107" t="s">
        <v>805</v>
      </c>
      <c r="AB107" t="s">
        <v>805</v>
      </c>
      <c r="AC107" t="s">
        <v>805</v>
      </c>
      <c r="AD107" t="s">
        <v>805</v>
      </c>
      <c r="AE107" t="s">
        <v>805</v>
      </c>
      <c r="AF107" t="s">
        <v>805</v>
      </c>
      <c r="AG107" t="s">
        <v>805</v>
      </c>
      <c r="AH107" t="s">
        <v>805</v>
      </c>
      <c r="AI107" t="s">
        <v>805</v>
      </c>
      <c r="AJ107" t="s">
        <v>805</v>
      </c>
      <c r="AK107" t="s">
        <v>805</v>
      </c>
      <c r="AL107" t="s">
        <v>805</v>
      </c>
      <c r="AM107" t="s">
        <v>805</v>
      </c>
      <c r="AN107" t="s">
        <v>805</v>
      </c>
      <c r="AO107" t="s">
        <v>805</v>
      </c>
      <c r="AP107" t="s">
        <v>805</v>
      </c>
      <c r="AQ107" t="s">
        <v>805</v>
      </c>
      <c r="AR107" t="s">
        <v>805</v>
      </c>
      <c r="AS107" t="s">
        <v>805</v>
      </c>
      <c r="AT107" t="s">
        <v>805</v>
      </c>
      <c r="AU107" t="s">
        <v>805</v>
      </c>
      <c r="AV107" t="s">
        <v>805</v>
      </c>
      <c r="AW107" t="s">
        <v>805</v>
      </c>
      <c r="AX107" t="s">
        <v>805</v>
      </c>
      <c r="AY107" t="s">
        <v>805</v>
      </c>
      <c r="AZ107" t="s">
        <v>805</v>
      </c>
      <c r="BA107" t="s">
        <v>805</v>
      </c>
      <c r="BB107" t="s">
        <v>805</v>
      </c>
      <c r="BC107" t="s">
        <v>805</v>
      </c>
      <c r="BD107" t="s">
        <v>805</v>
      </c>
      <c r="BE107" t="s">
        <v>805</v>
      </c>
      <c r="BF107" t="s">
        <v>805</v>
      </c>
      <c r="BG107" t="s">
        <v>805</v>
      </c>
      <c r="BH107" t="s">
        <v>805</v>
      </c>
      <c r="BI107" t="s">
        <v>805</v>
      </c>
      <c r="BJ107" t="s">
        <v>805</v>
      </c>
      <c r="BK107" t="s">
        <v>805</v>
      </c>
      <c r="BL107" t="s">
        <v>805</v>
      </c>
      <c r="BM107" t="s">
        <v>805</v>
      </c>
      <c r="BN107" t="s">
        <v>805</v>
      </c>
      <c r="BO107" t="s">
        <v>805</v>
      </c>
      <c r="BP107" t="s">
        <v>805</v>
      </c>
      <c r="BQ107" t="s">
        <v>805</v>
      </c>
      <c r="BR107" t="s">
        <v>805</v>
      </c>
      <c r="BS107" t="s">
        <v>805</v>
      </c>
      <c r="BT107" t="s">
        <v>805</v>
      </c>
      <c r="BU107" t="s">
        <v>805</v>
      </c>
      <c r="BV107" t="s">
        <v>805</v>
      </c>
      <c r="BW107" t="s">
        <v>805</v>
      </c>
      <c r="BX107" t="s">
        <v>805</v>
      </c>
      <c r="BY107" t="s">
        <v>805</v>
      </c>
      <c r="BZ107" t="s">
        <v>805</v>
      </c>
      <c r="CA107" t="s">
        <v>805</v>
      </c>
      <c r="CB107" t="s">
        <v>805</v>
      </c>
      <c r="CC107" t="s">
        <v>805</v>
      </c>
      <c r="CD107" t="s">
        <v>805</v>
      </c>
      <c r="CE107" t="s">
        <v>805</v>
      </c>
      <c r="CF107" t="s">
        <v>805</v>
      </c>
      <c r="CG107" t="s">
        <v>805</v>
      </c>
      <c r="CH107" t="s">
        <v>805</v>
      </c>
      <c r="CI107" t="s">
        <v>805</v>
      </c>
      <c r="CJ107" t="s">
        <v>805</v>
      </c>
      <c r="CK107" t="s">
        <v>805</v>
      </c>
      <c r="CL107" t="s">
        <v>805</v>
      </c>
      <c r="CM107" t="s">
        <v>805</v>
      </c>
      <c r="CN107" t="s">
        <v>805</v>
      </c>
      <c r="CO107" t="s">
        <v>805</v>
      </c>
      <c r="CP107" t="s">
        <v>805</v>
      </c>
      <c r="CQ107" t="s">
        <v>805</v>
      </c>
      <c r="CR107" t="s">
        <v>805</v>
      </c>
      <c r="CS107" t="s">
        <v>805</v>
      </c>
      <c r="CT107" t="s">
        <v>805</v>
      </c>
      <c r="CU107" t="s">
        <v>805</v>
      </c>
      <c r="CV107" t="s">
        <v>805</v>
      </c>
      <c r="CW107" t="s">
        <v>805</v>
      </c>
      <c r="CX107" t="s">
        <v>805</v>
      </c>
      <c r="CY107" t="s">
        <v>805</v>
      </c>
      <c r="CZ107" t="s">
        <v>805</v>
      </c>
      <c r="DA107" t="s">
        <v>805</v>
      </c>
      <c r="DB107" t="s">
        <v>805</v>
      </c>
      <c r="DC107" t="s">
        <v>805</v>
      </c>
      <c r="DD107" t="s">
        <v>805</v>
      </c>
      <c r="DE107" t="s">
        <v>805</v>
      </c>
      <c r="DF107" t="s">
        <v>805</v>
      </c>
      <c r="DG107" s="28"/>
      <c r="DN107" s="28"/>
      <c r="DU107" s="28"/>
      <c r="EB107" s="28"/>
      <c r="JF107" s="66">
        <f t="shared" si="779"/>
        <v>107</v>
      </c>
      <c r="JG107" s="66">
        <f t="shared" ca="1" si="789"/>
        <v>0</v>
      </c>
      <c r="JH107" s="66">
        <f t="shared" ca="1" si="790"/>
        <v>0</v>
      </c>
      <c r="JI107" s="66">
        <f t="shared" ca="1" si="791"/>
        <v>0</v>
      </c>
      <c r="JJ107" s="66">
        <f t="shared" ca="1" si="792"/>
        <v>0</v>
      </c>
      <c r="JK107" s="33"/>
      <c r="JL107" s="74" t="str">
        <f t="shared" ca="1" si="793"/>
        <v>-</v>
      </c>
      <c r="JM107" s="75">
        <f t="shared" ca="1" si="794"/>
        <v>0</v>
      </c>
      <c r="JN107" s="75">
        <f t="shared" ca="1" si="795"/>
        <v>0</v>
      </c>
      <c r="JO107" s="74" t="str">
        <f t="shared" ca="1" si="796"/>
        <v>-</v>
      </c>
      <c r="JP107" s="74">
        <f t="shared" ca="1" si="797"/>
        <v>0</v>
      </c>
    </row>
    <row r="108" spans="1:276" hidden="1" x14ac:dyDescent="0.35">
      <c r="A108" s="125" t="s">
        <v>805</v>
      </c>
      <c r="B108" s="125" t="s">
        <v>805</v>
      </c>
      <c r="C108" s="125" t="s">
        <v>805</v>
      </c>
      <c r="D108" s="253"/>
      <c r="E108" s="253"/>
      <c r="F108" s="249" t="s">
        <v>724</v>
      </c>
      <c r="G108" s="253"/>
      <c r="H108" s="253"/>
      <c r="I108" s="253"/>
      <c r="J108" s="253" t="s">
        <v>805</v>
      </c>
      <c r="K108" s="253" t="s">
        <v>805</v>
      </c>
      <c r="L108" s="253" t="s">
        <v>805</v>
      </c>
      <c r="M108" s="253" t="s">
        <v>805</v>
      </c>
      <c r="N108" s="253" t="s">
        <v>805</v>
      </c>
      <c r="O108" s="253" t="s">
        <v>805</v>
      </c>
      <c r="P108" s="253" t="s">
        <v>805</v>
      </c>
      <c r="Q108" s="253" t="s">
        <v>805</v>
      </c>
      <c r="R108" s="253" t="s">
        <v>805</v>
      </c>
      <c r="S108" s="253" t="s">
        <v>805</v>
      </c>
      <c r="T108" s="253" t="s">
        <v>805</v>
      </c>
      <c r="U108" s="253" t="s">
        <v>805</v>
      </c>
      <c r="V108" s="253" t="s">
        <v>805</v>
      </c>
      <c r="W108" s="253" t="s">
        <v>805</v>
      </c>
      <c r="X108" s="253" t="s">
        <v>805</v>
      </c>
      <c r="Y108" s="253" t="s">
        <v>805</v>
      </c>
      <c r="Z108" s="253" t="s">
        <v>805</v>
      </c>
      <c r="AA108" s="253" t="s">
        <v>805</v>
      </c>
      <c r="AB108" s="253" t="s">
        <v>805</v>
      </c>
      <c r="AC108" s="253" t="s">
        <v>805</v>
      </c>
      <c r="AD108" s="253" t="s">
        <v>805</v>
      </c>
      <c r="AE108" s="253" t="s">
        <v>805</v>
      </c>
      <c r="AF108" s="253" t="s">
        <v>805</v>
      </c>
      <c r="AG108" s="253" t="s">
        <v>805</v>
      </c>
      <c r="AH108" s="253" t="s">
        <v>805</v>
      </c>
      <c r="AI108" s="253" t="s">
        <v>805</v>
      </c>
      <c r="AJ108" s="253" t="s">
        <v>805</v>
      </c>
      <c r="AK108" s="253" t="s">
        <v>805</v>
      </c>
      <c r="AL108" s="253" t="s">
        <v>805</v>
      </c>
      <c r="AM108" s="253" t="s">
        <v>805</v>
      </c>
      <c r="AN108" s="253" t="s">
        <v>805</v>
      </c>
      <c r="AO108" s="253" t="s">
        <v>805</v>
      </c>
      <c r="AP108" s="253" t="s">
        <v>805</v>
      </c>
      <c r="AQ108" s="253" t="s">
        <v>805</v>
      </c>
      <c r="AR108" s="253" t="s">
        <v>805</v>
      </c>
      <c r="AS108" s="253" t="s">
        <v>805</v>
      </c>
      <c r="AT108" s="253" t="s">
        <v>805</v>
      </c>
      <c r="AU108" s="253" t="s">
        <v>805</v>
      </c>
      <c r="AV108" s="253" t="s">
        <v>805</v>
      </c>
      <c r="AW108" s="253" t="s">
        <v>805</v>
      </c>
      <c r="AX108" s="253" t="s">
        <v>805</v>
      </c>
      <c r="AY108" s="253" t="s">
        <v>805</v>
      </c>
      <c r="AZ108" s="253" t="s">
        <v>805</v>
      </c>
      <c r="BA108" s="253" t="s">
        <v>805</v>
      </c>
      <c r="BB108" s="253" t="s">
        <v>805</v>
      </c>
      <c r="BC108" s="253" t="s">
        <v>805</v>
      </c>
      <c r="BD108" s="253" t="s">
        <v>805</v>
      </c>
      <c r="BE108" s="253" t="s">
        <v>805</v>
      </c>
      <c r="BF108" s="253" t="s">
        <v>805</v>
      </c>
      <c r="BG108" s="253" t="s">
        <v>805</v>
      </c>
      <c r="BH108" s="253" t="s">
        <v>805</v>
      </c>
      <c r="BI108" s="253" t="s">
        <v>805</v>
      </c>
      <c r="BJ108" s="253" t="s">
        <v>805</v>
      </c>
      <c r="BK108" s="253" t="s">
        <v>805</v>
      </c>
      <c r="BL108" s="253" t="s">
        <v>805</v>
      </c>
      <c r="BM108" s="253" t="s">
        <v>805</v>
      </c>
      <c r="BN108" s="253" t="s">
        <v>805</v>
      </c>
      <c r="BO108" s="253" t="s">
        <v>805</v>
      </c>
      <c r="BP108" s="253" t="s">
        <v>805</v>
      </c>
      <c r="BQ108" s="253" t="s">
        <v>805</v>
      </c>
      <c r="BR108" s="253" t="s">
        <v>805</v>
      </c>
      <c r="BS108" s="253" t="s">
        <v>805</v>
      </c>
      <c r="BT108" s="253" t="s">
        <v>805</v>
      </c>
      <c r="BU108" s="253" t="s">
        <v>805</v>
      </c>
      <c r="BV108" s="253" t="s">
        <v>805</v>
      </c>
      <c r="BW108" s="253" t="s">
        <v>805</v>
      </c>
      <c r="BX108" s="253" t="s">
        <v>805</v>
      </c>
      <c r="BY108" s="253" t="s">
        <v>805</v>
      </c>
      <c r="BZ108" s="253" t="s">
        <v>805</v>
      </c>
      <c r="CA108" s="253" t="s">
        <v>805</v>
      </c>
      <c r="CB108" s="253" t="s">
        <v>805</v>
      </c>
      <c r="CC108" s="253" t="s">
        <v>805</v>
      </c>
      <c r="CD108" s="253" t="s">
        <v>805</v>
      </c>
      <c r="CE108" s="253" t="s">
        <v>805</v>
      </c>
      <c r="CF108" s="253" t="s">
        <v>805</v>
      </c>
      <c r="CG108" s="253" t="s">
        <v>805</v>
      </c>
      <c r="CH108" s="253" t="s">
        <v>805</v>
      </c>
      <c r="CI108" s="253" t="s">
        <v>805</v>
      </c>
      <c r="CJ108" s="253" t="s">
        <v>805</v>
      </c>
      <c r="CK108" s="253" t="s">
        <v>805</v>
      </c>
      <c r="CL108" s="253" t="s">
        <v>805</v>
      </c>
      <c r="CM108" s="253" t="s">
        <v>805</v>
      </c>
      <c r="CN108" s="253" t="s">
        <v>805</v>
      </c>
      <c r="CO108" s="253" t="s">
        <v>805</v>
      </c>
      <c r="CP108" s="253" t="s">
        <v>805</v>
      </c>
      <c r="CQ108" s="253" t="s">
        <v>805</v>
      </c>
      <c r="CR108" s="253" t="s">
        <v>805</v>
      </c>
      <c r="CS108" s="253" t="s">
        <v>805</v>
      </c>
      <c r="CT108" s="253" t="s">
        <v>805</v>
      </c>
      <c r="CU108" s="253" t="s">
        <v>805</v>
      </c>
      <c r="CV108" s="253" t="s">
        <v>805</v>
      </c>
      <c r="CW108" s="253" t="s">
        <v>805</v>
      </c>
      <c r="CX108" s="253" t="s">
        <v>805</v>
      </c>
      <c r="CY108" s="253" t="s">
        <v>805</v>
      </c>
      <c r="CZ108" s="253" t="s">
        <v>805</v>
      </c>
      <c r="DA108" s="253" t="s">
        <v>805</v>
      </c>
      <c r="DB108" s="253" t="s">
        <v>805</v>
      </c>
      <c r="DC108" s="253" t="s">
        <v>805</v>
      </c>
      <c r="DD108" s="253" t="s">
        <v>805</v>
      </c>
      <c r="DE108" s="253" t="s">
        <v>805</v>
      </c>
      <c r="DF108" s="253" t="s">
        <v>805</v>
      </c>
      <c r="DG108" s="272"/>
      <c r="DH108" s="253"/>
      <c r="DI108" s="253"/>
      <c r="DJ108" s="253"/>
      <c r="DK108" s="253"/>
      <c r="DL108" s="253"/>
      <c r="DM108" s="253"/>
      <c r="DN108" s="272"/>
      <c r="DO108" s="253"/>
      <c r="DP108" s="253"/>
      <c r="DQ108" s="253"/>
      <c r="DR108" s="253"/>
      <c r="DS108" s="253"/>
      <c r="DT108" s="253"/>
      <c r="DU108" s="272"/>
      <c r="DV108" s="253"/>
      <c r="DW108" s="253"/>
      <c r="DX108" s="253"/>
      <c r="DY108" s="253"/>
      <c r="DZ108" s="253"/>
      <c r="EA108" s="253"/>
      <c r="EB108" s="272"/>
      <c r="EC108" s="253"/>
      <c r="ED108" s="253"/>
      <c r="EE108" s="253"/>
      <c r="EF108" s="253"/>
      <c r="EG108" s="253"/>
      <c r="EH108" s="253"/>
      <c r="EI108" s="253"/>
      <c r="EJ108" s="253"/>
      <c r="EK108" s="253"/>
      <c r="EL108" s="253"/>
      <c r="EM108" s="253"/>
      <c r="EN108" s="253"/>
      <c r="EO108" s="253"/>
      <c r="EP108" s="253"/>
      <c r="EQ108" s="253"/>
      <c r="ER108" s="253"/>
      <c r="ES108" s="253"/>
      <c r="ET108" s="253"/>
      <c r="EU108" s="253"/>
      <c r="EV108" s="253"/>
      <c r="EW108" s="253"/>
      <c r="EX108" s="253"/>
      <c r="EY108" s="253"/>
      <c r="EZ108" s="253"/>
      <c r="FA108" s="253"/>
      <c r="FB108" s="253"/>
      <c r="FC108" s="253"/>
      <c r="FD108" s="253"/>
      <c r="FE108" s="253"/>
      <c r="FF108" s="253"/>
      <c r="FG108" s="253"/>
      <c r="FH108" s="253"/>
      <c r="FI108" s="253"/>
      <c r="FJ108" s="253"/>
      <c r="FK108" s="253"/>
      <c r="FL108" s="253"/>
      <c r="FM108" s="253"/>
      <c r="FN108" s="253"/>
      <c r="FO108" s="253"/>
      <c r="FP108" s="253"/>
      <c r="FQ108" s="253"/>
      <c r="FR108" s="253"/>
      <c r="FS108" s="253"/>
      <c r="FT108" s="253"/>
      <c r="FU108" s="253"/>
      <c r="FV108" s="253"/>
      <c r="FW108" s="253"/>
      <c r="FX108" s="253"/>
      <c r="FY108" s="253"/>
      <c r="FZ108" s="253"/>
      <c r="GA108" s="253"/>
      <c r="GB108" s="253"/>
      <c r="GC108" s="253"/>
      <c r="GD108" s="253"/>
      <c r="GE108" s="253"/>
      <c r="GF108" s="253"/>
      <c r="GG108" s="253"/>
      <c r="GH108" s="253"/>
      <c r="GI108" s="253"/>
      <c r="GJ108" s="253"/>
      <c r="GK108" s="253"/>
      <c r="GL108" s="253"/>
      <c r="GM108" s="253"/>
      <c r="GN108" s="253"/>
      <c r="GO108" s="253"/>
      <c r="GP108" s="253"/>
      <c r="GQ108" s="253"/>
      <c r="GR108" s="253"/>
      <c r="GS108" s="253"/>
      <c r="GT108" s="253"/>
      <c r="GU108" s="253"/>
      <c r="GV108" s="253"/>
      <c r="GW108" s="253"/>
      <c r="GX108" s="253"/>
      <c r="GY108" s="253"/>
      <c r="GZ108" s="253"/>
      <c r="HA108" s="253"/>
      <c r="HB108" s="253"/>
      <c r="HC108" s="253"/>
      <c r="HD108" s="253"/>
      <c r="HE108" s="253"/>
      <c r="HF108" s="253"/>
      <c r="HG108" s="253"/>
      <c r="HH108" s="253"/>
      <c r="HI108" s="253"/>
      <c r="HJ108" s="253"/>
      <c r="HK108" s="253"/>
      <c r="HL108" s="253"/>
      <c r="HM108" s="253"/>
      <c r="HN108" s="253"/>
      <c r="HO108" s="253"/>
      <c r="HP108" s="253"/>
      <c r="HQ108" s="253"/>
      <c r="HR108" s="253"/>
      <c r="HS108" s="253"/>
      <c r="HT108" s="253"/>
      <c r="HU108" s="253"/>
      <c r="HV108" s="253"/>
      <c r="HW108" s="253"/>
      <c r="HX108" s="253"/>
      <c r="HY108" s="253"/>
      <c r="HZ108" s="253"/>
      <c r="IA108" s="253"/>
      <c r="IB108" s="253"/>
      <c r="IC108" s="253"/>
      <c r="ID108" s="253"/>
      <c r="IE108" s="253"/>
      <c r="IF108" s="253"/>
      <c r="IG108" s="326"/>
      <c r="IH108" s="286"/>
      <c r="II108" s="286"/>
      <c r="IJ108" s="286"/>
      <c r="IK108" s="286"/>
      <c r="IL108" s="286"/>
      <c r="IM108" s="326"/>
      <c r="IN108" s="286"/>
      <c r="IO108" s="286"/>
      <c r="IP108" s="286"/>
      <c r="IQ108" s="286"/>
      <c r="IR108" s="286"/>
      <c r="IS108" s="326"/>
      <c r="IT108" s="286"/>
      <c r="IU108" s="286"/>
      <c r="IV108" s="286"/>
      <c r="IW108" s="286"/>
      <c r="IX108" s="286"/>
      <c r="IY108" s="326"/>
      <c r="IZ108" s="286"/>
      <c r="JA108" s="286"/>
      <c r="JB108" s="286"/>
      <c r="JC108" s="286"/>
      <c r="JD108" s="327"/>
      <c r="JF108" s="66"/>
      <c r="JG108" s="66"/>
      <c r="JH108" s="66"/>
      <c r="JI108" s="66"/>
      <c r="JJ108" s="66"/>
      <c r="JK108" s="33"/>
      <c r="JL108" s="74"/>
      <c r="JM108" s="75"/>
      <c r="JN108" s="75"/>
      <c r="JO108" s="74"/>
      <c r="JP108" s="74"/>
    </row>
    <row r="109" spans="1:276" hidden="1" x14ac:dyDescent="0.35">
      <c r="A109" s="125" t="s">
        <v>805</v>
      </c>
      <c r="B109" s="125" t="s">
        <v>805</v>
      </c>
      <c r="C109" s="125" t="s">
        <v>805</v>
      </c>
      <c r="E109" s="142" t="s">
        <v>839</v>
      </c>
      <c r="F109" s="254" t="s">
        <v>725</v>
      </c>
      <c r="G109" t="s">
        <v>530</v>
      </c>
      <c r="H109" t="s">
        <v>531</v>
      </c>
      <c r="I109" t="s">
        <v>534</v>
      </c>
      <c r="J109" s="211" t="s">
        <v>805</v>
      </c>
      <c r="K109" t="s">
        <v>805</v>
      </c>
      <c r="L109" t="s">
        <v>805</v>
      </c>
      <c r="M109" t="s">
        <v>805</v>
      </c>
      <c r="N109" t="s">
        <v>805</v>
      </c>
      <c r="O109" t="s">
        <v>805</v>
      </c>
      <c r="P109" t="s">
        <v>805</v>
      </c>
      <c r="Q109" t="s">
        <v>805</v>
      </c>
      <c r="R109" t="s">
        <v>805</v>
      </c>
      <c r="S109" t="s">
        <v>805</v>
      </c>
      <c r="T109" t="s">
        <v>805</v>
      </c>
      <c r="U109" t="s">
        <v>805</v>
      </c>
      <c r="V109" t="s">
        <v>805</v>
      </c>
      <c r="W109" t="s">
        <v>805</v>
      </c>
      <c r="X109" t="s">
        <v>805</v>
      </c>
      <c r="Y109" t="s">
        <v>805</v>
      </c>
      <c r="Z109" t="s">
        <v>805</v>
      </c>
      <c r="AA109" t="s">
        <v>805</v>
      </c>
      <c r="AB109" t="s">
        <v>805</v>
      </c>
      <c r="AC109" t="s">
        <v>805</v>
      </c>
      <c r="AD109" t="s">
        <v>805</v>
      </c>
      <c r="AE109" t="s">
        <v>805</v>
      </c>
      <c r="AF109" t="s">
        <v>805</v>
      </c>
      <c r="AG109" t="s">
        <v>805</v>
      </c>
      <c r="AH109" t="s">
        <v>805</v>
      </c>
      <c r="AI109" t="s">
        <v>805</v>
      </c>
      <c r="AJ109" t="s">
        <v>805</v>
      </c>
      <c r="AK109" t="s">
        <v>805</v>
      </c>
      <c r="AL109" t="s">
        <v>805</v>
      </c>
      <c r="AM109" t="s">
        <v>805</v>
      </c>
      <c r="AN109" t="s">
        <v>805</v>
      </c>
      <c r="AO109" t="s">
        <v>805</v>
      </c>
      <c r="AP109" t="s">
        <v>805</v>
      </c>
      <c r="AQ109" t="s">
        <v>805</v>
      </c>
      <c r="AR109" t="s">
        <v>805</v>
      </c>
      <c r="AS109" t="s">
        <v>805</v>
      </c>
      <c r="AT109" t="s">
        <v>805</v>
      </c>
      <c r="AU109" t="s">
        <v>805</v>
      </c>
      <c r="AV109" t="s">
        <v>805</v>
      </c>
      <c r="AW109" t="s">
        <v>805</v>
      </c>
      <c r="AX109" t="s">
        <v>805</v>
      </c>
      <c r="AY109" t="s">
        <v>805</v>
      </c>
      <c r="AZ109" t="s">
        <v>805</v>
      </c>
      <c r="BA109" t="s">
        <v>805</v>
      </c>
      <c r="BB109" t="s">
        <v>805</v>
      </c>
      <c r="BC109" t="s">
        <v>805</v>
      </c>
      <c r="BD109" t="s">
        <v>805</v>
      </c>
      <c r="BE109" t="s">
        <v>805</v>
      </c>
      <c r="BF109" t="s">
        <v>805</v>
      </c>
      <c r="BG109" t="s">
        <v>805</v>
      </c>
      <c r="BH109" t="s">
        <v>805</v>
      </c>
      <c r="BI109" t="s">
        <v>805</v>
      </c>
      <c r="BJ109" t="s">
        <v>805</v>
      </c>
      <c r="BK109" t="s">
        <v>805</v>
      </c>
      <c r="BL109" t="s">
        <v>805</v>
      </c>
      <c r="BM109" t="s">
        <v>805</v>
      </c>
      <c r="BN109" t="s">
        <v>805</v>
      </c>
      <c r="BO109" t="s">
        <v>805</v>
      </c>
      <c r="BP109" t="s">
        <v>805</v>
      </c>
      <c r="BQ109" t="s">
        <v>805</v>
      </c>
      <c r="BR109" t="s">
        <v>805</v>
      </c>
      <c r="BS109" t="s">
        <v>805</v>
      </c>
      <c r="BT109" t="s">
        <v>805</v>
      </c>
      <c r="BU109" t="s">
        <v>805</v>
      </c>
      <c r="BV109" t="s">
        <v>805</v>
      </c>
      <c r="BW109" t="s">
        <v>805</v>
      </c>
      <c r="BX109" t="s">
        <v>805</v>
      </c>
      <c r="BY109" t="s">
        <v>805</v>
      </c>
      <c r="BZ109" t="s">
        <v>805</v>
      </c>
      <c r="CA109" t="s">
        <v>805</v>
      </c>
      <c r="CB109" t="s">
        <v>805</v>
      </c>
      <c r="CC109" t="s">
        <v>805</v>
      </c>
      <c r="CD109" t="s">
        <v>805</v>
      </c>
      <c r="CE109" t="s">
        <v>805</v>
      </c>
      <c r="CF109" t="s">
        <v>805</v>
      </c>
      <c r="CG109" t="s">
        <v>805</v>
      </c>
      <c r="CH109" t="s">
        <v>805</v>
      </c>
      <c r="CI109" t="s">
        <v>805</v>
      </c>
      <c r="CJ109" t="s">
        <v>805</v>
      </c>
      <c r="CK109" t="s">
        <v>805</v>
      </c>
      <c r="CL109" t="s">
        <v>805</v>
      </c>
      <c r="CM109" t="s">
        <v>805</v>
      </c>
      <c r="CN109" t="s">
        <v>805</v>
      </c>
      <c r="CO109" t="s">
        <v>805</v>
      </c>
      <c r="CP109" t="s">
        <v>805</v>
      </c>
      <c r="CQ109" t="s">
        <v>805</v>
      </c>
      <c r="CR109" t="s">
        <v>805</v>
      </c>
      <c r="CS109" t="s">
        <v>805</v>
      </c>
      <c r="CT109" t="s">
        <v>805</v>
      </c>
      <c r="CU109" t="s">
        <v>805</v>
      </c>
      <c r="CV109" t="s">
        <v>805</v>
      </c>
      <c r="CW109" t="s">
        <v>805</v>
      </c>
      <c r="CX109" t="s">
        <v>805</v>
      </c>
      <c r="CY109" t="s">
        <v>805</v>
      </c>
      <c r="CZ109" t="s">
        <v>805</v>
      </c>
      <c r="DA109" t="s">
        <v>805</v>
      </c>
      <c r="DB109" t="s">
        <v>805</v>
      </c>
      <c r="DC109" t="s">
        <v>805</v>
      </c>
      <c r="DD109" t="s">
        <v>805</v>
      </c>
      <c r="DE109" t="s">
        <v>805</v>
      </c>
      <c r="DF109" t="s">
        <v>805</v>
      </c>
      <c r="DG109" s="28">
        <f>VLOOKUP(E109,'KPI Count-SHARE'!A:F,3,0)</f>
        <v>0</v>
      </c>
      <c r="DH109">
        <v>0</v>
      </c>
      <c r="DI109" t="s">
        <v>805</v>
      </c>
      <c r="DJ109" t="s">
        <v>805</v>
      </c>
      <c r="DK109" t="s">
        <v>805</v>
      </c>
      <c r="DL109" t="s">
        <v>805</v>
      </c>
      <c r="DM109" t="s">
        <v>805</v>
      </c>
      <c r="DN109" s="28">
        <f>VLOOKUP(E109,'KPI Count-SHARE'!A:F,4,0)</f>
        <v>0</v>
      </c>
      <c r="DU109" s="28">
        <f>VLOOKUP(E109,'KPI Count-SHARE'!A:F,5,0)</f>
        <v>0</v>
      </c>
      <c r="EB109" s="28">
        <f>VLOOKUP(E109,'KPI Count-SHARE'!A:F,6,0)</f>
        <v>0</v>
      </c>
      <c r="EI109" t="s">
        <v>531</v>
      </c>
      <c r="EJ109" s="41" t="str">
        <f t="shared" ref="EJ109:EJ116" si="798">IFERROR(IF(ISBLANK(J109), "-", IF(OR($I109="c",$I109="r"), J109*$I$5, J109)),"-")</f>
        <v/>
      </c>
      <c r="EK109" s="41" t="str">
        <f t="shared" ref="EK109:EK116" si="799">IFERROR(IF(ISBLANK(K109), "-", IF($I109="c", K109*$I$5, K109)),"-")</f>
        <v/>
      </c>
      <c r="EL109" s="41" t="str">
        <f t="shared" ref="EL109:EL116" si="800">IFERROR(IF(ISBLANK(L109), "-", IF($I109="c", L109*$I$5, L109)),"-")</f>
        <v/>
      </c>
      <c r="EM109" s="41" t="str">
        <f t="shared" ref="EM109:EM116" si="801">IFERROR(IF(ISBLANK(M109), "-", IF($I109="c", M109*$I$5,M109)),"-")</f>
        <v/>
      </c>
      <c r="EN109" s="41" t="str">
        <f t="shared" ref="EN109:EN116" si="802">IFERROR(IF(ISBLANK(N109), "-", IF($I109="c", N109*$I$5, N109)),"-")</f>
        <v/>
      </c>
      <c r="EO109" s="41" t="str">
        <f t="shared" ref="EO109:EO116" si="803">IFERROR(IF(ISBLANK(O109), "-", IF($I109="c", O109*$I$5,O109)),"-")</f>
        <v/>
      </c>
      <c r="EP109" s="41" t="str">
        <f t="shared" ref="EP109:EP116" si="804">IFERROR(IF(ISBLANK(P109), "-", IF($I109="c", P109*$I$5, P109)),"-")</f>
        <v/>
      </c>
      <c r="EQ109" s="41" t="str">
        <f t="shared" ref="EQ109:EQ116" si="805">IFERROR(IF(ISBLANK(Q109), "-", IF($I109="c", Q109*$I$5, Q109)),"-")</f>
        <v/>
      </c>
      <c r="ER109" s="41" t="str">
        <f t="shared" ref="ER109:ER116" si="806">IFERROR(IF(ISBLANK(R109), "-", IF($I109="c", R109*$I$5, R109)),"-")</f>
        <v/>
      </c>
      <c r="ES109" s="41" t="str">
        <f t="shared" ref="ES109:ES116" si="807">IFERROR(IF(ISBLANK(S109), "-", IF($I109="c", S109*$I$5, S109)),"-")</f>
        <v/>
      </c>
      <c r="ET109" s="41" t="str">
        <f t="shared" ref="ET109:ET116" si="808">IFERROR(IF(ISBLANK(T109), "-", IF($I109="c", T109*$I$5, T109)),"-")</f>
        <v/>
      </c>
      <c r="EU109" s="41" t="str">
        <f t="shared" ref="EU109:EU116" si="809">IFERROR(IF(ISBLANK(U109), "-", IF($I109="c", U109*$I$5, U109)),"-")</f>
        <v/>
      </c>
      <c r="EV109" s="41" t="str">
        <f t="shared" ref="EV109:EV116" si="810">IFERROR(IF(ISBLANK(V109), "-", IF($I109="c", V109*$I$5, V109)),"-")</f>
        <v/>
      </c>
      <c r="EW109" s="41" t="str">
        <f t="shared" ref="EW109:EW116" si="811">IFERROR(IF(ISBLANK(W109), "-", IF($I109="c", W109*$I$5, W109)),"-")</f>
        <v/>
      </c>
      <c r="EX109" s="41" t="str">
        <f t="shared" ref="EX109:EX116" si="812">IFERROR(IF(ISBLANK(X109), "-", IF($I109="c", X109*$I$5, X109)),"-")</f>
        <v/>
      </c>
      <c r="EY109" s="41" t="str">
        <f t="shared" ref="EY109:EY116" si="813">IFERROR(IF(ISBLANK(Y109), "-", IF($I109="c", Y109*$I$5, Y109)),"-")</f>
        <v/>
      </c>
      <c r="EZ109" s="41" t="str">
        <f t="shared" ref="EZ109:EZ116" si="814">IFERROR(IF(ISBLANK(Z109), "-", IF($I109="c", Z109*$I$5, Z109)),"-")</f>
        <v/>
      </c>
      <c r="FA109" s="41" t="str">
        <f t="shared" ref="FA109:FA116" si="815">IFERROR(IF(ISBLANK(AA109), "-", IF($I109="c", AA109*$I$5, AA109)),"-")</f>
        <v/>
      </c>
      <c r="FB109" s="41" t="str">
        <f t="shared" ref="FB109:FB116" si="816">IFERROR(IF(ISBLANK(AB109), "-", IF($I109="c", AB109*$I$5, AB109)),"-")</f>
        <v/>
      </c>
      <c r="FC109" s="41" t="str">
        <f t="shared" ref="FC109:FC116" si="817">IFERROR(IF(ISBLANK(AC109), "-", IF($I109="c", AC109*$I$5, AC109)),"-")</f>
        <v/>
      </c>
      <c r="FD109" s="41" t="str">
        <f t="shared" ref="FD109:FD116" si="818">IFERROR(IF(ISBLANK(AD109), "-", IF($I109="c", AD109*$I$5, AD109)),"-")</f>
        <v/>
      </c>
      <c r="FE109" s="41" t="str">
        <f t="shared" ref="FE109:FE116" si="819">IFERROR(IF(ISBLANK(AE109), "-", IF($I109="c", AE109*$I$5, AE109)),"-")</f>
        <v/>
      </c>
      <c r="FF109" s="41" t="str">
        <f t="shared" ref="FF109:FF116" si="820">IFERROR(IF(ISBLANK(AF109), "-", IF($I109="c", AF109*$I$5, AF109)),"-")</f>
        <v/>
      </c>
      <c r="FG109" s="41" t="str">
        <f t="shared" ref="FG109:FG116" si="821">IFERROR(IF(ISBLANK(AG109), "-", IF($I109="c", AG109*$I$5, AG109)),"-")</f>
        <v/>
      </c>
      <c r="FH109" s="41" t="str">
        <f t="shared" ref="FH109:FH116" si="822">IFERROR(IF(ISBLANK(AH109), "-", IF($I109="c", AH109*$I$5, AH109)),"-")</f>
        <v/>
      </c>
      <c r="FI109" s="41" t="str">
        <f t="shared" ref="FI109:FI116" si="823">IFERROR(IF(ISBLANK(AI109), "-", IF($I109="c", AI109*$I$5, AI109)),"-")</f>
        <v/>
      </c>
      <c r="FJ109" s="41" t="str">
        <f t="shared" ref="FJ109:FJ116" si="824">IFERROR(IF(ISBLANK(AJ109), "-", IF($I109="c", AJ109*$I$5, AJ109)),"-")</f>
        <v/>
      </c>
      <c r="FK109" s="41" t="str">
        <f t="shared" ref="FK109:FK116" si="825">IFERROR(IF(ISBLANK(AK109), "-", IF($I109="c", AK109*$I$5, AK109)),"-")</f>
        <v/>
      </c>
      <c r="FL109" s="41" t="str">
        <f t="shared" ref="FL109:FL116" si="826">IFERROR(IF(ISBLANK(AL109), "-", IF($I109="c", AL109*$I$5, AL109)),"-")</f>
        <v/>
      </c>
      <c r="FM109" s="41" t="str">
        <f t="shared" ref="FM109:FM116" si="827">IFERROR(IF(ISBLANK(AM109), "-", IF($I109="c", AM109*$I$5, AM109)),"-")</f>
        <v/>
      </c>
      <c r="FN109" s="41" t="str">
        <f t="shared" ref="FN109:FN116" si="828">IFERROR(IF(ISBLANK(AN109), "-", IF($I109="c", AN109*$I$5, AN109)),"-")</f>
        <v/>
      </c>
      <c r="FO109" s="41" t="str">
        <f t="shared" ref="FO109:FO116" si="829">IFERROR(IF(ISBLANK(AO109), "-", IF($I109="c", AO109*$I$5, AO109)),"-")</f>
        <v/>
      </c>
      <c r="FP109" s="41" t="str">
        <f t="shared" ref="FP109:FP116" si="830">IFERROR(IF(ISBLANK(AP109), "-", IF($I109="c", AP109*$I$5, AP109)),"-")</f>
        <v/>
      </c>
      <c r="FQ109" s="41" t="str">
        <f t="shared" ref="FQ109:FQ116" si="831">IFERROR(IF(ISBLANK(AQ109), "-", IF($I109="c", AQ109*$I$5, AQ109)),"-")</f>
        <v/>
      </c>
      <c r="FR109" s="41" t="str">
        <f t="shared" ref="FR109:FR116" si="832">IFERROR(IF(ISBLANK(AR109), "-", IF($I109="c", AR109*$I$5, AR109)),"-")</f>
        <v/>
      </c>
      <c r="FS109" s="41" t="str">
        <f t="shared" ref="FS109:FS116" si="833">IFERROR(IF(ISBLANK(AS109), "-", IF($I109="c", AS109*$I$5, AS109)),"-")</f>
        <v/>
      </c>
      <c r="FT109" s="41" t="str">
        <f t="shared" ref="FT109:FT116" si="834">IFERROR(IF(ISBLANK(AT109), "-", IF($I109="c", AT109*$I$5, AT109)),"-")</f>
        <v/>
      </c>
      <c r="FU109" s="41" t="str">
        <f t="shared" ref="FU109:FU116" si="835">IFERROR(IF(ISBLANK(AU109), "-", IF($I109="c", AU109*$I$5, AU109)),"-")</f>
        <v/>
      </c>
      <c r="FV109" s="41" t="str">
        <f t="shared" ref="FV109:FV116" si="836">IFERROR(IF(ISBLANK(AV109), "-", IF($I109="c", AV109*$I$5, AV109)),"-")</f>
        <v/>
      </c>
      <c r="FW109" s="41" t="str">
        <f t="shared" ref="FW109:FW116" si="837">IFERROR(IF(ISBLANK(AW109), "-", IF($I109="c", AW109*$I$5, AW109)),"-")</f>
        <v/>
      </c>
      <c r="FX109" s="41" t="str">
        <f t="shared" ref="FX109:FX116" si="838">IFERROR(IF(ISBLANK(AX109), "-", IF($I109="c", AX109*$I$5, AX109)),"-")</f>
        <v/>
      </c>
      <c r="FY109" s="41" t="str">
        <f t="shared" ref="FY109:FY116" si="839">IFERROR(IF(ISBLANK(AY109), "-", IF($I109="c", AY109*$I$5, AY109)),"-")</f>
        <v/>
      </c>
      <c r="FZ109" s="41" t="str">
        <f t="shared" ref="FZ109:FZ116" si="840">IFERROR(IF(ISBLANK(AZ109), "-", IF($I109="c", AZ109*$I$5, AZ109)),"-")</f>
        <v/>
      </c>
      <c r="GA109" s="41" t="str">
        <f t="shared" ref="GA109:GA116" si="841">IFERROR(IF(ISBLANK(BA109), "-", IF($I109="c", BA109*$I$5, BA109)),"-")</f>
        <v/>
      </c>
      <c r="GB109" s="41" t="str">
        <f t="shared" ref="GB109:GB116" si="842">IFERROR(IF(ISBLANK(BB109), "-", IF($I109="c", BB109*$I$5, BB109)),"-")</f>
        <v/>
      </c>
      <c r="GC109" s="41" t="str">
        <f t="shared" ref="GC109:GC116" si="843">IFERROR(IF(ISBLANK(BC109), "-", IF($I109="c", BC109*$I$5, BC109)),"-")</f>
        <v/>
      </c>
      <c r="GD109" s="41" t="str">
        <f t="shared" ref="GD109:GD116" si="844">IFERROR(IF(ISBLANK(BD109), "-", IF($I109="c", BD109*$I$5, BD109)),"-")</f>
        <v/>
      </c>
      <c r="GE109" s="41" t="str">
        <f t="shared" ref="GE109:GE116" si="845">IFERROR(IF(ISBLANK(BE109), "-", IF($I109="c", BE109*$I$5, BE109)),"-")</f>
        <v/>
      </c>
      <c r="GF109" s="41" t="str">
        <f t="shared" ref="GF109:GF116" si="846">IFERROR(IF(ISBLANK(BF109), "-", IF($I109="c", BF109*$I$5, BF109)),"-")</f>
        <v/>
      </c>
      <c r="GG109" s="41" t="str">
        <f t="shared" ref="GG109:GG116" si="847">IFERROR(IF(ISBLANK(BG109), "-", IF($I109="c", BG109*$I$5, BG109)),"-")</f>
        <v/>
      </c>
      <c r="GH109" s="41" t="str">
        <f t="shared" ref="GH109:GH116" si="848">IFERROR(IF(ISBLANK(BH109), "-", IF($I109="c", BH109*$I$5, BH109)),"-")</f>
        <v/>
      </c>
      <c r="GI109" s="41" t="str">
        <f t="shared" ref="GI109:GI116" si="849">IFERROR(IF(ISBLANK(BI109), "-", IF($I109="c", BI109*$I$5, BI109)),"-")</f>
        <v/>
      </c>
      <c r="GJ109" s="41" t="str">
        <f t="shared" ref="GJ109:GJ116" si="850">IFERROR(IF(ISBLANK(BJ109), "-", IF($I109="c", BJ109*$I$5, BJ109)),"-")</f>
        <v/>
      </c>
      <c r="GK109" s="41" t="str">
        <f t="shared" ref="GK109:GK116" si="851">IFERROR(IF(ISBLANK(BK109), "-", IF($I109="c", BK109*$I$5, BK109)),"-")</f>
        <v/>
      </c>
      <c r="GL109" s="41" t="str">
        <f t="shared" ref="GL109:GL116" si="852">IFERROR(IF(ISBLANK(BL109), "-", IF($I109="c", BL109*$I$5, BL109)),"-")</f>
        <v/>
      </c>
      <c r="GM109" s="41" t="str">
        <f t="shared" ref="GM109:GM116" si="853">IFERROR(IF(ISBLANK(BM109), "-", IF($I109="c", BM109*$I$5, BM109)),"-")</f>
        <v/>
      </c>
      <c r="GN109" s="41" t="str">
        <f t="shared" ref="GN109:GN116" si="854">IFERROR(IF(ISBLANK(BN109), "-", IF($I109="c", BN109*$I$5, BN109)),"-")</f>
        <v/>
      </c>
      <c r="GO109" s="41" t="str">
        <f t="shared" ref="GO109:GO116" si="855">IFERROR(IF(ISBLANK(BO109), "-", IF($I109="c", BO109*$I$5, BO109)),"-")</f>
        <v/>
      </c>
      <c r="GP109" s="41" t="str">
        <f t="shared" ref="GP109:GP116" si="856">IFERROR(IF(ISBLANK(BP109), "-", IF($I109="c", BP109*$I$5, BP109)),"-")</f>
        <v/>
      </c>
      <c r="GQ109" s="41" t="str">
        <f t="shared" ref="GQ109:GQ116" si="857">IFERROR(IF(ISBLANK(BQ109), "-", IF($I109="c", BQ109*$I$5, BQ109)),"-")</f>
        <v/>
      </c>
      <c r="GR109" s="41" t="str">
        <f t="shared" ref="GR109:GR116" si="858">IFERROR(IF(ISBLANK(BR109), "-", IF($I109="c", BR109*$I$5, BR109)),"-")</f>
        <v/>
      </c>
      <c r="GS109" s="41" t="str">
        <f t="shared" ref="GS109:GS116" si="859">IFERROR(IF(ISBLANK(BS109), "-", IF($I109="c", BS109*$I$5, BS109)),"-")</f>
        <v/>
      </c>
      <c r="GT109" s="41" t="str">
        <f t="shared" ref="GT109:GT116" si="860">IFERROR(IF(ISBLANK(BT109), "-", IF($I109="c", BT109*$I$5, BT109)),"-")</f>
        <v/>
      </c>
      <c r="GU109" s="41" t="str">
        <f t="shared" ref="GU109:GU116" si="861">IFERROR(IF(ISBLANK(BU109), "-", IF($I109="c", BU109*$I$5, BU109)),"-")</f>
        <v/>
      </c>
      <c r="GV109" s="41" t="str">
        <f t="shared" ref="GV109:GV116" si="862">IFERROR(IF(ISBLANK(BV109), "-", IF($I109="c", BV109*$I$5, BV109)),"-")</f>
        <v/>
      </c>
      <c r="GW109" s="41" t="str">
        <f t="shared" ref="GW109:GW116" si="863">IFERROR(IF(ISBLANK(BW109), "-", IF($I109="c", BW109*$I$5, BW109)),"-")</f>
        <v/>
      </c>
      <c r="GX109" s="41" t="str">
        <f t="shared" ref="GX109:GX116" si="864">IFERROR(IF(ISBLANK(BX109), "-", IF($I109="c", BX109*$I$5, BX109)),"-")</f>
        <v/>
      </c>
      <c r="GY109" s="41" t="str">
        <f t="shared" ref="GY109:GY116" si="865">IFERROR(IF(ISBLANK(BY109), "-", IF($I109="c", BY109*$I$5, BY109)),"-")</f>
        <v/>
      </c>
      <c r="GZ109" s="41" t="str">
        <f t="shared" ref="GZ109:GZ116" si="866">IFERROR(IF(ISBLANK(BZ109), "-", IF($I109="c", BZ109*$I$5, BZ109)),"-")</f>
        <v/>
      </c>
      <c r="HA109" s="41" t="str">
        <f t="shared" ref="HA109:HA116" si="867">IFERROR(IF(ISBLANK(CA109), "-", IF($I109="c", CA109*$I$5, CA109)),"-")</f>
        <v/>
      </c>
      <c r="HB109" s="41" t="str">
        <f t="shared" ref="HB109:HB116" si="868">IFERROR(IF(ISBLANK(CB109), "-", IF($I109="c", CB109*$I$5, CB109)),"-")</f>
        <v/>
      </c>
      <c r="HC109" s="41" t="str">
        <f t="shared" ref="HC109:HC116" si="869">IFERROR(IF(ISBLANK(CC109), "-", IF($I109="c", CC109*$I$5, CC109)),"-")</f>
        <v/>
      </c>
      <c r="HD109" s="41" t="str">
        <f t="shared" ref="HD109:HD116" si="870">IFERROR(IF(ISBLANK(CD109), "-", IF($I109="c", CD109*$I$5, CD109)),"-")</f>
        <v/>
      </c>
      <c r="HE109" s="41" t="str">
        <f t="shared" ref="HE109:HE116" si="871">IFERROR(IF(ISBLANK(CE109), "-", IF($I109="c", CE109*$I$5, CE109)),"-")</f>
        <v/>
      </c>
      <c r="HF109" s="41" t="str">
        <f t="shared" ref="HF109:HF116" si="872">IFERROR(IF(ISBLANK(CF109), "-", IF($I109="c", CF109*$I$5, CF109)),"-")</f>
        <v/>
      </c>
      <c r="HG109" s="41" t="str">
        <f t="shared" ref="HG109:HG116" si="873">IFERROR(IF(ISBLANK(CG109), "-", IF($I109="c", CG109*$I$5, CG109)),"-")</f>
        <v/>
      </c>
      <c r="HH109" s="41" t="str">
        <f t="shared" ref="HH109:HH116" si="874">IFERROR(IF(ISBLANK(CH109), "-", IF($I109="c", CH109*$I$5, CH109)),"-")</f>
        <v/>
      </c>
      <c r="HI109" s="41" t="str">
        <f t="shared" ref="HI109:HI116" si="875">IFERROR(IF(ISBLANK(CI109), "-", IF($I109="c", CI109*$I$5, CI109)),"-")</f>
        <v/>
      </c>
      <c r="HJ109" s="41" t="str">
        <f t="shared" ref="HJ109:HJ116" si="876">IFERROR(IF(ISBLANK(CJ109), "-", IF($I109="c", CJ109*$I$5, CJ109)),"-")</f>
        <v/>
      </c>
      <c r="HK109" s="41" t="str">
        <f t="shared" ref="HK109:HK116" si="877">IFERROR(IF(ISBLANK(CK109), "-", IF($I109="c", CK109*$I$5, CK109)),"-")</f>
        <v/>
      </c>
      <c r="HL109" s="41" t="str">
        <f t="shared" ref="HL109:HL116" si="878">IFERROR(IF(ISBLANK(CL109), "-", IF($I109="c", CL109*$I$5, CL109)),"-")</f>
        <v/>
      </c>
      <c r="HM109" s="41" t="str">
        <f t="shared" ref="HM109:HM116" si="879">IFERROR(IF(ISBLANK(CM109), "-", IF($I109="c", CM109*$I$5, CM109)),"-")</f>
        <v/>
      </c>
      <c r="HN109" s="41" t="str">
        <f t="shared" ref="HN109:HN116" si="880">IFERROR(IF(ISBLANK(CN109), "-", IF($I109="c", CN109*$I$5, CN109)),"-")</f>
        <v/>
      </c>
      <c r="HO109" s="41" t="str">
        <f t="shared" ref="HO109:HO116" si="881">IFERROR(IF(ISBLANK(CO109), "-", IF($I109="c", CO109*$I$5, CO109)),"-")</f>
        <v/>
      </c>
      <c r="HP109" s="41" t="str">
        <f t="shared" ref="HP109:HP116" si="882">IFERROR(IF(ISBLANK(CP109), "-", IF($I109="c", CP109*$I$5, CP109)),"-")</f>
        <v/>
      </c>
      <c r="HQ109" s="41" t="str">
        <f t="shared" ref="HQ109:HQ116" si="883">IFERROR(IF(ISBLANK(CQ109), "-", IF($I109="c", CQ109*$I$5, CQ109)),"-")</f>
        <v/>
      </c>
      <c r="HR109" s="41" t="str">
        <f t="shared" ref="HR109:HR116" si="884">IFERROR(IF(ISBLANK(CR109), "-", IF($I109="c", CR109*$I$5, CR109)),"-")</f>
        <v/>
      </c>
      <c r="HS109" s="41" t="str">
        <f t="shared" ref="HS109:HS116" si="885">IFERROR(IF(ISBLANK(CS109), "-", IF($I109="c", CS109*$I$5, CS109)),"-")</f>
        <v/>
      </c>
      <c r="HT109" s="41" t="str">
        <f t="shared" ref="HT109:HT116" si="886">IFERROR(IF(ISBLANK(CT109), "-", IF($I109="c", CT109*$I$5, CT109)),"-")</f>
        <v/>
      </c>
      <c r="HU109" s="41" t="str">
        <f t="shared" ref="HU109:HU116" si="887">IFERROR(IF(ISBLANK(CU109), "-", IF($I109="c", CU109*$I$5, CU109)),"-")</f>
        <v/>
      </c>
      <c r="HV109" s="41" t="str">
        <f t="shared" ref="HV109:HV116" si="888">IFERROR(IF(ISBLANK(CV109), "-", IF($I109="c", CV109*$I$5, CV109)),"-")</f>
        <v/>
      </c>
      <c r="HW109" s="41" t="str">
        <f t="shared" ref="HW109:HW116" si="889">IFERROR(IF(ISBLANK(CW109), "-", IF($I109="c", CW109*$I$5, CW109)),"-")</f>
        <v/>
      </c>
      <c r="HX109" s="41" t="str">
        <f t="shared" ref="HX109:HX116" si="890">IFERROR(IF(ISBLANK(CX109), "-", IF($I109="c", CX109*$I$5, CX109)),"-")</f>
        <v/>
      </c>
      <c r="HY109" s="41" t="str">
        <f t="shared" ref="HY109:HY116" si="891">IFERROR(IF(ISBLANK(CY109), "-", IF($I109="c", CY109*$I$5, CY109)),"-")</f>
        <v/>
      </c>
      <c r="HZ109" s="41" t="str">
        <f t="shared" ref="HZ109:HZ116" si="892">IFERROR(IF(ISBLANK(CZ109), "-", IF($I109="c", CZ109*$I$5, CZ109)),"-")</f>
        <v/>
      </c>
      <c r="IA109" s="41" t="str">
        <f t="shared" ref="IA109:IA116" si="893">IFERROR(IF(ISBLANK(DA109), "-", IF($I109="c", DA109*$I$5, DA109)),"-")</f>
        <v/>
      </c>
      <c r="IB109" s="41" t="str">
        <f t="shared" ref="IB109:IB116" si="894">IFERROR(IF(ISBLANK(DB109), "-", IF($I109="c", DB109*$I$5, DB109)),"-")</f>
        <v/>
      </c>
      <c r="IC109" s="41" t="str">
        <f t="shared" ref="IC109:IC116" si="895">IFERROR(IF(ISBLANK(DC109), "-", IF($I109="c", DC109*$I$5, DC109)),"-")</f>
        <v/>
      </c>
      <c r="ID109" s="41" t="str">
        <f t="shared" ref="ID109:ID116" si="896">IFERROR(IF(ISBLANK(DD109), "-", IF($I109="c", DD109*$I$5, DD109)),"-")</f>
        <v/>
      </c>
      <c r="IE109" s="41" t="str">
        <f t="shared" ref="IE109:IE116" si="897">IFERROR(IF(ISBLANK(DE109), "-", IF($I109="c", DE109*$I$5, DE109)),"-")</f>
        <v/>
      </c>
      <c r="IF109" s="41" t="str">
        <f t="shared" ref="IF109:IF116" si="898">IFERROR(IF(ISBLANK(DF109), "-", IF($I109="c", DF109*$I$5, DF109)),"-")</f>
        <v/>
      </c>
      <c r="IG109" s="306">
        <f t="shared" ref="IG109:IG116" si="899">IFERROR(IF(ISBLANK(DH109), "-", IF($I109="c", DH109*$I$5, DH109)),"-")</f>
        <v>0</v>
      </c>
      <c r="IH109" s="44" t="str">
        <f t="shared" ref="IH109:IH116" si="900">IFERROR(IF(ISBLANK(DI109), "-", IF($I109="c", DI109*$I$5, DI109)),"-")</f>
        <v/>
      </c>
      <c r="II109" s="44" t="str">
        <f t="shared" ref="II109:II116" si="901">IFERROR(IF(ISBLANK(DJ109), "-", IF($I109="c", DJ109*$I$5, DJ109)),"-")</f>
        <v/>
      </c>
      <c r="IJ109" s="44" t="str">
        <f t="shared" ref="IJ109:IJ116" si="902">IFERROR(IF(ISBLANK(DK109), "-", IF($I109="c", DK109*$I$5, DK109)),"-")</f>
        <v/>
      </c>
      <c r="IK109" s="44" t="str">
        <f t="shared" ref="IK109:IK116" si="903">IFERROR(IF(ISBLANK(DL109), "-", IF($I109="c", DL109*$I$5, DL109)),"-")</f>
        <v/>
      </c>
      <c r="IL109" s="44" t="str">
        <f t="shared" ref="IL109:IL116" si="904">IFERROR(IF(ISBLANK(DM109), "-", IF($I109="c", DM109*$I$5, DM109)),"-")</f>
        <v/>
      </c>
      <c r="IM109" s="306" t="str">
        <f t="shared" ref="IM109:IM116" si="905">IFERROR(IF(ISBLANK(DO109), "", IF($I109="c",DO109*$I$5, DO109)),"-")</f>
        <v/>
      </c>
      <c r="IN109" s="44" t="str">
        <f t="shared" ref="IN109:IN116" si="906">IFERROR(IF(ISBLANK(DP109), "", IF($I109="c",DP109*$I$5, DP109)),"-")</f>
        <v/>
      </c>
      <c r="IO109" s="44" t="str">
        <f t="shared" ref="IO109:IO116" si="907">IFERROR(IF(ISBLANK(DQ109), "", IF($I109="c",DQ109*$I$5, DQ109)),"-")</f>
        <v/>
      </c>
      <c r="IP109" s="44" t="str">
        <f t="shared" ref="IP109:IP116" si="908">IFERROR(IF(ISBLANK(DR109), "", IF($I109="c",DR109*$I$5, DR109)),"-")</f>
        <v/>
      </c>
      <c r="IQ109" s="44" t="str">
        <f t="shared" ref="IQ109:IQ116" si="909">IFERROR(IF(ISBLANK(DS109), "", IF($I109="c",DS109*$I$5, DS109)),"-")</f>
        <v/>
      </c>
      <c r="IR109" s="44" t="str">
        <f t="shared" ref="IR109:IR116" si="910">IFERROR(IF(ISBLANK(DT109), "", IF($I109="c",DT109*$I$5, DT109)),"-")</f>
        <v/>
      </c>
      <c r="IS109" s="306" t="str">
        <f t="shared" ref="IS109:IS116" si="911">IFERROR(IF(ISBLANK(DV109), "", IF($I109="c", DV109*$I$5, DV109)),"-")</f>
        <v/>
      </c>
      <c r="IT109" s="44" t="str">
        <f t="shared" ref="IT109:IT116" si="912">IFERROR(IF(ISBLANK(DW109), "", IF($I109="c", DW109*$I$5, DW109)),"-")</f>
        <v/>
      </c>
      <c r="IU109" s="44" t="str">
        <f t="shared" ref="IU109:IU116" si="913">IFERROR(IF(ISBLANK(DX109), "", IF($I109="c", DX109*$I$5, DX109)),"-")</f>
        <v/>
      </c>
      <c r="IV109" s="44" t="str">
        <f t="shared" ref="IV109:IV116" si="914">IFERROR(IF(ISBLANK(DY109), "", IF($I109="c", DY109*$I$5, DY109)),"-")</f>
        <v/>
      </c>
      <c r="IW109" s="44" t="str">
        <f t="shared" ref="IW109:IW116" si="915">IFERROR(IF(ISBLANK(DZ109), "", IF($I109="c", DZ109*$I$5, DZ109)),"-")</f>
        <v/>
      </c>
      <c r="IX109" s="44" t="str">
        <f t="shared" ref="IX109:IX116" si="916">IFERROR(IF(ISBLANK(EA109), "", IF($I109="c", EA109*$I$5, EA109)),"-")</f>
        <v/>
      </c>
      <c r="IY109" s="306" t="str">
        <f t="shared" ref="IY109:IY116" si="917">IFERROR(IF(ISBLANK(EC109), "", IF($I109="c", EC109*$I$5, EC109)),"-")</f>
        <v/>
      </c>
      <c r="IZ109" s="44" t="str">
        <f t="shared" ref="IZ109:IZ116" si="918">IFERROR(IF(ISBLANK(ED109), "", IF($I109="c", ED109*$I$5, ED109)),"-")</f>
        <v/>
      </c>
      <c r="JA109" s="44" t="str">
        <f t="shared" ref="JA109:JA116" si="919">IFERROR(IF(ISBLANK(EE109), "", IF($I109="c", EE109*$I$5, EE109)),"-")</f>
        <v/>
      </c>
      <c r="JB109" s="44" t="str">
        <f t="shared" ref="JB109:JB116" si="920">IFERROR(IF(ISBLANK(EF109), "", IF($I109="c", EF109*$I$5, EF109)),"-")</f>
        <v/>
      </c>
      <c r="JC109" s="44" t="str">
        <f t="shared" ref="JC109:JC116" si="921">IFERROR(IF(ISBLANK(EG109), "", IF($I109="c", EG109*$I$5, EG109)),"-")</f>
        <v/>
      </c>
      <c r="JD109" s="307" t="str">
        <f t="shared" ref="JD109:JD116" si="922">IFERROR(IF(ISBLANK(EH109), "", IF($I109="c", EH109*$I$5, EH109)),"-")</f>
        <v/>
      </c>
      <c r="JF109" s="66">
        <f t="shared" si="779"/>
        <v>109</v>
      </c>
      <c r="JG109" s="66">
        <f t="shared" ca="1" si="789"/>
        <v>0</v>
      </c>
      <c r="JH109" s="66">
        <f t="shared" ca="1" si="790"/>
        <v>0</v>
      </c>
      <c r="JI109" s="66">
        <f t="shared" ca="1" si="791"/>
        <v>0</v>
      </c>
      <c r="JJ109" s="66">
        <f t="shared" ca="1" si="792"/>
        <v>0</v>
      </c>
      <c r="JK109" s="33"/>
      <c r="JL109" s="74" t="str">
        <f t="shared" ca="1" si="793"/>
        <v>-</v>
      </c>
      <c r="JM109" s="75">
        <f t="shared" ca="1" si="794"/>
        <v>0</v>
      </c>
      <c r="JN109" s="75">
        <f t="shared" ca="1" si="795"/>
        <v>0</v>
      </c>
      <c r="JO109" s="74" t="str">
        <f t="shared" ca="1" si="796"/>
        <v>-</v>
      </c>
      <c r="JP109" s="74">
        <f t="shared" ca="1" si="797"/>
        <v>0</v>
      </c>
    </row>
    <row r="110" spans="1:276" hidden="1" x14ac:dyDescent="0.35">
      <c r="A110" s="125" t="s">
        <v>805</v>
      </c>
      <c r="B110" s="125" t="s">
        <v>805</v>
      </c>
      <c r="C110" s="125" t="s">
        <v>805</v>
      </c>
      <c r="E110" s="142" t="s">
        <v>840</v>
      </c>
      <c r="F110" s="254" t="s">
        <v>726</v>
      </c>
      <c r="G110" t="s">
        <v>530</v>
      </c>
      <c r="H110" t="s">
        <v>531</v>
      </c>
      <c r="I110" t="s">
        <v>534</v>
      </c>
      <c r="J110" s="211" t="s">
        <v>805</v>
      </c>
      <c r="K110" t="s">
        <v>805</v>
      </c>
      <c r="L110" t="s">
        <v>805</v>
      </c>
      <c r="M110" t="s">
        <v>805</v>
      </c>
      <c r="N110" t="s">
        <v>805</v>
      </c>
      <c r="O110" t="s">
        <v>805</v>
      </c>
      <c r="P110" t="s">
        <v>805</v>
      </c>
      <c r="Q110" t="s">
        <v>805</v>
      </c>
      <c r="R110" t="s">
        <v>805</v>
      </c>
      <c r="S110" t="s">
        <v>805</v>
      </c>
      <c r="T110" t="s">
        <v>805</v>
      </c>
      <c r="U110" t="s">
        <v>805</v>
      </c>
      <c r="V110" t="s">
        <v>805</v>
      </c>
      <c r="W110" t="s">
        <v>805</v>
      </c>
      <c r="X110" t="s">
        <v>805</v>
      </c>
      <c r="Y110" t="s">
        <v>805</v>
      </c>
      <c r="Z110" t="s">
        <v>805</v>
      </c>
      <c r="AA110" t="s">
        <v>805</v>
      </c>
      <c r="AB110" t="s">
        <v>805</v>
      </c>
      <c r="AC110" t="s">
        <v>805</v>
      </c>
      <c r="AD110" t="s">
        <v>805</v>
      </c>
      <c r="AE110" t="s">
        <v>805</v>
      </c>
      <c r="AF110" t="s">
        <v>805</v>
      </c>
      <c r="AG110" t="s">
        <v>805</v>
      </c>
      <c r="AH110" t="s">
        <v>805</v>
      </c>
      <c r="AI110" t="s">
        <v>805</v>
      </c>
      <c r="AJ110" t="s">
        <v>805</v>
      </c>
      <c r="AK110" t="s">
        <v>805</v>
      </c>
      <c r="AL110" t="s">
        <v>805</v>
      </c>
      <c r="AM110" t="s">
        <v>805</v>
      </c>
      <c r="AN110" t="s">
        <v>805</v>
      </c>
      <c r="AO110" t="s">
        <v>805</v>
      </c>
      <c r="AP110" t="s">
        <v>805</v>
      </c>
      <c r="AQ110" t="s">
        <v>805</v>
      </c>
      <c r="AR110" t="s">
        <v>805</v>
      </c>
      <c r="AS110" t="s">
        <v>805</v>
      </c>
      <c r="AT110" t="s">
        <v>805</v>
      </c>
      <c r="AU110" t="s">
        <v>805</v>
      </c>
      <c r="AV110" t="s">
        <v>805</v>
      </c>
      <c r="AW110" t="s">
        <v>805</v>
      </c>
      <c r="AX110" t="s">
        <v>805</v>
      </c>
      <c r="AY110" t="s">
        <v>805</v>
      </c>
      <c r="AZ110" t="s">
        <v>805</v>
      </c>
      <c r="BA110" t="s">
        <v>805</v>
      </c>
      <c r="BB110" t="s">
        <v>805</v>
      </c>
      <c r="BC110" t="s">
        <v>805</v>
      </c>
      <c r="BD110" t="s">
        <v>805</v>
      </c>
      <c r="BE110" t="s">
        <v>805</v>
      </c>
      <c r="BF110" t="s">
        <v>805</v>
      </c>
      <c r="BG110" t="s">
        <v>805</v>
      </c>
      <c r="BH110" t="s">
        <v>805</v>
      </c>
      <c r="BI110" t="s">
        <v>805</v>
      </c>
      <c r="BJ110" t="s">
        <v>805</v>
      </c>
      <c r="BK110" t="s">
        <v>805</v>
      </c>
      <c r="BL110" t="s">
        <v>805</v>
      </c>
      <c r="BM110" t="s">
        <v>805</v>
      </c>
      <c r="BN110" t="s">
        <v>805</v>
      </c>
      <c r="BO110" t="s">
        <v>805</v>
      </c>
      <c r="BP110" t="s">
        <v>805</v>
      </c>
      <c r="BQ110" t="s">
        <v>805</v>
      </c>
      <c r="BR110" t="s">
        <v>805</v>
      </c>
      <c r="BS110" t="s">
        <v>805</v>
      </c>
      <c r="BT110" t="s">
        <v>805</v>
      </c>
      <c r="BU110" t="s">
        <v>805</v>
      </c>
      <c r="BV110" t="s">
        <v>805</v>
      </c>
      <c r="BW110" t="s">
        <v>805</v>
      </c>
      <c r="BX110" t="s">
        <v>805</v>
      </c>
      <c r="BY110" t="s">
        <v>805</v>
      </c>
      <c r="BZ110" t="s">
        <v>805</v>
      </c>
      <c r="CA110" t="s">
        <v>805</v>
      </c>
      <c r="CB110" t="s">
        <v>805</v>
      </c>
      <c r="CC110" t="s">
        <v>805</v>
      </c>
      <c r="CD110" t="s">
        <v>805</v>
      </c>
      <c r="CE110" t="s">
        <v>805</v>
      </c>
      <c r="CF110" t="s">
        <v>805</v>
      </c>
      <c r="CG110" t="s">
        <v>805</v>
      </c>
      <c r="CH110" t="s">
        <v>805</v>
      </c>
      <c r="CI110" t="s">
        <v>805</v>
      </c>
      <c r="CJ110" t="s">
        <v>805</v>
      </c>
      <c r="CK110" t="s">
        <v>805</v>
      </c>
      <c r="CL110" t="s">
        <v>805</v>
      </c>
      <c r="CM110" t="s">
        <v>805</v>
      </c>
      <c r="CN110" t="s">
        <v>805</v>
      </c>
      <c r="CO110" t="s">
        <v>805</v>
      </c>
      <c r="CP110" t="s">
        <v>805</v>
      </c>
      <c r="CQ110" t="s">
        <v>805</v>
      </c>
      <c r="CR110" t="s">
        <v>805</v>
      </c>
      <c r="CS110" t="s">
        <v>805</v>
      </c>
      <c r="CT110" t="s">
        <v>805</v>
      </c>
      <c r="CU110" t="s">
        <v>805</v>
      </c>
      <c r="CV110" t="s">
        <v>805</v>
      </c>
      <c r="CW110" t="s">
        <v>805</v>
      </c>
      <c r="CX110" t="s">
        <v>805</v>
      </c>
      <c r="CY110" t="s">
        <v>805</v>
      </c>
      <c r="CZ110" t="s">
        <v>805</v>
      </c>
      <c r="DA110" t="s">
        <v>805</v>
      </c>
      <c r="DB110" t="s">
        <v>805</v>
      </c>
      <c r="DC110" t="s">
        <v>805</v>
      </c>
      <c r="DD110" t="s">
        <v>805</v>
      </c>
      <c r="DE110" t="s">
        <v>805</v>
      </c>
      <c r="DF110" t="s">
        <v>805</v>
      </c>
      <c r="DG110" s="28">
        <f>VLOOKUP(E110,'KPI Count-SHARE'!A:F,3,0)</f>
        <v>5</v>
      </c>
      <c r="DH110">
        <v>5.3940500253588439</v>
      </c>
      <c r="DI110">
        <v>2.8624300193672307</v>
      </c>
      <c r="DJ110">
        <v>6.6884329166067458</v>
      </c>
      <c r="DK110">
        <v>13.065104412005935</v>
      </c>
      <c r="DL110">
        <v>15.861304747787475</v>
      </c>
      <c r="DM110">
        <v>17.539024949256397</v>
      </c>
      <c r="DN110" s="28">
        <f>VLOOKUP(E110,'KPI Count-SHARE'!A:F,4,0)</f>
        <v>0</v>
      </c>
      <c r="DU110" s="28">
        <f>VLOOKUP(E110,'KPI Count-SHARE'!A:F,5,0)</f>
        <v>0</v>
      </c>
      <c r="EB110" s="28">
        <f>VLOOKUP(E110,'KPI Count-SHARE'!A:F,6,0)</f>
        <v>0</v>
      </c>
      <c r="EI110" t="s">
        <v>531</v>
      </c>
      <c r="EJ110" s="41" t="str">
        <f t="shared" si="798"/>
        <v/>
      </c>
      <c r="EK110" s="41" t="str">
        <f t="shared" si="799"/>
        <v/>
      </c>
      <c r="EL110" s="41" t="str">
        <f t="shared" si="800"/>
        <v/>
      </c>
      <c r="EM110" s="41" t="str">
        <f t="shared" si="801"/>
        <v/>
      </c>
      <c r="EN110" s="41" t="str">
        <f t="shared" si="802"/>
        <v/>
      </c>
      <c r="EO110" s="41" t="str">
        <f t="shared" si="803"/>
        <v/>
      </c>
      <c r="EP110" s="41" t="str">
        <f t="shared" si="804"/>
        <v/>
      </c>
      <c r="EQ110" s="41" t="str">
        <f t="shared" si="805"/>
        <v/>
      </c>
      <c r="ER110" s="41" t="str">
        <f t="shared" si="806"/>
        <v/>
      </c>
      <c r="ES110" s="41" t="str">
        <f t="shared" si="807"/>
        <v/>
      </c>
      <c r="ET110" s="41" t="str">
        <f t="shared" si="808"/>
        <v/>
      </c>
      <c r="EU110" s="41" t="str">
        <f t="shared" si="809"/>
        <v/>
      </c>
      <c r="EV110" s="41" t="str">
        <f t="shared" si="810"/>
        <v/>
      </c>
      <c r="EW110" s="41" t="str">
        <f t="shared" si="811"/>
        <v/>
      </c>
      <c r="EX110" s="41" t="str">
        <f t="shared" si="812"/>
        <v/>
      </c>
      <c r="EY110" s="41" t="str">
        <f t="shared" si="813"/>
        <v/>
      </c>
      <c r="EZ110" s="41" t="str">
        <f t="shared" si="814"/>
        <v/>
      </c>
      <c r="FA110" s="41" t="str">
        <f t="shared" si="815"/>
        <v/>
      </c>
      <c r="FB110" s="41" t="str">
        <f t="shared" si="816"/>
        <v/>
      </c>
      <c r="FC110" s="41" t="str">
        <f t="shared" si="817"/>
        <v/>
      </c>
      <c r="FD110" s="41" t="str">
        <f t="shared" si="818"/>
        <v/>
      </c>
      <c r="FE110" s="41" t="str">
        <f t="shared" si="819"/>
        <v/>
      </c>
      <c r="FF110" s="41" t="str">
        <f t="shared" si="820"/>
        <v/>
      </c>
      <c r="FG110" s="41" t="str">
        <f t="shared" si="821"/>
        <v/>
      </c>
      <c r="FH110" s="41" t="str">
        <f t="shared" si="822"/>
        <v/>
      </c>
      <c r="FI110" s="41" t="str">
        <f t="shared" si="823"/>
        <v/>
      </c>
      <c r="FJ110" s="41" t="str">
        <f t="shared" si="824"/>
        <v/>
      </c>
      <c r="FK110" s="41" t="str">
        <f t="shared" si="825"/>
        <v/>
      </c>
      <c r="FL110" s="41" t="str">
        <f t="shared" si="826"/>
        <v/>
      </c>
      <c r="FM110" s="41" t="str">
        <f t="shared" si="827"/>
        <v/>
      </c>
      <c r="FN110" s="41" t="str">
        <f t="shared" si="828"/>
        <v/>
      </c>
      <c r="FO110" s="41" t="str">
        <f t="shared" si="829"/>
        <v/>
      </c>
      <c r="FP110" s="41" t="str">
        <f t="shared" si="830"/>
        <v/>
      </c>
      <c r="FQ110" s="41" t="str">
        <f t="shared" si="831"/>
        <v/>
      </c>
      <c r="FR110" s="41" t="str">
        <f t="shared" si="832"/>
        <v/>
      </c>
      <c r="FS110" s="41" t="str">
        <f t="shared" si="833"/>
        <v/>
      </c>
      <c r="FT110" s="41" t="str">
        <f t="shared" si="834"/>
        <v/>
      </c>
      <c r="FU110" s="41" t="str">
        <f t="shared" si="835"/>
        <v/>
      </c>
      <c r="FV110" s="41" t="str">
        <f t="shared" si="836"/>
        <v/>
      </c>
      <c r="FW110" s="41" t="str">
        <f t="shared" si="837"/>
        <v/>
      </c>
      <c r="FX110" s="41" t="str">
        <f t="shared" si="838"/>
        <v/>
      </c>
      <c r="FY110" s="41" t="str">
        <f t="shared" si="839"/>
        <v/>
      </c>
      <c r="FZ110" s="41" t="str">
        <f t="shared" si="840"/>
        <v/>
      </c>
      <c r="GA110" s="41" t="str">
        <f t="shared" si="841"/>
        <v/>
      </c>
      <c r="GB110" s="41" t="str">
        <f t="shared" si="842"/>
        <v/>
      </c>
      <c r="GC110" s="41" t="str">
        <f t="shared" si="843"/>
        <v/>
      </c>
      <c r="GD110" s="41" t="str">
        <f t="shared" si="844"/>
        <v/>
      </c>
      <c r="GE110" s="41" t="str">
        <f t="shared" si="845"/>
        <v/>
      </c>
      <c r="GF110" s="41" t="str">
        <f t="shared" si="846"/>
        <v/>
      </c>
      <c r="GG110" s="41" t="str">
        <f t="shared" si="847"/>
        <v/>
      </c>
      <c r="GH110" s="41" t="str">
        <f t="shared" si="848"/>
        <v/>
      </c>
      <c r="GI110" s="41" t="str">
        <f t="shared" si="849"/>
        <v/>
      </c>
      <c r="GJ110" s="41" t="str">
        <f t="shared" si="850"/>
        <v/>
      </c>
      <c r="GK110" s="41" t="str">
        <f t="shared" si="851"/>
        <v/>
      </c>
      <c r="GL110" s="41" t="str">
        <f t="shared" si="852"/>
        <v/>
      </c>
      <c r="GM110" s="41" t="str">
        <f t="shared" si="853"/>
        <v/>
      </c>
      <c r="GN110" s="41" t="str">
        <f t="shared" si="854"/>
        <v/>
      </c>
      <c r="GO110" s="41" t="str">
        <f t="shared" si="855"/>
        <v/>
      </c>
      <c r="GP110" s="41" t="str">
        <f t="shared" si="856"/>
        <v/>
      </c>
      <c r="GQ110" s="41" t="str">
        <f t="shared" si="857"/>
        <v/>
      </c>
      <c r="GR110" s="41" t="str">
        <f t="shared" si="858"/>
        <v/>
      </c>
      <c r="GS110" s="41" t="str">
        <f t="shared" si="859"/>
        <v/>
      </c>
      <c r="GT110" s="41" t="str">
        <f t="shared" si="860"/>
        <v/>
      </c>
      <c r="GU110" s="41" t="str">
        <f t="shared" si="861"/>
        <v/>
      </c>
      <c r="GV110" s="41" t="str">
        <f t="shared" si="862"/>
        <v/>
      </c>
      <c r="GW110" s="41" t="str">
        <f t="shared" si="863"/>
        <v/>
      </c>
      <c r="GX110" s="41" t="str">
        <f t="shared" si="864"/>
        <v/>
      </c>
      <c r="GY110" s="41" t="str">
        <f t="shared" si="865"/>
        <v/>
      </c>
      <c r="GZ110" s="41" t="str">
        <f t="shared" si="866"/>
        <v/>
      </c>
      <c r="HA110" s="41" t="str">
        <f t="shared" si="867"/>
        <v/>
      </c>
      <c r="HB110" s="41" t="str">
        <f t="shared" si="868"/>
        <v/>
      </c>
      <c r="HC110" s="41" t="str">
        <f t="shared" si="869"/>
        <v/>
      </c>
      <c r="HD110" s="41" t="str">
        <f t="shared" si="870"/>
        <v/>
      </c>
      <c r="HE110" s="41" t="str">
        <f t="shared" si="871"/>
        <v/>
      </c>
      <c r="HF110" s="41" t="str">
        <f t="shared" si="872"/>
        <v/>
      </c>
      <c r="HG110" s="41" t="str">
        <f t="shared" si="873"/>
        <v/>
      </c>
      <c r="HH110" s="41" t="str">
        <f t="shared" si="874"/>
        <v/>
      </c>
      <c r="HI110" s="41" t="str">
        <f t="shared" si="875"/>
        <v/>
      </c>
      <c r="HJ110" s="41" t="str">
        <f t="shared" si="876"/>
        <v/>
      </c>
      <c r="HK110" s="41" t="str">
        <f t="shared" si="877"/>
        <v/>
      </c>
      <c r="HL110" s="41" t="str">
        <f t="shared" si="878"/>
        <v/>
      </c>
      <c r="HM110" s="41" t="str">
        <f t="shared" si="879"/>
        <v/>
      </c>
      <c r="HN110" s="41" t="str">
        <f t="shared" si="880"/>
        <v/>
      </c>
      <c r="HO110" s="41" t="str">
        <f t="shared" si="881"/>
        <v/>
      </c>
      <c r="HP110" s="41" t="str">
        <f t="shared" si="882"/>
        <v/>
      </c>
      <c r="HQ110" s="41" t="str">
        <f t="shared" si="883"/>
        <v/>
      </c>
      <c r="HR110" s="41" t="str">
        <f t="shared" si="884"/>
        <v/>
      </c>
      <c r="HS110" s="41" t="str">
        <f t="shared" si="885"/>
        <v/>
      </c>
      <c r="HT110" s="41" t="str">
        <f t="shared" si="886"/>
        <v/>
      </c>
      <c r="HU110" s="41" t="str">
        <f t="shared" si="887"/>
        <v/>
      </c>
      <c r="HV110" s="41" t="str">
        <f t="shared" si="888"/>
        <v/>
      </c>
      <c r="HW110" s="41" t="str">
        <f t="shared" si="889"/>
        <v/>
      </c>
      <c r="HX110" s="41" t="str">
        <f t="shared" si="890"/>
        <v/>
      </c>
      <c r="HY110" s="41" t="str">
        <f t="shared" si="891"/>
        <v/>
      </c>
      <c r="HZ110" s="41" t="str">
        <f t="shared" si="892"/>
        <v/>
      </c>
      <c r="IA110" s="41" t="str">
        <f t="shared" si="893"/>
        <v/>
      </c>
      <c r="IB110" s="41" t="str">
        <f t="shared" si="894"/>
        <v/>
      </c>
      <c r="IC110" s="41" t="str">
        <f t="shared" si="895"/>
        <v/>
      </c>
      <c r="ID110" s="41" t="str">
        <f t="shared" si="896"/>
        <v/>
      </c>
      <c r="IE110" s="41" t="str">
        <f t="shared" si="897"/>
        <v/>
      </c>
      <c r="IF110" s="41" t="str">
        <f t="shared" si="898"/>
        <v/>
      </c>
      <c r="IG110" s="306">
        <f t="shared" si="899"/>
        <v>5.3940500253588439</v>
      </c>
      <c r="IH110" s="44">
        <f t="shared" si="900"/>
        <v>2.8624300193672307</v>
      </c>
      <c r="II110" s="44">
        <f t="shared" si="901"/>
        <v>6.6884329166067458</v>
      </c>
      <c r="IJ110" s="44">
        <f t="shared" si="902"/>
        <v>13.065104412005935</v>
      </c>
      <c r="IK110" s="44">
        <f t="shared" si="903"/>
        <v>15.861304747787475</v>
      </c>
      <c r="IL110" s="44">
        <f t="shared" si="904"/>
        <v>17.539024949256397</v>
      </c>
      <c r="IM110" s="306" t="str">
        <f t="shared" si="905"/>
        <v/>
      </c>
      <c r="IN110" s="44" t="str">
        <f t="shared" si="906"/>
        <v/>
      </c>
      <c r="IO110" s="44" t="str">
        <f t="shared" si="907"/>
        <v/>
      </c>
      <c r="IP110" s="44" t="str">
        <f t="shared" si="908"/>
        <v/>
      </c>
      <c r="IQ110" s="44" t="str">
        <f t="shared" si="909"/>
        <v/>
      </c>
      <c r="IR110" s="44" t="str">
        <f t="shared" si="910"/>
        <v/>
      </c>
      <c r="IS110" s="306" t="str">
        <f t="shared" si="911"/>
        <v/>
      </c>
      <c r="IT110" s="44" t="str">
        <f t="shared" si="912"/>
        <v/>
      </c>
      <c r="IU110" s="44" t="str">
        <f t="shared" si="913"/>
        <v/>
      </c>
      <c r="IV110" s="44" t="str">
        <f t="shared" si="914"/>
        <v/>
      </c>
      <c r="IW110" s="44" t="str">
        <f t="shared" si="915"/>
        <v/>
      </c>
      <c r="IX110" s="44" t="str">
        <f t="shared" si="916"/>
        <v/>
      </c>
      <c r="IY110" s="306" t="str">
        <f t="shared" si="917"/>
        <v/>
      </c>
      <c r="IZ110" s="44" t="str">
        <f t="shared" si="918"/>
        <v/>
      </c>
      <c r="JA110" s="44" t="str">
        <f t="shared" si="919"/>
        <v/>
      </c>
      <c r="JB110" s="44" t="str">
        <f t="shared" si="920"/>
        <v/>
      </c>
      <c r="JC110" s="44" t="str">
        <f t="shared" si="921"/>
        <v/>
      </c>
      <c r="JD110" s="307" t="str">
        <f t="shared" si="922"/>
        <v/>
      </c>
      <c r="JF110" s="66">
        <f t="shared" si="779"/>
        <v>110</v>
      </c>
      <c r="JG110" s="66">
        <f t="shared" ca="1" si="789"/>
        <v>6.6884329166067458</v>
      </c>
      <c r="JH110" s="66">
        <f t="shared" ca="1" si="790"/>
        <v>13.065104412005935</v>
      </c>
      <c r="JI110" s="66">
        <f t="shared" ca="1" si="791"/>
        <v>15.861304747787475</v>
      </c>
      <c r="JJ110" s="66">
        <f t="shared" ca="1" si="792"/>
        <v>5</v>
      </c>
      <c r="JK110" s="33"/>
      <c r="JL110" s="74">
        <f t="shared" ca="1" si="793"/>
        <v>6.6884329166067458</v>
      </c>
      <c r="JM110" s="75">
        <f t="shared" ca="1" si="794"/>
        <v>9.8767686643063399</v>
      </c>
      <c r="JN110" s="75">
        <f t="shared" ca="1" si="795"/>
        <v>14.463204579896704</v>
      </c>
      <c r="JO110" s="74">
        <f t="shared" ca="1" si="796"/>
        <v>15.861304747787475</v>
      </c>
      <c r="JP110" s="74">
        <f t="shared" ca="1" si="797"/>
        <v>46.889710908597266</v>
      </c>
    </row>
    <row r="111" spans="1:276" hidden="1" x14ac:dyDescent="0.35">
      <c r="A111" s="125" t="s">
        <v>805</v>
      </c>
      <c r="B111" s="125" t="s">
        <v>805</v>
      </c>
      <c r="C111" s="125" t="s">
        <v>805</v>
      </c>
      <c r="E111" s="142" t="s">
        <v>841</v>
      </c>
      <c r="F111" s="254" t="s">
        <v>727</v>
      </c>
      <c r="G111" t="s">
        <v>540</v>
      </c>
      <c r="H111" t="s">
        <v>539</v>
      </c>
      <c r="I111" t="s">
        <v>536</v>
      </c>
      <c r="J111" s="211" t="s">
        <v>805</v>
      </c>
      <c r="K111" t="s">
        <v>805</v>
      </c>
      <c r="L111" t="s">
        <v>805</v>
      </c>
      <c r="M111" t="s">
        <v>805</v>
      </c>
      <c r="N111" t="s">
        <v>805</v>
      </c>
      <c r="O111" t="s">
        <v>805</v>
      </c>
      <c r="P111" t="s">
        <v>805</v>
      </c>
      <c r="Q111" t="s">
        <v>805</v>
      </c>
      <c r="R111" t="s">
        <v>805</v>
      </c>
      <c r="S111" t="s">
        <v>805</v>
      </c>
      <c r="T111" t="s">
        <v>805</v>
      </c>
      <c r="U111" t="s">
        <v>805</v>
      </c>
      <c r="V111" t="s">
        <v>805</v>
      </c>
      <c r="W111" t="s">
        <v>805</v>
      </c>
      <c r="X111" t="s">
        <v>805</v>
      </c>
      <c r="Y111" t="s">
        <v>805</v>
      </c>
      <c r="Z111" t="s">
        <v>805</v>
      </c>
      <c r="AA111" t="s">
        <v>805</v>
      </c>
      <c r="AB111" t="s">
        <v>805</v>
      </c>
      <c r="AC111" t="s">
        <v>805</v>
      </c>
      <c r="AD111" t="s">
        <v>805</v>
      </c>
      <c r="AE111" t="s">
        <v>805</v>
      </c>
      <c r="AF111" t="s">
        <v>805</v>
      </c>
      <c r="AG111" t="s">
        <v>805</v>
      </c>
      <c r="AH111" t="s">
        <v>805</v>
      </c>
      <c r="AI111" t="s">
        <v>805</v>
      </c>
      <c r="AJ111" t="s">
        <v>805</v>
      </c>
      <c r="AK111" t="s">
        <v>805</v>
      </c>
      <c r="AL111" t="s">
        <v>805</v>
      </c>
      <c r="AM111" t="s">
        <v>805</v>
      </c>
      <c r="AN111" t="s">
        <v>805</v>
      </c>
      <c r="AO111" t="s">
        <v>805</v>
      </c>
      <c r="AP111" t="s">
        <v>805</v>
      </c>
      <c r="AQ111" t="s">
        <v>805</v>
      </c>
      <c r="AR111" t="s">
        <v>805</v>
      </c>
      <c r="AS111" t="s">
        <v>805</v>
      </c>
      <c r="AT111" t="s">
        <v>805</v>
      </c>
      <c r="AU111" t="s">
        <v>805</v>
      </c>
      <c r="AV111" t="s">
        <v>805</v>
      </c>
      <c r="AW111" t="s">
        <v>805</v>
      </c>
      <c r="AX111" t="s">
        <v>805</v>
      </c>
      <c r="AY111" t="s">
        <v>805</v>
      </c>
      <c r="AZ111" t="s">
        <v>805</v>
      </c>
      <c r="BA111" t="s">
        <v>805</v>
      </c>
      <c r="BB111" t="s">
        <v>805</v>
      </c>
      <c r="BC111" t="s">
        <v>805</v>
      </c>
      <c r="BD111" t="s">
        <v>805</v>
      </c>
      <c r="BE111" t="s">
        <v>805</v>
      </c>
      <c r="BF111" t="s">
        <v>805</v>
      </c>
      <c r="BG111" t="s">
        <v>805</v>
      </c>
      <c r="BH111" t="s">
        <v>805</v>
      </c>
      <c r="BI111" t="s">
        <v>805</v>
      </c>
      <c r="BJ111" t="s">
        <v>805</v>
      </c>
      <c r="BK111" t="s">
        <v>805</v>
      </c>
      <c r="BL111" t="s">
        <v>805</v>
      </c>
      <c r="BM111" t="s">
        <v>805</v>
      </c>
      <c r="BN111" t="s">
        <v>805</v>
      </c>
      <c r="BO111" t="s">
        <v>805</v>
      </c>
      <c r="BP111" t="s">
        <v>805</v>
      </c>
      <c r="BQ111" t="s">
        <v>805</v>
      </c>
      <c r="BR111" t="s">
        <v>805</v>
      </c>
      <c r="BS111" t="s">
        <v>805</v>
      </c>
      <c r="BT111" t="s">
        <v>805</v>
      </c>
      <c r="BU111" t="s">
        <v>805</v>
      </c>
      <c r="BV111" t="s">
        <v>805</v>
      </c>
      <c r="BW111" t="s">
        <v>805</v>
      </c>
      <c r="BX111" t="s">
        <v>805</v>
      </c>
      <c r="BY111" t="s">
        <v>805</v>
      </c>
      <c r="BZ111" t="s">
        <v>805</v>
      </c>
      <c r="CA111" t="s">
        <v>805</v>
      </c>
      <c r="CB111" t="s">
        <v>805</v>
      </c>
      <c r="CC111" t="s">
        <v>805</v>
      </c>
      <c r="CD111" t="s">
        <v>805</v>
      </c>
      <c r="CE111" t="s">
        <v>805</v>
      </c>
      <c r="CF111" t="s">
        <v>805</v>
      </c>
      <c r="CG111" t="s">
        <v>805</v>
      </c>
      <c r="CH111" t="s">
        <v>805</v>
      </c>
      <c r="CI111" t="s">
        <v>805</v>
      </c>
      <c r="CJ111" t="s">
        <v>805</v>
      </c>
      <c r="CK111" t="s">
        <v>805</v>
      </c>
      <c r="CL111" t="s">
        <v>805</v>
      </c>
      <c r="CM111" t="s">
        <v>805</v>
      </c>
      <c r="CN111" t="s">
        <v>805</v>
      </c>
      <c r="CO111" t="s">
        <v>805</v>
      </c>
      <c r="CP111" t="s">
        <v>805</v>
      </c>
      <c r="CQ111" t="s">
        <v>805</v>
      </c>
      <c r="CR111" t="s">
        <v>805</v>
      </c>
      <c r="CS111" t="s">
        <v>805</v>
      </c>
      <c r="CT111" t="s">
        <v>805</v>
      </c>
      <c r="CU111" t="s">
        <v>805</v>
      </c>
      <c r="CV111" t="s">
        <v>805</v>
      </c>
      <c r="CW111" t="s">
        <v>805</v>
      </c>
      <c r="CX111" t="s">
        <v>805</v>
      </c>
      <c r="CY111" t="s">
        <v>805</v>
      </c>
      <c r="CZ111" t="s">
        <v>805</v>
      </c>
      <c r="DA111" t="s">
        <v>805</v>
      </c>
      <c r="DB111" t="s">
        <v>805</v>
      </c>
      <c r="DC111" t="s">
        <v>805</v>
      </c>
      <c r="DD111" t="s">
        <v>805</v>
      </c>
      <c r="DE111" t="s">
        <v>805</v>
      </c>
      <c r="DF111" t="s">
        <v>805</v>
      </c>
      <c r="DG111" s="28">
        <f>VLOOKUP(E111,'KPI Count-SHARE'!A:F,3,0)</f>
        <v>0</v>
      </c>
      <c r="DH111" t="s">
        <v>805</v>
      </c>
      <c r="DI111" t="s">
        <v>805</v>
      </c>
      <c r="DJ111" t="s">
        <v>805</v>
      </c>
      <c r="DK111" t="s">
        <v>805</v>
      </c>
      <c r="DL111" t="s">
        <v>805</v>
      </c>
      <c r="DM111" t="s">
        <v>805</v>
      </c>
      <c r="DN111" s="28">
        <f>VLOOKUP(E111,'KPI Count-SHARE'!A:F,4,0)</f>
        <v>0</v>
      </c>
      <c r="DU111" s="28">
        <f>VLOOKUP(E111,'KPI Count-SHARE'!A:F,5,0)</f>
        <v>0</v>
      </c>
      <c r="EB111" s="28">
        <f>VLOOKUP(E111,'KPI Count-SHARE'!A:F,6,0)</f>
        <v>0</v>
      </c>
      <c r="EI111" t="str">
        <f>XCurrency &amp; " '000 per account"</f>
        <v>USD '000 per account</v>
      </c>
      <c r="EJ111" s="237" t="str">
        <f t="shared" si="798"/>
        <v>-</v>
      </c>
      <c r="EK111" s="237" t="str">
        <f t="shared" si="799"/>
        <v>-</v>
      </c>
      <c r="EL111" s="237" t="str">
        <f t="shared" si="800"/>
        <v>-</v>
      </c>
      <c r="EM111" s="237" t="str">
        <f t="shared" si="801"/>
        <v>-</v>
      </c>
      <c r="EN111" s="237" t="str">
        <f t="shared" si="802"/>
        <v>-</v>
      </c>
      <c r="EO111" s="237" t="str">
        <f t="shared" si="803"/>
        <v>-</v>
      </c>
      <c r="EP111" s="237" t="str">
        <f t="shared" si="804"/>
        <v>-</v>
      </c>
      <c r="EQ111" s="237" t="str">
        <f t="shared" si="805"/>
        <v>-</v>
      </c>
      <c r="ER111" s="237" t="str">
        <f t="shared" si="806"/>
        <v>-</v>
      </c>
      <c r="ES111" s="237" t="str">
        <f t="shared" si="807"/>
        <v>-</v>
      </c>
      <c r="ET111" s="237" t="str">
        <f t="shared" si="808"/>
        <v>-</v>
      </c>
      <c r="EU111" s="237" t="str">
        <f t="shared" si="809"/>
        <v>-</v>
      </c>
      <c r="EV111" s="237" t="str">
        <f t="shared" si="810"/>
        <v>-</v>
      </c>
      <c r="EW111" s="237" t="str">
        <f t="shared" si="811"/>
        <v>-</v>
      </c>
      <c r="EX111" s="237" t="str">
        <f t="shared" si="812"/>
        <v>-</v>
      </c>
      <c r="EY111" s="237" t="str">
        <f t="shared" si="813"/>
        <v>-</v>
      </c>
      <c r="EZ111" s="237" t="str">
        <f t="shared" si="814"/>
        <v>-</v>
      </c>
      <c r="FA111" s="237" t="str">
        <f t="shared" si="815"/>
        <v>-</v>
      </c>
      <c r="FB111" s="237" t="str">
        <f t="shared" si="816"/>
        <v>-</v>
      </c>
      <c r="FC111" s="237" t="str">
        <f t="shared" si="817"/>
        <v>-</v>
      </c>
      <c r="FD111" s="237" t="str">
        <f t="shared" si="818"/>
        <v>-</v>
      </c>
      <c r="FE111" s="237" t="str">
        <f t="shared" si="819"/>
        <v>-</v>
      </c>
      <c r="FF111" s="237" t="str">
        <f t="shared" si="820"/>
        <v>-</v>
      </c>
      <c r="FG111" s="237" t="str">
        <f t="shared" si="821"/>
        <v>-</v>
      </c>
      <c r="FH111" s="237" t="str">
        <f t="shared" si="822"/>
        <v>-</v>
      </c>
      <c r="FI111" s="237" t="str">
        <f t="shared" si="823"/>
        <v>-</v>
      </c>
      <c r="FJ111" s="237" t="str">
        <f t="shared" si="824"/>
        <v>-</v>
      </c>
      <c r="FK111" s="237" t="str">
        <f t="shared" si="825"/>
        <v>-</v>
      </c>
      <c r="FL111" s="237" t="str">
        <f t="shared" si="826"/>
        <v>-</v>
      </c>
      <c r="FM111" s="237" t="str">
        <f t="shared" si="827"/>
        <v>-</v>
      </c>
      <c r="FN111" s="237" t="str">
        <f t="shared" si="828"/>
        <v>-</v>
      </c>
      <c r="FO111" s="237" t="str">
        <f t="shared" si="829"/>
        <v>-</v>
      </c>
      <c r="FP111" s="237" t="str">
        <f t="shared" si="830"/>
        <v>-</v>
      </c>
      <c r="FQ111" s="237" t="str">
        <f t="shared" si="831"/>
        <v>-</v>
      </c>
      <c r="FR111" s="237" t="str">
        <f t="shared" si="832"/>
        <v>-</v>
      </c>
      <c r="FS111" s="237" t="str">
        <f t="shared" si="833"/>
        <v>-</v>
      </c>
      <c r="FT111" s="237" t="str">
        <f t="shared" si="834"/>
        <v>-</v>
      </c>
      <c r="FU111" s="237" t="str">
        <f t="shared" si="835"/>
        <v>-</v>
      </c>
      <c r="FV111" s="237" t="str">
        <f t="shared" si="836"/>
        <v>-</v>
      </c>
      <c r="FW111" s="237" t="str">
        <f t="shared" si="837"/>
        <v>-</v>
      </c>
      <c r="FX111" s="237" t="str">
        <f t="shared" si="838"/>
        <v>-</v>
      </c>
      <c r="FY111" s="237" t="str">
        <f t="shared" si="839"/>
        <v>-</v>
      </c>
      <c r="FZ111" s="237" t="str">
        <f t="shared" si="840"/>
        <v>-</v>
      </c>
      <c r="GA111" s="237" t="str">
        <f t="shared" si="841"/>
        <v>-</v>
      </c>
      <c r="GB111" s="237" t="str">
        <f t="shared" si="842"/>
        <v>-</v>
      </c>
      <c r="GC111" s="237" t="str">
        <f t="shared" si="843"/>
        <v>-</v>
      </c>
      <c r="GD111" s="237" t="str">
        <f t="shared" si="844"/>
        <v>-</v>
      </c>
      <c r="GE111" s="237" t="str">
        <f t="shared" si="845"/>
        <v>-</v>
      </c>
      <c r="GF111" s="237" t="str">
        <f t="shared" si="846"/>
        <v>-</v>
      </c>
      <c r="GG111" s="237" t="str">
        <f t="shared" si="847"/>
        <v>-</v>
      </c>
      <c r="GH111" s="237" t="str">
        <f t="shared" si="848"/>
        <v>-</v>
      </c>
      <c r="GI111" s="237" t="str">
        <f t="shared" si="849"/>
        <v>-</v>
      </c>
      <c r="GJ111" s="237" t="str">
        <f t="shared" si="850"/>
        <v>-</v>
      </c>
      <c r="GK111" s="237" t="str">
        <f t="shared" si="851"/>
        <v>-</v>
      </c>
      <c r="GL111" s="237" t="str">
        <f t="shared" si="852"/>
        <v>-</v>
      </c>
      <c r="GM111" s="237" t="str">
        <f t="shared" si="853"/>
        <v>-</v>
      </c>
      <c r="GN111" s="237" t="str">
        <f t="shared" si="854"/>
        <v>-</v>
      </c>
      <c r="GO111" s="237" t="str">
        <f t="shared" si="855"/>
        <v>-</v>
      </c>
      <c r="GP111" s="237" t="str">
        <f t="shared" si="856"/>
        <v>-</v>
      </c>
      <c r="GQ111" s="237" t="str">
        <f t="shared" si="857"/>
        <v>-</v>
      </c>
      <c r="GR111" s="237" t="str">
        <f t="shared" si="858"/>
        <v>-</v>
      </c>
      <c r="GS111" s="237" t="str">
        <f t="shared" si="859"/>
        <v>-</v>
      </c>
      <c r="GT111" s="237" t="str">
        <f t="shared" si="860"/>
        <v>-</v>
      </c>
      <c r="GU111" s="237" t="str">
        <f t="shared" si="861"/>
        <v>-</v>
      </c>
      <c r="GV111" s="237" t="str">
        <f t="shared" si="862"/>
        <v>-</v>
      </c>
      <c r="GW111" s="237" t="str">
        <f t="shared" si="863"/>
        <v>-</v>
      </c>
      <c r="GX111" s="237" t="str">
        <f t="shared" si="864"/>
        <v>-</v>
      </c>
      <c r="GY111" s="237" t="str">
        <f t="shared" si="865"/>
        <v>-</v>
      </c>
      <c r="GZ111" s="237" t="str">
        <f t="shared" si="866"/>
        <v>-</v>
      </c>
      <c r="HA111" s="237" t="str">
        <f t="shared" si="867"/>
        <v>-</v>
      </c>
      <c r="HB111" s="237" t="str">
        <f t="shared" si="868"/>
        <v>-</v>
      </c>
      <c r="HC111" s="237" t="str">
        <f t="shared" si="869"/>
        <v>-</v>
      </c>
      <c r="HD111" s="237" t="str">
        <f t="shared" si="870"/>
        <v>-</v>
      </c>
      <c r="HE111" s="237" t="str">
        <f t="shared" si="871"/>
        <v>-</v>
      </c>
      <c r="HF111" s="237" t="str">
        <f t="shared" si="872"/>
        <v>-</v>
      </c>
      <c r="HG111" s="237" t="str">
        <f t="shared" si="873"/>
        <v>-</v>
      </c>
      <c r="HH111" s="237" t="str">
        <f t="shared" si="874"/>
        <v>-</v>
      </c>
      <c r="HI111" s="237" t="str">
        <f t="shared" si="875"/>
        <v>-</v>
      </c>
      <c r="HJ111" s="237" t="str">
        <f t="shared" si="876"/>
        <v>-</v>
      </c>
      <c r="HK111" s="237" t="str">
        <f t="shared" si="877"/>
        <v>-</v>
      </c>
      <c r="HL111" s="237" t="str">
        <f t="shared" si="878"/>
        <v>-</v>
      </c>
      <c r="HM111" s="237" t="str">
        <f t="shared" si="879"/>
        <v>-</v>
      </c>
      <c r="HN111" s="237" t="str">
        <f t="shared" si="880"/>
        <v>-</v>
      </c>
      <c r="HO111" s="237" t="str">
        <f t="shared" si="881"/>
        <v>-</v>
      </c>
      <c r="HP111" s="237" t="str">
        <f t="shared" si="882"/>
        <v>-</v>
      </c>
      <c r="HQ111" s="237" t="str">
        <f t="shared" si="883"/>
        <v>-</v>
      </c>
      <c r="HR111" s="237" t="str">
        <f t="shared" si="884"/>
        <v>-</v>
      </c>
      <c r="HS111" s="237" t="str">
        <f t="shared" si="885"/>
        <v>-</v>
      </c>
      <c r="HT111" s="237" t="str">
        <f t="shared" si="886"/>
        <v>-</v>
      </c>
      <c r="HU111" s="237" t="str">
        <f t="shared" si="887"/>
        <v>-</v>
      </c>
      <c r="HV111" s="237" t="str">
        <f t="shared" si="888"/>
        <v>-</v>
      </c>
      <c r="HW111" s="237" t="str">
        <f t="shared" si="889"/>
        <v>-</v>
      </c>
      <c r="HX111" s="237" t="str">
        <f t="shared" si="890"/>
        <v>-</v>
      </c>
      <c r="HY111" s="237" t="str">
        <f t="shared" si="891"/>
        <v>-</v>
      </c>
      <c r="HZ111" s="237" t="str">
        <f t="shared" si="892"/>
        <v>-</v>
      </c>
      <c r="IA111" s="237" t="str">
        <f t="shared" si="893"/>
        <v>-</v>
      </c>
      <c r="IB111" s="237" t="str">
        <f t="shared" si="894"/>
        <v>-</v>
      </c>
      <c r="IC111" s="237" t="str">
        <f t="shared" si="895"/>
        <v>-</v>
      </c>
      <c r="ID111" s="237" t="str">
        <f t="shared" si="896"/>
        <v>-</v>
      </c>
      <c r="IE111" s="237" t="str">
        <f t="shared" si="897"/>
        <v>-</v>
      </c>
      <c r="IF111" s="237" t="str">
        <f t="shared" si="898"/>
        <v>-</v>
      </c>
      <c r="IG111" s="312" t="str">
        <f t="shared" si="899"/>
        <v>-</v>
      </c>
      <c r="IH111" s="99" t="str">
        <f t="shared" si="900"/>
        <v>-</v>
      </c>
      <c r="II111" s="99" t="str">
        <f t="shared" si="901"/>
        <v>-</v>
      </c>
      <c r="IJ111" s="99" t="str">
        <f t="shared" si="902"/>
        <v>-</v>
      </c>
      <c r="IK111" s="99" t="str">
        <f t="shared" si="903"/>
        <v>-</v>
      </c>
      <c r="IL111" s="99" t="str">
        <f t="shared" si="904"/>
        <v>-</v>
      </c>
      <c r="IM111" s="312" t="str">
        <f t="shared" si="905"/>
        <v/>
      </c>
      <c r="IN111" s="99" t="str">
        <f t="shared" si="906"/>
        <v/>
      </c>
      <c r="IO111" s="99" t="str">
        <f t="shared" si="907"/>
        <v/>
      </c>
      <c r="IP111" s="99" t="str">
        <f t="shared" si="908"/>
        <v/>
      </c>
      <c r="IQ111" s="99" t="str">
        <f t="shared" si="909"/>
        <v/>
      </c>
      <c r="IR111" s="99" t="str">
        <f t="shared" si="910"/>
        <v/>
      </c>
      <c r="IS111" s="312" t="str">
        <f t="shared" si="911"/>
        <v/>
      </c>
      <c r="IT111" s="99" t="str">
        <f t="shared" si="912"/>
        <v/>
      </c>
      <c r="IU111" s="99" t="str">
        <f t="shared" si="913"/>
        <v/>
      </c>
      <c r="IV111" s="99" t="str">
        <f t="shared" si="914"/>
        <v/>
      </c>
      <c r="IW111" s="99" t="str">
        <f t="shared" si="915"/>
        <v/>
      </c>
      <c r="IX111" s="99" t="str">
        <f t="shared" si="916"/>
        <v/>
      </c>
      <c r="IY111" s="312" t="str">
        <f t="shared" si="917"/>
        <v/>
      </c>
      <c r="IZ111" s="99" t="str">
        <f t="shared" si="918"/>
        <v/>
      </c>
      <c r="JA111" s="99" t="str">
        <f t="shared" si="919"/>
        <v/>
      </c>
      <c r="JB111" s="99" t="str">
        <f t="shared" si="920"/>
        <v/>
      </c>
      <c r="JC111" s="99" t="str">
        <f t="shared" si="921"/>
        <v/>
      </c>
      <c r="JD111" s="313" t="str">
        <f t="shared" si="922"/>
        <v/>
      </c>
      <c r="JF111" s="66">
        <f t="shared" si="779"/>
        <v>111</v>
      </c>
      <c r="JG111" s="66">
        <f t="shared" ca="1" si="789"/>
        <v>0</v>
      </c>
      <c r="JH111" s="66">
        <f t="shared" ca="1" si="790"/>
        <v>0</v>
      </c>
      <c r="JI111" s="66">
        <f t="shared" ca="1" si="791"/>
        <v>0</v>
      </c>
      <c r="JJ111" s="66">
        <f t="shared" ca="1" si="792"/>
        <v>0</v>
      </c>
      <c r="JK111" s="33"/>
      <c r="JL111" s="74" t="str">
        <f t="shared" ca="1" si="793"/>
        <v>-</v>
      </c>
      <c r="JM111" s="75">
        <f t="shared" ca="1" si="794"/>
        <v>0</v>
      </c>
      <c r="JN111" s="75">
        <f t="shared" ca="1" si="795"/>
        <v>0</v>
      </c>
      <c r="JO111" s="74" t="str">
        <f t="shared" ca="1" si="796"/>
        <v>-</v>
      </c>
      <c r="JP111" s="74">
        <f t="shared" ca="1" si="797"/>
        <v>0</v>
      </c>
    </row>
    <row r="112" spans="1:276" hidden="1" x14ac:dyDescent="0.35">
      <c r="A112" s="125" t="s">
        <v>805</v>
      </c>
      <c r="B112" s="125" t="s">
        <v>805</v>
      </c>
      <c r="C112" s="125" t="s">
        <v>805</v>
      </c>
      <c r="E112" s="142" t="s">
        <v>842</v>
      </c>
      <c r="F112" s="254" t="s">
        <v>728</v>
      </c>
      <c r="G112" t="s">
        <v>540</v>
      </c>
      <c r="H112" t="s">
        <v>535</v>
      </c>
      <c r="I112" t="s">
        <v>536</v>
      </c>
      <c r="J112" s="211" t="s">
        <v>805</v>
      </c>
      <c r="K112" t="s">
        <v>805</v>
      </c>
      <c r="L112" t="s">
        <v>805</v>
      </c>
      <c r="M112" t="s">
        <v>805</v>
      </c>
      <c r="N112" t="s">
        <v>805</v>
      </c>
      <c r="O112" t="s">
        <v>805</v>
      </c>
      <c r="P112" t="s">
        <v>805</v>
      </c>
      <c r="Q112" t="s">
        <v>805</v>
      </c>
      <c r="R112" t="s">
        <v>805</v>
      </c>
      <c r="S112" t="s">
        <v>805</v>
      </c>
      <c r="T112" t="s">
        <v>805</v>
      </c>
      <c r="U112" t="s">
        <v>805</v>
      </c>
      <c r="V112" t="s">
        <v>805</v>
      </c>
      <c r="W112" t="s">
        <v>805</v>
      </c>
      <c r="X112" t="s">
        <v>805</v>
      </c>
      <c r="Y112" t="s">
        <v>805</v>
      </c>
      <c r="Z112" t="s">
        <v>805</v>
      </c>
      <c r="AA112" t="s">
        <v>805</v>
      </c>
      <c r="AB112" t="s">
        <v>805</v>
      </c>
      <c r="AC112" t="s">
        <v>805</v>
      </c>
      <c r="AD112" t="s">
        <v>805</v>
      </c>
      <c r="AE112" t="s">
        <v>805</v>
      </c>
      <c r="AF112" t="s">
        <v>805</v>
      </c>
      <c r="AG112" t="s">
        <v>805</v>
      </c>
      <c r="AH112" t="s">
        <v>805</v>
      </c>
      <c r="AI112" t="s">
        <v>805</v>
      </c>
      <c r="AJ112" t="s">
        <v>805</v>
      </c>
      <c r="AK112" t="s">
        <v>805</v>
      </c>
      <c r="AL112" t="s">
        <v>805</v>
      </c>
      <c r="AM112" t="s">
        <v>805</v>
      </c>
      <c r="AN112" t="s">
        <v>805</v>
      </c>
      <c r="AO112" t="s">
        <v>805</v>
      </c>
      <c r="AP112" t="s">
        <v>805</v>
      </c>
      <c r="AQ112" t="s">
        <v>805</v>
      </c>
      <c r="AR112" t="s">
        <v>805</v>
      </c>
      <c r="AS112" t="s">
        <v>805</v>
      </c>
      <c r="AT112" t="s">
        <v>805</v>
      </c>
      <c r="AU112" t="s">
        <v>805</v>
      </c>
      <c r="AV112" t="s">
        <v>805</v>
      </c>
      <c r="AW112" t="s">
        <v>805</v>
      </c>
      <c r="AX112" t="s">
        <v>805</v>
      </c>
      <c r="AY112" t="s">
        <v>805</v>
      </c>
      <c r="AZ112" t="s">
        <v>805</v>
      </c>
      <c r="BA112" t="s">
        <v>805</v>
      </c>
      <c r="BB112" t="s">
        <v>805</v>
      </c>
      <c r="BC112" t="s">
        <v>805</v>
      </c>
      <c r="BD112" t="s">
        <v>805</v>
      </c>
      <c r="BE112" t="s">
        <v>805</v>
      </c>
      <c r="BF112" t="s">
        <v>805</v>
      </c>
      <c r="BG112" t="s">
        <v>805</v>
      </c>
      <c r="BH112" t="s">
        <v>805</v>
      </c>
      <c r="BI112" t="s">
        <v>805</v>
      </c>
      <c r="BJ112" t="s">
        <v>805</v>
      </c>
      <c r="BK112" t="s">
        <v>805</v>
      </c>
      <c r="BL112" t="s">
        <v>805</v>
      </c>
      <c r="BM112" t="s">
        <v>805</v>
      </c>
      <c r="BN112" t="s">
        <v>805</v>
      </c>
      <c r="BO112" t="s">
        <v>805</v>
      </c>
      <c r="BP112" t="s">
        <v>805</v>
      </c>
      <c r="BQ112" t="s">
        <v>805</v>
      </c>
      <c r="BR112" t="s">
        <v>805</v>
      </c>
      <c r="BS112" t="s">
        <v>805</v>
      </c>
      <c r="BT112" t="s">
        <v>805</v>
      </c>
      <c r="BU112" t="s">
        <v>805</v>
      </c>
      <c r="BV112" t="s">
        <v>805</v>
      </c>
      <c r="BW112" t="s">
        <v>805</v>
      </c>
      <c r="BX112" t="s">
        <v>805</v>
      </c>
      <c r="BY112" t="s">
        <v>805</v>
      </c>
      <c r="BZ112" t="s">
        <v>805</v>
      </c>
      <c r="CA112" t="s">
        <v>805</v>
      </c>
      <c r="CB112" t="s">
        <v>805</v>
      </c>
      <c r="CC112" t="s">
        <v>805</v>
      </c>
      <c r="CD112" t="s">
        <v>805</v>
      </c>
      <c r="CE112" t="s">
        <v>805</v>
      </c>
      <c r="CF112" t="s">
        <v>805</v>
      </c>
      <c r="CG112" t="s">
        <v>805</v>
      </c>
      <c r="CH112" t="s">
        <v>805</v>
      </c>
      <c r="CI112" t="s">
        <v>805</v>
      </c>
      <c r="CJ112" t="s">
        <v>805</v>
      </c>
      <c r="CK112" t="s">
        <v>805</v>
      </c>
      <c r="CL112" t="s">
        <v>805</v>
      </c>
      <c r="CM112" t="s">
        <v>805</v>
      </c>
      <c r="CN112" t="s">
        <v>805</v>
      </c>
      <c r="CO112" t="s">
        <v>805</v>
      </c>
      <c r="CP112" t="s">
        <v>805</v>
      </c>
      <c r="CQ112" t="s">
        <v>805</v>
      </c>
      <c r="CR112" t="s">
        <v>805</v>
      </c>
      <c r="CS112" t="s">
        <v>805</v>
      </c>
      <c r="CT112" t="s">
        <v>805</v>
      </c>
      <c r="CU112" t="s">
        <v>805</v>
      </c>
      <c r="CV112" t="s">
        <v>805</v>
      </c>
      <c r="CW112" t="s">
        <v>805</v>
      </c>
      <c r="CX112" t="s">
        <v>805</v>
      </c>
      <c r="CY112" t="s">
        <v>805</v>
      </c>
      <c r="CZ112" t="s">
        <v>805</v>
      </c>
      <c r="DA112" t="s">
        <v>805</v>
      </c>
      <c r="DB112" t="s">
        <v>805</v>
      </c>
      <c r="DC112" t="s">
        <v>805</v>
      </c>
      <c r="DD112" t="s">
        <v>805</v>
      </c>
      <c r="DE112" t="s">
        <v>805</v>
      </c>
      <c r="DF112" t="s">
        <v>805</v>
      </c>
      <c r="DG112" s="28">
        <f>VLOOKUP(E112,'KPI Count-SHARE'!A:F,3,0)</f>
        <v>0</v>
      </c>
      <c r="DH112" t="s">
        <v>805</v>
      </c>
      <c r="DI112" t="s">
        <v>805</v>
      </c>
      <c r="DJ112" t="s">
        <v>805</v>
      </c>
      <c r="DK112" t="s">
        <v>805</v>
      </c>
      <c r="DL112" t="s">
        <v>805</v>
      </c>
      <c r="DM112" t="s">
        <v>805</v>
      </c>
      <c r="DN112" s="28">
        <f>VLOOKUP(E112,'KPI Count-SHARE'!A:F,4,0)</f>
        <v>0</v>
      </c>
      <c r="DU112" s="28">
        <f>VLOOKUP(E112,'KPI Count-SHARE'!A:F,5,0)</f>
        <v>0</v>
      </c>
      <c r="EB112" s="28">
        <f>VLOOKUP(E112,'KPI Count-SHARE'!A:F,6,0)</f>
        <v>0</v>
      </c>
      <c r="EI112" t="str">
        <f>XCurrency &amp; " '000 per FTE"</f>
        <v>USD '000 per FTE</v>
      </c>
      <c r="EJ112" s="237" t="str">
        <f t="shared" si="798"/>
        <v>-</v>
      </c>
      <c r="EK112" s="237" t="str">
        <f t="shared" si="799"/>
        <v>-</v>
      </c>
      <c r="EL112" s="237" t="str">
        <f t="shared" si="800"/>
        <v>-</v>
      </c>
      <c r="EM112" s="237" t="str">
        <f t="shared" si="801"/>
        <v>-</v>
      </c>
      <c r="EN112" s="237" t="str">
        <f t="shared" si="802"/>
        <v>-</v>
      </c>
      <c r="EO112" s="237" t="str">
        <f t="shared" si="803"/>
        <v>-</v>
      </c>
      <c r="EP112" s="237" t="str">
        <f t="shared" si="804"/>
        <v>-</v>
      </c>
      <c r="EQ112" s="237" t="str">
        <f t="shared" si="805"/>
        <v>-</v>
      </c>
      <c r="ER112" s="237" t="str">
        <f t="shared" si="806"/>
        <v>-</v>
      </c>
      <c r="ES112" s="237" t="str">
        <f t="shared" si="807"/>
        <v>-</v>
      </c>
      <c r="ET112" s="237" t="str">
        <f t="shared" si="808"/>
        <v>-</v>
      </c>
      <c r="EU112" s="237" t="str">
        <f t="shared" si="809"/>
        <v>-</v>
      </c>
      <c r="EV112" s="237" t="str">
        <f t="shared" si="810"/>
        <v>-</v>
      </c>
      <c r="EW112" s="237" t="str">
        <f t="shared" si="811"/>
        <v>-</v>
      </c>
      <c r="EX112" s="237" t="str">
        <f t="shared" si="812"/>
        <v>-</v>
      </c>
      <c r="EY112" s="237" t="str">
        <f t="shared" si="813"/>
        <v>-</v>
      </c>
      <c r="EZ112" s="237" t="str">
        <f t="shared" si="814"/>
        <v>-</v>
      </c>
      <c r="FA112" s="237" t="str">
        <f t="shared" si="815"/>
        <v>-</v>
      </c>
      <c r="FB112" s="237" t="str">
        <f t="shared" si="816"/>
        <v>-</v>
      </c>
      <c r="FC112" s="237" t="str">
        <f t="shared" si="817"/>
        <v>-</v>
      </c>
      <c r="FD112" s="237" t="str">
        <f t="shared" si="818"/>
        <v>-</v>
      </c>
      <c r="FE112" s="237" t="str">
        <f t="shared" si="819"/>
        <v>-</v>
      </c>
      <c r="FF112" s="237" t="str">
        <f t="shared" si="820"/>
        <v>-</v>
      </c>
      <c r="FG112" s="237" t="str">
        <f t="shared" si="821"/>
        <v>-</v>
      </c>
      <c r="FH112" s="237" t="str">
        <f t="shared" si="822"/>
        <v>-</v>
      </c>
      <c r="FI112" s="237" t="str">
        <f t="shared" si="823"/>
        <v>-</v>
      </c>
      <c r="FJ112" s="237" t="str">
        <f t="shared" si="824"/>
        <v>-</v>
      </c>
      <c r="FK112" s="237" t="str">
        <f t="shared" si="825"/>
        <v>-</v>
      </c>
      <c r="FL112" s="237" t="str">
        <f t="shared" si="826"/>
        <v>-</v>
      </c>
      <c r="FM112" s="237" t="str">
        <f t="shared" si="827"/>
        <v>-</v>
      </c>
      <c r="FN112" s="237" t="str">
        <f t="shared" si="828"/>
        <v>-</v>
      </c>
      <c r="FO112" s="237" t="str">
        <f t="shared" si="829"/>
        <v>-</v>
      </c>
      <c r="FP112" s="237" t="str">
        <f t="shared" si="830"/>
        <v>-</v>
      </c>
      <c r="FQ112" s="237" t="str">
        <f t="shared" si="831"/>
        <v>-</v>
      </c>
      <c r="FR112" s="237" t="str">
        <f t="shared" si="832"/>
        <v>-</v>
      </c>
      <c r="FS112" s="237" t="str">
        <f t="shared" si="833"/>
        <v>-</v>
      </c>
      <c r="FT112" s="237" t="str">
        <f t="shared" si="834"/>
        <v>-</v>
      </c>
      <c r="FU112" s="237" t="str">
        <f t="shared" si="835"/>
        <v>-</v>
      </c>
      <c r="FV112" s="237" t="str">
        <f t="shared" si="836"/>
        <v>-</v>
      </c>
      <c r="FW112" s="237" t="str">
        <f t="shared" si="837"/>
        <v>-</v>
      </c>
      <c r="FX112" s="237" t="str">
        <f t="shared" si="838"/>
        <v>-</v>
      </c>
      <c r="FY112" s="237" t="str">
        <f t="shared" si="839"/>
        <v>-</v>
      </c>
      <c r="FZ112" s="237" t="str">
        <f t="shared" si="840"/>
        <v>-</v>
      </c>
      <c r="GA112" s="237" t="str">
        <f t="shared" si="841"/>
        <v>-</v>
      </c>
      <c r="GB112" s="237" t="str">
        <f t="shared" si="842"/>
        <v>-</v>
      </c>
      <c r="GC112" s="237" t="str">
        <f t="shared" si="843"/>
        <v>-</v>
      </c>
      <c r="GD112" s="237" t="str">
        <f t="shared" si="844"/>
        <v>-</v>
      </c>
      <c r="GE112" s="237" t="str">
        <f t="shared" si="845"/>
        <v>-</v>
      </c>
      <c r="GF112" s="237" t="str">
        <f t="shared" si="846"/>
        <v>-</v>
      </c>
      <c r="GG112" s="237" t="str">
        <f t="shared" si="847"/>
        <v>-</v>
      </c>
      <c r="GH112" s="237" t="str">
        <f t="shared" si="848"/>
        <v>-</v>
      </c>
      <c r="GI112" s="237" t="str">
        <f t="shared" si="849"/>
        <v>-</v>
      </c>
      <c r="GJ112" s="237" t="str">
        <f t="shared" si="850"/>
        <v>-</v>
      </c>
      <c r="GK112" s="237" t="str">
        <f t="shared" si="851"/>
        <v>-</v>
      </c>
      <c r="GL112" s="237" t="str">
        <f t="shared" si="852"/>
        <v>-</v>
      </c>
      <c r="GM112" s="237" t="str">
        <f t="shared" si="853"/>
        <v>-</v>
      </c>
      <c r="GN112" s="237" t="str">
        <f t="shared" si="854"/>
        <v>-</v>
      </c>
      <c r="GO112" s="237" t="str">
        <f t="shared" si="855"/>
        <v>-</v>
      </c>
      <c r="GP112" s="237" t="str">
        <f t="shared" si="856"/>
        <v>-</v>
      </c>
      <c r="GQ112" s="237" t="str">
        <f t="shared" si="857"/>
        <v>-</v>
      </c>
      <c r="GR112" s="237" t="str">
        <f t="shared" si="858"/>
        <v>-</v>
      </c>
      <c r="GS112" s="237" t="str">
        <f t="shared" si="859"/>
        <v>-</v>
      </c>
      <c r="GT112" s="237" t="str">
        <f t="shared" si="860"/>
        <v>-</v>
      </c>
      <c r="GU112" s="237" t="str">
        <f t="shared" si="861"/>
        <v>-</v>
      </c>
      <c r="GV112" s="237" t="str">
        <f t="shared" si="862"/>
        <v>-</v>
      </c>
      <c r="GW112" s="237" t="str">
        <f t="shared" si="863"/>
        <v>-</v>
      </c>
      <c r="GX112" s="237" t="str">
        <f t="shared" si="864"/>
        <v>-</v>
      </c>
      <c r="GY112" s="237" t="str">
        <f t="shared" si="865"/>
        <v>-</v>
      </c>
      <c r="GZ112" s="237" t="str">
        <f t="shared" si="866"/>
        <v>-</v>
      </c>
      <c r="HA112" s="237" t="str">
        <f t="shared" si="867"/>
        <v>-</v>
      </c>
      <c r="HB112" s="237" t="str">
        <f t="shared" si="868"/>
        <v>-</v>
      </c>
      <c r="HC112" s="237" t="str">
        <f t="shared" si="869"/>
        <v>-</v>
      </c>
      <c r="HD112" s="237" t="str">
        <f t="shared" si="870"/>
        <v>-</v>
      </c>
      <c r="HE112" s="237" t="str">
        <f t="shared" si="871"/>
        <v>-</v>
      </c>
      <c r="HF112" s="237" t="str">
        <f t="shared" si="872"/>
        <v>-</v>
      </c>
      <c r="HG112" s="237" t="str">
        <f t="shared" si="873"/>
        <v>-</v>
      </c>
      <c r="HH112" s="237" t="str">
        <f t="shared" si="874"/>
        <v>-</v>
      </c>
      <c r="HI112" s="237" t="str">
        <f t="shared" si="875"/>
        <v>-</v>
      </c>
      <c r="HJ112" s="237" t="str">
        <f t="shared" si="876"/>
        <v>-</v>
      </c>
      <c r="HK112" s="237" t="str">
        <f t="shared" si="877"/>
        <v>-</v>
      </c>
      <c r="HL112" s="237" t="str">
        <f t="shared" si="878"/>
        <v>-</v>
      </c>
      <c r="HM112" s="237" t="str">
        <f t="shared" si="879"/>
        <v>-</v>
      </c>
      <c r="HN112" s="237" t="str">
        <f t="shared" si="880"/>
        <v>-</v>
      </c>
      <c r="HO112" s="237" t="str">
        <f t="shared" si="881"/>
        <v>-</v>
      </c>
      <c r="HP112" s="237" t="str">
        <f t="shared" si="882"/>
        <v>-</v>
      </c>
      <c r="HQ112" s="237" t="str">
        <f t="shared" si="883"/>
        <v>-</v>
      </c>
      <c r="HR112" s="237" t="str">
        <f t="shared" si="884"/>
        <v>-</v>
      </c>
      <c r="HS112" s="237" t="str">
        <f t="shared" si="885"/>
        <v>-</v>
      </c>
      <c r="HT112" s="237" t="str">
        <f t="shared" si="886"/>
        <v>-</v>
      </c>
      <c r="HU112" s="237" t="str">
        <f t="shared" si="887"/>
        <v>-</v>
      </c>
      <c r="HV112" s="237" t="str">
        <f t="shared" si="888"/>
        <v>-</v>
      </c>
      <c r="HW112" s="237" t="str">
        <f t="shared" si="889"/>
        <v>-</v>
      </c>
      <c r="HX112" s="237" t="str">
        <f t="shared" si="890"/>
        <v>-</v>
      </c>
      <c r="HY112" s="237" t="str">
        <f t="shared" si="891"/>
        <v>-</v>
      </c>
      <c r="HZ112" s="237" t="str">
        <f t="shared" si="892"/>
        <v>-</v>
      </c>
      <c r="IA112" s="237" t="str">
        <f t="shared" si="893"/>
        <v>-</v>
      </c>
      <c r="IB112" s="237" t="str">
        <f t="shared" si="894"/>
        <v>-</v>
      </c>
      <c r="IC112" s="237" t="str">
        <f t="shared" si="895"/>
        <v>-</v>
      </c>
      <c r="ID112" s="237" t="str">
        <f t="shared" si="896"/>
        <v>-</v>
      </c>
      <c r="IE112" s="237" t="str">
        <f t="shared" si="897"/>
        <v>-</v>
      </c>
      <c r="IF112" s="237" t="str">
        <f t="shared" si="898"/>
        <v>-</v>
      </c>
      <c r="IG112" s="312" t="str">
        <f t="shared" si="899"/>
        <v>-</v>
      </c>
      <c r="IH112" s="99" t="str">
        <f t="shared" si="900"/>
        <v>-</v>
      </c>
      <c r="II112" s="99" t="str">
        <f t="shared" si="901"/>
        <v>-</v>
      </c>
      <c r="IJ112" s="99" t="str">
        <f t="shared" si="902"/>
        <v>-</v>
      </c>
      <c r="IK112" s="99" t="str">
        <f t="shared" si="903"/>
        <v>-</v>
      </c>
      <c r="IL112" s="99" t="str">
        <f t="shared" si="904"/>
        <v>-</v>
      </c>
      <c r="IM112" s="312" t="str">
        <f t="shared" si="905"/>
        <v/>
      </c>
      <c r="IN112" s="99" t="str">
        <f t="shared" si="906"/>
        <v/>
      </c>
      <c r="IO112" s="99" t="str">
        <f t="shared" si="907"/>
        <v/>
      </c>
      <c r="IP112" s="99" t="str">
        <f t="shared" si="908"/>
        <v/>
      </c>
      <c r="IQ112" s="99" t="str">
        <f t="shared" si="909"/>
        <v/>
      </c>
      <c r="IR112" s="99" t="str">
        <f t="shared" si="910"/>
        <v/>
      </c>
      <c r="IS112" s="312" t="str">
        <f t="shared" si="911"/>
        <v/>
      </c>
      <c r="IT112" s="99" t="str">
        <f t="shared" si="912"/>
        <v/>
      </c>
      <c r="IU112" s="99" t="str">
        <f t="shared" si="913"/>
        <v/>
      </c>
      <c r="IV112" s="99" t="str">
        <f t="shared" si="914"/>
        <v/>
      </c>
      <c r="IW112" s="99" t="str">
        <f t="shared" si="915"/>
        <v/>
      </c>
      <c r="IX112" s="99" t="str">
        <f t="shared" si="916"/>
        <v/>
      </c>
      <c r="IY112" s="312" t="str">
        <f t="shared" si="917"/>
        <v/>
      </c>
      <c r="IZ112" s="99" t="str">
        <f t="shared" si="918"/>
        <v/>
      </c>
      <c r="JA112" s="99" t="str">
        <f t="shared" si="919"/>
        <v/>
      </c>
      <c r="JB112" s="99" t="str">
        <f t="shared" si="920"/>
        <v/>
      </c>
      <c r="JC112" s="99" t="str">
        <f t="shared" si="921"/>
        <v/>
      </c>
      <c r="JD112" s="313" t="str">
        <f t="shared" si="922"/>
        <v/>
      </c>
      <c r="JF112" s="66">
        <f t="shared" si="779"/>
        <v>112</v>
      </c>
      <c r="JG112" s="66">
        <f t="shared" ca="1" si="789"/>
        <v>0</v>
      </c>
      <c r="JH112" s="66">
        <f t="shared" ca="1" si="790"/>
        <v>0</v>
      </c>
      <c r="JI112" s="66">
        <f t="shared" ca="1" si="791"/>
        <v>0</v>
      </c>
      <c r="JJ112" s="66">
        <f t="shared" ca="1" si="792"/>
        <v>0</v>
      </c>
      <c r="JK112" s="33"/>
      <c r="JL112" s="74" t="str">
        <f t="shared" ca="1" si="793"/>
        <v>-</v>
      </c>
      <c r="JM112" s="75">
        <f t="shared" ca="1" si="794"/>
        <v>0</v>
      </c>
      <c r="JN112" s="75">
        <f t="shared" ca="1" si="795"/>
        <v>0</v>
      </c>
      <c r="JO112" s="74" t="str">
        <f t="shared" ca="1" si="796"/>
        <v>-</v>
      </c>
      <c r="JP112" s="74">
        <f t="shared" ca="1" si="797"/>
        <v>0</v>
      </c>
    </row>
    <row r="113" spans="1:276" hidden="1" x14ac:dyDescent="0.35">
      <c r="A113" s="125" t="s">
        <v>805</v>
      </c>
      <c r="B113" s="125" t="s">
        <v>805</v>
      </c>
      <c r="C113" s="125" t="s">
        <v>805</v>
      </c>
      <c r="E113" s="142" t="s">
        <v>843</v>
      </c>
      <c r="F113" s="254" t="s">
        <v>729</v>
      </c>
      <c r="G113" t="s">
        <v>540</v>
      </c>
      <c r="H113" t="s">
        <v>535</v>
      </c>
      <c r="I113" t="s">
        <v>536</v>
      </c>
      <c r="J113" s="211">
        <v>4.917127071823205</v>
      </c>
      <c r="K113" t="s">
        <v>805</v>
      </c>
      <c r="L113" t="s">
        <v>805</v>
      </c>
      <c r="M113" t="s">
        <v>805</v>
      </c>
      <c r="N113" t="s">
        <v>805</v>
      </c>
      <c r="O113" t="s">
        <v>805</v>
      </c>
      <c r="P113" t="s">
        <v>805</v>
      </c>
      <c r="Q113" t="s">
        <v>805</v>
      </c>
      <c r="R113" t="s">
        <v>805</v>
      </c>
      <c r="S113" t="s">
        <v>805</v>
      </c>
      <c r="T113" t="s">
        <v>805</v>
      </c>
      <c r="U113" t="s">
        <v>805</v>
      </c>
      <c r="V113" t="s">
        <v>805</v>
      </c>
      <c r="W113" t="s">
        <v>805</v>
      </c>
      <c r="X113" t="s">
        <v>805</v>
      </c>
      <c r="Y113" t="s">
        <v>805</v>
      </c>
      <c r="Z113" t="s">
        <v>805</v>
      </c>
      <c r="AA113" t="s">
        <v>805</v>
      </c>
      <c r="AB113" t="s">
        <v>805</v>
      </c>
      <c r="AC113" t="s">
        <v>805</v>
      </c>
      <c r="AD113" t="s">
        <v>805</v>
      </c>
      <c r="AE113" t="s">
        <v>805</v>
      </c>
      <c r="AF113" t="s">
        <v>805</v>
      </c>
      <c r="AG113" t="s">
        <v>805</v>
      </c>
      <c r="AH113" t="s">
        <v>805</v>
      </c>
      <c r="AI113" t="s">
        <v>805</v>
      </c>
      <c r="AJ113" t="s">
        <v>805</v>
      </c>
      <c r="AK113" t="s">
        <v>805</v>
      </c>
      <c r="AL113" t="s">
        <v>805</v>
      </c>
      <c r="AM113" t="s">
        <v>805</v>
      </c>
      <c r="AN113" t="s">
        <v>805</v>
      </c>
      <c r="AO113" t="s">
        <v>805</v>
      </c>
      <c r="AP113" t="s">
        <v>805</v>
      </c>
      <c r="AQ113" t="s">
        <v>805</v>
      </c>
      <c r="AR113" t="s">
        <v>805</v>
      </c>
      <c r="AS113" t="s">
        <v>805</v>
      </c>
      <c r="AT113" t="s">
        <v>805</v>
      </c>
      <c r="AU113" t="s">
        <v>805</v>
      </c>
      <c r="AV113" t="s">
        <v>805</v>
      </c>
      <c r="AW113" t="s">
        <v>805</v>
      </c>
      <c r="AX113" t="s">
        <v>805</v>
      </c>
      <c r="AY113" t="s">
        <v>805</v>
      </c>
      <c r="AZ113" t="s">
        <v>805</v>
      </c>
      <c r="BA113" t="s">
        <v>805</v>
      </c>
      <c r="BB113" t="s">
        <v>805</v>
      </c>
      <c r="BC113" t="s">
        <v>805</v>
      </c>
      <c r="BD113" t="s">
        <v>805</v>
      </c>
      <c r="BE113" t="s">
        <v>805</v>
      </c>
      <c r="BF113" t="s">
        <v>805</v>
      </c>
      <c r="BG113" t="s">
        <v>805</v>
      </c>
      <c r="BH113" t="s">
        <v>805</v>
      </c>
      <c r="BI113" t="s">
        <v>805</v>
      </c>
      <c r="BJ113" t="s">
        <v>805</v>
      </c>
      <c r="BK113" t="s">
        <v>805</v>
      </c>
      <c r="BL113" t="s">
        <v>805</v>
      </c>
      <c r="BM113" t="s">
        <v>805</v>
      </c>
      <c r="BN113" t="s">
        <v>805</v>
      </c>
      <c r="BO113" t="s">
        <v>805</v>
      </c>
      <c r="BP113" t="s">
        <v>805</v>
      </c>
      <c r="BQ113" t="s">
        <v>805</v>
      </c>
      <c r="BR113" t="s">
        <v>805</v>
      </c>
      <c r="BS113" t="s">
        <v>805</v>
      </c>
      <c r="BT113" t="s">
        <v>805</v>
      </c>
      <c r="BU113" t="s">
        <v>805</v>
      </c>
      <c r="BV113" t="s">
        <v>805</v>
      </c>
      <c r="BW113" t="s">
        <v>805</v>
      </c>
      <c r="BX113" t="s">
        <v>805</v>
      </c>
      <c r="BY113" t="s">
        <v>805</v>
      </c>
      <c r="BZ113" t="s">
        <v>805</v>
      </c>
      <c r="CA113" t="s">
        <v>805</v>
      </c>
      <c r="CB113" t="s">
        <v>805</v>
      </c>
      <c r="CC113" t="s">
        <v>805</v>
      </c>
      <c r="CD113" t="s">
        <v>805</v>
      </c>
      <c r="CE113" t="s">
        <v>805</v>
      </c>
      <c r="CF113" t="s">
        <v>805</v>
      </c>
      <c r="CG113" t="s">
        <v>805</v>
      </c>
      <c r="CH113" t="s">
        <v>805</v>
      </c>
      <c r="CI113" t="s">
        <v>805</v>
      </c>
      <c r="CJ113" t="s">
        <v>805</v>
      </c>
      <c r="CK113" t="s">
        <v>805</v>
      </c>
      <c r="CL113" t="s">
        <v>805</v>
      </c>
      <c r="CM113" t="s">
        <v>805</v>
      </c>
      <c r="CN113" t="s">
        <v>805</v>
      </c>
      <c r="CO113" t="s">
        <v>805</v>
      </c>
      <c r="CP113" t="s">
        <v>805</v>
      </c>
      <c r="CQ113" t="s">
        <v>805</v>
      </c>
      <c r="CR113" t="s">
        <v>805</v>
      </c>
      <c r="CS113" t="s">
        <v>805</v>
      </c>
      <c r="CT113" t="s">
        <v>805</v>
      </c>
      <c r="CU113" t="s">
        <v>805</v>
      </c>
      <c r="CV113" t="s">
        <v>805</v>
      </c>
      <c r="CW113" t="s">
        <v>805</v>
      </c>
      <c r="CX113" t="s">
        <v>805</v>
      </c>
      <c r="CY113" t="s">
        <v>805</v>
      </c>
      <c r="CZ113" t="s">
        <v>805</v>
      </c>
      <c r="DA113" t="s">
        <v>805</v>
      </c>
      <c r="DB113" t="s">
        <v>805</v>
      </c>
      <c r="DC113" t="s">
        <v>805</v>
      </c>
      <c r="DD113" t="s">
        <v>805</v>
      </c>
      <c r="DE113" t="s">
        <v>805</v>
      </c>
      <c r="DF113" t="s">
        <v>805</v>
      </c>
      <c r="DG113" s="28">
        <f>VLOOKUP(E113,'KPI Count-SHARE'!A:F,3,0)</f>
        <v>0</v>
      </c>
      <c r="DH113">
        <v>0</v>
      </c>
      <c r="DI113" t="s">
        <v>805</v>
      </c>
      <c r="DJ113" t="s">
        <v>805</v>
      </c>
      <c r="DK113" t="s">
        <v>805</v>
      </c>
      <c r="DL113" t="s">
        <v>805</v>
      </c>
      <c r="DM113" t="s">
        <v>805</v>
      </c>
      <c r="DN113" s="28">
        <f>VLOOKUP(E113,'KPI Count-SHARE'!A:F,4,0)</f>
        <v>0</v>
      </c>
      <c r="DU113" s="28">
        <f>VLOOKUP(E113,'KPI Count-SHARE'!A:F,5,0)</f>
        <v>0</v>
      </c>
      <c r="EB113" s="28">
        <f>VLOOKUP(E113,'KPI Count-SHARE'!A:F,6,0)</f>
        <v>0</v>
      </c>
      <c r="EI113" t="str">
        <f>XCurrency &amp; " '000 per FTE"</f>
        <v>USD '000 per FTE</v>
      </c>
      <c r="EJ113" s="237">
        <f t="shared" si="798"/>
        <v>5.5248618784530397</v>
      </c>
      <c r="EK113" s="237" t="str">
        <f t="shared" si="799"/>
        <v>-</v>
      </c>
      <c r="EL113" s="237" t="str">
        <f t="shared" si="800"/>
        <v>-</v>
      </c>
      <c r="EM113" s="237" t="str">
        <f t="shared" si="801"/>
        <v>-</v>
      </c>
      <c r="EN113" s="237" t="str">
        <f t="shared" si="802"/>
        <v>-</v>
      </c>
      <c r="EO113" s="237" t="str">
        <f t="shared" si="803"/>
        <v>-</v>
      </c>
      <c r="EP113" s="237" t="str">
        <f t="shared" si="804"/>
        <v>-</v>
      </c>
      <c r="EQ113" s="237" t="str">
        <f t="shared" si="805"/>
        <v>-</v>
      </c>
      <c r="ER113" s="237" t="str">
        <f t="shared" si="806"/>
        <v>-</v>
      </c>
      <c r="ES113" s="237" t="str">
        <f t="shared" si="807"/>
        <v>-</v>
      </c>
      <c r="ET113" s="237" t="str">
        <f t="shared" si="808"/>
        <v>-</v>
      </c>
      <c r="EU113" s="237" t="str">
        <f t="shared" si="809"/>
        <v>-</v>
      </c>
      <c r="EV113" s="237" t="str">
        <f t="shared" si="810"/>
        <v>-</v>
      </c>
      <c r="EW113" s="237" t="str">
        <f t="shared" si="811"/>
        <v>-</v>
      </c>
      <c r="EX113" s="237" t="str">
        <f t="shared" si="812"/>
        <v>-</v>
      </c>
      <c r="EY113" s="237" t="str">
        <f t="shared" si="813"/>
        <v>-</v>
      </c>
      <c r="EZ113" s="237" t="str">
        <f t="shared" si="814"/>
        <v>-</v>
      </c>
      <c r="FA113" s="237" t="str">
        <f t="shared" si="815"/>
        <v>-</v>
      </c>
      <c r="FB113" s="237" t="str">
        <f t="shared" si="816"/>
        <v>-</v>
      </c>
      <c r="FC113" s="237" t="str">
        <f t="shared" si="817"/>
        <v>-</v>
      </c>
      <c r="FD113" s="237" t="str">
        <f t="shared" si="818"/>
        <v>-</v>
      </c>
      <c r="FE113" s="237" t="str">
        <f t="shared" si="819"/>
        <v>-</v>
      </c>
      <c r="FF113" s="237" t="str">
        <f t="shared" si="820"/>
        <v>-</v>
      </c>
      <c r="FG113" s="237" t="str">
        <f t="shared" si="821"/>
        <v>-</v>
      </c>
      <c r="FH113" s="237" t="str">
        <f t="shared" si="822"/>
        <v>-</v>
      </c>
      <c r="FI113" s="237" t="str">
        <f t="shared" si="823"/>
        <v>-</v>
      </c>
      <c r="FJ113" s="237" t="str">
        <f t="shared" si="824"/>
        <v>-</v>
      </c>
      <c r="FK113" s="237" t="str">
        <f t="shared" si="825"/>
        <v>-</v>
      </c>
      <c r="FL113" s="237" t="str">
        <f t="shared" si="826"/>
        <v>-</v>
      </c>
      <c r="FM113" s="237" t="str">
        <f t="shared" si="827"/>
        <v>-</v>
      </c>
      <c r="FN113" s="237" t="str">
        <f t="shared" si="828"/>
        <v>-</v>
      </c>
      <c r="FO113" s="237" t="str">
        <f t="shared" si="829"/>
        <v>-</v>
      </c>
      <c r="FP113" s="237" t="str">
        <f t="shared" si="830"/>
        <v>-</v>
      </c>
      <c r="FQ113" s="237" t="str">
        <f t="shared" si="831"/>
        <v>-</v>
      </c>
      <c r="FR113" s="237" t="str">
        <f t="shared" si="832"/>
        <v>-</v>
      </c>
      <c r="FS113" s="237" t="str">
        <f t="shared" si="833"/>
        <v>-</v>
      </c>
      <c r="FT113" s="237" t="str">
        <f t="shared" si="834"/>
        <v>-</v>
      </c>
      <c r="FU113" s="237" t="str">
        <f t="shared" si="835"/>
        <v>-</v>
      </c>
      <c r="FV113" s="237" t="str">
        <f t="shared" si="836"/>
        <v>-</v>
      </c>
      <c r="FW113" s="237" t="str">
        <f t="shared" si="837"/>
        <v>-</v>
      </c>
      <c r="FX113" s="237" t="str">
        <f t="shared" si="838"/>
        <v>-</v>
      </c>
      <c r="FY113" s="237" t="str">
        <f t="shared" si="839"/>
        <v>-</v>
      </c>
      <c r="FZ113" s="237" t="str">
        <f t="shared" si="840"/>
        <v>-</v>
      </c>
      <c r="GA113" s="237" t="str">
        <f t="shared" si="841"/>
        <v>-</v>
      </c>
      <c r="GB113" s="237" t="str">
        <f t="shared" si="842"/>
        <v>-</v>
      </c>
      <c r="GC113" s="237" t="str">
        <f t="shared" si="843"/>
        <v>-</v>
      </c>
      <c r="GD113" s="237" t="str">
        <f t="shared" si="844"/>
        <v>-</v>
      </c>
      <c r="GE113" s="237" t="str">
        <f t="shared" si="845"/>
        <v>-</v>
      </c>
      <c r="GF113" s="237" t="str">
        <f t="shared" si="846"/>
        <v>-</v>
      </c>
      <c r="GG113" s="237" t="str">
        <f t="shared" si="847"/>
        <v>-</v>
      </c>
      <c r="GH113" s="237" t="str">
        <f t="shared" si="848"/>
        <v>-</v>
      </c>
      <c r="GI113" s="237" t="str">
        <f t="shared" si="849"/>
        <v>-</v>
      </c>
      <c r="GJ113" s="237" t="str">
        <f t="shared" si="850"/>
        <v>-</v>
      </c>
      <c r="GK113" s="237" t="str">
        <f t="shared" si="851"/>
        <v>-</v>
      </c>
      <c r="GL113" s="237" t="str">
        <f t="shared" si="852"/>
        <v>-</v>
      </c>
      <c r="GM113" s="237" t="str">
        <f t="shared" si="853"/>
        <v>-</v>
      </c>
      <c r="GN113" s="237" t="str">
        <f t="shared" si="854"/>
        <v>-</v>
      </c>
      <c r="GO113" s="237" t="str">
        <f t="shared" si="855"/>
        <v>-</v>
      </c>
      <c r="GP113" s="237" t="str">
        <f t="shared" si="856"/>
        <v>-</v>
      </c>
      <c r="GQ113" s="237" t="str">
        <f t="shared" si="857"/>
        <v>-</v>
      </c>
      <c r="GR113" s="237" t="str">
        <f t="shared" si="858"/>
        <v>-</v>
      </c>
      <c r="GS113" s="237" t="str">
        <f t="shared" si="859"/>
        <v>-</v>
      </c>
      <c r="GT113" s="237" t="str">
        <f t="shared" si="860"/>
        <v>-</v>
      </c>
      <c r="GU113" s="237" t="str">
        <f t="shared" si="861"/>
        <v>-</v>
      </c>
      <c r="GV113" s="237" t="str">
        <f t="shared" si="862"/>
        <v>-</v>
      </c>
      <c r="GW113" s="237" t="str">
        <f t="shared" si="863"/>
        <v>-</v>
      </c>
      <c r="GX113" s="237" t="str">
        <f t="shared" si="864"/>
        <v>-</v>
      </c>
      <c r="GY113" s="237" t="str">
        <f t="shared" si="865"/>
        <v>-</v>
      </c>
      <c r="GZ113" s="237" t="str">
        <f t="shared" si="866"/>
        <v>-</v>
      </c>
      <c r="HA113" s="237" t="str">
        <f t="shared" si="867"/>
        <v>-</v>
      </c>
      <c r="HB113" s="237" t="str">
        <f t="shared" si="868"/>
        <v>-</v>
      </c>
      <c r="HC113" s="237" t="str">
        <f t="shared" si="869"/>
        <v>-</v>
      </c>
      <c r="HD113" s="237" t="str">
        <f t="shared" si="870"/>
        <v>-</v>
      </c>
      <c r="HE113" s="237" t="str">
        <f t="shared" si="871"/>
        <v>-</v>
      </c>
      <c r="HF113" s="237" t="str">
        <f t="shared" si="872"/>
        <v>-</v>
      </c>
      <c r="HG113" s="237" t="str">
        <f t="shared" si="873"/>
        <v>-</v>
      </c>
      <c r="HH113" s="237" t="str">
        <f t="shared" si="874"/>
        <v>-</v>
      </c>
      <c r="HI113" s="237" t="str">
        <f t="shared" si="875"/>
        <v>-</v>
      </c>
      <c r="HJ113" s="237" t="str">
        <f t="shared" si="876"/>
        <v>-</v>
      </c>
      <c r="HK113" s="237" t="str">
        <f t="shared" si="877"/>
        <v>-</v>
      </c>
      <c r="HL113" s="237" t="str">
        <f t="shared" si="878"/>
        <v>-</v>
      </c>
      <c r="HM113" s="237" t="str">
        <f t="shared" si="879"/>
        <v>-</v>
      </c>
      <c r="HN113" s="237" t="str">
        <f t="shared" si="880"/>
        <v>-</v>
      </c>
      <c r="HO113" s="237" t="str">
        <f t="shared" si="881"/>
        <v>-</v>
      </c>
      <c r="HP113" s="237" t="str">
        <f t="shared" si="882"/>
        <v>-</v>
      </c>
      <c r="HQ113" s="237" t="str">
        <f t="shared" si="883"/>
        <v>-</v>
      </c>
      <c r="HR113" s="237" t="str">
        <f t="shared" si="884"/>
        <v>-</v>
      </c>
      <c r="HS113" s="237" t="str">
        <f t="shared" si="885"/>
        <v>-</v>
      </c>
      <c r="HT113" s="237" t="str">
        <f t="shared" si="886"/>
        <v>-</v>
      </c>
      <c r="HU113" s="237" t="str">
        <f t="shared" si="887"/>
        <v>-</v>
      </c>
      <c r="HV113" s="237" t="str">
        <f t="shared" si="888"/>
        <v>-</v>
      </c>
      <c r="HW113" s="237" t="str">
        <f t="shared" si="889"/>
        <v>-</v>
      </c>
      <c r="HX113" s="237" t="str">
        <f t="shared" si="890"/>
        <v>-</v>
      </c>
      <c r="HY113" s="237" t="str">
        <f t="shared" si="891"/>
        <v>-</v>
      </c>
      <c r="HZ113" s="237" t="str">
        <f t="shared" si="892"/>
        <v>-</v>
      </c>
      <c r="IA113" s="237" t="str">
        <f t="shared" si="893"/>
        <v>-</v>
      </c>
      <c r="IB113" s="237" t="str">
        <f t="shared" si="894"/>
        <v>-</v>
      </c>
      <c r="IC113" s="237" t="str">
        <f t="shared" si="895"/>
        <v>-</v>
      </c>
      <c r="ID113" s="237" t="str">
        <f t="shared" si="896"/>
        <v>-</v>
      </c>
      <c r="IE113" s="237" t="str">
        <f t="shared" si="897"/>
        <v>-</v>
      </c>
      <c r="IF113" s="237" t="str">
        <f t="shared" si="898"/>
        <v>-</v>
      </c>
      <c r="IG113" s="312">
        <f t="shared" si="899"/>
        <v>0</v>
      </c>
      <c r="IH113" s="99" t="str">
        <f t="shared" si="900"/>
        <v>-</v>
      </c>
      <c r="II113" s="99" t="str">
        <f t="shared" si="901"/>
        <v>-</v>
      </c>
      <c r="IJ113" s="99" t="str">
        <f t="shared" si="902"/>
        <v>-</v>
      </c>
      <c r="IK113" s="99" t="str">
        <f t="shared" si="903"/>
        <v>-</v>
      </c>
      <c r="IL113" s="99" t="str">
        <f t="shared" si="904"/>
        <v>-</v>
      </c>
      <c r="IM113" s="312" t="str">
        <f t="shared" si="905"/>
        <v/>
      </c>
      <c r="IN113" s="99" t="str">
        <f t="shared" si="906"/>
        <v/>
      </c>
      <c r="IO113" s="99" t="str">
        <f t="shared" si="907"/>
        <v/>
      </c>
      <c r="IP113" s="99" t="str">
        <f t="shared" si="908"/>
        <v/>
      </c>
      <c r="IQ113" s="99" t="str">
        <f t="shared" si="909"/>
        <v/>
      </c>
      <c r="IR113" s="99" t="str">
        <f t="shared" si="910"/>
        <v/>
      </c>
      <c r="IS113" s="312" t="str">
        <f t="shared" si="911"/>
        <v/>
      </c>
      <c r="IT113" s="99" t="str">
        <f t="shared" si="912"/>
        <v/>
      </c>
      <c r="IU113" s="99" t="str">
        <f t="shared" si="913"/>
        <v/>
      </c>
      <c r="IV113" s="99" t="str">
        <f t="shared" si="914"/>
        <v/>
      </c>
      <c r="IW113" s="99" t="str">
        <f t="shared" si="915"/>
        <v/>
      </c>
      <c r="IX113" s="99" t="str">
        <f t="shared" si="916"/>
        <v/>
      </c>
      <c r="IY113" s="312" t="str">
        <f t="shared" si="917"/>
        <v/>
      </c>
      <c r="IZ113" s="99" t="str">
        <f t="shared" si="918"/>
        <v/>
      </c>
      <c r="JA113" s="99" t="str">
        <f t="shared" si="919"/>
        <v/>
      </c>
      <c r="JB113" s="99" t="str">
        <f t="shared" si="920"/>
        <v/>
      </c>
      <c r="JC113" s="99" t="str">
        <f t="shared" si="921"/>
        <v/>
      </c>
      <c r="JD113" s="313" t="str">
        <f t="shared" si="922"/>
        <v/>
      </c>
      <c r="JF113" s="66">
        <f t="shared" si="779"/>
        <v>113</v>
      </c>
      <c r="JG113" s="66">
        <f t="shared" ca="1" si="789"/>
        <v>0</v>
      </c>
      <c r="JH113" s="66">
        <f t="shared" ca="1" si="790"/>
        <v>0</v>
      </c>
      <c r="JI113" s="66">
        <f t="shared" ca="1" si="791"/>
        <v>0</v>
      </c>
      <c r="JJ113" s="66">
        <f t="shared" ca="1" si="792"/>
        <v>0</v>
      </c>
      <c r="JK113" s="33"/>
      <c r="JL113" s="74" t="str">
        <f t="shared" ca="1" si="793"/>
        <v>-</v>
      </c>
      <c r="JM113" s="75">
        <f t="shared" ca="1" si="794"/>
        <v>0</v>
      </c>
      <c r="JN113" s="75">
        <f t="shared" ca="1" si="795"/>
        <v>0</v>
      </c>
      <c r="JO113" s="74" t="str">
        <f t="shared" ca="1" si="796"/>
        <v>-</v>
      </c>
      <c r="JP113" s="74">
        <f t="shared" ca="1" si="797"/>
        <v>0</v>
      </c>
    </row>
    <row r="114" spans="1:276" hidden="1" x14ac:dyDescent="0.35">
      <c r="A114" s="125" t="s">
        <v>805</v>
      </c>
      <c r="B114" s="125" t="s">
        <v>805</v>
      </c>
      <c r="C114" s="125" t="s">
        <v>805</v>
      </c>
      <c r="E114" s="142" t="s">
        <v>844</v>
      </c>
      <c r="F114" s="254" t="s">
        <v>730</v>
      </c>
      <c r="G114" t="s">
        <v>540</v>
      </c>
      <c r="H114" t="s">
        <v>535</v>
      </c>
      <c r="I114" t="s">
        <v>536</v>
      </c>
      <c r="J114" s="211" t="s">
        <v>805</v>
      </c>
      <c r="K114" t="s">
        <v>805</v>
      </c>
      <c r="L114" t="s">
        <v>805</v>
      </c>
      <c r="M114" t="s">
        <v>805</v>
      </c>
      <c r="N114" t="s">
        <v>805</v>
      </c>
      <c r="O114" t="s">
        <v>805</v>
      </c>
      <c r="P114" t="s">
        <v>805</v>
      </c>
      <c r="Q114" t="s">
        <v>805</v>
      </c>
      <c r="R114" t="s">
        <v>805</v>
      </c>
      <c r="S114" t="s">
        <v>805</v>
      </c>
      <c r="T114" t="s">
        <v>805</v>
      </c>
      <c r="U114" t="s">
        <v>805</v>
      </c>
      <c r="V114" t="s">
        <v>805</v>
      </c>
      <c r="W114" t="s">
        <v>805</v>
      </c>
      <c r="X114" t="s">
        <v>805</v>
      </c>
      <c r="Y114" t="s">
        <v>805</v>
      </c>
      <c r="Z114" t="s">
        <v>805</v>
      </c>
      <c r="AA114" t="s">
        <v>805</v>
      </c>
      <c r="AB114" t="s">
        <v>805</v>
      </c>
      <c r="AC114" t="s">
        <v>805</v>
      </c>
      <c r="AD114" t="s">
        <v>805</v>
      </c>
      <c r="AE114" t="s">
        <v>805</v>
      </c>
      <c r="AF114" t="s">
        <v>805</v>
      </c>
      <c r="AG114" t="s">
        <v>805</v>
      </c>
      <c r="AH114" t="s">
        <v>805</v>
      </c>
      <c r="AI114" t="s">
        <v>805</v>
      </c>
      <c r="AJ114" t="s">
        <v>805</v>
      </c>
      <c r="AK114" t="s">
        <v>805</v>
      </c>
      <c r="AL114" t="s">
        <v>805</v>
      </c>
      <c r="AM114" t="s">
        <v>805</v>
      </c>
      <c r="AN114" t="s">
        <v>805</v>
      </c>
      <c r="AO114" t="s">
        <v>805</v>
      </c>
      <c r="AP114" t="s">
        <v>805</v>
      </c>
      <c r="AQ114" t="s">
        <v>805</v>
      </c>
      <c r="AR114" t="s">
        <v>805</v>
      </c>
      <c r="AS114" t="s">
        <v>805</v>
      </c>
      <c r="AT114" t="s">
        <v>805</v>
      </c>
      <c r="AU114" t="s">
        <v>805</v>
      </c>
      <c r="AV114" t="s">
        <v>805</v>
      </c>
      <c r="AW114" t="s">
        <v>805</v>
      </c>
      <c r="AX114" t="s">
        <v>805</v>
      </c>
      <c r="AY114" t="s">
        <v>805</v>
      </c>
      <c r="AZ114" t="s">
        <v>805</v>
      </c>
      <c r="BA114" t="s">
        <v>805</v>
      </c>
      <c r="BB114" t="s">
        <v>805</v>
      </c>
      <c r="BC114" t="s">
        <v>805</v>
      </c>
      <c r="BD114" t="s">
        <v>805</v>
      </c>
      <c r="BE114" t="s">
        <v>805</v>
      </c>
      <c r="BF114" t="s">
        <v>805</v>
      </c>
      <c r="BG114" t="s">
        <v>805</v>
      </c>
      <c r="BH114" t="s">
        <v>805</v>
      </c>
      <c r="BI114" t="s">
        <v>805</v>
      </c>
      <c r="BJ114" t="s">
        <v>805</v>
      </c>
      <c r="BK114" t="s">
        <v>805</v>
      </c>
      <c r="BL114" t="s">
        <v>805</v>
      </c>
      <c r="BM114" t="s">
        <v>805</v>
      </c>
      <c r="BN114" t="s">
        <v>805</v>
      </c>
      <c r="BO114" t="s">
        <v>805</v>
      </c>
      <c r="BP114" t="s">
        <v>805</v>
      </c>
      <c r="BQ114" t="s">
        <v>805</v>
      </c>
      <c r="BR114" t="s">
        <v>805</v>
      </c>
      <c r="BS114" t="s">
        <v>805</v>
      </c>
      <c r="BT114" t="s">
        <v>805</v>
      </c>
      <c r="BU114" t="s">
        <v>805</v>
      </c>
      <c r="BV114" t="s">
        <v>805</v>
      </c>
      <c r="BW114" t="s">
        <v>805</v>
      </c>
      <c r="BX114" t="s">
        <v>805</v>
      </c>
      <c r="BY114" t="s">
        <v>805</v>
      </c>
      <c r="BZ114" t="s">
        <v>805</v>
      </c>
      <c r="CA114" t="s">
        <v>805</v>
      </c>
      <c r="CB114" t="s">
        <v>805</v>
      </c>
      <c r="CC114" t="s">
        <v>805</v>
      </c>
      <c r="CD114" t="s">
        <v>805</v>
      </c>
      <c r="CE114" t="s">
        <v>805</v>
      </c>
      <c r="CF114" t="s">
        <v>805</v>
      </c>
      <c r="CG114" t="s">
        <v>805</v>
      </c>
      <c r="CH114" t="s">
        <v>805</v>
      </c>
      <c r="CI114" t="s">
        <v>805</v>
      </c>
      <c r="CJ114" t="s">
        <v>805</v>
      </c>
      <c r="CK114" t="s">
        <v>805</v>
      </c>
      <c r="CL114" t="s">
        <v>805</v>
      </c>
      <c r="CM114" t="s">
        <v>805</v>
      </c>
      <c r="CN114" t="s">
        <v>805</v>
      </c>
      <c r="CO114" t="s">
        <v>805</v>
      </c>
      <c r="CP114" t="s">
        <v>805</v>
      </c>
      <c r="CQ114" t="s">
        <v>805</v>
      </c>
      <c r="CR114" t="s">
        <v>805</v>
      </c>
      <c r="CS114" t="s">
        <v>805</v>
      </c>
      <c r="CT114" t="s">
        <v>805</v>
      </c>
      <c r="CU114" t="s">
        <v>805</v>
      </c>
      <c r="CV114" t="s">
        <v>805</v>
      </c>
      <c r="CW114" t="s">
        <v>805</v>
      </c>
      <c r="CX114" t="s">
        <v>805</v>
      </c>
      <c r="CY114" t="s">
        <v>805</v>
      </c>
      <c r="CZ114" t="s">
        <v>805</v>
      </c>
      <c r="DA114" t="s">
        <v>805</v>
      </c>
      <c r="DB114" t="s">
        <v>805</v>
      </c>
      <c r="DC114" t="s">
        <v>805</v>
      </c>
      <c r="DD114" t="s">
        <v>805</v>
      </c>
      <c r="DE114" t="s">
        <v>805</v>
      </c>
      <c r="DF114" t="s">
        <v>805</v>
      </c>
      <c r="DG114" s="28">
        <f>VLOOKUP(E114,'KPI Count-SHARE'!A:F,3,0)</f>
        <v>0</v>
      </c>
      <c r="DH114">
        <v>0</v>
      </c>
      <c r="DI114" t="s">
        <v>805</v>
      </c>
      <c r="DJ114" t="s">
        <v>805</v>
      </c>
      <c r="DK114" t="s">
        <v>805</v>
      </c>
      <c r="DL114" t="s">
        <v>805</v>
      </c>
      <c r="DM114" t="s">
        <v>805</v>
      </c>
      <c r="DN114" s="28">
        <f>VLOOKUP(E114,'KPI Count-SHARE'!A:F,4,0)</f>
        <v>0</v>
      </c>
      <c r="DU114" s="28">
        <f>VLOOKUP(E114,'KPI Count-SHARE'!A:F,5,0)</f>
        <v>0</v>
      </c>
      <c r="EB114" s="28">
        <f>VLOOKUP(E114,'KPI Count-SHARE'!A:F,6,0)</f>
        <v>0</v>
      </c>
      <c r="EI114" t="str">
        <f>XCurrency &amp; " '000 per FTE"</f>
        <v>USD '000 per FTE</v>
      </c>
      <c r="EJ114" s="237" t="str">
        <f t="shared" si="798"/>
        <v>-</v>
      </c>
      <c r="EK114" s="237" t="str">
        <f t="shared" si="799"/>
        <v>-</v>
      </c>
      <c r="EL114" s="237" t="str">
        <f t="shared" si="800"/>
        <v>-</v>
      </c>
      <c r="EM114" s="237" t="str">
        <f t="shared" si="801"/>
        <v>-</v>
      </c>
      <c r="EN114" s="237" t="str">
        <f t="shared" si="802"/>
        <v>-</v>
      </c>
      <c r="EO114" s="237" t="str">
        <f t="shared" si="803"/>
        <v>-</v>
      </c>
      <c r="EP114" s="237" t="str">
        <f t="shared" si="804"/>
        <v>-</v>
      </c>
      <c r="EQ114" s="237" t="str">
        <f t="shared" si="805"/>
        <v>-</v>
      </c>
      <c r="ER114" s="237" t="str">
        <f t="shared" si="806"/>
        <v>-</v>
      </c>
      <c r="ES114" s="237" t="str">
        <f t="shared" si="807"/>
        <v>-</v>
      </c>
      <c r="ET114" s="237" t="str">
        <f t="shared" si="808"/>
        <v>-</v>
      </c>
      <c r="EU114" s="237" t="str">
        <f t="shared" si="809"/>
        <v>-</v>
      </c>
      <c r="EV114" s="237" t="str">
        <f t="shared" si="810"/>
        <v>-</v>
      </c>
      <c r="EW114" s="237" t="str">
        <f t="shared" si="811"/>
        <v>-</v>
      </c>
      <c r="EX114" s="237" t="str">
        <f t="shared" si="812"/>
        <v>-</v>
      </c>
      <c r="EY114" s="237" t="str">
        <f t="shared" si="813"/>
        <v>-</v>
      </c>
      <c r="EZ114" s="237" t="str">
        <f t="shared" si="814"/>
        <v>-</v>
      </c>
      <c r="FA114" s="237" t="str">
        <f t="shared" si="815"/>
        <v>-</v>
      </c>
      <c r="FB114" s="237" t="str">
        <f t="shared" si="816"/>
        <v>-</v>
      </c>
      <c r="FC114" s="237" t="str">
        <f t="shared" si="817"/>
        <v>-</v>
      </c>
      <c r="FD114" s="237" t="str">
        <f t="shared" si="818"/>
        <v>-</v>
      </c>
      <c r="FE114" s="237" t="str">
        <f t="shared" si="819"/>
        <v>-</v>
      </c>
      <c r="FF114" s="237" t="str">
        <f t="shared" si="820"/>
        <v>-</v>
      </c>
      <c r="FG114" s="237" t="str">
        <f t="shared" si="821"/>
        <v>-</v>
      </c>
      <c r="FH114" s="237" t="str">
        <f t="shared" si="822"/>
        <v>-</v>
      </c>
      <c r="FI114" s="237" t="str">
        <f t="shared" si="823"/>
        <v>-</v>
      </c>
      <c r="FJ114" s="237" t="str">
        <f t="shared" si="824"/>
        <v>-</v>
      </c>
      <c r="FK114" s="237" t="str">
        <f t="shared" si="825"/>
        <v>-</v>
      </c>
      <c r="FL114" s="237" t="str">
        <f t="shared" si="826"/>
        <v>-</v>
      </c>
      <c r="FM114" s="237" t="str">
        <f t="shared" si="827"/>
        <v>-</v>
      </c>
      <c r="FN114" s="237" t="str">
        <f t="shared" si="828"/>
        <v>-</v>
      </c>
      <c r="FO114" s="237" t="str">
        <f t="shared" si="829"/>
        <v>-</v>
      </c>
      <c r="FP114" s="237" t="str">
        <f t="shared" si="830"/>
        <v>-</v>
      </c>
      <c r="FQ114" s="237" t="str">
        <f t="shared" si="831"/>
        <v>-</v>
      </c>
      <c r="FR114" s="237" t="str">
        <f t="shared" si="832"/>
        <v>-</v>
      </c>
      <c r="FS114" s="237" t="str">
        <f t="shared" si="833"/>
        <v>-</v>
      </c>
      <c r="FT114" s="237" t="str">
        <f t="shared" si="834"/>
        <v>-</v>
      </c>
      <c r="FU114" s="237" t="str">
        <f t="shared" si="835"/>
        <v>-</v>
      </c>
      <c r="FV114" s="237" t="str">
        <f t="shared" si="836"/>
        <v>-</v>
      </c>
      <c r="FW114" s="237" t="str">
        <f t="shared" si="837"/>
        <v>-</v>
      </c>
      <c r="FX114" s="237" t="str">
        <f t="shared" si="838"/>
        <v>-</v>
      </c>
      <c r="FY114" s="237" t="str">
        <f t="shared" si="839"/>
        <v>-</v>
      </c>
      <c r="FZ114" s="237" t="str">
        <f t="shared" si="840"/>
        <v>-</v>
      </c>
      <c r="GA114" s="237" t="str">
        <f t="shared" si="841"/>
        <v>-</v>
      </c>
      <c r="GB114" s="237" t="str">
        <f t="shared" si="842"/>
        <v>-</v>
      </c>
      <c r="GC114" s="237" t="str">
        <f t="shared" si="843"/>
        <v>-</v>
      </c>
      <c r="GD114" s="237" t="str">
        <f t="shared" si="844"/>
        <v>-</v>
      </c>
      <c r="GE114" s="237" t="str">
        <f t="shared" si="845"/>
        <v>-</v>
      </c>
      <c r="GF114" s="237" t="str">
        <f t="shared" si="846"/>
        <v>-</v>
      </c>
      <c r="GG114" s="237" t="str">
        <f t="shared" si="847"/>
        <v>-</v>
      </c>
      <c r="GH114" s="237" t="str">
        <f t="shared" si="848"/>
        <v>-</v>
      </c>
      <c r="GI114" s="237" t="str">
        <f t="shared" si="849"/>
        <v>-</v>
      </c>
      <c r="GJ114" s="237" t="str">
        <f t="shared" si="850"/>
        <v>-</v>
      </c>
      <c r="GK114" s="237" t="str">
        <f t="shared" si="851"/>
        <v>-</v>
      </c>
      <c r="GL114" s="237" t="str">
        <f t="shared" si="852"/>
        <v>-</v>
      </c>
      <c r="GM114" s="237" t="str">
        <f t="shared" si="853"/>
        <v>-</v>
      </c>
      <c r="GN114" s="237" t="str">
        <f t="shared" si="854"/>
        <v>-</v>
      </c>
      <c r="GO114" s="237" t="str">
        <f t="shared" si="855"/>
        <v>-</v>
      </c>
      <c r="GP114" s="237" t="str">
        <f t="shared" si="856"/>
        <v>-</v>
      </c>
      <c r="GQ114" s="237" t="str">
        <f t="shared" si="857"/>
        <v>-</v>
      </c>
      <c r="GR114" s="237" t="str">
        <f t="shared" si="858"/>
        <v>-</v>
      </c>
      <c r="GS114" s="237" t="str">
        <f t="shared" si="859"/>
        <v>-</v>
      </c>
      <c r="GT114" s="237" t="str">
        <f t="shared" si="860"/>
        <v>-</v>
      </c>
      <c r="GU114" s="237" t="str">
        <f t="shared" si="861"/>
        <v>-</v>
      </c>
      <c r="GV114" s="237" t="str">
        <f t="shared" si="862"/>
        <v>-</v>
      </c>
      <c r="GW114" s="237" t="str">
        <f t="shared" si="863"/>
        <v>-</v>
      </c>
      <c r="GX114" s="237" t="str">
        <f t="shared" si="864"/>
        <v>-</v>
      </c>
      <c r="GY114" s="237" t="str">
        <f t="shared" si="865"/>
        <v>-</v>
      </c>
      <c r="GZ114" s="237" t="str">
        <f t="shared" si="866"/>
        <v>-</v>
      </c>
      <c r="HA114" s="237" t="str">
        <f t="shared" si="867"/>
        <v>-</v>
      </c>
      <c r="HB114" s="237" t="str">
        <f t="shared" si="868"/>
        <v>-</v>
      </c>
      <c r="HC114" s="237" t="str">
        <f t="shared" si="869"/>
        <v>-</v>
      </c>
      <c r="HD114" s="237" t="str">
        <f t="shared" si="870"/>
        <v>-</v>
      </c>
      <c r="HE114" s="237" t="str">
        <f t="shared" si="871"/>
        <v>-</v>
      </c>
      <c r="HF114" s="237" t="str">
        <f t="shared" si="872"/>
        <v>-</v>
      </c>
      <c r="HG114" s="237" t="str">
        <f t="shared" si="873"/>
        <v>-</v>
      </c>
      <c r="HH114" s="237" t="str">
        <f t="shared" si="874"/>
        <v>-</v>
      </c>
      <c r="HI114" s="237" t="str">
        <f t="shared" si="875"/>
        <v>-</v>
      </c>
      <c r="HJ114" s="237" t="str">
        <f t="shared" si="876"/>
        <v>-</v>
      </c>
      <c r="HK114" s="237" t="str">
        <f t="shared" si="877"/>
        <v>-</v>
      </c>
      <c r="HL114" s="237" t="str">
        <f t="shared" si="878"/>
        <v>-</v>
      </c>
      <c r="HM114" s="237" t="str">
        <f t="shared" si="879"/>
        <v>-</v>
      </c>
      <c r="HN114" s="237" t="str">
        <f t="shared" si="880"/>
        <v>-</v>
      </c>
      <c r="HO114" s="237" t="str">
        <f t="shared" si="881"/>
        <v>-</v>
      </c>
      <c r="HP114" s="237" t="str">
        <f t="shared" si="882"/>
        <v>-</v>
      </c>
      <c r="HQ114" s="237" t="str">
        <f t="shared" si="883"/>
        <v>-</v>
      </c>
      <c r="HR114" s="237" t="str">
        <f t="shared" si="884"/>
        <v>-</v>
      </c>
      <c r="HS114" s="237" t="str">
        <f t="shared" si="885"/>
        <v>-</v>
      </c>
      <c r="HT114" s="237" t="str">
        <f t="shared" si="886"/>
        <v>-</v>
      </c>
      <c r="HU114" s="237" t="str">
        <f t="shared" si="887"/>
        <v>-</v>
      </c>
      <c r="HV114" s="237" t="str">
        <f t="shared" si="888"/>
        <v>-</v>
      </c>
      <c r="HW114" s="237" t="str">
        <f t="shared" si="889"/>
        <v>-</v>
      </c>
      <c r="HX114" s="237" t="str">
        <f t="shared" si="890"/>
        <v>-</v>
      </c>
      <c r="HY114" s="237" t="str">
        <f t="shared" si="891"/>
        <v>-</v>
      </c>
      <c r="HZ114" s="237" t="str">
        <f t="shared" si="892"/>
        <v>-</v>
      </c>
      <c r="IA114" s="237" t="str">
        <f t="shared" si="893"/>
        <v>-</v>
      </c>
      <c r="IB114" s="237" t="str">
        <f t="shared" si="894"/>
        <v>-</v>
      </c>
      <c r="IC114" s="237" t="str">
        <f t="shared" si="895"/>
        <v>-</v>
      </c>
      <c r="ID114" s="237" t="str">
        <f t="shared" si="896"/>
        <v>-</v>
      </c>
      <c r="IE114" s="237" t="str">
        <f t="shared" si="897"/>
        <v>-</v>
      </c>
      <c r="IF114" s="237" t="str">
        <f t="shared" si="898"/>
        <v>-</v>
      </c>
      <c r="IG114" s="312">
        <f t="shared" si="899"/>
        <v>0</v>
      </c>
      <c r="IH114" s="99" t="str">
        <f t="shared" si="900"/>
        <v>-</v>
      </c>
      <c r="II114" s="99" t="str">
        <f t="shared" si="901"/>
        <v>-</v>
      </c>
      <c r="IJ114" s="99" t="str">
        <f t="shared" si="902"/>
        <v>-</v>
      </c>
      <c r="IK114" s="99" t="str">
        <f t="shared" si="903"/>
        <v>-</v>
      </c>
      <c r="IL114" s="99" t="str">
        <f t="shared" si="904"/>
        <v>-</v>
      </c>
      <c r="IM114" s="312" t="str">
        <f t="shared" si="905"/>
        <v/>
      </c>
      <c r="IN114" s="99" t="str">
        <f t="shared" si="906"/>
        <v/>
      </c>
      <c r="IO114" s="99" t="str">
        <f t="shared" si="907"/>
        <v/>
      </c>
      <c r="IP114" s="99" t="str">
        <f t="shared" si="908"/>
        <v/>
      </c>
      <c r="IQ114" s="99" t="str">
        <f t="shared" si="909"/>
        <v/>
      </c>
      <c r="IR114" s="99" t="str">
        <f t="shared" si="910"/>
        <v/>
      </c>
      <c r="IS114" s="312" t="str">
        <f t="shared" si="911"/>
        <v/>
      </c>
      <c r="IT114" s="99" t="str">
        <f t="shared" si="912"/>
        <v/>
      </c>
      <c r="IU114" s="99" t="str">
        <f t="shared" si="913"/>
        <v/>
      </c>
      <c r="IV114" s="99" t="str">
        <f t="shared" si="914"/>
        <v/>
      </c>
      <c r="IW114" s="99" t="str">
        <f t="shared" si="915"/>
        <v/>
      </c>
      <c r="IX114" s="99" t="str">
        <f t="shared" si="916"/>
        <v/>
      </c>
      <c r="IY114" s="312" t="str">
        <f t="shared" si="917"/>
        <v/>
      </c>
      <c r="IZ114" s="99" t="str">
        <f t="shared" si="918"/>
        <v/>
      </c>
      <c r="JA114" s="99" t="str">
        <f t="shared" si="919"/>
        <v/>
      </c>
      <c r="JB114" s="99" t="str">
        <f t="shared" si="920"/>
        <v/>
      </c>
      <c r="JC114" s="99" t="str">
        <f t="shared" si="921"/>
        <v/>
      </c>
      <c r="JD114" s="313" t="str">
        <f t="shared" si="922"/>
        <v/>
      </c>
      <c r="JF114" s="66">
        <f t="shared" si="779"/>
        <v>114</v>
      </c>
      <c r="JG114" s="66">
        <f t="shared" ca="1" si="789"/>
        <v>0</v>
      </c>
      <c r="JH114" s="66">
        <f t="shared" ca="1" si="790"/>
        <v>0</v>
      </c>
      <c r="JI114" s="66">
        <f t="shared" ca="1" si="791"/>
        <v>0</v>
      </c>
      <c r="JJ114" s="66">
        <f t="shared" ca="1" si="792"/>
        <v>0</v>
      </c>
      <c r="JK114" s="33"/>
      <c r="JL114" s="74" t="str">
        <f t="shared" ca="1" si="793"/>
        <v>-</v>
      </c>
      <c r="JM114" s="75">
        <f t="shared" ca="1" si="794"/>
        <v>0</v>
      </c>
      <c r="JN114" s="75">
        <f t="shared" ca="1" si="795"/>
        <v>0</v>
      </c>
      <c r="JO114" s="74" t="str">
        <f t="shared" ca="1" si="796"/>
        <v>-</v>
      </c>
      <c r="JP114" s="74">
        <f t="shared" ca="1" si="797"/>
        <v>0</v>
      </c>
    </row>
    <row r="115" spans="1:276" hidden="1" x14ac:dyDescent="0.35">
      <c r="A115" s="125" t="s">
        <v>805</v>
      </c>
      <c r="B115" s="125" t="s">
        <v>805</v>
      </c>
      <c r="C115" s="125" t="s">
        <v>805</v>
      </c>
      <c r="E115" s="142" t="s">
        <v>845</v>
      </c>
      <c r="F115" s="254" t="s">
        <v>731</v>
      </c>
      <c r="G115" t="s">
        <v>540</v>
      </c>
      <c r="H115" t="s">
        <v>535</v>
      </c>
      <c r="I115" t="s">
        <v>536</v>
      </c>
      <c r="J115" s="211" t="s">
        <v>805</v>
      </c>
      <c r="K115" t="s">
        <v>805</v>
      </c>
      <c r="L115" t="s">
        <v>805</v>
      </c>
      <c r="M115" t="s">
        <v>805</v>
      </c>
      <c r="N115" t="s">
        <v>805</v>
      </c>
      <c r="O115" t="s">
        <v>805</v>
      </c>
      <c r="P115" t="s">
        <v>805</v>
      </c>
      <c r="Q115" t="s">
        <v>805</v>
      </c>
      <c r="R115" t="s">
        <v>805</v>
      </c>
      <c r="S115" t="s">
        <v>805</v>
      </c>
      <c r="T115" t="s">
        <v>805</v>
      </c>
      <c r="U115" t="s">
        <v>805</v>
      </c>
      <c r="V115" t="s">
        <v>805</v>
      </c>
      <c r="W115" t="s">
        <v>805</v>
      </c>
      <c r="X115" t="s">
        <v>805</v>
      </c>
      <c r="Y115" t="s">
        <v>805</v>
      </c>
      <c r="Z115" t="s">
        <v>805</v>
      </c>
      <c r="AA115" t="s">
        <v>805</v>
      </c>
      <c r="AB115" t="s">
        <v>805</v>
      </c>
      <c r="AC115" t="s">
        <v>805</v>
      </c>
      <c r="AD115" t="s">
        <v>805</v>
      </c>
      <c r="AE115" t="s">
        <v>805</v>
      </c>
      <c r="AF115" t="s">
        <v>805</v>
      </c>
      <c r="AG115" t="s">
        <v>805</v>
      </c>
      <c r="AH115" t="s">
        <v>805</v>
      </c>
      <c r="AI115" t="s">
        <v>805</v>
      </c>
      <c r="AJ115" t="s">
        <v>805</v>
      </c>
      <c r="AK115" t="s">
        <v>805</v>
      </c>
      <c r="AL115" t="s">
        <v>805</v>
      </c>
      <c r="AM115" t="s">
        <v>805</v>
      </c>
      <c r="AN115" t="s">
        <v>805</v>
      </c>
      <c r="AO115" t="s">
        <v>805</v>
      </c>
      <c r="AP115" t="s">
        <v>805</v>
      </c>
      <c r="AQ115" t="s">
        <v>805</v>
      </c>
      <c r="AR115" t="s">
        <v>805</v>
      </c>
      <c r="AS115" t="s">
        <v>805</v>
      </c>
      <c r="AT115" t="s">
        <v>805</v>
      </c>
      <c r="AU115" t="s">
        <v>805</v>
      </c>
      <c r="AV115" t="s">
        <v>805</v>
      </c>
      <c r="AW115" t="s">
        <v>805</v>
      </c>
      <c r="AX115" t="s">
        <v>805</v>
      </c>
      <c r="AY115" t="s">
        <v>805</v>
      </c>
      <c r="AZ115" t="s">
        <v>805</v>
      </c>
      <c r="BA115" t="s">
        <v>805</v>
      </c>
      <c r="BB115" t="s">
        <v>805</v>
      </c>
      <c r="BC115" t="s">
        <v>805</v>
      </c>
      <c r="BD115" t="s">
        <v>805</v>
      </c>
      <c r="BE115" t="s">
        <v>805</v>
      </c>
      <c r="BF115" t="s">
        <v>805</v>
      </c>
      <c r="BG115" t="s">
        <v>805</v>
      </c>
      <c r="BH115" t="s">
        <v>805</v>
      </c>
      <c r="BI115" t="s">
        <v>805</v>
      </c>
      <c r="BJ115" t="s">
        <v>805</v>
      </c>
      <c r="BK115" t="s">
        <v>805</v>
      </c>
      <c r="BL115" t="s">
        <v>805</v>
      </c>
      <c r="BM115" t="s">
        <v>805</v>
      </c>
      <c r="BN115" t="s">
        <v>805</v>
      </c>
      <c r="BO115" t="s">
        <v>805</v>
      </c>
      <c r="BP115" t="s">
        <v>805</v>
      </c>
      <c r="BQ115" t="s">
        <v>805</v>
      </c>
      <c r="BR115" t="s">
        <v>805</v>
      </c>
      <c r="BS115" t="s">
        <v>805</v>
      </c>
      <c r="BT115" t="s">
        <v>805</v>
      </c>
      <c r="BU115" t="s">
        <v>805</v>
      </c>
      <c r="BV115" t="s">
        <v>805</v>
      </c>
      <c r="BW115" t="s">
        <v>805</v>
      </c>
      <c r="BX115" t="s">
        <v>805</v>
      </c>
      <c r="BY115" t="s">
        <v>805</v>
      </c>
      <c r="BZ115" t="s">
        <v>805</v>
      </c>
      <c r="CA115" t="s">
        <v>805</v>
      </c>
      <c r="CB115" t="s">
        <v>805</v>
      </c>
      <c r="CC115" t="s">
        <v>805</v>
      </c>
      <c r="CD115" t="s">
        <v>805</v>
      </c>
      <c r="CE115" t="s">
        <v>805</v>
      </c>
      <c r="CF115" t="s">
        <v>805</v>
      </c>
      <c r="CG115" t="s">
        <v>805</v>
      </c>
      <c r="CH115" t="s">
        <v>805</v>
      </c>
      <c r="CI115" t="s">
        <v>805</v>
      </c>
      <c r="CJ115" t="s">
        <v>805</v>
      </c>
      <c r="CK115" t="s">
        <v>805</v>
      </c>
      <c r="CL115" t="s">
        <v>805</v>
      </c>
      <c r="CM115" t="s">
        <v>805</v>
      </c>
      <c r="CN115" t="s">
        <v>805</v>
      </c>
      <c r="CO115" t="s">
        <v>805</v>
      </c>
      <c r="CP115" t="s">
        <v>805</v>
      </c>
      <c r="CQ115" t="s">
        <v>805</v>
      </c>
      <c r="CR115" t="s">
        <v>805</v>
      </c>
      <c r="CS115" t="s">
        <v>805</v>
      </c>
      <c r="CT115" t="s">
        <v>805</v>
      </c>
      <c r="CU115" t="s">
        <v>805</v>
      </c>
      <c r="CV115" t="s">
        <v>805</v>
      </c>
      <c r="CW115" t="s">
        <v>805</v>
      </c>
      <c r="CX115" t="s">
        <v>805</v>
      </c>
      <c r="CY115" t="s">
        <v>805</v>
      </c>
      <c r="CZ115" t="s">
        <v>805</v>
      </c>
      <c r="DA115" t="s">
        <v>805</v>
      </c>
      <c r="DB115" t="s">
        <v>805</v>
      </c>
      <c r="DC115" t="s">
        <v>805</v>
      </c>
      <c r="DD115" t="s">
        <v>805</v>
      </c>
      <c r="DE115" t="s">
        <v>805</v>
      </c>
      <c r="DF115" t="s">
        <v>805</v>
      </c>
      <c r="DG115" s="28">
        <f>VLOOKUP(E115,'KPI Count-SHARE'!A:F,3,0)</f>
        <v>0</v>
      </c>
      <c r="DH115">
        <v>0</v>
      </c>
      <c r="DI115" t="s">
        <v>805</v>
      </c>
      <c r="DJ115" t="s">
        <v>805</v>
      </c>
      <c r="DK115" t="s">
        <v>805</v>
      </c>
      <c r="DL115" t="s">
        <v>805</v>
      </c>
      <c r="DM115" t="s">
        <v>805</v>
      </c>
      <c r="DN115" s="28">
        <f>VLOOKUP(E115,'KPI Count-SHARE'!A:F,4,0)</f>
        <v>0</v>
      </c>
      <c r="DU115" s="28">
        <f>VLOOKUP(E115,'KPI Count-SHARE'!A:F,5,0)</f>
        <v>0</v>
      </c>
      <c r="EB115" s="28">
        <f>VLOOKUP(E115,'KPI Count-SHARE'!A:F,6,0)</f>
        <v>0</v>
      </c>
      <c r="EI115" t="str">
        <f>XCurrency &amp; " '000 per FTE"</f>
        <v>USD '000 per FTE</v>
      </c>
      <c r="EJ115" s="237" t="str">
        <f t="shared" si="798"/>
        <v>-</v>
      </c>
      <c r="EK115" s="237" t="str">
        <f t="shared" si="799"/>
        <v>-</v>
      </c>
      <c r="EL115" s="237" t="str">
        <f t="shared" si="800"/>
        <v>-</v>
      </c>
      <c r="EM115" s="237" t="str">
        <f t="shared" si="801"/>
        <v>-</v>
      </c>
      <c r="EN115" s="237" t="str">
        <f t="shared" si="802"/>
        <v>-</v>
      </c>
      <c r="EO115" s="237" t="str">
        <f t="shared" si="803"/>
        <v>-</v>
      </c>
      <c r="EP115" s="237" t="str">
        <f t="shared" si="804"/>
        <v>-</v>
      </c>
      <c r="EQ115" s="237" t="str">
        <f t="shared" si="805"/>
        <v>-</v>
      </c>
      <c r="ER115" s="237" t="str">
        <f t="shared" si="806"/>
        <v>-</v>
      </c>
      <c r="ES115" s="237" t="str">
        <f t="shared" si="807"/>
        <v>-</v>
      </c>
      <c r="ET115" s="237" t="str">
        <f t="shared" si="808"/>
        <v>-</v>
      </c>
      <c r="EU115" s="237" t="str">
        <f t="shared" si="809"/>
        <v>-</v>
      </c>
      <c r="EV115" s="237" t="str">
        <f t="shared" si="810"/>
        <v>-</v>
      </c>
      <c r="EW115" s="237" t="str">
        <f t="shared" si="811"/>
        <v>-</v>
      </c>
      <c r="EX115" s="237" t="str">
        <f t="shared" si="812"/>
        <v>-</v>
      </c>
      <c r="EY115" s="237" t="str">
        <f t="shared" si="813"/>
        <v>-</v>
      </c>
      <c r="EZ115" s="237" t="str">
        <f t="shared" si="814"/>
        <v>-</v>
      </c>
      <c r="FA115" s="237" t="str">
        <f t="shared" si="815"/>
        <v>-</v>
      </c>
      <c r="FB115" s="237" t="str">
        <f t="shared" si="816"/>
        <v>-</v>
      </c>
      <c r="FC115" s="237" t="str">
        <f t="shared" si="817"/>
        <v>-</v>
      </c>
      <c r="FD115" s="237" t="str">
        <f t="shared" si="818"/>
        <v>-</v>
      </c>
      <c r="FE115" s="237" t="str">
        <f t="shared" si="819"/>
        <v>-</v>
      </c>
      <c r="FF115" s="237" t="str">
        <f t="shared" si="820"/>
        <v>-</v>
      </c>
      <c r="FG115" s="237" t="str">
        <f t="shared" si="821"/>
        <v>-</v>
      </c>
      <c r="FH115" s="237" t="str">
        <f t="shared" si="822"/>
        <v>-</v>
      </c>
      <c r="FI115" s="237" t="str">
        <f t="shared" si="823"/>
        <v>-</v>
      </c>
      <c r="FJ115" s="237" t="str">
        <f t="shared" si="824"/>
        <v>-</v>
      </c>
      <c r="FK115" s="237" t="str">
        <f t="shared" si="825"/>
        <v>-</v>
      </c>
      <c r="FL115" s="237" t="str">
        <f t="shared" si="826"/>
        <v>-</v>
      </c>
      <c r="FM115" s="237" t="str">
        <f t="shared" si="827"/>
        <v>-</v>
      </c>
      <c r="FN115" s="237" t="str">
        <f t="shared" si="828"/>
        <v>-</v>
      </c>
      <c r="FO115" s="237" t="str">
        <f t="shared" si="829"/>
        <v>-</v>
      </c>
      <c r="FP115" s="237" t="str">
        <f t="shared" si="830"/>
        <v>-</v>
      </c>
      <c r="FQ115" s="237" t="str">
        <f t="shared" si="831"/>
        <v>-</v>
      </c>
      <c r="FR115" s="237" t="str">
        <f t="shared" si="832"/>
        <v>-</v>
      </c>
      <c r="FS115" s="237" t="str">
        <f t="shared" si="833"/>
        <v>-</v>
      </c>
      <c r="FT115" s="237" t="str">
        <f t="shared" si="834"/>
        <v>-</v>
      </c>
      <c r="FU115" s="237" t="str">
        <f t="shared" si="835"/>
        <v>-</v>
      </c>
      <c r="FV115" s="237" t="str">
        <f t="shared" si="836"/>
        <v>-</v>
      </c>
      <c r="FW115" s="237" t="str">
        <f t="shared" si="837"/>
        <v>-</v>
      </c>
      <c r="FX115" s="237" t="str">
        <f t="shared" si="838"/>
        <v>-</v>
      </c>
      <c r="FY115" s="237" t="str">
        <f t="shared" si="839"/>
        <v>-</v>
      </c>
      <c r="FZ115" s="237" t="str">
        <f t="shared" si="840"/>
        <v>-</v>
      </c>
      <c r="GA115" s="237" t="str">
        <f t="shared" si="841"/>
        <v>-</v>
      </c>
      <c r="GB115" s="237" t="str">
        <f t="shared" si="842"/>
        <v>-</v>
      </c>
      <c r="GC115" s="237" t="str">
        <f t="shared" si="843"/>
        <v>-</v>
      </c>
      <c r="GD115" s="237" t="str">
        <f t="shared" si="844"/>
        <v>-</v>
      </c>
      <c r="GE115" s="237" t="str">
        <f t="shared" si="845"/>
        <v>-</v>
      </c>
      <c r="GF115" s="237" t="str">
        <f t="shared" si="846"/>
        <v>-</v>
      </c>
      <c r="GG115" s="237" t="str">
        <f t="shared" si="847"/>
        <v>-</v>
      </c>
      <c r="GH115" s="237" t="str">
        <f t="shared" si="848"/>
        <v>-</v>
      </c>
      <c r="GI115" s="237" t="str">
        <f t="shared" si="849"/>
        <v>-</v>
      </c>
      <c r="GJ115" s="237" t="str">
        <f t="shared" si="850"/>
        <v>-</v>
      </c>
      <c r="GK115" s="237" t="str">
        <f t="shared" si="851"/>
        <v>-</v>
      </c>
      <c r="GL115" s="237" t="str">
        <f t="shared" si="852"/>
        <v>-</v>
      </c>
      <c r="GM115" s="237" t="str">
        <f t="shared" si="853"/>
        <v>-</v>
      </c>
      <c r="GN115" s="237" t="str">
        <f t="shared" si="854"/>
        <v>-</v>
      </c>
      <c r="GO115" s="237" t="str">
        <f t="shared" si="855"/>
        <v>-</v>
      </c>
      <c r="GP115" s="237" t="str">
        <f t="shared" si="856"/>
        <v>-</v>
      </c>
      <c r="GQ115" s="237" t="str">
        <f t="shared" si="857"/>
        <v>-</v>
      </c>
      <c r="GR115" s="237" t="str">
        <f t="shared" si="858"/>
        <v>-</v>
      </c>
      <c r="GS115" s="237" t="str">
        <f t="shared" si="859"/>
        <v>-</v>
      </c>
      <c r="GT115" s="237" t="str">
        <f t="shared" si="860"/>
        <v>-</v>
      </c>
      <c r="GU115" s="237" t="str">
        <f t="shared" si="861"/>
        <v>-</v>
      </c>
      <c r="GV115" s="237" t="str">
        <f t="shared" si="862"/>
        <v>-</v>
      </c>
      <c r="GW115" s="237" t="str">
        <f t="shared" si="863"/>
        <v>-</v>
      </c>
      <c r="GX115" s="237" t="str">
        <f t="shared" si="864"/>
        <v>-</v>
      </c>
      <c r="GY115" s="237" t="str">
        <f t="shared" si="865"/>
        <v>-</v>
      </c>
      <c r="GZ115" s="237" t="str">
        <f t="shared" si="866"/>
        <v>-</v>
      </c>
      <c r="HA115" s="237" t="str">
        <f t="shared" si="867"/>
        <v>-</v>
      </c>
      <c r="HB115" s="237" t="str">
        <f t="shared" si="868"/>
        <v>-</v>
      </c>
      <c r="HC115" s="237" t="str">
        <f t="shared" si="869"/>
        <v>-</v>
      </c>
      <c r="HD115" s="237" t="str">
        <f t="shared" si="870"/>
        <v>-</v>
      </c>
      <c r="HE115" s="237" t="str">
        <f t="shared" si="871"/>
        <v>-</v>
      </c>
      <c r="HF115" s="237" t="str">
        <f t="shared" si="872"/>
        <v>-</v>
      </c>
      <c r="HG115" s="237" t="str">
        <f t="shared" si="873"/>
        <v>-</v>
      </c>
      <c r="HH115" s="237" t="str">
        <f t="shared" si="874"/>
        <v>-</v>
      </c>
      <c r="HI115" s="237" t="str">
        <f t="shared" si="875"/>
        <v>-</v>
      </c>
      <c r="HJ115" s="237" t="str">
        <f t="shared" si="876"/>
        <v>-</v>
      </c>
      <c r="HK115" s="237" t="str">
        <f t="shared" si="877"/>
        <v>-</v>
      </c>
      <c r="HL115" s="237" t="str">
        <f t="shared" si="878"/>
        <v>-</v>
      </c>
      <c r="HM115" s="237" t="str">
        <f t="shared" si="879"/>
        <v>-</v>
      </c>
      <c r="HN115" s="237" t="str">
        <f t="shared" si="880"/>
        <v>-</v>
      </c>
      <c r="HO115" s="237" t="str">
        <f t="shared" si="881"/>
        <v>-</v>
      </c>
      <c r="HP115" s="237" t="str">
        <f t="shared" si="882"/>
        <v>-</v>
      </c>
      <c r="HQ115" s="237" t="str">
        <f t="shared" si="883"/>
        <v>-</v>
      </c>
      <c r="HR115" s="237" t="str">
        <f t="shared" si="884"/>
        <v>-</v>
      </c>
      <c r="HS115" s="237" t="str">
        <f t="shared" si="885"/>
        <v>-</v>
      </c>
      <c r="HT115" s="237" t="str">
        <f t="shared" si="886"/>
        <v>-</v>
      </c>
      <c r="HU115" s="237" t="str">
        <f t="shared" si="887"/>
        <v>-</v>
      </c>
      <c r="HV115" s="237" t="str">
        <f t="shared" si="888"/>
        <v>-</v>
      </c>
      <c r="HW115" s="237" t="str">
        <f t="shared" si="889"/>
        <v>-</v>
      </c>
      <c r="HX115" s="237" t="str">
        <f t="shared" si="890"/>
        <v>-</v>
      </c>
      <c r="HY115" s="237" t="str">
        <f t="shared" si="891"/>
        <v>-</v>
      </c>
      <c r="HZ115" s="237" t="str">
        <f t="shared" si="892"/>
        <v>-</v>
      </c>
      <c r="IA115" s="237" t="str">
        <f t="shared" si="893"/>
        <v>-</v>
      </c>
      <c r="IB115" s="237" t="str">
        <f t="shared" si="894"/>
        <v>-</v>
      </c>
      <c r="IC115" s="237" t="str">
        <f t="shared" si="895"/>
        <v>-</v>
      </c>
      <c r="ID115" s="237" t="str">
        <f t="shared" si="896"/>
        <v>-</v>
      </c>
      <c r="IE115" s="237" t="str">
        <f t="shared" si="897"/>
        <v>-</v>
      </c>
      <c r="IF115" s="237" t="str">
        <f t="shared" si="898"/>
        <v>-</v>
      </c>
      <c r="IG115" s="312">
        <f t="shared" si="899"/>
        <v>0</v>
      </c>
      <c r="IH115" s="99" t="str">
        <f t="shared" si="900"/>
        <v>-</v>
      </c>
      <c r="II115" s="99" t="str">
        <f t="shared" si="901"/>
        <v>-</v>
      </c>
      <c r="IJ115" s="99" t="str">
        <f t="shared" si="902"/>
        <v>-</v>
      </c>
      <c r="IK115" s="99" t="str">
        <f t="shared" si="903"/>
        <v>-</v>
      </c>
      <c r="IL115" s="99" t="str">
        <f t="shared" si="904"/>
        <v>-</v>
      </c>
      <c r="IM115" s="312" t="str">
        <f t="shared" si="905"/>
        <v/>
      </c>
      <c r="IN115" s="99" t="str">
        <f t="shared" si="906"/>
        <v/>
      </c>
      <c r="IO115" s="99" t="str">
        <f t="shared" si="907"/>
        <v/>
      </c>
      <c r="IP115" s="99" t="str">
        <f t="shared" si="908"/>
        <v/>
      </c>
      <c r="IQ115" s="99" t="str">
        <f t="shared" si="909"/>
        <v/>
      </c>
      <c r="IR115" s="99" t="str">
        <f t="shared" si="910"/>
        <v/>
      </c>
      <c r="IS115" s="312" t="str">
        <f t="shared" si="911"/>
        <v/>
      </c>
      <c r="IT115" s="99" t="str">
        <f t="shared" si="912"/>
        <v/>
      </c>
      <c r="IU115" s="99" t="str">
        <f t="shared" si="913"/>
        <v/>
      </c>
      <c r="IV115" s="99" t="str">
        <f t="shared" si="914"/>
        <v/>
      </c>
      <c r="IW115" s="99" t="str">
        <f t="shared" si="915"/>
        <v/>
      </c>
      <c r="IX115" s="99" t="str">
        <f t="shared" si="916"/>
        <v/>
      </c>
      <c r="IY115" s="312" t="str">
        <f t="shared" si="917"/>
        <v/>
      </c>
      <c r="IZ115" s="99" t="str">
        <f t="shared" si="918"/>
        <v/>
      </c>
      <c r="JA115" s="99" t="str">
        <f t="shared" si="919"/>
        <v/>
      </c>
      <c r="JB115" s="99" t="str">
        <f t="shared" si="920"/>
        <v/>
      </c>
      <c r="JC115" s="99" t="str">
        <f t="shared" si="921"/>
        <v/>
      </c>
      <c r="JD115" s="313" t="str">
        <f t="shared" si="922"/>
        <v/>
      </c>
      <c r="JF115" s="66">
        <f t="shared" si="779"/>
        <v>115</v>
      </c>
      <c r="JG115" s="66">
        <f t="shared" ca="1" si="789"/>
        <v>0</v>
      </c>
      <c r="JH115" s="66">
        <f t="shared" ca="1" si="790"/>
        <v>0</v>
      </c>
      <c r="JI115" s="66">
        <f t="shared" ca="1" si="791"/>
        <v>0</v>
      </c>
      <c r="JJ115" s="66">
        <f t="shared" ca="1" si="792"/>
        <v>0</v>
      </c>
      <c r="JK115" s="33"/>
      <c r="JL115" s="74" t="str">
        <f t="shared" ca="1" si="793"/>
        <v>-</v>
      </c>
      <c r="JM115" s="75">
        <f t="shared" ca="1" si="794"/>
        <v>0</v>
      </c>
      <c r="JN115" s="75">
        <f t="shared" ca="1" si="795"/>
        <v>0</v>
      </c>
      <c r="JO115" s="74" t="str">
        <f t="shared" ca="1" si="796"/>
        <v>-</v>
      </c>
      <c r="JP115" s="74">
        <f t="shared" ca="1" si="797"/>
        <v>0</v>
      </c>
    </row>
    <row r="116" spans="1:276" hidden="1" x14ac:dyDescent="0.35">
      <c r="A116" s="125" t="s">
        <v>805</v>
      </c>
      <c r="B116" s="125" t="s">
        <v>805</v>
      </c>
      <c r="C116" s="125" t="s">
        <v>805</v>
      </c>
      <c r="E116" s="142"/>
      <c r="F116" s="255"/>
      <c r="J116" s="211" t="s">
        <v>805</v>
      </c>
      <c r="K116" t="s">
        <v>805</v>
      </c>
      <c r="L116" t="s">
        <v>805</v>
      </c>
      <c r="M116" t="s">
        <v>805</v>
      </c>
      <c r="N116" t="s">
        <v>805</v>
      </c>
      <c r="O116" t="s">
        <v>805</v>
      </c>
      <c r="P116" t="s">
        <v>805</v>
      </c>
      <c r="Q116" t="s">
        <v>805</v>
      </c>
      <c r="R116" t="s">
        <v>805</v>
      </c>
      <c r="S116" t="s">
        <v>805</v>
      </c>
      <c r="T116" t="s">
        <v>805</v>
      </c>
      <c r="U116" t="s">
        <v>805</v>
      </c>
      <c r="V116" t="s">
        <v>805</v>
      </c>
      <c r="W116" t="s">
        <v>805</v>
      </c>
      <c r="X116" t="s">
        <v>805</v>
      </c>
      <c r="Y116" t="s">
        <v>805</v>
      </c>
      <c r="Z116" t="s">
        <v>805</v>
      </c>
      <c r="AA116" t="s">
        <v>805</v>
      </c>
      <c r="AB116" t="s">
        <v>805</v>
      </c>
      <c r="AC116" t="s">
        <v>805</v>
      </c>
      <c r="AD116" t="s">
        <v>805</v>
      </c>
      <c r="AE116" t="s">
        <v>805</v>
      </c>
      <c r="AF116" t="s">
        <v>805</v>
      </c>
      <c r="AG116" t="s">
        <v>805</v>
      </c>
      <c r="AH116" t="s">
        <v>805</v>
      </c>
      <c r="AI116" t="s">
        <v>805</v>
      </c>
      <c r="AJ116" t="s">
        <v>805</v>
      </c>
      <c r="AK116" t="s">
        <v>805</v>
      </c>
      <c r="AL116" t="s">
        <v>805</v>
      </c>
      <c r="AM116" t="s">
        <v>805</v>
      </c>
      <c r="AN116" t="s">
        <v>805</v>
      </c>
      <c r="AO116" t="s">
        <v>805</v>
      </c>
      <c r="AP116" t="s">
        <v>805</v>
      </c>
      <c r="AQ116" t="s">
        <v>805</v>
      </c>
      <c r="AR116" t="s">
        <v>805</v>
      </c>
      <c r="AS116" t="s">
        <v>805</v>
      </c>
      <c r="AT116" t="s">
        <v>805</v>
      </c>
      <c r="AU116" t="s">
        <v>805</v>
      </c>
      <c r="AV116" t="s">
        <v>805</v>
      </c>
      <c r="AW116" t="s">
        <v>805</v>
      </c>
      <c r="AX116" t="s">
        <v>805</v>
      </c>
      <c r="AY116" t="s">
        <v>805</v>
      </c>
      <c r="AZ116" t="s">
        <v>805</v>
      </c>
      <c r="BA116" t="s">
        <v>805</v>
      </c>
      <c r="BB116" t="s">
        <v>805</v>
      </c>
      <c r="BC116" t="s">
        <v>805</v>
      </c>
      <c r="BD116" t="s">
        <v>805</v>
      </c>
      <c r="BE116" t="s">
        <v>805</v>
      </c>
      <c r="BF116" t="s">
        <v>805</v>
      </c>
      <c r="BG116" t="s">
        <v>805</v>
      </c>
      <c r="BH116" t="s">
        <v>805</v>
      </c>
      <c r="BI116" t="s">
        <v>805</v>
      </c>
      <c r="BJ116" t="s">
        <v>805</v>
      </c>
      <c r="BK116" t="s">
        <v>805</v>
      </c>
      <c r="BL116" t="s">
        <v>805</v>
      </c>
      <c r="BM116" t="s">
        <v>805</v>
      </c>
      <c r="BN116" t="s">
        <v>805</v>
      </c>
      <c r="BO116" t="s">
        <v>805</v>
      </c>
      <c r="BP116" t="s">
        <v>805</v>
      </c>
      <c r="BQ116" t="s">
        <v>805</v>
      </c>
      <c r="BR116" t="s">
        <v>805</v>
      </c>
      <c r="BS116" t="s">
        <v>805</v>
      </c>
      <c r="BT116" t="s">
        <v>805</v>
      </c>
      <c r="BU116" t="s">
        <v>805</v>
      </c>
      <c r="BV116" t="s">
        <v>805</v>
      </c>
      <c r="BW116" t="s">
        <v>805</v>
      </c>
      <c r="BX116" t="s">
        <v>805</v>
      </c>
      <c r="BY116" t="s">
        <v>805</v>
      </c>
      <c r="BZ116" t="s">
        <v>805</v>
      </c>
      <c r="CA116" t="s">
        <v>805</v>
      </c>
      <c r="CB116" t="s">
        <v>805</v>
      </c>
      <c r="CC116" t="s">
        <v>805</v>
      </c>
      <c r="CD116" t="s">
        <v>805</v>
      </c>
      <c r="CE116" t="s">
        <v>805</v>
      </c>
      <c r="CF116" t="s">
        <v>805</v>
      </c>
      <c r="CG116" t="s">
        <v>805</v>
      </c>
      <c r="CH116" t="s">
        <v>805</v>
      </c>
      <c r="CI116" t="s">
        <v>805</v>
      </c>
      <c r="CJ116" t="s">
        <v>805</v>
      </c>
      <c r="CK116" t="s">
        <v>805</v>
      </c>
      <c r="CL116" t="s">
        <v>805</v>
      </c>
      <c r="CM116" t="s">
        <v>805</v>
      </c>
      <c r="CN116" t="s">
        <v>805</v>
      </c>
      <c r="CO116" t="s">
        <v>805</v>
      </c>
      <c r="CP116" t="s">
        <v>805</v>
      </c>
      <c r="CQ116" t="s">
        <v>805</v>
      </c>
      <c r="CR116" t="s">
        <v>805</v>
      </c>
      <c r="CS116" t="s">
        <v>805</v>
      </c>
      <c r="CT116" t="s">
        <v>805</v>
      </c>
      <c r="CU116" t="s">
        <v>805</v>
      </c>
      <c r="CV116" t="s">
        <v>805</v>
      </c>
      <c r="CW116" t="s">
        <v>805</v>
      </c>
      <c r="CX116" t="s">
        <v>805</v>
      </c>
      <c r="CY116" t="s">
        <v>805</v>
      </c>
      <c r="CZ116" t="s">
        <v>805</v>
      </c>
      <c r="DA116" t="s">
        <v>805</v>
      </c>
      <c r="DB116" t="s">
        <v>805</v>
      </c>
      <c r="DC116" t="s">
        <v>805</v>
      </c>
      <c r="DD116" t="s">
        <v>805</v>
      </c>
      <c r="DE116" t="s">
        <v>805</v>
      </c>
      <c r="DF116" t="s">
        <v>805</v>
      </c>
      <c r="DG116" s="28"/>
      <c r="DN116" s="28"/>
      <c r="DU116" s="28"/>
      <c r="EB116" s="28"/>
      <c r="EJ116" t="str">
        <f t="shared" si="798"/>
        <v/>
      </c>
      <c r="EK116" t="str">
        <f t="shared" si="799"/>
        <v/>
      </c>
      <c r="EL116" t="str">
        <f t="shared" si="800"/>
        <v/>
      </c>
      <c r="EM116" t="str">
        <f t="shared" si="801"/>
        <v/>
      </c>
      <c r="EN116" t="str">
        <f t="shared" si="802"/>
        <v/>
      </c>
      <c r="EO116" t="str">
        <f t="shared" si="803"/>
        <v/>
      </c>
      <c r="EP116" t="str">
        <f t="shared" si="804"/>
        <v/>
      </c>
      <c r="EQ116" t="str">
        <f t="shared" si="805"/>
        <v/>
      </c>
      <c r="ER116" t="str">
        <f t="shared" si="806"/>
        <v/>
      </c>
      <c r="ES116" t="str">
        <f t="shared" si="807"/>
        <v/>
      </c>
      <c r="ET116" t="str">
        <f t="shared" si="808"/>
        <v/>
      </c>
      <c r="EU116" t="str">
        <f t="shared" si="809"/>
        <v/>
      </c>
      <c r="EV116" t="str">
        <f t="shared" si="810"/>
        <v/>
      </c>
      <c r="EW116" t="str">
        <f t="shared" si="811"/>
        <v/>
      </c>
      <c r="EX116" t="str">
        <f t="shared" si="812"/>
        <v/>
      </c>
      <c r="EY116" t="str">
        <f t="shared" si="813"/>
        <v/>
      </c>
      <c r="EZ116" t="str">
        <f t="shared" si="814"/>
        <v/>
      </c>
      <c r="FA116" t="str">
        <f t="shared" si="815"/>
        <v/>
      </c>
      <c r="FB116" t="str">
        <f t="shared" si="816"/>
        <v/>
      </c>
      <c r="FC116" t="str">
        <f t="shared" si="817"/>
        <v/>
      </c>
      <c r="FD116" t="str">
        <f t="shared" si="818"/>
        <v/>
      </c>
      <c r="FE116" t="str">
        <f t="shared" si="819"/>
        <v/>
      </c>
      <c r="FF116" t="str">
        <f t="shared" si="820"/>
        <v/>
      </c>
      <c r="FG116" t="str">
        <f t="shared" si="821"/>
        <v/>
      </c>
      <c r="FH116" t="str">
        <f t="shared" si="822"/>
        <v/>
      </c>
      <c r="FI116" t="str">
        <f t="shared" si="823"/>
        <v/>
      </c>
      <c r="FJ116" t="str">
        <f t="shared" si="824"/>
        <v/>
      </c>
      <c r="FK116" t="str">
        <f t="shared" si="825"/>
        <v/>
      </c>
      <c r="FL116" t="str">
        <f t="shared" si="826"/>
        <v/>
      </c>
      <c r="FM116" t="str">
        <f t="shared" si="827"/>
        <v/>
      </c>
      <c r="FN116" t="str">
        <f t="shared" si="828"/>
        <v/>
      </c>
      <c r="FO116" t="str">
        <f t="shared" si="829"/>
        <v/>
      </c>
      <c r="FP116" t="str">
        <f t="shared" si="830"/>
        <v/>
      </c>
      <c r="FQ116" t="str">
        <f t="shared" si="831"/>
        <v/>
      </c>
      <c r="FR116" t="str">
        <f t="shared" si="832"/>
        <v/>
      </c>
      <c r="FS116" t="str">
        <f t="shared" si="833"/>
        <v/>
      </c>
      <c r="FT116" t="str">
        <f t="shared" si="834"/>
        <v/>
      </c>
      <c r="FU116" t="str">
        <f t="shared" si="835"/>
        <v/>
      </c>
      <c r="FV116" t="str">
        <f t="shared" si="836"/>
        <v/>
      </c>
      <c r="FW116" t="str">
        <f t="shared" si="837"/>
        <v/>
      </c>
      <c r="FX116" t="str">
        <f t="shared" si="838"/>
        <v/>
      </c>
      <c r="FY116" t="str">
        <f t="shared" si="839"/>
        <v/>
      </c>
      <c r="FZ116" t="str">
        <f t="shared" si="840"/>
        <v/>
      </c>
      <c r="GA116" t="str">
        <f t="shared" si="841"/>
        <v/>
      </c>
      <c r="GB116" t="str">
        <f t="shared" si="842"/>
        <v/>
      </c>
      <c r="GC116" t="str">
        <f t="shared" si="843"/>
        <v/>
      </c>
      <c r="GD116" t="str">
        <f t="shared" si="844"/>
        <v/>
      </c>
      <c r="GE116" t="str">
        <f t="shared" si="845"/>
        <v/>
      </c>
      <c r="GF116" t="str">
        <f t="shared" si="846"/>
        <v/>
      </c>
      <c r="GG116" t="str">
        <f t="shared" si="847"/>
        <v/>
      </c>
      <c r="GH116" t="str">
        <f t="shared" si="848"/>
        <v/>
      </c>
      <c r="GI116" t="str">
        <f t="shared" si="849"/>
        <v/>
      </c>
      <c r="GJ116" t="str">
        <f t="shared" si="850"/>
        <v/>
      </c>
      <c r="GK116" t="str">
        <f t="shared" si="851"/>
        <v/>
      </c>
      <c r="GL116" t="str">
        <f t="shared" si="852"/>
        <v/>
      </c>
      <c r="GM116" t="str">
        <f t="shared" si="853"/>
        <v/>
      </c>
      <c r="GN116" t="str">
        <f t="shared" si="854"/>
        <v/>
      </c>
      <c r="GO116" t="str">
        <f t="shared" si="855"/>
        <v/>
      </c>
      <c r="GP116" t="str">
        <f t="shared" si="856"/>
        <v/>
      </c>
      <c r="GQ116" t="str">
        <f t="shared" si="857"/>
        <v/>
      </c>
      <c r="GR116" t="str">
        <f t="shared" si="858"/>
        <v/>
      </c>
      <c r="GS116" t="str">
        <f t="shared" si="859"/>
        <v/>
      </c>
      <c r="GT116" t="str">
        <f t="shared" si="860"/>
        <v/>
      </c>
      <c r="GU116" t="str">
        <f t="shared" si="861"/>
        <v/>
      </c>
      <c r="GV116" t="str">
        <f t="shared" si="862"/>
        <v/>
      </c>
      <c r="GW116" t="str">
        <f t="shared" si="863"/>
        <v/>
      </c>
      <c r="GX116" t="str">
        <f t="shared" si="864"/>
        <v/>
      </c>
      <c r="GY116" t="str">
        <f t="shared" si="865"/>
        <v/>
      </c>
      <c r="GZ116" t="str">
        <f t="shared" si="866"/>
        <v/>
      </c>
      <c r="HA116" t="str">
        <f t="shared" si="867"/>
        <v/>
      </c>
      <c r="HB116" t="str">
        <f t="shared" si="868"/>
        <v/>
      </c>
      <c r="HC116" t="str">
        <f t="shared" si="869"/>
        <v/>
      </c>
      <c r="HD116" t="str">
        <f t="shared" si="870"/>
        <v/>
      </c>
      <c r="HE116" t="str">
        <f t="shared" si="871"/>
        <v/>
      </c>
      <c r="HF116" t="str">
        <f t="shared" si="872"/>
        <v/>
      </c>
      <c r="HG116" t="str">
        <f t="shared" si="873"/>
        <v/>
      </c>
      <c r="HH116" t="str">
        <f t="shared" si="874"/>
        <v/>
      </c>
      <c r="HI116" t="str">
        <f t="shared" si="875"/>
        <v/>
      </c>
      <c r="HJ116" t="str">
        <f t="shared" si="876"/>
        <v/>
      </c>
      <c r="HK116" t="str">
        <f t="shared" si="877"/>
        <v/>
      </c>
      <c r="HL116" t="str">
        <f t="shared" si="878"/>
        <v/>
      </c>
      <c r="HM116" t="str">
        <f t="shared" si="879"/>
        <v/>
      </c>
      <c r="HN116" t="str">
        <f t="shared" si="880"/>
        <v/>
      </c>
      <c r="HO116" t="str">
        <f t="shared" si="881"/>
        <v/>
      </c>
      <c r="HP116" t="str">
        <f t="shared" si="882"/>
        <v/>
      </c>
      <c r="HQ116" t="str">
        <f t="shared" si="883"/>
        <v/>
      </c>
      <c r="HR116" t="str">
        <f t="shared" si="884"/>
        <v/>
      </c>
      <c r="HS116" t="str">
        <f t="shared" si="885"/>
        <v/>
      </c>
      <c r="HT116" t="str">
        <f t="shared" si="886"/>
        <v/>
      </c>
      <c r="HU116" t="str">
        <f t="shared" si="887"/>
        <v/>
      </c>
      <c r="HV116" t="str">
        <f t="shared" si="888"/>
        <v/>
      </c>
      <c r="HW116" t="str">
        <f t="shared" si="889"/>
        <v/>
      </c>
      <c r="HX116" t="str">
        <f t="shared" si="890"/>
        <v/>
      </c>
      <c r="HY116" t="str">
        <f t="shared" si="891"/>
        <v/>
      </c>
      <c r="HZ116" t="str">
        <f t="shared" si="892"/>
        <v/>
      </c>
      <c r="IA116" t="str">
        <f t="shared" si="893"/>
        <v/>
      </c>
      <c r="IB116" t="str">
        <f t="shared" si="894"/>
        <v/>
      </c>
      <c r="IC116" t="str">
        <f t="shared" si="895"/>
        <v/>
      </c>
      <c r="ID116" t="str">
        <f t="shared" si="896"/>
        <v/>
      </c>
      <c r="IE116" t="str">
        <f t="shared" si="897"/>
        <v/>
      </c>
      <c r="IF116" t="str">
        <f t="shared" si="898"/>
        <v/>
      </c>
      <c r="IG116" s="322" t="str">
        <f t="shared" si="899"/>
        <v>-</v>
      </c>
      <c r="IH116" s="1" t="str">
        <f t="shared" si="900"/>
        <v>-</v>
      </c>
      <c r="II116" s="1" t="str">
        <f t="shared" si="901"/>
        <v>-</v>
      </c>
      <c r="IJ116" s="1" t="str">
        <f t="shared" si="902"/>
        <v>-</v>
      </c>
      <c r="IK116" s="1" t="str">
        <f t="shared" si="903"/>
        <v>-</v>
      </c>
      <c r="IL116" s="1" t="str">
        <f t="shared" si="904"/>
        <v>-</v>
      </c>
      <c r="IM116" s="322" t="str">
        <f t="shared" si="905"/>
        <v/>
      </c>
      <c r="IN116" s="1" t="str">
        <f t="shared" si="906"/>
        <v/>
      </c>
      <c r="IO116" s="1" t="str">
        <f t="shared" si="907"/>
        <v/>
      </c>
      <c r="IP116" s="1" t="str">
        <f t="shared" si="908"/>
        <v/>
      </c>
      <c r="IQ116" s="1" t="str">
        <f t="shared" si="909"/>
        <v/>
      </c>
      <c r="IR116" s="1" t="str">
        <f t="shared" si="910"/>
        <v/>
      </c>
      <c r="IS116" s="322" t="str">
        <f t="shared" si="911"/>
        <v/>
      </c>
      <c r="IT116" s="1" t="str">
        <f t="shared" si="912"/>
        <v/>
      </c>
      <c r="IU116" s="1" t="str">
        <f t="shared" si="913"/>
        <v/>
      </c>
      <c r="IV116" s="1" t="str">
        <f t="shared" si="914"/>
        <v/>
      </c>
      <c r="IW116" s="1" t="str">
        <f t="shared" si="915"/>
        <v/>
      </c>
      <c r="IX116" s="1" t="str">
        <f t="shared" si="916"/>
        <v/>
      </c>
      <c r="IY116" s="322" t="str">
        <f t="shared" si="917"/>
        <v/>
      </c>
      <c r="IZ116" s="1" t="str">
        <f t="shared" si="918"/>
        <v/>
      </c>
      <c r="JA116" s="1" t="str">
        <f t="shared" si="919"/>
        <v/>
      </c>
      <c r="JB116" s="1" t="str">
        <f t="shared" si="920"/>
        <v/>
      </c>
      <c r="JC116" s="1" t="str">
        <f t="shared" si="921"/>
        <v/>
      </c>
      <c r="JD116" s="323" t="str">
        <f t="shared" si="922"/>
        <v/>
      </c>
      <c r="JF116" s="66">
        <f t="shared" si="779"/>
        <v>116</v>
      </c>
      <c r="JG116" s="66">
        <f t="shared" ca="1" si="789"/>
        <v>0</v>
      </c>
      <c r="JH116" s="66">
        <f t="shared" ca="1" si="790"/>
        <v>0</v>
      </c>
      <c r="JI116" s="66">
        <f t="shared" ca="1" si="791"/>
        <v>0</v>
      </c>
      <c r="JJ116" s="66">
        <f t="shared" ca="1" si="792"/>
        <v>0</v>
      </c>
      <c r="JK116" s="33"/>
      <c r="JL116" s="74" t="str">
        <f t="shared" ca="1" si="793"/>
        <v>-</v>
      </c>
      <c r="JM116" s="75">
        <f t="shared" ca="1" si="794"/>
        <v>0</v>
      </c>
      <c r="JN116" s="75">
        <f t="shared" ca="1" si="795"/>
        <v>0</v>
      </c>
      <c r="JO116" s="74" t="str">
        <f t="shared" ca="1" si="796"/>
        <v>-</v>
      </c>
      <c r="JP116" s="74">
        <f t="shared" ca="1" si="797"/>
        <v>0</v>
      </c>
    </row>
    <row r="117" spans="1:276" hidden="1" x14ac:dyDescent="0.35">
      <c r="A117" s="125" t="s">
        <v>805</v>
      </c>
      <c r="B117" s="125" t="s">
        <v>805</v>
      </c>
      <c r="C117" s="125" t="s">
        <v>805</v>
      </c>
      <c r="D117" s="256"/>
      <c r="E117" s="256"/>
      <c r="F117" s="257" t="s">
        <v>732</v>
      </c>
      <c r="G117" s="256"/>
      <c r="H117" s="256"/>
      <c r="I117" s="256"/>
      <c r="J117" s="256" t="s">
        <v>805</v>
      </c>
      <c r="K117" s="256" t="s">
        <v>805</v>
      </c>
      <c r="L117" s="256" t="s">
        <v>805</v>
      </c>
      <c r="M117" s="256" t="s">
        <v>805</v>
      </c>
      <c r="N117" s="256" t="s">
        <v>805</v>
      </c>
      <c r="O117" s="256" t="s">
        <v>805</v>
      </c>
      <c r="P117" s="256" t="s">
        <v>805</v>
      </c>
      <c r="Q117" s="256" t="s">
        <v>805</v>
      </c>
      <c r="R117" s="256" t="s">
        <v>805</v>
      </c>
      <c r="S117" s="256" t="s">
        <v>805</v>
      </c>
      <c r="T117" s="256" t="s">
        <v>805</v>
      </c>
      <c r="U117" s="256" t="s">
        <v>805</v>
      </c>
      <c r="V117" s="256" t="s">
        <v>805</v>
      </c>
      <c r="W117" s="256" t="s">
        <v>805</v>
      </c>
      <c r="X117" s="256" t="s">
        <v>805</v>
      </c>
      <c r="Y117" s="256" t="s">
        <v>805</v>
      </c>
      <c r="Z117" s="256" t="s">
        <v>805</v>
      </c>
      <c r="AA117" s="256" t="s">
        <v>805</v>
      </c>
      <c r="AB117" s="256" t="s">
        <v>805</v>
      </c>
      <c r="AC117" s="256" t="s">
        <v>805</v>
      </c>
      <c r="AD117" s="256" t="s">
        <v>805</v>
      </c>
      <c r="AE117" s="256" t="s">
        <v>805</v>
      </c>
      <c r="AF117" s="256" t="s">
        <v>805</v>
      </c>
      <c r="AG117" s="256" t="s">
        <v>805</v>
      </c>
      <c r="AH117" s="256" t="s">
        <v>805</v>
      </c>
      <c r="AI117" s="256" t="s">
        <v>805</v>
      </c>
      <c r="AJ117" s="256" t="s">
        <v>805</v>
      </c>
      <c r="AK117" s="256" t="s">
        <v>805</v>
      </c>
      <c r="AL117" s="256" t="s">
        <v>805</v>
      </c>
      <c r="AM117" s="256" t="s">
        <v>805</v>
      </c>
      <c r="AN117" s="256" t="s">
        <v>805</v>
      </c>
      <c r="AO117" s="256" t="s">
        <v>805</v>
      </c>
      <c r="AP117" s="256" t="s">
        <v>805</v>
      </c>
      <c r="AQ117" s="256" t="s">
        <v>805</v>
      </c>
      <c r="AR117" s="256" t="s">
        <v>805</v>
      </c>
      <c r="AS117" s="256" t="s">
        <v>805</v>
      </c>
      <c r="AT117" s="256" t="s">
        <v>805</v>
      </c>
      <c r="AU117" s="256" t="s">
        <v>805</v>
      </c>
      <c r="AV117" s="256" t="s">
        <v>805</v>
      </c>
      <c r="AW117" s="256" t="s">
        <v>805</v>
      </c>
      <c r="AX117" s="256" t="s">
        <v>805</v>
      </c>
      <c r="AY117" s="256" t="s">
        <v>805</v>
      </c>
      <c r="AZ117" s="256" t="s">
        <v>805</v>
      </c>
      <c r="BA117" s="256" t="s">
        <v>805</v>
      </c>
      <c r="BB117" s="256" t="s">
        <v>805</v>
      </c>
      <c r="BC117" s="256" t="s">
        <v>805</v>
      </c>
      <c r="BD117" s="256" t="s">
        <v>805</v>
      </c>
      <c r="BE117" s="256" t="s">
        <v>805</v>
      </c>
      <c r="BF117" s="256" t="s">
        <v>805</v>
      </c>
      <c r="BG117" s="256" t="s">
        <v>805</v>
      </c>
      <c r="BH117" s="256" t="s">
        <v>805</v>
      </c>
      <c r="BI117" s="256" t="s">
        <v>805</v>
      </c>
      <c r="BJ117" s="256" t="s">
        <v>805</v>
      </c>
      <c r="BK117" s="256" t="s">
        <v>805</v>
      </c>
      <c r="BL117" s="256" t="s">
        <v>805</v>
      </c>
      <c r="BM117" s="256" t="s">
        <v>805</v>
      </c>
      <c r="BN117" s="256" t="s">
        <v>805</v>
      </c>
      <c r="BO117" s="256" t="s">
        <v>805</v>
      </c>
      <c r="BP117" s="256" t="s">
        <v>805</v>
      </c>
      <c r="BQ117" s="256" t="s">
        <v>805</v>
      </c>
      <c r="BR117" s="256" t="s">
        <v>805</v>
      </c>
      <c r="BS117" s="256" t="s">
        <v>805</v>
      </c>
      <c r="BT117" s="256" t="s">
        <v>805</v>
      </c>
      <c r="BU117" s="256" t="s">
        <v>805</v>
      </c>
      <c r="BV117" s="256" t="s">
        <v>805</v>
      </c>
      <c r="BW117" s="256" t="s">
        <v>805</v>
      </c>
      <c r="BX117" s="256" t="s">
        <v>805</v>
      </c>
      <c r="BY117" s="256" t="s">
        <v>805</v>
      </c>
      <c r="BZ117" s="256" t="s">
        <v>805</v>
      </c>
      <c r="CA117" s="256" t="s">
        <v>805</v>
      </c>
      <c r="CB117" s="256" t="s">
        <v>805</v>
      </c>
      <c r="CC117" s="256" t="s">
        <v>805</v>
      </c>
      <c r="CD117" s="256" t="s">
        <v>805</v>
      </c>
      <c r="CE117" s="256" t="s">
        <v>805</v>
      </c>
      <c r="CF117" s="256" t="s">
        <v>805</v>
      </c>
      <c r="CG117" s="256" t="s">
        <v>805</v>
      </c>
      <c r="CH117" s="256" t="s">
        <v>805</v>
      </c>
      <c r="CI117" s="256" t="s">
        <v>805</v>
      </c>
      <c r="CJ117" s="256" t="s">
        <v>805</v>
      </c>
      <c r="CK117" s="256" t="s">
        <v>805</v>
      </c>
      <c r="CL117" s="256" t="s">
        <v>805</v>
      </c>
      <c r="CM117" s="256" t="s">
        <v>805</v>
      </c>
      <c r="CN117" s="256" t="s">
        <v>805</v>
      </c>
      <c r="CO117" s="256" t="s">
        <v>805</v>
      </c>
      <c r="CP117" s="256" t="s">
        <v>805</v>
      </c>
      <c r="CQ117" s="256" t="s">
        <v>805</v>
      </c>
      <c r="CR117" s="256" t="s">
        <v>805</v>
      </c>
      <c r="CS117" s="256" t="s">
        <v>805</v>
      </c>
      <c r="CT117" s="256" t="s">
        <v>805</v>
      </c>
      <c r="CU117" s="256" t="s">
        <v>805</v>
      </c>
      <c r="CV117" s="256" t="s">
        <v>805</v>
      </c>
      <c r="CW117" s="256" t="s">
        <v>805</v>
      </c>
      <c r="CX117" s="256" t="s">
        <v>805</v>
      </c>
      <c r="CY117" s="256" t="s">
        <v>805</v>
      </c>
      <c r="CZ117" s="256" t="s">
        <v>805</v>
      </c>
      <c r="DA117" s="256" t="s">
        <v>805</v>
      </c>
      <c r="DB117" s="256" t="s">
        <v>805</v>
      </c>
      <c r="DC117" s="256" t="s">
        <v>805</v>
      </c>
      <c r="DD117" s="256" t="s">
        <v>805</v>
      </c>
      <c r="DE117" s="256" t="s">
        <v>805</v>
      </c>
      <c r="DF117" s="256" t="s">
        <v>805</v>
      </c>
      <c r="DG117" s="273"/>
      <c r="DH117" s="256"/>
      <c r="DI117" s="256"/>
      <c r="DJ117" s="256"/>
      <c r="DK117" s="256"/>
      <c r="DL117" s="256"/>
      <c r="DM117" s="256"/>
      <c r="DN117" s="273"/>
      <c r="DO117" s="256"/>
      <c r="DP117" s="256"/>
      <c r="DQ117" s="256"/>
      <c r="DR117" s="256"/>
      <c r="DS117" s="256"/>
      <c r="DT117" s="256"/>
      <c r="DU117" s="273"/>
      <c r="DV117" s="256"/>
      <c r="DW117" s="256"/>
      <c r="DX117" s="256"/>
      <c r="DY117" s="256"/>
      <c r="DZ117" s="256"/>
      <c r="EA117" s="256"/>
      <c r="EB117" s="273"/>
      <c r="EC117" s="256"/>
      <c r="ED117" s="256"/>
      <c r="EE117" s="256"/>
      <c r="EF117" s="256"/>
      <c r="EG117" s="256"/>
      <c r="EH117" s="256"/>
      <c r="EI117" s="256"/>
      <c r="EJ117" s="256"/>
      <c r="EK117" s="256"/>
      <c r="EL117" s="256"/>
      <c r="EM117" s="256"/>
      <c r="EN117" s="256"/>
      <c r="EO117" s="256"/>
      <c r="EP117" s="256"/>
      <c r="EQ117" s="256"/>
      <c r="ER117" s="256"/>
      <c r="ES117" s="256"/>
      <c r="ET117" s="256"/>
      <c r="EU117" s="256"/>
      <c r="EV117" s="256"/>
      <c r="EW117" s="256"/>
      <c r="EX117" s="256"/>
      <c r="EY117" s="256"/>
      <c r="EZ117" s="256"/>
      <c r="FA117" s="256"/>
      <c r="FB117" s="256"/>
      <c r="FC117" s="256"/>
      <c r="FD117" s="256"/>
      <c r="FE117" s="256"/>
      <c r="FF117" s="256"/>
      <c r="FG117" s="256"/>
      <c r="FH117" s="256"/>
      <c r="FI117" s="256"/>
      <c r="FJ117" s="256"/>
      <c r="FK117" s="256"/>
      <c r="FL117" s="256"/>
      <c r="FM117" s="256"/>
      <c r="FN117" s="256"/>
      <c r="FO117" s="256"/>
      <c r="FP117" s="256"/>
      <c r="FQ117" s="256"/>
      <c r="FR117" s="256"/>
      <c r="FS117" s="256"/>
      <c r="FT117" s="256"/>
      <c r="FU117" s="256"/>
      <c r="FV117" s="256"/>
      <c r="FW117" s="256"/>
      <c r="FX117" s="256"/>
      <c r="FY117" s="256"/>
      <c r="FZ117" s="256"/>
      <c r="GA117" s="256"/>
      <c r="GB117" s="256"/>
      <c r="GC117" s="256"/>
      <c r="GD117" s="256"/>
      <c r="GE117" s="256"/>
      <c r="GF117" s="256"/>
      <c r="GG117" s="256"/>
      <c r="GH117" s="256"/>
      <c r="GI117" s="256"/>
      <c r="GJ117" s="256"/>
      <c r="GK117" s="256"/>
      <c r="GL117" s="256"/>
      <c r="GM117" s="256"/>
      <c r="GN117" s="256"/>
      <c r="GO117" s="256"/>
      <c r="GP117" s="256"/>
      <c r="GQ117" s="256"/>
      <c r="GR117" s="256"/>
      <c r="GS117" s="256"/>
      <c r="GT117" s="256"/>
      <c r="GU117" s="256"/>
      <c r="GV117" s="256"/>
      <c r="GW117" s="256"/>
      <c r="GX117" s="256"/>
      <c r="GY117" s="256"/>
      <c r="GZ117" s="256"/>
      <c r="HA117" s="256"/>
      <c r="HB117" s="256"/>
      <c r="HC117" s="256"/>
      <c r="HD117" s="256"/>
      <c r="HE117" s="256"/>
      <c r="HF117" s="256"/>
      <c r="HG117" s="256"/>
      <c r="HH117" s="256"/>
      <c r="HI117" s="256"/>
      <c r="HJ117" s="256"/>
      <c r="HK117" s="256"/>
      <c r="HL117" s="256"/>
      <c r="HM117" s="256"/>
      <c r="HN117" s="256"/>
      <c r="HO117" s="256"/>
      <c r="HP117" s="256"/>
      <c r="HQ117" s="256"/>
      <c r="HR117" s="256"/>
      <c r="HS117" s="256"/>
      <c r="HT117" s="256"/>
      <c r="HU117" s="256"/>
      <c r="HV117" s="256"/>
      <c r="HW117" s="256"/>
      <c r="HX117" s="256"/>
      <c r="HY117" s="256"/>
      <c r="HZ117" s="256"/>
      <c r="IA117" s="256"/>
      <c r="IB117" s="256"/>
      <c r="IC117" s="256"/>
      <c r="ID117" s="256"/>
      <c r="IE117" s="256"/>
      <c r="IF117" s="256"/>
      <c r="IG117" s="328"/>
      <c r="IH117" s="287"/>
      <c r="II117" s="287"/>
      <c r="IJ117" s="287"/>
      <c r="IK117" s="287"/>
      <c r="IL117" s="287"/>
      <c r="IM117" s="328"/>
      <c r="IN117" s="287"/>
      <c r="IO117" s="287"/>
      <c r="IP117" s="287"/>
      <c r="IQ117" s="287"/>
      <c r="IR117" s="287"/>
      <c r="IS117" s="328"/>
      <c r="IT117" s="287"/>
      <c r="IU117" s="287"/>
      <c r="IV117" s="287"/>
      <c r="IW117" s="287"/>
      <c r="IX117" s="287"/>
      <c r="IY117" s="328"/>
      <c r="IZ117" s="287"/>
      <c r="JA117" s="287"/>
      <c r="JB117" s="287"/>
      <c r="JC117" s="287"/>
      <c r="JD117" s="329"/>
      <c r="JF117" s="66"/>
      <c r="JG117" s="66"/>
      <c r="JH117" s="66"/>
      <c r="JI117" s="66"/>
      <c r="JJ117" s="66"/>
      <c r="JK117" s="33"/>
      <c r="JL117" s="74"/>
      <c r="JM117" s="75"/>
      <c r="JN117" s="75"/>
      <c r="JO117" s="74"/>
      <c r="JP117" s="74"/>
    </row>
    <row r="118" spans="1:276" hidden="1" x14ac:dyDescent="0.35">
      <c r="A118" s="125" t="s">
        <v>805</v>
      </c>
      <c r="B118" s="125" t="s">
        <v>805</v>
      </c>
      <c r="C118" s="125" t="s">
        <v>805</v>
      </c>
      <c r="E118" s="142" t="s">
        <v>846</v>
      </c>
      <c r="F118" s="254" t="s">
        <v>733</v>
      </c>
      <c r="G118" t="s">
        <v>542</v>
      </c>
      <c r="H118" t="s">
        <v>531</v>
      </c>
      <c r="I118" t="s">
        <v>534</v>
      </c>
      <c r="J118" s="211" t="s">
        <v>805</v>
      </c>
      <c r="K118" t="s">
        <v>805</v>
      </c>
      <c r="L118" t="s">
        <v>805</v>
      </c>
      <c r="M118" t="s">
        <v>805</v>
      </c>
      <c r="N118" t="s">
        <v>805</v>
      </c>
      <c r="O118" t="s">
        <v>805</v>
      </c>
      <c r="P118" t="s">
        <v>805</v>
      </c>
      <c r="Q118" t="s">
        <v>805</v>
      </c>
      <c r="R118" t="s">
        <v>805</v>
      </c>
      <c r="S118" t="s">
        <v>805</v>
      </c>
      <c r="T118" t="s">
        <v>805</v>
      </c>
      <c r="U118" t="s">
        <v>805</v>
      </c>
      <c r="V118" t="s">
        <v>805</v>
      </c>
      <c r="W118" t="s">
        <v>805</v>
      </c>
      <c r="X118" t="s">
        <v>805</v>
      </c>
      <c r="Y118" t="s">
        <v>805</v>
      </c>
      <c r="Z118" t="s">
        <v>805</v>
      </c>
      <c r="AA118" t="s">
        <v>805</v>
      </c>
      <c r="AB118" t="s">
        <v>805</v>
      </c>
      <c r="AC118" t="s">
        <v>805</v>
      </c>
      <c r="AD118" t="s">
        <v>805</v>
      </c>
      <c r="AE118" t="s">
        <v>805</v>
      </c>
      <c r="AF118" t="s">
        <v>805</v>
      </c>
      <c r="AG118" t="s">
        <v>805</v>
      </c>
      <c r="AH118" t="s">
        <v>805</v>
      </c>
      <c r="AI118" t="s">
        <v>805</v>
      </c>
      <c r="AJ118" t="s">
        <v>805</v>
      </c>
      <c r="AK118" t="s">
        <v>805</v>
      </c>
      <c r="AL118" t="s">
        <v>805</v>
      </c>
      <c r="AM118" t="s">
        <v>805</v>
      </c>
      <c r="AN118" t="s">
        <v>805</v>
      </c>
      <c r="AO118" t="s">
        <v>805</v>
      </c>
      <c r="AP118" t="s">
        <v>805</v>
      </c>
      <c r="AQ118" t="s">
        <v>805</v>
      </c>
      <c r="AR118" t="s">
        <v>805</v>
      </c>
      <c r="AS118" t="s">
        <v>805</v>
      </c>
      <c r="AT118" t="s">
        <v>805</v>
      </c>
      <c r="AU118" t="s">
        <v>805</v>
      </c>
      <c r="AV118" t="s">
        <v>805</v>
      </c>
      <c r="AW118" t="s">
        <v>805</v>
      </c>
      <c r="AX118" t="s">
        <v>805</v>
      </c>
      <c r="AY118" t="s">
        <v>805</v>
      </c>
      <c r="AZ118" t="s">
        <v>805</v>
      </c>
      <c r="BA118" t="s">
        <v>805</v>
      </c>
      <c r="BB118" t="s">
        <v>805</v>
      </c>
      <c r="BC118" t="s">
        <v>805</v>
      </c>
      <c r="BD118" t="s">
        <v>805</v>
      </c>
      <c r="BE118" t="s">
        <v>805</v>
      </c>
      <c r="BF118" t="s">
        <v>805</v>
      </c>
      <c r="BG118" t="s">
        <v>805</v>
      </c>
      <c r="BH118" t="s">
        <v>805</v>
      </c>
      <c r="BI118" t="s">
        <v>805</v>
      </c>
      <c r="BJ118" t="s">
        <v>805</v>
      </c>
      <c r="BK118" t="s">
        <v>805</v>
      </c>
      <c r="BL118" t="s">
        <v>805</v>
      </c>
      <c r="BM118" t="s">
        <v>805</v>
      </c>
      <c r="BN118" t="s">
        <v>805</v>
      </c>
      <c r="BO118" t="s">
        <v>805</v>
      </c>
      <c r="BP118" t="s">
        <v>805</v>
      </c>
      <c r="BQ118" t="s">
        <v>805</v>
      </c>
      <c r="BR118" t="s">
        <v>805</v>
      </c>
      <c r="BS118" t="s">
        <v>805</v>
      </c>
      <c r="BT118" t="s">
        <v>805</v>
      </c>
      <c r="BU118" t="s">
        <v>805</v>
      </c>
      <c r="BV118" t="s">
        <v>805</v>
      </c>
      <c r="BW118" t="s">
        <v>805</v>
      </c>
      <c r="BX118" t="s">
        <v>805</v>
      </c>
      <c r="BY118" t="s">
        <v>805</v>
      </c>
      <c r="BZ118" t="s">
        <v>805</v>
      </c>
      <c r="CA118" t="s">
        <v>805</v>
      </c>
      <c r="CB118" t="s">
        <v>805</v>
      </c>
      <c r="CC118" t="s">
        <v>805</v>
      </c>
      <c r="CD118" t="s">
        <v>805</v>
      </c>
      <c r="CE118" t="s">
        <v>805</v>
      </c>
      <c r="CF118" t="s">
        <v>805</v>
      </c>
      <c r="CG118" t="s">
        <v>805</v>
      </c>
      <c r="CH118" t="s">
        <v>805</v>
      </c>
      <c r="CI118" t="s">
        <v>805</v>
      </c>
      <c r="CJ118" t="s">
        <v>805</v>
      </c>
      <c r="CK118" t="s">
        <v>805</v>
      </c>
      <c r="CL118" t="s">
        <v>805</v>
      </c>
      <c r="CM118" t="s">
        <v>805</v>
      </c>
      <c r="CN118" t="s">
        <v>805</v>
      </c>
      <c r="CO118" t="s">
        <v>805</v>
      </c>
      <c r="CP118" t="s">
        <v>805</v>
      </c>
      <c r="CQ118" t="s">
        <v>805</v>
      </c>
      <c r="CR118" t="s">
        <v>805</v>
      </c>
      <c r="CS118" t="s">
        <v>805</v>
      </c>
      <c r="CT118" t="s">
        <v>805</v>
      </c>
      <c r="CU118" t="s">
        <v>805</v>
      </c>
      <c r="CV118" t="s">
        <v>805</v>
      </c>
      <c r="CW118" t="s">
        <v>805</v>
      </c>
      <c r="CX118" t="s">
        <v>805</v>
      </c>
      <c r="CY118" t="s">
        <v>805</v>
      </c>
      <c r="CZ118" t="s">
        <v>805</v>
      </c>
      <c r="DA118" t="s">
        <v>805</v>
      </c>
      <c r="DB118" t="s">
        <v>805</v>
      </c>
      <c r="DC118" t="s">
        <v>805</v>
      </c>
      <c r="DD118" t="s">
        <v>805</v>
      </c>
      <c r="DE118" t="s">
        <v>805</v>
      </c>
      <c r="DF118" t="s">
        <v>805</v>
      </c>
      <c r="DG118" s="28">
        <f>VLOOKUP(E118,'KPI Count-SHARE'!A:F,3,0)</f>
        <v>0</v>
      </c>
      <c r="DH118" t="s">
        <v>805</v>
      </c>
      <c r="DI118" t="s">
        <v>805</v>
      </c>
      <c r="DJ118" t="s">
        <v>805</v>
      </c>
      <c r="DK118" t="s">
        <v>805</v>
      </c>
      <c r="DL118" t="s">
        <v>805</v>
      </c>
      <c r="DM118" t="s">
        <v>805</v>
      </c>
      <c r="DN118" s="28">
        <f>VLOOKUP(E118,'KPI Count-SHARE'!A:F,4,0)</f>
        <v>0</v>
      </c>
      <c r="DU118" s="28">
        <f>VLOOKUP(E118,'KPI Count-SHARE'!A:F,5,0)</f>
        <v>0</v>
      </c>
      <c r="EB118" s="28">
        <f>VLOOKUP(E118,'KPI Count-SHARE'!A:F,6,0)</f>
        <v>0</v>
      </c>
      <c r="EI118" t="s">
        <v>531</v>
      </c>
      <c r="EJ118" s="41" t="str">
        <f t="shared" ref="EJ118" si="923">IFERROR(IF(ISBLANK(J118), "-", IF(OR($I118="c",$I118="r"), J118*$I$5, J118)),"-")</f>
        <v/>
      </c>
      <c r="EK118" s="41" t="str">
        <f t="shared" ref="EK118" si="924">IFERROR(IF(ISBLANK(K118), "-", IF($I118="c", K118*$I$5, K118)),"-")</f>
        <v/>
      </c>
      <c r="EL118" s="41" t="str">
        <f t="shared" ref="EL118" si="925">IFERROR(IF(ISBLANK(L118), "-", IF($I118="c", L118*$I$5, L118)),"-")</f>
        <v/>
      </c>
      <c r="EM118" s="41" t="str">
        <f t="shared" ref="EM118" si="926">IFERROR(IF(ISBLANK(M118), "-", IF($I118="c", M118*$I$5,M118)),"-")</f>
        <v/>
      </c>
      <c r="EN118" s="41" t="str">
        <f t="shared" ref="EN118" si="927">IFERROR(IF(ISBLANK(N118), "-", IF($I118="c", N118*$I$5, N118)),"-")</f>
        <v/>
      </c>
      <c r="EO118" s="41" t="str">
        <f t="shared" ref="EO118" si="928">IFERROR(IF(ISBLANK(O118), "-", IF($I118="c", O118*$I$5,O118)),"-")</f>
        <v/>
      </c>
      <c r="EP118" s="41" t="str">
        <f t="shared" ref="EP118" si="929">IFERROR(IF(ISBLANK(P118), "-", IF($I118="c", P118*$I$5, P118)),"-")</f>
        <v/>
      </c>
      <c r="EQ118" s="41" t="str">
        <f t="shared" ref="EQ118" si="930">IFERROR(IF(ISBLANK(Q118), "-", IF($I118="c", Q118*$I$5, Q118)),"-")</f>
        <v/>
      </c>
      <c r="ER118" s="41" t="str">
        <f t="shared" ref="ER118" si="931">IFERROR(IF(ISBLANK(R118), "-", IF($I118="c", R118*$I$5, R118)),"-")</f>
        <v/>
      </c>
      <c r="ES118" s="41" t="str">
        <f t="shared" ref="ES118" si="932">IFERROR(IF(ISBLANK(S118), "-", IF($I118="c", S118*$I$5, S118)),"-")</f>
        <v/>
      </c>
      <c r="ET118" s="41" t="str">
        <f t="shared" ref="ET118" si="933">IFERROR(IF(ISBLANK(T118), "-", IF($I118="c", T118*$I$5, T118)),"-")</f>
        <v/>
      </c>
      <c r="EU118" s="41" t="str">
        <f t="shared" ref="EU118" si="934">IFERROR(IF(ISBLANK(U118), "-", IF($I118="c", U118*$I$5, U118)),"-")</f>
        <v/>
      </c>
      <c r="EV118" s="41" t="str">
        <f t="shared" ref="EV118" si="935">IFERROR(IF(ISBLANK(V118), "-", IF($I118="c", V118*$I$5, V118)),"-")</f>
        <v/>
      </c>
      <c r="EW118" s="41" t="str">
        <f t="shared" ref="EW118" si="936">IFERROR(IF(ISBLANK(W118), "-", IF($I118="c", W118*$I$5, W118)),"-")</f>
        <v/>
      </c>
      <c r="EX118" s="41" t="str">
        <f t="shared" ref="EX118" si="937">IFERROR(IF(ISBLANK(X118), "-", IF($I118="c", X118*$I$5, X118)),"-")</f>
        <v/>
      </c>
      <c r="EY118" s="41" t="str">
        <f t="shared" ref="EY118" si="938">IFERROR(IF(ISBLANK(Y118), "-", IF($I118="c", Y118*$I$5, Y118)),"-")</f>
        <v/>
      </c>
      <c r="EZ118" s="41" t="str">
        <f t="shared" ref="EZ118" si="939">IFERROR(IF(ISBLANK(Z118), "-", IF($I118="c", Z118*$I$5, Z118)),"-")</f>
        <v/>
      </c>
      <c r="FA118" s="41" t="str">
        <f t="shared" ref="FA118" si="940">IFERROR(IF(ISBLANK(AA118), "-", IF($I118="c", AA118*$I$5, AA118)),"-")</f>
        <v/>
      </c>
      <c r="FB118" s="41" t="str">
        <f t="shared" ref="FB118" si="941">IFERROR(IF(ISBLANK(AB118), "-", IF($I118="c", AB118*$I$5, AB118)),"-")</f>
        <v/>
      </c>
      <c r="FC118" s="41" t="str">
        <f t="shared" ref="FC118" si="942">IFERROR(IF(ISBLANK(AC118), "-", IF($I118="c", AC118*$I$5, AC118)),"-")</f>
        <v/>
      </c>
      <c r="FD118" s="41" t="str">
        <f t="shared" ref="FD118" si="943">IFERROR(IF(ISBLANK(AD118), "-", IF($I118="c", AD118*$I$5, AD118)),"-")</f>
        <v/>
      </c>
      <c r="FE118" s="41" t="str">
        <f t="shared" ref="FE118" si="944">IFERROR(IF(ISBLANK(AE118), "-", IF($I118="c", AE118*$I$5, AE118)),"-")</f>
        <v/>
      </c>
      <c r="FF118" s="41" t="str">
        <f t="shared" ref="FF118" si="945">IFERROR(IF(ISBLANK(AF118), "-", IF($I118="c", AF118*$I$5, AF118)),"-")</f>
        <v/>
      </c>
      <c r="FG118" s="41" t="str">
        <f t="shared" ref="FG118" si="946">IFERROR(IF(ISBLANK(AG118), "-", IF($I118="c", AG118*$I$5, AG118)),"-")</f>
        <v/>
      </c>
      <c r="FH118" s="41" t="str">
        <f t="shared" ref="FH118" si="947">IFERROR(IF(ISBLANK(AH118), "-", IF($I118="c", AH118*$I$5, AH118)),"-")</f>
        <v/>
      </c>
      <c r="FI118" s="41" t="str">
        <f t="shared" ref="FI118" si="948">IFERROR(IF(ISBLANK(AI118), "-", IF($I118="c", AI118*$I$5, AI118)),"-")</f>
        <v/>
      </c>
      <c r="FJ118" s="41" t="str">
        <f t="shared" ref="FJ118" si="949">IFERROR(IF(ISBLANK(AJ118), "-", IF($I118="c", AJ118*$I$5, AJ118)),"-")</f>
        <v/>
      </c>
      <c r="FK118" s="41" t="str">
        <f t="shared" ref="FK118" si="950">IFERROR(IF(ISBLANK(AK118), "-", IF($I118="c", AK118*$I$5, AK118)),"-")</f>
        <v/>
      </c>
      <c r="FL118" s="41" t="str">
        <f t="shared" ref="FL118" si="951">IFERROR(IF(ISBLANK(AL118), "-", IF($I118="c", AL118*$I$5, AL118)),"-")</f>
        <v/>
      </c>
      <c r="FM118" s="41" t="str">
        <f t="shared" ref="FM118" si="952">IFERROR(IF(ISBLANK(AM118), "-", IF($I118="c", AM118*$I$5, AM118)),"-")</f>
        <v/>
      </c>
      <c r="FN118" s="41" t="str">
        <f t="shared" ref="FN118" si="953">IFERROR(IF(ISBLANK(AN118), "-", IF($I118="c", AN118*$I$5, AN118)),"-")</f>
        <v/>
      </c>
      <c r="FO118" s="41" t="str">
        <f t="shared" ref="FO118" si="954">IFERROR(IF(ISBLANK(AO118), "-", IF($I118="c", AO118*$I$5, AO118)),"-")</f>
        <v/>
      </c>
      <c r="FP118" s="41" t="str">
        <f t="shared" ref="FP118" si="955">IFERROR(IF(ISBLANK(AP118), "-", IF($I118="c", AP118*$I$5, AP118)),"-")</f>
        <v/>
      </c>
      <c r="FQ118" s="41" t="str">
        <f t="shared" ref="FQ118" si="956">IFERROR(IF(ISBLANK(AQ118), "-", IF($I118="c", AQ118*$I$5, AQ118)),"-")</f>
        <v/>
      </c>
      <c r="FR118" s="41" t="str">
        <f t="shared" ref="FR118" si="957">IFERROR(IF(ISBLANK(AR118), "-", IF($I118="c", AR118*$I$5, AR118)),"-")</f>
        <v/>
      </c>
      <c r="FS118" s="41" t="str">
        <f t="shared" ref="FS118" si="958">IFERROR(IF(ISBLANK(AS118), "-", IF($I118="c", AS118*$I$5, AS118)),"-")</f>
        <v/>
      </c>
      <c r="FT118" s="41" t="str">
        <f t="shared" ref="FT118" si="959">IFERROR(IF(ISBLANK(AT118), "-", IF($I118="c", AT118*$I$5, AT118)),"-")</f>
        <v/>
      </c>
      <c r="FU118" s="41" t="str">
        <f t="shared" ref="FU118" si="960">IFERROR(IF(ISBLANK(AU118), "-", IF($I118="c", AU118*$I$5, AU118)),"-")</f>
        <v/>
      </c>
      <c r="FV118" s="41" t="str">
        <f t="shared" ref="FV118" si="961">IFERROR(IF(ISBLANK(AV118), "-", IF($I118="c", AV118*$I$5, AV118)),"-")</f>
        <v/>
      </c>
      <c r="FW118" s="41" t="str">
        <f t="shared" ref="FW118" si="962">IFERROR(IF(ISBLANK(AW118), "-", IF($I118="c", AW118*$I$5, AW118)),"-")</f>
        <v/>
      </c>
      <c r="FX118" s="41" t="str">
        <f t="shared" ref="FX118" si="963">IFERROR(IF(ISBLANK(AX118), "-", IF($I118="c", AX118*$I$5, AX118)),"-")</f>
        <v/>
      </c>
      <c r="FY118" s="41" t="str">
        <f t="shared" ref="FY118" si="964">IFERROR(IF(ISBLANK(AY118), "-", IF($I118="c", AY118*$I$5, AY118)),"-")</f>
        <v/>
      </c>
      <c r="FZ118" s="41" t="str">
        <f t="shared" ref="FZ118" si="965">IFERROR(IF(ISBLANK(AZ118), "-", IF($I118="c", AZ118*$I$5, AZ118)),"-")</f>
        <v/>
      </c>
      <c r="GA118" s="41" t="str">
        <f t="shared" ref="GA118" si="966">IFERROR(IF(ISBLANK(BA118), "-", IF($I118="c", BA118*$I$5, BA118)),"-")</f>
        <v/>
      </c>
      <c r="GB118" s="41" t="str">
        <f t="shared" ref="GB118" si="967">IFERROR(IF(ISBLANK(BB118), "-", IF($I118="c", BB118*$I$5, BB118)),"-")</f>
        <v/>
      </c>
      <c r="GC118" s="41" t="str">
        <f t="shared" ref="GC118" si="968">IFERROR(IF(ISBLANK(BC118), "-", IF($I118="c", BC118*$I$5, BC118)),"-")</f>
        <v/>
      </c>
      <c r="GD118" s="41" t="str">
        <f t="shared" ref="GD118" si="969">IFERROR(IF(ISBLANK(BD118), "-", IF($I118="c", BD118*$I$5, BD118)),"-")</f>
        <v/>
      </c>
      <c r="GE118" s="41" t="str">
        <f t="shared" ref="GE118" si="970">IFERROR(IF(ISBLANK(BE118), "-", IF($I118="c", BE118*$I$5, BE118)),"-")</f>
        <v/>
      </c>
      <c r="GF118" s="41" t="str">
        <f t="shared" ref="GF118" si="971">IFERROR(IF(ISBLANK(BF118), "-", IF($I118="c", BF118*$I$5, BF118)),"-")</f>
        <v/>
      </c>
      <c r="GG118" s="41" t="str">
        <f t="shared" ref="GG118" si="972">IFERROR(IF(ISBLANK(BG118), "-", IF($I118="c", BG118*$I$5, BG118)),"-")</f>
        <v/>
      </c>
      <c r="GH118" s="41" t="str">
        <f t="shared" ref="GH118" si="973">IFERROR(IF(ISBLANK(BH118), "-", IF($I118="c", BH118*$I$5, BH118)),"-")</f>
        <v/>
      </c>
      <c r="GI118" s="41" t="str">
        <f t="shared" ref="GI118" si="974">IFERROR(IF(ISBLANK(BI118), "-", IF($I118="c", BI118*$I$5, BI118)),"-")</f>
        <v/>
      </c>
      <c r="GJ118" s="41" t="str">
        <f t="shared" ref="GJ118" si="975">IFERROR(IF(ISBLANK(BJ118), "-", IF($I118="c", BJ118*$I$5, BJ118)),"-")</f>
        <v/>
      </c>
      <c r="GK118" s="41" t="str">
        <f t="shared" ref="GK118" si="976">IFERROR(IF(ISBLANK(BK118), "-", IF($I118="c", BK118*$I$5, BK118)),"-")</f>
        <v/>
      </c>
      <c r="GL118" s="41" t="str">
        <f t="shared" ref="GL118" si="977">IFERROR(IF(ISBLANK(BL118), "-", IF($I118="c", BL118*$I$5, BL118)),"-")</f>
        <v/>
      </c>
      <c r="GM118" s="41" t="str">
        <f t="shared" ref="GM118" si="978">IFERROR(IF(ISBLANK(BM118), "-", IF($I118="c", BM118*$I$5, BM118)),"-")</f>
        <v/>
      </c>
      <c r="GN118" s="41" t="str">
        <f t="shared" ref="GN118" si="979">IFERROR(IF(ISBLANK(BN118), "-", IF($I118="c", BN118*$I$5, BN118)),"-")</f>
        <v/>
      </c>
      <c r="GO118" s="41" t="str">
        <f t="shared" ref="GO118" si="980">IFERROR(IF(ISBLANK(BO118), "-", IF($I118="c", BO118*$I$5, BO118)),"-")</f>
        <v/>
      </c>
      <c r="GP118" s="41" t="str">
        <f t="shared" ref="GP118" si="981">IFERROR(IF(ISBLANK(BP118), "-", IF($I118="c", BP118*$I$5, BP118)),"-")</f>
        <v/>
      </c>
      <c r="GQ118" s="41" t="str">
        <f t="shared" ref="GQ118" si="982">IFERROR(IF(ISBLANK(BQ118), "-", IF($I118="c", BQ118*$I$5, BQ118)),"-")</f>
        <v/>
      </c>
      <c r="GR118" s="41" t="str">
        <f t="shared" ref="GR118" si="983">IFERROR(IF(ISBLANK(BR118), "-", IF($I118="c", BR118*$I$5, BR118)),"-")</f>
        <v/>
      </c>
      <c r="GS118" s="41" t="str">
        <f t="shared" ref="GS118" si="984">IFERROR(IF(ISBLANK(BS118), "-", IF($I118="c", BS118*$I$5, BS118)),"-")</f>
        <v/>
      </c>
      <c r="GT118" s="41" t="str">
        <f t="shared" ref="GT118" si="985">IFERROR(IF(ISBLANK(BT118), "-", IF($I118="c", BT118*$I$5, BT118)),"-")</f>
        <v/>
      </c>
      <c r="GU118" s="41" t="str">
        <f t="shared" ref="GU118" si="986">IFERROR(IF(ISBLANK(BU118), "-", IF($I118="c", BU118*$I$5, BU118)),"-")</f>
        <v/>
      </c>
      <c r="GV118" s="41" t="str">
        <f t="shared" ref="GV118" si="987">IFERROR(IF(ISBLANK(BV118), "-", IF($I118="c", BV118*$I$5, BV118)),"-")</f>
        <v/>
      </c>
      <c r="GW118" s="41" t="str">
        <f t="shared" ref="GW118" si="988">IFERROR(IF(ISBLANK(BW118), "-", IF($I118="c", BW118*$I$5, BW118)),"-")</f>
        <v/>
      </c>
      <c r="GX118" s="41" t="str">
        <f t="shared" ref="GX118" si="989">IFERROR(IF(ISBLANK(BX118), "-", IF($I118="c", BX118*$I$5, BX118)),"-")</f>
        <v/>
      </c>
      <c r="GY118" s="41" t="str">
        <f t="shared" ref="GY118" si="990">IFERROR(IF(ISBLANK(BY118), "-", IF($I118="c", BY118*$I$5, BY118)),"-")</f>
        <v/>
      </c>
      <c r="GZ118" s="41" t="str">
        <f t="shared" ref="GZ118" si="991">IFERROR(IF(ISBLANK(BZ118), "-", IF($I118="c", BZ118*$I$5, BZ118)),"-")</f>
        <v/>
      </c>
      <c r="HA118" s="41" t="str">
        <f t="shared" ref="HA118" si="992">IFERROR(IF(ISBLANK(CA118), "-", IF($I118="c", CA118*$I$5, CA118)),"-")</f>
        <v/>
      </c>
      <c r="HB118" s="41" t="str">
        <f t="shared" ref="HB118" si="993">IFERROR(IF(ISBLANK(CB118), "-", IF($I118="c", CB118*$I$5, CB118)),"-")</f>
        <v/>
      </c>
      <c r="HC118" s="41" t="str">
        <f t="shared" ref="HC118" si="994">IFERROR(IF(ISBLANK(CC118), "-", IF($I118="c", CC118*$I$5, CC118)),"-")</f>
        <v/>
      </c>
      <c r="HD118" s="41" t="str">
        <f t="shared" ref="HD118" si="995">IFERROR(IF(ISBLANK(CD118), "-", IF($I118="c", CD118*$I$5, CD118)),"-")</f>
        <v/>
      </c>
      <c r="HE118" s="41" t="str">
        <f t="shared" ref="HE118" si="996">IFERROR(IF(ISBLANK(CE118), "-", IF($I118="c", CE118*$I$5, CE118)),"-")</f>
        <v/>
      </c>
      <c r="HF118" s="41" t="str">
        <f t="shared" ref="HF118" si="997">IFERROR(IF(ISBLANK(CF118), "-", IF($I118="c", CF118*$I$5, CF118)),"-")</f>
        <v/>
      </c>
      <c r="HG118" s="41" t="str">
        <f t="shared" ref="HG118" si="998">IFERROR(IF(ISBLANK(CG118), "-", IF($I118="c", CG118*$I$5, CG118)),"-")</f>
        <v/>
      </c>
      <c r="HH118" s="41" t="str">
        <f t="shared" ref="HH118" si="999">IFERROR(IF(ISBLANK(CH118), "-", IF($I118="c", CH118*$I$5, CH118)),"-")</f>
        <v/>
      </c>
      <c r="HI118" s="41" t="str">
        <f t="shared" ref="HI118" si="1000">IFERROR(IF(ISBLANK(CI118), "-", IF($I118="c", CI118*$I$5, CI118)),"-")</f>
        <v/>
      </c>
      <c r="HJ118" s="41" t="str">
        <f t="shared" ref="HJ118" si="1001">IFERROR(IF(ISBLANK(CJ118), "-", IF($I118="c", CJ118*$I$5, CJ118)),"-")</f>
        <v/>
      </c>
      <c r="HK118" s="41" t="str">
        <f t="shared" ref="HK118" si="1002">IFERROR(IF(ISBLANK(CK118), "-", IF($I118="c", CK118*$I$5, CK118)),"-")</f>
        <v/>
      </c>
      <c r="HL118" s="41" t="str">
        <f t="shared" ref="HL118" si="1003">IFERROR(IF(ISBLANK(CL118), "-", IF($I118="c", CL118*$I$5, CL118)),"-")</f>
        <v/>
      </c>
      <c r="HM118" s="41" t="str">
        <f t="shared" ref="HM118" si="1004">IFERROR(IF(ISBLANK(CM118), "-", IF($I118="c", CM118*$I$5, CM118)),"-")</f>
        <v/>
      </c>
      <c r="HN118" s="41" t="str">
        <f t="shared" ref="HN118" si="1005">IFERROR(IF(ISBLANK(CN118), "-", IF($I118="c", CN118*$I$5, CN118)),"-")</f>
        <v/>
      </c>
      <c r="HO118" s="41" t="str">
        <f t="shared" ref="HO118" si="1006">IFERROR(IF(ISBLANK(CO118), "-", IF($I118="c", CO118*$I$5, CO118)),"-")</f>
        <v/>
      </c>
      <c r="HP118" s="41" t="str">
        <f t="shared" ref="HP118" si="1007">IFERROR(IF(ISBLANK(CP118), "-", IF($I118="c", CP118*$I$5, CP118)),"-")</f>
        <v/>
      </c>
      <c r="HQ118" s="41" t="str">
        <f t="shared" ref="HQ118" si="1008">IFERROR(IF(ISBLANK(CQ118), "-", IF($I118="c", CQ118*$I$5, CQ118)),"-")</f>
        <v/>
      </c>
      <c r="HR118" s="41" t="str">
        <f t="shared" ref="HR118" si="1009">IFERROR(IF(ISBLANK(CR118), "-", IF($I118="c", CR118*$I$5, CR118)),"-")</f>
        <v/>
      </c>
      <c r="HS118" s="41" t="str">
        <f t="shared" ref="HS118" si="1010">IFERROR(IF(ISBLANK(CS118), "-", IF($I118="c", CS118*$I$5, CS118)),"-")</f>
        <v/>
      </c>
      <c r="HT118" s="41" t="str">
        <f t="shared" ref="HT118" si="1011">IFERROR(IF(ISBLANK(CT118), "-", IF($I118="c", CT118*$I$5, CT118)),"-")</f>
        <v/>
      </c>
      <c r="HU118" s="41" t="str">
        <f t="shared" ref="HU118" si="1012">IFERROR(IF(ISBLANK(CU118), "-", IF($I118="c", CU118*$I$5, CU118)),"-")</f>
        <v/>
      </c>
      <c r="HV118" s="41" t="str">
        <f t="shared" ref="HV118" si="1013">IFERROR(IF(ISBLANK(CV118), "-", IF($I118="c", CV118*$I$5, CV118)),"-")</f>
        <v/>
      </c>
      <c r="HW118" s="41" t="str">
        <f t="shared" ref="HW118" si="1014">IFERROR(IF(ISBLANK(CW118), "-", IF($I118="c", CW118*$I$5, CW118)),"-")</f>
        <v/>
      </c>
      <c r="HX118" s="41" t="str">
        <f t="shared" ref="HX118" si="1015">IFERROR(IF(ISBLANK(CX118), "-", IF($I118="c", CX118*$I$5, CX118)),"-")</f>
        <v/>
      </c>
      <c r="HY118" s="41" t="str">
        <f t="shared" ref="HY118" si="1016">IFERROR(IF(ISBLANK(CY118), "-", IF($I118="c", CY118*$I$5, CY118)),"-")</f>
        <v/>
      </c>
      <c r="HZ118" s="41" t="str">
        <f t="shared" ref="HZ118" si="1017">IFERROR(IF(ISBLANK(CZ118), "-", IF($I118="c", CZ118*$I$5, CZ118)),"-")</f>
        <v/>
      </c>
      <c r="IA118" s="41" t="str">
        <f t="shared" ref="IA118" si="1018">IFERROR(IF(ISBLANK(DA118), "-", IF($I118="c", DA118*$I$5, DA118)),"-")</f>
        <v/>
      </c>
      <c r="IB118" s="41" t="str">
        <f t="shared" ref="IB118" si="1019">IFERROR(IF(ISBLANK(DB118), "-", IF($I118="c", DB118*$I$5, DB118)),"-")</f>
        <v/>
      </c>
      <c r="IC118" s="41" t="str">
        <f t="shared" ref="IC118" si="1020">IFERROR(IF(ISBLANK(DC118), "-", IF($I118="c", DC118*$I$5, DC118)),"-")</f>
        <v/>
      </c>
      <c r="ID118" s="41" t="str">
        <f t="shared" ref="ID118" si="1021">IFERROR(IF(ISBLANK(DD118), "-", IF($I118="c", DD118*$I$5, DD118)),"-")</f>
        <v/>
      </c>
      <c r="IE118" s="41" t="str">
        <f t="shared" ref="IE118" si="1022">IFERROR(IF(ISBLANK(DE118), "-", IF($I118="c", DE118*$I$5, DE118)),"-")</f>
        <v/>
      </c>
      <c r="IF118" s="41" t="str">
        <f t="shared" ref="IF118" si="1023">IFERROR(IF(ISBLANK(DF118), "-", IF($I118="c", DF118*$I$5, DF118)),"-")</f>
        <v/>
      </c>
      <c r="IG118" s="306" t="str">
        <f t="shared" ref="IG118" si="1024">IFERROR(IF(ISBLANK(DH118), "-", IF($I118="c", DH118*$I$5, DH118)),"-")</f>
        <v/>
      </c>
      <c r="IH118" s="44" t="str">
        <f t="shared" ref="IH118" si="1025">IFERROR(IF(ISBLANK(DI118), "-", IF($I118="c", DI118*$I$5, DI118)),"-")</f>
        <v/>
      </c>
      <c r="II118" s="44" t="str">
        <f t="shared" ref="II118" si="1026">IFERROR(IF(ISBLANK(DJ118), "-", IF($I118="c", DJ118*$I$5, DJ118)),"-")</f>
        <v/>
      </c>
      <c r="IJ118" s="44" t="str">
        <f t="shared" ref="IJ118" si="1027">IFERROR(IF(ISBLANK(DK118), "-", IF($I118="c", DK118*$I$5, DK118)),"-")</f>
        <v/>
      </c>
      <c r="IK118" s="44" t="str">
        <f t="shared" ref="IK118" si="1028">IFERROR(IF(ISBLANK(DL118), "-", IF($I118="c", DL118*$I$5, DL118)),"-")</f>
        <v/>
      </c>
      <c r="IL118" s="44" t="str">
        <f t="shared" ref="IL118" si="1029">IFERROR(IF(ISBLANK(DM118), "-", IF($I118="c", DM118*$I$5, DM118)),"-")</f>
        <v/>
      </c>
      <c r="IM118" s="306" t="str">
        <f t="shared" ref="IM118" si="1030">IFERROR(IF(ISBLANK(DO118), "", IF($I118="c",DO118*$I$5, DO118)),"-")</f>
        <v/>
      </c>
      <c r="IN118" s="44" t="str">
        <f t="shared" ref="IN118" si="1031">IFERROR(IF(ISBLANK(DP118), "", IF($I118="c",DP118*$I$5, DP118)),"-")</f>
        <v/>
      </c>
      <c r="IO118" s="44" t="str">
        <f t="shared" ref="IO118" si="1032">IFERROR(IF(ISBLANK(DQ118), "", IF($I118="c",DQ118*$I$5, DQ118)),"-")</f>
        <v/>
      </c>
      <c r="IP118" s="44" t="str">
        <f t="shared" ref="IP118" si="1033">IFERROR(IF(ISBLANK(DR118), "", IF($I118="c",DR118*$I$5, DR118)),"-")</f>
        <v/>
      </c>
      <c r="IQ118" s="44" t="str">
        <f t="shared" ref="IQ118" si="1034">IFERROR(IF(ISBLANK(DS118), "", IF($I118="c",DS118*$I$5, DS118)),"-")</f>
        <v/>
      </c>
      <c r="IR118" s="44" t="str">
        <f t="shared" ref="IR118" si="1035">IFERROR(IF(ISBLANK(DT118), "", IF($I118="c",DT118*$I$5, DT118)),"-")</f>
        <v/>
      </c>
      <c r="IS118" s="306" t="str">
        <f t="shared" ref="IS118" si="1036">IFERROR(IF(ISBLANK(DV118), "", IF($I118="c", DV118*$I$5, DV118)),"-")</f>
        <v/>
      </c>
      <c r="IT118" s="44" t="str">
        <f t="shared" ref="IT118" si="1037">IFERROR(IF(ISBLANK(DW118), "", IF($I118="c", DW118*$I$5, DW118)),"-")</f>
        <v/>
      </c>
      <c r="IU118" s="44" t="str">
        <f t="shared" ref="IU118" si="1038">IFERROR(IF(ISBLANK(DX118), "", IF($I118="c", DX118*$I$5, DX118)),"-")</f>
        <v/>
      </c>
      <c r="IV118" s="44" t="str">
        <f t="shared" ref="IV118" si="1039">IFERROR(IF(ISBLANK(DY118), "", IF($I118="c", DY118*$I$5, DY118)),"-")</f>
        <v/>
      </c>
      <c r="IW118" s="44" t="str">
        <f t="shared" ref="IW118" si="1040">IFERROR(IF(ISBLANK(DZ118), "", IF($I118="c", DZ118*$I$5, DZ118)),"-")</f>
        <v/>
      </c>
      <c r="IX118" s="44" t="str">
        <f t="shared" ref="IX118" si="1041">IFERROR(IF(ISBLANK(EA118), "", IF($I118="c", EA118*$I$5, EA118)),"-")</f>
        <v/>
      </c>
      <c r="IY118" s="306" t="str">
        <f t="shared" ref="IY118" si="1042">IFERROR(IF(ISBLANK(EC118), "", IF($I118="c", EC118*$I$5, EC118)),"-")</f>
        <v/>
      </c>
      <c r="IZ118" s="44" t="str">
        <f t="shared" ref="IZ118" si="1043">IFERROR(IF(ISBLANK(ED118), "", IF($I118="c", ED118*$I$5, ED118)),"-")</f>
        <v/>
      </c>
      <c r="JA118" s="44" t="str">
        <f t="shared" ref="JA118" si="1044">IFERROR(IF(ISBLANK(EE118), "", IF($I118="c", EE118*$I$5, EE118)),"-")</f>
        <v/>
      </c>
      <c r="JB118" s="44" t="str">
        <f t="shared" ref="JB118" si="1045">IFERROR(IF(ISBLANK(EF118), "", IF($I118="c", EF118*$I$5, EF118)),"-")</f>
        <v/>
      </c>
      <c r="JC118" s="44" t="str">
        <f t="shared" ref="JC118" si="1046">IFERROR(IF(ISBLANK(EG118), "", IF($I118="c", EG118*$I$5, EG118)),"-")</f>
        <v/>
      </c>
      <c r="JD118" s="307" t="str">
        <f t="shared" ref="JD118" si="1047">IFERROR(IF(ISBLANK(EH118), "", IF($I118="c", EH118*$I$5, EH118)),"-")</f>
        <v/>
      </c>
      <c r="JF118" s="66">
        <f t="shared" si="779"/>
        <v>118</v>
      </c>
      <c r="JG118" s="66">
        <f t="shared" ca="1" si="789"/>
        <v>0</v>
      </c>
      <c r="JH118" s="66">
        <f t="shared" ca="1" si="790"/>
        <v>0</v>
      </c>
      <c r="JI118" s="66">
        <f t="shared" ca="1" si="791"/>
        <v>0</v>
      </c>
      <c r="JJ118" s="66">
        <f t="shared" ca="1" si="792"/>
        <v>0</v>
      </c>
      <c r="JK118" s="33"/>
      <c r="JL118" s="74" t="str">
        <f t="shared" ca="1" si="793"/>
        <v>-</v>
      </c>
      <c r="JM118" s="75">
        <f t="shared" ca="1" si="794"/>
        <v>0</v>
      </c>
      <c r="JN118" s="75">
        <f t="shared" ca="1" si="795"/>
        <v>0</v>
      </c>
      <c r="JO118" s="74" t="str">
        <f t="shared" ca="1" si="796"/>
        <v>-</v>
      </c>
      <c r="JP118" s="74">
        <f t="shared" ca="1" si="797"/>
        <v>0</v>
      </c>
    </row>
    <row r="119" spans="1:276" hidden="1" x14ac:dyDescent="0.35">
      <c r="A119" s="125" t="s">
        <v>805</v>
      </c>
      <c r="B119" s="125" t="s">
        <v>805</v>
      </c>
      <c r="C119" s="125" t="s">
        <v>805</v>
      </c>
      <c r="E119" s="142"/>
      <c r="F119" s="255"/>
      <c r="J119" s="211" t="s">
        <v>805</v>
      </c>
      <c r="K119" t="s">
        <v>805</v>
      </c>
      <c r="L119" t="s">
        <v>805</v>
      </c>
      <c r="M119" t="s">
        <v>805</v>
      </c>
      <c r="N119" t="s">
        <v>805</v>
      </c>
      <c r="O119" t="s">
        <v>805</v>
      </c>
      <c r="P119" t="s">
        <v>805</v>
      </c>
      <c r="Q119" t="s">
        <v>805</v>
      </c>
      <c r="R119" t="s">
        <v>805</v>
      </c>
      <c r="S119" t="s">
        <v>805</v>
      </c>
      <c r="T119" t="s">
        <v>805</v>
      </c>
      <c r="U119" t="s">
        <v>805</v>
      </c>
      <c r="V119" t="s">
        <v>805</v>
      </c>
      <c r="W119" t="s">
        <v>805</v>
      </c>
      <c r="X119" t="s">
        <v>805</v>
      </c>
      <c r="Y119" t="s">
        <v>805</v>
      </c>
      <c r="Z119" t="s">
        <v>805</v>
      </c>
      <c r="AA119" t="s">
        <v>805</v>
      </c>
      <c r="AB119" t="s">
        <v>805</v>
      </c>
      <c r="AC119" t="s">
        <v>805</v>
      </c>
      <c r="AD119" t="s">
        <v>805</v>
      </c>
      <c r="AE119" t="s">
        <v>805</v>
      </c>
      <c r="AF119" t="s">
        <v>805</v>
      </c>
      <c r="AG119" t="s">
        <v>805</v>
      </c>
      <c r="AH119" t="s">
        <v>805</v>
      </c>
      <c r="AI119" t="s">
        <v>805</v>
      </c>
      <c r="AJ119" t="s">
        <v>805</v>
      </c>
      <c r="AK119" t="s">
        <v>805</v>
      </c>
      <c r="AL119" t="s">
        <v>805</v>
      </c>
      <c r="AM119" t="s">
        <v>805</v>
      </c>
      <c r="AN119" t="s">
        <v>805</v>
      </c>
      <c r="AO119" t="s">
        <v>805</v>
      </c>
      <c r="AP119" t="s">
        <v>805</v>
      </c>
      <c r="AQ119" t="s">
        <v>805</v>
      </c>
      <c r="AR119" t="s">
        <v>805</v>
      </c>
      <c r="AS119" t="s">
        <v>805</v>
      </c>
      <c r="AT119" t="s">
        <v>805</v>
      </c>
      <c r="AU119" t="s">
        <v>805</v>
      </c>
      <c r="AV119" t="s">
        <v>805</v>
      </c>
      <c r="AW119" t="s">
        <v>805</v>
      </c>
      <c r="AX119" t="s">
        <v>805</v>
      </c>
      <c r="AY119" t="s">
        <v>805</v>
      </c>
      <c r="AZ119" t="s">
        <v>805</v>
      </c>
      <c r="BA119" t="s">
        <v>805</v>
      </c>
      <c r="BB119" t="s">
        <v>805</v>
      </c>
      <c r="BC119" t="s">
        <v>805</v>
      </c>
      <c r="BD119" t="s">
        <v>805</v>
      </c>
      <c r="BE119" t="s">
        <v>805</v>
      </c>
      <c r="BF119" t="s">
        <v>805</v>
      </c>
      <c r="BG119" t="s">
        <v>805</v>
      </c>
      <c r="BH119" t="s">
        <v>805</v>
      </c>
      <c r="BI119" t="s">
        <v>805</v>
      </c>
      <c r="BJ119" t="s">
        <v>805</v>
      </c>
      <c r="BK119" t="s">
        <v>805</v>
      </c>
      <c r="BL119" t="s">
        <v>805</v>
      </c>
      <c r="BM119" t="s">
        <v>805</v>
      </c>
      <c r="BN119" t="s">
        <v>805</v>
      </c>
      <c r="BO119" t="s">
        <v>805</v>
      </c>
      <c r="BP119" t="s">
        <v>805</v>
      </c>
      <c r="BQ119" t="s">
        <v>805</v>
      </c>
      <c r="BR119" t="s">
        <v>805</v>
      </c>
      <c r="BS119" t="s">
        <v>805</v>
      </c>
      <c r="BT119" t="s">
        <v>805</v>
      </c>
      <c r="BU119" t="s">
        <v>805</v>
      </c>
      <c r="BV119" t="s">
        <v>805</v>
      </c>
      <c r="BW119" t="s">
        <v>805</v>
      </c>
      <c r="BX119" t="s">
        <v>805</v>
      </c>
      <c r="BY119" t="s">
        <v>805</v>
      </c>
      <c r="BZ119" t="s">
        <v>805</v>
      </c>
      <c r="CA119" t="s">
        <v>805</v>
      </c>
      <c r="CB119" t="s">
        <v>805</v>
      </c>
      <c r="CC119" t="s">
        <v>805</v>
      </c>
      <c r="CD119" t="s">
        <v>805</v>
      </c>
      <c r="CE119" t="s">
        <v>805</v>
      </c>
      <c r="CF119" t="s">
        <v>805</v>
      </c>
      <c r="CG119" t="s">
        <v>805</v>
      </c>
      <c r="CH119" t="s">
        <v>805</v>
      </c>
      <c r="CI119" t="s">
        <v>805</v>
      </c>
      <c r="CJ119" t="s">
        <v>805</v>
      </c>
      <c r="CK119" t="s">
        <v>805</v>
      </c>
      <c r="CL119" t="s">
        <v>805</v>
      </c>
      <c r="CM119" t="s">
        <v>805</v>
      </c>
      <c r="CN119" t="s">
        <v>805</v>
      </c>
      <c r="CO119" t="s">
        <v>805</v>
      </c>
      <c r="CP119" t="s">
        <v>805</v>
      </c>
      <c r="CQ119" t="s">
        <v>805</v>
      </c>
      <c r="CR119" t="s">
        <v>805</v>
      </c>
      <c r="CS119" t="s">
        <v>805</v>
      </c>
      <c r="CT119" t="s">
        <v>805</v>
      </c>
      <c r="CU119" t="s">
        <v>805</v>
      </c>
      <c r="CV119" t="s">
        <v>805</v>
      </c>
      <c r="CW119" t="s">
        <v>805</v>
      </c>
      <c r="CX119" t="s">
        <v>805</v>
      </c>
      <c r="CY119" t="s">
        <v>805</v>
      </c>
      <c r="CZ119" t="s">
        <v>805</v>
      </c>
      <c r="DA119" t="s">
        <v>805</v>
      </c>
      <c r="DB119" t="s">
        <v>805</v>
      </c>
      <c r="DC119" t="s">
        <v>805</v>
      </c>
      <c r="DD119" t="s">
        <v>805</v>
      </c>
      <c r="DE119" t="s">
        <v>805</v>
      </c>
      <c r="DF119" t="s">
        <v>805</v>
      </c>
      <c r="DG119" s="28"/>
      <c r="DN119" s="28"/>
      <c r="DU119" s="28"/>
      <c r="EB119" s="28"/>
      <c r="JF119" s="66">
        <f t="shared" si="779"/>
        <v>119</v>
      </c>
      <c r="JG119" s="66">
        <f t="shared" ca="1" si="789"/>
        <v>0</v>
      </c>
      <c r="JH119" s="66">
        <f t="shared" ca="1" si="790"/>
        <v>0</v>
      </c>
      <c r="JI119" s="66">
        <f t="shared" ca="1" si="791"/>
        <v>0</v>
      </c>
      <c r="JJ119" s="66">
        <f t="shared" ca="1" si="792"/>
        <v>0</v>
      </c>
      <c r="JK119" s="33"/>
      <c r="JL119" s="74" t="str">
        <f t="shared" ca="1" si="793"/>
        <v>-</v>
      </c>
      <c r="JM119" s="75">
        <f t="shared" ca="1" si="794"/>
        <v>0</v>
      </c>
      <c r="JN119" s="75">
        <f t="shared" ca="1" si="795"/>
        <v>0</v>
      </c>
      <c r="JO119" s="74" t="str">
        <f t="shared" ca="1" si="796"/>
        <v>-</v>
      </c>
      <c r="JP119" s="74">
        <f t="shared" ca="1" si="797"/>
        <v>0</v>
      </c>
    </row>
    <row r="120" spans="1:276" hidden="1" x14ac:dyDescent="0.35">
      <c r="A120" s="125" t="s">
        <v>805</v>
      </c>
      <c r="B120" s="125" t="s">
        <v>805</v>
      </c>
      <c r="C120" s="125" t="s">
        <v>805</v>
      </c>
      <c r="D120" s="256"/>
      <c r="E120" s="256"/>
      <c r="F120" s="257" t="s">
        <v>792</v>
      </c>
      <c r="G120" s="256"/>
      <c r="H120" s="256"/>
      <c r="I120" s="256"/>
      <c r="J120" s="256" t="s">
        <v>805</v>
      </c>
      <c r="K120" s="256" t="s">
        <v>805</v>
      </c>
      <c r="L120" s="256" t="s">
        <v>805</v>
      </c>
      <c r="M120" s="256" t="s">
        <v>805</v>
      </c>
      <c r="N120" s="256" t="s">
        <v>805</v>
      </c>
      <c r="O120" s="256" t="s">
        <v>805</v>
      </c>
      <c r="P120" s="256" t="s">
        <v>805</v>
      </c>
      <c r="Q120" s="256" t="s">
        <v>805</v>
      </c>
      <c r="R120" s="256" t="s">
        <v>805</v>
      </c>
      <c r="S120" s="256" t="s">
        <v>805</v>
      </c>
      <c r="T120" s="256" t="s">
        <v>805</v>
      </c>
      <c r="U120" s="256" t="s">
        <v>805</v>
      </c>
      <c r="V120" s="256" t="s">
        <v>805</v>
      </c>
      <c r="W120" s="256" t="s">
        <v>805</v>
      </c>
      <c r="X120" s="256" t="s">
        <v>805</v>
      </c>
      <c r="Y120" s="256" t="s">
        <v>805</v>
      </c>
      <c r="Z120" s="256" t="s">
        <v>805</v>
      </c>
      <c r="AA120" s="256" t="s">
        <v>805</v>
      </c>
      <c r="AB120" s="256" t="s">
        <v>805</v>
      </c>
      <c r="AC120" s="256" t="s">
        <v>805</v>
      </c>
      <c r="AD120" s="256" t="s">
        <v>805</v>
      </c>
      <c r="AE120" s="256" t="s">
        <v>805</v>
      </c>
      <c r="AF120" s="256" t="s">
        <v>805</v>
      </c>
      <c r="AG120" s="256" t="s">
        <v>805</v>
      </c>
      <c r="AH120" s="256" t="s">
        <v>805</v>
      </c>
      <c r="AI120" s="256" t="s">
        <v>805</v>
      </c>
      <c r="AJ120" s="256" t="s">
        <v>805</v>
      </c>
      <c r="AK120" s="256" t="s">
        <v>805</v>
      </c>
      <c r="AL120" s="256" t="s">
        <v>805</v>
      </c>
      <c r="AM120" s="256" t="s">
        <v>805</v>
      </c>
      <c r="AN120" s="256" t="s">
        <v>805</v>
      </c>
      <c r="AO120" s="256" t="s">
        <v>805</v>
      </c>
      <c r="AP120" s="256" t="s">
        <v>805</v>
      </c>
      <c r="AQ120" s="256" t="s">
        <v>805</v>
      </c>
      <c r="AR120" s="256" t="s">
        <v>805</v>
      </c>
      <c r="AS120" s="256" t="s">
        <v>805</v>
      </c>
      <c r="AT120" s="256" t="s">
        <v>805</v>
      </c>
      <c r="AU120" s="256" t="s">
        <v>805</v>
      </c>
      <c r="AV120" s="256" t="s">
        <v>805</v>
      </c>
      <c r="AW120" s="256" t="s">
        <v>805</v>
      </c>
      <c r="AX120" s="256" t="s">
        <v>805</v>
      </c>
      <c r="AY120" s="256" t="s">
        <v>805</v>
      </c>
      <c r="AZ120" s="256" t="s">
        <v>805</v>
      </c>
      <c r="BA120" s="256" t="s">
        <v>805</v>
      </c>
      <c r="BB120" s="256" t="s">
        <v>805</v>
      </c>
      <c r="BC120" s="256" t="s">
        <v>805</v>
      </c>
      <c r="BD120" s="256" t="s">
        <v>805</v>
      </c>
      <c r="BE120" s="256" t="s">
        <v>805</v>
      </c>
      <c r="BF120" s="256" t="s">
        <v>805</v>
      </c>
      <c r="BG120" s="256" t="s">
        <v>805</v>
      </c>
      <c r="BH120" s="256" t="s">
        <v>805</v>
      </c>
      <c r="BI120" s="256" t="s">
        <v>805</v>
      </c>
      <c r="BJ120" s="256" t="s">
        <v>805</v>
      </c>
      <c r="BK120" s="256" t="s">
        <v>805</v>
      </c>
      <c r="BL120" s="256" t="s">
        <v>805</v>
      </c>
      <c r="BM120" s="256" t="s">
        <v>805</v>
      </c>
      <c r="BN120" s="256" t="s">
        <v>805</v>
      </c>
      <c r="BO120" s="256" t="s">
        <v>805</v>
      </c>
      <c r="BP120" s="256" t="s">
        <v>805</v>
      </c>
      <c r="BQ120" s="256" t="s">
        <v>805</v>
      </c>
      <c r="BR120" s="256" t="s">
        <v>805</v>
      </c>
      <c r="BS120" s="256" t="s">
        <v>805</v>
      </c>
      <c r="BT120" s="256" t="s">
        <v>805</v>
      </c>
      <c r="BU120" s="256" t="s">
        <v>805</v>
      </c>
      <c r="BV120" s="256" t="s">
        <v>805</v>
      </c>
      <c r="BW120" s="256" t="s">
        <v>805</v>
      </c>
      <c r="BX120" s="256" t="s">
        <v>805</v>
      </c>
      <c r="BY120" s="256" t="s">
        <v>805</v>
      </c>
      <c r="BZ120" s="256" t="s">
        <v>805</v>
      </c>
      <c r="CA120" s="256" t="s">
        <v>805</v>
      </c>
      <c r="CB120" s="256" t="s">
        <v>805</v>
      </c>
      <c r="CC120" s="256" t="s">
        <v>805</v>
      </c>
      <c r="CD120" s="256" t="s">
        <v>805</v>
      </c>
      <c r="CE120" s="256" t="s">
        <v>805</v>
      </c>
      <c r="CF120" s="256" t="s">
        <v>805</v>
      </c>
      <c r="CG120" s="256" t="s">
        <v>805</v>
      </c>
      <c r="CH120" s="256" t="s">
        <v>805</v>
      </c>
      <c r="CI120" s="256" t="s">
        <v>805</v>
      </c>
      <c r="CJ120" s="256" t="s">
        <v>805</v>
      </c>
      <c r="CK120" s="256" t="s">
        <v>805</v>
      </c>
      <c r="CL120" s="256" t="s">
        <v>805</v>
      </c>
      <c r="CM120" s="256" t="s">
        <v>805</v>
      </c>
      <c r="CN120" s="256" t="s">
        <v>805</v>
      </c>
      <c r="CO120" s="256" t="s">
        <v>805</v>
      </c>
      <c r="CP120" s="256" t="s">
        <v>805</v>
      </c>
      <c r="CQ120" s="256" t="s">
        <v>805</v>
      </c>
      <c r="CR120" s="256" t="s">
        <v>805</v>
      </c>
      <c r="CS120" s="256" t="s">
        <v>805</v>
      </c>
      <c r="CT120" s="256" t="s">
        <v>805</v>
      </c>
      <c r="CU120" s="256" t="s">
        <v>805</v>
      </c>
      <c r="CV120" s="256" t="s">
        <v>805</v>
      </c>
      <c r="CW120" s="256" t="s">
        <v>805</v>
      </c>
      <c r="CX120" s="256" t="s">
        <v>805</v>
      </c>
      <c r="CY120" s="256" t="s">
        <v>805</v>
      </c>
      <c r="CZ120" s="256" t="s">
        <v>805</v>
      </c>
      <c r="DA120" s="256" t="s">
        <v>805</v>
      </c>
      <c r="DB120" s="256" t="s">
        <v>805</v>
      </c>
      <c r="DC120" s="256" t="s">
        <v>805</v>
      </c>
      <c r="DD120" s="256" t="s">
        <v>805</v>
      </c>
      <c r="DE120" s="256" t="s">
        <v>805</v>
      </c>
      <c r="DF120" s="256" t="s">
        <v>805</v>
      </c>
      <c r="DG120" s="273"/>
      <c r="DH120" s="256"/>
      <c r="DI120" s="256"/>
      <c r="DJ120" s="256"/>
      <c r="DK120" s="256"/>
      <c r="DL120" s="256"/>
      <c r="DM120" s="256"/>
      <c r="DN120" s="273"/>
      <c r="DO120" s="256"/>
      <c r="DP120" s="256"/>
      <c r="DQ120" s="256"/>
      <c r="DR120" s="256"/>
      <c r="DS120" s="256"/>
      <c r="DT120" s="256"/>
      <c r="DU120" s="273"/>
      <c r="DV120" s="256"/>
      <c r="DW120" s="256"/>
      <c r="DX120" s="256"/>
      <c r="DY120" s="256"/>
      <c r="DZ120" s="256"/>
      <c r="EA120" s="256"/>
      <c r="EB120" s="273"/>
      <c r="EC120" s="256"/>
      <c r="ED120" s="256"/>
      <c r="EE120" s="256"/>
      <c r="EF120" s="256"/>
      <c r="EG120" s="256"/>
      <c r="EH120" s="256"/>
      <c r="EI120" s="256"/>
      <c r="EJ120" s="256"/>
      <c r="EK120" s="256"/>
      <c r="EL120" s="256"/>
      <c r="EM120" s="256"/>
      <c r="EN120" s="256"/>
      <c r="EO120" s="256"/>
      <c r="EP120" s="256"/>
      <c r="EQ120" s="256"/>
      <c r="ER120" s="256"/>
      <c r="ES120" s="256"/>
      <c r="ET120" s="256"/>
      <c r="EU120" s="256"/>
      <c r="EV120" s="256"/>
      <c r="EW120" s="256"/>
      <c r="EX120" s="256"/>
      <c r="EY120" s="256"/>
      <c r="EZ120" s="256"/>
      <c r="FA120" s="256"/>
      <c r="FB120" s="256"/>
      <c r="FC120" s="256"/>
      <c r="FD120" s="256"/>
      <c r="FE120" s="256"/>
      <c r="FF120" s="256"/>
      <c r="FG120" s="256"/>
      <c r="FH120" s="256"/>
      <c r="FI120" s="256"/>
      <c r="FJ120" s="256"/>
      <c r="FK120" s="256"/>
      <c r="FL120" s="256"/>
      <c r="FM120" s="256"/>
      <c r="FN120" s="256"/>
      <c r="FO120" s="256"/>
      <c r="FP120" s="256"/>
      <c r="FQ120" s="256"/>
      <c r="FR120" s="256"/>
      <c r="FS120" s="256"/>
      <c r="FT120" s="256"/>
      <c r="FU120" s="256"/>
      <c r="FV120" s="256"/>
      <c r="FW120" s="256"/>
      <c r="FX120" s="256"/>
      <c r="FY120" s="256"/>
      <c r="FZ120" s="256"/>
      <c r="GA120" s="256"/>
      <c r="GB120" s="256"/>
      <c r="GC120" s="256"/>
      <c r="GD120" s="256"/>
      <c r="GE120" s="256"/>
      <c r="GF120" s="256"/>
      <c r="GG120" s="256"/>
      <c r="GH120" s="256"/>
      <c r="GI120" s="256"/>
      <c r="GJ120" s="256"/>
      <c r="GK120" s="256"/>
      <c r="GL120" s="256"/>
      <c r="GM120" s="256"/>
      <c r="GN120" s="256"/>
      <c r="GO120" s="256"/>
      <c r="GP120" s="256"/>
      <c r="GQ120" s="256"/>
      <c r="GR120" s="256"/>
      <c r="GS120" s="256"/>
      <c r="GT120" s="256"/>
      <c r="GU120" s="256"/>
      <c r="GV120" s="256"/>
      <c r="GW120" s="256"/>
      <c r="GX120" s="256"/>
      <c r="GY120" s="256"/>
      <c r="GZ120" s="256"/>
      <c r="HA120" s="256"/>
      <c r="HB120" s="256"/>
      <c r="HC120" s="256"/>
      <c r="HD120" s="256"/>
      <c r="HE120" s="256"/>
      <c r="HF120" s="256"/>
      <c r="HG120" s="256"/>
      <c r="HH120" s="256"/>
      <c r="HI120" s="256"/>
      <c r="HJ120" s="256"/>
      <c r="HK120" s="256"/>
      <c r="HL120" s="256"/>
      <c r="HM120" s="256"/>
      <c r="HN120" s="256"/>
      <c r="HO120" s="256"/>
      <c r="HP120" s="256"/>
      <c r="HQ120" s="256"/>
      <c r="HR120" s="256"/>
      <c r="HS120" s="256"/>
      <c r="HT120" s="256"/>
      <c r="HU120" s="256"/>
      <c r="HV120" s="256"/>
      <c r="HW120" s="256"/>
      <c r="HX120" s="256"/>
      <c r="HY120" s="256"/>
      <c r="HZ120" s="256"/>
      <c r="IA120" s="256"/>
      <c r="IB120" s="256"/>
      <c r="IC120" s="256"/>
      <c r="ID120" s="256"/>
      <c r="IE120" s="256"/>
      <c r="IF120" s="256"/>
      <c r="IG120" s="328"/>
      <c r="IH120" s="287"/>
      <c r="II120" s="287"/>
      <c r="IJ120" s="287"/>
      <c r="IK120" s="287"/>
      <c r="IL120" s="287"/>
      <c r="IM120" s="328"/>
      <c r="IN120" s="287"/>
      <c r="IO120" s="287"/>
      <c r="IP120" s="287"/>
      <c r="IQ120" s="287"/>
      <c r="IR120" s="287"/>
      <c r="IS120" s="328"/>
      <c r="IT120" s="287"/>
      <c r="IU120" s="287"/>
      <c r="IV120" s="287"/>
      <c r="IW120" s="287"/>
      <c r="IX120" s="287"/>
      <c r="IY120" s="328"/>
      <c r="IZ120" s="287"/>
      <c r="JA120" s="287"/>
      <c r="JB120" s="287"/>
      <c r="JC120" s="287"/>
      <c r="JD120" s="329"/>
      <c r="JF120" s="66"/>
      <c r="JG120" s="66"/>
      <c r="JH120" s="66"/>
      <c r="JI120" s="66"/>
      <c r="JJ120" s="66"/>
      <c r="JK120" s="33"/>
      <c r="JL120" s="74"/>
      <c r="JM120" s="75"/>
      <c r="JN120" s="75"/>
      <c r="JO120" s="74"/>
      <c r="JP120" s="74"/>
    </row>
    <row r="121" spans="1:276" hidden="1" x14ac:dyDescent="0.35">
      <c r="A121" s="125" t="s">
        <v>805</v>
      </c>
      <c r="B121" s="125" t="s">
        <v>805</v>
      </c>
      <c r="C121" s="125" t="s">
        <v>805</v>
      </c>
      <c r="E121" s="142" t="s">
        <v>847</v>
      </c>
      <c r="F121" s="254" t="s">
        <v>734</v>
      </c>
      <c r="G121" t="s">
        <v>542</v>
      </c>
      <c r="H121" t="s">
        <v>531</v>
      </c>
      <c r="I121" t="s">
        <v>534</v>
      </c>
      <c r="J121" s="211" t="s">
        <v>805</v>
      </c>
      <c r="K121" t="s">
        <v>805</v>
      </c>
      <c r="L121" t="s">
        <v>805</v>
      </c>
      <c r="M121" t="s">
        <v>805</v>
      </c>
      <c r="N121" t="s">
        <v>805</v>
      </c>
      <c r="O121" t="s">
        <v>805</v>
      </c>
      <c r="P121" t="s">
        <v>805</v>
      </c>
      <c r="Q121" t="s">
        <v>805</v>
      </c>
      <c r="R121" t="s">
        <v>805</v>
      </c>
      <c r="S121" t="s">
        <v>805</v>
      </c>
      <c r="T121" t="s">
        <v>805</v>
      </c>
      <c r="U121" t="s">
        <v>805</v>
      </c>
      <c r="V121" t="s">
        <v>805</v>
      </c>
      <c r="W121" t="s">
        <v>805</v>
      </c>
      <c r="X121" t="s">
        <v>805</v>
      </c>
      <c r="Y121" t="s">
        <v>805</v>
      </c>
      <c r="Z121" t="s">
        <v>805</v>
      </c>
      <c r="AA121" t="s">
        <v>805</v>
      </c>
      <c r="AB121" t="s">
        <v>805</v>
      </c>
      <c r="AC121" t="s">
        <v>805</v>
      </c>
      <c r="AD121" t="s">
        <v>805</v>
      </c>
      <c r="AE121" t="s">
        <v>805</v>
      </c>
      <c r="AF121" t="s">
        <v>805</v>
      </c>
      <c r="AG121" t="s">
        <v>805</v>
      </c>
      <c r="AH121" t="s">
        <v>805</v>
      </c>
      <c r="AI121" t="s">
        <v>805</v>
      </c>
      <c r="AJ121" t="s">
        <v>805</v>
      </c>
      <c r="AK121" t="s">
        <v>805</v>
      </c>
      <c r="AL121" t="s">
        <v>805</v>
      </c>
      <c r="AM121" t="s">
        <v>805</v>
      </c>
      <c r="AN121" t="s">
        <v>805</v>
      </c>
      <c r="AO121" t="s">
        <v>805</v>
      </c>
      <c r="AP121" t="s">
        <v>805</v>
      </c>
      <c r="AQ121" t="s">
        <v>805</v>
      </c>
      <c r="AR121" t="s">
        <v>805</v>
      </c>
      <c r="AS121" t="s">
        <v>805</v>
      </c>
      <c r="AT121" t="s">
        <v>805</v>
      </c>
      <c r="AU121" t="s">
        <v>805</v>
      </c>
      <c r="AV121" t="s">
        <v>805</v>
      </c>
      <c r="AW121" t="s">
        <v>805</v>
      </c>
      <c r="AX121" t="s">
        <v>805</v>
      </c>
      <c r="AY121" t="s">
        <v>805</v>
      </c>
      <c r="AZ121" t="s">
        <v>805</v>
      </c>
      <c r="BA121" t="s">
        <v>805</v>
      </c>
      <c r="BB121" t="s">
        <v>805</v>
      </c>
      <c r="BC121" t="s">
        <v>805</v>
      </c>
      <c r="BD121" t="s">
        <v>805</v>
      </c>
      <c r="BE121" t="s">
        <v>805</v>
      </c>
      <c r="BF121" t="s">
        <v>805</v>
      </c>
      <c r="BG121" t="s">
        <v>805</v>
      </c>
      <c r="BH121" t="s">
        <v>805</v>
      </c>
      <c r="BI121" t="s">
        <v>805</v>
      </c>
      <c r="BJ121" t="s">
        <v>805</v>
      </c>
      <c r="BK121" t="s">
        <v>805</v>
      </c>
      <c r="BL121" t="s">
        <v>805</v>
      </c>
      <c r="BM121" t="s">
        <v>805</v>
      </c>
      <c r="BN121" t="s">
        <v>805</v>
      </c>
      <c r="BO121" t="s">
        <v>805</v>
      </c>
      <c r="BP121" t="s">
        <v>805</v>
      </c>
      <c r="BQ121" t="s">
        <v>805</v>
      </c>
      <c r="BR121" t="s">
        <v>805</v>
      </c>
      <c r="BS121" t="s">
        <v>805</v>
      </c>
      <c r="BT121" t="s">
        <v>805</v>
      </c>
      <c r="BU121" t="s">
        <v>805</v>
      </c>
      <c r="BV121" t="s">
        <v>805</v>
      </c>
      <c r="BW121" t="s">
        <v>805</v>
      </c>
      <c r="BX121" t="s">
        <v>805</v>
      </c>
      <c r="BY121" t="s">
        <v>805</v>
      </c>
      <c r="BZ121" t="s">
        <v>805</v>
      </c>
      <c r="CA121" t="s">
        <v>805</v>
      </c>
      <c r="CB121" t="s">
        <v>805</v>
      </c>
      <c r="CC121" t="s">
        <v>805</v>
      </c>
      <c r="CD121" t="s">
        <v>805</v>
      </c>
      <c r="CE121" t="s">
        <v>805</v>
      </c>
      <c r="CF121" t="s">
        <v>805</v>
      </c>
      <c r="CG121" t="s">
        <v>805</v>
      </c>
      <c r="CH121" t="s">
        <v>805</v>
      </c>
      <c r="CI121" t="s">
        <v>805</v>
      </c>
      <c r="CJ121" t="s">
        <v>805</v>
      </c>
      <c r="CK121" t="s">
        <v>805</v>
      </c>
      <c r="CL121" t="s">
        <v>805</v>
      </c>
      <c r="CM121" t="s">
        <v>805</v>
      </c>
      <c r="CN121" t="s">
        <v>805</v>
      </c>
      <c r="CO121" t="s">
        <v>805</v>
      </c>
      <c r="CP121" t="s">
        <v>805</v>
      </c>
      <c r="CQ121" t="s">
        <v>805</v>
      </c>
      <c r="CR121" t="s">
        <v>805</v>
      </c>
      <c r="CS121" t="s">
        <v>805</v>
      </c>
      <c r="CT121" t="s">
        <v>805</v>
      </c>
      <c r="CU121" t="s">
        <v>805</v>
      </c>
      <c r="CV121" t="s">
        <v>805</v>
      </c>
      <c r="CW121" t="s">
        <v>805</v>
      </c>
      <c r="CX121" t="s">
        <v>805</v>
      </c>
      <c r="CY121" t="s">
        <v>805</v>
      </c>
      <c r="CZ121" t="s">
        <v>805</v>
      </c>
      <c r="DA121" t="s">
        <v>805</v>
      </c>
      <c r="DB121" t="s">
        <v>805</v>
      </c>
      <c r="DC121" t="s">
        <v>805</v>
      </c>
      <c r="DD121" t="s">
        <v>805</v>
      </c>
      <c r="DE121" t="s">
        <v>805</v>
      </c>
      <c r="DF121" t="s">
        <v>805</v>
      </c>
      <c r="DG121" s="28">
        <f>VLOOKUP(E121,'KPI Count-SHARE'!A:F,3,0)</f>
        <v>0</v>
      </c>
      <c r="DH121">
        <v>0</v>
      </c>
      <c r="DI121" t="s">
        <v>805</v>
      </c>
      <c r="DJ121" t="s">
        <v>805</v>
      </c>
      <c r="DK121" t="s">
        <v>805</v>
      </c>
      <c r="DL121" t="s">
        <v>805</v>
      </c>
      <c r="DM121" t="s">
        <v>805</v>
      </c>
      <c r="DN121" s="28">
        <f>VLOOKUP(E121,'KPI Count-SHARE'!A:F,4,0)</f>
        <v>0</v>
      </c>
      <c r="DU121" s="28">
        <f>VLOOKUP(E121,'KPI Count-SHARE'!A:F,5,0)</f>
        <v>0</v>
      </c>
      <c r="EB121" s="28">
        <f>VLOOKUP(E121,'KPI Count-SHARE'!A:F,6,0)</f>
        <v>0</v>
      </c>
      <c r="EI121" t="s">
        <v>531</v>
      </c>
      <c r="EJ121" s="41" t="str">
        <f t="shared" ref="EJ121:EJ132" si="1048">IFERROR(IF(ISBLANK(J121), "-", IF(OR($I121="c",$I121="r"), J121*$I$5, J121)),"-")</f>
        <v/>
      </c>
      <c r="EK121" s="41" t="str">
        <f t="shared" ref="EK121:EK132" si="1049">IFERROR(IF(ISBLANK(K121), "-", IF($I121="c", K121*$I$5, K121)),"-")</f>
        <v/>
      </c>
      <c r="EL121" s="41" t="str">
        <f t="shared" ref="EL121:EL132" si="1050">IFERROR(IF(ISBLANK(L121), "-", IF($I121="c", L121*$I$5, L121)),"-")</f>
        <v/>
      </c>
      <c r="EM121" s="41" t="str">
        <f t="shared" ref="EM121:EM132" si="1051">IFERROR(IF(ISBLANK(M121), "-", IF($I121="c", M121*$I$5,M121)),"-")</f>
        <v/>
      </c>
      <c r="EN121" s="41" t="str">
        <f t="shared" ref="EN121:EN132" si="1052">IFERROR(IF(ISBLANK(N121), "-", IF($I121="c", N121*$I$5, N121)),"-")</f>
        <v/>
      </c>
      <c r="EO121" s="41" t="str">
        <f t="shared" ref="EO121:EO132" si="1053">IFERROR(IF(ISBLANK(O121), "-", IF($I121="c", O121*$I$5,O121)),"-")</f>
        <v/>
      </c>
      <c r="EP121" s="41" t="str">
        <f t="shared" ref="EP121:EP132" si="1054">IFERROR(IF(ISBLANK(P121), "-", IF($I121="c", P121*$I$5, P121)),"-")</f>
        <v/>
      </c>
      <c r="EQ121" s="41" t="str">
        <f t="shared" ref="EQ121:EQ132" si="1055">IFERROR(IF(ISBLANK(Q121), "-", IF($I121="c", Q121*$I$5, Q121)),"-")</f>
        <v/>
      </c>
      <c r="ER121" s="41" t="str">
        <f t="shared" ref="ER121:ER132" si="1056">IFERROR(IF(ISBLANK(R121), "-", IF($I121="c", R121*$I$5, R121)),"-")</f>
        <v/>
      </c>
      <c r="ES121" s="41" t="str">
        <f t="shared" ref="ES121:ES132" si="1057">IFERROR(IF(ISBLANK(S121), "-", IF($I121="c", S121*$I$5, S121)),"-")</f>
        <v/>
      </c>
      <c r="ET121" s="41" t="str">
        <f t="shared" ref="ET121:ET132" si="1058">IFERROR(IF(ISBLANK(T121), "-", IF($I121="c", T121*$I$5, T121)),"-")</f>
        <v/>
      </c>
      <c r="EU121" s="41" t="str">
        <f t="shared" ref="EU121:EU132" si="1059">IFERROR(IF(ISBLANK(U121), "-", IF($I121="c", U121*$I$5, U121)),"-")</f>
        <v/>
      </c>
      <c r="EV121" s="41" t="str">
        <f t="shared" ref="EV121:EV132" si="1060">IFERROR(IF(ISBLANK(V121), "-", IF($I121="c", V121*$I$5, V121)),"-")</f>
        <v/>
      </c>
      <c r="EW121" s="41" t="str">
        <f t="shared" ref="EW121:EW132" si="1061">IFERROR(IF(ISBLANK(W121), "-", IF($I121="c", W121*$I$5, W121)),"-")</f>
        <v/>
      </c>
      <c r="EX121" s="41" t="str">
        <f t="shared" ref="EX121:EX132" si="1062">IFERROR(IF(ISBLANK(X121), "-", IF($I121="c", X121*$I$5, X121)),"-")</f>
        <v/>
      </c>
      <c r="EY121" s="41" t="str">
        <f t="shared" ref="EY121:EY132" si="1063">IFERROR(IF(ISBLANK(Y121), "-", IF($I121="c", Y121*$I$5, Y121)),"-")</f>
        <v/>
      </c>
      <c r="EZ121" s="41" t="str">
        <f t="shared" ref="EZ121:EZ132" si="1064">IFERROR(IF(ISBLANK(Z121), "-", IF($I121="c", Z121*$I$5, Z121)),"-")</f>
        <v/>
      </c>
      <c r="FA121" s="41" t="str">
        <f t="shared" ref="FA121:FA132" si="1065">IFERROR(IF(ISBLANK(AA121), "-", IF($I121="c", AA121*$I$5, AA121)),"-")</f>
        <v/>
      </c>
      <c r="FB121" s="41" t="str">
        <f t="shared" ref="FB121:FB132" si="1066">IFERROR(IF(ISBLANK(AB121), "-", IF($I121="c", AB121*$I$5, AB121)),"-")</f>
        <v/>
      </c>
      <c r="FC121" s="41" t="str">
        <f t="shared" ref="FC121:FC132" si="1067">IFERROR(IF(ISBLANK(AC121), "-", IF($I121="c", AC121*$I$5, AC121)),"-")</f>
        <v/>
      </c>
      <c r="FD121" s="41" t="str">
        <f t="shared" ref="FD121:FD132" si="1068">IFERROR(IF(ISBLANK(AD121), "-", IF($I121="c", AD121*$I$5, AD121)),"-")</f>
        <v/>
      </c>
      <c r="FE121" s="41" t="str">
        <f t="shared" ref="FE121:FE132" si="1069">IFERROR(IF(ISBLANK(AE121), "-", IF($I121="c", AE121*$I$5, AE121)),"-")</f>
        <v/>
      </c>
      <c r="FF121" s="41" t="str">
        <f t="shared" ref="FF121:FF132" si="1070">IFERROR(IF(ISBLANK(AF121), "-", IF($I121="c", AF121*$I$5, AF121)),"-")</f>
        <v/>
      </c>
      <c r="FG121" s="41" t="str">
        <f t="shared" ref="FG121:FG132" si="1071">IFERROR(IF(ISBLANK(AG121), "-", IF($I121="c", AG121*$I$5, AG121)),"-")</f>
        <v/>
      </c>
      <c r="FH121" s="41" t="str">
        <f t="shared" ref="FH121:FH132" si="1072">IFERROR(IF(ISBLANK(AH121), "-", IF($I121="c", AH121*$I$5, AH121)),"-")</f>
        <v/>
      </c>
      <c r="FI121" s="41" t="str">
        <f t="shared" ref="FI121:FI132" si="1073">IFERROR(IF(ISBLANK(AI121), "-", IF($I121="c", AI121*$I$5, AI121)),"-")</f>
        <v/>
      </c>
      <c r="FJ121" s="41" t="str">
        <f t="shared" ref="FJ121:FJ132" si="1074">IFERROR(IF(ISBLANK(AJ121), "-", IF($I121="c", AJ121*$I$5, AJ121)),"-")</f>
        <v/>
      </c>
      <c r="FK121" s="41" t="str">
        <f t="shared" ref="FK121:FK132" si="1075">IFERROR(IF(ISBLANK(AK121), "-", IF($I121="c", AK121*$I$5, AK121)),"-")</f>
        <v/>
      </c>
      <c r="FL121" s="41" t="str">
        <f t="shared" ref="FL121:FL132" si="1076">IFERROR(IF(ISBLANK(AL121), "-", IF($I121="c", AL121*$I$5, AL121)),"-")</f>
        <v/>
      </c>
      <c r="FM121" s="41" t="str">
        <f t="shared" ref="FM121:FM132" si="1077">IFERROR(IF(ISBLANK(AM121), "-", IF($I121="c", AM121*$I$5, AM121)),"-")</f>
        <v/>
      </c>
      <c r="FN121" s="41" t="str">
        <f t="shared" ref="FN121:FN132" si="1078">IFERROR(IF(ISBLANK(AN121), "-", IF($I121="c", AN121*$I$5, AN121)),"-")</f>
        <v/>
      </c>
      <c r="FO121" s="41" t="str">
        <f t="shared" ref="FO121:FO132" si="1079">IFERROR(IF(ISBLANK(AO121), "-", IF($I121="c", AO121*$I$5, AO121)),"-")</f>
        <v/>
      </c>
      <c r="FP121" s="41" t="str">
        <f t="shared" ref="FP121:FP132" si="1080">IFERROR(IF(ISBLANK(AP121), "-", IF($I121="c", AP121*$I$5, AP121)),"-")</f>
        <v/>
      </c>
      <c r="FQ121" s="41" t="str">
        <f t="shared" ref="FQ121:FQ132" si="1081">IFERROR(IF(ISBLANK(AQ121), "-", IF($I121="c", AQ121*$I$5, AQ121)),"-")</f>
        <v/>
      </c>
      <c r="FR121" s="41" t="str">
        <f t="shared" ref="FR121:FR132" si="1082">IFERROR(IF(ISBLANK(AR121), "-", IF($I121="c", AR121*$I$5, AR121)),"-")</f>
        <v/>
      </c>
      <c r="FS121" s="41" t="str">
        <f t="shared" ref="FS121:FS132" si="1083">IFERROR(IF(ISBLANK(AS121), "-", IF($I121="c", AS121*$I$5, AS121)),"-")</f>
        <v/>
      </c>
      <c r="FT121" s="41" t="str">
        <f t="shared" ref="FT121:FT132" si="1084">IFERROR(IF(ISBLANK(AT121), "-", IF($I121="c", AT121*$I$5, AT121)),"-")</f>
        <v/>
      </c>
      <c r="FU121" s="41" t="str">
        <f t="shared" ref="FU121:FU132" si="1085">IFERROR(IF(ISBLANK(AU121), "-", IF($I121="c", AU121*$I$5, AU121)),"-")</f>
        <v/>
      </c>
      <c r="FV121" s="41" t="str">
        <f t="shared" ref="FV121:FV132" si="1086">IFERROR(IF(ISBLANK(AV121), "-", IF($I121="c", AV121*$I$5, AV121)),"-")</f>
        <v/>
      </c>
      <c r="FW121" s="41" t="str">
        <f t="shared" ref="FW121:FW132" si="1087">IFERROR(IF(ISBLANK(AW121), "-", IF($I121="c", AW121*$I$5, AW121)),"-")</f>
        <v/>
      </c>
      <c r="FX121" s="41" t="str">
        <f t="shared" ref="FX121:FX132" si="1088">IFERROR(IF(ISBLANK(AX121), "-", IF($I121="c", AX121*$I$5, AX121)),"-")</f>
        <v/>
      </c>
      <c r="FY121" s="41" t="str">
        <f t="shared" ref="FY121:FY132" si="1089">IFERROR(IF(ISBLANK(AY121), "-", IF($I121="c", AY121*$I$5, AY121)),"-")</f>
        <v/>
      </c>
      <c r="FZ121" s="41" t="str">
        <f t="shared" ref="FZ121:FZ132" si="1090">IFERROR(IF(ISBLANK(AZ121), "-", IF($I121="c", AZ121*$I$5, AZ121)),"-")</f>
        <v/>
      </c>
      <c r="GA121" s="41" t="str">
        <f t="shared" ref="GA121:GA132" si="1091">IFERROR(IF(ISBLANK(BA121), "-", IF($I121="c", BA121*$I$5, BA121)),"-")</f>
        <v/>
      </c>
      <c r="GB121" s="41" t="str">
        <f t="shared" ref="GB121:GB132" si="1092">IFERROR(IF(ISBLANK(BB121), "-", IF($I121="c", BB121*$I$5, BB121)),"-")</f>
        <v/>
      </c>
      <c r="GC121" s="41" t="str">
        <f t="shared" ref="GC121:GC132" si="1093">IFERROR(IF(ISBLANK(BC121), "-", IF($I121="c", BC121*$I$5, BC121)),"-")</f>
        <v/>
      </c>
      <c r="GD121" s="41" t="str">
        <f t="shared" ref="GD121:GD132" si="1094">IFERROR(IF(ISBLANK(BD121), "-", IF($I121="c", BD121*$I$5, BD121)),"-")</f>
        <v/>
      </c>
      <c r="GE121" s="41" t="str">
        <f t="shared" ref="GE121:GE132" si="1095">IFERROR(IF(ISBLANK(BE121), "-", IF($I121="c", BE121*$I$5, BE121)),"-")</f>
        <v/>
      </c>
      <c r="GF121" s="41" t="str">
        <f t="shared" ref="GF121:GF132" si="1096">IFERROR(IF(ISBLANK(BF121), "-", IF($I121="c", BF121*$I$5, BF121)),"-")</f>
        <v/>
      </c>
      <c r="GG121" s="41" t="str">
        <f t="shared" ref="GG121:GG132" si="1097">IFERROR(IF(ISBLANK(BG121), "-", IF($I121="c", BG121*$I$5, BG121)),"-")</f>
        <v/>
      </c>
      <c r="GH121" s="41" t="str">
        <f t="shared" ref="GH121:GH132" si="1098">IFERROR(IF(ISBLANK(BH121), "-", IF($I121="c", BH121*$I$5, BH121)),"-")</f>
        <v/>
      </c>
      <c r="GI121" s="41" t="str">
        <f t="shared" ref="GI121:GI132" si="1099">IFERROR(IF(ISBLANK(BI121), "-", IF($I121="c", BI121*$I$5, BI121)),"-")</f>
        <v/>
      </c>
      <c r="GJ121" s="41" t="str">
        <f t="shared" ref="GJ121:GJ132" si="1100">IFERROR(IF(ISBLANK(BJ121), "-", IF($I121="c", BJ121*$I$5, BJ121)),"-")</f>
        <v/>
      </c>
      <c r="GK121" s="41" t="str">
        <f t="shared" ref="GK121:GK132" si="1101">IFERROR(IF(ISBLANK(BK121), "-", IF($I121="c", BK121*$I$5, BK121)),"-")</f>
        <v/>
      </c>
      <c r="GL121" s="41" t="str">
        <f t="shared" ref="GL121:GL132" si="1102">IFERROR(IF(ISBLANK(BL121), "-", IF($I121="c", BL121*$I$5, BL121)),"-")</f>
        <v/>
      </c>
      <c r="GM121" s="41" t="str">
        <f t="shared" ref="GM121:GM132" si="1103">IFERROR(IF(ISBLANK(BM121), "-", IF($I121="c", BM121*$I$5, BM121)),"-")</f>
        <v/>
      </c>
      <c r="GN121" s="41" t="str">
        <f t="shared" ref="GN121:GN132" si="1104">IFERROR(IF(ISBLANK(BN121), "-", IF($I121="c", BN121*$I$5, BN121)),"-")</f>
        <v/>
      </c>
      <c r="GO121" s="41" t="str">
        <f t="shared" ref="GO121:GO132" si="1105">IFERROR(IF(ISBLANK(BO121), "-", IF($I121="c", BO121*$I$5, BO121)),"-")</f>
        <v/>
      </c>
      <c r="GP121" s="41" t="str">
        <f t="shared" ref="GP121:GP132" si="1106">IFERROR(IF(ISBLANK(BP121), "-", IF($I121="c", BP121*$I$5, BP121)),"-")</f>
        <v/>
      </c>
      <c r="GQ121" s="41" t="str">
        <f t="shared" ref="GQ121:GQ132" si="1107">IFERROR(IF(ISBLANK(BQ121), "-", IF($I121="c", BQ121*$I$5, BQ121)),"-")</f>
        <v/>
      </c>
      <c r="GR121" s="41" t="str">
        <f t="shared" ref="GR121:GR132" si="1108">IFERROR(IF(ISBLANK(BR121), "-", IF($I121="c", BR121*$I$5, BR121)),"-")</f>
        <v/>
      </c>
      <c r="GS121" s="41" t="str">
        <f t="shared" ref="GS121:GS132" si="1109">IFERROR(IF(ISBLANK(BS121), "-", IF($I121="c", BS121*$I$5, BS121)),"-")</f>
        <v/>
      </c>
      <c r="GT121" s="41" t="str">
        <f t="shared" ref="GT121:GT132" si="1110">IFERROR(IF(ISBLANK(BT121), "-", IF($I121="c", BT121*$I$5, BT121)),"-")</f>
        <v/>
      </c>
      <c r="GU121" s="41" t="str">
        <f t="shared" ref="GU121:GU132" si="1111">IFERROR(IF(ISBLANK(BU121), "-", IF($I121="c", BU121*$I$5, BU121)),"-")</f>
        <v/>
      </c>
      <c r="GV121" s="41" t="str">
        <f t="shared" ref="GV121:GV132" si="1112">IFERROR(IF(ISBLANK(BV121), "-", IF($I121="c", BV121*$I$5, BV121)),"-")</f>
        <v/>
      </c>
      <c r="GW121" s="41" t="str">
        <f t="shared" ref="GW121:GW132" si="1113">IFERROR(IF(ISBLANK(BW121), "-", IF($I121="c", BW121*$I$5, BW121)),"-")</f>
        <v/>
      </c>
      <c r="GX121" s="41" t="str">
        <f t="shared" ref="GX121:GX132" si="1114">IFERROR(IF(ISBLANK(BX121), "-", IF($I121="c", BX121*$I$5, BX121)),"-")</f>
        <v/>
      </c>
      <c r="GY121" s="41" t="str">
        <f t="shared" ref="GY121:GY132" si="1115">IFERROR(IF(ISBLANK(BY121), "-", IF($I121="c", BY121*$I$5, BY121)),"-")</f>
        <v/>
      </c>
      <c r="GZ121" s="41" t="str">
        <f t="shared" ref="GZ121:GZ132" si="1116">IFERROR(IF(ISBLANK(BZ121), "-", IF($I121="c", BZ121*$I$5, BZ121)),"-")</f>
        <v/>
      </c>
      <c r="HA121" s="41" t="str">
        <f t="shared" ref="HA121:HA132" si="1117">IFERROR(IF(ISBLANK(CA121), "-", IF($I121="c", CA121*$I$5, CA121)),"-")</f>
        <v/>
      </c>
      <c r="HB121" s="41" t="str">
        <f t="shared" ref="HB121:HB132" si="1118">IFERROR(IF(ISBLANK(CB121), "-", IF($I121="c", CB121*$I$5, CB121)),"-")</f>
        <v/>
      </c>
      <c r="HC121" s="41" t="str">
        <f t="shared" ref="HC121:HC132" si="1119">IFERROR(IF(ISBLANK(CC121), "-", IF($I121="c", CC121*$I$5, CC121)),"-")</f>
        <v/>
      </c>
      <c r="HD121" s="41" t="str">
        <f t="shared" ref="HD121:HD132" si="1120">IFERROR(IF(ISBLANK(CD121), "-", IF($I121="c", CD121*$I$5, CD121)),"-")</f>
        <v/>
      </c>
      <c r="HE121" s="41" t="str">
        <f t="shared" ref="HE121:HE132" si="1121">IFERROR(IF(ISBLANK(CE121), "-", IF($I121="c", CE121*$I$5, CE121)),"-")</f>
        <v/>
      </c>
      <c r="HF121" s="41" t="str">
        <f t="shared" ref="HF121:HF132" si="1122">IFERROR(IF(ISBLANK(CF121), "-", IF($I121="c", CF121*$I$5, CF121)),"-")</f>
        <v/>
      </c>
      <c r="HG121" s="41" t="str">
        <f t="shared" ref="HG121:HG132" si="1123">IFERROR(IF(ISBLANK(CG121), "-", IF($I121="c", CG121*$I$5, CG121)),"-")</f>
        <v/>
      </c>
      <c r="HH121" s="41" t="str">
        <f t="shared" ref="HH121:HH132" si="1124">IFERROR(IF(ISBLANK(CH121), "-", IF($I121="c", CH121*$I$5, CH121)),"-")</f>
        <v/>
      </c>
      <c r="HI121" s="41" t="str">
        <f t="shared" ref="HI121:HI132" si="1125">IFERROR(IF(ISBLANK(CI121), "-", IF($I121="c", CI121*$I$5, CI121)),"-")</f>
        <v/>
      </c>
      <c r="HJ121" s="41" t="str">
        <f t="shared" ref="HJ121:HJ132" si="1126">IFERROR(IF(ISBLANK(CJ121), "-", IF($I121="c", CJ121*$I$5, CJ121)),"-")</f>
        <v/>
      </c>
      <c r="HK121" s="41" t="str">
        <f t="shared" ref="HK121:HK132" si="1127">IFERROR(IF(ISBLANK(CK121), "-", IF($I121="c", CK121*$I$5, CK121)),"-")</f>
        <v/>
      </c>
      <c r="HL121" s="41" t="str">
        <f t="shared" ref="HL121:HL132" si="1128">IFERROR(IF(ISBLANK(CL121), "-", IF($I121="c", CL121*$I$5, CL121)),"-")</f>
        <v/>
      </c>
      <c r="HM121" s="41" t="str">
        <f t="shared" ref="HM121:HM132" si="1129">IFERROR(IF(ISBLANK(CM121), "-", IF($I121="c", CM121*$I$5, CM121)),"-")</f>
        <v/>
      </c>
      <c r="HN121" s="41" t="str">
        <f t="shared" ref="HN121:HN132" si="1130">IFERROR(IF(ISBLANK(CN121), "-", IF($I121="c", CN121*$I$5, CN121)),"-")</f>
        <v/>
      </c>
      <c r="HO121" s="41" t="str">
        <f t="shared" ref="HO121:HO132" si="1131">IFERROR(IF(ISBLANK(CO121), "-", IF($I121="c", CO121*$I$5, CO121)),"-")</f>
        <v/>
      </c>
      <c r="HP121" s="41" t="str">
        <f t="shared" ref="HP121:HP132" si="1132">IFERROR(IF(ISBLANK(CP121), "-", IF($I121="c", CP121*$I$5, CP121)),"-")</f>
        <v/>
      </c>
      <c r="HQ121" s="41" t="str">
        <f t="shared" ref="HQ121:HQ132" si="1133">IFERROR(IF(ISBLANK(CQ121), "-", IF($I121="c", CQ121*$I$5, CQ121)),"-")</f>
        <v/>
      </c>
      <c r="HR121" s="41" t="str">
        <f t="shared" ref="HR121:HR132" si="1134">IFERROR(IF(ISBLANK(CR121), "-", IF($I121="c", CR121*$I$5, CR121)),"-")</f>
        <v/>
      </c>
      <c r="HS121" s="41" t="str">
        <f t="shared" ref="HS121:HS132" si="1135">IFERROR(IF(ISBLANK(CS121), "-", IF($I121="c", CS121*$I$5, CS121)),"-")</f>
        <v/>
      </c>
      <c r="HT121" s="41" t="str">
        <f t="shared" ref="HT121:HT132" si="1136">IFERROR(IF(ISBLANK(CT121), "-", IF($I121="c", CT121*$I$5, CT121)),"-")</f>
        <v/>
      </c>
      <c r="HU121" s="41" t="str">
        <f t="shared" ref="HU121:HU132" si="1137">IFERROR(IF(ISBLANK(CU121), "-", IF($I121="c", CU121*$I$5, CU121)),"-")</f>
        <v/>
      </c>
      <c r="HV121" s="41" t="str">
        <f t="shared" ref="HV121:HV132" si="1138">IFERROR(IF(ISBLANK(CV121), "-", IF($I121="c", CV121*$I$5, CV121)),"-")</f>
        <v/>
      </c>
      <c r="HW121" s="41" t="str">
        <f t="shared" ref="HW121:HW132" si="1139">IFERROR(IF(ISBLANK(CW121), "-", IF($I121="c", CW121*$I$5, CW121)),"-")</f>
        <v/>
      </c>
      <c r="HX121" s="41" t="str">
        <f t="shared" ref="HX121:HX132" si="1140">IFERROR(IF(ISBLANK(CX121), "-", IF($I121="c", CX121*$I$5, CX121)),"-")</f>
        <v/>
      </c>
      <c r="HY121" s="41" t="str">
        <f t="shared" ref="HY121:HY132" si="1141">IFERROR(IF(ISBLANK(CY121), "-", IF($I121="c", CY121*$I$5, CY121)),"-")</f>
        <v/>
      </c>
      <c r="HZ121" s="41" t="str">
        <f t="shared" ref="HZ121:HZ132" si="1142">IFERROR(IF(ISBLANK(CZ121), "-", IF($I121="c", CZ121*$I$5, CZ121)),"-")</f>
        <v/>
      </c>
      <c r="IA121" s="41" t="str">
        <f t="shared" ref="IA121:IA132" si="1143">IFERROR(IF(ISBLANK(DA121), "-", IF($I121="c", DA121*$I$5, DA121)),"-")</f>
        <v/>
      </c>
      <c r="IB121" s="41" t="str">
        <f t="shared" ref="IB121:IB132" si="1144">IFERROR(IF(ISBLANK(DB121), "-", IF($I121="c", DB121*$I$5, DB121)),"-")</f>
        <v/>
      </c>
      <c r="IC121" s="41" t="str">
        <f t="shared" ref="IC121:IC132" si="1145">IFERROR(IF(ISBLANK(DC121), "-", IF($I121="c", DC121*$I$5, DC121)),"-")</f>
        <v/>
      </c>
      <c r="ID121" s="41" t="str">
        <f t="shared" ref="ID121:ID132" si="1146">IFERROR(IF(ISBLANK(DD121), "-", IF($I121="c", DD121*$I$5, DD121)),"-")</f>
        <v/>
      </c>
      <c r="IE121" s="41" t="str">
        <f t="shared" ref="IE121:IE132" si="1147">IFERROR(IF(ISBLANK(DE121), "-", IF($I121="c", DE121*$I$5, DE121)),"-")</f>
        <v/>
      </c>
      <c r="IF121" s="41" t="str">
        <f t="shared" ref="IF121:IF132" si="1148">IFERROR(IF(ISBLANK(DF121), "-", IF($I121="c", DF121*$I$5, DF121)),"-")</f>
        <v/>
      </c>
      <c r="IG121" s="306">
        <f t="shared" ref="IG121:IG132" si="1149">IFERROR(IF(ISBLANK(DH121), "-", IF($I121="c", DH121*$I$5, DH121)),"-")</f>
        <v>0</v>
      </c>
      <c r="IH121" s="44" t="str">
        <f t="shared" ref="IH121:IH132" si="1150">IFERROR(IF(ISBLANK(DI121), "-", IF($I121="c", DI121*$I$5, DI121)),"-")</f>
        <v/>
      </c>
      <c r="II121" s="44" t="str">
        <f t="shared" ref="II121:II132" si="1151">IFERROR(IF(ISBLANK(DJ121), "-", IF($I121="c", DJ121*$I$5, DJ121)),"-")</f>
        <v/>
      </c>
      <c r="IJ121" s="44" t="str">
        <f t="shared" ref="IJ121:IJ132" si="1152">IFERROR(IF(ISBLANK(DK121), "-", IF($I121="c", DK121*$I$5, DK121)),"-")</f>
        <v/>
      </c>
      <c r="IK121" s="44" t="str">
        <f t="shared" ref="IK121:IK132" si="1153">IFERROR(IF(ISBLANK(DL121), "-", IF($I121="c", DL121*$I$5, DL121)),"-")</f>
        <v/>
      </c>
      <c r="IL121" s="44" t="str">
        <f t="shared" ref="IL121:IL132" si="1154">IFERROR(IF(ISBLANK(DM121), "-", IF($I121="c", DM121*$I$5, DM121)),"-")</f>
        <v/>
      </c>
      <c r="IM121" s="306" t="str">
        <f t="shared" ref="IM121:IM132" si="1155">IFERROR(IF(ISBLANK(DO121), "", IF($I121="c",DO121*$I$5, DO121)),"-")</f>
        <v/>
      </c>
      <c r="IN121" s="44" t="str">
        <f t="shared" ref="IN121:IN132" si="1156">IFERROR(IF(ISBLANK(DP121), "", IF($I121="c",DP121*$I$5, DP121)),"-")</f>
        <v/>
      </c>
      <c r="IO121" s="44" t="str">
        <f t="shared" ref="IO121:IO132" si="1157">IFERROR(IF(ISBLANK(DQ121), "", IF($I121="c",DQ121*$I$5, DQ121)),"-")</f>
        <v/>
      </c>
      <c r="IP121" s="44" t="str">
        <f t="shared" ref="IP121:IP132" si="1158">IFERROR(IF(ISBLANK(DR121), "", IF($I121="c",DR121*$I$5, DR121)),"-")</f>
        <v/>
      </c>
      <c r="IQ121" s="44" t="str">
        <f t="shared" ref="IQ121:IQ132" si="1159">IFERROR(IF(ISBLANK(DS121), "", IF($I121="c",DS121*$I$5, DS121)),"-")</f>
        <v/>
      </c>
      <c r="IR121" s="44" t="str">
        <f t="shared" ref="IR121:IR132" si="1160">IFERROR(IF(ISBLANK(DT121), "", IF($I121="c",DT121*$I$5, DT121)),"-")</f>
        <v/>
      </c>
      <c r="IS121" s="306" t="str">
        <f t="shared" ref="IS121:IS132" si="1161">IFERROR(IF(ISBLANK(DV121), "", IF($I121="c", DV121*$I$5, DV121)),"-")</f>
        <v/>
      </c>
      <c r="IT121" s="44" t="str">
        <f t="shared" ref="IT121:IT132" si="1162">IFERROR(IF(ISBLANK(DW121), "", IF($I121="c", DW121*$I$5, DW121)),"-")</f>
        <v/>
      </c>
      <c r="IU121" s="44" t="str">
        <f t="shared" ref="IU121:IU132" si="1163">IFERROR(IF(ISBLANK(DX121), "", IF($I121="c", DX121*$I$5, DX121)),"-")</f>
        <v/>
      </c>
      <c r="IV121" s="44" t="str">
        <f t="shared" ref="IV121:IV132" si="1164">IFERROR(IF(ISBLANK(DY121), "", IF($I121="c", DY121*$I$5, DY121)),"-")</f>
        <v/>
      </c>
      <c r="IW121" s="44" t="str">
        <f t="shared" ref="IW121:IW132" si="1165">IFERROR(IF(ISBLANK(DZ121), "", IF($I121="c", DZ121*$I$5, DZ121)),"-")</f>
        <v/>
      </c>
      <c r="IX121" s="44" t="str">
        <f t="shared" ref="IX121:IX132" si="1166">IFERROR(IF(ISBLANK(EA121), "", IF($I121="c", EA121*$I$5, EA121)),"-")</f>
        <v/>
      </c>
      <c r="IY121" s="306" t="str">
        <f t="shared" ref="IY121:IY132" si="1167">IFERROR(IF(ISBLANK(EC121), "", IF($I121="c", EC121*$I$5, EC121)),"-")</f>
        <v/>
      </c>
      <c r="IZ121" s="44" t="str">
        <f t="shared" ref="IZ121:IZ132" si="1168">IFERROR(IF(ISBLANK(ED121), "", IF($I121="c", ED121*$I$5, ED121)),"-")</f>
        <v/>
      </c>
      <c r="JA121" s="44" t="str">
        <f t="shared" ref="JA121:JA132" si="1169">IFERROR(IF(ISBLANK(EE121), "", IF($I121="c", EE121*$I$5, EE121)),"-")</f>
        <v/>
      </c>
      <c r="JB121" s="44" t="str">
        <f t="shared" ref="JB121:JB132" si="1170">IFERROR(IF(ISBLANK(EF121), "", IF($I121="c", EF121*$I$5, EF121)),"-")</f>
        <v/>
      </c>
      <c r="JC121" s="44" t="str">
        <f t="shared" ref="JC121:JC132" si="1171">IFERROR(IF(ISBLANK(EG121), "", IF($I121="c", EG121*$I$5, EG121)),"-")</f>
        <v/>
      </c>
      <c r="JD121" s="307" t="str">
        <f t="shared" ref="JD121:JD132" si="1172">IFERROR(IF(ISBLANK(EH121), "", IF($I121="c", EH121*$I$5, EH121)),"-")</f>
        <v/>
      </c>
      <c r="JF121" s="66">
        <f t="shared" si="779"/>
        <v>121</v>
      </c>
      <c r="JG121" s="66">
        <f t="shared" ca="1" si="789"/>
        <v>0</v>
      </c>
      <c r="JH121" s="66">
        <f t="shared" ca="1" si="790"/>
        <v>0</v>
      </c>
      <c r="JI121" s="66">
        <f t="shared" ca="1" si="791"/>
        <v>0</v>
      </c>
      <c r="JJ121" s="66">
        <f t="shared" ca="1" si="792"/>
        <v>0</v>
      </c>
      <c r="JK121" s="33"/>
      <c r="JL121" s="74" t="str">
        <f t="shared" ca="1" si="793"/>
        <v>-</v>
      </c>
      <c r="JM121" s="75">
        <f t="shared" ca="1" si="794"/>
        <v>0</v>
      </c>
      <c r="JN121" s="75">
        <f t="shared" ca="1" si="795"/>
        <v>0</v>
      </c>
      <c r="JO121" s="74" t="str">
        <f t="shared" ca="1" si="796"/>
        <v>-</v>
      </c>
      <c r="JP121" s="74">
        <f t="shared" ca="1" si="797"/>
        <v>0</v>
      </c>
    </row>
    <row r="122" spans="1:276" hidden="1" x14ac:dyDescent="0.35">
      <c r="A122" s="125" t="s">
        <v>805</v>
      </c>
      <c r="B122" s="125" t="s">
        <v>805</v>
      </c>
      <c r="C122" s="125" t="s">
        <v>805</v>
      </c>
      <c r="E122" s="142" t="s">
        <v>848</v>
      </c>
      <c r="F122" s="254" t="s">
        <v>735</v>
      </c>
      <c r="G122" t="s">
        <v>542</v>
      </c>
      <c r="H122" t="s">
        <v>531</v>
      </c>
      <c r="I122" t="s">
        <v>534</v>
      </c>
      <c r="J122" s="211" t="s">
        <v>805</v>
      </c>
      <c r="K122" t="s">
        <v>805</v>
      </c>
      <c r="L122" t="s">
        <v>805</v>
      </c>
      <c r="M122" t="s">
        <v>805</v>
      </c>
      <c r="N122" t="s">
        <v>805</v>
      </c>
      <c r="O122" t="s">
        <v>805</v>
      </c>
      <c r="P122" t="s">
        <v>805</v>
      </c>
      <c r="Q122" t="s">
        <v>805</v>
      </c>
      <c r="R122" t="s">
        <v>805</v>
      </c>
      <c r="S122" t="s">
        <v>805</v>
      </c>
      <c r="T122" t="s">
        <v>805</v>
      </c>
      <c r="U122" t="s">
        <v>805</v>
      </c>
      <c r="V122" t="s">
        <v>805</v>
      </c>
      <c r="W122" t="s">
        <v>805</v>
      </c>
      <c r="X122" t="s">
        <v>805</v>
      </c>
      <c r="Y122" t="s">
        <v>805</v>
      </c>
      <c r="Z122" t="s">
        <v>805</v>
      </c>
      <c r="AA122" t="s">
        <v>805</v>
      </c>
      <c r="AB122" t="s">
        <v>805</v>
      </c>
      <c r="AC122" t="s">
        <v>805</v>
      </c>
      <c r="AD122" t="s">
        <v>805</v>
      </c>
      <c r="AE122" t="s">
        <v>805</v>
      </c>
      <c r="AF122" t="s">
        <v>805</v>
      </c>
      <c r="AG122" t="s">
        <v>805</v>
      </c>
      <c r="AH122" t="s">
        <v>805</v>
      </c>
      <c r="AI122" t="s">
        <v>805</v>
      </c>
      <c r="AJ122" t="s">
        <v>805</v>
      </c>
      <c r="AK122" t="s">
        <v>805</v>
      </c>
      <c r="AL122" t="s">
        <v>805</v>
      </c>
      <c r="AM122" t="s">
        <v>805</v>
      </c>
      <c r="AN122" t="s">
        <v>805</v>
      </c>
      <c r="AO122" t="s">
        <v>805</v>
      </c>
      <c r="AP122" t="s">
        <v>805</v>
      </c>
      <c r="AQ122" t="s">
        <v>805</v>
      </c>
      <c r="AR122" t="s">
        <v>805</v>
      </c>
      <c r="AS122" t="s">
        <v>805</v>
      </c>
      <c r="AT122" t="s">
        <v>805</v>
      </c>
      <c r="AU122" t="s">
        <v>805</v>
      </c>
      <c r="AV122" t="s">
        <v>805</v>
      </c>
      <c r="AW122" t="s">
        <v>805</v>
      </c>
      <c r="AX122" t="s">
        <v>805</v>
      </c>
      <c r="AY122" t="s">
        <v>805</v>
      </c>
      <c r="AZ122" t="s">
        <v>805</v>
      </c>
      <c r="BA122" t="s">
        <v>805</v>
      </c>
      <c r="BB122" t="s">
        <v>805</v>
      </c>
      <c r="BC122" t="s">
        <v>805</v>
      </c>
      <c r="BD122" t="s">
        <v>805</v>
      </c>
      <c r="BE122" t="s">
        <v>805</v>
      </c>
      <c r="BF122" t="s">
        <v>805</v>
      </c>
      <c r="BG122" t="s">
        <v>805</v>
      </c>
      <c r="BH122" t="s">
        <v>805</v>
      </c>
      <c r="BI122" t="s">
        <v>805</v>
      </c>
      <c r="BJ122" t="s">
        <v>805</v>
      </c>
      <c r="BK122" t="s">
        <v>805</v>
      </c>
      <c r="BL122" t="s">
        <v>805</v>
      </c>
      <c r="BM122" t="s">
        <v>805</v>
      </c>
      <c r="BN122" t="s">
        <v>805</v>
      </c>
      <c r="BO122" t="s">
        <v>805</v>
      </c>
      <c r="BP122" t="s">
        <v>805</v>
      </c>
      <c r="BQ122" t="s">
        <v>805</v>
      </c>
      <c r="BR122" t="s">
        <v>805</v>
      </c>
      <c r="BS122" t="s">
        <v>805</v>
      </c>
      <c r="BT122" t="s">
        <v>805</v>
      </c>
      <c r="BU122" t="s">
        <v>805</v>
      </c>
      <c r="BV122" t="s">
        <v>805</v>
      </c>
      <c r="BW122" t="s">
        <v>805</v>
      </c>
      <c r="BX122" t="s">
        <v>805</v>
      </c>
      <c r="BY122" t="s">
        <v>805</v>
      </c>
      <c r="BZ122" t="s">
        <v>805</v>
      </c>
      <c r="CA122" t="s">
        <v>805</v>
      </c>
      <c r="CB122" t="s">
        <v>805</v>
      </c>
      <c r="CC122" t="s">
        <v>805</v>
      </c>
      <c r="CD122" t="s">
        <v>805</v>
      </c>
      <c r="CE122" t="s">
        <v>805</v>
      </c>
      <c r="CF122" t="s">
        <v>805</v>
      </c>
      <c r="CG122" t="s">
        <v>805</v>
      </c>
      <c r="CH122" t="s">
        <v>805</v>
      </c>
      <c r="CI122" t="s">
        <v>805</v>
      </c>
      <c r="CJ122" t="s">
        <v>805</v>
      </c>
      <c r="CK122" t="s">
        <v>805</v>
      </c>
      <c r="CL122" t="s">
        <v>805</v>
      </c>
      <c r="CM122" t="s">
        <v>805</v>
      </c>
      <c r="CN122" t="s">
        <v>805</v>
      </c>
      <c r="CO122" t="s">
        <v>805</v>
      </c>
      <c r="CP122" t="s">
        <v>805</v>
      </c>
      <c r="CQ122" t="s">
        <v>805</v>
      </c>
      <c r="CR122" t="s">
        <v>805</v>
      </c>
      <c r="CS122" t="s">
        <v>805</v>
      </c>
      <c r="CT122" t="s">
        <v>805</v>
      </c>
      <c r="CU122" t="s">
        <v>805</v>
      </c>
      <c r="CV122" t="s">
        <v>805</v>
      </c>
      <c r="CW122" t="s">
        <v>805</v>
      </c>
      <c r="CX122" t="s">
        <v>805</v>
      </c>
      <c r="CY122" t="s">
        <v>805</v>
      </c>
      <c r="CZ122" t="s">
        <v>805</v>
      </c>
      <c r="DA122" t="s">
        <v>805</v>
      </c>
      <c r="DB122" t="s">
        <v>805</v>
      </c>
      <c r="DC122" t="s">
        <v>805</v>
      </c>
      <c r="DD122" t="s">
        <v>805</v>
      </c>
      <c r="DE122" t="s">
        <v>805</v>
      </c>
      <c r="DF122" t="s">
        <v>805</v>
      </c>
      <c r="DG122" s="28">
        <f>VLOOKUP(E122,'KPI Count-SHARE'!A:F,3,0)</f>
        <v>0</v>
      </c>
      <c r="DH122">
        <v>0</v>
      </c>
      <c r="DI122" t="s">
        <v>805</v>
      </c>
      <c r="DJ122" t="s">
        <v>805</v>
      </c>
      <c r="DK122" t="s">
        <v>805</v>
      </c>
      <c r="DL122" t="s">
        <v>805</v>
      </c>
      <c r="DM122" t="s">
        <v>805</v>
      </c>
      <c r="DN122" s="28">
        <f>VLOOKUP(E122,'KPI Count-SHARE'!A:F,4,0)</f>
        <v>0</v>
      </c>
      <c r="DU122" s="28">
        <f>VLOOKUP(E122,'KPI Count-SHARE'!A:F,5,0)</f>
        <v>0</v>
      </c>
      <c r="EB122" s="28">
        <f>VLOOKUP(E122,'KPI Count-SHARE'!A:F,6,0)</f>
        <v>0</v>
      </c>
      <c r="EI122" t="s">
        <v>531</v>
      </c>
      <c r="EJ122" s="41" t="str">
        <f t="shared" si="1048"/>
        <v/>
      </c>
      <c r="EK122" s="41" t="str">
        <f t="shared" si="1049"/>
        <v/>
      </c>
      <c r="EL122" s="41" t="str">
        <f t="shared" si="1050"/>
        <v/>
      </c>
      <c r="EM122" s="41" t="str">
        <f t="shared" si="1051"/>
        <v/>
      </c>
      <c r="EN122" s="41" t="str">
        <f t="shared" si="1052"/>
        <v/>
      </c>
      <c r="EO122" s="41" t="str">
        <f t="shared" si="1053"/>
        <v/>
      </c>
      <c r="EP122" s="41" t="str">
        <f t="shared" si="1054"/>
        <v/>
      </c>
      <c r="EQ122" s="41" t="str">
        <f t="shared" si="1055"/>
        <v/>
      </c>
      <c r="ER122" s="41" t="str">
        <f t="shared" si="1056"/>
        <v/>
      </c>
      <c r="ES122" s="41" t="str">
        <f t="shared" si="1057"/>
        <v/>
      </c>
      <c r="ET122" s="41" t="str">
        <f t="shared" si="1058"/>
        <v/>
      </c>
      <c r="EU122" s="41" t="str">
        <f t="shared" si="1059"/>
        <v/>
      </c>
      <c r="EV122" s="41" t="str">
        <f t="shared" si="1060"/>
        <v/>
      </c>
      <c r="EW122" s="41" t="str">
        <f t="shared" si="1061"/>
        <v/>
      </c>
      <c r="EX122" s="41" t="str">
        <f t="shared" si="1062"/>
        <v/>
      </c>
      <c r="EY122" s="41" t="str">
        <f t="shared" si="1063"/>
        <v/>
      </c>
      <c r="EZ122" s="41" t="str">
        <f t="shared" si="1064"/>
        <v/>
      </c>
      <c r="FA122" s="41" t="str">
        <f t="shared" si="1065"/>
        <v/>
      </c>
      <c r="FB122" s="41" t="str">
        <f t="shared" si="1066"/>
        <v/>
      </c>
      <c r="FC122" s="41" t="str">
        <f t="shared" si="1067"/>
        <v/>
      </c>
      <c r="FD122" s="41" t="str">
        <f t="shared" si="1068"/>
        <v/>
      </c>
      <c r="FE122" s="41" t="str">
        <f t="shared" si="1069"/>
        <v/>
      </c>
      <c r="FF122" s="41" t="str">
        <f t="shared" si="1070"/>
        <v/>
      </c>
      <c r="FG122" s="41" t="str">
        <f t="shared" si="1071"/>
        <v/>
      </c>
      <c r="FH122" s="41" t="str">
        <f t="shared" si="1072"/>
        <v/>
      </c>
      <c r="FI122" s="41" t="str">
        <f t="shared" si="1073"/>
        <v/>
      </c>
      <c r="FJ122" s="41" t="str">
        <f t="shared" si="1074"/>
        <v/>
      </c>
      <c r="FK122" s="41" t="str">
        <f t="shared" si="1075"/>
        <v/>
      </c>
      <c r="FL122" s="41" t="str">
        <f t="shared" si="1076"/>
        <v/>
      </c>
      <c r="FM122" s="41" t="str">
        <f t="shared" si="1077"/>
        <v/>
      </c>
      <c r="FN122" s="41" t="str">
        <f t="shared" si="1078"/>
        <v/>
      </c>
      <c r="FO122" s="41" t="str">
        <f t="shared" si="1079"/>
        <v/>
      </c>
      <c r="FP122" s="41" t="str">
        <f t="shared" si="1080"/>
        <v/>
      </c>
      <c r="FQ122" s="41" t="str">
        <f t="shared" si="1081"/>
        <v/>
      </c>
      <c r="FR122" s="41" t="str">
        <f t="shared" si="1082"/>
        <v/>
      </c>
      <c r="FS122" s="41" t="str">
        <f t="shared" si="1083"/>
        <v/>
      </c>
      <c r="FT122" s="41" t="str">
        <f t="shared" si="1084"/>
        <v/>
      </c>
      <c r="FU122" s="41" t="str">
        <f t="shared" si="1085"/>
        <v/>
      </c>
      <c r="FV122" s="41" t="str">
        <f t="shared" si="1086"/>
        <v/>
      </c>
      <c r="FW122" s="41" t="str">
        <f t="shared" si="1087"/>
        <v/>
      </c>
      <c r="FX122" s="41" t="str">
        <f t="shared" si="1088"/>
        <v/>
      </c>
      <c r="FY122" s="41" t="str">
        <f t="shared" si="1089"/>
        <v/>
      </c>
      <c r="FZ122" s="41" t="str">
        <f t="shared" si="1090"/>
        <v/>
      </c>
      <c r="GA122" s="41" t="str">
        <f t="shared" si="1091"/>
        <v/>
      </c>
      <c r="GB122" s="41" t="str">
        <f t="shared" si="1092"/>
        <v/>
      </c>
      <c r="GC122" s="41" t="str">
        <f t="shared" si="1093"/>
        <v/>
      </c>
      <c r="GD122" s="41" t="str">
        <f t="shared" si="1094"/>
        <v/>
      </c>
      <c r="GE122" s="41" t="str">
        <f t="shared" si="1095"/>
        <v/>
      </c>
      <c r="GF122" s="41" t="str">
        <f t="shared" si="1096"/>
        <v/>
      </c>
      <c r="GG122" s="41" t="str">
        <f t="shared" si="1097"/>
        <v/>
      </c>
      <c r="GH122" s="41" t="str">
        <f t="shared" si="1098"/>
        <v/>
      </c>
      <c r="GI122" s="41" t="str">
        <f t="shared" si="1099"/>
        <v/>
      </c>
      <c r="GJ122" s="41" t="str">
        <f t="shared" si="1100"/>
        <v/>
      </c>
      <c r="GK122" s="41" t="str">
        <f t="shared" si="1101"/>
        <v/>
      </c>
      <c r="GL122" s="41" t="str">
        <f t="shared" si="1102"/>
        <v/>
      </c>
      <c r="GM122" s="41" t="str">
        <f t="shared" si="1103"/>
        <v/>
      </c>
      <c r="GN122" s="41" t="str">
        <f t="shared" si="1104"/>
        <v/>
      </c>
      <c r="GO122" s="41" t="str">
        <f t="shared" si="1105"/>
        <v/>
      </c>
      <c r="GP122" s="41" t="str">
        <f t="shared" si="1106"/>
        <v/>
      </c>
      <c r="GQ122" s="41" t="str">
        <f t="shared" si="1107"/>
        <v/>
      </c>
      <c r="GR122" s="41" t="str">
        <f t="shared" si="1108"/>
        <v/>
      </c>
      <c r="GS122" s="41" t="str">
        <f t="shared" si="1109"/>
        <v/>
      </c>
      <c r="GT122" s="41" t="str">
        <f t="shared" si="1110"/>
        <v/>
      </c>
      <c r="GU122" s="41" t="str">
        <f t="shared" si="1111"/>
        <v/>
      </c>
      <c r="GV122" s="41" t="str">
        <f t="shared" si="1112"/>
        <v/>
      </c>
      <c r="GW122" s="41" t="str">
        <f t="shared" si="1113"/>
        <v/>
      </c>
      <c r="GX122" s="41" t="str">
        <f t="shared" si="1114"/>
        <v/>
      </c>
      <c r="GY122" s="41" t="str">
        <f t="shared" si="1115"/>
        <v/>
      </c>
      <c r="GZ122" s="41" t="str">
        <f t="shared" si="1116"/>
        <v/>
      </c>
      <c r="HA122" s="41" t="str">
        <f t="shared" si="1117"/>
        <v/>
      </c>
      <c r="HB122" s="41" t="str">
        <f t="shared" si="1118"/>
        <v/>
      </c>
      <c r="HC122" s="41" t="str">
        <f t="shared" si="1119"/>
        <v/>
      </c>
      <c r="HD122" s="41" t="str">
        <f t="shared" si="1120"/>
        <v/>
      </c>
      <c r="HE122" s="41" t="str">
        <f t="shared" si="1121"/>
        <v/>
      </c>
      <c r="HF122" s="41" t="str">
        <f t="shared" si="1122"/>
        <v/>
      </c>
      <c r="HG122" s="41" t="str">
        <f t="shared" si="1123"/>
        <v/>
      </c>
      <c r="HH122" s="41" t="str">
        <f t="shared" si="1124"/>
        <v/>
      </c>
      <c r="HI122" s="41" t="str">
        <f t="shared" si="1125"/>
        <v/>
      </c>
      <c r="HJ122" s="41" t="str">
        <f t="shared" si="1126"/>
        <v/>
      </c>
      <c r="HK122" s="41" t="str">
        <f t="shared" si="1127"/>
        <v/>
      </c>
      <c r="HL122" s="41" t="str">
        <f t="shared" si="1128"/>
        <v/>
      </c>
      <c r="HM122" s="41" t="str">
        <f t="shared" si="1129"/>
        <v/>
      </c>
      <c r="HN122" s="41" t="str">
        <f t="shared" si="1130"/>
        <v/>
      </c>
      <c r="HO122" s="41" t="str">
        <f t="shared" si="1131"/>
        <v/>
      </c>
      <c r="HP122" s="41" t="str">
        <f t="shared" si="1132"/>
        <v/>
      </c>
      <c r="HQ122" s="41" t="str">
        <f t="shared" si="1133"/>
        <v/>
      </c>
      <c r="HR122" s="41" t="str">
        <f t="shared" si="1134"/>
        <v/>
      </c>
      <c r="HS122" s="41" t="str">
        <f t="shared" si="1135"/>
        <v/>
      </c>
      <c r="HT122" s="41" t="str">
        <f t="shared" si="1136"/>
        <v/>
      </c>
      <c r="HU122" s="41" t="str">
        <f t="shared" si="1137"/>
        <v/>
      </c>
      <c r="HV122" s="41" t="str">
        <f t="shared" si="1138"/>
        <v/>
      </c>
      <c r="HW122" s="41" t="str">
        <f t="shared" si="1139"/>
        <v/>
      </c>
      <c r="HX122" s="41" t="str">
        <f t="shared" si="1140"/>
        <v/>
      </c>
      <c r="HY122" s="41" t="str">
        <f t="shared" si="1141"/>
        <v/>
      </c>
      <c r="HZ122" s="41" t="str">
        <f t="shared" si="1142"/>
        <v/>
      </c>
      <c r="IA122" s="41" t="str">
        <f t="shared" si="1143"/>
        <v/>
      </c>
      <c r="IB122" s="41" t="str">
        <f t="shared" si="1144"/>
        <v/>
      </c>
      <c r="IC122" s="41" t="str">
        <f t="shared" si="1145"/>
        <v/>
      </c>
      <c r="ID122" s="41" t="str">
        <f t="shared" si="1146"/>
        <v/>
      </c>
      <c r="IE122" s="41" t="str">
        <f t="shared" si="1147"/>
        <v/>
      </c>
      <c r="IF122" s="41" t="str">
        <f t="shared" si="1148"/>
        <v/>
      </c>
      <c r="IG122" s="306">
        <f t="shared" si="1149"/>
        <v>0</v>
      </c>
      <c r="IH122" s="44" t="str">
        <f t="shared" si="1150"/>
        <v/>
      </c>
      <c r="II122" s="44" t="str">
        <f t="shared" si="1151"/>
        <v/>
      </c>
      <c r="IJ122" s="44" t="str">
        <f t="shared" si="1152"/>
        <v/>
      </c>
      <c r="IK122" s="44" t="str">
        <f t="shared" si="1153"/>
        <v/>
      </c>
      <c r="IL122" s="44" t="str">
        <f t="shared" si="1154"/>
        <v/>
      </c>
      <c r="IM122" s="306" t="str">
        <f t="shared" si="1155"/>
        <v/>
      </c>
      <c r="IN122" s="44" t="str">
        <f t="shared" si="1156"/>
        <v/>
      </c>
      <c r="IO122" s="44" t="str">
        <f t="shared" si="1157"/>
        <v/>
      </c>
      <c r="IP122" s="44" t="str">
        <f t="shared" si="1158"/>
        <v/>
      </c>
      <c r="IQ122" s="44" t="str">
        <f t="shared" si="1159"/>
        <v/>
      </c>
      <c r="IR122" s="44" t="str">
        <f t="shared" si="1160"/>
        <v/>
      </c>
      <c r="IS122" s="306" t="str">
        <f t="shared" si="1161"/>
        <v/>
      </c>
      <c r="IT122" s="44" t="str">
        <f t="shared" si="1162"/>
        <v/>
      </c>
      <c r="IU122" s="44" t="str">
        <f t="shared" si="1163"/>
        <v/>
      </c>
      <c r="IV122" s="44" t="str">
        <f t="shared" si="1164"/>
        <v/>
      </c>
      <c r="IW122" s="44" t="str">
        <f t="shared" si="1165"/>
        <v/>
      </c>
      <c r="IX122" s="44" t="str">
        <f t="shared" si="1166"/>
        <v/>
      </c>
      <c r="IY122" s="306" t="str">
        <f t="shared" si="1167"/>
        <v/>
      </c>
      <c r="IZ122" s="44" t="str">
        <f t="shared" si="1168"/>
        <v/>
      </c>
      <c r="JA122" s="44" t="str">
        <f t="shared" si="1169"/>
        <v/>
      </c>
      <c r="JB122" s="44" t="str">
        <f t="shared" si="1170"/>
        <v/>
      </c>
      <c r="JC122" s="44" t="str">
        <f t="shared" si="1171"/>
        <v/>
      </c>
      <c r="JD122" s="307" t="str">
        <f t="shared" si="1172"/>
        <v/>
      </c>
      <c r="JF122" s="66">
        <f t="shared" si="779"/>
        <v>122</v>
      </c>
      <c r="JG122" s="66">
        <f t="shared" ca="1" si="789"/>
        <v>0</v>
      </c>
      <c r="JH122" s="66">
        <f t="shared" ca="1" si="790"/>
        <v>0</v>
      </c>
      <c r="JI122" s="66">
        <f t="shared" ca="1" si="791"/>
        <v>0</v>
      </c>
      <c r="JJ122" s="66">
        <f t="shared" ca="1" si="792"/>
        <v>0</v>
      </c>
      <c r="JK122" s="33"/>
      <c r="JL122" s="74" t="str">
        <f t="shared" ca="1" si="793"/>
        <v>-</v>
      </c>
      <c r="JM122" s="75">
        <f t="shared" ca="1" si="794"/>
        <v>0</v>
      </c>
      <c r="JN122" s="75">
        <f t="shared" ca="1" si="795"/>
        <v>0</v>
      </c>
      <c r="JO122" s="74" t="str">
        <f t="shared" ca="1" si="796"/>
        <v>-</v>
      </c>
      <c r="JP122" s="74">
        <f t="shared" ca="1" si="797"/>
        <v>0</v>
      </c>
    </row>
    <row r="123" spans="1:276" hidden="1" x14ac:dyDescent="0.35">
      <c r="A123" s="125" t="s">
        <v>805</v>
      </c>
      <c r="B123" s="125" t="s">
        <v>805</v>
      </c>
      <c r="C123" s="125" t="s">
        <v>805</v>
      </c>
      <c r="E123" s="142" t="s">
        <v>849</v>
      </c>
      <c r="F123" s="254" t="s">
        <v>736</v>
      </c>
      <c r="G123" t="s">
        <v>542</v>
      </c>
      <c r="H123" t="s">
        <v>531</v>
      </c>
      <c r="I123" t="s">
        <v>534</v>
      </c>
      <c r="J123" s="211" t="s">
        <v>805</v>
      </c>
      <c r="K123" t="s">
        <v>805</v>
      </c>
      <c r="L123" t="s">
        <v>805</v>
      </c>
      <c r="M123" t="s">
        <v>805</v>
      </c>
      <c r="N123" t="s">
        <v>805</v>
      </c>
      <c r="O123" t="s">
        <v>805</v>
      </c>
      <c r="P123" t="s">
        <v>805</v>
      </c>
      <c r="Q123" t="s">
        <v>805</v>
      </c>
      <c r="R123" t="s">
        <v>805</v>
      </c>
      <c r="S123" t="s">
        <v>805</v>
      </c>
      <c r="T123" t="s">
        <v>805</v>
      </c>
      <c r="U123" t="s">
        <v>805</v>
      </c>
      <c r="V123" t="s">
        <v>805</v>
      </c>
      <c r="W123" t="s">
        <v>805</v>
      </c>
      <c r="X123" t="s">
        <v>805</v>
      </c>
      <c r="Y123" t="s">
        <v>805</v>
      </c>
      <c r="Z123" t="s">
        <v>805</v>
      </c>
      <c r="AA123" t="s">
        <v>805</v>
      </c>
      <c r="AB123" t="s">
        <v>805</v>
      </c>
      <c r="AC123" t="s">
        <v>805</v>
      </c>
      <c r="AD123" t="s">
        <v>805</v>
      </c>
      <c r="AE123" t="s">
        <v>805</v>
      </c>
      <c r="AF123" t="s">
        <v>805</v>
      </c>
      <c r="AG123" t="s">
        <v>805</v>
      </c>
      <c r="AH123" t="s">
        <v>805</v>
      </c>
      <c r="AI123" t="s">
        <v>805</v>
      </c>
      <c r="AJ123" t="s">
        <v>805</v>
      </c>
      <c r="AK123" t="s">
        <v>805</v>
      </c>
      <c r="AL123" t="s">
        <v>805</v>
      </c>
      <c r="AM123" t="s">
        <v>805</v>
      </c>
      <c r="AN123" t="s">
        <v>805</v>
      </c>
      <c r="AO123" t="s">
        <v>805</v>
      </c>
      <c r="AP123" t="s">
        <v>805</v>
      </c>
      <c r="AQ123" t="s">
        <v>805</v>
      </c>
      <c r="AR123" t="s">
        <v>805</v>
      </c>
      <c r="AS123" t="s">
        <v>805</v>
      </c>
      <c r="AT123" t="s">
        <v>805</v>
      </c>
      <c r="AU123" t="s">
        <v>805</v>
      </c>
      <c r="AV123" t="s">
        <v>805</v>
      </c>
      <c r="AW123" t="s">
        <v>805</v>
      </c>
      <c r="AX123" t="s">
        <v>805</v>
      </c>
      <c r="AY123" t="s">
        <v>805</v>
      </c>
      <c r="AZ123" t="s">
        <v>805</v>
      </c>
      <c r="BA123" t="s">
        <v>805</v>
      </c>
      <c r="BB123" t="s">
        <v>805</v>
      </c>
      <c r="BC123" t="s">
        <v>805</v>
      </c>
      <c r="BD123" t="s">
        <v>805</v>
      </c>
      <c r="BE123" t="s">
        <v>805</v>
      </c>
      <c r="BF123" t="s">
        <v>805</v>
      </c>
      <c r="BG123" t="s">
        <v>805</v>
      </c>
      <c r="BH123" t="s">
        <v>805</v>
      </c>
      <c r="BI123" t="s">
        <v>805</v>
      </c>
      <c r="BJ123" t="s">
        <v>805</v>
      </c>
      <c r="BK123" t="s">
        <v>805</v>
      </c>
      <c r="BL123" t="s">
        <v>805</v>
      </c>
      <c r="BM123" t="s">
        <v>805</v>
      </c>
      <c r="BN123" t="s">
        <v>805</v>
      </c>
      <c r="BO123" t="s">
        <v>805</v>
      </c>
      <c r="BP123" t="s">
        <v>805</v>
      </c>
      <c r="BQ123" t="s">
        <v>805</v>
      </c>
      <c r="BR123" t="s">
        <v>805</v>
      </c>
      <c r="BS123" t="s">
        <v>805</v>
      </c>
      <c r="BT123" t="s">
        <v>805</v>
      </c>
      <c r="BU123" t="s">
        <v>805</v>
      </c>
      <c r="BV123" t="s">
        <v>805</v>
      </c>
      <c r="BW123" t="s">
        <v>805</v>
      </c>
      <c r="BX123" t="s">
        <v>805</v>
      </c>
      <c r="BY123" t="s">
        <v>805</v>
      </c>
      <c r="BZ123" t="s">
        <v>805</v>
      </c>
      <c r="CA123" t="s">
        <v>805</v>
      </c>
      <c r="CB123" t="s">
        <v>805</v>
      </c>
      <c r="CC123" t="s">
        <v>805</v>
      </c>
      <c r="CD123" t="s">
        <v>805</v>
      </c>
      <c r="CE123" t="s">
        <v>805</v>
      </c>
      <c r="CF123" t="s">
        <v>805</v>
      </c>
      <c r="CG123" t="s">
        <v>805</v>
      </c>
      <c r="CH123" t="s">
        <v>805</v>
      </c>
      <c r="CI123" t="s">
        <v>805</v>
      </c>
      <c r="CJ123" t="s">
        <v>805</v>
      </c>
      <c r="CK123" t="s">
        <v>805</v>
      </c>
      <c r="CL123" t="s">
        <v>805</v>
      </c>
      <c r="CM123" t="s">
        <v>805</v>
      </c>
      <c r="CN123" t="s">
        <v>805</v>
      </c>
      <c r="CO123" t="s">
        <v>805</v>
      </c>
      <c r="CP123" t="s">
        <v>805</v>
      </c>
      <c r="CQ123" t="s">
        <v>805</v>
      </c>
      <c r="CR123" t="s">
        <v>805</v>
      </c>
      <c r="CS123" t="s">
        <v>805</v>
      </c>
      <c r="CT123" t="s">
        <v>805</v>
      </c>
      <c r="CU123" t="s">
        <v>805</v>
      </c>
      <c r="CV123" t="s">
        <v>805</v>
      </c>
      <c r="CW123" t="s">
        <v>805</v>
      </c>
      <c r="CX123" t="s">
        <v>805</v>
      </c>
      <c r="CY123" t="s">
        <v>805</v>
      </c>
      <c r="CZ123" t="s">
        <v>805</v>
      </c>
      <c r="DA123" t="s">
        <v>805</v>
      </c>
      <c r="DB123" t="s">
        <v>805</v>
      </c>
      <c r="DC123" t="s">
        <v>805</v>
      </c>
      <c r="DD123" t="s">
        <v>805</v>
      </c>
      <c r="DE123" t="s">
        <v>805</v>
      </c>
      <c r="DF123" t="s">
        <v>805</v>
      </c>
      <c r="DG123" s="28">
        <f>VLOOKUP(E123,'KPI Count-SHARE'!A:F,3,0)</f>
        <v>0</v>
      </c>
      <c r="DH123">
        <v>0</v>
      </c>
      <c r="DI123" t="s">
        <v>805</v>
      </c>
      <c r="DJ123" t="s">
        <v>805</v>
      </c>
      <c r="DK123" t="s">
        <v>805</v>
      </c>
      <c r="DL123" t="s">
        <v>805</v>
      </c>
      <c r="DM123" t="s">
        <v>805</v>
      </c>
      <c r="DN123" s="28">
        <f>VLOOKUP(E123,'KPI Count-SHARE'!A:F,4,0)</f>
        <v>0</v>
      </c>
      <c r="DU123" s="28">
        <f>VLOOKUP(E123,'KPI Count-SHARE'!A:F,5,0)</f>
        <v>0</v>
      </c>
      <c r="EB123" s="28">
        <f>VLOOKUP(E123,'KPI Count-SHARE'!A:F,6,0)</f>
        <v>0</v>
      </c>
      <c r="EI123" t="s">
        <v>531</v>
      </c>
      <c r="EJ123" s="41" t="str">
        <f t="shared" si="1048"/>
        <v/>
      </c>
      <c r="EK123" s="41" t="str">
        <f t="shared" si="1049"/>
        <v/>
      </c>
      <c r="EL123" s="41" t="str">
        <f t="shared" si="1050"/>
        <v/>
      </c>
      <c r="EM123" s="41" t="str">
        <f t="shared" si="1051"/>
        <v/>
      </c>
      <c r="EN123" s="41" t="str">
        <f t="shared" si="1052"/>
        <v/>
      </c>
      <c r="EO123" s="41" t="str">
        <f t="shared" si="1053"/>
        <v/>
      </c>
      <c r="EP123" s="41" t="str">
        <f t="shared" si="1054"/>
        <v/>
      </c>
      <c r="EQ123" s="41" t="str">
        <f t="shared" si="1055"/>
        <v/>
      </c>
      <c r="ER123" s="41" t="str">
        <f t="shared" si="1056"/>
        <v/>
      </c>
      <c r="ES123" s="41" t="str">
        <f t="shared" si="1057"/>
        <v/>
      </c>
      <c r="ET123" s="41" t="str">
        <f t="shared" si="1058"/>
        <v/>
      </c>
      <c r="EU123" s="41" t="str">
        <f t="shared" si="1059"/>
        <v/>
      </c>
      <c r="EV123" s="41" t="str">
        <f t="shared" si="1060"/>
        <v/>
      </c>
      <c r="EW123" s="41" t="str">
        <f t="shared" si="1061"/>
        <v/>
      </c>
      <c r="EX123" s="41" t="str">
        <f t="shared" si="1062"/>
        <v/>
      </c>
      <c r="EY123" s="41" t="str">
        <f t="shared" si="1063"/>
        <v/>
      </c>
      <c r="EZ123" s="41" t="str">
        <f t="shared" si="1064"/>
        <v/>
      </c>
      <c r="FA123" s="41" t="str">
        <f t="shared" si="1065"/>
        <v/>
      </c>
      <c r="FB123" s="41" t="str">
        <f t="shared" si="1066"/>
        <v/>
      </c>
      <c r="FC123" s="41" t="str">
        <f t="shared" si="1067"/>
        <v/>
      </c>
      <c r="FD123" s="41" t="str">
        <f t="shared" si="1068"/>
        <v/>
      </c>
      <c r="FE123" s="41" t="str">
        <f t="shared" si="1069"/>
        <v/>
      </c>
      <c r="FF123" s="41" t="str">
        <f t="shared" si="1070"/>
        <v/>
      </c>
      <c r="FG123" s="41" t="str">
        <f t="shared" si="1071"/>
        <v/>
      </c>
      <c r="FH123" s="41" t="str">
        <f t="shared" si="1072"/>
        <v/>
      </c>
      <c r="FI123" s="41" t="str">
        <f t="shared" si="1073"/>
        <v/>
      </c>
      <c r="FJ123" s="41" t="str">
        <f t="shared" si="1074"/>
        <v/>
      </c>
      <c r="FK123" s="41" t="str">
        <f t="shared" si="1075"/>
        <v/>
      </c>
      <c r="FL123" s="41" t="str">
        <f t="shared" si="1076"/>
        <v/>
      </c>
      <c r="FM123" s="41" t="str">
        <f t="shared" si="1077"/>
        <v/>
      </c>
      <c r="FN123" s="41" t="str">
        <f t="shared" si="1078"/>
        <v/>
      </c>
      <c r="FO123" s="41" t="str">
        <f t="shared" si="1079"/>
        <v/>
      </c>
      <c r="FP123" s="41" t="str">
        <f t="shared" si="1080"/>
        <v/>
      </c>
      <c r="FQ123" s="41" t="str">
        <f t="shared" si="1081"/>
        <v/>
      </c>
      <c r="FR123" s="41" t="str">
        <f t="shared" si="1082"/>
        <v/>
      </c>
      <c r="FS123" s="41" t="str">
        <f t="shared" si="1083"/>
        <v/>
      </c>
      <c r="FT123" s="41" t="str">
        <f t="shared" si="1084"/>
        <v/>
      </c>
      <c r="FU123" s="41" t="str">
        <f t="shared" si="1085"/>
        <v/>
      </c>
      <c r="FV123" s="41" t="str">
        <f t="shared" si="1086"/>
        <v/>
      </c>
      <c r="FW123" s="41" t="str">
        <f t="shared" si="1087"/>
        <v/>
      </c>
      <c r="FX123" s="41" t="str">
        <f t="shared" si="1088"/>
        <v/>
      </c>
      <c r="FY123" s="41" t="str">
        <f t="shared" si="1089"/>
        <v/>
      </c>
      <c r="FZ123" s="41" t="str">
        <f t="shared" si="1090"/>
        <v/>
      </c>
      <c r="GA123" s="41" t="str">
        <f t="shared" si="1091"/>
        <v/>
      </c>
      <c r="GB123" s="41" t="str">
        <f t="shared" si="1092"/>
        <v/>
      </c>
      <c r="GC123" s="41" t="str">
        <f t="shared" si="1093"/>
        <v/>
      </c>
      <c r="GD123" s="41" t="str">
        <f t="shared" si="1094"/>
        <v/>
      </c>
      <c r="GE123" s="41" t="str">
        <f t="shared" si="1095"/>
        <v/>
      </c>
      <c r="GF123" s="41" t="str">
        <f t="shared" si="1096"/>
        <v/>
      </c>
      <c r="GG123" s="41" t="str">
        <f t="shared" si="1097"/>
        <v/>
      </c>
      <c r="GH123" s="41" t="str">
        <f t="shared" si="1098"/>
        <v/>
      </c>
      <c r="GI123" s="41" t="str">
        <f t="shared" si="1099"/>
        <v/>
      </c>
      <c r="GJ123" s="41" t="str">
        <f t="shared" si="1100"/>
        <v/>
      </c>
      <c r="GK123" s="41" t="str">
        <f t="shared" si="1101"/>
        <v/>
      </c>
      <c r="GL123" s="41" t="str">
        <f t="shared" si="1102"/>
        <v/>
      </c>
      <c r="GM123" s="41" t="str">
        <f t="shared" si="1103"/>
        <v/>
      </c>
      <c r="GN123" s="41" t="str">
        <f t="shared" si="1104"/>
        <v/>
      </c>
      <c r="GO123" s="41" t="str">
        <f t="shared" si="1105"/>
        <v/>
      </c>
      <c r="GP123" s="41" t="str">
        <f t="shared" si="1106"/>
        <v/>
      </c>
      <c r="GQ123" s="41" t="str">
        <f t="shared" si="1107"/>
        <v/>
      </c>
      <c r="GR123" s="41" t="str">
        <f t="shared" si="1108"/>
        <v/>
      </c>
      <c r="GS123" s="41" t="str">
        <f t="shared" si="1109"/>
        <v/>
      </c>
      <c r="GT123" s="41" t="str">
        <f t="shared" si="1110"/>
        <v/>
      </c>
      <c r="GU123" s="41" t="str">
        <f t="shared" si="1111"/>
        <v/>
      </c>
      <c r="GV123" s="41" t="str">
        <f t="shared" si="1112"/>
        <v/>
      </c>
      <c r="GW123" s="41" t="str">
        <f t="shared" si="1113"/>
        <v/>
      </c>
      <c r="GX123" s="41" t="str">
        <f t="shared" si="1114"/>
        <v/>
      </c>
      <c r="GY123" s="41" t="str">
        <f t="shared" si="1115"/>
        <v/>
      </c>
      <c r="GZ123" s="41" t="str">
        <f t="shared" si="1116"/>
        <v/>
      </c>
      <c r="HA123" s="41" t="str">
        <f t="shared" si="1117"/>
        <v/>
      </c>
      <c r="HB123" s="41" t="str">
        <f t="shared" si="1118"/>
        <v/>
      </c>
      <c r="HC123" s="41" t="str">
        <f t="shared" si="1119"/>
        <v/>
      </c>
      <c r="HD123" s="41" t="str">
        <f t="shared" si="1120"/>
        <v/>
      </c>
      <c r="HE123" s="41" t="str">
        <f t="shared" si="1121"/>
        <v/>
      </c>
      <c r="HF123" s="41" t="str">
        <f t="shared" si="1122"/>
        <v/>
      </c>
      <c r="HG123" s="41" t="str">
        <f t="shared" si="1123"/>
        <v/>
      </c>
      <c r="HH123" s="41" t="str">
        <f t="shared" si="1124"/>
        <v/>
      </c>
      <c r="HI123" s="41" t="str">
        <f t="shared" si="1125"/>
        <v/>
      </c>
      <c r="HJ123" s="41" t="str">
        <f t="shared" si="1126"/>
        <v/>
      </c>
      <c r="HK123" s="41" t="str">
        <f t="shared" si="1127"/>
        <v/>
      </c>
      <c r="HL123" s="41" t="str">
        <f t="shared" si="1128"/>
        <v/>
      </c>
      <c r="HM123" s="41" t="str">
        <f t="shared" si="1129"/>
        <v/>
      </c>
      <c r="HN123" s="41" t="str">
        <f t="shared" si="1130"/>
        <v/>
      </c>
      <c r="HO123" s="41" t="str">
        <f t="shared" si="1131"/>
        <v/>
      </c>
      <c r="HP123" s="41" t="str">
        <f t="shared" si="1132"/>
        <v/>
      </c>
      <c r="HQ123" s="41" t="str">
        <f t="shared" si="1133"/>
        <v/>
      </c>
      <c r="HR123" s="41" t="str">
        <f t="shared" si="1134"/>
        <v/>
      </c>
      <c r="HS123" s="41" t="str">
        <f t="shared" si="1135"/>
        <v/>
      </c>
      <c r="HT123" s="41" t="str">
        <f t="shared" si="1136"/>
        <v/>
      </c>
      <c r="HU123" s="41" t="str">
        <f t="shared" si="1137"/>
        <v/>
      </c>
      <c r="HV123" s="41" t="str">
        <f t="shared" si="1138"/>
        <v/>
      </c>
      <c r="HW123" s="41" t="str">
        <f t="shared" si="1139"/>
        <v/>
      </c>
      <c r="HX123" s="41" t="str">
        <f t="shared" si="1140"/>
        <v/>
      </c>
      <c r="HY123" s="41" t="str">
        <f t="shared" si="1141"/>
        <v/>
      </c>
      <c r="HZ123" s="41" t="str">
        <f t="shared" si="1142"/>
        <v/>
      </c>
      <c r="IA123" s="41" t="str">
        <f t="shared" si="1143"/>
        <v/>
      </c>
      <c r="IB123" s="41" t="str">
        <f t="shared" si="1144"/>
        <v/>
      </c>
      <c r="IC123" s="41" t="str">
        <f t="shared" si="1145"/>
        <v/>
      </c>
      <c r="ID123" s="41" t="str">
        <f t="shared" si="1146"/>
        <v/>
      </c>
      <c r="IE123" s="41" t="str">
        <f t="shared" si="1147"/>
        <v/>
      </c>
      <c r="IF123" s="41" t="str">
        <f t="shared" si="1148"/>
        <v/>
      </c>
      <c r="IG123" s="306">
        <f t="shared" si="1149"/>
        <v>0</v>
      </c>
      <c r="IH123" s="44" t="str">
        <f t="shared" si="1150"/>
        <v/>
      </c>
      <c r="II123" s="44" t="str">
        <f t="shared" si="1151"/>
        <v/>
      </c>
      <c r="IJ123" s="44" t="str">
        <f t="shared" si="1152"/>
        <v/>
      </c>
      <c r="IK123" s="44" t="str">
        <f t="shared" si="1153"/>
        <v/>
      </c>
      <c r="IL123" s="44" t="str">
        <f t="shared" si="1154"/>
        <v/>
      </c>
      <c r="IM123" s="306" t="str">
        <f t="shared" si="1155"/>
        <v/>
      </c>
      <c r="IN123" s="44" t="str">
        <f t="shared" si="1156"/>
        <v/>
      </c>
      <c r="IO123" s="44" t="str">
        <f t="shared" si="1157"/>
        <v/>
      </c>
      <c r="IP123" s="44" t="str">
        <f t="shared" si="1158"/>
        <v/>
      </c>
      <c r="IQ123" s="44" t="str">
        <f t="shared" si="1159"/>
        <v/>
      </c>
      <c r="IR123" s="44" t="str">
        <f t="shared" si="1160"/>
        <v/>
      </c>
      <c r="IS123" s="306" t="str">
        <f t="shared" si="1161"/>
        <v/>
      </c>
      <c r="IT123" s="44" t="str">
        <f t="shared" si="1162"/>
        <v/>
      </c>
      <c r="IU123" s="44" t="str">
        <f t="shared" si="1163"/>
        <v/>
      </c>
      <c r="IV123" s="44" t="str">
        <f t="shared" si="1164"/>
        <v/>
      </c>
      <c r="IW123" s="44" t="str">
        <f t="shared" si="1165"/>
        <v/>
      </c>
      <c r="IX123" s="44" t="str">
        <f t="shared" si="1166"/>
        <v/>
      </c>
      <c r="IY123" s="306" t="str">
        <f t="shared" si="1167"/>
        <v/>
      </c>
      <c r="IZ123" s="44" t="str">
        <f t="shared" si="1168"/>
        <v/>
      </c>
      <c r="JA123" s="44" t="str">
        <f t="shared" si="1169"/>
        <v/>
      </c>
      <c r="JB123" s="44" t="str">
        <f t="shared" si="1170"/>
        <v/>
      </c>
      <c r="JC123" s="44" t="str">
        <f t="shared" si="1171"/>
        <v/>
      </c>
      <c r="JD123" s="307" t="str">
        <f t="shared" si="1172"/>
        <v/>
      </c>
      <c r="JF123" s="66">
        <f t="shared" si="779"/>
        <v>123</v>
      </c>
      <c r="JG123" s="66">
        <f t="shared" ca="1" si="789"/>
        <v>0</v>
      </c>
      <c r="JH123" s="66">
        <f t="shared" ca="1" si="790"/>
        <v>0</v>
      </c>
      <c r="JI123" s="66">
        <f t="shared" ca="1" si="791"/>
        <v>0</v>
      </c>
      <c r="JJ123" s="66">
        <f t="shared" ca="1" si="792"/>
        <v>0</v>
      </c>
      <c r="JK123" s="33"/>
      <c r="JL123" s="74" t="str">
        <f t="shared" ca="1" si="793"/>
        <v>-</v>
      </c>
      <c r="JM123" s="75">
        <f t="shared" ca="1" si="794"/>
        <v>0</v>
      </c>
      <c r="JN123" s="75">
        <f t="shared" ca="1" si="795"/>
        <v>0</v>
      </c>
      <c r="JO123" s="74" t="str">
        <f t="shared" ca="1" si="796"/>
        <v>-</v>
      </c>
      <c r="JP123" s="74">
        <f t="shared" ca="1" si="797"/>
        <v>0</v>
      </c>
    </row>
    <row r="124" spans="1:276" hidden="1" x14ac:dyDescent="0.35">
      <c r="A124" s="125" t="s">
        <v>805</v>
      </c>
      <c r="B124" s="125" t="s">
        <v>805</v>
      </c>
      <c r="C124" s="125" t="s">
        <v>805</v>
      </c>
      <c r="E124" s="142" t="s">
        <v>850</v>
      </c>
      <c r="F124" s="254" t="s">
        <v>737</v>
      </c>
      <c r="G124" t="s">
        <v>542</v>
      </c>
      <c r="H124" t="s">
        <v>531</v>
      </c>
      <c r="I124" t="s">
        <v>534</v>
      </c>
      <c r="J124" s="211" t="s">
        <v>805</v>
      </c>
      <c r="K124" t="s">
        <v>805</v>
      </c>
      <c r="L124" t="s">
        <v>805</v>
      </c>
      <c r="M124" t="s">
        <v>805</v>
      </c>
      <c r="N124" t="s">
        <v>805</v>
      </c>
      <c r="O124" t="s">
        <v>805</v>
      </c>
      <c r="P124" t="s">
        <v>805</v>
      </c>
      <c r="Q124" t="s">
        <v>805</v>
      </c>
      <c r="R124" t="s">
        <v>805</v>
      </c>
      <c r="S124" t="s">
        <v>805</v>
      </c>
      <c r="T124" t="s">
        <v>805</v>
      </c>
      <c r="U124" t="s">
        <v>805</v>
      </c>
      <c r="V124" t="s">
        <v>805</v>
      </c>
      <c r="W124" t="s">
        <v>805</v>
      </c>
      <c r="X124" t="s">
        <v>805</v>
      </c>
      <c r="Y124" t="s">
        <v>805</v>
      </c>
      <c r="Z124" t="s">
        <v>805</v>
      </c>
      <c r="AA124" t="s">
        <v>805</v>
      </c>
      <c r="AB124" t="s">
        <v>805</v>
      </c>
      <c r="AC124" t="s">
        <v>805</v>
      </c>
      <c r="AD124" t="s">
        <v>805</v>
      </c>
      <c r="AE124" t="s">
        <v>805</v>
      </c>
      <c r="AF124" t="s">
        <v>805</v>
      </c>
      <c r="AG124" t="s">
        <v>805</v>
      </c>
      <c r="AH124" t="s">
        <v>805</v>
      </c>
      <c r="AI124" t="s">
        <v>805</v>
      </c>
      <c r="AJ124" t="s">
        <v>805</v>
      </c>
      <c r="AK124" t="s">
        <v>805</v>
      </c>
      <c r="AL124" t="s">
        <v>805</v>
      </c>
      <c r="AM124" t="s">
        <v>805</v>
      </c>
      <c r="AN124" t="s">
        <v>805</v>
      </c>
      <c r="AO124" t="s">
        <v>805</v>
      </c>
      <c r="AP124" t="s">
        <v>805</v>
      </c>
      <c r="AQ124" t="s">
        <v>805</v>
      </c>
      <c r="AR124" t="s">
        <v>805</v>
      </c>
      <c r="AS124" t="s">
        <v>805</v>
      </c>
      <c r="AT124" t="s">
        <v>805</v>
      </c>
      <c r="AU124" t="s">
        <v>805</v>
      </c>
      <c r="AV124" t="s">
        <v>805</v>
      </c>
      <c r="AW124" t="s">
        <v>805</v>
      </c>
      <c r="AX124" t="s">
        <v>805</v>
      </c>
      <c r="AY124" t="s">
        <v>805</v>
      </c>
      <c r="AZ124" t="s">
        <v>805</v>
      </c>
      <c r="BA124" t="s">
        <v>805</v>
      </c>
      <c r="BB124" t="s">
        <v>805</v>
      </c>
      <c r="BC124" t="s">
        <v>805</v>
      </c>
      <c r="BD124" t="s">
        <v>805</v>
      </c>
      <c r="BE124" t="s">
        <v>805</v>
      </c>
      <c r="BF124" t="s">
        <v>805</v>
      </c>
      <c r="BG124" t="s">
        <v>805</v>
      </c>
      <c r="BH124" t="s">
        <v>805</v>
      </c>
      <c r="BI124" t="s">
        <v>805</v>
      </c>
      <c r="BJ124" t="s">
        <v>805</v>
      </c>
      <c r="BK124" t="s">
        <v>805</v>
      </c>
      <c r="BL124" t="s">
        <v>805</v>
      </c>
      <c r="BM124" t="s">
        <v>805</v>
      </c>
      <c r="BN124" t="s">
        <v>805</v>
      </c>
      <c r="BO124" t="s">
        <v>805</v>
      </c>
      <c r="BP124" t="s">
        <v>805</v>
      </c>
      <c r="BQ124" t="s">
        <v>805</v>
      </c>
      <c r="BR124" t="s">
        <v>805</v>
      </c>
      <c r="BS124" t="s">
        <v>805</v>
      </c>
      <c r="BT124" t="s">
        <v>805</v>
      </c>
      <c r="BU124" t="s">
        <v>805</v>
      </c>
      <c r="BV124" t="s">
        <v>805</v>
      </c>
      <c r="BW124" t="s">
        <v>805</v>
      </c>
      <c r="BX124" t="s">
        <v>805</v>
      </c>
      <c r="BY124" t="s">
        <v>805</v>
      </c>
      <c r="BZ124" t="s">
        <v>805</v>
      </c>
      <c r="CA124" t="s">
        <v>805</v>
      </c>
      <c r="CB124" t="s">
        <v>805</v>
      </c>
      <c r="CC124" t="s">
        <v>805</v>
      </c>
      <c r="CD124" t="s">
        <v>805</v>
      </c>
      <c r="CE124" t="s">
        <v>805</v>
      </c>
      <c r="CF124" t="s">
        <v>805</v>
      </c>
      <c r="CG124" t="s">
        <v>805</v>
      </c>
      <c r="CH124" t="s">
        <v>805</v>
      </c>
      <c r="CI124" t="s">
        <v>805</v>
      </c>
      <c r="CJ124" t="s">
        <v>805</v>
      </c>
      <c r="CK124" t="s">
        <v>805</v>
      </c>
      <c r="CL124" t="s">
        <v>805</v>
      </c>
      <c r="CM124" t="s">
        <v>805</v>
      </c>
      <c r="CN124" t="s">
        <v>805</v>
      </c>
      <c r="CO124" t="s">
        <v>805</v>
      </c>
      <c r="CP124" t="s">
        <v>805</v>
      </c>
      <c r="CQ124" t="s">
        <v>805</v>
      </c>
      <c r="CR124" t="s">
        <v>805</v>
      </c>
      <c r="CS124" t="s">
        <v>805</v>
      </c>
      <c r="CT124" t="s">
        <v>805</v>
      </c>
      <c r="CU124" t="s">
        <v>805</v>
      </c>
      <c r="CV124" t="s">
        <v>805</v>
      </c>
      <c r="CW124" t="s">
        <v>805</v>
      </c>
      <c r="CX124" t="s">
        <v>805</v>
      </c>
      <c r="CY124" t="s">
        <v>805</v>
      </c>
      <c r="CZ124" t="s">
        <v>805</v>
      </c>
      <c r="DA124" t="s">
        <v>805</v>
      </c>
      <c r="DB124" t="s">
        <v>805</v>
      </c>
      <c r="DC124" t="s">
        <v>805</v>
      </c>
      <c r="DD124" t="s">
        <v>805</v>
      </c>
      <c r="DE124" t="s">
        <v>805</v>
      </c>
      <c r="DF124" t="s">
        <v>805</v>
      </c>
      <c r="DG124" s="28">
        <f>VLOOKUP(E124,'KPI Count-SHARE'!A:F,3,0)</f>
        <v>0</v>
      </c>
      <c r="DH124">
        <v>0</v>
      </c>
      <c r="DI124" t="s">
        <v>805</v>
      </c>
      <c r="DJ124" t="s">
        <v>805</v>
      </c>
      <c r="DK124" t="s">
        <v>805</v>
      </c>
      <c r="DL124" t="s">
        <v>805</v>
      </c>
      <c r="DM124" t="s">
        <v>805</v>
      </c>
      <c r="DN124" s="28">
        <f>VLOOKUP(E124,'KPI Count-SHARE'!A:F,4,0)</f>
        <v>0</v>
      </c>
      <c r="DU124" s="28">
        <f>VLOOKUP(E124,'KPI Count-SHARE'!A:F,5,0)</f>
        <v>0</v>
      </c>
      <c r="EB124" s="28">
        <f>VLOOKUP(E124,'KPI Count-SHARE'!A:F,6,0)</f>
        <v>0</v>
      </c>
      <c r="EI124" t="s">
        <v>531</v>
      </c>
      <c r="EJ124" s="41" t="str">
        <f t="shared" si="1048"/>
        <v/>
      </c>
      <c r="EK124" s="41" t="str">
        <f t="shared" si="1049"/>
        <v/>
      </c>
      <c r="EL124" s="41" t="str">
        <f t="shared" si="1050"/>
        <v/>
      </c>
      <c r="EM124" s="41" t="str">
        <f t="shared" si="1051"/>
        <v/>
      </c>
      <c r="EN124" s="41" t="str">
        <f t="shared" si="1052"/>
        <v/>
      </c>
      <c r="EO124" s="41" t="str">
        <f t="shared" si="1053"/>
        <v/>
      </c>
      <c r="EP124" s="41" t="str">
        <f t="shared" si="1054"/>
        <v/>
      </c>
      <c r="EQ124" s="41" t="str">
        <f t="shared" si="1055"/>
        <v/>
      </c>
      <c r="ER124" s="41" t="str">
        <f t="shared" si="1056"/>
        <v/>
      </c>
      <c r="ES124" s="41" t="str">
        <f t="shared" si="1057"/>
        <v/>
      </c>
      <c r="ET124" s="41" t="str">
        <f t="shared" si="1058"/>
        <v/>
      </c>
      <c r="EU124" s="41" t="str">
        <f t="shared" si="1059"/>
        <v/>
      </c>
      <c r="EV124" s="41" t="str">
        <f t="shared" si="1060"/>
        <v/>
      </c>
      <c r="EW124" s="41" t="str">
        <f t="shared" si="1061"/>
        <v/>
      </c>
      <c r="EX124" s="41" t="str">
        <f t="shared" si="1062"/>
        <v/>
      </c>
      <c r="EY124" s="41" t="str">
        <f t="shared" si="1063"/>
        <v/>
      </c>
      <c r="EZ124" s="41" t="str">
        <f t="shared" si="1064"/>
        <v/>
      </c>
      <c r="FA124" s="41" t="str">
        <f t="shared" si="1065"/>
        <v/>
      </c>
      <c r="FB124" s="41" t="str">
        <f t="shared" si="1066"/>
        <v/>
      </c>
      <c r="FC124" s="41" t="str">
        <f t="shared" si="1067"/>
        <v/>
      </c>
      <c r="FD124" s="41" t="str">
        <f t="shared" si="1068"/>
        <v/>
      </c>
      <c r="FE124" s="41" t="str">
        <f t="shared" si="1069"/>
        <v/>
      </c>
      <c r="FF124" s="41" t="str">
        <f t="shared" si="1070"/>
        <v/>
      </c>
      <c r="FG124" s="41" t="str">
        <f t="shared" si="1071"/>
        <v/>
      </c>
      <c r="FH124" s="41" t="str">
        <f t="shared" si="1072"/>
        <v/>
      </c>
      <c r="FI124" s="41" t="str">
        <f t="shared" si="1073"/>
        <v/>
      </c>
      <c r="FJ124" s="41" t="str">
        <f t="shared" si="1074"/>
        <v/>
      </c>
      <c r="FK124" s="41" t="str">
        <f t="shared" si="1075"/>
        <v/>
      </c>
      <c r="FL124" s="41" t="str">
        <f t="shared" si="1076"/>
        <v/>
      </c>
      <c r="FM124" s="41" t="str">
        <f t="shared" si="1077"/>
        <v/>
      </c>
      <c r="FN124" s="41" t="str">
        <f t="shared" si="1078"/>
        <v/>
      </c>
      <c r="FO124" s="41" t="str">
        <f t="shared" si="1079"/>
        <v/>
      </c>
      <c r="FP124" s="41" t="str">
        <f t="shared" si="1080"/>
        <v/>
      </c>
      <c r="FQ124" s="41" t="str">
        <f t="shared" si="1081"/>
        <v/>
      </c>
      <c r="FR124" s="41" t="str">
        <f t="shared" si="1082"/>
        <v/>
      </c>
      <c r="FS124" s="41" t="str">
        <f t="shared" si="1083"/>
        <v/>
      </c>
      <c r="FT124" s="41" t="str">
        <f t="shared" si="1084"/>
        <v/>
      </c>
      <c r="FU124" s="41" t="str">
        <f t="shared" si="1085"/>
        <v/>
      </c>
      <c r="FV124" s="41" t="str">
        <f t="shared" si="1086"/>
        <v/>
      </c>
      <c r="FW124" s="41" t="str">
        <f t="shared" si="1087"/>
        <v/>
      </c>
      <c r="FX124" s="41" t="str">
        <f t="shared" si="1088"/>
        <v/>
      </c>
      <c r="FY124" s="41" t="str">
        <f t="shared" si="1089"/>
        <v/>
      </c>
      <c r="FZ124" s="41" t="str">
        <f t="shared" si="1090"/>
        <v/>
      </c>
      <c r="GA124" s="41" t="str">
        <f t="shared" si="1091"/>
        <v/>
      </c>
      <c r="GB124" s="41" t="str">
        <f t="shared" si="1092"/>
        <v/>
      </c>
      <c r="GC124" s="41" t="str">
        <f t="shared" si="1093"/>
        <v/>
      </c>
      <c r="GD124" s="41" t="str">
        <f t="shared" si="1094"/>
        <v/>
      </c>
      <c r="GE124" s="41" t="str">
        <f t="shared" si="1095"/>
        <v/>
      </c>
      <c r="GF124" s="41" t="str">
        <f t="shared" si="1096"/>
        <v/>
      </c>
      <c r="GG124" s="41" t="str">
        <f t="shared" si="1097"/>
        <v/>
      </c>
      <c r="GH124" s="41" t="str">
        <f t="shared" si="1098"/>
        <v/>
      </c>
      <c r="GI124" s="41" t="str">
        <f t="shared" si="1099"/>
        <v/>
      </c>
      <c r="GJ124" s="41" t="str">
        <f t="shared" si="1100"/>
        <v/>
      </c>
      <c r="GK124" s="41" t="str">
        <f t="shared" si="1101"/>
        <v/>
      </c>
      <c r="GL124" s="41" t="str">
        <f t="shared" si="1102"/>
        <v/>
      </c>
      <c r="GM124" s="41" t="str">
        <f t="shared" si="1103"/>
        <v/>
      </c>
      <c r="GN124" s="41" t="str">
        <f t="shared" si="1104"/>
        <v/>
      </c>
      <c r="GO124" s="41" t="str">
        <f t="shared" si="1105"/>
        <v/>
      </c>
      <c r="GP124" s="41" t="str">
        <f t="shared" si="1106"/>
        <v/>
      </c>
      <c r="GQ124" s="41" t="str">
        <f t="shared" si="1107"/>
        <v/>
      </c>
      <c r="GR124" s="41" t="str">
        <f t="shared" si="1108"/>
        <v/>
      </c>
      <c r="GS124" s="41" t="str">
        <f t="shared" si="1109"/>
        <v/>
      </c>
      <c r="GT124" s="41" t="str">
        <f t="shared" si="1110"/>
        <v/>
      </c>
      <c r="GU124" s="41" t="str">
        <f t="shared" si="1111"/>
        <v/>
      </c>
      <c r="GV124" s="41" t="str">
        <f t="shared" si="1112"/>
        <v/>
      </c>
      <c r="GW124" s="41" t="str">
        <f t="shared" si="1113"/>
        <v/>
      </c>
      <c r="GX124" s="41" t="str">
        <f t="shared" si="1114"/>
        <v/>
      </c>
      <c r="GY124" s="41" t="str">
        <f t="shared" si="1115"/>
        <v/>
      </c>
      <c r="GZ124" s="41" t="str">
        <f t="shared" si="1116"/>
        <v/>
      </c>
      <c r="HA124" s="41" t="str">
        <f t="shared" si="1117"/>
        <v/>
      </c>
      <c r="HB124" s="41" t="str">
        <f t="shared" si="1118"/>
        <v/>
      </c>
      <c r="HC124" s="41" t="str">
        <f t="shared" si="1119"/>
        <v/>
      </c>
      <c r="HD124" s="41" t="str">
        <f t="shared" si="1120"/>
        <v/>
      </c>
      <c r="HE124" s="41" t="str">
        <f t="shared" si="1121"/>
        <v/>
      </c>
      <c r="HF124" s="41" t="str">
        <f t="shared" si="1122"/>
        <v/>
      </c>
      <c r="HG124" s="41" t="str">
        <f t="shared" si="1123"/>
        <v/>
      </c>
      <c r="HH124" s="41" t="str">
        <f t="shared" si="1124"/>
        <v/>
      </c>
      <c r="HI124" s="41" t="str">
        <f t="shared" si="1125"/>
        <v/>
      </c>
      <c r="HJ124" s="41" t="str">
        <f t="shared" si="1126"/>
        <v/>
      </c>
      <c r="HK124" s="41" t="str">
        <f t="shared" si="1127"/>
        <v/>
      </c>
      <c r="HL124" s="41" t="str">
        <f t="shared" si="1128"/>
        <v/>
      </c>
      <c r="HM124" s="41" t="str">
        <f t="shared" si="1129"/>
        <v/>
      </c>
      <c r="HN124" s="41" t="str">
        <f t="shared" si="1130"/>
        <v/>
      </c>
      <c r="HO124" s="41" t="str">
        <f t="shared" si="1131"/>
        <v/>
      </c>
      <c r="HP124" s="41" t="str">
        <f t="shared" si="1132"/>
        <v/>
      </c>
      <c r="HQ124" s="41" t="str">
        <f t="shared" si="1133"/>
        <v/>
      </c>
      <c r="HR124" s="41" t="str">
        <f t="shared" si="1134"/>
        <v/>
      </c>
      <c r="HS124" s="41" t="str">
        <f t="shared" si="1135"/>
        <v/>
      </c>
      <c r="HT124" s="41" t="str">
        <f t="shared" si="1136"/>
        <v/>
      </c>
      <c r="HU124" s="41" t="str">
        <f t="shared" si="1137"/>
        <v/>
      </c>
      <c r="HV124" s="41" t="str">
        <f t="shared" si="1138"/>
        <v/>
      </c>
      <c r="HW124" s="41" t="str">
        <f t="shared" si="1139"/>
        <v/>
      </c>
      <c r="HX124" s="41" t="str">
        <f t="shared" si="1140"/>
        <v/>
      </c>
      <c r="HY124" s="41" t="str">
        <f t="shared" si="1141"/>
        <v/>
      </c>
      <c r="HZ124" s="41" t="str">
        <f t="shared" si="1142"/>
        <v/>
      </c>
      <c r="IA124" s="41" t="str">
        <f t="shared" si="1143"/>
        <v/>
      </c>
      <c r="IB124" s="41" t="str">
        <f t="shared" si="1144"/>
        <v/>
      </c>
      <c r="IC124" s="41" t="str">
        <f t="shared" si="1145"/>
        <v/>
      </c>
      <c r="ID124" s="41" t="str">
        <f t="shared" si="1146"/>
        <v/>
      </c>
      <c r="IE124" s="41" t="str">
        <f t="shared" si="1147"/>
        <v/>
      </c>
      <c r="IF124" s="41" t="str">
        <f t="shared" si="1148"/>
        <v/>
      </c>
      <c r="IG124" s="306">
        <f t="shared" si="1149"/>
        <v>0</v>
      </c>
      <c r="IH124" s="44" t="str">
        <f t="shared" si="1150"/>
        <v/>
      </c>
      <c r="II124" s="44" t="str">
        <f t="shared" si="1151"/>
        <v/>
      </c>
      <c r="IJ124" s="44" t="str">
        <f t="shared" si="1152"/>
        <v/>
      </c>
      <c r="IK124" s="44" t="str">
        <f t="shared" si="1153"/>
        <v/>
      </c>
      <c r="IL124" s="44" t="str">
        <f t="shared" si="1154"/>
        <v/>
      </c>
      <c r="IM124" s="306" t="str">
        <f t="shared" si="1155"/>
        <v/>
      </c>
      <c r="IN124" s="44" t="str">
        <f t="shared" si="1156"/>
        <v/>
      </c>
      <c r="IO124" s="44" t="str">
        <f t="shared" si="1157"/>
        <v/>
      </c>
      <c r="IP124" s="44" t="str">
        <f t="shared" si="1158"/>
        <v/>
      </c>
      <c r="IQ124" s="44" t="str">
        <f t="shared" si="1159"/>
        <v/>
      </c>
      <c r="IR124" s="44" t="str">
        <f t="shared" si="1160"/>
        <v/>
      </c>
      <c r="IS124" s="306" t="str">
        <f t="shared" si="1161"/>
        <v/>
      </c>
      <c r="IT124" s="44" t="str">
        <f t="shared" si="1162"/>
        <v/>
      </c>
      <c r="IU124" s="44" t="str">
        <f t="shared" si="1163"/>
        <v/>
      </c>
      <c r="IV124" s="44" t="str">
        <f t="shared" si="1164"/>
        <v/>
      </c>
      <c r="IW124" s="44" t="str">
        <f t="shared" si="1165"/>
        <v/>
      </c>
      <c r="IX124" s="44" t="str">
        <f t="shared" si="1166"/>
        <v/>
      </c>
      <c r="IY124" s="306" t="str">
        <f t="shared" si="1167"/>
        <v/>
      </c>
      <c r="IZ124" s="44" t="str">
        <f t="shared" si="1168"/>
        <v/>
      </c>
      <c r="JA124" s="44" t="str">
        <f t="shared" si="1169"/>
        <v/>
      </c>
      <c r="JB124" s="44" t="str">
        <f t="shared" si="1170"/>
        <v/>
      </c>
      <c r="JC124" s="44" t="str">
        <f t="shared" si="1171"/>
        <v/>
      </c>
      <c r="JD124" s="307" t="str">
        <f t="shared" si="1172"/>
        <v/>
      </c>
      <c r="JF124" s="66">
        <f t="shared" si="779"/>
        <v>124</v>
      </c>
      <c r="JG124" s="66">
        <f t="shared" ca="1" si="789"/>
        <v>0</v>
      </c>
      <c r="JH124" s="66">
        <f t="shared" ca="1" si="790"/>
        <v>0</v>
      </c>
      <c r="JI124" s="66">
        <f t="shared" ca="1" si="791"/>
        <v>0</v>
      </c>
      <c r="JJ124" s="66">
        <f t="shared" ca="1" si="792"/>
        <v>0</v>
      </c>
      <c r="JK124" s="33"/>
      <c r="JL124" s="74" t="str">
        <f t="shared" ca="1" si="793"/>
        <v>-</v>
      </c>
      <c r="JM124" s="75">
        <f t="shared" ca="1" si="794"/>
        <v>0</v>
      </c>
      <c r="JN124" s="75">
        <f t="shared" ca="1" si="795"/>
        <v>0</v>
      </c>
      <c r="JO124" s="74" t="str">
        <f t="shared" ca="1" si="796"/>
        <v>-</v>
      </c>
      <c r="JP124" s="74">
        <f t="shared" ca="1" si="797"/>
        <v>0</v>
      </c>
    </row>
    <row r="125" spans="1:276" hidden="1" x14ac:dyDescent="0.35">
      <c r="A125" s="125" t="s">
        <v>805</v>
      </c>
      <c r="B125" s="125" t="s">
        <v>805</v>
      </c>
      <c r="C125" s="125" t="s">
        <v>805</v>
      </c>
      <c r="E125" s="142" t="s">
        <v>851</v>
      </c>
      <c r="F125" s="254" t="s">
        <v>738</v>
      </c>
      <c r="G125" t="s">
        <v>542</v>
      </c>
      <c r="H125" t="s">
        <v>531</v>
      </c>
      <c r="I125" t="s">
        <v>534</v>
      </c>
      <c r="J125" s="211" t="s">
        <v>805</v>
      </c>
      <c r="K125" t="s">
        <v>805</v>
      </c>
      <c r="L125" t="s">
        <v>805</v>
      </c>
      <c r="M125" t="s">
        <v>805</v>
      </c>
      <c r="N125" t="s">
        <v>805</v>
      </c>
      <c r="O125" t="s">
        <v>805</v>
      </c>
      <c r="P125" t="s">
        <v>805</v>
      </c>
      <c r="Q125" t="s">
        <v>805</v>
      </c>
      <c r="R125" t="s">
        <v>805</v>
      </c>
      <c r="S125" t="s">
        <v>805</v>
      </c>
      <c r="T125" t="s">
        <v>805</v>
      </c>
      <c r="U125" t="s">
        <v>805</v>
      </c>
      <c r="V125" t="s">
        <v>805</v>
      </c>
      <c r="W125" t="s">
        <v>805</v>
      </c>
      <c r="X125" t="s">
        <v>805</v>
      </c>
      <c r="Y125" t="s">
        <v>805</v>
      </c>
      <c r="Z125" t="s">
        <v>805</v>
      </c>
      <c r="AA125" t="s">
        <v>805</v>
      </c>
      <c r="AB125" t="s">
        <v>805</v>
      </c>
      <c r="AC125" t="s">
        <v>805</v>
      </c>
      <c r="AD125" t="s">
        <v>805</v>
      </c>
      <c r="AE125" t="s">
        <v>805</v>
      </c>
      <c r="AF125" t="s">
        <v>805</v>
      </c>
      <c r="AG125" t="s">
        <v>805</v>
      </c>
      <c r="AH125" t="s">
        <v>805</v>
      </c>
      <c r="AI125" t="s">
        <v>805</v>
      </c>
      <c r="AJ125" t="s">
        <v>805</v>
      </c>
      <c r="AK125" t="s">
        <v>805</v>
      </c>
      <c r="AL125" t="s">
        <v>805</v>
      </c>
      <c r="AM125" t="s">
        <v>805</v>
      </c>
      <c r="AN125" t="s">
        <v>805</v>
      </c>
      <c r="AO125" t="s">
        <v>805</v>
      </c>
      <c r="AP125" t="s">
        <v>805</v>
      </c>
      <c r="AQ125" t="s">
        <v>805</v>
      </c>
      <c r="AR125" t="s">
        <v>805</v>
      </c>
      <c r="AS125" t="s">
        <v>805</v>
      </c>
      <c r="AT125" t="s">
        <v>805</v>
      </c>
      <c r="AU125" t="s">
        <v>805</v>
      </c>
      <c r="AV125" t="s">
        <v>805</v>
      </c>
      <c r="AW125" t="s">
        <v>805</v>
      </c>
      <c r="AX125" t="s">
        <v>805</v>
      </c>
      <c r="AY125" t="s">
        <v>805</v>
      </c>
      <c r="AZ125" t="s">
        <v>805</v>
      </c>
      <c r="BA125" t="s">
        <v>805</v>
      </c>
      <c r="BB125" t="s">
        <v>805</v>
      </c>
      <c r="BC125" t="s">
        <v>805</v>
      </c>
      <c r="BD125" t="s">
        <v>805</v>
      </c>
      <c r="BE125" t="s">
        <v>805</v>
      </c>
      <c r="BF125" t="s">
        <v>805</v>
      </c>
      <c r="BG125" t="s">
        <v>805</v>
      </c>
      <c r="BH125" t="s">
        <v>805</v>
      </c>
      <c r="BI125" t="s">
        <v>805</v>
      </c>
      <c r="BJ125" t="s">
        <v>805</v>
      </c>
      <c r="BK125" t="s">
        <v>805</v>
      </c>
      <c r="BL125" t="s">
        <v>805</v>
      </c>
      <c r="BM125" t="s">
        <v>805</v>
      </c>
      <c r="BN125" t="s">
        <v>805</v>
      </c>
      <c r="BO125" t="s">
        <v>805</v>
      </c>
      <c r="BP125" t="s">
        <v>805</v>
      </c>
      <c r="BQ125" t="s">
        <v>805</v>
      </c>
      <c r="BR125" t="s">
        <v>805</v>
      </c>
      <c r="BS125" t="s">
        <v>805</v>
      </c>
      <c r="BT125" t="s">
        <v>805</v>
      </c>
      <c r="BU125" t="s">
        <v>805</v>
      </c>
      <c r="BV125" t="s">
        <v>805</v>
      </c>
      <c r="BW125" t="s">
        <v>805</v>
      </c>
      <c r="BX125" t="s">
        <v>805</v>
      </c>
      <c r="BY125" t="s">
        <v>805</v>
      </c>
      <c r="BZ125" t="s">
        <v>805</v>
      </c>
      <c r="CA125" t="s">
        <v>805</v>
      </c>
      <c r="CB125" t="s">
        <v>805</v>
      </c>
      <c r="CC125" t="s">
        <v>805</v>
      </c>
      <c r="CD125" t="s">
        <v>805</v>
      </c>
      <c r="CE125" t="s">
        <v>805</v>
      </c>
      <c r="CF125" t="s">
        <v>805</v>
      </c>
      <c r="CG125" t="s">
        <v>805</v>
      </c>
      <c r="CH125" t="s">
        <v>805</v>
      </c>
      <c r="CI125" t="s">
        <v>805</v>
      </c>
      <c r="CJ125" t="s">
        <v>805</v>
      </c>
      <c r="CK125" t="s">
        <v>805</v>
      </c>
      <c r="CL125" t="s">
        <v>805</v>
      </c>
      <c r="CM125" t="s">
        <v>805</v>
      </c>
      <c r="CN125" t="s">
        <v>805</v>
      </c>
      <c r="CO125" t="s">
        <v>805</v>
      </c>
      <c r="CP125" t="s">
        <v>805</v>
      </c>
      <c r="CQ125" t="s">
        <v>805</v>
      </c>
      <c r="CR125" t="s">
        <v>805</v>
      </c>
      <c r="CS125" t="s">
        <v>805</v>
      </c>
      <c r="CT125" t="s">
        <v>805</v>
      </c>
      <c r="CU125" t="s">
        <v>805</v>
      </c>
      <c r="CV125" t="s">
        <v>805</v>
      </c>
      <c r="CW125" t="s">
        <v>805</v>
      </c>
      <c r="CX125" t="s">
        <v>805</v>
      </c>
      <c r="CY125" t="s">
        <v>805</v>
      </c>
      <c r="CZ125" t="s">
        <v>805</v>
      </c>
      <c r="DA125" t="s">
        <v>805</v>
      </c>
      <c r="DB125" t="s">
        <v>805</v>
      </c>
      <c r="DC125" t="s">
        <v>805</v>
      </c>
      <c r="DD125" t="s">
        <v>805</v>
      </c>
      <c r="DE125" t="s">
        <v>805</v>
      </c>
      <c r="DF125" t="s">
        <v>805</v>
      </c>
      <c r="DG125" s="28">
        <f>VLOOKUP(E125,'KPI Count-SHARE'!A:F,3,0)</f>
        <v>0</v>
      </c>
      <c r="DH125">
        <v>0</v>
      </c>
      <c r="DI125" t="s">
        <v>805</v>
      </c>
      <c r="DJ125" t="s">
        <v>805</v>
      </c>
      <c r="DK125" t="s">
        <v>805</v>
      </c>
      <c r="DL125" t="s">
        <v>805</v>
      </c>
      <c r="DM125" t="s">
        <v>805</v>
      </c>
      <c r="DN125" s="28">
        <f>VLOOKUP(E125,'KPI Count-SHARE'!A:F,4,0)</f>
        <v>0</v>
      </c>
      <c r="DU125" s="28">
        <f>VLOOKUP(E125,'KPI Count-SHARE'!A:F,5,0)</f>
        <v>0</v>
      </c>
      <c r="EB125" s="28">
        <f>VLOOKUP(E125,'KPI Count-SHARE'!A:F,6,0)</f>
        <v>0</v>
      </c>
      <c r="EI125" t="s">
        <v>531</v>
      </c>
      <c r="EJ125" s="41" t="str">
        <f t="shared" si="1048"/>
        <v/>
      </c>
      <c r="EK125" s="41" t="str">
        <f t="shared" si="1049"/>
        <v/>
      </c>
      <c r="EL125" s="41" t="str">
        <f t="shared" si="1050"/>
        <v/>
      </c>
      <c r="EM125" s="41" t="str">
        <f t="shared" si="1051"/>
        <v/>
      </c>
      <c r="EN125" s="41" t="str">
        <f t="shared" si="1052"/>
        <v/>
      </c>
      <c r="EO125" s="41" t="str">
        <f t="shared" si="1053"/>
        <v/>
      </c>
      <c r="EP125" s="41" t="str">
        <f t="shared" si="1054"/>
        <v/>
      </c>
      <c r="EQ125" s="41" t="str">
        <f t="shared" si="1055"/>
        <v/>
      </c>
      <c r="ER125" s="41" t="str">
        <f t="shared" si="1056"/>
        <v/>
      </c>
      <c r="ES125" s="41" t="str">
        <f t="shared" si="1057"/>
        <v/>
      </c>
      <c r="ET125" s="41" t="str">
        <f t="shared" si="1058"/>
        <v/>
      </c>
      <c r="EU125" s="41" t="str">
        <f t="shared" si="1059"/>
        <v/>
      </c>
      <c r="EV125" s="41" t="str">
        <f t="shared" si="1060"/>
        <v/>
      </c>
      <c r="EW125" s="41" t="str">
        <f t="shared" si="1061"/>
        <v/>
      </c>
      <c r="EX125" s="41" t="str">
        <f t="shared" si="1062"/>
        <v/>
      </c>
      <c r="EY125" s="41" t="str">
        <f t="shared" si="1063"/>
        <v/>
      </c>
      <c r="EZ125" s="41" t="str">
        <f t="shared" si="1064"/>
        <v/>
      </c>
      <c r="FA125" s="41" t="str">
        <f t="shared" si="1065"/>
        <v/>
      </c>
      <c r="FB125" s="41" t="str">
        <f t="shared" si="1066"/>
        <v/>
      </c>
      <c r="FC125" s="41" t="str">
        <f t="shared" si="1067"/>
        <v/>
      </c>
      <c r="FD125" s="41" t="str">
        <f t="shared" si="1068"/>
        <v/>
      </c>
      <c r="FE125" s="41" t="str">
        <f t="shared" si="1069"/>
        <v/>
      </c>
      <c r="FF125" s="41" t="str">
        <f t="shared" si="1070"/>
        <v/>
      </c>
      <c r="FG125" s="41" t="str">
        <f t="shared" si="1071"/>
        <v/>
      </c>
      <c r="FH125" s="41" t="str">
        <f t="shared" si="1072"/>
        <v/>
      </c>
      <c r="FI125" s="41" t="str">
        <f t="shared" si="1073"/>
        <v/>
      </c>
      <c r="FJ125" s="41" t="str">
        <f t="shared" si="1074"/>
        <v/>
      </c>
      <c r="FK125" s="41" t="str">
        <f t="shared" si="1075"/>
        <v/>
      </c>
      <c r="FL125" s="41" t="str">
        <f t="shared" si="1076"/>
        <v/>
      </c>
      <c r="FM125" s="41" t="str">
        <f t="shared" si="1077"/>
        <v/>
      </c>
      <c r="FN125" s="41" t="str">
        <f t="shared" si="1078"/>
        <v/>
      </c>
      <c r="FO125" s="41" t="str">
        <f t="shared" si="1079"/>
        <v/>
      </c>
      <c r="FP125" s="41" t="str">
        <f t="shared" si="1080"/>
        <v/>
      </c>
      <c r="FQ125" s="41" t="str">
        <f t="shared" si="1081"/>
        <v/>
      </c>
      <c r="FR125" s="41" t="str">
        <f t="shared" si="1082"/>
        <v/>
      </c>
      <c r="FS125" s="41" t="str">
        <f t="shared" si="1083"/>
        <v/>
      </c>
      <c r="FT125" s="41" t="str">
        <f t="shared" si="1084"/>
        <v/>
      </c>
      <c r="FU125" s="41" t="str">
        <f t="shared" si="1085"/>
        <v/>
      </c>
      <c r="FV125" s="41" t="str">
        <f t="shared" si="1086"/>
        <v/>
      </c>
      <c r="FW125" s="41" t="str">
        <f t="shared" si="1087"/>
        <v/>
      </c>
      <c r="FX125" s="41" t="str">
        <f t="shared" si="1088"/>
        <v/>
      </c>
      <c r="FY125" s="41" t="str">
        <f t="shared" si="1089"/>
        <v/>
      </c>
      <c r="FZ125" s="41" t="str">
        <f t="shared" si="1090"/>
        <v/>
      </c>
      <c r="GA125" s="41" t="str">
        <f t="shared" si="1091"/>
        <v/>
      </c>
      <c r="GB125" s="41" t="str">
        <f t="shared" si="1092"/>
        <v/>
      </c>
      <c r="GC125" s="41" t="str">
        <f t="shared" si="1093"/>
        <v/>
      </c>
      <c r="GD125" s="41" t="str">
        <f t="shared" si="1094"/>
        <v/>
      </c>
      <c r="GE125" s="41" t="str">
        <f t="shared" si="1095"/>
        <v/>
      </c>
      <c r="GF125" s="41" t="str">
        <f t="shared" si="1096"/>
        <v/>
      </c>
      <c r="GG125" s="41" t="str">
        <f t="shared" si="1097"/>
        <v/>
      </c>
      <c r="GH125" s="41" t="str">
        <f t="shared" si="1098"/>
        <v/>
      </c>
      <c r="GI125" s="41" t="str">
        <f t="shared" si="1099"/>
        <v/>
      </c>
      <c r="GJ125" s="41" t="str">
        <f t="shared" si="1100"/>
        <v/>
      </c>
      <c r="GK125" s="41" t="str">
        <f t="shared" si="1101"/>
        <v/>
      </c>
      <c r="GL125" s="41" t="str">
        <f t="shared" si="1102"/>
        <v/>
      </c>
      <c r="GM125" s="41" t="str">
        <f t="shared" si="1103"/>
        <v/>
      </c>
      <c r="GN125" s="41" t="str">
        <f t="shared" si="1104"/>
        <v/>
      </c>
      <c r="GO125" s="41" t="str">
        <f t="shared" si="1105"/>
        <v/>
      </c>
      <c r="GP125" s="41" t="str">
        <f t="shared" si="1106"/>
        <v/>
      </c>
      <c r="GQ125" s="41" t="str">
        <f t="shared" si="1107"/>
        <v/>
      </c>
      <c r="GR125" s="41" t="str">
        <f t="shared" si="1108"/>
        <v/>
      </c>
      <c r="GS125" s="41" t="str">
        <f t="shared" si="1109"/>
        <v/>
      </c>
      <c r="GT125" s="41" t="str">
        <f t="shared" si="1110"/>
        <v/>
      </c>
      <c r="GU125" s="41" t="str">
        <f t="shared" si="1111"/>
        <v/>
      </c>
      <c r="GV125" s="41" t="str">
        <f t="shared" si="1112"/>
        <v/>
      </c>
      <c r="GW125" s="41" t="str">
        <f t="shared" si="1113"/>
        <v/>
      </c>
      <c r="GX125" s="41" t="str">
        <f t="shared" si="1114"/>
        <v/>
      </c>
      <c r="GY125" s="41" t="str">
        <f t="shared" si="1115"/>
        <v/>
      </c>
      <c r="GZ125" s="41" t="str">
        <f t="shared" si="1116"/>
        <v/>
      </c>
      <c r="HA125" s="41" t="str">
        <f t="shared" si="1117"/>
        <v/>
      </c>
      <c r="HB125" s="41" t="str">
        <f t="shared" si="1118"/>
        <v/>
      </c>
      <c r="HC125" s="41" t="str">
        <f t="shared" si="1119"/>
        <v/>
      </c>
      <c r="HD125" s="41" t="str">
        <f t="shared" si="1120"/>
        <v/>
      </c>
      <c r="HE125" s="41" t="str">
        <f t="shared" si="1121"/>
        <v/>
      </c>
      <c r="HF125" s="41" t="str">
        <f t="shared" si="1122"/>
        <v/>
      </c>
      <c r="HG125" s="41" t="str">
        <f t="shared" si="1123"/>
        <v/>
      </c>
      <c r="HH125" s="41" t="str">
        <f t="shared" si="1124"/>
        <v/>
      </c>
      <c r="HI125" s="41" t="str">
        <f t="shared" si="1125"/>
        <v/>
      </c>
      <c r="HJ125" s="41" t="str">
        <f t="shared" si="1126"/>
        <v/>
      </c>
      <c r="HK125" s="41" t="str">
        <f t="shared" si="1127"/>
        <v/>
      </c>
      <c r="HL125" s="41" t="str">
        <f t="shared" si="1128"/>
        <v/>
      </c>
      <c r="HM125" s="41" t="str">
        <f t="shared" si="1129"/>
        <v/>
      </c>
      <c r="HN125" s="41" t="str">
        <f t="shared" si="1130"/>
        <v/>
      </c>
      <c r="HO125" s="41" t="str">
        <f t="shared" si="1131"/>
        <v/>
      </c>
      <c r="HP125" s="41" t="str">
        <f t="shared" si="1132"/>
        <v/>
      </c>
      <c r="HQ125" s="41" t="str">
        <f t="shared" si="1133"/>
        <v/>
      </c>
      <c r="HR125" s="41" t="str">
        <f t="shared" si="1134"/>
        <v/>
      </c>
      <c r="HS125" s="41" t="str">
        <f t="shared" si="1135"/>
        <v/>
      </c>
      <c r="HT125" s="41" t="str">
        <f t="shared" si="1136"/>
        <v/>
      </c>
      <c r="HU125" s="41" t="str">
        <f t="shared" si="1137"/>
        <v/>
      </c>
      <c r="HV125" s="41" t="str">
        <f t="shared" si="1138"/>
        <v/>
      </c>
      <c r="HW125" s="41" t="str">
        <f t="shared" si="1139"/>
        <v/>
      </c>
      <c r="HX125" s="41" t="str">
        <f t="shared" si="1140"/>
        <v/>
      </c>
      <c r="HY125" s="41" t="str">
        <f t="shared" si="1141"/>
        <v/>
      </c>
      <c r="HZ125" s="41" t="str">
        <f t="shared" si="1142"/>
        <v/>
      </c>
      <c r="IA125" s="41" t="str">
        <f t="shared" si="1143"/>
        <v/>
      </c>
      <c r="IB125" s="41" t="str">
        <f t="shared" si="1144"/>
        <v/>
      </c>
      <c r="IC125" s="41" t="str">
        <f t="shared" si="1145"/>
        <v/>
      </c>
      <c r="ID125" s="41" t="str">
        <f t="shared" si="1146"/>
        <v/>
      </c>
      <c r="IE125" s="41" t="str">
        <f t="shared" si="1147"/>
        <v/>
      </c>
      <c r="IF125" s="41" t="str">
        <f t="shared" si="1148"/>
        <v/>
      </c>
      <c r="IG125" s="306">
        <f t="shared" si="1149"/>
        <v>0</v>
      </c>
      <c r="IH125" s="44" t="str">
        <f t="shared" si="1150"/>
        <v/>
      </c>
      <c r="II125" s="44" t="str">
        <f t="shared" si="1151"/>
        <v/>
      </c>
      <c r="IJ125" s="44" t="str">
        <f t="shared" si="1152"/>
        <v/>
      </c>
      <c r="IK125" s="44" t="str">
        <f t="shared" si="1153"/>
        <v/>
      </c>
      <c r="IL125" s="44" t="str">
        <f t="shared" si="1154"/>
        <v/>
      </c>
      <c r="IM125" s="306" t="str">
        <f t="shared" si="1155"/>
        <v/>
      </c>
      <c r="IN125" s="44" t="str">
        <f t="shared" si="1156"/>
        <v/>
      </c>
      <c r="IO125" s="44" t="str">
        <f t="shared" si="1157"/>
        <v/>
      </c>
      <c r="IP125" s="44" t="str">
        <f t="shared" si="1158"/>
        <v/>
      </c>
      <c r="IQ125" s="44" t="str">
        <f t="shared" si="1159"/>
        <v/>
      </c>
      <c r="IR125" s="44" t="str">
        <f t="shared" si="1160"/>
        <v/>
      </c>
      <c r="IS125" s="306" t="str">
        <f t="shared" si="1161"/>
        <v/>
      </c>
      <c r="IT125" s="44" t="str">
        <f t="shared" si="1162"/>
        <v/>
      </c>
      <c r="IU125" s="44" t="str">
        <f t="shared" si="1163"/>
        <v/>
      </c>
      <c r="IV125" s="44" t="str">
        <f t="shared" si="1164"/>
        <v/>
      </c>
      <c r="IW125" s="44" t="str">
        <f t="shared" si="1165"/>
        <v/>
      </c>
      <c r="IX125" s="44" t="str">
        <f t="shared" si="1166"/>
        <v/>
      </c>
      <c r="IY125" s="306" t="str">
        <f t="shared" si="1167"/>
        <v/>
      </c>
      <c r="IZ125" s="44" t="str">
        <f t="shared" si="1168"/>
        <v/>
      </c>
      <c r="JA125" s="44" t="str">
        <f t="shared" si="1169"/>
        <v/>
      </c>
      <c r="JB125" s="44" t="str">
        <f t="shared" si="1170"/>
        <v/>
      </c>
      <c r="JC125" s="44" t="str">
        <f t="shared" si="1171"/>
        <v/>
      </c>
      <c r="JD125" s="307" t="str">
        <f t="shared" si="1172"/>
        <v/>
      </c>
      <c r="JF125" s="66">
        <f t="shared" si="779"/>
        <v>125</v>
      </c>
      <c r="JG125" s="66">
        <f t="shared" ca="1" si="789"/>
        <v>0</v>
      </c>
      <c r="JH125" s="66">
        <f t="shared" ca="1" si="790"/>
        <v>0</v>
      </c>
      <c r="JI125" s="66">
        <f t="shared" ca="1" si="791"/>
        <v>0</v>
      </c>
      <c r="JJ125" s="66">
        <f t="shared" ca="1" si="792"/>
        <v>0</v>
      </c>
      <c r="JK125" s="33"/>
      <c r="JL125" s="74" t="str">
        <f t="shared" ca="1" si="793"/>
        <v>-</v>
      </c>
      <c r="JM125" s="75">
        <f t="shared" ca="1" si="794"/>
        <v>0</v>
      </c>
      <c r="JN125" s="75">
        <f t="shared" ca="1" si="795"/>
        <v>0</v>
      </c>
      <c r="JO125" s="74" t="str">
        <f t="shared" ca="1" si="796"/>
        <v>-</v>
      </c>
      <c r="JP125" s="74">
        <f t="shared" ca="1" si="797"/>
        <v>0</v>
      </c>
    </row>
    <row r="126" spans="1:276" hidden="1" x14ac:dyDescent="0.35">
      <c r="A126" s="125" t="s">
        <v>805</v>
      </c>
      <c r="B126" s="125" t="s">
        <v>805</v>
      </c>
      <c r="C126" s="125" t="s">
        <v>805</v>
      </c>
      <c r="E126" s="142" t="s">
        <v>852</v>
      </c>
      <c r="F126" s="254" t="s">
        <v>739</v>
      </c>
      <c r="G126" t="s">
        <v>542</v>
      </c>
      <c r="H126" t="s">
        <v>531</v>
      </c>
      <c r="I126" t="s">
        <v>534</v>
      </c>
      <c r="J126" s="211" t="s">
        <v>805</v>
      </c>
      <c r="K126" t="s">
        <v>805</v>
      </c>
      <c r="L126" t="s">
        <v>805</v>
      </c>
      <c r="M126" t="s">
        <v>805</v>
      </c>
      <c r="N126" t="s">
        <v>805</v>
      </c>
      <c r="O126" t="s">
        <v>805</v>
      </c>
      <c r="P126" t="s">
        <v>805</v>
      </c>
      <c r="Q126" t="s">
        <v>805</v>
      </c>
      <c r="R126" t="s">
        <v>805</v>
      </c>
      <c r="S126" t="s">
        <v>805</v>
      </c>
      <c r="T126" t="s">
        <v>805</v>
      </c>
      <c r="U126" t="s">
        <v>805</v>
      </c>
      <c r="V126" t="s">
        <v>805</v>
      </c>
      <c r="W126" t="s">
        <v>805</v>
      </c>
      <c r="X126" t="s">
        <v>805</v>
      </c>
      <c r="Y126" t="s">
        <v>805</v>
      </c>
      <c r="Z126" t="s">
        <v>805</v>
      </c>
      <c r="AA126" t="s">
        <v>805</v>
      </c>
      <c r="AB126" t="s">
        <v>805</v>
      </c>
      <c r="AC126" t="s">
        <v>805</v>
      </c>
      <c r="AD126" t="s">
        <v>805</v>
      </c>
      <c r="AE126" t="s">
        <v>805</v>
      </c>
      <c r="AF126" t="s">
        <v>805</v>
      </c>
      <c r="AG126" t="s">
        <v>805</v>
      </c>
      <c r="AH126" t="s">
        <v>805</v>
      </c>
      <c r="AI126" t="s">
        <v>805</v>
      </c>
      <c r="AJ126" t="s">
        <v>805</v>
      </c>
      <c r="AK126" t="s">
        <v>805</v>
      </c>
      <c r="AL126" t="s">
        <v>805</v>
      </c>
      <c r="AM126" t="s">
        <v>805</v>
      </c>
      <c r="AN126" t="s">
        <v>805</v>
      </c>
      <c r="AO126" t="s">
        <v>805</v>
      </c>
      <c r="AP126" t="s">
        <v>805</v>
      </c>
      <c r="AQ126" t="s">
        <v>805</v>
      </c>
      <c r="AR126" t="s">
        <v>805</v>
      </c>
      <c r="AS126" t="s">
        <v>805</v>
      </c>
      <c r="AT126" t="s">
        <v>805</v>
      </c>
      <c r="AU126" t="s">
        <v>805</v>
      </c>
      <c r="AV126" t="s">
        <v>805</v>
      </c>
      <c r="AW126" t="s">
        <v>805</v>
      </c>
      <c r="AX126" t="s">
        <v>805</v>
      </c>
      <c r="AY126" t="s">
        <v>805</v>
      </c>
      <c r="AZ126" t="s">
        <v>805</v>
      </c>
      <c r="BA126" t="s">
        <v>805</v>
      </c>
      <c r="BB126" t="s">
        <v>805</v>
      </c>
      <c r="BC126" t="s">
        <v>805</v>
      </c>
      <c r="BD126" t="s">
        <v>805</v>
      </c>
      <c r="BE126" t="s">
        <v>805</v>
      </c>
      <c r="BF126" t="s">
        <v>805</v>
      </c>
      <c r="BG126" t="s">
        <v>805</v>
      </c>
      <c r="BH126" t="s">
        <v>805</v>
      </c>
      <c r="BI126" t="s">
        <v>805</v>
      </c>
      <c r="BJ126" t="s">
        <v>805</v>
      </c>
      <c r="BK126" t="s">
        <v>805</v>
      </c>
      <c r="BL126" t="s">
        <v>805</v>
      </c>
      <c r="BM126" t="s">
        <v>805</v>
      </c>
      <c r="BN126" t="s">
        <v>805</v>
      </c>
      <c r="BO126" t="s">
        <v>805</v>
      </c>
      <c r="BP126" t="s">
        <v>805</v>
      </c>
      <c r="BQ126" t="s">
        <v>805</v>
      </c>
      <c r="BR126" t="s">
        <v>805</v>
      </c>
      <c r="BS126" t="s">
        <v>805</v>
      </c>
      <c r="BT126" t="s">
        <v>805</v>
      </c>
      <c r="BU126" t="s">
        <v>805</v>
      </c>
      <c r="BV126" t="s">
        <v>805</v>
      </c>
      <c r="BW126" t="s">
        <v>805</v>
      </c>
      <c r="BX126" t="s">
        <v>805</v>
      </c>
      <c r="BY126" t="s">
        <v>805</v>
      </c>
      <c r="BZ126" t="s">
        <v>805</v>
      </c>
      <c r="CA126" t="s">
        <v>805</v>
      </c>
      <c r="CB126" t="s">
        <v>805</v>
      </c>
      <c r="CC126" t="s">
        <v>805</v>
      </c>
      <c r="CD126" t="s">
        <v>805</v>
      </c>
      <c r="CE126" t="s">
        <v>805</v>
      </c>
      <c r="CF126" t="s">
        <v>805</v>
      </c>
      <c r="CG126" t="s">
        <v>805</v>
      </c>
      <c r="CH126" t="s">
        <v>805</v>
      </c>
      <c r="CI126" t="s">
        <v>805</v>
      </c>
      <c r="CJ126" t="s">
        <v>805</v>
      </c>
      <c r="CK126" t="s">
        <v>805</v>
      </c>
      <c r="CL126" t="s">
        <v>805</v>
      </c>
      <c r="CM126" t="s">
        <v>805</v>
      </c>
      <c r="CN126" t="s">
        <v>805</v>
      </c>
      <c r="CO126" t="s">
        <v>805</v>
      </c>
      <c r="CP126" t="s">
        <v>805</v>
      </c>
      <c r="CQ126" t="s">
        <v>805</v>
      </c>
      <c r="CR126" t="s">
        <v>805</v>
      </c>
      <c r="CS126" t="s">
        <v>805</v>
      </c>
      <c r="CT126" t="s">
        <v>805</v>
      </c>
      <c r="CU126" t="s">
        <v>805</v>
      </c>
      <c r="CV126" t="s">
        <v>805</v>
      </c>
      <c r="CW126" t="s">
        <v>805</v>
      </c>
      <c r="CX126" t="s">
        <v>805</v>
      </c>
      <c r="CY126" t="s">
        <v>805</v>
      </c>
      <c r="CZ126" t="s">
        <v>805</v>
      </c>
      <c r="DA126" t="s">
        <v>805</v>
      </c>
      <c r="DB126" t="s">
        <v>805</v>
      </c>
      <c r="DC126" t="s">
        <v>805</v>
      </c>
      <c r="DD126" t="s">
        <v>805</v>
      </c>
      <c r="DE126" t="s">
        <v>805</v>
      </c>
      <c r="DF126" t="s">
        <v>805</v>
      </c>
      <c r="DG126" s="28">
        <f>VLOOKUP(E126,'KPI Count-SHARE'!A:F,3,0)</f>
        <v>0</v>
      </c>
      <c r="DH126">
        <v>0</v>
      </c>
      <c r="DI126" t="s">
        <v>805</v>
      </c>
      <c r="DJ126" t="s">
        <v>805</v>
      </c>
      <c r="DK126" t="s">
        <v>805</v>
      </c>
      <c r="DL126" t="s">
        <v>805</v>
      </c>
      <c r="DM126" t="s">
        <v>805</v>
      </c>
      <c r="DN126" s="28">
        <f>VLOOKUP(E126,'KPI Count-SHARE'!A:F,4,0)</f>
        <v>0</v>
      </c>
      <c r="DU126" s="28">
        <f>VLOOKUP(E126,'KPI Count-SHARE'!A:F,5,0)</f>
        <v>0</v>
      </c>
      <c r="EB126" s="28">
        <f>VLOOKUP(E126,'KPI Count-SHARE'!A:F,6,0)</f>
        <v>0</v>
      </c>
      <c r="EI126" t="s">
        <v>531</v>
      </c>
      <c r="EJ126" s="41" t="str">
        <f t="shared" si="1048"/>
        <v/>
      </c>
      <c r="EK126" s="41" t="str">
        <f t="shared" si="1049"/>
        <v/>
      </c>
      <c r="EL126" s="41" t="str">
        <f t="shared" si="1050"/>
        <v/>
      </c>
      <c r="EM126" s="41" t="str">
        <f t="shared" si="1051"/>
        <v/>
      </c>
      <c r="EN126" s="41" t="str">
        <f t="shared" si="1052"/>
        <v/>
      </c>
      <c r="EO126" s="41" t="str">
        <f t="shared" si="1053"/>
        <v/>
      </c>
      <c r="EP126" s="41" t="str">
        <f t="shared" si="1054"/>
        <v/>
      </c>
      <c r="EQ126" s="41" t="str">
        <f t="shared" si="1055"/>
        <v/>
      </c>
      <c r="ER126" s="41" t="str">
        <f t="shared" si="1056"/>
        <v/>
      </c>
      <c r="ES126" s="41" t="str">
        <f t="shared" si="1057"/>
        <v/>
      </c>
      <c r="ET126" s="41" t="str">
        <f t="shared" si="1058"/>
        <v/>
      </c>
      <c r="EU126" s="41" t="str">
        <f t="shared" si="1059"/>
        <v/>
      </c>
      <c r="EV126" s="41" t="str">
        <f t="shared" si="1060"/>
        <v/>
      </c>
      <c r="EW126" s="41" t="str">
        <f t="shared" si="1061"/>
        <v/>
      </c>
      <c r="EX126" s="41" t="str">
        <f t="shared" si="1062"/>
        <v/>
      </c>
      <c r="EY126" s="41" t="str">
        <f t="shared" si="1063"/>
        <v/>
      </c>
      <c r="EZ126" s="41" t="str">
        <f t="shared" si="1064"/>
        <v/>
      </c>
      <c r="FA126" s="41" t="str">
        <f t="shared" si="1065"/>
        <v/>
      </c>
      <c r="FB126" s="41" t="str">
        <f t="shared" si="1066"/>
        <v/>
      </c>
      <c r="FC126" s="41" t="str">
        <f t="shared" si="1067"/>
        <v/>
      </c>
      <c r="FD126" s="41" t="str">
        <f t="shared" si="1068"/>
        <v/>
      </c>
      <c r="FE126" s="41" t="str">
        <f t="shared" si="1069"/>
        <v/>
      </c>
      <c r="FF126" s="41" t="str">
        <f t="shared" si="1070"/>
        <v/>
      </c>
      <c r="FG126" s="41" t="str">
        <f t="shared" si="1071"/>
        <v/>
      </c>
      <c r="FH126" s="41" t="str">
        <f t="shared" si="1072"/>
        <v/>
      </c>
      <c r="FI126" s="41" t="str">
        <f t="shared" si="1073"/>
        <v/>
      </c>
      <c r="FJ126" s="41" t="str">
        <f t="shared" si="1074"/>
        <v/>
      </c>
      <c r="FK126" s="41" t="str">
        <f t="shared" si="1075"/>
        <v/>
      </c>
      <c r="FL126" s="41" t="str">
        <f t="shared" si="1076"/>
        <v/>
      </c>
      <c r="FM126" s="41" t="str">
        <f t="shared" si="1077"/>
        <v/>
      </c>
      <c r="FN126" s="41" t="str">
        <f t="shared" si="1078"/>
        <v/>
      </c>
      <c r="FO126" s="41" t="str">
        <f t="shared" si="1079"/>
        <v/>
      </c>
      <c r="FP126" s="41" t="str">
        <f t="shared" si="1080"/>
        <v/>
      </c>
      <c r="FQ126" s="41" t="str">
        <f t="shared" si="1081"/>
        <v/>
      </c>
      <c r="FR126" s="41" t="str">
        <f t="shared" si="1082"/>
        <v/>
      </c>
      <c r="FS126" s="41" t="str">
        <f t="shared" si="1083"/>
        <v/>
      </c>
      <c r="FT126" s="41" t="str">
        <f t="shared" si="1084"/>
        <v/>
      </c>
      <c r="FU126" s="41" t="str">
        <f t="shared" si="1085"/>
        <v/>
      </c>
      <c r="FV126" s="41" t="str">
        <f t="shared" si="1086"/>
        <v/>
      </c>
      <c r="FW126" s="41" t="str">
        <f t="shared" si="1087"/>
        <v/>
      </c>
      <c r="FX126" s="41" t="str">
        <f t="shared" si="1088"/>
        <v/>
      </c>
      <c r="FY126" s="41" t="str">
        <f t="shared" si="1089"/>
        <v/>
      </c>
      <c r="FZ126" s="41" t="str">
        <f t="shared" si="1090"/>
        <v/>
      </c>
      <c r="GA126" s="41" t="str">
        <f t="shared" si="1091"/>
        <v/>
      </c>
      <c r="GB126" s="41" t="str">
        <f t="shared" si="1092"/>
        <v/>
      </c>
      <c r="GC126" s="41" t="str">
        <f t="shared" si="1093"/>
        <v/>
      </c>
      <c r="GD126" s="41" t="str">
        <f t="shared" si="1094"/>
        <v/>
      </c>
      <c r="GE126" s="41" t="str">
        <f t="shared" si="1095"/>
        <v/>
      </c>
      <c r="GF126" s="41" t="str">
        <f t="shared" si="1096"/>
        <v/>
      </c>
      <c r="GG126" s="41" t="str">
        <f t="shared" si="1097"/>
        <v/>
      </c>
      <c r="GH126" s="41" t="str">
        <f t="shared" si="1098"/>
        <v/>
      </c>
      <c r="GI126" s="41" t="str">
        <f t="shared" si="1099"/>
        <v/>
      </c>
      <c r="GJ126" s="41" t="str">
        <f t="shared" si="1100"/>
        <v/>
      </c>
      <c r="GK126" s="41" t="str">
        <f t="shared" si="1101"/>
        <v/>
      </c>
      <c r="GL126" s="41" t="str">
        <f t="shared" si="1102"/>
        <v/>
      </c>
      <c r="GM126" s="41" t="str">
        <f t="shared" si="1103"/>
        <v/>
      </c>
      <c r="GN126" s="41" t="str">
        <f t="shared" si="1104"/>
        <v/>
      </c>
      <c r="GO126" s="41" t="str">
        <f t="shared" si="1105"/>
        <v/>
      </c>
      <c r="GP126" s="41" t="str">
        <f t="shared" si="1106"/>
        <v/>
      </c>
      <c r="GQ126" s="41" t="str">
        <f t="shared" si="1107"/>
        <v/>
      </c>
      <c r="GR126" s="41" t="str">
        <f t="shared" si="1108"/>
        <v/>
      </c>
      <c r="GS126" s="41" t="str">
        <f t="shared" si="1109"/>
        <v/>
      </c>
      <c r="GT126" s="41" t="str">
        <f t="shared" si="1110"/>
        <v/>
      </c>
      <c r="GU126" s="41" t="str">
        <f t="shared" si="1111"/>
        <v/>
      </c>
      <c r="GV126" s="41" t="str">
        <f t="shared" si="1112"/>
        <v/>
      </c>
      <c r="GW126" s="41" t="str">
        <f t="shared" si="1113"/>
        <v/>
      </c>
      <c r="GX126" s="41" t="str">
        <f t="shared" si="1114"/>
        <v/>
      </c>
      <c r="GY126" s="41" t="str">
        <f t="shared" si="1115"/>
        <v/>
      </c>
      <c r="GZ126" s="41" t="str">
        <f t="shared" si="1116"/>
        <v/>
      </c>
      <c r="HA126" s="41" t="str">
        <f t="shared" si="1117"/>
        <v/>
      </c>
      <c r="HB126" s="41" t="str">
        <f t="shared" si="1118"/>
        <v/>
      </c>
      <c r="HC126" s="41" t="str">
        <f t="shared" si="1119"/>
        <v/>
      </c>
      <c r="HD126" s="41" t="str">
        <f t="shared" si="1120"/>
        <v/>
      </c>
      <c r="HE126" s="41" t="str">
        <f t="shared" si="1121"/>
        <v/>
      </c>
      <c r="HF126" s="41" t="str">
        <f t="shared" si="1122"/>
        <v/>
      </c>
      <c r="HG126" s="41" t="str">
        <f t="shared" si="1123"/>
        <v/>
      </c>
      <c r="HH126" s="41" t="str">
        <f t="shared" si="1124"/>
        <v/>
      </c>
      <c r="HI126" s="41" t="str">
        <f t="shared" si="1125"/>
        <v/>
      </c>
      <c r="HJ126" s="41" t="str">
        <f t="shared" si="1126"/>
        <v/>
      </c>
      <c r="HK126" s="41" t="str">
        <f t="shared" si="1127"/>
        <v/>
      </c>
      <c r="HL126" s="41" t="str">
        <f t="shared" si="1128"/>
        <v/>
      </c>
      <c r="HM126" s="41" t="str">
        <f t="shared" si="1129"/>
        <v/>
      </c>
      <c r="HN126" s="41" t="str">
        <f t="shared" si="1130"/>
        <v/>
      </c>
      <c r="HO126" s="41" t="str">
        <f t="shared" si="1131"/>
        <v/>
      </c>
      <c r="HP126" s="41" t="str">
        <f t="shared" si="1132"/>
        <v/>
      </c>
      <c r="HQ126" s="41" t="str">
        <f t="shared" si="1133"/>
        <v/>
      </c>
      <c r="HR126" s="41" t="str">
        <f t="shared" si="1134"/>
        <v/>
      </c>
      <c r="HS126" s="41" t="str">
        <f t="shared" si="1135"/>
        <v/>
      </c>
      <c r="HT126" s="41" t="str">
        <f t="shared" si="1136"/>
        <v/>
      </c>
      <c r="HU126" s="41" t="str">
        <f t="shared" si="1137"/>
        <v/>
      </c>
      <c r="HV126" s="41" t="str">
        <f t="shared" si="1138"/>
        <v/>
      </c>
      <c r="HW126" s="41" t="str">
        <f t="shared" si="1139"/>
        <v/>
      </c>
      <c r="HX126" s="41" t="str">
        <f t="shared" si="1140"/>
        <v/>
      </c>
      <c r="HY126" s="41" t="str">
        <f t="shared" si="1141"/>
        <v/>
      </c>
      <c r="HZ126" s="41" t="str">
        <f t="shared" si="1142"/>
        <v/>
      </c>
      <c r="IA126" s="41" t="str">
        <f t="shared" si="1143"/>
        <v/>
      </c>
      <c r="IB126" s="41" t="str">
        <f t="shared" si="1144"/>
        <v/>
      </c>
      <c r="IC126" s="41" t="str">
        <f t="shared" si="1145"/>
        <v/>
      </c>
      <c r="ID126" s="41" t="str">
        <f t="shared" si="1146"/>
        <v/>
      </c>
      <c r="IE126" s="41" t="str">
        <f t="shared" si="1147"/>
        <v/>
      </c>
      <c r="IF126" s="41" t="str">
        <f t="shared" si="1148"/>
        <v/>
      </c>
      <c r="IG126" s="306">
        <f t="shared" si="1149"/>
        <v>0</v>
      </c>
      <c r="IH126" s="44" t="str">
        <f t="shared" si="1150"/>
        <v/>
      </c>
      <c r="II126" s="44" t="str">
        <f t="shared" si="1151"/>
        <v/>
      </c>
      <c r="IJ126" s="44" t="str">
        <f t="shared" si="1152"/>
        <v/>
      </c>
      <c r="IK126" s="44" t="str">
        <f t="shared" si="1153"/>
        <v/>
      </c>
      <c r="IL126" s="44" t="str">
        <f t="shared" si="1154"/>
        <v/>
      </c>
      <c r="IM126" s="306" t="str">
        <f t="shared" si="1155"/>
        <v/>
      </c>
      <c r="IN126" s="44" t="str">
        <f t="shared" si="1156"/>
        <v/>
      </c>
      <c r="IO126" s="44" t="str">
        <f t="shared" si="1157"/>
        <v/>
      </c>
      <c r="IP126" s="44" t="str">
        <f t="shared" si="1158"/>
        <v/>
      </c>
      <c r="IQ126" s="44" t="str">
        <f t="shared" si="1159"/>
        <v/>
      </c>
      <c r="IR126" s="44" t="str">
        <f t="shared" si="1160"/>
        <v/>
      </c>
      <c r="IS126" s="306" t="str">
        <f t="shared" si="1161"/>
        <v/>
      </c>
      <c r="IT126" s="44" t="str">
        <f t="shared" si="1162"/>
        <v/>
      </c>
      <c r="IU126" s="44" t="str">
        <f t="shared" si="1163"/>
        <v/>
      </c>
      <c r="IV126" s="44" t="str">
        <f t="shared" si="1164"/>
        <v/>
      </c>
      <c r="IW126" s="44" t="str">
        <f t="shared" si="1165"/>
        <v/>
      </c>
      <c r="IX126" s="44" t="str">
        <f t="shared" si="1166"/>
        <v/>
      </c>
      <c r="IY126" s="306" t="str">
        <f t="shared" si="1167"/>
        <v/>
      </c>
      <c r="IZ126" s="44" t="str">
        <f t="shared" si="1168"/>
        <v/>
      </c>
      <c r="JA126" s="44" t="str">
        <f t="shared" si="1169"/>
        <v/>
      </c>
      <c r="JB126" s="44" t="str">
        <f t="shared" si="1170"/>
        <v/>
      </c>
      <c r="JC126" s="44" t="str">
        <f t="shared" si="1171"/>
        <v/>
      </c>
      <c r="JD126" s="307" t="str">
        <f t="shared" si="1172"/>
        <v/>
      </c>
      <c r="JF126" s="66">
        <f t="shared" si="779"/>
        <v>126</v>
      </c>
      <c r="JG126" s="66">
        <f t="shared" ca="1" si="789"/>
        <v>0</v>
      </c>
      <c r="JH126" s="66">
        <f t="shared" ca="1" si="790"/>
        <v>0</v>
      </c>
      <c r="JI126" s="66">
        <f t="shared" ca="1" si="791"/>
        <v>0</v>
      </c>
      <c r="JJ126" s="66">
        <f t="shared" ca="1" si="792"/>
        <v>0</v>
      </c>
      <c r="JK126" s="33"/>
      <c r="JL126" s="74" t="str">
        <f t="shared" ca="1" si="793"/>
        <v>-</v>
      </c>
      <c r="JM126" s="75">
        <f t="shared" ca="1" si="794"/>
        <v>0</v>
      </c>
      <c r="JN126" s="75">
        <f t="shared" ca="1" si="795"/>
        <v>0</v>
      </c>
      <c r="JO126" s="74" t="str">
        <f t="shared" ca="1" si="796"/>
        <v>-</v>
      </c>
      <c r="JP126" s="74">
        <f t="shared" ca="1" si="797"/>
        <v>0</v>
      </c>
    </row>
    <row r="127" spans="1:276" hidden="1" x14ac:dyDescent="0.35">
      <c r="A127" s="125" t="s">
        <v>805</v>
      </c>
      <c r="B127" s="125" t="s">
        <v>805</v>
      </c>
      <c r="C127" s="125" t="s">
        <v>805</v>
      </c>
      <c r="E127" s="142" t="s">
        <v>853</v>
      </c>
      <c r="F127" s="254" t="s">
        <v>740</v>
      </c>
      <c r="G127" t="s">
        <v>542</v>
      </c>
      <c r="H127" t="s">
        <v>531</v>
      </c>
      <c r="I127" t="s">
        <v>534</v>
      </c>
      <c r="J127" s="211">
        <v>0.57534246575342463</v>
      </c>
      <c r="K127">
        <v>0.55000000000000004</v>
      </c>
      <c r="L127">
        <v>0.58088235294117652</v>
      </c>
      <c r="M127">
        <v>0.65306122448979587</v>
      </c>
      <c r="N127" t="s">
        <v>805</v>
      </c>
      <c r="O127" t="s">
        <v>805</v>
      </c>
      <c r="P127" t="s">
        <v>805</v>
      </c>
      <c r="Q127" t="s">
        <v>805</v>
      </c>
      <c r="R127" t="s">
        <v>805</v>
      </c>
      <c r="S127" t="s">
        <v>805</v>
      </c>
      <c r="T127" t="s">
        <v>805</v>
      </c>
      <c r="U127" t="s">
        <v>805</v>
      </c>
      <c r="V127" t="s">
        <v>805</v>
      </c>
      <c r="W127" t="s">
        <v>805</v>
      </c>
      <c r="X127" t="s">
        <v>805</v>
      </c>
      <c r="Y127" t="s">
        <v>805</v>
      </c>
      <c r="Z127" t="s">
        <v>805</v>
      </c>
      <c r="AA127" t="s">
        <v>805</v>
      </c>
      <c r="AB127" t="s">
        <v>805</v>
      </c>
      <c r="AC127" t="s">
        <v>805</v>
      </c>
      <c r="AD127" t="s">
        <v>805</v>
      </c>
      <c r="AE127" t="s">
        <v>805</v>
      </c>
      <c r="AF127" t="s">
        <v>805</v>
      </c>
      <c r="AG127" t="s">
        <v>805</v>
      </c>
      <c r="AH127" t="s">
        <v>805</v>
      </c>
      <c r="AI127" t="s">
        <v>805</v>
      </c>
      <c r="AJ127" t="s">
        <v>805</v>
      </c>
      <c r="AK127" t="s">
        <v>805</v>
      </c>
      <c r="AL127" t="s">
        <v>805</v>
      </c>
      <c r="AM127" t="s">
        <v>805</v>
      </c>
      <c r="AN127" t="s">
        <v>805</v>
      </c>
      <c r="AO127" t="s">
        <v>805</v>
      </c>
      <c r="AP127" t="s">
        <v>805</v>
      </c>
      <c r="AQ127" t="s">
        <v>805</v>
      </c>
      <c r="AR127" t="s">
        <v>805</v>
      </c>
      <c r="AS127" t="s">
        <v>805</v>
      </c>
      <c r="AT127" t="s">
        <v>805</v>
      </c>
      <c r="AU127" t="s">
        <v>805</v>
      </c>
      <c r="AV127" t="s">
        <v>805</v>
      </c>
      <c r="AW127" t="s">
        <v>805</v>
      </c>
      <c r="AX127" t="s">
        <v>805</v>
      </c>
      <c r="AY127" t="s">
        <v>805</v>
      </c>
      <c r="AZ127" t="s">
        <v>805</v>
      </c>
      <c r="BA127" t="s">
        <v>805</v>
      </c>
      <c r="BB127" t="s">
        <v>805</v>
      </c>
      <c r="BC127" t="s">
        <v>805</v>
      </c>
      <c r="BD127" t="s">
        <v>805</v>
      </c>
      <c r="BE127" t="s">
        <v>805</v>
      </c>
      <c r="BF127" t="s">
        <v>805</v>
      </c>
      <c r="BG127" t="s">
        <v>805</v>
      </c>
      <c r="BH127" t="s">
        <v>805</v>
      </c>
      <c r="BI127" t="s">
        <v>805</v>
      </c>
      <c r="BJ127" t="s">
        <v>805</v>
      </c>
      <c r="BK127" t="s">
        <v>805</v>
      </c>
      <c r="BL127" t="s">
        <v>805</v>
      </c>
      <c r="BM127" t="s">
        <v>805</v>
      </c>
      <c r="BN127" t="s">
        <v>805</v>
      </c>
      <c r="BO127" t="s">
        <v>805</v>
      </c>
      <c r="BP127" t="s">
        <v>805</v>
      </c>
      <c r="BQ127" t="s">
        <v>805</v>
      </c>
      <c r="BR127" t="s">
        <v>805</v>
      </c>
      <c r="BS127" t="s">
        <v>805</v>
      </c>
      <c r="BT127" t="s">
        <v>805</v>
      </c>
      <c r="BU127" t="s">
        <v>805</v>
      </c>
      <c r="BV127" t="s">
        <v>805</v>
      </c>
      <c r="BW127" t="s">
        <v>805</v>
      </c>
      <c r="BX127" t="s">
        <v>805</v>
      </c>
      <c r="BY127" t="s">
        <v>805</v>
      </c>
      <c r="BZ127" t="s">
        <v>805</v>
      </c>
      <c r="CA127" t="s">
        <v>805</v>
      </c>
      <c r="CB127" t="s">
        <v>805</v>
      </c>
      <c r="CC127" t="s">
        <v>805</v>
      </c>
      <c r="CD127" t="s">
        <v>805</v>
      </c>
      <c r="CE127" t="s">
        <v>805</v>
      </c>
      <c r="CF127" t="s">
        <v>805</v>
      </c>
      <c r="CG127" t="s">
        <v>805</v>
      </c>
      <c r="CH127" t="s">
        <v>805</v>
      </c>
      <c r="CI127" t="s">
        <v>805</v>
      </c>
      <c r="CJ127" t="s">
        <v>805</v>
      </c>
      <c r="CK127" t="s">
        <v>805</v>
      </c>
      <c r="CL127" t="s">
        <v>805</v>
      </c>
      <c r="CM127" t="s">
        <v>805</v>
      </c>
      <c r="CN127" t="s">
        <v>805</v>
      </c>
      <c r="CO127" t="s">
        <v>805</v>
      </c>
      <c r="CP127" t="s">
        <v>805</v>
      </c>
      <c r="CQ127" t="s">
        <v>805</v>
      </c>
      <c r="CR127" t="s">
        <v>805</v>
      </c>
      <c r="CS127" t="s">
        <v>805</v>
      </c>
      <c r="CT127" t="s">
        <v>805</v>
      </c>
      <c r="CU127" t="s">
        <v>805</v>
      </c>
      <c r="CV127" t="s">
        <v>805</v>
      </c>
      <c r="CW127" t="s">
        <v>805</v>
      </c>
      <c r="CX127" t="s">
        <v>805</v>
      </c>
      <c r="CY127" t="s">
        <v>805</v>
      </c>
      <c r="CZ127" t="s">
        <v>805</v>
      </c>
      <c r="DA127" t="s">
        <v>805</v>
      </c>
      <c r="DB127" t="s">
        <v>805</v>
      </c>
      <c r="DC127" t="s">
        <v>805</v>
      </c>
      <c r="DD127" t="s">
        <v>805</v>
      </c>
      <c r="DE127" t="s">
        <v>805</v>
      </c>
      <c r="DF127" t="s">
        <v>805</v>
      </c>
      <c r="DG127" s="28">
        <f>VLOOKUP(E127,'KPI Count-SHARE'!A:F,3,0)</f>
        <v>0</v>
      </c>
      <c r="DH127">
        <v>0</v>
      </c>
      <c r="DI127" t="s">
        <v>805</v>
      </c>
      <c r="DJ127" t="s">
        <v>805</v>
      </c>
      <c r="DK127" t="s">
        <v>805</v>
      </c>
      <c r="DL127" t="s">
        <v>805</v>
      </c>
      <c r="DM127" t="s">
        <v>805</v>
      </c>
      <c r="DN127" s="28">
        <f>VLOOKUP(E127,'KPI Count-SHARE'!A:F,4,0)</f>
        <v>0</v>
      </c>
      <c r="DU127" s="28">
        <f>VLOOKUP(E127,'KPI Count-SHARE'!A:F,5,0)</f>
        <v>0</v>
      </c>
      <c r="EB127" s="28">
        <f>VLOOKUP(E127,'KPI Count-SHARE'!A:F,6,0)</f>
        <v>0</v>
      </c>
      <c r="EI127" t="s">
        <v>531</v>
      </c>
      <c r="EJ127" s="41">
        <f t="shared" si="1048"/>
        <v>0.57534246575342463</v>
      </c>
      <c r="EK127" s="41">
        <f t="shared" si="1049"/>
        <v>0.55000000000000004</v>
      </c>
      <c r="EL127" s="41">
        <f t="shared" si="1050"/>
        <v>0.58088235294117652</v>
      </c>
      <c r="EM127" s="41">
        <f t="shared" si="1051"/>
        <v>0.65306122448979587</v>
      </c>
      <c r="EN127" s="41" t="str">
        <f t="shared" si="1052"/>
        <v/>
      </c>
      <c r="EO127" s="41" t="str">
        <f t="shared" si="1053"/>
        <v/>
      </c>
      <c r="EP127" s="41" t="str">
        <f t="shared" si="1054"/>
        <v/>
      </c>
      <c r="EQ127" s="41" t="str">
        <f t="shared" si="1055"/>
        <v/>
      </c>
      <c r="ER127" s="41" t="str">
        <f t="shared" si="1056"/>
        <v/>
      </c>
      <c r="ES127" s="41" t="str">
        <f t="shared" si="1057"/>
        <v/>
      </c>
      <c r="ET127" s="41" t="str">
        <f t="shared" si="1058"/>
        <v/>
      </c>
      <c r="EU127" s="41" t="str">
        <f t="shared" si="1059"/>
        <v/>
      </c>
      <c r="EV127" s="41" t="str">
        <f t="shared" si="1060"/>
        <v/>
      </c>
      <c r="EW127" s="41" t="str">
        <f t="shared" si="1061"/>
        <v/>
      </c>
      <c r="EX127" s="41" t="str">
        <f t="shared" si="1062"/>
        <v/>
      </c>
      <c r="EY127" s="41" t="str">
        <f t="shared" si="1063"/>
        <v/>
      </c>
      <c r="EZ127" s="41" t="str">
        <f t="shared" si="1064"/>
        <v/>
      </c>
      <c r="FA127" s="41" t="str">
        <f t="shared" si="1065"/>
        <v/>
      </c>
      <c r="FB127" s="41" t="str">
        <f t="shared" si="1066"/>
        <v/>
      </c>
      <c r="FC127" s="41" t="str">
        <f t="shared" si="1067"/>
        <v/>
      </c>
      <c r="FD127" s="41" t="str">
        <f t="shared" si="1068"/>
        <v/>
      </c>
      <c r="FE127" s="41" t="str">
        <f t="shared" si="1069"/>
        <v/>
      </c>
      <c r="FF127" s="41" t="str">
        <f t="shared" si="1070"/>
        <v/>
      </c>
      <c r="FG127" s="41" t="str">
        <f t="shared" si="1071"/>
        <v/>
      </c>
      <c r="FH127" s="41" t="str">
        <f t="shared" si="1072"/>
        <v/>
      </c>
      <c r="FI127" s="41" t="str">
        <f t="shared" si="1073"/>
        <v/>
      </c>
      <c r="FJ127" s="41" t="str">
        <f t="shared" si="1074"/>
        <v/>
      </c>
      <c r="FK127" s="41" t="str">
        <f t="shared" si="1075"/>
        <v/>
      </c>
      <c r="FL127" s="41" t="str">
        <f t="shared" si="1076"/>
        <v/>
      </c>
      <c r="FM127" s="41" t="str">
        <f t="shared" si="1077"/>
        <v/>
      </c>
      <c r="FN127" s="41" t="str">
        <f t="shared" si="1078"/>
        <v/>
      </c>
      <c r="FO127" s="41" t="str">
        <f t="shared" si="1079"/>
        <v/>
      </c>
      <c r="FP127" s="41" t="str">
        <f t="shared" si="1080"/>
        <v/>
      </c>
      <c r="FQ127" s="41" t="str">
        <f t="shared" si="1081"/>
        <v/>
      </c>
      <c r="FR127" s="41" t="str">
        <f t="shared" si="1082"/>
        <v/>
      </c>
      <c r="FS127" s="41" t="str">
        <f t="shared" si="1083"/>
        <v/>
      </c>
      <c r="FT127" s="41" t="str">
        <f t="shared" si="1084"/>
        <v/>
      </c>
      <c r="FU127" s="41" t="str">
        <f t="shared" si="1085"/>
        <v/>
      </c>
      <c r="FV127" s="41" t="str">
        <f t="shared" si="1086"/>
        <v/>
      </c>
      <c r="FW127" s="41" t="str">
        <f t="shared" si="1087"/>
        <v/>
      </c>
      <c r="FX127" s="41" t="str">
        <f t="shared" si="1088"/>
        <v/>
      </c>
      <c r="FY127" s="41" t="str">
        <f t="shared" si="1089"/>
        <v/>
      </c>
      <c r="FZ127" s="41" t="str">
        <f t="shared" si="1090"/>
        <v/>
      </c>
      <c r="GA127" s="41" t="str">
        <f t="shared" si="1091"/>
        <v/>
      </c>
      <c r="GB127" s="41" t="str">
        <f t="shared" si="1092"/>
        <v/>
      </c>
      <c r="GC127" s="41" t="str">
        <f t="shared" si="1093"/>
        <v/>
      </c>
      <c r="GD127" s="41" t="str">
        <f t="shared" si="1094"/>
        <v/>
      </c>
      <c r="GE127" s="41" t="str">
        <f t="shared" si="1095"/>
        <v/>
      </c>
      <c r="GF127" s="41" t="str">
        <f t="shared" si="1096"/>
        <v/>
      </c>
      <c r="GG127" s="41" t="str">
        <f t="shared" si="1097"/>
        <v/>
      </c>
      <c r="GH127" s="41" t="str">
        <f t="shared" si="1098"/>
        <v/>
      </c>
      <c r="GI127" s="41" t="str">
        <f t="shared" si="1099"/>
        <v/>
      </c>
      <c r="GJ127" s="41" t="str">
        <f t="shared" si="1100"/>
        <v/>
      </c>
      <c r="GK127" s="41" t="str">
        <f t="shared" si="1101"/>
        <v/>
      </c>
      <c r="GL127" s="41" t="str">
        <f t="shared" si="1102"/>
        <v/>
      </c>
      <c r="GM127" s="41" t="str">
        <f t="shared" si="1103"/>
        <v/>
      </c>
      <c r="GN127" s="41" t="str">
        <f t="shared" si="1104"/>
        <v/>
      </c>
      <c r="GO127" s="41" t="str">
        <f t="shared" si="1105"/>
        <v/>
      </c>
      <c r="GP127" s="41" t="str">
        <f t="shared" si="1106"/>
        <v/>
      </c>
      <c r="GQ127" s="41" t="str">
        <f t="shared" si="1107"/>
        <v/>
      </c>
      <c r="GR127" s="41" t="str">
        <f t="shared" si="1108"/>
        <v/>
      </c>
      <c r="GS127" s="41" t="str">
        <f t="shared" si="1109"/>
        <v/>
      </c>
      <c r="GT127" s="41" t="str">
        <f t="shared" si="1110"/>
        <v/>
      </c>
      <c r="GU127" s="41" t="str">
        <f t="shared" si="1111"/>
        <v/>
      </c>
      <c r="GV127" s="41" t="str">
        <f t="shared" si="1112"/>
        <v/>
      </c>
      <c r="GW127" s="41" t="str">
        <f t="shared" si="1113"/>
        <v/>
      </c>
      <c r="GX127" s="41" t="str">
        <f t="shared" si="1114"/>
        <v/>
      </c>
      <c r="GY127" s="41" t="str">
        <f t="shared" si="1115"/>
        <v/>
      </c>
      <c r="GZ127" s="41" t="str">
        <f t="shared" si="1116"/>
        <v/>
      </c>
      <c r="HA127" s="41" t="str">
        <f t="shared" si="1117"/>
        <v/>
      </c>
      <c r="HB127" s="41" t="str">
        <f t="shared" si="1118"/>
        <v/>
      </c>
      <c r="HC127" s="41" t="str">
        <f t="shared" si="1119"/>
        <v/>
      </c>
      <c r="HD127" s="41" t="str">
        <f t="shared" si="1120"/>
        <v/>
      </c>
      <c r="HE127" s="41" t="str">
        <f t="shared" si="1121"/>
        <v/>
      </c>
      <c r="HF127" s="41" t="str">
        <f t="shared" si="1122"/>
        <v/>
      </c>
      <c r="HG127" s="41" t="str">
        <f t="shared" si="1123"/>
        <v/>
      </c>
      <c r="HH127" s="41" t="str">
        <f t="shared" si="1124"/>
        <v/>
      </c>
      <c r="HI127" s="41" t="str">
        <f t="shared" si="1125"/>
        <v/>
      </c>
      <c r="HJ127" s="41" t="str">
        <f t="shared" si="1126"/>
        <v/>
      </c>
      <c r="HK127" s="41" t="str">
        <f t="shared" si="1127"/>
        <v/>
      </c>
      <c r="HL127" s="41" t="str">
        <f t="shared" si="1128"/>
        <v/>
      </c>
      <c r="HM127" s="41" t="str">
        <f t="shared" si="1129"/>
        <v/>
      </c>
      <c r="HN127" s="41" t="str">
        <f t="shared" si="1130"/>
        <v/>
      </c>
      <c r="HO127" s="41" t="str">
        <f t="shared" si="1131"/>
        <v/>
      </c>
      <c r="HP127" s="41" t="str">
        <f t="shared" si="1132"/>
        <v/>
      </c>
      <c r="HQ127" s="41" t="str">
        <f t="shared" si="1133"/>
        <v/>
      </c>
      <c r="HR127" s="41" t="str">
        <f t="shared" si="1134"/>
        <v/>
      </c>
      <c r="HS127" s="41" t="str">
        <f t="shared" si="1135"/>
        <v/>
      </c>
      <c r="HT127" s="41" t="str">
        <f t="shared" si="1136"/>
        <v/>
      </c>
      <c r="HU127" s="41" t="str">
        <f t="shared" si="1137"/>
        <v/>
      </c>
      <c r="HV127" s="41" t="str">
        <f t="shared" si="1138"/>
        <v/>
      </c>
      <c r="HW127" s="41" t="str">
        <f t="shared" si="1139"/>
        <v/>
      </c>
      <c r="HX127" s="41" t="str">
        <f t="shared" si="1140"/>
        <v/>
      </c>
      <c r="HY127" s="41" t="str">
        <f t="shared" si="1141"/>
        <v/>
      </c>
      <c r="HZ127" s="41" t="str">
        <f t="shared" si="1142"/>
        <v/>
      </c>
      <c r="IA127" s="41" t="str">
        <f t="shared" si="1143"/>
        <v/>
      </c>
      <c r="IB127" s="41" t="str">
        <f t="shared" si="1144"/>
        <v/>
      </c>
      <c r="IC127" s="41" t="str">
        <f t="shared" si="1145"/>
        <v/>
      </c>
      <c r="ID127" s="41" t="str">
        <f t="shared" si="1146"/>
        <v/>
      </c>
      <c r="IE127" s="41" t="str">
        <f t="shared" si="1147"/>
        <v/>
      </c>
      <c r="IF127" s="41" t="str">
        <f t="shared" si="1148"/>
        <v/>
      </c>
      <c r="IG127" s="306">
        <f t="shared" si="1149"/>
        <v>0</v>
      </c>
      <c r="IH127" s="44" t="str">
        <f t="shared" si="1150"/>
        <v/>
      </c>
      <c r="II127" s="44" t="str">
        <f t="shared" si="1151"/>
        <v/>
      </c>
      <c r="IJ127" s="44" t="str">
        <f t="shared" si="1152"/>
        <v/>
      </c>
      <c r="IK127" s="44" t="str">
        <f t="shared" si="1153"/>
        <v/>
      </c>
      <c r="IL127" s="44" t="str">
        <f t="shared" si="1154"/>
        <v/>
      </c>
      <c r="IM127" s="306" t="str">
        <f t="shared" si="1155"/>
        <v/>
      </c>
      <c r="IN127" s="44" t="str">
        <f t="shared" si="1156"/>
        <v/>
      </c>
      <c r="IO127" s="44" t="str">
        <f t="shared" si="1157"/>
        <v/>
      </c>
      <c r="IP127" s="44" t="str">
        <f t="shared" si="1158"/>
        <v/>
      </c>
      <c r="IQ127" s="44" t="str">
        <f t="shared" si="1159"/>
        <v/>
      </c>
      <c r="IR127" s="44" t="str">
        <f t="shared" si="1160"/>
        <v/>
      </c>
      <c r="IS127" s="306" t="str">
        <f t="shared" si="1161"/>
        <v/>
      </c>
      <c r="IT127" s="44" t="str">
        <f t="shared" si="1162"/>
        <v/>
      </c>
      <c r="IU127" s="44" t="str">
        <f t="shared" si="1163"/>
        <v/>
      </c>
      <c r="IV127" s="44" t="str">
        <f t="shared" si="1164"/>
        <v/>
      </c>
      <c r="IW127" s="44" t="str">
        <f t="shared" si="1165"/>
        <v/>
      </c>
      <c r="IX127" s="44" t="str">
        <f t="shared" si="1166"/>
        <v/>
      </c>
      <c r="IY127" s="306" t="str">
        <f t="shared" si="1167"/>
        <v/>
      </c>
      <c r="IZ127" s="44" t="str">
        <f t="shared" si="1168"/>
        <v/>
      </c>
      <c r="JA127" s="44" t="str">
        <f t="shared" si="1169"/>
        <v/>
      </c>
      <c r="JB127" s="44" t="str">
        <f t="shared" si="1170"/>
        <v/>
      </c>
      <c r="JC127" s="44" t="str">
        <f t="shared" si="1171"/>
        <v/>
      </c>
      <c r="JD127" s="307" t="str">
        <f t="shared" si="1172"/>
        <v/>
      </c>
      <c r="JF127" s="66">
        <f t="shared" si="779"/>
        <v>127</v>
      </c>
      <c r="JG127" s="66">
        <f t="shared" ca="1" si="789"/>
        <v>0</v>
      </c>
      <c r="JH127" s="66">
        <f t="shared" ca="1" si="790"/>
        <v>0</v>
      </c>
      <c r="JI127" s="66">
        <f t="shared" ca="1" si="791"/>
        <v>0</v>
      </c>
      <c r="JJ127" s="66">
        <f t="shared" ca="1" si="792"/>
        <v>0</v>
      </c>
      <c r="JK127" s="33"/>
      <c r="JL127" s="74" t="str">
        <f t="shared" ca="1" si="793"/>
        <v>-</v>
      </c>
      <c r="JM127" s="75">
        <f t="shared" ca="1" si="794"/>
        <v>0</v>
      </c>
      <c r="JN127" s="75">
        <f t="shared" ca="1" si="795"/>
        <v>0</v>
      </c>
      <c r="JO127" s="74" t="str">
        <f t="shared" ca="1" si="796"/>
        <v>-</v>
      </c>
      <c r="JP127" s="74">
        <f t="shared" ca="1" si="797"/>
        <v>0</v>
      </c>
    </row>
    <row r="128" spans="1:276" hidden="1" x14ac:dyDescent="0.35">
      <c r="A128" s="125" t="s">
        <v>805</v>
      </c>
      <c r="B128" s="125" t="s">
        <v>805</v>
      </c>
      <c r="C128" s="125" t="s">
        <v>805</v>
      </c>
      <c r="E128" s="142" t="s">
        <v>854</v>
      </c>
      <c r="F128" s="254" t="s">
        <v>741</v>
      </c>
      <c r="G128" t="s">
        <v>542</v>
      </c>
      <c r="H128" t="s">
        <v>531</v>
      </c>
      <c r="I128" t="s">
        <v>534</v>
      </c>
      <c r="J128" s="211">
        <v>1.5909090909090908</v>
      </c>
      <c r="K128">
        <v>1.4347826086956521</v>
      </c>
      <c r="L128">
        <v>1.6122448979591837</v>
      </c>
      <c r="M128">
        <v>2.2857142857142856</v>
      </c>
      <c r="N128" t="s">
        <v>805</v>
      </c>
      <c r="O128" t="s">
        <v>805</v>
      </c>
      <c r="P128" t="s">
        <v>805</v>
      </c>
      <c r="Q128" t="s">
        <v>805</v>
      </c>
      <c r="R128" t="s">
        <v>805</v>
      </c>
      <c r="S128" t="s">
        <v>805</v>
      </c>
      <c r="T128" t="s">
        <v>805</v>
      </c>
      <c r="U128" t="s">
        <v>805</v>
      </c>
      <c r="V128" t="s">
        <v>805</v>
      </c>
      <c r="W128" t="s">
        <v>805</v>
      </c>
      <c r="X128" t="s">
        <v>805</v>
      </c>
      <c r="Y128" t="s">
        <v>805</v>
      </c>
      <c r="Z128" t="s">
        <v>805</v>
      </c>
      <c r="AA128" t="s">
        <v>805</v>
      </c>
      <c r="AB128" t="s">
        <v>805</v>
      </c>
      <c r="AC128" t="s">
        <v>805</v>
      </c>
      <c r="AD128" t="s">
        <v>805</v>
      </c>
      <c r="AE128" t="s">
        <v>805</v>
      </c>
      <c r="AF128" t="s">
        <v>805</v>
      </c>
      <c r="AG128" t="s">
        <v>805</v>
      </c>
      <c r="AH128" t="s">
        <v>805</v>
      </c>
      <c r="AI128" t="s">
        <v>805</v>
      </c>
      <c r="AJ128" t="s">
        <v>805</v>
      </c>
      <c r="AK128" t="s">
        <v>805</v>
      </c>
      <c r="AL128" t="s">
        <v>805</v>
      </c>
      <c r="AM128" t="s">
        <v>805</v>
      </c>
      <c r="AN128" t="s">
        <v>805</v>
      </c>
      <c r="AO128" t="s">
        <v>805</v>
      </c>
      <c r="AP128" t="s">
        <v>805</v>
      </c>
      <c r="AQ128" t="s">
        <v>805</v>
      </c>
      <c r="AR128" t="s">
        <v>805</v>
      </c>
      <c r="AS128" t="s">
        <v>805</v>
      </c>
      <c r="AT128" t="s">
        <v>805</v>
      </c>
      <c r="AU128" t="s">
        <v>805</v>
      </c>
      <c r="AV128" t="s">
        <v>805</v>
      </c>
      <c r="AW128" t="s">
        <v>805</v>
      </c>
      <c r="AX128" t="s">
        <v>805</v>
      </c>
      <c r="AY128" t="s">
        <v>805</v>
      </c>
      <c r="AZ128" t="s">
        <v>805</v>
      </c>
      <c r="BA128" t="s">
        <v>805</v>
      </c>
      <c r="BB128" t="s">
        <v>805</v>
      </c>
      <c r="BC128" t="s">
        <v>805</v>
      </c>
      <c r="BD128" t="s">
        <v>805</v>
      </c>
      <c r="BE128" t="s">
        <v>805</v>
      </c>
      <c r="BF128" t="s">
        <v>805</v>
      </c>
      <c r="BG128" t="s">
        <v>805</v>
      </c>
      <c r="BH128" t="s">
        <v>805</v>
      </c>
      <c r="BI128" t="s">
        <v>805</v>
      </c>
      <c r="BJ128" t="s">
        <v>805</v>
      </c>
      <c r="BK128" t="s">
        <v>805</v>
      </c>
      <c r="BL128" t="s">
        <v>805</v>
      </c>
      <c r="BM128" t="s">
        <v>805</v>
      </c>
      <c r="BN128" t="s">
        <v>805</v>
      </c>
      <c r="BO128" t="s">
        <v>805</v>
      </c>
      <c r="BP128" t="s">
        <v>805</v>
      </c>
      <c r="BQ128" t="s">
        <v>805</v>
      </c>
      <c r="BR128" t="s">
        <v>805</v>
      </c>
      <c r="BS128" t="s">
        <v>805</v>
      </c>
      <c r="BT128" t="s">
        <v>805</v>
      </c>
      <c r="BU128" t="s">
        <v>805</v>
      </c>
      <c r="BV128" t="s">
        <v>805</v>
      </c>
      <c r="BW128" t="s">
        <v>805</v>
      </c>
      <c r="BX128" t="s">
        <v>805</v>
      </c>
      <c r="BY128" t="s">
        <v>805</v>
      </c>
      <c r="BZ128" t="s">
        <v>805</v>
      </c>
      <c r="CA128" t="s">
        <v>805</v>
      </c>
      <c r="CB128" t="s">
        <v>805</v>
      </c>
      <c r="CC128" t="s">
        <v>805</v>
      </c>
      <c r="CD128" t="s">
        <v>805</v>
      </c>
      <c r="CE128" t="s">
        <v>805</v>
      </c>
      <c r="CF128" t="s">
        <v>805</v>
      </c>
      <c r="CG128" t="s">
        <v>805</v>
      </c>
      <c r="CH128" t="s">
        <v>805</v>
      </c>
      <c r="CI128" t="s">
        <v>805</v>
      </c>
      <c r="CJ128" t="s">
        <v>805</v>
      </c>
      <c r="CK128" t="s">
        <v>805</v>
      </c>
      <c r="CL128" t="s">
        <v>805</v>
      </c>
      <c r="CM128" t="s">
        <v>805</v>
      </c>
      <c r="CN128" t="s">
        <v>805</v>
      </c>
      <c r="CO128" t="s">
        <v>805</v>
      </c>
      <c r="CP128" t="s">
        <v>805</v>
      </c>
      <c r="CQ128" t="s">
        <v>805</v>
      </c>
      <c r="CR128" t="s">
        <v>805</v>
      </c>
      <c r="CS128" t="s">
        <v>805</v>
      </c>
      <c r="CT128" t="s">
        <v>805</v>
      </c>
      <c r="CU128" t="s">
        <v>805</v>
      </c>
      <c r="CV128" t="s">
        <v>805</v>
      </c>
      <c r="CW128" t="s">
        <v>805</v>
      </c>
      <c r="CX128" t="s">
        <v>805</v>
      </c>
      <c r="CY128" t="s">
        <v>805</v>
      </c>
      <c r="CZ128" t="s">
        <v>805</v>
      </c>
      <c r="DA128" t="s">
        <v>805</v>
      </c>
      <c r="DB128" t="s">
        <v>805</v>
      </c>
      <c r="DC128" t="s">
        <v>805</v>
      </c>
      <c r="DD128" t="s">
        <v>805</v>
      </c>
      <c r="DE128" t="s">
        <v>805</v>
      </c>
      <c r="DF128" t="s">
        <v>805</v>
      </c>
      <c r="DG128" s="28">
        <f>VLOOKUP(E128,'KPI Count-SHARE'!A:F,3,0)</f>
        <v>0</v>
      </c>
      <c r="DH128">
        <v>0</v>
      </c>
      <c r="DI128" t="s">
        <v>805</v>
      </c>
      <c r="DJ128" t="s">
        <v>805</v>
      </c>
      <c r="DK128" t="s">
        <v>805</v>
      </c>
      <c r="DL128" t="s">
        <v>805</v>
      </c>
      <c r="DM128" t="s">
        <v>805</v>
      </c>
      <c r="DN128" s="28">
        <f>VLOOKUP(E128,'KPI Count-SHARE'!A:F,4,0)</f>
        <v>0</v>
      </c>
      <c r="DU128" s="28">
        <f>VLOOKUP(E128,'KPI Count-SHARE'!A:F,5,0)</f>
        <v>0</v>
      </c>
      <c r="EB128" s="28">
        <f>VLOOKUP(E128,'KPI Count-SHARE'!A:F,6,0)</f>
        <v>0</v>
      </c>
      <c r="EI128" t="s">
        <v>531</v>
      </c>
      <c r="EJ128" s="41">
        <f t="shared" si="1048"/>
        <v>1.5909090909090908</v>
      </c>
      <c r="EK128" s="41">
        <f t="shared" si="1049"/>
        <v>1.4347826086956521</v>
      </c>
      <c r="EL128" s="41">
        <f t="shared" si="1050"/>
        <v>1.6122448979591837</v>
      </c>
      <c r="EM128" s="41">
        <f t="shared" si="1051"/>
        <v>2.2857142857142856</v>
      </c>
      <c r="EN128" s="41" t="str">
        <f t="shared" si="1052"/>
        <v/>
      </c>
      <c r="EO128" s="41" t="str">
        <f t="shared" si="1053"/>
        <v/>
      </c>
      <c r="EP128" s="41" t="str">
        <f t="shared" si="1054"/>
        <v/>
      </c>
      <c r="EQ128" s="41" t="str">
        <f t="shared" si="1055"/>
        <v/>
      </c>
      <c r="ER128" s="41" t="str">
        <f t="shared" si="1056"/>
        <v/>
      </c>
      <c r="ES128" s="41" t="str">
        <f t="shared" si="1057"/>
        <v/>
      </c>
      <c r="ET128" s="41" t="str">
        <f t="shared" si="1058"/>
        <v/>
      </c>
      <c r="EU128" s="41" t="str">
        <f t="shared" si="1059"/>
        <v/>
      </c>
      <c r="EV128" s="41" t="str">
        <f t="shared" si="1060"/>
        <v/>
      </c>
      <c r="EW128" s="41" t="str">
        <f t="shared" si="1061"/>
        <v/>
      </c>
      <c r="EX128" s="41" t="str">
        <f t="shared" si="1062"/>
        <v/>
      </c>
      <c r="EY128" s="41" t="str">
        <f t="shared" si="1063"/>
        <v/>
      </c>
      <c r="EZ128" s="41" t="str">
        <f t="shared" si="1064"/>
        <v/>
      </c>
      <c r="FA128" s="41" t="str">
        <f t="shared" si="1065"/>
        <v/>
      </c>
      <c r="FB128" s="41" t="str">
        <f t="shared" si="1066"/>
        <v/>
      </c>
      <c r="FC128" s="41" t="str">
        <f t="shared" si="1067"/>
        <v/>
      </c>
      <c r="FD128" s="41" t="str">
        <f t="shared" si="1068"/>
        <v/>
      </c>
      <c r="FE128" s="41" t="str">
        <f t="shared" si="1069"/>
        <v/>
      </c>
      <c r="FF128" s="41" t="str">
        <f t="shared" si="1070"/>
        <v/>
      </c>
      <c r="FG128" s="41" t="str">
        <f t="shared" si="1071"/>
        <v/>
      </c>
      <c r="FH128" s="41" t="str">
        <f t="shared" si="1072"/>
        <v/>
      </c>
      <c r="FI128" s="41" t="str">
        <f t="shared" si="1073"/>
        <v/>
      </c>
      <c r="FJ128" s="41" t="str">
        <f t="shared" si="1074"/>
        <v/>
      </c>
      <c r="FK128" s="41" t="str">
        <f t="shared" si="1075"/>
        <v/>
      </c>
      <c r="FL128" s="41" t="str">
        <f t="shared" si="1076"/>
        <v/>
      </c>
      <c r="FM128" s="41" t="str">
        <f t="shared" si="1077"/>
        <v/>
      </c>
      <c r="FN128" s="41" t="str">
        <f t="shared" si="1078"/>
        <v/>
      </c>
      <c r="FO128" s="41" t="str">
        <f t="shared" si="1079"/>
        <v/>
      </c>
      <c r="FP128" s="41" t="str">
        <f t="shared" si="1080"/>
        <v/>
      </c>
      <c r="FQ128" s="41" t="str">
        <f t="shared" si="1081"/>
        <v/>
      </c>
      <c r="FR128" s="41" t="str">
        <f t="shared" si="1082"/>
        <v/>
      </c>
      <c r="FS128" s="41" t="str">
        <f t="shared" si="1083"/>
        <v/>
      </c>
      <c r="FT128" s="41" t="str">
        <f t="shared" si="1084"/>
        <v/>
      </c>
      <c r="FU128" s="41" t="str">
        <f t="shared" si="1085"/>
        <v/>
      </c>
      <c r="FV128" s="41" t="str">
        <f t="shared" si="1086"/>
        <v/>
      </c>
      <c r="FW128" s="41" t="str">
        <f t="shared" si="1087"/>
        <v/>
      </c>
      <c r="FX128" s="41" t="str">
        <f t="shared" si="1088"/>
        <v/>
      </c>
      <c r="FY128" s="41" t="str">
        <f t="shared" si="1089"/>
        <v/>
      </c>
      <c r="FZ128" s="41" t="str">
        <f t="shared" si="1090"/>
        <v/>
      </c>
      <c r="GA128" s="41" t="str">
        <f t="shared" si="1091"/>
        <v/>
      </c>
      <c r="GB128" s="41" t="str">
        <f t="shared" si="1092"/>
        <v/>
      </c>
      <c r="GC128" s="41" t="str">
        <f t="shared" si="1093"/>
        <v/>
      </c>
      <c r="GD128" s="41" t="str">
        <f t="shared" si="1094"/>
        <v/>
      </c>
      <c r="GE128" s="41" t="str">
        <f t="shared" si="1095"/>
        <v/>
      </c>
      <c r="GF128" s="41" t="str">
        <f t="shared" si="1096"/>
        <v/>
      </c>
      <c r="GG128" s="41" t="str">
        <f t="shared" si="1097"/>
        <v/>
      </c>
      <c r="GH128" s="41" t="str">
        <f t="shared" si="1098"/>
        <v/>
      </c>
      <c r="GI128" s="41" t="str">
        <f t="shared" si="1099"/>
        <v/>
      </c>
      <c r="GJ128" s="41" t="str">
        <f t="shared" si="1100"/>
        <v/>
      </c>
      <c r="GK128" s="41" t="str">
        <f t="shared" si="1101"/>
        <v/>
      </c>
      <c r="GL128" s="41" t="str">
        <f t="shared" si="1102"/>
        <v/>
      </c>
      <c r="GM128" s="41" t="str">
        <f t="shared" si="1103"/>
        <v/>
      </c>
      <c r="GN128" s="41" t="str">
        <f t="shared" si="1104"/>
        <v/>
      </c>
      <c r="GO128" s="41" t="str">
        <f t="shared" si="1105"/>
        <v/>
      </c>
      <c r="GP128" s="41" t="str">
        <f t="shared" si="1106"/>
        <v/>
      </c>
      <c r="GQ128" s="41" t="str">
        <f t="shared" si="1107"/>
        <v/>
      </c>
      <c r="GR128" s="41" t="str">
        <f t="shared" si="1108"/>
        <v/>
      </c>
      <c r="GS128" s="41" t="str">
        <f t="shared" si="1109"/>
        <v/>
      </c>
      <c r="GT128" s="41" t="str">
        <f t="shared" si="1110"/>
        <v/>
      </c>
      <c r="GU128" s="41" t="str">
        <f t="shared" si="1111"/>
        <v/>
      </c>
      <c r="GV128" s="41" t="str">
        <f t="shared" si="1112"/>
        <v/>
      </c>
      <c r="GW128" s="41" t="str">
        <f t="shared" si="1113"/>
        <v/>
      </c>
      <c r="GX128" s="41" t="str">
        <f t="shared" si="1114"/>
        <v/>
      </c>
      <c r="GY128" s="41" t="str">
        <f t="shared" si="1115"/>
        <v/>
      </c>
      <c r="GZ128" s="41" t="str">
        <f t="shared" si="1116"/>
        <v/>
      </c>
      <c r="HA128" s="41" t="str">
        <f t="shared" si="1117"/>
        <v/>
      </c>
      <c r="HB128" s="41" t="str">
        <f t="shared" si="1118"/>
        <v/>
      </c>
      <c r="HC128" s="41" t="str">
        <f t="shared" si="1119"/>
        <v/>
      </c>
      <c r="HD128" s="41" t="str">
        <f t="shared" si="1120"/>
        <v/>
      </c>
      <c r="HE128" s="41" t="str">
        <f t="shared" si="1121"/>
        <v/>
      </c>
      <c r="HF128" s="41" t="str">
        <f t="shared" si="1122"/>
        <v/>
      </c>
      <c r="HG128" s="41" t="str">
        <f t="shared" si="1123"/>
        <v/>
      </c>
      <c r="HH128" s="41" t="str">
        <f t="shared" si="1124"/>
        <v/>
      </c>
      <c r="HI128" s="41" t="str">
        <f t="shared" si="1125"/>
        <v/>
      </c>
      <c r="HJ128" s="41" t="str">
        <f t="shared" si="1126"/>
        <v/>
      </c>
      <c r="HK128" s="41" t="str">
        <f t="shared" si="1127"/>
        <v/>
      </c>
      <c r="HL128" s="41" t="str">
        <f t="shared" si="1128"/>
        <v/>
      </c>
      <c r="HM128" s="41" t="str">
        <f t="shared" si="1129"/>
        <v/>
      </c>
      <c r="HN128" s="41" t="str">
        <f t="shared" si="1130"/>
        <v/>
      </c>
      <c r="HO128" s="41" t="str">
        <f t="shared" si="1131"/>
        <v/>
      </c>
      <c r="HP128" s="41" t="str">
        <f t="shared" si="1132"/>
        <v/>
      </c>
      <c r="HQ128" s="41" t="str">
        <f t="shared" si="1133"/>
        <v/>
      </c>
      <c r="HR128" s="41" t="str">
        <f t="shared" si="1134"/>
        <v/>
      </c>
      <c r="HS128" s="41" t="str">
        <f t="shared" si="1135"/>
        <v/>
      </c>
      <c r="HT128" s="41" t="str">
        <f t="shared" si="1136"/>
        <v/>
      </c>
      <c r="HU128" s="41" t="str">
        <f t="shared" si="1137"/>
        <v/>
      </c>
      <c r="HV128" s="41" t="str">
        <f t="shared" si="1138"/>
        <v/>
      </c>
      <c r="HW128" s="41" t="str">
        <f t="shared" si="1139"/>
        <v/>
      </c>
      <c r="HX128" s="41" t="str">
        <f t="shared" si="1140"/>
        <v/>
      </c>
      <c r="HY128" s="41" t="str">
        <f t="shared" si="1141"/>
        <v/>
      </c>
      <c r="HZ128" s="41" t="str">
        <f t="shared" si="1142"/>
        <v/>
      </c>
      <c r="IA128" s="41" t="str">
        <f t="shared" si="1143"/>
        <v/>
      </c>
      <c r="IB128" s="41" t="str">
        <f t="shared" si="1144"/>
        <v/>
      </c>
      <c r="IC128" s="41" t="str">
        <f t="shared" si="1145"/>
        <v/>
      </c>
      <c r="ID128" s="41" t="str">
        <f t="shared" si="1146"/>
        <v/>
      </c>
      <c r="IE128" s="41" t="str">
        <f t="shared" si="1147"/>
        <v/>
      </c>
      <c r="IF128" s="41" t="str">
        <f t="shared" si="1148"/>
        <v/>
      </c>
      <c r="IG128" s="306">
        <f t="shared" si="1149"/>
        <v>0</v>
      </c>
      <c r="IH128" s="44" t="str">
        <f t="shared" si="1150"/>
        <v/>
      </c>
      <c r="II128" s="44" t="str">
        <f t="shared" si="1151"/>
        <v/>
      </c>
      <c r="IJ128" s="44" t="str">
        <f t="shared" si="1152"/>
        <v/>
      </c>
      <c r="IK128" s="44" t="str">
        <f t="shared" si="1153"/>
        <v/>
      </c>
      <c r="IL128" s="44" t="str">
        <f t="shared" si="1154"/>
        <v/>
      </c>
      <c r="IM128" s="306" t="str">
        <f t="shared" si="1155"/>
        <v/>
      </c>
      <c r="IN128" s="44" t="str">
        <f t="shared" si="1156"/>
        <v/>
      </c>
      <c r="IO128" s="44" t="str">
        <f t="shared" si="1157"/>
        <v/>
      </c>
      <c r="IP128" s="44" t="str">
        <f t="shared" si="1158"/>
        <v/>
      </c>
      <c r="IQ128" s="44" t="str">
        <f t="shared" si="1159"/>
        <v/>
      </c>
      <c r="IR128" s="44" t="str">
        <f t="shared" si="1160"/>
        <v/>
      </c>
      <c r="IS128" s="306" t="str">
        <f t="shared" si="1161"/>
        <v/>
      </c>
      <c r="IT128" s="44" t="str">
        <f t="shared" si="1162"/>
        <v/>
      </c>
      <c r="IU128" s="44" t="str">
        <f t="shared" si="1163"/>
        <v/>
      </c>
      <c r="IV128" s="44" t="str">
        <f t="shared" si="1164"/>
        <v/>
      </c>
      <c r="IW128" s="44" t="str">
        <f t="shared" si="1165"/>
        <v/>
      </c>
      <c r="IX128" s="44" t="str">
        <f t="shared" si="1166"/>
        <v/>
      </c>
      <c r="IY128" s="306" t="str">
        <f t="shared" si="1167"/>
        <v/>
      </c>
      <c r="IZ128" s="44" t="str">
        <f t="shared" si="1168"/>
        <v/>
      </c>
      <c r="JA128" s="44" t="str">
        <f t="shared" si="1169"/>
        <v/>
      </c>
      <c r="JB128" s="44" t="str">
        <f t="shared" si="1170"/>
        <v/>
      </c>
      <c r="JC128" s="44" t="str">
        <f t="shared" si="1171"/>
        <v/>
      </c>
      <c r="JD128" s="307" t="str">
        <f t="shared" si="1172"/>
        <v/>
      </c>
      <c r="JF128" s="66">
        <f t="shared" si="779"/>
        <v>128</v>
      </c>
      <c r="JG128" s="66">
        <f t="shared" ca="1" si="789"/>
        <v>0</v>
      </c>
      <c r="JH128" s="66">
        <f t="shared" ca="1" si="790"/>
        <v>0</v>
      </c>
      <c r="JI128" s="66">
        <f t="shared" ca="1" si="791"/>
        <v>0</v>
      </c>
      <c r="JJ128" s="66">
        <f t="shared" ca="1" si="792"/>
        <v>0</v>
      </c>
      <c r="JK128" s="33"/>
      <c r="JL128" s="74" t="str">
        <f t="shared" ca="1" si="793"/>
        <v>-</v>
      </c>
      <c r="JM128" s="75">
        <f t="shared" ca="1" si="794"/>
        <v>0</v>
      </c>
      <c r="JN128" s="75">
        <f t="shared" ca="1" si="795"/>
        <v>0</v>
      </c>
      <c r="JO128" s="74" t="str">
        <f t="shared" ca="1" si="796"/>
        <v>-</v>
      </c>
      <c r="JP128" s="74">
        <f t="shared" ca="1" si="797"/>
        <v>0</v>
      </c>
    </row>
    <row r="129" spans="1:276" hidden="1" x14ac:dyDescent="0.35">
      <c r="A129" s="125" t="s">
        <v>805</v>
      </c>
      <c r="B129" s="125" t="s">
        <v>805</v>
      </c>
      <c r="C129" s="125" t="s">
        <v>805</v>
      </c>
      <c r="E129" s="142" t="s">
        <v>855</v>
      </c>
      <c r="F129" s="254" t="s">
        <v>742</v>
      </c>
      <c r="G129" t="s">
        <v>542</v>
      </c>
      <c r="H129" t="s">
        <v>531</v>
      </c>
      <c r="I129" t="s">
        <v>534</v>
      </c>
      <c r="J129" s="211" t="s">
        <v>805</v>
      </c>
      <c r="K129" t="s">
        <v>805</v>
      </c>
      <c r="L129" t="s">
        <v>805</v>
      </c>
      <c r="M129" t="s">
        <v>805</v>
      </c>
      <c r="N129" t="s">
        <v>805</v>
      </c>
      <c r="O129" t="s">
        <v>805</v>
      </c>
      <c r="P129" t="s">
        <v>805</v>
      </c>
      <c r="Q129" t="s">
        <v>805</v>
      </c>
      <c r="R129" t="s">
        <v>805</v>
      </c>
      <c r="S129" t="s">
        <v>805</v>
      </c>
      <c r="T129" t="s">
        <v>805</v>
      </c>
      <c r="U129" t="s">
        <v>805</v>
      </c>
      <c r="V129" t="s">
        <v>805</v>
      </c>
      <c r="W129" t="s">
        <v>805</v>
      </c>
      <c r="X129" t="s">
        <v>805</v>
      </c>
      <c r="Y129" t="s">
        <v>805</v>
      </c>
      <c r="Z129" t="s">
        <v>805</v>
      </c>
      <c r="AA129" t="s">
        <v>805</v>
      </c>
      <c r="AB129" t="s">
        <v>805</v>
      </c>
      <c r="AC129" t="s">
        <v>805</v>
      </c>
      <c r="AD129" t="s">
        <v>805</v>
      </c>
      <c r="AE129" t="s">
        <v>805</v>
      </c>
      <c r="AF129" t="s">
        <v>805</v>
      </c>
      <c r="AG129" t="s">
        <v>805</v>
      </c>
      <c r="AH129" t="s">
        <v>805</v>
      </c>
      <c r="AI129" t="s">
        <v>805</v>
      </c>
      <c r="AJ129" t="s">
        <v>805</v>
      </c>
      <c r="AK129" t="s">
        <v>805</v>
      </c>
      <c r="AL129" t="s">
        <v>805</v>
      </c>
      <c r="AM129" t="s">
        <v>805</v>
      </c>
      <c r="AN129" t="s">
        <v>805</v>
      </c>
      <c r="AO129" t="s">
        <v>805</v>
      </c>
      <c r="AP129" t="s">
        <v>805</v>
      </c>
      <c r="AQ129" t="s">
        <v>805</v>
      </c>
      <c r="AR129" t="s">
        <v>805</v>
      </c>
      <c r="AS129" t="s">
        <v>805</v>
      </c>
      <c r="AT129" t="s">
        <v>805</v>
      </c>
      <c r="AU129" t="s">
        <v>805</v>
      </c>
      <c r="AV129" t="s">
        <v>805</v>
      </c>
      <c r="AW129" t="s">
        <v>805</v>
      </c>
      <c r="AX129" t="s">
        <v>805</v>
      </c>
      <c r="AY129" t="s">
        <v>805</v>
      </c>
      <c r="AZ129" t="s">
        <v>805</v>
      </c>
      <c r="BA129" t="s">
        <v>805</v>
      </c>
      <c r="BB129" t="s">
        <v>805</v>
      </c>
      <c r="BC129" t="s">
        <v>805</v>
      </c>
      <c r="BD129" t="s">
        <v>805</v>
      </c>
      <c r="BE129" t="s">
        <v>805</v>
      </c>
      <c r="BF129" t="s">
        <v>805</v>
      </c>
      <c r="BG129" t="s">
        <v>805</v>
      </c>
      <c r="BH129" t="s">
        <v>805</v>
      </c>
      <c r="BI129" t="s">
        <v>805</v>
      </c>
      <c r="BJ129" t="s">
        <v>805</v>
      </c>
      <c r="BK129" t="s">
        <v>805</v>
      </c>
      <c r="BL129" t="s">
        <v>805</v>
      </c>
      <c r="BM129" t="s">
        <v>805</v>
      </c>
      <c r="BN129" t="s">
        <v>805</v>
      </c>
      <c r="BO129" t="s">
        <v>805</v>
      </c>
      <c r="BP129" t="s">
        <v>805</v>
      </c>
      <c r="BQ129" t="s">
        <v>805</v>
      </c>
      <c r="BR129" t="s">
        <v>805</v>
      </c>
      <c r="BS129" t="s">
        <v>805</v>
      </c>
      <c r="BT129" t="s">
        <v>805</v>
      </c>
      <c r="BU129" t="s">
        <v>805</v>
      </c>
      <c r="BV129" t="s">
        <v>805</v>
      </c>
      <c r="BW129" t="s">
        <v>805</v>
      </c>
      <c r="BX129" t="s">
        <v>805</v>
      </c>
      <c r="BY129" t="s">
        <v>805</v>
      </c>
      <c r="BZ129" t="s">
        <v>805</v>
      </c>
      <c r="CA129" t="s">
        <v>805</v>
      </c>
      <c r="CB129" t="s">
        <v>805</v>
      </c>
      <c r="CC129" t="s">
        <v>805</v>
      </c>
      <c r="CD129" t="s">
        <v>805</v>
      </c>
      <c r="CE129" t="s">
        <v>805</v>
      </c>
      <c r="CF129" t="s">
        <v>805</v>
      </c>
      <c r="CG129" t="s">
        <v>805</v>
      </c>
      <c r="CH129" t="s">
        <v>805</v>
      </c>
      <c r="CI129" t="s">
        <v>805</v>
      </c>
      <c r="CJ129" t="s">
        <v>805</v>
      </c>
      <c r="CK129" t="s">
        <v>805</v>
      </c>
      <c r="CL129" t="s">
        <v>805</v>
      </c>
      <c r="CM129" t="s">
        <v>805</v>
      </c>
      <c r="CN129" t="s">
        <v>805</v>
      </c>
      <c r="CO129" t="s">
        <v>805</v>
      </c>
      <c r="CP129" t="s">
        <v>805</v>
      </c>
      <c r="CQ129" t="s">
        <v>805</v>
      </c>
      <c r="CR129" t="s">
        <v>805</v>
      </c>
      <c r="CS129" t="s">
        <v>805</v>
      </c>
      <c r="CT129" t="s">
        <v>805</v>
      </c>
      <c r="CU129" t="s">
        <v>805</v>
      </c>
      <c r="CV129" t="s">
        <v>805</v>
      </c>
      <c r="CW129" t="s">
        <v>805</v>
      </c>
      <c r="CX129" t="s">
        <v>805</v>
      </c>
      <c r="CY129" t="s">
        <v>805</v>
      </c>
      <c r="CZ129" t="s">
        <v>805</v>
      </c>
      <c r="DA129" t="s">
        <v>805</v>
      </c>
      <c r="DB129" t="s">
        <v>805</v>
      </c>
      <c r="DC129" t="s">
        <v>805</v>
      </c>
      <c r="DD129" t="s">
        <v>805</v>
      </c>
      <c r="DE129" t="s">
        <v>805</v>
      </c>
      <c r="DF129" t="s">
        <v>805</v>
      </c>
      <c r="DG129" s="28">
        <f>VLOOKUP(E129,'KPI Count-SHARE'!A:F,3,0)</f>
        <v>0</v>
      </c>
      <c r="DH129" t="s">
        <v>805</v>
      </c>
      <c r="DI129" t="s">
        <v>805</v>
      </c>
      <c r="DJ129" t="s">
        <v>805</v>
      </c>
      <c r="DK129" t="s">
        <v>805</v>
      </c>
      <c r="DL129" t="s">
        <v>805</v>
      </c>
      <c r="DM129" t="s">
        <v>805</v>
      </c>
      <c r="DN129" s="28">
        <f>VLOOKUP(E129,'KPI Count-SHARE'!A:F,4,0)</f>
        <v>0</v>
      </c>
      <c r="DU129" s="28">
        <f>VLOOKUP(E129,'KPI Count-SHARE'!A:F,5,0)</f>
        <v>0</v>
      </c>
      <c r="EB129" s="28">
        <f>VLOOKUP(E129,'KPI Count-SHARE'!A:F,6,0)</f>
        <v>0</v>
      </c>
      <c r="EI129" t="s">
        <v>531</v>
      </c>
      <c r="EJ129" s="41" t="str">
        <f t="shared" si="1048"/>
        <v/>
      </c>
      <c r="EK129" s="41" t="str">
        <f t="shared" si="1049"/>
        <v/>
      </c>
      <c r="EL129" s="41" t="str">
        <f t="shared" si="1050"/>
        <v/>
      </c>
      <c r="EM129" s="41" t="str">
        <f t="shared" si="1051"/>
        <v/>
      </c>
      <c r="EN129" s="41" t="str">
        <f t="shared" si="1052"/>
        <v/>
      </c>
      <c r="EO129" s="41" t="str">
        <f t="shared" si="1053"/>
        <v/>
      </c>
      <c r="EP129" s="41" t="str">
        <f t="shared" si="1054"/>
        <v/>
      </c>
      <c r="EQ129" s="41" t="str">
        <f t="shared" si="1055"/>
        <v/>
      </c>
      <c r="ER129" s="41" t="str">
        <f t="shared" si="1056"/>
        <v/>
      </c>
      <c r="ES129" s="41" t="str">
        <f t="shared" si="1057"/>
        <v/>
      </c>
      <c r="ET129" s="41" t="str">
        <f t="shared" si="1058"/>
        <v/>
      </c>
      <c r="EU129" s="41" t="str">
        <f t="shared" si="1059"/>
        <v/>
      </c>
      <c r="EV129" s="41" t="str">
        <f t="shared" si="1060"/>
        <v/>
      </c>
      <c r="EW129" s="41" t="str">
        <f t="shared" si="1061"/>
        <v/>
      </c>
      <c r="EX129" s="41" t="str">
        <f t="shared" si="1062"/>
        <v/>
      </c>
      <c r="EY129" s="41" t="str">
        <f t="shared" si="1063"/>
        <v/>
      </c>
      <c r="EZ129" s="41" t="str">
        <f t="shared" si="1064"/>
        <v/>
      </c>
      <c r="FA129" s="41" t="str">
        <f t="shared" si="1065"/>
        <v/>
      </c>
      <c r="FB129" s="41" t="str">
        <f t="shared" si="1066"/>
        <v/>
      </c>
      <c r="FC129" s="41" t="str">
        <f t="shared" si="1067"/>
        <v/>
      </c>
      <c r="FD129" s="41" t="str">
        <f t="shared" si="1068"/>
        <v/>
      </c>
      <c r="FE129" s="41" t="str">
        <f t="shared" si="1069"/>
        <v/>
      </c>
      <c r="FF129" s="41" t="str">
        <f t="shared" si="1070"/>
        <v/>
      </c>
      <c r="FG129" s="41" t="str">
        <f t="shared" si="1071"/>
        <v/>
      </c>
      <c r="FH129" s="41" t="str">
        <f t="shared" si="1072"/>
        <v/>
      </c>
      <c r="FI129" s="41" t="str">
        <f t="shared" si="1073"/>
        <v/>
      </c>
      <c r="FJ129" s="41" t="str">
        <f t="shared" si="1074"/>
        <v/>
      </c>
      <c r="FK129" s="41" t="str">
        <f t="shared" si="1075"/>
        <v/>
      </c>
      <c r="FL129" s="41" t="str">
        <f t="shared" si="1076"/>
        <v/>
      </c>
      <c r="FM129" s="41" t="str">
        <f t="shared" si="1077"/>
        <v/>
      </c>
      <c r="FN129" s="41" t="str">
        <f t="shared" si="1078"/>
        <v/>
      </c>
      <c r="FO129" s="41" t="str">
        <f t="shared" si="1079"/>
        <v/>
      </c>
      <c r="FP129" s="41" t="str">
        <f t="shared" si="1080"/>
        <v/>
      </c>
      <c r="FQ129" s="41" t="str">
        <f t="shared" si="1081"/>
        <v/>
      </c>
      <c r="FR129" s="41" t="str">
        <f t="shared" si="1082"/>
        <v/>
      </c>
      <c r="FS129" s="41" t="str">
        <f t="shared" si="1083"/>
        <v/>
      </c>
      <c r="FT129" s="41" t="str">
        <f t="shared" si="1084"/>
        <v/>
      </c>
      <c r="FU129" s="41" t="str">
        <f t="shared" si="1085"/>
        <v/>
      </c>
      <c r="FV129" s="41" t="str">
        <f t="shared" si="1086"/>
        <v/>
      </c>
      <c r="FW129" s="41" t="str">
        <f t="shared" si="1087"/>
        <v/>
      </c>
      <c r="FX129" s="41" t="str">
        <f t="shared" si="1088"/>
        <v/>
      </c>
      <c r="FY129" s="41" t="str">
        <f t="shared" si="1089"/>
        <v/>
      </c>
      <c r="FZ129" s="41" t="str">
        <f t="shared" si="1090"/>
        <v/>
      </c>
      <c r="GA129" s="41" t="str">
        <f t="shared" si="1091"/>
        <v/>
      </c>
      <c r="GB129" s="41" t="str">
        <f t="shared" si="1092"/>
        <v/>
      </c>
      <c r="GC129" s="41" t="str">
        <f t="shared" si="1093"/>
        <v/>
      </c>
      <c r="GD129" s="41" t="str">
        <f t="shared" si="1094"/>
        <v/>
      </c>
      <c r="GE129" s="41" t="str">
        <f t="shared" si="1095"/>
        <v/>
      </c>
      <c r="GF129" s="41" t="str">
        <f t="shared" si="1096"/>
        <v/>
      </c>
      <c r="GG129" s="41" t="str">
        <f t="shared" si="1097"/>
        <v/>
      </c>
      <c r="GH129" s="41" t="str">
        <f t="shared" si="1098"/>
        <v/>
      </c>
      <c r="GI129" s="41" t="str">
        <f t="shared" si="1099"/>
        <v/>
      </c>
      <c r="GJ129" s="41" t="str">
        <f t="shared" si="1100"/>
        <v/>
      </c>
      <c r="GK129" s="41" t="str">
        <f t="shared" si="1101"/>
        <v/>
      </c>
      <c r="GL129" s="41" t="str">
        <f t="shared" si="1102"/>
        <v/>
      </c>
      <c r="GM129" s="41" t="str">
        <f t="shared" si="1103"/>
        <v/>
      </c>
      <c r="GN129" s="41" t="str">
        <f t="shared" si="1104"/>
        <v/>
      </c>
      <c r="GO129" s="41" t="str">
        <f t="shared" si="1105"/>
        <v/>
      </c>
      <c r="GP129" s="41" t="str">
        <f t="shared" si="1106"/>
        <v/>
      </c>
      <c r="GQ129" s="41" t="str">
        <f t="shared" si="1107"/>
        <v/>
      </c>
      <c r="GR129" s="41" t="str">
        <f t="shared" si="1108"/>
        <v/>
      </c>
      <c r="GS129" s="41" t="str">
        <f t="shared" si="1109"/>
        <v/>
      </c>
      <c r="GT129" s="41" t="str">
        <f t="shared" si="1110"/>
        <v/>
      </c>
      <c r="GU129" s="41" t="str">
        <f t="shared" si="1111"/>
        <v/>
      </c>
      <c r="GV129" s="41" t="str">
        <f t="shared" si="1112"/>
        <v/>
      </c>
      <c r="GW129" s="41" t="str">
        <f t="shared" si="1113"/>
        <v/>
      </c>
      <c r="GX129" s="41" t="str">
        <f t="shared" si="1114"/>
        <v/>
      </c>
      <c r="GY129" s="41" t="str">
        <f t="shared" si="1115"/>
        <v/>
      </c>
      <c r="GZ129" s="41" t="str">
        <f t="shared" si="1116"/>
        <v/>
      </c>
      <c r="HA129" s="41" t="str">
        <f t="shared" si="1117"/>
        <v/>
      </c>
      <c r="HB129" s="41" t="str">
        <f t="shared" si="1118"/>
        <v/>
      </c>
      <c r="HC129" s="41" t="str">
        <f t="shared" si="1119"/>
        <v/>
      </c>
      <c r="HD129" s="41" t="str">
        <f t="shared" si="1120"/>
        <v/>
      </c>
      <c r="HE129" s="41" t="str">
        <f t="shared" si="1121"/>
        <v/>
      </c>
      <c r="HF129" s="41" t="str">
        <f t="shared" si="1122"/>
        <v/>
      </c>
      <c r="HG129" s="41" t="str">
        <f t="shared" si="1123"/>
        <v/>
      </c>
      <c r="HH129" s="41" t="str">
        <f t="shared" si="1124"/>
        <v/>
      </c>
      <c r="HI129" s="41" t="str">
        <f t="shared" si="1125"/>
        <v/>
      </c>
      <c r="HJ129" s="41" t="str">
        <f t="shared" si="1126"/>
        <v/>
      </c>
      <c r="HK129" s="41" t="str">
        <f t="shared" si="1127"/>
        <v/>
      </c>
      <c r="HL129" s="41" t="str">
        <f t="shared" si="1128"/>
        <v/>
      </c>
      <c r="HM129" s="41" t="str">
        <f t="shared" si="1129"/>
        <v/>
      </c>
      <c r="HN129" s="41" t="str">
        <f t="shared" si="1130"/>
        <v/>
      </c>
      <c r="HO129" s="41" t="str">
        <f t="shared" si="1131"/>
        <v/>
      </c>
      <c r="HP129" s="41" t="str">
        <f t="shared" si="1132"/>
        <v/>
      </c>
      <c r="HQ129" s="41" t="str">
        <f t="shared" si="1133"/>
        <v/>
      </c>
      <c r="HR129" s="41" t="str">
        <f t="shared" si="1134"/>
        <v/>
      </c>
      <c r="HS129" s="41" t="str">
        <f t="shared" si="1135"/>
        <v/>
      </c>
      <c r="HT129" s="41" t="str">
        <f t="shared" si="1136"/>
        <v/>
      </c>
      <c r="HU129" s="41" t="str">
        <f t="shared" si="1137"/>
        <v/>
      </c>
      <c r="HV129" s="41" t="str">
        <f t="shared" si="1138"/>
        <v/>
      </c>
      <c r="HW129" s="41" t="str">
        <f t="shared" si="1139"/>
        <v/>
      </c>
      <c r="HX129" s="41" t="str">
        <f t="shared" si="1140"/>
        <v/>
      </c>
      <c r="HY129" s="41" t="str">
        <f t="shared" si="1141"/>
        <v/>
      </c>
      <c r="HZ129" s="41" t="str">
        <f t="shared" si="1142"/>
        <v/>
      </c>
      <c r="IA129" s="41" t="str">
        <f t="shared" si="1143"/>
        <v/>
      </c>
      <c r="IB129" s="41" t="str">
        <f t="shared" si="1144"/>
        <v/>
      </c>
      <c r="IC129" s="41" t="str">
        <f t="shared" si="1145"/>
        <v/>
      </c>
      <c r="ID129" s="41" t="str">
        <f t="shared" si="1146"/>
        <v/>
      </c>
      <c r="IE129" s="41" t="str">
        <f t="shared" si="1147"/>
        <v/>
      </c>
      <c r="IF129" s="41" t="str">
        <f t="shared" si="1148"/>
        <v/>
      </c>
      <c r="IG129" s="306" t="str">
        <f t="shared" si="1149"/>
        <v/>
      </c>
      <c r="IH129" s="44" t="str">
        <f t="shared" si="1150"/>
        <v/>
      </c>
      <c r="II129" s="44" t="str">
        <f t="shared" si="1151"/>
        <v/>
      </c>
      <c r="IJ129" s="44" t="str">
        <f t="shared" si="1152"/>
        <v/>
      </c>
      <c r="IK129" s="44" t="str">
        <f t="shared" si="1153"/>
        <v/>
      </c>
      <c r="IL129" s="44" t="str">
        <f t="shared" si="1154"/>
        <v/>
      </c>
      <c r="IM129" s="306" t="str">
        <f t="shared" si="1155"/>
        <v/>
      </c>
      <c r="IN129" s="44" t="str">
        <f t="shared" si="1156"/>
        <v/>
      </c>
      <c r="IO129" s="44" t="str">
        <f t="shared" si="1157"/>
        <v/>
      </c>
      <c r="IP129" s="44" t="str">
        <f t="shared" si="1158"/>
        <v/>
      </c>
      <c r="IQ129" s="44" t="str">
        <f t="shared" si="1159"/>
        <v/>
      </c>
      <c r="IR129" s="44" t="str">
        <f t="shared" si="1160"/>
        <v/>
      </c>
      <c r="IS129" s="306" t="str">
        <f t="shared" si="1161"/>
        <v/>
      </c>
      <c r="IT129" s="44" t="str">
        <f t="shared" si="1162"/>
        <v/>
      </c>
      <c r="IU129" s="44" t="str">
        <f t="shared" si="1163"/>
        <v/>
      </c>
      <c r="IV129" s="44" t="str">
        <f t="shared" si="1164"/>
        <v/>
      </c>
      <c r="IW129" s="44" t="str">
        <f t="shared" si="1165"/>
        <v/>
      </c>
      <c r="IX129" s="44" t="str">
        <f t="shared" si="1166"/>
        <v/>
      </c>
      <c r="IY129" s="306" t="str">
        <f t="shared" si="1167"/>
        <v/>
      </c>
      <c r="IZ129" s="44" t="str">
        <f t="shared" si="1168"/>
        <v/>
      </c>
      <c r="JA129" s="44" t="str">
        <f t="shared" si="1169"/>
        <v/>
      </c>
      <c r="JB129" s="44" t="str">
        <f t="shared" si="1170"/>
        <v/>
      </c>
      <c r="JC129" s="44" t="str">
        <f t="shared" si="1171"/>
        <v/>
      </c>
      <c r="JD129" s="307" t="str">
        <f t="shared" si="1172"/>
        <v/>
      </c>
      <c r="JF129" s="66">
        <f t="shared" si="779"/>
        <v>129</v>
      </c>
      <c r="JG129" s="66">
        <f t="shared" ca="1" si="789"/>
        <v>0</v>
      </c>
      <c r="JH129" s="66">
        <f t="shared" ca="1" si="790"/>
        <v>0</v>
      </c>
      <c r="JI129" s="66">
        <f t="shared" ca="1" si="791"/>
        <v>0</v>
      </c>
      <c r="JJ129" s="66">
        <f t="shared" ca="1" si="792"/>
        <v>0</v>
      </c>
      <c r="JK129" s="33"/>
      <c r="JL129" s="74" t="str">
        <f t="shared" ca="1" si="793"/>
        <v>-</v>
      </c>
      <c r="JM129" s="75">
        <f t="shared" ca="1" si="794"/>
        <v>0</v>
      </c>
      <c r="JN129" s="75">
        <f t="shared" ca="1" si="795"/>
        <v>0</v>
      </c>
      <c r="JO129" s="74" t="str">
        <f t="shared" ca="1" si="796"/>
        <v>-</v>
      </c>
      <c r="JP129" s="74">
        <f t="shared" ca="1" si="797"/>
        <v>0</v>
      </c>
    </row>
    <row r="130" spans="1:276" hidden="1" x14ac:dyDescent="0.35">
      <c r="A130" s="125" t="s">
        <v>805</v>
      </c>
      <c r="B130" s="125" t="s">
        <v>805</v>
      </c>
      <c r="C130" s="125" t="s">
        <v>805</v>
      </c>
      <c r="E130" s="142" t="s">
        <v>856</v>
      </c>
      <c r="F130" s="254" t="s">
        <v>743</v>
      </c>
      <c r="G130" t="s">
        <v>542</v>
      </c>
      <c r="H130" t="s">
        <v>531</v>
      </c>
      <c r="I130" t="s">
        <v>534</v>
      </c>
      <c r="J130" s="211" t="s">
        <v>805</v>
      </c>
      <c r="K130" t="s">
        <v>805</v>
      </c>
      <c r="L130" t="s">
        <v>805</v>
      </c>
      <c r="M130" t="s">
        <v>805</v>
      </c>
      <c r="N130" t="s">
        <v>805</v>
      </c>
      <c r="O130" t="s">
        <v>805</v>
      </c>
      <c r="P130" t="s">
        <v>805</v>
      </c>
      <c r="Q130" t="s">
        <v>805</v>
      </c>
      <c r="R130" t="s">
        <v>805</v>
      </c>
      <c r="S130" t="s">
        <v>805</v>
      </c>
      <c r="T130" t="s">
        <v>805</v>
      </c>
      <c r="U130" t="s">
        <v>805</v>
      </c>
      <c r="V130" t="s">
        <v>805</v>
      </c>
      <c r="W130" t="s">
        <v>805</v>
      </c>
      <c r="X130" t="s">
        <v>805</v>
      </c>
      <c r="Y130" t="s">
        <v>805</v>
      </c>
      <c r="Z130" t="s">
        <v>805</v>
      </c>
      <c r="AA130" t="s">
        <v>805</v>
      </c>
      <c r="AB130" t="s">
        <v>805</v>
      </c>
      <c r="AC130" t="s">
        <v>805</v>
      </c>
      <c r="AD130" t="s">
        <v>805</v>
      </c>
      <c r="AE130" t="s">
        <v>805</v>
      </c>
      <c r="AF130" t="s">
        <v>805</v>
      </c>
      <c r="AG130" t="s">
        <v>805</v>
      </c>
      <c r="AH130" t="s">
        <v>805</v>
      </c>
      <c r="AI130" t="s">
        <v>805</v>
      </c>
      <c r="AJ130" t="s">
        <v>805</v>
      </c>
      <c r="AK130" t="s">
        <v>805</v>
      </c>
      <c r="AL130" t="s">
        <v>805</v>
      </c>
      <c r="AM130" t="s">
        <v>805</v>
      </c>
      <c r="AN130" t="s">
        <v>805</v>
      </c>
      <c r="AO130" t="s">
        <v>805</v>
      </c>
      <c r="AP130" t="s">
        <v>805</v>
      </c>
      <c r="AQ130" t="s">
        <v>805</v>
      </c>
      <c r="AR130" t="s">
        <v>805</v>
      </c>
      <c r="AS130" t="s">
        <v>805</v>
      </c>
      <c r="AT130" t="s">
        <v>805</v>
      </c>
      <c r="AU130" t="s">
        <v>805</v>
      </c>
      <c r="AV130" t="s">
        <v>805</v>
      </c>
      <c r="AW130" t="s">
        <v>805</v>
      </c>
      <c r="AX130" t="s">
        <v>805</v>
      </c>
      <c r="AY130" t="s">
        <v>805</v>
      </c>
      <c r="AZ130" t="s">
        <v>805</v>
      </c>
      <c r="BA130" t="s">
        <v>805</v>
      </c>
      <c r="BB130" t="s">
        <v>805</v>
      </c>
      <c r="BC130" t="s">
        <v>805</v>
      </c>
      <c r="BD130" t="s">
        <v>805</v>
      </c>
      <c r="BE130" t="s">
        <v>805</v>
      </c>
      <c r="BF130" t="s">
        <v>805</v>
      </c>
      <c r="BG130" t="s">
        <v>805</v>
      </c>
      <c r="BH130" t="s">
        <v>805</v>
      </c>
      <c r="BI130" t="s">
        <v>805</v>
      </c>
      <c r="BJ130" t="s">
        <v>805</v>
      </c>
      <c r="BK130" t="s">
        <v>805</v>
      </c>
      <c r="BL130" t="s">
        <v>805</v>
      </c>
      <c r="BM130" t="s">
        <v>805</v>
      </c>
      <c r="BN130" t="s">
        <v>805</v>
      </c>
      <c r="BO130" t="s">
        <v>805</v>
      </c>
      <c r="BP130" t="s">
        <v>805</v>
      </c>
      <c r="BQ130" t="s">
        <v>805</v>
      </c>
      <c r="BR130" t="s">
        <v>805</v>
      </c>
      <c r="BS130" t="s">
        <v>805</v>
      </c>
      <c r="BT130" t="s">
        <v>805</v>
      </c>
      <c r="BU130" t="s">
        <v>805</v>
      </c>
      <c r="BV130" t="s">
        <v>805</v>
      </c>
      <c r="BW130" t="s">
        <v>805</v>
      </c>
      <c r="BX130" t="s">
        <v>805</v>
      </c>
      <c r="BY130" t="s">
        <v>805</v>
      </c>
      <c r="BZ130" t="s">
        <v>805</v>
      </c>
      <c r="CA130" t="s">
        <v>805</v>
      </c>
      <c r="CB130" t="s">
        <v>805</v>
      </c>
      <c r="CC130" t="s">
        <v>805</v>
      </c>
      <c r="CD130" t="s">
        <v>805</v>
      </c>
      <c r="CE130" t="s">
        <v>805</v>
      </c>
      <c r="CF130" t="s">
        <v>805</v>
      </c>
      <c r="CG130" t="s">
        <v>805</v>
      </c>
      <c r="CH130" t="s">
        <v>805</v>
      </c>
      <c r="CI130" t="s">
        <v>805</v>
      </c>
      <c r="CJ130" t="s">
        <v>805</v>
      </c>
      <c r="CK130" t="s">
        <v>805</v>
      </c>
      <c r="CL130" t="s">
        <v>805</v>
      </c>
      <c r="CM130" t="s">
        <v>805</v>
      </c>
      <c r="CN130" t="s">
        <v>805</v>
      </c>
      <c r="CO130" t="s">
        <v>805</v>
      </c>
      <c r="CP130" t="s">
        <v>805</v>
      </c>
      <c r="CQ130" t="s">
        <v>805</v>
      </c>
      <c r="CR130" t="s">
        <v>805</v>
      </c>
      <c r="CS130" t="s">
        <v>805</v>
      </c>
      <c r="CT130" t="s">
        <v>805</v>
      </c>
      <c r="CU130" t="s">
        <v>805</v>
      </c>
      <c r="CV130" t="s">
        <v>805</v>
      </c>
      <c r="CW130" t="s">
        <v>805</v>
      </c>
      <c r="CX130" t="s">
        <v>805</v>
      </c>
      <c r="CY130" t="s">
        <v>805</v>
      </c>
      <c r="CZ130" t="s">
        <v>805</v>
      </c>
      <c r="DA130" t="s">
        <v>805</v>
      </c>
      <c r="DB130" t="s">
        <v>805</v>
      </c>
      <c r="DC130" t="s">
        <v>805</v>
      </c>
      <c r="DD130" t="s">
        <v>805</v>
      </c>
      <c r="DE130" t="s">
        <v>805</v>
      </c>
      <c r="DF130" t="s">
        <v>805</v>
      </c>
      <c r="DG130" s="28">
        <f>VLOOKUP(E130,'KPI Count-SHARE'!A:F,3,0)</f>
        <v>0</v>
      </c>
      <c r="DH130" t="s">
        <v>805</v>
      </c>
      <c r="DI130" t="s">
        <v>805</v>
      </c>
      <c r="DJ130" t="s">
        <v>805</v>
      </c>
      <c r="DK130" t="s">
        <v>805</v>
      </c>
      <c r="DL130" t="s">
        <v>805</v>
      </c>
      <c r="DM130" t="s">
        <v>805</v>
      </c>
      <c r="DN130" s="28">
        <f>VLOOKUP(E130,'KPI Count-SHARE'!A:F,4,0)</f>
        <v>0</v>
      </c>
      <c r="DU130" s="28">
        <f>VLOOKUP(E130,'KPI Count-SHARE'!A:F,5,0)</f>
        <v>0</v>
      </c>
      <c r="EB130" s="28">
        <f>VLOOKUP(E130,'KPI Count-SHARE'!A:F,6,0)</f>
        <v>0</v>
      </c>
      <c r="EI130" t="s">
        <v>531</v>
      </c>
      <c r="EJ130" s="41" t="str">
        <f t="shared" si="1048"/>
        <v/>
      </c>
      <c r="EK130" s="41" t="str">
        <f t="shared" si="1049"/>
        <v/>
      </c>
      <c r="EL130" s="41" t="str">
        <f t="shared" si="1050"/>
        <v/>
      </c>
      <c r="EM130" s="41" t="str">
        <f t="shared" si="1051"/>
        <v/>
      </c>
      <c r="EN130" s="41" t="str">
        <f t="shared" si="1052"/>
        <v/>
      </c>
      <c r="EO130" s="41" t="str">
        <f t="shared" si="1053"/>
        <v/>
      </c>
      <c r="EP130" s="41" t="str">
        <f t="shared" si="1054"/>
        <v/>
      </c>
      <c r="EQ130" s="41" t="str">
        <f t="shared" si="1055"/>
        <v/>
      </c>
      <c r="ER130" s="41" t="str">
        <f t="shared" si="1056"/>
        <v/>
      </c>
      <c r="ES130" s="41" t="str">
        <f t="shared" si="1057"/>
        <v/>
      </c>
      <c r="ET130" s="41" t="str">
        <f t="shared" si="1058"/>
        <v/>
      </c>
      <c r="EU130" s="41" t="str">
        <f t="shared" si="1059"/>
        <v/>
      </c>
      <c r="EV130" s="41" t="str">
        <f t="shared" si="1060"/>
        <v/>
      </c>
      <c r="EW130" s="41" t="str">
        <f t="shared" si="1061"/>
        <v/>
      </c>
      <c r="EX130" s="41" t="str">
        <f t="shared" si="1062"/>
        <v/>
      </c>
      <c r="EY130" s="41" t="str">
        <f t="shared" si="1063"/>
        <v/>
      </c>
      <c r="EZ130" s="41" t="str">
        <f t="shared" si="1064"/>
        <v/>
      </c>
      <c r="FA130" s="41" t="str">
        <f t="shared" si="1065"/>
        <v/>
      </c>
      <c r="FB130" s="41" t="str">
        <f t="shared" si="1066"/>
        <v/>
      </c>
      <c r="FC130" s="41" t="str">
        <f t="shared" si="1067"/>
        <v/>
      </c>
      <c r="FD130" s="41" t="str">
        <f t="shared" si="1068"/>
        <v/>
      </c>
      <c r="FE130" s="41" t="str">
        <f t="shared" si="1069"/>
        <v/>
      </c>
      <c r="FF130" s="41" t="str">
        <f t="shared" si="1070"/>
        <v/>
      </c>
      <c r="FG130" s="41" t="str">
        <f t="shared" si="1071"/>
        <v/>
      </c>
      <c r="FH130" s="41" t="str">
        <f t="shared" si="1072"/>
        <v/>
      </c>
      <c r="FI130" s="41" t="str">
        <f t="shared" si="1073"/>
        <v/>
      </c>
      <c r="FJ130" s="41" t="str">
        <f t="shared" si="1074"/>
        <v/>
      </c>
      <c r="FK130" s="41" t="str">
        <f t="shared" si="1075"/>
        <v/>
      </c>
      <c r="FL130" s="41" t="str">
        <f t="shared" si="1076"/>
        <v/>
      </c>
      <c r="FM130" s="41" t="str">
        <f t="shared" si="1077"/>
        <v/>
      </c>
      <c r="FN130" s="41" t="str">
        <f t="shared" si="1078"/>
        <v/>
      </c>
      <c r="FO130" s="41" t="str">
        <f t="shared" si="1079"/>
        <v/>
      </c>
      <c r="FP130" s="41" t="str">
        <f t="shared" si="1080"/>
        <v/>
      </c>
      <c r="FQ130" s="41" t="str">
        <f t="shared" si="1081"/>
        <v/>
      </c>
      <c r="FR130" s="41" t="str">
        <f t="shared" si="1082"/>
        <v/>
      </c>
      <c r="FS130" s="41" t="str">
        <f t="shared" si="1083"/>
        <v/>
      </c>
      <c r="FT130" s="41" t="str">
        <f t="shared" si="1084"/>
        <v/>
      </c>
      <c r="FU130" s="41" t="str">
        <f t="shared" si="1085"/>
        <v/>
      </c>
      <c r="FV130" s="41" t="str">
        <f t="shared" si="1086"/>
        <v/>
      </c>
      <c r="FW130" s="41" t="str">
        <f t="shared" si="1087"/>
        <v/>
      </c>
      <c r="FX130" s="41" t="str">
        <f t="shared" si="1088"/>
        <v/>
      </c>
      <c r="FY130" s="41" t="str">
        <f t="shared" si="1089"/>
        <v/>
      </c>
      <c r="FZ130" s="41" t="str">
        <f t="shared" si="1090"/>
        <v/>
      </c>
      <c r="GA130" s="41" t="str">
        <f t="shared" si="1091"/>
        <v/>
      </c>
      <c r="GB130" s="41" t="str">
        <f t="shared" si="1092"/>
        <v/>
      </c>
      <c r="GC130" s="41" t="str">
        <f t="shared" si="1093"/>
        <v/>
      </c>
      <c r="GD130" s="41" t="str">
        <f t="shared" si="1094"/>
        <v/>
      </c>
      <c r="GE130" s="41" t="str">
        <f t="shared" si="1095"/>
        <v/>
      </c>
      <c r="GF130" s="41" t="str">
        <f t="shared" si="1096"/>
        <v/>
      </c>
      <c r="GG130" s="41" t="str">
        <f t="shared" si="1097"/>
        <v/>
      </c>
      <c r="GH130" s="41" t="str">
        <f t="shared" si="1098"/>
        <v/>
      </c>
      <c r="GI130" s="41" t="str">
        <f t="shared" si="1099"/>
        <v/>
      </c>
      <c r="GJ130" s="41" t="str">
        <f t="shared" si="1100"/>
        <v/>
      </c>
      <c r="GK130" s="41" t="str">
        <f t="shared" si="1101"/>
        <v/>
      </c>
      <c r="GL130" s="41" t="str">
        <f t="shared" si="1102"/>
        <v/>
      </c>
      <c r="GM130" s="41" t="str">
        <f t="shared" si="1103"/>
        <v/>
      </c>
      <c r="GN130" s="41" t="str">
        <f t="shared" si="1104"/>
        <v/>
      </c>
      <c r="GO130" s="41" t="str">
        <f t="shared" si="1105"/>
        <v/>
      </c>
      <c r="GP130" s="41" t="str">
        <f t="shared" si="1106"/>
        <v/>
      </c>
      <c r="GQ130" s="41" t="str">
        <f t="shared" si="1107"/>
        <v/>
      </c>
      <c r="GR130" s="41" t="str">
        <f t="shared" si="1108"/>
        <v/>
      </c>
      <c r="GS130" s="41" t="str">
        <f t="shared" si="1109"/>
        <v/>
      </c>
      <c r="GT130" s="41" t="str">
        <f t="shared" si="1110"/>
        <v/>
      </c>
      <c r="GU130" s="41" t="str">
        <f t="shared" si="1111"/>
        <v/>
      </c>
      <c r="GV130" s="41" t="str">
        <f t="shared" si="1112"/>
        <v/>
      </c>
      <c r="GW130" s="41" t="str">
        <f t="shared" si="1113"/>
        <v/>
      </c>
      <c r="GX130" s="41" t="str">
        <f t="shared" si="1114"/>
        <v/>
      </c>
      <c r="GY130" s="41" t="str">
        <f t="shared" si="1115"/>
        <v/>
      </c>
      <c r="GZ130" s="41" t="str">
        <f t="shared" si="1116"/>
        <v/>
      </c>
      <c r="HA130" s="41" t="str">
        <f t="shared" si="1117"/>
        <v/>
      </c>
      <c r="HB130" s="41" t="str">
        <f t="shared" si="1118"/>
        <v/>
      </c>
      <c r="HC130" s="41" t="str">
        <f t="shared" si="1119"/>
        <v/>
      </c>
      <c r="HD130" s="41" t="str">
        <f t="shared" si="1120"/>
        <v/>
      </c>
      <c r="HE130" s="41" t="str">
        <f t="shared" si="1121"/>
        <v/>
      </c>
      <c r="HF130" s="41" t="str">
        <f t="shared" si="1122"/>
        <v/>
      </c>
      <c r="HG130" s="41" t="str">
        <f t="shared" si="1123"/>
        <v/>
      </c>
      <c r="HH130" s="41" t="str">
        <f t="shared" si="1124"/>
        <v/>
      </c>
      <c r="HI130" s="41" t="str">
        <f t="shared" si="1125"/>
        <v/>
      </c>
      <c r="HJ130" s="41" t="str">
        <f t="shared" si="1126"/>
        <v/>
      </c>
      <c r="HK130" s="41" t="str">
        <f t="shared" si="1127"/>
        <v/>
      </c>
      <c r="HL130" s="41" t="str">
        <f t="shared" si="1128"/>
        <v/>
      </c>
      <c r="HM130" s="41" t="str">
        <f t="shared" si="1129"/>
        <v/>
      </c>
      <c r="HN130" s="41" t="str">
        <f t="shared" si="1130"/>
        <v/>
      </c>
      <c r="HO130" s="41" t="str">
        <f t="shared" si="1131"/>
        <v/>
      </c>
      <c r="HP130" s="41" t="str">
        <f t="shared" si="1132"/>
        <v/>
      </c>
      <c r="HQ130" s="41" t="str">
        <f t="shared" si="1133"/>
        <v/>
      </c>
      <c r="HR130" s="41" t="str">
        <f t="shared" si="1134"/>
        <v/>
      </c>
      <c r="HS130" s="41" t="str">
        <f t="shared" si="1135"/>
        <v/>
      </c>
      <c r="HT130" s="41" t="str">
        <f t="shared" si="1136"/>
        <v/>
      </c>
      <c r="HU130" s="41" t="str">
        <f t="shared" si="1137"/>
        <v/>
      </c>
      <c r="HV130" s="41" t="str">
        <f t="shared" si="1138"/>
        <v/>
      </c>
      <c r="HW130" s="41" t="str">
        <f t="shared" si="1139"/>
        <v/>
      </c>
      <c r="HX130" s="41" t="str">
        <f t="shared" si="1140"/>
        <v/>
      </c>
      <c r="HY130" s="41" t="str">
        <f t="shared" si="1141"/>
        <v/>
      </c>
      <c r="HZ130" s="41" t="str">
        <f t="shared" si="1142"/>
        <v/>
      </c>
      <c r="IA130" s="41" t="str">
        <f t="shared" si="1143"/>
        <v/>
      </c>
      <c r="IB130" s="41" t="str">
        <f t="shared" si="1144"/>
        <v/>
      </c>
      <c r="IC130" s="41" t="str">
        <f t="shared" si="1145"/>
        <v/>
      </c>
      <c r="ID130" s="41" t="str">
        <f t="shared" si="1146"/>
        <v/>
      </c>
      <c r="IE130" s="41" t="str">
        <f t="shared" si="1147"/>
        <v/>
      </c>
      <c r="IF130" s="41" t="str">
        <f t="shared" si="1148"/>
        <v/>
      </c>
      <c r="IG130" s="306" t="str">
        <f t="shared" si="1149"/>
        <v/>
      </c>
      <c r="IH130" s="44" t="str">
        <f t="shared" si="1150"/>
        <v/>
      </c>
      <c r="II130" s="44" t="str">
        <f t="shared" si="1151"/>
        <v/>
      </c>
      <c r="IJ130" s="44" t="str">
        <f t="shared" si="1152"/>
        <v/>
      </c>
      <c r="IK130" s="44" t="str">
        <f t="shared" si="1153"/>
        <v/>
      </c>
      <c r="IL130" s="44" t="str">
        <f t="shared" si="1154"/>
        <v/>
      </c>
      <c r="IM130" s="306" t="str">
        <f t="shared" si="1155"/>
        <v/>
      </c>
      <c r="IN130" s="44" t="str">
        <f t="shared" si="1156"/>
        <v/>
      </c>
      <c r="IO130" s="44" t="str">
        <f t="shared" si="1157"/>
        <v/>
      </c>
      <c r="IP130" s="44" t="str">
        <f t="shared" si="1158"/>
        <v/>
      </c>
      <c r="IQ130" s="44" t="str">
        <f t="shared" si="1159"/>
        <v/>
      </c>
      <c r="IR130" s="44" t="str">
        <f t="shared" si="1160"/>
        <v/>
      </c>
      <c r="IS130" s="306" t="str">
        <f t="shared" si="1161"/>
        <v/>
      </c>
      <c r="IT130" s="44" t="str">
        <f t="shared" si="1162"/>
        <v/>
      </c>
      <c r="IU130" s="44" t="str">
        <f t="shared" si="1163"/>
        <v/>
      </c>
      <c r="IV130" s="44" t="str">
        <f t="shared" si="1164"/>
        <v/>
      </c>
      <c r="IW130" s="44" t="str">
        <f t="shared" si="1165"/>
        <v/>
      </c>
      <c r="IX130" s="44" t="str">
        <f t="shared" si="1166"/>
        <v/>
      </c>
      <c r="IY130" s="306" t="str">
        <f t="shared" si="1167"/>
        <v/>
      </c>
      <c r="IZ130" s="44" t="str">
        <f t="shared" si="1168"/>
        <v/>
      </c>
      <c r="JA130" s="44" t="str">
        <f t="shared" si="1169"/>
        <v/>
      </c>
      <c r="JB130" s="44" t="str">
        <f t="shared" si="1170"/>
        <v/>
      </c>
      <c r="JC130" s="44" t="str">
        <f t="shared" si="1171"/>
        <v/>
      </c>
      <c r="JD130" s="307" t="str">
        <f t="shared" si="1172"/>
        <v/>
      </c>
      <c r="JF130" s="66">
        <f t="shared" si="779"/>
        <v>130</v>
      </c>
      <c r="JG130" s="66">
        <f t="shared" ca="1" si="789"/>
        <v>0</v>
      </c>
      <c r="JH130" s="66">
        <f t="shared" ca="1" si="790"/>
        <v>0</v>
      </c>
      <c r="JI130" s="66">
        <f t="shared" ca="1" si="791"/>
        <v>0</v>
      </c>
      <c r="JJ130" s="66">
        <f t="shared" ca="1" si="792"/>
        <v>0</v>
      </c>
      <c r="JK130" s="33"/>
      <c r="JL130" s="74" t="str">
        <f t="shared" ca="1" si="793"/>
        <v>-</v>
      </c>
      <c r="JM130" s="75">
        <f t="shared" ca="1" si="794"/>
        <v>0</v>
      </c>
      <c r="JN130" s="75">
        <f t="shared" ca="1" si="795"/>
        <v>0</v>
      </c>
      <c r="JO130" s="74" t="str">
        <f t="shared" ca="1" si="796"/>
        <v>-</v>
      </c>
      <c r="JP130" s="74">
        <f t="shared" ca="1" si="797"/>
        <v>0</v>
      </c>
    </row>
    <row r="131" spans="1:276" hidden="1" x14ac:dyDescent="0.35">
      <c r="A131" s="125" t="s">
        <v>805</v>
      </c>
      <c r="B131" s="125" t="s">
        <v>805</v>
      </c>
      <c r="C131" s="125" t="s">
        <v>805</v>
      </c>
      <c r="E131" s="142" t="s">
        <v>857</v>
      </c>
      <c r="F131" s="254" t="s">
        <v>744</v>
      </c>
      <c r="G131" t="s">
        <v>542</v>
      </c>
      <c r="H131" t="s">
        <v>531</v>
      </c>
      <c r="I131" t="s">
        <v>534</v>
      </c>
      <c r="J131" s="211" t="s">
        <v>805</v>
      </c>
      <c r="K131" t="s">
        <v>805</v>
      </c>
      <c r="L131" t="s">
        <v>805</v>
      </c>
      <c r="M131" t="s">
        <v>805</v>
      </c>
      <c r="N131" t="s">
        <v>805</v>
      </c>
      <c r="O131" t="s">
        <v>805</v>
      </c>
      <c r="P131" t="s">
        <v>805</v>
      </c>
      <c r="Q131" t="s">
        <v>805</v>
      </c>
      <c r="R131" t="s">
        <v>805</v>
      </c>
      <c r="S131" t="s">
        <v>805</v>
      </c>
      <c r="T131" t="s">
        <v>805</v>
      </c>
      <c r="U131" t="s">
        <v>805</v>
      </c>
      <c r="V131" t="s">
        <v>805</v>
      </c>
      <c r="W131" t="s">
        <v>805</v>
      </c>
      <c r="X131" t="s">
        <v>805</v>
      </c>
      <c r="Y131" t="s">
        <v>805</v>
      </c>
      <c r="Z131" t="s">
        <v>805</v>
      </c>
      <c r="AA131" t="s">
        <v>805</v>
      </c>
      <c r="AB131" t="s">
        <v>805</v>
      </c>
      <c r="AC131" t="s">
        <v>805</v>
      </c>
      <c r="AD131" t="s">
        <v>805</v>
      </c>
      <c r="AE131" t="s">
        <v>805</v>
      </c>
      <c r="AF131" t="s">
        <v>805</v>
      </c>
      <c r="AG131" t="s">
        <v>805</v>
      </c>
      <c r="AH131" t="s">
        <v>805</v>
      </c>
      <c r="AI131" t="s">
        <v>805</v>
      </c>
      <c r="AJ131" t="s">
        <v>805</v>
      </c>
      <c r="AK131" t="s">
        <v>805</v>
      </c>
      <c r="AL131" t="s">
        <v>805</v>
      </c>
      <c r="AM131" t="s">
        <v>805</v>
      </c>
      <c r="AN131" t="s">
        <v>805</v>
      </c>
      <c r="AO131" t="s">
        <v>805</v>
      </c>
      <c r="AP131" t="s">
        <v>805</v>
      </c>
      <c r="AQ131" t="s">
        <v>805</v>
      </c>
      <c r="AR131" t="s">
        <v>805</v>
      </c>
      <c r="AS131" t="s">
        <v>805</v>
      </c>
      <c r="AT131" t="s">
        <v>805</v>
      </c>
      <c r="AU131" t="s">
        <v>805</v>
      </c>
      <c r="AV131" t="s">
        <v>805</v>
      </c>
      <c r="AW131" t="s">
        <v>805</v>
      </c>
      <c r="AX131" t="s">
        <v>805</v>
      </c>
      <c r="AY131" t="s">
        <v>805</v>
      </c>
      <c r="AZ131" t="s">
        <v>805</v>
      </c>
      <c r="BA131" t="s">
        <v>805</v>
      </c>
      <c r="BB131" t="s">
        <v>805</v>
      </c>
      <c r="BC131" t="s">
        <v>805</v>
      </c>
      <c r="BD131" t="s">
        <v>805</v>
      </c>
      <c r="BE131" t="s">
        <v>805</v>
      </c>
      <c r="BF131" t="s">
        <v>805</v>
      </c>
      <c r="BG131" t="s">
        <v>805</v>
      </c>
      <c r="BH131" t="s">
        <v>805</v>
      </c>
      <c r="BI131" t="s">
        <v>805</v>
      </c>
      <c r="BJ131" t="s">
        <v>805</v>
      </c>
      <c r="BK131" t="s">
        <v>805</v>
      </c>
      <c r="BL131" t="s">
        <v>805</v>
      </c>
      <c r="BM131" t="s">
        <v>805</v>
      </c>
      <c r="BN131" t="s">
        <v>805</v>
      </c>
      <c r="BO131" t="s">
        <v>805</v>
      </c>
      <c r="BP131" t="s">
        <v>805</v>
      </c>
      <c r="BQ131" t="s">
        <v>805</v>
      </c>
      <c r="BR131" t="s">
        <v>805</v>
      </c>
      <c r="BS131" t="s">
        <v>805</v>
      </c>
      <c r="BT131" t="s">
        <v>805</v>
      </c>
      <c r="BU131" t="s">
        <v>805</v>
      </c>
      <c r="BV131" t="s">
        <v>805</v>
      </c>
      <c r="BW131" t="s">
        <v>805</v>
      </c>
      <c r="BX131" t="s">
        <v>805</v>
      </c>
      <c r="BY131" t="s">
        <v>805</v>
      </c>
      <c r="BZ131" t="s">
        <v>805</v>
      </c>
      <c r="CA131" t="s">
        <v>805</v>
      </c>
      <c r="CB131" t="s">
        <v>805</v>
      </c>
      <c r="CC131" t="s">
        <v>805</v>
      </c>
      <c r="CD131" t="s">
        <v>805</v>
      </c>
      <c r="CE131" t="s">
        <v>805</v>
      </c>
      <c r="CF131" t="s">
        <v>805</v>
      </c>
      <c r="CG131" t="s">
        <v>805</v>
      </c>
      <c r="CH131" t="s">
        <v>805</v>
      </c>
      <c r="CI131" t="s">
        <v>805</v>
      </c>
      <c r="CJ131" t="s">
        <v>805</v>
      </c>
      <c r="CK131" t="s">
        <v>805</v>
      </c>
      <c r="CL131" t="s">
        <v>805</v>
      </c>
      <c r="CM131" t="s">
        <v>805</v>
      </c>
      <c r="CN131" t="s">
        <v>805</v>
      </c>
      <c r="CO131" t="s">
        <v>805</v>
      </c>
      <c r="CP131" t="s">
        <v>805</v>
      </c>
      <c r="CQ131" t="s">
        <v>805</v>
      </c>
      <c r="CR131" t="s">
        <v>805</v>
      </c>
      <c r="CS131" t="s">
        <v>805</v>
      </c>
      <c r="CT131" t="s">
        <v>805</v>
      </c>
      <c r="CU131" t="s">
        <v>805</v>
      </c>
      <c r="CV131" t="s">
        <v>805</v>
      </c>
      <c r="CW131" t="s">
        <v>805</v>
      </c>
      <c r="CX131" t="s">
        <v>805</v>
      </c>
      <c r="CY131" t="s">
        <v>805</v>
      </c>
      <c r="CZ131" t="s">
        <v>805</v>
      </c>
      <c r="DA131" t="s">
        <v>805</v>
      </c>
      <c r="DB131" t="s">
        <v>805</v>
      </c>
      <c r="DC131" t="s">
        <v>805</v>
      </c>
      <c r="DD131" t="s">
        <v>805</v>
      </c>
      <c r="DE131" t="s">
        <v>805</v>
      </c>
      <c r="DF131" t="s">
        <v>805</v>
      </c>
      <c r="DG131" s="28">
        <f>VLOOKUP(E131,'KPI Count-SHARE'!A:F,3,0)</f>
        <v>0</v>
      </c>
      <c r="DH131" t="s">
        <v>805</v>
      </c>
      <c r="DI131" t="s">
        <v>805</v>
      </c>
      <c r="DJ131" t="s">
        <v>805</v>
      </c>
      <c r="DK131" t="s">
        <v>805</v>
      </c>
      <c r="DL131" t="s">
        <v>805</v>
      </c>
      <c r="DM131" t="s">
        <v>805</v>
      </c>
      <c r="DN131" s="28">
        <f>VLOOKUP(E131,'KPI Count-SHARE'!A:F,4,0)</f>
        <v>0</v>
      </c>
      <c r="DU131" s="28">
        <f>VLOOKUP(E131,'KPI Count-SHARE'!A:F,5,0)</f>
        <v>0</v>
      </c>
      <c r="EB131" s="28">
        <f>VLOOKUP(E131,'KPI Count-SHARE'!A:F,6,0)</f>
        <v>0</v>
      </c>
      <c r="EI131" t="s">
        <v>531</v>
      </c>
      <c r="EJ131" s="41" t="str">
        <f t="shared" si="1048"/>
        <v/>
      </c>
      <c r="EK131" s="41" t="str">
        <f t="shared" si="1049"/>
        <v/>
      </c>
      <c r="EL131" s="41" t="str">
        <f t="shared" si="1050"/>
        <v/>
      </c>
      <c r="EM131" s="41" t="str">
        <f t="shared" si="1051"/>
        <v/>
      </c>
      <c r="EN131" s="41" t="str">
        <f t="shared" si="1052"/>
        <v/>
      </c>
      <c r="EO131" s="41" t="str">
        <f t="shared" si="1053"/>
        <v/>
      </c>
      <c r="EP131" s="41" t="str">
        <f t="shared" si="1054"/>
        <v/>
      </c>
      <c r="EQ131" s="41" t="str">
        <f t="shared" si="1055"/>
        <v/>
      </c>
      <c r="ER131" s="41" t="str">
        <f t="shared" si="1056"/>
        <v/>
      </c>
      <c r="ES131" s="41" t="str">
        <f t="shared" si="1057"/>
        <v/>
      </c>
      <c r="ET131" s="41" t="str">
        <f t="shared" si="1058"/>
        <v/>
      </c>
      <c r="EU131" s="41" t="str">
        <f t="shared" si="1059"/>
        <v/>
      </c>
      <c r="EV131" s="41" t="str">
        <f t="shared" si="1060"/>
        <v/>
      </c>
      <c r="EW131" s="41" t="str">
        <f t="shared" si="1061"/>
        <v/>
      </c>
      <c r="EX131" s="41" t="str">
        <f t="shared" si="1062"/>
        <v/>
      </c>
      <c r="EY131" s="41" t="str">
        <f t="shared" si="1063"/>
        <v/>
      </c>
      <c r="EZ131" s="41" t="str">
        <f t="shared" si="1064"/>
        <v/>
      </c>
      <c r="FA131" s="41" t="str">
        <f t="shared" si="1065"/>
        <v/>
      </c>
      <c r="FB131" s="41" t="str">
        <f t="shared" si="1066"/>
        <v/>
      </c>
      <c r="FC131" s="41" t="str">
        <f t="shared" si="1067"/>
        <v/>
      </c>
      <c r="FD131" s="41" t="str">
        <f t="shared" si="1068"/>
        <v/>
      </c>
      <c r="FE131" s="41" t="str">
        <f t="shared" si="1069"/>
        <v/>
      </c>
      <c r="FF131" s="41" t="str">
        <f t="shared" si="1070"/>
        <v/>
      </c>
      <c r="FG131" s="41" t="str">
        <f t="shared" si="1071"/>
        <v/>
      </c>
      <c r="FH131" s="41" t="str">
        <f t="shared" si="1072"/>
        <v/>
      </c>
      <c r="FI131" s="41" t="str">
        <f t="shared" si="1073"/>
        <v/>
      </c>
      <c r="FJ131" s="41" t="str">
        <f t="shared" si="1074"/>
        <v/>
      </c>
      <c r="FK131" s="41" t="str">
        <f t="shared" si="1075"/>
        <v/>
      </c>
      <c r="FL131" s="41" t="str">
        <f t="shared" si="1076"/>
        <v/>
      </c>
      <c r="FM131" s="41" t="str">
        <f t="shared" si="1077"/>
        <v/>
      </c>
      <c r="FN131" s="41" t="str">
        <f t="shared" si="1078"/>
        <v/>
      </c>
      <c r="FO131" s="41" t="str">
        <f t="shared" si="1079"/>
        <v/>
      </c>
      <c r="FP131" s="41" t="str">
        <f t="shared" si="1080"/>
        <v/>
      </c>
      <c r="FQ131" s="41" t="str">
        <f t="shared" si="1081"/>
        <v/>
      </c>
      <c r="FR131" s="41" t="str">
        <f t="shared" si="1082"/>
        <v/>
      </c>
      <c r="FS131" s="41" t="str">
        <f t="shared" si="1083"/>
        <v/>
      </c>
      <c r="FT131" s="41" t="str">
        <f t="shared" si="1084"/>
        <v/>
      </c>
      <c r="FU131" s="41" t="str">
        <f t="shared" si="1085"/>
        <v/>
      </c>
      <c r="FV131" s="41" t="str">
        <f t="shared" si="1086"/>
        <v/>
      </c>
      <c r="FW131" s="41" t="str">
        <f t="shared" si="1087"/>
        <v/>
      </c>
      <c r="FX131" s="41" t="str">
        <f t="shared" si="1088"/>
        <v/>
      </c>
      <c r="FY131" s="41" t="str">
        <f t="shared" si="1089"/>
        <v/>
      </c>
      <c r="FZ131" s="41" t="str">
        <f t="shared" si="1090"/>
        <v/>
      </c>
      <c r="GA131" s="41" t="str">
        <f t="shared" si="1091"/>
        <v/>
      </c>
      <c r="GB131" s="41" t="str">
        <f t="shared" si="1092"/>
        <v/>
      </c>
      <c r="GC131" s="41" t="str">
        <f t="shared" si="1093"/>
        <v/>
      </c>
      <c r="GD131" s="41" t="str">
        <f t="shared" si="1094"/>
        <v/>
      </c>
      <c r="GE131" s="41" t="str">
        <f t="shared" si="1095"/>
        <v/>
      </c>
      <c r="GF131" s="41" t="str">
        <f t="shared" si="1096"/>
        <v/>
      </c>
      <c r="GG131" s="41" t="str">
        <f t="shared" si="1097"/>
        <v/>
      </c>
      <c r="GH131" s="41" t="str">
        <f t="shared" si="1098"/>
        <v/>
      </c>
      <c r="GI131" s="41" t="str">
        <f t="shared" si="1099"/>
        <v/>
      </c>
      <c r="GJ131" s="41" t="str">
        <f t="shared" si="1100"/>
        <v/>
      </c>
      <c r="GK131" s="41" t="str">
        <f t="shared" si="1101"/>
        <v/>
      </c>
      <c r="GL131" s="41" t="str">
        <f t="shared" si="1102"/>
        <v/>
      </c>
      <c r="GM131" s="41" t="str">
        <f t="shared" si="1103"/>
        <v/>
      </c>
      <c r="GN131" s="41" t="str">
        <f t="shared" si="1104"/>
        <v/>
      </c>
      <c r="GO131" s="41" t="str">
        <f t="shared" si="1105"/>
        <v/>
      </c>
      <c r="GP131" s="41" t="str">
        <f t="shared" si="1106"/>
        <v/>
      </c>
      <c r="GQ131" s="41" t="str">
        <f t="shared" si="1107"/>
        <v/>
      </c>
      <c r="GR131" s="41" t="str">
        <f t="shared" si="1108"/>
        <v/>
      </c>
      <c r="GS131" s="41" t="str">
        <f t="shared" si="1109"/>
        <v/>
      </c>
      <c r="GT131" s="41" t="str">
        <f t="shared" si="1110"/>
        <v/>
      </c>
      <c r="GU131" s="41" t="str">
        <f t="shared" si="1111"/>
        <v/>
      </c>
      <c r="GV131" s="41" t="str">
        <f t="shared" si="1112"/>
        <v/>
      </c>
      <c r="GW131" s="41" t="str">
        <f t="shared" si="1113"/>
        <v/>
      </c>
      <c r="GX131" s="41" t="str">
        <f t="shared" si="1114"/>
        <v/>
      </c>
      <c r="GY131" s="41" t="str">
        <f t="shared" si="1115"/>
        <v/>
      </c>
      <c r="GZ131" s="41" t="str">
        <f t="shared" si="1116"/>
        <v/>
      </c>
      <c r="HA131" s="41" t="str">
        <f t="shared" si="1117"/>
        <v/>
      </c>
      <c r="HB131" s="41" t="str">
        <f t="shared" si="1118"/>
        <v/>
      </c>
      <c r="HC131" s="41" t="str">
        <f t="shared" si="1119"/>
        <v/>
      </c>
      <c r="HD131" s="41" t="str">
        <f t="shared" si="1120"/>
        <v/>
      </c>
      <c r="HE131" s="41" t="str">
        <f t="shared" si="1121"/>
        <v/>
      </c>
      <c r="HF131" s="41" t="str">
        <f t="shared" si="1122"/>
        <v/>
      </c>
      <c r="HG131" s="41" t="str">
        <f t="shared" si="1123"/>
        <v/>
      </c>
      <c r="HH131" s="41" t="str">
        <f t="shared" si="1124"/>
        <v/>
      </c>
      <c r="HI131" s="41" t="str">
        <f t="shared" si="1125"/>
        <v/>
      </c>
      <c r="HJ131" s="41" t="str">
        <f t="shared" si="1126"/>
        <v/>
      </c>
      <c r="HK131" s="41" t="str">
        <f t="shared" si="1127"/>
        <v/>
      </c>
      <c r="HL131" s="41" t="str">
        <f t="shared" si="1128"/>
        <v/>
      </c>
      <c r="HM131" s="41" t="str">
        <f t="shared" si="1129"/>
        <v/>
      </c>
      <c r="HN131" s="41" t="str">
        <f t="shared" si="1130"/>
        <v/>
      </c>
      <c r="HO131" s="41" t="str">
        <f t="shared" si="1131"/>
        <v/>
      </c>
      <c r="HP131" s="41" t="str">
        <f t="shared" si="1132"/>
        <v/>
      </c>
      <c r="HQ131" s="41" t="str">
        <f t="shared" si="1133"/>
        <v/>
      </c>
      <c r="HR131" s="41" t="str">
        <f t="shared" si="1134"/>
        <v/>
      </c>
      <c r="HS131" s="41" t="str">
        <f t="shared" si="1135"/>
        <v/>
      </c>
      <c r="HT131" s="41" t="str">
        <f t="shared" si="1136"/>
        <v/>
      </c>
      <c r="HU131" s="41" t="str">
        <f t="shared" si="1137"/>
        <v/>
      </c>
      <c r="HV131" s="41" t="str">
        <f t="shared" si="1138"/>
        <v/>
      </c>
      <c r="HW131" s="41" t="str">
        <f t="shared" si="1139"/>
        <v/>
      </c>
      <c r="HX131" s="41" t="str">
        <f t="shared" si="1140"/>
        <v/>
      </c>
      <c r="HY131" s="41" t="str">
        <f t="shared" si="1141"/>
        <v/>
      </c>
      <c r="HZ131" s="41" t="str">
        <f t="shared" si="1142"/>
        <v/>
      </c>
      <c r="IA131" s="41" t="str">
        <f t="shared" si="1143"/>
        <v/>
      </c>
      <c r="IB131" s="41" t="str">
        <f t="shared" si="1144"/>
        <v/>
      </c>
      <c r="IC131" s="41" t="str">
        <f t="shared" si="1145"/>
        <v/>
      </c>
      <c r="ID131" s="41" t="str">
        <f t="shared" si="1146"/>
        <v/>
      </c>
      <c r="IE131" s="41" t="str">
        <f t="shared" si="1147"/>
        <v/>
      </c>
      <c r="IF131" s="41" t="str">
        <f t="shared" si="1148"/>
        <v/>
      </c>
      <c r="IG131" s="306" t="str">
        <f t="shared" si="1149"/>
        <v/>
      </c>
      <c r="IH131" s="44" t="str">
        <f t="shared" si="1150"/>
        <v/>
      </c>
      <c r="II131" s="44" t="str">
        <f t="shared" si="1151"/>
        <v/>
      </c>
      <c r="IJ131" s="44" t="str">
        <f t="shared" si="1152"/>
        <v/>
      </c>
      <c r="IK131" s="44" t="str">
        <f t="shared" si="1153"/>
        <v/>
      </c>
      <c r="IL131" s="44" t="str">
        <f t="shared" si="1154"/>
        <v/>
      </c>
      <c r="IM131" s="306" t="str">
        <f t="shared" si="1155"/>
        <v/>
      </c>
      <c r="IN131" s="44" t="str">
        <f t="shared" si="1156"/>
        <v/>
      </c>
      <c r="IO131" s="44" t="str">
        <f t="shared" si="1157"/>
        <v/>
      </c>
      <c r="IP131" s="44" t="str">
        <f t="shared" si="1158"/>
        <v/>
      </c>
      <c r="IQ131" s="44" t="str">
        <f t="shared" si="1159"/>
        <v/>
      </c>
      <c r="IR131" s="44" t="str">
        <f t="shared" si="1160"/>
        <v/>
      </c>
      <c r="IS131" s="306" t="str">
        <f t="shared" si="1161"/>
        <v/>
      </c>
      <c r="IT131" s="44" t="str">
        <f t="shared" si="1162"/>
        <v/>
      </c>
      <c r="IU131" s="44" t="str">
        <f t="shared" si="1163"/>
        <v/>
      </c>
      <c r="IV131" s="44" t="str">
        <f t="shared" si="1164"/>
        <v/>
      </c>
      <c r="IW131" s="44" t="str">
        <f t="shared" si="1165"/>
        <v/>
      </c>
      <c r="IX131" s="44" t="str">
        <f t="shared" si="1166"/>
        <v/>
      </c>
      <c r="IY131" s="306" t="str">
        <f t="shared" si="1167"/>
        <v/>
      </c>
      <c r="IZ131" s="44" t="str">
        <f t="shared" si="1168"/>
        <v/>
      </c>
      <c r="JA131" s="44" t="str">
        <f t="shared" si="1169"/>
        <v/>
      </c>
      <c r="JB131" s="44" t="str">
        <f t="shared" si="1170"/>
        <v/>
      </c>
      <c r="JC131" s="44" t="str">
        <f t="shared" si="1171"/>
        <v/>
      </c>
      <c r="JD131" s="307" t="str">
        <f t="shared" si="1172"/>
        <v/>
      </c>
      <c r="JF131" s="66">
        <f t="shared" si="779"/>
        <v>131</v>
      </c>
      <c r="JG131" s="66">
        <f t="shared" ca="1" si="789"/>
        <v>0</v>
      </c>
      <c r="JH131" s="66">
        <f t="shared" ca="1" si="790"/>
        <v>0</v>
      </c>
      <c r="JI131" s="66">
        <f t="shared" ca="1" si="791"/>
        <v>0</v>
      </c>
      <c r="JJ131" s="66">
        <f t="shared" ca="1" si="792"/>
        <v>0</v>
      </c>
      <c r="JK131" s="33"/>
      <c r="JL131" s="74" t="str">
        <f t="shared" ca="1" si="793"/>
        <v>-</v>
      </c>
      <c r="JM131" s="75">
        <f t="shared" ca="1" si="794"/>
        <v>0</v>
      </c>
      <c r="JN131" s="75">
        <f t="shared" ca="1" si="795"/>
        <v>0</v>
      </c>
      <c r="JO131" s="74" t="str">
        <f t="shared" ca="1" si="796"/>
        <v>-</v>
      </c>
      <c r="JP131" s="74">
        <f t="shared" ca="1" si="797"/>
        <v>0</v>
      </c>
    </row>
    <row r="132" spans="1:276" hidden="1" x14ac:dyDescent="0.35">
      <c r="A132" s="125" t="s">
        <v>805</v>
      </c>
      <c r="B132" s="125" t="s">
        <v>805</v>
      </c>
      <c r="C132" s="125" t="s">
        <v>805</v>
      </c>
      <c r="E132" s="142" t="s">
        <v>858</v>
      </c>
      <c r="F132" s="254" t="s">
        <v>745</v>
      </c>
      <c r="G132" t="s">
        <v>542</v>
      </c>
      <c r="H132" t="s">
        <v>531</v>
      </c>
      <c r="I132" t="s">
        <v>534</v>
      </c>
      <c r="J132" s="211" t="s">
        <v>805</v>
      </c>
      <c r="K132" t="s">
        <v>805</v>
      </c>
      <c r="L132" t="s">
        <v>805</v>
      </c>
      <c r="M132" t="s">
        <v>805</v>
      </c>
      <c r="N132" t="s">
        <v>805</v>
      </c>
      <c r="O132" t="s">
        <v>805</v>
      </c>
      <c r="P132" t="s">
        <v>805</v>
      </c>
      <c r="Q132" t="s">
        <v>805</v>
      </c>
      <c r="R132" t="s">
        <v>805</v>
      </c>
      <c r="S132" t="s">
        <v>805</v>
      </c>
      <c r="T132" t="s">
        <v>805</v>
      </c>
      <c r="U132" t="s">
        <v>805</v>
      </c>
      <c r="V132" t="s">
        <v>805</v>
      </c>
      <c r="W132" t="s">
        <v>805</v>
      </c>
      <c r="X132" t="s">
        <v>805</v>
      </c>
      <c r="Y132" t="s">
        <v>805</v>
      </c>
      <c r="Z132" t="s">
        <v>805</v>
      </c>
      <c r="AA132" t="s">
        <v>805</v>
      </c>
      <c r="AB132" t="s">
        <v>805</v>
      </c>
      <c r="AC132" t="s">
        <v>805</v>
      </c>
      <c r="AD132" t="s">
        <v>805</v>
      </c>
      <c r="AE132" t="s">
        <v>805</v>
      </c>
      <c r="AF132" t="s">
        <v>805</v>
      </c>
      <c r="AG132" t="s">
        <v>805</v>
      </c>
      <c r="AH132" t="s">
        <v>805</v>
      </c>
      <c r="AI132" t="s">
        <v>805</v>
      </c>
      <c r="AJ132" t="s">
        <v>805</v>
      </c>
      <c r="AK132" t="s">
        <v>805</v>
      </c>
      <c r="AL132" t="s">
        <v>805</v>
      </c>
      <c r="AM132" t="s">
        <v>805</v>
      </c>
      <c r="AN132" t="s">
        <v>805</v>
      </c>
      <c r="AO132" t="s">
        <v>805</v>
      </c>
      <c r="AP132" t="s">
        <v>805</v>
      </c>
      <c r="AQ132" t="s">
        <v>805</v>
      </c>
      <c r="AR132" t="s">
        <v>805</v>
      </c>
      <c r="AS132" t="s">
        <v>805</v>
      </c>
      <c r="AT132" t="s">
        <v>805</v>
      </c>
      <c r="AU132" t="s">
        <v>805</v>
      </c>
      <c r="AV132" t="s">
        <v>805</v>
      </c>
      <c r="AW132" t="s">
        <v>805</v>
      </c>
      <c r="AX132" t="s">
        <v>805</v>
      </c>
      <c r="AY132" t="s">
        <v>805</v>
      </c>
      <c r="AZ132" t="s">
        <v>805</v>
      </c>
      <c r="BA132" t="s">
        <v>805</v>
      </c>
      <c r="BB132" t="s">
        <v>805</v>
      </c>
      <c r="BC132" t="s">
        <v>805</v>
      </c>
      <c r="BD132" t="s">
        <v>805</v>
      </c>
      <c r="BE132" t="s">
        <v>805</v>
      </c>
      <c r="BF132" t="s">
        <v>805</v>
      </c>
      <c r="BG132" t="s">
        <v>805</v>
      </c>
      <c r="BH132" t="s">
        <v>805</v>
      </c>
      <c r="BI132" t="s">
        <v>805</v>
      </c>
      <c r="BJ132" t="s">
        <v>805</v>
      </c>
      <c r="BK132" t="s">
        <v>805</v>
      </c>
      <c r="BL132" t="s">
        <v>805</v>
      </c>
      <c r="BM132" t="s">
        <v>805</v>
      </c>
      <c r="BN132" t="s">
        <v>805</v>
      </c>
      <c r="BO132" t="s">
        <v>805</v>
      </c>
      <c r="BP132" t="s">
        <v>805</v>
      </c>
      <c r="BQ132" t="s">
        <v>805</v>
      </c>
      <c r="BR132" t="s">
        <v>805</v>
      </c>
      <c r="BS132" t="s">
        <v>805</v>
      </c>
      <c r="BT132" t="s">
        <v>805</v>
      </c>
      <c r="BU132" t="s">
        <v>805</v>
      </c>
      <c r="BV132" t="s">
        <v>805</v>
      </c>
      <c r="BW132" t="s">
        <v>805</v>
      </c>
      <c r="BX132" t="s">
        <v>805</v>
      </c>
      <c r="BY132" t="s">
        <v>805</v>
      </c>
      <c r="BZ132" t="s">
        <v>805</v>
      </c>
      <c r="CA132" t="s">
        <v>805</v>
      </c>
      <c r="CB132" t="s">
        <v>805</v>
      </c>
      <c r="CC132" t="s">
        <v>805</v>
      </c>
      <c r="CD132" t="s">
        <v>805</v>
      </c>
      <c r="CE132" t="s">
        <v>805</v>
      </c>
      <c r="CF132" t="s">
        <v>805</v>
      </c>
      <c r="CG132" t="s">
        <v>805</v>
      </c>
      <c r="CH132" t="s">
        <v>805</v>
      </c>
      <c r="CI132" t="s">
        <v>805</v>
      </c>
      <c r="CJ132" t="s">
        <v>805</v>
      </c>
      <c r="CK132" t="s">
        <v>805</v>
      </c>
      <c r="CL132" t="s">
        <v>805</v>
      </c>
      <c r="CM132" t="s">
        <v>805</v>
      </c>
      <c r="CN132" t="s">
        <v>805</v>
      </c>
      <c r="CO132" t="s">
        <v>805</v>
      </c>
      <c r="CP132" t="s">
        <v>805</v>
      </c>
      <c r="CQ132" t="s">
        <v>805</v>
      </c>
      <c r="CR132" t="s">
        <v>805</v>
      </c>
      <c r="CS132" t="s">
        <v>805</v>
      </c>
      <c r="CT132" t="s">
        <v>805</v>
      </c>
      <c r="CU132" t="s">
        <v>805</v>
      </c>
      <c r="CV132" t="s">
        <v>805</v>
      </c>
      <c r="CW132" t="s">
        <v>805</v>
      </c>
      <c r="CX132" t="s">
        <v>805</v>
      </c>
      <c r="CY132" t="s">
        <v>805</v>
      </c>
      <c r="CZ132" t="s">
        <v>805</v>
      </c>
      <c r="DA132" t="s">
        <v>805</v>
      </c>
      <c r="DB132" t="s">
        <v>805</v>
      </c>
      <c r="DC132" t="s">
        <v>805</v>
      </c>
      <c r="DD132" t="s">
        <v>805</v>
      </c>
      <c r="DE132" t="s">
        <v>805</v>
      </c>
      <c r="DF132" t="s">
        <v>805</v>
      </c>
      <c r="DG132" s="28">
        <f>VLOOKUP(E132,'KPI Count-SHARE'!A:F,3,0)</f>
        <v>0</v>
      </c>
      <c r="DH132" t="s">
        <v>805</v>
      </c>
      <c r="DI132" t="s">
        <v>805</v>
      </c>
      <c r="DJ132" t="s">
        <v>805</v>
      </c>
      <c r="DK132" t="s">
        <v>805</v>
      </c>
      <c r="DL132" t="s">
        <v>805</v>
      </c>
      <c r="DM132" t="s">
        <v>805</v>
      </c>
      <c r="DN132" s="28">
        <f>VLOOKUP(E132,'KPI Count-SHARE'!A:F,4,0)</f>
        <v>0</v>
      </c>
      <c r="DU132" s="28">
        <f>VLOOKUP(E132,'KPI Count-SHARE'!A:F,5,0)</f>
        <v>0</v>
      </c>
      <c r="EB132" s="28">
        <f>VLOOKUP(E132,'KPI Count-SHARE'!A:F,6,0)</f>
        <v>0</v>
      </c>
      <c r="EI132" t="s">
        <v>531</v>
      </c>
      <c r="EJ132" s="41" t="str">
        <f t="shared" si="1048"/>
        <v/>
      </c>
      <c r="EK132" s="41" t="str">
        <f t="shared" si="1049"/>
        <v/>
      </c>
      <c r="EL132" s="41" t="str">
        <f t="shared" si="1050"/>
        <v/>
      </c>
      <c r="EM132" s="41" t="str">
        <f t="shared" si="1051"/>
        <v/>
      </c>
      <c r="EN132" s="41" t="str">
        <f t="shared" si="1052"/>
        <v/>
      </c>
      <c r="EO132" s="41" t="str">
        <f t="shared" si="1053"/>
        <v/>
      </c>
      <c r="EP132" s="41" t="str">
        <f t="shared" si="1054"/>
        <v/>
      </c>
      <c r="EQ132" s="41" t="str">
        <f t="shared" si="1055"/>
        <v/>
      </c>
      <c r="ER132" s="41" t="str">
        <f t="shared" si="1056"/>
        <v/>
      </c>
      <c r="ES132" s="41" t="str">
        <f t="shared" si="1057"/>
        <v/>
      </c>
      <c r="ET132" s="41" t="str">
        <f t="shared" si="1058"/>
        <v/>
      </c>
      <c r="EU132" s="41" t="str">
        <f t="shared" si="1059"/>
        <v/>
      </c>
      <c r="EV132" s="41" t="str">
        <f t="shared" si="1060"/>
        <v/>
      </c>
      <c r="EW132" s="41" t="str">
        <f t="shared" si="1061"/>
        <v/>
      </c>
      <c r="EX132" s="41" t="str">
        <f t="shared" si="1062"/>
        <v/>
      </c>
      <c r="EY132" s="41" t="str">
        <f t="shared" si="1063"/>
        <v/>
      </c>
      <c r="EZ132" s="41" t="str">
        <f t="shared" si="1064"/>
        <v/>
      </c>
      <c r="FA132" s="41" t="str">
        <f t="shared" si="1065"/>
        <v/>
      </c>
      <c r="FB132" s="41" t="str">
        <f t="shared" si="1066"/>
        <v/>
      </c>
      <c r="FC132" s="41" t="str">
        <f t="shared" si="1067"/>
        <v/>
      </c>
      <c r="FD132" s="41" t="str">
        <f t="shared" si="1068"/>
        <v/>
      </c>
      <c r="FE132" s="41" t="str">
        <f t="shared" si="1069"/>
        <v/>
      </c>
      <c r="FF132" s="41" t="str">
        <f t="shared" si="1070"/>
        <v/>
      </c>
      <c r="FG132" s="41" t="str">
        <f t="shared" si="1071"/>
        <v/>
      </c>
      <c r="FH132" s="41" t="str">
        <f t="shared" si="1072"/>
        <v/>
      </c>
      <c r="FI132" s="41" t="str">
        <f t="shared" si="1073"/>
        <v/>
      </c>
      <c r="FJ132" s="41" t="str">
        <f t="shared" si="1074"/>
        <v/>
      </c>
      <c r="FK132" s="41" t="str">
        <f t="shared" si="1075"/>
        <v/>
      </c>
      <c r="FL132" s="41" t="str">
        <f t="shared" si="1076"/>
        <v/>
      </c>
      <c r="FM132" s="41" t="str">
        <f t="shared" si="1077"/>
        <v/>
      </c>
      <c r="FN132" s="41" t="str">
        <f t="shared" si="1078"/>
        <v/>
      </c>
      <c r="FO132" s="41" t="str">
        <f t="shared" si="1079"/>
        <v/>
      </c>
      <c r="FP132" s="41" t="str">
        <f t="shared" si="1080"/>
        <v/>
      </c>
      <c r="FQ132" s="41" t="str">
        <f t="shared" si="1081"/>
        <v/>
      </c>
      <c r="FR132" s="41" t="str">
        <f t="shared" si="1082"/>
        <v/>
      </c>
      <c r="FS132" s="41" t="str">
        <f t="shared" si="1083"/>
        <v/>
      </c>
      <c r="FT132" s="41" t="str">
        <f t="shared" si="1084"/>
        <v/>
      </c>
      <c r="FU132" s="41" t="str">
        <f t="shared" si="1085"/>
        <v/>
      </c>
      <c r="FV132" s="41" t="str">
        <f t="shared" si="1086"/>
        <v/>
      </c>
      <c r="FW132" s="41" t="str">
        <f t="shared" si="1087"/>
        <v/>
      </c>
      <c r="FX132" s="41" t="str">
        <f t="shared" si="1088"/>
        <v/>
      </c>
      <c r="FY132" s="41" t="str">
        <f t="shared" si="1089"/>
        <v/>
      </c>
      <c r="FZ132" s="41" t="str">
        <f t="shared" si="1090"/>
        <v/>
      </c>
      <c r="GA132" s="41" t="str">
        <f t="shared" si="1091"/>
        <v/>
      </c>
      <c r="GB132" s="41" t="str">
        <f t="shared" si="1092"/>
        <v/>
      </c>
      <c r="GC132" s="41" t="str">
        <f t="shared" si="1093"/>
        <v/>
      </c>
      <c r="GD132" s="41" t="str">
        <f t="shared" si="1094"/>
        <v/>
      </c>
      <c r="GE132" s="41" t="str">
        <f t="shared" si="1095"/>
        <v/>
      </c>
      <c r="GF132" s="41" t="str">
        <f t="shared" si="1096"/>
        <v/>
      </c>
      <c r="GG132" s="41" t="str">
        <f t="shared" si="1097"/>
        <v/>
      </c>
      <c r="GH132" s="41" t="str">
        <f t="shared" si="1098"/>
        <v/>
      </c>
      <c r="GI132" s="41" t="str">
        <f t="shared" si="1099"/>
        <v/>
      </c>
      <c r="GJ132" s="41" t="str">
        <f t="shared" si="1100"/>
        <v/>
      </c>
      <c r="GK132" s="41" t="str">
        <f t="shared" si="1101"/>
        <v/>
      </c>
      <c r="GL132" s="41" t="str">
        <f t="shared" si="1102"/>
        <v/>
      </c>
      <c r="GM132" s="41" t="str">
        <f t="shared" si="1103"/>
        <v/>
      </c>
      <c r="GN132" s="41" t="str">
        <f t="shared" si="1104"/>
        <v/>
      </c>
      <c r="GO132" s="41" t="str">
        <f t="shared" si="1105"/>
        <v/>
      </c>
      <c r="GP132" s="41" t="str">
        <f t="shared" si="1106"/>
        <v/>
      </c>
      <c r="GQ132" s="41" t="str">
        <f t="shared" si="1107"/>
        <v/>
      </c>
      <c r="GR132" s="41" t="str">
        <f t="shared" si="1108"/>
        <v/>
      </c>
      <c r="GS132" s="41" t="str">
        <f t="shared" si="1109"/>
        <v/>
      </c>
      <c r="GT132" s="41" t="str">
        <f t="shared" si="1110"/>
        <v/>
      </c>
      <c r="GU132" s="41" t="str">
        <f t="shared" si="1111"/>
        <v/>
      </c>
      <c r="GV132" s="41" t="str">
        <f t="shared" si="1112"/>
        <v/>
      </c>
      <c r="GW132" s="41" t="str">
        <f t="shared" si="1113"/>
        <v/>
      </c>
      <c r="GX132" s="41" t="str">
        <f t="shared" si="1114"/>
        <v/>
      </c>
      <c r="GY132" s="41" t="str">
        <f t="shared" si="1115"/>
        <v/>
      </c>
      <c r="GZ132" s="41" t="str">
        <f t="shared" si="1116"/>
        <v/>
      </c>
      <c r="HA132" s="41" t="str">
        <f t="shared" si="1117"/>
        <v/>
      </c>
      <c r="HB132" s="41" t="str">
        <f t="shared" si="1118"/>
        <v/>
      </c>
      <c r="HC132" s="41" t="str">
        <f t="shared" si="1119"/>
        <v/>
      </c>
      <c r="HD132" s="41" t="str">
        <f t="shared" si="1120"/>
        <v/>
      </c>
      <c r="HE132" s="41" t="str">
        <f t="shared" si="1121"/>
        <v/>
      </c>
      <c r="HF132" s="41" t="str">
        <f t="shared" si="1122"/>
        <v/>
      </c>
      <c r="HG132" s="41" t="str">
        <f t="shared" si="1123"/>
        <v/>
      </c>
      <c r="HH132" s="41" t="str">
        <f t="shared" si="1124"/>
        <v/>
      </c>
      <c r="HI132" s="41" t="str">
        <f t="shared" si="1125"/>
        <v/>
      </c>
      <c r="HJ132" s="41" t="str">
        <f t="shared" si="1126"/>
        <v/>
      </c>
      <c r="HK132" s="41" t="str">
        <f t="shared" si="1127"/>
        <v/>
      </c>
      <c r="HL132" s="41" t="str">
        <f t="shared" si="1128"/>
        <v/>
      </c>
      <c r="HM132" s="41" t="str">
        <f t="shared" si="1129"/>
        <v/>
      </c>
      <c r="HN132" s="41" t="str">
        <f t="shared" si="1130"/>
        <v/>
      </c>
      <c r="HO132" s="41" t="str">
        <f t="shared" si="1131"/>
        <v/>
      </c>
      <c r="HP132" s="41" t="str">
        <f t="shared" si="1132"/>
        <v/>
      </c>
      <c r="HQ132" s="41" t="str">
        <f t="shared" si="1133"/>
        <v/>
      </c>
      <c r="HR132" s="41" t="str">
        <f t="shared" si="1134"/>
        <v/>
      </c>
      <c r="HS132" s="41" t="str">
        <f t="shared" si="1135"/>
        <v/>
      </c>
      <c r="HT132" s="41" t="str">
        <f t="shared" si="1136"/>
        <v/>
      </c>
      <c r="HU132" s="41" t="str">
        <f t="shared" si="1137"/>
        <v/>
      </c>
      <c r="HV132" s="41" t="str">
        <f t="shared" si="1138"/>
        <v/>
      </c>
      <c r="HW132" s="41" t="str">
        <f t="shared" si="1139"/>
        <v/>
      </c>
      <c r="HX132" s="41" t="str">
        <f t="shared" si="1140"/>
        <v/>
      </c>
      <c r="HY132" s="41" t="str">
        <f t="shared" si="1141"/>
        <v/>
      </c>
      <c r="HZ132" s="41" t="str">
        <f t="shared" si="1142"/>
        <v/>
      </c>
      <c r="IA132" s="41" t="str">
        <f t="shared" si="1143"/>
        <v/>
      </c>
      <c r="IB132" s="41" t="str">
        <f t="shared" si="1144"/>
        <v/>
      </c>
      <c r="IC132" s="41" t="str">
        <f t="shared" si="1145"/>
        <v/>
      </c>
      <c r="ID132" s="41" t="str">
        <f t="shared" si="1146"/>
        <v/>
      </c>
      <c r="IE132" s="41" t="str">
        <f t="shared" si="1147"/>
        <v/>
      </c>
      <c r="IF132" s="41" t="str">
        <f t="shared" si="1148"/>
        <v/>
      </c>
      <c r="IG132" s="306" t="str">
        <f t="shared" si="1149"/>
        <v/>
      </c>
      <c r="IH132" s="44" t="str">
        <f t="shared" si="1150"/>
        <v/>
      </c>
      <c r="II132" s="44" t="str">
        <f t="shared" si="1151"/>
        <v/>
      </c>
      <c r="IJ132" s="44" t="str">
        <f t="shared" si="1152"/>
        <v/>
      </c>
      <c r="IK132" s="44" t="str">
        <f t="shared" si="1153"/>
        <v/>
      </c>
      <c r="IL132" s="44" t="str">
        <f t="shared" si="1154"/>
        <v/>
      </c>
      <c r="IM132" s="306" t="str">
        <f t="shared" si="1155"/>
        <v/>
      </c>
      <c r="IN132" s="44" t="str">
        <f t="shared" si="1156"/>
        <v/>
      </c>
      <c r="IO132" s="44" t="str">
        <f t="shared" si="1157"/>
        <v/>
      </c>
      <c r="IP132" s="44" t="str">
        <f t="shared" si="1158"/>
        <v/>
      </c>
      <c r="IQ132" s="44" t="str">
        <f t="shared" si="1159"/>
        <v/>
      </c>
      <c r="IR132" s="44" t="str">
        <f t="shared" si="1160"/>
        <v/>
      </c>
      <c r="IS132" s="306" t="str">
        <f t="shared" si="1161"/>
        <v/>
      </c>
      <c r="IT132" s="44" t="str">
        <f t="shared" si="1162"/>
        <v/>
      </c>
      <c r="IU132" s="44" t="str">
        <f t="shared" si="1163"/>
        <v/>
      </c>
      <c r="IV132" s="44" t="str">
        <f t="shared" si="1164"/>
        <v/>
      </c>
      <c r="IW132" s="44" t="str">
        <f t="shared" si="1165"/>
        <v/>
      </c>
      <c r="IX132" s="44" t="str">
        <f t="shared" si="1166"/>
        <v/>
      </c>
      <c r="IY132" s="306" t="str">
        <f t="shared" si="1167"/>
        <v/>
      </c>
      <c r="IZ132" s="44" t="str">
        <f t="shared" si="1168"/>
        <v/>
      </c>
      <c r="JA132" s="44" t="str">
        <f t="shared" si="1169"/>
        <v/>
      </c>
      <c r="JB132" s="44" t="str">
        <f t="shared" si="1170"/>
        <v/>
      </c>
      <c r="JC132" s="44" t="str">
        <f t="shared" si="1171"/>
        <v/>
      </c>
      <c r="JD132" s="307" t="str">
        <f t="shared" si="1172"/>
        <v/>
      </c>
      <c r="JF132" s="66">
        <f t="shared" si="779"/>
        <v>132</v>
      </c>
      <c r="JG132" s="66">
        <f t="shared" ca="1" si="789"/>
        <v>0</v>
      </c>
      <c r="JH132" s="66">
        <f t="shared" ca="1" si="790"/>
        <v>0</v>
      </c>
      <c r="JI132" s="66">
        <f t="shared" ca="1" si="791"/>
        <v>0</v>
      </c>
      <c r="JJ132" s="66">
        <f t="shared" ca="1" si="792"/>
        <v>0</v>
      </c>
      <c r="JK132" s="33"/>
      <c r="JL132" s="74" t="str">
        <f t="shared" ca="1" si="793"/>
        <v>-</v>
      </c>
      <c r="JM132" s="75">
        <f t="shared" ca="1" si="794"/>
        <v>0</v>
      </c>
      <c r="JN132" s="75">
        <f t="shared" ca="1" si="795"/>
        <v>0</v>
      </c>
      <c r="JO132" s="74" t="str">
        <f t="shared" ca="1" si="796"/>
        <v>-</v>
      </c>
      <c r="JP132" s="74">
        <f t="shared" ca="1" si="797"/>
        <v>0</v>
      </c>
    </row>
    <row r="133" spans="1:276" hidden="1" x14ac:dyDescent="0.35">
      <c r="A133" s="125" t="s">
        <v>805</v>
      </c>
      <c r="B133" s="125" t="s">
        <v>805</v>
      </c>
      <c r="C133" s="125" t="s">
        <v>805</v>
      </c>
      <c r="E133" s="142"/>
      <c r="F133" s="255"/>
      <c r="J133" s="211" t="s">
        <v>805</v>
      </c>
      <c r="K133" t="s">
        <v>805</v>
      </c>
      <c r="L133" t="s">
        <v>805</v>
      </c>
      <c r="M133" t="s">
        <v>805</v>
      </c>
      <c r="N133" t="s">
        <v>805</v>
      </c>
      <c r="O133" t="s">
        <v>805</v>
      </c>
      <c r="P133" t="s">
        <v>805</v>
      </c>
      <c r="Q133" t="s">
        <v>805</v>
      </c>
      <c r="R133" t="s">
        <v>805</v>
      </c>
      <c r="S133" t="s">
        <v>805</v>
      </c>
      <c r="T133" t="s">
        <v>805</v>
      </c>
      <c r="U133" t="s">
        <v>805</v>
      </c>
      <c r="V133" t="s">
        <v>805</v>
      </c>
      <c r="W133" t="s">
        <v>805</v>
      </c>
      <c r="X133" t="s">
        <v>805</v>
      </c>
      <c r="Y133" t="s">
        <v>805</v>
      </c>
      <c r="Z133" t="s">
        <v>805</v>
      </c>
      <c r="AA133" t="s">
        <v>805</v>
      </c>
      <c r="AB133" t="s">
        <v>805</v>
      </c>
      <c r="AC133" t="s">
        <v>805</v>
      </c>
      <c r="AD133" t="s">
        <v>805</v>
      </c>
      <c r="AE133" t="s">
        <v>805</v>
      </c>
      <c r="AF133" t="s">
        <v>805</v>
      </c>
      <c r="AG133" t="s">
        <v>805</v>
      </c>
      <c r="AH133" t="s">
        <v>805</v>
      </c>
      <c r="AI133" t="s">
        <v>805</v>
      </c>
      <c r="AJ133" t="s">
        <v>805</v>
      </c>
      <c r="AK133" t="s">
        <v>805</v>
      </c>
      <c r="AL133" t="s">
        <v>805</v>
      </c>
      <c r="AM133" t="s">
        <v>805</v>
      </c>
      <c r="AN133" t="s">
        <v>805</v>
      </c>
      <c r="AO133" t="s">
        <v>805</v>
      </c>
      <c r="AP133" t="s">
        <v>805</v>
      </c>
      <c r="AQ133" t="s">
        <v>805</v>
      </c>
      <c r="AR133" t="s">
        <v>805</v>
      </c>
      <c r="AS133" t="s">
        <v>805</v>
      </c>
      <c r="AT133" t="s">
        <v>805</v>
      </c>
      <c r="AU133" t="s">
        <v>805</v>
      </c>
      <c r="AV133" t="s">
        <v>805</v>
      </c>
      <c r="AW133" t="s">
        <v>805</v>
      </c>
      <c r="AX133" t="s">
        <v>805</v>
      </c>
      <c r="AY133" t="s">
        <v>805</v>
      </c>
      <c r="AZ133" t="s">
        <v>805</v>
      </c>
      <c r="BA133" t="s">
        <v>805</v>
      </c>
      <c r="BB133" t="s">
        <v>805</v>
      </c>
      <c r="BC133" t="s">
        <v>805</v>
      </c>
      <c r="BD133" t="s">
        <v>805</v>
      </c>
      <c r="BE133" t="s">
        <v>805</v>
      </c>
      <c r="BF133" t="s">
        <v>805</v>
      </c>
      <c r="BG133" t="s">
        <v>805</v>
      </c>
      <c r="BH133" t="s">
        <v>805</v>
      </c>
      <c r="BI133" t="s">
        <v>805</v>
      </c>
      <c r="BJ133" t="s">
        <v>805</v>
      </c>
      <c r="BK133" t="s">
        <v>805</v>
      </c>
      <c r="BL133" t="s">
        <v>805</v>
      </c>
      <c r="BM133" t="s">
        <v>805</v>
      </c>
      <c r="BN133" t="s">
        <v>805</v>
      </c>
      <c r="BO133" t="s">
        <v>805</v>
      </c>
      <c r="BP133" t="s">
        <v>805</v>
      </c>
      <c r="BQ133" t="s">
        <v>805</v>
      </c>
      <c r="BR133" t="s">
        <v>805</v>
      </c>
      <c r="BS133" t="s">
        <v>805</v>
      </c>
      <c r="BT133" t="s">
        <v>805</v>
      </c>
      <c r="BU133" t="s">
        <v>805</v>
      </c>
      <c r="BV133" t="s">
        <v>805</v>
      </c>
      <c r="BW133" t="s">
        <v>805</v>
      </c>
      <c r="BX133" t="s">
        <v>805</v>
      </c>
      <c r="BY133" t="s">
        <v>805</v>
      </c>
      <c r="BZ133" t="s">
        <v>805</v>
      </c>
      <c r="CA133" t="s">
        <v>805</v>
      </c>
      <c r="CB133" t="s">
        <v>805</v>
      </c>
      <c r="CC133" t="s">
        <v>805</v>
      </c>
      <c r="CD133" t="s">
        <v>805</v>
      </c>
      <c r="CE133" t="s">
        <v>805</v>
      </c>
      <c r="CF133" t="s">
        <v>805</v>
      </c>
      <c r="CG133" t="s">
        <v>805</v>
      </c>
      <c r="CH133" t="s">
        <v>805</v>
      </c>
      <c r="CI133" t="s">
        <v>805</v>
      </c>
      <c r="CJ133" t="s">
        <v>805</v>
      </c>
      <c r="CK133" t="s">
        <v>805</v>
      </c>
      <c r="CL133" t="s">
        <v>805</v>
      </c>
      <c r="CM133" t="s">
        <v>805</v>
      </c>
      <c r="CN133" t="s">
        <v>805</v>
      </c>
      <c r="CO133" t="s">
        <v>805</v>
      </c>
      <c r="CP133" t="s">
        <v>805</v>
      </c>
      <c r="CQ133" t="s">
        <v>805</v>
      </c>
      <c r="CR133" t="s">
        <v>805</v>
      </c>
      <c r="CS133" t="s">
        <v>805</v>
      </c>
      <c r="CT133" t="s">
        <v>805</v>
      </c>
      <c r="CU133" t="s">
        <v>805</v>
      </c>
      <c r="CV133" t="s">
        <v>805</v>
      </c>
      <c r="CW133" t="s">
        <v>805</v>
      </c>
      <c r="CX133" t="s">
        <v>805</v>
      </c>
      <c r="CY133" t="s">
        <v>805</v>
      </c>
      <c r="CZ133" t="s">
        <v>805</v>
      </c>
      <c r="DA133" t="s">
        <v>805</v>
      </c>
      <c r="DB133" t="s">
        <v>805</v>
      </c>
      <c r="DC133" t="s">
        <v>805</v>
      </c>
      <c r="DD133" t="s">
        <v>805</v>
      </c>
      <c r="DE133" t="s">
        <v>805</v>
      </c>
      <c r="DF133" t="s">
        <v>805</v>
      </c>
      <c r="DG133" s="28"/>
      <c r="DN133" s="28"/>
      <c r="DU133" s="28"/>
      <c r="EB133" s="28"/>
      <c r="JF133" s="66">
        <f t="shared" si="779"/>
        <v>133</v>
      </c>
      <c r="JG133" s="66">
        <f t="shared" ca="1" si="789"/>
        <v>0</v>
      </c>
      <c r="JH133" s="66">
        <f t="shared" ca="1" si="790"/>
        <v>0</v>
      </c>
      <c r="JI133" s="66">
        <f t="shared" ca="1" si="791"/>
        <v>0</v>
      </c>
      <c r="JJ133" s="66">
        <f t="shared" ca="1" si="792"/>
        <v>0</v>
      </c>
      <c r="JK133" s="33"/>
      <c r="JL133" s="74" t="str">
        <f t="shared" ca="1" si="793"/>
        <v>-</v>
      </c>
      <c r="JM133" s="75">
        <f t="shared" ca="1" si="794"/>
        <v>0</v>
      </c>
      <c r="JN133" s="75">
        <f t="shared" ca="1" si="795"/>
        <v>0</v>
      </c>
      <c r="JO133" s="74" t="str">
        <f t="shared" ca="1" si="796"/>
        <v>-</v>
      </c>
      <c r="JP133" s="74">
        <f t="shared" ca="1" si="797"/>
        <v>0</v>
      </c>
    </row>
    <row r="134" spans="1:276" ht="18.5" hidden="1" outlineLevel="1" x14ac:dyDescent="0.45">
      <c r="A134" s="125" t="s">
        <v>805</v>
      </c>
      <c r="B134" s="125" t="s">
        <v>805</v>
      </c>
      <c r="C134" s="125" t="s">
        <v>805</v>
      </c>
      <c r="D134" s="258"/>
      <c r="E134" s="258"/>
      <c r="F134" s="259" t="s">
        <v>746</v>
      </c>
      <c r="G134" s="258"/>
      <c r="H134" s="258"/>
      <c r="I134" s="258"/>
      <c r="J134" s="258" t="s">
        <v>805</v>
      </c>
      <c r="K134" s="258" t="s">
        <v>805</v>
      </c>
      <c r="L134" s="258" t="s">
        <v>805</v>
      </c>
      <c r="M134" s="258" t="s">
        <v>805</v>
      </c>
      <c r="N134" s="258" t="s">
        <v>805</v>
      </c>
      <c r="O134" s="258" t="s">
        <v>805</v>
      </c>
      <c r="P134" s="258" t="s">
        <v>805</v>
      </c>
      <c r="Q134" s="258" t="s">
        <v>805</v>
      </c>
      <c r="R134" s="258" t="s">
        <v>805</v>
      </c>
      <c r="S134" s="258" t="s">
        <v>805</v>
      </c>
      <c r="T134" s="258" t="s">
        <v>805</v>
      </c>
      <c r="U134" s="258" t="s">
        <v>805</v>
      </c>
      <c r="V134" s="258" t="s">
        <v>805</v>
      </c>
      <c r="W134" s="258" t="s">
        <v>805</v>
      </c>
      <c r="X134" s="258" t="s">
        <v>805</v>
      </c>
      <c r="Y134" s="258" t="s">
        <v>805</v>
      </c>
      <c r="Z134" s="258" t="s">
        <v>805</v>
      </c>
      <c r="AA134" s="258" t="s">
        <v>805</v>
      </c>
      <c r="AB134" s="258" t="s">
        <v>805</v>
      </c>
      <c r="AC134" s="258" t="s">
        <v>805</v>
      </c>
      <c r="AD134" s="258" t="s">
        <v>805</v>
      </c>
      <c r="AE134" s="258" t="s">
        <v>805</v>
      </c>
      <c r="AF134" s="258" t="s">
        <v>805</v>
      </c>
      <c r="AG134" s="258" t="s">
        <v>805</v>
      </c>
      <c r="AH134" s="258" t="s">
        <v>805</v>
      </c>
      <c r="AI134" s="258" t="s">
        <v>805</v>
      </c>
      <c r="AJ134" s="258" t="s">
        <v>805</v>
      </c>
      <c r="AK134" s="258" t="s">
        <v>805</v>
      </c>
      <c r="AL134" s="258" t="s">
        <v>805</v>
      </c>
      <c r="AM134" s="258" t="s">
        <v>805</v>
      </c>
      <c r="AN134" s="258" t="s">
        <v>805</v>
      </c>
      <c r="AO134" s="258" t="s">
        <v>805</v>
      </c>
      <c r="AP134" s="258" t="s">
        <v>805</v>
      </c>
      <c r="AQ134" s="258" t="s">
        <v>805</v>
      </c>
      <c r="AR134" s="258" t="s">
        <v>805</v>
      </c>
      <c r="AS134" s="258" t="s">
        <v>805</v>
      </c>
      <c r="AT134" s="258" t="s">
        <v>805</v>
      </c>
      <c r="AU134" s="258" t="s">
        <v>805</v>
      </c>
      <c r="AV134" s="258" t="s">
        <v>805</v>
      </c>
      <c r="AW134" s="258" t="s">
        <v>805</v>
      </c>
      <c r="AX134" s="258" t="s">
        <v>805</v>
      </c>
      <c r="AY134" s="258" t="s">
        <v>805</v>
      </c>
      <c r="AZ134" s="258" t="s">
        <v>805</v>
      </c>
      <c r="BA134" s="258" t="s">
        <v>805</v>
      </c>
      <c r="BB134" s="258" t="s">
        <v>805</v>
      </c>
      <c r="BC134" s="258" t="s">
        <v>805</v>
      </c>
      <c r="BD134" s="258" t="s">
        <v>805</v>
      </c>
      <c r="BE134" s="258" t="s">
        <v>805</v>
      </c>
      <c r="BF134" s="258" t="s">
        <v>805</v>
      </c>
      <c r="BG134" s="258" t="s">
        <v>805</v>
      </c>
      <c r="BH134" s="258" t="s">
        <v>805</v>
      </c>
      <c r="BI134" s="258" t="s">
        <v>805</v>
      </c>
      <c r="BJ134" s="258" t="s">
        <v>805</v>
      </c>
      <c r="BK134" s="258" t="s">
        <v>805</v>
      </c>
      <c r="BL134" s="258" t="s">
        <v>805</v>
      </c>
      <c r="BM134" s="258" t="s">
        <v>805</v>
      </c>
      <c r="BN134" s="258" t="s">
        <v>805</v>
      </c>
      <c r="BO134" s="258" t="s">
        <v>805</v>
      </c>
      <c r="BP134" s="258" t="s">
        <v>805</v>
      </c>
      <c r="BQ134" s="258" t="s">
        <v>805</v>
      </c>
      <c r="BR134" s="258" t="s">
        <v>805</v>
      </c>
      <c r="BS134" s="258" t="s">
        <v>805</v>
      </c>
      <c r="BT134" s="258" t="s">
        <v>805</v>
      </c>
      <c r="BU134" s="258" t="s">
        <v>805</v>
      </c>
      <c r="BV134" s="258" t="s">
        <v>805</v>
      </c>
      <c r="BW134" s="258" t="s">
        <v>805</v>
      </c>
      <c r="BX134" s="258" t="s">
        <v>805</v>
      </c>
      <c r="BY134" s="258" t="s">
        <v>805</v>
      </c>
      <c r="BZ134" s="258" t="s">
        <v>805</v>
      </c>
      <c r="CA134" s="258" t="s">
        <v>805</v>
      </c>
      <c r="CB134" s="258" t="s">
        <v>805</v>
      </c>
      <c r="CC134" s="258" t="s">
        <v>805</v>
      </c>
      <c r="CD134" s="258" t="s">
        <v>805</v>
      </c>
      <c r="CE134" s="258" t="s">
        <v>805</v>
      </c>
      <c r="CF134" s="258" t="s">
        <v>805</v>
      </c>
      <c r="CG134" s="258" t="s">
        <v>805</v>
      </c>
      <c r="CH134" s="258" t="s">
        <v>805</v>
      </c>
      <c r="CI134" s="258" t="s">
        <v>805</v>
      </c>
      <c r="CJ134" s="258" t="s">
        <v>805</v>
      </c>
      <c r="CK134" s="258" t="s">
        <v>805</v>
      </c>
      <c r="CL134" s="258" t="s">
        <v>805</v>
      </c>
      <c r="CM134" s="258" t="s">
        <v>805</v>
      </c>
      <c r="CN134" s="258" t="s">
        <v>805</v>
      </c>
      <c r="CO134" s="258" t="s">
        <v>805</v>
      </c>
      <c r="CP134" s="258" t="s">
        <v>805</v>
      </c>
      <c r="CQ134" s="258" t="s">
        <v>805</v>
      </c>
      <c r="CR134" s="258" t="s">
        <v>805</v>
      </c>
      <c r="CS134" s="258" t="s">
        <v>805</v>
      </c>
      <c r="CT134" s="258" t="s">
        <v>805</v>
      </c>
      <c r="CU134" s="258" t="s">
        <v>805</v>
      </c>
      <c r="CV134" s="258" t="s">
        <v>805</v>
      </c>
      <c r="CW134" s="258" t="s">
        <v>805</v>
      </c>
      <c r="CX134" s="258" t="s">
        <v>805</v>
      </c>
      <c r="CY134" s="258" t="s">
        <v>805</v>
      </c>
      <c r="CZ134" s="258" t="s">
        <v>805</v>
      </c>
      <c r="DA134" s="258" t="s">
        <v>805</v>
      </c>
      <c r="DB134" s="258" t="s">
        <v>805</v>
      </c>
      <c r="DC134" s="258" t="s">
        <v>805</v>
      </c>
      <c r="DD134" s="258" t="s">
        <v>805</v>
      </c>
      <c r="DE134" s="258" t="s">
        <v>805</v>
      </c>
      <c r="DF134" s="258" t="s">
        <v>805</v>
      </c>
      <c r="DG134" s="274"/>
      <c r="DH134" s="258"/>
      <c r="DI134" s="258"/>
      <c r="DJ134" s="258"/>
      <c r="DK134" s="258"/>
      <c r="DL134" s="258"/>
      <c r="DM134" s="258"/>
      <c r="DN134" s="274"/>
      <c r="DO134" s="258"/>
      <c r="DP134" s="258"/>
      <c r="DQ134" s="258"/>
      <c r="DR134" s="258"/>
      <c r="DS134" s="258"/>
      <c r="DT134" s="258"/>
      <c r="DU134" s="274"/>
      <c r="DV134" s="258"/>
      <c r="DW134" s="258"/>
      <c r="DX134" s="258"/>
      <c r="DY134" s="258"/>
      <c r="DZ134" s="258"/>
      <c r="EA134" s="258"/>
      <c r="EB134" s="274"/>
      <c r="EC134" s="258"/>
      <c r="ED134" s="258"/>
      <c r="EE134" s="258"/>
      <c r="EF134" s="258"/>
      <c r="EG134" s="258"/>
      <c r="EH134" s="258"/>
      <c r="EI134" s="258"/>
      <c r="EJ134" s="258"/>
      <c r="EK134" s="258"/>
      <c r="EL134" s="258"/>
      <c r="EM134" s="258"/>
      <c r="EN134" s="258"/>
      <c r="EO134" s="258"/>
      <c r="EP134" s="258"/>
      <c r="EQ134" s="258"/>
      <c r="ER134" s="258"/>
      <c r="ES134" s="258"/>
      <c r="ET134" s="258"/>
      <c r="EU134" s="258"/>
      <c r="EV134" s="258"/>
      <c r="EW134" s="258"/>
      <c r="EX134" s="258"/>
      <c r="EY134" s="258"/>
      <c r="EZ134" s="258"/>
      <c r="FA134" s="258"/>
      <c r="FB134" s="258"/>
      <c r="FC134" s="258"/>
      <c r="FD134" s="258"/>
      <c r="FE134" s="258"/>
      <c r="FF134" s="258"/>
      <c r="FG134" s="258"/>
      <c r="FH134" s="258"/>
      <c r="FI134" s="258"/>
      <c r="FJ134" s="258"/>
      <c r="FK134" s="258"/>
      <c r="FL134" s="258"/>
      <c r="FM134" s="258"/>
      <c r="FN134" s="258"/>
      <c r="FO134" s="258"/>
      <c r="FP134" s="258"/>
      <c r="FQ134" s="258"/>
      <c r="FR134" s="258"/>
      <c r="FS134" s="258"/>
      <c r="FT134" s="258"/>
      <c r="FU134" s="258"/>
      <c r="FV134" s="258"/>
      <c r="FW134" s="258"/>
      <c r="FX134" s="258"/>
      <c r="FY134" s="258"/>
      <c r="FZ134" s="258"/>
      <c r="GA134" s="258"/>
      <c r="GB134" s="258"/>
      <c r="GC134" s="258"/>
      <c r="GD134" s="258"/>
      <c r="GE134" s="258"/>
      <c r="GF134" s="258"/>
      <c r="GG134" s="258"/>
      <c r="GH134" s="258"/>
      <c r="GI134" s="258"/>
      <c r="GJ134" s="258"/>
      <c r="GK134" s="258"/>
      <c r="GL134" s="258"/>
      <c r="GM134" s="258"/>
      <c r="GN134" s="258"/>
      <c r="GO134" s="258"/>
      <c r="GP134" s="258"/>
      <c r="GQ134" s="258"/>
      <c r="GR134" s="258"/>
      <c r="GS134" s="258"/>
      <c r="GT134" s="258"/>
      <c r="GU134" s="258"/>
      <c r="GV134" s="258"/>
      <c r="GW134" s="258"/>
      <c r="GX134" s="258"/>
      <c r="GY134" s="258"/>
      <c r="GZ134" s="258"/>
      <c r="HA134" s="258"/>
      <c r="HB134" s="258"/>
      <c r="HC134" s="258"/>
      <c r="HD134" s="258"/>
      <c r="HE134" s="258"/>
      <c r="HF134" s="258"/>
      <c r="HG134" s="258"/>
      <c r="HH134" s="258"/>
      <c r="HI134" s="258"/>
      <c r="HJ134" s="258"/>
      <c r="HK134" s="258"/>
      <c r="HL134" s="258"/>
      <c r="HM134" s="258"/>
      <c r="HN134" s="258"/>
      <c r="HO134" s="258"/>
      <c r="HP134" s="258"/>
      <c r="HQ134" s="258"/>
      <c r="HR134" s="258"/>
      <c r="HS134" s="258"/>
      <c r="HT134" s="258"/>
      <c r="HU134" s="258"/>
      <c r="HV134" s="258"/>
      <c r="HW134" s="258"/>
      <c r="HX134" s="258"/>
      <c r="HY134" s="258"/>
      <c r="HZ134" s="258"/>
      <c r="IA134" s="258"/>
      <c r="IB134" s="258"/>
      <c r="IC134" s="258"/>
      <c r="ID134" s="258"/>
      <c r="IE134" s="258"/>
      <c r="IF134" s="258"/>
      <c r="IG134" s="330"/>
      <c r="IH134" s="260"/>
      <c r="II134" s="260"/>
      <c r="IJ134" s="260"/>
      <c r="IK134" s="260"/>
      <c r="IL134" s="260"/>
      <c r="IM134" s="330"/>
      <c r="IN134" s="260"/>
      <c r="IO134" s="260"/>
      <c r="IP134" s="260"/>
      <c r="IQ134" s="260"/>
      <c r="IR134" s="260"/>
      <c r="IS134" s="330"/>
      <c r="IT134" s="260"/>
      <c r="IU134" s="260"/>
      <c r="IV134" s="260"/>
      <c r="IW134" s="260"/>
      <c r="IX134" s="260"/>
      <c r="IY134" s="330"/>
      <c r="IZ134" s="260"/>
      <c r="JA134" s="260"/>
      <c r="JB134" s="260"/>
      <c r="JC134" s="260"/>
      <c r="JD134" s="331"/>
      <c r="JF134" s="66"/>
      <c r="JG134" s="66"/>
      <c r="JH134" s="66"/>
      <c r="JI134" s="66"/>
      <c r="JJ134" s="66"/>
      <c r="JK134" s="33"/>
      <c r="JL134" s="74"/>
      <c r="JM134" s="75"/>
      <c r="JN134" s="75"/>
      <c r="JO134" s="74"/>
      <c r="JP134" s="74"/>
    </row>
    <row r="135" spans="1:276" hidden="1" outlineLevel="1" x14ac:dyDescent="0.35">
      <c r="A135" s="125" t="s">
        <v>805</v>
      </c>
      <c r="B135" s="125" t="s">
        <v>805</v>
      </c>
      <c r="C135" s="125" t="s">
        <v>805</v>
      </c>
      <c r="D135" s="256"/>
      <c r="E135" s="256"/>
      <c r="F135" s="257" t="s">
        <v>747</v>
      </c>
      <c r="G135" s="256"/>
      <c r="H135" s="256"/>
      <c r="I135" s="256"/>
      <c r="J135" s="256" t="s">
        <v>805</v>
      </c>
      <c r="K135" s="256" t="s">
        <v>805</v>
      </c>
      <c r="L135" s="256" t="s">
        <v>805</v>
      </c>
      <c r="M135" s="256" t="s">
        <v>805</v>
      </c>
      <c r="N135" s="256" t="s">
        <v>805</v>
      </c>
      <c r="O135" s="256" t="s">
        <v>805</v>
      </c>
      <c r="P135" s="256" t="s">
        <v>805</v>
      </c>
      <c r="Q135" s="256" t="s">
        <v>805</v>
      </c>
      <c r="R135" s="256" t="s">
        <v>805</v>
      </c>
      <c r="S135" s="256" t="s">
        <v>805</v>
      </c>
      <c r="T135" s="256" t="s">
        <v>805</v>
      </c>
      <c r="U135" s="256" t="s">
        <v>805</v>
      </c>
      <c r="V135" s="256" t="s">
        <v>805</v>
      </c>
      <c r="W135" s="256" t="s">
        <v>805</v>
      </c>
      <c r="X135" s="256" t="s">
        <v>805</v>
      </c>
      <c r="Y135" s="256" t="s">
        <v>805</v>
      </c>
      <c r="Z135" s="256" t="s">
        <v>805</v>
      </c>
      <c r="AA135" s="256" t="s">
        <v>805</v>
      </c>
      <c r="AB135" s="256" t="s">
        <v>805</v>
      </c>
      <c r="AC135" s="256" t="s">
        <v>805</v>
      </c>
      <c r="AD135" s="256" t="s">
        <v>805</v>
      </c>
      <c r="AE135" s="256" t="s">
        <v>805</v>
      </c>
      <c r="AF135" s="256" t="s">
        <v>805</v>
      </c>
      <c r="AG135" s="256" t="s">
        <v>805</v>
      </c>
      <c r="AH135" s="256" t="s">
        <v>805</v>
      </c>
      <c r="AI135" s="256" t="s">
        <v>805</v>
      </c>
      <c r="AJ135" s="256" t="s">
        <v>805</v>
      </c>
      <c r="AK135" s="256" t="s">
        <v>805</v>
      </c>
      <c r="AL135" s="256" t="s">
        <v>805</v>
      </c>
      <c r="AM135" s="256" t="s">
        <v>805</v>
      </c>
      <c r="AN135" s="256" t="s">
        <v>805</v>
      </c>
      <c r="AO135" s="256" t="s">
        <v>805</v>
      </c>
      <c r="AP135" s="256" t="s">
        <v>805</v>
      </c>
      <c r="AQ135" s="256" t="s">
        <v>805</v>
      </c>
      <c r="AR135" s="256" t="s">
        <v>805</v>
      </c>
      <c r="AS135" s="256" t="s">
        <v>805</v>
      </c>
      <c r="AT135" s="256" t="s">
        <v>805</v>
      </c>
      <c r="AU135" s="256" t="s">
        <v>805</v>
      </c>
      <c r="AV135" s="256" t="s">
        <v>805</v>
      </c>
      <c r="AW135" s="256" t="s">
        <v>805</v>
      </c>
      <c r="AX135" s="256" t="s">
        <v>805</v>
      </c>
      <c r="AY135" s="256" t="s">
        <v>805</v>
      </c>
      <c r="AZ135" s="256" t="s">
        <v>805</v>
      </c>
      <c r="BA135" s="256" t="s">
        <v>805</v>
      </c>
      <c r="BB135" s="256" t="s">
        <v>805</v>
      </c>
      <c r="BC135" s="256" t="s">
        <v>805</v>
      </c>
      <c r="BD135" s="256" t="s">
        <v>805</v>
      </c>
      <c r="BE135" s="256" t="s">
        <v>805</v>
      </c>
      <c r="BF135" s="256" t="s">
        <v>805</v>
      </c>
      <c r="BG135" s="256" t="s">
        <v>805</v>
      </c>
      <c r="BH135" s="256" t="s">
        <v>805</v>
      </c>
      <c r="BI135" s="256" t="s">
        <v>805</v>
      </c>
      <c r="BJ135" s="256" t="s">
        <v>805</v>
      </c>
      <c r="BK135" s="256" t="s">
        <v>805</v>
      </c>
      <c r="BL135" s="256" t="s">
        <v>805</v>
      </c>
      <c r="BM135" s="256" t="s">
        <v>805</v>
      </c>
      <c r="BN135" s="256" t="s">
        <v>805</v>
      </c>
      <c r="BO135" s="256" t="s">
        <v>805</v>
      </c>
      <c r="BP135" s="256" t="s">
        <v>805</v>
      </c>
      <c r="BQ135" s="256" t="s">
        <v>805</v>
      </c>
      <c r="BR135" s="256" t="s">
        <v>805</v>
      </c>
      <c r="BS135" s="256" t="s">
        <v>805</v>
      </c>
      <c r="BT135" s="256" t="s">
        <v>805</v>
      </c>
      <c r="BU135" s="256" t="s">
        <v>805</v>
      </c>
      <c r="BV135" s="256" t="s">
        <v>805</v>
      </c>
      <c r="BW135" s="256" t="s">
        <v>805</v>
      </c>
      <c r="BX135" s="256" t="s">
        <v>805</v>
      </c>
      <c r="BY135" s="256" t="s">
        <v>805</v>
      </c>
      <c r="BZ135" s="256" t="s">
        <v>805</v>
      </c>
      <c r="CA135" s="256" t="s">
        <v>805</v>
      </c>
      <c r="CB135" s="256" t="s">
        <v>805</v>
      </c>
      <c r="CC135" s="256" t="s">
        <v>805</v>
      </c>
      <c r="CD135" s="256" t="s">
        <v>805</v>
      </c>
      <c r="CE135" s="256" t="s">
        <v>805</v>
      </c>
      <c r="CF135" s="256" t="s">
        <v>805</v>
      </c>
      <c r="CG135" s="256" t="s">
        <v>805</v>
      </c>
      <c r="CH135" s="256" t="s">
        <v>805</v>
      </c>
      <c r="CI135" s="256" t="s">
        <v>805</v>
      </c>
      <c r="CJ135" s="256" t="s">
        <v>805</v>
      </c>
      <c r="CK135" s="256" t="s">
        <v>805</v>
      </c>
      <c r="CL135" s="256" t="s">
        <v>805</v>
      </c>
      <c r="CM135" s="256" t="s">
        <v>805</v>
      </c>
      <c r="CN135" s="256" t="s">
        <v>805</v>
      </c>
      <c r="CO135" s="256" t="s">
        <v>805</v>
      </c>
      <c r="CP135" s="256" t="s">
        <v>805</v>
      </c>
      <c r="CQ135" s="256" t="s">
        <v>805</v>
      </c>
      <c r="CR135" s="256" t="s">
        <v>805</v>
      </c>
      <c r="CS135" s="256" t="s">
        <v>805</v>
      </c>
      <c r="CT135" s="256" t="s">
        <v>805</v>
      </c>
      <c r="CU135" s="256" t="s">
        <v>805</v>
      </c>
      <c r="CV135" s="256" t="s">
        <v>805</v>
      </c>
      <c r="CW135" s="256" t="s">
        <v>805</v>
      </c>
      <c r="CX135" s="256" t="s">
        <v>805</v>
      </c>
      <c r="CY135" s="256" t="s">
        <v>805</v>
      </c>
      <c r="CZ135" s="256" t="s">
        <v>805</v>
      </c>
      <c r="DA135" s="256" t="s">
        <v>805</v>
      </c>
      <c r="DB135" s="256" t="s">
        <v>805</v>
      </c>
      <c r="DC135" s="256" t="s">
        <v>805</v>
      </c>
      <c r="DD135" s="256" t="s">
        <v>805</v>
      </c>
      <c r="DE135" s="256" t="s">
        <v>805</v>
      </c>
      <c r="DF135" s="256" t="s">
        <v>805</v>
      </c>
      <c r="DG135" s="273"/>
      <c r="DH135" s="256"/>
      <c r="DI135" s="256"/>
      <c r="DJ135" s="256"/>
      <c r="DK135" s="256"/>
      <c r="DL135" s="256"/>
      <c r="DM135" s="256"/>
      <c r="DN135" s="273"/>
      <c r="DO135" s="256"/>
      <c r="DP135" s="256"/>
      <c r="DQ135" s="256"/>
      <c r="DR135" s="256"/>
      <c r="DS135" s="256"/>
      <c r="DT135" s="256"/>
      <c r="DU135" s="273"/>
      <c r="DV135" s="256"/>
      <c r="DW135" s="256"/>
      <c r="DX135" s="256"/>
      <c r="DY135" s="256"/>
      <c r="DZ135" s="256"/>
      <c r="EA135" s="256"/>
      <c r="EB135" s="273"/>
      <c r="EC135" s="256"/>
      <c r="ED135" s="256"/>
      <c r="EE135" s="256"/>
      <c r="EF135" s="256"/>
      <c r="EG135" s="256"/>
      <c r="EH135" s="256"/>
      <c r="EI135" s="256"/>
      <c r="EJ135" s="256"/>
      <c r="EK135" s="256"/>
      <c r="EL135" s="256"/>
      <c r="EM135" s="256"/>
      <c r="EN135" s="256"/>
      <c r="EO135" s="256"/>
      <c r="EP135" s="256"/>
      <c r="EQ135" s="256"/>
      <c r="ER135" s="256"/>
      <c r="ES135" s="256"/>
      <c r="ET135" s="256"/>
      <c r="EU135" s="256"/>
      <c r="EV135" s="256"/>
      <c r="EW135" s="256"/>
      <c r="EX135" s="256"/>
      <c r="EY135" s="256"/>
      <c r="EZ135" s="256"/>
      <c r="FA135" s="256"/>
      <c r="FB135" s="256"/>
      <c r="FC135" s="256"/>
      <c r="FD135" s="256"/>
      <c r="FE135" s="256"/>
      <c r="FF135" s="256"/>
      <c r="FG135" s="256"/>
      <c r="FH135" s="256"/>
      <c r="FI135" s="256"/>
      <c r="FJ135" s="256"/>
      <c r="FK135" s="256"/>
      <c r="FL135" s="256"/>
      <c r="FM135" s="256"/>
      <c r="FN135" s="256"/>
      <c r="FO135" s="256"/>
      <c r="FP135" s="256"/>
      <c r="FQ135" s="256"/>
      <c r="FR135" s="256"/>
      <c r="FS135" s="256"/>
      <c r="FT135" s="256"/>
      <c r="FU135" s="256"/>
      <c r="FV135" s="256"/>
      <c r="FW135" s="256"/>
      <c r="FX135" s="256"/>
      <c r="FY135" s="256"/>
      <c r="FZ135" s="256"/>
      <c r="GA135" s="256"/>
      <c r="GB135" s="256"/>
      <c r="GC135" s="256"/>
      <c r="GD135" s="256"/>
      <c r="GE135" s="256"/>
      <c r="GF135" s="256"/>
      <c r="GG135" s="256"/>
      <c r="GH135" s="256"/>
      <c r="GI135" s="256"/>
      <c r="GJ135" s="256"/>
      <c r="GK135" s="256"/>
      <c r="GL135" s="256"/>
      <c r="GM135" s="256"/>
      <c r="GN135" s="256"/>
      <c r="GO135" s="256"/>
      <c r="GP135" s="256"/>
      <c r="GQ135" s="256"/>
      <c r="GR135" s="256"/>
      <c r="GS135" s="256"/>
      <c r="GT135" s="256"/>
      <c r="GU135" s="256"/>
      <c r="GV135" s="256"/>
      <c r="GW135" s="256"/>
      <c r="GX135" s="256"/>
      <c r="GY135" s="256"/>
      <c r="GZ135" s="256"/>
      <c r="HA135" s="256"/>
      <c r="HB135" s="256"/>
      <c r="HC135" s="256"/>
      <c r="HD135" s="256"/>
      <c r="HE135" s="256"/>
      <c r="HF135" s="256"/>
      <c r="HG135" s="256"/>
      <c r="HH135" s="256"/>
      <c r="HI135" s="256"/>
      <c r="HJ135" s="256"/>
      <c r="HK135" s="256"/>
      <c r="HL135" s="256"/>
      <c r="HM135" s="256"/>
      <c r="HN135" s="256"/>
      <c r="HO135" s="256"/>
      <c r="HP135" s="256"/>
      <c r="HQ135" s="256"/>
      <c r="HR135" s="256"/>
      <c r="HS135" s="256"/>
      <c r="HT135" s="256"/>
      <c r="HU135" s="256"/>
      <c r="HV135" s="256"/>
      <c r="HW135" s="256"/>
      <c r="HX135" s="256"/>
      <c r="HY135" s="256"/>
      <c r="HZ135" s="256"/>
      <c r="IA135" s="256"/>
      <c r="IB135" s="256"/>
      <c r="IC135" s="256"/>
      <c r="ID135" s="256"/>
      <c r="IE135" s="256"/>
      <c r="IF135" s="256"/>
      <c r="IG135" s="328"/>
      <c r="IH135" s="287"/>
      <c r="II135" s="287"/>
      <c r="IJ135" s="287"/>
      <c r="IK135" s="287"/>
      <c r="IL135" s="287"/>
      <c r="IM135" s="328"/>
      <c r="IN135" s="287"/>
      <c r="IO135" s="287"/>
      <c r="IP135" s="287"/>
      <c r="IQ135" s="287"/>
      <c r="IR135" s="287"/>
      <c r="IS135" s="328"/>
      <c r="IT135" s="287"/>
      <c r="IU135" s="287"/>
      <c r="IV135" s="287"/>
      <c r="IW135" s="287"/>
      <c r="IX135" s="287"/>
      <c r="IY135" s="328"/>
      <c r="IZ135" s="287"/>
      <c r="JA135" s="287"/>
      <c r="JB135" s="287"/>
      <c r="JC135" s="287"/>
      <c r="JD135" s="329"/>
      <c r="JF135" s="66"/>
      <c r="JG135" s="66"/>
      <c r="JH135" s="66"/>
      <c r="JI135" s="66"/>
      <c r="JJ135" s="66"/>
      <c r="JK135" s="33"/>
      <c r="JL135" s="74"/>
      <c r="JM135" s="75"/>
      <c r="JN135" s="75"/>
      <c r="JO135" s="74"/>
      <c r="JP135" s="74"/>
    </row>
    <row r="136" spans="1:276" hidden="1" outlineLevel="1" x14ac:dyDescent="0.35">
      <c r="A136" s="125" t="s">
        <v>805</v>
      </c>
      <c r="B136" s="125" t="s">
        <v>805</v>
      </c>
      <c r="C136" s="125" t="s">
        <v>805</v>
      </c>
      <c r="E136" s="142" t="s">
        <v>859</v>
      </c>
      <c r="F136" s="254" t="s">
        <v>748</v>
      </c>
      <c r="G136" t="s">
        <v>540</v>
      </c>
      <c r="H136" t="s">
        <v>531</v>
      </c>
      <c r="I136" t="s">
        <v>534</v>
      </c>
      <c r="J136" s="211" t="s">
        <v>805</v>
      </c>
      <c r="K136" t="s">
        <v>805</v>
      </c>
      <c r="L136" t="s">
        <v>805</v>
      </c>
      <c r="M136" t="s">
        <v>805</v>
      </c>
      <c r="N136" t="s">
        <v>805</v>
      </c>
      <c r="O136" t="s">
        <v>805</v>
      </c>
      <c r="P136" t="s">
        <v>805</v>
      </c>
      <c r="Q136" t="s">
        <v>805</v>
      </c>
      <c r="R136" t="s">
        <v>805</v>
      </c>
      <c r="S136" t="s">
        <v>805</v>
      </c>
      <c r="T136" t="s">
        <v>805</v>
      </c>
      <c r="U136" t="s">
        <v>805</v>
      </c>
      <c r="V136" t="s">
        <v>805</v>
      </c>
      <c r="W136" t="s">
        <v>805</v>
      </c>
      <c r="X136" t="s">
        <v>805</v>
      </c>
      <c r="Y136" t="s">
        <v>805</v>
      </c>
      <c r="Z136" t="s">
        <v>805</v>
      </c>
      <c r="AA136" t="s">
        <v>805</v>
      </c>
      <c r="AB136" t="s">
        <v>805</v>
      </c>
      <c r="AC136" t="s">
        <v>805</v>
      </c>
      <c r="AD136" t="s">
        <v>805</v>
      </c>
      <c r="AE136" t="s">
        <v>805</v>
      </c>
      <c r="AF136" t="s">
        <v>805</v>
      </c>
      <c r="AG136" t="s">
        <v>805</v>
      </c>
      <c r="AH136" t="s">
        <v>805</v>
      </c>
      <c r="AI136" t="s">
        <v>805</v>
      </c>
      <c r="AJ136" t="s">
        <v>805</v>
      </c>
      <c r="AK136" t="s">
        <v>805</v>
      </c>
      <c r="AL136" t="s">
        <v>805</v>
      </c>
      <c r="AM136" t="s">
        <v>805</v>
      </c>
      <c r="AN136" t="s">
        <v>805</v>
      </c>
      <c r="AO136" t="s">
        <v>805</v>
      </c>
      <c r="AP136" t="s">
        <v>805</v>
      </c>
      <c r="AQ136" t="s">
        <v>805</v>
      </c>
      <c r="AR136" t="s">
        <v>805</v>
      </c>
      <c r="AS136" t="s">
        <v>805</v>
      </c>
      <c r="AT136" t="s">
        <v>805</v>
      </c>
      <c r="AU136" t="s">
        <v>805</v>
      </c>
      <c r="AV136" t="s">
        <v>805</v>
      </c>
      <c r="AW136" t="s">
        <v>805</v>
      </c>
      <c r="AX136" t="s">
        <v>805</v>
      </c>
      <c r="AY136" t="s">
        <v>805</v>
      </c>
      <c r="AZ136" t="s">
        <v>805</v>
      </c>
      <c r="BA136" t="s">
        <v>805</v>
      </c>
      <c r="BB136" t="s">
        <v>805</v>
      </c>
      <c r="BC136" t="s">
        <v>805</v>
      </c>
      <c r="BD136" t="s">
        <v>805</v>
      </c>
      <c r="BE136" t="s">
        <v>805</v>
      </c>
      <c r="BF136" t="s">
        <v>805</v>
      </c>
      <c r="BG136" t="s">
        <v>805</v>
      </c>
      <c r="BH136" t="s">
        <v>805</v>
      </c>
      <c r="BI136" t="s">
        <v>805</v>
      </c>
      <c r="BJ136" t="s">
        <v>805</v>
      </c>
      <c r="BK136" t="s">
        <v>805</v>
      </c>
      <c r="BL136" t="s">
        <v>805</v>
      </c>
      <c r="BM136" t="s">
        <v>805</v>
      </c>
      <c r="BN136" t="s">
        <v>805</v>
      </c>
      <c r="BO136" t="s">
        <v>805</v>
      </c>
      <c r="BP136" t="s">
        <v>805</v>
      </c>
      <c r="BQ136" t="s">
        <v>805</v>
      </c>
      <c r="BR136" t="s">
        <v>805</v>
      </c>
      <c r="BS136" t="s">
        <v>805</v>
      </c>
      <c r="BT136" t="s">
        <v>805</v>
      </c>
      <c r="BU136" t="s">
        <v>805</v>
      </c>
      <c r="BV136" t="s">
        <v>805</v>
      </c>
      <c r="BW136" t="s">
        <v>805</v>
      </c>
      <c r="BX136" t="s">
        <v>805</v>
      </c>
      <c r="BY136" t="s">
        <v>805</v>
      </c>
      <c r="BZ136" t="s">
        <v>805</v>
      </c>
      <c r="CA136" t="s">
        <v>805</v>
      </c>
      <c r="CB136" t="s">
        <v>805</v>
      </c>
      <c r="CC136" t="s">
        <v>805</v>
      </c>
      <c r="CD136" t="s">
        <v>805</v>
      </c>
      <c r="CE136" t="s">
        <v>805</v>
      </c>
      <c r="CF136" t="s">
        <v>805</v>
      </c>
      <c r="CG136" t="s">
        <v>805</v>
      </c>
      <c r="CH136" t="s">
        <v>805</v>
      </c>
      <c r="CI136" t="s">
        <v>805</v>
      </c>
      <c r="CJ136" t="s">
        <v>805</v>
      </c>
      <c r="CK136" t="s">
        <v>805</v>
      </c>
      <c r="CL136" t="s">
        <v>805</v>
      </c>
      <c r="CM136" t="s">
        <v>805</v>
      </c>
      <c r="CN136" t="s">
        <v>805</v>
      </c>
      <c r="CO136" t="s">
        <v>805</v>
      </c>
      <c r="CP136" t="s">
        <v>805</v>
      </c>
      <c r="CQ136" t="s">
        <v>805</v>
      </c>
      <c r="CR136" t="s">
        <v>805</v>
      </c>
      <c r="CS136" t="s">
        <v>805</v>
      </c>
      <c r="CT136" t="s">
        <v>805</v>
      </c>
      <c r="CU136" t="s">
        <v>805</v>
      </c>
      <c r="CV136" t="s">
        <v>805</v>
      </c>
      <c r="CW136" t="s">
        <v>805</v>
      </c>
      <c r="CX136" t="s">
        <v>805</v>
      </c>
      <c r="CY136" t="s">
        <v>805</v>
      </c>
      <c r="CZ136" t="s">
        <v>805</v>
      </c>
      <c r="DA136" t="s">
        <v>805</v>
      </c>
      <c r="DB136" t="s">
        <v>805</v>
      </c>
      <c r="DC136" t="s">
        <v>805</v>
      </c>
      <c r="DD136" t="s">
        <v>805</v>
      </c>
      <c r="DE136" t="s">
        <v>805</v>
      </c>
      <c r="DF136" t="s">
        <v>805</v>
      </c>
      <c r="DG136" s="28">
        <f>VLOOKUP(E136,'KPI Count-SHARE'!A:F,3,0)</f>
        <v>0</v>
      </c>
      <c r="DH136" t="s">
        <v>805</v>
      </c>
      <c r="DI136" t="s">
        <v>805</v>
      </c>
      <c r="DJ136" t="s">
        <v>805</v>
      </c>
      <c r="DK136" t="s">
        <v>805</v>
      </c>
      <c r="DL136" t="s">
        <v>805</v>
      </c>
      <c r="DM136" t="s">
        <v>805</v>
      </c>
      <c r="DN136" s="28">
        <f>VLOOKUP(E136,'KPI Count-SHARE'!A:F,4,0)</f>
        <v>0</v>
      </c>
      <c r="DU136" s="28">
        <f>VLOOKUP(E136,'KPI Count-SHARE'!A:F,5,0)</f>
        <v>0</v>
      </c>
      <c r="EB136" s="28">
        <f>VLOOKUP(E136,'KPI Count-SHARE'!A:F,6,0)</f>
        <v>0</v>
      </c>
      <c r="EI136" t="s">
        <v>531</v>
      </c>
      <c r="EJ136" s="237" t="str">
        <f t="shared" ref="EJ136:EJ145" si="1173">IFERROR(IF(ISBLANK(J136), "-", IF(OR($I136="c",$I136="r"), J136*$I$5, J136)),"-")</f>
        <v/>
      </c>
      <c r="EK136" s="237" t="str">
        <f t="shared" ref="EK136:EK145" si="1174">IFERROR(IF(ISBLANK(K136), "-", IF($I136="c", K136*$I$5, K136)),"-")</f>
        <v/>
      </c>
      <c r="EL136" s="237" t="str">
        <f t="shared" ref="EL136:EL145" si="1175">IFERROR(IF(ISBLANK(L136), "-", IF($I136="c", L136*$I$5, L136)),"-")</f>
        <v/>
      </c>
      <c r="EM136" s="237" t="str">
        <f t="shared" ref="EM136:EM145" si="1176">IFERROR(IF(ISBLANK(M136), "-", IF($I136="c", M136*$I$5,M136)),"-")</f>
        <v/>
      </c>
      <c r="EN136" s="237" t="str">
        <f t="shared" ref="EN136:EN145" si="1177">IFERROR(IF(ISBLANK(N136), "-", IF($I136="c", N136*$I$5, N136)),"-")</f>
        <v/>
      </c>
      <c r="EO136" s="237" t="str">
        <f t="shared" ref="EO136:EO145" si="1178">IFERROR(IF(ISBLANK(O136), "-", IF($I136="c", O136*$I$5,O136)),"-")</f>
        <v/>
      </c>
      <c r="EP136" s="237" t="str">
        <f t="shared" ref="EP136:EP145" si="1179">IFERROR(IF(ISBLANK(P136), "-", IF($I136="c", P136*$I$5, P136)),"-")</f>
        <v/>
      </c>
      <c r="EQ136" s="237" t="str">
        <f t="shared" ref="EQ136:EQ145" si="1180">IFERROR(IF(ISBLANK(Q136), "-", IF($I136="c", Q136*$I$5, Q136)),"-")</f>
        <v/>
      </c>
      <c r="ER136" s="237" t="str">
        <f t="shared" ref="ER136:ER145" si="1181">IFERROR(IF(ISBLANK(R136), "-", IF($I136="c", R136*$I$5, R136)),"-")</f>
        <v/>
      </c>
      <c r="ES136" s="237" t="str">
        <f t="shared" ref="ES136:ES145" si="1182">IFERROR(IF(ISBLANK(S136), "-", IF($I136="c", S136*$I$5, S136)),"-")</f>
        <v/>
      </c>
      <c r="ET136" s="237" t="str">
        <f t="shared" ref="ET136:ET145" si="1183">IFERROR(IF(ISBLANK(T136), "-", IF($I136="c", T136*$I$5, T136)),"-")</f>
        <v/>
      </c>
      <c r="EU136" s="237" t="str">
        <f t="shared" ref="EU136:EU145" si="1184">IFERROR(IF(ISBLANK(U136), "-", IF($I136="c", U136*$I$5, U136)),"-")</f>
        <v/>
      </c>
      <c r="EV136" s="237" t="str">
        <f t="shared" ref="EV136:EV145" si="1185">IFERROR(IF(ISBLANK(V136), "-", IF($I136="c", V136*$I$5, V136)),"-")</f>
        <v/>
      </c>
      <c r="EW136" s="237" t="str">
        <f t="shared" ref="EW136:EW145" si="1186">IFERROR(IF(ISBLANK(W136), "-", IF($I136="c", W136*$I$5, W136)),"-")</f>
        <v/>
      </c>
      <c r="EX136" s="237" t="str">
        <f t="shared" ref="EX136:EX145" si="1187">IFERROR(IF(ISBLANK(X136), "-", IF($I136="c", X136*$I$5, X136)),"-")</f>
        <v/>
      </c>
      <c r="EY136" s="237" t="str">
        <f t="shared" ref="EY136:EY145" si="1188">IFERROR(IF(ISBLANK(Y136), "-", IF($I136="c", Y136*$I$5, Y136)),"-")</f>
        <v/>
      </c>
      <c r="EZ136" s="237" t="str">
        <f t="shared" ref="EZ136:EZ145" si="1189">IFERROR(IF(ISBLANK(Z136), "-", IF($I136="c", Z136*$I$5, Z136)),"-")</f>
        <v/>
      </c>
      <c r="FA136" s="237" t="str">
        <f t="shared" ref="FA136:FA145" si="1190">IFERROR(IF(ISBLANK(AA136), "-", IF($I136="c", AA136*$I$5, AA136)),"-")</f>
        <v/>
      </c>
      <c r="FB136" s="237" t="str">
        <f t="shared" ref="FB136:FB145" si="1191">IFERROR(IF(ISBLANK(AB136), "-", IF($I136="c", AB136*$I$5, AB136)),"-")</f>
        <v/>
      </c>
      <c r="FC136" s="237" t="str">
        <f t="shared" ref="FC136:FC145" si="1192">IFERROR(IF(ISBLANK(AC136), "-", IF($I136="c", AC136*$I$5, AC136)),"-")</f>
        <v/>
      </c>
      <c r="FD136" s="237" t="str">
        <f t="shared" ref="FD136:FD145" si="1193">IFERROR(IF(ISBLANK(AD136), "-", IF($I136="c", AD136*$I$5, AD136)),"-")</f>
        <v/>
      </c>
      <c r="FE136" s="237" t="str">
        <f t="shared" ref="FE136:FE145" si="1194">IFERROR(IF(ISBLANK(AE136), "-", IF($I136="c", AE136*$I$5, AE136)),"-")</f>
        <v/>
      </c>
      <c r="FF136" s="237" t="str">
        <f t="shared" ref="FF136:FF145" si="1195">IFERROR(IF(ISBLANK(AF136), "-", IF($I136="c", AF136*$I$5, AF136)),"-")</f>
        <v/>
      </c>
      <c r="FG136" s="237" t="str">
        <f t="shared" ref="FG136:FG145" si="1196">IFERROR(IF(ISBLANK(AG136), "-", IF($I136="c", AG136*$I$5, AG136)),"-")</f>
        <v/>
      </c>
      <c r="FH136" s="237" t="str">
        <f t="shared" ref="FH136:FH145" si="1197">IFERROR(IF(ISBLANK(AH136), "-", IF($I136="c", AH136*$I$5, AH136)),"-")</f>
        <v/>
      </c>
      <c r="FI136" s="237" t="str">
        <f t="shared" ref="FI136:FI145" si="1198">IFERROR(IF(ISBLANK(AI136), "-", IF($I136="c", AI136*$I$5, AI136)),"-")</f>
        <v/>
      </c>
      <c r="FJ136" s="237" t="str">
        <f t="shared" ref="FJ136:FJ145" si="1199">IFERROR(IF(ISBLANK(AJ136), "-", IF($I136="c", AJ136*$I$5, AJ136)),"-")</f>
        <v/>
      </c>
      <c r="FK136" s="237" t="str">
        <f t="shared" ref="FK136:FK145" si="1200">IFERROR(IF(ISBLANK(AK136), "-", IF($I136="c", AK136*$I$5, AK136)),"-")</f>
        <v/>
      </c>
      <c r="FL136" s="237" t="str">
        <f t="shared" ref="FL136:FL145" si="1201">IFERROR(IF(ISBLANK(AL136), "-", IF($I136="c", AL136*$I$5, AL136)),"-")</f>
        <v/>
      </c>
      <c r="FM136" s="237" t="str">
        <f t="shared" ref="FM136:FM145" si="1202">IFERROR(IF(ISBLANK(AM136), "-", IF($I136="c", AM136*$I$5, AM136)),"-")</f>
        <v/>
      </c>
      <c r="FN136" s="237" t="str">
        <f t="shared" ref="FN136:FN145" si="1203">IFERROR(IF(ISBLANK(AN136), "-", IF($I136="c", AN136*$I$5, AN136)),"-")</f>
        <v/>
      </c>
      <c r="FO136" s="237" t="str">
        <f t="shared" ref="FO136:FO145" si="1204">IFERROR(IF(ISBLANK(AO136), "-", IF($I136="c", AO136*$I$5, AO136)),"-")</f>
        <v/>
      </c>
      <c r="FP136" s="237" t="str">
        <f t="shared" ref="FP136:FP145" si="1205">IFERROR(IF(ISBLANK(AP136), "-", IF($I136="c", AP136*$I$5, AP136)),"-")</f>
        <v/>
      </c>
      <c r="FQ136" s="237" t="str">
        <f t="shared" ref="FQ136:FQ145" si="1206">IFERROR(IF(ISBLANK(AQ136), "-", IF($I136="c", AQ136*$I$5, AQ136)),"-")</f>
        <v/>
      </c>
      <c r="FR136" s="237" t="str">
        <f t="shared" ref="FR136:FR145" si="1207">IFERROR(IF(ISBLANK(AR136), "-", IF($I136="c", AR136*$I$5, AR136)),"-")</f>
        <v/>
      </c>
      <c r="FS136" s="237" t="str">
        <f t="shared" ref="FS136:FS145" si="1208">IFERROR(IF(ISBLANK(AS136), "-", IF($I136="c", AS136*$I$5, AS136)),"-")</f>
        <v/>
      </c>
      <c r="FT136" s="237" t="str">
        <f t="shared" ref="FT136:FT145" si="1209">IFERROR(IF(ISBLANK(AT136), "-", IF($I136="c", AT136*$I$5, AT136)),"-")</f>
        <v/>
      </c>
      <c r="FU136" s="237" t="str">
        <f t="shared" ref="FU136:FU145" si="1210">IFERROR(IF(ISBLANK(AU136), "-", IF($I136="c", AU136*$I$5, AU136)),"-")</f>
        <v/>
      </c>
      <c r="FV136" s="237" t="str">
        <f t="shared" ref="FV136:FV145" si="1211">IFERROR(IF(ISBLANK(AV136), "-", IF($I136="c", AV136*$I$5, AV136)),"-")</f>
        <v/>
      </c>
      <c r="FW136" s="237" t="str">
        <f t="shared" ref="FW136:FW145" si="1212">IFERROR(IF(ISBLANK(AW136), "-", IF($I136="c", AW136*$I$5, AW136)),"-")</f>
        <v/>
      </c>
      <c r="FX136" s="237" t="str">
        <f t="shared" ref="FX136:FX145" si="1213">IFERROR(IF(ISBLANK(AX136), "-", IF($I136="c", AX136*$I$5, AX136)),"-")</f>
        <v/>
      </c>
      <c r="FY136" s="237" t="str">
        <f t="shared" ref="FY136:FY145" si="1214">IFERROR(IF(ISBLANK(AY136), "-", IF($I136="c", AY136*$I$5, AY136)),"-")</f>
        <v/>
      </c>
      <c r="FZ136" s="237" t="str">
        <f t="shared" ref="FZ136:FZ145" si="1215">IFERROR(IF(ISBLANK(AZ136), "-", IF($I136="c", AZ136*$I$5, AZ136)),"-")</f>
        <v/>
      </c>
      <c r="GA136" s="237" t="str">
        <f t="shared" ref="GA136:GA145" si="1216">IFERROR(IF(ISBLANK(BA136), "-", IF($I136="c", BA136*$I$5, BA136)),"-")</f>
        <v/>
      </c>
      <c r="GB136" s="237" t="str">
        <f t="shared" ref="GB136:GB145" si="1217">IFERROR(IF(ISBLANK(BB136), "-", IF($I136="c", BB136*$I$5, BB136)),"-")</f>
        <v/>
      </c>
      <c r="GC136" s="237" t="str">
        <f t="shared" ref="GC136:GC145" si="1218">IFERROR(IF(ISBLANK(BC136), "-", IF($I136="c", BC136*$I$5, BC136)),"-")</f>
        <v/>
      </c>
      <c r="GD136" s="237" t="str">
        <f t="shared" ref="GD136:GD145" si="1219">IFERROR(IF(ISBLANK(BD136), "-", IF($I136="c", BD136*$I$5, BD136)),"-")</f>
        <v/>
      </c>
      <c r="GE136" s="237" t="str">
        <f t="shared" ref="GE136:GE145" si="1220">IFERROR(IF(ISBLANK(BE136), "-", IF($I136="c", BE136*$I$5, BE136)),"-")</f>
        <v/>
      </c>
      <c r="GF136" s="237" t="str">
        <f t="shared" ref="GF136:GF145" si="1221">IFERROR(IF(ISBLANK(BF136), "-", IF($I136="c", BF136*$I$5, BF136)),"-")</f>
        <v/>
      </c>
      <c r="GG136" s="237" t="str">
        <f t="shared" ref="GG136:GG145" si="1222">IFERROR(IF(ISBLANK(BG136), "-", IF($I136="c", BG136*$I$5, BG136)),"-")</f>
        <v/>
      </c>
      <c r="GH136" s="237" t="str">
        <f t="shared" ref="GH136:GH145" si="1223">IFERROR(IF(ISBLANK(BH136), "-", IF($I136="c", BH136*$I$5, BH136)),"-")</f>
        <v/>
      </c>
      <c r="GI136" s="237" t="str">
        <f t="shared" ref="GI136:GI145" si="1224">IFERROR(IF(ISBLANK(BI136), "-", IF($I136="c", BI136*$I$5, BI136)),"-")</f>
        <v/>
      </c>
      <c r="GJ136" s="237" t="str">
        <f t="shared" ref="GJ136:GJ145" si="1225">IFERROR(IF(ISBLANK(BJ136), "-", IF($I136="c", BJ136*$I$5, BJ136)),"-")</f>
        <v/>
      </c>
      <c r="GK136" s="237" t="str">
        <f t="shared" ref="GK136:GK145" si="1226">IFERROR(IF(ISBLANK(BK136), "-", IF($I136="c", BK136*$I$5, BK136)),"-")</f>
        <v/>
      </c>
      <c r="GL136" s="237" t="str">
        <f t="shared" ref="GL136:GL145" si="1227">IFERROR(IF(ISBLANK(BL136), "-", IF($I136="c", BL136*$I$5, BL136)),"-")</f>
        <v/>
      </c>
      <c r="GM136" s="237" t="str">
        <f t="shared" ref="GM136:GM145" si="1228">IFERROR(IF(ISBLANK(BM136), "-", IF($I136="c", BM136*$I$5, BM136)),"-")</f>
        <v/>
      </c>
      <c r="GN136" s="237" t="str">
        <f t="shared" ref="GN136:GN145" si="1229">IFERROR(IF(ISBLANK(BN136), "-", IF($I136="c", BN136*$I$5, BN136)),"-")</f>
        <v/>
      </c>
      <c r="GO136" s="237" t="str">
        <f t="shared" ref="GO136:GO145" si="1230">IFERROR(IF(ISBLANK(BO136), "-", IF($I136="c", BO136*$I$5, BO136)),"-")</f>
        <v/>
      </c>
      <c r="GP136" s="237" t="str">
        <f t="shared" ref="GP136:GP145" si="1231">IFERROR(IF(ISBLANK(BP136), "-", IF($I136="c", BP136*$I$5, BP136)),"-")</f>
        <v/>
      </c>
      <c r="GQ136" s="237" t="str">
        <f t="shared" ref="GQ136:GQ145" si="1232">IFERROR(IF(ISBLANK(BQ136), "-", IF($I136="c", BQ136*$I$5, BQ136)),"-")</f>
        <v/>
      </c>
      <c r="GR136" s="237" t="str">
        <f t="shared" ref="GR136:GR145" si="1233">IFERROR(IF(ISBLANK(BR136), "-", IF($I136="c", BR136*$I$5, BR136)),"-")</f>
        <v/>
      </c>
      <c r="GS136" s="237" t="str">
        <f t="shared" ref="GS136:GS145" si="1234">IFERROR(IF(ISBLANK(BS136), "-", IF($I136="c", BS136*$I$5, BS136)),"-")</f>
        <v/>
      </c>
      <c r="GT136" s="237" t="str">
        <f t="shared" ref="GT136:GT145" si="1235">IFERROR(IF(ISBLANK(BT136), "-", IF($I136="c", BT136*$I$5, BT136)),"-")</f>
        <v/>
      </c>
      <c r="GU136" s="237" t="str">
        <f t="shared" ref="GU136:GU145" si="1236">IFERROR(IF(ISBLANK(BU136), "-", IF($I136="c", BU136*$I$5, BU136)),"-")</f>
        <v/>
      </c>
      <c r="GV136" s="237" t="str">
        <f t="shared" ref="GV136:GV145" si="1237">IFERROR(IF(ISBLANK(BV136), "-", IF($I136="c", BV136*$I$5, BV136)),"-")</f>
        <v/>
      </c>
      <c r="GW136" s="237" t="str">
        <f t="shared" ref="GW136:GW145" si="1238">IFERROR(IF(ISBLANK(BW136), "-", IF($I136="c", BW136*$I$5, BW136)),"-")</f>
        <v/>
      </c>
      <c r="GX136" s="237" t="str">
        <f t="shared" ref="GX136:GX145" si="1239">IFERROR(IF(ISBLANK(BX136), "-", IF($I136="c", BX136*$I$5, BX136)),"-")</f>
        <v/>
      </c>
      <c r="GY136" s="237" t="str">
        <f t="shared" ref="GY136:GY145" si="1240">IFERROR(IF(ISBLANK(BY136), "-", IF($I136="c", BY136*$I$5, BY136)),"-")</f>
        <v/>
      </c>
      <c r="GZ136" s="237" t="str">
        <f t="shared" ref="GZ136:GZ145" si="1241">IFERROR(IF(ISBLANK(BZ136), "-", IF($I136="c", BZ136*$I$5, BZ136)),"-")</f>
        <v/>
      </c>
      <c r="HA136" s="237" t="str">
        <f t="shared" ref="HA136:HA145" si="1242">IFERROR(IF(ISBLANK(CA136), "-", IF($I136="c", CA136*$I$5, CA136)),"-")</f>
        <v/>
      </c>
      <c r="HB136" s="237" t="str">
        <f t="shared" ref="HB136:HB145" si="1243">IFERROR(IF(ISBLANK(CB136), "-", IF($I136="c", CB136*$I$5, CB136)),"-")</f>
        <v/>
      </c>
      <c r="HC136" s="237" t="str">
        <f t="shared" ref="HC136:HC145" si="1244">IFERROR(IF(ISBLANK(CC136), "-", IF($I136="c", CC136*$I$5, CC136)),"-")</f>
        <v/>
      </c>
      <c r="HD136" s="237" t="str">
        <f t="shared" ref="HD136:HD145" si="1245">IFERROR(IF(ISBLANK(CD136), "-", IF($I136="c", CD136*$I$5, CD136)),"-")</f>
        <v/>
      </c>
      <c r="HE136" s="237" t="str">
        <f t="shared" ref="HE136:HE145" si="1246">IFERROR(IF(ISBLANK(CE136), "-", IF($I136="c", CE136*$I$5, CE136)),"-")</f>
        <v/>
      </c>
      <c r="HF136" s="237" t="str">
        <f t="shared" ref="HF136:HF145" si="1247">IFERROR(IF(ISBLANK(CF136), "-", IF($I136="c", CF136*$I$5, CF136)),"-")</f>
        <v/>
      </c>
      <c r="HG136" s="237" t="str">
        <f t="shared" ref="HG136:HG145" si="1248">IFERROR(IF(ISBLANK(CG136), "-", IF($I136="c", CG136*$I$5, CG136)),"-")</f>
        <v/>
      </c>
      <c r="HH136" s="237" t="str">
        <f t="shared" ref="HH136:HH145" si="1249">IFERROR(IF(ISBLANK(CH136), "-", IF($I136="c", CH136*$I$5, CH136)),"-")</f>
        <v/>
      </c>
      <c r="HI136" s="237" t="str">
        <f t="shared" ref="HI136:HI145" si="1250">IFERROR(IF(ISBLANK(CI136), "-", IF($I136="c", CI136*$I$5, CI136)),"-")</f>
        <v/>
      </c>
      <c r="HJ136" s="237" t="str">
        <f t="shared" ref="HJ136:HJ145" si="1251">IFERROR(IF(ISBLANK(CJ136), "-", IF($I136="c", CJ136*$I$5, CJ136)),"-")</f>
        <v/>
      </c>
      <c r="HK136" s="237" t="str">
        <f t="shared" ref="HK136:HK145" si="1252">IFERROR(IF(ISBLANK(CK136), "-", IF($I136="c", CK136*$I$5, CK136)),"-")</f>
        <v/>
      </c>
      <c r="HL136" s="237" t="str">
        <f t="shared" ref="HL136:HL145" si="1253">IFERROR(IF(ISBLANK(CL136), "-", IF($I136="c", CL136*$I$5, CL136)),"-")</f>
        <v/>
      </c>
      <c r="HM136" s="237" t="str">
        <f t="shared" ref="HM136:HM145" si="1254">IFERROR(IF(ISBLANK(CM136), "-", IF($I136="c", CM136*$I$5, CM136)),"-")</f>
        <v/>
      </c>
      <c r="HN136" s="237" t="str">
        <f t="shared" ref="HN136:HN145" si="1255">IFERROR(IF(ISBLANK(CN136), "-", IF($I136="c", CN136*$I$5, CN136)),"-")</f>
        <v/>
      </c>
      <c r="HO136" s="237" t="str">
        <f t="shared" ref="HO136:HO145" si="1256">IFERROR(IF(ISBLANK(CO136), "-", IF($I136="c", CO136*$I$5, CO136)),"-")</f>
        <v/>
      </c>
      <c r="HP136" s="237" t="str">
        <f t="shared" ref="HP136:HP145" si="1257">IFERROR(IF(ISBLANK(CP136), "-", IF($I136="c", CP136*$I$5, CP136)),"-")</f>
        <v/>
      </c>
      <c r="HQ136" s="237" t="str">
        <f t="shared" ref="HQ136:HQ145" si="1258">IFERROR(IF(ISBLANK(CQ136), "-", IF($I136="c", CQ136*$I$5, CQ136)),"-")</f>
        <v/>
      </c>
      <c r="HR136" s="237" t="str">
        <f t="shared" ref="HR136:HR145" si="1259">IFERROR(IF(ISBLANK(CR136), "-", IF($I136="c", CR136*$I$5, CR136)),"-")</f>
        <v/>
      </c>
      <c r="HS136" s="237" t="str">
        <f t="shared" ref="HS136:HS145" si="1260">IFERROR(IF(ISBLANK(CS136), "-", IF($I136="c", CS136*$I$5, CS136)),"-")</f>
        <v/>
      </c>
      <c r="HT136" s="237" t="str">
        <f t="shared" ref="HT136:HT145" si="1261">IFERROR(IF(ISBLANK(CT136), "-", IF($I136="c", CT136*$I$5, CT136)),"-")</f>
        <v/>
      </c>
      <c r="HU136" s="237" t="str">
        <f t="shared" ref="HU136:HU145" si="1262">IFERROR(IF(ISBLANK(CU136), "-", IF($I136="c", CU136*$I$5, CU136)),"-")</f>
        <v/>
      </c>
      <c r="HV136" s="237" t="str">
        <f t="shared" ref="HV136:HV145" si="1263">IFERROR(IF(ISBLANK(CV136), "-", IF($I136="c", CV136*$I$5, CV136)),"-")</f>
        <v/>
      </c>
      <c r="HW136" s="237" t="str">
        <f t="shared" ref="HW136:HW145" si="1264">IFERROR(IF(ISBLANK(CW136), "-", IF($I136="c", CW136*$I$5, CW136)),"-")</f>
        <v/>
      </c>
      <c r="HX136" s="237" t="str">
        <f t="shared" ref="HX136:HX145" si="1265">IFERROR(IF(ISBLANK(CX136), "-", IF($I136="c", CX136*$I$5, CX136)),"-")</f>
        <v/>
      </c>
      <c r="HY136" s="237" t="str">
        <f t="shared" ref="HY136:HY145" si="1266">IFERROR(IF(ISBLANK(CY136), "-", IF($I136="c", CY136*$I$5, CY136)),"-")</f>
        <v/>
      </c>
      <c r="HZ136" s="237" t="str">
        <f t="shared" ref="HZ136:HZ145" si="1267">IFERROR(IF(ISBLANK(CZ136), "-", IF($I136="c", CZ136*$I$5, CZ136)),"-")</f>
        <v/>
      </c>
      <c r="IA136" s="237" t="str">
        <f t="shared" ref="IA136:IA145" si="1268">IFERROR(IF(ISBLANK(DA136), "-", IF($I136="c", DA136*$I$5, DA136)),"-")</f>
        <v/>
      </c>
      <c r="IB136" s="237" t="str">
        <f t="shared" ref="IB136:IB145" si="1269">IFERROR(IF(ISBLANK(DB136), "-", IF($I136="c", DB136*$I$5, DB136)),"-")</f>
        <v/>
      </c>
      <c r="IC136" s="237" t="str">
        <f t="shared" ref="IC136:IC145" si="1270">IFERROR(IF(ISBLANK(DC136), "-", IF($I136="c", DC136*$I$5, DC136)),"-")</f>
        <v/>
      </c>
      <c r="ID136" s="237" t="str">
        <f t="shared" ref="ID136:ID145" si="1271">IFERROR(IF(ISBLANK(DD136), "-", IF($I136="c", DD136*$I$5, DD136)),"-")</f>
        <v/>
      </c>
      <c r="IE136" s="237" t="str">
        <f t="shared" ref="IE136:IE145" si="1272">IFERROR(IF(ISBLANK(DE136), "-", IF($I136="c", DE136*$I$5, DE136)),"-")</f>
        <v/>
      </c>
      <c r="IF136" s="237" t="str">
        <f t="shared" ref="IF136:IF145" si="1273">IFERROR(IF(ISBLANK(DF136), "-", IF($I136="c", DF136*$I$5, DF136)),"-")</f>
        <v/>
      </c>
      <c r="IG136" s="312" t="str">
        <f t="shared" ref="IG136:IG145" si="1274">IFERROR(IF(ISBLANK(DH136), "-", IF($I136="c", DH136*$I$5, DH136)),"-")</f>
        <v/>
      </c>
      <c r="IH136" s="99" t="str">
        <f t="shared" ref="IH136:IH145" si="1275">IFERROR(IF(ISBLANK(DI136), "-", IF($I136="c", DI136*$I$5, DI136)),"-")</f>
        <v/>
      </c>
      <c r="II136" s="99" t="str">
        <f t="shared" ref="II136:II145" si="1276">IFERROR(IF(ISBLANK(DJ136), "-", IF($I136="c", DJ136*$I$5, DJ136)),"-")</f>
        <v/>
      </c>
      <c r="IJ136" s="99" t="str">
        <f t="shared" ref="IJ136:IJ145" si="1277">IFERROR(IF(ISBLANK(DK136), "-", IF($I136="c", DK136*$I$5, DK136)),"-")</f>
        <v/>
      </c>
      <c r="IK136" s="99" t="str">
        <f t="shared" ref="IK136:IK145" si="1278">IFERROR(IF(ISBLANK(DL136), "-", IF($I136="c", DL136*$I$5, DL136)),"-")</f>
        <v/>
      </c>
      <c r="IL136" s="99" t="str">
        <f t="shared" ref="IL136:IL145" si="1279">IFERROR(IF(ISBLANK(DM136), "-", IF($I136="c", DM136*$I$5, DM136)),"-")</f>
        <v/>
      </c>
      <c r="IM136" s="312" t="str">
        <f t="shared" ref="IM136:IM145" si="1280">IFERROR(IF(ISBLANK(DO136), "", IF($I136="c",DO136*$I$5, DO136)),"-")</f>
        <v/>
      </c>
      <c r="IN136" s="99" t="str">
        <f t="shared" ref="IN136:IN145" si="1281">IFERROR(IF(ISBLANK(DP136), "", IF($I136="c",DP136*$I$5, DP136)),"-")</f>
        <v/>
      </c>
      <c r="IO136" s="99" t="str">
        <f t="shared" ref="IO136:IO145" si="1282">IFERROR(IF(ISBLANK(DQ136), "", IF($I136="c",DQ136*$I$5, DQ136)),"-")</f>
        <v/>
      </c>
      <c r="IP136" s="99" t="str">
        <f t="shared" ref="IP136:IP145" si="1283">IFERROR(IF(ISBLANK(DR136), "", IF($I136="c",DR136*$I$5, DR136)),"-")</f>
        <v/>
      </c>
      <c r="IQ136" s="99" t="str">
        <f t="shared" ref="IQ136:IQ145" si="1284">IFERROR(IF(ISBLANK(DS136), "", IF($I136="c",DS136*$I$5, DS136)),"-")</f>
        <v/>
      </c>
      <c r="IR136" s="99" t="str">
        <f t="shared" ref="IR136:IR145" si="1285">IFERROR(IF(ISBLANK(DT136), "", IF($I136="c",DT136*$I$5, DT136)),"-")</f>
        <v/>
      </c>
      <c r="IS136" s="312" t="str">
        <f t="shared" ref="IS136:IS145" si="1286">IFERROR(IF(ISBLANK(DV136), "", IF($I136="c", DV136*$I$5, DV136)),"-")</f>
        <v/>
      </c>
      <c r="IT136" s="99" t="str">
        <f t="shared" ref="IT136:IT145" si="1287">IFERROR(IF(ISBLANK(DW136), "", IF($I136="c", DW136*$I$5, DW136)),"-")</f>
        <v/>
      </c>
      <c r="IU136" s="99" t="str">
        <f t="shared" ref="IU136:IU145" si="1288">IFERROR(IF(ISBLANK(DX136), "", IF($I136="c", DX136*$I$5, DX136)),"-")</f>
        <v/>
      </c>
      <c r="IV136" s="99" t="str">
        <f t="shared" ref="IV136:IV145" si="1289">IFERROR(IF(ISBLANK(DY136), "", IF($I136="c", DY136*$I$5, DY136)),"-")</f>
        <v/>
      </c>
      <c r="IW136" s="99" t="str">
        <f t="shared" ref="IW136:IW145" si="1290">IFERROR(IF(ISBLANK(DZ136), "", IF($I136="c", DZ136*$I$5, DZ136)),"-")</f>
        <v/>
      </c>
      <c r="IX136" s="99" t="str">
        <f t="shared" ref="IX136:IX145" si="1291">IFERROR(IF(ISBLANK(EA136), "", IF($I136="c", EA136*$I$5, EA136)),"-")</f>
        <v/>
      </c>
      <c r="IY136" s="312" t="str">
        <f t="shared" ref="IY136:IY145" si="1292">IFERROR(IF(ISBLANK(EC136), "", IF($I136="c", EC136*$I$5, EC136)),"-")</f>
        <v/>
      </c>
      <c r="IZ136" s="99" t="str">
        <f t="shared" ref="IZ136:IZ145" si="1293">IFERROR(IF(ISBLANK(ED136), "", IF($I136="c", ED136*$I$5, ED136)),"-")</f>
        <v/>
      </c>
      <c r="JA136" s="99" t="str">
        <f t="shared" ref="JA136:JA145" si="1294">IFERROR(IF(ISBLANK(EE136), "", IF($I136="c", EE136*$I$5, EE136)),"-")</f>
        <v/>
      </c>
      <c r="JB136" s="99" t="str">
        <f t="shared" ref="JB136:JB145" si="1295">IFERROR(IF(ISBLANK(EF136), "", IF($I136="c", EF136*$I$5, EF136)),"-")</f>
        <v/>
      </c>
      <c r="JC136" s="99" t="str">
        <f t="shared" ref="JC136:JC145" si="1296">IFERROR(IF(ISBLANK(EG136), "", IF($I136="c", EG136*$I$5, EG136)),"-")</f>
        <v/>
      </c>
      <c r="JD136" s="313" t="str">
        <f t="shared" ref="JD136:JD145" si="1297">IFERROR(IF(ISBLANK(EH136), "", IF($I136="c", EH136*$I$5, EH136)),"-")</f>
        <v/>
      </c>
      <c r="JF136" s="66">
        <f t="shared" si="779"/>
        <v>136</v>
      </c>
      <c r="JG136" s="66">
        <f t="shared" ca="1" si="789"/>
        <v>0</v>
      </c>
      <c r="JH136" s="66">
        <f t="shared" ca="1" si="790"/>
        <v>0</v>
      </c>
      <c r="JI136" s="66">
        <f t="shared" ca="1" si="791"/>
        <v>0</v>
      </c>
      <c r="JJ136" s="66">
        <f t="shared" ca="1" si="792"/>
        <v>0</v>
      </c>
      <c r="JK136" s="33"/>
      <c r="JL136" s="74" t="str">
        <f t="shared" ca="1" si="793"/>
        <v>-</v>
      </c>
      <c r="JM136" s="75">
        <f t="shared" ca="1" si="794"/>
        <v>0</v>
      </c>
      <c r="JN136" s="75">
        <f t="shared" ca="1" si="795"/>
        <v>0</v>
      </c>
      <c r="JO136" s="74" t="str">
        <f t="shared" ca="1" si="796"/>
        <v>-</v>
      </c>
      <c r="JP136" s="74">
        <f t="shared" ca="1" si="797"/>
        <v>0</v>
      </c>
    </row>
    <row r="137" spans="1:276" hidden="1" outlineLevel="1" x14ac:dyDescent="0.35">
      <c r="A137" s="125" t="s">
        <v>805</v>
      </c>
      <c r="B137" s="125" t="s">
        <v>805</v>
      </c>
      <c r="C137" s="125" t="s">
        <v>805</v>
      </c>
      <c r="E137" s="142" t="s">
        <v>860</v>
      </c>
      <c r="F137" s="254" t="s">
        <v>749</v>
      </c>
      <c r="G137" t="s">
        <v>530</v>
      </c>
      <c r="H137" t="s">
        <v>535</v>
      </c>
      <c r="I137" t="s">
        <v>536</v>
      </c>
      <c r="J137" s="211" t="s">
        <v>805</v>
      </c>
      <c r="K137" t="s">
        <v>805</v>
      </c>
      <c r="L137" t="s">
        <v>805</v>
      </c>
      <c r="M137" t="s">
        <v>805</v>
      </c>
      <c r="N137" t="s">
        <v>805</v>
      </c>
      <c r="O137" t="s">
        <v>805</v>
      </c>
      <c r="P137" t="s">
        <v>805</v>
      </c>
      <c r="Q137" t="s">
        <v>805</v>
      </c>
      <c r="R137" t="s">
        <v>805</v>
      </c>
      <c r="S137" t="s">
        <v>805</v>
      </c>
      <c r="T137" t="s">
        <v>805</v>
      </c>
      <c r="U137" t="s">
        <v>805</v>
      </c>
      <c r="V137" t="s">
        <v>805</v>
      </c>
      <c r="W137" t="s">
        <v>805</v>
      </c>
      <c r="X137" t="s">
        <v>805</v>
      </c>
      <c r="Y137" t="s">
        <v>805</v>
      </c>
      <c r="Z137" t="s">
        <v>805</v>
      </c>
      <c r="AA137" t="s">
        <v>805</v>
      </c>
      <c r="AB137" t="s">
        <v>805</v>
      </c>
      <c r="AC137" t="s">
        <v>805</v>
      </c>
      <c r="AD137" t="s">
        <v>805</v>
      </c>
      <c r="AE137" t="s">
        <v>805</v>
      </c>
      <c r="AF137" t="s">
        <v>805</v>
      </c>
      <c r="AG137" t="s">
        <v>805</v>
      </c>
      <c r="AH137" t="s">
        <v>805</v>
      </c>
      <c r="AI137" t="s">
        <v>805</v>
      </c>
      <c r="AJ137" t="s">
        <v>805</v>
      </c>
      <c r="AK137" t="s">
        <v>805</v>
      </c>
      <c r="AL137" t="s">
        <v>805</v>
      </c>
      <c r="AM137" t="s">
        <v>805</v>
      </c>
      <c r="AN137" t="s">
        <v>805</v>
      </c>
      <c r="AO137" t="s">
        <v>805</v>
      </c>
      <c r="AP137" t="s">
        <v>805</v>
      </c>
      <c r="AQ137" t="s">
        <v>805</v>
      </c>
      <c r="AR137" t="s">
        <v>805</v>
      </c>
      <c r="AS137" t="s">
        <v>805</v>
      </c>
      <c r="AT137" t="s">
        <v>805</v>
      </c>
      <c r="AU137" t="s">
        <v>805</v>
      </c>
      <c r="AV137" t="s">
        <v>805</v>
      </c>
      <c r="AW137" t="s">
        <v>805</v>
      </c>
      <c r="AX137" t="s">
        <v>805</v>
      </c>
      <c r="AY137" t="s">
        <v>805</v>
      </c>
      <c r="AZ137" t="s">
        <v>805</v>
      </c>
      <c r="BA137" t="s">
        <v>805</v>
      </c>
      <c r="BB137" t="s">
        <v>805</v>
      </c>
      <c r="BC137" t="s">
        <v>805</v>
      </c>
      <c r="BD137" t="s">
        <v>805</v>
      </c>
      <c r="BE137" t="s">
        <v>805</v>
      </c>
      <c r="BF137" t="s">
        <v>805</v>
      </c>
      <c r="BG137" t="s">
        <v>805</v>
      </c>
      <c r="BH137" t="s">
        <v>805</v>
      </c>
      <c r="BI137" t="s">
        <v>805</v>
      </c>
      <c r="BJ137" t="s">
        <v>805</v>
      </c>
      <c r="BK137" t="s">
        <v>805</v>
      </c>
      <c r="BL137" t="s">
        <v>805</v>
      </c>
      <c r="BM137" t="s">
        <v>805</v>
      </c>
      <c r="BN137" t="s">
        <v>805</v>
      </c>
      <c r="BO137" t="s">
        <v>805</v>
      </c>
      <c r="BP137" t="s">
        <v>805</v>
      </c>
      <c r="BQ137" t="s">
        <v>805</v>
      </c>
      <c r="BR137" t="s">
        <v>805</v>
      </c>
      <c r="BS137" t="s">
        <v>805</v>
      </c>
      <c r="BT137" t="s">
        <v>805</v>
      </c>
      <c r="BU137" t="s">
        <v>805</v>
      </c>
      <c r="BV137" t="s">
        <v>805</v>
      </c>
      <c r="BW137" t="s">
        <v>805</v>
      </c>
      <c r="BX137" t="s">
        <v>805</v>
      </c>
      <c r="BY137" t="s">
        <v>805</v>
      </c>
      <c r="BZ137" t="s">
        <v>805</v>
      </c>
      <c r="CA137" t="s">
        <v>805</v>
      </c>
      <c r="CB137" t="s">
        <v>805</v>
      </c>
      <c r="CC137" t="s">
        <v>805</v>
      </c>
      <c r="CD137" t="s">
        <v>805</v>
      </c>
      <c r="CE137" t="s">
        <v>805</v>
      </c>
      <c r="CF137" t="s">
        <v>805</v>
      </c>
      <c r="CG137" t="s">
        <v>805</v>
      </c>
      <c r="CH137" t="s">
        <v>805</v>
      </c>
      <c r="CI137" t="s">
        <v>805</v>
      </c>
      <c r="CJ137" t="s">
        <v>805</v>
      </c>
      <c r="CK137" t="s">
        <v>805</v>
      </c>
      <c r="CL137" t="s">
        <v>805</v>
      </c>
      <c r="CM137" t="s">
        <v>805</v>
      </c>
      <c r="CN137" t="s">
        <v>805</v>
      </c>
      <c r="CO137" t="s">
        <v>805</v>
      </c>
      <c r="CP137" t="s">
        <v>805</v>
      </c>
      <c r="CQ137" t="s">
        <v>805</v>
      </c>
      <c r="CR137" t="s">
        <v>805</v>
      </c>
      <c r="CS137" t="s">
        <v>805</v>
      </c>
      <c r="CT137" t="s">
        <v>805</v>
      </c>
      <c r="CU137" t="s">
        <v>805</v>
      </c>
      <c r="CV137" t="s">
        <v>805</v>
      </c>
      <c r="CW137" t="s">
        <v>805</v>
      </c>
      <c r="CX137" t="s">
        <v>805</v>
      </c>
      <c r="CY137" t="s">
        <v>805</v>
      </c>
      <c r="CZ137" t="s">
        <v>805</v>
      </c>
      <c r="DA137" t="s">
        <v>805</v>
      </c>
      <c r="DB137" t="s">
        <v>805</v>
      </c>
      <c r="DC137" t="s">
        <v>805</v>
      </c>
      <c r="DD137" t="s">
        <v>805</v>
      </c>
      <c r="DE137" t="s">
        <v>805</v>
      </c>
      <c r="DF137" t="s">
        <v>805</v>
      </c>
      <c r="DG137" s="28">
        <f>VLOOKUP(E137,'KPI Count-SHARE'!A:F,3,0)</f>
        <v>0</v>
      </c>
      <c r="DH137" t="s">
        <v>805</v>
      </c>
      <c r="DI137" t="s">
        <v>805</v>
      </c>
      <c r="DJ137" t="s">
        <v>805</v>
      </c>
      <c r="DK137" t="s">
        <v>805</v>
      </c>
      <c r="DL137" t="s">
        <v>805</v>
      </c>
      <c r="DM137" t="s">
        <v>805</v>
      </c>
      <c r="DN137" s="28">
        <f>VLOOKUP(E137,'KPI Count-SHARE'!A:F,4,0)</f>
        <v>0</v>
      </c>
      <c r="DU137" s="28">
        <f>VLOOKUP(E137,'KPI Count-SHARE'!A:F,5,0)</f>
        <v>0</v>
      </c>
      <c r="EB137" s="28">
        <f>VLOOKUP(E137,'KPI Count-SHARE'!A:F,6,0)</f>
        <v>0</v>
      </c>
      <c r="EI137" t="str">
        <f t="shared" ref="EI137:EI145" si="1298">XCurrency &amp; " '000 per FTE"</f>
        <v>USD '000 per FTE</v>
      </c>
      <c r="EJ137" s="41" t="str">
        <f t="shared" si="1173"/>
        <v>-</v>
      </c>
      <c r="EK137" s="41" t="str">
        <f t="shared" si="1174"/>
        <v>-</v>
      </c>
      <c r="EL137" s="41" t="str">
        <f t="shared" si="1175"/>
        <v>-</v>
      </c>
      <c r="EM137" s="41" t="str">
        <f t="shared" si="1176"/>
        <v>-</v>
      </c>
      <c r="EN137" s="41" t="str">
        <f t="shared" si="1177"/>
        <v>-</v>
      </c>
      <c r="EO137" s="41" t="str">
        <f t="shared" si="1178"/>
        <v>-</v>
      </c>
      <c r="EP137" s="41" t="str">
        <f t="shared" si="1179"/>
        <v>-</v>
      </c>
      <c r="EQ137" s="41" t="str">
        <f t="shared" si="1180"/>
        <v>-</v>
      </c>
      <c r="ER137" s="41" t="str">
        <f t="shared" si="1181"/>
        <v>-</v>
      </c>
      <c r="ES137" s="41" t="str">
        <f t="shared" si="1182"/>
        <v>-</v>
      </c>
      <c r="ET137" s="41" t="str">
        <f t="shared" si="1183"/>
        <v>-</v>
      </c>
      <c r="EU137" s="41" t="str">
        <f t="shared" si="1184"/>
        <v>-</v>
      </c>
      <c r="EV137" s="41" t="str">
        <f t="shared" si="1185"/>
        <v>-</v>
      </c>
      <c r="EW137" s="41" t="str">
        <f t="shared" si="1186"/>
        <v>-</v>
      </c>
      <c r="EX137" s="41" t="str">
        <f t="shared" si="1187"/>
        <v>-</v>
      </c>
      <c r="EY137" s="41" t="str">
        <f t="shared" si="1188"/>
        <v>-</v>
      </c>
      <c r="EZ137" s="41" t="str">
        <f t="shared" si="1189"/>
        <v>-</v>
      </c>
      <c r="FA137" s="41" t="str">
        <f t="shared" si="1190"/>
        <v>-</v>
      </c>
      <c r="FB137" s="41" t="str">
        <f t="shared" si="1191"/>
        <v>-</v>
      </c>
      <c r="FC137" s="41" t="str">
        <f t="shared" si="1192"/>
        <v>-</v>
      </c>
      <c r="FD137" s="41" t="str">
        <f t="shared" si="1193"/>
        <v>-</v>
      </c>
      <c r="FE137" s="41" t="str">
        <f t="shared" si="1194"/>
        <v>-</v>
      </c>
      <c r="FF137" s="41" t="str">
        <f t="shared" si="1195"/>
        <v>-</v>
      </c>
      <c r="FG137" s="41" t="str">
        <f t="shared" si="1196"/>
        <v>-</v>
      </c>
      <c r="FH137" s="41" t="str">
        <f t="shared" si="1197"/>
        <v>-</v>
      </c>
      <c r="FI137" s="41" t="str">
        <f t="shared" si="1198"/>
        <v>-</v>
      </c>
      <c r="FJ137" s="41" t="str">
        <f t="shared" si="1199"/>
        <v>-</v>
      </c>
      <c r="FK137" s="41" t="str">
        <f t="shared" si="1200"/>
        <v>-</v>
      </c>
      <c r="FL137" s="41" t="str">
        <f t="shared" si="1201"/>
        <v>-</v>
      </c>
      <c r="FM137" s="41" t="str">
        <f t="shared" si="1202"/>
        <v>-</v>
      </c>
      <c r="FN137" s="41" t="str">
        <f t="shared" si="1203"/>
        <v>-</v>
      </c>
      <c r="FO137" s="41" t="str">
        <f t="shared" si="1204"/>
        <v>-</v>
      </c>
      <c r="FP137" s="41" t="str">
        <f t="shared" si="1205"/>
        <v>-</v>
      </c>
      <c r="FQ137" s="41" t="str">
        <f t="shared" si="1206"/>
        <v>-</v>
      </c>
      <c r="FR137" s="41" t="str">
        <f t="shared" si="1207"/>
        <v>-</v>
      </c>
      <c r="FS137" s="41" t="str">
        <f t="shared" si="1208"/>
        <v>-</v>
      </c>
      <c r="FT137" s="41" t="str">
        <f t="shared" si="1209"/>
        <v>-</v>
      </c>
      <c r="FU137" s="41" t="str">
        <f t="shared" si="1210"/>
        <v>-</v>
      </c>
      <c r="FV137" s="41" t="str">
        <f t="shared" si="1211"/>
        <v>-</v>
      </c>
      <c r="FW137" s="41" t="str">
        <f t="shared" si="1212"/>
        <v>-</v>
      </c>
      <c r="FX137" s="41" t="str">
        <f t="shared" si="1213"/>
        <v>-</v>
      </c>
      <c r="FY137" s="41" t="str">
        <f t="shared" si="1214"/>
        <v>-</v>
      </c>
      <c r="FZ137" s="41" t="str">
        <f t="shared" si="1215"/>
        <v>-</v>
      </c>
      <c r="GA137" s="41" t="str">
        <f t="shared" si="1216"/>
        <v>-</v>
      </c>
      <c r="GB137" s="41" t="str">
        <f t="shared" si="1217"/>
        <v>-</v>
      </c>
      <c r="GC137" s="41" t="str">
        <f t="shared" si="1218"/>
        <v>-</v>
      </c>
      <c r="GD137" s="41" t="str">
        <f t="shared" si="1219"/>
        <v>-</v>
      </c>
      <c r="GE137" s="41" t="str">
        <f t="shared" si="1220"/>
        <v>-</v>
      </c>
      <c r="GF137" s="41" t="str">
        <f t="shared" si="1221"/>
        <v>-</v>
      </c>
      <c r="GG137" s="41" t="str">
        <f t="shared" si="1222"/>
        <v>-</v>
      </c>
      <c r="GH137" s="41" t="str">
        <f t="shared" si="1223"/>
        <v>-</v>
      </c>
      <c r="GI137" s="41" t="str">
        <f t="shared" si="1224"/>
        <v>-</v>
      </c>
      <c r="GJ137" s="41" t="str">
        <f t="shared" si="1225"/>
        <v>-</v>
      </c>
      <c r="GK137" s="41" t="str">
        <f t="shared" si="1226"/>
        <v>-</v>
      </c>
      <c r="GL137" s="41" t="str">
        <f t="shared" si="1227"/>
        <v>-</v>
      </c>
      <c r="GM137" s="41" t="str">
        <f t="shared" si="1228"/>
        <v>-</v>
      </c>
      <c r="GN137" s="41" t="str">
        <f t="shared" si="1229"/>
        <v>-</v>
      </c>
      <c r="GO137" s="41" t="str">
        <f t="shared" si="1230"/>
        <v>-</v>
      </c>
      <c r="GP137" s="41" t="str">
        <f t="shared" si="1231"/>
        <v>-</v>
      </c>
      <c r="GQ137" s="41" t="str">
        <f t="shared" si="1232"/>
        <v>-</v>
      </c>
      <c r="GR137" s="41" t="str">
        <f t="shared" si="1233"/>
        <v>-</v>
      </c>
      <c r="GS137" s="41" t="str">
        <f t="shared" si="1234"/>
        <v>-</v>
      </c>
      <c r="GT137" s="41" t="str">
        <f t="shared" si="1235"/>
        <v>-</v>
      </c>
      <c r="GU137" s="41" t="str">
        <f t="shared" si="1236"/>
        <v>-</v>
      </c>
      <c r="GV137" s="41" t="str">
        <f t="shared" si="1237"/>
        <v>-</v>
      </c>
      <c r="GW137" s="41" t="str">
        <f t="shared" si="1238"/>
        <v>-</v>
      </c>
      <c r="GX137" s="41" t="str">
        <f t="shared" si="1239"/>
        <v>-</v>
      </c>
      <c r="GY137" s="41" t="str">
        <f t="shared" si="1240"/>
        <v>-</v>
      </c>
      <c r="GZ137" s="41" t="str">
        <f t="shared" si="1241"/>
        <v>-</v>
      </c>
      <c r="HA137" s="41" t="str">
        <f t="shared" si="1242"/>
        <v>-</v>
      </c>
      <c r="HB137" s="41" t="str">
        <f t="shared" si="1243"/>
        <v>-</v>
      </c>
      <c r="HC137" s="41" t="str">
        <f t="shared" si="1244"/>
        <v>-</v>
      </c>
      <c r="HD137" s="41" t="str">
        <f t="shared" si="1245"/>
        <v>-</v>
      </c>
      <c r="HE137" s="41" t="str">
        <f t="shared" si="1246"/>
        <v>-</v>
      </c>
      <c r="HF137" s="41" t="str">
        <f t="shared" si="1247"/>
        <v>-</v>
      </c>
      <c r="HG137" s="41" t="str">
        <f t="shared" si="1248"/>
        <v>-</v>
      </c>
      <c r="HH137" s="41" t="str">
        <f t="shared" si="1249"/>
        <v>-</v>
      </c>
      <c r="HI137" s="41" t="str">
        <f t="shared" si="1250"/>
        <v>-</v>
      </c>
      <c r="HJ137" s="41" t="str">
        <f t="shared" si="1251"/>
        <v>-</v>
      </c>
      <c r="HK137" s="41" t="str">
        <f t="shared" si="1252"/>
        <v>-</v>
      </c>
      <c r="HL137" s="41" t="str">
        <f t="shared" si="1253"/>
        <v>-</v>
      </c>
      <c r="HM137" s="41" t="str">
        <f t="shared" si="1254"/>
        <v>-</v>
      </c>
      <c r="HN137" s="41" t="str">
        <f t="shared" si="1255"/>
        <v>-</v>
      </c>
      <c r="HO137" s="41" t="str">
        <f t="shared" si="1256"/>
        <v>-</v>
      </c>
      <c r="HP137" s="41" t="str">
        <f t="shared" si="1257"/>
        <v>-</v>
      </c>
      <c r="HQ137" s="41" t="str">
        <f t="shared" si="1258"/>
        <v>-</v>
      </c>
      <c r="HR137" s="41" t="str">
        <f t="shared" si="1259"/>
        <v>-</v>
      </c>
      <c r="HS137" s="41" t="str">
        <f t="shared" si="1260"/>
        <v>-</v>
      </c>
      <c r="HT137" s="41" t="str">
        <f t="shared" si="1261"/>
        <v>-</v>
      </c>
      <c r="HU137" s="41" t="str">
        <f t="shared" si="1262"/>
        <v>-</v>
      </c>
      <c r="HV137" s="41" t="str">
        <f t="shared" si="1263"/>
        <v>-</v>
      </c>
      <c r="HW137" s="41" t="str">
        <f t="shared" si="1264"/>
        <v>-</v>
      </c>
      <c r="HX137" s="41" t="str">
        <f t="shared" si="1265"/>
        <v>-</v>
      </c>
      <c r="HY137" s="41" t="str">
        <f t="shared" si="1266"/>
        <v>-</v>
      </c>
      <c r="HZ137" s="41" t="str">
        <f t="shared" si="1267"/>
        <v>-</v>
      </c>
      <c r="IA137" s="41" t="str">
        <f t="shared" si="1268"/>
        <v>-</v>
      </c>
      <c r="IB137" s="41" t="str">
        <f t="shared" si="1269"/>
        <v>-</v>
      </c>
      <c r="IC137" s="41" t="str">
        <f t="shared" si="1270"/>
        <v>-</v>
      </c>
      <c r="ID137" s="41" t="str">
        <f t="shared" si="1271"/>
        <v>-</v>
      </c>
      <c r="IE137" s="41" t="str">
        <f t="shared" si="1272"/>
        <v>-</v>
      </c>
      <c r="IF137" s="41" t="str">
        <f t="shared" si="1273"/>
        <v>-</v>
      </c>
      <c r="IG137" s="306" t="str">
        <f t="shared" si="1274"/>
        <v>-</v>
      </c>
      <c r="IH137" s="44" t="str">
        <f t="shared" si="1275"/>
        <v>-</v>
      </c>
      <c r="II137" s="44" t="str">
        <f t="shared" si="1276"/>
        <v>-</v>
      </c>
      <c r="IJ137" s="44" t="str">
        <f t="shared" si="1277"/>
        <v>-</v>
      </c>
      <c r="IK137" s="44" t="str">
        <f t="shared" si="1278"/>
        <v>-</v>
      </c>
      <c r="IL137" s="44" t="str">
        <f t="shared" si="1279"/>
        <v>-</v>
      </c>
      <c r="IM137" s="306" t="str">
        <f t="shared" si="1280"/>
        <v/>
      </c>
      <c r="IN137" s="44" t="str">
        <f t="shared" si="1281"/>
        <v/>
      </c>
      <c r="IO137" s="44" t="str">
        <f t="shared" si="1282"/>
        <v/>
      </c>
      <c r="IP137" s="44" t="str">
        <f t="shared" si="1283"/>
        <v/>
      </c>
      <c r="IQ137" s="44" t="str">
        <f t="shared" si="1284"/>
        <v/>
      </c>
      <c r="IR137" s="44" t="str">
        <f t="shared" si="1285"/>
        <v/>
      </c>
      <c r="IS137" s="306" t="str">
        <f t="shared" si="1286"/>
        <v/>
      </c>
      <c r="IT137" s="44" t="str">
        <f t="shared" si="1287"/>
        <v/>
      </c>
      <c r="IU137" s="44" t="str">
        <f t="shared" si="1288"/>
        <v/>
      </c>
      <c r="IV137" s="44" t="str">
        <f t="shared" si="1289"/>
        <v/>
      </c>
      <c r="IW137" s="44" t="str">
        <f t="shared" si="1290"/>
        <v/>
      </c>
      <c r="IX137" s="44" t="str">
        <f t="shared" si="1291"/>
        <v/>
      </c>
      <c r="IY137" s="306" t="str">
        <f t="shared" si="1292"/>
        <v/>
      </c>
      <c r="IZ137" s="44" t="str">
        <f t="shared" si="1293"/>
        <v/>
      </c>
      <c r="JA137" s="44" t="str">
        <f t="shared" si="1294"/>
        <v/>
      </c>
      <c r="JB137" s="44" t="str">
        <f t="shared" si="1295"/>
        <v/>
      </c>
      <c r="JC137" s="44" t="str">
        <f t="shared" si="1296"/>
        <v/>
      </c>
      <c r="JD137" s="307" t="str">
        <f t="shared" si="1297"/>
        <v/>
      </c>
      <c r="JF137" s="66">
        <f t="shared" si="779"/>
        <v>137</v>
      </c>
      <c r="JG137" s="66">
        <f t="shared" ca="1" si="789"/>
        <v>0</v>
      </c>
      <c r="JH137" s="66">
        <f t="shared" ca="1" si="790"/>
        <v>0</v>
      </c>
      <c r="JI137" s="66">
        <f t="shared" ca="1" si="791"/>
        <v>0</v>
      </c>
      <c r="JJ137" s="66">
        <f t="shared" ca="1" si="792"/>
        <v>0</v>
      </c>
      <c r="JK137" s="33"/>
      <c r="JL137" s="74" t="str">
        <f t="shared" ca="1" si="793"/>
        <v>-</v>
      </c>
      <c r="JM137" s="75">
        <f t="shared" ca="1" si="794"/>
        <v>0</v>
      </c>
      <c r="JN137" s="75">
        <f t="shared" ca="1" si="795"/>
        <v>0</v>
      </c>
      <c r="JO137" s="74" t="str">
        <f t="shared" ca="1" si="796"/>
        <v>-</v>
      </c>
      <c r="JP137" s="74">
        <f t="shared" ca="1" si="797"/>
        <v>0</v>
      </c>
    </row>
    <row r="138" spans="1:276" hidden="1" outlineLevel="1" x14ac:dyDescent="0.35">
      <c r="A138" s="125" t="s">
        <v>805</v>
      </c>
      <c r="B138" s="125" t="s">
        <v>805</v>
      </c>
      <c r="C138" s="125" t="s">
        <v>805</v>
      </c>
      <c r="E138" s="142" t="s">
        <v>861</v>
      </c>
      <c r="F138" s="254" t="s">
        <v>793</v>
      </c>
      <c r="G138" t="s">
        <v>530</v>
      </c>
      <c r="H138" t="s">
        <v>535</v>
      </c>
      <c r="I138" t="s">
        <v>536</v>
      </c>
      <c r="J138" s="211" t="s">
        <v>805</v>
      </c>
      <c r="K138" t="s">
        <v>805</v>
      </c>
      <c r="L138" t="s">
        <v>805</v>
      </c>
      <c r="M138" t="s">
        <v>805</v>
      </c>
      <c r="N138" t="s">
        <v>805</v>
      </c>
      <c r="O138" t="s">
        <v>805</v>
      </c>
      <c r="P138" t="s">
        <v>805</v>
      </c>
      <c r="Q138" t="s">
        <v>805</v>
      </c>
      <c r="R138" t="s">
        <v>805</v>
      </c>
      <c r="S138" t="s">
        <v>805</v>
      </c>
      <c r="T138" t="s">
        <v>805</v>
      </c>
      <c r="U138" t="s">
        <v>805</v>
      </c>
      <c r="V138" t="s">
        <v>805</v>
      </c>
      <c r="W138" t="s">
        <v>805</v>
      </c>
      <c r="X138" t="s">
        <v>805</v>
      </c>
      <c r="Y138" t="s">
        <v>805</v>
      </c>
      <c r="Z138" t="s">
        <v>805</v>
      </c>
      <c r="AA138" t="s">
        <v>805</v>
      </c>
      <c r="AB138" t="s">
        <v>805</v>
      </c>
      <c r="AC138" t="s">
        <v>805</v>
      </c>
      <c r="AD138" t="s">
        <v>805</v>
      </c>
      <c r="AE138" t="s">
        <v>805</v>
      </c>
      <c r="AF138" t="s">
        <v>805</v>
      </c>
      <c r="AG138" t="s">
        <v>805</v>
      </c>
      <c r="AH138" t="s">
        <v>805</v>
      </c>
      <c r="AI138" t="s">
        <v>805</v>
      </c>
      <c r="AJ138" t="s">
        <v>805</v>
      </c>
      <c r="AK138" t="s">
        <v>805</v>
      </c>
      <c r="AL138" t="s">
        <v>805</v>
      </c>
      <c r="AM138" t="s">
        <v>805</v>
      </c>
      <c r="AN138" t="s">
        <v>805</v>
      </c>
      <c r="AO138" t="s">
        <v>805</v>
      </c>
      <c r="AP138" t="s">
        <v>805</v>
      </c>
      <c r="AQ138" t="s">
        <v>805</v>
      </c>
      <c r="AR138" t="s">
        <v>805</v>
      </c>
      <c r="AS138" t="s">
        <v>805</v>
      </c>
      <c r="AT138" t="s">
        <v>805</v>
      </c>
      <c r="AU138" t="s">
        <v>805</v>
      </c>
      <c r="AV138" t="s">
        <v>805</v>
      </c>
      <c r="AW138" t="s">
        <v>805</v>
      </c>
      <c r="AX138" t="s">
        <v>805</v>
      </c>
      <c r="AY138" t="s">
        <v>805</v>
      </c>
      <c r="AZ138" t="s">
        <v>805</v>
      </c>
      <c r="BA138" t="s">
        <v>805</v>
      </c>
      <c r="BB138" t="s">
        <v>805</v>
      </c>
      <c r="BC138" t="s">
        <v>805</v>
      </c>
      <c r="BD138" t="s">
        <v>805</v>
      </c>
      <c r="BE138" t="s">
        <v>805</v>
      </c>
      <c r="BF138" t="s">
        <v>805</v>
      </c>
      <c r="BG138" t="s">
        <v>805</v>
      </c>
      <c r="BH138" t="s">
        <v>805</v>
      </c>
      <c r="BI138" t="s">
        <v>805</v>
      </c>
      <c r="BJ138" t="s">
        <v>805</v>
      </c>
      <c r="BK138" t="s">
        <v>805</v>
      </c>
      <c r="BL138" t="s">
        <v>805</v>
      </c>
      <c r="BM138" t="s">
        <v>805</v>
      </c>
      <c r="BN138" t="s">
        <v>805</v>
      </c>
      <c r="BO138" t="s">
        <v>805</v>
      </c>
      <c r="BP138" t="s">
        <v>805</v>
      </c>
      <c r="BQ138" t="s">
        <v>805</v>
      </c>
      <c r="BR138" t="s">
        <v>805</v>
      </c>
      <c r="BS138" t="s">
        <v>805</v>
      </c>
      <c r="BT138" t="s">
        <v>805</v>
      </c>
      <c r="BU138" t="s">
        <v>805</v>
      </c>
      <c r="BV138" t="s">
        <v>805</v>
      </c>
      <c r="BW138" t="s">
        <v>805</v>
      </c>
      <c r="BX138" t="s">
        <v>805</v>
      </c>
      <c r="BY138" t="s">
        <v>805</v>
      </c>
      <c r="BZ138" t="s">
        <v>805</v>
      </c>
      <c r="CA138" t="s">
        <v>805</v>
      </c>
      <c r="CB138" t="s">
        <v>805</v>
      </c>
      <c r="CC138" t="s">
        <v>805</v>
      </c>
      <c r="CD138" t="s">
        <v>805</v>
      </c>
      <c r="CE138" t="s">
        <v>805</v>
      </c>
      <c r="CF138" t="s">
        <v>805</v>
      </c>
      <c r="CG138" t="s">
        <v>805</v>
      </c>
      <c r="CH138" t="s">
        <v>805</v>
      </c>
      <c r="CI138" t="s">
        <v>805</v>
      </c>
      <c r="CJ138" t="s">
        <v>805</v>
      </c>
      <c r="CK138" t="s">
        <v>805</v>
      </c>
      <c r="CL138" t="s">
        <v>805</v>
      </c>
      <c r="CM138" t="s">
        <v>805</v>
      </c>
      <c r="CN138" t="s">
        <v>805</v>
      </c>
      <c r="CO138" t="s">
        <v>805</v>
      </c>
      <c r="CP138" t="s">
        <v>805</v>
      </c>
      <c r="CQ138" t="s">
        <v>805</v>
      </c>
      <c r="CR138" t="s">
        <v>805</v>
      </c>
      <c r="CS138" t="s">
        <v>805</v>
      </c>
      <c r="CT138" t="s">
        <v>805</v>
      </c>
      <c r="CU138" t="s">
        <v>805</v>
      </c>
      <c r="CV138" t="s">
        <v>805</v>
      </c>
      <c r="CW138" t="s">
        <v>805</v>
      </c>
      <c r="CX138" t="s">
        <v>805</v>
      </c>
      <c r="CY138" t="s">
        <v>805</v>
      </c>
      <c r="CZ138" t="s">
        <v>805</v>
      </c>
      <c r="DA138" t="s">
        <v>805</v>
      </c>
      <c r="DB138" t="s">
        <v>805</v>
      </c>
      <c r="DC138" t="s">
        <v>805</v>
      </c>
      <c r="DD138" t="s">
        <v>805</v>
      </c>
      <c r="DE138" t="s">
        <v>805</v>
      </c>
      <c r="DF138" t="s">
        <v>805</v>
      </c>
      <c r="DG138" s="28">
        <f>VLOOKUP(E138,'KPI Count-SHARE'!A:F,3,0)</f>
        <v>0</v>
      </c>
      <c r="DH138" t="s">
        <v>805</v>
      </c>
      <c r="DI138" t="s">
        <v>805</v>
      </c>
      <c r="DJ138" t="s">
        <v>805</v>
      </c>
      <c r="DK138" t="s">
        <v>805</v>
      </c>
      <c r="DL138" t="s">
        <v>805</v>
      </c>
      <c r="DM138" t="s">
        <v>805</v>
      </c>
      <c r="DN138" s="28">
        <f>VLOOKUP(E138,'KPI Count-SHARE'!A:F,4,0)</f>
        <v>0</v>
      </c>
      <c r="DU138" s="28">
        <f>VLOOKUP(E138,'KPI Count-SHARE'!A:F,5,0)</f>
        <v>0</v>
      </c>
      <c r="EB138" s="28">
        <f>VLOOKUP(E138,'KPI Count-SHARE'!A:F,6,0)</f>
        <v>0</v>
      </c>
      <c r="EI138" t="str">
        <f t="shared" si="1298"/>
        <v>USD '000 per FTE</v>
      </c>
      <c r="EJ138" s="41" t="str">
        <f t="shared" si="1173"/>
        <v>-</v>
      </c>
      <c r="EK138" s="41" t="str">
        <f t="shared" si="1174"/>
        <v>-</v>
      </c>
      <c r="EL138" s="41" t="str">
        <f t="shared" si="1175"/>
        <v>-</v>
      </c>
      <c r="EM138" s="41" t="str">
        <f t="shared" si="1176"/>
        <v>-</v>
      </c>
      <c r="EN138" s="41" t="str">
        <f t="shared" si="1177"/>
        <v>-</v>
      </c>
      <c r="EO138" s="41" t="str">
        <f t="shared" si="1178"/>
        <v>-</v>
      </c>
      <c r="EP138" s="41" t="str">
        <f t="shared" si="1179"/>
        <v>-</v>
      </c>
      <c r="EQ138" s="41" t="str">
        <f t="shared" si="1180"/>
        <v>-</v>
      </c>
      <c r="ER138" s="41" t="str">
        <f t="shared" si="1181"/>
        <v>-</v>
      </c>
      <c r="ES138" s="41" t="str">
        <f t="shared" si="1182"/>
        <v>-</v>
      </c>
      <c r="ET138" s="41" t="str">
        <f t="shared" si="1183"/>
        <v>-</v>
      </c>
      <c r="EU138" s="41" t="str">
        <f t="shared" si="1184"/>
        <v>-</v>
      </c>
      <c r="EV138" s="41" t="str">
        <f t="shared" si="1185"/>
        <v>-</v>
      </c>
      <c r="EW138" s="41" t="str">
        <f t="shared" si="1186"/>
        <v>-</v>
      </c>
      <c r="EX138" s="41" t="str">
        <f t="shared" si="1187"/>
        <v>-</v>
      </c>
      <c r="EY138" s="41" t="str">
        <f t="shared" si="1188"/>
        <v>-</v>
      </c>
      <c r="EZ138" s="41" t="str">
        <f t="shared" si="1189"/>
        <v>-</v>
      </c>
      <c r="FA138" s="41" t="str">
        <f t="shared" si="1190"/>
        <v>-</v>
      </c>
      <c r="FB138" s="41" t="str">
        <f t="shared" si="1191"/>
        <v>-</v>
      </c>
      <c r="FC138" s="41" t="str">
        <f t="shared" si="1192"/>
        <v>-</v>
      </c>
      <c r="FD138" s="41" t="str">
        <f t="shared" si="1193"/>
        <v>-</v>
      </c>
      <c r="FE138" s="41" t="str">
        <f t="shared" si="1194"/>
        <v>-</v>
      </c>
      <c r="FF138" s="41" t="str">
        <f t="shared" si="1195"/>
        <v>-</v>
      </c>
      <c r="FG138" s="41" t="str">
        <f t="shared" si="1196"/>
        <v>-</v>
      </c>
      <c r="FH138" s="41" t="str">
        <f t="shared" si="1197"/>
        <v>-</v>
      </c>
      <c r="FI138" s="41" t="str">
        <f t="shared" si="1198"/>
        <v>-</v>
      </c>
      <c r="FJ138" s="41" t="str">
        <f t="shared" si="1199"/>
        <v>-</v>
      </c>
      <c r="FK138" s="41" t="str">
        <f t="shared" si="1200"/>
        <v>-</v>
      </c>
      <c r="FL138" s="41" t="str">
        <f t="shared" si="1201"/>
        <v>-</v>
      </c>
      <c r="FM138" s="41" t="str">
        <f t="shared" si="1202"/>
        <v>-</v>
      </c>
      <c r="FN138" s="41" t="str">
        <f t="shared" si="1203"/>
        <v>-</v>
      </c>
      <c r="FO138" s="41" t="str">
        <f t="shared" si="1204"/>
        <v>-</v>
      </c>
      <c r="FP138" s="41" t="str">
        <f t="shared" si="1205"/>
        <v>-</v>
      </c>
      <c r="FQ138" s="41" t="str">
        <f t="shared" si="1206"/>
        <v>-</v>
      </c>
      <c r="FR138" s="41" t="str">
        <f t="shared" si="1207"/>
        <v>-</v>
      </c>
      <c r="FS138" s="41" t="str">
        <f t="shared" si="1208"/>
        <v>-</v>
      </c>
      <c r="FT138" s="41" t="str">
        <f t="shared" si="1209"/>
        <v>-</v>
      </c>
      <c r="FU138" s="41" t="str">
        <f t="shared" si="1210"/>
        <v>-</v>
      </c>
      <c r="FV138" s="41" t="str">
        <f t="shared" si="1211"/>
        <v>-</v>
      </c>
      <c r="FW138" s="41" t="str">
        <f t="shared" si="1212"/>
        <v>-</v>
      </c>
      <c r="FX138" s="41" t="str">
        <f t="shared" si="1213"/>
        <v>-</v>
      </c>
      <c r="FY138" s="41" t="str">
        <f t="shared" si="1214"/>
        <v>-</v>
      </c>
      <c r="FZ138" s="41" t="str">
        <f t="shared" si="1215"/>
        <v>-</v>
      </c>
      <c r="GA138" s="41" t="str">
        <f t="shared" si="1216"/>
        <v>-</v>
      </c>
      <c r="GB138" s="41" t="str">
        <f t="shared" si="1217"/>
        <v>-</v>
      </c>
      <c r="GC138" s="41" t="str">
        <f t="shared" si="1218"/>
        <v>-</v>
      </c>
      <c r="GD138" s="41" t="str">
        <f t="shared" si="1219"/>
        <v>-</v>
      </c>
      <c r="GE138" s="41" t="str">
        <f t="shared" si="1220"/>
        <v>-</v>
      </c>
      <c r="GF138" s="41" t="str">
        <f t="shared" si="1221"/>
        <v>-</v>
      </c>
      <c r="GG138" s="41" t="str">
        <f t="shared" si="1222"/>
        <v>-</v>
      </c>
      <c r="GH138" s="41" t="str">
        <f t="shared" si="1223"/>
        <v>-</v>
      </c>
      <c r="GI138" s="41" t="str">
        <f t="shared" si="1224"/>
        <v>-</v>
      </c>
      <c r="GJ138" s="41" t="str">
        <f t="shared" si="1225"/>
        <v>-</v>
      </c>
      <c r="GK138" s="41" t="str">
        <f t="shared" si="1226"/>
        <v>-</v>
      </c>
      <c r="GL138" s="41" t="str">
        <f t="shared" si="1227"/>
        <v>-</v>
      </c>
      <c r="GM138" s="41" t="str">
        <f t="shared" si="1228"/>
        <v>-</v>
      </c>
      <c r="GN138" s="41" t="str">
        <f t="shared" si="1229"/>
        <v>-</v>
      </c>
      <c r="GO138" s="41" t="str">
        <f t="shared" si="1230"/>
        <v>-</v>
      </c>
      <c r="GP138" s="41" t="str">
        <f t="shared" si="1231"/>
        <v>-</v>
      </c>
      <c r="GQ138" s="41" t="str">
        <f t="shared" si="1232"/>
        <v>-</v>
      </c>
      <c r="GR138" s="41" t="str">
        <f t="shared" si="1233"/>
        <v>-</v>
      </c>
      <c r="GS138" s="41" t="str">
        <f t="shared" si="1234"/>
        <v>-</v>
      </c>
      <c r="GT138" s="41" t="str">
        <f t="shared" si="1235"/>
        <v>-</v>
      </c>
      <c r="GU138" s="41" t="str">
        <f t="shared" si="1236"/>
        <v>-</v>
      </c>
      <c r="GV138" s="41" t="str">
        <f t="shared" si="1237"/>
        <v>-</v>
      </c>
      <c r="GW138" s="41" t="str">
        <f t="shared" si="1238"/>
        <v>-</v>
      </c>
      <c r="GX138" s="41" t="str">
        <f t="shared" si="1239"/>
        <v>-</v>
      </c>
      <c r="GY138" s="41" t="str">
        <f t="shared" si="1240"/>
        <v>-</v>
      </c>
      <c r="GZ138" s="41" t="str">
        <f t="shared" si="1241"/>
        <v>-</v>
      </c>
      <c r="HA138" s="41" t="str">
        <f t="shared" si="1242"/>
        <v>-</v>
      </c>
      <c r="HB138" s="41" t="str">
        <f t="shared" si="1243"/>
        <v>-</v>
      </c>
      <c r="HC138" s="41" t="str">
        <f t="shared" si="1244"/>
        <v>-</v>
      </c>
      <c r="HD138" s="41" t="str">
        <f t="shared" si="1245"/>
        <v>-</v>
      </c>
      <c r="HE138" s="41" t="str">
        <f t="shared" si="1246"/>
        <v>-</v>
      </c>
      <c r="HF138" s="41" t="str">
        <f t="shared" si="1247"/>
        <v>-</v>
      </c>
      <c r="HG138" s="41" t="str">
        <f t="shared" si="1248"/>
        <v>-</v>
      </c>
      <c r="HH138" s="41" t="str">
        <f t="shared" si="1249"/>
        <v>-</v>
      </c>
      <c r="HI138" s="41" t="str">
        <f t="shared" si="1250"/>
        <v>-</v>
      </c>
      <c r="HJ138" s="41" t="str">
        <f t="shared" si="1251"/>
        <v>-</v>
      </c>
      <c r="HK138" s="41" t="str">
        <f t="shared" si="1252"/>
        <v>-</v>
      </c>
      <c r="HL138" s="41" t="str">
        <f t="shared" si="1253"/>
        <v>-</v>
      </c>
      <c r="HM138" s="41" t="str">
        <f t="shared" si="1254"/>
        <v>-</v>
      </c>
      <c r="HN138" s="41" t="str">
        <f t="shared" si="1255"/>
        <v>-</v>
      </c>
      <c r="HO138" s="41" t="str">
        <f t="shared" si="1256"/>
        <v>-</v>
      </c>
      <c r="HP138" s="41" t="str">
        <f t="shared" si="1257"/>
        <v>-</v>
      </c>
      <c r="HQ138" s="41" t="str">
        <f t="shared" si="1258"/>
        <v>-</v>
      </c>
      <c r="HR138" s="41" t="str">
        <f t="shared" si="1259"/>
        <v>-</v>
      </c>
      <c r="HS138" s="41" t="str">
        <f t="shared" si="1260"/>
        <v>-</v>
      </c>
      <c r="HT138" s="41" t="str">
        <f t="shared" si="1261"/>
        <v>-</v>
      </c>
      <c r="HU138" s="41" t="str">
        <f t="shared" si="1262"/>
        <v>-</v>
      </c>
      <c r="HV138" s="41" t="str">
        <f t="shared" si="1263"/>
        <v>-</v>
      </c>
      <c r="HW138" s="41" t="str">
        <f t="shared" si="1264"/>
        <v>-</v>
      </c>
      <c r="HX138" s="41" t="str">
        <f t="shared" si="1265"/>
        <v>-</v>
      </c>
      <c r="HY138" s="41" t="str">
        <f t="shared" si="1266"/>
        <v>-</v>
      </c>
      <c r="HZ138" s="41" t="str">
        <f t="shared" si="1267"/>
        <v>-</v>
      </c>
      <c r="IA138" s="41" t="str">
        <f t="shared" si="1268"/>
        <v>-</v>
      </c>
      <c r="IB138" s="41" t="str">
        <f t="shared" si="1269"/>
        <v>-</v>
      </c>
      <c r="IC138" s="41" t="str">
        <f t="shared" si="1270"/>
        <v>-</v>
      </c>
      <c r="ID138" s="41" t="str">
        <f t="shared" si="1271"/>
        <v>-</v>
      </c>
      <c r="IE138" s="41" t="str">
        <f t="shared" si="1272"/>
        <v>-</v>
      </c>
      <c r="IF138" s="41" t="str">
        <f t="shared" si="1273"/>
        <v>-</v>
      </c>
      <c r="IG138" s="306" t="str">
        <f t="shared" si="1274"/>
        <v>-</v>
      </c>
      <c r="IH138" s="44" t="str">
        <f t="shared" si="1275"/>
        <v>-</v>
      </c>
      <c r="II138" s="44" t="str">
        <f t="shared" si="1276"/>
        <v>-</v>
      </c>
      <c r="IJ138" s="44" t="str">
        <f t="shared" si="1277"/>
        <v>-</v>
      </c>
      <c r="IK138" s="44" t="str">
        <f t="shared" si="1278"/>
        <v>-</v>
      </c>
      <c r="IL138" s="44" t="str">
        <f t="shared" si="1279"/>
        <v>-</v>
      </c>
      <c r="IM138" s="306" t="str">
        <f t="shared" si="1280"/>
        <v/>
      </c>
      <c r="IN138" s="44" t="str">
        <f t="shared" si="1281"/>
        <v/>
      </c>
      <c r="IO138" s="44" t="str">
        <f t="shared" si="1282"/>
        <v/>
      </c>
      <c r="IP138" s="44" t="str">
        <f t="shared" si="1283"/>
        <v/>
      </c>
      <c r="IQ138" s="44" t="str">
        <f t="shared" si="1284"/>
        <v/>
      </c>
      <c r="IR138" s="44" t="str">
        <f t="shared" si="1285"/>
        <v/>
      </c>
      <c r="IS138" s="306" t="str">
        <f t="shared" si="1286"/>
        <v/>
      </c>
      <c r="IT138" s="44" t="str">
        <f t="shared" si="1287"/>
        <v/>
      </c>
      <c r="IU138" s="44" t="str">
        <f t="shared" si="1288"/>
        <v/>
      </c>
      <c r="IV138" s="44" t="str">
        <f t="shared" si="1289"/>
        <v/>
      </c>
      <c r="IW138" s="44" t="str">
        <f t="shared" si="1290"/>
        <v/>
      </c>
      <c r="IX138" s="44" t="str">
        <f t="shared" si="1291"/>
        <v/>
      </c>
      <c r="IY138" s="306" t="str">
        <f t="shared" si="1292"/>
        <v/>
      </c>
      <c r="IZ138" s="44" t="str">
        <f t="shared" si="1293"/>
        <v/>
      </c>
      <c r="JA138" s="44" t="str">
        <f t="shared" si="1294"/>
        <v/>
      </c>
      <c r="JB138" s="44" t="str">
        <f t="shared" si="1295"/>
        <v/>
      </c>
      <c r="JC138" s="44" t="str">
        <f t="shared" si="1296"/>
        <v/>
      </c>
      <c r="JD138" s="307" t="str">
        <f t="shared" si="1297"/>
        <v/>
      </c>
      <c r="JF138" s="66">
        <f t="shared" si="779"/>
        <v>138</v>
      </c>
      <c r="JG138" s="66">
        <f t="shared" ca="1" si="789"/>
        <v>0</v>
      </c>
      <c r="JH138" s="66">
        <f t="shared" ca="1" si="790"/>
        <v>0</v>
      </c>
      <c r="JI138" s="66">
        <f t="shared" ca="1" si="791"/>
        <v>0</v>
      </c>
      <c r="JJ138" s="66">
        <f t="shared" ca="1" si="792"/>
        <v>0</v>
      </c>
      <c r="JK138" s="33"/>
      <c r="JL138" s="74" t="str">
        <f t="shared" ca="1" si="793"/>
        <v>-</v>
      </c>
      <c r="JM138" s="75">
        <f t="shared" ca="1" si="794"/>
        <v>0</v>
      </c>
      <c r="JN138" s="75">
        <f t="shared" ca="1" si="795"/>
        <v>0</v>
      </c>
      <c r="JO138" s="74" t="str">
        <f t="shared" ca="1" si="796"/>
        <v>-</v>
      </c>
      <c r="JP138" s="74">
        <f t="shared" ca="1" si="797"/>
        <v>0</v>
      </c>
    </row>
    <row r="139" spans="1:276" hidden="1" outlineLevel="1" x14ac:dyDescent="0.35">
      <c r="A139" s="125" t="s">
        <v>805</v>
      </c>
      <c r="B139" s="125" t="s">
        <v>805</v>
      </c>
      <c r="C139" s="125" t="s">
        <v>805</v>
      </c>
      <c r="E139" s="142" t="s">
        <v>862</v>
      </c>
      <c r="F139" s="254" t="s">
        <v>794</v>
      </c>
      <c r="G139" t="s">
        <v>530</v>
      </c>
      <c r="H139" t="s">
        <v>535</v>
      </c>
      <c r="I139" t="s">
        <v>536</v>
      </c>
      <c r="J139" s="211" t="s">
        <v>805</v>
      </c>
      <c r="K139" t="s">
        <v>805</v>
      </c>
      <c r="L139" t="s">
        <v>805</v>
      </c>
      <c r="M139" t="s">
        <v>805</v>
      </c>
      <c r="N139" t="s">
        <v>805</v>
      </c>
      <c r="O139" t="s">
        <v>805</v>
      </c>
      <c r="P139" t="s">
        <v>805</v>
      </c>
      <c r="Q139" t="s">
        <v>805</v>
      </c>
      <c r="R139" t="s">
        <v>805</v>
      </c>
      <c r="S139" t="s">
        <v>805</v>
      </c>
      <c r="T139" t="s">
        <v>805</v>
      </c>
      <c r="U139" t="s">
        <v>805</v>
      </c>
      <c r="V139" t="s">
        <v>805</v>
      </c>
      <c r="W139" t="s">
        <v>805</v>
      </c>
      <c r="X139" t="s">
        <v>805</v>
      </c>
      <c r="Y139" t="s">
        <v>805</v>
      </c>
      <c r="Z139" t="s">
        <v>805</v>
      </c>
      <c r="AA139" t="s">
        <v>805</v>
      </c>
      <c r="AB139" t="s">
        <v>805</v>
      </c>
      <c r="AC139" t="s">
        <v>805</v>
      </c>
      <c r="AD139" t="s">
        <v>805</v>
      </c>
      <c r="AE139" t="s">
        <v>805</v>
      </c>
      <c r="AF139" t="s">
        <v>805</v>
      </c>
      <c r="AG139" t="s">
        <v>805</v>
      </c>
      <c r="AH139" t="s">
        <v>805</v>
      </c>
      <c r="AI139" t="s">
        <v>805</v>
      </c>
      <c r="AJ139" t="s">
        <v>805</v>
      </c>
      <c r="AK139" t="s">
        <v>805</v>
      </c>
      <c r="AL139" t="s">
        <v>805</v>
      </c>
      <c r="AM139" t="s">
        <v>805</v>
      </c>
      <c r="AN139" t="s">
        <v>805</v>
      </c>
      <c r="AO139" t="s">
        <v>805</v>
      </c>
      <c r="AP139" t="s">
        <v>805</v>
      </c>
      <c r="AQ139" t="s">
        <v>805</v>
      </c>
      <c r="AR139" t="s">
        <v>805</v>
      </c>
      <c r="AS139" t="s">
        <v>805</v>
      </c>
      <c r="AT139" t="s">
        <v>805</v>
      </c>
      <c r="AU139" t="s">
        <v>805</v>
      </c>
      <c r="AV139" t="s">
        <v>805</v>
      </c>
      <c r="AW139" t="s">
        <v>805</v>
      </c>
      <c r="AX139" t="s">
        <v>805</v>
      </c>
      <c r="AY139" t="s">
        <v>805</v>
      </c>
      <c r="AZ139" t="s">
        <v>805</v>
      </c>
      <c r="BA139" t="s">
        <v>805</v>
      </c>
      <c r="BB139" t="s">
        <v>805</v>
      </c>
      <c r="BC139" t="s">
        <v>805</v>
      </c>
      <c r="BD139" t="s">
        <v>805</v>
      </c>
      <c r="BE139" t="s">
        <v>805</v>
      </c>
      <c r="BF139" t="s">
        <v>805</v>
      </c>
      <c r="BG139" t="s">
        <v>805</v>
      </c>
      <c r="BH139" t="s">
        <v>805</v>
      </c>
      <c r="BI139" t="s">
        <v>805</v>
      </c>
      <c r="BJ139" t="s">
        <v>805</v>
      </c>
      <c r="BK139" t="s">
        <v>805</v>
      </c>
      <c r="BL139" t="s">
        <v>805</v>
      </c>
      <c r="BM139" t="s">
        <v>805</v>
      </c>
      <c r="BN139" t="s">
        <v>805</v>
      </c>
      <c r="BO139" t="s">
        <v>805</v>
      </c>
      <c r="BP139" t="s">
        <v>805</v>
      </c>
      <c r="BQ139" t="s">
        <v>805</v>
      </c>
      <c r="BR139" t="s">
        <v>805</v>
      </c>
      <c r="BS139" t="s">
        <v>805</v>
      </c>
      <c r="BT139" t="s">
        <v>805</v>
      </c>
      <c r="BU139" t="s">
        <v>805</v>
      </c>
      <c r="BV139" t="s">
        <v>805</v>
      </c>
      <c r="BW139" t="s">
        <v>805</v>
      </c>
      <c r="BX139" t="s">
        <v>805</v>
      </c>
      <c r="BY139" t="s">
        <v>805</v>
      </c>
      <c r="BZ139" t="s">
        <v>805</v>
      </c>
      <c r="CA139" t="s">
        <v>805</v>
      </c>
      <c r="CB139" t="s">
        <v>805</v>
      </c>
      <c r="CC139" t="s">
        <v>805</v>
      </c>
      <c r="CD139" t="s">
        <v>805</v>
      </c>
      <c r="CE139" t="s">
        <v>805</v>
      </c>
      <c r="CF139" t="s">
        <v>805</v>
      </c>
      <c r="CG139" t="s">
        <v>805</v>
      </c>
      <c r="CH139" t="s">
        <v>805</v>
      </c>
      <c r="CI139" t="s">
        <v>805</v>
      </c>
      <c r="CJ139" t="s">
        <v>805</v>
      </c>
      <c r="CK139" t="s">
        <v>805</v>
      </c>
      <c r="CL139" t="s">
        <v>805</v>
      </c>
      <c r="CM139" t="s">
        <v>805</v>
      </c>
      <c r="CN139" t="s">
        <v>805</v>
      </c>
      <c r="CO139" t="s">
        <v>805</v>
      </c>
      <c r="CP139" t="s">
        <v>805</v>
      </c>
      <c r="CQ139" t="s">
        <v>805</v>
      </c>
      <c r="CR139" t="s">
        <v>805</v>
      </c>
      <c r="CS139" t="s">
        <v>805</v>
      </c>
      <c r="CT139" t="s">
        <v>805</v>
      </c>
      <c r="CU139" t="s">
        <v>805</v>
      </c>
      <c r="CV139" t="s">
        <v>805</v>
      </c>
      <c r="CW139" t="s">
        <v>805</v>
      </c>
      <c r="CX139" t="s">
        <v>805</v>
      </c>
      <c r="CY139" t="s">
        <v>805</v>
      </c>
      <c r="CZ139" t="s">
        <v>805</v>
      </c>
      <c r="DA139" t="s">
        <v>805</v>
      </c>
      <c r="DB139" t="s">
        <v>805</v>
      </c>
      <c r="DC139" t="s">
        <v>805</v>
      </c>
      <c r="DD139" t="s">
        <v>805</v>
      </c>
      <c r="DE139" t="s">
        <v>805</v>
      </c>
      <c r="DF139" t="s">
        <v>805</v>
      </c>
      <c r="DG139" s="28">
        <f>VLOOKUP(E139,'KPI Count-SHARE'!A:F,3,0)</f>
        <v>0</v>
      </c>
      <c r="DH139" t="s">
        <v>805</v>
      </c>
      <c r="DI139" t="s">
        <v>805</v>
      </c>
      <c r="DJ139" t="s">
        <v>805</v>
      </c>
      <c r="DK139" t="s">
        <v>805</v>
      </c>
      <c r="DL139" t="s">
        <v>805</v>
      </c>
      <c r="DM139" t="s">
        <v>805</v>
      </c>
      <c r="DN139" s="28">
        <f>VLOOKUP(E139,'KPI Count-SHARE'!A:F,4,0)</f>
        <v>0</v>
      </c>
      <c r="DU139" s="28">
        <f>VLOOKUP(E139,'KPI Count-SHARE'!A:F,5,0)</f>
        <v>0</v>
      </c>
      <c r="EB139" s="28">
        <f>VLOOKUP(E139,'KPI Count-SHARE'!A:F,6,0)</f>
        <v>0</v>
      </c>
      <c r="EI139" t="str">
        <f t="shared" si="1298"/>
        <v>USD '000 per FTE</v>
      </c>
      <c r="EJ139" s="41" t="str">
        <f t="shared" si="1173"/>
        <v>-</v>
      </c>
      <c r="EK139" s="41" t="str">
        <f t="shared" si="1174"/>
        <v>-</v>
      </c>
      <c r="EL139" s="41" t="str">
        <f t="shared" si="1175"/>
        <v>-</v>
      </c>
      <c r="EM139" s="41" t="str">
        <f t="shared" si="1176"/>
        <v>-</v>
      </c>
      <c r="EN139" s="41" t="str">
        <f t="shared" si="1177"/>
        <v>-</v>
      </c>
      <c r="EO139" s="41" t="str">
        <f t="shared" si="1178"/>
        <v>-</v>
      </c>
      <c r="EP139" s="41" t="str">
        <f t="shared" si="1179"/>
        <v>-</v>
      </c>
      <c r="EQ139" s="41" t="str">
        <f t="shared" si="1180"/>
        <v>-</v>
      </c>
      <c r="ER139" s="41" t="str">
        <f t="shared" si="1181"/>
        <v>-</v>
      </c>
      <c r="ES139" s="41" t="str">
        <f t="shared" si="1182"/>
        <v>-</v>
      </c>
      <c r="ET139" s="41" t="str">
        <f t="shared" si="1183"/>
        <v>-</v>
      </c>
      <c r="EU139" s="41" t="str">
        <f t="shared" si="1184"/>
        <v>-</v>
      </c>
      <c r="EV139" s="41" t="str">
        <f t="shared" si="1185"/>
        <v>-</v>
      </c>
      <c r="EW139" s="41" t="str">
        <f t="shared" si="1186"/>
        <v>-</v>
      </c>
      <c r="EX139" s="41" t="str">
        <f t="shared" si="1187"/>
        <v>-</v>
      </c>
      <c r="EY139" s="41" t="str">
        <f t="shared" si="1188"/>
        <v>-</v>
      </c>
      <c r="EZ139" s="41" t="str">
        <f t="shared" si="1189"/>
        <v>-</v>
      </c>
      <c r="FA139" s="41" t="str">
        <f t="shared" si="1190"/>
        <v>-</v>
      </c>
      <c r="FB139" s="41" t="str">
        <f t="shared" si="1191"/>
        <v>-</v>
      </c>
      <c r="FC139" s="41" t="str">
        <f t="shared" si="1192"/>
        <v>-</v>
      </c>
      <c r="FD139" s="41" t="str">
        <f t="shared" si="1193"/>
        <v>-</v>
      </c>
      <c r="FE139" s="41" t="str">
        <f t="shared" si="1194"/>
        <v>-</v>
      </c>
      <c r="FF139" s="41" t="str">
        <f t="shared" si="1195"/>
        <v>-</v>
      </c>
      <c r="FG139" s="41" t="str">
        <f t="shared" si="1196"/>
        <v>-</v>
      </c>
      <c r="FH139" s="41" t="str">
        <f t="shared" si="1197"/>
        <v>-</v>
      </c>
      <c r="FI139" s="41" t="str">
        <f t="shared" si="1198"/>
        <v>-</v>
      </c>
      <c r="FJ139" s="41" t="str">
        <f t="shared" si="1199"/>
        <v>-</v>
      </c>
      <c r="FK139" s="41" t="str">
        <f t="shared" si="1200"/>
        <v>-</v>
      </c>
      <c r="FL139" s="41" t="str">
        <f t="shared" si="1201"/>
        <v>-</v>
      </c>
      <c r="FM139" s="41" t="str">
        <f t="shared" si="1202"/>
        <v>-</v>
      </c>
      <c r="FN139" s="41" t="str">
        <f t="shared" si="1203"/>
        <v>-</v>
      </c>
      <c r="FO139" s="41" t="str">
        <f t="shared" si="1204"/>
        <v>-</v>
      </c>
      <c r="FP139" s="41" t="str">
        <f t="shared" si="1205"/>
        <v>-</v>
      </c>
      <c r="FQ139" s="41" t="str">
        <f t="shared" si="1206"/>
        <v>-</v>
      </c>
      <c r="FR139" s="41" t="str">
        <f t="shared" si="1207"/>
        <v>-</v>
      </c>
      <c r="FS139" s="41" t="str">
        <f t="shared" si="1208"/>
        <v>-</v>
      </c>
      <c r="FT139" s="41" t="str">
        <f t="shared" si="1209"/>
        <v>-</v>
      </c>
      <c r="FU139" s="41" t="str">
        <f t="shared" si="1210"/>
        <v>-</v>
      </c>
      <c r="FV139" s="41" t="str">
        <f t="shared" si="1211"/>
        <v>-</v>
      </c>
      <c r="FW139" s="41" t="str">
        <f t="shared" si="1212"/>
        <v>-</v>
      </c>
      <c r="FX139" s="41" t="str">
        <f t="shared" si="1213"/>
        <v>-</v>
      </c>
      <c r="FY139" s="41" t="str">
        <f t="shared" si="1214"/>
        <v>-</v>
      </c>
      <c r="FZ139" s="41" t="str">
        <f t="shared" si="1215"/>
        <v>-</v>
      </c>
      <c r="GA139" s="41" t="str">
        <f t="shared" si="1216"/>
        <v>-</v>
      </c>
      <c r="GB139" s="41" t="str">
        <f t="shared" si="1217"/>
        <v>-</v>
      </c>
      <c r="GC139" s="41" t="str">
        <f t="shared" si="1218"/>
        <v>-</v>
      </c>
      <c r="GD139" s="41" t="str">
        <f t="shared" si="1219"/>
        <v>-</v>
      </c>
      <c r="GE139" s="41" t="str">
        <f t="shared" si="1220"/>
        <v>-</v>
      </c>
      <c r="GF139" s="41" t="str">
        <f t="shared" si="1221"/>
        <v>-</v>
      </c>
      <c r="GG139" s="41" t="str">
        <f t="shared" si="1222"/>
        <v>-</v>
      </c>
      <c r="GH139" s="41" t="str">
        <f t="shared" si="1223"/>
        <v>-</v>
      </c>
      <c r="GI139" s="41" t="str">
        <f t="shared" si="1224"/>
        <v>-</v>
      </c>
      <c r="GJ139" s="41" t="str">
        <f t="shared" si="1225"/>
        <v>-</v>
      </c>
      <c r="GK139" s="41" t="str">
        <f t="shared" si="1226"/>
        <v>-</v>
      </c>
      <c r="GL139" s="41" t="str">
        <f t="shared" si="1227"/>
        <v>-</v>
      </c>
      <c r="GM139" s="41" t="str">
        <f t="shared" si="1228"/>
        <v>-</v>
      </c>
      <c r="GN139" s="41" t="str">
        <f t="shared" si="1229"/>
        <v>-</v>
      </c>
      <c r="GO139" s="41" t="str">
        <f t="shared" si="1230"/>
        <v>-</v>
      </c>
      <c r="GP139" s="41" t="str">
        <f t="shared" si="1231"/>
        <v>-</v>
      </c>
      <c r="GQ139" s="41" t="str">
        <f t="shared" si="1232"/>
        <v>-</v>
      </c>
      <c r="GR139" s="41" t="str">
        <f t="shared" si="1233"/>
        <v>-</v>
      </c>
      <c r="GS139" s="41" t="str">
        <f t="shared" si="1234"/>
        <v>-</v>
      </c>
      <c r="GT139" s="41" t="str">
        <f t="shared" si="1235"/>
        <v>-</v>
      </c>
      <c r="GU139" s="41" t="str">
        <f t="shared" si="1236"/>
        <v>-</v>
      </c>
      <c r="GV139" s="41" t="str">
        <f t="shared" si="1237"/>
        <v>-</v>
      </c>
      <c r="GW139" s="41" t="str">
        <f t="shared" si="1238"/>
        <v>-</v>
      </c>
      <c r="GX139" s="41" t="str">
        <f t="shared" si="1239"/>
        <v>-</v>
      </c>
      <c r="GY139" s="41" t="str">
        <f t="shared" si="1240"/>
        <v>-</v>
      </c>
      <c r="GZ139" s="41" t="str">
        <f t="shared" si="1241"/>
        <v>-</v>
      </c>
      <c r="HA139" s="41" t="str">
        <f t="shared" si="1242"/>
        <v>-</v>
      </c>
      <c r="HB139" s="41" t="str">
        <f t="shared" si="1243"/>
        <v>-</v>
      </c>
      <c r="HC139" s="41" t="str">
        <f t="shared" si="1244"/>
        <v>-</v>
      </c>
      <c r="HD139" s="41" t="str">
        <f t="shared" si="1245"/>
        <v>-</v>
      </c>
      <c r="HE139" s="41" t="str">
        <f t="shared" si="1246"/>
        <v>-</v>
      </c>
      <c r="HF139" s="41" t="str">
        <f t="shared" si="1247"/>
        <v>-</v>
      </c>
      <c r="HG139" s="41" t="str">
        <f t="shared" si="1248"/>
        <v>-</v>
      </c>
      <c r="HH139" s="41" t="str">
        <f t="shared" si="1249"/>
        <v>-</v>
      </c>
      <c r="HI139" s="41" t="str">
        <f t="shared" si="1250"/>
        <v>-</v>
      </c>
      <c r="HJ139" s="41" t="str">
        <f t="shared" si="1251"/>
        <v>-</v>
      </c>
      <c r="HK139" s="41" t="str">
        <f t="shared" si="1252"/>
        <v>-</v>
      </c>
      <c r="HL139" s="41" t="str">
        <f t="shared" si="1253"/>
        <v>-</v>
      </c>
      <c r="HM139" s="41" t="str">
        <f t="shared" si="1254"/>
        <v>-</v>
      </c>
      <c r="HN139" s="41" t="str">
        <f t="shared" si="1255"/>
        <v>-</v>
      </c>
      <c r="HO139" s="41" t="str">
        <f t="shared" si="1256"/>
        <v>-</v>
      </c>
      <c r="HP139" s="41" t="str">
        <f t="shared" si="1257"/>
        <v>-</v>
      </c>
      <c r="HQ139" s="41" t="str">
        <f t="shared" si="1258"/>
        <v>-</v>
      </c>
      <c r="HR139" s="41" t="str">
        <f t="shared" si="1259"/>
        <v>-</v>
      </c>
      <c r="HS139" s="41" t="str">
        <f t="shared" si="1260"/>
        <v>-</v>
      </c>
      <c r="HT139" s="41" t="str">
        <f t="shared" si="1261"/>
        <v>-</v>
      </c>
      <c r="HU139" s="41" t="str">
        <f t="shared" si="1262"/>
        <v>-</v>
      </c>
      <c r="HV139" s="41" t="str">
        <f t="shared" si="1263"/>
        <v>-</v>
      </c>
      <c r="HW139" s="41" t="str">
        <f t="shared" si="1264"/>
        <v>-</v>
      </c>
      <c r="HX139" s="41" t="str">
        <f t="shared" si="1265"/>
        <v>-</v>
      </c>
      <c r="HY139" s="41" t="str">
        <f t="shared" si="1266"/>
        <v>-</v>
      </c>
      <c r="HZ139" s="41" t="str">
        <f t="shared" si="1267"/>
        <v>-</v>
      </c>
      <c r="IA139" s="41" t="str">
        <f t="shared" si="1268"/>
        <v>-</v>
      </c>
      <c r="IB139" s="41" t="str">
        <f t="shared" si="1269"/>
        <v>-</v>
      </c>
      <c r="IC139" s="41" t="str">
        <f t="shared" si="1270"/>
        <v>-</v>
      </c>
      <c r="ID139" s="41" t="str">
        <f t="shared" si="1271"/>
        <v>-</v>
      </c>
      <c r="IE139" s="41" t="str">
        <f t="shared" si="1272"/>
        <v>-</v>
      </c>
      <c r="IF139" s="41" t="str">
        <f t="shared" si="1273"/>
        <v>-</v>
      </c>
      <c r="IG139" s="306" t="str">
        <f t="shared" si="1274"/>
        <v>-</v>
      </c>
      <c r="IH139" s="44" t="str">
        <f t="shared" si="1275"/>
        <v>-</v>
      </c>
      <c r="II139" s="44" t="str">
        <f t="shared" si="1276"/>
        <v>-</v>
      </c>
      <c r="IJ139" s="44" t="str">
        <f t="shared" si="1277"/>
        <v>-</v>
      </c>
      <c r="IK139" s="44" t="str">
        <f t="shared" si="1278"/>
        <v>-</v>
      </c>
      <c r="IL139" s="44" t="str">
        <f t="shared" si="1279"/>
        <v>-</v>
      </c>
      <c r="IM139" s="306" t="str">
        <f t="shared" si="1280"/>
        <v/>
      </c>
      <c r="IN139" s="44" t="str">
        <f t="shared" si="1281"/>
        <v/>
      </c>
      <c r="IO139" s="44" t="str">
        <f t="shared" si="1282"/>
        <v/>
      </c>
      <c r="IP139" s="44" t="str">
        <f t="shared" si="1283"/>
        <v/>
      </c>
      <c r="IQ139" s="44" t="str">
        <f t="shared" si="1284"/>
        <v/>
      </c>
      <c r="IR139" s="44" t="str">
        <f t="shared" si="1285"/>
        <v/>
      </c>
      <c r="IS139" s="306" t="str">
        <f t="shared" si="1286"/>
        <v/>
      </c>
      <c r="IT139" s="44" t="str">
        <f t="shared" si="1287"/>
        <v/>
      </c>
      <c r="IU139" s="44" t="str">
        <f t="shared" si="1288"/>
        <v/>
      </c>
      <c r="IV139" s="44" t="str">
        <f t="shared" si="1289"/>
        <v/>
      </c>
      <c r="IW139" s="44" t="str">
        <f t="shared" si="1290"/>
        <v/>
      </c>
      <c r="IX139" s="44" t="str">
        <f t="shared" si="1291"/>
        <v/>
      </c>
      <c r="IY139" s="306" t="str">
        <f t="shared" si="1292"/>
        <v/>
      </c>
      <c r="IZ139" s="44" t="str">
        <f t="shared" si="1293"/>
        <v/>
      </c>
      <c r="JA139" s="44" t="str">
        <f t="shared" si="1294"/>
        <v/>
      </c>
      <c r="JB139" s="44" t="str">
        <f t="shared" si="1295"/>
        <v/>
      </c>
      <c r="JC139" s="44" t="str">
        <f t="shared" si="1296"/>
        <v/>
      </c>
      <c r="JD139" s="307" t="str">
        <f t="shared" si="1297"/>
        <v/>
      </c>
      <c r="JF139" s="66">
        <f t="shared" si="779"/>
        <v>139</v>
      </c>
      <c r="JG139" s="66">
        <f t="shared" ca="1" si="789"/>
        <v>0</v>
      </c>
      <c r="JH139" s="66">
        <f t="shared" ca="1" si="790"/>
        <v>0</v>
      </c>
      <c r="JI139" s="66">
        <f t="shared" ca="1" si="791"/>
        <v>0</v>
      </c>
      <c r="JJ139" s="66">
        <f t="shared" ca="1" si="792"/>
        <v>0</v>
      </c>
      <c r="JK139" s="33"/>
      <c r="JL139" s="74" t="str">
        <f t="shared" ca="1" si="793"/>
        <v>-</v>
      </c>
      <c r="JM139" s="75">
        <f t="shared" ca="1" si="794"/>
        <v>0</v>
      </c>
      <c r="JN139" s="75">
        <f t="shared" ca="1" si="795"/>
        <v>0</v>
      </c>
      <c r="JO139" s="74" t="str">
        <f t="shared" ca="1" si="796"/>
        <v>-</v>
      </c>
      <c r="JP139" s="74">
        <f t="shared" ca="1" si="797"/>
        <v>0</v>
      </c>
    </row>
    <row r="140" spans="1:276" hidden="1" outlineLevel="1" x14ac:dyDescent="0.35">
      <c r="A140" s="125" t="s">
        <v>805</v>
      </c>
      <c r="B140" s="125" t="s">
        <v>805</v>
      </c>
      <c r="C140" s="125" t="s">
        <v>805</v>
      </c>
      <c r="E140" s="142" t="s">
        <v>863</v>
      </c>
      <c r="F140" s="254" t="s">
        <v>750</v>
      </c>
      <c r="G140" t="s">
        <v>530</v>
      </c>
      <c r="H140" t="s">
        <v>535</v>
      </c>
      <c r="I140" t="s">
        <v>536</v>
      </c>
      <c r="J140" s="211" t="s">
        <v>805</v>
      </c>
      <c r="K140" t="s">
        <v>805</v>
      </c>
      <c r="L140" t="s">
        <v>805</v>
      </c>
      <c r="M140" t="s">
        <v>805</v>
      </c>
      <c r="N140" t="s">
        <v>805</v>
      </c>
      <c r="O140" t="s">
        <v>805</v>
      </c>
      <c r="P140" t="s">
        <v>805</v>
      </c>
      <c r="Q140" t="s">
        <v>805</v>
      </c>
      <c r="R140" t="s">
        <v>805</v>
      </c>
      <c r="S140" t="s">
        <v>805</v>
      </c>
      <c r="T140" t="s">
        <v>805</v>
      </c>
      <c r="U140" t="s">
        <v>805</v>
      </c>
      <c r="V140" t="s">
        <v>805</v>
      </c>
      <c r="W140" t="s">
        <v>805</v>
      </c>
      <c r="X140" t="s">
        <v>805</v>
      </c>
      <c r="Y140" t="s">
        <v>805</v>
      </c>
      <c r="Z140" t="s">
        <v>805</v>
      </c>
      <c r="AA140" t="s">
        <v>805</v>
      </c>
      <c r="AB140" t="s">
        <v>805</v>
      </c>
      <c r="AC140" t="s">
        <v>805</v>
      </c>
      <c r="AD140" t="s">
        <v>805</v>
      </c>
      <c r="AE140" t="s">
        <v>805</v>
      </c>
      <c r="AF140" t="s">
        <v>805</v>
      </c>
      <c r="AG140" t="s">
        <v>805</v>
      </c>
      <c r="AH140" t="s">
        <v>805</v>
      </c>
      <c r="AI140" t="s">
        <v>805</v>
      </c>
      <c r="AJ140" t="s">
        <v>805</v>
      </c>
      <c r="AK140" t="s">
        <v>805</v>
      </c>
      <c r="AL140" t="s">
        <v>805</v>
      </c>
      <c r="AM140" t="s">
        <v>805</v>
      </c>
      <c r="AN140" t="s">
        <v>805</v>
      </c>
      <c r="AO140" t="s">
        <v>805</v>
      </c>
      <c r="AP140" t="s">
        <v>805</v>
      </c>
      <c r="AQ140" t="s">
        <v>805</v>
      </c>
      <c r="AR140" t="s">
        <v>805</v>
      </c>
      <c r="AS140" t="s">
        <v>805</v>
      </c>
      <c r="AT140" t="s">
        <v>805</v>
      </c>
      <c r="AU140" t="s">
        <v>805</v>
      </c>
      <c r="AV140" t="s">
        <v>805</v>
      </c>
      <c r="AW140" t="s">
        <v>805</v>
      </c>
      <c r="AX140" t="s">
        <v>805</v>
      </c>
      <c r="AY140" t="s">
        <v>805</v>
      </c>
      <c r="AZ140" t="s">
        <v>805</v>
      </c>
      <c r="BA140" t="s">
        <v>805</v>
      </c>
      <c r="BB140" t="s">
        <v>805</v>
      </c>
      <c r="BC140" t="s">
        <v>805</v>
      </c>
      <c r="BD140" t="s">
        <v>805</v>
      </c>
      <c r="BE140" t="s">
        <v>805</v>
      </c>
      <c r="BF140" t="s">
        <v>805</v>
      </c>
      <c r="BG140" t="s">
        <v>805</v>
      </c>
      <c r="BH140" t="s">
        <v>805</v>
      </c>
      <c r="BI140" t="s">
        <v>805</v>
      </c>
      <c r="BJ140" t="s">
        <v>805</v>
      </c>
      <c r="BK140" t="s">
        <v>805</v>
      </c>
      <c r="BL140" t="s">
        <v>805</v>
      </c>
      <c r="BM140" t="s">
        <v>805</v>
      </c>
      <c r="BN140" t="s">
        <v>805</v>
      </c>
      <c r="BO140" t="s">
        <v>805</v>
      </c>
      <c r="BP140" t="s">
        <v>805</v>
      </c>
      <c r="BQ140" t="s">
        <v>805</v>
      </c>
      <c r="BR140" t="s">
        <v>805</v>
      </c>
      <c r="BS140" t="s">
        <v>805</v>
      </c>
      <c r="BT140" t="s">
        <v>805</v>
      </c>
      <c r="BU140" t="s">
        <v>805</v>
      </c>
      <c r="BV140" t="s">
        <v>805</v>
      </c>
      <c r="BW140" t="s">
        <v>805</v>
      </c>
      <c r="BX140" t="s">
        <v>805</v>
      </c>
      <c r="BY140" t="s">
        <v>805</v>
      </c>
      <c r="BZ140" t="s">
        <v>805</v>
      </c>
      <c r="CA140" t="s">
        <v>805</v>
      </c>
      <c r="CB140" t="s">
        <v>805</v>
      </c>
      <c r="CC140" t="s">
        <v>805</v>
      </c>
      <c r="CD140" t="s">
        <v>805</v>
      </c>
      <c r="CE140" t="s">
        <v>805</v>
      </c>
      <c r="CF140" t="s">
        <v>805</v>
      </c>
      <c r="CG140" t="s">
        <v>805</v>
      </c>
      <c r="CH140" t="s">
        <v>805</v>
      </c>
      <c r="CI140" t="s">
        <v>805</v>
      </c>
      <c r="CJ140" t="s">
        <v>805</v>
      </c>
      <c r="CK140" t="s">
        <v>805</v>
      </c>
      <c r="CL140" t="s">
        <v>805</v>
      </c>
      <c r="CM140" t="s">
        <v>805</v>
      </c>
      <c r="CN140" t="s">
        <v>805</v>
      </c>
      <c r="CO140" t="s">
        <v>805</v>
      </c>
      <c r="CP140" t="s">
        <v>805</v>
      </c>
      <c r="CQ140" t="s">
        <v>805</v>
      </c>
      <c r="CR140" t="s">
        <v>805</v>
      </c>
      <c r="CS140" t="s">
        <v>805</v>
      </c>
      <c r="CT140" t="s">
        <v>805</v>
      </c>
      <c r="CU140" t="s">
        <v>805</v>
      </c>
      <c r="CV140" t="s">
        <v>805</v>
      </c>
      <c r="CW140" t="s">
        <v>805</v>
      </c>
      <c r="CX140" t="s">
        <v>805</v>
      </c>
      <c r="CY140" t="s">
        <v>805</v>
      </c>
      <c r="CZ140" t="s">
        <v>805</v>
      </c>
      <c r="DA140" t="s">
        <v>805</v>
      </c>
      <c r="DB140" t="s">
        <v>805</v>
      </c>
      <c r="DC140" t="s">
        <v>805</v>
      </c>
      <c r="DD140" t="s">
        <v>805</v>
      </c>
      <c r="DE140" t="s">
        <v>805</v>
      </c>
      <c r="DF140" t="s">
        <v>805</v>
      </c>
      <c r="DG140" s="28">
        <f>VLOOKUP(E140,'KPI Count-SHARE'!A:F,3,0)</f>
        <v>0</v>
      </c>
      <c r="DH140" t="s">
        <v>805</v>
      </c>
      <c r="DI140" t="s">
        <v>805</v>
      </c>
      <c r="DJ140" t="s">
        <v>805</v>
      </c>
      <c r="DK140" t="s">
        <v>805</v>
      </c>
      <c r="DL140" t="s">
        <v>805</v>
      </c>
      <c r="DM140" t="s">
        <v>805</v>
      </c>
      <c r="DN140" s="28">
        <f>VLOOKUP(E140,'KPI Count-SHARE'!A:F,4,0)</f>
        <v>0</v>
      </c>
      <c r="DU140" s="28">
        <f>VLOOKUP(E140,'KPI Count-SHARE'!A:F,5,0)</f>
        <v>0</v>
      </c>
      <c r="EB140" s="28">
        <f>VLOOKUP(E140,'KPI Count-SHARE'!A:F,6,0)</f>
        <v>0</v>
      </c>
      <c r="EI140" t="str">
        <f t="shared" si="1298"/>
        <v>USD '000 per FTE</v>
      </c>
      <c r="EJ140" s="41" t="str">
        <f t="shared" si="1173"/>
        <v>-</v>
      </c>
      <c r="EK140" s="41" t="str">
        <f t="shared" si="1174"/>
        <v>-</v>
      </c>
      <c r="EL140" s="41" t="str">
        <f t="shared" si="1175"/>
        <v>-</v>
      </c>
      <c r="EM140" s="41" t="str">
        <f t="shared" si="1176"/>
        <v>-</v>
      </c>
      <c r="EN140" s="41" t="str">
        <f t="shared" si="1177"/>
        <v>-</v>
      </c>
      <c r="EO140" s="41" t="str">
        <f t="shared" si="1178"/>
        <v>-</v>
      </c>
      <c r="EP140" s="41" t="str">
        <f t="shared" si="1179"/>
        <v>-</v>
      </c>
      <c r="EQ140" s="41" t="str">
        <f t="shared" si="1180"/>
        <v>-</v>
      </c>
      <c r="ER140" s="41" t="str">
        <f t="shared" si="1181"/>
        <v>-</v>
      </c>
      <c r="ES140" s="41" t="str">
        <f t="shared" si="1182"/>
        <v>-</v>
      </c>
      <c r="ET140" s="41" t="str">
        <f t="shared" si="1183"/>
        <v>-</v>
      </c>
      <c r="EU140" s="41" t="str">
        <f t="shared" si="1184"/>
        <v>-</v>
      </c>
      <c r="EV140" s="41" t="str">
        <f t="shared" si="1185"/>
        <v>-</v>
      </c>
      <c r="EW140" s="41" t="str">
        <f t="shared" si="1186"/>
        <v>-</v>
      </c>
      <c r="EX140" s="41" t="str">
        <f t="shared" si="1187"/>
        <v>-</v>
      </c>
      <c r="EY140" s="41" t="str">
        <f t="shared" si="1188"/>
        <v>-</v>
      </c>
      <c r="EZ140" s="41" t="str">
        <f t="shared" si="1189"/>
        <v>-</v>
      </c>
      <c r="FA140" s="41" t="str">
        <f t="shared" si="1190"/>
        <v>-</v>
      </c>
      <c r="FB140" s="41" t="str">
        <f t="shared" si="1191"/>
        <v>-</v>
      </c>
      <c r="FC140" s="41" t="str">
        <f t="shared" si="1192"/>
        <v>-</v>
      </c>
      <c r="FD140" s="41" t="str">
        <f t="shared" si="1193"/>
        <v>-</v>
      </c>
      <c r="FE140" s="41" t="str">
        <f t="shared" si="1194"/>
        <v>-</v>
      </c>
      <c r="FF140" s="41" t="str">
        <f t="shared" si="1195"/>
        <v>-</v>
      </c>
      <c r="FG140" s="41" t="str">
        <f t="shared" si="1196"/>
        <v>-</v>
      </c>
      <c r="FH140" s="41" t="str">
        <f t="shared" si="1197"/>
        <v>-</v>
      </c>
      <c r="FI140" s="41" t="str">
        <f t="shared" si="1198"/>
        <v>-</v>
      </c>
      <c r="FJ140" s="41" t="str">
        <f t="shared" si="1199"/>
        <v>-</v>
      </c>
      <c r="FK140" s="41" t="str">
        <f t="shared" si="1200"/>
        <v>-</v>
      </c>
      <c r="FL140" s="41" t="str">
        <f t="shared" si="1201"/>
        <v>-</v>
      </c>
      <c r="FM140" s="41" t="str">
        <f t="shared" si="1202"/>
        <v>-</v>
      </c>
      <c r="FN140" s="41" t="str">
        <f t="shared" si="1203"/>
        <v>-</v>
      </c>
      <c r="FO140" s="41" t="str">
        <f t="shared" si="1204"/>
        <v>-</v>
      </c>
      <c r="FP140" s="41" t="str">
        <f t="shared" si="1205"/>
        <v>-</v>
      </c>
      <c r="FQ140" s="41" t="str">
        <f t="shared" si="1206"/>
        <v>-</v>
      </c>
      <c r="FR140" s="41" t="str">
        <f t="shared" si="1207"/>
        <v>-</v>
      </c>
      <c r="FS140" s="41" t="str">
        <f t="shared" si="1208"/>
        <v>-</v>
      </c>
      <c r="FT140" s="41" t="str">
        <f t="shared" si="1209"/>
        <v>-</v>
      </c>
      <c r="FU140" s="41" t="str">
        <f t="shared" si="1210"/>
        <v>-</v>
      </c>
      <c r="FV140" s="41" t="str">
        <f t="shared" si="1211"/>
        <v>-</v>
      </c>
      <c r="FW140" s="41" t="str">
        <f t="shared" si="1212"/>
        <v>-</v>
      </c>
      <c r="FX140" s="41" t="str">
        <f t="shared" si="1213"/>
        <v>-</v>
      </c>
      <c r="FY140" s="41" t="str">
        <f t="shared" si="1214"/>
        <v>-</v>
      </c>
      <c r="FZ140" s="41" t="str">
        <f t="shared" si="1215"/>
        <v>-</v>
      </c>
      <c r="GA140" s="41" t="str">
        <f t="shared" si="1216"/>
        <v>-</v>
      </c>
      <c r="GB140" s="41" t="str">
        <f t="shared" si="1217"/>
        <v>-</v>
      </c>
      <c r="GC140" s="41" t="str">
        <f t="shared" si="1218"/>
        <v>-</v>
      </c>
      <c r="GD140" s="41" t="str">
        <f t="shared" si="1219"/>
        <v>-</v>
      </c>
      <c r="GE140" s="41" t="str">
        <f t="shared" si="1220"/>
        <v>-</v>
      </c>
      <c r="GF140" s="41" t="str">
        <f t="shared" si="1221"/>
        <v>-</v>
      </c>
      <c r="GG140" s="41" t="str">
        <f t="shared" si="1222"/>
        <v>-</v>
      </c>
      <c r="GH140" s="41" t="str">
        <f t="shared" si="1223"/>
        <v>-</v>
      </c>
      <c r="GI140" s="41" t="str">
        <f t="shared" si="1224"/>
        <v>-</v>
      </c>
      <c r="GJ140" s="41" t="str">
        <f t="shared" si="1225"/>
        <v>-</v>
      </c>
      <c r="GK140" s="41" t="str">
        <f t="shared" si="1226"/>
        <v>-</v>
      </c>
      <c r="GL140" s="41" t="str">
        <f t="shared" si="1227"/>
        <v>-</v>
      </c>
      <c r="GM140" s="41" t="str">
        <f t="shared" si="1228"/>
        <v>-</v>
      </c>
      <c r="GN140" s="41" t="str">
        <f t="shared" si="1229"/>
        <v>-</v>
      </c>
      <c r="GO140" s="41" t="str">
        <f t="shared" si="1230"/>
        <v>-</v>
      </c>
      <c r="GP140" s="41" t="str">
        <f t="shared" si="1231"/>
        <v>-</v>
      </c>
      <c r="GQ140" s="41" t="str">
        <f t="shared" si="1232"/>
        <v>-</v>
      </c>
      <c r="GR140" s="41" t="str">
        <f t="shared" si="1233"/>
        <v>-</v>
      </c>
      <c r="GS140" s="41" t="str">
        <f t="shared" si="1234"/>
        <v>-</v>
      </c>
      <c r="GT140" s="41" t="str">
        <f t="shared" si="1235"/>
        <v>-</v>
      </c>
      <c r="GU140" s="41" t="str">
        <f t="shared" si="1236"/>
        <v>-</v>
      </c>
      <c r="GV140" s="41" t="str">
        <f t="shared" si="1237"/>
        <v>-</v>
      </c>
      <c r="GW140" s="41" t="str">
        <f t="shared" si="1238"/>
        <v>-</v>
      </c>
      <c r="GX140" s="41" t="str">
        <f t="shared" si="1239"/>
        <v>-</v>
      </c>
      <c r="GY140" s="41" t="str">
        <f t="shared" si="1240"/>
        <v>-</v>
      </c>
      <c r="GZ140" s="41" t="str">
        <f t="shared" si="1241"/>
        <v>-</v>
      </c>
      <c r="HA140" s="41" t="str">
        <f t="shared" si="1242"/>
        <v>-</v>
      </c>
      <c r="HB140" s="41" t="str">
        <f t="shared" si="1243"/>
        <v>-</v>
      </c>
      <c r="HC140" s="41" t="str">
        <f t="shared" si="1244"/>
        <v>-</v>
      </c>
      <c r="HD140" s="41" t="str">
        <f t="shared" si="1245"/>
        <v>-</v>
      </c>
      <c r="HE140" s="41" t="str">
        <f t="shared" si="1246"/>
        <v>-</v>
      </c>
      <c r="HF140" s="41" t="str">
        <f t="shared" si="1247"/>
        <v>-</v>
      </c>
      <c r="HG140" s="41" t="str">
        <f t="shared" si="1248"/>
        <v>-</v>
      </c>
      <c r="HH140" s="41" t="str">
        <f t="shared" si="1249"/>
        <v>-</v>
      </c>
      <c r="HI140" s="41" t="str">
        <f t="shared" si="1250"/>
        <v>-</v>
      </c>
      <c r="HJ140" s="41" t="str">
        <f t="shared" si="1251"/>
        <v>-</v>
      </c>
      <c r="HK140" s="41" t="str">
        <f t="shared" si="1252"/>
        <v>-</v>
      </c>
      <c r="HL140" s="41" t="str">
        <f t="shared" si="1253"/>
        <v>-</v>
      </c>
      <c r="HM140" s="41" t="str">
        <f t="shared" si="1254"/>
        <v>-</v>
      </c>
      <c r="HN140" s="41" t="str">
        <f t="shared" si="1255"/>
        <v>-</v>
      </c>
      <c r="HO140" s="41" t="str">
        <f t="shared" si="1256"/>
        <v>-</v>
      </c>
      <c r="HP140" s="41" t="str">
        <f t="shared" si="1257"/>
        <v>-</v>
      </c>
      <c r="HQ140" s="41" t="str">
        <f t="shared" si="1258"/>
        <v>-</v>
      </c>
      <c r="HR140" s="41" t="str">
        <f t="shared" si="1259"/>
        <v>-</v>
      </c>
      <c r="HS140" s="41" t="str">
        <f t="shared" si="1260"/>
        <v>-</v>
      </c>
      <c r="HT140" s="41" t="str">
        <f t="shared" si="1261"/>
        <v>-</v>
      </c>
      <c r="HU140" s="41" t="str">
        <f t="shared" si="1262"/>
        <v>-</v>
      </c>
      <c r="HV140" s="41" t="str">
        <f t="shared" si="1263"/>
        <v>-</v>
      </c>
      <c r="HW140" s="41" t="str">
        <f t="shared" si="1264"/>
        <v>-</v>
      </c>
      <c r="HX140" s="41" t="str">
        <f t="shared" si="1265"/>
        <v>-</v>
      </c>
      <c r="HY140" s="41" t="str">
        <f t="shared" si="1266"/>
        <v>-</v>
      </c>
      <c r="HZ140" s="41" t="str">
        <f t="shared" si="1267"/>
        <v>-</v>
      </c>
      <c r="IA140" s="41" t="str">
        <f t="shared" si="1268"/>
        <v>-</v>
      </c>
      <c r="IB140" s="41" t="str">
        <f t="shared" si="1269"/>
        <v>-</v>
      </c>
      <c r="IC140" s="41" t="str">
        <f t="shared" si="1270"/>
        <v>-</v>
      </c>
      <c r="ID140" s="41" t="str">
        <f t="shared" si="1271"/>
        <v>-</v>
      </c>
      <c r="IE140" s="41" t="str">
        <f t="shared" si="1272"/>
        <v>-</v>
      </c>
      <c r="IF140" s="41" t="str">
        <f t="shared" si="1273"/>
        <v>-</v>
      </c>
      <c r="IG140" s="306" t="str">
        <f t="shared" si="1274"/>
        <v>-</v>
      </c>
      <c r="IH140" s="44" t="str">
        <f t="shared" si="1275"/>
        <v>-</v>
      </c>
      <c r="II140" s="44" t="str">
        <f t="shared" si="1276"/>
        <v>-</v>
      </c>
      <c r="IJ140" s="44" t="str">
        <f t="shared" si="1277"/>
        <v>-</v>
      </c>
      <c r="IK140" s="44" t="str">
        <f t="shared" si="1278"/>
        <v>-</v>
      </c>
      <c r="IL140" s="44" t="str">
        <f t="shared" si="1279"/>
        <v>-</v>
      </c>
      <c r="IM140" s="306" t="str">
        <f t="shared" si="1280"/>
        <v/>
      </c>
      <c r="IN140" s="44" t="str">
        <f t="shared" si="1281"/>
        <v/>
      </c>
      <c r="IO140" s="44" t="str">
        <f t="shared" si="1282"/>
        <v/>
      </c>
      <c r="IP140" s="44" t="str">
        <f t="shared" si="1283"/>
        <v/>
      </c>
      <c r="IQ140" s="44" t="str">
        <f t="shared" si="1284"/>
        <v/>
      </c>
      <c r="IR140" s="44" t="str">
        <f t="shared" si="1285"/>
        <v/>
      </c>
      <c r="IS140" s="306" t="str">
        <f t="shared" si="1286"/>
        <v/>
      </c>
      <c r="IT140" s="44" t="str">
        <f t="shared" si="1287"/>
        <v/>
      </c>
      <c r="IU140" s="44" t="str">
        <f t="shared" si="1288"/>
        <v/>
      </c>
      <c r="IV140" s="44" t="str">
        <f t="shared" si="1289"/>
        <v/>
      </c>
      <c r="IW140" s="44" t="str">
        <f t="shared" si="1290"/>
        <v/>
      </c>
      <c r="IX140" s="44" t="str">
        <f t="shared" si="1291"/>
        <v/>
      </c>
      <c r="IY140" s="306" t="str">
        <f t="shared" si="1292"/>
        <v/>
      </c>
      <c r="IZ140" s="44" t="str">
        <f t="shared" si="1293"/>
        <v/>
      </c>
      <c r="JA140" s="44" t="str">
        <f t="shared" si="1294"/>
        <v/>
      </c>
      <c r="JB140" s="44" t="str">
        <f t="shared" si="1295"/>
        <v/>
      </c>
      <c r="JC140" s="44" t="str">
        <f t="shared" si="1296"/>
        <v/>
      </c>
      <c r="JD140" s="307" t="str">
        <f t="shared" si="1297"/>
        <v/>
      </c>
      <c r="JF140" s="66">
        <f t="shared" si="779"/>
        <v>140</v>
      </c>
      <c r="JG140" s="66">
        <f t="shared" ca="1" si="789"/>
        <v>0</v>
      </c>
      <c r="JH140" s="66">
        <f t="shared" ca="1" si="790"/>
        <v>0</v>
      </c>
      <c r="JI140" s="66">
        <f t="shared" ca="1" si="791"/>
        <v>0</v>
      </c>
      <c r="JJ140" s="66">
        <f t="shared" ca="1" si="792"/>
        <v>0</v>
      </c>
      <c r="JK140" s="33"/>
      <c r="JL140" s="74" t="str">
        <f t="shared" ca="1" si="793"/>
        <v>-</v>
      </c>
      <c r="JM140" s="75">
        <f t="shared" ca="1" si="794"/>
        <v>0</v>
      </c>
      <c r="JN140" s="75">
        <f t="shared" ca="1" si="795"/>
        <v>0</v>
      </c>
      <c r="JO140" s="74" t="str">
        <f t="shared" ca="1" si="796"/>
        <v>-</v>
      </c>
      <c r="JP140" s="74">
        <f t="shared" ca="1" si="797"/>
        <v>0</v>
      </c>
    </row>
    <row r="141" spans="1:276" hidden="1" outlineLevel="1" x14ac:dyDescent="0.35">
      <c r="A141" s="125" t="s">
        <v>805</v>
      </c>
      <c r="B141" s="125" t="s">
        <v>805</v>
      </c>
      <c r="C141" s="125" t="s">
        <v>805</v>
      </c>
      <c r="E141" s="142" t="s">
        <v>864</v>
      </c>
      <c r="F141" s="254" t="s">
        <v>751</v>
      </c>
      <c r="G141" t="s">
        <v>530</v>
      </c>
      <c r="H141" t="s">
        <v>535</v>
      </c>
      <c r="I141" t="s">
        <v>536</v>
      </c>
      <c r="J141" s="211" t="s">
        <v>805</v>
      </c>
      <c r="K141" t="s">
        <v>805</v>
      </c>
      <c r="L141" t="s">
        <v>805</v>
      </c>
      <c r="M141" t="s">
        <v>805</v>
      </c>
      <c r="N141" t="s">
        <v>805</v>
      </c>
      <c r="O141" t="s">
        <v>805</v>
      </c>
      <c r="P141" t="s">
        <v>805</v>
      </c>
      <c r="Q141" t="s">
        <v>805</v>
      </c>
      <c r="R141" t="s">
        <v>805</v>
      </c>
      <c r="S141" t="s">
        <v>805</v>
      </c>
      <c r="T141" t="s">
        <v>805</v>
      </c>
      <c r="U141" t="s">
        <v>805</v>
      </c>
      <c r="V141" t="s">
        <v>805</v>
      </c>
      <c r="W141" t="s">
        <v>805</v>
      </c>
      <c r="X141" t="s">
        <v>805</v>
      </c>
      <c r="Y141" t="s">
        <v>805</v>
      </c>
      <c r="Z141" t="s">
        <v>805</v>
      </c>
      <c r="AA141" t="s">
        <v>805</v>
      </c>
      <c r="AB141" t="s">
        <v>805</v>
      </c>
      <c r="AC141" t="s">
        <v>805</v>
      </c>
      <c r="AD141" t="s">
        <v>805</v>
      </c>
      <c r="AE141" t="s">
        <v>805</v>
      </c>
      <c r="AF141" t="s">
        <v>805</v>
      </c>
      <c r="AG141" t="s">
        <v>805</v>
      </c>
      <c r="AH141" t="s">
        <v>805</v>
      </c>
      <c r="AI141" t="s">
        <v>805</v>
      </c>
      <c r="AJ141" t="s">
        <v>805</v>
      </c>
      <c r="AK141" t="s">
        <v>805</v>
      </c>
      <c r="AL141" t="s">
        <v>805</v>
      </c>
      <c r="AM141" t="s">
        <v>805</v>
      </c>
      <c r="AN141" t="s">
        <v>805</v>
      </c>
      <c r="AO141" t="s">
        <v>805</v>
      </c>
      <c r="AP141" t="s">
        <v>805</v>
      </c>
      <c r="AQ141" t="s">
        <v>805</v>
      </c>
      <c r="AR141" t="s">
        <v>805</v>
      </c>
      <c r="AS141" t="s">
        <v>805</v>
      </c>
      <c r="AT141" t="s">
        <v>805</v>
      </c>
      <c r="AU141" t="s">
        <v>805</v>
      </c>
      <c r="AV141" t="s">
        <v>805</v>
      </c>
      <c r="AW141" t="s">
        <v>805</v>
      </c>
      <c r="AX141" t="s">
        <v>805</v>
      </c>
      <c r="AY141" t="s">
        <v>805</v>
      </c>
      <c r="AZ141" t="s">
        <v>805</v>
      </c>
      <c r="BA141" t="s">
        <v>805</v>
      </c>
      <c r="BB141" t="s">
        <v>805</v>
      </c>
      <c r="BC141" t="s">
        <v>805</v>
      </c>
      <c r="BD141" t="s">
        <v>805</v>
      </c>
      <c r="BE141" t="s">
        <v>805</v>
      </c>
      <c r="BF141" t="s">
        <v>805</v>
      </c>
      <c r="BG141" t="s">
        <v>805</v>
      </c>
      <c r="BH141" t="s">
        <v>805</v>
      </c>
      <c r="BI141" t="s">
        <v>805</v>
      </c>
      <c r="BJ141" t="s">
        <v>805</v>
      </c>
      <c r="BK141" t="s">
        <v>805</v>
      </c>
      <c r="BL141" t="s">
        <v>805</v>
      </c>
      <c r="BM141" t="s">
        <v>805</v>
      </c>
      <c r="BN141" t="s">
        <v>805</v>
      </c>
      <c r="BO141" t="s">
        <v>805</v>
      </c>
      <c r="BP141" t="s">
        <v>805</v>
      </c>
      <c r="BQ141" t="s">
        <v>805</v>
      </c>
      <c r="BR141" t="s">
        <v>805</v>
      </c>
      <c r="BS141" t="s">
        <v>805</v>
      </c>
      <c r="BT141" t="s">
        <v>805</v>
      </c>
      <c r="BU141" t="s">
        <v>805</v>
      </c>
      <c r="BV141" t="s">
        <v>805</v>
      </c>
      <c r="BW141" t="s">
        <v>805</v>
      </c>
      <c r="BX141" t="s">
        <v>805</v>
      </c>
      <c r="BY141" t="s">
        <v>805</v>
      </c>
      <c r="BZ141" t="s">
        <v>805</v>
      </c>
      <c r="CA141" t="s">
        <v>805</v>
      </c>
      <c r="CB141" t="s">
        <v>805</v>
      </c>
      <c r="CC141" t="s">
        <v>805</v>
      </c>
      <c r="CD141" t="s">
        <v>805</v>
      </c>
      <c r="CE141" t="s">
        <v>805</v>
      </c>
      <c r="CF141" t="s">
        <v>805</v>
      </c>
      <c r="CG141" t="s">
        <v>805</v>
      </c>
      <c r="CH141" t="s">
        <v>805</v>
      </c>
      <c r="CI141" t="s">
        <v>805</v>
      </c>
      <c r="CJ141" t="s">
        <v>805</v>
      </c>
      <c r="CK141" t="s">
        <v>805</v>
      </c>
      <c r="CL141" t="s">
        <v>805</v>
      </c>
      <c r="CM141" t="s">
        <v>805</v>
      </c>
      <c r="CN141" t="s">
        <v>805</v>
      </c>
      <c r="CO141" t="s">
        <v>805</v>
      </c>
      <c r="CP141" t="s">
        <v>805</v>
      </c>
      <c r="CQ141" t="s">
        <v>805</v>
      </c>
      <c r="CR141" t="s">
        <v>805</v>
      </c>
      <c r="CS141" t="s">
        <v>805</v>
      </c>
      <c r="CT141" t="s">
        <v>805</v>
      </c>
      <c r="CU141" t="s">
        <v>805</v>
      </c>
      <c r="CV141" t="s">
        <v>805</v>
      </c>
      <c r="CW141" t="s">
        <v>805</v>
      </c>
      <c r="CX141" t="s">
        <v>805</v>
      </c>
      <c r="CY141" t="s">
        <v>805</v>
      </c>
      <c r="CZ141" t="s">
        <v>805</v>
      </c>
      <c r="DA141" t="s">
        <v>805</v>
      </c>
      <c r="DB141" t="s">
        <v>805</v>
      </c>
      <c r="DC141" t="s">
        <v>805</v>
      </c>
      <c r="DD141" t="s">
        <v>805</v>
      </c>
      <c r="DE141" t="s">
        <v>805</v>
      </c>
      <c r="DF141" t="s">
        <v>805</v>
      </c>
      <c r="DG141" s="28">
        <f>VLOOKUP(E141,'KPI Count-SHARE'!A:F,3,0)</f>
        <v>0</v>
      </c>
      <c r="DH141" t="s">
        <v>805</v>
      </c>
      <c r="DI141" t="s">
        <v>805</v>
      </c>
      <c r="DJ141" t="s">
        <v>805</v>
      </c>
      <c r="DK141" t="s">
        <v>805</v>
      </c>
      <c r="DL141" t="s">
        <v>805</v>
      </c>
      <c r="DM141" t="s">
        <v>805</v>
      </c>
      <c r="DN141" s="28">
        <f>VLOOKUP(E141,'KPI Count-SHARE'!A:F,4,0)</f>
        <v>0</v>
      </c>
      <c r="DU141" s="28">
        <f>VLOOKUP(E141,'KPI Count-SHARE'!A:F,5,0)</f>
        <v>0</v>
      </c>
      <c r="EB141" s="28">
        <f>VLOOKUP(E141,'KPI Count-SHARE'!A:F,6,0)</f>
        <v>0</v>
      </c>
      <c r="EI141" t="str">
        <f t="shared" si="1298"/>
        <v>USD '000 per FTE</v>
      </c>
      <c r="EJ141" s="41" t="str">
        <f t="shared" si="1173"/>
        <v>-</v>
      </c>
      <c r="EK141" s="41" t="str">
        <f t="shared" si="1174"/>
        <v>-</v>
      </c>
      <c r="EL141" s="41" t="str">
        <f t="shared" si="1175"/>
        <v>-</v>
      </c>
      <c r="EM141" s="41" t="str">
        <f t="shared" si="1176"/>
        <v>-</v>
      </c>
      <c r="EN141" s="41" t="str">
        <f t="shared" si="1177"/>
        <v>-</v>
      </c>
      <c r="EO141" s="41" t="str">
        <f t="shared" si="1178"/>
        <v>-</v>
      </c>
      <c r="EP141" s="41" t="str">
        <f t="shared" si="1179"/>
        <v>-</v>
      </c>
      <c r="EQ141" s="41" t="str">
        <f t="shared" si="1180"/>
        <v>-</v>
      </c>
      <c r="ER141" s="41" t="str">
        <f t="shared" si="1181"/>
        <v>-</v>
      </c>
      <c r="ES141" s="41" t="str">
        <f t="shared" si="1182"/>
        <v>-</v>
      </c>
      <c r="ET141" s="41" t="str">
        <f t="shared" si="1183"/>
        <v>-</v>
      </c>
      <c r="EU141" s="41" t="str">
        <f t="shared" si="1184"/>
        <v>-</v>
      </c>
      <c r="EV141" s="41" t="str">
        <f t="shared" si="1185"/>
        <v>-</v>
      </c>
      <c r="EW141" s="41" t="str">
        <f t="shared" si="1186"/>
        <v>-</v>
      </c>
      <c r="EX141" s="41" t="str">
        <f t="shared" si="1187"/>
        <v>-</v>
      </c>
      <c r="EY141" s="41" t="str">
        <f t="shared" si="1188"/>
        <v>-</v>
      </c>
      <c r="EZ141" s="41" t="str">
        <f t="shared" si="1189"/>
        <v>-</v>
      </c>
      <c r="FA141" s="41" t="str">
        <f t="shared" si="1190"/>
        <v>-</v>
      </c>
      <c r="FB141" s="41" t="str">
        <f t="shared" si="1191"/>
        <v>-</v>
      </c>
      <c r="FC141" s="41" t="str">
        <f t="shared" si="1192"/>
        <v>-</v>
      </c>
      <c r="FD141" s="41" t="str">
        <f t="shared" si="1193"/>
        <v>-</v>
      </c>
      <c r="FE141" s="41" t="str">
        <f t="shared" si="1194"/>
        <v>-</v>
      </c>
      <c r="FF141" s="41" t="str">
        <f t="shared" si="1195"/>
        <v>-</v>
      </c>
      <c r="FG141" s="41" t="str">
        <f t="shared" si="1196"/>
        <v>-</v>
      </c>
      <c r="FH141" s="41" t="str">
        <f t="shared" si="1197"/>
        <v>-</v>
      </c>
      <c r="FI141" s="41" t="str">
        <f t="shared" si="1198"/>
        <v>-</v>
      </c>
      <c r="FJ141" s="41" t="str">
        <f t="shared" si="1199"/>
        <v>-</v>
      </c>
      <c r="FK141" s="41" t="str">
        <f t="shared" si="1200"/>
        <v>-</v>
      </c>
      <c r="FL141" s="41" t="str">
        <f t="shared" si="1201"/>
        <v>-</v>
      </c>
      <c r="FM141" s="41" t="str">
        <f t="shared" si="1202"/>
        <v>-</v>
      </c>
      <c r="FN141" s="41" t="str">
        <f t="shared" si="1203"/>
        <v>-</v>
      </c>
      <c r="FO141" s="41" t="str">
        <f t="shared" si="1204"/>
        <v>-</v>
      </c>
      <c r="FP141" s="41" t="str">
        <f t="shared" si="1205"/>
        <v>-</v>
      </c>
      <c r="FQ141" s="41" t="str">
        <f t="shared" si="1206"/>
        <v>-</v>
      </c>
      <c r="FR141" s="41" t="str">
        <f t="shared" si="1207"/>
        <v>-</v>
      </c>
      <c r="FS141" s="41" t="str">
        <f t="shared" si="1208"/>
        <v>-</v>
      </c>
      <c r="FT141" s="41" t="str">
        <f t="shared" si="1209"/>
        <v>-</v>
      </c>
      <c r="FU141" s="41" t="str">
        <f t="shared" si="1210"/>
        <v>-</v>
      </c>
      <c r="FV141" s="41" t="str">
        <f t="shared" si="1211"/>
        <v>-</v>
      </c>
      <c r="FW141" s="41" t="str">
        <f t="shared" si="1212"/>
        <v>-</v>
      </c>
      <c r="FX141" s="41" t="str">
        <f t="shared" si="1213"/>
        <v>-</v>
      </c>
      <c r="FY141" s="41" t="str">
        <f t="shared" si="1214"/>
        <v>-</v>
      </c>
      <c r="FZ141" s="41" t="str">
        <f t="shared" si="1215"/>
        <v>-</v>
      </c>
      <c r="GA141" s="41" t="str">
        <f t="shared" si="1216"/>
        <v>-</v>
      </c>
      <c r="GB141" s="41" t="str">
        <f t="shared" si="1217"/>
        <v>-</v>
      </c>
      <c r="GC141" s="41" t="str">
        <f t="shared" si="1218"/>
        <v>-</v>
      </c>
      <c r="GD141" s="41" t="str">
        <f t="shared" si="1219"/>
        <v>-</v>
      </c>
      <c r="GE141" s="41" t="str">
        <f t="shared" si="1220"/>
        <v>-</v>
      </c>
      <c r="GF141" s="41" t="str">
        <f t="shared" si="1221"/>
        <v>-</v>
      </c>
      <c r="GG141" s="41" t="str">
        <f t="shared" si="1222"/>
        <v>-</v>
      </c>
      <c r="GH141" s="41" t="str">
        <f t="shared" si="1223"/>
        <v>-</v>
      </c>
      <c r="GI141" s="41" t="str">
        <f t="shared" si="1224"/>
        <v>-</v>
      </c>
      <c r="GJ141" s="41" t="str">
        <f t="shared" si="1225"/>
        <v>-</v>
      </c>
      <c r="GK141" s="41" t="str">
        <f t="shared" si="1226"/>
        <v>-</v>
      </c>
      <c r="GL141" s="41" t="str">
        <f t="shared" si="1227"/>
        <v>-</v>
      </c>
      <c r="GM141" s="41" t="str">
        <f t="shared" si="1228"/>
        <v>-</v>
      </c>
      <c r="GN141" s="41" t="str">
        <f t="shared" si="1229"/>
        <v>-</v>
      </c>
      <c r="GO141" s="41" t="str">
        <f t="shared" si="1230"/>
        <v>-</v>
      </c>
      <c r="GP141" s="41" t="str">
        <f t="shared" si="1231"/>
        <v>-</v>
      </c>
      <c r="GQ141" s="41" t="str">
        <f t="shared" si="1232"/>
        <v>-</v>
      </c>
      <c r="GR141" s="41" t="str">
        <f t="shared" si="1233"/>
        <v>-</v>
      </c>
      <c r="GS141" s="41" t="str">
        <f t="shared" si="1234"/>
        <v>-</v>
      </c>
      <c r="GT141" s="41" t="str">
        <f t="shared" si="1235"/>
        <v>-</v>
      </c>
      <c r="GU141" s="41" t="str">
        <f t="shared" si="1236"/>
        <v>-</v>
      </c>
      <c r="GV141" s="41" t="str">
        <f t="shared" si="1237"/>
        <v>-</v>
      </c>
      <c r="GW141" s="41" t="str">
        <f t="shared" si="1238"/>
        <v>-</v>
      </c>
      <c r="GX141" s="41" t="str">
        <f t="shared" si="1239"/>
        <v>-</v>
      </c>
      <c r="GY141" s="41" t="str">
        <f t="shared" si="1240"/>
        <v>-</v>
      </c>
      <c r="GZ141" s="41" t="str">
        <f t="shared" si="1241"/>
        <v>-</v>
      </c>
      <c r="HA141" s="41" t="str">
        <f t="shared" si="1242"/>
        <v>-</v>
      </c>
      <c r="HB141" s="41" t="str">
        <f t="shared" si="1243"/>
        <v>-</v>
      </c>
      <c r="HC141" s="41" t="str">
        <f t="shared" si="1244"/>
        <v>-</v>
      </c>
      <c r="HD141" s="41" t="str">
        <f t="shared" si="1245"/>
        <v>-</v>
      </c>
      <c r="HE141" s="41" t="str">
        <f t="shared" si="1246"/>
        <v>-</v>
      </c>
      <c r="HF141" s="41" t="str">
        <f t="shared" si="1247"/>
        <v>-</v>
      </c>
      <c r="HG141" s="41" t="str">
        <f t="shared" si="1248"/>
        <v>-</v>
      </c>
      <c r="HH141" s="41" t="str">
        <f t="shared" si="1249"/>
        <v>-</v>
      </c>
      <c r="HI141" s="41" t="str">
        <f t="shared" si="1250"/>
        <v>-</v>
      </c>
      <c r="HJ141" s="41" t="str">
        <f t="shared" si="1251"/>
        <v>-</v>
      </c>
      <c r="HK141" s="41" t="str">
        <f t="shared" si="1252"/>
        <v>-</v>
      </c>
      <c r="HL141" s="41" t="str">
        <f t="shared" si="1253"/>
        <v>-</v>
      </c>
      <c r="HM141" s="41" t="str">
        <f t="shared" si="1254"/>
        <v>-</v>
      </c>
      <c r="HN141" s="41" t="str">
        <f t="shared" si="1255"/>
        <v>-</v>
      </c>
      <c r="HO141" s="41" t="str">
        <f t="shared" si="1256"/>
        <v>-</v>
      </c>
      <c r="HP141" s="41" t="str">
        <f t="shared" si="1257"/>
        <v>-</v>
      </c>
      <c r="HQ141" s="41" t="str">
        <f t="shared" si="1258"/>
        <v>-</v>
      </c>
      <c r="HR141" s="41" t="str">
        <f t="shared" si="1259"/>
        <v>-</v>
      </c>
      <c r="HS141" s="41" t="str">
        <f t="shared" si="1260"/>
        <v>-</v>
      </c>
      <c r="HT141" s="41" t="str">
        <f t="shared" si="1261"/>
        <v>-</v>
      </c>
      <c r="HU141" s="41" t="str">
        <f t="shared" si="1262"/>
        <v>-</v>
      </c>
      <c r="HV141" s="41" t="str">
        <f t="shared" si="1263"/>
        <v>-</v>
      </c>
      <c r="HW141" s="41" t="str">
        <f t="shared" si="1264"/>
        <v>-</v>
      </c>
      <c r="HX141" s="41" t="str">
        <f t="shared" si="1265"/>
        <v>-</v>
      </c>
      <c r="HY141" s="41" t="str">
        <f t="shared" si="1266"/>
        <v>-</v>
      </c>
      <c r="HZ141" s="41" t="str">
        <f t="shared" si="1267"/>
        <v>-</v>
      </c>
      <c r="IA141" s="41" t="str">
        <f t="shared" si="1268"/>
        <v>-</v>
      </c>
      <c r="IB141" s="41" t="str">
        <f t="shared" si="1269"/>
        <v>-</v>
      </c>
      <c r="IC141" s="41" t="str">
        <f t="shared" si="1270"/>
        <v>-</v>
      </c>
      <c r="ID141" s="41" t="str">
        <f t="shared" si="1271"/>
        <v>-</v>
      </c>
      <c r="IE141" s="41" t="str">
        <f t="shared" si="1272"/>
        <v>-</v>
      </c>
      <c r="IF141" s="41" t="str">
        <f t="shared" si="1273"/>
        <v>-</v>
      </c>
      <c r="IG141" s="306" t="str">
        <f t="shared" si="1274"/>
        <v>-</v>
      </c>
      <c r="IH141" s="44" t="str">
        <f t="shared" si="1275"/>
        <v>-</v>
      </c>
      <c r="II141" s="44" t="str">
        <f t="shared" si="1276"/>
        <v>-</v>
      </c>
      <c r="IJ141" s="44" t="str">
        <f t="shared" si="1277"/>
        <v>-</v>
      </c>
      <c r="IK141" s="44" t="str">
        <f t="shared" si="1278"/>
        <v>-</v>
      </c>
      <c r="IL141" s="44" t="str">
        <f t="shared" si="1279"/>
        <v>-</v>
      </c>
      <c r="IM141" s="306" t="str">
        <f t="shared" si="1280"/>
        <v/>
      </c>
      <c r="IN141" s="44" t="str">
        <f t="shared" si="1281"/>
        <v/>
      </c>
      <c r="IO141" s="44" t="str">
        <f t="shared" si="1282"/>
        <v/>
      </c>
      <c r="IP141" s="44" t="str">
        <f t="shared" si="1283"/>
        <v/>
      </c>
      <c r="IQ141" s="44" t="str">
        <f t="shared" si="1284"/>
        <v/>
      </c>
      <c r="IR141" s="44" t="str">
        <f t="shared" si="1285"/>
        <v/>
      </c>
      <c r="IS141" s="306" t="str">
        <f t="shared" si="1286"/>
        <v/>
      </c>
      <c r="IT141" s="44" t="str">
        <f t="shared" si="1287"/>
        <v/>
      </c>
      <c r="IU141" s="44" t="str">
        <f t="shared" si="1288"/>
        <v/>
      </c>
      <c r="IV141" s="44" t="str">
        <f t="shared" si="1289"/>
        <v/>
      </c>
      <c r="IW141" s="44" t="str">
        <f t="shared" si="1290"/>
        <v/>
      </c>
      <c r="IX141" s="44" t="str">
        <f t="shared" si="1291"/>
        <v/>
      </c>
      <c r="IY141" s="306" t="str">
        <f t="shared" si="1292"/>
        <v/>
      </c>
      <c r="IZ141" s="44" t="str">
        <f t="shared" si="1293"/>
        <v/>
      </c>
      <c r="JA141" s="44" t="str">
        <f t="shared" si="1294"/>
        <v/>
      </c>
      <c r="JB141" s="44" t="str">
        <f t="shared" si="1295"/>
        <v/>
      </c>
      <c r="JC141" s="44" t="str">
        <f t="shared" si="1296"/>
        <v/>
      </c>
      <c r="JD141" s="307" t="str">
        <f t="shared" si="1297"/>
        <v/>
      </c>
      <c r="JF141" s="66">
        <f t="shared" si="779"/>
        <v>141</v>
      </c>
      <c r="JG141" s="66">
        <f t="shared" ca="1" si="789"/>
        <v>0</v>
      </c>
      <c r="JH141" s="66">
        <f t="shared" ca="1" si="790"/>
        <v>0</v>
      </c>
      <c r="JI141" s="66">
        <f t="shared" ca="1" si="791"/>
        <v>0</v>
      </c>
      <c r="JJ141" s="66">
        <f t="shared" ca="1" si="792"/>
        <v>0</v>
      </c>
      <c r="JK141" s="33"/>
      <c r="JL141" s="74" t="str">
        <f t="shared" ca="1" si="793"/>
        <v>-</v>
      </c>
      <c r="JM141" s="75">
        <f t="shared" ca="1" si="794"/>
        <v>0</v>
      </c>
      <c r="JN141" s="75">
        <f t="shared" ca="1" si="795"/>
        <v>0</v>
      </c>
      <c r="JO141" s="74" t="str">
        <f t="shared" ca="1" si="796"/>
        <v>-</v>
      </c>
      <c r="JP141" s="74">
        <f t="shared" ca="1" si="797"/>
        <v>0</v>
      </c>
    </row>
    <row r="142" spans="1:276" hidden="1" outlineLevel="1" x14ac:dyDescent="0.35">
      <c r="A142" s="125" t="s">
        <v>805</v>
      </c>
      <c r="B142" s="125" t="s">
        <v>805</v>
      </c>
      <c r="C142" s="125" t="s">
        <v>805</v>
      </c>
      <c r="E142" s="142" t="s">
        <v>865</v>
      </c>
      <c r="F142" s="254" t="s">
        <v>752</v>
      </c>
      <c r="G142" t="s">
        <v>530</v>
      </c>
      <c r="H142" t="s">
        <v>535</v>
      </c>
      <c r="I142" t="s">
        <v>536</v>
      </c>
      <c r="J142" s="211" t="s">
        <v>805</v>
      </c>
      <c r="K142" t="s">
        <v>805</v>
      </c>
      <c r="L142" t="s">
        <v>805</v>
      </c>
      <c r="M142" t="s">
        <v>805</v>
      </c>
      <c r="N142" t="s">
        <v>805</v>
      </c>
      <c r="O142" t="s">
        <v>805</v>
      </c>
      <c r="P142" t="s">
        <v>805</v>
      </c>
      <c r="Q142" t="s">
        <v>805</v>
      </c>
      <c r="R142" t="s">
        <v>805</v>
      </c>
      <c r="S142" t="s">
        <v>805</v>
      </c>
      <c r="T142" t="s">
        <v>805</v>
      </c>
      <c r="U142" t="s">
        <v>805</v>
      </c>
      <c r="V142" t="s">
        <v>805</v>
      </c>
      <c r="W142" t="s">
        <v>805</v>
      </c>
      <c r="X142" t="s">
        <v>805</v>
      </c>
      <c r="Y142" t="s">
        <v>805</v>
      </c>
      <c r="Z142" t="s">
        <v>805</v>
      </c>
      <c r="AA142" t="s">
        <v>805</v>
      </c>
      <c r="AB142" t="s">
        <v>805</v>
      </c>
      <c r="AC142" t="s">
        <v>805</v>
      </c>
      <c r="AD142" t="s">
        <v>805</v>
      </c>
      <c r="AE142" t="s">
        <v>805</v>
      </c>
      <c r="AF142" t="s">
        <v>805</v>
      </c>
      <c r="AG142" t="s">
        <v>805</v>
      </c>
      <c r="AH142" t="s">
        <v>805</v>
      </c>
      <c r="AI142" t="s">
        <v>805</v>
      </c>
      <c r="AJ142" t="s">
        <v>805</v>
      </c>
      <c r="AK142" t="s">
        <v>805</v>
      </c>
      <c r="AL142" t="s">
        <v>805</v>
      </c>
      <c r="AM142" t="s">
        <v>805</v>
      </c>
      <c r="AN142" t="s">
        <v>805</v>
      </c>
      <c r="AO142" t="s">
        <v>805</v>
      </c>
      <c r="AP142" t="s">
        <v>805</v>
      </c>
      <c r="AQ142" t="s">
        <v>805</v>
      </c>
      <c r="AR142" t="s">
        <v>805</v>
      </c>
      <c r="AS142" t="s">
        <v>805</v>
      </c>
      <c r="AT142" t="s">
        <v>805</v>
      </c>
      <c r="AU142" t="s">
        <v>805</v>
      </c>
      <c r="AV142" t="s">
        <v>805</v>
      </c>
      <c r="AW142" t="s">
        <v>805</v>
      </c>
      <c r="AX142" t="s">
        <v>805</v>
      </c>
      <c r="AY142" t="s">
        <v>805</v>
      </c>
      <c r="AZ142" t="s">
        <v>805</v>
      </c>
      <c r="BA142" t="s">
        <v>805</v>
      </c>
      <c r="BB142" t="s">
        <v>805</v>
      </c>
      <c r="BC142" t="s">
        <v>805</v>
      </c>
      <c r="BD142" t="s">
        <v>805</v>
      </c>
      <c r="BE142" t="s">
        <v>805</v>
      </c>
      <c r="BF142" t="s">
        <v>805</v>
      </c>
      <c r="BG142" t="s">
        <v>805</v>
      </c>
      <c r="BH142" t="s">
        <v>805</v>
      </c>
      <c r="BI142" t="s">
        <v>805</v>
      </c>
      <c r="BJ142" t="s">
        <v>805</v>
      </c>
      <c r="BK142" t="s">
        <v>805</v>
      </c>
      <c r="BL142" t="s">
        <v>805</v>
      </c>
      <c r="BM142" t="s">
        <v>805</v>
      </c>
      <c r="BN142" t="s">
        <v>805</v>
      </c>
      <c r="BO142" t="s">
        <v>805</v>
      </c>
      <c r="BP142" t="s">
        <v>805</v>
      </c>
      <c r="BQ142" t="s">
        <v>805</v>
      </c>
      <c r="BR142" t="s">
        <v>805</v>
      </c>
      <c r="BS142" t="s">
        <v>805</v>
      </c>
      <c r="BT142" t="s">
        <v>805</v>
      </c>
      <c r="BU142" t="s">
        <v>805</v>
      </c>
      <c r="BV142" t="s">
        <v>805</v>
      </c>
      <c r="BW142" t="s">
        <v>805</v>
      </c>
      <c r="BX142" t="s">
        <v>805</v>
      </c>
      <c r="BY142" t="s">
        <v>805</v>
      </c>
      <c r="BZ142" t="s">
        <v>805</v>
      </c>
      <c r="CA142" t="s">
        <v>805</v>
      </c>
      <c r="CB142" t="s">
        <v>805</v>
      </c>
      <c r="CC142" t="s">
        <v>805</v>
      </c>
      <c r="CD142" t="s">
        <v>805</v>
      </c>
      <c r="CE142" t="s">
        <v>805</v>
      </c>
      <c r="CF142" t="s">
        <v>805</v>
      </c>
      <c r="CG142" t="s">
        <v>805</v>
      </c>
      <c r="CH142" t="s">
        <v>805</v>
      </c>
      <c r="CI142" t="s">
        <v>805</v>
      </c>
      <c r="CJ142" t="s">
        <v>805</v>
      </c>
      <c r="CK142" t="s">
        <v>805</v>
      </c>
      <c r="CL142" t="s">
        <v>805</v>
      </c>
      <c r="CM142" t="s">
        <v>805</v>
      </c>
      <c r="CN142" t="s">
        <v>805</v>
      </c>
      <c r="CO142" t="s">
        <v>805</v>
      </c>
      <c r="CP142" t="s">
        <v>805</v>
      </c>
      <c r="CQ142" t="s">
        <v>805</v>
      </c>
      <c r="CR142" t="s">
        <v>805</v>
      </c>
      <c r="CS142" t="s">
        <v>805</v>
      </c>
      <c r="CT142" t="s">
        <v>805</v>
      </c>
      <c r="CU142" t="s">
        <v>805</v>
      </c>
      <c r="CV142" t="s">
        <v>805</v>
      </c>
      <c r="CW142" t="s">
        <v>805</v>
      </c>
      <c r="CX142" t="s">
        <v>805</v>
      </c>
      <c r="CY142" t="s">
        <v>805</v>
      </c>
      <c r="CZ142" t="s">
        <v>805</v>
      </c>
      <c r="DA142" t="s">
        <v>805</v>
      </c>
      <c r="DB142" t="s">
        <v>805</v>
      </c>
      <c r="DC142" t="s">
        <v>805</v>
      </c>
      <c r="DD142" t="s">
        <v>805</v>
      </c>
      <c r="DE142" t="s">
        <v>805</v>
      </c>
      <c r="DF142" t="s">
        <v>805</v>
      </c>
      <c r="DG142" s="28">
        <f>VLOOKUP(E142,'KPI Count-SHARE'!A:F,3,0)</f>
        <v>0</v>
      </c>
      <c r="DH142" t="s">
        <v>805</v>
      </c>
      <c r="DI142" t="s">
        <v>805</v>
      </c>
      <c r="DJ142" t="s">
        <v>805</v>
      </c>
      <c r="DK142" t="s">
        <v>805</v>
      </c>
      <c r="DL142" t="s">
        <v>805</v>
      </c>
      <c r="DM142" t="s">
        <v>805</v>
      </c>
      <c r="DN142" s="28">
        <f>VLOOKUP(E142,'KPI Count-SHARE'!A:F,4,0)</f>
        <v>0</v>
      </c>
      <c r="DU142" s="28">
        <f>VLOOKUP(E142,'KPI Count-SHARE'!A:F,5,0)</f>
        <v>0</v>
      </c>
      <c r="EB142" s="28">
        <f>VLOOKUP(E142,'KPI Count-SHARE'!A:F,6,0)</f>
        <v>0</v>
      </c>
      <c r="EI142" t="str">
        <f t="shared" si="1298"/>
        <v>USD '000 per FTE</v>
      </c>
      <c r="EJ142" s="41" t="str">
        <f t="shared" si="1173"/>
        <v>-</v>
      </c>
      <c r="EK142" s="41" t="str">
        <f t="shared" si="1174"/>
        <v>-</v>
      </c>
      <c r="EL142" s="41" t="str">
        <f t="shared" si="1175"/>
        <v>-</v>
      </c>
      <c r="EM142" s="41" t="str">
        <f t="shared" si="1176"/>
        <v>-</v>
      </c>
      <c r="EN142" s="41" t="str">
        <f t="shared" si="1177"/>
        <v>-</v>
      </c>
      <c r="EO142" s="41" t="str">
        <f t="shared" si="1178"/>
        <v>-</v>
      </c>
      <c r="EP142" s="41" t="str">
        <f t="shared" si="1179"/>
        <v>-</v>
      </c>
      <c r="EQ142" s="41" t="str">
        <f t="shared" si="1180"/>
        <v>-</v>
      </c>
      <c r="ER142" s="41" t="str">
        <f t="shared" si="1181"/>
        <v>-</v>
      </c>
      <c r="ES142" s="41" t="str">
        <f t="shared" si="1182"/>
        <v>-</v>
      </c>
      <c r="ET142" s="41" t="str">
        <f t="shared" si="1183"/>
        <v>-</v>
      </c>
      <c r="EU142" s="41" t="str">
        <f t="shared" si="1184"/>
        <v>-</v>
      </c>
      <c r="EV142" s="41" t="str">
        <f t="shared" si="1185"/>
        <v>-</v>
      </c>
      <c r="EW142" s="41" t="str">
        <f t="shared" si="1186"/>
        <v>-</v>
      </c>
      <c r="EX142" s="41" t="str">
        <f t="shared" si="1187"/>
        <v>-</v>
      </c>
      <c r="EY142" s="41" t="str">
        <f t="shared" si="1188"/>
        <v>-</v>
      </c>
      <c r="EZ142" s="41" t="str">
        <f t="shared" si="1189"/>
        <v>-</v>
      </c>
      <c r="FA142" s="41" t="str">
        <f t="shared" si="1190"/>
        <v>-</v>
      </c>
      <c r="FB142" s="41" t="str">
        <f t="shared" si="1191"/>
        <v>-</v>
      </c>
      <c r="FC142" s="41" t="str">
        <f t="shared" si="1192"/>
        <v>-</v>
      </c>
      <c r="FD142" s="41" t="str">
        <f t="shared" si="1193"/>
        <v>-</v>
      </c>
      <c r="FE142" s="41" t="str">
        <f t="shared" si="1194"/>
        <v>-</v>
      </c>
      <c r="FF142" s="41" t="str">
        <f t="shared" si="1195"/>
        <v>-</v>
      </c>
      <c r="FG142" s="41" t="str">
        <f t="shared" si="1196"/>
        <v>-</v>
      </c>
      <c r="FH142" s="41" t="str">
        <f t="shared" si="1197"/>
        <v>-</v>
      </c>
      <c r="FI142" s="41" t="str">
        <f t="shared" si="1198"/>
        <v>-</v>
      </c>
      <c r="FJ142" s="41" t="str">
        <f t="shared" si="1199"/>
        <v>-</v>
      </c>
      <c r="FK142" s="41" t="str">
        <f t="shared" si="1200"/>
        <v>-</v>
      </c>
      <c r="FL142" s="41" t="str">
        <f t="shared" si="1201"/>
        <v>-</v>
      </c>
      <c r="FM142" s="41" t="str">
        <f t="shared" si="1202"/>
        <v>-</v>
      </c>
      <c r="FN142" s="41" t="str">
        <f t="shared" si="1203"/>
        <v>-</v>
      </c>
      <c r="FO142" s="41" t="str">
        <f t="shared" si="1204"/>
        <v>-</v>
      </c>
      <c r="FP142" s="41" t="str">
        <f t="shared" si="1205"/>
        <v>-</v>
      </c>
      <c r="FQ142" s="41" t="str">
        <f t="shared" si="1206"/>
        <v>-</v>
      </c>
      <c r="FR142" s="41" t="str">
        <f t="shared" si="1207"/>
        <v>-</v>
      </c>
      <c r="FS142" s="41" t="str">
        <f t="shared" si="1208"/>
        <v>-</v>
      </c>
      <c r="FT142" s="41" t="str">
        <f t="shared" si="1209"/>
        <v>-</v>
      </c>
      <c r="FU142" s="41" t="str">
        <f t="shared" si="1210"/>
        <v>-</v>
      </c>
      <c r="FV142" s="41" t="str">
        <f t="shared" si="1211"/>
        <v>-</v>
      </c>
      <c r="FW142" s="41" t="str">
        <f t="shared" si="1212"/>
        <v>-</v>
      </c>
      <c r="FX142" s="41" t="str">
        <f t="shared" si="1213"/>
        <v>-</v>
      </c>
      <c r="FY142" s="41" t="str">
        <f t="shared" si="1214"/>
        <v>-</v>
      </c>
      <c r="FZ142" s="41" t="str">
        <f t="shared" si="1215"/>
        <v>-</v>
      </c>
      <c r="GA142" s="41" t="str">
        <f t="shared" si="1216"/>
        <v>-</v>
      </c>
      <c r="GB142" s="41" t="str">
        <f t="shared" si="1217"/>
        <v>-</v>
      </c>
      <c r="GC142" s="41" t="str">
        <f t="shared" si="1218"/>
        <v>-</v>
      </c>
      <c r="GD142" s="41" t="str">
        <f t="shared" si="1219"/>
        <v>-</v>
      </c>
      <c r="GE142" s="41" t="str">
        <f t="shared" si="1220"/>
        <v>-</v>
      </c>
      <c r="GF142" s="41" t="str">
        <f t="shared" si="1221"/>
        <v>-</v>
      </c>
      <c r="GG142" s="41" t="str">
        <f t="shared" si="1222"/>
        <v>-</v>
      </c>
      <c r="GH142" s="41" t="str">
        <f t="shared" si="1223"/>
        <v>-</v>
      </c>
      <c r="GI142" s="41" t="str">
        <f t="shared" si="1224"/>
        <v>-</v>
      </c>
      <c r="GJ142" s="41" t="str">
        <f t="shared" si="1225"/>
        <v>-</v>
      </c>
      <c r="GK142" s="41" t="str">
        <f t="shared" si="1226"/>
        <v>-</v>
      </c>
      <c r="GL142" s="41" t="str">
        <f t="shared" si="1227"/>
        <v>-</v>
      </c>
      <c r="GM142" s="41" t="str">
        <f t="shared" si="1228"/>
        <v>-</v>
      </c>
      <c r="GN142" s="41" t="str">
        <f t="shared" si="1229"/>
        <v>-</v>
      </c>
      <c r="GO142" s="41" t="str">
        <f t="shared" si="1230"/>
        <v>-</v>
      </c>
      <c r="GP142" s="41" t="str">
        <f t="shared" si="1231"/>
        <v>-</v>
      </c>
      <c r="GQ142" s="41" t="str">
        <f t="shared" si="1232"/>
        <v>-</v>
      </c>
      <c r="GR142" s="41" t="str">
        <f t="shared" si="1233"/>
        <v>-</v>
      </c>
      <c r="GS142" s="41" t="str">
        <f t="shared" si="1234"/>
        <v>-</v>
      </c>
      <c r="GT142" s="41" t="str">
        <f t="shared" si="1235"/>
        <v>-</v>
      </c>
      <c r="GU142" s="41" t="str">
        <f t="shared" si="1236"/>
        <v>-</v>
      </c>
      <c r="GV142" s="41" t="str">
        <f t="shared" si="1237"/>
        <v>-</v>
      </c>
      <c r="GW142" s="41" t="str">
        <f t="shared" si="1238"/>
        <v>-</v>
      </c>
      <c r="GX142" s="41" t="str">
        <f t="shared" si="1239"/>
        <v>-</v>
      </c>
      <c r="GY142" s="41" t="str">
        <f t="shared" si="1240"/>
        <v>-</v>
      </c>
      <c r="GZ142" s="41" t="str">
        <f t="shared" si="1241"/>
        <v>-</v>
      </c>
      <c r="HA142" s="41" t="str">
        <f t="shared" si="1242"/>
        <v>-</v>
      </c>
      <c r="HB142" s="41" t="str">
        <f t="shared" si="1243"/>
        <v>-</v>
      </c>
      <c r="HC142" s="41" t="str">
        <f t="shared" si="1244"/>
        <v>-</v>
      </c>
      <c r="HD142" s="41" t="str">
        <f t="shared" si="1245"/>
        <v>-</v>
      </c>
      <c r="HE142" s="41" t="str">
        <f t="shared" si="1246"/>
        <v>-</v>
      </c>
      <c r="HF142" s="41" t="str">
        <f t="shared" si="1247"/>
        <v>-</v>
      </c>
      <c r="HG142" s="41" t="str">
        <f t="shared" si="1248"/>
        <v>-</v>
      </c>
      <c r="HH142" s="41" t="str">
        <f t="shared" si="1249"/>
        <v>-</v>
      </c>
      <c r="HI142" s="41" t="str">
        <f t="shared" si="1250"/>
        <v>-</v>
      </c>
      <c r="HJ142" s="41" t="str">
        <f t="shared" si="1251"/>
        <v>-</v>
      </c>
      <c r="HK142" s="41" t="str">
        <f t="shared" si="1252"/>
        <v>-</v>
      </c>
      <c r="HL142" s="41" t="str">
        <f t="shared" si="1253"/>
        <v>-</v>
      </c>
      <c r="HM142" s="41" t="str">
        <f t="shared" si="1254"/>
        <v>-</v>
      </c>
      <c r="HN142" s="41" t="str">
        <f t="shared" si="1255"/>
        <v>-</v>
      </c>
      <c r="HO142" s="41" t="str">
        <f t="shared" si="1256"/>
        <v>-</v>
      </c>
      <c r="HP142" s="41" t="str">
        <f t="shared" si="1257"/>
        <v>-</v>
      </c>
      <c r="HQ142" s="41" t="str">
        <f t="shared" si="1258"/>
        <v>-</v>
      </c>
      <c r="HR142" s="41" t="str">
        <f t="shared" si="1259"/>
        <v>-</v>
      </c>
      <c r="HS142" s="41" t="str">
        <f t="shared" si="1260"/>
        <v>-</v>
      </c>
      <c r="HT142" s="41" t="str">
        <f t="shared" si="1261"/>
        <v>-</v>
      </c>
      <c r="HU142" s="41" t="str">
        <f t="shared" si="1262"/>
        <v>-</v>
      </c>
      <c r="HV142" s="41" t="str">
        <f t="shared" si="1263"/>
        <v>-</v>
      </c>
      <c r="HW142" s="41" t="str">
        <f t="shared" si="1264"/>
        <v>-</v>
      </c>
      <c r="HX142" s="41" t="str">
        <f t="shared" si="1265"/>
        <v>-</v>
      </c>
      <c r="HY142" s="41" t="str">
        <f t="shared" si="1266"/>
        <v>-</v>
      </c>
      <c r="HZ142" s="41" t="str">
        <f t="shared" si="1267"/>
        <v>-</v>
      </c>
      <c r="IA142" s="41" t="str">
        <f t="shared" si="1268"/>
        <v>-</v>
      </c>
      <c r="IB142" s="41" t="str">
        <f t="shared" si="1269"/>
        <v>-</v>
      </c>
      <c r="IC142" s="41" t="str">
        <f t="shared" si="1270"/>
        <v>-</v>
      </c>
      <c r="ID142" s="41" t="str">
        <f t="shared" si="1271"/>
        <v>-</v>
      </c>
      <c r="IE142" s="41" t="str">
        <f t="shared" si="1272"/>
        <v>-</v>
      </c>
      <c r="IF142" s="41" t="str">
        <f t="shared" si="1273"/>
        <v>-</v>
      </c>
      <c r="IG142" s="306" t="str">
        <f t="shared" si="1274"/>
        <v>-</v>
      </c>
      <c r="IH142" s="44" t="str">
        <f t="shared" si="1275"/>
        <v>-</v>
      </c>
      <c r="II142" s="44" t="str">
        <f t="shared" si="1276"/>
        <v>-</v>
      </c>
      <c r="IJ142" s="44" t="str">
        <f t="shared" si="1277"/>
        <v>-</v>
      </c>
      <c r="IK142" s="44" t="str">
        <f t="shared" si="1278"/>
        <v>-</v>
      </c>
      <c r="IL142" s="44" t="str">
        <f t="shared" si="1279"/>
        <v>-</v>
      </c>
      <c r="IM142" s="306" t="str">
        <f t="shared" si="1280"/>
        <v/>
      </c>
      <c r="IN142" s="44" t="str">
        <f t="shared" si="1281"/>
        <v/>
      </c>
      <c r="IO142" s="44" t="str">
        <f t="shared" si="1282"/>
        <v/>
      </c>
      <c r="IP142" s="44" t="str">
        <f t="shared" si="1283"/>
        <v/>
      </c>
      <c r="IQ142" s="44" t="str">
        <f t="shared" si="1284"/>
        <v/>
      </c>
      <c r="IR142" s="44" t="str">
        <f t="shared" si="1285"/>
        <v/>
      </c>
      <c r="IS142" s="306" t="str">
        <f t="shared" si="1286"/>
        <v/>
      </c>
      <c r="IT142" s="44" t="str">
        <f t="shared" si="1287"/>
        <v/>
      </c>
      <c r="IU142" s="44" t="str">
        <f t="shared" si="1288"/>
        <v/>
      </c>
      <c r="IV142" s="44" t="str">
        <f t="shared" si="1289"/>
        <v/>
      </c>
      <c r="IW142" s="44" t="str">
        <f t="shared" si="1290"/>
        <v/>
      </c>
      <c r="IX142" s="44" t="str">
        <f t="shared" si="1291"/>
        <v/>
      </c>
      <c r="IY142" s="306" t="str">
        <f t="shared" si="1292"/>
        <v/>
      </c>
      <c r="IZ142" s="44" t="str">
        <f t="shared" si="1293"/>
        <v/>
      </c>
      <c r="JA142" s="44" t="str">
        <f t="shared" si="1294"/>
        <v/>
      </c>
      <c r="JB142" s="44" t="str">
        <f t="shared" si="1295"/>
        <v/>
      </c>
      <c r="JC142" s="44" t="str">
        <f t="shared" si="1296"/>
        <v/>
      </c>
      <c r="JD142" s="307" t="str">
        <f t="shared" si="1297"/>
        <v/>
      </c>
      <c r="JF142" s="66">
        <f t="shared" si="779"/>
        <v>142</v>
      </c>
      <c r="JG142" s="66">
        <f t="shared" ca="1" si="789"/>
        <v>0</v>
      </c>
      <c r="JH142" s="66">
        <f t="shared" ca="1" si="790"/>
        <v>0</v>
      </c>
      <c r="JI142" s="66">
        <f t="shared" ca="1" si="791"/>
        <v>0</v>
      </c>
      <c r="JJ142" s="66">
        <f t="shared" ca="1" si="792"/>
        <v>0</v>
      </c>
      <c r="JK142" s="33"/>
      <c r="JL142" s="74" t="str">
        <f t="shared" ca="1" si="793"/>
        <v>-</v>
      </c>
      <c r="JM142" s="75">
        <f t="shared" ca="1" si="794"/>
        <v>0</v>
      </c>
      <c r="JN142" s="75">
        <f t="shared" ca="1" si="795"/>
        <v>0</v>
      </c>
      <c r="JO142" s="74" t="str">
        <f t="shared" ca="1" si="796"/>
        <v>-</v>
      </c>
      <c r="JP142" s="74">
        <f t="shared" ca="1" si="797"/>
        <v>0</v>
      </c>
    </row>
    <row r="143" spans="1:276" hidden="1" outlineLevel="1" x14ac:dyDescent="0.35">
      <c r="A143" s="125" t="s">
        <v>805</v>
      </c>
      <c r="B143" s="125" t="s">
        <v>805</v>
      </c>
      <c r="C143" s="125" t="s">
        <v>805</v>
      </c>
      <c r="E143" s="142" t="s">
        <v>866</v>
      </c>
      <c r="F143" s="254" t="s">
        <v>753</v>
      </c>
      <c r="G143" t="s">
        <v>530</v>
      </c>
      <c r="H143" t="s">
        <v>535</v>
      </c>
      <c r="I143" t="s">
        <v>536</v>
      </c>
      <c r="J143" s="211" t="s">
        <v>805</v>
      </c>
      <c r="K143" t="s">
        <v>805</v>
      </c>
      <c r="L143" t="s">
        <v>805</v>
      </c>
      <c r="M143" t="s">
        <v>805</v>
      </c>
      <c r="N143" t="s">
        <v>805</v>
      </c>
      <c r="O143" t="s">
        <v>805</v>
      </c>
      <c r="P143" t="s">
        <v>805</v>
      </c>
      <c r="Q143" t="s">
        <v>805</v>
      </c>
      <c r="R143" t="s">
        <v>805</v>
      </c>
      <c r="S143" t="s">
        <v>805</v>
      </c>
      <c r="T143" t="s">
        <v>805</v>
      </c>
      <c r="U143" t="s">
        <v>805</v>
      </c>
      <c r="V143" t="s">
        <v>805</v>
      </c>
      <c r="W143" t="s">
        <v>805</v>
      </c>
      <c r="X143" t="s">
        <v>805</v>
      </c>
      <c r="Y143" t="s">
        <v>805</v>
      </c>
      <c r="Z143" t="s">
        <v>805</v>
      </c>
      <c r="AA143" t="s">
        <v>805</v>
      </c>
      <c r="AB143" t="s">
        <v>805</v>
      </c>
      <c r="AC143" t="s">
        <v>805</v>
      </c>
      <c r="AD143" t="s">
        <v>805</v>
      </c>
      <c r="AE143" t="s">
        <v>805</v>
      </c>
      <c r="AF143" t="s">
        <v>805</v>
      </c>
      <c r="AG143" t="s">
        <v>805</v>
      </c>
      <c r="AH143" t="s">
        <v>805</v>
      </c>
      <c r="AI143" t="s">
        <v>805</v>
      </c>
      <c r="AJ143" t="s">
        <v>805</v>
      </c>
      <c r="AK143" t="s">
        <v>805</v>
      </c>
      <c r="AL143" t="s">
        <v>805</v>
      </c>
      <c r="AM143" t="s">
        <v>805</v>
      </c>
      <c r="AN143" t="s">
        <v>805</v>
      </c>
      <c r="AO143" t="s">
        <v>805</v>
      </c>
      <c r="AP143" t="s">
        <v>805</v>
      </c>
      <c r="AQ143" t="s">
        <v>805</v>
      </c>
      <c r="AR143" t="s">
        <v>805</v>
      </c>
      <c r="AS143" t="s">
        <v>805</v>
      </c>
      <c r="AT143" t="s">
        <v>805</v>
      </c>
      <c r="AU143" t="s">
        <v>805</v>
      </c>
      <c r="AV143" t="s">
        <v>805</v>
      </c>
      <c r="AW143" t="s">
        <v>805</v>
      </c>
      <c r="AX143" t="s">
        <v>805</v>
      </c>
      <c r="AY143" t="s">
        <v>805</v>
      </c>
      <c r="AZ143" t="s">
        <v>805</v>
      </c>
      <c r="BA143" t="s">
        <v>805</v>
      </c>
      <c r="BB143" t="s">
        <v>805</v>
      </c>
      <c r="BC143" t="s">
        <v>805</v>
      </c>
      <c r="BD143" t="s">
        <v>805</v>
      </c>
      <c r="BE143" t="s">
        <v>805</v>
      </c>
      <c r="BF143" t="s">
        <v>805</v>
      </c>
      <c r="BG143" t="s">
        <v>805</v>
      </c>
      <c r="BH143" t="s">
        <v>805</v>
      </c>
      <c r="BI143" t="s">
        <v>805</v>
      </c>
      <c r="BJ143" t="s">
        <v>805</v>
      </c>
      <c r="BK143" t="s">
        <v>805</v>
      </c>
      <c r="BL143" t="s">
        <v>805</v>
      </c>
      <c r="BM143" t="s">
        <v>805</v>
      </c>
      <c r="BN143" t="s">
        <v>805</v>
      </c>
      <c r="BO143" t="s">
        <v>805</v>
      </c>
      <c r="BP143" t="s">
        <v>805</v>
      </c>
      <c r="BQ143" t="s">
        <v>805</v>
      </c>
      <c r="BR143" t="s">
        <v>805</v>
      </c>
      <c r="BS143" t="s">
        <v>805</v>
      </c>
      <c r="BT143" t="s">
        <v>805</v>
      </c>
      <c r="BU143" t="s">
        <v>805</v>
      </c>
      <c r="BV143" t="s">
        <v>805</v>
      </c>
      <c r="BW143" t="s">
        <v>805</v>
      </c>
      <c r="BX143" t="s">
        <v>805</v>
      </c>
      <c r="BY143" t="s">
        <v>805</v>
      </c>
      <c r="BZ143" t="s">
        <v>805</v>
      </c>
      <c r="CA143" t="s">
        <v>805</v>
      </c>
      <c r="CB143" t="s">
        <v>805</v>
      </c>
      <c r="CC143" t="s">
        <v>805</v>
      </c>
      <c r="CD143" t="s">
        <v>805</v>
      </c>
      <c r="CE143" t="s">
        <v>805</v>
      </c>
      <c r="CF143" t="s">
        <v>805</v>
      </c>
      <c r="CG143" t="s">
        <v>805</v>
      </c>
      <c r="CH143" t="s">
        <v>805</v>
      </c>
      <c r="CI143" t="s">
        <v>805</v>
      </c>
      <c r="CJ143" t="s">
        <v>805</v>
      </c>
      <c r="CK143" t="s">
        <v>805</v>
      </c>
      <c r="CL143" t="s">
        <v>805</v>
      </c>
      <c r="CM143" t="s">
        <v>805</v>
      </c>
      <c r="CN143" t="s">
        <v>805</v>
      </c>
      <c r="CO143" t="s">
        <v>805</v>
      </c>
      <c r="CP143" t="s">
        <v>805</v>
      </c>
      <c r="CQ143" t="s">
        <v>805</v>
      </c>
      <c r="CR143" t="s">
        <v>805</v>
      </c>
      <c r="CS143" t="s">
        <v>805</v>
      </c>
      <c r="CT143" t="s">
        <v>805</v>
      </c>
      <c r="CU143" t="s">
        <v>805</v>
      </c>
      <c r="CV143" t="s">
        <v>805</v>
      </c>
      <c r="CW143" t="s">
        <v>805</v>
      </c>
      <c r="CX143" t="s">
        <v>805</v>
      </c>
      <c r="CY143" t="s">
        <v>805</v>
      </c>
      <c r="CZ143" t="s">
        <v>805</v>
      </c>
      <c r="DA143" t="s">
        <v>805</v>
      </c>
      <c r="DB143" t="s">
        <v>805</v>
      </c>
      <c r="DC143" t="s">
        <v>805</v>
      </c>
      <c r="DD143" t="s">
        <v>805</v>
      </c>
      <c r="DE143" t="s">
        <v>805</v>
      </c>
      <c r="DF143" t="s">
        <v>805</v>
      </c>
      <c r="DG143" s="28">
        <f>VLOOKUP(E143,'KPI Count-SHARE'!A:F,3,0)</f>
        <v>0</v>
      </c>
      <c r="DH143" t="s">
        <v>805</v>
      </c>
      <c r="DI143" t="s">
        <v>805</v>
      </c>
      <c r="DJ143" t="s">
        <v>805</v>
      </c>
      <c r="DK143" t="s">
        <v>805</v>
      </c>
      <c r="DL143" t="s">
        <v>805</v>
      </c>
      <c r="DM143" t="s">
        <v>805</v>
      </c>
      <c r="DN143" s="28">
        <f>VLOOKUP(E143,'KPI Count-SHARE'!A:F,4,0)</f>
        <v>0</v>
      </c>
      <c r="DU143" s="28">
        <f>VLOOKUP(E143,'KPI Count-SHARE'!A:F,5,0)</f>
        <v>0</v>
      </c>
      <c r="EB143" s="28">
        <f>VLOOKUP(E143,'KPI Count-SHARE'!A:F,6,0)</f>
        <v>0</v>
      </c>
      <c r="EI143" t="str">
        <f t="shared" si="1298"/>
        <v>USD '000 per FTE</v>
      </c>
      <c r="EJ143" s="41" t="str">
        <f t="shared" si="1173"/>
        <v>-</v>
      </c>
      <c r="EK143" s="41" t="str">
        <f t="shared" si="1174"/>
        <v>-</v>
      </c>
      <c r="EL143" s="41" t="str">
        <f t="shared" si="1175"/>
        <v>-</v>
      </c>
      <c r="EM143" s="41" t="str">
        <f t="shared" si="1176"/>
        <v>-</v>
      </c>
      <c r="EN143" s="41" t="str">
        <f t="shared" si="1177"/>
        <v>-</v>
      </c>
      <c r="EO143" s="41" t="str">
        <f t="shared" si="1178"/>
        <v>-</v>
      </c>
      <c r="EP143" s="41" t="str">
        <f t="shared" si="1179"/>
        <v>-</v>
      </c>
      <c r="EQ143" s="41" t="str">
        <f t="shared" si="1180"/>
        <v>-</v>
      </c>
      <c r="ER143" s="41" t="str">
        <f t="shared" si="1181"/>
        <v>-</v>
      </c>
      <c r="ES143" s="41" t="str">
        <f t="shared" si="1182"/>
        <v>-</v>
      </c>
      <c r="ET143" s="41" t="str">
        <f t="shared" si="1183"/>
        <v>-</v>
      </c>
      <c r="EU143" s="41" t="str">
        <f t="shared" si="1184"/>
        <v>-</v>
      </c>
      <c r="EV143" s="41" t="str">
        <f t="shared" si="1185"/>
        <v>-</v>
      </c>
      <c r="EW143" s="41" t="str">
        <f t="shared" si="1186"/>
        <v>-</v>
      </c>
      <c r="EX143" s="41" t="str">
        <f t="shared" si="1187"/>
        <v>-</v>
      </c>
      <c r="EY143" s="41" t="str">
        <f t="shared" si="1188"/>
        <v>-</v>
      </c>
      <c r="EZ143" s="41" t="str">
        <f t="shared" si="1189"/>
        <v>-</v>
      </c>
      <c r="FA143" s="41" t="str">
        <f t="shared" si="1190"/>
        <v>-</v>
      </c>
      <c r="FB143" s="41" t="str">
        <f t="shared" si="1191"/>
        <v>-</v>
      </c>
      <c r="FC143" s="41" t="str">
        <f t="shared" si="1192"/>
        <v>-</v>
      </c>
      <c r="FD143" s="41" t="str">
        <f t="shared" si="1193"/>
        <v>-</v>
      </c>
      <c r="FE143" s="41" t="str">
        <f t="shared" si="1194"/>
        <v>-</v>
      </c>
      <c r="FF143" s="41" t="str">
        <f t="shared" si="1195"/>
        <v>-</v>
      </c>
      <c r="FG143" s="41" t="str">
        <f t="shared" si="1196"/>
        <v>-</v>
      </c>
      <c r="FH143" s="41" t="str">
        <f t="shared" si="1197"/>
        <v>-</v>
      </c>
      <c r="FI143" s="41" t="str">
        <f t="shared" si="1198"/>
        <v>-</v>
      </c>
      <c r="FJ143" s="41" t="str">
        <f t="shared" si="1199"/>
        <v>-</v>
      </c>
      <c r="FK143" s="41" t="str">
        <f t="shared" si="1200"/>
        <v>-</v>
      </c>
      <c r="FL143" s="41" t="str">
        <f t="shared" si="1201"/>
        <v>-</v>
      </c>
      <c r="FM143" s="41" t="str">
        <f t="shared" si="1202"/>
        <v>-</v>
      </c>
      <c r="FN143" s="41" t="str">
        <f t="shared" si="1203"/>
        <v>-</v>
      </c>
      <c r="FO143" s="41" t="str">
        <f t="shared" si="1204"/>
        <v>-</v>
      </c>
      <c r="FP143" s="41" t="str">
        <f t="shared" si="1205"/>
        <v>-</v>
      </c>
      <c r="FQ143" s="41" t="str">
        <f t="shared" si="1206"/>
        <v>-</v>
      </c>
      <c r="FR143" s="41" t="str">
        <f t="shared" si="1207"/>
        <v>-</v>
      </c>
      <c r="FS143" s="41" t="str">
        <f t="shared" si="1208"/>
        <v>-</v>
      </c>
      <c r="FT143" s="41" t="str">
        <f t="shared" si="1209"/>
        <v>-</v>
      </c>
      <c r="FU143" s="41" t="str">
        <f t="shared" si="1210"/>
        <v>-</v>
      </c>
      <c r="FV143" s="41" t="str">
        <f t="shared" si="1211"/>
        <v>-</v>
      </c>
      <c r="FW143" s="41" t="str">
        <f t="shared" si="1212"/>
        <v>-</v>
      </c>
      <c r="FX143" s="41" t="str">
        <f t="shared" si="1213"/>
        <v>-</v>
      </c>
      <c r="FY143" s="41" t="str">
        <f t="shared" si="1214"/>
        <v>-</v>
      </c>
      <c r="FZ143" s="41" t="str">
        <f t="shared" si="1215"/>
        <v>-</v>
      </c>
      <c r="GA143" s="41" t="str">
        <f t="shared" si="1216"/>
        <v>-</v>
      </c>
      <c r="GB143" s="41" t="str">
        <f t="shared" si="1217"/>
        <v>-</v>
      </c>
      <c r="GC143" s="41" t="str">
        <f t="shared" si="1218"/>
        <v>-</v>
      </c>
      <c r="GD143" s="41" t="str">
        <f t="shared" si="1219"/>
        <v>-</v>
      </c>
      <c r="GE143" s="41" t="str">
        <f t="shared" si="1220"/>
        <v>-</v>
      </c>
      <c r="GF143" s="41" t="str">
        <f t="shared" si="1221"/>
        <v>-</v>
      </c>
      <c r="GG143" s="41" t="str">
        <f t="shared" si="1222"/>
        <v>-</v>
      </c>
      <c r="GH143" s="41" t="str">
        <f t="shared" si="1223"/>
        <v>-</v>
      </c>
      <c r="GI143" s="41" t="str">
        <f t="shared" si="1224"/>
        <v>-</v>
      </c>
      <c r="GJ143" s="41" t="str">
        <f t="shared" si="1225"/>
        <v>-</v>
      </c>
      <c r="GK143" s="41" t="str">
        <f t="shared" si="1226"/>
        <v>-</v>
      </c>
      <c r="GL143" s="41" t="str">
        <f t="shared" si="1227"/>
        <v>-</v>
      </c>
      <c r="GM143" s="41" t="str">
        <f t="shared" si="1228"/>
        <v>-</v>
      </c>
      <c r="GN143" s="41" t="str">
        <f t="shared" si="1229"/>
        <v>-</v>
      </c>
      <c r="GO143" s="41" t="str">
        <f t="shared" si="1230"/>
        <v>-</v>
      </c>
      <c r="GP143" s="41" t="str">
        <f t="shared" si="1231"/>
        <v>-</v>
      </c>
      <c r="GQ143" s="41" t="str">
        <f t="shared" si="1232"/>
        <v>-</v>
      </c>
      <c r="GR143" s="41" t="str">
        <f t="shared" si="1233"/>
        <v>-</v>
      </c>
      <c r="GS143" s="41" t="str">
        <f t="shared" si="1234"/>
        <v>-</v>
      </c>
      <c r="GT143" s="41" t="str">
        <f t="shared" si="1235"/>
        <v>-</v>
      </c>
      <c r="GU143" s="41" t="str">
        <f t="shared" si="1236"/>
        <v>-</v>
      </c>
      <c r="GV143" s="41" t="str">
        <f t="shared" si="1237"/>
        <v>-</v>
      </c>
      <c r="GW143" s="41" t="str">
        <f t="shared" si="1238"/>
        <v>-</v>
      </c>
      <c r="GX143" s="41" t="str">
        <f t="shared" si="1239"/>
        <v>-</v>
      </c>
      <c r="GY143" s="41" t="str">
        <f t="shared" si="1240"/>
        <v>-</v>
      </c>
      <c r="GZ143" s="41" t="str">
        <f t="shared" si="1241"/>
        <v>-</v>
      </c>
      <c r="HA143" s="41" t="str">
        <f t="shared" si="1242"/>
        <v>-</v>
      </c>
      <c r="HB143" s="41" t="str">
        <f t="shared" si="1243"/>
        <v>-</v>
      </c>
      <c r="HC143" s="41" t="str">
        <f t="shared" si="1244"/>
        <v>-</v>
      </c>
      <c r="HD143" s="41" t="str">
        <f t="shared" si="1245"/>
        <v>-</v>
      </c>
      <c r="HE143" s="41" t="str">
        <f t="shared" si="1246"/>
        <v>-</v>
      </c>
      <c r="HF143" s="41" t="str">
        <f t="shared" si="1247"/>
        <v>-</v>
      </c>
      <c r="HG143" s="41" t="str">
        <f t="shared" si="1248"/>
        <v>-</v>
      </c>
      <c r="HH143" s="41" t="str">
        <f t="shared" si="1249"/>
        <v>-</v>
      </c>
      <c r="HI143" s="41" t="str">
        <f t="shared" si="1250"/>
        <v>-</v>
      </c>
      <c r="HJ143" s="41" t="str">
        <f t="shared" si="1251"/>
        <v>-</v>
      </c>
      <c r="HK143" s="41" t="str">
        <f t="shared" si="1252"/>
        <v>-</v>
      </c>
      <c r="HL143" s="41" t="str">
        <f t="shared" si="1253"/>
        <v>-</v>
      </c>
      <c r="HM143" s="41" t="str">
        <f t="shared" si="1254"/>
        <v>-</v>
      </c>
      <c r="HN143" s="41" t="str">
        <f t="shared" si="1255"/>
        <v>-</v>
      </c>
      <c r="HO143" s="41" t="str">
        <f t="shared" si="1256"/>
        <v>-</v>
      </c>
      <c r="HP143" s="41" t="str">
        <f t="shared" si="1257"/>
        <v>-</v>
      </c>
      <c r="HQ143" s="41" t="str">
        <f t="shared" si="1258"/>
        <v>-</v>
      </c>
      <c r="HR143" s="41" t="str">
        <f t="shared" si="1259"/>
        <v>-</v>
      </c>
      <c r="HS143" s="41" t="str">
        <f t="shared" si="1260"/>
        <v>-</v>
      </c>
      <c r="HT143" s="41" t="str">
        <f t="shared" si="1261"/>
        <v>-</v>
      </c>
      <c r="HU143" s="41" t="str">
        <f t="shared" si="1262"/>
        <v>-</v>
      </c>
      <c r="HV143" s="41" t="str">
        <f t="shared" si="1263"/>
        <v>-</v>
      </c>
      <c r="HW143" s="41" t="str">
        <f t="shared" si="1264"/>
        <v>-</v>
      </c>
      <c r="HX143" s="41" t="str">
        <f t="shared" si="1265"/>
        <v>-</v>
      </c>
      <c r="HY143" s="41" t="str">
        <f t="shared" si="1266"/>
        <v>-</v>
      </c>
      <c r="HZ143" s="41" t="str">
        <f t="shared" si="1267"/>
        <v>-</v>
      </c>
      <c r="IA143" s="41" t="str">
        <f t="shared" si="1268"/>
        <v>-</v>
      </c>
      <c r="IB143" s="41" t="str">
        <f t="shared" si="1269"/>
        <v>-</v>
      </c>
      <c r="IC143" s="41" t="str">
        <f t="shared" si="1270"/>
        <v>-</v>
      </c>
      <c r="ID143" s="41" t="str">
        <f t="shared" si="1271"/>
        <v>-</v>
      </c>
      <c r="IE143" s="41" t="str">
        <f t="shared" si="1272"/>
        <v>-</v>
      </c>
      <c r="IF143" s="41" t="str">
        <f t="shared" si="1273"/>
        <v>-</v>
      </c>
      <c r="IG143" s="306" t="str">
        <f t="shared" si="1274"/>
        <v>-</v>
      </c>
      <c r="IH143" s="44" t="str">
        <f t="shared" si="1275"/>
        <v>-</v>
      </c>
      <c r="II143" s="44" t="str">
        <f t="shared" si="1276"/>
        <v>-</v>
      </c>
      <c r="IJ143" s="44" t="str">
        <f t="shared" si="1277"/>
        <v>-</v>
      </c>
      <c r="IK143" s="44" t="str">
        <f t="shared" si="1278"/>
        <v>-</v>
      </c>
      <c r="IL143" s="44" t="str">
        <f t="shared" si="1279"/>
        <v>-</v>
      </c>
      <c r="IM143" s="306" t="str">
        <f t="shared" si="1280"/>
        <v/>
      </c>
      <c r="IN143" s="44" t="str">
        <f t="shared" si="1281"/>
        <v/>
      </c>
      <c r="IO143" s="44" t="str">
        <f t="shared" si="1282"/>
        <v/>
      </c>
      <c r="IP143" s="44" t="str">
        <f t="shared" si="1283"/>
        <v/>
      </c>
      <c r="IQ143" s="44" t="str">
        <f t="shared" si="1284"/>
        <v/>
      </c>
      <c r="IR143" s="44" t="str">
        <f t="shared" si="1285"/>
        <v/>
      </c>
      <c r="IS143" s="306" t="str">
        <f t="shared" si="1286"/>
        <v/>
      </c>
      <c r="IT143" s="44" t="str">
        <f t="shared" si="1287"/>
        <v/>
      </c>
      <c r="IU143" s="44" t="str">
        <f t="shared" si="1288"/>
        <v/>
      </c>
      <c r="IV143" s="44" t="str">
        <f t="shared" si="1289"/>
        <v/>
      </c>
      <c r="IW143" s="44" t="str">
        <f t="shared" si="1290"/>
        <v/>
      </c>
      <c r="IX143" s="44" t="str">
        <f t="shared" si="1291"/>
        <v/>
      </c>
      <c r="IY143" s="306" t="str">
        <f t="shared" si="1292"/>
        <v/>
      </c>
      <c r="IZ143" s="44" t="str">
        <f t="shared" si="1293"/>
        <v/>
      </c>
      <c r="JA143" s="44" t="str">
        <f t="shared" si="1294"/>
        <v/>
      </c>
      <c r="JB143" s="44" t="str">
        <f t="shared" si="1295"/>
        <v/>
      </c>
      <c r="JC143" s="44" t="str">
        <f t="shared" si="1296"/>
        <v/>
      </c>
      <c r="JD143" s="307" t="str">
        <f t="shared" si="1297"/>
        <v/>
      </c>
      <c r="JF143" s="66">
        <f t="shared" si="779"/>
        <v>143</v>
      </c>
      <c r="JG143" s="66">
        <f t="shared" ca="1" si="789"/>
        <v>0</v>
      </c>
      <c r="JH143" s="66">
        <f t="shared" ca="1" si="790"/>
        <v>0</v>
      </c>
      <c r="JI143" s="66">
        <f t="shared" ca="1" si="791"/>
        <v>0</v>
      </c>
      <c r="JJ143" s="66">
        <f t="shared" ca="1" si="792"/>
        <v>0</v>
      </c>
      <c r="JK143" s="33"/>
      <c r="JL143" s="74" t="str">
        <f t="shared" ca="1" si="793"/>
        <v>-</v>
      </c>
      <c r="JM143" s="75">
        <f t="shared" ca="1" si="794"/>
        <v>0</v>
      </c>
      <c r="JN143" s="75">
        <f t="shared" ca="1" si="795"/>
        <v>0</v>
      </c>
      <c r="JO143" s="74" t="str">
        <f t="shared" ca="1" si="796"/>
        <v>-</v>
      </c>
      <c r="JP143" s="74">
        <f t="shared" ca="1" si="797"/>
        <v>0</v>
      </c>
    </row>
    <row r="144" spans="1:276" hidden="1" outlineLevel="1" x14ac:dyDescent="0.35">
      <c r="A144" s="125" t="s">
        <v>805</v>
      </c>
      <c r="B144" s="125" t="s">
        <v>805</v>
      </c>
      <c r="C144" s="125" t="s">
        <v>805</v>
      </c>
      <c r="E144" s="142" t="s">
        <v>867</v>
      </c>
      <c r="F144" s="254" t="s">
        <v>754</v>
      </c>
      <c r="G144" t="s">
        <v>530</v>
      </c>
      <c r="H144" t="s">
        <v>535</v>
      </c>
      <c r="I144" t="s">
        <v>536</v>
      </c>
      <c r="J144" s="211" t="s">
        <v>805</v>
      </c>
      <c r="K144" t="s">
        <v>805</v>
      </c>
      <c r="L144" t="s">
        <v>805</v>
      </c>
      <c r="M144" t="s">
        <v>805</v>
      </c>
      <c r="N144" t="s">
        <v>805</v>
      </c>
      <c r="O144" t="s">
        <v>805</v>
      </c>
      <c r="P144" t="s">
        <v>805</v>
      </c>
      <c r="Q144" t="s">
        <v>805</v>
      </c>
      <c r="R144" t="s">
        <v>805</v>
      </c>
      <c r="S144" t="s">
        <v>805</v>
      </c>
      <c r="T144" t="s">
        <v>805</v>
      </c>
      <c r="U144" t="s">
        <v>805</v>
      </c>
      <c r="V144" t="s">
        <v>805</v>
      </c>
      <c r="W144" t="s">
        <v>805</v>
      </c>
      <c r="X144" t="s">
        <v>805</v>
      </c>
      <c r="Y144" t="s">
        <v>805</v>
      </c>
      <c r="Z144" t="s">
        <v>805</v>
      </c>
      <c r="AA144" t="s">
        <v>805</v>
      </c>
      <c r="AB144" t="s">
        <v>805</v>
      </c>
      <c r="AC144" t="s">
        <v>805</v>
      </c>
      <c r="AD144" t="s">
        <v>805</v>
      </c>
      <c r="AE144" t="s">
        <v>805</v>
      </c>
      <c r="AF144" t="s">
        <v>805</v>
      </c>
      <c r="AG144" t="s">
        <v>805</v>
      </c>
      <c r="AH144" t="s">
        <v>805</v>
      </c>
      <c r="AI144" t="s">
        <v>805</v>
      </c>
      <c r="AJ144" t="s">
        <v>805</v>
      </c>
      <c r="AK144" t="s">
        <v>805</v>
      </c>
      <c r="AL144" t="s">
        <v>805</v>
      </c>
      <c r="AM144" t="s">
        <v>805</v>
      </c>
      <c r="AN144" t="s">
        <v>805</v>
      </c>
      <c r="AO144" t="s">
        <v>805</v>
      </c>
      <c r="AP144" t="s">
        <v>805</v>
      </c>
      <c r="AQ144" t="s">
        <v>805</v>
      </c>
      <c r="AR144" t="s">
        <v>805</v>
      </c>
      <c r="AS144" t="s">
        <v>805</v>
      </c>
      <c r="AT144" t="s">
        <v>805</v>
      </c>
      <c r="AU144" t="s">
        <v>805</v>
      </c>
      <c r="AV144" t="s">
        <v>805</v>
      </c>
      <c r="AW144" t="s">
        <v>805</v>
      </c>
      <c r="AX144" t="s">
        <v>805</v>
      </c>
      <c r="AY144" t="s">
        <v>805</v>
      </c>
      <c r="AZ144" t="s">
        <v>805</v>
      </c>
      <c r="BA144" t="s">
        <v>805</v>
      </c>
      <c r="BB144" t="s">
        <v>805</v>
      </c>
      <c r="BC144" t="s">
        <v>805</v>
      </c>
      <c r="BD144" t="s">
        <v>805</v>
      </c>
      <c r="BE144" t="s">
        <v>805</v>
      </c>
      <c r="BF144" t="s">
        <v>805</v>
      </c>
      <c r="BG144" t="s">
        <v>805</v>
      </c>
      <c r="BH144" t="s">
        <v>805</v>
      </c>
      <c r="BI144" t="s">
        <v>805</v>
      </c>
      <c r="BJ144" t="s">
        <v>805</v>
      </c>
      <c r="BK144" t="s">
        <v>805</v>
      </c>
      <c r="BL144" t="s">
        <v>805</v>
      </c>
      <c r="BM144" t="s">
        <v>805</v>
      </c>
      <c r="BN144" t="s">
        <v>805</v>
      </c>
      <c r="BO144" t="s">
        <v>805</v>
      </c>
      <c r="BP144" t="s">
        <v>805</v>
      </c>
      <c r="BQ144" t="s">
        <v>805</v>
      </c>
      <c r="BR144" t="s">
        <v>805</v>
      </c>
      <c r="BS144" t="s">
        <v>805</v>
      </c>
      <c r="BT144" t="s">
        <v>805</v>
      </c>
      <c r="BU144" t="s">
        <v>805</v>
      </c>
      <c r="BV144" t="s">
        <v>805</v>
      </c>
      <c r="BW144" t="s">
        <v>805</v>
      </c>
      <c r="BX144" t="s">
        <v>805</v>
      </c>
      <c r="BY144" t="s">
        <v>805</v>
      </c>
      <c r="BZ144" t="s">
        <v>805</v>
      </c>
      <c r="CA144" t="s">
        <v>805</v>
      </c>
      <c r="CB144" t="s">
        <v>805</v>
      </c>
      <c r="CC144" t="s">
        <v>805</v>
      </c>
      <c r="CD144" t="s">
        <v>805</v>
      </c>
      <c r="CE144" t="s">
        <v>805</v>
      </c>
      <c r="CF144" t="s">
        <v>805</v>
      </c>
      <c r="CG144" t="s">
        <v>805</v>
      </c>
      <c r="CH144" t="s">
        <v>805</v>
      </c>
      <c r="CI144" t="s">
        <v>805</v>
      </c>
      <c r="CJ144" t="s">
        <v>805</v>
      </c>
      <c r="CK144" t="s">
        <v>805</v>
      </c>
      <c r="CL144" t="s">
        <v>805</v>
      </c>
      <c r="CM144" t="s">
        <v>805</v>
      </c>
      <c r="CN144" t="s">
        <v>805</v>
      </c>
      <c r="CO144" t="s">
        <v>805</v>
      </c>
      <c r="CP144" t="s">
        <v>805</v>
      </c>
      <c r="CQ144" t="s">
        <v>805</v>
      </c>
      <c r="CR144" t="s">
        <v>805</v>
      </c>
      <c r="CS144" t="s">
        <v>805</v>
      </c>
      <c r="CT144" t="s">
        <v>805</v>
      </c>
      <c r="CU144" t="s">
        <v>805</v>
      </c>
      <c r="CV144" t="s">
        <v>805</v>
      </c>
      <c r="CW144" t="s">
        <v>805</v>
      </c>
      <c r="CX144" t="s">
        <v>805</v>
      </c>
      <c r="CY144" t="s">
        <v>805</v>
      </c>
      <c r="CZ144" t="s">
        <v>805</v>
      </c>
      <c r="DA144" t="s">
        <v>805</v>
      </c>
      <c r="DB144" t="s">
        <v>805</v>
      </c>
      <c r="DC144" t="s">
        <v>805</v>
      </c>
      <c r="DD144" t="s">
        <v>805</v>
      </c>
      <c r="DE144" t="s">
        <v>805</v>
      </c>
      <c r="DF144" t="s">
        <v>805</v>
      </c>
      <c r="DG144" s="28">
        <f>VLOOKUP(E144,'KPI Count-SHARE'!A:F,3,0)</f>
        <v>0</v>
      </c>
      <c r="DH144" t="s">
        <v>805</v>
      </c>
      <c r="DI144" t="s">
        <v>805</v>
      </c>
      <c r="DJ144" t="s">
        <v>805</v>
      </c>
      <c r="DK144" t="s">
        <v>805</v>
      </c>
      <c r="DL144" t="s">
        <v>805</v>
      </c>
      <c r="DM144" t="s">
        <v>805</v>
      </c>
      <c r="DN144" s="28">
        <f>VLOOKUP(E144,'KPI Count-SHARE'!A:F,4,0)</f>
        <v>0</v>
      </c>
      <c r="DU144" s="28">
        <f>VLOOKUP(E144,'KPI Count-SHARE'!A:F,5,0)</f>
        <v>0</v>
      </c>
      <c r="EB144" s="28">
        <f>VLOOKUP(E144,'KPI Count-SHARE'!A:F,6,0)</f>
        <v>0</v>
      </c>
      <c r="EI144" t="str">
        <f t="shared" si="1298"/>
        <v>USD '000 per FTE</v>
      </c>
      <c r="EJ144" s="41" t="str">
        <f t="shared" si="1173"/>
        <v>-</v>
      </c>
      <c r="EK144" s="41" t="str">
        <f t="shared" si="1174"/>
        <v>-</v>
      </c>
      <c r="EL144" s="41" t="str">
        <f t="shared" si="1175"/>
        <v>-</v>
      </c>
      <c r="EM144" s="41" t="str">
        <f t="shared" si="1176"/>
        <v>-</v>
      </c>
      <c r="EN144" s="41" t="str">
        <f t="shared" si="1177"/>
        <v>-</v>
      </c>
      <c r="EO144" s="41" t="str">
        <f t="shared" si="1178"/>
        <v>-</v>
      </c>
      <c r="EP144" s="41" t="str">
        <f t="shared" si="1179"/>
        <v>-</v>
      </c>
      <c r="EQ144" s="41" t="str">
        <f t="shared" si="1180"/>
        <v>-</v>
      </c>
      <c r="ER144" s="41" t="str">
        <f t="shared" si="1181"/>
        <v>-</v>
      </c>
      <c r="ES144" s="41" t="str">
        <f t="shared" si="1182"/>
        <v>-</v>
      </c>
      <c r="ET144" s="41" t="str">
        <f t="shared" si="1183"/>
        <v>-</v>
      </c>
      <c r="EU144" s="41" t="str">
        <f t="shared" si="1184"/>
        <v>-</v>
      </c>
      <c r="EV144" s="41" t="str">
        <f t="shared" si="1185"/>
        <v>-</v>
      </c>
      <c r="EW144" s="41" t="str">
        <f t="shared" si="1186"/>
        <v>-</v>
      </c>
      <c r="EX144" s="41" t="str">
        <f t="shared" si="1187"/>
        <v>-</v>
      </c>
      <c r="EY144" s="41" t="str">
        <f t="shared" si="1188"/>
        <v>-</v>
      </c>
      <c r="EZ144" s="41" t="str">
        <f t="shared" si="1189"/>
        <v>-</v>
      </c>
      <c r="FA144" s="41" t="str">
        <f t="shared" si="1190"/>
        <v>-</v>
      </c>
      <c r="FB144" s="41" t="str">
        <f t="shared" si="1191"/>
        <v>-</v>
      </c>
      <c r="FC144" s="41" t="str">
        <f t="shared" si="1192"/>
        <v>-</v>
      </c>
      <c r="FD144" s="41" t="str">
        <f t="shared" si="1193"/>
        <v>-</v>
      </c>
      <c r="FE144" s="41" t="str">
        <f t="shared" si="1194"/>
        <v>-</v>
      </c>
      <c r="FF144" s="41" t="str">
        <f t="shared" si="1195"/>
        <v>-</v>
      </c>
      <c r="FG144" s="41" t="str">
        <f t="shared" si="1196"/>
        <v>-</v>
      </c>
      <c r="FH144" s="41" t="str">
        <f t="shared" si="1197"/>
        <v>-</v>
      </c>
      <c r="FI144" s="41" t="str">
        <f t="shared" si="1198"/>
        <v>-</v>
      </c>
      <c r="FJ144" s="41" t="str">
        <f t="shared" si="1199"/>
        <v>-</v>
      </c>
      <c r="FK144" s="41" t="str">
        <f t="shared" si="1200"/>
        <v>-</v>
      </c>
      <c r="FL144" s="41" t="str">
        <f t="shared" si="1201"/>
        <v>-</v>
      </c>
      <c r="FM144" s="41" t="str">
        <f t="shared" si="1202"/>
        <v>-</v>
      </c>
      <c r="FN144" s="41" t="str">
        <f t="shared" si="1203"/>
        <v>-</v>
      </c>
      <c r="FO144" s="41" t="str">
        <f t="shared" si="1204"/>
        <v>-</v>
      </c>
      <c r="FP144" s="41" t="str">
        <f t="shared" si="1205"/>
        <v>-</v>
      </c>
      <c r="FQ144" s="41" t="str">
        <f t="shared" si="1206"/>
        <v>-</v>
      </c>
      <c r="FR144" s="41" t="str">
        <f t="shared" si="1207"/>
        <v>-</v>
      </c>
      <c r="FS144" s="41" t="str">
        <f t="shared" si="1208"/>
        <v>-</v>
      </c>
      <c r="FT144" s="41" t="str">
        <f t="shared" si="1209"/>
        <v>-</v>
      </c>
      <c r="FU144" s="41" t="str">
        <f t="shared" si="1210"/>
        <v>-</v>
      </c>
      <c r="FV144" s="41" t="str">
        <f t="shared" si="1211"/>
        <v>-</v>
      </c>
      <c r="FW144" s="41" t="str">
        <f t="shared" si="1212"/>
        <v>-</v>
      </c>
      <c r="FX144" s="41" t="str">
        <f t="shared" si="1213"/>
        <v>-</v>
      </c>
      <c r="FY144" s="41" t="str">
        <f t="shared" si="1214"/>
        <v>-</v>
      </c>
      <c r="FZ144" s="41" t="str">
        <f t="shared" si="1215"/>
        <v>-</v>
      </c>
      <c r="GA144" s="41" t="str">
        <f t="shared" si="1216"/>
        <v>-</v>
      </c>
      <c r="GB144" s="41" t="str">
        <f t="shared" si="1217"/>
        <v>-</v>
      </c>
      <c r="GC144" s="41" t="str">
        <f t="shared" si="1218"/>
        <v>-</v>
      </c>
      <c r="GD144" s="41" t="str">
        <f t="shared" si="1219"/>
        <v>-</v>
      </c>
      <c r="GE144" s="41" t="str">
        <f t="shared" si="1220"/>
        <v>-</v>
      </c>
      <c r="GF144" s="41" t="str">
        <f t="shared" si="1221"/>
        <v>-</v>
      </c>
      <c r="GG144" s="41" t="str">
        <f t="shared" si="1222"/>
        <v>-</v>
      </c>
      <c r="GH144" s="41" t="str">
        <f t="shared" si="1223"/>
        <v>-</v>
      </c>
      <c r="GI144" s="41" t="str">
        <f t="shared" si="1224"/>
        <v>-</v>
      </c>
      <c r="GJ144" s="41" t="str">
        <f t="shared" si="1225"/>
        <v>-</v>
      </c>
      <c r="GK144" s="41" t="str">
        <f t="shared" si="1226"/>
        <v>-</v>
      </c>
      <c r="GL144" s="41" t="str">
        <f t="shared" si="1227"/>
        <v>-</v>
      </c>
      <c r="GM144" s="41" t="str">
        <f t="shared" si="1228"/>
        <v>-</v>
      </c>
      <c r="GN144" s="41" t="str">
        <f t="shared" si="1229"/>
        <v>-</v>
      </c>
      <c r="GO144" s="41" t="str">
        <f t="shared" si="1230"/>
        <v>-</v>
      </c>
      <c r="GP144" s="41" t="str">
        <f t="shared" si="1231"/>
        <v>-</v>
      </c>
      <c r="GQ144" s="41" t="str">
        <f t="shared" si="1232"/>
        <v>-</v>
      </c>
      <c r="GR144" s="41" t="str">
        <f t="shared" si="1233"/>
        <v>-</v>
      </c>
      <c r="GS144" s="41" t="str">
        <f t="shared" si="1234"/>
        <v>-</v>
      </c>
      <c r="GT144" s="41" t="str">
        <f t="shared" si="1235"/>
        <v>-</v>
      </c>
      <c r="GU144" s="41" t="str">
        <f t="shared" si="1236"/>
        <v>-</v>
      </c>
      <c r="GV144" s="41" t="str">
        <f t="shared" si="1237"/>
        <v>-</v>
      </c>
      <c r="GW144" s="41" t="str">
        <f t="shared" si="1238"/>
        <v>-</v>
      </c>
      <c r="GX144" s="41" t="str">
        <f t="shared" si="1239"/>
        <v>-</v>
      </c>
      <c r="GY144" s="41" t="str">
        <f t="shared" si="1240"/>
        <v>-</v>
      </c>
      <c r="GZ144" s="41" t="str">
        <f t="shared" si="1241"/>
        <v>-</v>
      </c>
      <c r="HA144" s="41" t="str">
        <f t="shared" si="1242"/>
        <v>-</v>
      </c>
      <c r="HB144" s="41" t="str">
        <f t="shared" si="1243"/>
        <v>-</v>
      </c>
      <c r="HC144" s="41" t="str">
        <f t="shared" si="1244"/>
        <v>-</v>
      </c>
      <c r="HD144" s="41" t="str">
        <f t="shared" si="1245"/>
        <v>-</v>
      </c>
      <c r="HE144" s="41" t="str">
        <f t="shared" si="1246"/>
        <v>-</v>
      </c>
      <c r="HF144" s="41" t="str">
        <f t="shared" si="1247"/>
        <v>-</v>
      </c>
      <c r="HG144" s="41" t="str">
        <f t="shared" si="1248"/>
        <v>-</v>
      </c>
      <c r="HH144" s="41" t="str">
        <f t="shared" si="1249"/>
        <v>-</v>
      </c>
      <c r="HI144" s="41" t="str">
        <f t="shared" si="1250"/>
        <v>-</v>
      </c>
      <c r="HJ144" s="41" t="str">
        <f t="shared" si="1251"/>
        <v>-</v>
      </c>
      <c r="HK144" s="41" t="str">
        <f t="shared" si="1252"/>
        <v>-</v>
      </c>
      <c r="HL144" s="41" t="str">
        <f t="shared" si="1253"/>
        <v>-</v>
      </c>
      <c r="HM144" s="41" t="str">
        <f t="shared" si="1254"/>
        <v>-</v>
      </c>
      <c r="HN144" s="41" t="str">
        <f t="shared" si="1255"/>
        <v>-</v>
      </c>
      <c r="HO144" s="41" t="str">
        <f t="shared" si="1256"/>
        <v>-</v>
      </c>
      <c r="HP144" s="41" t="str">
        <f t="shared" si="1257"/>
        <v>-</v>
      </c>
      <c r="HQ144" s="41" t="str">
        <f t="shared" si="1258"/>
        <v>-</v>
      </c>
      <c r="HR144" s="41" t="str">
        <f t="shared" si="1259"/>
        <v>-</v>
      </c>
      <c r="HS144" s="41" t="str">
        <f t="shared" si="1260"/>
        <v>-</v>
      </c>
      <c r="HT144" s="41" t="str">
        <f t="shared" si="1261"/>
        <v>-</v>
      </c>
      <c r="HU144" s="41" t="str">
        <f t="shared" si="1262"/>
        <v>-</v>
      </c>
      <c r="HV144" s="41" t="str">
        <f t="shared" si="1263"/>
        <v>-</v>
      </c>
      <c r="HW144" s="41" t="str">
        <f t="shared" si="1264"/>
        <v>-</v>
      </c>
      <c r="HX144" s="41" t="str">
        <f t="shared" si="1265"/>
        <v>-</v>
      </c>
      <c r="HY144" s="41" t="str">
        <f t="shared" si="1266"/>
        <v>-</v>
      </c>
      <c r="HZ144" s="41" t="str">
        <f t="shared" si="1267"/>
        <v>-</v>
      </c>
      <c r="IA144" s="41" t="str">
        <f t="shared" si="1268"/>
        <v>-</v>
      </c>
      <c r="IB144" s="41" t="str">
        <f t="shared" si="1269"/>
        <v>-</v>
      </c>
      <c r="IC144" s="41" t="str">
        <f t="shared" si="1270"/>
        <v>-</v>
      </c>
      <c r="ID144" s="41" t="str">
        <f t="shared" si="1271"/>
        <v>-</v>
      </c>
      <c r="IE144" s="41" t="str">
        <f t="shared" si="1272"/>
        <v>-</v>
      </c>
      <c r="IF144" s="41" t="str">
        <f t="shared" si="1273"/>
        <v>-</v>
      </c>
      <c r="IG144" s="306" t="str">
        <f t="shared" si="1274"/>
        <v>-</v>
      </c>
      <c r="IH144" s="44" t="str">
        <f t="shared" si="1275"/>
        <v>-</v>
      </c>
      <c r="II144" s="44" t="str">
        <f t="shared" si="1276"/>
        <v>-</v>
      </c>
      <c r="IJ144" s="44" t="str">
        <f t="shared" si="1277"/>
        <v>-</v>
      </c>
      <c r="IK144" s="44" t="str">
        <f t="shared" si="1278"/>
        <v>-</v>
      </c>
      <c r="IL144" s="44" t="str">
        <f t="shared" si="1279"/>
        <v>-</v>
      </c>
      <c r="IM144" s="306" t="str">
        <f t="shared" si="1280"/>
        <v/>
      </c>
      <c r="IN144" s="44" t="str">
        <f t="shared" si="1281"/>
        <v/>
      </c>
      <c r="IO144" s="44" t="str">
        <f t="shared" si="1282"/>
        <v/>
      </c>
      <c r="IP144" s="44" t="str">
        <f t="shared" si="1283"/>
        <v/>
      </c>
      <c r="IQ144" s="44" t="str">
        <f t="shared" si="1284"/>
        <v/>
      </c>
      <c r="IR144" s="44" t="str">
        <f t="shared" si="1285"/>
        <v/>
      </c>
      <c r="IS144" s="306" t="str">
        <f t="shared" si="1286"/>
        <v/>
      </c>
      <c r="IT144" s="44" t="str">
        <f t="shared" si="1287"/>
        <v/>
      </c>
      <c r="IU144" s="44" t="str">
        <f t="shared" si="1288"/>
        <v/>
      </c>
      <c r="IV144" s="44" t="str">
        <f t="shared" si="1289"/>
        <v/>
      </c>
      <c r="IW144" s="44" t="str">
        <f t="shared" si="1290"/>
        <v/>
      </c>
      <c r="IX144" s="44" t="str">
        <f t="shared" si="1291"/>
        <v/>
      </c>
      <c r="IY144" s="306" t="str">
        <f t="shared" si="1292"/>
        <v/>
      </c>
      <c r="IZ144" s="44" t="str">
        <f t="shared" si="1293"/>
        <v/>
      </c>
      <c r="JA144" s="44" t="str">
        <f t="shared" si="1294"/>
        <v/>
      </c>
      <c r="JB144" s="44" t="str">
        <f t="shared" si="1295"/>
        <v/>
      </c>
      <c r="JC144" s="44" t="str">
        <f t="shared" si="1296"/>
        <v/>
      </c>
      <c r="JD144" s="307" t="str">
        <f t="shared" si="1297"/>
        <v/>
      </c>
      <c r="JF144" s="66">
        <f t="shared" si="779"/>
        <v>144</v>
      </c>
      <c r="JG144" s="66">
        <f t="shared" ca="1" si="789"/>
        <v>0</v>
      </c>
      <c r="JH144" s="66">
        <f t="shared" ca="1" si="790"/>
        <v>0</v>
      </c>
      <c r="JI144" s="66">
        <f t="shared" ca="1" si="791"/>
        <v>0</v>
      </c>
      <c r="JJ144" s="66">
        <f t="shared" ca="1" si="792"/>
        <v>0</v>
      </c>
      <c r="JK144" s="33"/>
      <c r="JL144" s="74" t="str">
        <f t="shared" ca="1" si="793"/>
        <v>-</v>
      </c>
      <c r="JM144" s="75">
        <f t="shared" ca="1" si="794"/>
        <v>0</v>
      </c>
      <c r="JN144" s="75">
        <f t="shared" ca="1" si="795"/>
        <v>0</v>
      </c>
      <c r="JO144" s="74" t="str">
        <f t="shared" ca="1" si="796"/>
        <v>-</v>
      </c>
      <c r="JP144" s="74">
        <f t="shared" ca="1" si="797"/>
        <v>0</v>
      </c>
    </row>
    <row r="145" spans="1:276" hidden="1" outlineLevel="1" x14ac:dyDescent="0.35">
      <c r="A145" s="125" t="s">
        <v>805</v>
      </c>
      <c r="B145" s="125" t="s">
        <v>805</v>
      </c>
      <c r="C145" s="125" t="s">
        <v>805</v>
      </c>
      <c r="E145" s="142" t="s">
        <v>868</v>
      </c>
      <c r="F145" s="254" t="s">
        <v>755</v>
      </c>
      <c r="G145" t="s">
        <v>530</v>
      </c>
      <c r="H145" t="s">
        <v>535</v>
      </c>
      <c r="I145" t="s">
        <v>536</v>
      </c>
      <c r="J145" s="211" t="s">
        <v>805</v>
      </c>
      <c r="K145" t="s">
        <v>805</v>
      </c>
      <c r="L145" t="s">
        <v>805</v>
      </c>
      <c r="M145" t="s">
        <v>805</v>
      </c>
      <c r="N145" t="s">
        <v>805</v>
      </c>
      <c r="O145" t="s">
        <v>805</v>
      </c>
      <c r="P145" t="s">
        <v>805</v>
      </c>
      <c r="Q145" t="s">
        <v>805</v>
      </c>
      <c r="R145" t="s">
        <v>805</v>
      </c>
      <c r="S145" t="s">
        <v>805</v>
      </c>
      <c r="T145" t="s">
        <v>805</v>
      </c>
      <c r="U145" t="s">
        <v>805</v>
      </c>
      <c r="V145" t="s">
        <v>805</v>
      </c>
      <c r="W145" t="s">
        <v>805</v>
      </c>
      <c r="X145" t="s">
        <v>805</v>
      </c>
      <c r="Y145" t="s">
        <v>805</v>
      </c>
      <c r="Z145" t="s">
        <v>805</v>
      </c>
      <c r="AA145" t="s">
        <v>805</v>
      </c>
      <c r="AB145" t="s">
        <v>805</v>
      </c>
      <c r="AC145" t="s">
        <v>805</v>
      </c>
      <c r="AD145" t="s">
        <v>805</v>
      </c>
      <c r="AE145" t="s">
        <v>805</v>
      </c>
      <c r="AF145" t="s">
        <v>805</v>
      </c>
      <c r="AG145" t="s">
        <v>805</v>
      </c>
      <c r="AH145" t="s">
        <v>805</v>
      </c>
      <c r="AI145" t="s">
        <v>805</v>
      </c>
      <c r="AJ145" t="s">
        <v>805</v>
      </c>
      <c r="AK145" t="s">
        <v>805</v>
      </c>
      <c r="AL145" t="s">
        <v>805</v>
      </c>
      <c r="AM145" t="s">
        <v>805</v>
      </c>
      <c r="AN145" t="s">
        <v>805</v>
      </c>
      <c r="AO145" t="s">
        <v>805</v>
      </c>
      <c r="AP145" t="s">
        <v>805</v>
      </c>
      <c r="AQ145" t="s">
        <v>805</v>
      </c>
      <c r="AR145" t="s">
        <v>805</v>
      </c>
      <c r="AS145" t="s">
        <v>805</v>
      </c>
      <c r="AT145" t="s">
        <v>805</v>
      </c>
      <c r="AU145" t="s">
        <v>805</v>
      </c>
      <c r="AV145" t="s">
        <v>805</v>
      </c>
      <c r="AW145" t="s">
        <v>805</v>
      </c>
      <c r="AX145" t="s">
        <v>805</v>
      </c>
      <c r="AY145" t="s">
        <v>805</v>
      </c>
      <c r="AZ145" t="s">
        <v>805</v>
      </c>
      <c r="BA145" t="s">
        <v>805</v>
      </c>
      <c r="BB145" t="s">
        <v>805</v>
      </c>
      <c r="BC145" t="s">
        <v>805</v>
      </c>
      <c r="BD145" t="s">
        <v>805</v>
      </c>
      <c r="BE145" t="s">
        <v>805</v>
      </c>
      <c r="BF145" t="s">
        <v>805</v>
      </c>
      <c r="BG145" t="s">
        <v>805</v>
      </c>
      <c r="BH145" t="s">
        <v>805</v>
      </c>
      <c r="BI145" t="s">
        <v>805</v>
      </c>
      <c r="BJ145" t="s">
        <v>805</v>
      </c>
      <c r="BK145" t="s">
        <v>805</v>
      </c>
      <c r="BL145" t="s">
        <v>805</v>
      </c>
      <c r="BM145" t="s">
        <v>805</v>
      </c>
      <c r="BN145" t="s">
        <v>805</v>
      </c>
      <c r="BO145" t="s">
        <v>805</v>
      </c>
      <c r="BP145" t="s">
        <v>805</v>
      </c>
      <c r="BQ145" t="s">
        <v>805</v>
      </c>
      <c r="BR145" t="s">
        <v>805</v>
      </c>
      <c r="BS145" t="s">
        <v>805</v>
      </c>
      <c r="BT145" t="s">
        <v>805</v>
      </c>
      <c r="BU145" t="s">
        <v>805</v>
      </c>
      <c r="BV145" t="s">
        <v>805</v>
      </c>
      <c r="BW145" t="s">
        <v>805</v>
      </c>
      <c r="BX145" t="s">
        <v>805</v>
      </c>
      <c r="BY145" t="s">
        <v>805</v>
      </c>
      <c r="BZ145" t="s">
        <v>805</v>
      </c>
      <c r="CA145" t="s">
        <v>805</v>
      </c>
      <c r="CB145" t="s">
        <v>805</v>
      </c>
      <c r="CC145" t="s">
        <v>805</v>
      </c>
      <c r="CD145" t="s">
        <v>805</v>
      </c>
      <c r="CE145" t="s">
        <v>805</v>
      </c>
      <c r="CF145" t="s">
        <v>805</v>
      </c>
      <c r="CG145" t="s">
        <v>805</v>
      </c>
      <c r="CH145" t="s">
        <v>805</v>
      </c>
      <c r="CI145" t="s">
        <v>805</v>
      </c>
      <c r="CJ145" t="s">
        <v>805</v>
      </c>
      <c r="CK145" t="s">
        <v>805</v>
      </c>
      <c r="CL145" t="s">
        <v>805</v>
      </c>
      <c r="CM145" t="s">
        <v>805</v>
      </c>
      <c r="CN145" t="s">
        <v>805</v>
      </c>
      <c r="CO145" t="s">
        <v>805</v>
      </c>
      <c r="CP145" t="s">
        <v>805</v>
      </c>
      <c r="CQ145" t="s">
        <v>805</v>
      </c>
      <c r="CR145" t="s">
        <v>805</v>
      </c>
      <c r="CS145" t="s">
        <v>805</v>
      </c>
      <c r="CT145" t="s">
        <v>805</v>
      </c>
      <c r="CU145" t="s">
        <v>805</v>
      </c>
      <c r="CV145" t="s">
        <v>805</v>
      </c>
      <c r="CW145" t="s">
        <v>805</v>
      </c>
      <c r="CX145" t="s">
        <v>805</v>
      </c>
      <c r="CY145" t="s">
        <v>805</v>
      </c>
      <c r="CZ145" t="s">
        <v>805</v>
      </c>
      <c r="DA145" t="s">
        <v>805</v>
      </c>
      <c r="DB145" t="s">
        <v>805</v>
      </c>
      <c r="DC145" t="s">
        <v>805</v>
      </c>
      <c r="DD145" t="s">
        <v>805</v>
      </c>
      <c r="DE145" t="s">
        <v>805</v>
      </c>
      <c r="DF145" t="s">
        <v>805</v>
      </c>
      <c r="DG145" s="28">
        <f>VLOOKUP(E145,'KPI Count-SHARE'!A:F,3,0)</f>
        <v>0</v>
      </c>
      <c r="DH145" t="s">
        <v>805</v>
      </c>
      <c r="DI145" t="s">
        <v>805</v>
      </c>
      <c r="DJ145" t="s">
        <v>805</v>
      </c>
      <c r="DK145" t="s">
        <v>805</v>
      </c>
      <c r="DL145" t="s">
        <v>805</v>
      </c>
      <c r="DM145" t="s">
        <v>805</v>
      </c>
      <c r="DN145" s="28">
        <f>VLOOKUP(E145,'KPI Count-SHARE'!A:F,4,0)</f>
        <v>0</v>
      </c>
      <c r="DU145" s="28">
        <f>VLOOKUP(E145,'KPI Count-SHARE'!A:F,5,0)</f>
        <v>0</v>
      </c>
      <c r="EB145" s="28">
        <f>VLOOKUP(E145,'KPI Count-SHARE'!A:F,6,0)</f>
        <v>0</v>
      </c>
      <c r="EI145" t="str">
        <f t="shared" si="1298"/>
        <v>USD '000 per FTE</v>
      </c>
      <c r="EJ145" s="41" t="str">
        <f t="shared" si="1173"/>
        <v>-</v>
      </c>
      <c r="EK145" s="41" t="str">
        <f t="shared" si="1174"/>
        <v>-</v>
      </c>
      <c r="EL145" s="41" t="str">
        <f t="shared" si="1175"/>
        <v>-</v>
      </c>
      <c r="EM145" s="41" t="str">
        <f t="shared" si="1176"/>
        <v>-</v>
      </c>
      <c r="EN145" s="41" t="str">
        <f t="shared" si="1177"/>
        <v>-</v>
      </c>
      <c r="EO145" s="41" t="str">
        <f t="shared" si="1178"/>
        <v>-</v>
      </c>
      <c r="EP145" s="41" t="str">
        <f t="shared" si="1179"/>
        <v>-</v>
      </c>
      <c r="EQ145" s="41" t="str">
        <f t="shared" si="1180"/>
        <v>-</v>
      </c>
      <c r="ER145" s="41" t="str">
        <f t="shared" si="1181"/>
        <v>-</v>
      </c>
      <c r="ES145" s="41" t="str">
        <f t="shared" si="1182"/>
        <v>-</v>
      </c>
      <c r="ET145" s="41" t="str">
        <f t="shared" si="1183"/>
        <v>-</v>
      </c>
      <c r="EU145" s="41" t="str">
        <f t="shared" si="1184"/>
        <v>-</v>
      </c>
      <c r="EV145" s="41" t="str">
        <f t="shared" si="1185"/>
        <v>-</v>
      </c>
      <c r="EW145" s="41" t="str">
        <f t="shared" si="1186"/>
        <v>-</v>
      </c>
      <c r="EX145" s="41" t="str">
        <f t="shared" si="1187"/>
        <v>-</v>
      </c>
      <c r="EY145" s="41" t="str">
        <f t="shared" si="1188"/>
        <v>-</v>
      </c>
      <c r="EZ145" s="41" t="str">
        <f t="shared" si="1189"/>
        <v>-</v>
      </c>
      <c r="FA145" s="41" t="str">
        <f t="shared" si="1190"/>
        <v>-</v>
      </c>
      <c r="FB145" s="41" t="str">
        <f t="shared" si="1191"/>
        <v>-</v>
      </c>
      <c r="FC145" s="41" t="str">
        <f t="shared" si="1192"/>
        <v>-</v>
      </c>
      <c r="FD145" s="41" t="str">
        <f t="shared" si="1193"/>
        <v>-</v>
      </c>
      <c r="FE145" s="41" t="str">
        <f t="shared" si="1194"/>
        <v>-</v>
      </c>
      <c r="FF145" s="41" t="str">
        <f t="shared" si="1195"/>
        <v>-</v>
      </c>
      <c r="FG145" s="41" t="str">
        <f t="shared" si="1196"/>
        <v>-</v>
      </c>
      <c r="FH145" s="41" t="str">
        <f t="shared" si="1197"/>
        <v>-</v>
      </c>
      <c r="FI145" s="41" t="str">
        <f t="shared" si="1198"/>
        <v>-</v>
      </c>
      <c r="FJ145" s="41" t="str">
        <f t="shared" si="1199"/>
        <v>-</v>
      </c>
      <c r="FK145" s="41" t="str">
        <f t="shared" si="1200"/>
        <v>-</v>
      </c>
      <c r="FL145" s="41" t="str">
        <f t="shared" si="1201"/>
        <v>-</v>
      </c>
      <c r="FM145" s="41" t="str">
        <f t="shared" si="1202"/>
        <v>-</v>
      </c>
      <c r="FN145" s="41" t="str">
        <f t="shared" si="1203"/>
        <v>-</v>
      </c>
      <c r="FO145" s="41" t="str">
        <f t="shared" si="1204"/>
        <v>-</v>
      </c>
      <c r="FP145" s="41" t="str">
        <f t="shared" si="1205"/>
        <v>-</v>
      </c>
      <c r="FQ145" s="41" t="str">
        <f t="shared" si="1206"/>
        <v>-</v>
      </c>
      <c r="FR145" s="41" t="str">
        <f t="shared" si="1207"/>
        <v>-</v>
      </c>
      <c r="FS145" s="41" t="str">
        <f t="shared" si="1208"/>
        <v>-</v>
      </c>
      <c r="FT145" s="41" t="str">
        <f t="shared" si="1209"/>
        <v>-</v>
      </c>
      <c r="FU145" s="41" t="str">
        <f t="shared" si="1210"/>
        <v>-</v>
      </c>
      <c r="FV145" s="41" t="str">
        <f t="shared" si="1211"/>
        <v>-</v>
      </c>
      <c r="FW145" s="41" t="str">
        <f t="shared" si="1212"/>
        <v>-</v>
      </c>
      <c r="FX145" s="41" t="str">
        <f t="shared" si="1213"/>
        <v>-</v>
      </c>
      <c r="FY145" s="41" t="str">
        <f t="shared" si="1214"/>
        <v>-</v>
      </c>
      <c r="FZ145" s="41" t="str">
        <f t="shared" si="1215"/>
        <v>-</v>
      </c>
      <c r="GA145" s="41" t="str">
        <f t="shared" si="1216"/>
        <v>-</v>
      </c>
      <c r="GB145" s="41" t="str">
        <f t="shared" si="1217"/>
        <v>-</v>
      </c>
      <c r="GC145" s="41" t="str">
        <f t="shared" si="1218"/>
        <v>-</v>
      </c>
      <c r="GD145" s="41" t="str">
        <f t="shared" si="1219"/>
        <v>-</v>
      </c>
      <c r="GE145" s="41" t="str">
        <f t="shared" si="1220"/>
        <v>-</v>
      </c>
      <c r="GF145" s="41" t="str">
        <f t="shared" si="1221"/>
        <v>-</v>
      </c>
      <c r="GG145" s="41" t="str">
        <f t="shared" si="1222"/>
        <v>-</v>
      </c>
      <c r="GH145" s="41" t="str">
        <f t="shared" si="1223"/>
        <v>-</v>
      </c>
      <c r="GI145" s="41" t="str">
        <f t="shared" si="1224"/>
        <v>-</v>
      </c>
      <c r="GJ145" s="41" t="str">
        <f t="shared" si="1225"/>
        <v>-</v>
      </c>
      <c r="GK145" s="41" t="str">
        <f t="shared" si="1226"/>
        <v>-</v>
      </c>
      <c r="GL145" s="41" t="str">
        <f t="shared" si="1227"/>
        <v>-</v>
      </c>
      <c r="GM145" s="41" t="str">
        <f t="shared" si="1228"/>
        <v>-</v>
      </c>
      <c r="GN145" s="41" t="str">
        <f t="shared" si="1229"/>
        <v>-</v>
      </c>
      <c r="GO145" s="41" t="str">
        <f t="shared" si="1230"/>
        <v>-</v>
      </c>
      <c r="GP145" s="41" t="str">
        <f t="shared" si="1231"/>
        <v>-</v>
      </c>
      <c r="GQ145" s="41" t="str">
        <f t="shared" si="1232"/>
        <v>-</v>
      </c>
      <c r="GR145" s="41" t="str">
        <f t="shared" si="1233"/>
        <v>-</v>
      </c>
      <c r="GS145" s="41" t="str">
        <f t="shared" si="1234"/>
        <v>-</v>
      </c>
      <c r="GT145" s="41" t="str">
        <f t="shared" si="1235"/>
        <v>-</v>
      </c>
      <c r="GU145" s="41" t="str">
        <f t="shared" si="1236"/>
        <v>-</v>
      </c>
      <c r="GV145" s="41" t="str">
        <f t="shared" si="1237"/>
        <v>-</v>
      </c>
      <c r="GW145" s="41" t="str">
        <f t="shared" si="1238"/>
        <v>-</v>
      </c>
      <c r="GX145" s="41" t="str">
        <f t="shared" si="1239"/>
        <v>-</v>
      </c>
      <c r="GY145" s="41" t="str">
        <f t="shared" si="1240"/>
        <v>-</v>
      </c>
      <c r="GZ145" s="41" t="str">
        <f t="shared" si="1241"/>
        <v>-</v>
      </c>
      <c r="HA145" s="41" t="str">
        <f t="shared" si="1242"/>
        <v>-</v>
      </c>
      <c r="HB145" s="41" t="str">
        <f t="shared" si="1243"/>
        <v>-</v>
      </c>
      <c r="HC145" s="41" t="str">
        <f t="shared" si="1244"/>
        <v>-</v>
      </c>
      <c r="HD145" s="41" t="str">
        <f t="shared" si="1245"/>
        <v>-</v>
      </c>
      <c r="HE145" s="41" t="str">
        <f t="shared" si="1246"/>
        <v>-</v>
      </c>
      <c r="HF145" s="41" t="str">
        <f t="shared" si="1247"/>
        <v>-</v>
      </c>
      <c r="HG145" s="41" t="str">
        <f t="shared" si="1248"/>
        <v>-</v>
      </c>
      <c r="HH145" s="41" t="str">
        <f t="shared" si="1249"/>
        <v>-</v>
      </c>
      <c r="HI145" s="41" t="str">
        <f t="shared" si="1250"/>
        <v>-</v>
      </c>
      <c r="HJ145" s="41" t="str">
        <f t="shared" si="1251"/>
        <v>-</v>
      </c>
      <c r="HK145" s="41" t="str">
        <f t="shared" si="1252"/>
        <v>-</v>
      </c>
      <c r="HL145" s="41" t="str">
        <f t="shared" si="1253"/>
        <v>-</v>
      </c>
      <c r="HM145" s="41" t="str">
        <f t="shared" si="1254"/>
        <v>-</v>
      </c>
      <c r="HN145" s="41" t="str">
        <f t="shared" si="1255"/>
        <v>-</v>
      </c>
      <c r="HO145" s="41" t="str">
        <f t="shared" si="1256"/>
        <v>-</v>
      </c>
      <c r="HP145" s="41" t="str">
        <f t="shared" si="1257"/>
        <v>-</v>
      </c>
      <c r="HQ145" s="41" t="str">
        <f t="shared" si="1258"/>
        <v>-</v>
      </c>
      <c r="HR145" s="41" t="str">
        <f t="shared" si="1259"/>
        <v>-</v>
      </c>
      <c r="HS145" s="41" t="str">
        <f t="shared" si="1260"/>
        <v>-</v>
      </c>
      <c r="HT145" s="41" t="str">
        <f t="shared" si="1261"/>
        <v>-</v>
      </c>
      <c r="HU145" s="41" t="str">
        <f t="shared" si="1262"/>
        <v>-</v>
      </c>
      <c r="HV145" s="41" t="str">
        <f t="shared" si="1263"/>
        <v>-</v>
      </c>
      <c r="HW145" s="41" t="str">
        <f t="shared" si="1264"/>
        <v>-</v>
      </c>
      <c r="HX145" s="41" t="str">
        <f t="shared" si="1265"/>
        <v>-</v>
      </c>
      <c r="HY145" s="41" t="str">
        <f t="shared" si="1266"/>
        <v>-</v>
      </c>
      <c r="HZ145" s="41" t="str">
        <f t="shared" si="1267"/>
        <v>-</v>
      </c>
      <c r="IA145" s="41" t="str">
        <f t="shared" si="1268"/>
        <v>-</v>
      </c>
      <c r="IB145" s="41" t="str">
        <f t="shared" si="1269"/>
        <v>-</v>
      </c>
      <c r="IC145" s="41" t="str">
        <f t="shared" si="1270"/>
        <v>-</v>
      </c>
      <c r="ID145" s="41" t="str">
        <f t="shared" si="1271"/>
        <v>-</v>
      </c>
      <c r="IE145" s="41" t="str">
        <f t="shared" si="1272"/>
        <v>-</v>
      </c>
      <c r="IF145" s="41" t="str">
        <f t="shared" si="1273"/>
        <v>-</v>
      </c>
      <c r="IG145" s="306" t="str">
        <f t="shared" si="1274"/>
        <v>-</v>
      </c>
      <c r="IH145" s="44" t="str">
        <f t="shared" si="1275"/>
        <v>-</v>
      </c>
      <c r="II145" s="44" t="str">
        <f t="shared" si="1276"/>
        <v>-</v>
      </c>
      <c r="IJ145" s="44" t="str">
        <f t="shared" si="1277"/>
        <v>-</v>
      </c>
      <c r="IK145" s="44" t="str">
        <f t="shared" si="1278"/>
        <v>-</v>
      </c>
      <c r="IL145" s="44" t="str">
        <f t="shared" si="1279"/>
        <v>-</v>
      </c>
      <c r="IM145" s="306" t="str">
        <f t="shared" si="1280"/>
        <v/>
      </c>
      <c r="IN145" s="44" t="str">
        <f t="shared" si="1281"/>
        <v/>
      </c>
      <c r="IO145" s="44" t="str">
        <f t="shared" si="1282"/>
        <v/>
      </c>
      <c r="IP145" s="44" t="str">
        <f t="shared" si="1283"/>
        <v/>
      </c>
      <c r="IQ145" s="44" t="str">
        <f t="shared" si="1284"/>
        <v/>
      </c>
      <c r="IR145" s="44" t="str">
        <f t="shared" si="1285"/>
        <v/>
      </c>
      <c r="IS145" s="306" t="str">
        <f t="shared" si="1286"/>
        <v/>
      </c>
      <c r="IT145" s="44" t="str">
        <f t="shared" si="1287"/>
        <v/>
      </c>
      <c r="IU145" s="44" t="str">
        <f t="shared" si="1288"/>
        <v/>
      </c>
      <c r="IV145" s="44" t="str">
        <f t="shared" si="1289"/>
        <v/>
      </c>
      <c r="IW145" s="44" t="str">
        <f t="shared" si="1290"/>
        <v/>
      </c>
      <c r="IX145" s="44" t="str">
        <f t="shared" si="1291"/>
        <v/>
      </c>
      <c r="IY145" s="306" t="str">
        <f t="shared" si="1292"/>
        <v/>
      </c>
      <c r="IZ145" s="44" t="str">
        <f t="shared" si="1293"/>
        <v/>
      </c>
      <c r="JA145" s="44" t="str">
        <f t="shared" si="1294"/>
        <v/>
      </c>
      <c r="JB145" s="44" t="str">
        <f t="shared" si="1295"/>
        <v/>
      </c>
      <c r="JC145" s="44" t="str">
        <f t="shared" si="1296"/>
        <v/>
      </c>
      <c r="JD145" s="307" t="str">
        <f t="shared" si="1297"/>
        <v/>
      </c>
      <c r="JF145" s="66">
        <f t="shared" si="779"/>
        <v>145</v>
      </c>
      <c r="JG145" s="66">
        <f t="shared" ca="1" si="789"/>
        <v>0</v>
      </c>
      <c r="JH145" s="66">
        <f t="shared" ca="1" si="790"/>
        <v>0</v>
      </c>
      <c r="JI145" s="66">
        <f t="shared" ca="1" si="791"/>
        <v>0</v>
      </c>
      <c r="JJ145" s="66">
        <f t="shared" ca="1" si="792"/>
        <v>0</v>
      </c>
      <c r="JK145" s="33"/>
      <c r="JL145" s="74" t="str">
        <f t="shared" ca="1" si="793"/>
        <v>-</v>
      </c>
      <c r="JM145" s="75">
        <f t="shared" ca="1" si="794"/>
        <v>0</v>
      </c>
      <c r="JN145" s="75">
        <f t="shared" ca="1" si="795"/>
        <v>0</v>
      </c>
      <c r="JO145" s="74" t="str">
        <f t="shared" ca="1" si="796"/>
        <v>-</v>
      </c>
      <c r="JP145" s="74">
        <f t="shared" ca="1" si="797"/>
        <v>0</v>
      </c>
    </row>
    <row r="146" spans="1:276" hidden="1" outlineLevel="1" x14ac:dyDescent="0.35">
      <c r="A146" s="125" t="s">
        <v>805</v>
      </c>
      <c r="B146" s="125" t="s">
        <v>805</v>
      </c>
      <c r="C146" s="125" t="s">
        <v>805</v>
      </c>
      <c r="E146" s="142"/>
      <c r="F146" s="255"/>
      <c r="J146" s="211" t="s">
        <v>805</v>
      </c>
      <c r="K146" t="s">
        <v>805</v>
      </c>
      <c r="L146" t="s">
        <v>805</v>
      </c>
      <c r="M146" t="s">
        <v>805</v>
      </c>
      <c r="N146" t="s">
        <v>805</v>
      </c>
      <c r="O146" t="s">
        <v>805</v>
      </c>
      <c r="P146" t="s">
        <v>805</v>
      </c>
      <c r="Q146" t="s">
        <v>805</v>
      </c>
      <c r="R146" t="s">
        <v>805</v>
      </c>
      <c r="S146" t="s">
        <v>805</v>
      </c>
      <c r="T146" t="s">
        <v>805</v>
      </c>
      <c r="U146" t="s">
        <v>805</v>
      </c>
      <c r="V146" t="s">
        <v>805</v>
      </c>
      <c r="W146" t="s">
        <v>805</v>
      </c>
      <c r="X146" t="s">
        <v>805</v>
      </c>
      <c r="Y146" t="s">
        <v>805</v>
      </c>
      <c r="Z146" t="s">
        <v>805</v>
      </c>
      <c r="AA146" t="s">
        <v>805</v>
      </c>
      <c r="AB146" t="s">
        <v>805</v>
      </c>
      <c r="AC146" t="s">
        <v>805</v>
      </c>
      <c r="AD146" t="s">
        <v>805</v>
      </c>
      <c r="AE146" t="s">
        <v>805</v>
      </c>
      <c r="AF146" t="s">
        <v>805</v>
      </c>
      <c r="AG146" t="s">
        <v>805</v>
      </c>
      <c r="AH146" t="s">
        <v>805</v>
      </c>
      <c r="AI146" t="s">
        <v>805</v>
      </c>
      <c r="AJ146" t="s">
        <v>805</v>
      </c>
      <c r="AK146" t="s">
        <v>805</v>
      </c>
      <c r="AL146" t="s">
        <v>805</v>
      </c>
      <c r="AM146" t="s">
        <v>805</v>
      </c>
      <c r="AN146" t="s">
        <v>805</v>
      </c>
      <c r="AO146" t="s">
        <v>805</v>
      </c>
      <c r="AP146" t="s">
        <v>805</v>
      </c>
      <c r="AQ146" t="s">
        <v>805</v>
      </c>
      <c r="AR146" t="s">
        <v>805</v>
      </c>
      <c r="AS146" t="s">
        <v>805</v>
      </c>
      <c r="AT146" t="s">
        <v>805</v>
      </c>
      <c r="AU146" t="s">
        <v>805</v>
      </c>
      <c r="AV146" t="s">
        <v>805</v>
      </c>
      <c r="AW146" t="s">
        <v>805</v>
      </c>
      <c r="AX146" t="s">
        <v>805</v>
      </c>
      <c r="AY146" t="s">
        <v>805</v>
      </c>
      <c r="AZ146" t="s">
        <v>805</v>
      </c>
      <c r="BA146" t="s">
        <v>805</v>
      </c>
      <c r="BB146" t="s">
        <v>805</v>
      </c>
      <c r="BC146" t="s">
        <v>805</v>
      </c>
      <c r="BD146" t="s">
        <v>805</v>
      </c>
      <c r="BE146" t="s">
        <v>805</v>
      </c>
      <c r="BF146" t="s">
        <v>805</v>
      </c>
      <c r="BG146" t="s">
        <v>805</v>
      </c>
      <c r="BH146" t="s">
        <v>805</v>
      </c>
      <c r="BI146" t="s">
        <v>805</v>
      </c>
      <c r="BJ146" t="s">
        <v>805</v>
      </c>
      <c r="BK146" t="s">
        <v>805</v>
      </c>
      <c r="BL146" t="s">
        <v>805</v>
      </c>
      <c r="BM146" t="s">
        <v>805</v>
      </c>
      <c r="BN146" t="s">
        <v>805</v>
      </c>
      <c r="BO146" t="s">
        <v>805</v>
      </c>
      <c r="BP146" t="s">
        <v>805</v>
      </c>
      <c r="BQ146" t="s">
        <v>805</v>
      </c>
      <c r="BR146" t="s">
        <v>805</v>
      </c>
      <c r="BS146" t="s">
        <v>805</v>
      </c>
      <c r="BT146" t="s">
        <v>805</v>
      </c>
      <c r="BU146" t="s">
        <v>805</v>
      </c>
      <c r="BV146" t="s">
        <v>805</v>
      </c>
      <c r="BW146" t="s">
        <v>805</v>
      </c>
      <c r="BX146" t="s">
        <v>805</v>
      </c>
      <c r="BY146" t="s">
        <v>805</v>
      </c>
      <c r="BZ146" t="s">
        <v>805</v>
      </c>
      <c r="CA146" t="s">
        <v>805</v>
      </c>
      <c r="CB146" t="s">
        <v>805</v>
      </c>
      <c r="CC146" t="s">
        <v>805</v>
      </c>
      <c r="CD146" t="s">
        <v>805</v>
      </c>
      <c r="CE146" t="s">
        <v>805</v>
      </c>
      <c r="CF146" t="s">
        <v>805</v>
      </c>
      <c r="CG146" t="s">
        <v>805</v>
      </c>
      <c r="CH146" t="s">
        <v>805</v>
      </c>
      <c r="CI146" t="s">
        <v>805</v>
      </c>
      <c r="CJ146" t="s">
        <v>805</v>
      </c>
      <c r="CK146" t="s">
        <v>805</v>
      </c>
      <c r="CL146" t="s">
        <v>805</v>
      </c>
      <c r="CM146" t="s">
        <v>805</v>
      </c>
      <c r="CN146" t="s">
        <v>805</v>
      </c>
      <c r="CO146" t="s">
        <v>805</v>
      </c>
      <c r="CP146" t="s">
        <v>805</v>
      </c>
      <c r="CQ146" t="s">
        <v>805</v>
      </c>
      <c r="CR146" t="s">
        <v>805</v>
      </c>
      <c r="CS146" t="s">
        <v>805</v>
      </c>
      <c r="CT146" t="s">
        <v>805</v>
      </c>
      <c r="CU146" t="s">
        <v>805</v>
      </c>
      <c r="CV146" t="s">
        <v>805</v>
      </c>
      <c r="CW146" t="s">
        <v>805</v>
      </c>
      <c r="CX146" t="s">
        <v>805</v>
      </c>
      <c r="CY146" t="s">
        <v>805</v>
      </c>
      <c r="CZ146" t="s">
        <v>805</v>
      </c>
      <c r="DA146" t="s">
        <v>805</v>
      </c>
      <c r="DB146" t="s">
        <v>805</v>
      </c>
      <c r="DC146" t="s">
        <v>805</v>
      </c>
      <c r="DD146" t="s">
        <v>805</v>
      </c>
      <c r="DE146" t="s">
        <v>805</v>
      </c>
      <c r="DF146" t="s">
        <v>805</v>
      </c>
      <c r="DG146" s="28"/>
      <c r="DN146" s="28"/>
      <c r="DU146" s="28"/>
      <c r="EB146" s="28"/>
      <c r="JF146" s="66">
        <f t="shared" si="779"/>
        <v>146</v>
      </c>
      <c r="JG146" s="66">
        <f t="shared" ca="1" si="789"/>
        <v>0</v>
      </c>
      <c r="JH146" s="66">
        <f t="shared" ca="1" si="790"/>
        <v>0</v>
      </c>
      <c r="JI146" s="66">
        <f t="shared" ca="1" si="791"/>
        <v>0</v>
      </c>
      <c r="JJ146" s="66">
        <f t="shared" ca="1" si="792"/>
        <v>0</v>
      </c>
      <c r="JK146" s="33"/>
      <c r="JL146" s="74" t="str">
        <f t="shared" ca="1" si="793"/>
        <v>-</v>
      </c>
      <c r="JM146" s="75">
        <f t="shared" ca="1" si="794"/>
        <v>0</v>
      </c>
      <c r="JN146" s="75">
        <f t="shared" ca="1" si="795"/>
        <v>0</v>
      </c>
      <c r="JO146" s="74" t="str">
        <f t="shared" ca="1" si="796"/>
        <v>-</v>
      </c>
      <c r="JP146" s="74">
        <f t="shared" ca="1" si="797"/>
        <v>0</v>
      </c>
    </row>
    <row r="147" spans="1:276" hidden="1" outlineLevel="1" x14ac:dyDescent="0.35">
      <c r="A147" s="125" t="s">
        <v>805</v>
      </c>
      <c r="B147" s="125" t="s">
        <v>805</v>
      </c>
      <c r="C147" s="125" t="s">
        <v>805</v>
      </c>
      <c r="D147" s="256"/>
      <c r="E147" s="256"/>
      <c r="F147" s="257" t="s">
        <v>756</v>
      </c>
      <c r="G147" s="256"/>
      <c r="H147" s="256"/>
      <c r="I147" s="256"/>
      <c r="J147" s="256" t="s">
        <v>805</v>
      </c>
      <c r="K147" s="256" t="s">
        <v>805</v>
      </c>
      <c r="L147" s="256" t="s">
        <v>805</v>
      </c>
      <c r="M147" s="256" t="s">
        <v>805</v>
      </c>
      <c r="N147" s="256" t="s">
        <v>805</v>
      </c>
      <c r="O147" s="256" t="s">
        <v>805</v>
      </c>
      <c r="P147" s="256" t="s">
        <v>805</v>
      </c>
      <c r="Q147" s="256" t="s">
        <v>805</v>
      </c>
      <c r="R147" s="256" t="s">
        <v>805</v>
      </c>
      <c r="S147" s="256" t="s">
        <v>805</v>
      </c>
      <c r="T147" s="256" t="s">
        <v>805</v>
      </c>
      <c r="U147" s="256" t="s">
        <v>805</v>
      </c>
      <c r="V147" s="256" t="s">
        <v>805</v>
      </c>
      <c r="W147" s="256" t="s">
        <v>805</v>
      </c>
      <c r="X147" s="256" t="s">
        <v>805</v>
      </c>
      <c r="Y147" s="256" t="s">
        <v>805</v>
      </c>
      <c r="Z147" s="256" t="s">
        <v>805</v>
      </c>
      <c r="AA147" s="256" t="s">
        <v>805</v>
      </c>
      <c r="AB147" s="256" t="s">
        <v>805</v>
      </c>
      <c r="AC147" s="256" t="s">
        <v>805</v>
      </c>
      <c r="AD147" s="256" t="s">
        <v>805</v>
      </c>
      <c r="AE147" s="256" t="s">
        <v>805</v>
      </c>
      <c r="AF147" s="256" t="s">
        <v>805</v>
      </c>
      <c r="AG147" s="256" t="s">
        <v>805</v>
      </c>
      <c r="AH147" s="256" t="s">
        <v>805</v>
      </c>
      <c r="AI147" s="256" t="s">
        <v>805</v>
      </c>
      <c r="AJ147" s="256" t="s">
        <v>805</v>
      </c>
      <c r="AK147" s="256" t="s">
        <v>805</v>
      </c>
      <c r="AL147" s="256" t="s">
        <v>805</v>
      </c>
      <c r="AM147" s="256" t="s">
        <v>805</v>
      </c>
      <c r="AN147" s="256" t="s">
        <v>805</v>
      </c>
      <c r="AO147" s="256" t="s">
        <v>805</v>
      </c>
      <c r="AP147" s="256" t="s">
        <v>805</v>
      </c>
      <c r="AQ147" s="256" t="s">
        <v>805</v>
      </c>
      <c r="AR147" s="256" t="s">
        <v>805</v>
      </c>
      <c r="AS147" s="256" t="s">
        <v>805</v>
      </c>
      <c r="AT147" s="256" t="s">
        <v>805</v>
      </c>
      <c r="AU147" s="256" t="s">
        <v>805</v>
      </c>
      <c r="AV147" s="256" t="s">
        <v>805</v>
      </c>
      <c r="AW147" s="256" t="s">
        <v>805</v>
      </c>
      <c r="AX147" s="256" t="s">
        <v>805</v>
      </c>
      <c r="AY147" s="256" t="s">
        <v>805</v>
      </c>
      <c r="AZ147" s="256" t="s">
        <v>805</v>
      </c>
      <c r="BA147" s="256" t="s">
        <v>805</v>
      </c>
      <c r="BB147" s="256" t="s">
        <v>805</v>
      </c>
      <c r="BC147" s="256" t="s">
        <v>805</v>
      </c>
      <c r="BD147" s="256" t="s">
        <v>805</v>
      </c>
      <c r="BE147" s="256" t="s">
        <v>805</v>
      </c>
      <c r="BF147" s="256" t="s">
        <v>805</v>
      </c>
      <c r="BG147" s="256" t="s">
        <v>805</v>
      </c>
      <c r="BH147" s="256" t="s">
        <v>805</v>
      </c>
      <c r="BI147" s="256" t="s">
        <v>805</v>
      </c>
      <c r="BJ147" s="256" t="s">
        <v>805</v>
      </c>
      <c r="BK147" s="256" t="s">
        <v>805</v>
      </c>
      <c r="BL147" s="256" t="s">
        <v>805</v>
      </c>
      <c r="BM147" s="256" t="s">
        <v>805</v>
      </c>
      <c r="BN147" s="256" t="s">
        <v>805</v>
      </c>
      <c r="BO147" s="256" t="s">
        <v>805</v>
      </c>
      <c r="BP147" s="256" t="s">
        <v>805</v>
      </c>
      <c r="BQ147" s="256" t="s">
        <v>805</v>
      </c>
      <c r="BR147" s="256" t="s">
        <v>805</v>
      </c>
      <c r="BS147" s="256" t="s">
        <v>805</v>
      </c>
      <c r="BT147" s="256" t="s">
        <v>805</v>
      </c>
      <c r="BU147" s="256" t="s">
        <v>805</v>
      </c>
      <c r="BV147" s="256" t="s">
        <v>805</v>
      </c>
      <c r="BW147" s="256" t="s">
        <v>805</v>
      </c>
      <c r="BX147" s="256" t="s">
        <v>805</v>
      </c>
      <c r="BY147" s="256" t="s">
        <v>805</v>
      </c>
      <c r="BZ147" s="256" t="s">
        <v>805</v>
      </c>
      <c r="CA147" s="256" t="s">
        <v>805</v>
      </c>
      <c r="CB147" s="256" t="s">
        <v>805</v>
      </c>
      <c r="CC147" s="256" t="s">
        <v>805</v>
      </c>
      <c r="CD147" s="256" t="s">
        <v>805</v>
      </c>
      <c r="CE147" s="256" t="s">
        <v>805</v>
      </c>
      <c r="CF147" s="256" t="s">
        <v>805</v>
      </c>
      <c r="CG147" s="256" t="s">
        <v>805</v>
      </c>
      <c r="CH147" s="256" t="s">
        <v>805</v>
      </c>
      <c r="CI147" s="256" t="s">
        <v>805</v>
      </c>
      <c r="CJ147" s="256" t="s">
        <v>805</v>
      </c>
      <c r="CK147" s="256" t="s">
        <v>805</v>
      </c>
      <c r="CL147" s="256" t="s">
        <v>805</v>
      </c>
      <c r="CM147" s="256" t="s">
        <v>805</v>
      </c>
      <c r="CN147" s="256" t="s">
        <v>805</v>
      </c>
      <c r="CO147" s="256" t="s">
        <v>805</v>
      </c>
      <c r="CP147" s="256" t="s">
        <v>805</v>
      </c>
      <c r="CQ147" s="256" t="s">
        <v>805</v>
      </c>
      <c r="CR147" s="256" t="s">
        <v>805</v>
      </c>
      <c r="CS147" s="256" t="s">
        <v>805</v>
      </c>
      <c r="CT147" s="256" t="s">
        <v>805</v>
      </c>
      <c r="CU147" s="256" t="s">
        <v>805</v>
      </c>
      <c r="CV147" s="256" t="s">
        <v>805</v>
      </c>
      <c r="CW147" s="256" t="s">
        <v>805</v>
      </c>
      <c r="CX147" s="256" t="s">
        <v>805</v>
      </c>
      <c r="CY147" s="256" t="s">
        <v>805</v>
      </c>
      <c r="CZ147" s="256" t="s">
        <v>805</v>
      </c>
      <c r="DA147" s="256" t="s">
        <v>805</v>
      </c>
      <c r="DB147" s="256" t="s">
        <v>805</v>
      </c>
      <c r="DC147" s="256" t="s">
        <v>805</v>
      </c>
      <c r="DD147" s="256" t="s">
        <v>805</v>
      </c>
      <c r="DE147" s="256" t="s">
        <v>805</v>
      </c>
      <c r="DF147" s="256" t="s">
        <v>805</v>
      </c>
      <c r="DG147" s="273"/>
      <c r="DH147" s="256"/>
      <c r="DI147" s="256"/>
      <c r="DJ147" s="256"/>
      <c r="DK147" s="256"/>
      <c r="DL147" s="256"/>
      <c r="DM147" s="256"/>
      <c r="DN147" s="273"/>
      <c r="DO147" s="256"/>
      <c r="DP147" s="256"/>
      <c r="DQ147" s="256"/>
      <c r="DR147" s="256"/>
      <c r="DS147" s="256"/>
      <c r="DT147" s="256"/>
      <c r="DU147" s="273"/>
      <c r="DV147" s="256"/>
      <c r="DW147" s="256"/>
      <c r="DX147" s="256"/>
      <c r="DY147" s="256"/>
      <c r="DZ147" s="256"/>
      <c r="EA147" s="256"/>
      <c r="EB147" s="273"/>
      <c r="EC147" s="256"/>
      <c r="ED147" s="256"/>
      <c r="EE147" s="256"/>
      <c r="EF147" s="256"/>
      <c r="EG147" s="256"/>
      <c r="EH147" s="256"/>
      <c r="EI147" s="256"/>
      <c r="EJ147" s="256"/>
      <c r="EK147" s="256"/>
      <c r="EL147" s="256"/>
      <c r="EM147" s="256"/>
      <c r="EN147" s="256"/>
      <c r="EO147" s="256"/>
      <c r="EP147" s="256"/>
      <c r="EQ147" s="256"/>
      <c r="ER147" s="256"/>
      <c r="ES147" s="256"/>
      <c r="ET147" s="256"/>
      <c r="EU147" s="256"/>
      <c r="EV147" s="256"/>
      <c r="EW147" s="256"/>
      <c r="EX147" s="256"/>
      <c r="EY147" s="256"/>
      <c r="EZ147" s="256"/>
      <c r="FA147" s="256"/>
      <c r="FB147" s="256"/>
      <c r="FC147" s="256"/>
      <c r="FD147" s="256"/>
      <c r="FE147" s="256"/>
      <c r="FF147" s="256"/>
      <c r="FG147" s="256"/>
      <c r="FH147" s="256"/>
      <c r="FI147" s="256"/>
      <c r="FJ147" s="256"/>
      <c r="FK147" s="256"/>
      <c r="FL147" s="256"/>
      <c r="FM147" s="256"/>
      <c r="FN147" s="256"/>
      <c r="FO147" s="256"/>
      <c r="FP147" s="256"/>
      <c r="FQ147" s="256"/>
      <c r="FR147" s="256"/>
      <c r="FS147" s="256"/>
      <c r="FT147" s="256"/>
      <c r="FU147" s="256"/>
      <c r="FV147" s="256"/>
      <c r="FW147" s="256"/>
      <c r="FX147" s="256"/>
      <c r="FY147" s="256"/>
      <c r="FZ147" s="256"/>
      <c r="GA147" s="256"/>
      <c r="GB147" s="256"/>
      <c r="GC147" s="256"/>
      <c r="GD147" s="256"/>
      <c r="GE147" s="256"/>
      <c r="GF147" s="256"/>
      <c r="GG147" s="256"/>
      <c r="GH147" s="256"/>
      <c r="GI147" s="256"/>
      <c r="GJ147" s="256"/>
      <c r="GK147" s="256"/>
      <c r="GL147" s="256"/>
      <c r="GM147" s="256"/>
      <c r="GN147" s="256"/>
      <c r="GO147" s="256"/>
      <c r="GP147" s="256"/>
      <c r="GQ147" s="256"/>
      <c r="GR147" s="256"/>
      <c r="GS147" s="256"/>
      <c r="GT147" s="256"/>
      <c r="GU147" s="256"/>
      <c r="GV147" s="256"/>
      <c r="GW147" s="256"/>
      <c r="GX147" s="256"/>
      <c r="GY147" s="256"/>
      <c r="GZ147" s="256"/>
      <c r="HA147" s="256"/>
      <c r="HB147" s="256"/>
      <c r="HC147" s="256"/>
      <c r="HD147" s="256"/>
      <c r="HE147" s="256"/>
      <c r="HF147" s="256"/>
      <c r="HG147" s="256"/>
      <c r="HH147" s="256"/>
      <c r="HI147" s="256"/>
      <c r="HJ147" s="256"/>
      <c r="HK147" s="256"/>
      <c r="HL147" s="256"/>
      <c r="HM147" s="256"/>
      <c r="HN147" s="256"/>
      <c r="HO147" s="256"/>
      <c r="HP147" s="256"/>
      <c r="HQ147" s="256"/>
      <c r="HR147" s="256"/>
      <c r="HS147" s="256"/>
      <c r="HT147" s="256"/>
      <c r="HU147" s="256"/>
      <c r="HV147" s="256"/>
      <c r="HW147" s="256"/>
      <c r="HX147" s="256"/>
      <c r="HY147" s="256"/>
      <c r="HZ147" s="256"/>
      <c r="IA147" s="256"/>
      <c r="IB147" s="256"/>
      <c r="IC147" s="256"/>
      <c r="ID147" s="256"/>
      <c r="IE147" s="256"/>
      <c r="IF147" s="256"/>
      <c r="IG147" s="328"/>
      <c r="IH147" s="287"/>
      <c r="II147" s="287"/>
      <c r="IJ147" s="287"/>
      <c r="IK147" s="287"/>
      <c r="IL147" s="287"/>
      <c r="IM147" s="328"/>
      <c r="IN147" s="287"/>
      <c r="IO147" s="287"/>
      <c r="IP147" s="287"/>
      <c r="IQ147" s="287"/>
      <c r="IR147" s="287"/>
      <c r="IS147" s="328"/>
      <c r="IT147" s="287"/>
      <c r="IU147" s="287"/>
      <c r="IV147" s="287"/>
      <c r="IW147" s="287"/>
      <c r="IX147" s="287"/>
      <c r="IY147" s="328"/>
      <c r="IZ147" s="287"/>
      <c r="JA147" s="287"/>
      <c r="JB147" s="287"/>
      <c r="JC147" s="287"/>
      <c r="JD147" s="329"/>
      <c r="JF147" s="66"/>
      <c r="JG147" s="66"/>
      <c r="JH147" s="66"/>
      <c r="JI147" s="66"/>
      <c r="JJ147" s="66"/>
      <c r="JK147" s="33"/>
      <c r="JL147" s="74"/>
      <c r="JM147" s="75"/>
      <c r="JN147" s="75"/>
      <c r="JO147" s="74"/>
      <c r="JP147" s="74"/>
    </row>
    <row r="148" spans="1:276" hidden="1" outlineLevel="1" x14ac:dyDescent="0.35">
      <c r="A148" s="125" t="s">
        <v>805</v>
      </c>
      <c r="B148" s="125" t="s">
        <v>805</v>
      </c>
      <c r="C148" s="125" t="s">
        <v>805</v>
      </c>
      <c r="E148" s="142" t="s">
        <v>869</v>
      </c>
      <c r="F148" s="254" t="s">
        <v>795</v>
      </c>
      <c r="G148" t="s">
        <v>530</v>
      </c>
      <c r="H148" t="s">
        <v>531</v>
      </c>
      <c r="I148" t="s">
        <v>534</v>
      </c>
      <c r="J148" s="211" t="s">
        <v>805</v>
      </c>
      <c r="K148" t="s">
        <v>805</v>
      </c>
      <c r="L148" t="s">
        <v>805</v>
      </c>
      <c r="M148" t="s">
        <v>805</v>
      </c>
      <c r="N148" t="s">
        <v>805</v>
      </c>
      <c r="O148" t="s">
        <v>805</v>
      </c>
      <c r="P148" t="s">
        <v>805</v>
      </c>
      <c r="Q148" t="s">
        <v>805</v>
      </c>
      <c r="R148" t="s">
        <v>805</v>
      </c>
      <c r="S148" t="s">
        <v>805</v>
      </c>
      <c r="T148" t="s">
        <v>805</v>
      </c>
      <c r="U148" t="s">
        <v>805</v>
      </c>
      <c r="V148" t="s">
        <v>805</v>
      </c>
      <c r="W148" t="s">
        <v>805</v>
      </c>
      <c r="X148" t="s">
        <v>805</v>
      </c>
      <c r="Y148" t="s">
        <v>805</v>
      </c>
      <c r="Z148" t="s">
        <v>805</v>
      </c>
      <c r="AA148" t="s">
        <v>805</v>
      </c>
      <c r="AB148" t="s">
        <v>805</v>
      </c>
      <c r="AC148" t="s">
        <v>805</v>
      </c>
      <c r="AD148" t="s">
        <v>805</v>
      </c>
      <c r="AE148" t="s">
        <v>805</v>
      </c>
      <c r="AF148" t="s">
        <v>805</v>
      </c>
      <c r="AG148" t="s">
        <v>805</v>
      </c>
      <c r="AH148" t="s">
        <v>805</v>
      </c>
      <c r="AI148" t="s">
        <v>805</v>
      </c>
      <c r="AJ148" t="s">
        <v>805</v>
      </c>
      <c r="AK148" t="s">
        <v>805</v>
      </c>
      <c r="AL148" t="s">
        <v>805</v>
      </c>
      <c r="AM148" t="s">
        <v>805</v>
      </c>
      <c r="AN148" t="s">
        <v>805</v>
      </c>
      <c r="AO148" t="s">
        <v>805</v>
      </c>
      <c r="AP148" t="s">
        <v>805</v>
      </c>
      <c r="AQ148" t="s">
        <v>805</v>
      </c>
      <c r="AR148" t="s">
        <v>805</v>
      </c>
      <c r="AS148" t="s">
        <v>805</v>
      </c>
      <c r="AT148" t="s">
        <v>805</v>
      </c>
      <c r="AU148" t="s">
        <v>805</v>
      </c>
      <c r="AV148" t="s">
        <v>805</v>
      </c>
      <c r="AW148" t="s">
        <v>805</v>
      </c>
      <c r="AX148" t="s">
        <v>805</v>
      </c>
      <c r="AY148" t="s">
        <v>805</v>
      </c>
      <c r="AZ148" t="s">
        <v>805</v>
      </c>
      <c r="BA148" t="s">
        <v>805</v>
      </c>
      <c r="BB148" t="s">
        <v>805</v>
      </c>
      <c r="BC148" t="s">
        <v>805</v>
      </c>
      <c r="BD148" t="s">
        <v>805</v>
      </c>
      <c r="BE148" t="s">
        <v>805</v>
      </c>
      <c r="BF148" t="s">
        <v>805</v>
      </c>
      <c r="BG148" t="s">
        <v>805</v>
      </c>
      <c r="BH148" t="s">
        <v>805</v>
      </c>
      <c r="BI148" t="s">
        <v>805</v>
      </c>
      <c r="BJ148" t="s">
        <v>805</v>
      </c>
      <c r="BK148" t="s">
        <v>805</v>
      </c>
      <c r="BL148" t="s">
        <v>805</v>
      </c>
      <c r="BM148" t="s">
        <v>805</v>
      </c>
      <c r="BN148" t="s">
        <v>805</v>
      </c>
      <c r="BO148" t="s">
        <v>805</v>
      </c>
      <c r="BP148" t="s">
        <v>805</v>
      </c>
      <c r="BQ148" t="s">
        <v>805</v>
      </c>
      <c r="BR148" t="s">
        <v>805</v>
      </c>
      <c r="BS148" t="s">
        <v>805</v>
      </c>
      <c r="BT148" t="s">
        <v>805</v>
      </c>
      <c r="BU148" t="s">
        <v>805</v>
      </c>
      <c r="BV148" t="s">
        <v>805</v>
      </c>
      <c r="BW148" t="s">
        <v>805</v>
      </c>
      <c r="BX148" t="s">
        <v>805</v>
      </c>
      <c r="BY148" t="s">
        <v>805</v>
      </c>
      <c r="BZ148" t="s">
        <v>805</v>
      </c>
      <c r="CA148" t="s">
        <v>805</v>
      </c>
      <c r="CB148" t="s">
        <v>805</v>
      </c>
      <c r="CC148" t="s">
        <v>805</v>
      </c>
      <c r="CD148" t="s">
        <v>805</v>
      </c>
      <c r="CE148" t="s">
        <v>805</v>
      </c>
      <c r="CF148" t="s">
        <v>805</v>
      </c>
      <c r="CG148" t="s">
        <v>805</v>
      </c>
      <c r="CH148" t="s">
        <v>805</v>
      </c>
      <c r="CI148" t="s">
        <v>805</v>
      </c>
      <c r="CJ148" t="s">
        <v>805</v>
      </c>
      <c r="CK148" t="s">
        <v>805</v>
      </c>
      <c r="CL148" t="s">
        <v>805</v>
      </c>
      <c r="CM148" t="s">
        <v>805</v>
      </c>
      <c r="CN148" t="s">
        <v>805</v>
      </c>
      <c r="CO148" t="s">
        <v>805</v>
      </c>
      <c r="CP148" t="s">
        <v>805</v>
      </c>
      <c r="CQ148" t="s">
        <v>805</v>
      </c>
      <c r="CR148" t="s">
        <v>805</v>
      </c>
      <c r="CS148" t="s">
        <v>805</v>
      </c>
      <c r="CT148" t="s">
        <v>805</v>
      </c>
      <c r="CU148" t="s">
        <v>805</v>
      </c>
      <c r="CV148" t="s">
        <v>805</v>
      </c>
      <c r="CW148" t="s">
        <v>805</v>
      </c>
      <c r="CX148" t="s">
        <v>805</v>
      </c>
      <c r="CY148" t="s">
        <v>805</v>
      </c>
      <c r="CZ148" t="s">
        <v>805</v>
      </c>
      <c r="DA148" t="s">
        <v>805</v>
      </c>
      <c r="DB148" t="s">
        <v>805</v>
      </c>
      <c r="DC148" t="s">
        <v>805</v>
      </c>
      <c r="DD148" t="s">
        <v>805</v>
      </c>
      <c r="DE148" t="s">
        <v>805</v>
      </c>
      <c r="DF148" t="s">
        <v>805</v>
      </c>
      <c r="DG148" s="28">
        <f>VLOOKUP(E148,'KPI Count-SHARE'!A:F,3,0)</f>
        <v>0</v>
      </c>
      <c r="DH148" t="s">
        <v>805</v>
      </c>
      <c r="DI148" t="s">
        <v>805</v>
      </c>
      <c r="DJ148" t="s">
        <v>805</v>
      </c>
      <c r="DK148" t="s">
        <v>805</v>
      </c>
      <c r="DL148" t="s">
        <v>805</v>
      </c>
      <c r="DM148" t="s">
        <v>805</v>
      </c>
      <c r="DN148" s="28">
        <f>VLOOKUP(E148,'KPI Count-SHARE'!A:F,4,0)</f>
        <v>0</v>
      </c>
      <c r="DU148" s="28">
        <f>VLOOKUP(E148,'KPI Count-SHARE'!A:F,5,0)</f>
        <v>0</v>
      </c>
      <c r="EB148" s="28">
        <f>VLOOKUP(E148,'KPI Count-SHARE'!A:F,6,0)</f>
        <v>0</v>
      </c>
      <c r="EI148" t="s">
        <v>531</v>
      </c>
      <c r="EJ148" s="41" t="str">
        <f t="shared" ref="EJ148:EJ157" si="1299">IFERROR(IF(ISBLANK(J148), "-", IF(OR($I148="c",$I148="r"), J148*$I$5, J148)),"-")</f>
        <v/>
      </c>
      <c r="EK148" s="41" t="str">
        <f t="shared" ref="EK148:EK157" si="1300">IFERROR(IF(ISBLANK(K148), "-", IF($I148="c", K148*$I$5, K148)),"-")</f>
        <v/>
      </c>
      <c r="EL148" s="41" t="str">
        <f t="shared" ref="EL148:EL157" si="1301">IFERROR(IF(ISBLANK(L148), "-", IF($I148="c", L148*$I$5, L148)),"-")</f>
        <v/>
      </c>
      <c r="EM148" s="41" t="str">
        <f t="shared" ref="EM148:EM157" si="1302">IFERROR(IF(ISBLANK(M148), "-", IF($I148="c", M148*$I$5,M148)),"-")</f>
        <v/>
      </c>
      <c r="EN148" s="41" t="str">
        <f t="shared" ref="EN148:EN157" si="1303">IFERROR(IF(ISBLANK(N148), "-", IF($I148="c", N148*$I$5, N148)),"-")</f>
        <v/>
      </c>
      <c r="EO148" s="41" t="str">
        <f t="shared" ref="EO148:EO157" si="1304">IFERROR(IF(ISBLANK(O148), "-", IF($I148="c", O148*$I$5,O148)),"-")</f>
        <v/>
      </c>
      <c r="EP148" s="41" t="str">
        <f t="shared" ref="EP148:EP157" si="1305">IFERROR(IF(ISBLANK(P148), "-", IF($I148="c", P148*$I$5, P148)),"-")</f>
        <v/>
      </c>
      <c r="EQ148" s="41" t="str">
        <f t="shared" ref="EQ148:EQ157" si="1306">IFERROR(IF(ISBLANK(Q148), "-", IF($I148="c", Q148*$I$5, Q148)),"-")</f>
        <v/>
      </c>
      <c r="ER148" s="41" t="str">
        <f t="shared" ref="ER148:ER157" si="1307">IFERROR(IF(ISBLANK(R148), "-", IF($I148="c", R148*$I$5, R148)),"-")</f>
        <v/>
      </c>
      <c r="ES148" s="41" t="str">
        <f t="shared" ref="ES148:ES157" si="1308">IFERROR(IF(ISBLANK(S148), "-", IF($I148="c", S148*$I$5, S148)),"-")</f>
        <v/>
      </c>
      <c r="ET148" s="41" t="str">
        <f t="shared" ref="ET148:ET157" si="1309">IFERROR(IF(ISBLANK(T148), "-", IF($I148="c", T148*$I$5, T148)),"-")</f>
        <v/>
      </c>
      <c r="EU148" s="41" t="str">
        <f t="shared" ref="EU148:EU157" si="1310">IFERROR(IF(ISBLANK(U148), "-", IF($I148="c", U148*$I$5, U148)),"-")</f>
        <v/>
      </c>
      <c r="EV148" s="41" t="str">
        <f t="shared" ref="EV148:EV157" si="1311">IFERROR(IF(ISBLANK(V148), "-", IF($I148="c", V148*$I$5, V148)),"-")</f>
        <v/>
      </c>
      <c r="EW148" s="41" t="str">
        <f t="shared" ref="EW148:EW157" si="1312">IFERROR(IF(ISBLANK(W148), "-", IF($I148="c", W148*$I$5, W148)),"-")</f>
        <v/>
      </c>
      <c r="EX148" s="41" t="str">
        <f t="shared" ref="EX148:EX157" si="1313">IFERROR(IF(ISBLANK(X148), "-", IF($I148="c", X148*$I$5, X148)),"-")</f>
        <v/>
      </c>
      <c r="EY148" s="41" t="str">
        <f t="shared" ref="EY148:EY157" si="1314">IFERROR(IF(ISBLANK(Y148), "-", IF($I148="c", Y148*$I$5, Y148)),"-")</f>
        <v/>
      </c>
      <c r="EZ148" s="41" t="str">
        <f t="shared" ref="EZ148:EZ157" si="1315">IFERROR(IF(ISBLANK(Z148), "-", IF($I148="c", Z148*$I$5, Z148)),"-")</f>
        <v/>
      </c>
      <c r="FA148" s="41" t="str">
        <f t="shared" ref="FA148:FA157" si="1316">IFERROR(IF(ISBLANK(AA148), "-", IF($I148="c", AA148*$I$5, AA148)),"-")</f>
        <v/>
      </c>
      <c r="FB148" s="41" t="str">
        <f t="shared" ref="FB148:FB157" si="1317">IFERROR(IF(ISBLANK(AB148), "-", IF($I148="c", AB148*$I$5, AB148)),"-")</f>
        <v/>
      </c>
      <c r="FC148" s="41" t="str">
        <f t="shared" ref="FC148:FC157" si="1318">IFERROR(IF(ISBLANK(AC148), "-", IF($I148="c", AC148*$I$5, AC148)),"-")</f>
        <v/>
      </c>
      <c r="FD148" s="41" t="str">
        <f t="shared" ref="FD148:FD157" si="1319">IFERROR(IF(ISBLANK(AD148), "-", IF($I148="c", AD148*$I$5, AD148)),"-")</f>
        <v/>
      </c>
      <c r="FE148" s="41" t="str">
        <f t="shared" ref="FE148:FE157" si="1320">IFERROR(IF(ISBLANK(AE148), "-", IF($I148="c", AE148*$I$5, AE148)),"-")</f>
        <v/>
      </c>
      <c r="FF148" s="41" t="str">
        <f t="shared" ref="FF148:FF157" si="1321">IFERROR(IF(ISBLANK(AF148), "-", IF($I148="c", AF148*$I$5, AF148)),"-")</f>
        <v/>
      </c>
      <c r="FG148" s="41" t="str">
        <f t="shared" ref="FG148:FG157" si="1322">IFERROR(IF(ISBLANK(AG148), "-", IF($I148="c", AG148*$I$5, AG148)),"-")</f>
        <v/>
      </c>
      <c r="FH148" s="41" t="str">
        <f t="shared" ref="FH148:FH157" si="1323">IFERROR(IF(ISBLANK(AH148), "-", IF($I148="c", AH148*$I$5, AH148)),"-")</f>
        <v/>
      </c>
      <c r="FI148" s="41" t="str">
        <f t="shared" ref="FI148:FI157" si="1324">IFERROR(IF(ISBLANK(AI148), "-", IF($I148="c", AI148*$I$5, AI148)),"-")</f>
        <v/>
      </c>
      <c r="FJ148" s="41" t="str">
        <f t="shared" ref="FJ148:FJ157" si="1325">IFERROR(IF(ISBLANK(AJ148), "-", IF($I148="c", AJ148*$I$5, AJ148)),"-")</f>
        <v/>
      </c>
      <c r="FK148" s="41" t="str">
        <f t="shared" ref="FK148:FK157" si="1326">IFERROR(IF(ISBLANK(AK148), "-", IF($I148="c", AK148*$I$5, AK148)),"-")</f>
        <v/>
      </c>
      <c r="FL148" s="41" t="str">
        <f t="shared" ref="FL148:FL157" si="1327">IFERROR(IF(ISBLANK(AL148), "-", IF($I148="c", AL148*$I$5, AL148)),"-")</f>
        <v/>
      </c>
      <c r="FM148" s="41" t="str">
        <f t="shared" ref="FM148:FM157" si="1328">IFERROR(IF(ISBLANK(AM148), "-", IF($I148="c", AM148*$I$5, AM148)),"-")</f>
        <v/>
      </c>
      <c r="FN148" s="41" t="str">
        <f t="shared" ref="FN148:FN157" si="1329">IFERROR(IF(ISBLANK(AN148), "-", IF($I148="c", AN148*$I$5, AN148)),"-")</f>
        <v/>
      </c>
      <c r="FO148" s="41" t="str">
        <f t="shared" ref="FO148:FO157" si="1330">IFERROR(IF(ISBLANK(AO148), "-", IF($I148="c", AO148*$I$5, AO148)),"-")</f>
        <v/>
      </c>
      <c r="FP148" s="41" t="str">
        <f t="shared" ref="FP148:FP157" si="1331">IFERROR(IF(ISBLANK(AP148), "-", IF($I148="c", AP148*$I$5, AP148)),"-")</f>
        <v/>
      </c>
      <c r="FQ148" s="41" t="str">
        <f t="shared" ref="FQ148:FQ157" si="1332">IFERROR(IF(ISBLANK(AQ148), "-", IF($I148="c", AQ148*$I$5, AQ148)),"-")</f>
        <v/>
      </c>
      <c r="FR148" s="41" t="str">
        <f t="shared" ref="FR148:FR157" si="1333">IFERROR(IF(ISBLANK(AR148), "-", IF($I148="c", AR148*$I$5, AR148)),"-")</f>
        <v/>
      </c>
      <c r="FS148" s="41" t="str">
        <f t="shared" ref="FS148:FS157" si="1334">IFERROR(IF(ISBLANK(AS148), "-", IF($I148="c", AS148*$I$5, AS148)),"-")</f>
        <v/>
      </c>
      <c r="FT148" s="41" t="str">
        <f t="shared" ref="FT148:FT157" si="1335">IFERROR(IF(ISBLANK(AT148), "-", IF($I148="c", AT148*$I$5, AT148)),"-")</f>
        <v/>
      </c>
      <c r="FU148" s="41" t="str">
        <f t="shared" ref="FU148:FU157" si="1336">IFERROR(IF(ISBLANK(AU148), "-", IF($I148="c", AU148*$I$5, AU148)),"-")</f>
        <v/>
      </c>
      <c r="FV148" s="41" t="str">
        <f t="shared" ref="FV148:FV157" si="1337">IFERROR(IF(ISBLANK(AV148), "-", IF($I148="c", AV148*$I$5, AV148)),"-")</f>
        <v/>
      </c>
      <c r="FW148" s="41" t="str">
        <f t="shared" ref="FW148:FW157" si="1338">IFERROR(IF(ISBLANK(AW148), "-", IF($I148="c", AW148*$I$5, AW148)),"-")</f>
        <v/>
      </c>
      <c r="FX148" s="41" t="str">
        <f t="shared" ref="FX148:FX157" si="1339">IFERROR(IF(ISBLANK(AX148), "-", IF($I148="c", AX148*$I$5, AX148)),"-")</f>
        <v/>
      </c>
      <c r="FY148" s="41" t="str">
        <f t="shared" ref="FY148:FY157" si="1340">IFERROR(IF(ISBLANK(AY148), "-", IF($I148="c", AY148*$I$5, AY148)),"-")</f>
        <v/>
      </c>
      <c r="FZ148" s="41" t="str">
        <f t="shared" ref="FZ148:FZ157" si="1341">IFERROR(IF(ISBLANK(AZ148), "-", IF($I148="c", AZ148*$I$5, AZ148)),"-")</f>
        <v/>
      </c>
      <c r="GA148" s="41" t="str">
        <f t="shared" ref="GA148:GA157" si="1342">IFERROR(IF(ISBLANK(BA148), "-", IF($I148="c", BA148*$I$5, BA148)),"-")</f>
        <v/>
      </c>
      <c r="GB148" s="41" t="str">
        <f t="shared" ref="GB148:GB157" si="1343">IFERROR(IF(ISBLANK(BB148), "-", IF($I148="c", BB148*$I$5, BB148)),"-")</f>
        <v/>
      </c>
      <c r="GC148" s="41" t="str">
        <f t="shared" ref="GC148:GC157" si="1344">IFERROR(IF(ISBLANK(BC148), "-", IF($I148="c", BC148*$I$5, BC148)),"-")</f>
        <v/>
      </c>
      <c r="GD148" s="41" t="str">
        <f t="shared" ref="GD148:GD157" si="1345">IFERROR(IF(ISBLANK(BD148), "-", IF($I148="c", BD148*$I$5, BD148)),"-")</f>
        <v/>
      </c>
      <c r="GE148" s="41" t="str">
        <f t="shared" ref="GE148:GE157" si="1346">IFERROR(IF(ISBLANK(BE148), "-", IF($I148="c", BE148*$I$5, BE148)),"-")</f>
        <v/>
      </c>
      <c r="GF148" s="41" t="str">
        <f t="shared" ref="GF148:GF157" si="1347">IFERROR(IF(ISBLANK(BF148), "-", IF($I148="c", BF148*$I$5, BF148)),"-")</f>
        <v/>
      </c>
      <c r="GG148" s="41" t="str">
        <f t="shared" ref="GG148:GG157" si="1348">IFERROR(IF(ISBLANK(BG148), "-", IF($I148="c", BG148*$I$5, BG148)),"-")</f>
        <v/>
      </c>
      <c r="GH148" s="41" t="str">
        <f t="shared" ref="GH148:GH157" si="1349">IFERROR(IF(ISBLANK(BH148), "-", IF($I148="c", BH148*$I$5, BH148)),"-")</f>
        <v/>
      </c>
      <c r="GI148" s="41" t="str">
        <f t="shared" ref="GI148:GI157" si="1350">IFERROR(IF(ISBLANK(BI148), "-", IF($I148="c", BI148*$I$5, BI148)),"-")</f>
        <v/>
      </c>
      <c r="GJ148" s="41" t="str">
        <f t="shared" ref="GJ148:GJ157" si="1351">IFERROR(IF(ISBLANK(BJ148), "-", IF($I148="c", BJ148*$I$5, BJ148)),"-")</f>
        <v/>
      </c>
      <c r="GK148" s="41" t="str">
        <f t="shared" ref="GK148:GK157" si="1352">IFERROR(IF(ISBLANK(BK148), "-", IF($I148="c", BK148*$I$5, BK148)),"-")</f>
        <v/>
      </c>
      <c r="GL148" s="41" t="str">
        <f t="shared" ref="GL148:GL157" si="1353">IFERROR(IF(ISBLANK(BL148), "-", IF($I148="c", BL148*$I$5, BL148)),"-")</f>
        <v/>
      </c>
      <c r="GM148" s="41" t="str">
        <f t="shared" ref="GM148:GM157" si="1354">IFERROR(IF(ISBLANK(BM148), "-", IF($I148="c", BM148*$I$5, BM148)),"-")</f>
        <v/>
      </c>
      <c r="GN148" s="41" t="str">
        <f t="shared" ref="GN148:GN157" si="1355">IFERROR(IF(ISBLANK(BN148), "-", IF($I148="c", BN148*$I$5, BN148)),"-")</f>
        <v/>
      </c>
      <c r="GO148" s="41" t="str">
        <f t="shared" ref="GO148:GO157" si="1356">IFERROR(IF(ISBLANK(BO148), "-", IF($I148="c", BO148*$I$5, BO148)),"-")</f>
        <v/>
      </c>
      <c r="GP148" s="41" t="str">
        <f t="shared" ref="GP148:GP157" si="1357">IFERROR(IF(ISBLANK(BP148), "-", IF($I148="c", BP148*$I$5, BP148)),"-")</f>
        <v/>
      </c>
      <c r="GQ148" s="41" t="str">
        <f t="shared" ref="GQ148:GQ157" si="1358">IFERROR(IF(ISBLANK(BQ148), "-", IF($I148="c", BQ148*$I$5, BQ148)),"-")</f>
        <v/>
      </c>
      <c r="GR148" s="41" t="str">
        <f t="shared" ref="GR148:GR157" si="1359">IFERROR(IF(ISBLANK(BR148), "-", IF($I148="c", BR148*$I$5, BR148)),"-")</f>
        <v/>
      </c>
      <c r="GS148" s="41" t="str">
        <f t="shared" ref="GS148:GS157" si="1360">IFERROR(IF(ISBLANK(BS148), "-", IF($I148="c", BS148*$I$5, BS148)),"-")</f>
        <v/>
      </c>
      <c r="GT148" s="41" t="str">
        <f t="shared" ref="GT148:GT157" si="1361">IFERROR(IF(ISBLANK(BT148), "-", IF($I148="c", BT148*$I$5, BT148)),"-")</f>
        <v/>
      </c>
      <c r="GU148" s="41" t="str">
        <f t="shared" ref="GU148:GU157" si="1362">IFERROR(IF(ISBLANK(BU148), "-", IF($I148="c", BU148*$I$5, BU148)),"-")</f>
        <v/>
      </c>
      <c r="GV148" s="41" t="str">
        <f t="shared" ref="GV148:GV157" si="1363">IFERROR(IF(ISBLANK(BV148), "-", IF($I148="c", BV148*$I$5, BV148)),"-")</f>
        <v/>
      </c>
      <c r="GW148" s="41" t="str">
        <f t="shared" ref="GW148:GW157" si="1364">IFERROR(IF(ISBLANK(BW148), "-", IF($I148="c", BW148*$I$5, BW148)),"-")</f>
        <v/>
      </c>
      <c r="GX148" s="41" t="str">
        <f t="shared" ref="GX148:GX157" si="1365">IFERROR(IF(ISBLANK(BX148), "-", IF($I148="c", BX148*$I$5, BX148)),"-")</f>
        <v/>
      </c>
      <c r="GY148" s="41" t="str">
        <f t="shared" ref="GY148:GY157" si="1366">IFERROR(IF(ISBLANK(BY148), "-", IF($I148="c", BY148*$I$5, BY148)),"-")</f>
        <v/>
      </c>
      <c r="GZ148" s="41" t="str">
        <f t="shared" ref="GZ148:GZ157" si="1367">IFERROR(IF(ISBLANK(BZ148), "-", IF($I148="c", BZ148*$I$5, BZ148)),"-")</f>
        <v/>
      </c>
      <c r="HA148" s="41" t="str">
        <f t="shared" ref="HA148:HA157" si="1368">IFERROR(IF(ISBLANK(CA148), "-", IF($I148="c", CA148*$I$5, CA148)),"-")</f>
        <v/>
      </c>
      <c r="HB148" s="41" t="str">
        <f t="shared" ref="HB148:HB157" si="1369">IFERROR(IF(ISBLANK(CB148), "-", IF($I148="c", CB148*$I$5, CB148)),"-")</f>
        <v/>
      </c>
      <c r="HC148" s="41" t="str">
        <f t="shared" ref="HC148:HC157" si="1370">IFERROR(IF(ISBLANK(CC148), "-", IF($I148="c", CC148*$I$5, CC148)),"-")</f>
        <v/>
      </c>
      <c r="HD148" s="41" t="str">
        <f t="shared" ref="HD148:HD157" si="1371">IFERROR(IF(ISBLANK(CD148), "-", IF($I148="c", CD148*$I$5, CD148)),"-")</f>
        <v/>
      </c>
      <c r="HE148" s="41" t="str">
        <f t="shared" ref="HE148:HE157" si="1372">IFERROR(IF(ISBLANK(CE148), "-", IF($I148="c", CE148*$I$5, CE148)),"-")</f>
        <v/>
      </c>
      <c r="HF148" s="41" t="str">
        <f t="shared" ref="HF148:HF157" si="1373">IFERROR(IF(ISBLANK(CF148), "-", IF($I148="c", CF148*$I$5, CF148)),"-")</f>
        <v/>
      </c>
      <c r="HG148" s="41" t="str">
        <f t="shared" ref="HG148:HG157" si="1374">IFERROR(IF(ISBLANK(CG148), "-", IF($I148="c", CG148*$I$5, CG148)),"-")</f>
        <v/>
      </c>
      <c r="HH148" s="41" t="str">
        <f t="shared" ref="HH148:HH157" si="1375">IFERROR(IF(ISBLANK(CH148), "-", IF($I148="c", CH148*$I$5, CH148)),"-")</f>
        <v/>
      </c>
      <c r="HI148" s="41" t="str">
        <f t="shared" ref="HI148:HI157" si="1376">IFERROR(IF(ISBLANK(CI148), "-", IF($I148="c", CI148*$I$5, CI148)),"-")</f>
        <v/>
      </c>
      <c r="HJ148" s="41" t="str">
        <f t="shared" ref="HJ148:HJ157" si="1377">IFERROR(IF(ISBLANK(CJ148), "-", IF($I148="c", CJ148*$I$5, CJ148)),"-")</f>
        <v/>
      </c>
      <c r="HK148" s="41" t="str">
        <f t="shared" ref="HK148:HK157" si="1378">IFERROR(IF(ISBLANK(CK148), "-", IF($I148="c", CK148*$I$5, CK148)),"-")</f>
        <v/>
      </c>
      <c r="HL148" s="41" t="str">
        <f t="shared" ref="HL148:HL157" si="1379">IFERROR(IF(ISBLANK(CL148), "-", IF($I148="c", CL148*$I$5, CL148)),"-")</f>
        <v/>
      </c>
      <c r="HM148" s="41" t="str">
        <f t="shared" ref="HM148:HM157" si="1380">IFERROR(IF(ISBLANK(CM148), "-", IF($I148="c", CM148*$I$5, CM148)),"-")</f>
        <v/>
      </c>
      <c r="HN148" s="41" t="str">
        <f t="shared" ref="HN148:HN157" si="1381">IFERROR(IF(ISBLANK(CN148), "-", IF($I148="c", CN148*$I$5, CN148)),"-")</f>
        <v/>
      </c>
      <c r="HO148" s="41" t="str">
        <f t="shared" ref="HO148:HO157" si="1382">IFERROR(IF(ISBLANK(CO148), "-", IF($I148="c", CO148*$I$5, CO148)),"-")</f>
        <v/>
      </c>
      <c r="HP148" s="41" t="str">
        <f t="shared" ref="HP148:HP157" si="1383">IFERROR(IF(ISBLANK(CP148), "-", IF($I148="c", CP148*$I$5, CP148)),"-")</f>
        <v/>
      </c>
      <c r="HQ148" s="41" t="str">
        <f t="shared" ref="HQ148:HQ157" si="1384">IFERROR(IF(ISBLANK(CQ148), "-", IF($I148="c", CQ148*$I$5, CQ148)),"-")</f>
        <v/>
      </c>
      <c r="HR148" s="41" t="str">
        <f t="shared" ref="HR148:HR157" si="1385">IFERROR(IF(ISBLANK(CR148), "-", IF($I148="c", CR148*$I$5, CR148)),"-")</f>
        <v/>
      </c>
      <c r="HS148" s="41" t="str">
        <f t="shared" ref="HS148:HS157" si="1386">IFERROR(IF(ISBLANK(CS148), "-", IF($I148="c", CS148*$I$5, CS148)),"-")</f>
        <v/>
      </c>
      <c r="HT148" s="41" t="str">
        <f t="shared" ref="HT148:HT157" si="1387">IFERROR(IF(ISBLANK(CT148), "-", IF($I148="c", CT148*$I$5, CT148)),"-")</f>
        <v/>
      </c>
      <c r="HU148" s="41" t="str">
        <f t="shared" ref="HU148:HU157" si="1388">IFERROR(IF(ISBLANK(CU148), "-", IF($I148="c", CU148*$I$5, CU148)),"-")</f>
        <v/>
      </c>
      <c r="HV148" s="41" t="str">
        <f t="shared" ref="HV148:HV157" si="1389">IFERROR(IF(ISBLANK(CV148), "-", IF($I148="c", CV148*$I$5, CV148)),"-")</f>
        <v/>
      </c>
      <c r="HW148" s="41" t="str">
        <f t="shared" ref="HW148:HW157" si="1390">IFERROR(IF(ISBLANK(CW148), "-", IF($I148="c", CW148*$I$5, CW148)),"-")</f>
        <v/>
      </c>
      <c r="HX148" s="41" t="str">
        <f t="shared" ref="HX148:HX157" si="1391">IFERROR(IF(ISBLANK(CX148), "-", IF($I148="c", CX148*$I$5, CX148)),"-")</f>
        <v/>
      </c>
      <c r="HY148" s="41" t="str">
        <f t="shared" ref="HY148:HY157" si="1392">IFERROR(IF(ISBLANK(CY148), "-", IF($I148="c", CY148*$I$5, CY148)),"-")</f>
        <v/>
      </c>
      <c r="HZ148" s="41" t="str">
        <f t="shared" ref="HZ148:HZ157" si="1393">IFERROR(IF(ISBLANK(CZ148), "-", IF($I148="c", CZ148*$I$5, CZ148)),"-")</f>
        <v/>
      </c>
      <c r="IA148" s="41" t="str">
        <f t="shared" ref="IA148:IA157" si="1394">IFERROR(IF(ISBLANK(DA148), "-", IF($I148="c", DA148*$I$5, DA148)),"-")</f>
        <v/>
      </c>
      <c r="IB148" s="41" t="str">
        <f t="shared" ref="IB148:IB157" si="1395">IFERROR(IF(ISBLANK(DB148), "-", IF($I148="c", DB148*$I$5, DB148)),"-")</f>
        <v/>
      </c>
      <c r="IC148" s="41" t="str">
        <f t="shared" ref="IC148:IC157" si="1396">IFERROR(IF(ISBLANK(DC148), "-", IF($I148="c", DC148*$I$5, DC148)),"-")</f>
        <v/>
      </c>
      <c r="ID148" s="41" t="str">
        <f t="shared" ref="ID148:ID157" si="1397">IFERROR(IF(ISBLANK(DD148), "-", IF($I148="c", DD148*$I$5, DD148)),"-")</f>
        <v/>
      </c>
      <c r="IE148" s="41" t="str">
        <f t="shared" ref="IE148:IE157" si="1398">IFERROR(IF(ISBLANK(DE148), "-", IF($I148="c", DE148*$I$5, DE148)),"-")</f>
        <v/>
      </c>
      <c r="IF148" s="41" t="str">
        <f t="shared" ref="IF148:IF157" si="1399">IFERROR(IF(ISBLANK(DF148), "-", IF($I148="c", DF148*$I$5, DF148)),"-")</f>
        <v/>
      </c>
      <c r="IG148" s="306" t="str">
        <f t="shared" ref="IG148:IG157" si="1400">IFERROR(IF(ISBLANK(DH148), "-", IF($I148="c", DH148*$I$5, DH148)),"-")</f>
        <v/>
      </c>
      <c r="IH148" s="44" t="str">
        <f t="shared" ref="IH148:IH157" si="1401">IFERROR(IF(ISBLANK(DI148), "-", IF($I148="c", DI148*$I$5, DI148)),"-")</f>
        <v/>
      </c>
      <c r="II148" s="44" t="str">
        <f t="shared" ref="II148:II157" si="1402">IFERROR(IF(ISBLANK(DJ148), "-", IF($I148="c", DJ148*$I$5, DJ148)),"-")</f>
        <v/>
      </c>
      <c r="IJ148" s="44" t="str">
        <f t="shared" ref="IJ148:IJ157" si="1403">IFERROR(IF(ISBLANK(DK148), "-", IF($I148="c", DK148*$I$5, DK148)),"-")</f>
        <v/>
      </c>
      <c r="IK148" s="44" t="str">
        <f t="shared" ref="IK148:IK157" si="1404">IFERROR(IF(ISBLANK(DL148), "-", IF($I148="c", DL148*$I$5, DL148)),"-")</f>
        <v/>
      </c>
      <c r="IL148" s="44" t="str">
        <f t="shared" ref="IL148:IL157" si="1405">IFERROR(IF(ISBLANK(DM148), "-", IF($I148="c", DM148*$I$5, DM148)),"-")</f>
        <v/>
      </c>
      <c r="IM148" s="306" t="str">
        <f t="shared" ref="IM148:IM157" si="1406">IFERROR(IF(ISBLANK(DO148), "", IF($I148="c",DO148*$I$5, DO148)),"-")</f>
        <v/>
      </c>
      <c r="IN148" s="44" t="str">
        <f t="shared" ref="IN148:IN157" si="1407">IFERROR(IF(ISBLANK(DP148), "", IF($I148="c",DP148*$I$5, DP148)),"-")</f>
        <v/>
      </c>
      <c r="IO148" s="44" t="str">
        <f t="shared" ref="IO148:IO157" si="1408">IFERROR(IF(ISBLANK(DQ148), "", IF($I148="c",DQ148*$I$5, DQ148)),"-")</f>
        <v/>
      </c>
      <c r="IP148" s="44" t="str">
        <f t="shared" ref="IP148:IP157" si="1409">IFERROR(IF(ISBLANK(DR148), "", IF($I148="c",DR148*$I$5, DR148)),"-")</f>
        <v/>
      </c>
      <c r="IQ148" s="44" t="str">
        <f t="shared" ref="IQ148:IQ157" si="1410">IFERROR(IF(ISBLANK(DS148), "", IF($I148="c",DS148*$I$5, DS148)),"-")</f>
        <v/>
      </c>
      <c r="IR148" s="44" t="str">
        <f t="shared" ref="IR148:IR157" si="1411">IFERROR(IF(ISBLANK(DT148), "", IF($I148="c",DT148*$I$5, DT148)),"-")</f>
        <v/>
      </c>
      <c r="IS148" s="306" t="str">
        <f t="shared" ref="IS148:IS157" si="1412">IFERROR(IF(ISBLANK(DV148), "", IF($I148="c", DV148*$I$5, DV148)),"-")</f>
        <v/>
      </c>
      <c r="IT148" s="44" t="str">
        <f t="shared" ref="IT148:IT157" si="1413">IFERROR(IF(ISBLANK(DW148), "", IF($I148="c", DW148*$I$5, DW148)),"-")</f>
        <v/>
      </c>
      <c r="IU148" s="44" t="str">
        <f t="shared" ref="IU148:IU157" si="1414">IFERROR(IF(ISBLANK(DX148), "", IF($I148="c", DX148*$I$5, DX148)),"-")</f>
        <v/>
      </c>
      <c r="IV148" s="44" t="str">
        <f t="shared" ref="IV148:IV157" si="1415">IFERROR(IF(ISBLANK(DY148), "", IF($I148="c", DY148*$I$5, DY148)),"-")</f>
        <v/>
      </c>
      <c r="IW148" s="44" t="str">
        <f t="shared" ref="IW148:IW157" si="1416">IFERROR(IF(ISBLANK(DZ148), "", IF($I148="c", DZ148*$I$5, DZ148)),"-")</f>
        <v/>
      </c>
      <c r="IX148" s="44" t="str">
        <f t="shared" ref="IX148:IX157" si="1417">IFERROR(IF(ISBLANK(EA148), "", IF($I148="c", EA148*$I$5, EA148)),"-")</f>
        <v/>
      </c>
      <c r="IY148" s="306" t="str">
        <f t="shared" ref="IY148:IY157" si="1418">IFERROR(IF(ISBLANK(EC148), "", IF($I148="c", EC148*$I$5, EC148)),"-")</f>
        <v/>
      </c>
      <c r="IZ148" s="44" t="str">
        <f t="shared" ref="IZ148:IZ157" si="1419">IFERROR(IF(ISBLANK(ED148), "", IF($I148="c", ED148*$I$5, ED148)),"-")</f>
        <v/>
      </c>
      <c r="JA148" s="44" t="str">
        <f t="shared" ref="JA148:JA157" si="1420">IFERROR(IF(ISBLANK(EE148), "", IF($I148="c", EE148*$I$5, EE148)),"-")</f>
        <v/>
      </c>
      <c r="JB148" s="44" t="str">
        <f t="shared" ref="JB148:JB157" si="1421">IFERROR(IF(ISBLANK(EF148), "", IF($I148="c", EF148*$I$5, EF148)),"-")</f>
        <v/>
      </c>
      <c r="JC148" s="44" t="str">
        <f t="shared" ref="JC148:JC157" si="1422">IFERROR(IF(ISBLANK(EG148), "", IF($I148="c", EG148*$I$5, EG148)),"-")</f>
        <v/>
      </c>
      <c r="JD148" s="307" t="str">
        <f t="shared" ref="JD148:JD157" si="1423">IFERROR(IF(ISBLANK(EH148), "", IF($I148="c", EH148*$I$5, EH148)),"-")</f>
        <v/>
      </c>
      <c r="JF148" s="66">
        <f t="shared" si="779"/>
        <v>148</v>
      </c>
      <c r="JG148" s="66">
        <f t="shared" ca="1" si="789"/>
        <v>0</v>
      </c>
      <c r="JH148" s="66">
        <f t="shared" ca="1" si="790"/>
        <v>0</v>
      </c>
      <c r="JI148" s="66">
        <f t="shared" ca="1" si="791"/>
        <v>0</v>
      </c>
      <c r="JJ148" s="66">
        <f t="shared" ca="1" si="792"/>
        <v>0</v>
      </c>
      <c r="JK148" s="33"/>
      <c r="JL148" s="74" t="str">
        <f t="shared" ca="1" si="793"/>
        <v>-</v>
      </c>
      <c r="JM148" s="75">
        <f t="shared" ca="1" si="794"/>
        <v>0</v>
      </c>
      <c r="JN148" s="75">
        <f t="shared" ca="1" si="795"/>
        <v>0</v>
      </c>
      <c r="JO148" s="74" t="str">
        <f t="shared" ca="1" si="796"/>
        <v>-</v>
      </c>
      <c r="JP148" s="74">
        <f t="shared" ca="1" si="797"/>
        <v>0</v>
      </c>
    </row>
    <row r="149" spans="1:276" hidden="1" outlineLevel="1" x14ac:dyDescent="0.35">
      <c r="A149" s="125" t="s">
        <v>805</v>
      </c>
      <c r="B149" s="125" t="s">
        <v>805</v>
      </c>
      <c r="C149" s="125" t="s">
        <v>805</v>
      </c>
      <c r="E149" s="142" t="s">
        <v>870</v>
      </c>
      <c r="F149" s="254" t="s">
        <v>757</v>
      </c>
      <c r="G149" t="s">
        <v>540</v>
      </c>
      <c r="H149" t="s">
        <v>535</v>
      </c>
      <c r="I149" t="s">
        <v>536</v>
      </c>
      <c r="J149" s="211" t="s">
        <v>805</v>
      </c>
      <c r="K149" t="s">
        <v>805</v>
      </c>
      <c r="L149" t="s">
        <v>805</v>
      </c>
      <c r="M149" t="s">
        <v>805</v>
      </c>
      <c r="N149" t="s">
        <v>805</v>
      </c>
      <c r="O149" t="s">
        <v>805</v>
      </c>
      <c r="P149" t="s">
        <v>805</v>
      </c>
      <c r="Q149" t="s">
        <v>805</v>
      </c>
      <c r="R149" t="s">
        <v>805</v>
      </c>
      <c r="S149" t="s">
        <v>805</v>
      </c>
      <c r="T149" t="s">
        <v>805</v>
      </c>
      <c r="U149" t="s">
        <v>805</v>
      </c>
      <c r="V149" t="s">
        <v>805</v>
      </c>
      <c r="W149" t="s">
        <v>805</v>
      </c>
      <c r="X149" t="s">
        <v>805</v>
      </c>
      <c r="Y149" t="s">
        <v>805</v>
      </c>
      <c r="Z149" t="s">
        <v>805</v>
      </c>
      <c r="AA149" t="s">
        <v>805</v>
      </c>
      <c r="AB149" t="s">
        <v>805</v>
      </c>
      <c r="AC149" t="s">
        <v>805</v>
      </c>
      <c r="AD149" t="s">
        <v>805</v>
      </c>
      <c r="AE149" t="s">
        <v>805</v>
      </c>
      <c r="AF149" t="s">
        <v>805</v>
      </c>
      <c r="AG149" t="s">
        <v>805</v>
      </c>
      <c r="AH149" t="s">
        <v>805</v>
      </c>
      <c r="AI149" t="s">
        <v>805</v>
      </c>
      <c r="AJ149" t="s">
        <v>805</v>
      </c>
      <c r="AK149" t="s">
        <v>805</v>
      </c>
      <c r="AL149" t="s">
        <v>805</v>
      </c>
      <c r="AM149" t="s">
        <v>805</v>
      </c>
      <c r="AN149" t="s">
        <v>805</v>
      </c>
      <c r="AO149" t="s">
        <v>805</v>
      </c>
      <c r="AP149" t="s">
        <v>805</v>
      </c>
      <c r="AQ149" t="s">
        <v>805</v>
      </c>
      <c r="AR149" t="s">
        <v>805</v>
      </c>
      <c r="AS149" t="s">
        <v>805</v>
      </c>
      <c r="AT149" t="s">
        <v>805</v>
      </c>
      <c r="AU149" t="s">
        <v>805</v>
      </c>
      <c r="AV149" t="s">
        <v>805</v>
      </c>
      <c r="AW149" t="s">
        <v>805</v>
      </c>
      <c r="AX149" t="s">
        <v>805</v>
      </c>
      <c r="AY149" t="s">
        <v>805</v>
      </c>
      <c r="AZ149" t="s">
        <v>805</v>
      </c>
      <c r="BA149" t="s">
        <v>805</v>
      </c>
      <c r="BB149" t="s">
        <v>805</v>
      </c>
      <c r="BC149" t="s">
        <v>805</v>
      </c>
      <c r="BD149" t="s">
        <v>805</v>
      </c>
      <c r="BE149" t="s">
        <v>805</v>
      </c>
      <c r="BF149" t="s">
        <v>805</v>
      </c>
      <c r="BG149" t="s">
        <v>805</v>
      </c>
      <c r="BH149" t="s">
        <v>805</v>
      </c>
      <c r="BI149" t="s">
        <v>805</v>
      </c>
      <c r="BJ149" t="s">
        <v>805</v>
      </c>
      <c r="BK149" t="s">
        <v>805</v>
      </c>
      <c r="BL149" t="s">
        <v>805</v>
      </c>
      <c r="BM149" t="s">
        <v>805</v>
      </c>
      <c r="BN149" t="s">
        <v>805</v>
      </c>
      <c r="BO149" t="s">
        <v>805</v>
      </c>
      <c r="BP149" t="s">
        <v>805</v>
      </c>
      <c r="BQ149" t="s">
        <v>805</v>
      </c>
      <c r="BR149" t="s">
        <v>805</v>
      </c>
      <c r="BS149" t="s">
        <v>805</v>
      </c>
      <c r="BT149" t="s">
        <v>805</v>
      </c>
      <c r="BU149" t="s">
        <v>805</v>
      </c>
      <c r="BV149" t="s">
        <v>805</v>
      </c>
      <c r="BW149" t="s">
        <v>805</v>
      </c>
      <c r="BX149" t="s">
        <v>805</v>
      </c>
      <c r="BY149" t="s">
        <v>805</v>
      </c>
      <c r="BZ149" t="s">
        <v>805</v>
      </c>
      <c r="CA149" t="s">
        <v>805</v>
      </c>
      <c r="CB149" t="s">
        <v>805</v>
      </c>
      <c r="CC149" t="s">
        <v>805</v>
      </c>
      <c r="CD149" t="s">
        <v>805</v>
      </c>
      <c r="CE149" t="s">
        <v>805</v>
      </c>
      <c r="CF149" t="s">
        <v>805</v>
      </c>
      <c r="CG149" t="s">
        <v>805</v>
      </c>
      <c r="CH149" t="s">
        <v>805</v>
      </c>
      <c r="CI149" t="s">
        <v>805</v>
      </c>
      <c r="CJ149" t="s">
        <v>805</v>
      </c>
      <c r="CK149" t="s">
        <v>805</v>
      </c>
      <c r="CL149" t="s">
        <v>805</v>
      </c>
      <c r="CM149" t="s">
        <v>805</v>
      </c>
      <c r="CN149" t="s">
        <v>805</v>
      </c>
      <c r="CO149" t="s">
        <v>805</v>
      </c>
      <c r="CP149" t="s">
        <v>805</v>
      </c>
      <c r="CQ149" t="s">
        <v>805</v>
      </c>
      <c r="CR149" t="s">
        <v>805</v>
      </c>
      <c r="CS149" t="s">
        <v>805</v>
      </c>
      <c r="CT149" t="s">
        <v>805</v>
      </c>
      <c r="CU149" t="s">
        <v>805</v>
      </c>
      <c r="CV149" t="s">
        <v>805</v>
      </c>
      <c r="CW149" t="s">
        <v>805</v>
      </c>
      <c r="CX149" t="s">
        <v>805</v>
      </c>
      <c r="CY149" t="s">
        <v>805</v>
      </c>
      <c r="CZ149" t="s">
        <v>805</v>
      </c>
      <c r="DA149" t="s">
        <v>805</v>
      </c>
      <c r="DB149" t="s">
        <v>805</v>
      </c>
      <c r="DC149" t="s">
        <v>805</v>
      </c>
      <c r="DD149" t="s">
        <v>805</v>
      </c>
      <c r="DE149" t="s">
        <v>805</v>
      </c>
      <c r="DF149" t="s">
        <v>805</v>
      </c>
      <c r="DG149" s="28">
        <f>VLOOKUP(E149,'KPI Count-SHARE'!A:F,3,0)</f>
        <v>0</v>
      </c>
      <c r="DH149" t="s">
        <v>805</v>
      </c>
      <c r="DI149" t="s">
        <v>805</v>
      </c>
      <c r="DJ149" t="s">
        <v>805</v>
      </c>
      <c r="DK149" t="s">
        <v>805</v>
      </c>
      <c r="DL149" t="s">
        <v>805</v>
      </c>
      <c r="DM149" t="s">
        <v>805</v>
      </c>
      <c r="DN149" s="28">
        <f>VLOOKUP(E149,'KPI Count-SHARE'!A:F,4,0)</f>
        <v>0</v>
      </c>
      <c r="DU149" s="28">
        <f>VLOOKUP(E149,'KPI Count-SHARE'!A:F,5,0)</f>
        <v>0</v>
      </c>
      <c r="EB149" s="28">
        <f>VLOOKUP(E149,'KPI Count-SHARE'!A:F,6,0)</f>
        <v>0</v>
      </c>
      <c r="EI149" t="str">
        <f>XCurrency &amp; " '000 per FTE"</f>
        <v>USD '000 per FTE</v>
      </c>
      <c r="EJ149" s="237" t="str">
        <f t="shared" si="1299"/>
        <v>-</v>
      </c>
      <c r="EK149" s="237" t="str">
        <f t="shared" si="1300"/>
        <v>-</v>
      </c>
      <c r="EL149" s="237" t="str">
        <f t="shared" si="1301"/>
        <v>-</v>
      </c>
      <c r="EM149" s="237" t="str">
        <f t="shared" si="1302"/>
        <v>-</v>
      </c>
      <c r="EN149" s="237" t="str">
        <f t="shared" si="1303"/>
        <v>-</v>
      </c>
      <c r="EO149" s="237" t="str">
        <f t="shared" si="1304"/>
        <v>-</v>
      </c>
      <c r="EP149" s="237" t="str">
        <f t="shared" si="1305"/>
        <v>-</v>
      </c>
      <c r="EQ149" s="237" t="str">
        <f t="shared" si="1306"/>
        <v>-</v>
      </c>
      <c r="ER149" s="237" t="str">
        <f t="shared" si="1307"/>
        <v>-</v>
      </c>
      <c r="ES149" s="237" t="str">
        <f t="shared" si="1308"/>
        <v>-</v>
      </c>
      <c r="ET149" s="237" t="str">
        <f t="shared" si="1309"/>
        <v>-</v>
      </c>
      <c r="EU149" s="237" t="str">
        <f t="shared" si="1310"/>
        <v>-</v>
      </c>
      <c r="EV149" s="237" t="str">
        <f t="shared" si="1311"/>
        <v>-</v>
      </c>
      <c r="EW149" s="237" t="str">
        <f t="shared" si="1312"/>
        <v>-</v>
      </c>
      <c r="EX149" s="237" t="str">
        <f t="shared" si="1313"/>
        <v>-</v>
      </c>
      <c r="EY149" s="237" t="str">
        <f t="shared" si="1314"/>
        <v>-</v>
      </c>
      <c r="EZ149" s="237" t="str">
        <f t="shared" si="1315"/>
        <v>-</v>
      </c>
      <c r="FA149" s="237" t="str">
        <f t="shared" si="1316"/>
        <v>-</v>
      </c>
      <c r="FB149" s="237" t="str">
        <f t="shared" si="1317"/>
        <v>-</v>
      </c>
      <c r="FC149" s="237" t="str">
        <f t="shared" si="1318"/>
        <v>-</v>
      </c>
      <c r="FD149" s="237" t="str">
        <f t="shared" si="1319"/>
        <v>-</v>
      </c>
      <c r="FE149" s="237" t="str">
        <f t="shared" si="1320"/>
        <v>-</v>
      </c>
      <c r="FF149" s="237" t="str">
        <f t="shared" si="1321"/>
        <v>-</v>
      </c>
      <c r="FG149" s="237" t="str">
        <f t="shared" si="1322"/>
        <v>-</v>
      </c>
      <c r="FH149" s="237" t="str">
        <f t="shared" si="1323"/>
        <v>-</v>
      </c>
      <c r="FI149" s="237" t="str">
        <f t="shared" si="1324"/>
        <v>-</v>
      </c>
      <c r="FJ149" s="237" t="str">
        <f t="shared" si="1325"/>
        <v>-</v>
      </c>
      <c r="FK149" s="237" t="str">
        <f t="shared" si="1326"/>
        <v>-</v>
      </c>
      <c r="FL149" s="237" t="str">
        <f t="shared" si="1327"/>
        <v>-</v>
      </c>
      <c r="FM149" s="237" t="str">
        <f t="shared" si="1328"/>
        <v>-</v>
      </c>
      <c r="FN149" s="237" t="str">
        <f t="shared" si="1329"/>
        <v>-</v>
      </c>
      <c r="FO149" s="237" t="str">
        <f t="shared" si="1330"/>
        <v>-</v>
      </c>
      <c r="FP149" s="237" t="str">
        <f t="shared" si="1331"/>
        <v>-</v>
      </c>
      <c r="FQ149" s="237" t="str">
        <f t="shared" si="1332"/>
        <v>-</v>
      </c>
      <c r="FR149" s="237" t="str">
        <f t="shared" si="1333"/>
        <v>-</v>
      </c>
      <c r="FS149" s="237" t="str">
        <f t="shared" si="1334"/>
        <v>-</v>
      </c>
      <c r="FT149" s="237" t="str">
        <f t="shared" si="1335"/>
        <v>-</v>
      </c>
      <c r="FU149" s="237" t="str">
        <f t="shared" si="1336"/>
        <v>-</v>
      </c>
      <c r="FV149" s="237" t="str">
        <f t="shared" si="1337"/>
        <v>-</v>
      </c>
      <c r="FW149" s="237" t="str">
        <f t="shared" si="1338"/>
        <v>-</v>
      </c>
      <c r="FX149" s="237" t="str">
        <f t="shared" si="1339"/>
        <v>-</v>
      </c>
      <c r="FY149" s="237" t="str">
        <f t="shared" si="1340"/>
        <v>-</v>
      </c>
      <c r="FZ149" s="237" t="str">
        <f t="shared" si="1341"/>
        <v>-</v>
      </c>
      <c r="GA149" s="237" t="str">
        <f t="shared" si="1342"/>
        <v>-</v>
      </c>
      <c r="GB149" s="237" t="str">
        <f t="shared" si="1343"/>
        <v>-</v>
      </c>
      <c r="GC149" s="237" t="str">
        <f t="shared" si="1344"/>
        <v>-</v>
      </c>
      <c r="GD149" s="237" t="str">
        <f t="shared" si="1345"/>
        <v>-</v>
      </c>
      <c r="GE149" s="237" t="str">
        <f t="shared" si="1346"/>
        <v>-</v>
      </c>
      <c r="GF149" s="237" t="str">
        <f t="shared" si="1347"/>
        <v>-</v>
      </c>
      <c r="GG149" s="237" t="str">
        <f t="shared" si="1348"/>
        <v>-</v>
      </c>
      <c r="GH149" s="237" t="str">
        <f t="shared" si="1349"/>
        <v>-</v>
      </c>
      <c r="GI149" s="237" t="str">
        <f t="shared" si="1350"/>
        <v>-</v>
      </c>
      <c r="GJ149" s="237" t="str">
        <f t="shared" si="1351"/>
        <v>-</v>
      </c>
      <c r="GK149" s="237" t="str">
        <f t="shared" si="1352"/>
        <v>-</v>
      </c>
      <c r="GL149" s="237" t="str">
        <f t="shared" si="1353"/>
        <v>-</v>
      </c>
      <c r="GM149" s="237" t="str">
        <f t="shared" si="1354"/>
        <v>-</v>
      </c>
      <c r="GN149" s="237" t="str">
        <f t="shared" si="1355"/>
        <v>-</v>
      </c>
      <c r="GO149" s="237" t="str">
        <f t="shared" si="1356"/>
        <v>-</v>
      </c>
      <c r="GP149" s="237" t="str">
        <f t="shared" si="1357"/>
        <v>-</v>
      </c>
      <c r="GQ149" s="237" t="str">
        <f t="shared" si="1358"/>
        <v>-</v>
      </c>
      <c r="GR149" s="237" t="str">
        <f t="shared" si="1359"/>
        <v>-</v>
      </c>
      <c r="GS149" s="237" t="str">
        <f t="shared" si="1360"/>
        <v>-</v>
      </c>
      <c r="GT149" s="237" t="str">
        <f t="shared" si="1361"/>
        <v>-</v>
      </c>
      <c r="GU149" s="237" t="str">
        <f t="shared" si="1362"/>
        <v>-</v>
      </c>
      <c r="GV149" s="237" t="str">
        <f t="shared" si="1363"/>
        <v>-</v>
      </c>
      <c r="GW149" s="237" t="str">
        <f t="shared" si="1364"/>
        <v>-</v>
      </c>
      <c r="GX149" s="237" t="str">
        <f t="shared" si="1365"/>
        <v>-</v>
      </c>
      <c r="GY149" s="237" t="str">
        <f t="shared" si="1366"/>
        <v>-</v>
      </c>
      <c r="GZ149" s="237" t="str">
        <f t="shared" si="1367"/>
        <v>-</v>
      </c>
      <c r="HA149" s="237" t="str">
        <f t="shared" si="1368"/>
        <v>-</v>
      </c>
      <c r="HB149" s="237" t="str">
        <f t="shared" si="1369"/>
        <v>-</v>
      </c>
      <c r="HC149" s="237" t="str">
        <f t="shared" si="1370"/>
        <v>-</v>
      </c>
      <c r="HD149" s="237" t="str">
        <f t="shared" si="1371"/>
        <v>-</v>
      </c>
      <c r="HE149" s="237" t="str">
        <f t="shared" si="1372"/>
        <v>-</v>
      </c>
      <c r="HF149" s="237" t="str">
        <f t="shared" si="1373"/>
        <v>-</v>
      </c>
      <c r="HG149" s="237" t="str">
        <f t="shared" si="1374"/>
        <v>-</v>
      </c>
      <c r="HH149" s="237" t="str">
        <f t="shared" si="1375"/>
        <v>-</v>
      </c>
      <c r="HI149" s="237" t="str">
        <f t="shared" si="1376"/>
        <v>-</v>
      </c>
      <c r="HJ149" s="237" t="str">
        <f t="shared" si="1377"/>
        <v>-</v>
      </c>
      <c r="HK149" s="237" t="str">
        <f t="shared" si="1378"/>
        <v>-</v>
      </c>
      <c r="HL149" s="237" t="str">
        <f t="shared" si="1379"/>
        <v>-</v>
      </c>
      <c r="HM149" s="237" t="str">
        <f t="shared" si="1380"/>
        <v>-</v>
      </c>
      <c r="HN149" s="237" t="str">
        <f t="shared" si="1381"/>
        <v>-</v>
      </c>
      <c r="HO149" s="237" t="str">
        <f t="shared" si="1382"/>
        <v>-</v>
      </c>
      <c r="HP149" s="237" t="str">
        <f t="shared" si="1383"/>
        <v>-</v>
      </c>
      <c r="HQ149" s="237" t="str">
        <f t="shared" si="1384"/>
        <v>-</v>
      </c>
      <c r="HR149" s="237" t="str">
        <f t="shared" si="1385"/>
        <v>-</v>
      </c>
      <c r="HS149" s="237" t="str">
        <f t="shared" si="1386"/>
        <v>-</v>
      </c>
      <c r="HT149" s="237" t="str">
        <f t="shared" si="1387"/>
        <v>-</v>
      </c>
      <c r="HU149" s="237" t="str">
        <f t="shared" si="1388"/>
        <v>-</v>
      </c>
      <c r="HV149" s="237" t="str">
        <f t="shared" si="1389"/>
        <v>-</v>
      </c>
      <c r="HW149" s="237" t="str">
        <f t="shared" si="1390"/>
        <v>-</v>
      </c>
      <c r="HX149" s="237" t="str">
        <f t="shared" si="1391"/>
        <v>-</v>
      </c>
      <c r="HY149" s="237" t="str">
        <f t="shared" si="1392"/>
        <v>-</v>
      </c>
      <c r="HZ149" s="237" t="str">
        <f t="shared" si="1393"/>
        <v>-</v>
      </c>
      <c r="IA149" s="237" t="str">
        <f t="shared" si="1394"/>
        <v>-</v>
      </c>
      <c r="IB149" s="237" t="str">
        <f t="shared" si="1395"/>
        <v>-</v>
      </c>
      <c r="IC149" s="237" t="str">
        <f t="shared" si="1396"/>
        <v>-</v>
      </c>
      <c r="ID149" s="237" t="str">
        <f t="shared" si="1397"/>
        <v>-</v>
      </c>
      <c r="IE149" s="237" t="str">
        <f t="shared" si="1398"/>
        <v>-</v>
      </c>
      <c r="IF149" s="237" t="str">
        <f t="shared" si="1399"/>
        <v>-</v>
      </c>
      <c r="IG149" s="312" t="str">
        <f t="shared" si="1400"/>
        <v>-</v>
      </c>
      <c r="IH149" s="99" t="str">
        <f t="shared" si="1401"/>
        <v>-</v>
      </c>
      <c r="II149" s="99" t="str">
        <f t="shared" si="1402"/>
        <v>-</v>
      </c>
      <c r="IJ149" s="99" t="str">
        <f t="shared" si="1403"/>
        <v>-</v>
      </c>
      <c r="IK149" s="99" t="str">
        <f t="shared" si="1404"/>
        <v>-</v>
      </c>
      <c r="IL149" s="99" t="str">
        <f t="shared" si="1405"/>
        <v>-</v>
      </c>
      <c r="IM149" s="312" t="str">
        <f t="shared" si="1406"/>
        <v/>
      </c>
      <c r="IN149" s="99" t="str">
        <f t="shared" si="1407"/>
        <v/>
      </c>
      <c r="IO149" s="99" t="str">
        <f t="shared" si="1408"/>
        <v/>
      </c>
      <c r="IP149" s="99" t="str">
        <f t="shared" si="1409"/>
        <v/>
      </c>
      <c r="IQ149" s="99" t="str">
        <f t="shared" si="1410"/>
        <v/>
      </c>
      <c r="IR149" s="99" t="str">
        <f t="shared" si="1411"/>
        <v/>
      </c>
      <c r="IS149" s="312" t="str">
        <f t="shared" si="1412"/>
        <v/>
      </c>
      <c r="IT149" s="99" t="str">
        <f t="shared" si="1413"/>
        <v/>
      </c>
      <c r="IU149" s="99" t="str">
        <f t="shared" si="1414"/>
        <v/>
      </c>
      <c r="IV149" s="99" t="str">
        <f t="shared" si="1415"/>
        <v/>
      </c>
      <c r="IW149" s="99" t="str">
        <f t="shared" si="1416"/>
        <v/>
      </c>
      <c r="IX149" s="99" t="str">
        <f t="shared" si="1417"/>
        <v/>
      </c>
      <c r="IY149" s="312" t="str">
        <f t="shared" si="1418"/>
        <v/>
      </c>
      <c r="IZ149" s="99" t="str">
        <f t="shared" si="1419"/>
        <v/>
      </c>
      <c r="JA149" s="99" t="str">
        <f t="shared" si="1420"/>
        <v/>
      </c>
      <c r="JB149" s="99" t="str">
        <f t="shared" si="1421"/>
        <v/>
      </c>
      <c r="JC149" s="99" t="str">
        <f t="shared" si="1422"/>
        <v/>
      </c>
      <c r="JD149" s="313" t="str">
        <f t="shared" si="1423"/>
        <v/>
      </c>
      <c r="JF149" s="66">
        <f t="shared" si="779"/>
        <v>149</v>
      </c>
      <c r="JG149" s="66">
        <f t="shared" ca="1" si="789"/>
        <v>0</v>
      </c>
      <c r="JH149" s="66">
        <f t="shared" ca="1" si="790"/>
        <v>0</v>
      </c>
      <c r="JI149" s="66">
        <f t="shared" ca="1" si="791"/>
        <v>0</v>
      </c>
      <c r="JJ149" s="66">
        <f t="shared" ca="1" si="792"/>
        <v>0</v>
      </c>
      <c r="JK149" s="33"/>
      <c r="JL149" s="74" t="str">
        <f t="shared" ca="1" si="793"/>
        <v>-</v>
      </c>
      <c r="JM149" s="75">
        <f t="shared" ca="1" si="794"/>
        <v>0</v>
      </c>
      <c r="JN149" s="75">
        <f t="shared" ca="1" si="795"/>
        <v>0</v>
      </c>
      <c r="JO149" s="74" t="str">
        <f t="shared" ca="1" si="796"/>
        <v>-</v>
      </c>
      <c r="JP149" s="74">
        <f t="shared" ca="1" si="797"/>
        <v>0</v>
      </c>
    </row>
    <row r="150" spans="1:276" hidden="1" outlineLevel="1" x14ac:dyDescent="0.35">
      <c r="A150" s="125" t="s">
        <v>805</v>
      </c>
      <c r="B150" s="125" t="s">
        <v>805</v>
      </c>
      <c r="C150" s="125" t="s">
        <v>805</v>
      </c>
      <c r="E150" s="142" t="s">
        <v>871</v>
      </c>
      <c r="F150" s="254" t="s">
        <v>796</v>
      </c>
      <c r="G150" t="s">
        <v>540</v>
      </c>
      <c r="H150" t="s">
        <v>535</v>
      </c>
      <c r="I150" t="s">
        <v>536</v>
      </c>
      <c r="J150" s="211" t="s">
        <v>805</v>
      </c>
      <c r="K150" t="s">
        <v>805</v>
      </c>
      <c r="L150" t="s">
        <v>805</v>
      </c>
      <c r="M150" t="s">
        <v>805</v>
      </c>
      <c r="N150" t="s">
        <v>805</v>
      </c>
      <c r="O150" t="s">
        <v>805</v>
      </c>
      <c r="P150" t="s">
        <v>805</v>
      </c>
      <c r="Q150" t="s">
        <v>805</v>
      </c>
      <c r="R150" t="s">
        <v>805</v>
      </c>
      <c r="S150" t="s">
        <v>805</v>
      </c>
      <c r="T150" t="s">
        <v>805</v>
      </c>
      <c r="U150" t="s">
        <v>805</v>
      </c>
      <c r="V150" t="s">
        <v>805</v>
      </c>
      <c r="W150" t="s">
        <v>805</v>
      </c>
      <c r="X150" t="s">
        <v>805</v>
      </c>
      <c r="Y150" t="s">
        <v>805</v>
      </c>
      <c r="Z150" t="s">
        <v>805</v>
      </c>
      <c r="AA150" t="s">
        <v>805</v>
      </c>
      <c r="AB150" t="s">
        <v>805</v>
      </c>
      <c r="AC150" t="s">
        <v>805</v>
      </c>
      <c r="AD150" t="s">
        <v>805</v>
      </c>
      <c r="AE150" t="s">
        <v>805</v>
      </c>
      <c r="AF150" t="s">
        <v>805</v>
      </c>
      <c r="AG150" t="s">
        <v>805</v>
      </c>
      <c r="AH150" t="s">
        <v>805</v>
      </c>
      <c r="AI150" t="s">
        <v>805</v>
      </c>
      <c r="AJ150" t="s">
        <v>805</v>
      </c>
      <c r="AK150" t="s">
        <v>805</v>
      </c>
      <c r="AL150" t="s">
        <v>805</v>
      </c>
      <c r="AM150" t="s">
        <v>805</v>
      </c>
      <c r="AN150" t="s">
        <v>805</v>
      </c>
      <c r="AO150" t="s">
        <v>805</v>
      </c>
      <c r="AP150" t="s">
        <v>805</v>
      </c>
      <c r="AQ150" t="s">
        <v>805</v>
      </c>
      <c r="AR150" t="s">
        <v>805</v>
      </c>
      <c r="AS150" t="s">
        <v>805</v>
      </c>
      <c r="AT150" t="s">
        <v>805</v>
      </c>
      <c r="AU150" t="s">
        <v>805</v>
      </c>
      <c r="AV150" t="s">
        <v>805</v>
      </c>
      <c r="AW150" t="s">
        <v>805</v>
      </c>
      <c r="AX150" t="s">
        <v>805</v>
      </c>
      <c r="AY150" t="s">
        <v>805</v>
      </c>
      <c r="AZ150" t="s">
        <v>805</v>
      </c>
      <c r="BA150" t="s">
        <v>805</v>
      </c>
      <c r="BB150" t="s">
        <v>805</v>
      </c>
      <c r="BC150" t="s">
        <v>805</v>
      </c>
      <c r="BD150" t="s">
        <v>805</v>
      </c>
      <c r="BE150" t="s">
        <v>805</v>
      </c>
      <c r="BF150" t="s">
        <v>805</v>
      </c>
      <c r="BG150" t="s">
        <v>805</v>
      </c>
      <c r="BH150" t="s">
        <v>805</v>
      </c>
      <c r="BI150" t="s">
        <v>805</v>
      </c>
      <c r="BJ150" t="s">
        <v>805</v>
      </c>
      <c r="BK150" t="s">
        <v>805</v>
      </c>
      <c r="BL150" t="s">
        <v>805</v>
      </c>
      <c r="BM150" t="s">
        <v>805</v>
      </c>
      <c r="BN150" t="s">
        <v>805</v>
      </c>
      <c r="BO150" t="s">
        <v>805</v>
      </c>
      <c r="BP150" t="s">
        <v>805</v>
      </c>
      <c r="BQ150" t="s">
        <v>805</v>
      </c>
      <c r="BR150" t="s">
        <v>805</v>
      </c>
      <c r="BS150" t="s">
        <v>805</v>
      </c>
      <c r="BT150" t="s">
        <v>805</v>
      </c>
      <c r="BU150" t="s">
        <v>805</v>
      </c>
      <c r="BV150" t="s">
        <v>805</v>
      </c>
      <c r="BW150" t="s">
        <v>805</v>
      </c>
      <c r="BX150" t="s">
        <v>805</v>
      </c>
      <c r="BY150" t="s">
        <v>805</v>
      </c>
      <c r="BZ150" t="s">
        <v>805</v>
      </c>
      <c r="CA150" t="s">
        <v>805</v>
      </c>
      <c r="CB150" t="s">
        <v>805</v>
      </c>
      <c r="CC150" t="s">
        <v>805</v>
      </c>
      <c r="CD150" t="s">
        <v>805</v>
      </c>
      <c r="CE150" t="s">
        <v>805</v>
      </c>
      <c r="CF150" t="s">
        <v>805</v>
      </c>
      <c r="CG150" t="s">
        <v>805</v>
      </c>
      <c r="CH150" t="s">
        <v>805</v>
      </c>
      <c r="CI150" t="s">
        <v>805</v>
      </c>
      <c r="CJ150" t="s">
        <v>805</v>
      </c>
      <c r="CK150" t="s">
        <v>805</v>
      </c>
      <c r="CL150" t="s">
        <v>805</v>
      </c>
      <c r="CM150" t="s">
        <v>805</v>
      </c>
      <c r="CN150" t="s">
        <v>805</v>
      </c>
      <c r="CO150" t="s">
        <v>805</v>
      </c>
      <c r="CP150" t="s">
        <v>805</v>
      </c>
      <c r="CQ150" t="s">
        <v>805</v>
      </c>
      <c r="CR150" t="s">
        <v>805</v>
      </c>
      <c r="CS150" t="s">
        <v>805</v>
      </c>
      <c r="CT150" t="s">
        <v>805</v>
      </c>
      <c r="CU150" t="s">
        <v>805</v>
      </c>
      <c r="CV150" t="s">
        <v>805</v>
      </c>
      <c r="CW150" t="s">
        <v>805</v>
      </c>
      <c r="CX150" t="s">
        <v>805</v>
      </c>
      <c r="CY150" t="s">
        <v>805</v>
      </c>
      <c r="CZ150" t="s">
        <v>805</v>
      </c>
      <c r="DA150" t="s">
        <v>805</v>
      </c>
      <c r="DB150" t="s">
        <v>805</v>
      </c>
      <c r="DC150" t="s">
        <v>805</v>
      </c>
      <c r="DD150" t="s">
        <v>805</v>
      </c>
      <c r="DE150" t="s">
        <v>805</v>
      </c>
      <c r="DF150" t="s">
        <v>805</v>
      </c>
      <c r="DG150" s="28">
        <f>VLOOKUP(E150,'KPI Count-SHARE'!A:F,3,0)</f>
        <v>0</v>
      </c>
      <c r="DH150" t="s">
        <v>805</v>
      </c>
      <c r="DI150" t="s">
        <v>805</v>
      </c>
      <c r="DJ150" t="s">
        <v>805</v>
      </c>
      <c r="DK150" t="s">
        <v>805</v>
      </c>
      <c r="DL150" t="s">
        <v>805</v>
      </c>
      <c r="DM150" t="s">
        <v>805</v>
      </c>
      <c r="DN150" s="28">
        <f>VLOOKUP(E150,'KPI Count-SHARE'!A:F,4,0)</f>
        <v>0</v>
      </c>
      <c r="DU150" s="28">
        <f>VLOOKUP(E150,'KPI Count-SHARE'!A:F,5,0)</f>
        <v>0</v>
      </c>
      <c r="EB150" s="28">
        <f>VLOOKUP(E150,'KPI Count-SHARE'!A:F,6,0)</f>
        <v>0</v>
      </c>
      <c r="EI150" t="str">
        <f>XCurrency &amp; " '000 per FTE"</f>
        <v>USD '000 per FTE</v>
      </c>
      <c r="EJ150" s="237" t="str">
        <f t="shared" si="1299"/>
        <v>-</v>
      </c>
      <c r="EK150" s="237" t="str">
        <f t="shared" si="1300"/>
        <v>-</v>
      </c>
      <c r="EL150" s="237" t="str">
        <f t="shared" si="1301"/>
        <v>-</v>
      </c>
      <c r="EM150" s="237" t="str">
        <f t="shared" si="1302"/>
        <v>-</v>
      </c>
      <c r="EN150" s="237" t="str">
        <f t="shared" si="1303"/>
        <v>-</v>
      </c>
      <c r="EO150" s="237" t="str">
        <f t="shared" si="1304"/>
        <v>-</v>
      </c>
      <c r="EP150" s="237" t="str">
        <f t="shared" si="1305"/>
        <v>-</v>
      </c>
      <c r="EQ150" s="237" t="str">
        <f t="shared" si="1306"/>
        <v>-</v>
      </c>
      <c r="ER150" s="237" t="str">
        <f t="shared" si="1307"/>
        <v>-</v>
      </c>
      <c r="ES150" s="237" t="str">
        <f t="shared" si="1308"/>
        <v>-</v>
      </c>
      <c r="ET150" s="237" t="str">
        <f t="shared" si="1309"/>
        <v>-</v>
      </c>
      <c r="EU150" s="237" t="str">
        <f t="shared" si="1310"/>
        <v>-</v>
      </c>
      <c r="EV150" s="237" t="str">
        <f t="shared" si="1311"/>
        <v>-</v>
      </c>
      <c r="EW150" s="237" t="str">
        <f t="shared" si="1312"/>
        <v>-</v>
      </c>
      <c r="EX150" s="237" t="str">
        <f t="shared" si="1313"/>
        <v>-</v>
      </c>
      <c r="EY150" s="237" t="str">
        <f t="shared" si="1314"/>
        <v>-</v>
      </c>
      <c r="EZ150" s="237" t="str">
        <f t="shared" si="1315"/>
        <v>-</v>
      </c>
      <c r="FA150" s="237" t="str">
        <f t="shared" si="1316"/>
        <v>-</v>
      </c>
      <c r="FB150" s="237" t="str">
        <f t="shared" si="1317"/>
        <v>-</v>
      </c>
      <c r="FC150" s="237" t="str">
        <f t="shared" si="1318"/>
        <v>-</v>
      </c>
      <c r="FD150" s="237" t="str">
        <f t="shared" si="1319"/>
        <v>-</v>
      </c>
      <c r="FE150" s="237" t="str">
        <f t="shared" si="1320"/>
        <v>-</v>
      </c>
      <c r="FF150" s="237" t="str">
        <f t="shared" si="1321"/>
        <v>-</v>
      </c>
      <c r="FG150" s="237" t="str">
        <f t="shared" si="1322"/>
        <v>-</v>
      </c>
      <c r="FH150" s="237" t="str">
        <f t="shared" si="1323"/>
        <v>-</v>
      </c>
      <c r="FI150" s="237" t="str">
        <f t="shared" si="1324"/>
        <v>-</v>
      </c>
      <c r="FJ150" s="237" t="str">
        <f t="shared" si="1325"/>
        <v>-</v>
      </c>
      <c r="FK150" s="237" t="str">
        <f t="shared" si="1326"/>
        <v>-</v>
      </c>
      <c r="FL150" s="237" t="str">
        <f t="shared" si="1327"/>
        <v>-</v>
      </c>
      <c r="FM150" s="237" t="str">
        <f t="shared" si="1328"/>
        <v>-</v>
      </c>
      <c r="FN150" s="237" t="str">
        <f t="shared" si="1329"/>
        <v>-</v>
      </c>
      <c r="FO150" s="237" t="str">
        <f t="shared" si="1330"/>
        <v>-</v>
      </c>
      <c r="FP150" s="237" t="str">
        <f t="shared" si="1331"/>
        <v>-</v>
      </c>
      <c r="FQ150" s="237" t="str">
        <f t="shared" si="1332"/>
        <v>-</v>
      </c>
      <c r="FR150" s="237" t="str">
        <f t="shared" si="1333"/>
        <v>-</v>
      </c>
      <c r="FS150" s="237" t="str">
        <f t="shared" si="1334"/>
        <v>-</v>
      </c>
      <c r="FT150" s="237" t="str">
        <f t="shared" si="1335"/>
        <v>-</v>
      </c>
      <c r="FU150" s="237" t="str">
        <f t="shared" si="1336"/>
        <v>-</v>
      </c>
      <c r="FV150" s="237" t="str">
        <f t="shared" si="1337"/>
        <v>-</v>
      </c>
      <c r="FW150" s="237" t="str">
        <f t="shared" si="1338"/>
        <v>-</v>
      </c>
      <c r="FX150" s="237" t="str">
        <f t="shared" si="1339"/>
        <v>-</v>
      </c>
      <c r="FY150" s="237" t="str">
        <f t="shared" si="1340"/>
        <v>-</v>
      </c>
      <c r="FZ150" s="237" t="str">
        <f t="shared" si="1341"/>
        <v>-</v>
      </c>
      <c r="GA150" s="237" t="str">
        <f t="shared" si="1342"/>
        <v>-</v>
      </c>
      <c r="GB150" s="237" t="str">
        <f t="shared" si="1343"/>
        <v>-</v>
      </c>
      <c r="GC150" s="237" t="str">
        <f t="shared" si="1344"/>
        <v>-</v>
      </c>
      <c r="GD150" s="237" t="str">
        <f t="shared" si="1345"/>
        <v>-</v>
      </c>
      <c r="GE150" s="237" t="str">
        <f t="shared" si="1346"/>
        <v>-</v>
      </c>
      <c r="GF150" s="237" t="str">
        <f t="shared" si="1347"/>
        <v>-</v>
      </c>
      <c r="GG150" s="237" t="str">
        <f t="shared" si="1348"/>
        <v>-</v>
      </c>
      <c r="GH150" s="237" t="str">
        <f t="shared" si="1349"/>
        <v>-</v>
      </c>
      <c r="GI150" s="237" t="str">
        <f t="shared" si="1350"/>
        <v>-</v>
      </c>
      <c r="GJ150" s="237" t="str">
        <f t="shared" si="1351"/>
        <v>-</v>
      </c>
      <c r="GK150" s="237" t="str">
        <f t="shared" si="1352"/>
        <v>-</v>
      </c>
      <c r="GL150" s="237" t="str">
        <f t="shared" si="1353"/>
        <v>-</v>
      </c>
      <c r="GM150" s="237" t="str">
        <f t="shared" si="1354"/>
        <v>-</v>
      </c>
      <c r="GN150" s="237" t="str">
        <f t="shared" si="1355"/>
        <v>-</v>
      </c>
      <c r="GO150" s="237" t="str">
        <f t="shared" si="1356"/>
        <v>-</v>
      </c>
      <c r="GP150" s="237" t="str">
        <f t="shared" si="1357"/>
        <v>-</v>
      </c>
      <c r="GQ150" s="237" t="str">
        <f t="shared" si="1358"/>
        <v>-</v>
      </c>
      <c r="GR150" s="237" t="str">
        <f t="shared" si="1359"/>
        <v>-</v>
      </c>
      <c r="GS150" s="237" t="str">
        <f t="shared" si="1360"/>
        <v>-</v>
      </c>
      <c r="GT150" s="237" t="str">
        <f t="shared" si="1361"/>
        <v>-</v>
      </c>
      <c r="GU150" s="237" t="str">
        <f t="shared" si="1362"/>
        <v>-</v>
      </c>
      <c r="GV150" s="237" t="str">
        <f t="shared" si="1363"/>
        <v>-</v>
      </c>
      <c r="GW150" s="237" t="str">
        <f t="shared" si="1364"/>
        <v>-</v>
      </c>
      <c r="GX150" s="237" t="str">
        <f t="shared" si="1365"/>
        <v>-</v>
      </c>
      <c r="GY150" s="237" t="str">
        <f t="shared" si="1366"/>
        <v>-</v>
      </c>
      <c r="GZ150" s="237" t="str">
        <f t="shared" si="1367"/>
        <v>-</v>
      </c>
      <c r="HA150" s="237" t="str">
        <f t="shared" si="1368"/>
        <v>-</v>
      </c>
      <c r="HB150" s="237" t="str">
        <f t="shared" si="1369"/>
        <v>-</v>
      </c>
      <c r="HC150" s="237" t="str">
        <f t="shared" si="1370"/>
        <v>-</v>
      </c>
      <c r="HD150" s="237" t="str">
        <f t="shared" si="1371"/>
        <v>-</v>
      </c>
      <c r="HE150" s="237" t="str">
        <f t="shared" si="1372"/>
        <v>-</v>
      </c>
      <c r="HF150" s="237" t="str">
        <f t="shared" si="1373"/>
        <v>-</v>
      </c>
      <c r="HG150" s="237" t="str">
        <f t="shared" si="1374"/>
        <v>-</v>
      </c>
      <c r="HH150" s="237" t="str">
        <f t="shared" si="1375"/>
        <v>-</v>
      </c>
      <c r="HI150" s="237" t="str">
        <f t="shared" si="1376"/>
        <v>-</v>
      </c>
      <c r="HJ150" s="237" t="str">
        <f t="shared" si="1377"/>
        <v>-</v>
      </c>
      <c r="HK150" s="237" t="str">
        <f t="shared" si="1378"/>
        <v>-</v>
      </c>
      <c r="HL150" s="237" t="str">
        <f t="shared" si="1379"/>
        <v>-</v>
      </c>
      <c r="HM150" s="237" t="str">
        <f t="shared" si="1380"/>
        <v>-</v>
      </c>
      <c r="HN150" s="237" t="str">
        <f t="shared" si="1381"/>
        <v>-</v>
      </c>
      <c r="HO150" s="237" t="str">
        <f t="shared" si="1382"/>
        <v>-</v>
      </c>
      <c r="HP150" s="237" t="str">
        <f t="shared" si="1383"/>
        <v>-</v>
      </c>
      <c r="HQ150" s="237" t="str">
        <f t="shared" si="1384"/>
        <v>-</v>
      </c>
      <c r="HR150" s="237" t="str">
        <f t="shared" si="1385"/>
        <v>-</v>
      </c>
      <c r="HS150" s="237" t="str">
        <f t="shared" si="1386"/>
        <v>-</v>
      </c>
      <c r="HT150" s="237" t="str">
        <f t="shared" si="1387"/>
        <v>-</v>
      </c>
      <c r="HU150" s="237" t="str">
        <f t="shared" si="1388"/>
        <v>-</v>
      </c>
      <c r="HV150" s="237" t="str">
        <f t="shared" si="1389"/>
        <v>-</v>
      </c>
      <c r="HW150" s="237" t="str">
        <f t="shared" si="1390"/>
        <v>-</v>
      </c>
      <c r="HX150" s="237" t="str">
        <f t="shared" si="1391"/>
        <v>-</v>
      </c>
      <c r="HY150" s="237" t="str">
        <f t="shared" si="1392"/>
        <v>-</v>
      </c>
      <c r="HZ150" s="237" t="str">
        <f t="shared" si="1393"/>
        <v>-</v>
      </c>
      <c r="IA150" s="237" t="str">
        <f t="shared" si="1394"/>
        <v>-</v>
      </c>
      <c r="IB150" s="237" t="str">
        <f t="shared" si="1395"/>
        <v>-</v>
      </c>
      <c r="IC150" s="237" t="str">
        <f t="shared" si="1396"/>
        <v>-</v>
      </c>
      <c r="ID150" s="237" t="str">
        <f t="shared" si="1397"/>
        <v>-</v>
      </c>
      <c r="IE150" s="237" t="str">
        <f t="shared" si="1398"/>
        <v>-</v>
      </c>
      <c r="IF150" s="237" t="str">
        <f t="shared" si="1399"/>
        <v>-</v>
      </c>
      <c r="IG150" s="312" t="str">
        <f t="shared" si="1400"/>
        <v>-</v>
      </c>
      <c r="IH150" s="99" t="str">
        <f t="shared" si="1401"/>
        <v>-</v>
      </c>
      <c r="II150" s="99" t="str">
        <f t="shared" si="1402"/>
        <v>-</v>
      </c>
      <c r="IJ150" s="99" t="str">
        <f t="shared" si="1403"/>
        <v>-</v>
      </c>
      <c r="IK150" s="99" t="str">
        <f t="shared" si="1404"/>
        <v>-</v>
      </c>
      <c r="IL150" s="99" t="str">
        <f t="shared" si="1405"/>
        <v>-</v>
      </c>
      <c r="IM150" s="312" t="str">
        <f t="shared" si="1406"/>
        <v/>
      </c>
      <c r="IN150" s="99" t="str">
        <f t="shared" si="1407"/>
        <v/>
      </c>
      <c r="IO150" s="99" t="str">
        <f t="shared" si="1408"/>
        <v/>
      </c>
      <c r="IP150" s="99" t="str">
        <f t="shared" si="1409"/>
        <v/>
      </c>
      <c r="IQ150" s="99" t="str">
        <f t="shared" si="1410"/>
        <v/>
      </c>
      <c r="IR150" s="99" t="str">
        <f t="shared" si="1411"/>
        <v/>
      </c>
      <c r="IS150" s="312" t="str">
        <f t="shared" si="1412"/>
        <v/>
      </c>
      <c r="IT150" s="99" t="str">
        <f t="shared" si="1413"/>
        <v/>
      </c>
      <c r="IU150" s="99" t="str">
        <f t="shared" si="1414"/>
        <v/>
      </c>
      <c r="IV150" s="99" t="str">
        <f t="shared" si="1415"/>
        <v/>
      </c>
      <c r="IW150" s="99" t="str">
        <f t="shared" si="1416"/>
        <v/>
      </c>
      <c r="IX150" s="99" t="str">
        <f t="shared" si="1417"/>
        <v/>
      </c>
      <c r="IY150" s="312" t="str">
        <f t="shared" si="1418"/>
        <v/>
      </c>
      <c r="IZ150" s="99" t="str">
        <f t="shared" si="1419"/>
        <v/>
      </c>
      <c r="JA150" s="99" t="str">
        <f t="shared" si="1420"/>
        <v/>
      </c>
      <c r="JB150" s="99" t="str">
        <f t="shared" si="1421"/>
        <v/>
      </c>
      <c r="JC150" s="99" t="str">
        <f t="shared" si="1422"/>
        <v/>
      </c>
      <c r="JD150" s="313" t="str">
        <f t="shared" si="1423"/>
        <v/>
      </c>
      <c r="JF150" s="66">
        <f t="shared" si="779"/>
        <v>150</v>
      </c>
      <c r="JG150" s="66">
        <f t="shared" ca="1" si="789"/>
        <v>0</v>
      </c>
      <c r="JH150" s="66">
        <f t="shared" ca="1" si="790"/>
        <v>0</v>
      </c>
      <c r="JI150" s="66">
        <f t="shared" ca="1" si="791"/>
        <v>0</v>
      </c>
      <c r="JJ150" s="66">
        <f t="shared" ca="1" si="792"/>
        <v>0</v>
      </c>
      <c r="JK150" s="33"/>
      <c r="JL150" s="74" t="str">
        <f t="shared" ca="1" si="793"/>
        <v>-</v>
      </c>
      <c r="JM150" s="75">
        <f t="shared" ca="1" si="794"/>
        <v>0</v>
      </c>
      <c r="JN150" s="75">
        <f t="shared" ca="1" si="795"/>
        <v>0</v>
      </c>
      <c r="JO150" s="74" t="str">
        <f t="shared" ca="1" si="796"/>
        <v>-</v>
      </c>
      <c r="JP150" s="74">
        <f t="shared" ca="1" si="797"/>
        <v>0</v>
      </c>
    </row>
    <row r="151" spans="1:276" hidden="1" outlineLevel="1" x14ac:dyDescent="0.35">
      <c r="A151" s="125" t="s">
        <v>805</v>
      </c>
      <c r="B151" s="125" t="s">
        <v>805</v>
      </c>
      <c r="C151" s="125" t="s">
        <v>805</v>
      </c>
      <c r="E151" s="142" t="s">
        <v>872</v>
      </c>
      <c r="F151" s="254" t="s">
        <v>797</v>
      </c>
      <c r="G151" t="s">
        <v>540</v>
      </c>
      <c r="H151" t="s">
        <v>535</v>
      </c>
      <c r="I151" t="s">
        <v>536</v>
      </c>
      <c r="J151" s="211" t="s">
        <v>805</v>
      </c>
      <c r="K151" t="s">
        <v>805</v>
      </c>
      <c r="L151" t="s">
        <v>805</v>
      </c>
      <c r="M151" t="s">
        <v>805</v>
      </c>
      <c r="N151" t="s">
        <v>805</v>
      </c>
      <c r="O151" t="s">
        <v>805</v>
      </c>
      <c r="P151" t="s">
        <v>805</v>
      </c>
      <c r="Q151" t="s">
        <v>805</v>
      </c>
      <c r="R151" t="s">
        <v>805</v>
      </c>
      <c r="S151" t="s">
        <v>805</v>
      </c>
      <c r="T151" t="s">
        <v>805</v>
      </c>
      <c r="U151" t="s">
        <v>805</v>
      </c>
      <c r="V151" t="s">
        <v>805</v>
      </c>
      <c r="W151" t="s">
        <v>805</v>
      </c>
      <c r="X151" t="s">
        <v>805</v>
      </c>
      <c r="Y151" t="s">
        <v>805</v>
      </c>
      <c r="Z151" t="s">
        <v>805</v>
      </c>
      <c r="AA151" t="s">
        <v>805</v>
      </c>
      <c r="AB151" t="s">
        <v>805</v>
      </c>
      <c r="AC151" t="s">
        <v>805</v>
      </c>
      <c r="AD151" t="s">
        <v>805</v>
      </c>
      <c r="AE151" t="s">
        <v>805</v>
      </c>
      <c r="AF151" t="s">
        <v>805</v>
      </c>
      <c r="AG151" t="s">
        <v>805</v>
      </c>
      <c r="AH151" t="s">
        <v>805</v>
      </c>
      <c r="AI151" t="s">
        <v>805</v>
      </c>
      <c r="AJ151" t="s">
        <v>805</v>
      </c>
      <c r="AK151" t="s">
        <v>805</v>
      </c>
      <c r="AL151" t="s">
        <v>805</v>
      </c>
      <c r="AM151" t="s">
        <v>805</v>
      </c>
      <c r="AN151" t="s">
        <v>805</v>
      </c>
      <c r="AO151" t="s">
        <v>805</v>
      </c>
      <c r="AP151" t="s">
        <v>805</v>
      </c>
      <c r="AQ151" t="s">
        <v>805</v>
      </c>
      <c r="AR151" t="s">
        <v>805</v>
      </c>
      <c r="AS151" t="s">
        <v>805</v>
      </c>
      <c r="AT151" t="s">
        <v>805</v>
      </c>
      <c r="AU151" t="s">
        <v>805</v>
      </c>
      <c r="AV151" t="s">
        <v>805</v>
      </c>
      <c r="AW151" t="s">
        <v>805</v>
      </c>
      <c r="AX151" t="s">
        <v>805</v>
      </c>
      <c r="AY151" t="s">
        <v>805</v>
      </c>
      <c r="AZ151" t="s">
        <v>805</v>
      </c>
      <c r="BA151" t="s">
        <v>805</v>
      </c>
      <c r="BB151" t="s">
        <v>805</v>
      </c>
      <c r="BC151" t="s">
        <v>805</v>
      </c>
      <c r="BD151" t="s">
        <v>805</v>
      </c>
      <c r="BE151" t="s">
        <v>805</v>
      </c>
      <c r="BF151" t="s">
        <v>805</v>
      </c>
      <c r="BG151" t="s">
        <v>805</v>
      </c>
      <c r="BH151" t="s">
        <v>805</v>
      </c>
      <c r="BI151" t="s">
        <v>805</v>
      </c>
      <c r="BJ151" t="s">
        <v>805</v>
      </c>
      <c r="BK151" t="s">
        <v>805</v>
      </c>
      <c r="BL151" t="s">
        <v>805</v>
      </c>
      <c r="BM151" t="s">
        <v>805</v>
      </c>
      <c r="BN151" t="s">
        <v>805</v>
      </c>
      <c r="BO151" t="s">
        <v>805</v>
      </c>
      <c r="BP151" t="s">
        <v>805</v>
      </c>
      <c r="BQ151" t="s">
        <v>805</v>
      </c>
      <c r="BR151" t="s">
        <v>805</v>
      </c>
      <c r="BS151" t="s">
        <v>805</v>
      </c>
      <c r="BT151" t="s">
        <v>805</v>
      </c>
      <c r="BU151" t="s">
        <v>805</v>
      </c>
      <c r="BV151" t="s">
        <v>805</v>
      </c>
      <c r="BW151" t="s">
        <v>805</v>
      </c>
      <c r="BX151" t="s">
        <v>805</v>
      </c>
      <c r="BY151" t="s">
        <v>805</v>
      </c>
      <c r="BZ151" t="s">
        <v>805</v>
      </c>
      <c r="CA151" t="s">
        <v>805</v>
      </c>
      <c r="CB151" t="s">
        <v>805</v>
      </c>
      <c r="CC151" t="s">
        <v>805</v>
      </c>
      <c r="CD151" t="s">
        <v>805</v>
      </c>
      <c r="CE151" t="s">
        <v>805</v>
      </c>
      <c r="CF151" t="s">
        <v>805</v>
      </c>
      <c r="CG151" t="s">
        <v>805</v>
      </c>
      <c r="CH151" t="s">
        <v>805</v>
      </c>
      <c r="CI151" t="s">
        <v>805</v>
      </c>
      <c r="CJ151" t="s">
        <v>805</v>
      </c>
      <c r="CK151" t="s">
        <v>805</v>
      </c>
      <c r="CL151" t="s">
        <v>805</v>
      </c>
      <c r="CM151" t="s">
        <v>805</v>
      </c>
      <c r="CN151" t="s">
        <v>805</v>
      </c>
      <c r="CO151" t="s">
        <v>805</v>
      </c>
      <c r="CP151" t="s">
        <v>805</v>
      </c>
      <c r="CQ151" t="s">
        <v>805</v>
      </c>
      <c r="CR151" t="s">
        <v>805</v>
      </c>
      <c r="CS151" t="s">
        <v>805</v>
      </c>
      <c r="CT151" t="s">
        <v>805</v>
      </c>
      <c r="CU151" t="s">
        <v>805</v>
      </c>
      <c r="CV151" t="s">
        <v>805</v>
      </c>
      <c r="CW151" t="s">
        <v>805</v>
      </c>
      <c r="CX151" t="s">
        <v>805</v>
      </c>
      <c r="CY151" t="s">
        <v>805</v>
      </c>
      <c r="CZ151" t="s">
        <v>805</v>
      </c>
      <c r="DA151" t="s">
        <v>805</v>
      </c>
      <c r="DB151" t="s">
        <v>805</v>
      </c>
      <c r="DC151" t="s">
        <v>805</v>
      </c>
      <c r="DD151" t="s">
        <v>805</v>
      </c>
      <c r="DE151" t="s">
        <v>805</v>
      </c>
      <c r="DF151" t="s">
        <v>805</v>
      </c>
      <c r="DG151" s="28">
        <f>VLOOKUP(E151,'KPI Count-SHARE'!A:F,3,0)</f>
        <v>0</v>
      </c>
      <c r="DH151" t="s">
        <v>805</v>
      </c>
      <c r="DI151" t="s">
        <v>805</v>
      </c>
      <c r="DJ151" t="s">
        <v>805</v>
      </c>
      <c r="DK151" t="s">
        <v>805</v>
      </c>
      <c r="DL151" t="s">
        <v>805</v>
      </c>
      <c r="DM151" t="s">
        <v>805</v>
      </c>
      <c r="DN151" s="28">
        <f>VLOOKUP(E151,'KPI Count-SHARE'!A:F,4,0)</f>
        <v>0</v>
      </c>
      <c r="DU151" s="28">
        <f>VLOOKUP(E151,'KPI Count-SHARE'!A:F,5,0)</f>
        <v>0</v>
      </c>
      <c r="EB151" s="28">
        <f>VLOOKUP(E151,'KPI Count-SHARE'!A:F,6,0)</f>
        <v>0</v>
      </c>
      <c r="EI151" t="str">
        <f>XCurrency &amp; " '000 per FTE"</f>
        <v>USD '000 per FTE</v>
      </c>
      <c r="EJ151" s="237" t="str">
        <f t="shared" si="1299"/>
        <v>-</v>
      </c>
      <c r="EK151" s="237" t="str">
        <f t="shared" si="1300"/>
        <v>-</v>
      </c>
      <c r="EL151" s="237" t="str">
        <f t="shared" si="1301"/>
        <v>-</v>
      </c>
      <c r="EM151" s="237" t="str">
        <f t="shared" si="1302"/>
        <v>-</v>
      </c>
      <c r="EN151" s="237" t="str">
        <f t="shared" si="1303"/>
        <v>-</v>
      </c>
      <c r="EO151" s="237" t="str">
        <f t="shared" si="1304"/>
        <v>-</v>
      </c>
      <c r="EP151" s="237" t="str">
        <f t="shared" si="1305"/>
        <v>-</v>
      </c>
      <c r="EQ151" s="237" t="str">
        <f t="shared" si="1306"/>
        <v>-</v>
      </c>
      <c r="ER151" s="237" t="str">
        <f t="shared" si="1307"/>
        <v>-</v>
      </c>
      <c r="ES151" s="237" t="str">
        <f t="shared" si="1308"/>
        <v>-</v>
      </c>
      <c r="ET151" s="237" t="str">
        <f t="shared" si="1309"/>
        <v>-</v>
      </c>
      <c r="EU151" s="237" t="str">
        <f t="shared" si="1310"/>
        <v>-</v>
      </c>
      <c r="EV151" s="237" t="str">
        <f t="shared" si="1311"/>
        <v>-</v>
      </c>
      <c r="EW151" s="237" t="str">
        <f t="shared" si="1312"/>
        <v>-</v>
      </c>
      <c r="EX151" s="237" t="str">
        <f t="shared" si="1313"/>
        <v>-</v>
      </c>
      <c r="EY151" s="237" t="str">
        <f t="shared" si="1314"/>
        <v>-</v>
      </c>
      <c r="EZ151" s="237" t="str">
        <f t="shared" si="1315"/>
        <v>-</v>
      </c>
      <c r="FA151" s="237" t="str">
        <f t="shared" si="1316"/>
        <v>-</v>
      </c>
      <c r="FB151" s="237" t="str">
        <f t="shared" si="1317"/>
        <v>-</v>
      </c>
      <c r="FC151" s="237" t="str">
        <f t="shared" si="1318"/>
        <v>-</v>
      </c>
      <c r="FD151" s="237" t="str">
        <f t="shared" si="1319"/>
        <v>-</v>
      </c>
      <c r="FE151" s="237" t="str">
        <f t="shared" si="1320"/>
        <v>-</v>
      </c>
      <c r="FF151" s="237" t="str">
        <f t="shared" si="1321"/>
        <v>-</v>
      </c>
      <c r="FG151" s="237" t="str">
        <f t="shared" si="1322"/>
        <v>-</v>
      </c>
      <c r="FH151" s="237" t="str">
        <f t="shared" si="1323"/>
        <v>-</v>
      </c>
      <c r="FI151" s="237" t="str">
        <f t="shared" si="1324"/>
        <v>-</v>
      </c>
      <c r="FJ151" s="237" t="str">
        <f t="shared" si="1325"/>
        <v>-</v>
      </c>
      <c r="FK151" s="237" t="str">
        <f t="shared" si="1326"/>
        <v>-</v>
      </c>
      <c r="FL151" s="237" t="str">
        <f t="shared" si="1327"/>
        <v>-</v>
      </c>
      <c r="FM151" s="237" t="str">
        <f t="shared" si="1328"/>
        <v>-</v>
      </c>
      <c r="FN151" s="237" t="str">
        <f t="shared" si="1329"/>
        <v>-</v>
      </c>
      <c r="FO151" s="237" t="str">
        <f t="shared" si="1330"/>
        <v>-</v>
      </c>
      <c r="FP151" s="237" t="str">
        <f t="shared" si="1331"/>
        <v>-</v>
      </c>
      <c r="FQ151" s="237" t="str">
        <f t="shared" si="1332"/>
        <v>-</v>
      </c>
      <c r="FR151" s="237" t="str">
        <f t="shared" si="1333"/>
        <v>-</v>
      </c>
      <c r="FS151" s="237" t="str">
        <f t="shared" si="1334"/>
        <v>-</v>
      </c>
      <c r="FT151" s="237" t="str">
        <f t="shared" si="1335"/>
        <v>-</v>
      </c>
      <c r="FU151" s="237" t="str">
        <f t="shared" si="1336"/>
        <v>-</v>
      </c>
      <c r="FV151" s="237" t="str">
        <f t="shared" si="1337"/>
        <v>-</v>
      </c>
      <c r="FW151" s="237" t="str">
        <f t="shared" si="1338"/>
        <v>-</v>
      </c>
      <c r="FX151" s="237" t="str">
        <f t="shared" si="1339"/>
        <v>-</v>
      </c>
      <c r="FY151" s="237" t="str">
        <f t="shared" si="1340"/>
        <v>-</v>
      </c>
      <c r="FZ151" s="237" t="str">
        <f t="shared" si="1341"/>
        <v>-</v>
      </c>
      <c r="GA151" s="237" t="str">
        <f t="shared" si="1342"/>
        <v>-</v>
      </c>
      <c r="GB151" s="237" t="str">
        <f t="shared" si="1343"/>
        <v>-</v>
      </c>
      <c r="GC151" s="237" t="str">
        <f t="shared" si="1344"/>
        <v>-</v>
      </c>
      <c r="GD151" s="237" t="str">
        <f t="shared" si="1345"/>
        <v>-</v>
      </c>
      <c r="GE151" s="237" t="str">
        <f t="shared" si="1346"/>
        <v>-</v>
      </c>
      <c r="GF151" s="237" t="str">
        <f t="shared" si="1347"/>
        <v>-</v>
      </c>
      <c r="GG151" s="237" t="str">
        <f t="shared" si="1348"/>
        <v>-</v>
      </c>
      <c r="GH151" s="237" t="str">
        <f t="shared" si="1349"/>
        <v>-</v>
      </c>
      <c r="GI151" s="237" t="str">
        <f t="shared" si="1350"/>
        <v>-</v>
      </c>
      <c r="GJ151" s="237" t="str">
        <f t="shared" si="1351"/>
        <v>-</v>
      </c>
      <c r="GK151" s="237" t="str">
        <f t="shared" si="1352"/>
        <v>-</v>
      </c>
      <c r="GL151" s="237" t="str">
        <f t="shared" si="1353"/>
        <v>-</v>
      </c>
      <c r="GM151" s="237" t="str">
        <f t="shared" si="1354"/>
        <v>-</v>
      </c>
      <c r="GN151" s="237" t="str">
        <f t="shared" si="1355"/>
        <v>-</v>
      </c>
      <c r="GO151" s="237" t="str">
        <f t="shared" si="1356"/>
        <v>-</v>
      </c>
      <c r="GP151" s="237" t="str">
        <f t="shared" si="1357"/>
        <v>-</v>
      </c>
      <c r="GQ151" s="237" t="str">
        <f t="shared" si="1358"/>
        <v>-</v>
      </c>
      <c r="GR151" s="237" t="str">
        <f t="shared" si="1359"/>
        <v>-</v>
      </c>
      <c r="GS151" s="237" t="str">
        <f t="shared" si="1360"/>
        <v>-</v>
      </c>
      <c r="GT151" s="237" t="str">
        <f t="shared" si="1361"/>
        <v>-</v>
      </c>
      <c r="GU151" s="237" t="str">
        <f t="shared" si="1362"/>
        <v>-</v>
      </c>
      <c r="GV151" s="237" t="str">
        <f t="shared" si="1363"/>
        <v>-</v>
      </c>
      <c r="GW151" s="237" t="str">
        <f t="shared" si="1364"/>
        <v>-</v>
      </c>
      <c r="GX151" s="237" t="str">
        <f t="shared" si="1365"/>
        <v>-</v>
      </c>
      <c r="GY151" s="237" t="str">
        <f t="shared" si="1366"/>
        <v>-</v>
      </c>
      <c r="GZ151" s="237" t="str">
        <f t="shared" si="1367"/>
        <v>-</v>
      </c>
      <c r="HA151" s="237" t="str">
        <f t="shared" si="1368"/>
        <v>-</v>
      </c>
      <c r="HB151" s="237" t="str">
        <f t="shared" si="1369"/>
        <v>-</v>
      </c>
      <c r="HC151" s="237" t="str">
        <f t="shared" si="1370"/>
        <v>-</v>
      </c>
      <c r="HD151" s="237" t="str">
        <f t="shared" si="1371"/>
        <v>-</v>
      </c>
      <c r="HE151" s="237" t="str">
        <f t="shared" si="1372"/>
        <v>-</v>
      </c>
      <c r="HF151" s="237" t="str">
        <f t="shared" si="1373"/>
        <v>-</v>
      </c>
      <c r="HG151" s="237" t="str">
        <f t="shared" si="1374"/>
        <v>-</v>
      </c>
      <c r="HH151" s="237" t="str">
        <f t="shared" si="1375"/>
        <v>-</v>
      </c>
      <c r="HI151" s="237" t="str">
        <f t="shared" si="1376"/>
        <v>-</v>
      </c>
      <c r="HJ151" s="237" t="str">
        <f t="shared" si="1377"/>
        <v>-</v>
      </c>
      <c r="HK151" s="237" t="str">
        <f t="shared" si="1378"/>
        <v>-</v>
      </c>
      <c r="HL151" s="237" t="str">
        <f t="shared" si="1379"/>
        <v>-</v>
      </c>
      <c r="HM151" s="237" t="str">
        <f t="shared" si="1380"/>
        <v>-</v>
      </c>
      <c r="HN151" s="237" t="str">
        <f t="shared" si="1381"/>
        <v>-</v>
      </c>
      <c r="HO151" s="237" t="str">
        <f t="shared" si="1382"/>
        <v>-</v>
      </c>
      <c r="HP151" s="237" t="str">
        <f t="shared" si="1383"/>
        <v>-</v>
      </c>
      <c r="HQ151" s="237" t="str">
        <f t="shared" si="1384"/>
        <v>-</v>
      </c>
      <c r="HR151" s="237" t="str">
        <f t="shared" si="1385"/>
        <v>-</v>
      </c>
      <c r="HS151" s="237" t="str">
        <f t="shared" si="1386"/>
        <v>-</v>
      </c>
      <c r="HT151" s="237" t="str">
        <f t="shared" si="1387"/>
        <v>-</v>
      </c>
      <c r="HU151" s="237" t="str">
        <f t="shared" si="1388"/>
        <v>-</v>
      </c>
      <c r="HV151" s="237" t="str">
        <f t="shared" si="1389"/>
        <v>-</v>
      </c>
      <c r="HW151" s="237" t="str">
        <f t="shared" si="1390"/>
        <v>-</v>
      </c>
      <c r="HX151" s="237" t="str">
        <f t="shared" si="1391"/>
        <v>-</v>
      </c>
      <c r="HY151" s="237" t="str">
        <f t="shared" si="1392"/>
        <v>-</v>
      </c>
      <c r="HZ151" s="237" t="str">
        <f t="shared" si="1393"/>
        <v>-</v>
      </c>
      <c r="IA151" s="237" t="str">
        <f t="shared" si="1394"/>
        <v>-</v>
      </c>
      <c r="IB151" s="237" t="str">
        <f t="shared" si="1395"/>
        <v>-</v>
      </c>
      <c r="IC151" s="237" t="str">
        <f t="shared" si="1396"/>
        <v>-</v>
      </c>
      <c r="ID151" s="237" t="str">
        <f t="shared" si="1397"/>
        <v>-</v>
      </c>
      <c r="IE151" s="237" t="str">
        <f t="shared" si="1398"/>
        <v>-</v>
      </c>
      <c r="IF151" s="237" t="str">
        <f t="shared" si="1399"/>
        <v>-</v>
      </c>
      <c r="IG151" s="312" t="str">
        <f t="shared" si="1400"/>
        <v>-</v>
      </c>
      <c r="IH151" s="99" t="str">
        <f t="shared" si="1401"/>
        <v>-</v>
      </c>
      <c r="II151" s="99" t="str">
        <f t="shared" si="1402"/>
        <v>-</v>
      </c>
      <c r="IJ151" s="99" t="str">
        <f t="shared" si="1403"/>
        <v>-</v>
      </c>
      <c r="IK151" s="99" t="str">
        <f t="shared" si="1404"/>
        <v>-</v>
      </c>
      <c r="IL151" s="99" t="str">
        <f t="shared" si="1405"/>
        <v>-</v>
      </c>
      <c r="IM151" s="312" t="str">
        <f t="shared" si="1406"/>
        <v/>
      </c>
      <c r="IN151" s="99" t="str">
        <f t="shared" si="1407"/>
        <v/>
      </c>
      <c r="IO151" s="99" t="str">
        <f t="shared" si="1408"/>
        <v/>
      </c>
      <c r="IP151" s="99" t="str">
        <f t="shared" si="1409"/>
        <v/>
      </c>
      <c r="IQ151" s="99" t="str">
        <f t="shared" si="1410"/>
        <v/>
      </c>
      <c r="IR151" s="99" t="str">
        <f t="shared" si="1411"/>
        <v/>
      </c>
      <c r="IS151" s="312" t="str">
        <f t="shared" si="1412"/>
        <v/>
      </c>
      <c r="IT151" s="99" t="str">
        <f t="shared" si="1413"/>
        <v/>
      </c>
      <c r="IU151" s="99" t="str">
        <f t="shared" si="1414"/>
        <v/>
      </c>
      <c r="IV151" s="99" t="str">
        <f t="shared" si="1415"/>
        <v/>
      </c>
      <c r="IW151" s="99" t="str">
        <f t="shared" si="1416"/>
        <v/>
      </c>
      <c r="IX151" s="99" t="str">
        <f t="shared" si="1417"/>
        <v/>
      </c>
      <c r="IY151" s="312" t="str">
        <f t="shared" si="1418"/>
        <v/>
      </c>
      <c r="IZ151" s="99" t="str">
        <f t="shared" si="1419"/>
        <v/>
      </c>
      <c r="JA151" s="99" t="str">
        <f t="shared" si="1420"/>
        <v/>
      </c>
      <c r="JB151" s="99" t="str">
        <f t="shared" si="1421"/>
        <v/>
      </c>
      <c r="JC151" s="99" t="str">
        <f t="shared" si="1422"/>
        <v/>
      </c>
      <c r="JD151" s="313" t="str">
        <f t="shared" si="1423"/>
        <v/>
      </c>
      <c r="JF151" s="66">
        <f t="shared" si="779"/>
        <v>151</v>
      </c>
      <c r="JG151" s="66">
        <f t="shared" ca="1" si="789"/>
        <v>0</v>
      </c>
      <c r="JH151" s="66">
        <f t="shared" ca="1" si="790"/>
        <v>0</v>
      </c>
      <c r="JI151" s="66">
        <f t="shared" ca="1" si="791"/>
        <v>0</v>
      </c>
      <c r="JJ151" s="66">
        <f t="shared" ca="1" si="792"/>
        <v>0</v>
      </c>
      <c r="JK151" s="33"/>
      <c r="JL151" s="74" t="str">
        <f t="shared" ca="1" si="793"/>
        <v>-</v>
      </c>
      <c r="JM151" s="75">
        <f t="shared" ca="1" si="794"/>
        <v>0</v>
      </c>
      <c r="JN151" s="75">
        <f t="shared" ca="1" si="795"/>
        <v>0</v>
      </c>
      <c r="JO151" s="74" t="str">
        <f t="shared" ca="1" si="796"/>
        <v>-</v>
      </c>
      <c r="JP151" s="74">
        <f t="shared" ca="1" si="797"/>
        <v>0</v>
      </c>
    </row>
    <row r="152" spans="1:276" hidden="1" outlineLevel="1" x14ac:dyDescent="0.35">
      <c r="A152" s="125" t="s">
        <v>805</v>
      </c>
      <c r="B152" s="125" t="s">
        <v>805</v>
      </c>
      <c r="C152" s="125" t="s">
        <v>805</v>
      </c>
      <c r="E152" s="142" t="s">
        <v>873</v>
      </c>
      <c r="F152" s="254" t="s">
        <v>758</v>
      </c>
      <c r="G152" t="s">
        <v>540</v>
      </c>
      <c r="H152" t="s">
        <v>535</v>
      </c>
      <c r="I152" t="s">
        <v>536</v>
      </c>
      <c r="J152" s="211" t="s">
        <v>805</v>
      </c>
      <c r="K152" t="s">
        <v>805</v>
      </c>
      <c r="L152" t="s">
        <v>805</v>
      </c>
      <c r="M152" t="s">
        <v>805</v>
      </c>
      <c r="N152" t="s">
        <v>805</v>
      </c>
      <c r="O152" t="s">
        <v>805</v>
      </c>
      <c r="P152" t="s">
        <v>805</v>
      </c>
      <c r="Q152" t="s">
        <v>805</v>
      </c>
      <c r="R152" t="s">
        <v>805</v>
      </c>
      <c r="S152" t="s">
        <v>805</v>
      </c>
      <c r="T152" t="s">
        <v>805</v>
      </c>
      <c r="U152" t="s">
        <v>805</v>
      </c>
      <c r="V152" t="s">
        <v>805</v>
      </c>
      <c r="W152" t="s">
        <v>805</v>
      </c>
      <c r="X152" t="s">
        <v>805</v>
      </c>
      <c r="Y152" t="s">
        <v>805</v>
      </c>
      <c r="Z152" t="s">
        <v>805</v>
      </c>
      <c r="AA152" t="s">
        <v>805</v>
      </c>
      <c r="AB152" t="s">
        <v>805</v>
      </c>
      <c r="AC152" t="s">
        <v>805</v>
      </c>
      <c r="AD152" t="s">
        <v>805</v>
      </c>
      <c r="AE152" t="s">
        <v>805</v>
      </c>
      <c r="AF152" t="s">
        <v>805</v>
      </c>
      <c r="AG152" t="s">
        <v>805</v>
      </c>
      <c r="AH152" t="s">
        <v>805</v>
      </c>
      <c r="AI152" t="s">
        <v>805</v>
      </c>
      <c r="AJ152" t="s">
        <v>805</v>
      </c>
      <c r="AK152" t="s">
        <v>805</v>
      </c>
      <c r="AL152" t="s">
        <v>805</v>
      </c>
      <c r="AM152" t="s">
        <v>805</v>
      </c>
      <c r="AN152" t="s">
        <v>805</v>
      </c>
      <c r="AO152" t="s">
        <v>805</v>
      </c>
      <c r="AP152" t="s">
        <v>805</v>
      </c>
      <c r="AQ152" t="s">
        <v>805</v>
      </c>
      <c r="AR152" t="s">
        <v>805</v>
      </c>
      <c r="AS152" t="s">
        <v>805</v>
      </c>
      <c r="AT152" t="s">
        <v>805</v>
      </c>
      <c r="AU152" t="s">
        <v>805</v>
      </c>
      <c r="AV152" t="s">
        <v>805</v>
      </c>
      <c r="AW152" t="s">
        <v>805</v>
      </c>
      <c r="AX152" t="s">
        <v>805</v>
      </c>
      <c r="AY152" t="s">
        <v>805</v>
      </c>
      <c r="AZ152" t="s">
        <v>805</v>
      </c>
      <c r="BA152" t="s">
        <v>805</v>
      </c>
      <c r="BB152" t="s">
        <v>805</v>
      </c>
      <c r="BC152" t="s">
        <v>805</v>
      </c>
      <c r="BD152" t="s">
        <v>805</v>
      </c>
      <c r="BE152" t="s">
        <v>805</v>
      </c>
      <c r="BF152" t="s">
        <v>805</v>
      </c>
      <c r="BG152" t="s">
        <v>805</v>
      </c>
      <c r="BH152" t="s">
        <v>805</v>
      </c>
      <c r="BI152" t="s">
        <v>805</v>
      </c>
      <c r="BJ152" t="s">
        <v>805</v>
      </c>
      <c r="BK152" t="s">
        <v>805</v>
      </c>
      <c r="BL152" t="s">
        <v>805</v>
      </c>
      <c r="BM152" t="s">
        <v>805</v>
      </c>
      <c r="BN152" t="s">
        <v>805</v>
      </c>
      <c r="BO152" t="s">
        <v>805</v>
      </c>
      <c r="BP152" t="s">
        <v>805</v>
      </c>
      <c r="BQ152" t="s">
        <v>805</v>
      </c>
      <c r="BR152" t="s">
        <v>805</v>
      </c>
      <c r="BS152" t="s">
        <v>805</v>
      </c>
      <c r="BT152" t="s">
        <v>805</v>
      </c>
      <c r="BU152" t="s">
        <v>805</v>
      </c>
      <c r="BV152" t="s">
        <v>805</v>
      </c>
      <c r="BW152" t="s">
        <v>805</v>
      </c>
      <c r="BX152" t="s">
        <v>805</v>
      </c>
      <c r="BY152" t="s">
        <v>805</v>
      </c>
      <c r="BZ152" t="s">
        <v>805</v>
      </c>
      <c r="CA152" t="s">
        <v>805</v>
      </c>
      <c r="CB152" t="s">
        <v>805</v>
      </c>
      <c r="CC152" t="s">
        <v>805</v>
      </c>
      <c r="CD152" t="s">
        <v>805</v>
      </c>
      <c r="CE152" t="s">
        <v>805</v>
      </c>
      <c r="CF152" t="s">
        <v>805</v>
      </c>
      <c r="CG152" t="s">
        <v>805</v>
      </c>
      <c r="CH152" t="s">
        <v>805</v>
      </c>
      <c r="CI152" t="s">
        <v>805</v>
      </c>
      <c r="CJ152" t="s">
        <v>805</v>
      </c>
      <c r="CK152" t="s">
        <v>805</v>
      </c>
      <c r="CL152" t="s">
        <v>805</v>
      </c>
      <c r="CM152" t="s">
        <v>805</v>
      </c>
      <c r="CN152" t="s">
        <v>805</v>
      </c>
      <c r="CO152" t="s">
        <v>805</v>
      </c>
      <c r="CP152" t="s">
        <v>805</v>
      </c>
      <c r="CQ152" t="s">
        <v>805</v>
      </c>
      <c r="CR152" t="s">
        <v>805</v>
      </c>
      <c r="CS152" t="s">
        <v>805</v>
      </c>
      <c r="CT152" t="s">
        <v>805</v>
      </c>
      <c r="CU152" t="s">
        <v>805</v>
      </c>
      <c r="CV152" t="s">
        <v>805</v>
      </c>
      <c r="CW152" t="s">
        <v>805</v>
      </c>
      <c r="CX152" t="s">
        <v>805</v>
      </c>
      <c r="CY152" t="s">
        <v>805</v>
      </c>
      <c r="CZ152" t="s">
        <v>805</v>
      </c>
      <c r="DA152" t="s">
        <v>805</v>
      </c>
      <c r="DB152" t="s">
        <v>805</v>
      </c>
      <c r="DC152" t="s">
        <v>805</v>
      </c>
      <c r="DD152" t="s">
        <v>805</v>
      </c>
      <c r="DE152" t="s">
        <v>805</v>
      </c>
      <c r="DF152" t="s">
        <v>805</v>
      </c>
      <c r="DG152" s="28">
        <f>VLOOKUP(E152,'KPI Count-SHARE'!A:F,3,0)</f>
        <v>0</v>
      </c>
      <c r="DH152" t="s">
        <v>805</v>
      </c>
      <c r="DI152" t="s">
        <v>805</v>
      </c>
      <c r="DJ152" t="s">
        <v>805</v>
      </c>
      <c r="DK152" t="s">
        <v>805</v>
      </c>
      <c r="DL152" t="s">
        <v>805</v>
      </c>
      <c r="DM152" t="s">
        <v>805</v>
      </c>
      <c r="DN152" s="28">
        <f>VLOOKUP(E152,'KPI Count-SHARE'!A:F,4,0)</f>
        <v>0</v>
      </c>
      <c r="DU152" s="28">
        <f>VLOOKUP(E152,'KPI Count-SHARE'!A:F,5,0)</f>
        <v>0</v>
      </c>
      <c r="EB152" s="28">
        <f>VLOOKUP(E152,'KPI Count-SHARE'!A:F,6,0)</f>
        <v>0</v>
      </c>
      <c r="EI152" t="str">
        <f>XCurrency &amp; " '000 per FTE"</f>
        <v>USD '000 per FTE</v>
      </c>
      <c r="EJ152" s="237" t="str">
        <f t="shared" si="1299"/>
        <v>-</v>
      </c>
      <c r="EK152" s="237" t="str">
        <f t="shared" si="1300"/>
        <v>-</v>
      </c>
      <c r="EL152" s="237" t="str">
        <f t="shared" si="1301"/>
        <v>-</v>
      </c>
      <c r="EM152" s="237" t="str">
        <f t="shared" si="1302"/>
        <v>-</v>
      </c>
      <c r="EN152" s="237" t="str">
        <f t="shared" si="1303"/>
        <v>-</v>
      </c>
      <c r="EO152" s="237" t="str">
        <f t="shared" si="1304"/>
        <v>-</v>
      </c>
      <c r="EP152" s="237" t="str">
        <f t="shared" si="1305"/>
        <v>-</v>
      </c>
      <c r="EQ152" s="237" t="str">
        <f t="shared" si="1306"/>
        <v>-</v>
      </c>
      <c r="ER152" s="237" t="str">
        <f t="shared" si="1307"/>
        <v>-</v>
      </c>
      <c r="ES152" s="237" t="str">
        <f t="shared" si="1308"/>
        <v>-</v>
      </c>
      <c r="ET152" s="237" t="str">
        <f t="shared" si="1309"/>
        <v>-</v>
      </c>
      <c r="EU152" s="237" t="str">
        <f t="shared" si="1310"/>
        <v>-</v>
      </c>
      <c r="EV152" s="237" t="str">
        <f t="shared" si="1311"/>
        <v>-</v>
      </c>
      <c r="EW152" s="237" t="str">
        <f t="shared" si="1312"/>
        <v>-</v>
      </c>
      <c r="EX152" s="237" t="str">
        <f t="shared" si="1313"/>
        <v>-</v>
      </c>
      <c r="EY152" s="237" t="str">
        <f t="shared" si="1314"/>
        <v>-</v>
      </c>
      <c r="EZ152" s="237" t="str">
        <f t="shared" si="1315"/>
        <v>-</v>
      </c>
      <c r="FA152" s="237" t="str">
        <f t="shared" si="1316"/>
        <v>-</v>
      </c>
      <c r="FB152" s="237" t="str">
        <f t="shared" si="1317"/>
        <v>-</v>
      </c>
      <c r="FC152" s="237" t="str">
        <f t="shared" si="1318"/>
        <v>-</v>
      </c>
      <c r="FD152" s="237" t="str">
        <f t="shared" si="1319"/>
        <v>-</v>
      </c>
      <c r="FE152" s="237" t="str">
        <f t="shared" si="1320"/>
        <v>-</v>
      </c>
      <c r="FF152" s="237" t="str">
        <f t="shared" si="1321"/>
        <v>-</v>
      </c>
      <c r="FG152" s="237" t="str">
        <f t="shared" si="1322"/>
        <v>-</v>
      </c>
      <c r="FH152" s="237" t="str">
        <f t="shared" si="1323"/>
        <v>-</v>
      </c>
      <c r="FI152" s="237" t="str">
        <f t="shared" si="1324"/>
        <v>-</v>
      </c>
      <c r="FJ152" s="237" t="str">
        <f t="shared" si="1325"/>
        <v>-</v>
      </c>
      <c r="FK152" s="237" t="str">
        <f t="shared" si="1326"/>
        <v>-</v>
      </c>
      <c r="FL152" s="237" t="str">
        <f t="shared" si="1327"/>
        <v>-</v>
      </c>
      <c r="FM152" s="237" t="str">
        <f t="shared" si="1328"/>
        <v>-</v>
      </c>
      <c r="FN152" s="237" t="str">
        <f t="shared" si="1329"/>
        <v>-</v>
      </c>
      <c r="FO152" s="237" t="str">
        <f t="shared" si="1330"/>
        <v>-</v>
      </c>
      <c r="FP152" s="237" t="str">
        <f t="shared" si="1331"/>
        <v>-</v>
      </c>
      <c r="FQ152" s="237" t="str">
        <f t="shared" si="1332"/>
        <v>-</v>
      </c>
      <c r="FR152" s="237" t="str">
        <f t="shared" si="1333"/>
        <v>-</v>
      </c>
      <c r="FS152" s="237" t="str">
        <f t="shared" si="1334"/>
        <v>-</v>
      </c>
      <c r="FT152" s="237" t="str">
        <f t="shared" si="1335"/>
        <v>-</v>
      </c>
      <c r="FU152" s="237" t="str">
        <f t="shared" si="1336"/>
        <v>-</v>
      </c>
      <c r="FV152" s="237" t="str">
        <f t="shared" si="1337"/>
        <v>-</v>
      </c>
      <c r="FW152" s="237" t="str">
        <f t="shared" si="1338"/>
        <v>-</v>
      </c>
      <c r="FX152" s="237" t="str">
        <f t="shared" si="1339"/>
        <v>-</v>
      </c>
      <c r="FY152" s="237" t="str">
        <f t="shared" si="1340"/>
        <v>-</v>
      </c>
      <c r="FZ152" s="237" t="str">
        <f t="shared" si="1341"/>
        <v>-</v>
      </c>
      <c r="GA152" s="237" t="str">
        <f t="shared" si="1342"/>
        <v>-</v>
      </c>
      <c r="GB152" s="237" t="str">
        <f t="shared" si="1343"/>
        <v>-</v>
      </c>
      <c r="GC152" s="237" t="str">
        <f t="shared" si="1344"/>
        <v>-</v>
      </c>
      <c r="GD152" s="237" t="str">
        <f t="shared" si="1345"/>
        <v>-</v>
      </c>
      <c r="GE152" s="237" t="str">
        <f t="shared" si="1346"/>
        <v>-</v>
      </c>
      <c r="GF152" s="237" t="str">
        <f t="shared" si="1347"/>
        <v>-</v>
      </c>
      <c r="GG152" s="237" t="str">
        <f t="shared" si="1348"/>
        <v>-</v>
      </c>
      <c r="GH152" s="237" t="str">
        <f t="shared" si="1349"/>
        <v>-</v>
      </c>
      <c r="GI152" s="237" t="str">
        <f t="shared" si="1350"/>
        <v>-</v>
      </c>
      <c r="GJ152" s="237" t="str">
        <f t="shared" si="1351"/>
        <v>-</v>
      </c>
      <c r="GK152" s="237" t="str">
        <f t="shared" si="1352"/>
        <v>-</v>
      </c>
      <c r="GL152" s="237" t="str">
        <f t="shared" si="1353"/>
        <v>-</v>
      </c>
      <c r="GM152" s="237" t="str">
        <f t="shared" si="1354"/>
        <v>-</v>
      </c>
      <c r="GN152" s="237" t="str">
        <f t="shared" si="1355"/>
        <v>-</v>
      </c>
      <c r="GO152" s="237" t="str">
        <f t="shared" si="1356"/>
        <v>-</v>
      </c>
      <c r="GP152" s="237" t="str">
        <f t="shared" si="1357"/>
        <v>-</v>
      </c>
      <c r="GQ152" s="237" t="str">
        <f t="shared" si="1358"/>
        <v>-</v>
      </c>
      <c r="GR152" s="237" t="str">
        <f t="shared" si="1359"/>
        <v>-</v>
      </c>
      <c r="GS152" s="237" t="str">
        <f t="shared" si="1360"/>
        <v>-</v>
      </c>
      <c r="GT152" s="237" t="str">
        <f t="shared" si="1361"/>
        <v>-</v>
      </c>
      <c r="GU152" s="237" t="str">
        <f t="shared" si="1362"/>
        <v>-</v>
      </c>
      <c r="GV152" s="237" t="str">
        <f t="shared" si="1363"/>
        <v>-</v>
      </c>
      <c r="GW152" s="237" t="str">
        <f t="shared" si="1364"/>
        <v>-</v>
      </c>
      <c r="GX152" s="237" t="str">
        <f t="shared" si="1365"/>
        <v>-</v>
      </c>
      <c r="GY152" s="237" t="str">
        <f t="shared" si="1366"/>
        <v>-</v>
      </c>
      <c r="GZ152" s="237" t="str">
        <f t="shared" si="1367"/>
        <v>-</v>
      </c>
      <c r="HA152" s="237" t="str">
        <f t="shared" si="1368"/>
        <v>-</v>
      </c>
      <c r="HB152" s="237" t="str">
        <f t="shared" si="1369"/>
        <v>-</v>
      </c>
      <c r="HC152" s="237" t="str">
        <f t="shared" si="1370"/>
        <v>-</v>
      </c>
      <c r="HD152" s="237" t="str">
        <f t="shared" si="1371"/>
        <v>-</v>
      </c>
      <c r="HE152" s="237" t="str">
        <f t="shared" si="1372"/>
        <v>-</v>
      </c>
      <c r="HF152" s="237" t="str">
        <f t="shared" si="1373"/>
        <v>-</v>
      </c>
      <c r="HG152" s="237" t="str">
        <f t="shared" si="1374"/>
        <v>-</v>
      </c>
      <c r="HH152" s="237" t="str">
        <f t="shared" si="1375"/>
        <v>-</v>
      </c>
      <c r="HI152" s="237" t="str">
        <f t="shared" si="1376"/>
        <v>-</v>
      </c>
      <c r="HJ152" s="237" t="str">
        <f t="shared" si="1377"/>
        <v>-</v>
      </c>
      <c r="HK152" s="237" t="str">
        <f t="shared" si="1378"/>
        <v>-</v>
      </c>
      <c r="HL152" s="237" t="str">
        <f t="shared" si="1379"/>
        <v>-</v>
      </c>
      <c r="HM152" s="237" t="str">
        <f t="shared" si="1380"/>
        <v>-</v>
      </c>
      <c r="HN152" s="237" t="str">
        <f t="shared" si="1381"/>
        <v>-</v>
      </c>
      <c r="HO152" s="237" t="str">
        <f t="shared" si="1382"/>
        <v>-</v>
      </c>
      <c r="HP152" s="237" t="str">
        <f t="shared" si="1383"/>
        <v>-</v>
      </c>
      <c r="HQ152" s="237" t="str">
        <f t="shared" si="1384"/>
        <v>-</v>
      </c>
      <c r="HR152" s="237" t="str">
        <f t="shared" si="1385"/>
        <v>-</v>
      </c>
      <c r="HS152" s="237" t="str">
        <f t="shared" si="1386"/>
        <v>-</v>
      </c>
      <c r="HT152" s="237" t="str">
        <f t="shared" si="1387"/>
        <v>-</v>
      </c>
      <c r="HU152" s="237" t="str">
        <f t="shared" si="1388"/>
        <v>-</v>
      </c>
      <c r="HV152" s="237" t="str">
        <f t="shared" si="1389"/>
        <v>-</v>
      </c>
      <c r="HW152" s="237" t="str">
        <f t="shared" si="1390"/>
        <v>-</v>
      </c>
      <c r="HX152" s="237" t="str">
        <f t="shared" si="1391"/>
        <v>-</v>
      </c>
      <c r="HY152" s="237" t="str">
        <f t="shared" si="1392"/>
        <v>-</v>
      </c>
      <c r="HZ152" s="237" t="str">
        <f t="shared" si="1393"/>
        <v>-</v>
      </c>
      <c r="IA152" s="237" t="str">
        <f t="shared" si="1394"/>
        <v>-</v>
      </c>
      <c r="IB152" s="237" t="str">
        <f t="shared" si="1395"/>
        <v>-</v>
      </c>
      <c r="IC152" s="237" t="str">
        <f t="shared" si="1396"/>
        <v>-</v>
      </c>
      <c r="ID152" s="237" t="str">
        <f t="shared" si="1397"/>
        <v>-</v>
      </c>
      <c r="IE152" s="237" t="str">
        <f t="shared" si="1398"/>
        <v>-</v>
      </c>
      <c r="IF152" s="237" t="str">
        <f t="shared" si="1399"/>
        <v>-</v>
      </c>
      <c r="IG152" s="312" t="str">
        <f t="shared" si="1400"/>
        <v>-</v>
      </c>
      <c r="IH152" s="99" t="str">
        <f t="shared" si="1401"/>
        <v>-</v>
      </c>
      <c r="II152" s="99" t="str">
        <f t="shared" si="1402"/>
        <v>-</v>
      </c>
      <c r="IJ152" s="99" t="str">
        <f t="shared" si="1403"/>
        <v>-</v>
      </c>
      <c r="IK152" s="99" t="str">
        <f t="shared" si="1404"/>
        <v>-</v>
      </c>
      <c r="IL152" s="99" t="str">
        <f t="shared" si="1405"/>
        <v>-</v>
      </c>
      <c r="IM152" s="312" t="str">
        <f t="shared" si="1406"/>
        <v/>
      </c>
      <c r="IN152" s="99" t="str">
        <f t="shared" si="1407"/>
        <v/>
      </c>
      <c r="IO152" s="99" t="str">
        <f t="shared" si="1408"/>
        <v/>
      </c>
      <c r="IP152" s="99" t="str">
        <f t="shared" si="1409"/>
        <v/>
      </c>
      <c r="IQ152" s="99" t="str">
        <f t="shared" si="1410"/>
        <v/>
      </c>
      <c r="IR152" s="99" t="str">
        <f t="shared" si="1411"/>
        <v/>
      </c>
      <c r="IS152" s="312" t="str">
        <f t="shared" si="1412"/>
        <v/>
      </c>
      <c r="IT152" s="99" t="str">
        <f t="shared" si="1413"/>
        <v/>
      </c>
      <c r="IU152" s="99" t="str">
        <f t="shared" si="1414"/>
        <v/>
      </c>
      <c r="IV152" s="99" t="str">
        <f t="shared" si="1415"/>
        <v/>
      </c>
      <c r="IW152" s="99" t="str">
        <f t="shared" si="1416"/>
        <v/>
      </c>
      <c r="IX152" s="99" t="str">
        <f t="shared" si="1417"/>
        <v/>
      </c>
      <c r="IY152" s="312" t="str">
        <f t="shared" si="1418"/>
        <v/>
      </c>
      <c r="IZ152" s="99" t="str">
        <f t="shared" si="1419"/>
        <v/>
      </c>
      <c r="JA152" s="99" t="str">
        <f t="shared" si="1420"/>
        <v/>
      </c>
      <c r="JB152" s="99" t="str">
        <f t="shared" si="1421"/>
        <v/>
      </c>
      <c r="JC152" s="99" t="str">
        <f t="shared" si="1422"/>
        <v/>
      </c>
      <c r="JD152" s="313" t="str">
        <f t="shared" si="1423"/>
        <v/>
      </c>
      <c r="JF152" s="66">
        <f t="shared" si="779"/>
        <v>152</v>
      </c>
      <c r="JG152" s="66">
        <f t="shared" ca="1" si="789"/>
        <v>0</v>
      </c>
      <c r="JH152" s="66">
        <f t="shared" ca="1" si="790"/>
        <v>0</v>
      </c>
      <c r="JI152" s="66">
        <f t="shared" ca="1" si="791"/>
        <v>0</v>
      </c>
      <c r="JJ152" s="66">
        <f t="shared" ca="1" si="792"/>
        <v>0</v>
      </c>
      <c r="JK152" s="33"/>
      <c r="JL152" s="74" t="str">
        <f t="shared" ca="1" si="793"/>
        <v>-</v>
      </c>
      <c r="JM152" s="75">
        <f t="shared" ca="1" si="794"/>
        <v>0</v>
      </c>
      <c r="JN152" s="75">
        <f t="shared" ca="1" si="795"/>
        <v>0</v>
      </c>
      <c r="JO152" s="74" t="str">
        <f t="shared" ca="1" si="796"/>
        <v>-</v>
      </c>
      <c r="JP152" s="74">
        <f t="shared" ca="1" si="797"/>
        <v>0</v>
      </c>
    </row>
    <row r="153" spans="1:276" hidden="1" outlineLevel="1" x14ac:dyDescent="0.35">
      <c r="A153" s="125" t="s">
        <v>805</v>
      </c>
      <c r="B153" s="125" t="s">
        <v>805</v>
      </c>
      <c r="C153" s="125" t="s">
        <v>805</v>
      </c>
      <c r="E153" s="142" t="s">
        <v>874</v>
      </c>
      <c r="F153" s="254" t="s">
        <v>759</v>
      </c>
      <c r="G153" t="s">
        <v>540</v>
      </c>
      <c r="H153" t="s">
        <v>535</v>
      </c>
      <c r="I153" t="s">
        <v>536</v>
      </c>
      <c r="J153" s="211" t="s">
        <v>805</v>
      </c>
      <c r="K153" t="s">
        <v>805</v>
      </c>
      <c r="L153" t="s">
        <v>805</v>
      </c>
      <c r="M153" t="s">
        <v>805</v>
      </c>
      <c r="N153" t="s">
        <v>805</v>
      </c>
      <c r="O153" t="s">
        <v>805</v>
      </c>
      <c r="P153" t="s">
        <v>805</v>
      </c>
      <c r="Q153" t="s">
        <v>805</v>
      </c>
      <c r="R153" t="s">
        <v>805</v>
      </c>
      <c r="S153" t="s">
        <v>805</v>
      </c>
      <c r="T153" t="s">
        <v>805</v>
      </c>
      <c r="U153" t="s">
        <v>805</v>
      </c>
      <c r="V153" t="s">
        <v>805</v>
      </c>
      <c r="W153" t="s">
        <v>805</v>
      </c>
      <c r="X153" t="s">
        <v>805</v>
      </c>
      <c r="Y153" t="s">
        <v>805</v>
      </c>
      <c r="Z153" t="s">
        <v>805</v>
      </c>
      <c r="AA153" t="s">
        <v>805</v>
      </c>
      <c r="AB153" t="s">
        <v>805</v>
      </c>
      <c r="AC153" t="s">
        <v>805</v>
      </c>
      <c r="AD153" t="s">
        <v>805</v>
      </c>
      <c r="AE153" t="s">
        <v>805</v>
      </c>
      <c r="AF153" t="s">
        <v>805</v>
      </c>
      <c r="AG153" t="s">
        <v>805</v>
      </c>
      <c r="AH153" t="s">
        <v>805</v>
      </c>
      <c r="AI153" t="s">
        <v>805</v>
      </c>
      <c r="AJ153" t="s">
        <v>805</v>
      </c>
      <c r="AK153" t="s">
        <v>805</v>
      </c>
      <c r="AL153" t="s">
        <v>805</v>
      </c>
      <c r="AM153" t="s">
        <v>805</v>
      </c>
      <c r="AN153" t="s">
        <v>805</v>
      </c>
      <c r="AO153" t="s">
        <v>805</v>
      </c>
      <c r="AP153" t="s">
        <v>805</v>
      </c>
      <c r="AQ153" t="s">
        <v>805</v>
      </c>
      <c r="AR153" t="s">
        <v>805</v>
      </c>
      <c r="AS153" t="s">
        <v>805</v>
      </c>
      <c r="AT153" t="s">
        <v>805</v>
      </c>
      <c r="AU153" t="s">
        <v>805</v>
      </c>
      <c r="AV153" t="s">
        <v>805</v>
      </c>
      <c r="AW153" t="s">
        <v>805</v>
      </c>
      <c r="AX153" t="s">
        <v>805</v>
      </c>
      <c r="AY153" t="s">
        <v>805</v>
      </c>
      <c r="AZ153" t="s">
        <v>805</v>
      </c>
      <c r="BA153" t="s">
        <v>805</v>
      </c>
      <c r="BB153" t="s">
        <v>805</v>
      </c>
      <c r="BC153" t="s">
        <v>805</v>
      </c>
      <c r="BD153" t="s">
        <v>805</v>
      </c>
      <c r="BE153" t="s">
        <v>805</v>
      </c>
      <c r="BF153" t="s">
        <v>805</v>
      </c>
      <c r="BG153" t="s">
        <v>805</v>
      </c>
      <c r="BH153" t="s">
        <v>805</v>
      </c>
      <c r="BI153" t="s">
        <v>805</v>
      </c>
      <c r="BJ153" t="s">
        <v>805</v>
      </c>
      <c r="BK153" t="s">
        <v>805</v>
      </c>
      <c r="BL153" t="s">
        <v>805</v>
      </c>
      <c r="BM153" t="s">
        <v>805</v>
      </c>
      <c r="BN153" t="s">
        <v>805</v>
      </c>
      <c r="BO153" t="s">
        <v>805</v>
      </c>
      <c r="BP153" t="s">
        <v>805</v>
      </c>
      <c r="BQ153" t="s">
        <v>805</v>
      </c>
      <c r="BR153" t="s">
        <v>805</v>
      </c>
      <c r="BS153" t="s">
        <v>805</v>
      </c>
      <c r="BT153" t="s">
        <v>805</v>
      </c>
      <c r="BU153" t="s">
        <v>805</v>
      </c>
      <c r="BV153" t="s">
        <v>805</v>
      </c>
      <c r="BW153" t="s">
        <v>805</v>
      </c>
      <c r="BX153" t="s">
        <v>805</v>
      </c>
      <c r="BY153" t="s">
        <v>805</v>
      </c>
      <c r="BZ153" t="s">
        <v>805</v>
      </c>
      <c r="CA153" t="s">
        <v>805</v>
      </c>
      <c r="CB153" t="s">
        <v>805</v>
      </c>
      <c r="CC153" t="s">
        <v>805</v>
      </c>
      <c r="CD153" t="s">
        <v>805</v>
      </c>
      <c r="CE153" t="s">
        <v>805</v>
      </c>
      <c r="CF153" t="s">
        <v>805</v>
      </c>
      <c r="CG153" t="s">
        <v>805</v>
      </c>
      <c r="CH153" t="s">
        <v>805</v>
      </c>
      <c r="CI153" t="s">
        <v>805</v>
      </c>
      <c r="CJ153" t="s">
        <v>805</v>
      </c>
      <c r="CK153" t="s">
        <v>805</v>
      </c>
      <c r="CL153" t="s">
        <v>805</v>
      </c>
      <c r="CM153" t="s">
        <v>805</v>
      </c>
      <c r="CN153" t="s">
        <v>805</v>
      </c>
      <c r="CO153" t="s">
        <v>805</v>
      </c>
      <c r="CP153" t="s">
        <v>805</v>
      </c>
      <c r="CQ153" t="s">
        <v>805</v>
      </c>
      <c r="CR153" t="s">
        <v>805</v>
      </c>
      <c r="CS153" t="s">
        <v>805</v>
      </c>
      <c r="CT153" t="s">
        <v>805</v>
      </c>
      <c r="CU153" t="s">
        <v>805</v>
      </c>
      <c r="CV153" t="s">
        <v>805</v>
      </c>
      <c r="CW153" t="s">
        <v>805</v>
      </c>
      <c r="CX153" t="s">
        <v>805</v>
      </c>
      <c r="CY153" t="s">
        <v>805</v>
      </c>
      <c r="CZ153" t="s">
        <v>805</v>
      </c>
      <c r="DA153" t="s">
        <v>805</v>
      </c>
      <c r="DB153" t="s">
        <v>805</v>
      </c>
      <c r="DC153" t="s">
        <v>805</v>
      </c>
      <c r="DD153" t="s">
        <v>805</v>
      </c>
      <c r="DE153" t="s">
        <v>805</v>
      </c>
      <c r="DF153" t="s">
        <v>805</v>
      </c>
      <c r="DG153" s="28">
        <f>VLOOKUP(E153,'KPI Count-SHARE'!A:F,3,0)</f>
        <v>0</v>
      </c>
      <c r="DH153" t="s">
        <v>805</v>
      </c>
      <c r="DI153" t="s">
        <v>805</v>
      </c>
      <c r="DJ153" t="s">
        <v>805</v>
      </c>
      <c r="DK153" t="s">
        <v>805</v>
      </c>
      <c r="DL153" t="s">
        <v>805</v>
      </c>
      <c r="DM153" t="s">
        <v>805</v>
      </c>
      <c r="DN153" s="28">
        <f>VLOOKUP(E153,'KPI Count-SHARE'!A:F,4,0)</f>
        <v>0</v>
      </c>
      <c r="DU153" s="28">
        <f>VLOOKUP(E153,'KPI Count-SHARE'!A:F,5,0)</f>
        <v>0</v>
      </c>
      <c r="EB153" s="28">
        <f>VLOOKUP(E153,'KPI Count-SHARE'!A:F,6,0)</f>
        <v>0</v>
      </c>
      <c r="EI153" t="str">
        <f>XCurrency &amp; " '000 per FTE"</f>
        <v>USD '000 per FTE</v>
      </c>
      <c r="EJ153" s="237" t="str">
        <f t="shared" si="1299"/>
        <v>-</v>
      </c>
      <c r="EK153" s="237" t="str">
        <f t="shared" si="1300"/>
        <v>-</v>
      </c>
      <c r="EL153" s="237" t="str">
        <f t="shared" si="1301"/>
        <v>-</v>
      </c>
      <c r="EM153" s="237" t="str">
        <f t="shared" si="1302"/>
        <v>-</v>
      </c>
      <c r="EN153" s="237" t="str">
        <f t="shared" si="1303"/>
        <v>-</v>
      </c>
      <c r="EO153" s="237" t="str">
        <f t="shared" si="1304"/>
        <v>-</v>
      </c>
      <c r="EP153" s="237" t="str">
        <f t="shared" si="1305"/>
        <v>-</v>
      </c>
      <c r="EQ153" s="237" t="str">
        <f t="shared" si="1306"/>
        <v>-</v>
      </c>
      <c r="ER153" s="237" t="str">
        <f t="shared" si="1307"/>
        <v>-</v>
      </c>
      <c r="ES153" s="237" t="str">
        <f t="shared" si="1308"/>
        <v>-</v>
      </c>
      <c r="ET153" s="237" t="str">
        <f t="shared" si="1309"/>
        <v>-</v>
      </c>
      <c r="EU153" s="237" t="str">
        <f t="shared" si="1310"/>
        <v>-</v>
      </c>
      <c r="EV153" s="237" t="str">
        <f t="shared" si="1311"/>
        <v>-</v>
      </c>
      <c r="EW153" s="237" t="str">
        <f t="shared" si="1312"/>
        <v>-</v>
      </c>
      <c r="EX153" s="237" t="str">
        <f t="shared" si="1313"/>
        <v>-</v>
      </c>
      <c r="EY153" s="237" t="str">
        <f t="shared" si="1314"/>
        <v>-</v>
      </c>
      <c r="EZ153" s="237" t="str">
        <f t="shared" si="1315"/>
        <v>-</v>
      </c>
      <c r="FA153" s="237" t="str">
        <f t="shared" si="1316"/>
        <v>-</v>
      </c>
      <c r="FB153" s="237" t="str">
        <f t="shared" si="1317"/>
        <v>-</v>
      </c>
      <c r="FC153" s="237" t="str">
        <f t="shared" si="1318"/>
        <v>-</v>
      </c>
      <c r="FD153" s="237" t="str">
        <f t="shared" si="1319"/>
        <v>-</v>
      </c>
      <c r="FE153" s="237" t="str">
        <f t="shared" si="1320"/>
        <v>-</v>
      </c>
      <c r="FF153" s="237" t="str">
        <f t="shared" si="1321"/>
        <v>-</v>
      </c>
      <c r="FG153" s="237" t="str">
        <f t="shared" si="1322"/>
        <v>-</v>
      </c>
      <c r="FH153" s="237" t="str">
        <f t="shared" si="1323"/>
        <v>-</v>
      </c>
      <c r="FI153" s="237" t="str">
        <f t="shared" si="1324"/>
        <v>-</v>
      </c>
      <c r="FJ153" s="237" t="str">
        <f t="shared" si="1325"/>
        <v>-</v>
      </c>
      <c r="FK153" s="237" t="str">
        <f t="shared" si="1326"/>
        <v>-</v>
      </c>
      <c r="FL153" s="237" t="str">
        <f t="shared" si="1327"/>
        <v>-</v>
      </c>
      <c r="FM153" s="237" t="str">
        <f t="shared" si="1328"/>
        <v>-</v>
      </c>
      <c r="FN153" s="237" t="str">
        <f t="shared" si="1329"/>
        <v>-</v>
      </c>
      <c r="FO153" s="237" t="str">
        <f t="shared" si="1330"/>
        <v>-</v>
      </c>
      <c r="FP153" s="237" t="str">
        <f t="shared" si="1331"/>
        <v>-</v>
      </c>
      <c r="FQ153" s="237" t="str">
        <f t="shared" si="1332"/>
        <v>-</v>
      </c>
      <c r="FR153" s="237" t="str">
        <f t="shared" si="1333"/>
        <v>-</v>
      </c>
      <c r="FS153" s="237" t="str">
        <f t="shared" si="1334"/>
        <v>-</v>
      </c>
      <c r="FT153" s="237" t="str">
        <f t="shared" si="1335"/>
        <v>-</v>
      </c>
      <c r="FU153" s="237" t="str">
        <f t="shared" si="1336"/>
        <v>-</v>
      </c>
      <c r="FV153" s="237" t="str">
        <f t="shared" si="1337"/>
        <v>-</v>
      </c>
      <c r="FW153" s="237" t="str">
        <f t="shared" si="1338"/>
        <v>-</v>
      </c>
      <c r="FX153" s="237" t="str">
        <f t="shared" si="1339"/>
        <v>-</v>
      </c>
      <c r="FY153" s="237" t="str">
        <f t="shared" si="1340"/>
        <v>-</v>
      </c>
      <c r="FZ153" s="237" t="str">
        <f t="shared" si="1341"/>
        <v>-</v>
      </c>
      <c r="GA153" s="237" t="str">
        <f t="shared" si="1342"/>
        <v>-</v>
      </c>
      <c r="GB153" s="237" t="str">
        <f t="shared" si="1343"/>
        <v>-</v>
      </c>
      <c r="GC153" s="237" t="str">
        <f t="shared" si="1344"/>
        <v>-</v>
      </c>
      <c r="GD153" s="237" t="str">
        <f t="shared" si="1345"/>
        <v>-</v>
      </c>
      <c r="GE153" s="237" t="str">
        <f t="shared" si="1346"/>
        <v>-</v>
      </c>
      <c r="GF153" s="237" t="str">
        <f t="shared" si="1347"/>
        <v>-</v>
      </c>
      <c r="GG153" s="237" t="str">
        <f t="shared" si="1348"/>
        <v>-</v>
      </c>
      <c r="GH153" s="237" t="str">
        <f t="shared" si="1349"/>
        <v>-</v>
      </c>
      <c r="GI153" s="237" t="str">
        <f t="shared" si="1350"/>
        <v>-</v>
      </c>
      <c r="GJ153" s="237" t="str">
        <f t="shared" si="1351"/>
        <v>-</v>
      </c>
      <c r="GK153" s="237" t="str">
        <f t="shared" si="1352"/>
        <v>-</v>
      </c>
      <c r="GL153" s="237" t="str">
        <f t="shared" si="1353"/>
        <v>-</v>
      </c>
      <c r="GM153" s="237" t="str">
        <f t="shared" si="1354"/>
        <v>-</v>
      </c>
      <c r="GN153" s="237" t="str">
        <f t="shared" si="1355"/>
        <v>-</v>
      </c>
      <c r="GO153" s="237" t="str">
        <f t="shared" si="1356"/>
        <v>-</v>
      </c>
      <c r="GP153" s="237" t="str">
        <f t="shared" si="1357"/>
        <v>-</v>
      </c>
      <c r="GQ153" s="237" t="str">
        <f t="shared" si="1358"/>
        <v>-</v>
      </c>
      <c r="GR153" s="237" t="str">
        <f t="shared" si="1359"/>
        <v>-</v>
      </c>
      <c r="GS153" s="237" t="str">
        <f t="shared" si="1360"/>
        <v>-</v>
      </c>
      <c r="GT153" s="237" t="str">
        <f t="shared" si="1361"/>
        <v>-</v>
      </c>
      <c r="GU153" s="237" t="str">
        <f t="shared" si="1362"/>
        <v>-</v>
      </c>
      <c r="GV153" s="237" t="str">
        <f t="shared" si="1363"/>
        <v>-</v>
      </c>
      <c r="GW153" s="237" t="str">
        <f t="shared" si="1364"/>
        <v>-</v>
      </c>
      <c r="GX153" s="237" t="str">
        <f t="shared" si="1365"/>
        <v>-</v>
      </c>
      <c r="GY153" s="237" t="str">
        <f t="shared" si="1366"/>
        <v>-</v>
      </c>
      <c r="GZ153" s="237" t="str">
        <f t="shared" si="1367"/>
        <v>-</v>
      </c>
      <c r="HA153" s="237" t="str">
        <f t="shared" si="1368"/>
        <v>-</v>
      </c>
      <c r="HB153" s="237" t="str">
        <f t="shared" si="1369"/>
        <v>-</v>
      </c>
      <c r="HC153" s="237" t="str">
        <f t="shared" si="1370"/>
        <v>-</v>
      </c>
      <c r="HD153" s="237" t="str">
        <f t="shared" si="1371"/>
        <v>-</v>
      </c>
      <c r="HE153" s="237" t="str">
        <f t="shared" si="1372"/>
        <v>-</v>
      </c>
      <c r="HF153" s="237" t="str">
        <f t="shared" si="1373"/>
        <v>-</v>
      </c>
      <c r="HG153" s="237" t="str">
        <f t="shared" si="1374"/>
        <v>-</v>
      </c>
      <c r="HH153" s="237" t="str">
        <f t="shared" si="1375"/>
        <v>-</v>
      </c>
      <c r="HI153" s="237" t="str">
        <f t="shared" si="1376"/>
        <v>-</v>
      </c>
      <c r="HJ153" s="237" t="str">
        <f t="shared" si="1377"/>
        <v>-</v>
      </c>
      <c r="HK153" s="237" t="str">
        <f t="shared" si="1378"/>
        <v>-</v>
      </c>
      <c r="HL153" s="237" t="str">
        <f t="shared" si="1379"/>
        <v>-</v>
      </c>
      <c r="HM153" s="237" t="str">
        <f t="shared" si="1380"/>
        <v>-</v>
      </c>
      <c r="HN153" s="237" t="str">
        <f t="shared" si="1381"/>
        <v>-</v>
      </c>
      <c r="HO153" s="237" t="str">
        <f t="shared" si="1382"/>
        <v>-</v>
      </c>
      <c r="HP153" s="237" t="str">
        <f t="shared" si="1383"/>
        <v>-</v>
      </c>
      <c r="HQ153" s="237" t="str">
        <f t="shared" si="1384"/>
        <v>-</v>
      </c>
      <c r="HR153" s="237" t="str">
        <f t="shared" si="1385"/>
        <v>-</v>
      </c>
      <c r="HS153" s="237" t="str">
        <f t="shared" si="1386"/>
        <v>-</v>
      </c>
      <c r="HT153" s="237" t="str">
        <f t="shared" si="1387"/>
        <v>-</v>
      </c>
      <c r="HU153" s="237" t="str">
        <f t="shared" si="1388"/>
        <v>-</v>
      </c>
      <c r="HV153" s="237" t="str">
        <f t="shared" si="1389"/>
        <v>-</v>
      </c>
      <c r="HW153" s="237" t="str">
        <f t="shared" si="1390"/>
        <v>-</v>
      </c>
      <c r="HX153" s="237" t="str">
        <f t="shared" si="1391"/>
        <v>-</v>
      </c>
      <c r="HY153" s="237" t="str">
        <f t="shared" si="1392"/>
        <v>-</v>
      </c>
      <c r="HZ153" s="237" t="str">
        <f t="shared" si="1393"/>
        <v>-</v>
      </c>
      <c r="IA153" s="237" t="str">
        <f t="shared" si="1394"/>
        <v>-</v>
      </c>
      <c r="IB153" s="237" t="str">
        <f t="shared" si="1395"/>
        <v>-</v>
      </c>
      <c r="IC153" s="237" t="str">
        <f t="shared" si="1396"/>
        <v>-</v>
      </c>
      <c r="ID153" s="237" t="str">
        <f t="shared" si="1397"/>
        <v>-</v>
      </c>
      <c r="IE153" s="237" t="str">
        <f t="shared" si="1398"/>
        <v>-</v>
      </c>
      <c r="IF153" s="237" t="str">
        <f t="shared" si="1399"/>
        <v>-</v>
      </c>
      <c r="IG153" s="312" t="str">
        <f t="shared" si="1400"/>
        <v>-</v>
      </c>
      <c r="IH153" s="99" t="str">
        <f t="shared" si="1401"/>
        <v>-</v>
      </c>
      <c r="II153" s="99" t="str">
        <f t="shared" si="1402"/>
        <v>-</v>
      </c>
      <c r="IJ153" s="99" t="str">
        <f t="shared" si="1403"/>
        <v>-</v>
      </c>
      <c r="IK153" s="99" t="str">
        <f t="shared" si="1404"/>
        <v>-</v>
      </c>
      <c r="IL153" s="99" t="str">
        <f t="shared" si="1405"/>
        <v>-</v>
      </c>
      <c r="IM153" s="312" t="str">
        <f t="shared" si="1406"/>
        <v/>
      </c>
      <c r="IN153" s="99" t="str">
        <f t="shared" si="1407"/>
        <v/>
      </c>
      <c r="IO153" s="99" t="str">
        <f t="shared" si="1408"/>
        <v/>
      </c>
      <c r="IP153" s="99" t="str">
        <f t="shared" si="1409"/>
        <v/>
      </c>
      <c r="IQ153" s="99" t="str">
        <f t="shared" si="1410"/>
        <v/>
      </c>
      <c r="IR153" s="99" t="str">
        <f t="shared" si="1411"/>
        <v/>
      </c>
      <c r="IS153" s="312" t="str">
        <f t="shared" si="1412"/>
        <v/>
      </c>
      <c r="IT153" s="99" t="str">
        <f t="shared" si="1413"/>
        <v/>
      </c>
      <c r="IU153" s="99" t="str">
        <f t="shared" si="1414"/>
        <v/>
      </c>
      <c r="IV153" s="99" t="str">
        <f t="shared" si="1415"/>
        <v/>
      </c>
      <c r="IW153" s="99" t="str">
        <f t="shared" si="1416"/>
        <v/>
      </c>
      <c r="IX153" s="99" t="str">
        <f t="shared" si="1417"/>
        <v/>
      </c>
      <c r="IY153" s="312" t="str">
        <f t="shared" si="1418"/>
        <v/>
      </c>
      <c r="IZ153" s="99" t="str">
        <f t="shared" si="1419"/>
        <v/>
      </c>
      <c r="JA153" s="99" t="str">
        <f t="shared" si="1420"/>
        <v/>
      </c>
      <c r="JB153" s="99" t="str">
        <f t="shared" si="1421"/>
        <v/>
      </c>
      <c r="JC153" s="99" t="str">
        <f t="shared" si="1422"/>
        <v/>
      </c>
      <c r="JD153" s="313" t="str">
        <f t="shared" si="1423"/>
        <v/>
      </c>
      <c r="JF153" s="66">
        <f t="shared" si="779"/>
        <v>153</v>
      </c>
      <c r="JG153" s="66">
        <f t="shared" ca="1" si="789"/>
        <v>0</v>
      </c>
      <c r="JH153" s="66">
        <f t="shared" ca="1" si="790"/>
        <v>0</v>
      </c>
      <c r="JI153" s="66">
        <f t="shared" ca="1" si="791"/>
        <v>0</v>
      </c>
      <c r="JJ153" s="66">
        <f t="shared" ca="1" si="792"/>
        <v>0</v>
      </c>
      <c r="JK153" s="33"/>
      <c r="JL153" s="74" t="str">
        <f t="shared" ca="1" si="793"/>
        <v>-</v>
      </c>
      <c r="JM153" s="75">
        <f t="shared" ca="1" si="794"/>
        <v>0</v>
      </c>
      <c r="JN153" s="75">
        <f t="shared" ca="1" si="795"/>
        <v>0</v>
      </c>
      <c r="JO153" s="74" t="str">
        <f t="shared" ca="1" si="796"/>
        <v>-</v>
      </c>
      <c r="JP153" s="74">
        <f t="shared" ca="1" si="797"/>
        <v>0</v>
      </c>
    </row>
    <row r="154" spans="1:276" hidden="1" outlineLevel="1" x14ac:dyDescent="0.35">
      <c r="A154" s="125" t="s">
        <v>805</v>
      </c>
      <c r="B154" s="125" t="s">
        <v>805</v>
      </c>
      <c r="C154" s="125" t="s">
        <v>805</v>
      </c>
      <c r="E154" s="142" t="s">
        <v>875</v>
      </c>
      <c r="F154" s="254" t="s">
        <v>760</v>
      </c>
      <c r="G154" t="s">
        <v>540</v>
      </c>
      <c r="H154" t="s">
        <v>531</v>
      </c>
      <c r="I154" t="s">
        <v>534</v>
      </c>
      <c r="J154" s="211" t="s">
        <v>805</v>
      </c>
      <c r="K154" t="s">
        <v>805</v>
      </c>
      <c r="L154" t="s">
        <v>805</v>
      </c>
      <c r="M154" t="s">
        <v>805</v>
      </c>
      <c r="N154" t="s">
        <v>805</v>
      </c>
      <c r="O154" t="s">
        <v>805</v>
      </c>
      <c r="P154" t="s">
        <v>805</v>
      </c>
      <c r="Q154" t="s">
        <v>805</v>
      </c>
      <c r="R154" t="s">
        <v>805</v>
      </c>
      <c r="S154" t="s">
        <v>805</v>
      </c>
      <c r="T154" t="s">
        <v>805</v>
      </c>
      <c r="U154" t="s">
        <v>805</v>
      </c>
      <c r="V154" t="s">
        <v>805</v>
      </c>
      <c r="W154" t="s">
        <v>805</v>
      </c>
      <c r="X154" t="s">
        <v>805</v>
      </c>
      <c r="Y154" t="s">
        <v>805</v>
      </c>
      <c r="Z154" t="s">
        <v>805</v>
      </c>
      <c r="AA154" t="s">
        <v>805</v>
      </c>
      <c r="AB154" t="s">
        <v>805</v>
      </c>
      <c r="AC154" t="s">
        <v>805</v>
      </c>
      <c r="AD154" t="s">
        <v>805</v>
      </c>
      <c r="AE154" t="s">
        <v>805</v>
      </c>
      <c r="AF154" t="s">
        <v>805</v>
      </c>
      <c r="AG154" t="s">
        <v>805</v>
      </c>
      <c r="AH154" t="s">
        <v>805</v>
      </c>
      <c r="AI154" t="s">
        <v>805</v>
      </c>
      <c r="AJ154" t="s">
        <v>805</v>
      </c>
      <c r="AK154" t="s">
        <v>805</v>
      </c>
      <c r="AL154" t="s">
        <v>805</v>
      </c>
      <c r="AM154" t="s">
        <v>805</v>
      </c>
      <c r="AN154" t="s">
        <v>805</v>
      </c>
      <c r="AO154" t="s">
        <v>805</v>
      </c>
      <c r="AP154" t="s">
        <v>805</v>
      </c>
      <c r="AQ154" t="s">
        <v>805</v>
      </c>
      <c r="AR154" t="s">
        <v>805</v>
      </c>
      <c r="AS154" t="s">
        <v>805</v>
      </c>
      <c r="AT154" t="s">
        <v>805</v>
      </c>
      <c r="AU154" t="s">
        <v>805</v>
      </c>
      <c r="AV154" t="s">
        <v>805</v>
      </c>
      <c r="AW154" t="s">
        <v>805</v>
      </c>
      <c r="AX154" t="s">
        <v>805</v>
      </c>
      <c r="AY154" t="s">
        <v>805</v>
      </c>
      <c r="AZ154" t="s">
        <v>805</v>
      </c>
      <c r="BA154" t="s">
        <v>805</v>
      </c>
      <c r="BB154" t="s">
        <v>805</v>
      </c>
      <c r="BC154" t="s">
        <v>805</v>
      </c>
      <c r="BD154" t="s">
        <v>805</v>
      </c>
      <c r="BE154" t="s">
        <v>805</v>
      </c>
      <c r="BF154" t="s">
        <v>805</v>
      </c>
      <c r="BG154" t="s">
        <v>805</v>
      </c>
      <c r="BH154" t="s">
        <v>805</v>
      </c>
      <c r="BI154" t="s">
        <v>805</v>
      </c>
      <c r="BJ154" t="s">
        <v>805</v>
      </c>
      <c r="BK154" t="s">
        <v>805</v>
      </c>
      <c r="BL154" t="s">
        <v>805</v>
      </c>
      <c r="BM154" t="s">
        <v>805</v>
      </c>
      <c r="BN154" t="s">
        <v>805</v>
      </c>
      <c r="BO154" t="s">
        <v>805</v>
      </c>
      <c r="BP154" t="s">
        <v>805</v>
      </c>
      <c r="BQ154" t="s">
        <v>805</v>
      </c>
      <c r="BR154" t="s">
        <v>805</v>
      </c>
      <c r="BS154" t="s">
        <v>805</v>
      </c>
      <c r="BT154" t="s">
        <v>805</v>
      </c>
      <c r="BU154" t="s">
        <v>805</v>
      </c>
      <c r="BV154" t="s">
        <v>805</v>
      </c>
      <c r="BW154" t="s">
        <v>805</v>
      </c>
      <c r="BX154" t="s">
        <v>805</v>
      </c>
      <c r="BY154" t="s">
        <v>805</v>
      </c>
      <c r="BZ154" t="s">
        <v>805</v>
      </c>
      <c r="CA154" t="s">
        <v>805</v>
      </c>
      <c r="CB154" t="s">
        <v>805</v>
      </c>
      <c r="CC154" t="s">
        <v>805</v>
      </c>
      <c r="CD154" t="s">
        <v>805</v>
      </c>
      <c r="CE154" t="s">
        <v>805</v>
      </c>
      <c r="CF154" t="s">
        <v>805</v>
      </c>
      <c r="CG154" t="s">
        <v>805</v>
      </c>
      <c r="CH154" t="s">
        <v>805</v>
      </c>
      <c r="CI154" t="s">
        <v>805</v>
      </c>
      <c r="CJ154" t="s">
        <v>805</v>
      </c>
      <c r="CK154" t="s">
        <v>805</v>
      </c>
      <c r="CL154" t="s">
        <v>805</v>
      </c>
      <c r="CM154" t="s">
        <v>805</v>
      </c>
      <c r="CN154" t="s">
        <v>805</v>
      </c>
      <c r="CO154" t="s">
        <v>805</v>
      </c>
      <c r="CP154" t="s">
        <v>805</v>
      </c>
      <c r="CQ154" t="s">
        <v>805</v>
      </c>
      <c r="CR154" t="s">
        <v>805</v>
      </c>
      <c r="CS154" t="s">
        <v>805</v>
      </c>
      <c r="CT154" t="s">
        <v>805</v>
      </c>
      <c r="CU154" t="s">
        <v>805</v>
      </c>
      <c r="CV154" t="s">
        <v>805</v>
      </c>
      <c r="CW154" t="s">
        <v>805</v>
      </c>
      <c r="CX154" t="s">
        <v>805</v>
      </c>
      <c r="CY154" t="s">
        <v>805</v>
      </c>
      <c r="CZ154" t="s">
        <v>805</v>
      </c>
      <c r="DA154" t="s">
        <v>805</v>
      </c>
      <c r="DB154" t="s">
        <v>805</v>
      </c>
      <c r="DC154" t="s">
        <v>805</v>
      </c>
      <c r="DD154" t="s">
        <v>805</v>
      </c>
      <c r="DE154" t="s">
        <v>805</v>
      </c>
      <c r="DF154" t="s">
        <v>805</v>
      </c>
      <c r="DG154" s="28">
        <f>VLOOKUP(E154,'KPI Count-SHARE'!A:F,3,0)</f>
        <v>0</v>
      </c>
      <c r="DH154" t="s">
        <v>805</v>
      </c>
      <c r="DI154" t="s">
        <v>805</v>
      </c>
      <c r="DJ154" t="s">
        <v>805</v>
      </c>
      <c r="DK154" t="s">
        <v>805</v>
      </c>
      <c r="DL154" t="s">
        <v>805</v>
      </c>
      <c r="DM154" t="s">
        <v>805</v>
      </c>
      <c r="DN154" s="28">
        <f>VLOOKUP(E154,'KPI Count-SHARE'!A:F,4,0)</f>
        <v>0</v>
      </c>
      <c r="DU154" s="28">
        <f>VLOOKUP(E154,'KPI Count-SHARE'!A:F,5,0)</f>
        <v>0</v>
      </c>
      <c r="EB154" s="28">
        <f>VLOOKUP(E154,'KPI Count-SHARE'!A:F,6,0)</f>
        <v>0</v>
      </c>
      <c r="EI154" t="s">
        <v>531</v>
      </c>
      <c r="EJ154" s="237" t="str">
        <f t="shared" si="1299"/>
        <v/>
      </c>
      <c r="EK154" s="237" t="str">
        <f t="shared" si="1300"/>
        <v/>
      </c>
      <c r="EL154" s="237" t="str">
        <f t="shared" si="1301"/>
        <v/>
      </c>
      <c r="EM154" s="237" t="str">
        <f t="shared" si="1302"/>
        <v/>
      </c>
      <c r="EN154" s="237" t="str">
        <f t="shared" si="1303"/>
        <v/>
      </c>
      <c r="EO154" s="237" t="str">
        <f t="shared" si="1304"/>
        <v/>
      </c>
      <c r="EP154" s="237" t="str">
        <f t="shared" si="1305"/>
        <v/>
      </c>
      <c r="EQ154" s="237" t="str">
        <f t="shared" si="1306"/>
        <v/>
      </c>
      <c r="ER154" s="237" t="str">
        <f t="shared" si="1307"/>
        <v/>
      </c>
      <c r="ES154" s="237" t="str">
        <f t="shared" si="1308"/>
        <v/>
      </c>
      <c r="ET154" s="237" t="str">
        <f t="shared" si="1309"/>
        <v/>
      </c>
      <c r="EU154" s="237" t="str">
        <f t="shared" si="1310"/>
        <v/>
      </c>
      <c r="EV154" s="237" t="str">
        <f t="shared" si="1311"/>
        <v/>
      </c>
      <c r="EW154" s="237" t="str">
        <f t="shared" si="1312"/>
        <v/>
      </c>
      <c r="EX154" s="237" t="str">
        <f t="shared" si="1313"/>
        <v/>
      </c>
      <c r="EY154" s="237" t="str">
        <f t="shared" si="1314"/>
        <v/>
      </c>
      <c r="EZ154" s="237" t="str">
        <f t="shared" si="1315"/>
        <v/>
      </c>
      <c r="FA154" s="237" t="str">
        <f t="shared" si="1316"/>
        <v/>
      </c>
      <c r="FB154" s="237" t="str">
        <f t="shared" si="1317"/>
        <v/>
      </c>
      <c r="FC154" s="237" t="str">
        <f t="shared" si="1318"/>
        <v/>
      </c>
      <c r="FD154" s="237" t="str">
        <f t="shared" si="1319"/>
        <v/>
      </c>
      <c r="FE154" s="237" t="str">
        <f t="shared" si="1320"/>
        <v/>
      </c>
      <c r="FF154" s="237" t="str">
        <f t="shared" si="1321"/>
        <v/>
      </c>
      <c r="FG154" s="237" t="str">
        <f t="shared" si="1322"/>
        <v/>
      </c>
      <c r="FH154" s="237" t="str">
        <f t="shared" si="1323"/>
        <v/>
      </c>
      <c r="FI154" s="237" t="str">
        <f t="shared" si="1324"/>
        <v/>
      </c>
      <c r="FJ154" s="237" t="str">
        <f t="shared" si="1325"/>
        <v/>
      </c>
      <c r="FK154" s="237" t="str">
        <f t="shared" si="1326"/>
        <v/>
      </c>
      <c r="FL154" s="237" t="str">
        <f t="shared" si="1327"/>
        <v/>
      </c>
      <c r="FM154" s="237" t="str">
        <f t="shared" si="1328"/>
        <v/>
      </c>
      <c r="FN154" s="237" t="str">
        <f t="shared" si="1329"/>
        <v/>
      </c>
      <c r="FO154" s="237" t="str">
        <f t="shared" si="1330"/>
        <v/>
      </c>
      <c r="FP154" s="237" t="str">
        <f t="shared" si="1331"/>
        <v/>
      </c>
      <c r="FQ154" s="237" t="str">
        <f t="shared" si="1332"/>
        <v/>
      </c>
      <c r="FR154" s="237" t="str">
        <f t="shared" si="1333"/>
        <v/>
      </c>
      <c r="FS154" s="237" t="str">
        <f t="shared" si="1334"/>
        <v/>
      </c>
      <c r="FT154" s="237" t="str">
        <f t="shared" si="1335"/>
        <v/>
      </c>
      <c r="FU154" s="237" t="str">
        <f t="shared" si="1336"/>
        <v/>
      </c>
      <c r="FV154" s="237" t="str">
        <f t="shared" si="1337"/>
        <v/>
      </c>
      <c r="FW154" s="237" t="str">
        <f t="shared" si="1338"/>
        <v/>
      </c>
      <c r="FX154" s="237" t="str">
        <f t="shared" si="1339"/>
        <v/>
      </c>
      <c r="FY154" s="237" t="str">
        <f t="shared" si="1340"/>
        <v/>
      </c>
      <c r="FZ154" s="237" t="str">
        <f t="shared" si="1341"/>
        <v/>
      </c>
      <c r="GA154" s="237" t="str">
        <f t="shared" si="1342"/>
        <v/>
      </c>
      <c r="GB154" s="237" t="str">
        <f t="shared" si="1343"/>
        <v/>
      </c>
      <c r="GC154" s="237" t="str">
        <f t="shared" si="1344"/>
        <v/>
      </c>
      <c r="GD154" s="237" t="str">
        <f t="shared" si="1345"/>
        <v/>
      </c>
      <c r="GE154" s="237" t="str">
        <f t="shared" si="1346"/>
        <v/>
      </c>
      <c r="GF154" s="237" t="str">
        <f t="shared" si="1347"/>
        <v/>
      </c>
      <c r="GG154" s="237" t="str">
        <f t="shared" si="1348"/>
        <v/>
      </c>
      <c r="GH154" s="237" t="str">
        <f t="shared" si="1349"/>
        <v/>
      </c>
      <c r="GI154" s="237" t="str">
        <f t="shared" si="1350"/>
        <v/>
      </c>
      <c r="GJ154" s="237" t="str">
        <f t="shared" si="1351"/>
        <v/>
      </c>
      <c r="GK154" s="237" t="str">
        <f t="shared" si="1352"/>
        <v/>
      </c>
      <c r="GL154" s="237" t="str">
        <f t="shared" si="1353"/>
        <v/>
      </c>
      <c r="GM154" s="237" t="str">
        <f t="shared" si="1354"/>
        <v/>
      </c>
      <c r="GN154" s="237" t="str">
        <f t="shared" si="1355"/>
        <v/>
      </c>
      <c r="GO154" s="237" t="str">
        <f t="shared" si="1356"/>
        <v/>
      </c>
      <c r="GP154" s="237" t="str">
        <f t="shared" si="1357"/>
        <v/>
      </c>
      <c r="GQ154" s="237" t="str">
        <f t="shared" si="1358"/>
        <v/>
      </c>
      <c r="GR154" s="237" t="str">
        <f t="shared" si="1359"/>
        <v/>
      </c>
      <c r="GS154" s="237" t="str">
        <f t="shared" si="1360"/>
        <v/>
      </c>
      <c r="GT154" s="237" t="str">
        <f t="shared" si="1361"/>
        <v/>
      </c>
      <c r="GU154" s="237" t="str">
        <f t="shared" si="1362"/>
        <v/>
      </c>
      <c r="GV154" s="237" t="str">
        <f t="shared" si="1363"/>
        <v/>
      </c>
      <c r="GW154" s="237" t="str">
        <f t="shared" si="1364"/>
        <v/>
      </c>
      <c r="GX154" s="237" t="str">
        <f t="shared" si="1365"/>
        <v/>
      </c>
      <c r="GY154" s="237" t="str">
        <f t="shared" si="1366"/>
        <v/>
      </c>
      <c r="GZ154" s="237" t="str">
        <f t="shared" si="1367"/>
        <v/>
      </c>
      <c r="HA154" s="237" t="str">
        <f t="shared" si="1368"/>
        <v/>
      </c>
      <c r="HB154" s="237" t="str">
        <f t="shared" si="1369"/>
        <v/>
      </c>
      <c r="HC154" s="237" t="str">
        <f t="shared" si="1370"/>
        <v/>
      </c>
      <c r="HD154" s="237" t="str">
        <f t="shared" si="1371"/>
        <v/>
      </c>
      <c r="HE154" s="237" t="str">
        <f t="shared" si="1372"/>
        <v/>
      </c>
      <c r="HF154" s="237" t="str">
        <f t="shared" si="1373"/>
        <v/>
      </c>
      <c r="HG154" s="237" t="str">
        <f t="shared" si="1374"/>
        <v/>
      </c>
      <c r="HH154" s="237" t="str">
        <f t="shared" si="1375"/>
        <v/>
      </c>
      <c r="HI154" s="237" t="str">
        <f t="shared" si="1376"/>
        <v/>
      </c>
      <c r="HJ154" s="237" t="str">
        <f t="shared" si="1377"/>
        <v/>
      </c>
      <c r="HK154" s="237" t="str">
        <f t="shared" si="1378"/>
        <v/>
      </c>
      <c r="HL154" s="237" t="str">
        <f t="shared" si="1379"/>
        <v/>
      </c>
      <c r="HM154" s="237" t="str">
        <f t="shared" si="1380"/>
        <v/>
      </c>
      <c r="HN154" s="237" t="str">
        <f t="shared" si="1381"/>
        <v/>
      </c>
      <c r="HO154" s="237" t="str">
        <f t="shared" si="1382"/>
        <v/>
      </c>
      <c r="HP154" s="237" t="str">
        <f t="shared" si="1383"/>
        <v/>
      </c>
      <c r="HQ154" s="237" t="str">
        <f t="shared" si="1384"/>
        <v/>
      </c>
      <c r="HR154" s="237" t="str">
        <f t="shared" si="1385"/>
        <v/>
      </c>
      <c r="HS154" s="237" t="str">
        <f t="shared" si="1386"/>
        <v/>
      </c>
      <c r="HT154" s="237" t="str">
        <f t="shared" si="1387"/>
        <v/>
      </c>
      <c r="HU154" s="237" t="str">
        <f t="shared" si="1388"/>
        <v/>
      </c>
      <c r="HV154" s="237" t="str">
        <f t="shared" si="1389"/>
        <v/>
      </c>
      <c r="HW154" s="237" t="str">
        <f t="shared" si="1390"/>
        <v/>
      </c>
      <c r="HX154" s="237" t="str">
        <f t="shared" si="1391"/>
        <v/>
      </c>
      <c r="HY154" s="237" t="str">
        <f t="shared" si="1392"/>
        <v/>
      </c>
      <c r="HZ154" s="237" t="str">
        <f t="shared" si="1393"/>
        <v/>
      </c>
      <c r="IA154" s="237" t="str">
        <f t="shared" si="1394"/>
        <v/>
      </c>
      <c r="IB154" s="237" t="str">
        <f t="shared" si="1395"/>
        <v/>
      </c>
      <c r="IC154" s="237" t="str">
        <f t="shared" si="1396"/>
        <v/>
      </c>
      <c r="ID154" s="237" t="str">
        <f t="shared" si="1397"/>
        <v/>
      </c>
      <c r="IE154" s="237" t="str">
        <f t="shared" si="1398"/>
        <v/>
      </c>
      <c r="IF154" s="237" t="str">
        <f t="shared" si="1399"/>
        <v/>
      </c>
      <c r="IG154" s="312" t="str">
        <f t="shared" si="1400"/>
        <v/>
      </c>
      <c r="IH154" s="99" t="str">
        <f t="shared" si="1401"/>
        <v/>
      </c>
      <c r="II154" s="99" t="str">
        <f t="shared" si="1402"/>
        <v/>
      </c>
      <c r="IJ154" s="99" t="str">
        <f t="shared" si="1403"/>
        <v/>
      </c>
      <c r="IK154" s="99" t="str">
        <f t="shared" si="1404"/>
        <v/>
      </c>
      <c r="IL154" s="99" t="str">
        <f t="shared" si="1405"/>
        <v/>
      </c>
      <c r="IM154" s="312" t="str">
        <f t="shared" si="1406"/>
        <v/>
      </c>
      <c r="IN154" s="99" t="str">
        <f t="shared" si="1407"/>
        <v/>
      </c>
      <c r="IO154" s="99" t="str">
        <f t="shared" si="1408"/>
        <v/>
      </c>
      <c r="IP154" s="99" t="str">
        <f t="shared" si="1409"/>
        <v/>
      </c>
      <c r="IQ154" s="99" t="str">
        <f t="shared" si="1410"/>
        <v/>
      </c>
      <c r="IR154" s="99" t="str">
        <f t="shared" si="1411"/>
        <v/>
      </c>
      <c r="IS154" s="312" t="str">
        <f t="shared" si="1412"/>
        <v/>
      </c>
      <c r="IT154" s="99" t="str">
        <f t="shared" si="1413"/>
        <v/>
      </c>
      <c r="IU154" s="99" t="str">
        <f t="shared" si="1414"/>
        <v/>
      </c>
      <c r="IV154" s="99" t="str">
        <f t="shared" si="1415"/>
        <v/>
      </c>
      <c r="IW154" s="99" t="str">
        <f t="shared" si="1416"/>
        <v/>
      </c>
      <c r="IX154" s="99" t="str">
        <f t="shared" si="1417"/>
        <v/>
      </c>
      <c r="IY154" s="312" t="str">
        <f t="shared" si="1418"/>
        <v/>
      </c>
      <c r="IZ154" s="99" t="str">
        <f t="shared" si="1419"/>
        <v/>
      </c>
      <c r="JA154" s="99" t="str">
        <f t="shared" si="1420"/>
        <v/>
      </c>
      <c r="JB154" s="99" t="str">
        <f t="shared" si="1421"/>
        <v/>
      </c>
      <c r="JC154" s="99" t="str">
        <f t="shared" si="1422"/>
        <v/>
      </c>
      <c r="JD154" s="313" t="str">
        <f t="shared" si="1423"/>
        <v/>
      </c>
      <c r="JF154" s="66">
        <f t="shared" si="779"/>
        <v>154</v>
      </c>
      <c r="JG154" s="66">
        <f t="shared" ca="1" si="789"/>
        <v>0</v>
      </c>
      <c r="JH154" s="66">
        <f t="shared" ca="1" si="790"/>
        <v>0</v>
      </c>
      <c r="JI154" s="66">
        <f t="shared" ca="1" si="791"/>
        <v>0</v>
      </c>
      <c r="JJ154" s="66">
        <f t="shared" ca="1" si="792"/>
        <v>0</v>
      </c>
      <c r="JK154" s="33"/>
      <c r="JL154" s="74" t="str">
        <f t="shared" ca="1" si="793"/>
        <v>-</v>
      </c>
      <c r="JM154" s="75">
        <f t="shared" ca="1" si="794"/>
        <v>0</v>
      </c>
      <c r="JN154" s="75">
        <f t="shared" ca="1" si="795"/>
        <v>0</v>
      </c>
      <c r="JO154" s="74" t="str">
        <f t="shared" ca="1" si="796"/>
        <v>-</v>
      </c>
      <c r="JP154" s="74">
        <f t="shared" ca="1" si="797"/>
        <v>0</v>
      </c>
    </row>
    <row r="155" spans="1:276" hidden="1" outlineLevel="1" x14ac:dyDescent="0.35">
      <c r="A155" s="125" t="s">
        <v>805</v>
      </c>
      <c r="B155" s="125" t="s">
        <v>805</v>
      </c>
      <c r="C155" s="125" t="s">
        <v>805</v>
      </c>
      <c r="E155" s="142" t="s">
        <v>876</v>
      </c>
      <c r="F155" s="254" t="s">
        <v>761</v>
      </c>
      <c r="G155" t="s">
        <v>540</v>
      </c>
      <c r="H155" t="s">
        <v>531</v>
      </c>
      <c r="I155" t="s">
        <v>534</v>
      </c>
      <c r="J155" s="211" t="s">
        <v>805</v>
      </c>
      <c r="K155" t="s">
        <v>805</v>
      </c>
      <c r="L155" t="s">
        <v>805</v>
      </c>
      <c r="M155" t="s">
        <v>805</v>
      </c>
      <c r="N155" t="s">
        <v>805</v>
      </c>
      <c r="O155" t="s">
        <v>805</v>
      </c>
      <c r="P155" t="s">
        <v>805</v>
      </c>
      <c r="Q155" t="s">
        <v>805</v>
      </c>
      <c r="R155" t="s">
        <v>805</v>
      </c>
      <c r="S155" t="s">
        <v>805</v>
      </c>
      <c r="T155" t="s">
        <v>805</v>
      </c>
      <c r="U155" t="s">
        <v>805</v>
      </c>
      <c r="V155" t="s">
        <v>805</v>
      </c>
      <c r="W155" t="s">
        <v>805</v>
      </c>
      <c r="X155" t="s">
        <v>805</v>
      </c>
      <c r="Y155" t="s">
        <v>805</v>
      </c>
      <c r="Z155" t="s">
        <v>805</v>
      </c>
      <c r="AA155" t="s">
        <v>805</v>
      </c>
      <c r="AB155" t="s">
        <v>805</v>
      </c>
      <c r="AC155" t="s">
        <v>805</v>
      </c>
      <c r="AD155" t="s">
        <v>805</v>
      </c>
      <c r="AE155" t="s">
        <v>805</v>
      </c>
      <c r="AF155" t="s">
        <v>805</v>
      </c>
      <c r="AG155" t="s">
        <v>805</v>
      </c>
      <c r="AH155" t="s">
        <v>805</v>
      </c>
      <c r="AI155" t="s">
        <v>805</v>
      </c>
      <c r="AJ155" t="s">
        <v>805</v>
      </c>
      <c r="AK155" t="s">
        <v>805</v>
      </c>
      <c r="AL155" t="s">
        <v>805</v>
      </c>
      <c r="AM155" t="s">
        <v>805</v>
      </c>
      <c r="AN155" t="s">
        <v>805</v>
      </c>
      <c r="AO155" t="s">
        <v>805</v>
      </c>
      <c r="AP155" t="s">
        <v>805</v>
      </c>
      <c r="AQ155" t="s">
        <v>805</v>
      </c>
      <c r="AR155" t="s">
        <v>805</v>
      </c>
      <c r="AS155" t="s">
        <v>805</v>
      </c>
      <c r="AT155" t="s">
        <v>805</v>
      </c>
      <c r="AU155" t="s">
        <v>805</v>
      </c>
      <c r="AV155" t="s">
        <v>805</v>
      </c>
      <c r="AW155" t="s">
        <v>805</v>
      </c>
      <c r="AX155" t="s">
        <v>805</v>
      </c>
      <c r="AY155" t="s">
        <v>805</v>
      </c>
      <c r="AZ155" t="s">
        <v>805</v>
      </c>
      <c r="BA155" t="s">
        <v>805</v>
      </c>
      <c r="BB155" t="s">
        <v>805</v>
      </c>
      <c r="BC155" t="s">
        <v>805</v>
      </c>
      <c r="BD155" t="s">
        <v>805</v>
      </c>
      <c r="BE155" t="s">
        <v>805</v>
      </c>
      <c r="BF155" t="s">
        <v>805</v>
      </c>
      <c r="BG155" t="s">
        <v>805</v>
      </c>
      <c r="BH155" t="s">
        <v>805</v>
      </c>
      <c r="BI155" t="s">
        <v>805</v>
      </c>
      <c r="BJ155" t="s">
        <v>805</v>
      </c>
      <c r="BK155" t="s">
        <v>805</v>
      </c>
      <c r="BL155" t="s">
        <v>805</v>
      </c>
      <c r="BM155" t="s">
        <v>805</v>
      </c>
      <c r="BN155" t="s">
        <v>805</v>
      </c>
      <c r="BO155" t="s">
        <v>805</v>
      </c>
      <c r="BP155" t="s">
        <v>805</v>
      </c>
      <c r="BQ155" t="s">
        <v>805</v>
      </c>
      <c r="BR155" t="s">
        <v>805</v>
      </c>
      <c r="BS155" t="s">
        <v>805</v>
      </c>
      <c r="BT155" t="s">
        <v>805</v>
      </c>
      <c r="BU155" t="s">
        <v>805</v>
      </c>
      <c r="BV155" t="s">
        <v>805</v>
      </c>
      <c r="BW155" t="s">
        <v>805</v>
      </c>
      <c r="BX155" t="s">
        <v>805</v>
      </c>
      <c r="BY155" t="s">
        <v>805</v>
      </c>
      <c r="BZ155" t="s">
        <v>805</v>
      </c>
      <c r="CA155" t="s">
        <v>805</v>
      </c>
      <c r="CB155" t="s">
        <v>805</v>
      </c>
      <c r="CC155" t="s">
        <v>805</v>
      </c>
      <c r="CD155" t="s">
        <v>805</v>
      </c>
      <c r="CE155" t="s">
        <v>805</v>
      </c>
      <c r="CF155" t="s">
        <v>805</v>
      </c>
      <c r="CG155" t="s">
        <v>805</v>
      </c>
      <c r="CH155" t="s">
        <v>805</v>
      </c>
      <c r="CI155" t="s">
        <v>805</v>
      </c>
      <c r="CJ155" t="s">
        <v>805</v>
      </c>
      <c r="CK155" t="s">
        <v>805</v>
      </c>
      <c r="CL155" t="s">
        <v>805</v>
      </c>
      <c r="CM155" t="s">
        <v>805</v>
      </c>
      <c r="CN155" t="s">
        <v>805</v>
      </c>
      <c r="CO155" t="s">
        <v>805</v>
      </c>
      <c r="CP155" t="s">
        <v>805</v>
      </c>
      <c r="CQ155" t="s">
        <v>805</v>
      </c>
      <c r="CR155" t="s">
        <v>805</v>
      </c>
      <c r="CS155" t="s">
        <v>805</v>
      </c>
      <c r="CT155" t="s">
        <v>805</v>
      </c>
      <c r="CU155" t="s">
        <v>805</v>
      </c>
      <c r="CV155" t="s">
        <v>805</v>
      </c>
      <c r="CW155" t="s">
        <v>805</v>
      </c>
      <c r="CX155" t="s">
        <v>805</v>
      </c>
      <c r="CY155" t="s">
        <v>805</v>
      </c>
      <c r="CZ155" t="s">
        <v>805</v>
      </c>
      <c r="DA155" t="s">
        <v>805</v>
      </c>
      <c r="DB155" t="s">
        <v>805</v>
      </c>
      <c r="DC155" t="s">
        <v>805</v>
      </c>
      <c r="DD155" t="s">
        <v>805</v>
      </c>
      <c r="DE155" t="s">
        <v>805</v>
      </c>
      <c r="DF155" t="s">
        <v>805</v>
      </c>
      <c r="DG155" s="28">
        <f>VLOOKUP(E155,'KPI Count-SHARE'!A:F,3,0)</f>
        <v>0</v>
      </c>
      <c r="DH155" t="s">
        <v>805</v>
      </c>
      <c r="DI155" t="s">
        <v>805</v>
      </c>
      <c r="DJ155" t="s">
        <v>805</v>
      </c>
      <c r="DK155" t="s">
        <v>805</v>
      </c>
      <c r="DL155" t="s">
        <v>805</v>
      </c>
      <c r="DM155" t="s">
        <v>805</v>
      </c>
      <c r="DN155" s="28">
        <f>VLOOKUP(E155,'KPI Count-SHARE'!A:F,4,0)</f>
        <v>0</v>
      </c>
      <c r="DU155" s="28">
        <f>VLOOKUP(E155,'KPI Count-SHARE'!A:F,5,0)</f>
        <v>0</v>
      </c>
      <c r="EB155" s="28">
        <f>VLOOKUP(E155,'KPI Count-SHARE'!A:F,6,0)</f>
        <v>0</v>
      </c>
      <c r="EI155" t="s">
        <v>531</v>
      </c>
      <c r="EJ155" s="237" t="str">
        <f t="shared" si="1299"/>
        <v/>
      </c>
      <c r="EK155" s="237" t="str">
        <f t="shared" si="1300"/>
        <v/>
      </c>
      <c r="EL155" s="237" t="str">
        <f t="shared" si="1301"/>
        <v/>
      </c>
      <c r="EM155" s="237" t="str">
        <f t="shared" si="1302"/>
        <v/>
      </c>
      <c r="EN155" s="237" t="str">
        <f t="shared" si="1303"/>
        <v/>
      </c>
      <c r="EO155" s="237" t="str">
        <f t="shared" si="1304"/>
        <v/>
      </c>
      <c r="EP155" s="237" t="str">
        <f t="shared" si="1305"/>
        <v/>
      </c>
      <c r="EQ155" s="237" t="str">
        <f t="shared" si="1306"/>
        <v/>
      </c>
      <c r="ER155" s="237" t="str">
        <f t="shared" si="1307"/>
        <v/>
      </c>
      <c r="ES155" s="237" t="str">
        <f t="shared" si="1308"/>
        <v/>
      </c>
      <c r="ET155" s="237" t="str">
        <f t="shared" si="1309"/>
        <v/>
      </c>
      <c r="EU155" s="237" t="str">
        <f t="shared" si="1310"/>
        <v/>
      </c>
      <c r="EV155" s="237" t="str">
        <f t="shared" si="1311"/>
        <v/>
      </c>
      <c r="EW155" s="237" t="str">
        <f t="shared" si="1312"/>
        <v/>
      </c>
      <c r="EX155" s="237" t="str">
        <f t="shared" si="1313"/>
        <v/>
      </c>
      <c r="EY155" s="237" t="str">
        <f t="shared" si="1314"/>
        <v/>
      </c>
      <c r="EZ155" s="237" t="str">
        <f t="shared" si="1315"/>
        <v/>
      </c>
      <c r="FA155" s="237" t="str">
        <f t="shared" si="1316"/>
        <v/>
      </c>
      <c r="FB155" s="237" t="str">
        <f t="shared" si="1317"/>
        <v/>
      </c>
      <c r="FC155" s="237" t="str">
        <f t="shared" si="1318"/>
        <v/>
      </c>
      <c r="FD155" s="237" t="str">
        <f t="shared" si="1319"/>
        <v/>
      </c>
      <c r="FE155" s="237" t="str">
        <f t="shared" si="1320"/>
        <v/>
      </c>
      <c r="FF155" s="237" t="str">
        <f t="shared" si="1321"/>
        <v/>
      </c>
      <c r="FG155" s="237" t="str">
        <f t="shared" si="1322"/>
        <v/>
      </c>
      <c r="FH155" s="237" t="str">
        <f t="shared" si="1323"/>
        <v/>
      </c>
      <c r="FI155" s="237" t="str">
        <f t="shared" si="1324"/>
        <v/>
      </c>
      <c r="FJ155" s="237" t="str">
        <f t="shared" si="1325"/>
        <v/>
      </c>
      <c r="FK155" s="237" t="str">
        <f t="shared" si="1326"/>
        <v/>
      </c>
      <c r="FL155" s="237" t="str">
        <f t="shared" si="1327"/>
        <v/>
      </c>
      <c r="FM155" s="237" t="str">
        <f t="shared" si="1328"/>
        <v/>
      </c>
      <c r="FN155" s="237" t="str">
        <f t="shared" si="1329"/>
        <v/>
      </c>
      <c r="FO155" s="237" t="str">
        <f t="shared" si="1330"/>
        <v/>
      </c>
      <c r="FP155" s="237" t="str">
        <f t="shared" si="1331"/>
        <v/>
      </c>
      <c r="FQ155" s="237" t="str">
        <f t="shared" si="1332"/>
        <v/>
      </c>
      <c r="FR155" s="237" t="str">
        <f t="shared" si="1333"/>
        <v/>
      </c>
      <c r="FS155" s="237" t="str">
        <f t="shared" si="1334"/>
        <v/>
      </c>
      <c r="FT155" s="237" t="str">
        <f t="shared" si="1335"/>
        <v/>
      </c>
      <c r="FU155" s="237" t="str">
        <f t="shared" si="1336"/>
        <v/>
      </c>
      <c r="FV155" s="237" t="str">
        <f t="shared" si="1337"/>
        <v/>
      </c>
      <c r="FW155" s="237" t="str">
        <f t="shared" si="1338"/>
        <v/>
      </c>
      <c r="FX155" s="237" t="str">
        <f t="shared" si="1339"/>
        <v/>
      </c>
      <c r="FY155" s="237" t="str">
        <f t="shared" si="1340"/>
        <v/>
      </c>
      <c r="FZ155" s="237" t="str">
        <f t="shared" si="1341"/>
        <v/>
      </c>
      <c r="GA155" s="237" t="str">
        <f t="shared" si="1342"/>
        <v/>
      </c>
      <c r="GB155" s="237" t="str">
        <f t="shared" si="1343"/>
        <v/>
      </c>
      <c r="GC155" s="237" t="str">
        <f t="shared" si="1344"/>
        <v/>
      </c>
      <c r="GD155" s="237" t="str">
        <f t="shared" si="1345"/>
        <v/>
      </c>
      <c r="GE155" s="237" t="str">
        <f t="shared" si="1346"/>
        <v/>
      </c>
      <c r="GF155" s="237" t="str">
        <f t="shared" si="1347"/>
        <v/>
      </c>
      <c r="GG155" s="237" t="str">
        <f t="shared" si="1348"/>
        <v/>
      </c>
      <c r="GH155" s="237" t="str">
        <f t="shared" si="1349"/>
        <v/>
      </c>
      <c r="GI155" s="237" t="str">
        <f t="shared" si="1350"/>
        <v/>
      </c>
      <c r="GJ155" s="237" t="str">
        <f t="shared" si="1351"/>
        <v/>
      </c>
      <c r="GK155" s="237" t="str">
        <f t="shared" si="1352"/>
        <v/>
      </c>
      <c r="GL155" s="237" t="str">
        <f t="shared" si="1353"/>
        <v/>
      </c>
      <c r="GM155" s="237" t="str">
        <f t="shared" si="1354"/>
        <v/>
      </c>
      <c r="GN155" s="237" t="str">
        <f t="shared" si="1355"/>
        <v/>
      </c>
      <c r="GO155" s="237" t="str">
        <f t="shared" si="1356"/>
        <v/>
      </c>
      <c r="GP155" s="237" t="str">
        <f t="shared" si="1357"/>
        <v/>
      </c>
      <c r="GQ155" s="237" t="str">
        <f t="shared" si="1358"/>
        <v/>
      </c>
      <c r="GR155" s="237" t="str">
        <f t="shared" si="1359"/>
        <v/>
      </c>
      <c r="GS155" s="237" t="str">
        <f t="shared" si="1360"/>
        <v/>
      </c>
      <c r="GT155" s="237" t="str">
        <f t="shared" si="1361"/>
        <v/>
      </c>
      <c r="GU155" s="237" t="str">
        <f t="shared" si="1362"/>
        <v/>
      </c>
      <c r="GV155" s="237" t="str">
        <f t="shared" si="1363"/>
        <v/>
      </c>
      <c r="GW155" s="237" t="str">
        <f t="shared" si="1364"/>
        <v/>
      </c>
      <c r="GX155" s="237" t="str">
        <f t="shared" si="1365"/>
        <v/>
      </c>
      <c r="GY155" s="237" t="str">
        <f t="shared" si="1366"/>
        <v/>
      </c>
      <c r="GZ155" s="237" t="str">
        <f t="shared" si="1367"/>
        <v/>
      </c>
      <c r="HA155" s="237" t="str">
        <f t="shared" si="1368"/>
        <v/>
      </c>
      <c r="HB155" s="237" t="str">
        <f t="shared" si="1369"/>
        <v/>
      </c>
      <c r="HC155" s="237" t="str">
        <f t="shared" si="1370"/>
        <v/>
      </c>
      <c r="HD155" s="237" t="str">
        <f t="shared" si="1371"/>
        <v/>
      </c>
      <c r="HE155" s="237" t="str">
        <f t="shared" si="1372"/>
        <v/>
      </c>
      <c r="HF155" s="237" t="str">
        <f t="shared" si="1373"/>
        <v/>
      </c>
      <c r="HG155" s="237" t="str">
        <f t="shared" si="1374"/>
        <v/>
      </c>
      <c r="HH155" s="237" t="str">
        <f t="shared" si="1375"/>
        <v/>
      </c>
      <c r="HI155" s="237" t="str">
        <f t="shared" si="1376"/>
        <v/>
      </c>
      <c r="HJ155" s="237" t="str">
        <f t="shared" si="1377"/>
        <v/>
      </c>
      <c r="HK155" s="237" t="str">
        <f t="shared" si="1378"/>
        <v/>
      </c>
      <c r="HL155" s="237" t="str">
        <f t="shared" si="1379"/>
        <v/>
      </c>
      <c r="HM155" s="237" t="str">
        <f t="shared" si="1380"/>
        <v/>
      </c>
      <c r="HN155" s="237" t="str">
        <f t="shared" si="1381"/>
        <v/>
      </c>
      <c r="HO155" s="237" t="str">
        <f t="shared" si="1382"/>
        <v/>
      </c>
      <c r="HP155" s="237" t="str">
        <f t="shared" si="1383"/>
        <v/>
      </c>
      <c r="HQ155" s="237" t="str">
        <f t="shared" si="1384"/>
        <v/>
      </c>
      <c r="HR155" s="237" t="str">
        <f t="shared" si="1385"/>
        <v/>
      </c>
      <c r="HS155" s="237" t="str">
        <f t="shared" si="1386"/>
        <v/>
      </c>
      <c r="HT155" s="237" t="str">
        <f t="shared" si="1387"/>
        <v/>
      </c>
      <c r="HU155" s="237" t="str">
        <f t="shared" si="1388"/>
        <v/>
      </c>
      <c r="HV155" s="237" t="str">
        <f t="shared" si="1389"/>
        <v/>
      </c>
      <c r="HW155" s="237" t="str">
        <f t="shared" si="1390"/>
        <v/>
      </c>
      <c r="HX155" s="237" t="str">
        <f t="shared" si="1391"/>
        <v/>
      </c>
      <c r="HY155" s="237" t="str">
        <f t="shared" si="1392"/>
        <v/>
      </c>
      <c r="HZ155" s="237" t="str">
        <f t="shared" si="1393"/>
        <v/>
      </c>
      <c r="IA155" s="237" t="str">
        <f t="shared" si="1394"/>
        <v/>
      </c>
      <c r="IB155" s="237" t="str">
        <f t="shared" si="1395"/>
        <v/>
      </c>
      <c r="IC155" s="237" t="str">
        <f t="shared" si="1396"/>
        <v/>
      </c>
      <c r="ID155" s="237" t="str">
        <f t="shared" si="1397"/>
        <v/>
      </c>
      <c r="IE155" s="237" t="str">
        <f t="shared" si="1398"/>
        <v/>
      </c>
      <c r="IF155" s="237" t="str">
        <f t="shared" si="1399"/>
        <v/>
      </c>
      <c r="IG155" s="312" t="str">
        <f t="shared" si="1400"/>
        <v/>
      </c>
      <c r="IH155" s="99" t="str">
        <f t="shared" si="1401"/>
        <v/>
      </c>
      <c r="II155" s="99" t="str">
        <f t="shared" si="1402"/>
        <v/>
      </c>
      <c r="IJ155" s="99" t="str">
        <f t="shared" si="1403"/>
        <v/>
      </c>
      <c r="IK155" s="99" t="str">
        <f t="shared" si="1404"/>
        <v/>
      </c>
      <c r="IL155" s="99" t="str">
        <f t="shared" si="1405"/>
        <v/>
      </c>
      <c r="IM155" s="312" t="str">
        <f t="shared" si="1406"/>
        <v/>
      </c>
      <c r="IN155" s="99" t="str">
        <f t="shared" si="1407"/>
        <v/>
      </c>
      <c r="IO155" s="99" t="str">
        <f t="shared" si="1408"/>
        <v/>
      </c>
      <c r="IP155" s="99" t="str">
        <f t="shared" si="1409"/>
        <v/>
      </c>
      <c r="IQ155" s="99" t="str">
        <f t="shared" si="1410"/>
        <v/>
      </c>
      <c r="IR155" s="99" t="str">
        <f t="shared" si="1411"/>
        <v/>
      </c>
      <c r="IS155" s="312" t="str">
        <f t="shared" si="1412"/>
        <v/>
      </c>
      <c r="IT155" s="99" t="str">
        <f t="shared" si="1413"/>
        <v/>
      </c>
      <c r="IU155" s="99" t="str">
        <f t="shared" si="1414"/>
        <v/>
      </c>
      <c r="IV155" s="99" t="str">
        <f t="shared" si="1415"/>
        <v/>
      </c>
      <c r="IW155" s="99" t="str">
        <f t="shared" si="1416"/>
        <v/>
      </c>
      <c r="IX155" s="99" t="str">
        <f t="shared" si="1417"/>
        <v/>
      </c>
      <c r="IY155" s="312" t="str">
        <f t="shared" si="1418"/>
        <v/>
      </c>
      <c r="IZ155" s="99" t="str">
        <f t="shared" si="1419"/>
        <v/>
      </c>
      <c r="JA155" s="99" t="str">
        <f t="shared" si="1420"/>
        <v/>
      </c>
      <c r="JB155" s="99" t="str">
        <f t="shared" si="1421"/>
        <v/>
      </c>
      <c r="JC155" s="99" t="str">
        <f t="shared" si="1422"/>
        <v/>
      </c>
      <c r="JD155" s="313" t="str">
        <f t="shared" si="1423"/>
        <v/>
      </c>
      <c r="JF155" s="66">
        <f t="shared" si="779"/>
        <v>155</v>
      </c>
      <c r="JG155" s="66">
        <f t="shared" ca="1" si="789"/>
        <v>0</v>
      </c>
      <c r="JH155" s="66">
        <f t="shared" ca="1" si="790"/>
        <v>0</v>
      </c>
      <c r="JI155" s="66">
        <f t="shared" ca="1" si="791"/>
        <v>0</v>
      </c>
      <c r="JJ155" s="66">
        <f t="shared" ca="1" si="792"/>
        <v>0</v>
      </c>
      <c r="JK155" s="33"/>
      <c r="JL155" s="74" t="str">
        <f t="shared" ca="1" si="793"/>
        <v>-</v>
      </c>
      <c r="JM155" s="75">
        <f t="shared" ca="1" si="794"/>
        <v>0</v>
      </c>
      <c r="JN155" s="75">
        <f t="shared" ca="1" si="795"/>
        <v>0</v>
      </c>
      <c r="JO155" s="74" t="str">
        <f t="shared" ca="1" si="796"/>
        <v>-</v>
      </c>
      <c r="JP155" s="74">
        <f t="shared" ca="1" si="797"/>
        <v>0</v>
      </c>
    </row>
    <row r="156" spans="1:276" hidden="1" outlineLevel="1" x14ac:dyDescent="0.35">
      <c r="A156" s="125" t="s">
        <v>805</v>
      </c>
      <c r="B156" s="125" t="s">
        <v>805</v>
      </c>
      <c r="C156" s="125" t="s">
        <v>805</v>
      </c>
      <c r="E156" s="142" t="s">
        <v>877</v>
      </c>
      <c r="F156" s="254" t="s">
        <v>762</v>
      </c>
      <c r="G156" t="s">
        <v>540</v>
      </c>
      <c r="H156" t="s">
        <v>531</v>
      </c>
      <c r="I156" t="s">
        <v>534</v>
      </c>
      <c r="J156" s="211" t="s">
        <v>805</v>
      </c>
      <c r="K156" t="s">
        <v>805</v>
      </c>
      <c r="L156" t="s">
        <v>805</v>
      </c>
      <c r="M156" t="s">
        <v>805</v>
      </c>
      <c r="N156" t="s">
        <v>805</v>
      </c>
      <c r="O156" t="s">
        <v>805</v>
      </c>
      <c r="P156" t="s">
        <v>805</v>
      </c>
      <c r="Q156" t="s">
        <v>805</v>
      </c>
      <c r="R156" t="s">
        <v>805</v>
      </c>
      <c r="S156" t="s">
        <v>805</v>
      </c>
      <c r="T156" t="s">
        <v>805</v>
      </c>
      <c r="U156" t="s">
        <v>805</v>
      </c>
      <c r="V156" t="s">
        <v>805</v>
      </c>
      <c r="W156" t="s">
        <v>805</v>
      </c>
      <c r="X156" t="s">
        <v>805</v>
      </c>
      <c r="Y156" t="s">
        <v>805</v>
      </c>
      <c r="Z156" t="s">
        <v>805</v>
      </c>
      <c r="AA156" t="s">
        <v>805</v>
      </c>
      <c r="AB156" t="s">
        <v>805</v>
      </c>
      <c r="AC156" t="s">
        <v>805</v>
      </c>
      <c r="AD156" t="s">
        <v>805</v>
      </c>
      <c r="AE156" t="s">
        <v>805</v>
      </c>
      <c r="AF156" t="s">
        <v>805</v>
      </c>
      <c r="AG156" t="s">
        <v>805</v>
      </c>
      <c r="AH156" t="s">
        <v>805</v>
      </c>
      <c r="AI156" t="s">
        <v>805</v>
      </c>
      <c r="AJ156" t="s">
        <v>805</v>
      </c>
      <c r="AK156" t="s">
        <v>805</v>
      </c>
      <c r="AL156" t="s">
        <v>805</v>
      </c>
      <c r="AM156" t="s">
        <v>805</v>
      </c>
      <c r="AN156" t="s">
        <v>805</v>
      </c>
      <c r="AO156" t="s">
        <v>805</v>
      </c>
      <c r="AP156" t="s">
        <v>805</v>
      </c>
      <c r="AQ156" t="s">
        <v>805</v>
      </c>
      <c r="AR156" t="s">
        <v>805</v>
      </c>
      <c r="AS156" t="s">
        <v>805</v>
      </c>
      <c r="AT156" t="s">
        <v>805</v>
      </c>
      <c r="AU156" t="s">
        <v>805</v>
      </c>
      <c r="AV156" t="s">
        <v>805</v>
      </c>
      <c r="AW156" t="s">
        <v>805</v>
      </c>
      <c r="AX156" t="s">
        <v>805</v>
      </c>
      <c r="AY156" t="s">
        <v>805</v>
      </c>
      <c r="AZ156" t="s">
        <v>805</v>
      </c>
      <c r="BA156" t="s">
        <v>805</v>
      </c>
      <c r="BB156" t="s">
        <v>805</v>
      </c>
      <c r="BC156" t="s">
        <v>805</v>
      </c>
      <c r="BD156" t="s">
        <v>805</v>
      </c>
      <c r="BE156" t="s">
        <v>805</v>
      </c>
      <c r="BF156" t="s">
        <v>805</v>
      </c>
      <c r="BG156" t="s">
        <v>805</v>
      </c>
      <c r="BH156" t="s">
        <v>805</v>
      </c>
      <c r="BI156" t="s">
        <v>805</v>
      </c>
      <c r="BJ156" t="s">
        <v>805</v>
      </c>
      <c r="BK156" t="s">
        <v>805</v>
      </c>
      <c r="BL156" t="s">
        <v>805</v>
      </c>
      <c r="BM156" t="s">
        <v>805</v>
      </c>
      <c r="BN156" t="s">
        <v>805</v>
      </c>
      <c r="BO156" t="s">
        <v>805</v>
      </c>
      <c r="BP156" t="s">
        <v>805</v>
      </c>
      <c r="BQ156" t="s">
        <v>805</v>
      </c>
      <c r="BR156" t="s">
        <v>805</v>
      </c>
      <c r="BS156" t="s">
        <v>805</v>
      </c>
      <c r="BT156" t="s">
        <v>805</v>
      </c>
      <c r="BU156" t="s">
        <v>805</v>
      </c>
      <c r="BV156" t="s">
        <v>805</v>
      </c>
      <c r="BW156" t="s">
        <v>805</v>
      </c>
      <c r="BX156" t="s">
        <v>805</v>
      </c>
      <c r="BY156" t="s">
        <v>805</v>
      </c>
      <c r="BZ156" t="s">
        <v>805</v>
      </c>
      <c r="CA156" t="s">
        <v>805</v>
      </c>
      <c r="CB156" t="s">
        <v>805</v>
      </c>
      <c r="CC156" t="s">
        <v>805</v>
      </c>
      <c r="CD156" t="s">
        <v>805</v>
      </c>
      <c r="CE156" t="s">
        <v>805</v>
      </c>
      <c r="CF156" t="s">
        <v>805</v>
      </c>
      <c r="CG156" t="s">
        <v>805</v>
      </c>
      <c r="CH156" t="s">
        <v>805</v>
      </c>
      <c r="CI156" t="s">
        <v>805</v>
      </c>
      <c r="CJ156" t="s">
        <v>805</v>
      </c>
      <c r="CK156" t="s">
        <v>805</v>
      </c>
      <c r="CL156" t="s">
        <v>805</v>
      </c>
      <c r="CM156" t="s">
        <v>805</v>
      </c>
      <c r="CN156" t="s">
        <v>805</v>
      </c>
      <c r="CO156" t="s">
        <v>805</v>
      </c>
      <c r="CP156" t="s">
        <v>805</v>
      </c>
      <c r="CQ156" t="s">
        <v>805</v>
      </c>
      <c r="CR156" t="s">
        <v>805</v>
      </c>
      <c r="CS156" t="s">
        <v>805</v>
      </c>
      <c r="CT156" t="s">
        <v>805</v>
      </c>
      <c r="CU156" t="s">
        <v>805</v>
      </c>
      <c r="CV156" t="s">
        <v>805</v>
      </c>
      <c r="CW156" t="s">
        <v>805</v>
      </c>
      <c r="CX156" t="s">
        <v>805</v>
      </c>
      <c r="CY156" t="s">
        <v>805</v>
      </c>
      <c r="CZ156" t="s">
        <v>805</v>
      </c>
      <c r="DA156" t="s">
        <v>805</v>
      </c>
      <c r="DB156" t="s">
        <v>805</v>
      </c>
      <c r="DC156" t="s">
        <v>805</v>
      </c>
      <c r="DD156" t="s">
        <v>805</v>
      </c>
      <c r="DE156" t="s">
        <v>805</v>
      </c>
      <c r="DF156" t="s">
        <v>805</v>
      </c>
      <c r="DG156" s="28">
        <f>VLOOKUP(E156,'KPI Count-SHARE'!A:F,3,0)</f>
        <v>0</v>
      </c>
      <c r="DH156" t="s">
        <v>805</v>
      </c>
      <c r="DI156" t="s">
        <v>805</v>
      </c>
      <c r="DJ156" t="s">
        <v>805</v>
      </c>
      <c r="DK156" t="s">
        <v>805</v>
      </c>
      <c r="DL156" t="s">
        <v>805</v>
      </c>
      <c r="DM156" t="s">
        <v>805</v>
      </c>
      <c r="DN156" s="28">
        <f>VLOOKUP(E156,'KPI Count-SHARE'!A:F,4,0)</f>
        <v>0</v>
      </c>
      <c r="DU156" s="28">
        <f>VLOOKUP(E156,'KPI Count-SHARE'!A:F,5,0)</f>
        <v>0</v>
      </c>
      <c r="EB156" s="28">
        <f>VLOOKUP(E156,'KPI Count-SHARE'!A:F,6,0)</f>
        <v>0</v>
      </c>
      <c r="EI156" t="s">
        <v>531</v>
      </c>
      <c r="EJ156" s="237" t="str">
        <f t="shared" si="1299"/>
        <v/>
      </c>
      <c r="EK156" s="237" t="str">
        <f t="shared" si="1300"/>
        <v/>
      </c>
      <c r="EL156" s="237" t="str">
        <f t="shared" si="1301"/>
        <v/>
      </c>
      <c r="EM156" s="237" t="str">
        <f t="shared" si="1302"/>
        <v/>
      </c>
      <c r="EN156" s="237" t="str">
        <f t="shared" si="1303"/>
        <v/>
      </c>
      <c r="EO156" s="237" t="str">
        <f t="shared" si="1304"/>
        <v/>
      </c>
      <c r="EP156" s="237" t="str">
        <f t="shared" si="1305"/>
        <v/>
      </c>
      <c r="EQ156" s="237" t="str">
        <f t="shared" si="1306"/>
        <v/>
      </c>
      <c r="ER156" s="237" t="str">
        <f t="shared" si="1307"/>
        <v/>
      </c>
      <c r="ES156" s="237" t="str">
        <f t="shared" si="1308"/>
        <v/>
      </c>
      <c r="ET156" s="237" t="str">
        <f t="shared" si="1309"/>
        <v/>
      </c>
      <c r="EU156" s="237" t="str">
        <f t="shared" si="1310"/>
        <v/>
      </c>
      <c r="EV156" s="237" t="str">
        <f t="shared" si="1311"/>
        <v/>
      </c>
      <c r="EW156" s="237" t="str">
        <f t="shared" si="1312"/>
        <v/>
      </c>
      <c r="EX156" s="237" t="str">
        <f t="shared" si="1313"/>
        <v/>
      </c>
      <c r="EY156" s="237" t="str">
        <f t="shared" si="1314"/>
        <v/>
      </c>
      <c r="EZ156" s="237" t="str">
        <f t="shared" si="1315"/>
        <v/>
      </c>
      <c r="FA156" s="237" t="str">
        <f t="shared" si="1316"/>
        <v/>
      </c>
      <c r="FB156" s="237" t="str">
        <f t="shared" si="1317"/>
        <v/>
      </c>
      <c r="FC156" s="237" t="str">
        <f t="shared" si="1318"/>
        <v/>
      </c>
      <c r="FD156" s="237" t="str">
        <f t="shared" si="1319"/>
        <v/>
      </c>
      <c r="FE156" s="237" t="str">
        <f t="shared" si="1320"/>
        <v/>
      </c>
      <c r="FF156" s="237" t="str">
        <f t="shared" si="1321"/>
        <v/>
      </c>
      <c r="FG156" s="237" t="str">
        <f t="shared" si="1322"/>
        <v/>
      </c>
      <c r="FH156" s="237" t="str">
        <f t="shared" si="1323"/>
        <v/>
      </c>
      <c r="FI156" s="237" t="str">
        <f t="shared" si="1324"/>
        <v/>
      </c>
      <c r="FJ156" s="237" t="str">
        <f t="shared" si="1325"/>
        <v/>
      </c>
      <c r="FK156" s="237" t="str">
        <f t="shared" si="1326"/>
        <v/>
      </c>
      <c r="FL156" s="237" t="str">
        <f t="shared" si="1327"/>
        <v/>
      </c>
      <c r="FM156" s="237" t="str">
        <f t="shared" si="1328"/>
        <v/>
      </c>
      <c r="FN156" s="237" t="str">
        <f t="shared" si="1329"/>
        <v/>
      </c>
      <c r="FO156" s="237" t="str">
        <f t="shared" si="1330"/>
        <v/>
      </c>
      <c r="FP156" s="237" t="str">
        <f t="shared" si="1331"/>
        <v/>
      </c>
      <c r="FQ156" s="237" t="str">
        <f t="shared" si="1332"/>
        <v/>
      </c>
      <c r="FR156" s="237" t="str">
        <f t="shared" si="1333"/>
        <v/>
      </c>
      <c r="FS156" s="237" t="str">
        <f t="shared" si="1334"/>
        <v/>
      </c>
      <c r="FT156" s="237" t="str">
        <f t="shared" si="1335"/>
        <v/>
      </c>
      <c r="FU156" s="237" t="str">
        <f t="shared" si="1336"/>
        <v/>
      </c>
      <c r="FV156" s="237" t="str">
        <f t="shared" si="1337"/>
        <v/>
      </c>
      <c r="FW156" s="237" t="str">
        <f t="shared" si="1338"/>
        <v/>
      </c>
      <c r="FX156" s="237" t="str">
        <f t="shared" si="1339"/>
        <v/>
      </c>
      <c r="FY156" s="237" t="str">
        <f t="shared" si="1340"/>
        <v/>
      </c>
      <c r="FZ156" s="237" t="str">
        <f t="shared" si="1341"/>
        <v/>
      </c>
      <c r="GA156" s="237" t="str">
        <f t="shared" si="1342"/>
        <v/>
      </c>
      <c r="GB156" s="237" t="str">
        <f t="shared" si="1343"/>
        <v/>
      </c>
      <c r="GC156" s="237" t="str">
        <f t="shared" si="1344"/>
        <v/>
      </c>
      <c r="GD156" s="237" t="str">
        <f t="shared" si="1345"/>
        <v/>
      </c>
      <c r="GE156" s="237" t="str">
        <f t="shared" si="1346"/>
        <v/>
      </c>
      <c r="GF156" s="237" t="str">
        <f t="shared" si="1347"/>
        <v/>
      </c>
      <c r="GG156" s="237" t="str">
        <f t="shared" si="1348"/>
        <v/>
      </c>
      <c r="GH156" s="237" t="str">
        <f t="shared" si="1349"/>
        <v/>
      </c>
      <c r="GI156" s="237" t="str">
        <f t="shared" si="1350"/>
        <v/>
      </c>
      <c r="GJ156" s="237" t="str">
        <f t="shared" si="1351"/>
        <v/>
      </c>
      <c r="GK156" s="237" t="str">
        <f t="shared" si="1352"/>
        <v/>
      </c>
      <c r="GL156" s="237" t="str">
        <f t="shared" si="1353"/>
        <v/>
      </c>
      <c r="GM156" s="237" t="str">
        <f t="shared" si="1354"/>
        <v/>
      </c>
      <c r="GN156" s="237" t="str">
        <f t="shared" si="1355"/>
        <v/>
      </c>
      <c r="GO156" s="237" t="str">
        <f t="shared" si="1356"/>
        <v/>
      </c>
      <c r="GP156" s="237" t="str">
        <f t="shared" si="1357"/>
        <v/>
      </c>
      <c r="GQ156" s="237" t="str">
        <f t="shared" si="1358"/>
        <v/>
      </c>
      <c r="GR156" s="237" t="str">
        <f t="shared" si="1359"/>
        <v/>
      </c>
      <c r="GS156" s="237" t="str">
        <f t="shared" si="1360"/>
        <v/>
      </c>
      <c r="GT156" s="237" t="str">
        <f t="shared" si="1361"/>
        <v/>
      </c>
      <c r="GU156" s="237" t="str">
        <f t="shared" si="1362"/>
        <v/>
      </c>
      <c r="GV156" s="237" t="str">
        <f t="shared" si="1363"/>
        <v/>
      </c>
      <c r="GW156" s="237" t="str">
        <f t="shared" si="1364"/>
        <v/>
      </c>
      <c r="GX156" s="237" t="str">
        <f t="shared" si="1365"/>
        <v/>
      </c>
      <c r="GY156" s="237" t="str">
        <f t="shared" si="1366"/>
        <v/>
      </c>
      <c r="GZ156" s="237" t="str">
        <f t="shared" si="1367"/>
        <v/>
      </c>
      <c r="HA156" s="237" t="str">
        <f t="shared" si="1368"/>
        <v/>
      </c>
      <c r="HB156" s="237" t="str">
        <f t="shared" si="1369"/>
        <v/>
      </c>
      <c r="HC156" s="237" t="str">
        <f t="shared" si="1370"/>
        <v/>
      </c>
      <c r="HD156" s="237" t="str">
        <f t="shared" si="1371"/>
        <v/>
      </c>
      <c r="HE156" s="237" t="str">
        <f t="shared" si="1372"/>
        <v/>
      </c>
      <c r="HF156" s="237" t="str">
        <f t="shared" si="1373"/>
        <v/>
      </c>
      <c r="HG156" s="237" t="str">
        <f t="shared" si="1374"/>
        <v/>
      </c>
      <c r="HH156" s="237" t="str">
        <f t="shared" si="1375"/>
        <v/>
      </c>
      <c r="HI156" s="237" t="str">
        <f t="shared" si="1376"/>
        <v/>
      </c>
      <c r="HJ156" s="237" t="str">
        <f t="shared" si="1377"/>
        <v/>
      </c>
      <c r="HK156" s="237" t="str">
        <f t="shared" si="1378"/>
        <v/>
      </c>
      <c r="HL156" s="237" t="str">
        <f t="shared" si="1379"/>
        <v/>
      </c>
      <c r="HM156" s="237" t="str">
        <f t="shared" si="1380"/>
        <v/>
      </c>
      <c r="HN156" s="237" t="str">
        <f t="shared" si="1381"/>
        <v/>
      </c>
      <c r="HO156" s="237" t="str">
        <f t="shared" si="1382"/>
        <v/>
      </c>
      <c r="HP156" s="237" t="str">
        <f t="shared" si="1383"/>
        <v/>
      </c>
      <c r="HQ156" s="237" t="str">
        <f t="shared" si="1384"/>
        <v/>
      </c>
      <c r="HR156" s="237" t="str">
        <f t="shared" si="1385"/>
        <v/>
      </c>
      <c r="HS156" s="237" t="str">
        <f t="shared" si="1386"/>
        <v/>
      </c>
      <c r="HT156" s="237" t="str">
        <f t="shared" si="1387"/>
        <v/>
      </c>
      <c r="HU156" s="237" t="str">
        <f t="shared" si="1388"/>
        <v/>
      </c>
      <c r="HV156" s="237" t="str">
        <f t="shared" si="1389"/>
        <v/>
      </c>
      <c r="HW156" s="237" t="str">
        <f t="shared" si="1390"/>
        <v/>
      </c>
      <c r="HX156" s="237" t="str">
        <f t="shared" si="1391"/>
        <v/>
      </c>
      <c r="HY156" s="237" t="str">
        <f t="shared" si="1392"/>
        <v/>
      </c>
      <c r="HZ156" s="237" t="str">
        <f t="shared" si="1393"/>
        <v/>
      </c>
      <c r="IA156" s="237" t="str">
        <f t="shared" si="1394"/>
        <v/>
      </c>
      <c r="IB156" s="237" t="str">
        <f t="shared" si="1395"/>
        <v/>
      </c>
      <c r="IC156" s="237" t="str">
        <f t="shared" si="1396"/>
        <v/>
      </c>
      <c r="ID156" s="237" t="str">
        <f t="shared" si="1397"/>
        <v/>
      </c>
      <c r="IE156" s="237" t="str">
        <f t="shared" si="1398"/>
        <v/>
      </c>
      <c r="IF156" s="237" t="str">
        <f t="shared" si="1399"/>
        <v/>
      </c>
      <c r="IG156" s="312" t="str">
        <f t="shared" si="1400"/>
        <v/>
      </c>
      <c r="IH156" s="99" t="str">
        <f t="shared" si="1401"/>
        <v/>
      </c>
      <c r="II156" s="99" t="str">
        <f t="shared" si="1402"/>
        <v/>
      </c>
      <c r="IJ156" s="99" t="str">
        <f t="shared" si="1403"/>
        <v/>
      </c>
      <c r="IK156" s="99" t="str">
        <f t="shared" si="1404"/>
        <v/>
      </c>
      <c r="IL156" s="99" t="str">
        <f t="shared" si="1405"/>
        <v/>
      </c>
      <c r="IM156" s="312" t="str">
        <f t="shared" si="1406"/>
        <v/>
      </c>
      <c r="IN156" s="99" t="str">
        <f t="shared" si="1407"/>
        <v/>
      </c>
      <c r="IO156" s="99" t="str">
        <f t="shared" si="1408"/>
        <v/>
      </c>
      <c r="IP156" s="99" t="str">
        <f t="shared" si="1409"/>
        <v/>
      </c>
      <c r="IQ156" s="99" t="str">
        <f t="shared" si="1410"/>
        <v/>
      </c>
      <c r="IR156" s="99" t="str">
        <f t="shared" si="1411"/>
        <v/>
      </c>
      <c r="IS156" s="312" t="str">
        <f t="shared" si="1412"/>
        <v/>
      </c>
      <c r="IT156" s="99" t="str">
        <f t="shared" si="1413"/>
        <v/>
      </c>
      <c r="IU156" s="99" t="str">
        <f t="shared" si="1414"/>
        <v/>
      </c>
      <c r="IV156" s="99" t="str">
        <f t="shared" si="1415"/>
        <v/>
      </c>
      <c r="IW156" s="99" t="str">
        <f t="shared" si="1416"/>
        <v/>
      </c>
      <c r="IX156" s="99" t="str">
        <f t="shared" si="1417"/>
        <v/>
      </c>
      <c r="IY156" s="312" t="str">
        <f t="shared" si="1418"/>
        <v/>
      </c>
      <c r="IZ156" s="99" t="str">
        <f t="shared" si="1419"/>
        <v/>
      </c>
      <c r="JA156" s="99" t="str">
        <f t="shared" si="1420"/>
        <v/>
      </c>
      <c r="JB156" s="99" t="str">
        <f t="shared" si="1421"/>
        <v/>
      </c>
      <c r="JC156" s="99" t="str">
        <f t="shared" si="1422"/>
        <v/>
      </c>
      <c r="JD156" s="313" t="str">
        <f t="shared" si="1423"/>
        <v/>
      </c>
      <c r="JF156" s="66">
        <f t="shared" si="779"/>
        <v>156</v>
      </c>
      <c r="JG156" s="66">
        <f t="shared" ca="1" si="789"/>
        <v>0</v>
      </c>
      <c r="JH156" s="66">
        <f t="shared" ca="1" si="790"/>
        <v>0</v>
      </c>
      <c r="JI156" s="66">
        <f t="shared" ca="1" si="791"/>
        <v>0</v>
      </c>
      <c r="JJ156" s="66">
        <f t="shared" ca="1" si="792"/>
        <v>0</v>
      </c>
      <c r="JK156" s="33"/>
      <c r="JL156" s="74" t="str">
        <f t="shared" ca="1" si="793"/>
        <v>-</v>
      </c>
      <c r="JM156" s="75">
        <f t="shared" ca="1" si="794"/>
        <v>0</v>
      </c>
      <c r="JN156" s="75">
        <f t="shared" ca="1" si="795"/>
        <v>0</v>
      </c>
      <c r="JO156" s="74" t="str">
        <f t="shared" ca="1" si="796"/>
        <v>-</v>
      </c>
      <c r="JP156" s="74">
        <f t="shared" ca="1" si="797"/>
        <v>0</v>
      </c>
    </row>
    <row r="157" spans="1:276" hidden="1" outlineLevel="1" x14ac:dyDescent="0.35">
      <c r="A157" s="125" t="s">
        <v>805</v>
      </c>
      <c r="B157" s="125" t="s">
        <v>805</v>
      </c>
      <c r="C157" s="125" t="s">
        <v>805</v>
      </c>
      <c r="E157" s="142" t="s">
        <v>878</v>
      </c>
      <c r="F157" s="254" t="s">
        <v>763</v>
      </c>
      <c r="G157" t="s">
        <v>540</v>
      </c>
      <c r="H157" t="s">
        <v>531</v>
      </c>
      <c r="I157" t="s">
        <v>534</v>
      </c>
      <c r="J157" s="211" t="s">
        <v>805</v>
      </c>
      <c r="K157" t="s">
        <v>805</v>
      </c>
      <c r="L157" t="s">
        <v>805</v>
      </c>
      <c r="M157" t="s">
        <v>805</v>
      </c>
      <c r="N157" t="s">
        <v>805</v>
      </c>
      <c r="O157" t="s">
        <v>805</v>
      </c>
      <c r="P157" t="s">
        <v>805</v>
      </c>
      <c r="Q157" t="s">
        <v>805</v>
      </c>
      <c r="R157" t="s">
        <v>805</v>
      </c>
      <c r="S157" t="s">
        <v>805</v>
      </c>
      <c r="T157" t="s">
        <v>805</v>
      </c>
      <c r="U157" t="s">
        <v>805</v>
      </c>
      <c r="V157" t="s">
        <v>805</v>
      </c>
      <c r="W157" t="s">
        <v>805</v>
      </c>
      <c r="X157" t="s">
        <v>805</v>
      </c>
      <c r="Y157" t="s">
        <v>805</v>
      </c>
      <c r="Z157" t="s">
        <v>805</v>
      </c>
      <c r="AA157" t="s">
        <v>805</v>
      </c>
      <c r="AB157" t="s">
        <v>805</v>
      </c>
      <c r="AC157" t="s">
        <v>805</v>
      </c>
      <c r="AD157" t="s">
        <v>805</v>
      </c>
      <c r="AE157" t="s">
        <v>805</v>
      </c>
      <c r="AF157" t="s">
        <v>805</v>
      </c>
      <c r="AG157" t="s">
        <v>805</v>
      </c>
      <c r="AH157" t="s">
        <v>805</v>
      </c>
      <c r="AI157" t="s">
        <v>805</v>
      </c>
      <c r="AJ157" t="s">
        <v>805</v>
      </c>
      <c r="AK157" t="s">
        <v>805</v>
      </c>
      <c r="AL157" t="s">
        <v>805</v>
      </c>
      <c r="AM157" t="s">
        <v>805</v>
      </c>
      <c r="AN157" t="s">
        <v>805</v>
      </c>
      <c r="AO157" t="s">
        <v>805</v>
      </c>
      <c r="AP157" t="s">
        <v>805</v>
      </c>
      <c r="AQ157" t="s">
        <v>805</v>
      </c>
      <c r="AR157" t="s">
        <v>805</v>
      </c>
      <c r="AS157" t="s">
        <v>805</v>
      </c>
      <c r="AT157" t="s">
        <v>805</v>
      </c>
      <c r="AU157" t="s">
        <v>805</v>
      </c>
      <c r="AV157" t="s">
        <v>805</v>
      </c>
      <c r="AW157" t="s">
        <v>805</v>
      </c>
      <c r="AX157" t="s">
        <v>805</v>
      </c>
      <c r="AY157" t="s">
        <v>805</v>
      </c>
      <c r="AZ157" t="s">
        <v>805</v>
      </c>
      <c r="BA157" t="s">
        <v>805</v>
      </c>
      <c r="BB157" t="s">
        <v>805</v>
      </c>
      <c r="BC157" t="s">
        <v>805</v>
      </c>
      <c r="BD157" t="s">
        <v>805</v>
      </c>
      <c r="BE157" t="s">
        <v>805</v>
      </c>
      <c r="BF157" t="s">
        <v>805</v>
      </c>
      <c r="BG157" t="s">
        <v>805</v>
      </c>
      <c r="BH157" t="s">
        <v>805</v>
      </c>
      <c r="BI157" t="s">
        <v>805</v>
      </c>
      <c r="BJ157" t="s">
        <v>805</v>
      </c>
      <c r="BK157" t="s">
        <v>805</v>
      </c>
      <c r="BL157" t="s">
        <v>805</v>
      </c>
      <c r="BM157" t="s">
        <v>805</v>
      </c>
      <c r="BN157" t="s">
        <v>805</v>
      </c>
      <c r="BO157" t="s">
        <v>805</v>
      </c>
      <c r="BP157" t="s">
        <v>805</v>
      </c>
      <c r="BQ157" t="s">
        <v>805</v>
      </c>
      <c r="BR157" t="s">
        <v>805</v>
      </c>
      <c r="BS157" t="s">
        <v>805</v>
      </c>
      <c r="BT157" t="s">
        <v>805</v>
      </c>
      <c r="BU157" t="s">
        <v>805</v>
      </c>
      <c r="BV157" t="s">
        <v>805</v>
      </c>
      <c r="BW157" t="s">
        <v>805</v>
      </c>
      <c r="BX157" t="s">
        <v>805</v>
      </c>
      <c r="BY157" t="s">
        <v>805</v>
      </c>
      <c r="BZ157" t="s">
        <v>805</v>
      </c>
      <c r="CA157" t="s">
        <v>805</v>
      </c>
      <c r="CB157" t="s">
        <v>805</v>
      </c>
      <c r="CC157" t="s">
        <v>805</v>
      </c>
      <c r="CD157" t="s">
        <v>805</v>
      </c>
      <c r="CE157" t="s">
        <v>805</v>
      </c>
      <c r="CF157" t="s">
        <v>805</v>
      </c>
      <c r="CG157" t="s">
        <v>805</v>
      </c>
      <c r="CH157" t="s">
        <v>805</v>
      </c>
      <c r="CI157" t="s">
        <v>805</v>
      </c>
      <c r="CJ157" t="s">
        <v>805</v>
      </c>
      <c r="CK157" t="s">
        <v>805</v>
      </c>
      <c r="CL157" t="s">
        <v>805</v>
      </c>
      <c r="CM157" t="s">
        <v>805</v>
      </c>
      <c r="CN157" t="s">
        <v>805</v>
      </c>
      <c r="CO157" t="s">
        <v>805</v>
      </c>
      <c r="CP157" t="s">
        <v>805</v>
      </c>
      <c r="CQ157" t="s">
        <v>805</v>
      </c>
      <c r="CR157" t="s">
        <v>805</v>
      </c>
      <c r="CS157" t="s">
        <v>805</v>
      </c>
      <c r="CT157" t="s">
        <v>805</v>
      </c>
      <c r="CU157" t="s">
        <v>805</v>
      </c>
      <c r="CV157" t="s">
        <v>805</v>
      </c>
      <c r="CW157" t="s">
        <v>805</v>
      </c>
      <c r="CX157" t="s">
        <v>805</v>
      </c>
      <c r="CY157" t="s">
        <v>805</v>
      </c>
      <c r="CZ157" t="s">
        <v>805</v>
      </c>
      <c r="DA157" t="s">
        <v>805</v>
      </c>
      <c r="DB157" t="s">
        <v>805</v>
      </c>
      <c r="DC157" t="s">
        <v>805</v>
      </c>
      <c r="DD157" t="s">
        <v>805</v>
      </c>
      <c r="DE157" t="s">
        <v>805</v>
      </c>
      <c r="DF157" t="s">
        <v>805</v>
      </c>
      <c r="DG157" s="28">
        <f>VLOOKUP(E157,'KPI Count-SHARE'!A:F,3,0)</f>
        <v>0</v>
      </c>
      <c r="DH157" t="s">
        <v>805</v>
      </c>
      <c r="DI157" t="s">
        <v>805</v>
      </c>
      <c r="DJ157" t="s">
        <v>805</v>
      </c>
      <c r="DK157" t="s">
        <v>805</v>
      </c>
      <c r="DL157" t="s">
        <v>805</v>
      </c>
      <c r="DM157" t="s">
        <v>805</v>
      </c>
      <c r="DN157" s="28">
        <f>VLOOKUP(E157,'KPI Count-SHARE'!A:F,4,0)</f>
        <v>0</v>
      </c>
      <c r="DU157" s="28">
        <f>VLOOKUP(E157,'KPI Count-SHARE'!A:F,5,0)</f>
        <v>0</v>
      </c>
      <c r="EB157" s="28">
        <f>VLOOKUP(E157,'KPI Count-SHARE'!A:F,6,0)</f>
        <v>0</v>
      </c>
      <c r="EI157" t="s">
        <v>531</v>
      </c>
      <c r="EJ157" s="237" t="str">
        <f t="shared" si="1299"/>
        <v/>
      </c>
      <c r="EK157" s="237" t="str">
        <f t="shared" si="1300"/>
        <v/>
      </c>
      <c r="EL157" s="237" t="str">
        <f t="shared" si="1301"/>
        <v/>
      </c>
      <c r="EM157" s="237" t="str">
        <f t="shared" si="1302"/>
        <v/>
      </c>
      <c r="EN157" s="237" t="str">
        <f t="shared" si="1303"/>
        <v/>
      </c>
      <c r="EO157" s="237" t="str">
        <f t="shared" si="1304"/>
        <v/>
      </c>
      <c r="EP157" s="237" t="str">
        <f t="shared" si="1305"/>
        <v/>
      </c>
      <c r="EQ157" s="237" t="str">
        <f t="shared" si="1306"/>
        <v/>
      </c>
      <c r="ER157" s="237" t="str">
        <f t="shared" si="1307"/>
        <v/>
      </c>
      <c r="ES157" s="237" t="str">
        <f t="shared" si="1308"/>
        <v/>
      </c>
      <c r="ET157" s="237" t="str">
        <f t="shared" si="1309"/>
        <v/>
      </c>
      <c r="EU157" s="237" t="str">
        <f t="shared" si="1310"/>
        <v/>
      </c>
      <c r="EV157" s="237" t="str">
        <f t="shared" si="1311"/>
        <v/>
      </c>
      <c r="EW157" s="237" t="str">
        <f t="shared" si="1312"/>
        <v/>
      </c>
      <c r="EX157" s="237" t="str">
        <f t="shared" si="1313"/>
        <v/>
      </c>
      <c r="EY157" s="237" t="str">
        <f t="shared" si="1314"/>
        <v/>
      </c>
      <c r="EZ157" s="237" t="str">
        <f t="shared" si="1315"/>
        <v/>
      </c>
      <c r="FA157" s="237" t="str">
        <f t="shared" si="1316"/>
        <v/>
      </c>
      <c r="FB157" s="237" t="str">
        <f t="shared" si="1317"/>
        <v/>
      </c>
      <c r="FC157" s="237" t="str">
        <f t="shared" si="1318"/>
        <v/>
      </c>
      <c r="FD157" s="237" t="str">
        <f t="shared" si="1319"/>
        <v/>
      </c>
      <c r="FE157" s="237" t="str">
        <f t="shared" si="1320"/>
        <v/>
      </c>
      <c r="FF157" s="237" t="str">
        <f t="shared" si="1321"/>
        <v/>
      </c>
      <c r="FG157" s="237" t="str">
        <f t="shared" si="1322"/>
        <v/>
      </c>
      <c r="FH157" s="237" t="str">
        <f t="shared" si="1323"/>
        <v/>
      </c>
      <c r="FI157" s="237" t="str">
        <f t="shared" si="1324"/>
        <v/>
      </c>
      <c r="FJ157" s="237" t="str">
        <f t="shared" si="1325"/>
        <v/>
      </c>
      <c r="FK157" s="237" t="str">
        <f t="shared" si="1326"/>
        <v/>
      </c>
      <c r="FL157" s="237" t="str">
        <f t="shared" si="1327"/>
        <v/>
      </c>
      <c r="FM157" s="237" t="str">
        <f t="shared" si="1328"/>
        <v/>
      </c>
      <c r="FN157" s="237" t="str">
        <f t="shared" si="1329"/>
        <v/>
      </c>
      <c r="FO157" s="237" t="str">
        <f t="shared" si="1330"/>
        <v/>
      </c>
      <c r="FP157" s="237" t="str">
        <f t="shared" si="1331"/>
        <v/>
      </c>
      <c r="FQ157" s="237" t="str">
        <f t="shared" si="1332"/>
        <v/>
      </c>
      <c r="FR157" s="237" t="str">
        <f t="shared" si="1333"/>
        <v/>
      </c>
      <c r="FS157" s="237" t="str">
        <f t="shared" si="1334"/>
        <v/>
      </c>
      <c r="FT157" s="237" t="str">
        <f t="shared" si="1335"/>
        <v/>
      </c>
      <c r="FU157" s="237" t="str">
        <f t="shared" si="1336"/>
        <v/>
      </c>
      <c r="FV157" s="237" t="str">
        <f t="shared" si="1337"/>
        <v/>
      </c>
      <c r="FW157" s="237" t="str">
        <f t="shared" si="1338"/>
        <v/>
      </c>
      <c r="FX157" s="237" t="str">
        <f t="shared" si="1339"/>
        <v/>
      </c>
      <c r="FY157" s="237" t="str">
        <f t="shared" si="1340"/>
        <v/>
      </c>
      <c r="FZ157" s="237" t="str">
        <f t="shared" si="1341"/>
        <v/>
      </c>
      <c r="GA157" s="237" t="str">
        <f t="shared" si="1342"/>
        <v/>
      </c>
      <c r="GB157" s="237" t="str">
        <f t="shared" si="1343"/>
        <v/>
      </c>
      <c r="GC157" s="237" t="str">
        <f t="shared" si="1344"/>
        <v/>
      </c>
      <c r="GD157" s="237" t="str">
        <f t="shared" si="1345"/>
        <v/>
      </c>
      <c r="GE157" s="237" t="str">
        <f t="shared" si="1346"/>
        <v/>
      </c>
      <c r="GF157" s="237" t="str">
        <f t="shared" si="1347"/>
        <v/>
      </c>
      <c r="GG157" s="237" t="str">
        <f t="shared" si="1348"/>
        <v/>
      </c>
      <c r="GH157" s="237" t="str">
        <f t="shared" si="1349"/>
        <v/>
      </c>
      <c r="GI157" s="237" t="str">
        <f t="shared" si="1350"/>
        <v/>
      </c>
      <c r="GJ157" s="237" t="str">
        <f t="shared" si="1351"/>
        <v/>
      </c>
      <c r="GK157" s="237" t="str">
        <f t="shared" si="1352"/>
        <v/>
      </c>
      <c r="GL157" s="237" t="str">
        <f t="shared" si="1353"/>
        <v/>
      </c>
      <c r="GM157" s="237" t="str">
        <f t="shared" si="1354"/>
        <v/>
      </c>
      <c r="GN157" s="237" t="str">
        <f t="shared" si="1355"/>
        <v/>
      </c>
      <c r="GO157" s="237" t="str">
        <f t="shared" si="1356"/>
        <v/>
      </c>
      <c r="GP157" s="237" t="str">
        <f t="shared" si="1357"/>
        <v/>
      </c>
      <c r="GQ157" s="237" t="str">
        <f t="shared" si="1358"/>
        <v/>
      </c>
      <c r="GR157" s="237" t="str">
        <f t="shared" si="1359"/>
        <v/>
      </c>
      <c r="GS157" s="237" t="str">
        <f t="shared" si="1360"/>
        <v/>
      </c>
      <c r="GT157" s="237" t="str">
        <f t="shared" si="1361"/>
        <v/>
      </c>
      <c r="GU157" s="237" t="str">
        <f t="shared" si="1362"/>
        <v/>
      </c>
      <c r="GV157" s="237" t="str">
        <f t="shared" si="1363"/>
        <v/>
      </c>
      <c r="GW157" s="237" t="str">
        <f t="shared" si="1364"/>
        <v/>
      </c>
      <c r="GX157" s="237" t="str">
        <f t="shared" si="1365"/>
        <v/>
      </c>
      <c r="GY157" s="237" t="str">
        <f t="shared" si="1366"/>
        <v/>
      </c>
      <c r="GZ157" s="237" t="str">
        <f t="shared" si="1367"/>
        <v/>
      </c>
      <c r="HA157" s="237" t="str">
        <f t="shared" si="1368"/>
        <v/>
      </c>
      <c r="HB157" s="237" t="str">
        <f t="shared" si="1369"/>
        <v/>
      </c>
      <c r="HC157" s="237" t="str">
        <f t="shared" si="1370"/>
        <v/>
      </c>
      <c r="HD157" s="237" t="str">
        <f t="shared" si="1371"/>
        <v/>
      </c>
      <c r="HE157" s="237" t="str">
        <f t="shared" si="1372"/>
        <v/>
      </c>
      <c r="HF157" s="237" t="str">
        <f t="shared" si="1373"/>
        <v/>
      </c>
      <c r="HG157" s="237" t="str">
        <f t="shared" si="1374"/>
        <v/>
      </c>
      <c r="HH157" s="237" t="str">
        <f t="shared" si="1375"/>
        <v/>
      </c>
      <c r="HI157" s="237" t="str">
        <f t="shared" si="1376"/>
        <v/>
      </c>
      <c r="HJ157" s="237" t="str">
        <f t="shared" si="1377"/>
        <v/>
      </c>
      <c r="HK157" s="237" t="str">
        <f t="shared" si="1378"/>
        <v/>
      </c>
      <c r="HL157" s="237" t="str">
        <f t="shared" si="1379"/>
        <v/>
      </c>
      <c r="HM157" s="237" t="str">
        <f t="shared" si="1380"/>
        <v/>
      </c>
      <c r="HN157" s="237" t="str">
        <f t="shared" si="1381"/>
        <v/>
      </c>
      <c r="HO157" s="237" t="str">
        <f t="shared" si="1382"/>
        <v/>
      </c>
      <c r="HP157" s="237" t="str">
        <f t="shared" si="1383"/>
        <v/>
      </c>
      <c r="HQ157" s="237" t="str">
        <f t="shared" si="1384"/>
        <v/>
      </c>
      <c r="HR157" s="237" t="str">
        <f t="shared" si="1385"/>
        <v/>
      </c>
      <c r="HS157" s="237" t="str">
        <f t="shared" si="1386"/>
        <v/>
      </c>
      <c r="HT157" s="237" t="str">
        <f t="shared" si="1387"/>
        <v/>
      </c>
      <c r="HU157" s="237" t="str">
        <f t="shared" si="1388"/>
        <v/>
      </c>
      <c r="HV157" s="237" t="str">
        <f t="shared" si="1389"/>
        <v/>
      </c>
      <c r="HW157" s="237" t="str">
        <f t="shared" si="1390"/>
        <v/>
      </c>
      <c r="HX157" s="237" t="str">
        <f t="shared" si="1391"/>
        <v/>
      </c>
      <c r="HY157" s="237" t="str">
        <f t="shared" si="1392"/>
        <v/>
      </c>
      <c r="HZ157" s="237" t="str">
        <f t="shared" si="1393"/>
        <v/>
      </c>
      <c r="IA157" s="237" t="str">
        <f t="shared" si="1394"/>
        <v/>
      </c>
      <c r="IB157" s="237" t="str">
        <f t="shared" si="1395"/>
        <v/>
      </c>
      <c r="IC157" s="237" t="str">
        <f t="shared" si="1396"/>
        <v/>
      </c>
      <c r="ID157" s="237" t="str">
        <f t="shared" si="1397"/>
        <v/>
      </c>
      <c r="IE157" s="237" t="str">
        <f t="shared" si="1398"/>
        <v/>
      </c>
      <c r="IF157" s="237" t="str">
        <f t="shared" si="1399"/>
        <v/>
      </c>
      <c r="IG157" s="312" t="str">
        <f t="shared" si="1400"/>
        <v/>
      </c>
      <c r="IH157" s="99" t="str">
        <f t="shared" si="1401"/>
        <v/>
      </c>
      <c r="II157" s="99" t="str">
        <f t="shared" si="1402"/>
        <v/>
      </c>
      <c r="IJ157" s="99" t="str">
        <f t="shared" si="1403"/>
        <v/>
      </c>
      <c r="IK157" s="99" t="str">
        <f t="shared" si="1404"/>
        <v/>
      </c>
      <c r="IL157" s="99" t="str">
        <f t="shared" si="1405"/>
        <v/>
      </c>
      <c r="IM157" s="312" t="str">
        <f t="shared" si="1406"/>
        <v/>
      </c>
      <c r="IN157" s="99" t="str">
        <f t="shared" si="1407"/>
        <v/>
      </c>
      <c r="IO157" s="99" t="str">
        <f t="shared" si="1408"/>
        <v/>
      </c>
      <c r="IP157" s="99" t="str">
        <f t="shared" si="1409"/>
        <v/>
      </c>
      <c r="IQ157" s="99" t="str">
        <f t="shared" si="1410"/>
        <v/>
      </c>
      <c r="IR157" s="99" t="str">
        <f t="shared" si="1411"/>
        <v/>
      </c>
      <c r="IS157" s="312" t="str">
        <f t="shared" si="1412"/>
        <v/>
      </c>
      <c r="IT157" s="99" t="str">
        <f t="shared" si="1413"/>
        <v/>
      </c>
      <c r="IU157" s="99" t="str">
        <f t="shared" si="1414"/>
        <v/>
      </c>
      <c r="IV157" s="99" t="str">
        <f t="shared" si="1415"/>
        <v/>
      </c>
      <c r="IW157" s="99" t="str">
        <f t="shared" si="1416"/>
        <v/>
      </c>
      <c r="IX157" s="99" t="str">
        <f t="shared" si="1417"/>
        <v/>
      </c>
      <c r="IY157" s="312" t="str">
        <f t="shared" si="1418"/>
        <v/>
      </c>
      <c r="IZ157" s="99" t="str">
        <f t="shared" si="1419"/>
        <v/>
      </c>
      <c r="JA157" s="99" t="str">
        <f t="shared" si="1420"/>
        <v/>
      </c>
      <c r="JB157" s="99" t="str">
        <f t="shared" si="1421"/>
        <v/>
      </c>
      <c r="JC157" s="99" t="str">
        <f t="shared" si="1422"/>
        <v/>
      </c>
      <c r="JD157" s="313" t="str">
        <f t="shared" si="1423"/>
        <v/>
      </c>
      <c r="JF157" s="66">
        <f t="shared" ref="JF157:JF191" si="1424">ROW(F157)</f>
        <v>157</v>
      </c>
      <c r="JG157" s="66">
        <f t="shared" ca="1" si="789"/>
        <v>0</v>
      </c>
      <c r="JH157" s="66">
        <f t="shared" ca="1" si="790"/>
        <v>0</v>
      </c>
      <c r="JI157" s="66">
        <f t="shared" ca="1" si="791"/>
        <v>0</v>
      </c>
      <c r="JJ157" s="66">
        <f t="shared" ca="1" si="792"/>
        <v>0</v>
      </c>
      <c r="JK157" s="33"/>
      <c r="JL157" s="74" t="str">
        <f t="shared" ca="1" si="793"/>
        <v>-</v>
      </c>
      <c r="JM157" s="75">
        <f t="shared" ca="1" si="794"/>
        <v>0</v>
      </c>
      <c r="JN157" s="75">
        <f t="shared" ca="1" si="795"/>
        <v>0</v>
      </c>
      <c r="JO157" s="74" t="str">
        <f t="shared" ca="1" si="796"/>
        <v>-</v>
      </c>
      <c r="JP157" s="74">
        <f t="shared" ca="1" si="797"/>
        <v>0</v>
      </c>
    </row>
    <row r="158" spans="1:276" hidden="1" outlineLevel="1" x14ac:dyDescent="0.35">
      <c r="A158" s="125" t="s">
        <v>805</v>
      </c>
      <c r="B158" s="125" t="s">
        <v>805</v>
      </c>
      <c r="C158" s="125" t="s">
        <v>805</v>
      </c>
      <c r="E158" s="142"/>
      <c r="F158" s="255"/>
      <c r="J158" t="s">
        <v>805</v>
      </c>
      <c r="K158" t="s">
        <v>805</v>
      </c>
      <c r="L158" t="s">
        <v>805</v>
      </c>
      <c r="M158" t="s">
        <v>805</v>
      </c>
      <c r="N158" t="s">
        <v>805</v>
      </c>
      <c r="O158" t="s">
        <v>805</v>
      </c>
      <c r="P158" t="s">
        <v>805</v>
      </c>
      <c r="Q158" t="s">
        <v>805</v>
      </c>
      <c r="R158" t="s">
        <v>805</v>
      </c>
      <c r="S158" t="s">
        <v>805</v>
      </c>
      <c r="T158" t="s">
        <v>805</v>
      </c>
      <c r="U158" t="s">
        <v>805</v>
      </c>
      <c r="V158" t="s">
        <v>805</v>
      </c>
      <c r="W158" t="s">
        <v>805</v>
      </c>
      <c r="X158" t="s">
        <v>805</v>
      </c>
      <c r="Y158" t="s">
        <v>805</v>
      </c>
      <c r="Z158" t="s">
        <v>805</v>
      </c>
      <c r="AA158" t="s">
        <v>805</v>
      </c>
      <c r="AB158" t="s">
        <v>805</v>
      </c>
      <c r="AC158" t="s">
        <v>805</v>
      </c>
      <c r="AD158" t="s">
        <v>805</v>
      </c>
      <c r="AE158" t="s">
        <v>805</v>
      </c>
      <c r="AF158" t="s">
        <v>805</v>
      </c>
      <c r="AG158" t="s">
        <v>805</v>
      </c>
      <c r="AH158" t="s">
        <v>805</v>
      </c>
      <c r="AI158" t="s">
        <v>805</v>
      </c>
      <c r="AJ158" t="s">
        <v>805</v>
      </c>
      <c r="AK158" t="s">
        <v>805</v>
      </c>
      <c r="AL158" t="s">
        <v>805</v>
      </c>
      <c r="AM158" t="s">
        <v>805</v>
      </c>
      <c r="AN158" t="s">
        <v>805</v>
      </c>
      <c r="AO158" t="s">
        <v>805</v>
      </c>
      <c r="AP158" t="s">
        <v>805</v>
      </c>
      <c r="AQ158" t="s">
        <v>805</v>
      </c>
      <c r="AR158" t="s">
        <v>805</v>
      </c>
      <c r="AS158" t="s">
        <v>805</v>
      </c>
      <c r="AT158" t="s">
        <v>805</v>
      </c>
      <c r="AU158" t="s">
        <v>805</v>
      </c>
      <c r="AV158" t="s">
        <v>805</v>
      </c>
      <c r="AW158" t="s">
        <v>805</v>
      </c>
      <c r="AX158" t="s">
        <v>805</v>
      </c>
      <c r="AY158" t="s">
        <v>805</v>
      </c>
      <c r="AZ158" t="s">
        <v>805</v>
      </c>
      <c r="BA158" t="s">
        <v>805</v>
      </c>
      <c r="BB158" t="s">
        <v>805</v>
      </c>
      <c r="BC158" t="s">
        <v>805</v>
      </c>
      <c r="BD158" t="s">
        <v>805</v>
      </c>
      <c r="BE158" t="s">
        <v>805</v>
      </c>
      <c r="BF158" t="s">
        <v>805</v>
      </c>
      <c r="BG158" t="s">
        <v>805</v>
      </c>
      <c r="BH158" t="s">
        <v>805</v>
      </c>
      <c r="BI158" t="s">
        <v>805</v>
      </c>
      <c r="BJ158" t="s">
        <v>805</v>
      </c>
      <c r="BK158" t="s">
        <v>805</v>
      </c>
      <c r="BL158" t="s">
        <v>805</v>
      </c>
      <c r="BM158" t="s">
        <v>805</v>
      </c>
      <c r="BN158" t="s">
        <v>805</v>
      </c>
      <c r="BO158" t="s">
        <v>805</v>
      </c>
      <c r="BP158" t="s">
        <v>805</v>
      </c>
      <c r="BQ158" t="s">
        <v>805</v>
      </c>
      <c r="BR158" t="s">
        <v>805</v>
      </c>
      <c r="BS158" t="s">
        <v>805</v>
      </c>
      <c r="BT158" t="s">
        <v>805</v>
      </c>
      <c r="BU158" t="s">
        <v>805</v>
      </c>
      <c r="BV158" t="s">
        <v>805</v>
      </c>
      <c r="BW158" t="s">
        <v>805</v>
      </c>
      <c r="BX158" t="s">
        <v>805</v>
      </c>
      <c r="BY158" t="s">
        <v>805</v>
      </c>
      <c r="BZ158" t="s">
        <v>805</v>
      </c>
      <c r="CA158" t="s">
        <v>805</v>
      </c>
      <c r="CB158" t="s">
        <v>805</v>
      </c>
      <c r="CC158" t="s">
        <v>805</v>
      </c>
      <c r="CD158" t="s">
        <v>805</v>
      </c>
      <c r="CE158" t="s">
        <v>805</v>
      </c>
      <c r="CF158" t="s">
        <v>805</v>
      </c>
      <c r="CG158" t="s">
        <v>805</v>
      </c>
      <c r="CH158" t="s">
        <v>805</v>
      </c>
      <c r="CI158" t="s">
        <v>805</v>
      </c>
      <c r="CJ158" t="s">
        <v>805</v>
      </c>
      <c r="CK158" t="s">
        <v>805</v>
      </c>
      <c r="CL158" t="s">
        <v>805</v>
      </c>
      <c r="CM158" t="s">
        <v>805</v>
      </c>
      <c r="CN158" t="s">
        <v>805</v>
      </c>
      <c r="CO158" t="s">
        <v>805</v>
      </c>
      <c r="CP158" t="s">
        <v>805</v>
      </c>
      <c r="CQ158" t="s">
        <v>805</v>
      </c>
      <c r="CR158" t="s">
        <v>805</v>
      </c>
      <c r="CS158" t="s">
        <v>805</v>
      </c>
      <c r="CT158" t="s">
        <v>805</v>
      </c>
      <c r="CU158" t="s">
        <v>805</v>
      </c>
      <c r="CV158" t="s">
        <v>805</v>
      </c>
      <c r="CW158" t="s">
        <v>805</v>
      </c>
      <c r="CX158" t="s">
        <v>805</v>
      </c>
      <c r="CY158" t="s">
        <v>805</v>
      </c>
      <c r="CZ158" t="s">
        <v>805</v>
      </c>
      <c r="DA158" t="s">
        <v>805</v>
      </c>
      <c r="DB158" t="s">
        <v>805</v>
      </c>
      <c r="DC158" t="s">
        <v>805</v>
      </c>
      <c r="DD158" t="s">
        <v>805</v>
      </c>
      <c r="DE158" t="s">
        <v>805</v>
      </c>
      <c r="DF158" t="s">
        <v>805</v>
      </c>
      <c r="DG158" s="28"/>
      <c r="DN158" s="28"/>
      <c r="DU158" s="28"/>
      <c r="EB158" s="28"/>
      <c r="JF158" s="66">
        <f t="shared" si="1424"/>
        <v>158</v>
      </c>
      <c r="JG158" s="66">
        <f t="shared" ref="JG158:JG191" ca="1" si="1425">SUM(INDIRECT(VLOOKUP($JH$4,XPEERCOLUMNS,2,0) &amp; JF158 &amp; ":" &amp; VLOOKUP($JH$4,XPEERCOLUMNS,2,0) &amp; JF158))</f>
        <v>0</v>
      </c>
      <c r="JH158" s="66">
        <f t="shared" ref="JH158:JH191" ca="1" si="1426">SUM(INDIRECT(VLOOKUP($JH$4,XPEERCOLUMNS,3,0) &amp; JF158 &amp; ":" &amp; VLOOKUP($JH$4,XPEERCOLUMNS,3,0) &amp; JF158))</f>
        <v>0</v>
      </c>
      <c r="JI158" s="66">
        <f t="shared" ref="JI158:JI191" ca="1" si="1427">SUM(INDIRECT(VLOOKUP($JH$4,XPEERCOLUMNS,4,0) &amp; JF158 &amp; ":" &amp; VLOOKUP($JH$4,XPEERCOLUMNS,4,0) &amp; JF158))</f>
        <v>0</v>
      </c>
      <c r="JJ158" s="66">
        <f t="shared" ref="JJ158:JJ191" ca="1" si="1428">SUM(INDIRECT(VLOOKUP($JH$4,XPEERCOLUMNS,5,0) &amp; JF158 &amp; ":" &amp; VLOOKUP($JH$4,XPEERCOLUMNS,5,0) &amp; JF158))</f>
        <v>0</v>
      </c>
      <c r="JK158" s="33"/>
      <c r="JL158" s="74" t="str">
        <f t="shared" ref="JL158:JL191" ca="1" si="1429">IF(JG158=0,"-",JG158)</f>
        <v>-</v>
      </c>
      <c r="JM158" s="75">
        <f t="shared" ref="JM158:JM191" ca="1" si="1430">IF(G158="Smaller better",JG158-((JG158-JH158)*0.5),JG158+((JH158-JG158)*0.5))</f>
        <v>0</v>
      </c>
      <c r="JN158" s="75">
        <f t="shared" ref="JN158:JN191" ca="1" si="1431">IF(G158="Smaller better",JH158-((JH158-JI158)*0.5),JH158+((JI158-JH158)*0.5))</f>
        <v>0</v>
      </c>
      <c r="JO158" s="74" t="str">
        <f t="shared" ref="JO158:JO191" ca="1" si="1432">IF(JI158=0,"-",JI158)</f>
        <v>-</v>
      </c>
      <c r="JP158" s="74">
        <f t="shared" ref="JP158:JP191" ca="1" si="1433">SUM(JL158:JO158)</f>
        <v>0</v>
      </c>
    </row>
    <row r="159" spans="1:276" hidden="1" outlineLevel="1" x14ac:dyDescent="0.35">
      <c r="A159" s="125" t="s">
        <v>805</v>
      </c>
      <c r="B159" s="125" t="s">
        <v>805</v>
      </c>
      <c r="C159" s="125" t="s">
        <v>805</v>
      </c>
      <c r="D159" s="256"/>
      <c r="E159" s="256"/>
      <c r="F159" s="257" t="s">
        <v>764</v>
      </c>
      <c r="G159" s="256"/>
      <c r="H159" s="256"/>
      <c r="I159" s="256"/>
      <c r="J159" s="256" t="s">
        <v>805</v>
      </c>
      <c r="K159" s="256" t="s">
        <v>805</v>
      </c>
      <c r="L159" s="256" t="s">
        <v>805</v>
      </c>
      <c r="M159" s="256" t="s">
        <v>805</v>
      </c>
      <c r="N159" s="256" t="s">
        <v>805</v>
      </c>
      <c r="O159" s="256" t="s">
        <v>805</v>
      </c>
      <c r="P159" s="256" t="s">
        <v>805</v>
      </c>
      <c r="Q159" s="256" t="s">
        <v>805</v>
      </c>
      <c r="R159" s="256" t="s">
        <v>805</v>
      </c>
      <c r="S159" s="256" t="s">
        <v>805</v>
      </c>
      <c r="T159" s="256" t="s">
        <v>805</v>
      </c>
      <c r="U159" s="256" t="s">
        <v>805</v>
      </c>
      <c r="V159" s="256" t="s">
        <v>805</v>
      </c>
      <c r="W159" s="256" t="s">
        <v>805</v>
      </c>
      <c r="X159" s="256" t="s">
        <v>805</v>
      </c>
      <c r="Y159" s="256" t="s">
        <v>805</v>
      </c>
      <c r="Z159" s="256" t="s">
        <v>805</v>
      </c>
      <c r="AA159" s="256" t="s">
        <v>805</v>
      </c>
      <c r="AB159" s="256" t="s">
        <v>805</v>
      </c>
      <c r="AC159" s="256" t="s">
        <v>805</v>
      </c>
      <c r="AD159" s="256" t="s">
        <v>805</v>
      </c>
      <c r="AE159" s="256" t="s">
        <v>805</v>
      </c>
      <c r="AF159" s="256" t="s">
        <v>805</v>
      </c>
      <c r="AG159" s="256" t="s">
        <v>805</v>
      </c>
      <c r="AH159" s="256" t="s">
        <v>805</v>
      </c>
      <c r="AI159" s="256" t="s">
        <v>805</v>
      </c>
      <c r="AJ159" s="256" t="s">
        <v>805</v>
      </c>
      <c r="AK159" s="256" t="s">
        <v>805</v>
      </c>
      <c r="AL159" s="256" t="s">
        <v>805</v>
      </c>
      <c r="AM159" s="256" t="s">
        <v>805</v>
      </c>
      <c r="AN159" s="256" t="s">
        <v>805</v>
      </c>
      <c r="AO159" s="256" t="s">
        <v>805</v>
      </c>
      <c r="AP159" s="256" t="s">
        <v>805</v>
      </c>
      <c r="AQ159" s="256" t="s">
        <v>805</v>
      </c>
      <c r="AR159" s="256" t="s">
        <v>805</v>
      </c>
      <c r="AS159" s="256" t="s">
        <v>805</v>
      </c>
      <c r="AT159" s="256" t="s">
        <v>805</v>
      </c>
      <c r="AU159" s="256" t="s">
        <v>805</v>
      </c>
      <c r="AV159" s="256" t="s">
        <v>805</v>
      </c>
      <c r="AW159" s="256" t="s">
        <v>805</v>
      </c>
      <c r="AX159" s="256" t="s">
        <v>805</v>
      </c>
      <c r="AY159" s="256" t="s">
        <v>805</v>
      </c>
      <c r="AZ159" s="256" t="s">
        <v>805</v>
      </c>
      <c r="BA159" s="256" t="s">
        <v>805</v>
      </c>
      <c r="BB159" s="256" t="s">
        <v>805</v>
      </c>
      <c r="BC159" s="256" t="s">
        <v>805</v>
      </c>
      <c r="BD159" s="256" t="s">
        <v>805</v>
      </c>
      <c r="BE159" s="256" t="s">
        <v>805</v>
      </c>
      <c r="BF159" s="256" t="s">
        <v>805</v>
      </c>
      <c r="BG159" s="256" t="s">
        <v>805</v>
      </c>
      <c r="BH159" s="256" t="s">
        <v>805</v>
      </c>
      <c r="BI159" s="256" t="s">
        <v>805</v>
      </c>
      <c r="BJ159" s="256" t="s">
        <v>805</v>
      </c>
      <c r="BK159" s="256" t="s">
        <v>805</v>
      </c>
      <c r="BL159" s="256" t="s">
        <v>805</v>
      </c>
      <c r="BM159" s="256" t="s">
        <v>805</v>
      </c>
      <c r="BN159" s="256" t="s">
        <v>805</v>
      </c>
      <c r="BO159" s="256" t="s">
        <v>805</v>
      </c>
      <c r="BP159" s="256" t="s">
        <v>805</v>
      </c>
      <c r="BQ159" s="256" t="s">
        <v>805</v>
      </c>
      <c r="BR159" s="256" t="s">
        <v>805</v>
      </c>
      <c r="BS159" s="256" t="s">
        <v>805</v>
      </c>
      <c r="BT159" s="256" t="s">
        <v>805</v>
      </c>
      <c r="BU159" s="256" t="s">
        <v>805</v>
      </c>
      <c r="BV159" s="256" t="s">
        <v>805</v>
      </c>
      <c r="BW159" s="256" t="s">
        <v>805</v>
      </c>
      <c r="BX159" s="256" t="s">
        <v>805</v>
      </c>
      <c r="BY159" s="256" t="s">
        <v>805</v>
      </c>
      <c r="BZ159" s="256" t="s">
        <v>805</v>
      </c>
      <c r="CA159" s="256" t="s">
        <v>805</v>
      </c>
      <c r="CB159" s="256" t="s">
        <v>805</v>
      </c>
      <c r="CC159" s="256" t="s">
        <v>805</v>
      </c>
      <c r="CD159" s="256" t="s">
        <v>805</v>
      </c>
      <c r="CE159" s="256" t="s">
        <v>805</v>
      </c>
      <c r="CF159" s="256" t="s">
        <v>805</v>
      </c>
      <c r="CG159" s="256" t="s">
        <v>805</v>
      </c>
      <c r="CH159" s="256" t="s">
        <v>805</v>
      </c>
      <c r="CI159" s="256" t="s">
        <v>805</v>
      </c>
      <c r="CJ159" s="256" t="s">
        <v>805</v>
      </c>
      <c r="CK159" s="256" t="s">
        <v>805</v>
      </c>
      <c r="CL159" s="256" t="s">
        <v>805</v>
      </c>
      <c r="CM159" s="256" t="s">
        <v>805</v>
      </c>
      <c r="CN159" s="256" t="s">
        <v>805</v>
      </c>
      <c r="CO159" s="256" t="s">
        <v>805</v>
      </c>
      <c r="CP159" s="256" t="s">
        <v>805</v>
      </c>
      <c r="CQ159" s="256" t="s">
        <v>805</v>
      </c>
      <c r="CR159" s="256" t="s">
        <v>805</v>
      </c>
      <c r="CS159" s="256" t="s">
        <v>805</v>
      </c>
      <c r="CT159" s="256" t="s">
        <v>805</v>
      </c>
      <c r="CU159" s="256" t="s">
        <v>805</v>
      </c>
      <c r="CV159" s="256" t="s">
        <v>805</v>
      </c>
      <c r="CW159" s="256" t="s">
        <v>805</v>
      </c>
      <c r="CX159" s="256" t="s">
        <v>805</v>
      </c>
      <c r="CY159" s="256" t="s">
        <v>805</v>
      </c>
      <c r="CZ159" s="256" t="s">
        <v>805</v>
      </c>
      <c r="DA159" s="256" t="s">
        <v>805</v>
      </c>
      <c r="DB159" s="256" t="s">
        <v>805</v>
      </c>
      <c r="DC159" s="256" t="s">
        <v>805</v>
      </c>
      <c r="DD159" s="256" t="s">
        <v>805</v>
      </c>
      <c r="DE159" s="256" t="s">
        <v>805</v>
      </c>
      <c r="DF159" s="256" t="s">
        <v>805</v>
      </c>
      <c r="DG159" s="273"/>
      <c r="DH159" s="256"/>
      <c r="DI159" s="256"/>
      <c r="DJ159" s="256"/>
      <c r="DK159" s="256"/>
      <c r="DL159" s="256"/>
      <c r="DM159" s="256"/>
      <c r="DN159" s="273"/>
      <c r="DO159" s="256"/>
      <c r="DP159" s="256"/>
      <c r="DQ159" s="256"/>
      <c r="DR159" s="256"/>
      <c r="DS159" s="256"/>
      <c r="DT159" s="256"/>
      <c r="DU159" s="273"/>
      <c r="DV159" s="256"/>
      <c r="DW159" s="256"/>
      <c r="DX159" s="256"/>
      <c r="DY159" s="256"/>
      <c r="DZ159" s="256"/>
      <c r="EA159" s="256"/>
      <c r="EB159" s="273"/>
      <c r="EC159" s="256"/>
      <c r="ED159" s="256"/>
      <c r="EE159" s="256"/>
      <c r="EF159" s="256"/>
      <c r="EG159" s="256"/>
      <c r="EH159" s="256"/>
      <c r="EI159" s="256"/>
      <c r="EJ159" s="256"/>
      <c r="EK159" s="256"/>
      <c r="EL159" s="256"/>
      <c r="EM159" s="256"/>
      <c r="EN159" s="256"/>
      <c r="EO159" s="256"/>
      <c r="EP159" s="256"/>
      <c r="EQ159" s="256"/>
      <c r="ER159" s="256"/>
      <c r="ES159" s="256"/>
      <c r="ET159" s="256"/>
      <c r="EU159" s="256"/>
      <c r="EV159" s="256"/>
      <c r="EW159" s="256"/>
      <c r="EX159" s="256"/>
      <c r="EY159" s="256"/>
      <c r="EZ159" s="256"/>
      <c r="FA159" s="256"/>
      <c r="FB159" s="256"/>
      <c r="FC159" s="256"/>
      <c r="FD159" s="256"/>
      <c r="FE159" s="256"/>
      <c r="FF159" s="256"/>
      <c r="FG159" s="256"/>
      <c r="FH159" s="256"/>
      <c r="FI159" s="256"/>
      <c r="FJ159" s="256"/>
      <c r="FK159" s="256"/>
      <c r="FL159" s="256"/>
      <c r="FM159" s="256"/>
      <c r="FN159" s="256"/>
      <c r="FO159" s="256"/>
      <c r="FP159" s="256"/>
      <c r="FQ159" s="256"/>
      <c r="FR159" s="256"/>
      <c r="FS159" s="256"/>
      <c r="FT159" s="256"/>
      <c r="FU159" s="256"/>
      <c r="FV159" s="256"/>
      <c r="FW159" s="256"/>
      <c r="FX159" s="256"/>
      <c r="FY159" s="256"/>
      <c r="FZ159" s="256"/>
      <c r="GA159" s="256"/>
      <c r="GB159" s="256"/>
      <c r="GC159" s="256"/>
      <c r="GD159" s="256"/>
      <c r="GE159" s="256"/>
      <c r="GF159" s="256"/>
      <c r="GG159" s="256"/>
      <c r="GH159" s="256"/>
      <c r="GI159" s="256"/>
      <c r="GJ159" s="256"/>
      <c r="GK159" s="256"/>
      <c r="GL159" s="256"/>
      <c r="GM159" s="256"/>
      <c r="GN159" s="256"/>
      <c r="GO159" s="256"/>
      <c r="GP159" s="256"/>
      <c r="GQ159" s="256"/>
      <c r="GR159" s="256"/>
      <c r="GS159" s="256"/>
      <c r="GT159" s="256"/>
      <c r="GU159" s="256"/>
      <c r="GV159" s="256"/>
      <c r="GW159" s="256"/>
      <c r="GX159" s="256"/>
      <c r="GY159" s="256"/>
      <c r="GZ159" s="256"/>
      <c r="HA159" s="256"/>
      <c r="HB159" s="256"/>
      <c r="HC159" s="256"/>
      <c r="HD159" s="256"/>
      <c r="HE159" s="256"/>
      <c r="HF159" s="256"/>
      <c r="HG159" s="256"/>
      <c r="HH159" s="256"/>
      <c r="HI159" s="256"/>
      <c r="HJ159" s="256"/>
      <c r="HK159" s="256"/>
      <c r="HL159" s="256"/>
      <c r="HM159" s="256"/>
      <c r="HN159" s="256"/>
      <c r="HO159" s="256"/>
      <c r="HP159" s="256"/>
      <c r="HQ159" s="256"/>
      <c r="HR159" s="256"/>
      <c r="HS159" s="256"/>
      <c r="HT159" s="256"/>
      <c r="HU159" s="256"/>
      <c r="HV159" s="256"/>
      <c r="HW159" s="256"/>
      <c r="HX159" s="256"/>
      <c r="HY159" s="256"/>
      <c r="HZ159" s="256"/>
      <c r="IA159" s="256"/>
      <c r="IB159" s="256"/>
      <c r="IC159" s="256"/>
      <c r="ID159" s="256"/>
      <c r="IE159" s="256"/>
      <c r="IF159" s="256"/>
      <c r="IG159" s="328"/>
      <c r="IH159" s="287"/>
      <c r="II159" s="287"/>
      <c r="IJ159" s="287"/>
      <c r="IK159" s="287"/>
      <c r="IL159" s="287"/>
      <c r="IM159" s="328"/>
      <c r="IN159" s="287"/>
      <c r="IO159" s="287"/>
      <c r="IP159" s="287"/>
      <c r="IQ159" s="287"/>
      <c r="IR159" s="287"/>
      <c r="IS159" s="328"/>
      <c r="IT159" s="287"/>
      <c r="IU159" s="287"/>
      <c r="IV159" s="287"/>
      <c r="IW159" s="287"/>
      <c r="IX159" s="287"/>
      <c r="IY159" s="328"/>
      <c r="IZ159" s="287"/>
      <c r="JA159" s="287"/>
      <c r="JB159" s="287"/>
      <c r="JC159" s="287"/>
      <c r="JD159" s="329"/>
      <c r="JF159" s="66"/>
      <c r="JG159" s="66"/>
      <c r="JH159" s="66"/>
      <c r="JI159" s="66"/>
      <c r="JJ159" s="66"/>
      <c r="JK159" s="33"/>
      <c r="JL159" s="74"/>
      <c r="JM159" s="75"/>
      <c r="JN159" s="75"/>
      <c r="JO159" s="74"/>
      <c r="JP159" s="74"/>
    </row>
    <row r="160" spans="1:276" hidden="1" outlineLevel="1" x14ac:dyDescent="0.35">
      <c r="A160" s="125" t="s">
        <v>805</v>
      </c>
      <c r="B160" s="125" t="s">
        <v>805</v>
      </c>
      <c r="C160" s="125" t="s">
        <v>805</v>
      </c>
      <c r="E160" s="142" t="s">
        <v>879</v>
      </c>
      <c r="F160" s="254" t="s">
        <v>798</v>
      </c>
      <c r="G160" t="s">
        <v>542</v>
      </c>
      <c r="H160" t="s">
        <v>531</v>
      </c>
      <c r="I160" t="s">
        <v>534</v>
      </c>
      <c r="J160" s="211" t="s">
        <v>805</v>
      </c>
      <c r="K160" t="s">
        <v>805</v>
      </c>
      <c r="L160" t="s">
        <v>805</v>
      </c>
      <c r="M160" t="s">
        <v>805</v>
      </c>
      <c r="N160" t="s">
        <v>805</v>
      </c>
      <c r="O160" t="s">
        <v>805</v>
      </c>
      <c r="P160" t="s">
        <v>805</v>
      </c>
      <c r="Q160" t="s">
        <v>805</v>
      </c>
      <c r="R160" t="s">
        <v>805</v>
      </c>
      <c r="S160" t="s">
        <v>805</v>
      </c>
      <c r="T160" t="s">
        <v>805</v>
      </c>
      <c r="U160" t="s">
        <v>805</v>
      </c>
      <c r="V160" t="s">
        <v>805</v>
      </c>
      <c r="W160" t="s">
        <v>805</v>
      </c>
      <c r="X160" t="s">
        <v>805</v>
      </c>
      <c r="Y160" t="s">
        <v>805</v>
      </c>
      <c r="Z160" t="s">
        <v>805</v>
      </c>
      <c r="AA160" t="s">
        <v>805</v>
      </c>
      <c r="AB160" t="s">
        <v>805</v>
      </c>
      <c r="AC160" t="s">
        <v>805</v>
      </c>
      <c r="AD160" t="s">
        <v>805</v>
      </c>
      <c r="AE160" t="s">
        <v>805</v>
      </c>
      <c r="AF160" t="s">
        <v>805</v>
      </c>
      <c r="AG160" t="s">
        <v>805</v>
      </c>
      <c r="AH160" t="s">
        <v>805</v>
      </c>
      <c r="AI160" t="s">
        <v>805</v>
      </c>
      <c r="AJ160" t="s">
        <v>805</v>
      </c>
      <c r="AK160" t="s">
        <v>805</v>
      </c>
      <c r="AL160" t="s">
        <v>805</v>
      </c>
      <c r="AM160" t="s">
        <v>805</v>
      </c>
      <c r="AN160" t="s">
        <v>805</v>
      </c>
      <c r="AO160" t="s">
        <v>805</v>
      </c>
      <c r="AP160" t="s">
        <v>805</v>
      </c>
      <c r="AQ160" t="s">
        <v>805</v>
      </c>
      <c r="AR160" t="s">
        <v>805</v>
      </c>
      <c r="AS160" t="s">
        <v>805</v>
      </c>
      <c r="AT160" t="s">
        <v>805</v>
      </c>
      <c r="AU160" t="s">
        <v>805</v>
      </c>
      <c r="AV160" t="s">
        <v>805</v>
      </c>
      <c r="AW160" t="s">
        <v>805</v>
      </c>
      <c r="AX160" t="s">
        <v>805</v>
      </c>
      <c r="AY160" t="s">
        <v>805</v>
      </c>
      <c r="AZ160" t="s">
        <v>805</v>
      </c>
      <c r="BA160" t="s">
        <v>805</v>
      </c>
      <c r="BB160" t="s">
        <v>805</v>
      </c>
      <c r="BC160" t="s">
        <v>805</v>
      </c>
      <c r="BD160" t="s">
        <v>805</v>
      </c>
      <c r="BE160" t="s">
        <v>805</v>
      </c>
      <c r="BF160" t="s">
        <v>805</v>
      </c>
      <c r="BG160" t="s">
        <v>805</v>
      </c>
      <c r="BH160" t="s">
        <v>805</v>
      </c>
      <c r="BI160" t="s">
        <v>805</v>
      </c>
      <c r="BJ160" t="s">
        <v>805</v>
      </c>
      <c r="BK160" t="s">
        <v>805</v>
      </c>
      <c r="BL160" t="s">
        <v>805</v>
      </c>
      <c r="BM160" t="s">
        <v>805</v>
      </c>
      <c r="BN160" t="s">
        <v>805</v>
      </c>
      <c r="BO160" t="s">
        <v>805</v>
      </c>
      <c r="BP160" t="s">
        <v>805</v>
      </c>
      <c r="BQ160" t="s">
        <v>805</v>
      </c>
      <c r="BR160" t="s">
        <v>805</v>
      </c>
      <c r="BS160" t="s">
        <v>805</v>
      </c>
      <c r="BT160" t="s">
        <v>805</v>
      </c>
      <c r="BU160" t="s">
        <v>805</v>
      </c>
      <c r="BV160" t="s">
        <v>805</v>
      </c>
      <c r="BW160" t="s">
        <v>805</v>
      </c>
      <c r="BX160" t="s">
        <v>805</v>
      </c>
      <c r="BY160" t="s">
        <v>805</v>
      </c>
      <c r="BZ160" t="s">
        <v>805</v>
      </c>
      <c r="CA160" t="s">
        <v>805</v>
      </c>
      <c r="CB160" t="s">
        <v>805</v>
      </c>
      <c r="CC160" t="s">
        <v>805</v>
      </c>
      <c r="CD160" t="s">
        <v>805</v>
      </c>
      <c r="CE160" t="s">
        <v>805</v>
      </c>
      <c r="CF160" t="s">
        <v>805</v>
      </c>
      <c r="CG160" t="s">
        <v>805</v>
      </c>
      <c r="CH160" t="s">
        <v>805</v>
      </c>
      <c r="CI160" t="s">
        <v>805</v>
      </c>
      <c r="CJ160" t="s">
        <v>805</v>
      </c>
      <c r="CK160" t="s">
        <v>805</v>
      </c>
      <c r="CL160" t="s">
        <v>805</v>
      </c>
      <c r="CM160" t="s">
        <v>805</v>
      </c>
      <c r="CN160" t="s">
        <v>805</v>
      </c>
      <c r="CO160" t="s">
        <v>805</v>
      </c>
      <c r="CP160" t="s">
        <v>805</v>
      </c>
      <c r="CQ160" t="s">
        <v>805</v>
      </c>
      <c r="CR160" t="s">
        <v>805</v>
      </c>
      <c r="CS160" t="s">
        <v>805</v>
      </c>
      <c r="CT160" t="s">
        <v>805</v>
      </c>
      <c r="CU160" t="s">
        <v>805</v>
      </c>
      <c r="CV160" t="s">
        <v>805</v>
      </c>
      <c r="CW160" t="s">
        <v>805</v>
      </c>
      <c r="CX160" t="s">
        <v>805</v>
      </c>
      <c r="CY160" t="s">
        <v>805</v>
      </c>
      <c r="CZ160" t="s">
        <v>805</v>
      </c>
      <c r="DA160" t="s">
        <v>805</v>
      </c>
      <c r="DB160" t="s">
        <v>805</v>
      </c>
      <c r="DC160" t="s">
        <v>805</v>
      </c>
      <c r="DD160" t="s">
        <v>805</v>
      </c>
      <c r="DE160" t="s">
        <v>805</v>
      </c>
      <c r="DF160" t="s">
        <v>805</v>
      </c>
      <c r="DG160" s="28">
        <f>VLOOKUP(E160,'KPI Count-SHARE'!A:F,3,0)</f>
        <v>0</v>
      </c>
      <c r="DH160" t="s">
        <v>805</v>
      </c>
      <c r="DI160" t="s">
        <v>805</v>
      </c>
      <c r="DJ160" t="s">
        <v>805</v>
      </c>
      <c r="DK160" t="s">
        <v>805</v>
      </c>
      <c r="DL160" t="s">
        <v>805</v>
      </c>
      <c r="DM160" t="s">
        <v>805</v>
      </c>
      <c r="DN160" s="28">
        <f>VLOOKUP(E160,'KPI Count-SHARE'!A:F,4,0)</f>
        <v>0</v>
      </c>
      <c r="DU160" s="28">
        <f>VLOOKUP(E160,'KPI Count-SHARE'!A:F,5,0)</f>
        <v>0</v>
      </c>
      <c r="EB160" s="28">
        <f>VLOOKUP(E160,'KPI Count-SHARE'!A:F,6,0)</f>
        <v>0</v>
      </c>
      <c r="EI160" t="s">
        <v>531</v>
      </c>
      <c r="EJ160" s="41" t="str">
        <f t="shared" ref="EJ160:EJ162" si="1434">IFERROR(IF(ISBLANK(J160), "-", IF(OR($I160="c",$I160="r"), J160*$I$5, J160)),"-")</f>
        <v/>
      </c>
      <c r="EK160" s="41" t="str">
        <f t="shared" ref="EK160:EK162" si="1435">IFERROR(IF(ISBLANK(K160), "-", IF($I160="c", K160*$I$5, K160)),"-")</f>
        <v/>
      </c>
      <c r="EL160" s="41" t="str">
        <f t="shared" ref="EL160:EL162" si="1436">IFERROR(IF(ISBLANK(L160), "-", IF($I160="c", L160*$I$5, L160)),"-")</f>
        <v/>
      </c>
      <c r="EM160" s="41" t="str">
        <f t="shared" ref="EM160:EM162" si="1437">IFERROR(IF(ISBLANK(M160), "-", IF($I160="c", M160*$I$5,M160)),"-")</f>
        <v/>
      </c>
      <c r="EN160" s="41" t="str">
        <f t="shared" ref="EN160:EN162" si="1438">IFERROR(IF(ISBLANK(N160), "-", IF($I160="c", N160*$I$5, N160)),"-")</f>
        <v/>
      </c>
      <c r="EO160" s="41" t="str">
        <f t="shared" ref="EO160:EO162" si="1439">IFERROR(IF(ISBLANK(O160), "-", IF($I160="c", O160*$I$5,O160)),"-")</f>
        <v/>
      </c>
      <c r="EP160" s="41" t="str">
        <f t="shared" ref="EP160:EP162" si="1440">IFERROR(IF(ISBLANK(P160), "-", IF($I160="c", P160*$I$5, P160)),"-")</f>
        <v/>
      </c>
      <c r="EQ160" s="41" t="str">
        <f t="shared" ref="EQ160:EQ162" si="1441">IFERROR(IF(ISBLANK(Q160), "-", IF($I160="c", Q160*$I$5, Q160)),"-")</f>
        <v/>
      </c>
      <c r="ER160" s="41" t="str">
        <f t="shared" ref="ER160:ER162" si="1442">IFERROR(IF(ISBLANK(R160), "-", IF($I160="c", R160*$I$5, R160)),"-")</f>
        <v/>
      </c>
      <c r="ES160" s="41" t="str">
        <f t="shared" ref="ES160:ES162" si="1443">IFERROR(IF(ISBLANK(S160), "-", IF($I160="c", S160*$I$5, S160)),"-")</f>
        <v/>
      </c>
      <c r="ET160" s="41" t="str">
        <f t="shared" ref="ET160:ET162" si="1444">IFERROR(IF(ISBLANK(T160), "-", IF($I160="c", T160*$I$5, T160)),"-")</f>
        <v/>
      </c>
      <c r="EU160" s="41" t="str">
        <f t="shared" ref="EU160:EU162" si="1445">IFERROR(IF(ISBLANK(U160), "-", IF($I160="c", U160*$I$5, U160)),"-")</f>
        <v/>
      </c>
      <c r="EV160" s="41" t="str">
        <f t="shared" ref="EV160:EV162" si="1446">IFERROR(IF(ISBLANK(V160), "-", IF($I160="c", V160*$I$5, V160)),"-")</f>
        <v/>
      </c>
      <c r="EW160" s="41" t="str">
        <f t="shared" ref="EW160:EW162" si="1447">IFERROR(IF(ISBLANK(W160), "-", IF($I160="c", W160*$I$5, W160)),"-")</f>
        <v/>
      </c>
      <c r="EX160" s="41" t="str">
        <f t="shared" ref="EX160:EX162" si="1448">IFERROR(IF(ISBLANK(X160), "-", IF($I160="c", X160*$I$5, X160)),"-")</f>
        <v/>
      </c>
      <c r="EY160" s="41" t="str">
        <f t="shared" ref="EY160:EY162" si="1449">IFERROR(IF(ISBLANK(Y160), "-", IF($I160="c", Y160*$I$5, Y160)),"-")</f>
        <v/>
      </c>
      <c r="EZ160" s="41" t="str">
        <f t="shared" ref="EZ160:EZ162" si="1450">IFERROR(IF(ISBLANK(Z160), "-", IF($I160="c", Z160*$I$5, Z160)),"-")</f>
        <v/>
      </c>
      <c r="FA160" s="41" t="str">
        <f t="shared" ref="FA160:FA162" si="1451">IFERROR(IF(ISBLANK(AA160), "-", IF($I160="c", AA160*$I$5, AA160)),"-")</f>
        <v/>
      </c>
      <c r="FB160" s="41" t="str">
        <f t="shared" ref="FB160:FB162" si="1452">IFERROR(IF(ISBLANK(AB160), "-", IF($I160="c", AB160*$I$5, AB160)),"-")</f>
        <v/>
      </c>
      <c r="FC160" s="41" t="str">
        <f t="shared" ref="FC160:FC162" si="1453">IFERROR(IF(ISBLANK(AC160), "-", IF($I160="c", AC160*$I$5, AC160)),"-")</f>
        <v/>
      </c>
      <c r="FD160" s="41" t="str">
        <f t="shared" ref="FD160:FD162" si="1454">IFERROR(IF(ISBLANK(AD160), "-", IF($I160="c", AD160*$I$5, AD160)),"-")</f>
        <v/>
      </c>
      <c r="FE160" s="41" t="str">
        <f t="shared" ref="FE160:FE162" si="1455">IFERROR(IF(ISBLANK(AE160), "-", IF($I160="c", AE160*$I$5, AE160)),"-")</f>
        <v/>
      </c>
      <c r="FF160" s="41" t="str">
        <f t="shared" ref="FF160:FF162" si="1456">IFERROR(IF(ISBLANK(AF160), "-", IF($I160="c", AF160*$I$5, AF160)),"-")</f>
        <v/>
      </c>
      <c r="FG160" s="41" t="str">
        <f t="shared" ref="FG160:FG162" si="1457">IFERROR(IF(ISBLANK(AG160), "-", IF($I160="c", AG160*$I$5, AG160)),"-")</f>
        <v/>
      </c>
      <c r="FH160" s="41" t="str">
        <f t="shared" ref="FH160:FH162" si="1458">IFERROR(IF(ISBLANK(AH160), "-", IF($I160="c", AH160*$I$5, AH160)),"-")</f>
        <v/>
      </c>
      <c r="FI160" s="41" t="str">
        <f t="shared" ref="FI160:FI162" si="1459">IFERROR(IF(ISBLANK(AI160), "-", IF($I160="c", AI160*$I$5, AI160)),"-")</f>
        <v/>
      </c>
      <c r="FJ160" s="41" t="str">
        <f t="shared" ref="FJ160:FJ162" si="1460">IFERROR(IF(ISBLANK(AJ160), "-", IF($I160="c", AJ160*$I$5, AJ160)),"-")</f>
        <v/>
      </c>
      <c r="FK160" s="41" t="str">
        <f t="shared" ref="FK160:FK162" si="1461">IFERROR(IF(ISBLANK(AK160), "-", IF($I160="c", AK160*$I$5, AK160)),"-")</f>
        <v/>
      </c>
      <c r="FL160" s="41" t="str">
        <f t="shared" ref="FL160:FL162" si="1462">IFERROR(IF(ISBLANK(AL160), "-", IF($I160="c", AL160*$I$5, AL160)),"-")</f>
        <v/>
      </c>
      <c r="FM160" s="41" t="str">
        <f t="shared" ref="FM160:FM162" si="1463">IFERROR(IF(ISBLANK(AM160), "-", IF($I160="c", AM160*$I$5, AM160)),"-")</f>
        <v/>
      </c>
      <c r="FN160" s="41" t="str">
        <f t="shared" ref="FN160:FN162" si="1464">IFERROR(IF(ISBLANK(AN160), "-", IF($I160="c", AN160*$I$5, AN160)),"-")</f>
        <v/>
      </c>
      <c r="FO160" s="41" t="str">
        <f t="shared" ref="FO160:FO162" si="1465">IFERROR(IF(ISBLANK(AO160), "-", IF($I160="c", AO160*$I$5, AO160)),"-")</f>
        <v/>
      </c>
      <c r="FP160" s="41" t="str">
        <f t="shared" ref="FP160:FP162" si="1466">IFERROR(IF(ISBLANK(AP160), "-", IF($I160="c", AP160*$I$5, AP160)),"-")</f>
        <v/>
      </c>
      <c r="FQ160" s="41" t="str">
        <f t="shared" ref="FQ160:FQ162" si="1467">IFERROR(IF(ISBLANK(AQ160), "-", IF($I160="c", AQ160*$I$5, AQ160)),"-")</f>
        <v/>
      </c>
      <c r="FR160" s="41" t="str">
        <f t="shared" ref="FR160:FR162" si="1468">IFERROR(IF(ISBLANK(AR160), "-", IF($I160="c", AR160*$I$5, AR160)),"-")</f>
        <v/>
      </c>
      <c r="FS160" s="41" t="str">
        <f t="shared" ref="FS160:FS162" si="1469">IFERROR(IF(ISBLANK(AS160), "-", IF($I160="c", AS160*$I$5, AS160)),"-")</f>
        <v/>
      </c>
      <c r="FT160" s="41" t="str">
        <f t="shared" ref="FT160:FT162" si="1470">IFERROR(IF(ISBLANK(AT160), "-", IF($I160="c", AT160*$I$5, AT160)),"-")</f>
        <v/>
      </c>
      <c r="FU160" s="41" t="str">
        <f t="shared" ref="FU160:FU162" si="1471">IFERROR(IF(ISBLANK(AU160), "-", IF($I160="c", AU160*$I$5, AU160)),"-")</f>
        <v/>
      </c>
      <c r="FV160" s="41" t="str">
        <f t="shared" ref="FV160:FV162" si="1472">IFERROR(IF(ISBLANK(AV160), "-", IF($I160="c", AV160*$I$5, AV160)),"-")</f>
        <v/>
      </c>
      <c r="FW160" s="41" t="str">
        <f t="shared" ref="FW160:FW162" si="1473">IFERROR(IF(ISBLANK(AW160), "-", IF($I160="c", AW160*$I$5, AW160)),"-")</f>
        <v/>
      </c>
      <c r="FX160" s="41" t="str">
        <f t="shared" ref="FX160:FX162" si="1474">IFERROR(IF(ISBLANK(AX160), "-", IF($I160="c", AX160*$I$5, AX160)),"-")</f>
        <v/>
      </c>
      <c r="FY160" s="41" t="str">
        <f t="shared" ref="FY160:FY162" si="1475">IFERROR(IF(ISBLANK(AY160), "-", IF($I160="c", AY160*$I$5, AY160)),"-")</f>
        <v/>
      </c>
      <c r="FZ160" s="41" t="str">
        <f t="shared" ref="FZ160:FZ162" si="1476">IFERROR(IF(ISBLANK(AZ160), "-", IF($I160="c", AZ160*$I$5, AZ160)),"-")</f>
        <v/>
      </c>
      <c r="GA160" s="41" t="str">
        <f t="shared" ref="GA160:GA162" si="1477">IFERROR(IF(ISBLANK(BA160), "-", IF($I160="c", BA160*$I$5, BA160)),"-")</f>
        <v/>
      </c>
      <c r="GB160" s="41" t="str">
        <f t="shared" ref="GB160:GB162" si="1478">IFERROR(IF(ISBLANK(BB160), "-", IF($I160="c", BB160*$I$5, BB160)),"-")</f>
        <v/>
      </c>
      <c r="GC160" s="41" t="str">
        <f t="shared" ref="GC160:GC162" si="1479">IFERROR(IF(ISBLANK(BC160), "-", IF($I160="c", BC160*$I$5, BC160)),"-")</f>
        <v/>
      </c>
      <c r="GD160" s="41" t="str">
        <f t="shared" ref="GD160:GD162" si="1480">IFERROR(IF(ISBLANK(BD160), "-", IF($I160="c", BD160*$I$5, BD160)),"-")</f>
        <v/>
      </c>
      <c r="GE160" s="41" t="str">
        <f t="shared" ref="GE160:GE162" si="1481">IFERROR(IF(ISBLANK(BE160), "-", IF($I160="c", BE160*$I$5, BE160)),"-")</f>
        <v/>
      </c>
      <c r="GF160" s="41" t="str">
        <f t="shared" ref="GF160:GF162" si="1482">IFERROR(IF(ISBLANK(BF160), "-", IF($I160="c", BF160*$I$5, BF160)),"-")</f>
        <v/>
      </c>
      <c r="GG160" s="41" t="str">
        <f t="shared" ref="GG160:GG162" si="1483">IFERROR(IF(ISBLANK(BG160), "-", IF($I160="c", BG160*$I$5, BG160)),"-")</f>
        <v/>
      </c>
      <c r="GH160" s="41" t="str">
        <f t="shared" ref="GH160:GH162" si="1484">IFERROR(IF(ISBLANK(BH160), "-", IF($I160="c", BH160*$I$5, BH160)),"-")</f>
        <v/>
      </c>
      <c r="GI160" s="41" t="str">
        <f t="shared" ref="GI160:GI162" si="1485">IFERROR(IF(ISBLANK(BI160), "-", IF($I160="c", BI160*$I$5, BI160)),"-")</f>
        <v/>
      </c>
      <c r="GJ160" s="41" t="str">
        <f t="shared" ref="GJ160:GJ162" si="1486">IFERROR(IF(ISBLANK(BJ160), "-", IF($I160="c", BJ160*$I$5, BJ160)),"-")</f>
        <v/>
      </c>
      <c r="GK160" s="41" t="str">
        <f t="shared" ref="GK160:GK162" si="1487">IFERROR(IF(ISBLANK(BK160), "-", IF($I160="c", BK160*$I$5, BK160)),"-")</f>
        <v/>
      </c>
      <c r="GL160" s="41" t="str">
        <f t="shared" ref="GL160:GL162" si="1488">IFERROR(IF(ISBLANK(BL160), "-", IF($I160="c", BL160*$I$5, BL160)),"-")</f>
        <v/>
      </c>
      <c r="GM160" s="41" t="str">
        <f t="shared" ref="GM160:GM162" si="1489">IFERROR(IF(ISBLANK(BM160), "-", IF($I160="c", BM160*$I$5, BM160)),"-")</f>
        <v/>
      </c>
      <c r="GN160" s="41" t="str">
        <f t="shared" ref="GN160:GN162" si="1490">IFERROR(IF(ISBLANK(BN160), "-", IF($I160="c", BN160*$I$5, BN160)),"-")</f>
        <v/>
      </c>
      <c r="GO160" s="41" t="str">
        <f t="shared" ref="GO160:GO162" si="1491">IFERROR(IF(ISBLANK(BO160), "-", IF($I160="c", BO160*$I$5, BO160)),"-")</f>
        <v/>
      </c>
      <c r="GP160" s="41" t="str">
        <f t="shared" ref="GP160:GP162" si="1492">IFERROR(IF(ISBLANK(BP160), "-", IF($I160="c", BP160*$I$5, BP160)),"-")</f>
        <v/>
      </c>
      <c r="GQ160" s="41" t="str">
        <f t="shared" ref="GQ160:GQ162" si="1493">IFERROR(IF(ISBLANK(BQ160), "-", IF($I160="c", BQ160*$I$5, BQ160)),"-")</f>
        <v/>
      </c>
      <c r="GR160" s="41" t="str">
        <f t="shared" ref="GR160:GR162" si="1494">IFERROR(IF(ISBLANK(BR160), "-", IF($I160="c", BR160*$I$5, BR160)),"-")</f>
        <v/>
      </c>
      <c r="GS160" s="41" t="str">
        <f t="shared" ref="GS160:GS162" si="1495">IFERROR(IF(ISBLANK(BS160), "-", IF($I160="c", BS160*$I$5, BS160)),"-")</f>
        <v/>
      </c>
      <c r="GT160" s="41" t="str">
        <f t="shared" ref="GT160:GT162" si="1496">IFERROR(IF(ISBLANK(BT160), "-", IF($I160="c", BT160*$I$5, BT160)),"-")</f>
        <v/>
      </c>
      <c r="GU160" s="41" t="str">
        <f t="shared" ref="GU160:GU162" si="1497">IFERROR(IF(ISBLANK(BU160), "-", IF($I160="c", BU160*$I$5, BU160)),"-")</f>
        <v/>
      </c>
      <c r="GV160" s="41" t="str">
        <f t="shared" ref="GV160:GV162" si="1498">IFERROR(IF(ISBLANK(BV160), "-", IF($I160="c", BV160*$I$5, BV160)),"-")</f>
        <v/>
      </c>
      <c r="GW160" s="41" t="str">
        <f t="shared" ref="GW160:GW162" si="1499">IFERROR(IF(ISBLANK(BW160), "-", IF($I160="c", BW160*$I$5, BW160)),"-")</f>
        <v/>
      </c>
      <c r="GX160" s="41" t="str">
        <f t="shared" ref="GX160:GX162" si="1500">IFERROR(IF(ISBLANK(BX160), "-", IF($I160="c", BX160*$I$5, BX160)),"-")</f>
        <v/>
      </c>
      <c r="GY160" s="41" t="str">
        <f t="shared" ref="GY160:GY162" si="1501">IFERROR(IF(ISBLANK(BY160), "-", IF($I160="c", BY160*$I$5, BY160)),"-")</f>
        <v/>
      </c>
      <c r="GZ160" s="41" t="str">
        <f t="shared" ref="GZ160:GZ162" si="1502">IFERROR(IF(ISBLANK(BZ160), "-", IF($I160="c", BZ160*$I$5, BZ160)),"-")</f>
        <v/>
      </c>
      <c r="HA160" s="41" t="str">
        <f t="shared" ref="HA160:HA162" si="1503">IFERROR(IF(ISBLANK(CA160), "-", IF($I160="c", CA160*$I$5, CA160)),"-")</f>
        <v/>
      </c>
      <c r="HB160" s="41" t="str">
        <f t="shared" ref="HB160:HB162" si="1504">IFERROR(IF(ISBLANK(CB160), "-", IF($I160="c", CB160*$I$5, CB160)),"-")</f>
        <v/>
      </c>
      <c r="HC160" s="41" t="str">
        <f t="shared" ref="HC160:HC162" si="1505">IFERROR(IF(ISBLANK(CC160), "-", IF($I160="c", CC160*$I$5, CC160)),"-")</f>
        <v/>
      </c>
      <c r="HD160" s="41" t="str">
        <f t="shared" ref="HD160:HD162" si="1506">IFERROR(IF(ISBLANK(CD160), "-", IF($I160="c", CD160*$I$5, CD160)),"-")</f>
        <v/>
      </c>
      <c r="HE160" s="41" t="str">
        <f t="shared" ref="HE160:HE162" si="1507">IFERROR(IF(ISBLANK(CE160), "-", IF($I160="c", CE160*$I$5, CE160)),"-")</f>
        <v/>
      </c>
      <c r="HF160" s="41" t="str">
        <f t="shared" ref="HF160:HF162" si="1508">IFERROR(IF(ISBLANK(CF160), "-", IF($I160="c", CF160*$I$5, CF160)),"-")</f>
        <v/>
      </c>
      <c r="HG160" s="41" t="str">
        <f t="shared" ref="HG160:HG162" si="1509">IFERROR(IF(ISBLANK(CG160), "-", IF($I160="c", CG160*$I$5, CG160)),"-")</f>
        <v/>
      </c>
      <c r="HH160" s="41" t="str">
        <f t="shared" ref="HH160:HH162" si="1510">IFERROR(IF(ISBLANK(CH160), "-", IF($I160="c", CH160*$I$5, CH160)),"-")</f>
        <v/>
      </c>
      <c r="HI160" s="41" t="str">
        <f t="shared" ref="HI160:HI162" si="1511">IFERROR(IF(ISBLANK(CI160), "-", IF($I160="c", CI160*$I$5, CI160)),"-")</f>
        <v/>
      </c>
      <c r="HJ160" s="41" t="str">
        <f t="shared" ref="HJ160:HJ162" si="1512">IFERROR(IF(ISBLANK(CJ160), "-", IF($I160="c", CJ160*$I$5, CJ160)),"-")</f>
        <v/>
      </c>
      <c r="HK160" s="41" t="str">
        <f t="shared" ref="HK160:HK162" si="1513">IFERROR(IF(ISBLANK(CK160), "-", IF($I160="c", CK160*$I$5, CK160)),"-")</f>
        <v/>
      </c>
      <c r="HL160" s="41" t="str">
        <f t="shared" ref="HL160:HL162" si="1514">IFERROR(IF(ISBLANK(CL160), "-", IF($I160="c", CL160*$I$5, CL160)),"-")</f>
        <v/>
      </c>
      <c r="HM160" s="41" t="str">
        <f t="shared" ref="HM160:HM162" si="1515">IFERROR(IF(ISBLANK(CM160), "-", IF($I160="c", CM160*$I$5, CM160)),"-")</f>
        <v/>
      </c>
      <c r="HN160" s="41" t="str">
        <f t="shared" ref="HN160:HN162" si="1516">IFERROR(IF(ISBLANK(CN160), "-", IF($I160="c", CN160*$I$5, CN160)),"-")</f>
        <v/>
      </c>
      <c r="HO160" s="41" t="str">
        <f t="shared" ref="HO160:HO162" si="1517">IFERROR(IF(ISBLANK(CO160), "-", IF($I160="c", CO160*$I$5, CO160)),"-")</f>
        <v/>
      </c>
      <c r="HP160" s="41" t="str">
        <f t="shared" ref="HP160:HP162" si="1518">IFERROR(IF(ISBLANK(CP160), "-", IF($I160="c", CP160*$I$5, CP160)),"-")</f>
        <v/>
      </c>
      <c r="HQ160" s="41" t="str">
        <f t="shared" ref="HQ160:HQ162" si="1519">IFERROR(IF(ISBLANK(CQ160), "-", IF($I160="c", CQ160*$I$5, CQ160)),"-")</f>
        <v/>
      </c>
      <c r="HR160" s="41" t="str">
        <f t="shared" ref="HR160:HR162" si="1520">IFERROR(IF(ISBLANK(CR160), "-", IF($I160="c", CR160*$I$5, CR160)),"-")</f>
        <v/>
      </c>
      <c r="HS160" s="41" t="str">
        <f t="shared" ref="HS160:HS162" si="1521">IFERROR(IF(ISBLANK(CS160), "-", IF($I160="c", CS160*$I$5, CS160)),"-")</f>
        <v/>
      </c>
      <c r="HT160" s="41" t="str">
        <f t="shared" ref="HT160:HT162" si="1522">IFERROR(IF(ISBLANK(CT160), "-", IF($I160="c", CT160*$I$5, CT160)),"-")</f>
        <v/>
      </c>
      <c r="HU160" s="41" t="str">
        <f t="shared" ref="HU160:HU162" si="1523">IFERROR(IF(ISBLANK(CU160), "-", IF($I160="c", CU160*$I$5, CU160)),"-")</f>
        <v/>
      </c>
      <c r="HV160" s="41" t="str">
        <f t="shared" ref="HV160:HV162" si="1524">IFERROR(IF(ISBLANK(CV160), "-", IF($I160="c", CV160*$I$5, CV160)),"-")</f>
        <v/>
      </c>
      <c r="HW160" s="41" t="str">
        <f t="shared" ref="HW160:HW162" si="1525">IFERROR(IF(ISBLANK(CW160), "-", IF($I160="c", CW160*$I$5, CW160)),"-")</f>
        <v/>
      </c>
      <c r="HX160" s="41" t="str">
        <f t="shared" ref="HX160:HX162" si="1526">IFERROR(IF(ISBLANK(CX160), "-", IF($I160="c", CX160*$I$5, CX160)),"-")</f>
        <v/>
      </c>
      <c r="HY160" s="41" t="str">
        <f t="shared" ref="HY160:HY162" si="1527">IFERROR(IF(ISBLANK(CY160), "-", IF($I160="c", CY160*$I$5, CY160)),"-")</f>
        <v/>
      </c>
      <c r="HZ160" s="41" t="str">
        <f t="shared" ref="HZ160:HZ162" si="1528">IFERROR(IF(ISBLANK(CZ160), "-", IF($I160="c", CZ160*$I$5, CZ160)),"-")</f>
        <v/>
      </c>
      <c r="IA160" s="41" t="str">
        <f t="shared" ref="IA160:IA162" si="1529">IFERROR(IF(ISBLANK(DA160), "-", IF($I160="c", DA160*$I$5, DA160)),"-")</f>
        <v/>
      </c>
      <c r="IB160" s="41" t="str">
        <f t="shared" ref="IB160:IB162" si="1530">IFERROR(IF(ISBLANK(DB160), "-", IF($I160="c", DB160*$I$5, DB160)),"-")</f>
        <v/>
      </c>
      <c r="IC160" s="41" t="str">
        <f t="shared" ref="IC160:IC162" si="1531">IFERROR(IF(ISBLANK(DC160), "-", IF($I160="c", DC160*$I$5, DC160)),"-")</f>
        <v/>
      </c>
      <c r="ID160" s="41" t="str">
        <f t="shared" ref="ID160:ID162" si="1532">IFERROR(IF(ISBLANK(DD160), "-", IF($I160="c", DD160*$I$5, DD160)),"-")</f>
        <v/>
      </c>
      <c r="IE160" s="41" t="str">
        <f t="shared" ref="IE160:IE162" si="1533">IFERROR(IF(ISBLANK(DE160), "-", IF($I160="c", DE160*$I$5, DE160)),"-")</f>
        <v/>
      </c>
      <c r="IF160" s="41" t="str">
        <f t="shared" ref="IF160:IF162" si="1534">IFERROR(IF(ISBLANK(DF160), "-", IF($I160="c", DF160*$I$5, DF160)),"-")</f>
        <v/>
      </c>
      <c r="IG160" s="306" t="str">
        <f t="shared" ref="IG160:IG162" si="1535">IFERROR(IF(ISBLANK(DH160), "-", IF($I160="c", DH160*$I$5, DH160)),"-")</f>
        <v/>
      </c>
      <c r="IH160" s="44" t="str">
        <f t="shared" ref="IH160:IH162" si="1536">IFERROR(IF(ISBLANK(DI160), "-", IF($I160="c", DI160*$I$5, DI160)),"-")</f>
        <v/>
      </c>
      <c r="II160" s="44" t="str">
        <f t="shared" ref="II160:II162" si="1537">IFERROR(IF(ISBLANK(DJ160), "-", IF($I160="c", DJ160*$I$5, DJ160)),"-")</f>
        <v/>
      </c>
      <c r="IJ160" s="44" t="str">
        <f t="shared" ref="IJ160:IJ162" si="1538">IFERROR(IF(ISBLANK(DK160), "-", IF($I160="c", DK160*$I$5, DK160)),"-")</f>
        <v/>
      </c>
      <c r="IK160" s="44" t="str">
        <f t="shared" ref="IK160:IK162" si="1539">IFERROR(IF(ISBLANK(DL160), "-", IF($I160="c", DL160*$I$5, DL160)),"-")</f>
        <v/>
      </c>
      <c r="IL160" s="44" t="str">
        <f t="shared" ref="IL160:IL162" si="1540">IFERROR(IF(ISBLANK(DM160), "-", IF($I160="c", DM160*$I$5, DM160)),"-")</f>
        <v/>
      </c>
      <c r="IM160" s="306" t="str">
        <f t="shared" ref="IM160:IM162" si="1541">IFERROR(IF(ISBLANK(DO160), "", IF($I160="c",DO160*$I$5, DO160)),"-")</f>
        <v/>
      </c>
      <c r="IN160" s="44" t="str">
        <f t="shared" ref="IN160:IN162" si="1542">IFERROR(IF(ISBLANK(DP160), "", IF($I160="c",DP160*$I$5, DP160)),"-")</f>
        <v/>
      </c>
      <c r="IO160" s="44" t="str">
        <f t="shared" ref="IO160:IO162" si="1543">IFERROR(IF(ISBLANK(DQ160), "", IF($I160="c",DQ160*$I$5, DQ160)),"-")</f>
        <v/>
      </c>
      <c r="IP160" s="44" t="str">
        <f t="shared" ref="IP160:IP162" si="1544">IFERROR(IF(ISBLANK(DR160), "", IF($I160="c",DR160*$I$5, DR160)),"-")</f>
        <v/>
      </c>
      <c r="IQ160" s="44" t="str">
        <f t="shared" ref="IQ160:IQ162" si="1545">IFERROR(IF(ISBLANK(DS160), "", IF($I160="c",DS160*$I$5, DS160)),"-")</f>
        <v/>
      </c>
      <c r="IR160" s="44" t="str">
        <f t="shared" ref="IR160:IR162" si="1546">IFERROR(IF(ISBLANK(DT160), "", IF($I160="c",DT160*$I$5, DT160)),"-")</f>
        <v/>
      </c>
      <c r="IS160" s="306" t="str">
        <f t="shared" ref="IS160:IS162" si="1547">IFERROR(IF(ISBLANK(DV160), "", IF($I160="c", DV160*$I$5, DV160)),"-")</f>
        <v/>
      </c>
      <c r="IT160" s="44" t="str">
        <f t="shared" ref="IT160:IT162" si="1548">IFERROR(IF(ISBLANK(DW160), "", IF($I160="c", DW160*$I$5, DW160)),"-")</f>
        <v/>
      </c>
      <c r="IU160" s="44" t="str">
        <f t="shared" ref="IU160:IU162" si="1549">IFERROR(IF(ISBLANK(DX160), "", IF($I160="c", DX160*$I$5, DX160)),"-")</f>
        <v/>
      </c>
      <c r="IV160" s="44" t="str">
        <f t="shared" ref="IV160:IV162" si="1550">IFERROR(IF(ISBLANK(DY160), "", IF($I160="c", DY160*$I$5, DY160)),"-")</f>
        <v/>
      </c>
      <c r="IW160" s="44" t="str">
        <f t="shared" ref="IW160:IW162" si="1551">IFERROR(IF(ISBLANK(DZ160), "", IF($I160="c", DZ160*$I$5, DZ160)),"-")</f>
        <v/>
      </c>
      <c r="IX160" s="44" t="str">
        <f t="shared" ref="IX160:IX162" si="1552">IFERROR(IF(ISBLANK(EA160), "", IF($I160="c", EA160*$I$5, EA160)),"-")</f>
        <v/>
      </c>
      <c r="IY160" s="306" t="str">
        <f t="shared" ref="IY160:IY162" si="1553">IFERROR(IF(ISBLANK(EC160), "", IF($I160="c", EC160*$I$5, EC160)),"-")</f>
        <v/>
      </c>
      <c r="IZ160" s="44" t="str">
        <f t="shared" ref="IZ160:IZ162" si="1554">IFERROR(IF(ISBLANK(ED160), "", IF($I160="c", ED160*$I$5, ED160)),"-")</f>
        <v/>
      </c>
      <c r="JA160" s="44" t="str">
        <f t="shared" ref="JA160:JA162" si="1555">IFERROR(IF(ISBLANK(EE160), "", IF($I160="c", EE160*$I$5, EE160)),"-")</f>
        <v/>
      </c>
      <c r="JB160" s="44" t="str">
        <f t="shared" ref="JB160:JB162" si="1556">IFERROR(IF(ISBLANK(EF160), "", IF($I160="c", EF160*$I$5, EF160)),"-")</f>
        <v/>
      </c>
      <c r="JC160" s="44" t="str">
        <f t="shared" ref="JC160:JC162" si="1557">IFERROR(IF(ISBLANK(EG160), "", IF($I160="c", EG160*$I$5, EG160)),"-")</f>
        <v/>
      </c>
      <c r="JD160" s="307" t="str">
        <f t="shared" ref="JD160:JD162" si="1558">IFERROR(IF(ISBLANK(EH160), "", IF($I160="c", EH160*$I$5, EH160)),"-")</f>
        <v/>
      </c>
      <c r="JF160" s="66">
        <f t="shared" si="1424"/>
        <v>160</v>
      </c>
      <c r="JG160" s="66">
        <f t="shared" ca="1" si="1425"/>
        <v>0</v>
      </c>
      <c r="JH160" s="66">
        <f t="shared" ca="1" si="1426"/>
        <v>0</v>
      </c>
      <c r="JI160" s="66">
        <f t="shared" ca="1" si="1427"/>
        <v>0</v>
      </c>
      <c r="JJ160" s="66">
        <f t="shared" ca="1" si="1428"/>
        <v>0</v>
      </c>
      <c r="JK160" s="33"/>
      <c r="JL160" s="74" t="str">
        <f t="shared" ca="1" si="1429"/>
        <v>-</v>
      </c>
      <c r="JM160" s="75">
        <f t="shared" ca="1" si="1430"/>
        <v>0</v>
      </c>
      <c r="JN160" s="75">
        <f t="shared" ca="1" si="1431"/>
        <v>0</v>
      </c>
      <c r="JO160" s="74" t="str">
        <f t="shared" ca="1" si="1432"/>
        <v>-</v>
      </c>
      <c r="JP160" s="74">
        <f t="shared" ca="1" si="1433"/>
        <v>0</v>
      </c>
    </row>
    <row r="161" spans="1:276" hidden="1" outlineLevel="1" x14ac:dyDescent="0.35">
      <c r="A161" s="125" t="s">
        <v>805</v>
      </c>
      <c r="B161" s="125" t="s">
        <v>805</v>
      </c>
      <c r="C161" s="125" t="s">
        <v>805</v>
      </c>
      <c r="E161" s="142" t="s">
        <v>880</v>
      </c>
      <c r="F161" s="254" t="s">
        <v>799</v>
      </c>
      <c r="G161" t="s">
        <v>542</v>
      </c>
      <c r="H161" t="s">
        <v>531</v>
      </c>
      <c r="I161" t="s">
        <v>534</v>
      </c>
      <c r="J161" s="211" t="s">
        <v>805</v>
      </c>
      <c r="K161" t="s">
        <v>805</v>
      </c>
      <c r="L161" t="s">
        <v>805</v>
      </c>
      <c r="M161" t="s">
        <v>805</v>
      </c>
      <c r="N161" t="s">
        <v>805</v>
      </c>
      <c r="O161" t="s">
        <v>805</v>
      </c>
      <c r="P161" t="s">
        <v>805</v>
      </c>
      <c r="Q161" t="s">
        <v>805</v>
      </c>
      <c r="R161" t="s">
        <v>805</v>
      </c>
      <c r="S161" t="s">
        <v>805</v>
      </c>
      <c r="T161" t="s">
        <v>805</v>
      </c>
      <c r="U161" t="s">
        <v>805</v>
      </c>
      <c r="V161" t="s">
        <v>805</v>
      </c>
      <c r="W161" t="s">
        <v>805</v>
      </c>
      <c r="X161" t="s">
        <v>805</v>
      </c>
      <c r="Y161" t="s">
        <v>805</v>
      </c>
      <c r="Z161" t="s">
        <v>805</v>
      </c>
      <c r="AA161" t="s">
        <v>805</v>
      </c>
      <c r="AB161" t="s">
        <v>805</v>
      </c>
      <c r="AC161" t="s">
        <v>805</v>
      </c>
      <c r="AD161" t="s">
        <v>805</v>
      </c>
      <c r="AE161" t="s">
        <v>805</v>
      </c>
      <c r="AF161" t="s">
        <v>805</v>
      </c>
      <c r="AG161" t="s">
        <v>805</v>
      </c>
      <c r="AH161" t="s">
        <v>805</v>
      </c>
      <c r="AI161" t="s">
        <v>805</v>
      </c>
      <c r="AJ161" t="s">
        <v>805</v>
      </c>
      <c r="AK161" t="s">
        <v>805</v>
      </c>
      <c r="AL161" t="s">
        <v>805</v>
      </c>
      <c r="AM161" t="s">
        <v>805</v>
      </c>
      <c r="AN161" t="s">
        <v>805</v>
      </c>
      <c r="AO161" t="s">
        <v>805</v>
      </c>
      <c r="AP161" t="s">
        <v>805</v>
      </c>
      <c r="AQ161" t="s">
        <v>805</v>
      </c>
      <c r="AR161" t="s">
        <v>805</v>
      </c>
      <c r="AS161" t="s">
        <v>805</v>
      </c>
      <c r="AT161" t="s">
        <v>805</v>
      </c>
      <c r="AU161" t="s">
        <v>805</v>
      </c>
      <c r="AV161" t="s">
        <v>805</v>
      </c>
      <c r="AW161" t="s">
        <v>805</v>
      </c>
      <c r="AX161" t="s">
        <v>805</v>
      </c>
      <c r="AY161" t="s">
        <v>805</v>
      </c>
      <c r="AZ161" t="s">
        <v>805</v>
      </c>
      <c r="BA161" t="s">
        <v>805</v>
      </c>
      <c r="BB161" t="s">
        <v>805</v>
      </c>
      <c r="BC161" t="s">
        <v>805</v>
      </c>
      <c r="BD161" t="s">
        <v>805</v>
      </c>
      <c r="BE161" t="s">
        <v>805</v>
      </c>
      <c r="BF161" t="s">
        <v>805</v>
      </c>
      <c r="BG161" t="s">
        <v>805</v>
      </c>
      <c r="BH161" t="s">
        <v>805</v>
      </c>
      <c r="BI161" t="s">
        <v>805</v>
      </c>
      <c r="BJ161" t="s">
        <v>805</v>
      </c>
      <c r="BK161" t="s">
        <v>805</v>
      </c>
      <c r="BL161" t="s">
        <v>805</v>
      </c>
      <c r="BM161" t="s">
        <v>805</v>
      </c>
      <c r="BN161" t="s">
        <v>805</v>
      </c>
      <c r="BO161" t="s">
        <v>805</v>
      </c>
      <c r="BP161" t="s">
        <v>805</v>
      </c>
      <c r="BQ161" t="s">
        <v>805</v>
      </c>
      <c r="BR161" t="s">
        <v>805</v>
      </c>
      <c r="BS161" t="s">
        <v>805</v>
      </c>
      <c r="BT161" t="s">
        <v>805</v>
      </c>
      <c r="BU161" t="s">
        <v>805</v>
      </c>
      <c r="BV161" t="s">
        <v>805</v>
      </c>
      <c r="BW161" t="s">
        <v>805</v>
      </c>
      <c r="BX161" t="s">
        <v>805</v>
      </c>
      <c r="BY161" t="s">
        <v>805</v>
      </c>
      <c r="BZ161" t="s">
        <v>805</v>
      </c>
      <c r="CA161" t="s">
        <v>805</v>
      </c>
      <c r="CB161" t="s">
        <v>805</v>
      </c>
      <c r="CC161" t="s">
        <v>805</v>
      </c>
      <c r="CD161" t="s">
        <v>805</v>
      </c>
      <c r="CE161" t="s">
        <v>805</v>
      </c>
      <c r="CF161" t="s">
        <v>805</v>
      </c>
      <c r="CG161" t="s">
        <v>805</v>
      </c>
      <c r="CH161" t="s">
        <v>805</v>
      </c>
      <c r="CI161" t="s">
        <v>805</v>
      </c>
      <c r="CJ161" t="s">
        <v>805</v>
      </c>
      <c r="CK161" t="s">
        <v>805</v>
      </c>
      <c r="CL161" t="s">
        <v>805</v>
      </c>
      <c r="CM161" t="s">
        <v>805</v>
      </c>
      <c r="CN161" t="s">
        <v>805</v>
      </c>
      <c r="CO161" t="s">
        <v>805</v>
      </c>
      <c r="CP161" t="s">
        <v>805</v>
      </c>
      <c r="CQ161" t="s">
        <v>805</v>
      </c>
      <c r="CR161" t="s">
        <v>805</v>
      </c>
      <c r="CS161" t="s">
        <v>805</v>
      </c>
      <c r="CT161" t="s">
        <v>805</v>
      </c>
      <c r="CU161" t="s">
        <v>805</v>
      </c>
      <c r="CV161" t="s">
        <v>805</v>
      </c>
      <c r="CW161" t="s">
        <v>805</v>
      </c>
      <c r="CX161" t="s">
        <v>805</v>
      </c>
      <c r="CY161" t="s">
        <v>805</v>
      </c>
      <c r="CZ161" t="s">
        <v>805</v>
      </c>
      <c r="DA161" t="s">
        <v>805</v>
      </c>
      <c r="DB161" t="s">
        <v>805</v>
      </c>
      <c r="DC161" t="s">
        <v>805</v>
      </c>
      <c r="DD161" t="s">
        <v>805</v>
      </c>
      <c r="DE161" t="s">
        <v>805</v>
      </c>
      <c r="DF161" t="s">
        <v>805</v>
      </c>
      <c r="DG161" s="28">
        <f>VLOOKUP(E161,'KPI Count-SHARE'!A:F,3,0)</f>
        <v>0</v>
      </c>
      <c r="DH161" t="s">
        <v>805</v>
      </c>
      <c r="DI161" t="s">
        <v>805</v>
      </c>
      <c r="DJ161" t="s">
        <v>805</v>
      </c>
      <c r="DK161" t="s">
        <v>805</v>
      </c>
      <c r="DL161" t="s">
        <v>805</v>
      </c>
      <c r="DM161" t="s">
        <v>805</v>
      </c>
      <c r="DN161" s="28">
        <f>VLOOKUP(E161,'KPI Count-SHARE'!A:F,4,0)</f>
        <v>0</v>
      </c>
      <c r="DU161" s="28">
        <f>VLOOKUP(E161,'KPI Count-SHARE'!A:F,5,0)</f>
        <v>0</v>
      </c>
      <c r="EB161" s="28">
        <f>VLOOKUP(E161,'KPI Count-SHARE'!A:F,6,0)</f>
        <v>0</v>
      </c>
      <c r="EI161" t="s">
        <v>531</v>
      </c>
      <c r="EJ161" s="41" t="str">
        <f t="shared" si="1434"/>
        <v/>
      </c>
      <c r="EK161" s="41" t="str">
        <f t="shared" si="1435"/>
        <v/>
      </c>
      <c r="EL161" s="41" t="str">
        <f t="shared" si="1436"/>
        <v/>
      </c>
      <c r="EM161" s="41" t="str">
        <f t="shared" si="1437"/>
        <v/>
      </c>
      <c r="EN161" s="41" t="str">
        <f t="shared" si="1438"/>
        <v/>
      </c>
      <c r="EO161" s="41" t="str">
        <f t="shared" si="1439"/>
        <v/>
      </c>
      <c r="EP161" s="41" t="str">
        <f t="shared" si="1440"/>
        <v/>
      </c>
      <c r="EQ161" s="41" t="str">
        <f t="shared" si="1441"/>
        <v/>
      </c>
      <c r="ER161" s="41" t="str">
        <f t="shared" si="1442"/>
        <v/>
      </c>
      <c r="ES161" s="41" t="str">
        <f t="shared" si="1443"/>
        <v/>
      </c>
      <c r="ET161" s="41" t="str">
        <f t="shared" si="1444"/>
        <v/>
      </c>
      <c r="EU161" s="41" t="str">
        <f t="shared" si="1445"/>
        <v/>
      </c>
      <c r="EV161" s="41" t="str">
        <f t="shared" si="1446"/>
        <v/>
      </c>
      <c r="EW161" s="41" t="str">
        <f t="shared" si="1447"/>
        <v/>
      </c>
      <c r="EX161" s="41" t="str">
        <f t="shared" si="1448"/>
        <v/>
      </c>
      <c r="EY161" s="41" t="str">
        <f t="shared" si="1449"/>
        <v/>
      </c>
      <c r="EZ161" s="41" t="str">
        <f t="shared" si="1450"/>
        <v/>
      </c>
      <c r="FA161" s="41" t="str">
        <f t="shared" si="1451"/>
        <v/>
      </c>
      <c r="FB161" s="41" t="str">
        <f t="shared" si="1452"/>
        <v/>
      </c>
      <c r="FC161" s="41" t="str">
        <f t="shared" si="1453"/>
        <v/>
      </c>
      <c r="FD161" s="41" t="str">
        <f t="shared" si="1454"/>
        <v/>
      </c>
      <c r="FE161" s="41" t="str">
        <f t="shared" si="1455"/>
        <v/>
      </c>
      <c r="FF161" s="41" t="str">
        <f t="shared" si="1456"/>
        <v/>
      </c>
      <c r="FG161" s="41" t="str">
        <f t="shared" si="1457"/>
        <v/>
      </c>
      <c r="FH161" s="41" t="str">
        <f t="shared" si="1458"/>
        <v/>
      </c>
      <c r="FI161" s="41" t="str">
        <f t="shared" si="1459"/>
        <v/>
      </c>
      <c r="FJ161" s="41" t="str">
        <f t="shared" si="1460"/>
        <v/>
      </c>
      <c r="FK161" s="41" t="str">
        <f t="shared" si="1461"/>
        <v/>
      </c>
      <c r="FL161" s="41" t="str">
        <f t="shared" si="1462"/>
        <v/>
      </c>
      <c r="FM161" s="41" t="str">
        <f t="shared" si="1463"/>
        <v/>
      </c>
      <c r="FN161" s="41" t="str">
        <f t="shared" si="1464"/>
        <v/>
      </c>
      <c r="FO161" s="41" t="str">
        <f t="shared" si="1465"/>
        <v/>
      </c>
      <c r="FP161" s="41" t="str">
        <f t="shared" si="1466"/>
        <v/>
      </c>
      <c r="FQ161" s="41" t="str">
        <f t="shared" si="1467"/>
        <v/>
      </c>
      <c r="FR161" s="41" t="str">
        <f t="shared" si="1468"/>
        <v/>
      </c>
      <c r="FS161" s="41" t="str">
        <f t="shared" si="1469"/>
        <v/>
      </c>
      <c r="FT161" s="41" t="str">
        <f t="shared" si="1470"/>
        <v/>
      </c>
      <c r="FU161" s="41" t="str">
        <f t="shared" si="1471"/>
        <v/>
      </c>
      <c r="FV161" s="41" t="str">
        <f t="shared" si="1472"/>
        <v/>
      </c>
      <c r="FW161" s="41" t="str">
        <f t="shared" si="1473"/>
        <v/>
      </c>
      <c r="FX161" s="41" t="str">
        <f t="shared" si="1474"/>
        <v/>
      </c>
      <c r="FY161" s="41" t="str">
        <f t="shared" si="1475"/>
        <v/>
      </c>
      <c r="FZ161" s="41" t="str">
        <f t="shared" si="1476"/>
        <v/>
      </c>
      <c r="GA161" s="41" t="str">
        <f t="shared" si="1477"/>
        <v/>
      </c>
      <c r="GB161" s="41" t="str">
        <f t="shared" si="1478"/>
        <v/>
      </c>
      <c r="GC161" s="41" t="str">
        <f t="shared" si="1479"/>
        <v/>
      </c>
      <c r="GD161" s="41" t="str">
        <f t="shared" si="1480"/>
        <v/>
      </c>
      <c r="GE161" s="41" t="str">
        <f t="shared" si="1481"/>
        <v/>
      </c>
      <c r="GF161" s="41" t="str">
        <f t="shared" si="1482"/>
        <v/>
      </c>
      <c r="GG161" s="41" t="str">
        <f t="shared" si="1483"/>
        <v/>
      </c>
      <c r="GH161" s="41" t="str">
        <f t="shared" si="1484"/>
        <v/>
      </c>
      <c r="GI161" s="41" t="str">
        <f t="shared" si="1485"/>
        <v/>
      </c>
      <c r="GJ161" s="41" t="str">
        <f t="shared" si="1486"/>
        <v/>
      </c>
      <c r="GK161" s="41" t="str">
        <f t="shared" si="1487"/>
        <v/>
      </c>
      <c r="GL161" s="41" t="str">
        <f t="shared" si="1488"/>
        <v/>
      </c>
      <c r="GM161" s="41" t="str">
        <f t="shared" si="1489"/>
        <v/>
      </c>
      <c r="GN161" s="41" t="str">
        <f t="shared" si="1490"/>
        <v/>
      </c>
      <c r="GO161" s="41" t="str">
        <f t="shared" si="1491"/>
        <v/>
      </c>
      <c r="GP161" s="41" t="str">
        <f t="shared" si="1492"/>
        <v/>
      </c>
      <c r="GQ161" s="41" t="str">
        <f t="shared" si="1493"/>
        <v/>
      </c>
      <c r="GR161" s="41" t="str">
        <f t="shared" si="1494"/>
        <v/>
      </c>
      <c r="GS161" s="41" t="str">
        <f t="shared" si="1495"/>
        <v/>
      </c>
      <c r="GT161" s="41" t="str">
        <f t="shared" si="1496"/>
        <v/>
      </c>
      <c r="GU161" s="41" t="str">
        <f t="shared" si="1497"/>
        <v/>
      </c>
      <c r="GV161" s="41" t="str">
        <f t="shared" si="1498"/>
        <v/>
      </c>
      <c r="GW161" s="41" t="str">
        <f t="shared" si="1499"/>
        <v/>
      </c>
      <c r="GX161" s="41" t="str">
        <f t="shared" si="1500"/>
        <v/>
      </c>
      <c r="GY161" s="41" t="str">
        <f t="shared" si="1501"/>
        <v/>
      </c>
      <c r="GZ161" s="41" t="str">
        <f t="shared" si="1502"/>
        <v/>
      </c>
      <c r="HA161" s="41" t="str">
        <f t="shared" si="1503"/>
        <v/>
      </c>
      <c r="HB161" s="41" t="str">
        <f t="shared" si="1504"/>
        <v/>
      </c>
      <c r="HC161" s="41" t="str">
        <f t="shared" si="1505"/>
        <v/>
      </c>
      <c r="HD161" s="41" t="str">
        <f t="shared" si="1506"/>
        <v/>
      </c>
      <c r="HE161" s="41" t="str">
        <f t="shared" si="1507"/>
        <v/>
      </c>
      <c r="HF161" s="41" t="str">
        <f t="shared" si="1508"/>
        <v/>
      </c>
      <c r="HG161" s="41" t="str">
        <f t="shared" si="1509"/>
        <v/>
      </c>
      <c r="HH161" s="41" t="str">
        <f t="shared" si="1510"/>
        <v/>
      </c>
      <c r="HI161" s="41" t="str">
        <f t="shared" si="1511"/>
        <v/>
      </c>
      <c r="HJ161" s="41" t="str">
        <f t="shared" si="1512"/>
        <v/>
      </c>
      <c r="HK161" s="41" t="str">
        <f t="shared" si="1513"/>
        <v/>
      </c>
      <c r="HL161" s="41" t="str">
        <f t="shared" si="1514"/>
        <v/>
      </c>
      <c r="HM161" s="41" t="str">
        <f t="shared" si="1515"/>
        <v/>
      </c>
      <c r="HN161" s="41" t="str">
        <f t="shared" si="1516"/>
        <v/>
      </c>
      <c r="HO161" s="41" t="str">
        <f t="shared" si="1517"/>
        <v/>
      </c>
      <c r="HP161" s="41" t="str">
        <f t="shared" si="1518"/>
        <v/>
      </c>
      <c r="HQ161" s="41" t="str">
        <f t="shared" si="1519"/>
        <v/>
      </c>
      <c r="HR161" s="41" t="str">
        <f t="shared" si="1520"/>
        <v/>
      </c>
      <c r="HS161" s="41" t="str">
        <f t="shared" si="1521"/>
        <v/>
      </c>
      <c r="HT161" s="41" t="str">
        <f t="shared" si="1522"/>
        <v/>
      </c>
      <c r="HU161" s="41" t="str">
        <f t="shared" si="1523"/>
        <v/>
      </c>
      <c r="HV161" s="41" t="str">
        <f t="shared" si="1524"/>
        <v/>
      </c>
      <c r="HW161" s="41" t="str">
        <f t="shared" si="1525"/>
        <v/>
      </c>
      <c r="HX161" s="41" t="str">
        <f t="shared" si="1526"/>
        <v/>
      </c>
      <c r="HY161" s="41" t="str">
        <f t="shared" si="1527"/>
        <v/>
      </c>
      <c r="HZ161" s="41" t="str">
        <f t="shared" si="1528"/>
        <v/>
      </c>
      <c r="IA161" s="41" t="str">
        <f t="shared" si="1529"/>
        <v/>
      </c>
      <c r="IB161" s="41" t="str">
        <f t="shared" si="1530"/>
        <v/>
      </c>
      <c r="IC161" s="41" t="str">
        <f t="shared" si="1531"/>
        <v/>
      </c>
      <c r="ID161" s="41" t="str">
        <f t="shared" si="1532"/>
        <v/>
      </c>
      <c r="IE161" s="41" t="str">
        <f t="shared" si="1533"/>
        <v/>
      </c>
      <c r="IF161" s="41" t="str">
        <f t="shared" si="1534"/>
        <v/>
      </c>
      <c r="IG161" s="306" t="str">
        <f t="shared" si="1535"/>
        <v/>
      </c>
      <c r="IH161" s="44" t="str">
        <f t="shared" si="1536"/>
        <v/>
      </c>
      <c r="II161" s="44" t="str">
        <f t="shared" si="1537"/>
        <v/>
      </c>
      <c r="IJ161" s="44" t="str">
        <f t="shared" si="1538"/>
        <v/>
      </c>
      <c r="IK161" s="44" t="str">
        <f t="shared" si="1539"/>
        <v/>
      </c>
      <c r="IL161" s="44" t="str">
        <f t="shared" si="1540"/>
        <v/>
      </c>
      <c r="IM161" s="306" t="str">
        <f t="shared" si="1541"/>
        <v/>
      </c>
      <c r="IN161" s="44" t="str">
        <f t="shared" si="1542"/>
        <v/>
      </c>
      <c r="IO161" s="44" t="str">
        <f t="shared" si="1543"/>
        <v/>
      </c>
      <c r="IP161" s="44" t="str">
        <f t="shared" si="1544"/>
        <v/>
      </c>
      <c r="IQ161" s="44" t="str">
        <f t="shared" si="1545"/>
        <v/>
      </c>
      <c r="IR161" s="44" t="str">
        <f t="shared" si="1546"/>
        <v/>
      </c>
      <c r="IS161" s="306" t="str">
        <f t="shared" si="1547"/>
        <v/>
      </c>
      <c r="IT161" s="44" t="str">
        <f t="shared" si="1548"/>
        <v/>
      </c>
      <c r="IU161" s="44" t="str">
        <f t="shared" si="1549"/>
        <v/>
      </c>
      <c r="IV161" s="44" t="str">
        <f t="shared" si="1550"/>
        <v/>
      </c>
      <c r="IW161" s="44" t="str">
        <f t="shared" si="1551"/>
        <v/>
      </c>
      <c r="IX161" s="44" t="str">
        <f t="shared" si="1552"/>
        <v/>
      </c>
      <c r="IY161" s="306" t="str">
        <f t="shared" si="1553"/>
        <v/>
      </c>
      <c r="IZ161" s="44" t="str">
        <f t="shared" si="1554"/>
        <v/>
      </c>
      <c r="JA161" s="44" t="str">
        <f t="shared" si="1555"/>
        <v/>
      </c>
      <c r="JB161" s="44" t="str">
        <f t="shared" si="1556"/>
        <v/>
      </c>
      <c r="JC161" s="44" t="str">
        <f t="shared" si="1557"/>
        <v/>
      </c>
      <c r="JD161" s="307" t="str">
        <f t="shared" si="1558"/>
        <v/>
      </c>
      <c r="JF161" s="66">
        <f t="shared" si="1424"/>
        <v>161</v>
      </c>
      <c r="JG161" s="66">
        <f t="shared" ca="1" si="1425"/>
        <v>0</v>
      </c>
      <c r="JH161" s="66">
        <f t="shared" ca="1" si="1426"/>
        <v>0</v>
      </c>
      <c r="JI161" s="66">
        <f t="shared" ca="1" si="1427"/>
        <v>0</v>
      </c>
      <c r="JJ161" s="66">
        <f t="shared" ca="1" si="1428"/>
        <v>0</v>
      </c>
      <c r="JK161" s="33"/>
      <c r="JL161" s="74" t="str">
        <f t="shared" ca="1" si="1429"/>
        <v>-</v>
      </c>
      <c r="JM161" s="75">
        <f t="shared" ca="1" si="1430"/>
        <v>0</v>
      </c>
      <c r="JN161" s="75">
        <f t="shared" ca="1" si="1431"/>
        <v>0</v>
      </c>
      <c r="JO161" s="74" t="str">
        <f t="shared" ca="1" si="1432"/>
        <v>-</v>
      </c>
      <c r="JP161" s="74">
        <f t="shared" ca="1" si="1433"/>
        <v>0</v>
      </c>
    </row>
    <row r="162" spans="1:276" hidden="1" outlineLevel="1" x14ac:dyDescent="0.35">
      <c r="A162" s="125" t="s">
        <v>805</v>
      </c>
      <c r="B162" s="125" t="s">
        <v>805</v>
      </c>
      <c r="C162" s="125" t="s">
        <v>805</v>
      </c>
      <c r="E162" s="142" t="s">
        <v>881</v>
      </c>
      <c r="F162" s="254" t="s">
        <v>800</v>
      </c>
      <c r="G162" t="s">
        <v>542</v>
      </c>
      <c r="H162" t="s">
        <v>531</v>
      </c>
      <c r="I162" t="s">
        <v>534</v>
      </c>
      <c r="J162" s="211" t="s">
        <v>805</v>
      </c>
      <c r="K162" t="s">
        <v>805</v>
      </c>
      <c r="L162" t="s">
        <v>805</v>
      </c>
      <c r="M162" t="s">
        <v>805</v>
      </c>
      <c r="N162" t="s">
        <v>805</v>
      </c>
      <c r="O162" t="s">
        <v>805</v>
      </c>
      <c r="P162" t="s">
        <v>805</v>
      </c>
      <c r="Q162" t="s">
        <v>805</v>
      </c>
      <c r="R162" t="s">
        <v>805</v>
      </c>
      <c r="S162" t="s">
        <v>805</v>
      </c>
      <c r="T162" t="s">
        <v>805</v>
      </c>
      <c r="U162" t="s">
        <v>805</v>
      </c>
      <c r="V162" t="s">
        <v>805</v>
      </c>
      <c r="W162" t="s">
        <v>805</v>
      </c>
      <c r="X162" t="s">
        <v>805</v>
      </c>
      <c r="Y162" t="s">
        <v>805</v>
      </c>
      <c r="Z162" t="s">
        <v>805</v>
      </c>
      <c r="AA162" t="s">
        <v>805</v>
      </c>
      <c r="AB162" t="s">
        <v>805</v>
      </c>
      <c r="AC162" t="s">
        <v>805</v>
      </c>
      <c r="AD162" t="s">
        <v>805</v>
      </c>
      <c r="AE162" t="s">
        <v>805</v>
      </c>
      <c r="AF162" t="s">
        <v>805</v>
      </c>
      <c r="AG162" t="s">
        <v>805</v>
      </c>
      <c r="AH162" t="s">
        <v>805</v>
      </c>
      <c r="AI162" t="s">
        <v>805</v>
      </c>
      <c r="AJ162" t="s">
        <v>805</v>
      </c>
      <c r="AK162" t="s">
        <v>805</v>
      </c>
      <c r="AL162" t="s">
        <v>805</v>
      </c>
      <c r="AM162" t="s">
        <v>805</v>
      </c>
      <c r="AN162" t="s">
        <v>805</v>
      </c>
      <c r="AO162" t="s">
        <v>805</v>
      </c>
      <c r="AP162" t="s">
        <v>805</v>
      </c>
      <c r="AQ162" t="s">
        <v>805</v>
      </c>
      <c r="AR162" t="s">
        <v>805</v>
      </c>
      <c r="AS162" t="s">
        <v>805</v>
      </c>
      <c r="AT162" t="s">
        <v>805</v>
      </c>
      <c r="AU162" t="s">
        <v>805</v>
      </c>
      <c r="AV162" t="s">
        <v>805</v>
      </c>
      <c r="AW162" t="s">
        <v>805</v>
      </c>
      <c r="AX162" t="s">
        <v>805</v>
      </c>
      <c r="AY162" t="s">
        <v>805</v>
      </c>
      <c r="AZ162" t="s">
        <v>805</v>
      </c>
      <c r="BA162" t="s">
        <v>805</v>
      </c>
      <c r="BB162" t="s">
        <v>805</v>
      </c>
      <c r="BC162" t="s">
        <v>805</v>
      </c>
      <c r="BD162" t="s">
        <v>805</v>
      </c>
      <c r="BE162" t="s">
        <v>805</v>
      </c>
      <c r="BF162" t="s">
        <v>805</v>
      </c>
      <c r="BG162" t="s">
        <v>805</v>
      </c>
      <c r="BH162" t="s">
        <v>805</v>
      </c>
      <c r="BI162" t="s">
        <v>805</v>
      </c>
      <c r="BJ162" t="s">
        <v>805</v>
      </c>
      <c r="BK162" t="s">
        <v>805</v>
      </c>
      <c r="BL162" t="s">
        <v>805</v>
      </c>
      <c r="BM162" t="s">
        <v>805</v>
      </c>
      <c r="BN162" t="s">
        <v>805</v>
      </c>
      <c r="BO162" t="s">
        <v>805</v>
      </c>
      <c r="BP162" t="s">
        <v>805</v>
      </c>
      <c r="BQ162" t="s">
        <v>805</v>
      </c>
      <c r="BR162" t="s">
        <v>805</v>
      </c>
      <c r="BS162" t="s">
        <v>805</v>
      </c>
      <c r="BT162" t="s">
        <v>805</v>
      </c>
      <c r="BU162" t="s">
        <v>805</v>
      </c>
      <c r="BV162" t="s">
        <v>805</v>
      </c>
      <c r="BW162" t="s">
        <v>805</v>
      </c>
      <c r="BX162" t="s">
        <v>805</v>
      </c>
      <c r="BY162" t="s">
        <v>805</v>
      </c>
      <c r="BZ162" t="s">
        <v>805</v>
      </c>
      <c r="CA162" t="s">
        <v>805</v>
      </c>
      <c r="CB162" t="s">
        <v>805</v>
      </c>
      <c r="CC162" t="s">
        <v>805</v>
      </c>
      <c r="CD162" t="s">
        <v>805</v>
      </c>
      <c r="CE162" t="s">
        <v>805</v>
      </c>
      <c r="CF162" t="s">
        <v>805</v>
      </c>
      <c r="CG162" t="s">
        <v>805</v>
      </c>
      <c r="CH162" t="s">
        <v>805</v>
      </c>
      <c r="CI162" t="s">
        <v>805</v>
      </c>
      <c r="CJ162" t="s">
        <v>805</v>
      </c>
      <c r="CK162" t="s">
        <v>805</v>
      </c>
      <c r="CL162" t="s">
        <v>805</v>
      </c>
      <c r="CM162" t="s">
        <v>805</v>
      </c>
      <c r="CN162" t="s">
        <v>805</v>
      </c>
      <c r="CO162" t="s">
        <v>805</v>
      </c>
      <c r="CP162" t="s">
        <v>805</v>
      </c>
      <c r="CQ162" t="s">
        <v>805</v>
      </c>
      <c r="CR162" t="s">
        <v>805</v>
      </c>
      <c r="CS162" t="s">
        <v>805</v>
      </c>
      <c r="CT162" t="s">
        <v>805</v>
      </c>
      <c r="CU162" t="s">
        <v>805</v>
      </c>
      <c r="CV162" t="s">
        <v>805</v>
      </c>
      <c r="CW162" t="s">
        <v>805</v>
      </c>
      <c r="CX162" t="s">
        <v>805</v>
      </c>
      <c r="CY162" t="s">
        <v>805</v>
      </c>
      <c r="CZ162" t="s">
        <v>805</v>
      </c>
      <c r="DA162" t="s">
        <v>805</v>
      </c>
      <c r="DB162" t="s">
        <v>805</v>
      </c>
      <c r="DC162" t="s">
        <v>805</v>
      </c>
      <c r="DD162" t="s">
        <v>805</v>
      </c>
      <c r="DE162" t="s">
        <v>805</v>
      </c>
      <c r="DF162" t="s">
        <v>805</v>
      </c>
      <c r="DG162" s="28">
        <f>VLOOKUP(E162,'KPI Count-SHARE'!A:F,3,0)</f>
        <v>0</v>
      </c>
      <c r="DH162" t="s">
        <v>805</v>
      </c>
      <c r="DI162" t="s">
        <v>805</v>
      </c>
      <c r="DJ162" t="s">
        <v>805</v>
      </c>
      <c r="DK162" t="s">
        <v>805</v>
      </c>
      <c r="DL162" t="s">
        <v>805</v>
      </c>
      <c r="DM162" t="s">
        <v>805</v>
      </c>
      <c r="DN162" s="28">
        <f>VLOOKUP(E162,'KPI Count-SHARE'!A:F,4,0)</f>
        <v>0</v>
      </c>
      <c r="DU162" s="28">
        <f>VLOOKUP(E162,'KPI Count-SHARE'!A:F,5,0)</f>
        <v>0</v>
      </c>
      <c r="EB162" s="28">
        <f>VLOOKUP(E162,'KPI Count-SHARE'!A:F,6,0)</f>
        <v>0</v>
      </c>
      <c r="EI162" t="s">
        <v>531</v>
      </c>
      <c r="EJ162" s="41" t="str">
        <f t="shared" si="1434"/>
        <v/>
      </c>
      <c r="EK162" s="41" t="str">
        <f t="shared" si="1435"/>
        <v/>
      </c>
      <c r="EL162" s="41" t="str">
        <f t="shared" si="1436"/>
        <v/>
      </c>
      <c r="EM162" s="41" t="str">
        <f t="shared" si="1437"/>
        <v/>
      </c>
      <c r="EN162" s="41" t="str">
        <f t="shared" si="1438"/>
        <v/>
      </c>
      <c r="EO162" s="41" t="str">
        <f t="shared" si="1439"/>
        <v/>
      </c>
      <c r="EP162" s="41" t="str">
        <f t="shared" si="1440"/>
        <v/>
      </c>
      <c r="EQ162" s="41" t="str">
        <f t="shared" si="1441"/>
        <v/>
      </c>
      <c r="ER162" s="41" t="str">
        <f t="shared" si="1442"/>
        <v/>
      </c>
      <c r="ES162" s="41" t="str">
        <f t="shared" si="1443"/>
        <v/>
      </c>
      <c r="ET162" s="41" t="str">
        <f t="shared" si="1444"/>
        <v/>
      </c>
      <c r="EU162" s="41" t="str">
        <f t="shared" si="1445"/>
        <v/>
      </c>
      <c r="EV162" s="41" t="str">
        <f t="shared" si="1446"/>
        <v/>
      </c>
      <c r="EW162" s="41" t="str">
        <f t="shared" si="1447"/>
        <v/>
      </c>
      <c r="EX162" s="41" t="str">
        <f t="shared" si="1448"/>
        <v/>
      </c>
      <c r="EY162" s="41" t="str">
        <f t="shared" si="1449"/>
        <v/>
      </c>
      <c r="EZ162" s="41" t="str">
        <f t="shared" si="1450"/>
        <v/>
      </c>
      <c r="FA162" s="41" t="str">
        <f t="shared" si="1451"/>
        <v/>
      </c>
      <c r="FB162" s="41" t="str">
        <f t="shared" si="1452"/>
        <v/>
      </c>
      <c r="FC162" s="41" t="str">
        <f t="shared" si="1453"/>
        <v/>
      </c>
      <c r="FD162" s="41" t="str">
        <f t="shared" si="1454"/>
        <v/>
      </c>
      <c r="FE162" s="41" t="str">
        <f t="shared" si="1455"/>
        <v/>
      </c>
      <c r="FF162" s="41" t="str">
        <f t="shared" si="1456"/>
        <v/>
      </c>
      <c r="FG162" s="41" t="str">
        <f t="shared" si="1457"/>
        <v/>
      </c>
      <c r="FH162" s="41" t="str">
        <f t="shared" si="1458"/>
        <v/>
      </c>
      <c r="FI162" s="41" t="str">
        <f t="shared" si="1459"/>
        <v/>
      </c>
      <c r="FJ162" s="41" t="str">
        <f t="shared" si="1460"/>
        <v/>
      </c>
      <c r="FK162" s="41" t="str">
        <f t="shared" si="1461"/>
        <v/>
      </c>
      <c r="FL162" s="41" t="str">
        <f t="shared" si="1462"/>
        <v/>
      </c>
      <c r="FM162" s="41" t="str">
        <f t="shared" si="1463"/>
        <v/>
      </c>
      <c r="FN162" s="41" t="str">
        <f t="shared" si="1464"/>
        <v/>
      </c>
      <c r="FO162" s="41" t="str">
        <f t="shared" si="1465"/>
        <v/>
      </c>
      <c r="FP162" s="41" t="str">
        <f t="shared" si="1466"/>
        <v/>
      </c>
      <c r="FQ162" s="41" t="str">
        <f t="shared" si="1467"/>
        <v/>
      </c>
      <c r="FR162" s="41" t="str">
        <f t="shared" si="1468"/>
        <v/>
      </c>
      <c r="FS162" s="41" t="str">
        <f t="shared" si="1469"/>
        <v/>
      </c>
      <c r="FT162" s="41" t="str">
        <f t="shared" si="1470"/>
        <v/>
      </c>
      <c r="FU162" s="41" t="str">
        <f t="shared" si="1471"/>
        <v/>
      </c>
      <c r="FV162" s="41" t="str">
        <f t="shared" si="1472"/>
        <v/>
      </c>
      <c r="FW162" s="41" t="str">
        <f t="shared" si="1473"/>
        <v/>
      </c>
      <c r="FX162" s="41" t="str">
        <f t="shared" si="1474"/>
        <v/>
      </c>
      <c r="FY162" s="41" t="str">
        <f t="shared" si="1475"/>
        <v/>
      </c>
      <c r="FZ162" s="41" t="str">
        <f t="shared" si="1476"/>
        <v/>
      </c>
      <c r="GA162" s="41" t="str">
        <f t="shared" si="1477"/>
        <v/>
      </c>
      <c r="GB162" s="41" t="str">
        <f t="shared" si="1478"/>
        <v/>
      </c>
      <c r="GC162" s="41" t="str">
        <f t="shared" si="1479"/>
        <v/>
      </c>
      <c r="GD162" s="41" t="str">
        <f t="shared" si="1480"/>
        <v/>
      </c>
      <c r="GE162" s="41" t="str">
        <f t="shared" si="1481"/>
        <v/>
      </c>
      <c r="GF162" s="41" t="str">
        <f t="shared" si="1482"/>
        <v/>
      </c>
      <c r="GG162" s="41" t="str">
        <f t="shared" si="1483"/>
        <v/>
      </c>
      <c r="GH162" s="41" t="str">
        <f t="shared" si="1484"/>
        <v/>
      </c>
      <c r="GI162" s="41" t="str">
        <f t="shared" si="1485"/>
        <v/>
      </c>
      <c r="GJ162" s="41" t="str">
        <f t="shared" si="1486"/>
        <v/>
      </c>
      <c r="GK162" s="41" t="str">
        <f t="shared" si="1487"/>
        <v/>
      </c>
      <c r="GL162" s="41" t="str">
        <f t="shared" si="1488"/>
        <v/>
      </c>
      <c r="GM162" s="41" t="str">
        <f t="shared" si="1489"/>
        <v/>
      </c>
      <c r="GN162" s="41" t="str">
        <f t="shared" si="1490"/>
        <v/>
      </c>
      <c r="GO162" s="41" t="str">
        <f t="shared" si="1491"/>
        <v/>
      </c>
      <c r="GP162" s="41" t="str">
        <f t="shared" si="1492"/>
        <v/>
      </c>
      <c r="GQ162" s="41" t="str">
        <f t="shared" si="1493"/>
        <v/>
      </c>
      <c r="GR162" s="41" t="str">
        <f t="shared" si="1494"/>
        <v/>
      </c>
      <c r="GS162" s="41" t="str">
        <f t="shared" si="1495"/>
        <v/>
      </c>
      <c r="GT162" s="41" t="str">
        <f t="shared" si="1496"/>
        <v/>
      </c>
      <c r="GU162" s="41" t="str">
        <f t="shared" si="1497"/>
        <v/>
      </c>
      <c r="GV162" s="41" t="str">
        <f t="shared" si="1498"/>
        <v/>
      </c>
      <c r="GW162" s="41" t="str">
        <f t="shared" si="1499"/>
        <v/>
      </c>
      <c r="GX162" s="41" t="str">
        <f t="shared" si="1500"/>
        <v/>
      </c>
      <c r="GY162" s="41" t="str">
        <f t="shared" si="1501"/>
        <v/>
      </c>
      <c r="GZ162" s="41" t="str">
        <f t="shared" si="1502"/>
        <v/>
      </c>
      <c r="HA162" s="41" t="str">
        <f t="shared" si="1503"/>
        <v/>
      </c>
      <c r="HB162" s="41" t="str">
        <f t="shared" si="1504"/>
        <v/>
      </c>
      <c r="HC162" s="41" t="str">
        <f t="shared" si="1505"/>
        <v/>
      </c>
      <c r="HD162" s="41" t="str">
        <f t="shared" si="1506"/>
        <v/>
      </c>
      <c r="HE162" s="41" t="str">
        <f t="shared" si="1507"/>
        <v/>
      </c>
      <c r="HF162" s="41" t="str">
        <f t="shared" si="1508"/>
        <v/>
      </c>
      <c r="HG162" s="41" t="str">
        <f t="shared" si="1509"/>
        <v/>
      </c>
      <c r="HH162" s="41" t="str">
        <f t="shared" si="1510"/>
        <v/>
      </c>
      <c r="HI162" s="41" t="str">
        <f t="shared" si="1511"/>
        <v/>
      </c>
      <c r="HJ162" s="41" t="str">
        <f t="shared" si="1512"/>
        <v/>
      </c>
      <c r="HK162" s="41" t="str">
        <f t="shared" si="1513"/>
        <v/>
      </c>
      <c r="HL162" s="41" t="str">
        <f t="shared" si="1514"/>
        <v/>
      </c>
      <c r="HM162" s="41" t="str">
        <f t="shared" si="1515"/>
        <v/>
      </c>
      <c r="HN162" s="41" t="str">
        <f t="shared" si="1516"/>
        <v/>
      </c>
      <c r="HO162" s="41" t="str">
        <f t="shared" si="1517"/>
        <v/>
      </c>
      <c r="HP162" s="41" t="str">
        <f t="shared" si="1518"/>
        <v/>
      </c>
      <c r="HQ162" s="41" t="str">
        <f t="shared" si="1519"/>
        <v/>
      </c>
      <c r="HR162" s="41" t="str">
        <f t="shared" si="1520"/>
        <v/>
      </c>
      <c r="HS162" s="41" t="str">
        <f t="shared" si="1521"/>
        <v/>
      </c>
      <c r="HT162" s="41" t="str">
        <f t="shared" si="1522"/>
        <v/>
      </c>
      <c r="HU162" s="41" t="str">
        <f t="shared" si="1523"/>
        <v/>
      </c>
      <c r="HV162" s="41" t="str">
        <f t="shared" si="1524"/>
        <v/>
      </c>
      <c r="HW162" s="41" t="str">
        <f t="shared" si="1525"/>
        <v/>
      </c>
      <c r="HX162" s="41" t="str">
        <f t="shared" si="1526"/>
        <v/>
      </c>
      <c r="HY162" s="41" t="str">
        <f t="shared" si="1527"/>
        <v/>
      </c>
      <c r="HZ162" s="41" t="str">
        <f t="shared" si="1528"/>
        <v/>
      </c>
      <c r="IA162" s="41" t="str">
        <f t="shared" si="1529"/>
        <v/>
      </c>
      <c r="IB162" s="41" t="str">
        <f t="shared" si="1530"/>
        <v/>
      </c>
      <c r="IC162" s="41" t="str">
        <f t="shared" si="1531"/>
        <v/>
      </c>
      <c r="ID162" s="41" t="str">
        <f t="shared" si="1532"/>
        <v/>
      </c>
      <c r="IE162" s="41" t="str">
        <f t="shared" si="1533"/>
        <v/>
      </c>
      <c r="IF162" s="41" t="str">
        <f t="shared" si="1534"/>
        <v/>
      </c>
      <c r="IG162" s="306" t="str">
        <f t="shared" si="1535"/>
        <v/>
      </c>
      <c r="IH162" s="44" t="str">
        <f t="shared" si="1536"/>
        <v/>
      </c>
      <c r="II162" s="44" t="str">
        <f t="shared" si="1537"/>
        <v/>
      </c>
      <c r="IJ162" s="44" t="str">
        <f t="shared" si="1538"/>
        <v/>
      </c>
      <c r="IK162" s="44" t="str">
        <f t="shared" si="1539"/>
        <v/>
      </c>
      <c r="IL162" s="44" t="str">
        <f t="shared" si="1540"/>
        <v/>
      </c>
      <c r="IM162" s="306" t="str">
        <f t="shared" si="1541"/>
        <v/>
      </c>
      <c r="IN162" s="44" t="str">
        <f t="shared" si="1542"/>
        <v/>
      </c>
      <c r="IO162" s="44" t="str">
        <f t="shared" si="1543"/>
        <v/>
      </c>
      <c r="IP162" s="44" t="str">
        <f t="shared" si="1544"/>
        <v/>
      </c>
      <c r="IQ162" s="44" t="str">
        <f t="shared" si="1545"/>
        <v/>
      </c>
      <c r="IR162" s="44" t="str">
        <f t="shared" si="1546"/>
        <v/>
      </c>
      <c r="IS162" s="306" t="str">
        <f t="shared" si="1547"/>
        <v/>
      </c>
      <c r="IT162" s="44" t="str">
        <f t="shared" si="1548"/>
        <v/>
      </c>
      <c r="IU162" s="44" t="str">
        <f t="shared" si="1549"/>
        <v/>
      </c>
      <c r="IV162" s="44" t="str">
        <f t="shared" si="1550"/>
        <v/>
      </c>
      <c r="IW162" s="44" t="str">
        <f t="shared" si="1551"/>
        <v/>
      </c>
      <c r="IX162" s="44" t="str">
        <f t="shared" si="1552"/>
        <v/>
      </c>
      <c r="IY162" s="306" t="str">
        <f t="shared" si="1553"/>
        <v/>
      </c>
      <c r="IZ162" s="44" t="str">
        <f t="shared" si="1554"/>
        <v/>
      </c>
      <c r="JA162" s="44" t="str">
        <f t="shared" si="1555"/>
        <v/>
      </c>
      <c r="JB162" s="44" t="str">
        <f t="shared" si="1556"/>
        <v/>
      </c>
      <c r="JC162" s="44" t="str">
        <f t="shared" si="1557"/>
        <v/>
      </c>
      <c r="JD162" s="307" t="str">
        <f t="shared" si="1558"/>
        <v/>
      </c>
      <c r="JF162" s="66">
        <f t="shared" si="1424"/>
        <v>162</v>
      </c>
      <c r="JG162" s="66">
        <f t="shared" ca="1" si="1425"/>
        <v>0</v>
      </c>
      <c r="JH162" s="66">
        <f t="shared" ca="1" si="1426"/>
        <v>0</v>
      </c>
      <c r="JI162" s="66">
        <f t="shared" ca="1" si="1427"/>
        <v>0</v>
      </c>
      <c r="JJ162" s="66">
        <f t="shared" ca="1" si="1428"/>
        <v>0</v>
      </c>
      <c r="JK162" s="33"/>
      <c r="JL162" s="74" t="str">
        <f t="shared" ca="1" si="1429"/>
        <v>-</v>
      </c>
      <c r="JM162" s="75">
        <f t="shared" ca="1" si="1430"/>
        <v>0</v>
      </c>
      <c r="JN162" s="75">
        <f t="shared" ca="1" si="1431"/>
        <v>0</v>
      </c>
      <c r="JO162" s="74" t="str">
        <f t="shared" ca="1" si="1432"/>
        <v>-</v>
      </c>
      <c r="JP162" s="74">
        <f t="shared" ca="1" si="1433"/>
        <v>0</v>
      </c>
    </row>
    <row r="163" spans="1:276" hidden="1" outlineLevel="1" x14ac:dyDescent="0.35">
      <c r="A163" s="125" t="s">
        <v>805</v>
      </c>
      <c r="B163" s="125" t="s">
        <v>805</v>
      </c>
      <c r="C163" s="125" t="s">
        <v>805</v>
      </c>
      <c r="E163" s="142"/>
      <c r="F163" s="255"/>
      <c r="J163" t="s">
        <v>805</v>
      </c>
      <c r="K163" t="s">
        <v>805</v>
      </c>
      <c r="L163" t="s">
        <v>805</v>
      </c>
      <c r="M163" t="s">
        <v>805</v>
      </c>
      <c r="N163" t="s">
        <v>805</v>
      </c>
      <c r="O163" t="s">
        <v>805</v>
      </c>
      <c r="P163" t="s">
        <v>805</v>
      </c>
      <c r="Q163" t="s">
        <v>805</v>
      </c>
      <c r="R163" t="s">
        <v>805</v>
      </c>
      <c r="S163" t="s">
        <v>805</v>
      </c>
      <c r="T163" t="s">
        <v>805</v>
      </c>
      <c r="U163" t="s">
        <v>805</v>
      </c>
      <c r="V163" t="s">
        <v>805</v>
      </c>
      <c r="W163" t="s">
        <v>805</v>
      </c>
      <c r="X163" t="s">
        <v>805</v>
      </c>
      <c r="Y163" t="s">
        <v>805</v>
      </c>
      <c r="Z163" t="s">
        <v>805</v>
      </c>
      <c r="AA163" t="s">
        <v>805</v>
      </c>
      <c r="AB163" t="s">
        <v>805</v>
      </c>
      <c r="AC163" t="s">
        <v>805</v>
      </c>
      <c r="AD163" t="s">
        <v>805</v>
      </c>
      <c r="AE163" t="s">
        <v>805</v>
      </c>
      <c r="AF163" t="s">
        <v>805</v>
      </c>
      <c r="AG163" t="s">
        <v>805</v>
      </c>
      <c r="AH163" t="s">
        <v>805</v>
      </c>
      <c r="AI163" t="s">
        <v>805</v>
      </c>
      <c r="AJ163" t="s">
        <v>805</v>
      </c>
      <c r="AK163" t="s">
        <v>805</v>
      </c>
      <c r="AL163" t="s">
        <v>805</v>
      </c>
      <c r="AM163" t="s">
        <v>805</v>
      </c>
      <c r="AN163" t="s">
        <v>805</v>
      </c>
      <c r="AO163" t="s">
        <v>805</v>
      </c>
      <c r="AP163" t="s">
        <v>805</v>
      </c>
      <c r="AQ163" t="s">
        <v>805</v>
      </c>
      <c r="AR163" t="s">
        <v>805</v>
      </c>
      <c r="AS163" t="s">
        <v>805</v>
      </c>
      <c r="AT163" t="s">
        <v>805</v>
      </c>
      <c r="AU163" t="s">
        <v>805</v>
      </c>
      <c r="AV163" t="s">
        <v>805</v>
      </c>
      <c r="AW163" t="s">
        <v>805</v>
      </c>
      <c r="AX163" t="s">
        <v>805</v>
      </c>
      <c r="AY163" t="s">
        <v>805</v>
      </c>
      <c r="AZ163" t="s">
        <v>805</v>
      </c>
      <c r="BA163" t="s">
        <v>805</v>
      </c>
      <c r="BB163" t="s">
        <v>805</v>
      </c>
      <c r="BC163" t="s">
        <v>805</v>
      </c>
      <c r="BD163" t="s">
        <v>805</v>
      </c>
      <c r="BE163" t="s">
        <v>805</v>
      </c>
      <c r="BF163" t="s">
        <v>805</v>
      </c>
      <c r="BG163" t="s">
        <v>805</v>
      </c>
      <c r="BH163" t="s">
        <v>805</v>
      </c>
      <c r="BI163" t="s">
        <v>805</v>
      </c>
      <c r="BJ163" t="s">
        <v>805</v>
      </c>
      <c r="BK163" t="s">
        <v>805</v>
      </c>
      <c r="BL163" t="s">
        <v>805</v>
      </c>
      <c r="BM163" t="s">
        <v>805</v>
      </c>
      <c r="BN163" t="s">
        <v>805</v>
      </c>
      <c r="BO163" t="s">
        <v>805</v>
      </c>
      <c r="BP163" t="s">
        <v>805</v>
      </c>
      <c r="BQ163" t="s">
        <v>805</v>
      </c>
      <c r="BR163" t="s">
        <v>805</v>
      </c>
      <c r="BS163" t="s">
        <v>805</v>
      </c>
      <c r="BT163" t="s">
        <v>805</v>
      </c>
      <c r="BU163" t="s">
        <v>805</v>
      </c>
      <c r="BV163" t="s">
        <v>805</v>
      </c>
      <c r="BW163" t="s">
        <v>805</v>
      </c>
      <c r="BX163" t="s">
        <v>805</v>
      </c>
      <c r="BY163" t="s">
        <v>805</v>
      </c>
      <c r="BZ163" t="s">
        <v>805</v>
      </c>
      <c r="CA163" t="s">
        <v>805</v>
      </c>
      <c r="CB163" t="s">
        <v>805</v>
      </c>
      <c r="CC163" t="s">
        <v>805</v>
      </c>
      <c r="CD163" t="s">
        <v>805</v>
      </c>
      <c r="CE163" t="s">
        <v>805</v>
      </c>
      <c r="CF163" t="s">
        <v>805</v>
      </c>
      <c r="CG163" t="s">
        <v>805</v>
      </c>
      <c r="CH163" t="s">
        <v>805</v>
      </c>
      <c r="CI163" t="s">
        <v>805</v>
      </c>
      <c r="CJ163" t="s">
        <v>805</v>
      </c>
      <c r="CK163" t="s">
        <v>805</v>
      </c>
      <c r="CL163" t="s">
        <v>805</v>
      </c>
      <c r="CM163" t="s">
        <v>805</v>
      </c>
      <c r="CN163" t="s">
        <v>805</v>
      </c>
      <c r="CO163" t="s">
        <v>805</v>
      </c>
      <c r="CP163" t="s">
        <v>805</v>
      </c>
      <c r="CQ163" t="s">
        <v>805</v>
      </c>
      <c r="CR163" t="s">
        <v>805</v>
      </c>
      <c r="CS163" t="s">
        <v>805</v>
      </c>
      <c r="CT163" t="s">
        <v>805</v>
      </c>
      <c r="CU163" t="s">
        <v>805</v>
      </c>
      <c r="CV163" t="s">
        <v>805</v>
      </c>
      <c r="CW163" t="s">
        <v>805</v>
      </c>
      <c r="CX163" t="s">
        <v>805</v>
      </c>
      <c r="CY163" t="s">
        <v>805</v>
      </c>
      <c r="CZ163" t="s">
        <v>805</v>
      </c>
      <c r="DA163" t="s">
        <v>805</v>
      </c>
      <c r="DB163" t="s">
        <v>805</v>
      </c>
      <c r="DC163" t="s">
        <v>805</v>
      </c>
      <c r="DD163" t="s">
        <v>805</v>
      </c>
      <c r="DE163" t="s">
        <v>805</v>
      </c>
      <c r="DF163" t="s">
        <v>805</v>
      </c>
      <c r="DG163" s="28"/>
      <c r="DN163" s="28"/>
      <c r="DU163" s="28"/>
      <c r="EB163" s="28"/>
      <c r="JF163" s="66">
        <f t="shared" si="1424"/>
        <v>163</v>
      </c>
      <c r="JG163" s="66">
        <f t="shared" ca="1" si="1425"/>
        <v>0</v>
      </c>
      <c r="JH163" s="66">
        <f t="shared" ca="1" si="1426"/>
        <v>0</v>
      </c>
      <c r="JI163" s="66">
        <f t="shared" ca="1" si="1427"/>
        <v>0</v>
      </c>
      <c r="JJ163" s="66">
        <f t="shared" ca="1" si="1428"/>
        <v>0</v>
      </c>
      <c r="JK163" s="33"/>
      <c r="JL163" s="74" t="str">
        <f t="shared" ca="1" si="1429"/>
        <v>-</v>
      </c>
      <c r="JM163" s="75">
        <f t="shared" ca="1" si="1430"/>
        <v>0</v>
      </c>
      <c r="JN163" s="75">
        <f t="shared" ca="1" si="1431"/>
        <v>0</v>
      </c>
      <c r="JO163" s="74" t="str">
        <f t="shared" ca="1" si="1432"/>
        <v>-</v>
      </c>
      <c r="JP163" s="74">
        <f t="shared" ca="1" si="1433"/>
        <v>0</v>
      </c>
    </row>
    <row r="164" spans="1:276" hidden="1" outlineLevel="1" x14ac:dyDescent="0.35">
      <c r="A164" s="125" t="s">
        <v>805</v>
      </c>
      <c r="B164" s="125" t="s">
        <v>805</v>
      </c>
      <c r="C164" s="125" t="s">
        <v>805</v>
      </c>
      <c r="D164" s="256"/>
      <c r="E164" s="256"/>
      <c r="F164" s="257" t="s">
        <v>801</v>
      </c>
      <c r="G164" s="256"/>
      <c r="H164" s="256"/>
      <c r="I164" s="256"/>
      <c r="J164" s="256" t="s">
        <v>805</v>
      </c>
      <c r="K164" s="256" t="s">
        <v>805</v>
      </c>
      <c r="L164" s="256" t="s">
        <v>805</v>
      </c>
      <c r="M164" s="256" t="s">
        <v>805</v>
      </c>
      <c r="N164" s="256" t="s">
        <v>805</v>
      </c>
      <c r="O164" s="256" t="s">
        <v>805</v>
      </c>
      <c r="P164" s="256" t="s">
        <v>805</v>
      </c>
      <c r="Q164" s="256" t="s">
        <v>805</v>
      </c>
      <c r="R164" s="256" t="s">
        <v>805</v>
      </c>
      <c r="S164" s="256" t="s">
        <v>805</v>
      </c>
      <c r="T164" s="256" t="s">
        <v>805</v>
      </c>
      <c r="U164" s="256" t="s">
        <v>805</v>
      </c>
      <c r="V164" s="256" t="s">
        <v>805</v>
      </c>
      <c r="W164" s="256" t="s">
        <v>805</v>
      </c>
      <c r="X164" s="256" t="s">
        <v>805</v>
      </c>
      <c r="Y164" s="256" t="s">
        <v>805</v>
      </c>
      <c r="Z164" s="256" t="s">
        <v>805</v>
      </c>
      <c r="AA164" s="256" t="s">
        <v>805</v>
      </c>
      <c r="AB164" s="256" t="s">
        <v>805</v>
      </c>
      <c r="AC164" s="256" t="s">
        <v>805</v>
      </c>
      <c r="AD164" s="256" t="s">
        <v>805</v>
      </c>
      <c r="AE164" s="256" t="s">
        <v>805</v>
      </c>
      <c r="AF164" s="256" t="s">
        <v>805</v>
      </c>
      <c r="AG164" s="256" t="s">
        <v>805</v>
      </c>
      <c r="AH164" s="256" t="s">
        <v>805</v>
      </c>
      <c r="AI164" s="256" t="s">
        <v>805</v>
      </c>
      <c r="AJ164" s="256" t="s">
        <v>805</v>
      </c>
      <c r="AK164" s="256" t="s">
        <v>805</v>
      </c>
      <c r="AL164" s="256" t="s">
        <v>805</v>
      </c>
      <c r="AM164" s="256" t="s">
        <v>805</v>
      </c>
      <c r="AN164" s="256" t="s">
        <v>805</v>
      </c>
      <c r="AO164" s="256" t="s">
        <v>805</v>
      </c>
      <c r="AP164" s="256" t="s">
        <v>805</v>
      </c>
      <c r="AQ164" s="256" t="s">
        <v>805</v>
      </c>
      <c r="AR164" s="256" t="s">
        <v>805</v>
      </c>
      <c r="AS164" s="256" t="s">
        <v>805</v>
      </c>
      <c r="AT164" s="256" t="s">
        <v>805</v>
      </c>
      <c r="AU164" s="256" t="s">
        <v>805</v>
      </c>
      <c r="AV164" s="256" t="s">
        <v>805</v>
      </c>
      <c r="AW164" s="256" t="s">
        <v>805</v>
      </c>
      <c r="AX164" s="256" t="s">
        <v>805</v>
      </c>
      <c r="AY164" s="256" t="s">
        <v>805</v>
      </c>
      <c r="AZ164" s="256" t="s">
        <v>805</v>
      </c>
      <c r="BA164" s="256" t="s">
        <v>805</v>
      </c>
      <c r="BB164" s="256" t="s">
        <v>805</v>
      </c>
      <c r="BC164" s="256" t="s">
        <v>805</v>
      </c>
      <c r="BD164" s="256" t="s">
        <v>805</v>
      </c>
      <c r="BE164" s="256" t="s">
        <v>805</v>
      </c>
      <c r="BF164" s="256" t="s">
        <v>805</v>
      </c>
      <c r="BG164" s="256" t="s">
        <v>805</v>
      </c>
      <c r="BH164" s="256" t="s">
        <v>805</v>
      </c>
      <c r="BI164" s="256" t="s">
        <v>805</v>
      </c>
      <c r="BJ164" s="256" t="s">
        <v>805</v>
      </c>
      <c r="BK164" s="256" t="s">
        <v>805</v>
      </c>
      <c r="BL164" s="256" t="s">
        <v>805</v>
      </c>
      <c r="BM164" s="256" t="s">
        <v>805</v>
      </c>
      <c r="BN164" s="256" t="s">
        <v>805</v>
      </c>
      <c r="BO164" s="256" t="s">
        <v>805</v>
      </c>
      <c r="BP164" s="256" t="s">
        <v>805</v>
      </c>
      <c r="BQ164" s="256" t="s">
        <v>805</v>
      </c>
      <c r="BR164" s="256" t="s">
        <v>805</v>
      </c>
      <c r="BS164" s="256" t="s">
        <v>805</v>
      </c>
      <c r="BT164" s="256" t="s">
        <v>805</v>
      </c>
      <c r="BU164" s="256" t="s">
        <v>805</v>
      </c>
      <c r="BV164" s="256" t="s">
        <v>805</v>
      </c>
      <c r="BW164" s="256" t="s">
        <v>805</v>
      </c>
      <c r="BX164" s="256" t="s">
        <v>805</v>
      </c>
      <c r="BY164" s="256" t="s">
        <v>805</v>
      </c>
      <c r="BZ164" s="256" t="s">
        <v>805</v>
      </c>
      <c r="CA164" s="256" t="s">
        <v>805</v>
      </c>
      <c r="CB164" s="256" t="s">
        <v>805</v>
      </c>
      <c r="CC164" s="256" t="s">
        <v>805</v>
      </c>
      <c r="CD164" s="256" t="s">
        <v>805</v>
      </c>
      <c r="CE164" s="256" t="s">
        <v>805</v>
      </c>
      <c r="CF164" s="256" t="s">
        <v>805</v>
      </c>
      <c r="CG164" s="256" t="s">
        <v>805</v>
      </c>
      <c r="CH164" s="256" t="s">
        <v>805</v>
      </c>
      <c r="CI164" s="256" t="s">
        <v>805</v>
      </c>
      <c r="CJ164" s="256" t="s">
        <v>805</v>
      </c>
      <c r="CK164" s="256" t="s">
        <v>805</v>
      </c>
      <c r="CL164" s="256" t="s">
        <v>805</v>
      </c>
      <c r="CM164" s="256" t="s">
        <v>805</v>
      </c>
      <c r="CN164" s="256" t="s">
        <v>805</v>
      </c>
      <c r="CO164" s="256" t="s">
        <v>805</v>
      </c>
      <c r="CP164" s="256" t="s">
        <v>805</v>
      </c>
      <c r="CQ164" s="256" t="s">
        <v>805</v>
      </c>
      <c r="CR164" s="256" t="s">
        <v>805</v>
      </c>
      <c r="CS164" s="256" t="s">
        <v>805</v>
      </c>
      <c r="CT164" s="256" t="s">
        <v>805</v>
      </c>
      <c r="CU164" s="256" t="s">
        <v>805</v>
      </c>
      <c r="CV164" s="256" t="s">
        <v>805</v>
      </c>
      <c r="CW164" s="256" t="s">
        <v>805</v>
      </c>
      <c r="CX164" s="256" t="s">
        <v>805</v>
      </c>
      <c r="CY164" s="256" t="s">
        <v>805</v>
      </c>
      <c r="CZ164" s="256" t="s">
        <v>805</v>
      </c>
      <c r="DA164" s="256" t="s">
        <v>805</v>
      </c>
      <c r="DB164" s="256" t="s">
        <v>805</v>
      </c>
      <c r="DC164" s="256" t="s">
        <v>805</v>
      </c>
      <c r="DD164" s="256" t="s">
        <v>805</v>
      </c>
      <c r="DE164" s="256" t="s">
        <v>805</v>
      </c>
      <c r="DF164" s="256" t="s">
        <v>805</v>
      </c>
      <c r="DG164" s="273"/>
      <c r="DH164" s="256"/>
      <c r="DI164" s="256"/>
      <c r="DJ164" s="256"/>
      <c r="DK164" s="256"/>
      <c r="DL164" s="256"/>
      <c r="DM164" s="256"/>
      <c r="DN164" s="273"/>
      <c r="DO164" s="256"/>
      <c r="DP164" s="256"/>
      <c r="DQ164" s="256"/>
      <c r="DR164" s="256"/>
      <c r="DS164" s="256"/>
      <c r="DT164" s="256"/>
      <c r="DU164" s="273"/>
      <c r="DV164" s="256"/>
      <c r="DW164" s="256"/>
      <c r="DX164" s="256"/>
      <c r="DY164" s="256"/>
      <c r="DZ164" s="256"/>
      <c r="EA164" s="256"/>
      <c r="EB164" s="273"/>
      <c r="EC164" s="256"/>
      <c r="ED164" s="256"/>
      <c r="EE164" s="256"/>
      <c r="EF164" s="256"/>
      <c r="EG164" s="256"/>
      <c r="EH164" s="256"/>
      <c r="EI164" s="256"/>
      <c r="EJ164" s="256"/>
      <c r="EK164" s="256"/>
      <c r="EL164" s="256"/>
      <c r="EM164" s="256"/>
      <c r="EN164" s="256"/>
      <c r="EO164" s="256"/>
      <c r="EP164" s="256"/>
      <c r="EQ164" s="256"/>
      <c r="ER164" s="256"/>
      <c r="ES164" s="256"/>
      <c r="ET164" s="256"/>
      <c r="EU164" s="256"/>
      <c r="EV164" s="256"/>
      <c r="EW164" s="256"/>
      <c r="EX164" s="256"/>
      <c r="EY164" s="256"/>
      <c r="EZ164" s="256"/>
      <c r="FA164" s="256"/>
      <c r="FB164" s="256"/>
      <c r="FC164" s="256"/>
      <c r="FD164" s="256"/>
      <c r="FE164" s="256"/>
      <c r="FF164" s="256"/>
      <c r="FG164" s="256"/>
      <c r="FH164" s="256"/>
      <c r="FI164" s="256"/>
      <c r="FJ164" s="256"/>
      <c r="FK164" s="256"/>
      <c r="FL164" s="256"/>
      <c r="FM164" s="256"/>
      <c r="FN164" s="256"/>
      <c r="FO164" s="256"/>
      <c r="FP164" s="256"/>
      <c r="FQ164" s="256"/>
      <c r="FR164" s="256"/>
      <c r="FS164" s="256"/>
      <c r="FT164" s="256"/>
      <c r="FU164" s="256"/>
      <c r="FV164" s="256"/>
      <c r="FW164" s="256"/>
      <c r="FX164" s="256"/>
      <c r="FY164" s="256"/>
      <c r="FZ164" s="256"/>
      <c r="GA164" s="256"/>
      <c r="GB164" s="256"/>
      <c r="GC164" s="256"/>
      <c r="GD164" s="256"/>
      <c r="GE164" s="256"/>
      <c r="GF164" s="256"/>
      <c r="GG164" s="256"/>
      <c r="GH164" s="256"/>
      <c r="GI164" s="256"/>
      <c r="GJ164" s="256"/>
      <c r="GK164" s="256"/>
      <c r="GL164" s="256"/>
      <c r="GM164" s="256"/>
      <c r="GN164" s="256"/>
      <c r="GO164" s="256"/>
      <c r="GP164" s="256"/>
      <c r="GQ164" s="256"/>
      <c r="GR164" s="256"/>
      <c r="GS164" s="256"/>
      <c r="GT164" s="256"/>
      <c r="GU164" s="256"/>
      <c r="GV164" s="256"/>
      <c r="GW164" s="256"/>
      <c r="GX164" s="256"/>
      <c r="GY164" s="256"/>
      <c r="GZ164" s="256"/>
      <c r="HA164" s="256"/>
      <c r="HB164" s="256"/>
      <c r="HC164" s="256"/>
      <c r="HD164" s="256"/>
      <c r="HE164" s="256"/>
      <c r="HF164" s="256"/>
      <c r="HG164" s="256"/>
      <c r="HH164" s="256"/>
      <c r="HI164" s="256"/>
      <c r="HJ164" s="256"/>
      <c r="HK164" s="256"/>
      <c r="HL164" s="256"/>
      <c r="HM164" s="256"/>
      <c r="HN164" s="256"/>
      <c r="HO164" s="256"/>
      <c r="HP164" s="256"/>
      <c r="HQ164" s="256"/>
      <c r="HR164" s="256"/>
      <c r="HS164" s="256"/>
      <c r="HT164" s="256"/>
      <c r="HU164" s="256"/>
      <c r="HV164" s="256"/>
      <c r="HW164" s="256"/>
      <c r="HX164" s="256"/>
      <c r="HY164" s="256"/>
      <c r="HZ164" s="256"/>
      <c r="IA164" s="256"/>
      <c r="IB164" s="256"/>
      <c r="IC164" s="256"/>
      <c r="ID164" s="256"/>
      <c r="IE164" s="256"/>
      <c r="IF164" s="256"/>
      <c r="IG164" s="328"/>
      <c r="IH164" s="287"/>
      <c r="II164" s="287"/>
      <c r="IJ164" s="287"/>
      <c r="IK164" s="287"/>
      <c r="IL164" s="287"/>
      <c r="IM164" s="328"/>
      <c r="IN164" s="287"/>
      <c r="IO164" s="287"/>
      <c r="IP164" s="287"/>
      <c r="IQ164" s="287"/>
      <c r="IR164" s="287"/>
      <c r="IS164" s="328"/>
      <c r="IT164" s="287"/>
      <c r="IU164" s="287"/>
      <c r="IV164" s="287"/>
      <c r="IW164" s="287"/>
      <c r="IX164" s="287"/>
      <c r="IY164" s="328"/>
      <c r="IZ164" s="287"/>
      <c r="JA164" s="287"/>
      <c r="JB164" s="287"/>
      <c r="JC164" s="287"/>
      <c r="JD164" s="329"/>
      <c r="JF164" s="66"/>
      <c r="JG164" s="66"/>
      <c r="JH164" s="66"/>
      <c r="JI164" s="66"/>
      <c r="JJ164" s="66"/>
      <c r="JK164" s="33"/>
      <c r="JL164" s="74"/>
      <c r="JM164" s="75"/>
      <c r="JN164" s="75"/>
      <c r="JO164" s="74"/>
      <c r="JP164" s="74"/>
    </row>
    <row r="165" spans="1:276" hidden="1" outlineLevel="1" x14ac:dyDescent="0.35">
      <c r="A165" s="125" t="s">
        <v>805</v>
      </c>
      <c r="B165" s="125" t="s">
        <v>805</v>
      </c>
      <c r="C165" s="125" t="s">
        <v>805</v>
      </c>
      <c r="E165" s="142" t="s">
        <v>882</v>
      </c>
      <c r="F165" s="254" t="s">
        <v>765</v>
      </c>
      <c r="G165" t="s">
        <v>542</v>
      </c>
      <c r="H165" t="s">
        <v>531</v>
      </c>
      <c r="I165" t="s">
        <v>534</v>
      </c>
      <c r="J165" s="211" t="s">
        <v>805</v>
      </c>
      <c r="K165" t="s">
        <v>805</v>
      </c>
      <c r="L165" t="s">
        <v>805</v>
      </c>
      <c r="M165" t="s">
        <v>805</v>
      </c>
      <c r="N165" t="s">
        <v>805</v>
      </c>
      <c r="O165" t="s">
        <v>805</v>
      </c>
      <c r="P165" t="s">
        <v>805</v>
      </c>
      <c r="Q165" t="s">
        <v>805</v>
      </c>
      <c r="R165" t="s">
        <v>805</v>
      </c>
      <c r="S165" t="s">
        <v>805</v>
      </c>
      <c r="T165" t="s">
        <v>805</v>
      </c>
      <c r="U165" t="s">
        <v>805</v>
      </c>
      <c r="V165" t="s">
        <v>805</v>
      </c>
      <c r="W165" t="s">
        <v>805</v>
      </c>
      <c r="X165" t="s">
        <v>805</v>
      </c>
      <c r="Y165" t="s">
        <v>805</v>
      </c>
      <c r="Z165" t="s">
        <v>805</v>
      </c>
      <c r="AA165" t="s">
        <v>805</v>
      </c>
      <c r="AB165" t="s">
        <v>805</v>
      </c>
      <c r="AC165" t="s">
        <v>805</v>
      </c>
      <c r="AD165" t="s">
        <v>805</v>
      </c>
      <c r="AE165" t="s">
        <v>805</v>
      </c>
      <c r="AF165" t="s">
        <v>805</v>
      </c>
      <c r="AG165" t="s">
        <v>805</v>
      </c>
      <c r="AH165" t="s">
        <v>805</v>
      </c>
      <c r="AI165" t="s">
        <v>805</v>
      </c>
      <c r="AJ165" t="s">
        <v>805</v>
      </c>
      <c r="AK165" t="s">
        <v>805</v>
      </c>
      <c r="AL165" t="s">
        <v>805</v>
      </c>
      <c r="AM165" t="s">
        <v>805</v>
      </c>
      <c r="AN165" t="s">
        <v>805</v>
      </c>
      <c r="AO165" t="s">
        <v>805</v>
      </c>
      <c r="AP165" t="s">
        <v>805</v>
      </c>
      <c r="AQ165" t="s">
        <v>805</v>
      </c>
      <c r="AR165" t="s">
        <v>805</v>
      </c>
      <c r="AS165" t="s">
        <v>805</v>
      </c>
      <c r="AT165" t="s">
        <v>805</v>
      </c>
      <c r="AU165" t="s">
        <v>805</v>
      </c>
      <c r="AV165" t="s">
        <v>805</v>
      </c>
      <c r="AW165" t="s">
        <v>805</v>
      </c>
      <c r="AX165" t="s">
        <v>805</v>
      </c>
      <c r="AY165" t="s">
        <v>805</v>
      </c>
      <c r="AZ165" t="s">
        <v>805</v>
      </c>
      <c r="BA165" t="s">
        <v>805</v>
      </c>
      <c r="BB165" t="s">
        <v>805</v>
      </c>
      <c r="BC165" t="s">
        <v>805</v>
      </c>
      <c r="BD165" t="s">
        <v>805</v>
      </c>
      <c r="BE165" t="s">
        <v>805</v>
      </c>
      <c r="BF165" t="s">
        <v>805</v>
      </c>
      <c r="BG165" t="s">
        <v>805</v>
      </c>
      <c r="BH165" t="s">
        <v>805</v>
      </c>
      <c r="BI165" t="s">
        <v>805</v>
      </c>
      <c r="BJ165" t="s">
        <v>805</v>
      </c>
      <c r="BK165" t="s">
        <v>805</v>
      </c>
      <c r="BL165" t="s">
        <v>805</v>
      </c>
      <c r="BM165" t="s">
        <v>805</v>
      </c>
      <c r="BN165" t="s">
        <v>805</v>
      </c>
      <c r="BO165" t="s">
        <v>805</v>
      </c>
      <c r="BP165" t="s">
        <v>805</v>
      </c>
      <c r="BQ165" t="s">
        <v>805</v>
      </c>
      <c r="BR165" t="s">
        <v>805</v>
      </c>
      <c r="BS165" t="s">
        <v>805</v>
      </c>
      <c r="BT165" t="s">
        <v>805</v>
      </c>
      <c r="BU165" t="s">
        <v>805</v>
      </c>
      <c r="BV165" t="s">
        <v>805</v>
      </c>
      <c r="BW165" t="s">
        <v>805</v>
      </c>
      <c r="BX165" t="s">
        <v>805</v>
      </c>
      <c r="BY165" t="s">
        <v>805</v>
      </c>
      <c r="BZ165" t="s">
        <v>805</v>
      </c>
      <c r="CA165" t="s">
        <v>805</v>
      </c>
      <c r="CB165" t="s">
        <v>805</v>
      </c>
      <c r="CC165" t="s">
        <v>805</v>
      </c>
      <c r="CD165" t="s">
        <v>805</v>
      </c>
      <c r="CE165" t="s">
        <v>805</v>
      </c>
      <c r="CF165" t="s">
        <v>805</v>
      </c>
      <c r="CG165" t="s">
        <v>805</v>
      </c>
      <c r="CH165" t="s">
        <v>805</v>
      </c>
      <c r="CI165" t="s">
        <v>805</v>
      </c>
      <c r="CJ165" t="s">
        <v>805</v>
      </c>
      <c r="CK165" t="s">
        <v>805</v>
      </c>
      <c r="CL165" t="s">
        <v>805</v>
      </c>
      <c r="CM165" t="s">
        <v>805</v>
      </c>
      <c r="CN165" t="s">
        <v>805</v>
      </c>
      <c r="CO165" t="s">
        <v>805</v>
      </c>
      <c r="CP165" t="s">
        <v>805</v>
      </c>
      <c r="CQ165" t="s">
        <v>805</v>
      </c>
      <c r="CR165" t="s">
        <v>805</v>
      </c>
      <c r="CS165" t="s">
        <v>805</v>
      </c>
      <c r="CT165" t="s">
        <v>805</v>
      </c>
      <c r="CU165" t="s">
        <v>805</v>
      </c>
      <c r="CV165" t="s">
        <v>805</v>
      </c>
      <c r="CW165" t="s">
        <v>805</v>
      </c>
      <c r="CX165" t="s">
        <v>805</v>
      </c>
      <c r="CY165" t="s">
        <v>805</v>
      </c>
      <c r="CZ165" t="s">
        <v>805</v>
      </c>
      <c r="DA165" t="s">
        <v>805</v>
      </c>
      <c r="DB165" t="s">
        <v>805</v>
      </c>
      <c r="DC165" t="s">
        <v>805</v>
      </c>
      <c r="DD165" t="s">
        <v>805</v>
      </c>
      <c r="DE165" t="s">
        <v>805</v>
      </c>
      <c r="DF165" t="s">
        <v>805</v>
      </c>
      <c r="DG165" s="28">
        <f>VLOOKUP(E165,'KPI Count-SHARE'!A:F,3,0)</f>
        <v>0</v>
      </c>
      <c r="DH165">
        <v>0</v>
      </c>
      <c r="DI165" t="s">
        <v>805</v>
      </c>
      <c r="DJ165" t="s">
        <v>805</v>
      </c>
      <c r="DK165" t="s">
        <v>805</v>
      </c>
      <c r="DL165" t="s">
        <v>805</v>
      </c>
      <c r="DM165" t="s">
        <v>805</v>
      </c>
      <c r="DN165" s="28">
        <f>VLOOKUP(E165,'KPI Count-SHARE'!A:F,4,0)</f>
        <v>0</v>
      </c>
      <c r="DU165" s="28">
        <f>VLOOKUP(E165,'KPI Count-SHARE'!A:F,5,0)</f>
        <v>0</v>
      </c>
      <c r="EB165" s="28">
        <f>VLOOKUP(E165,'KPI Count-SHARE'!A:F,6,0)</f>
        <v>0</v>
      </c>
      <c r="EI165" t="s">
        <v>531</v>
      </c>
      <c r="EJ165" s="41" t="str">
        <f t="shared" ref="EJ165:EJ170" si="1559">IFERROR(IF(ISBLANK(J165), "-", IF(OR($I165="c",$I165="r"), J165*$I$5, J165)),"-")</f>
        <v/>
      </c>
      <c r="EK165" s="41" t="str">
        <f t="shared" ref="EK165:EK170" si="1560">IFERROR(IF(ISBLANK(K165), "-", IF($I165="c", K165*$I$5, K165)),"-")</f>
        <v/>
      </c>
      <c r="EL165" s="41" t="str">
        <f t="shared" ref="EL165:EL170" si="1561">IFERROR(IF(ISBLANK(L165), "-", IF($I165="c", L165*$I$5, L165)),"-")</f>
        <v/>
      </c>
      <c r="EM165" s="41" t="str">
        <f t="shared" ref="EM165:EM170" si="1562">IFERROR(IF(ISBLANK(M165), "-", IF($I165="c", M165*$I$5,M165)),"-")</f>
        <v/>
      </c>
      <c r="EN165" s="41" t="str">
        <f t="shared" ref="EN165:EN170" si="1563">IFERROR(IF(ISBLANK(N165), "-", IF($I165="c", N165*$I$5, N165)),"-")</f>
        <v/>
      </c>
      <c r="EO165" s="41" t="str">
        <f t="shared" ref="EO165:EO170" si="1564">IFERROR(IF(ISBLANK(O165), "-", IF($I165="c", O165*$I$5,O165)),"-")</f>
        <v/>
      </c>
      <c r="EP165" s="41" t="str">
        <f t="shared" ref="EP165:EP170" si="1565">IFERROR(IF(ISBLANK(P165), "-", IF($I165="c", P165*$I$5, P165)),"-")</f>
        <v/>
      </c>
      <c r="EQ165" s="41" t="str">
        <f t="shared" ref="EQ165:EQ170" si="1566">IFERROR(IF(ISBLANK(Q165), "-", IF($I165="c", Q165*$I$5, Q165)),"-")</f>
        <v/>
      </c>
      <c r="ER165" s="41" t="str">
        <f t="shared" ref="ER165:ER170" si="1567">IFERROR(IF(ISBLANK(R165), "-", IF($I165="c", R165*$I$5, R165)),"-")</f>
        <v/>
      </c>
      <c r="ES165" s="41" t="str">
        <f t="shared" ref="ES165:ES170" si="1568">IFERROR(IF(ISBLANK(S165), "-", IF($I165="c", S165*$I$5, S165)),"-")</f>
        <v/>
      </c>
      <c r="ET165" s="41" t="str">
        <f t="shared" ref="ET165:ET170" si="1569">IFERROR(IF(ISBLANK(T165), "-", IF($I165="c", T165*$I$5, T165)),"-")</f>
        <v/>
      </c>
      <c r="EU165" s="41" t="str">
        <f t="shared" ref="EU165:EU170" si="1570">IFERROR(IF(ISBLANK(U165), "-", IF($I165="c", U165*$I$5, U165)),"-")</f>
        <v/>
      </c>
      <c r="EV165" s="41" t="str">
        <f t="shared" ref="EV165:EV170" si="1571">IFERROR(IF(ISBLANK(V165), "-", IF($I165="c", V165*$I$5, V165)),"-")</f>
        <v/>
      </c>
      <c r="EW165" s="41" t="str">
        <f t="shared" ref="EW165:EW170" si="1572">IFERROR(IF(ISBLANK(W165), "-", IF($I165="c", W165*$I$5, W165)),"-")</f>
        <v/>
      </c>
      <c r="EX165" s="41" t="str">
        <f t="shared" ref="EX165:EX170" si="1573">IFERROR(IF(ISBLANK(X165), "-", IF($I165="c", X165*$I$5, X165)),"-")</f>
        <v/>
      </c>
      <c r="EY165" s="41" t="str">
        <f t="shared" ref="EY165:EY170" si="1574">IFERROR(IF(ISBLANK(Y165), "-", IF($I165="c", Y165*$I$5, Y165)),"-")</f>
        <v/>
      </c>
      <c r="EZ165" s="41" t="str">
        <f t="shared" ref="EZ165:EZ170" si="1575">IFERROR(IF(ISBLANK(Z165), "-", IF($I165="c", Z165*$I$5, Z165)),"-")</f>
        <v/>
      </c>
      <c r="FA165" s="41" t="str">
        <f t="shared" ref="FA165:FA170" si="1576">IFERROR(IF(ISBLANK(AA165), "-", IF($I165="c", AA165*$I$5, AA165)),"-")</f>
        <v/>
      </c>
      <c r="FB165" s="41" t="str">
        <f t="shared" ref="FB165:FB170" si="1577">IFERROR(IF(ISBLANK(AB165), "-", IF($I165="c", AB165*$I$5, AB165)),"-")</f>
        <v/>
      </c>
      <c r="FC165" s="41" t="str">
        <f t="shared" ref="FC165:FC170" si="1578">IFERROR(IF(ISBLANK(AC165), "-", IF($I165="c", AC165*$I$5, AC165)),"-")</f>
        <v/>
      </c>
      <c r="FD165" s="41" t="str">
        <f t="shared" ref="FD165:FD170" si="1579">IFERROR(IF(ISBLANK(AD165), "-", IF($I165="c", AD165*$I$5, AD165)),"-")</f>
        <v/>
      </c>
      <c r="FE165" s="41" t="str">
        <f t="shared" ref="FE165:FE170" si="1580">IFERROR(IF(ISBLANK(AE165), "-", IF($I165="c", AE165*$I$5, AE165)),"-")</f>
        <v/>
      </c>
      <c r="FF165" s="41" t="str">
        <f t="shared" ref="FF165:FF170" si="1581">IFERROR(IF(ISBLANK(AF165), "-", IF($I165="c", AF165*$I$5, AF165)),"-")</f>
        <v/>
      </c>
      <c r="FG165" s="41" t="str">
        <f t="shared" ref="FG165:FG170" si="1582">IFERROR(IF(ISBLANK(AG165), "-", IF($I165="c", AG165*$I$5, AG165)),"-")</f>
        <v/>
      </c>
      <c r="FH165" s="41" t="str">
        <f t="shared" ref="FH165:FH170" si="1583">IFERROR(IF(ISBLANK(AH165), "-", IF($I165="c", AH165*$I$5, AH165)),"-")</f>
        <v/>
      </c>
      <c r="FI165" s="41" t="str">
        <f t="shared" ref="FI165:FI170" si="1584">IFERROR(IF(ISBLANK(AI165), "-", IF($I165="c", AI165*$I$5, AI165)),"-")</f>
        <v/>
      </c>
      <c r="FJ165" s="41" t="str">
        <f t="shared" ref="FJ165:FJ170" si="1585">IFERROR(IF(ISBLANK(AJ165), "-", IF($I165="c", AJ165*$I$5, AJ165)),"-")</f>
        <v/>
      </c>
      <c r="FK165" s="41" t="str">
        <f t="shared" ref="FK165:FK170" si="1586">IFERROR(IF(ISBLANK(AK165), "-", IF($I165="c", AK165*$I$5, AK165)),"-")</f>
        <v/>
      </c>
      <c r="FL165" s="41" t="str">
        <f t="shared" ref="FL165:FL170" si="1587">IFERROR(IF(ISBLANK(AL165), "-", IF($I165="c", AL165*$I$5, AL165)),"-")</f>
        <v/>
      </c>
      <c r="FM165" s="41" t="str">
        <f t="shared" ref="FM165:FM170" si="1588">IFERROR(IF(ISBLANK(AM165), "-", IF($I165="c", AM165*$I$5, AM165)),"-")</f>
        <v/>
      </c>
      <c r="FN165" s="41" t="str">
        <f t="shared" ref="FN165:FN170" si="1589">IFERROR(IF(ISBLANK(AN165), "-", IF($I165="c", AN165*$I$5, AN165)),"-")</f>
        <v/>
      </c>
      <c r="FO165" s="41" t="str">
        <f t="shared" ref="FO165:FO170" si="1590">IFERROR(IF(ISBLANK(AO165), "-", IF($I165="c", AO165*$I$5, AO165)),"-")</f>
        <v/>
      </c>
      <c r="FP165" s="41" t="str">
        <f t="shared" ref="FP165:FP170" si="1591">IFERROR(IF(ISBLANK(AP165), "-", IF($I165="c", AP165*$I$5, AP165)),"-")</f>
        <v/>
      </c>
      <c r="FQ165" s="41" t="str">
        <f t="shared" ref="FQ165:FQ170" si="1592">IFERROR(IF(ISBLANK(AQ165), "-", IF($I165="c", AQ165*$I$5, AQ165)),"-")</f>
        <v/>
      </c>
      <c r="FR165" s="41" t="str">
        <f t="shared" ref="FR165:FR170" si="1593">IFERROR(IF(ISBLANK(AR165), "-", IF($I165="c", AR165*$I$5, AR165)),"-")</f>
        <v/>
      </c>
      <c r="FS165" s="41" t="str">
        <f t="shared" ref="FS165:FS170" si="1594">IFERROR(IF(ISBLANK(AS165), "-", IF($I165="c", AS165*$I$5, AS165)),"-")</f>
        <v/>
      </c>
      <c r="FT165" s="41" t="str">
        <f t="shared" ref="FT165:FT170" si="1595">IFERROR(IF(ISBLANK(AT165), "-", IF($I165="c", AT165*$I$5, AT165)),"-")</f>
        <v/>
      </c>
      <c r="FU165" s="41" t="str">
        <f t="shared" ref="FU165:FU170" si="1596">IFERROR(IF(ISBLANK(AU165), "-", IF($I165="c", AU165*$I$5, AU165)),"-")</f>
        <v/>
      </c>
      <c r="FV165" s="41" t="str">
        <f t="shared" ref="FV165:FV170" si="1597">IFERROR(IF(ISBLANK(AV165), "-", IF($I165="c", AV165*$I$5, AV165)),"-")</f>
        <v/>
      </c>
      <c r="FW165" s="41" t="str">
        <f t="shared" ref="FW165:FW170" si="1598">IFERROR(IF(ISBLANK(AW165), "-", IF($I165="c", AW165*$I$5, AW165)),"-")</f>
        <v/>
      </c>
      <c r="FX165" s="41" t="str">
        <f t="shared" ref="FX165:FX170" si="1599">IFERROR(IF(ISBLANK(AX165), "-", IF($I165="c", AX165*$I$5, AX165)),"-")</f>
        <v/>
      </c>
      <c r="FY165" s="41" t="str">
        <f t="shared" ref="FY165:FY170" si="1600">IFERROR(IF(ISBLANK(AY165), "-", IF($I165="c", AY165*$I$5, AY165)),"-")</f>
        <v/>
      </c>
      <c r="FZ165" s="41" t="str">
        <f t="shared" ref="FZ165:FZ170" si="1601">IFERROR(IF(ISBLANK(AZ165), "-", IF($I165="c", AZ165*$I$5, AZ165)),"-")</f>
        <v/>
      </c>
      <c r="GA165" s="41" t="str">
        <f t="shared" ref="GA165:GA170" si="1602">IFERROR(IF(ISBLANK(BA165), "-", IF($I165="c", BA165*$I$5, BA165)),"-")</f>
        <v/>
      </c>
      <c r="GB165" s="41" t="str">
        <f t="shared" ref="GB165:GB170" si="1603">IFERROR(IF(ISBLANK(BB165), "-", IF($I165="c", BB165*$I$5, BB165)),"-")</f>
        <v/>
      </c>
      <c r="GC165" s="41" t="str">
        <f t="shared" ref="GC165:GC170" si="1604">IFERROR(IF(ISBLANK(BC165), "-", IF($I165="c", BC165*$I$5, BC165)),"-")</f>
        <v/>
      </c>
      <c r="GD165" s="41" t="str">
        <f t="shared" ref="GD165:GD170" si="1605">IFERROR(IF(ISBLANK(BD165), "-", IF($I165="c", BD165*$I$5, BD165)),"-")</f>
        <v/>
      </c>
      <c r="GE165" s="41" t="str">
        <f t="shared" ref="GE165:GE170" si="1606">IFERROR(IF(ISBLANK(BE165), "-", IF($I165="c", BE165*$I$5, BE165)),"-")</f>
        <v/>
      </c>
      <c r="GF165" s="41" t="str">
        <f t="shared" ref="GF165:GF170" si="1607">IFERROR(IF(ISBLANK(BF165), "-", IF($I165="c", BF165*$I$5, BF165)),"-")</f>
        <v/>
      </c>
      <c r="GG165" s="41" t="str">
        <f t="shared" ref="GG165:GG170" si="1608">IFERROR(IF(ISBLANK(BG165), "-", IF($I165="c", BG165*$I$5, BG165)),"-")</f>
        <v/>
      </c>
      <c r="GH165" s="41" t="str">
        <f t="shared" ref="GH165:GH170" si="1609">IFERROR(IF(ISBLANK(BH165), "-", IF($I165="c", BH165*$I$5, BH165)),"-")</f>
        <v/>
      </c>
      <c r="GI165" s="41" t="str">
        <f t="shared" ref="GI165:GI170" si="1610">IFERROR(IF(ISBLANK(BI165), "-", IF($I165="c", BI165*$I$5, BI165)),"-")</f>
        <v/>
      </c>
      <c r="GJ165" s="41" t="str">
        <f t="shared" ref="GJ165:GJ170" si="1611">IFERROR(IF(ISBLANK(BJ165), "-", IF($I165="c", BJ165*$I$5, BJ165)),"-")</f>
        <v/>
      </c>
      <c r="GK165" s="41" t="str">
        <f t="shared" ref="GK165:GK170" si="1612">IFERROR(IF(ISBLANK(BK165), "-", IF($I165="c", BK165*$I$5, BK165)),"-")</f>
        <v/>
      </c>
      <c r="GL165" s="41" t="str">
        <f t="shared" ref="GL165:GL170" si="1613">IFERROR(IF(ISBLANK(BL165), "-", IF($I165="c", BL165*$I$5, BL165)),"-")</f>
        <v/>
      </c>
      <c r="GM165" s="41" t="str">
        <f t="shared" ref="GM165:GM170" si="1614">IFERROR(IF(ISBLANK(BM165), "-", IF($I165="c", BM165*$I$5, BM165)),"-")</f>
        <v/>
      </c>
      <c r="GN165" s="41" t="str">
        <f t="shared" ref="GN165:GN170" si="1615">IFERROR(IF(ISBLANK(BN165), "-", IF($I165="c", BN165*$I$5, BN165)),"-")</f>
        <v/>
      </c>
      <c r="GO165" s="41" t="str">
        <f t="shared" ref="GO165:GO170" si="1616">IFERROR(IF(ISBLANK(BO165), "-", IF($I165="c", BO165*$I$5, BO165)),"-")</f>
        <v/>
      </c>
      <c r="GP165" s="41" t="str">
        <f t="shared" ref="GP165:GP170" si="1617">IFERROR(IF(ISBLANK(BP165), "-", IF($I165="c", BP165*$I$5, BP165)),"-")</f>
        <v/>
      </c>
      <c r="GQ165" s="41" t="str">
        <f t="shared" ref="GQ165:GQ170" si="1618">IFERROR(IF(ISBLANK(BQ165), "-", IF($I165="c", BQ165*$I$5, BQ165)),"-")</f>
        <v/>
      </c>
      <c r="GR165" s="41" t="str">
        <f t="shared" ref="GR165:GR170" si="1619">IFERROR(IF(ISBLANK(BR165), "-", IF($I165="c", BR165*$I$5, BR165)),"-")</f>
        <v/>
      </c>
      <c r="GS165" s="41" t="str">
        <f t="shared" ref="GS165:GS170" si="1620">IFERROR(IF(ISBLANK(BS165), "-", IF($I165="c", BS165*$I$5, BS165)),"-")</f>
        <v/>
      </c>
      <c r="GT165" s="41" t="str">
        <f t="shared" ref="GT165:GT170" si="1621">IFERROR(IF(ISBLANK(BT165), "-", IF($I165="c", BT165*$I$5, BT165)),"-")</f>
        <v/>
      </c>
      <c r="GU165" s="41" t="str">
        <f t="shared" ref="GU165:GU170" si="1622">IFERROR(IF(ISBLANK(BU165), "-", IF($I165="c", BU165*$I$5, BU165)),"-")</f>
        <v/>
      </c>
      <c r="GV165" s="41" t="str">
        <f t="shared" ref="GV165:GV170" si="1623">IFERROR(IF(ISBLANK(BV165), "-", IF($I165="c", BV165*$I$5, BV165)),"-")</f>
        <v/>
      </c>
      <c r="GW165" s="41" t="str">
        <f t="shared" ref="GW165:GW170" si="1624">IFERROR(IF(ISBLANK(BW165), "-", IF($I165="c", BW165*$I$5, BW165)),"-")</f>
        <v/>
      </c>
      <c r="GX165" s="41" t="str">
        <f t="shared" ref="GX165:GX170" si="1625">IFERROR(IF(ISBLANK(BX165), "-", IF($I165="c", BX165*$I$5, BX165)),"-")</f>
        <v/>
      </c>
      <c r="GY165" s="41" t="str">
        <f t="shared" ref="GY165:GY170" si="1626">IFERROR(IF(ISBLANK(BY165), "-", IF($I165="c", BY165*$I$5, BY165)),"-")</f>
        <v/>
      </c>
      <c r="GZ165" s="41" t="str">
        <f t="shared" ref="GZ165:GZ170" si="1627">IFERROR(IF(ISBLANK(BZ165), "-", IF($I165="c", BZ165*$I$5, BZ165)),"-")</f>
        <v/>
      </c>
      <c r="HA165" s="41" t="str">
        <f t="shared" ref="HA165:HA170" si="1628">IFERROR(IF(ISBLANK(CA165), "-", IF($I165="c", CA165*$I$5, CA165)),"-")</f>
        <v/>
      </c>
      <c r="HB165" s="41" t="str">
        <f t="shared" ref="HB165:HB170" si="1629">IFERROR(IF(ISBLANK(CB165), "-", IF($I165="c", CB165*$I$5, CB165)),"-")</f>
        <v/>
      </c>
      <c r="HC165" s="41" t="str">
        <f t="shared" ref="HC165:HC170" si="1630">IFERROR(IF(ISBLANK(CC165), "-", IF($I165="c", CC165*$I$5, CC165)),"-")</f>
        <v/>
      </c>
      <c r="HD165" s="41" t="str">
        <f t="shared" ref="HD165:HD170" si="1631">IFERROR(IF(ISBLANK(CD165), "-", IF($I165="c", CD165*$I$5, CD165)),"-")</f>
        <v/>
      </c>
      <c r="HE165" s="41" t="str">
        <f t="shared" ref="HE165:HE170" si="1632">IFERROR(IF(ISBLANK(CE165), "-", IF($I165="c", CE165*$I$5, CE165)),"-")</f>
        <v/>
      </c>
      <c r="HF165" s="41" t="str">
        <f t="shared" ref="HF165:HF170" si="1633">IFERROR(IF(ISBLANK(CF165), "-", IF($I165="c", CF165*$I$5, CF165)),"-")</f>
        <v/>
      </c>
      <c r="HG165" s="41" t="str">
        <f t="shared" ref="HG165:HG170" si="1634">IFERROR(IF(ISBLANK(CG165), "-", IF($I165="c", CG165*$I$5, CG165)),"-")</f>
        <v/>
      </c>
      <c r="HH165" s="41" t="str">
        <f t="shared" ref="HH165:HH170" si="1635">IFERROR(IF(ISBLANK(CH165), "-", IF($I165="c", CH165*$I$5, CH165)),"-")</f>
        <v/>
      </c>
      <c r="HI165" s="41" t="str">
        <f t="shared" ref="HI165:HI170" si="1636">IFERROR(IF(ISBLANK(CI165), "-", IF($I165="c", CI165*$I$5, CI165)),"-")</f>
        <v/>
      </c>
      <c r="HJ165" s="41" t="str">
        <f t="shared" ref="HJ165:HJ170" si="1637">IFERROR(IF(ISBLANK(CJ165), "-", IF($I165="c", CJ165*$I$5, CJ165)),"-")</f>
        <v/>
      </c>
      <c r="HK165" s="41" t="str">
        <f t="shared" ref="HK165:HK170" si="1638">IFERROR(IF(ISBLANK(CK165), "-", IF($I165="c", CK165*$I$5, CK165)),"-")</f>
        <v/>
      </c>
      <c r="HL165" s="41" t="str">
        <f t="shared" ref="HL165:HL170" si="1639">IFERROR(IF(ISBLANK(CL165), "-", IF($I165="c", CL165*$I$5, CL165)),"-")</f>
        <v/>
      </c>
      <c r="HM165" s="41" t="str">
        <f t="shared" ref="HM165:HM170" si="1640">IFERROR(IF(ISBLANK(CM165), "-", IF($I165="c", CM165*$I$5, CM165)),"-")</f>
        <v/>
      </c>
      <c r="HN165" s="41" t="str">
        <f t="shared" ref="HN165:HN170" si="1641">IFERROR(IF(ISBLANK(CN165), "-", IF($I165="c", CN165*$I$5, CN165)),"-")</f>
        <v/>
      </c>
      <c r="HO165" s="41" t="str">
        <f t="shared" ref="HO165:HO170" si="1642">IFERROR(IF(ISBLANK(CO165), "-", IF($I165="c", CO165*$I$5, CO165)),"-")</f>
        <v/>
      </c>
      <c r="HP165" s="41" t="str">
        <f t="shared" ref="HP165:HP170" si="1643">IFERROR(IF(ISBLANK(CP165), "-", IF($I165="c", CP165*$I$5, CP165)),"-")</f>
        <v/>
      </c>
      <c r="HQ165" s="41" t="str">
        <f t="shared" ref="HQ165:HQ170" si="1644">IFERROR(IF(ISBLANK(CQ165), "-", IF($I165="c", CQ165*$I$5, CQ165)),"-")</f>
        <v/>
      </c>
      <c r="HR165" s="41" t="str">
        <f t="shared" ref="HR165:HR170" si="1645">IFERROR(IF(ISBLANK(CR165), "-", IF($I165="c", CR165*$I$5, CR165)),"-")</f>
        <v/>
      </c>
      <c r="HS165" s="41" t="str">
        <f t="shared" ref="HS165:HS170" si="1646">IFERROR(IF(ISBLANK(CS165), "-", IF($I165="c", CS165*$I$5, CS165)),"-")</f>
        <v/>
      </c>
      <c r="HT165" s="41" t="str">
        <f t="shared" ref="HT165:HT170" si="1647">IFERROR(IF(ISBLANK(CT165), "-", IF($I165="c", CT165*$I$5, CT165)),"-")</f>
        <v/>
      </c>
      <c r="HU165" s="41" t="str">
        <f t="shared" ref="HU165:HU170" si="1648">IFERROR(IF(ISBLANK(CU165), "-", IF($I165="c", CU165*$I$5, CU165)),"-")</f>
        <v/>
      </c>
      <c r="HV165" s="41" t="str">
        <f t="shared" ref="HV165:HV170" si="1649">IFERROR(IF(ISBLANK(CV165), "-", IF($I165="c", CV165*$I$5, CV165)),"-")</f>
        <v/>
      </c>
      <c r="HW165" s="41" t="str">
        <f t="shared" ref="HW165:HW170" si="1650">IFERROR(IF(ISBLANK(CW165), "-", IF($I165="c", CW165*$I$5, CW165)),"-")</f>
        <v/>
      </c>
      <c r="HX165" s="41" t="str">
        <f t="shared" ref="HX165:HX170" si="1651">IFERROR(IF(ISBLANK(CX165), "-", IF($I165="c", CX165*$I$5, CX165)),"-")</f>
        <v/>
      </c>
      <c r="HY165" s="41" t="str">
        <f t="shared" ref="HY165:HY170" si="1652">IFERROR(IF(ISBLANK(CY165), "-", IF($I165="c", CY165*$I$5, CY165)),"-")</f>
        <v/>
      </c>
      <c r="HZ165" s="41" t="str">
        <f t="shared" ref="HZ165:HZ170" si="1653">IFERROR(IF(ISBLANK(CZ165), "-", IF($I165="c", CZ165*$I$5, CZ165)),"-")</f>
        <v/>
      </c>
      <c r="IA165" s="41" t="str">
        <f t="shared" ref="IA165:IA170" si="1654">IFERROR(IF(ISBLANK(DA165), "-", IF($I165="c", DA165*$I$5, DA165)),"-")</f>
        <v/>
      </c>
      <c r="IB165" s="41" t="str">
        <f t="shared" ref="IB165:IB170" si="1655">IFERROR(IF(ISBLANK(DB165), "-", IF($I165="c", DB165*$I$5, DB165)),"-")</f>
        <v/>
      </c>
      <c r="IC165" s="41" t="str">
        <f t="shared" ref="IC165:IC170" si="1656">IFERROR(IF(ISBLANK(DC165), "-", IF($I165="c", DC165*$I$5, DC165)),"-")</f>
        <v/>
      </c>
      <c r="ID165" s="41" t="str">
        <f t="shared" ref="ID165:ID170" si="1657">IFERROR(IF(ISBLANK(DD165), "-", IF($I165="c", DD165*$I$5, DD165)),"-")</f>
        <v/>
      </c>
      <c r="IE165" s="41" t="str">
        <f t="shared" ref="IE165:IE170" si="1658">IFERROR(IF(ISBLANK(DE165), "-", IF($I165="c", DE165*$I$5, DE165)),"-")</f>
        <v/>
      </c>
      <c r="IF165" s="41" t="str">
        <f t="shared" ref="IF165:IF170" si="1659">IFERROR(IF(ISBLANK(DF165), "-", IF($I165="c", DF165*$I$5, DF165)),"-")</f>
        <v/>
      </c>
      <c r="IG165" s="306">
        <f t="shared" ref="IG165:IG170" si="1660">IFERROR(IF(ISBLANK(DH165), "-", IF($I165="c", DH165*$I$5, DH165)),"-")</f>
        <v>0</v>
      </c>
      <c r="IH165" s="44" t="str">
        <f t="shared" ref="IH165:IH170" si="1661">IFERROR(IF(ISBLANK(DI165), "-", IF($I165="c", DI165*$I$5, DI165)),"-")</f>
        <v/>
      </c>
      <c r="II165" s="44" t="str">
        <f t="shared" ref="II165:II170" si="1662">IFERROR(IF(ISBLANK(DJ165), "-", IF($I165="c", DJ165*$I$5, DJ165)),"-")</f>
        <v/>
      </c>
      <c r="IJ165" s="44" t="str">
        <f t="shared" ref="IJ165:IJ170" si="1663">IFERROR(IF(ISBLANK(DK165), "-", IF($I165="c", DK165*$I$5, DK165)),"-")</f>
        <v/>
      </c>
      <c r="IK165" s="44" t="str">
        <f t="shared" ref="IK165:IK170" si="1664">IFERROR(IF(ISBLANK(DL165), "-", IF($I165="c", DL165*$I$5, DL165)),"-")</f>
        <v/>
      </c>
      <c r="IL165" s="44" t="str">
        <f t="shared" ref="IL165:IL170" si="1665">IFERROR(IF(ISBLANK(DM165), "-", IF($I165="c", DM165*$I$5, DM165)),"-")</f>
        <v/>
      </c>
      <c r="IM165" s="306" t="str">
        <f t="shared" ref="IM165:IM170" si="1666">IFERROR(IF(ISBLANK(DO165), "", IF($I165="c",DO165*$I$5, DO165)),"-")</f>
        <v/>
      </c>
      <c r="IN165" s="44" t="str">
        <f t="shared" ref="IN165:IN170" si="1667">IFERROR(IF(ISBLANK(DP165), "", IF($I165="c",DP165*$I$5, DP165)),"-")</f>
        <v/>
      </c>
      <c r="IO165" s="44" t="str">
        <f t="shared" ref="IO165:IO170" si="1668">IFERROR(IF(ISBLANK(DQ165), "", IF($I165="c",DQ165*$I$5, DQ165)),"-")</f>
        <v/>
      </c>
      <c r="IP165" s="44" t="str">
        <f t="shared" ref="IP165:IP170" si="1669">IFERROR(IF(ISBLANK(DR165), "", IF($I165="c",DR165*$I$5, DR165)),"-")</f>
        <v/>
      </c>
      <c r="IQ165" s="44" t="str">
        <f t="shared" ref="IQ165:IQ170" si="1670">IFERROR(IF(ISBLANK(DS165), "", IF($I165="c",DS165*$I$5, DS165)),"-")</f>
        <v/>
      </c>
      <c r="IR165" s="44" t="str">
        <f t="shared" ref="IR165:IR170" si="1671">IFERROR(IF(ISBLANK(DT165), "", IF($I165="c",DT165*$I$5, DT165)),"-")</f>
        <v/>
      </c>
      <c r="IS165" s="306" t="str">
        <f t="shared" ref="IS165:IS170" si="1672">IFERROR(IF(ISBLANK(DV165), "", IF($I165="c", DV165*$I$5, DV165)),"-")</f>
        <v/>
      </c>
      <c r="IT165" s="44" t="str">
        <f t="shared" ref="IT165:IT170" si="1673">IFERROR(IF(ISBLANK(DW165), "", IF($I165="c", DW165*$I$5, DW165)),"-")</f>
        <v/>
      </c>
      <c r="IU165" s="44" t="str">
        <f t="shared" ref="IU165:IU170" si="1674">IFERROR(IF(ISBLANK(DX165), "", IF($I165="c", DX165*$I$5, DX165)),"-")</f>
        <v/>
      </c>
      <c r="IV165" s="44" t="str">
        <f t="shared" ref="IV165:IV170" si="1675">IFERROR(IF(ISBLANK(DY165), "", IF($I165="c", DY165*$I$5, DY165)),"-")</f>
        <v/>
      </c>
      <c r="IW165" s="44" t="str">
        <f t="shared" ref="IW165:IW170" si="1676">IFERROR(IF(ISBLANK(DZ165), "", IF($I165="c", DZ165*$I$5, DZ165)),"-")</f>
        <v/>
      </c>
      <c r="IX165" s="44" t="str">
        <f t="shared" ref="IX165:IX170" si="1677">IFERROR(IF(ISBLANK(EA165), "", IF($I165="c", EA165*$I$5, EA165)),"-")</f>
        <v/>
      </c>
      <c r="IY165" s="306" t="str">
        <f t="shared" ref="IY165:IY170" si="1678">IFERROR(IF(ISBLANK(EC165), "", IF($I165="c", EC165*$I$5, EC165)),"-")</f>
        <v/>
      </c>
      <c r="IZ165" s="44" t="str">
        <f t="shared" ref="IZ165:IZ170" si="1679">IFERROR(IF(ISBLANK(ED165), "", IF($I165="c", ED165*$I$5, ED165)),"-")</f>
        <v/>
      </c>
      <c r="JA165" s="44" t="str">
        <f t="shared" ref="JA165:JA170" si="1680">IFERROR(IF(ISBLANK(EE165), "", IF($I165="c", EE165*$I$5, EE165)),"-")</f>
        <v/>
      </c>
      <c r="JB165" s="44" t="str">
        <f t="shared" ref="JB165:JB170" si="1681">IFERROR(IF(ISBLANK(EF165), "", IF($I165="c", EF165*$I$5, EF165)),"-")</f>
        <v/>
      </c>
      <c r="JC165" s="44" t="str">
        <f t="shared" ref="JC165:JC170" si="1682">IFERROR(IF(ISBLANK(EG165), "", IF($I165="c", EG165*$I$5, EG165)),"-")</f>
        <v/>
      </c>
      <c r="JD165" s="307" t="str">
        <f t="shared" ref="JD165:JD170" si="1683">IFERROR(IF(ISBLANK(EH165), "", IF($I165="c", EH165*$I$5, EH165)),"-")</f>
        <v/>
      </c>
      <c r="JF165" s="66">
        <f t="shared" si="1424"/>
        <v>165</v>
      </c>
      <c r="JG165" s="66">
        <f t="shared" ca="1" si="1425"/>
        <v>0</v>
      </c>
      <c r="JH165" s="66">
        <f t="shared" ca="1" si="1426"/>
        <v>0</v>
      </c>
      <c r="JI165" s="66">
        <f t="shared" ca="1" si="1427"/>
        <v>0</v>
      </c>
      <c r="JJ165" s="66">
        <f t="shared" ca="1" si="1428"/>
        <v>0</v>
      </c>
      <c r="JK165" s="33"/>
      <c r="JL165" s="74" t="str">
        <f t="shared" ca="1" si="1429"/>
        <v>-</v>
      </c>
      <c r="JM165" s="75">
        <f t="shared" ca="1" si="1430"/>
        <v>0</v>
      </c>
      <c r="JN165" s="75">
        <f t="shared" ca="1" si="1431"/>
        <v>0</v>
      </c>
      <c r="JO165" s="74" t="str">
        <f t="shared" ca="1" si="1432"/>
        <v>-</v>
      </c>
      <c r="JP165" s="74">
        <f t="shared" ca="1" si="1433"/>
        <v>0</v>
      </c>
    </row>
    <row r="166" spans="1:276" hidden="1" outlineLevel="1" x14ac:dyDescent="0.35">
      <c r="A166" s="125" t="s">
        <v>805</v>
      </c>
      <c r="B166" s="125" t="s">
        <v>805</v>
      </c>
      <c r="C166" s="125" t="s">
        <v>805</v>
      </c>
      <c r="E166" s="142" t="s">
        <v>883</v>
      </c>
      <c r="F166" s="254" t="s">
        <v>766</v>
      </c>
      <c r="G166" t="s">
        <v>542</v>
      </c>
      <c r="H166" t="s">
        <v>531</v>
      </c>
      <c r="I166" t="s">
        <v>534</v>
      </c>
      <c r="J166" s="211" t="s">
        <v>805</v>
      </c>
      <c r="K166" t="s">
        <v>805</v>
      </c>
      <c r="L166" t="s">
        <v>805</v>
      </c>
      <c r="M166" t="s">
        <v>805</v>
      </c>
      <c r="N166" t="s">
        <v>805</v>
      </c>
      <c r="O166" t="s">
        <v>805</v>
      </c>
      <c r="P166" t="s">
        <v>805</v>
      </c>
      <c r="Q166" t="s">
        <v>805</v>
      </c>
      <c r="R166" t="s">
        <v>805</v>
      </c>
      <c r="S166" t="s">
        <v>805</v>
      </c>
      <c r="T166" t="s">
        <v>805</v>
      </c>
      <c r="U166" t="s">
        <v>805</v>
      </c>
      <c r="V166" t="s">
        <v>805</v>
      </c>
      <c r="W166" t="s">
        <v>805</v>
      </c>
      <c r="X166" t="s">
        <v>805</v>
      </c>
      <c r="Y166" t="s">
        <v>805</v>
      </c>
      <c r="Z166" t="s">
        <v>805</v>
      </c>
      <c r="AA166" t="s">
        <v>805</v>
      </c>
      <c r="AB166" t="s">
        <v>805</v>
      </c>
      <c r="AC166" t="s">
        <v>805</v>
      </c>
      <c r="AD166" t="s">
        <v>805</v>
      </c>
      <c r="AE166" t="s">
        <v>805</v>
      </c>
      <c r="AF166" t="s">
        <v>805</v>
      </c>
      <c r="AG166" t="s">
        <v>805</v>
      </c>
      <c r="AH166" t="s">
        <v>805</v>
      </c>
      <c r="AI166" t="s">
        <v>805</v>
      </c>
      <c r="AJ166" t="s">
        <v>805</v>
      </c>
      <c r="AK166" t="s">
        <v>805</v>
      </c>
      <c r="AL166" t="s">
        <v>805</v>
      </c>
      <c r="AM166" t="s">
        <v>805</v>
      </c>
      <c r="AN166" t="s">
        <v>805</v>
      </c>
      <c r="AO166" t="s">
        <v>805</v>
      </c>
      <c r="AP166" t="s">
        <v>805</v>
      </c>
      <c r="AQ166" t="s">
        <v>805</v>
      </c>
      <c r="AR166" t="s">
        <v>805</v>
      </c>
      <c r="AS166" t="s">
        <v>805</v>
      </c>
      <c r="AT166" t="s">
        <v>805</v>
      </c>
      <c r="AU166" t="s">
        <v>805</v>
      </c>
      <c r="AV166" t="s">
        <v>805</v>
      </c>
      <c r="AW166" t="s">
        <v>805</v>
      </c>
      <c r="AX166" t="s">
        <v>805</v>
      </c>
      <c r="AY166" t="s">
        <v>805</v>
      </c>
      <c r="AZ166" t="s">
        <v>805</v>
      </c>
      <c r="BA166" t="s">
        <v>805</v>
      </c>
      <c r="BB166" t="s">
        <v>805</v>
      </c>
      <c r="BC166" t="s">
        <v>805</v>
      </c>
      <c r="BD166" t="s">
        <v>805</v>
      </c>
      <c r="BE166" t="s">
        <v>805</v>
      </c>
      <c r="BF166" t="s">
        <v>805</v>
      </c>
      <c r="BG166" t="s">
        <v>805</v>
      </c>
      <c r="BH166" t="s">
        <v>805</v>
      </c>
      <c r="BI166" t="s">
        <v>805</v>
      </c>
      <c r="BJ166" t="s">
        <v>805</v>
      </c>
      <c r="BK166" t="s">
        <v>805</v>
      </c>
      <c r="BL166" t="s">
        <v>805</v>
      </c>
      <c r="BM166" t="s">
        <v>805</v>
      </c>
      <c r="BN166" t="s">
        <v>805</v>
      </c>
      <c r="BO166" t="s">
        <v>805</v>
      </c>
      <c r="BP166" t="s">
        <v>805</v>
      </c>
      <c r="BQ166" t="s">
        <v>805</v>
      </c>
      <c r="BR166" t="s">
        <v>805</v>
      </c>
      <c r="BS166" t="s">
        <v>805</v>
      </c>
      <c r="BT166" t="s">
        <v>805</v>
      </c>
      <c r="BU166" t="s">
        <v>805</v>
      </c>
      <c r="BV166" t="s">
        <v>805</v>
      </c>
      <c r="BW166" t="s">
        <v>805</v>
      </c>
      <c r="BX166" t="s">
        <v>805</v>
      </c>
      <c r="BY166" t="s">
        <v>805</v>
      </c>
      <c r="BZ166" t="s">
        <v>805</v>
      </c>
      <c r="CA166" t="s">
        <v>805</v>
      </c>
      <c r="CB166" t="s">
        <v>805</v>
      </c>
      <c r="CC166" t="s">
        <v>805</v>
      </c>
      <c r="CD166" t="s">
        <v>805</v>
      </c>
      <c r="CE166" t="s">
        <v>805</v>
      </c>
      <c r="CF166" t="s">
        <v>805</v>
      </c>
      <c r="CG166" t="s">
        <v>805</v>
      </c>
      <c r="CH166" t="s">
        <v>805</v>
      </c>
      <c r="CI166" t="s">
        <v>805</v>
      </c>
      <c r="CJ166" t="s">
        <v>805</v>
      </c>
      <c r="CK166" t="s">
        <v>805</v>
      </c>
      <c r="CL166" t="s">
        <v>805</v>
      </c>
      <c r="CM166" t="s">
        <v>805</v>
      </c>
      <c r="CN166" t="s">
        <v>805</v>
      </c>
      <c r="CO166" t="s">
        <v>805</v>
      </c>
      <c r="CP166" t="s">
        <v>805</v>
      </c>
      <c r="CQ166" t="s">
        <v>805</v>
      </c>
      <c r="CR166" t="s">
        <v>805</v>
      </c>
      <c r="CS166" t="s">
        <v>805</v>
      </c>
      <c r="CT166" t="s">
        <v>805</v>
      </c>
      <c r="CU166" t="s">
        <v>805</v>
      </c>
      <c r="CV166" t="s">
        <v>805</v>
      </c>
      <c r="CW166" t="s">
        <v>805</v>
      </c>
      <c r="CX166" t="s">
        <v>805</v>
      </c>
      <c r="CY166" t="s">
        <v>805</v>
      </c>
      <c r="CZ166" t="s">
        <v>805</v>
      </c>
      <c r="DA166" t="s">
        <v>805</v>
      </c>
      <c r="DB166" t="s">
        <v>805</v>
      </c>
      <c r="DC166" t="s">
        <v>805</v>
      </c>
      <c r="DD166" t="s">
        <v>805</v>
      </c>
      <c r="DE166" t="s">
        <v>805</v>
      </c>
      <c r="DF166" t="s">
        <v>805</v>
      </c>
      <c r="DG166" s="28">
        <f>VLOOKUP(E166,'KPI Count-SHARE'!A:F,3,0)</f>
        <v>0</v>
      </c>
      <c r="DH166" t="s">
        <v>805</v>
      </c>
      <c r="DI166" t="s">
        <v>805</v>
      </c>
      <c r="DJ166" t="s">
        <v>805</v>
      </c>
      <c r="DK166" t="s">
        <v>805</v>
      </c>
      <c r="DL166" t="s">
        <v>805</v>
      </c>
      <c r="DM166" t="s">
        <v>805</v>
      </c>
      <c r="DN166" s="28">
        <f>VLOOKUP(E166,'KPI Count-SHARE'!A:F,4,0)</f>
        <v>0</v>
      </c>
      <c r="DU166" s="28">
        <f>VLOOKUP(E166,'KPI Count-SHARE'!A:F,5,0)</f>
        <v>0</v>
      </c>
      <c r="EB166" s="28">
        <f>VLOOKUP(E166,'KPI Count-SHARE'!A:F,6,0)</f>
        <v>0</v>
      </c>
      <c r="EI166" t="s">
        <v>531</v>
      </c>
      <c r="EJ166" s="41" t="str">
        <f t="shared" si="1559"/>
        <v/>
      </c>
      <c r="EK166" s="41" t="str">
        <f t="shared" si="1560"/>
        <v/>
      </c>
      <c r="EL166" s="41" t="str">
        <f t="shared" si="1561"/>
        <v/>
      </c>
      <c r="EM166" s="41" t="str">
        <f t="shared" si="1562"/>
        <v/>
      </c>
      <c r="EN166" s="41" t="str">
        <f t="shared" si="1563"/>
        <v/>
      </c>
      <c r="EO166" s="41" t="str">
        <f t="shared" si="1564"/>
        <v/>
      </c>
      <c r="EP166" s="41" t="str">
        <f t="shared" si="1565"/>
        <v/>
      </c>
      <c r="EQ166" s="41" t="str">
        <f t="shared" si="1566"/>
        <v/>
      </c>
      <c r="ER166" s="41" t="str">
        <f t="shared" si="1567"/>
        <v/>
      </c>
      <c r="ES166" s="41" t="str">
        <f t="shared" si="1568"/>
        <v/>
      </c>
      <c r="ET166" s="41" t="str">
        <f t="shared" si="1569"/>
        <v/>
      </c>
      <c r="EU166" s="41" t="str">
        <f t="shared" si="1570"/>
        <v/>
      </c>
      <c r="EV166" s="41" t="str">
        <f t="shared" si="1571"/>
        <v/>
      </c>
      <c r="EW166" s="41" t="str">
        <f t="shared" si="1572"/>
        <v/>
      </c>
      <c r="EX166" s="41" t="str">
        <f t="shared" si="1573"/>
        <v/>
      </c>
      <c r="EY166" s="41" t="str">
        <f t="shared" si="1574"/>
        <v/>
      </c>
      <c r="EZ166" s="41" t="str">
        <f t="shared" si="1575"/>
        <v/>
      </c>
      <c r="FA166" s="41" t="str">
        <f t="shared" si="1576"/>
        <v/>
      </c>
      <c r="FB166" s="41" t="str">
        <f t="shared" si="1577"/>
        <v/>
      </c>
      <c r="FC166" s="41" t="str">
        <f t="shared" si="1578"/>
        <v/>
      </c>
      <c r="FD166" s="41" t="str">
        <f t="shared" si="1579"/>
        <v/>
      </c>
      <c r="FE166" s="41" t="str">
        <f t="shared" si="1580"/>
        <v/>
      </c>
      <c r="FF166" s="41" t="str">
        <f t="shared" si="1581"/>
        <v/>
      </c>
      <c r="FG166" s="41" t="str">
        <f t="shared" si="1582"/>
        <v/>
      </c>
      <c r="FH166" s="41" t="str">
        <f t="shared" si="1583"/>
        <v/>
      </c>
      <c r="FI166" s="41" t="str">
        <f t="shared" si="1584"/>
        <v/>
      </c>
      <c r="FJ166" s="41" t="str">
        <f t="shared" si="1585"/>
        <v/>
      </c>
      <c r="FK166" s="41" t="str">
        <f t="shared" si="1586"/>
        <v/>
      </c>
      <c r="FL166" s="41" t="str">
        <f t="shared" si="1587"/>
        <v/>
      </c>
      <c r="FM166" s="41" t="str">
        <f t="shared" si="1588"/>
        <v/>
      </c>
      <c r="FN166" s="41" t="str">
        <f t="shared" si="1589"/>
        <v/>
      </c>
      <c r="FO166" s="41" t="str">
        <f t="shared" si="1590"/>
        <v/>
      </c>
      <c r="FP166" s="41" t="str">
        <f t="shared" si="1591"/>
        <v/>
      </c>
      <c r="FQ166" s="41" t="str">
        <f t="shared" si="1592"/>
        <v/>
      </c>
      <c r="FR166" s="41" t="str">
        <f t="shared" si="1593"/>
        <v/>
      </c>
      <c r="FS166" s="41" t="str">
        <f t="shared" si="1594"/>
        <v/>
      </c>
      <c r="FT166" s="41" t="str">
        <f t="shared" si="1595"/>
        <v/>
      </c>
      <c r="FU166" s="41" t="str">
        <f t="shared" si="1596"/>
        <v/>
      </c>
      <c r="FV166" s="41" t="str">
        <f t="shared" si="1597"/>
        <v/>
      </c>
      <c r="FW166" s="41" t="str">
        <f t="shared" si="1598"/>
        <v/>
      </c>
      <c r="FX166" s="41" t="str">
        <f t="shared" si="1599"/>
        <v/>
      </c>
      <c r="FY166" s="41" t="str">
        <f t="shared" si="1600"/>
        <v/>
      </c>
      <c r="FZ166" s="41" t="str">
        <f t="shared" si="1601"/>
        <v/>
      </c>
      <c r="GA166" s="41" t="str">
        <f t="shared" si="1602"/>
        <v/>
      </c>
      <c r="GB166" s="41" t="str">
        <f t="shared" si="1603"/>
        <v/>
      </c>
      <c r="GC166" s="41" t="str">
        <f t="shared" si="1604"/>
        <v/>
      </c>
      <c r="GD166" s="41" t="str">
        <f t="shared" si="1605"/>
        <v/>
      </c>
      <c r="GE166" s="41" t="str">
        <f t="shared" si="1606"/>
        <v/>
      </c>
      <c r="GF166" s="41" t="str">
        <f t="shared" si="1607"/>
        <v/>
      </c>
      <c r="GG166" s="41" t="str">
        <f t="shared" si="1608"/>
        <v/>
      </c>
      <c r="GH166" s="41" t="str">
        <f t="shared" si="1609"/>
        <v/>
      </c>
      <c r="GI166" s="41" t="str">
        <f t="shared" si="1610"/>
        <v/>
      </c>
      <c r="GJ166" s="41" t="str">
        <f t="shared" si="1611"/>
        <v/>
      </c>
      <c r="GK166" s="41" t="str">
        <f t="shared" si="1612"/>
        <v/>
      </c>
      <c r="GL166" s="41" t="str">
        <f t="shared" si="1613"/>
        <v/>
      </c>
      <c r="GM166" s="41" t="str">
        <f t="shared" si="1614"/>
        <v/>
      </c>
      <c r="GN166" s="41" t="str">
        <f t="shared" si="1615"/>
        <v/>
      </c>
      <c r="GO166" s="41" t="str">
        <f t="shared" si="1616"/>
        <v/>
      </c>
      <c r="GP166" s="41" t="str">
        <f t="shared" si="1617"/>
        <v/>
      </c>
      <c r="GQ166" s="41" t="str">
        <f t="shared" si="1618"/>
        <v/>
      </c>
      <c r="GR166" s="41" t="str">
        <f t="shared" si="1619"/>
        <v/>
      </c>
      <c r="GS166" s="41" t="str">
        <f t="shared" si="1620"/>
        <v/>
      </c>
      <c r="GT166" s="41" t="str">
        <f t="shared" si="1621"/>
        <v/>
      </c>
      <c r="GU166" s="41" t="str">
        <f t="shared" si="1622"/>
        <v/>
      </c>
      <c r="GV166" s="41" t="str">
        <f t="shared" si="1623"/>
        <v/>
      </c>
      <c r="GW166" s="41" t="str">
        <f t="shared" si="1624"/>
        <v/>
      </c>
      <c r="GX166" s="41" t="str">
        <f t="shared" si="1625"/>
        <v/>
      </c>
      <c r="GY166" s="41" t="str">
        <f t="shared" si="1626"/>
        <v/>
      </c>
      <c r="GZ166" s="41" t="str">
        <f t="shared" si="1627"/>
        <v/>
      </c>
      <c r="HA166" s="41" t="str">
        <f t="shared" si="1628"/>
        <v/>
      </c>
      <c r="HB166" s="41" t="str">
        <f t="shared" si="1629"/>
        <v/>
      </c>
      <c r="HC166" s="41" t="str">
        <f t="shared" si="1630"/>
        <v/>
      </c>
      <c r="HD166" s="41" t="str">
        <f t="shared" si="1631"/>
        <v/>
      </c>
      <c r="HE166" s="41" t="str">
        <f t="shared" si="1632"/>
        <v/>
      </c>
      <c r="HF166" s="41" t="str">
        <f t="shared" si="1633"/>
        <v/>
      </c>
      <c r="HG166" s="41" t="str">
        <f t="shared" si="1634"/>
        <v/>
      </c>
      <c r="HH166" s="41" t="str">
        <f t="shared" si="1635"/>
        <v/>
      </c>
      <c r="HI166" s="41" t="str">
        <f t="shared" si="1636"/>
        <v/>
      </c>
      <c r="HJ166" s="41" t="str">
        <f t="shared" si="1637"/>
        <v/>
      </c>
      <c r="HK166" s="41" t="str">
        <f t="shared" si="1638"/>
        <v/>
      </c>
      <c r="HL166" s="41" t="str">
        <f t="shared" si="1639"/>
        <v/>
      </c>
      <c r="HM166" s="41" t="str">
        <f t="shared" si="1640"/>
        <v/>
      </c>
      <c r="HN166" s="41" t="str">
        <f t="shared" si="1641"/>
        <v/>
      </c>
      <c r="HO166" s="41" t="str">
        <f t="shared" si="1642"/>
        <v/>
      </c>
      <c r="HP166" s="41" t="str">
        <f t="shared" si="1643"/>
        <v/>
      </c>
      <c r="HQ166" s="41" t="str">
        <f t="shared" si="1644"/>
        <v/>
      </c>
      <c r="HR166" s="41" t="str">
        <f t="shared" si="1645"/>
        <v/>
      </c>
      <c r="HS166" s="41" t="str">
        <f t="shared" si="1646"/>
        <v/>
      </c>
      <c r="HT166" s="41" t="str">
        <f t="shared" si="1647"/>
        <v/>
      </c>
      <c r="HU166" s="41" t="str">
        <f t="shared" si="1648"/>
        <v/>
      </c>
      <c r="HV166" s="41" t="str">
        <f t="shared" si="1649"/>
        <v/>
      </c>
      <c r="HW166" s="41" t="str">
        <f t="shared" si="1650"/>
        <v/>
      </c>
      <c r="HX166" s="41" t="str">
        <f t="shared" si="1651"/>
        <v/>
      </c>
      <c r="HY166" s="41" t="str">
        <f t="shared" si="1652"/>
        <v/>
      </c>
      <c r="HZ166" s="41" t="str">
        <f t="shared" si="1653"/>
        <v/>
      </c>
      <c r="IA166" s="41" t="str">
        <f t="shared" si="1654"/>
        <v/>
      </c>
      <c r="IB166" s="41" t="str">
        <f t="shared" si="1655"/>
        <v/>
      </c>
      <c r="IC166" s="41" t="str">
        <f t="shared" si="1656"/>
        <v/>
      </c>
      <c r="ID166" s="41" t="str">
        <f t="shared" si="1657"/>
        <v/>
      </c>
      <c r="IE166" s="41" t="str">
        <f t="shared" si="1658"/>
        <v/>
      </c>
      <c r="IF166" s="41" t="str">
        <f t="shared" si="1659"/>
        <v/>
      </c>
      <c r="IG166" s="306" t="str">
        <f t="shared" si="1660"/>
        <v/>
      </c>
      <c r="IH166" s="44" t="str">
        <f t="shared" si="1661"/>
        <v/>
      </c>
      <c r="II166" s="44" t="str">
        <f t="shared" si="1662"/>
        <v/>
      </c>
      <c r="IJ166" s="44" t="str">
        <f t="shared" si="1663"/>
        <v/>
      </c>
      <c r="IK166" s="44" t="str">
        <f t="shared" si="1664"/>
        <v/>
      </c>
      <c r="IL166" s="44" t="str">
        <f t="shared" si="1665"/>
        <v/>
      </c>
      <c r="IM166" s="306" t="str">
        <f t="shared" si="1666"/>
        <v/>
      </c>
      <c r="IN166" s="44" t="str">
        <f t="shared" si="1667"/>
        <v/>
      </c>
      <c r="IO166" s="44" t="str">
        <f t="shared" si="1668"/>
        <v/>
      </c>
      <c r="IP166" s="44" t="str">
        <f t="shared" si="1669"/>
        <v/>
      </c>
      <c r="IQ166" s="44" t="str">
        <f t="shared" si="1670"/>
        <v/>
      </c>
      <c r="IR166" s="44" t="str">
        <f t="shared" si="1671"/>
        <v/>
      </c>
      <c r="IS166" s="306" t="str">
        <f t="shared" si="1672"/>
        <v/>
      </c>
      <c r="IT166" s="44" t="str">
        <f t="shared" si="1673"/>
        <v/>
      </c>
      <c r="IU166" s="44" t="str">
        <f t="shared" si="1674"/>
        <v/>
      </c>
      <c r="IV166" s="44" t="str">
        <f t="shared" si="1675"/>
        <v/>
      </c>
      <c r="IW166" s="44" t="str">
        <f t="shared" si="1676"/>
        <v/>
      </c>
      <c r="IX166" s="44" t="str">
        <f t="shared" si="1677"/>
        <v/>
      </c>
      <c r="IY166" s="306" t="str">
        <f t="shared" si="1678"/>
        <v/>
      </c>
      <c r="IZ166" s="44" t="str">
        <f t="shared" si="1679"/>
        <v/>
      </c>
      <c r="JA166" s="44" t="str">
        <f t="shared" si="1680"/>
        <v/>
      </c>
      <c r="JB166" s="44" t="str">
        <f t="shared" si="1681"/>
        <v/>
      </c>
      <c r="JC166" s="44" t="str">
        <f t="shared" si="1682"/>
        <v/>
      </c>
      <c r="JD166" s="307" t="str">
        <f t="shared" si="1683"/>
        <v/>
      </c>
      <c r="JF166" s="66">
        <f t="shared" si="1424"/>
        <v>166</v>
      </c>
      <c r="JG166" s="66">
        <f t="shared" ca="1" si="1425"/>
        <v>0</v>
      </c>
      <c r="JH166" s="66">
        <f t="shared" ca="1" si="1426"/>
        <v>0</v>
      </c>
      <c r="JI166" s="66">
        <f t="shared" ca="1" si="1427"/>
        <v>0</v>
      </c>
      <c r="JJ166" s="66">
        <f t="shared" ca="1" si="1428"/>
        <v>0</v>
      </c>
      <c r="JK166" s="33"/>
      <c r="JL166" s="74" t="str">
        <f t="shared" ca="1" si="1429"/>
        <v>-</v>
      </c>
      <c r="JM166" s="75">
        <f t="shared" ca="1" si="1430"/>
        <v>0</v>
      </c>
      <c r="JN166" s="75">
        <f t="shared" ca="1" si="1431"/>
        <v>0</v>
      </c>
      <c r="JO166" s="74" t="str">
        <f t="shared" ca="1" si="1432"/>
        <v>-</v>
      </c>
      <c r="JP166" s="74">
        <f t="shared" ca="1" si="1433"/>
        <v>0</v>
      </c>
    </row>
    <row r="167" spans="1:276" hidden="1" outlineLevel="1" x14ac:dyDescent="0.35">
      <c r="A167" s="125" t="s">
        <v>805</v>
      </c>
      <c r="B167" s="125" t="s">
        <v>805</v>
      </c>
      <c r="C167" s="125" t="s">
        <v>805</v>
      </c>
      <c r="E167" s="142" t="s">
        <v>884</v>
      </c>
      <c r="F167" s="254" t="s">
        <v>767</v>
      </c>
      <c r="G167" t="s">
        <v>542</v>
      </c>
      <c r="H167" t="s">
        <v>531</v>
      </c>
      <c r="I167" t="s">
        <v>534</v>
      </c>
      <c r="J167" s="211" t="s">
        <v>805</v>
      </c>
      <c r="K167" t="s">
        <v>805</v>
      </c>
      <c r="L167" t="s">
        <v>805</v>
      </c>
      <c r="M167" t="s">
        <v>805</v>
      </c>
      <c r="N167" t="s">
        <v>805</v>
      </c>
      <c r="O167" t="s">
        <v>805</v>
      </c>
      <c r="P167" t="s">
        <v>805</v>
      </c>
      <c r="Q167" t="s">
        <v>805</v>
      </c>
      <c r="R167" t="s">
        <v>805</v>
      </c>
      <c r="S167" t="s">
        <v>805</v>
      </c>
      <c r="T167" t="s">
        <v>805</v>
      </c>
      <c r="U167" t="s">
        <v>805</v>
      </c>
      <c r="V167" t="s">
        <v>805</v>
      </c>
      <c r="W167" t="s">
        <v>805</v>
      </c>
      <c r="X167" t="s">
        <v>805</v>
      </c>
      <c r="Y167" t="s">
        <v>805</v>
      </c>
      <c r="Z167" t="s">
        <v>805</v>
      </c>
      <c r="AA167" t="s">
        <v>805</v>
      </c>
      <c r="AB167" t="s">
        <v>805</v>
      </c>
      <c r="AC167" t="s">
        <v>805</v>
      </c>
      <c r="AD167" t="s">
        <v>805</v>
      </c>
      <c r="AE167" t="s">
        <v>805</v>
      </c>
      <c r="AF167" t="s">
        <v>805</v>
      </c>
      <c r="AG167" t="s">
        <v>805</v>
      </c>
      <c r="AH167" t="s">
        <v>805</v>
      </c>
      <c r="AI167" t="s">
        <v>805</v>
      </c>
      <c r="AJ167" t="s">
        <v>805</v>
      </c>
      <c r="AK167" t="s">
        <v>805</v>
      </c>
      <c r="AL167" t="s">
        <v>805</v>
      </c>
      <c r="AM167" t="s">
        <v>805</v>
      </c>
      <c r="AN167" t="s">
        <v>805</v>
      </c>
      <c r="AO167" t="s">
        <v>805</v>
      </c>
      <c r="AP167" t="s">
        <v>805</v>
      </c>
      <c r="AQ167" t="s">
        <v>805</v>
      </c>
      <c r="AR167" t="s">
        <v>805</v>
      </c>
      <c r="AS167" t="s">
        <v>805</v>
      </c>
      <c r="AT167" t="s">
        <v>805</v>
      </c>
      <c r="AU167" t="s">
        <v>805</v>
      </c>
      <c r="AV167" t="s">
        <v>805</v>
      </c>
      <c r="AW167" t="s">
        <v>805</v>
      </c>
      <c r="AX167" t="s">
        <v>805</v>
      </c>
      <c r="AY167" t="s">
        <v>805</v>
      </c>
      <c r="AZ167" t="s">
        <v>805</v>
      </c>
      <c r="BA167" t="s">
        <v>805</v>
      </c>
      <c r="BB167" t="s">
        <v>805</v>
      </c>
      <c r="BC167" t="s">
        <v>805</v>
      </c>
      <c r="BD167" t="s">
        <v>805</v>
      </c>
      <c r="BE167" t="s">
        <v>805</v>
      </c>
      <c r="BF167" t="s">
        <v>805</v>
      </c>
      <c r="BG167" t="s">
        <v>805</v>
      </c>
      <c r="BH167" t="s">
        <v>805</v>
      </c>
      <c r="BI167" t="s">
        <v>805</v>
      </c>
      <c r="BJ167" t="s">
        <v>805</v>
      </c>
      <c r="BK167" t="s">
        <v>805</v>
      </c>
      <c r="BL167" t="s">
        <v>805</v>
      </c>
      <c r="BM167" t="s">
        <v>805</v>
      </c>
      <c r="BN167" t="s">
        <v>805</v>
      </c>
      <c r="BO167" t="s">
        <v>805</v>
      </c>
      <c r="BP167" t="s">
        <v>805</v>
      </c>
      <c r="BQ167" t="s">
        <v>805</v>
      </c>
      <c r="BR167" t="s">
        <v>805</v>
      </c>
      <c r="BS167" t="s">
        <v>805</v>
      </c>
      <c r="BT167" t="s">
        <v>805</v>
      </c>
      <c r="BU167" t="s">
        <v>805</v>
      </c>
      <c r="BV167" t="s">
        <v>805</v>
      </c>
      <c r="BW167" t="s">
        <v>805</v>
      </c>
      <c r="BX167" t="s">
        <v>805</v>
      </c>
      <c r="BY167" t="s">
        <v>805</v>
      </c>
      <c r="BZ167" t="s">
        <v>805</v>
      </c>
      <c r="CA167" t="s">
        <v>805</v>
      </c>
      <c r="CB167" t="s">
        <v>805</v>
      </c>
      <c r="CC167" t="s">
        <v>805</v>
      </c>
      <c r="CD167" t="s">
        <v>805</v>
      </c>
      <c r="CE167" t="s">
        <v>805</v>
      </c>
      <c r="CF167" t="s">
        <v>805</v>
      </c>
      <c r="CG167" t="s">
        <v>805</v>
      </c>
      <c r="CH167" t="s">
        <v>805</v>
      </c>
      <c r="CI167" t="s">
        <v>805</v>
      </c>
      <c r="CJ167" t="s">
        <v>805</v>
      </c>
      <c r="CK167" t="s">
        <v>805</v>
      </c>
      <c r="CL167" t="s">
        <v>805</v>
      </c>
      <c r="CM167" t="s">
        <v>805</v>
      </c>
      <c r="CN167" t="s">
        <v>805</v>
      </c>
      <c r="CO167" t="s">
        <v>805</v>
      </c>
      <c r="CP167" t="s">
        <v>805</v>
      </c>
      <c r="CQ167" t="s">
        <v>805</v>
      </c>
      <c r="CR167" t="s">
        <v>805</v>
      </c>
      <c r="CS167" t="s">
        <v>805</v>
      </c>
      <c r="CT167" t="s">
        <v>805</v>
      </c>
      <c r="CU167" t="s">
        <v>805</v>
      </c>
      <c r="CV167" t="s">
        <v>805</v>
      </c>
      <c r="CW167" t="s">
        <v>805</v>
      </c>
      <c r="CX167" t="s">
        <v>805</v>
      </c>
      <c r="CY167" t="s">
        <v>805</v>
      </c>
      <c r="CZ167" t="s">
        <v>805</v>
      </c>
      <c r="DA167" t="s">
        <v>805</v>
      </c>
      <c r="DB167" t="s">
        <v>805</v>
      </c>
      <c r="DC167" t="s">
        <v>805</v>
      </c>
      <c r="DD167" t="s">
        <v>805</v>
      </c>
      <c r="DE167" t="s">
        <v>805</v>
      </c>
      <c r="DF167" t="s">
        <v>805</v>
      </c>
      <c r="DG167" s="28">
        <f>VLOOKUP(E167,'KPI Count-SHARE'!A:F,3,0)</f>
        <v>0</v>
      </c>
      <c r="DH167" t="s">
        <v>805</v>
      </c>
      <c r="DI167" t="s">
        <v>805</v>
      </c>
      <c r="DJ167" t="s">
        <v>805</v>
      </c>
      <c r="DK167" t="s">
        <v>805</v>
      </c>
      <c r="DL167" t="s">
        <v>805</v>
      </c>
      <c r="DM167" t="s">
        <v>805</v>
      </c>
      <c r="DN167" s="28">
        <f>VLOOKUP(E167,'KPI Count-SHARE'!A:F,4,0)</f>
        <v>0</v>
      </c>
      <c r="DU167" s="28">
        <f>VLOOKUP(E167,'KPI Count-SHARE'!A:F,5,0)</f>
        <v>0</v>
      </c>
      <c r="EB167" s="28">
        <f>VLOOKUP(E167,'KPI Count-SHARE'!A:F,6,0)</f>
        <v>0</v>
      </c>
      <c r="EI167" t="s">
        <v>531</v>
      </c>
      <c r="EJ167" s="41" t="str">
        <f t="shared" si="1559"/>
        <v/>
      </c>
      <c r="EK167" s="41" t="str">
        <f t="shared" si="1560"/>
        <v/>
      </c>
      <c r="EL167" s="41" t="str">
        <f t="shared" si="1561"/>
        <v/>
      </c>
      <c r="EM167" s="41" t="str">
        <f t="shared" si="1562"/>
        <v/>
      </c>
      <c r="EN167" s="41" t="str">
        <f t="shared" si="1563"/>
        <v/>
      </c>
      <c r="EO167" s="41" t="str">
        <f t="shared" si="1564"/>
        <v/>
      </c>
      <c r="EP167" s="41" t="str">
        <f t="shared" si="1565"/>
        <v/>
      </c>
      <c r="EQ167" s="41" t="str">
        <f t="shared" si="1566"/>
        <v/>
      </c>
      <c r="ER167" s="41" t="str">
        <f t="shared" si="1567"/>
        <v/>
      </c>
      <c r="ES167" s="41" t="str">
        <f t="shared" si="1568"/>
        <v/>
      </c>
      <c r="ET167" s="41" t="str">
        <f t="shared" si="1569"/>
        <v/>
      </c>
      <c r="EU167" s="41" t="str">
        <f t="shared" si="1570"/>
        <v/>
      </c>
      <c r="EV167" s="41" t="str">
        <f t="shared" si="1571"/>
        <v/>
      </c>
      <c r="EW167" s="41" t="str">
        <f t="shared" si="1572"/>
        <v/>
      </c>
      <c r="EX167" s="41" t="str">
        <f t="shared" si="1573"/>
        <v/>
      </c>
      <c r="EY167" s="41" t="str">
        <f t="shared" si="1574"/>
        <v/>
      </c>
      <c r="EZ167" s="41" t="str">
        <f t="shared" si="1575"/>
        <v/>
      </c>
      <c r="FA167" s="41" t="str">
        <f t="shared" si="1576"/>
        <v/>
      </c>
      <c r="FB167" s="41" t="str">
        <f t="shared" si="1577"/>
        <v/>
      </c>
      <c r="FC167" s="41" t="str">
        <f t="shared" si="1578"/>
        <v/>
      </c>
      <c r="FD167" s="41" t="str">
        <f t="shared" si="1579"/>
        <v/>
      </c>
      <c r="FE167" s="41" t="str">
        <f t="shared" si="1580"/>
        <v/>
      </c>
      <c r="FF167" s="41" t="str">
        <f t="shared" si="1581"/>
        <v/>
      </c>
      <c r="FG167" s="41" t="str">
        <f t="shared" si="1582"/>
        <v/>
      </c>
      <c r="FH167" s="41" t="str">
        <f t="shared" si="1583"/>
        <v/>
      </c>
      <c r="FI167" s="41" t="str">
        <f t="shared" si="1584"/>
        <v/>
      </c>
      <c r="FJ167" s="41" t="str">
        <f t="shared" si="1585"/>
        <v/>
      </c>
      <c r="FK167" s="41" t="str">
        <f t="shared" si="1586"/>
        <v/>
      </c>
      <c r="FL167" s="41" t="str">
        <f t="shared" si="1587"/>
        <v/>
      </c>
      <c r="FM167" s="41" t="str">
        <f t="shared" si="1588"/>
        <v/>
      </c>
      <c r="FN167" s="41" t="str">
        <f t="shared" si="1589"/>
        <v/>
      </c>
      <c r="FO167" s="41" t="str">
        <f t="shared" si="1590"/>
        <v/>
      </c>
      <c r="FP167" s="41" t="str">
        <f t="shared" si="1591"/>
        <v/>
      </c>
      <c r="FQ167" s="41" t="str">
        <f t="shared" si="1592"/>
        <v/>
      </c>
      <c r="FR167" s="41" t="str">
        <f t="shared" si="1593"/>
        <v/>
      </c>
      <c r="FS167" s="41" t="str">
        <f t="shared" si="1594"/>
        <v/>
      </c>
      <c r="FT167" s="41" t="str">
        <f t="shared" si="1595"/>
        <v/>
      </c>
      <c r="FU167" s="41" t="str">
        <f t="shared" si="1596"/>
        <v/>
      </c>
      <c r="FV167" s="41" t="str">
        <f t="shared" si="1597"/>
        <v/>
      </c>
      <c r="FW167" s="41" t="str">
        <f t="shared" si="1598"/>
        <v/>
      </c>
      <c r="FX167" s="41" t="str">
        <f t="shared" si="1599"/>
        <v/>
      </c>
      <c r="FY167" s="41" t="str">
        <f t="shared" si="1600"/>
        <v/>
      </c>
      <c r="FZ167" s="41" t="str">
        <f t="shared" si="1601"/>
        <v/>
      </c>
      <c r="GA167" s="41" t="str">
        <f t="shared" si="1602"/>
        <v/>
      </c>
      <c r="GB167" s="41" t="str">
        <f t="shared" si="1603"/>
        <v/>
      </c>
      <c r="GC167" s="41" t="str">
        <f t="shared" si="1604"/>
        <v/>
      </c>
      <c r="GD167" s="41" t="str">
        <f t="shared" si="1605"/>
        <v/>
      </c>
      <c r="GE167" s="41" t="str">
        <f t="shared" si="1606"/>
        <v/>
      </c>
      <c r="GF167" s="41" t="str">
        <f t="shared" si="1607"/>
        <v/>
      </c>
      <c r="GG167" s="41" t="str">
        <f t="shared" si="1608"/>
        <v/>
      </c>
      <c r="GH167" s="41" t="str">
        <f t="shared" si="1609"/>
        <v/>
      </c>
      <c r="GI167" s="41" t="str">
        <f t="shared" si="1610"/>
        <v/>
      </c>
      <c r="GJ167" s="41" t="str">
        <f t="shared" si="1611"/>
        <v/>
      </c>
      <c r="GK167" s="41" t="str">
        <f t="shared" si="1612"/>
        <v/>
      </c>
      <c r="GL167" s="41" t="str">
        <f t="shared" si="1613"/>
        <v/>
      </c>
      <c r="GM167" s="41" t="str">
        <f t="shared" si="1614"/>
        <v/>
      </c>
      <c r="GN167" s="41" t="str">
        <f t="shared" si="1615"/>
        <v/>
      </c>
      <c r="GO167" s="41" t="str">
        <f t="shared" si="1616"/>
        <v/>
      </c>
      <c r="GP167" s="41" t="str">
        <f t="shared" si="1617"/>
        <v/>
      </c>
      <c r="GQ167" s="41" t="str">
        <f t="shared" si="1618"/>
        <v/>
      </c>
      <c r="GR167" s="41" t="str">
        <f t="shared" si="1619"/>
        <v/>
      </c>
      <c r="GS167" s="41" t="str">
        <f t="shared" si="1620"/>
        <v/>
      </c>
      <c r="GT167" s="41" t="str">
        <f t="shared" si="1621"/>
        <v/>
      </c>
      <c r="GU167" s="41" t="str">
        <f t="shared" si="1622"/>
        <v/>
      </c>
      <c r="GV167" s="41" t="str">
        <f t="shared" si="1623"/>
        <v/>
      </c>
      <c r="GW167" s="41" t="str">
        <f t="shared" si="1624"/>
        <v/>
      </c>
      <c r="GX167" s="41" t="str">
        <f t="shared" si="1625"/>
        <v/>
      </c>
      <c r="GY167" s="41" t="str">
        <f t="shared" si="1626"/>
        <v/>
      </c>
      <c r="GZ167" s="41" t="str">
        <f t="shared" si="1627"/>
        <v/>
      </c>
      <c r="HA167" s="41" t="str">
        <f t="shared" si="1628"/>
        <v/>
      </c>
      <c r="HB167" s="41" t="str">
        <f t="shared" si="1629"/>
        <v/>
      </c>
      <c r="HC167" s="41" t="str">
        <f t="shared" si="1630"/>
        <v/>
      </c>
      <c r="HD167" s="41" t="str">
        <f t="shared" si="1631"/>
        <v/>
      </c>
      <c r="HE167" s="41" t="str">
        <f t="shared" si="1632"/>
        <v/>
      </c>
      <c r="HF167" s="41" t="str">
        <f t="shared" si="1633"/>
        <v/>
      </c>
      <c r="HG167" s="41" t="str">
        <f t="shared" si="1634"/>
        <v/>
      </c>
      <c r="HH167" s="41" t="str">
        <f t="shared" si="1635"/>
        <v/>
      </c>
      <c r="HI167" s="41" t="str">
        <f t="shared" si="1636"/>
        <v/>
      </c>
      <c r="HJ167" s="41" t="str">
        <f t="shared" si="1637"/>
        <v/>
      </c>
      <c r="HK167" s="41" t="str">
        <f t="shared" si="1638"/>
        <v/>
      </c>
      <c r="HL167" s="41" t="str">
        <f t="shared" si="1639"/>
        <v/>
      </c>
      <c r="HM167" s="41" t="str">
        <f t="shared" si="1640"/>
        <v/>
      </c>
      <c r="HN167" s="41" t="str">
        <f t="shared" si="1641"/>
        <v/>
      </c>
      <c r="HO167" s="41" t="str">
        <f t="shared" si="1642"/>
        <v/>
      </c>
      <c r="HP167" s="41" t="str">
        <f t="shared" si="1643"/>
        <v/>
      </c>
      <c r="HQ167" s="41" t="str">
        <f t="shared" si="1644"/>
        <v/>
      </c>
      <c r="HR167" s="41" t="str">
        <f t="shared" si="1645"/>
        <v/>
      </c>
      <c r="HS167" s="41" t="str">
        <f t="shared" si="1646"/>
        <v/>
      </c>
      <c r="HT167" s="41" t="str">
        <f t="shared" si="1647"/>
        <v/>
      </c>
      <c r="HU167" s="41" t="str">
        <f t="shared" si="1648"/>
        <v/>
      </c>
      <c r="HV167" s="41" t="str">
        <f t="shared" si="1649"/>
        <v/>
      </c>
      <c r="HW167" s="41" t="str">
        <f t="shared" si="1650"/>
        <v/>
      </c>
      <c r="HX167" s="41" t="str">
        <f t="shared" si="1651"/>
        <v/>
      </c>
      <c r="HY167" s="41" t="str">
        <f t="shared" si="1652"/>
        <v/>
      </c>
      <c r="HZ167" s="41" t="str">
        <f t="shared" si="1653"/>
        <v/>
      </c>
      <c r="IA167" s="41" t="str">
        <f t="shared" si="1654"/>
        <v/>
      </c>
      <c r="IB167" s="41" t="str">
        <f t="shared" si="1655"/>
        <v/>
      </c>
      <c r="IC167" s="41" t="str">
        <f t="shared" si="1656"/>
        <v/>
      </c>
      <c r="ID167" s="41" t="str">
        <f t="shared" si="1657"/>
        <v/>
      </c>
      <c r="IE167" s="41" t="str">
        <f t="shared" si="1658"/>
        <v/>
      </c>
      <c r="IF167" s="41" t="str">
        <f t="shared" si="1659"/>
        <v/>
      </c>
      <c r="IG167" s="306" t="str">
        <f t="shared" si="1660"/>
        <v/>
      </c>
      <c r="IH167" s="44" t="str">
        <f t="shared" si="1661"/>
        <v/>
      </c>
      <c r="II167" s="44" t="str">
        <f t="shared" si="1662"/>
        <v/>
      </c>
      <c r="IJ167" s="44" t="str">
        <f t="shared" si="1663"/>
        <v/>
      </c>
      <c r="IK167" s="44" t="str">
        <f t="shared" si="1664"/>
        <v/>
      </c>
      <c r="IL167" s="44" t="str">
        <f t="shared" si="1665"/>
        <v/>
      </c>
      <c r="IM167" s="306" t="str">
        <f t="shared" si="1666"/>
        <v/>
      </c>
      <c r="IN167" s="44" t="str">
        <f t="shared" si="1667"/>
        <v/>
      </c>
      <c r="IO167" s="44" t="str">
        <f t="shared" si="1668"/>
        <v/>
      </c>
      <c r="IP167" s="44" t="str">
        <f t="shared" si="1669"/>
        <v/>
      </c>
      <c r="IQ167" s="44" t="str">
        <f t="shared" si="1670"/>
        <v/>
      </c>
      <c r="IR167" s="44" t="str">
        <f t="shared" si="1671"/>
        <v/>
      </c>
      <c r="IS167" s="306" t="str">
        <f t="shared" si="1672"/>
        <v/>
      </c>
      <c r="IT167" s="44" t="str">
        <f t="shared" si="1673"/>
        <v/>
      </c>
      <c r="IU167" s="44" t="str">
        <f t="shared" si="1674"/>
        <v/>
      </c>
      <c r="IV167" s="44" t="str">
        <f t="shared" si="1675"/>
        <v/>
      </c>
      <c r="IW167" s="44" t="str">
        <f t="shared" si="1676"/>
        <v/>
      </c>
      <c r="IX167" s="44" t="str">
        <f t="shared" si="1677"/>
        <v/>
      </c>
      <c r="IY167" s="306" t="str">
        <f t="shared" si="1678"/>
        <v/>
      </c>
      <c r="IZ167" s="44" t="str">
        <f t="shared" si="1679"/>
        <v/>
      </c>
      <c r="JA167" s="44" t="str">
        <f t="shared" si="1680"/>
        <v/>
      </c>
      <c r="JB167" s="44" t="str">
        <f t="shared" si="1681"/>
        <v/>
      </c>
      <c r="JC167" s="44" t="str">
        <f t="shared" si="1682"/>
        <v/>
      </c>
      <c r="JD167" s="307" t="str">
        <f t="shared" si="1683"/>
        <v/>
      </c>
      <c r="JF167" s="66">
        <f t="shared" si="1424"/>
        <v>167</v>
      </c>
      <c r="JG167" s="66">
        <f t="shared" ca="1" si="1425"/>
        <v>0</v>
      </c>
      <c r="JH167" s="66">
        <f t="shared" ca="1" si="1426"/>
        <v>0</v>
      </c>
      <c r="JI167" s="66">
        <f t="shared" ca="1" si="1427"/>
        <v>0</v>
      </c>
      <c r="JJ167" s="66">
        <f t="shared" ca="1" si="1428"/>
        <v>0</v>
      </c>
      <c r="JK167" s="33"/>
      <c r="JL167" s="74" t="str">
        <f t="shared" ca="1" si="1429"/>
        <v>-</v>
      </c>
      <c r="JM167" s="75">
        <f t="shared" ca="1" si="1430"/>
        <v>0</v>
      </c>
      <c r="JN167" s="75">
        <f t="shared" ca="1" si="1431"/>
        <v>0</v>
      </c>
      <c r="JO167" s="74" t="str">
        <f t="shared" ca="1" si="1432"/>
        <v>-</v>
      </c>
      <c r="JP167" s="74">
        <f t="shared" ca="1" si="1433"/>
        <v>0</v>
      </c>
    </row>
    <row r="168" spans="1:276" hidden="1" outlineLevel="1" x14ac:dyDescent="0.35">
      <c r="A168" s="125" t="s">
        <v>805</v>
      </c>
      <c r="B168" s="125" t="s">
        <v>805</v>
      </c>
      <c r="C168" s="125" t="s">
        <v>805</v>
      </c>
      <c r="E168" s="142" t="s">
        <v>885</v>
      </c>
      <c r="F168" s="254" t="s">
        <v>768</v>
      </c>
      <c r="G168" t="s">
        <v>542</v>
      </c>
      <c r="H168" t="s">
        <v>531</v>
      </c>
      <c r="I168" t="s">
        <v>534</v>
      </c>
      <c r="J168" s="211" t="s">
        <v>805</v>
      </c>
      <c r="K168" t="s">
        <v>805</v>
      </c>
      <c r="L168" t="s">
        <v>805</v>
      </c>
      <c r="M168" t="s">
        <v>805</v>
      </c>
      <c r="N168" t="s">
        <v>805</v>
      </c>
      <c r="O168" t="s">
        <v>805</v>
      </c>
      <c r="P168" t="s">
        <v>805</v>
      </c>
      <c r="Q168" t="s">
        <v>805</v>
      </c>
      <c r="R168" t="s">
        <v>805</v>
      </c>
      <c r="S168" t="s">
        <v>805</v>
      </c>
      <c r="T168" t="s">
        <v>805</v>
      </c>
      <c r="U168" t="s">
        <v>805</v>
      </c>
      <c r="V168" t="s">
        <v>805</v>
      </c>
      <c r="W168" t="s">
        <v>805</v>
      </c>
      <c r="X168" t="s">
        <v>805</v>
      </c>
      <c r="Y168" t="s">
        <v>805</v>
      </c>
      <c r="Z168" t="s">
        <v>805</v>
      </c>
      <c r="AA168" t="s">
        <v>805</v>
      </c>
      <c r="AB168" t="s">
        <v>805</v>
      </c>
      <c r="AC168" t="s">
        <v>805</v>
      </c>
      <c r="AD168" t="s">
        <v>805</v>
      </c>
      <c r="AE168" t="s">
        <v>805</v>
      </c>
      <c r="AF168" t="s">
        <v>805</v>
      </c>
      <c r="AG168" t="s">
        <v>805</v>
      </c>
      <c r="AH168" t="s">
        <v>805</v>
      </c>
      <c r="AI168" t="s">
        <v>805</v>
      </c>
      <c r="AJ168" t="s">
        <v>805</v>
      </c>
      <c r="AK168" t="s">
        <v>805</v>
      </c>
      <c r="AL168" t="s">
        <v>805</v>
      </c>
      <c r="AM168" t="s">
        <v>805</v>
      </c>
      <c r="AN168" t="s">
        <v>805</v>
      </c>
      <c r="AO168" t="s">
        <v>805</v>
      </c>
      <c r="AP168" t="s">
        <v>805</v>
      </c>
      <c r="AQ168" t="s">
        <v>805</v>
      </c>
      <c r="AR168" t="s">
        <v>805</v>
      </c>
      <c r="AS168" t="s">
        <v>805</v>
      </c>
      <c r="AT168" t="s">
        <v>805</v>
      </c>
      <c r="AU168" t="s">
        <v>805</v>
      </c>
      <c r="AV168" t="s">
        <v>805</v>
      </c>
      <c r="AW168" t="s">
        <v>805</v>
      </c>
      <c r="AX168" t="s">
        <v>805</v>
      </c>
      <c r="AY168" t="s">
        <v>805</v>
      </c>
      <c r="AZ168" t="s">
        <v>805</v>
      </c>
      <c r="BA168" t="s">
        <v>805</v>
      </c>
      <c r="BB168" t="s">
        <v>805</v>
      </c>
      <c r="BC168" t="s">
        <v>805</v>
      </c>
      <c r="BD168" t="s">
        <v>805</v>
      </c>
      <c r="BE168" t="s">
        <v>805</v>
      </c>
      <c r="BF168" t="s">
        <v>805</v>
      </c>
      <c r="BG168" t="s">
        <v>805</v>
      </c>
      <c r="BH168" t="s">
        <v>805</v>
      </c>
      <c r="BI168" t="s">
        <v>805</v>
      </c>
      <c r="BJ168" t="s">
        <v>805</v>
      </c>
      <c r="BK168" t="s">
        <v>805</v>
      </c>
      <c r="BL168" t="s">
        <v>805</v>
      </c>
      <c r="BM168" t="s">
        <v>805</v>
      </c>
      <c r="BN168" t="s">
        <v>805</v>
      </c>
      <c r="BO168" t="s">
        <v>805</v>
      </c>
      <c r="BP168" t="s">
        <v>805</v>
      </c>
      <c r="BQ168" t="s">
        <v>805</v>
      </c>
      <c r="BR168" t="s">
        <v>805</v>
      </c>
      <c r="BS168" t="s">
        <v>805</v>
      </c>
      <c r="BT168" t="s">
        <v>805</v>
      </c>
      <c r="BU168" t="s">
        <v>805</v>
      </c>
      <c r="BV168" t="s">
        <v>805</v>
      </c>
      <c r="BW168" t="s">
        <v>805</v>
      </c>
      <c r="BX168" t="s">
        <v>805</v>
      </c>
      <c r="BY168" t="s">
        <v>805</v>
      </c>
      <c r="BZ168" t="s">
        <v>805</v>
      </c>
      <c r="CA168" t="s">
        <v>805</v>
      </c>
      <c r="CB168" t="s">
        <v>805</v>
      </c>
      <c r="CC168" t="s">
        <v>805</v>
      </c>
      <c r="CD168" t="s">
        <v>805</v>
      </c>
      <c r="CE168" t="s">
        <v>805</v>
      </c>
      <c r="CF168" t="s">
        <v>805</v>
      </c>
      <c r="CG168" t="s">
        <v>805</v>
      </c>
      <c r="CH168" t="s">
        <v>805</v>
      </c>
      <c r="CI168" t="s">
        <v>805</v>
      </c>
      <c r="CJ168" t="s">
        <v>805</v>
      </c>
      <c r="CK168" t="s">
        <v>805</v>
      </c>
      <c r="CL168" t="s">
        <v>805</v>
      </c>
      <c r="CM168" t="s">
        <v>805</v>
      </c>
      <c r="CN168" t="s">
        <v>805</v>
      </c>
      <c r="CO168" t="s">
        <v>805</v>
      </c>
      <c r="CP168" t="s">
        <v>805</v>
      </c>
      <c r="CQ168" t="s">
        <v>805</v>
      </c>
      <c r="CR168" t="s">
        <v>805</v>
      </c>
      <c r="CS168" t="s">
        <v>805</v>
      </c>
      <c r="CT168" t="s">
        <v>805</v>
      </c>
      <c r="CU168" t="s">
        <v>805</v>
      </c>
      <c r="CV168" t="s">
        <v>805</v>
      </c>
      <c r="CW168" t="s">
        <v>805</v>
      </c>
      <c r="CX168" t="s">
        <v>805</v>
      </c>
      <c r="CY168" t="s">
        <v>805</v>
      </c>
      <c r="CZ168" t="s">
        <v>805</v>
      </c>
      <c r="DA168" t="s">
        <v>805</v>
      </c>
      <c r="DB168" t="s">
        <v>805</v>
      </c>
      <c r="DC168" t="s">
        <v>805</v>
      </c>
      <c r="DD168" t="s">
        <v>805</v>
      </c>
      <c r="DE168" t="s">
        <v>805</v>
      </c>
      <c r="DF168" t="s">
        <v>805</v>
      </c>
      <c r="DG168" s="28">
        <f>VLOOKUP(E168,'KPI Count-SHARE'!A:F,3,0)</f>
        <v>0</v>
      </c>
      <c r="DH168" t="s">
        <v>805</v>
      </c>
      <c r="DI168" t="s">
        <v>805</v>
      </c>
      <c r="DJ168" t="s">
        <v>805</v>
      </c>
      <c r="DK168" t="s">
        <v>805</v>
      </c>
      <c r="DL168" t="s">
        <v>805</v>
      </c>
      <c r="DM168" t="s">
        <v>805</v>
      </c>
      <c r="DN168" s="28">
        <f>VLOOKUP(E168,'KPI Count-SHARE'!A:F,4,0)</f>
        <v>0</v>
      </c>
      <c r="DU168" s="28">
        <f>VLOOKUP(E168,'KPI Count-SHARE'!A:F,5,0)</f>
        <v>0</v>
      </c>
      <c r="EB168" s="28">
        <f>VLOOKUP(E168,'KPI Count-SHARE'!A:F,6,0)</f>
        <v>0</v>
      </c>
      <c r="EI168" t="s">
        <v>531</v>
      </c>
      <c r="EJ168" s="41" t="str">
        <f t="shared" si="1559"/>
        <v/>
      </c>
      <c r="EK168" s="41" t="str">
        <f t="shared" si="1560"/>
        <v/>
      </c>
      <c r="EL168" s="41" t="str">
        <f t="shared" si="1561"/>
        <v/>
      </c>
      <c r="EM168" s="41" t="str">
        <f t="shared" si="1562"/>
        <v/>
      </c>
      <c r="EN168" s="41" t="str">
        <f t="shared" si="1563"/>
        <v/>
      </c>
      <c r="EO168" s="41" t="str">
        <f t="shared" si="1564"/>
        <v/>
      </c>
      <c r="EP168" s="41" t="str">
        <f t="shared" si="1565"/>
        <v/>
      </c>
      <c r="EQ168" s="41" t="str">
        <f t="shared" si="1566"/>
        <v/>
      </c>
      <c r="ER168" s="41" t="str">
        <f t="shared" si="1567"/>
        <v/>
      </c>
      <c r="ES168" s="41" t="str">
        <f t="shared" si="1568"/>
        <v/>
      </c>
      <c r="ET168" s="41" t="str">
        <f t="shared" si="1569"/>
        <v/>
      </c>
      <c r="EU168" s="41" t="str">
        <f t="shared" si="1570"/>
        <v/>
      </c>
      <c r="EV168" s="41" t="str">
        <f t="shared" si="1571"/>
        <v/>
      </c>
      <c r="EW168" s="41" t="str">
        <f t="shared" si="1572"/>
        <v/>
      </c>
      <c r="EX168" s="41" t="str">
        <f t="shared" si="1573"/>
        <v/>
      </c>
      <c r="EY168" s="41" t="str">
        <f t="shared" si="1574"/>
        <v/>
      </c>
      <c r="EZ168" s="41" t="str">
        <f t="shared" si="1575"/>
        <v/>
      </c>
      <c r="FA168" s="41" t="str">
        <f t="shared" si="1576"/>
        <v/>
      </c>
      <c r="FB168" s="41" t="str">
        <f t="shared" si="1577"/>
        <v/>
      </c>
      <c r="FC168" s="41" t="str">
        <f t="shared" si="1578"/>
        <v/>
      </c>
      <c r="FD168" s="41" t="str">
        <f t="shared" si="1579"/>
        <v/>
      </c>
      <c r="FE168" s="41" t="str">
        <f t="shared" si="1580"/>
        <v/>
      </c>
      <c r="FF168" s="41" t="str">
        <f t="shared" si="1581"/>
        <v/>
      </c>
      <c r="FG168" s="41" t="str">
        <f t="shared" si="1582"/>
        <v/>
      </c>
      <c r="FH168" s="41" t="str">
        <f t="shared" si="1583"/>
        <v/>
      </c>
      <c r="FI168" s="41" t="str">
        <f t="shared" si="1584"/>
        <v/>
      </c>
      <c r="FJ168" s="41" t="str">
        <f t="shared" si="1585"/>
        <v/>
      </c>
      <c r="FK168" s="41" t="str">
        <f t="shared" si="1586"/>
        <v/>
      </c>
      <c r="FL168" s="41" t="str">
        <f t="shared" si="1587"/>
        <v/>
      </c>
      <c r="FM168" s="41" t="str">
        <f t="shared" si="1588"/>
        <v/>
      </c>
      <c r="FN168" s="41" t="str">
        <f t="shared" si="1589"/>
        <v/>
      </c>
      <c r="FO168" s="41" t="str">
        <f t="shared" si="1590"/>
        <v/>
      </c>
      <c r="FP168" s="41" t="str">
        <f t="shared" si="1591"/>
        <v/>
      </c>
      <c r="FQ168" s="41" t="str">
        <f t="shared" si="1592"/>
        <v/>
      </c>
      <c r="FR168" s="41" t="str">
        <f t="shared" si="1593"/>
        <v/>
      </c>
      <c r="FS168" s="41" t="str">
        <f t="shared" si="1594"/>
        <v/>
      </c>
      <c r="FT168" s="41" t="str">
        <f t="shared" si="1595"/>
        <v/>
      </c>
      <c r="FU168" s="41" t="str">
        <f t="shared" si="1596"/>
        <v/>
      </c>
      <c r="FV168" s="41" t="str">
        <f t="shared" si="1597"/>
        <v/>
      </c>
      <c r="FW168" s="41" t="str">
        <f t="shared" si="1598"/>
        <v/>
      </c>
      <c r="FX168" s="41" t="str">
        <f t="shared" si="1599"/>
        <v/>
      </c>
      <c r="FY168" s="41" t="str">
        <f t="shared" si="1600"/>
        <v/>
      </c>
      <c r="FZ168" s="41" t="str">
        <f t="shared" si="1601"/>
        <v/>
      </c>
      <c r="GA168" s="41" t="str">
        <f t="shared" si="1602"/>
        <v/>
      </c>
      <c r="GB168" s="41" t="str">
        <f t="shared" si="1603"/>
        <v/>
      </c>
      <c r="GC168" s="41" t="str">
        <f t="shared" si="1604"/>
        <v/>
      </c>
      <c r="GD168" s="41" t="str">
        <f t="shared" si="1605"/>
        <v/>
      </c>
      <c r="GE168" s="41" t="str">
        <f t="shared" si="1606"/>
        <v/>
      </c>
      <c r="GF168" s="41" t="str">
        <f t="shared" si="1607"/>
        <v/>
      </c>
      <c r="GG168" s="41" t="str">
        <f t="shared" si="1608"/>
        <v/>
      </c>
      <c r="GH168" s="41" t="str">
        <f t="shared" si="1609"/>
        <v/>
      </c>
      <c r="GI168" s="41" t="str">
        <f t="shared" si="1610"/>
        <v/>
      </c>
      <c r="GJ168" s="41" t="str">
        <f t="shared" si="1611"/>
        <v/>
      </c>
      <c r="GK168" s="41" t="str">
        <f t="shared" si="1612"/>
        <v/>
      </c>
      <c r="GL168" s="41" t="str">
        <f t="shared" si="1613"/>
        <v/>
      </c>
      <c r="GM168" s="41" t="str">
        <f t="shared" si="1614"/>
        <v/>
      </c>
      <c r="GN168" s="41" t="str">
        <f t="shared" si="1615"/>
        <v/>
      </c>
      <c r="GO168" s="41" t="str">
        <f t="shared" si="1616"/>
        <v/>
      </c>
      <c r="GP168" s="41" t="str">
        <f t="shared" si="1617"/>
        <v/>
      </c>
      <c r="GQ168" s="41" t="str">
        <f t="shared" si="1618"/>
        <v/>
      </c>
      <c r="GR168" s="41" t="str">
        <f t="shared" si="1619"/>
        <v/>
      </c>
      <c r="GS168" s="41" t="str">
        <f t="shared" si="1620"/>
        <v/>
      </c>
      <c r="GT168" s="41" t="str">
        <f t="shared" si="1621"/>
        <v/>
      </c>
      <c r="GU168" s="41" t="str">
        <f t="shared" si="1622"/>
        <v/>
      </c>
      <c r="GV168" s="41" t="str">
        <f t="shared" si="1623"/>
        <v/>
      </c>
      <c r="GW168" s="41" t="str">
        <f t="shared" si="1624"/>
        <v/>
      </c>
      <c r="GX168" s="41" t="str">
        <f t="shared" si="1625"/>
        <v/>
      </c>
      <c r="GY168" s="41" t="str">
        <f t="shared" si="1626"/>
        <v/>
      </c>
      <c r="GZ168" s="41" t="str">
        <f t="shared" si="1627"/>
        <v/>
      </c>
      <c r="HA168" s="41" t="str">
        <f t="shared" si="1628"/>
        <v/>
      </c>
      <c r="HB168" s="41" t="str">
        <f t="shared" si="1629"/>
        <v/>
      </c>
      <c r="HC168" s="41" t="str">
        <f t="shared" si="1630"/>
        <v/>
      </c>
      <c r="HD168" s="41" t="str">
        <f t="shared" si="1631"/>
        <v/>
      </c>
      <c r="HE168" s="41" t="str">
        <f t="shared" si="1632"/>
        <v/>
      </c>
      <c r="HF168" s="41" t="str">
        <f t="shared" si="1633"/>
        <v/>
      </c>
      <c r="HG168" s="41" t="str">
        <f t="shared" si="1634"/>
        <v/>
      </c>
      <c r="HH168" s="41" t="str">
        <f t="shared" si="1635"/>
        <v/>
      </c>
      <c r="HI168" s="41" t="str">
        <f t="shared" si="1636"/>
        <v/>
      </c>
      <c r="HJ168" s="41" t="str">
        <f t="shared" si="1637"/>
        <v/>
      </c>
      <c r="HK168" s="41" t="str">
        <f t="shared" si="1638"/>
        <v/>
      </c>
      <c r="HL168" s="41" t="str">
        <f t="shared" si="1639"/>
        <v/>
      </c>
      <c r="HM168" s="41" t="str">
        <f t="shared" si="1640"/>
        <v/>
      </c>
      <c r="HN168" s="41" t="str">
        <f t="shared" si="1641"/>
        <v/>
      </c>
      <c r="HO168" s="41" t="str">
        <f t="shared" si="1642"/>
        <v/>
      </c>
      <c r="HP168" s="41" t="str">
        <f t="shared" si="1643"/>
        <v/>
      </c>
      <c r="HQ168" s="41" t="str">
        <f t="shared" si="1644"/>
        <v/>
      </c>
      <c r="HR168" s="41" t="str">
        <f t="shared" si="1645"/>
        <v/>
      </c>
      <c r="HS168" s="41" t="str">
        <f t="shared" si="1646"/>
        <v/>
      </c>
      <c r="HT168" s="41" t="str">
        <f t="shared" si="1647"/>
        <v/>
      </c>
      <c r="HU168" s="41" t="str">
        <f t="shared" si="1648"/>
        <v/>
      </c>
      <c r="HV168" s="41" t="str">
        <f t="shared" si="1649"/>
        <v/>
      </c>
      <c r="HW168" s="41" t="str">
        <f t="shared" si="1650"/>
        <v/>
      </c>
      <c r="HX168" s="41" t="str">
        <f t="shared" si="1651"/>
        <v/>
      </c>
      <c r="HY168" s="41" t="str">
        <f t="shared" si="1652"/>
        <v/>
      </c>
      <c r="HZ168" s="41" t="str">
        <f t="shared" si="1653"/>
        <v/>
      </c>
      <c r="IA168" s="41" t="str">
        <f t="shared" si="1654"/>
        <v/>
      </c>
      <c r="IB168" s="41" t="str">
        <f t="shared" si="1655"/>
        <v/>
      </c>
      <c r="IC168" s="41" t="str">
        <f t="shared" si="1656"/>
        <v/>
      </c>
      <c r="ID168" s="41" t="str">
        <f t="shared" si="1657"/>
        <v/>
      </c>
      <c r="IE168" s="41" t="str">
        <f t="shared" si="1658"/>
        <v/>
      </c>
      <c r="IF168" s="41" t="str">
        <f t="shared" si="1659"/>
        <v/>
      </c>
      <c r="IG168" s="306" t="str">
        <f t="shared" si="1660"/>
        <v/>
      </c>
      <c r="IH168" s="44" t="str">
        <f t="shared" si="1661"/>
        <v/>
      </c>
      <c r="II168" s="44" t="str">
        <f t="shared" si="1662"/>
        <v/>
      </c>
      <c r="IJ168" s="44" t="str">
        <f t="shared" si="1663"/>
        <v/>
      </c>
      <c r="IK168" s="44" t="str">
        <f t="shared" si="1664"/>
        <v/>
      </c>
      <c r="IL168" s="44" t="str">
        <f t="shared" si="1665"/>
        <v/>
      </c>
      <c r="IM168" s="306" t="str">
        <f t="shared" si="1666"/>
        <v/>
      </c>
      <c r="IN168" s="44" t="str">
        <f t="shared" si="1667"/>
        <v/>
      </c>
      <c r="IO168" s="44" t="str">
        <f t="shared" si="1668"/>
        <v/>
      </c>
      <c r="IP168" s="44" t="str">
        <f t="shared" si="1669"/>
        <v/>
      </c>
      <c r="IQ168" s="44" t="str">
        <f t="shared" si="1670"/>
        <v/>
      </c>
      <c r="IR168" s="44" t="str">
        <f t="shared" si="1671"/>
        <v/>
      </c>
      <c r="IS168" s="306" t="str">
        <f t="shared" si="1672"/>
        <v/>
      </c>
      <c r="IT168" s="44" t="str">
        <f t="shared" si="1673"/>
        <v/>
      </c>
      <c r="IU168" s="44" t="str">
        <f t="shared" si="1674"/>
        <v/>
      </c>
      <c r="IV168" s="44" t="str">
        <f t="shared" si="1675"/>
        <v/>
      </c>
      <c r="IW168" s="44" t="str">
        <f t="shared" si="1676"/>
        <v/>
      </c>
      <c r="IX168" s="44" t="str">
        <f t="shared" si="1677"/>
        <v/>
      </c>
      <c r="IY168" s="306" t="str">
        <f t="shared" si="1678"/>
        <v/>
      </c>
      <c r="IZ168" s="44" t="str">
        <f t="shared" si="1679"/>
        <v/>
      </c>
      <c r="JA168" s="44" t="str">
        <f t="shared" si="1680"/>
        <v/>
      </c>
      <c r="JB168" s="44" t="str">
        <f t="shared" si="1681"/>
        <v/>
      </c>
      <c r="JC168" s="44" t="str">
        <f t="shared" si="1682"/>
        <v/>
      </c>
      <c r="JD168" s="307" t="str">
        <f t="shared" si="1683"/>
        <v/>
      </c>
      <c r="JF168" s="66">
        <f t="shared" si="1424"/>
        <v>168</v>
      </c>
      <c r="JG168" s="66">
        <f t="shared" ca="1" si="1425"/>
        <v>0</v>
      </c>
      <c r="JH168" s="66">
        <f t="shared" ca="1" si="1426"/>
        <v>0</v>
      </c>
      <c r="JI168" s="66">
        <f t="shared" ca="1" si="1427"/>
        <v>0</v>
      </c>
      <c r="JJ168" s="66">
        <f t="shared" ca="1" si="1428"/>
        <v>0</v>
      </c>
      <c r="JK168" s="33"/>
      <c r="JL168" s="74" t="str">
        <f t="shared" ca="1" si="1429"/>
        <v>-</v>
      </c>
      <c r="JM168" s="75">
        <f t="shared" ca="1" si="1430"/>
        <v>0</v>
      </c>
      <c r="JN168" s="75">
        <f t="shared" ca="1" si="1431"/>
        <v>0</v>
      </c>
      <c r="JO168" s="74" t="str">
        <f t="shared" ca="1" si="1432"/>
        <v>-</v>
      </c>
      <c r="JP168" s="74">
        <f t="shared" ca="1" si="1433"/>
        <v>0</v>
      </c>
    </row>
    <row r="169" spans="1:276" hidden="1" outlineLevel="1" x14ac:dyDescent="0.35">
      <c r="A169" s="125" t="s">
        <v>805</v>
      </c>
      <c r="B169" s="125" t="s">
        <v>805</v>
      </c>
      <c r="C169" s="125" t="s">
        <v>805</v>
      </c>
      <c r="E169" s="142" t="s">
        <v>886</v>
      </c>
      <c r="F169" s="254" t="s">
        <v>769</v>
      </c>
      <c r="G169" t="s">
        <v>542</v>
      </c>
      <c r="H169" t="s">
        <v>531</v>
      </c>
      <c r="I169" t="s">
        <v>534</v>
      </c>
      <c r="J169" s="211" t="s">
        <v>805</v>
      </c>
      <c r="K169" t="s">
        <v>805</v>
      </c>
      <c r="L169" t="s">
        <v>805</v>
      </c>
      <c r="M169" t="s">
        <v>805</v>
      </c>
      <c r="N169" t="s">
        <v>805</v>
      </c>
      <c r="O169" t="s">
        <v>805</v>
      </c>
      <c r="P169" t="s">
        <v>805</v>
      </c>
      <c r="Q169" t="s">
        <v>805</v>
      </c>
      <c r="R169" t="s">
        <v>805</v>
      </c>
      <c r="S169" t="s">
        <v>805</v>
      </c>
      <c r="T169" t="s">
        <v>805</v>
      </c>
      <c r="U169" t="s">
        <v>805</v>
      </c>
      <c r="V169" t="s">
        <v>805</v>
      </c>
      <c r="W169" t="s">
        <v>805</v>
      </c>
      <c r="X169" t="s">
        <v>805</v>
      </c>
      <c r="Y169" t="s">
        <v>805</v>
      </c>
      <c r="Z169" t="s">
        <v>805</v>
      </c>
      <c r="AA169" t="s">
        <v>805</v>
      </c>
      <c r="AB169" t="s">
        <v>805</v>
      </c>
      <c r="AC169" t="s">
        <v>805</v>
      </c>
      <c r="AD169" t="s">
        <v>805</v>
      </c>
      <c r="AE169" t="s">
        <v>805</v>
      </c>
      <c r="AF169" t="s">
        <v>805</v>
      </c>
      <c r="AG169" t="s">
        <v>805</v>
      </c>
      <c r="AH169" t="s">
        <v>805</v>
      </c>
      <c r="AI169" t="s">
        <v>805</v>
      </c>
      <c r="AJ169" t="s">
        <v>805</v>
      </c>
      <c r="AK169" t="s">
        <v>805</v>
      </c>
      <c r="AL169" t="s">
        <v>805</v>
      </c>
      <c r="AM169" t="s">
        <v>805</v>
      </c>
      <c r="AN169" t="s">
        <v>805</v>
      </c>
      <c r="AO169" t="s">
        <v>805</v>
      </c>
      <c r="AP169" t="s">
        <v>805</v>
      </c>
      <c r="AQ169" t="s">
        <v>805</v>
      </c>
      <c r="AR169" t="s">
        <v>805</v>
      </c>
      <c r="AS169" t="s">
        <v>805</v>
      </c>
      <c r="AT169" t="s">
        <v>805</v>
      </c>
      <c r="AU169" t="s">
        <v>805</v>
      </c>
      <c r="AV169" t="s">
        <v>805</v>
      </c>
      <c r="AW169" t="s">
        <v>805</v>
      </c>
      <c r="AX169" t="s">
        <v>805</v>
      </c>
      <c r="AY169" t="s">
        <v>805</v>
      </c>
      <c r="AZ169" t="s">
        <v>805</v>
      </c>
      <c r="BA169" t="s">
        <v>805</v>
      </c>
      <c r="BB169" t="s">
        <v>805</v>
      </c>
      <c r="BC169" t="s">
        <v>805</v>
      </c>
      <c r="BD169" t="s">
        <v>805</v>
      </c>
      <c r="BE169" t="s">
        <v>805</v>
      </c>
      <c r="BF169" t="s">
        <v>805</v>
      </c>
      <c r="BG169" t="s">
        <v>805</v>
      </c>
      <c r="BH169" t="s">
        <v>805</v>
      </c>
      <c r="BI169" t="s">
        <v>805</v>
      </c>
      <c r="BJ169" t="s">
        <v>805</v>
      </c>
      <c r="BK169" t="s">
        <v>805</v>
      </c>
      <c r="BL169" t="s">
        <v>805</v>
      </c>
      <c r="BM169" t="s">
        <v>805</v>
      </c>
      <c r="BN169" t="s">
        <v>805</v>
      </c>
      <c r="BO169" t="s">
        <v>805</v>
      </c>
      <c r="BP169" t="s">
        <v>805</v>
      </c>
      <c r="BQ169" t="s">
        <v>805</v>
      </c>
      <c r="BR169" t="s">
        <v>805</v>
      </c>
      <c r="BS169" t="s">
        <v>805</v>
      </c>
      <c r="BT169" t="s">
        <v>805</v>
      </c>
      <c r="BU169" t="s">
        <v>805</v>
      </c>
      <c r="BV169" t="s">
        <v>805</v>
      </c>
      <c r="BW169" t="s">
        <v>805</v>
      </c>
      <c r="BX169" t="s">
        <v>805</v>
      </c>
      <c r="BY169" t="s">
        <v>805</v>
      </c>
      <c r="BZ169" t="s">
        <v>805</v>
      </c>
      <c r="CA169" t="s">
        <v>805</v>
      </c>
      <c r="CB169" t="s">
        <v>805</v>
      </c>
      <c r="CC169" t="s">
        <v>805</v>
      </c>
      <c r="CD169" t="s">
        <v>805</v>
      </c>
      <c r="CE169" t="s">
        <v>805</v>
      </c>
      <c r="CF169" t="s">
        <v>805</v>
      </c>
      <c r="CG169" t="s">
        <v>805</v>
      </c>
      <c r="CH169" t="s">
        <v>805</v>
      </c>
      <c r="CI169" t="s">
        <v>805</v>
      </c>
      <c r="CJ169" t="s">
        <v>805</v>
      </c>
      <c r="CK169" t="s">
        <v>805</v>
      </c>
      <c r="CL169" t="s">
        <v>805</v>
      </c>
      <c r="CM169" t="s">
        <v>805</v>
      </c>
      <c r="CN169" t="s">
        <v>805</v>
      </c>
      <c r="CO169" t="s">
        <v>805</v>
      </c>
      <c r="CP169" t="s">
        <v>805</v>
      </c>
      <c r="CQ169" t="s">
        <v>805</v>
      </c>
      <c r="CR169" t="s">
        <v>805</v>
      </c>
      <c r="CS169" t="s">
        <v>805</v>
      </c>
      <c r="CT169" t="s">
        <v>805</v>
      </c>
      <c r="CU169" t="s">
        <v>805</v>
      </c>
      <c r="CV169" t="s">
        <v>805</v>
      </c>
      <c r="CW169" t="s">
        <v>805</v>
      </c>
      <c r="CX169" t="s">
        <v>805</v>
      </c>
      <c r="CY169" t="s">
        <v>805</v>
      </c>
      <c r="CZ169" t="s">
        <v>805</v>
      </c>
      <c r="DA169" t="s">
        <v>805</v>
      </c>
      <c r="DB169" t="s">
        <v>805</v>
      </c>
      <c r="DC169" t="s">
        <v>805</v>
      </c>
      <c r="DD169" t="s">
        <v>805</v>
      </c>
      <c r="DE169" t="s">
        <v>805</v>
      </c>
      <c r="DF169" t="s">
        <v>805</v>
      </c>
      <c r="DG169" s="28">
        <f>VLOOKUP(E169,'KPI Count-SHARE'!A:F,3,0)</f>
        <v>0</v>
      </c>
      <c r="DH169" t="s">
        <v>805</v>
      </c>
      <c r="DI169" t="s">
        <v>805</v>
      </c>
      <c r="DJ169" t="s">
        <v>805</v>
      </c>
      <c r="DK169" t="s">
        <v>805</v>
      </c>
      <c r="DL169" t="s">
        <v>805</v>
      </c>
      <c r="DM169" t="s">
        <v>805</v>
      </c>
      <c r="DN169" s="28">
        <f>VLOOKUP(E169,'KPI Count-SHARE'!A:F,4,0)</f>
        <v>0</v>
      </c>
      <c r="DU169" s="28">
        <f>VLOOKUP(E169,'KPI Count-SHARE'!A:F,5,0)</f>
        <v>0</v>
      </c>
      <c r="EB169" s="28">
        <f>VLOOKUP(E169,'KPI Count-SHARE'!A:F,6,0)</f>
        <v>0</v>
      </c>
      <c r="EI169" t="s">
        <v>531</v>
      </c>
      <c r="EJ169" s="41" t="str">
        <f t="shared" si="1559"/>
        <v/>
      </c>
      <c r="EK169" s="41" t="str">
        <f t="shared" si="1560"/>
        <v/>
      </c>
      <c r="EL169" s="41" t="str">
        <f t="shared" si="1561"/>
        <v/>
      </c>
      <c r="EM169" s="41" t="str">
        <f t="shared" si="1562"/>
        <v/>
      </c>
      <c r="EN169" s="41" t="str">
        <f t="shared" si="1563"/>
        <v/>
      </c>
      <c r="EO169" s="41" t="str">
        <f t="shared" si="1564"/>
        <v/>
      </c>
      <c r="EP169" s="41" t="str">
        <f t="shared" si="1565"/>
        <v/>
      </c>
      <c r="EQ169" s="41" t="str">
        <f t="shared" si="1566"/>
        <v/>
      </c>
      <c r="ER169" s="41" t="str">
        <f t="shared" si="1567"/>
        <v/>
      </c>
      <c r="ES169" s="41" t="str">
        <f t="shared" si="1568"/>
        <v/>
      </c>
      <c r="ET169" s="41" t="str">
        <f t="shared" si="1569"/>
        <v/>
      </c>
      <c r="EU169" s="41" t="str">
        <f t="shared" si="1570"/>
        <v/>
      </c>
      <c r="EV169" s="41" t="str">
        <f t="shared" si="1571"/>
        <v/>
      </c>
      <c r="EW169" s="41" t="str">
        <f t="shared" si="1572"/>
        <v/>
      </c>
      <c r="EX169" s="41" t="str">
        <f t="shared" si="1573"/>
        <v/>
      </c>
      <c r="EY169" s="41" t="str">
        <f t="shared" si="1574"/>
        <v/>
      </c>
      <c r="EZ169" s="41" t="str">
        <f t="shared" si="1575"/>
        <v/>
      </c>
      <c r="FA169" s="41" t="str">
        <f t="shared" si="1576"/>
        <v/>
      </c>
      <c r="FB169" s="41" t="str">
        <f t="shared" si="1577"/>
        <v/>
      </c>
      <c r="FC169" s="41" t="str">
        <f t="shared" si="1578"/>
        <v/>
      </c>
      <c r="FD169" s="41" t="str">
        <f t="shared" si="1579"/>
        <v/>
      </c>
      <c r="FE169" s="41" t="str">
        <f t="shared" si="1580"/>
        <v/>
      </c>
      <c r="FF169" s="41" t="str">
        <f t="shared" si="1581"/>
        <v/>
      </c>
      <c r="FG169" s="41" t="str">
        <f t="shared" si="1582"/>
        <v/>
      </c>
      <c r="FH169" s="41" t="str">
        <f t="shared" si="1583"/>
        <v/>
      </c>
      <c r="FI169" s="41" t="str">
        <f t="shared" si="1584"/>
        <v/>
      </c>
      <c r="FJ169" s="41" t="str">
        <f t="shared" si="1585"/>
        <v/>
      </c>
      <c r="FK169" s="41" t="str">
        <f t="shared" si="1586"/>
        <v/>
      </c>
      <c r="FL169" s="41" t="str">
        <f t="shared" si="1587"/>
        <v/>
      </c>
      <c r="FM169" s="41" t="str">
        <f t="shared" si="1588"/>
        <v/>
      </c>
      <c r="FN169" s="41" t="str">
        <f t="shared" si="1589"/>
        <v/>
      </c>
      <c r="FO169" s="41" t="str">
        <f t="shared" si="1590"/>
        <v/>
      </c>
      <c r="FP169" s="41" t="str">
        <f t="shared" si="1591"/>
        <v/>
      </c>
      <c r="FQ169" s="41" t="str">
        <f t="shared" si="1592"/>
        <v/>
      </c>
      <c r="FR169" s="41" t="str">
        <f t="shared" si="1593"/>
        <v/>
      </c>
      <c r="FS169" s="41" t="str">
        <f t="shared" si="1594"/>
        <v/>
      </c>
      <c r="FT169" s="41" t="str">
        <f t="shared" si="1595"/>
        <v/>
      </c>
      <c r="FU169" s="41" t="str">
        <f t="shared" si="1596"/>
        <v/>
      </c>
      <c r="FV169" s="41" t="str">
        <f t="shared" si="1597"/>
        <v/>
      </c>
      <c r="FW169" s="41" t="str">
        <f t="shared" si="1598"/>
        <v/>
      </c>
      <c r="FX169" s="41" t="str">
        <f t="shared" si="1599"/>
        <v/>
      </c>
      <c r="FY169" s="41" t="str">
        <f t="shared" si="1600"/>
        <v/>
      </c>
      <c r="FZ169" s="41" t="str">
        <f t="shared" si="1601"/>
        <v/>
      </c>
      <c r="GA169" s="41" t="str">
        <f t="shared" si="1602"/>
        <v/>
      </c>
      <c r="GB169" s="41" t="str">
        <f t="shared" si="1603"/>
        <v/>
      </c>
      <c r="GC169" s="41" t="str">
        <f t="shared" si="1604"/>
        <v/>
      </c>
      <c r="GD169" s="41" t="str">
        <f t="shared" si="1605"/>
        <v/>
      </c>
      <c r="GE169" s="41" t="str">
        <f t="shared" si="1606"/>
        <v/>
      </c>
      <c r="GF169" s="41" t="str">
        <f t="shared" si="1607"/>
        <v/>
      </c>
      <c r="GG169" s="41" t="str">
        <f t="shared" si="1608"/>
        <v/>
      </c>
      <c r="GH169" s="41" t="str">
        <f t="shared" si="1609"/>
        <v/>
      </c>
      <c r="GI169" s="41" t="str">
        <f t="shared" si="1610"/>
        <v/>
      </c>
      <c r="GJ169" s="41" t="str">
        <f t="shared" si="1611"/>
        <v/>
      </c>
      <c r="GK169" s="41" t="str">
        <f t="shared" si="1612"/>
        <v/>
      </c>
      <c r="GL169" s="41" t="str">
        <f t="shared" si="1613"/>
        <v/>
      </c>
      <c r="GM169" s="41" t="str">
        <f t="shared" si="1614"/>
        <v/>
      </c>
      <c r="GN169" s="41" t="str">
        <f t="shared" si="1615"/>
        <v/>
      </c>
      <c r="GO169" s="41" t="str">
        <f t="shared" si="1616"/>
        <v/>
      </c>
      <c r="GP169" s="41" t="str">
        <f t="shared" si="1617"/>
        <v/>
      </c>
      <c r="GQ169" s="41" t="str">
        <f t="shared" si="1618"/>
        <v/>
      </c>
      <c r="GR169" s="41" t="str">
        <f t="shared" si="1619"/>
        <v/>
      </c>
      <c r="GS169" s="41" t="str">
        <f t="shared" si="1620"/>
        <v/>
      </c>
      <c r="GT169" s="41" t="str">
        <f t="shared" si="1621"/>
        <v/>
      </c>
      <c r="GU169" s="41" t="str">
        <f t="shared" si="1622"/>
        <v/>
      </c>
      <c r="GV169" s="41" t="str">
        <f t="shared" si="1623"/>
        <v/>
      </c>
      <c r="GW169" s="41" t="str">
        <f t="shared" si="1624"/>
        <v/>
      </c>
      <c r="GX169" s="41" t="str">
        <f t="shared" si="1625"/>
        <v/>
      </c>
      <c r="GY169" s="41" t="str">
        <f t="shared" si="1626"/>
        <v/>
      </c>
      <c r="GZ169" s="41" t="str">
        <f t="shared" si="1627"/>
        <v/>
      </c>
      <c r="HA169" s="41" t="str">
        <f t="shared" si="1628"/>
        <v/>
      </c>
      <c r="HB169" s="41" t="str">
        <f t="shared" si="1629"/>
        <v/>
      </c>
      <c r="HC169" s="41" t="str">
        <f t="shared" si="1630"/>
        <v/>
      </c>
      <c r="HD169" s="41" t="str">
        <f t="shared" si="1631"/>
        <v/>
      </c>
      <c r="HE169" s="41" t="str">
        <f t="shared" si="1632"/>
        <v/>
      </c>
      <c r="HF169" s="41" t="str">
        <f t="shared" si="1633"/>
        <v/>
      </c>
      <c r="HG169" s="41" t="str">
        <f t="shared" si="1634"/>
        <v/>
      </c>
      <c r="HH169" s="41" t="str">
        <f t="shared" si="1635"/>
        <v/>
      </c>
      <c r="HI169" s="41" t="str">
        <f t="shared" si="1636"/>
        <v/>
      </c>
      <c r="HJ169" s="41" t="str">
        <f t="shared" si="1637"/>
        <v/>
      </c>
      <c r="HK169" s="41" t="str">
        <f t="shared" si="1638"/>
        <v/>
      </c>
      <c r="HL169" s="41" t="str">
        <f t="shared" si="1639"/>
        <v/>
      </c>
      <c r="HM169" s="41" t="str">
        <f t="shared" si="1640"/>
        <v/>
      </c>
      <c r="HN169" s="41" t="str">
        <f t="shared" si="1641"/>
        <v/>
      </c>
      <c r="HO169" s="41" t="str">
        <f t="shared" si="1642"/>
        <v/>
      </c>
      <c r="HP169" s="41" t="str">
        <f t="shared" si="1643"/>
        <v/>
      </c>
      <c r="HQ169" s="41" t="str">
        <f t="shared" si="1644"/>
        <v/>
      </c>
      <c r="HR169" s="41" t="str">
        <f t="shared" si="1645"/>
        <v/>
      </c>
      <c r="HS169" s="41" t="str">
        <f t="shared" si="1646"/>
        <v/>
      </c>
      <c r="HT169" s="41" t="str">
        <f t="shared" si="1647"/>
        <v/>
      </c>
      <c r="HU169" s="41" t="str">
        <f t="shared" si="1648"/>
        <v/>
      </c>
      <c r="HV169" s="41" t="str">
        <f t="shared" si="1649"/>
        <v/>
      </c>
      <c r="HW169" s="41" t="str">
        <f t="shared" si="1650"/>
        <v/>
      </c>
      <c r="HX169" s="41" t="str">
        <f t="shared" si="1651"/>
        <v/>
      </c>
      <c r="HY169" s="41" t="str">
        <f t="shared" si="1652"/>
        <v/>
      </c>
      <c r="HZ169" s="41" t="str">
        <f t="shared" si="1653"/>
        <v/>
      </c>
      <c r="IA169" s="41" t="str">
        <f t="shared" si="1654"/>
        <v/>
      </c>
      <c r="IB169" s="41" t="str">
        <f t="shared" si="1655"/>
        <v/>
      </c>
      <c r="IC169" s="41" t="str">
        <f t="shared" si="1656"/>
        <v/>
      </c>
      <c r="ID169" s="41" t="str">
        <f t="shared" si="1657"/>
        <v/>
      </c>
      <c r="IE169" s="41" t="str">
        <f t="shared" si="1658"/>
        <v/>
      </c>
      <c r="IF169" s="41" t="str">
        <f t="shared" si="1659"/>
        <v/>
      </c>
      <c r="IG169" s="306" t="str">
        <f t="shared" si="1660"/>
        <v/>
      </c>
      <c r="IH169" s="44" t="str">
        <f t="shared" si="1661"/>
        <v/>
      </c>
      <c r="II169" s="44" t="str">
        <f t="shared" si="1662"/>
        <v/>
      </c>
      <c r="IJ169" s="44" t="str">
        <f t="shared" si="1663"/>
        <v/>
      </c>
      <c r="IK169" s="44" t="str">
        <f t="shared" si="1664"/>
        <v/>
      </c>
      <c r="IL169" s="44" t="str">
        <f t="shared" si="1665"/>
        <v/>
      </c>
      <c r="IM169" s="306" t="str">
        <f t="shared" si="1666"/>
        <v/>
      </c>
      <c r="IN169" s="44" t="str">
        <f t="shared" si="1667"/>
        <v/>
      </c>
      <c r="IO169" s="44" t="str">
        <f t="shared" si="1668"/>
        <v/>
      </c>
      <c r="IP169" s="44" t="str">
        <f t="shared" si="1669"/>
        <v/>
      </c>
      <c r="IQ169" s="44" t="str">
        <f t="shared" si="1670"/>
        <v/>
      </c>
      <c r="IR169" s="44" t="str">
        <f t="shared" si="1671"/>
        <v/>
      </c>
      <c r="IS169" s="306" t="str">
        <f t="shared" si="1672"/>
        <v/>
      </c>
      <c r="IT169" s="44" t="str">
        <f t="shared" si="1673"/>
        <v/>
      </c>
      <c r="IU169" s="44" t="str">
        <f t="shared" si="1674"/>
        <v/>
      </c>
      <c r="IV169" s="44" t="str">
        <f t="shared" si="1675"/>
        <v/>
      </c>
      <c r="IW169" s="44" t="str">
        <f t="shared" si="1676"/>
        <v/>
      </c>
      <c r="IX169" s="44" t="str">
        <f t="shared" si="1677"/>
        <v/>
      </c>
      <c r="IY169" s="306" t="str">
        <f t="shared" si="1678"/>
        <v/>
      </c>
      <c r="IZ169" s="44" t="str">
        <f t="shared" si="1679"/>
        <v/>
      </c>
      <c r="JA169" s="44" t="str">
        <f t="shared" si="1680"/>
        <v/>
      </c>
      <c r="JB169" s="44" t="str">
        <f t="shared" si="1681"/>
        <v/>
      </c>
      <c r="JC169" s="44" t="str">
        <f t="shared" si="1682"/>
        <v/>
      </c>
      <c r="JD169" s="307" t="str">
        <f t="shared" si="1683"/>
        <v/>
      </c>
      <c r="JF169" s="66">
        <f t="shared" si="1424"/>
        <v>169</v>
      </c>
      <c r="JG169" s="66">
        <f t="shared" ca="1" si="1425"/>
        <v>0</v>
      </c>
      <c r="JH169" s="66">
        <f t="shared" ca="1" si="1426"/>
        <v>0</v>
      </c>
      <c r="JI169" s="66">
        <f t="shared" ca="1" si="1427"/>
        <v>0</v>
      </c>
      <c r="JJ169" s="66">
        <f t="shared" ca="1" si="1428"/>
        <v>0</v>
      </c>
      <c r="JK169" s="33"/>
      <c r="JL169" s="74" t="str">
        <f t="shared" ca="1" si="1429"/>
        <v>-</v>
      </c>
      <c r="JM169" s="75">
        <f t="shared" ca="1" si="1430"/>
        <v>0</v>
      </c>
      <c r="JN169" s="75">
        <f t="shared" ca="1" si="1431"/>
        <v>0</v>
      </c>
      <c r="JO169" s="74" t="str">
        <f t="shared" ca="1" si="1432"/>
        <v>-</v>
      </c>
      <c r="JP169" s="74">
        <f t="shared" ca="1" si="1433"/>
        <v>0</v>
      </c>
    </row>
    <row r="170" spans="1:276" hidden="1" outlineLevel="1" x14ac:dyDescent="0.35">
      <c r="A170" s="125" t="s">
        <v>805</v>
      </c>
      <c r="B170" s="125" t="s">
        <v>805</v>
      </c>
      <c r="C170" s="125" t="s">
        <v>805</v>
      </c>
      <c r="E170" s="142" t="s">
        <v>887</v>
      </c>
      <c r="F170" s="254" t="s">
        <v>770</v>
      </c>
      <c r="G170" t="s">
        <v>542</v>
      </c>
      <c r="H170" t="s">
        <v>531</v>
      </c>
      <c r="I170" t="s">
        <v>534</v>
      </c>
      <c r="J170" s="211" t="s">
        <v>805</v>
      </c>
      <c r="K170" t="s">
        <v>805</v>
      </c>
      <c r="L170" t="s">
        <v>805</v>
      </c>
      <c r="M170" t="s">
        <v>805</v>
      </c>
      <c r="N170" t="s">
        <v>805</v>
      </c>
      <c r="O170" t="s">
        <v>805</v>
      </c>
      <c r="P170" t="s">
        <v>805</v>
      </c>
      <c r="Q170" t="s">
        <v>805</v>
      </c>
      <c r="R170" t="s">
        <v>805</v>
      </c>
      <c r="S170" t="s">
        <v>805</v>
      </c>
      <c r="T170" t="s">
        <v>805</v>
      </c>
      <c r="U170" t="s">
        <v>805</v>
      </c>
      <c r="V170" t="s">
        <v>805</v>
      </c>
      <c r="W170" t="s">
        <v>805</v>
      </c>
      <c r="X170" t="s">
        <v>805</v>
      </c>
      <c r="Y170" t="s">
        <v>805</v>
      </c>
      <c r="Z170" t="s">
        <v>805</v>
      </c>
      <c r="AA170" t="s">
        <v>805</v>
      </c>
      <c r="AB170" t="s">
        <v>805</v>
      </c>
      <c r="AC170" t="s">
        <v>805</v>
      </c>
      <c r="AD170" t="s">
        <v>805</v>
      </c>
      <c r="AE170" t="s">
        <v>805</v>
      </c>
      <c r="AF170" t="s">
        <v>805</v>
      </c>
      <c r="AG170" t="s">
        <v>805</v>
      </c>
      <c r="AH170" t="s">
        <v>805</v>
      </c>
      <c r="AI170" t="s">
        <v>805</v>
      </c>
      <c r="AJ170" t="s">
        <v>805</v>
      </c>
      <c r="AK170" t="s">
        <v>805</v>
      </c>
      <c r="AL170" t="s">
        <v>805</v>
      </c>
      <c r="AM170" t="s">
        <v>805</v>
      </c>
      <c r="AN170" t="s">
        <v>805</v>
      </c>
      <c r="AO170" t="s">
        <v>805</v>
      </c>
      <c r="AP170" t="s">
        <v>805</v>
      </c>
      <c r="AQ170" t="s">
        <v>805</v>
      </c>
      <c r="AR170" t="s">
        <v>805</v>
      </c>
      <c r="AS170" t="s">
        <v>805</v>
      </c>
      <c r="AT170" t="s">
        <v>805</v>
      </c>
      <c r="AU170" t="s">
        <v>805</v>
      </c>
      <c r="AV170" t="s">
        <v>805</v>
      </c>
      <c r="AW170" t="s">
        <v>805</v>
      </c>
      <c r="AX170" t="s">
        <v>805</v>
      </c>
      <c r="AY170" t="s">
        <v>805</v>
      </c>
      <c r="AZ170" t="s">
        <v>805</v>
      </c>
      <c r="BA170" t="s">
        <v>805</v>
      </c>
      <c r="BB170" t="s">
        <v>805</v>
      </c>
      <c r="BC170" t="s">
        <v>805</v>
      </c>
      <c r="BD170" t="s">
        <v>805</v>
      </c>
      <c r="BE170" t="s">
        <v>805</v>
      </c>
      <c r="BF170" t="s">
        <v>805</v>
      </c>
      <c r="BG170" t="s">
        <v>805</v>
      </c>
      <c r="BH170" t="s">
        <v>805</v>
      </c>
      <c r="BI170" t="s">
        <v>805</v>
      </c>
      <c r="BJ170" t="s">
        <v>805</v>
      </c>
      <c r="BK170" t="s">
        <v>805</v>
      </c>
      <c r="BL170" t="s">
        <v>805</v>
      </c>
      <c r="BM170" t="s">
        <v>805</v>
      </c>
      <c r="BN170" t="s">
        <v>805</v>
      </c>
      <c r="BO170" t="s">
        <v>805</v>
      </c>
      <c r="BP170" t="s">
        <v>805</v>
      </c>
      <c r="BQ170" t="s">
        <v>805</v>
      </c>
      <c r="BR170" t="s">
        <v>805</v>
      </c>
      <c r="BS170" t="s">
        <v>805</v>
      </c>
      <c r="BT170" t="s">
        <v>805</v>
      </c>
      <c r="BU170" t="s">
        <v>805</v>
      </c>
      <c r="BV170" t="s">
        <v>805</v>
      </c>
      <c r="BW170" t="s">
        <v>805</v>
      </c>
      <c r="BX170" t="s">
        <v>805</v>
      </c>
      <c r="BY170" t="s">
        <v>805</v>
      </c>
      <c r="BZ170" t="s">
        <v>805</v>
      </c>
      <c r="CA170" t="s">
        <v>805</v>
      </c>
      <c r="CB170" t="s">
        <v>805</v>
      </c>
      <c r="CC170" t="s">
        <v>805</v>
      </c>
      <c r="CD170" t="s">
        <v>805</v>
      </c>
      <c r="CE170" t="s">
        <v>805</v>
      </c>
      <c r="CF170" t="s">
        <v>805</v>
      </c>
      <c r="CG170" t="s">
        <v>805</v>
      </c>
      <c r="CH170" t="s">
        <v>805</v>
      </c>
      <c r="CI170" t="s">
        <v>805</v>
      </c>
      <c r="CJ170" t="s">
        <v>805</v>
      </c>
      <c r="CK170" t="s">
        <v>805</v>
      </c>
      <c r="CL170" t="s">
        <v>805</v>
      </c>
      <c r="CM170" t="s">
        <v>805</v>
      </c>
      <c r="CN170" t="s">
        <v>805</v>
      </c>
      <c r="CO170" t="s">
        <v>805</v>
      </c>
      <c r="CP170" t="s">
        <v>805</v>
      </c>
      <c r="CQ170" t="s">
        <v>805</v>
      </c>
      <c r="CR170" t="s">
        <v>805</v>
      </c>
      <c r="CS170" t="s">
        <v>805</v>
      </c>
      <c r="CT170" t="s">
        <v>805</v>
      </c>
      <c r="CU170" t="s">
        <v>805</v>
      </c>
      <c r="CV170" t="s">
        <v>805</v>
      </c>
      <c r="CW170" t="s">
        <v>805</v>
      </c>
      <c r="CX170" t="s">
        <v>805</v>
      </c>
      <c r="CY170" t="s">
        <v>805</v>
      </c>
      <c r="CZ170" t="s">
        <v>805</v>
      </c>
      <c r="DA170" t="s">
        <v>805</v>
      </c>
      <c r="DB170" t="s">
        <v>805</v>
      </c>
      <c r="DC170" t="s">
        <v>805</v>
      </c>
      <c r="DD170" t="s">
        <v>805</v>
      </c>
      <c r="DE170" t="s">
        <v>805</v>
      </c>
      <c r="DF170" t="s">
        <v>805</v>
      </c>
      <c r="DG170" s="28">
        <f>VLOOKUP(E170,'KPI Count-SHARE'!A:F,3,0)</f>
        <v>0</v>
      </c>
      <c r="DH170" t="s">
        <v>805</v>
      </c>
      <c r="DI170" t="s">
        <v>805</v>
      </c>
      <c r="DJ170" t="s">
        <v>805</v>
      </c>
      <c r="DK170" t="s">
        <v>805</v>
      </c>
      <c r="DL170" t="s">
        <v>805</v>
      </c>
      <c r="DM170" t="s">
        <v>805</v>
      </c>
      <c r="DN170" s="28">
        <f>VLOOKUP(E170,'KPI Count-SHARE'!A:F,4,0)</f>
        <v>0</v>
      </c>
      <c r="DU170" s="28">
        <f>VLOOKUP(E170,'KPI Count-SHARE'!A:F,5,0)</f>
        <v>0</v>
      </c>
      <c r="EB170" s="28">
        <f>VLOOKUP(E170,'KPI Count-SHARE'!A:F,6,0)</f>
        <v>0</v>
      </c>
      <c r="EI170" t="s">
        <v>531</v>
      </c>
      <c r="EJ170" s="41" t="str">
        <f t="shared" si="1559"/>
        <v/>
      </c>
      <c r="EK170" s="41" t="str">
        <f t="shared" si="1560"/>
        <v/>
      </c>
      <c r="EL170" s="41" t="str">
        <f t="shared" si="1561"/>
        <v/>
      </c>
      <c r="EM170" s="41" t="str">
        <f t="shared" si="1562"/>
        <v/>
      </c>
      <c r="EN170" s="41" t="str">
        <f t="shared" si="1563"/>
        <v/>
      </c>
      <c r="EO170" s="41" t="str">
        <f t="shared" si="1564"/>
        <v/>
      </c>
      <c r="EP170" s="41" t="str">
        <f t="shared" si="1565"/>
        <v/>
      </c>
      <c r="EQ170" s="41" t="str">
        <f t="shared" si="1566"/>
        <v/>
      </c>
      <c r="ER170" s="41" t="str">
        <f t="shared" si="1567"/>
        <v/>
      </c>
      <c r="ES170" s="41" t="str">
        <f t="shared" si="1568"/>
        <v/>
      </c>
      <c r="ET170" s="41" t="str">
        <f t="shared" si="1569"/>
        <v/>
      </c>
      <c r="EU170" s="41" t="str">
        <f t="shared" si="1570"/>
        <v/>
      </c>
      <c r="EV170" s="41" t="str">
        <f t="shared" si="1571"/>
        <v/>
      </c>
      <c r="EW170" s="41" t="str">
        <f t="shared" si="1572"/>
        <v/>
      </c>
      <c r="EX170" s="41" t="str">
        <f t="shared" si="1573"/>
        <v/>
      </c>
      <c r="EY170" s="41" t="str">
        <f t="shared" si="1574"/>
        <v/>
      </c>
      <c r="EZ170" s="41" t="str">
        <f t="shared" si="1575"/>
        <v/>
      </c>
      <c r="FA170" s="41" t="str">
        <f t="shared" si="1576"/>
        <v/>
      </c>
      <c r="FB170" s="41" t="str">
        <f t="shared" si="1577"/>
        <v/>
      </c>
      <c r="FC170" s="41" t="str">
        <f t="shared" si="1578"/>
        <v/>
      </c>
      <c r="FD170" s="41" t="str">
        <f t="shared" si="1579"/>
        <v/>
      </c>
      <c r="FE170" s="41" t="str">
        <f t="shared" si="1580"/>
        <v/>
      </c>
      <c r="FF170" s="41" t="str">
        <f t="shared" si="1581"/>
        <v/>
      </c>
      <c r="FG170" s="41" t="str">
        <f t="shared" si="1582"/>
        <v/>
      </c>
      <c r="FH170" s="41" t="str">
        <f t="shared" si="1583"/>
        <v/>
      </c>
      <c r="FI170" s="41" t="str">
        <f t="shared" si="1584"/>
        <v/>
      </c>
      <c r="FJ170" s="41" t="str">
        <f t="shared" si="1585"/>
        <v/>
      </c>
      <c r="FK170" s="41" t="str">
        <f t="shared" si="1586"/>
        <v/>
      </c>
      <c r="FL170" s="41" t="str">
        <f t="shared" si="1587"/>
        <v/>
      </c>
      <c r="FM170" s="41" t="str">
        <f t="shared" si="1588"/>
        <v/>
      </c>
      <c r="FN170" s="41" t="str">
        <f t="shared" si="1589"/>
        <v/>
      </c>
      <c r="FO170" s="41" t="str">
        <f t="shared" si="1590"/>
        <v/>
      </c>
      <c r="FP170" s="41" t="str">
        <f t="shared" si="1591"/>
        <v/>
      </c>
      <c r="FQ170" s="41" t="str">
        <f t="shared" si="1592"/>
        <v/>
      </c>
      <c r="FR170" s="41" t="str">
        <f t="shared" si="1593"/>
        <v/>
      </c>
      <c r="FS170" s="41" t="str">
        <f t="shared" si="1594"/>
        <v/>
      </c>
      <c r="FT170" s="41" t="str">
        <f t="shared" si="1595"/>
        <v/>
      </c>
      <c r="FU170" s="41" t="str">
        <f t="shared" si="1596"/>
        <v/>
      </c>
      <c r="FV170" s="41" t="str">
        <f t="shared" si="1597"/>
        <v/>
      </c>
      <c r="FW170" s="41" t="str">
        <f t="shared" si="1598"/>
        <v/>
      </c>
      <c r="FX170" s="41" t="str">
        <f t="shared" si="1599"/>
        <v/>
      </c>
      <c r="FY170" s="41" t="str">
        <f t="shared" si="1600"/>
        <v/>
      </c>
      <c r="FZ170" s="41" t="str">
        <f t="shared" si="1601"/>
        <v/>
      </c>
      <c r="GA170" s="41" t="str">
        <f t="shared" si="1602"/>
        <v/>
      </c>
      <c r="GB170" s="41" t="str">
        <f t="shared" si="1603"/>
        <v/>
      </c>
      <c r="GC170" s="41" t="str">
        <f t="shared" si="1604"/>
        <v/>
      </c>
      <c r="GD170" s="41" t="str">
        <f t="shared" si="1605"/>
        <v/>
      </c>
      <c r="GE170" s="41" t="str">
        <f t="shared" si="1606"/>
        <v/>
      </c>
      <c r="GF170" s="41" t="str">
        <f t="shared" si="1607"/>
        <v/>
      </c>
      <c r="GG170" s="41" t="str">
        <f t="shared" si="1608"/>
        <v/>
      </c>
      <c r="GH170" s="41" t="str">
        <f t="shared" si="1609"/>
        <v/>
      </c>
      <c r="GI170" s="41" t="str">
        <f t="shared" si="1610"/>
        <v/>
      </c>
      <c r="GJ170" s="41" t="str">
        <f t="shared" si="1611"/>
        <v/>
      </c>
      <c r="GK170" s="41" t="str">
        <f t="shared" si="1612"/>
        <v/>
      </c>
      <c r="GL170" s="41" t="str">
        <f t="shared" si="1613"/>
        <v/>
      </c>
      <c r="GM170" s="41" t="str">
        <f t="shared" si="1614"/>
        <v/>
      </c>
      <c r="GN170" s="41" t="str">
        <f t="shared" si="1615"/>
        <v/>
      </c>
      <c r="GO170" s="41" t="str">
        <f t="shared" si="1616"/>
        <v/>
      </c>
      <c r="GP170" s="41" t="str">
        <f t="shared" si="1617"/>
        <v/>
      </c>
      <c r="GQ170" s="41" t="str">
        <f t="shared" si="1618"/>
        <v/>
      </c>
      <c r="GR170" s="41" t="str">
        <f t="shared" si="1619"/>
        <v/>
      </c>
      <c r="GS170" s="41" t="str">
        <f t="shared" si="1620"/>
        <v/>
      </c>
      <c r="GT170" s="41" t="str">
        <f t="shared" si="1621"/>
        <v/>
      </c>
      <c r="GU170" s="41" t="str">
        <f t="shared" si="1622"/>
        <v/>
      </c>
      <c r="GV170" s="41" t="str">
        <f t="shared" si="1623"/>
        <v/>
      </c>
      <c r="GW170" s="41" t="str">
        <f t="shared" si="1624"/>
        <v/>
      </c>
      <c r="GX170" s="41" t="str">
        <f t="shared" si="1625"/>
        <v/>
      </c>
      <c r="GY170" s="41" t="str">
        <f t="shared" si="1626"/>
        <v/>
      </c>
      <c r="GZ170" s="41" t="str">
        <f t="shared" si="1627"/>
        <v/>
      </c>
      <c r="HA170" s="41" t="str">
        <f t="shared" si="1628"/>
        <v/>
      </c>
      <c r="HB170" s="41" t="str">
        <f t="shared" si="1629"/>
        <v/>
      </c>
      <c r="HC170" s="41" t="str">
        <f t="shared" si="1630"/>
        <v/>
      </c>
      <c r="HD170" s="41" t="str">
        <f t="shared" si="1631"/>
        <v/>
      </c>
      <c r="HE170" s="41" t="str">
        <f t="shared" si="1632"/>
        <v/>
      </c>
      <c r="HF170" s="41" t="str">
        <f t="shared" si="1633"/>
        <v/>
      </c>
      <c r="HG170" s="41" t="str">
        <f t="shared" si="1634"/>
        <v/>
      </c>
      <c r="HH170" s="41" t="str">
        <f t="shared" si="1635"/>
        <v/>
      </c>
      <c r="HI170" s="41" t="str">
        <f t="shared" si="1636"/>
        <v/>
      </c>
      <c r="HJ170" s="41" t="str">
        <f t="shared" si="1637"/>
        <v/>
      </c>
      <c r="HK170" s="41" t="str">
        <f t="shared" si="1638"/>
        <v/>
      </c>
      <c r="HL170" s="41" t="str">
        <f t="shared" si="1639"/>
        <v/>
      </c>
      <c r="HM170" s="41" t="str">
        <f t="shared" si="1640"/>
        <v/>
      </c>
      <c r="HN170" s="41" t="str">
        <f t="shared" si="1641"/>
        <v/>
      </c>
      <c r="HO170" s="41" t="str">
        <f t="shared" si="1642"/>
        <v/>
      </c>
      <c r="HP170" s="41" t="str">
        <f t="shared" si="1643"/>
        <v/>
      </c>
      <c r="HQ170" s="41" t="str">
        <f t="shared" si="1644"/>
        <v/>
      </c>
      <c r="HR170" s="41" t="str">
        <f t="shared" si="1645"/>
        <v/>
      </c>
      <c r="HS170" s="41" t="str">
        <f t="shared" si="1646"/>
        <v/>
      </c>
      <c r="HT170" s="41" t="str">
        <f t="shared" si="1647"/>
        <v/>
      </c>
      <c r="HU170" s="41" t="str">
        <f t="shared" si="1648"/>
        <v/>
      </c>
      <c r="HV170" s="41" t="str">
        <f t="shared" si="1649"/>
        <v/>
      </c>
      <c r="HW170" s="41" t="str">
        <f t="shared" si="1650"/>
        <v/>
      </c>
      <c r="HX170" s="41" t="str">
        <f t="shared" si="1651"/>
        <v/>
      </c>
      <c r="HY170" s="41" t="str">
        <f t="shared" si="1652"/>
        <v/>
      </c>
      <c r="HZ170" s="41" t="str">
        <f t="shared" si="1653"/>
        <v/>
      </c>
      <c r="IA170" s="41" t="str">
        <f t="shared" si="1654"/>
        <v/>
      </c>
      <c r="IB170" s="41" t="str">
        <f t="shared" si="1655"/>
        <v/>
      </c>
      <c r="IC170" s="41" t="str">
        <f t="shared" si="1656"/>
        <v/>
      </c>
      <c r="ID170" s="41" t="str">
        <f t="shared" si="1657"/>
        <v/>
      </c>
      <c r="IE170" s="41" t="str">
        <f t="shared" si="1658"/>
        <v/>
      </c>
      <c r="IF170" s="41" t="str">
        <f t="shared" si="1659"/>
        <v/>
      </c>
      <c r="IG170" s="306" t="str">
        <f t="shared" si="1660"/>
        <v/>
      </c>
      <c r="IH170" s="44" t="str">
        <f t="shared" si="1661"/>
        <v/>
      </c>
      <c r="II170" s="44" t="str">
        <f t="shared" si="1662"/>
        <v/>
      </c>
      <c r="IJ170" s="44" t="str">
        <f t="shared" si="1663"/>
        <v/>
      </c>
      <c r="IK170" s="44" t="str">
        <f t="shared" si="1664"/>
        <v/>
      </c>
      <c r="IL170" s="44" t="str">
        <f t="shared" si="1665"/>
        <v/>
      </c>
      <c r="IM170" s="306" t="str">
        <f t="shared" si="1666"/>
        <v/>
      </c>
      <c r="IN170" s="44" t="str">
        <f t="shared" si="1667"/>
        <v/>
      </c>
      <c r="IO170" s="44" t="str">
        <f t="shared" si="1668"/>
        <v/>
      </c>
      <c r="IP170" s="44" t="str">
        <f t="shared" si="1669"/>
        <v/>
      </c>
      <c r="IQ170" s="44" t="str">
        <f t="shared" si="1670"/>
        <v/>
      </c>
      <c r="IR170" s="44" t="str">
        <f t="shared" si="1671"/>
        <v/>
      </c>
      <c r="IS170" s="306" t="str">
        <f t="shared" si="1672"/>
        <v/>
      </c>
      <c r="IT170" s="44" t="str">
        <f t="shared" si="1673"/>
        <v/>
      </c>
      <c r="IU170" s="44" t="str">
        <f t="shared" si="1674"/>
        <v/>
      </c>
      <c r="IV170" s="44" t="str">
        <f t="shared" si="1675"/>
        <v/>
      </c>
      <c r="IW170" s="44" t="str">
        <f t="shared" si="1676"/>
        <v/>
      </c>
      <c r="IX170" s="44" t="str">
        <f t="shared" si="1677"/>
        <v/>
      </c>
      <c r="IY170" s="306" t="str">
        <f t="shared" si="1678"/>
        <v/>
      </c>
      <c r="IZ170" s="44" t="str">
        <f t="shared" si="1679"/>
        <v/>
      </c>
      <c r="JA170" s="44" t="str">
        <f t="shared" si="1680"/>
        <v/>
      </c>
      <c r="JB170" s="44" t="str">
        <f t="shared" si="1681"/>
        <v/>
      </c>
      <c r="JC170" s="44" t="str">
        <f t="shared" si="1682"/>
        <v/>
      </c>
      <c r="JD170" s="307" t="str">
        <f t="shared" si="1683"/>
        <v/>
      </c>
      <c r="JF170" s="66">
        <f t="shared" si="1424"/>
        <v>170</v>
      </c>
      <c r="JG170" s="66">
        <f t="shared" ca="1" si="1425"/>
        <v>0</v>
      </c>
      <c r="JH170" s="66">
        <f t="shared" ca="1" si="1426"/>
        <v>0</v>
      </c>
      <c r="JI170" s="66">
        <f t="shared" ca="1" si="1427"/>
        <v>0</v>
      </c>
      <c r="JJ170" s="66">
        <f t="shared" ca="1" si="1428"/>
        <v>0</v>
      </c>
      <c r="JK170" s="33"/>
      <c r="JL170" s="74" t="str">
        <f t="shared" ca="1" si="1429"/>
        <v>-</v>
      </c>
      <c r="JM170" s="75">
        <f t="shared" ca="1" si="1430"/>
        <v>0</v>
      </c>
      <c r="JN170" s="75">
        <f t="shared" ca="1" si="1431"/>
        <v>0</v>
      </c>
      <c r="JO170" s="74" t="str">
        <f t="shared" ca="1" si="1432"/>
        <v>-</v>
      </c>
      <c r="JP170" s="74">
        <f t="shared" ca="1" si="1433"/>
        <v>0</v>
      </c>
    </row>
    <row r="171" spans="1:276" hidden="1" outlineLevel="1" x14ac:dyDescent="0.35">
      <c r="A171" s="125" t="s">
        <v>805</v>
      </c>
      <c r="B171" s="125" t="s">
        <v>805</v>
      </c>
      <c r="C171" s="125" t="s">
        <v>805</v>
      </c>
      <c r="E171" s="142"/>
      <c r="F171" s="255"/>
      <c r="J171" t="s">
        <v>805</v>
      </c>
      <c r="K171" t="s">
        <v>805</v>
      </c>
      <c r="L171" t="s">
        <v>805</v>
      </c>
      <c r="M171" t="s">
        <v>805</v>
      </c>
      <c r="N171" t="s">
        <v>805</v>
      </c>
      <c r="O171" t="s">
        <v>805</v>
      </c>
      <c r="P171" t="s">
        <v>805</v>
      </c>
      <c r="Q171" t="s">
        <v>805</v>
      </c>
      <c r="R171" t="s">
        <v>805</v>
      </c>
      <c r="S171" t="s">
        <v>805</v>
      </c>
      <c r="T171" t="s">
        <v>805</v>
      </c>
      <c r="U171" t="s">
        <v>805</v>
      </c>
      <c r="V171" t="s">
        <v>805</v>
      </c>
      <c r="W171" t="s">
        <v>805</v>
      </c>
      <c r="X171" t="s">
        <v>805</v>
      </c>
      <c r="Y171" t="s">
        <v>805</v>
      </c>
      <c r="Z171" t="s">
        <v>805</v>
      </c>
      <c r="AA171" t="s">
        <v>805</v>
      </c>
      <c r="AB171" t="s">
        <v>805</v>
      </c>
      <c r="AC171" t="s">
        <v>805</v>
      </c>
      <c r="AD171" t="s">
        <v>805</v>
      </c>
      <c r="AE171" t="s">
        <v>805</v>
      </c>
      <c r="AF171" t="s">
        <v>805</v>
      </c>
      <c r="AG171" t="s">
        <v>805</v>
      </c>
      <c r="AH171" t="s">
        <v>805</v>
      </c>
      <c r="AI171" t="s">
        <v>805</v>
      </c>
      <c r="AJ171" t="s">
        <v>805</v>
      </c>
      <c r="AK171" t="s">
        <v>805</v>
      </c>
      <c r="AL171" t="s">
        <v>805</v>
      </c>
      <c r="AM171" t="s">
        <v>805</v>
      </c>
      <c r="AN171" t="s">
        <v>805</v>
      </c>
      <c r="AO171" t="s">
        <v>805</v>
      </c>
      <c r="AP171" t="s">
        <v>805</v>
      </c>
      <c r="AQ171" t="s">
        <v>805</v>
      </c>
      <c r="AR171" t="s">
        <v>805</v>
      </c>
      <c r="AS171" t="s">
        <v>805</v>
      </c>
      <c r="AT171" t="s">
        <v>805</v>
      </c>
      <c r="AU171" t="s">
        <v>805</v>
      </c>
      <c r="AV171" t="s">
        <v>805</v>
      </c>
      <c r="AW171" t="s">
        <v>805</v>
      </c>
      <c r="AX171" t="s">
        <v>805</v>
      </c>
      <c r="AY171" t="s">
        <v>805</v>
      </c>
      <c r="AZ171" t="s">
        <v>805</v>
      </c>
      <c r="BA171" t="s">
        <v>805</v>
      </c>
      <c r="BB171" t="s">
        <v>805</v>
      </c>
      <c r="BC171" t="s">
        <v>805</v>
      </c>
      <c r="BD171" t="s">
        <v>805</v>
      </c>
      <c r="BE171" t="s">
        <v>805</v>
      </c>
      <c r="BF171" t="s">
        <v>805</v>
      </c>
      <c r="BG171" t="s">
        <v>805</v>
      </c>
      <c r="BH171" t="s">
        <v>805</v>
      </c>
      <c r="BI171" t="s">
        <v>805</v>
      </c>
      <c r="BJ171" t="s">
        <v>805</v>
      </c>
      <c r="BK171" t="s">
        <v>805</v>
      </c>
      <c r="BL171" t="s">
        <v>805</v>
      </c>
      <c r="BM171" t="s">
        <v>805</v>
      </c>
      <c r="BN171" t="s">
        <v>805</v>
      </c>
      <c r="BO171" t="s">
        <v>805</v>
      </c>
      <c r="BP171" t="s">
        <v>805</v>
      </c>
      <c r="BQ171" t="s">
        <v>805</v>
      </c>
      <c r="BR171" t="s">
        <v>805</v>
      </c>
      <c r="BS171" t="s">
        <v>805</v>
      </c>
      <c r="BT171" t="s">
        <v>805</v>
      </c>
      <c r="BU171" t="s">
        <v>805</v>
      </c>
      <c r="BV171" t="s">
        <v>805</v>
      </c>
      <c r="BW171" t="s">
        <v>805</v>
      </c>
      <c r="BX171" t="s">
        <v>805</v>
      </c>
      <c r="BY171" t="s">
        <v>805</v>
      </c>
      <c r="BZ171" t="s">
        <v>805</v>
      </c>
      <c r="CA171" t="s">
        <v>805</v>
      </c>
      <c r="CB171" t="s">
        <v>805</v>
      </c>
      <c r="CC171" t="s">
        <v>805</v>
      </c>
      <c r="CD171" t="s">
        <v>805</v>
      </c>
      <c r="CE171" t="s">
        <v>805</v>
      </c>
      <c r="CF171" t="s">
        <v>805</v>
      </c>
      <c r="CG171" t="s">
        <v>805</v>
      </c>
      <c r="CH171" t="s">
        <v>805</v>
      </c>
      <c r="CI171" t="s">
        <v>805</v>
      </c>
      <c r="CJ171" t="s">
        <v>805</v>
      </c>
      <c r="CK171" t="s">
        <v>805</v>
      </c>
      <c r="CL171" t="s">
        <v>805</v>
      </c>
      <c r="CM171" t="s">
        <v>805</v>
      </c>
      <c r="CN171" t="s">
        <v>805</v>
      </c>
      <c r="CO171" t="s">
        <v>805</v>
      </c>
      <c r="CP171" t="s">
        <v>805</v>
      </c>
      <c r="CQ171" t="s">
        <v>805</v>
      </c>
      <c r="CR171" t="s">
        <v>805</v>
      </c>
      <c r="CS171" t="s">
        <v>805</v>
      </c>
      <c r="CT171" t="s">
        <v>805</v>
      </c>
      <c r="CU171" t="s">
        <v>805</v>
      </c>
      <c r="CV171" t="s">
        <v>805</v>
      </c>
      <c r="CW171" t="s">
        <v>805</v>
      </c>
      <c r="CX171" t="s">
        <v>805</v>
      </c>
      <c r="CY171" t="s">
        <v>805</v>
      </c>
      <c r="CZ171" t="s">
        <v>805</v>
      </c>
      <c r="DA171" t="s">
        <v>805</v>
      </c>
      <c r="DB171" t="s">
        <v>805</v>
      </c>
      <c r="DC171" t="s">
        <v>805</v>
      </c>
      <c r="DD171" t="s">
        <v>805</v>
      </c>
      <c r="DE171" t="s">
        <v>805</v>
      </c>
      <c r="DF171" t="s">
        <v>805</v>
      </c>
      <c r="DG171" s="28"/>
      <c r="DN171" s="28"/>
      <c r="DU171" s="28"/>
      <c r="EB171" s="28"/>
      <c r="JF171" s="66">
        <f t="shared" si="1424"/>
        <v>171</v>
      </c>
      <c r="JG171" s="66">
        <f t="shared" ca="1" si="1425"/>
        <v>0</v>
      </c>
      <c r="JH171" s="66">
        <f t="shared" ca="1" si="1426"/>
        <v>0</v>
      </c>
      <c r="JI171" s="66">
        <f t="shared" ca="1" si="1427"/>
        <v>0</v>
      </c>
      <c r="JJ171" s="66">
        <f t="shared" ca="1" si="1428"/>
        <v>0</v>
      </c>
      <c r="JK171" s="33"/>
      <c r="JL171" s="74" t="str">
        <f t="shared" ca="1" si="1429"/>
        <v>-</v>
      </c>
      <c r="JM171" s="75">
        <f t="shared" ca="1" si="1430"/>
        <v>0</v>
      </c>
      <c r="JN171" s="75">
        <f t="shared" ca="1" si="1431"/>
        <v>0</v>
      </c>
      <c r="JO171" s="74" t="str">
        <f t="shared" ca="1" si="1432"/>
        <v>-</v>
      </c>
      <c r="JP171" s="74">
        <f t="shared" ca="1" si="1433"/>
        <v>0</v>
      </c>
    </row>
    <row r="172" spans="1:276" hidden="1" outlineLevel="1" x14ac:dyDescent="0.35">
      <c r="A172" s="125" t="s">
        <v>805</v>
      </c>
      <c r="B172" s="125" t="s">
        <v>805</v>
      </c>
      <c r="C172" s="125" t="s">
        <v>805</v>
      </c>
      <c r="D172" s="256"/>
      <c r="E172" s="256"/>
      <c r="F172" s="257" t="s">
        <v>771</v>
      </c>
      <c r="G172" s="256"/>
      <c r="H172" s="256"/>
      <c r="I172" s="256"/>
      <c r="J172" s="256" t="s">
        <v>805</v>
      </c>
      <c r="K172" s="256" t="s">
        <v>805</v>
      </c>
      <c r="L172" s="256" t="s">
        <v>805</v>
      </c>
      <c r="M172" s="256" t="s">
        <v>805</v>
      </c>
      <c r="N172" s="256" t="s">
        <v>805</v>
      </c>
      <c r="O172" s="256" t="s">
        <v>805</v>
      </c>
      <c r="P172" s="256" t="s">
        <v>805</v>
      </c>
      <c r="Q172" s="256" t="s">
        <v>805</v>
      </c>
      <c r="R172" s="256" t="s">
        <v>805</v>
      </c>
      <c r="S172" s="256" t="s">
        <v>805</v>
      </c>
      <c r="T172" s="256" t="s">
        <v>805</v>
      </c>
      <c r="U172" s="256" t="s">
        <v>805</v>
      </c>
      <c r="V172" s="256" t="s">
        <v>805</v>
      </c>
      <c r="W172" s="256" t="s">
        <v>805</v>
      </c>
      <c r="X172" s="256" t="s">
        <v>805</v>
      </c>
      <c r="Y172" s="256" t="s">
        <v>805</v>
      </c>
      <c r="Z172" s="256" t="s">
        <v>805</v>
      </c>
      <c r="AA172" s="256" t="s">
        <v>805</v>
      </c>
      <c r="AB172" s="256" t="s">
        <v>805</v>
      </c>
      <c r="AC172" s="256" t="s">
        <v>805</v>
      </c>
      <c r="AD172" s="256" t="s">
        <v>805</v>
      </c>
      <c r="AE172" s="256" t="s">
        <v>805</v>
      </c>
      <c r="AF172" s="256" t="s">
        <v>805</v>
      </c>
      <c r="AG172" s="256" t="s">
        <v>805</v>
      </c>
      <c r="AH172" s="256" t="s">
        <v>805</v>
      </c>
      <c r="AI172" s="256" t="s">
        <v>805</v>
      </c>
      <c r="AJ172" s="256" t="s">
        <v>805</v>
      </c>
      <c r="AK172" s="256" t="s">
        <v>805</v>
      </c>
      <c r="AL172" s="256" t="s">
        <v>805</v>
      </c>
      <c r="AM172" s="256" t="s">
        <v>805</v>
      </c>
      <c r="AN172" s="256" t="s">
        <v>805</v>
      </c>
      <c r="AO172" s="256" t="s">
        <v>805</v>
      </c>
      <c r="AP172" s="256" t="s">
        <v>805</v>
      </c>
      <c r="AQ172" s="256" t="s">
        <v>805</v>
      </c>
      <c r="AR172" s="256" t="s">
        <v>805</v>
      </c>
      <c r="AS172" s="256" t="s">
        <v>805</v>
      </c>
      <c r="AT172" s="256" t="s">
        <v>805</v>
      </c>
      <c r="AU172" s="256" t="s">
        <v>805</v>
      </c>
      <c r="AV172" s="256" t="s">
        <v>805</v>
      </c>
      <c r="AW172" s="256" t="s">
        <v>805</v>
      </c>
      <c r="AX172" s="256" t="s">
        <v>805</v>
      </c>
      <c r="AY172" s="256" t="s">
        <v>805</v>
      </c>
      <c r="AZ172" s="256" t="s">
        <v>805</v>
      </c>
      <c r="BA172" s="256" t="s">
        <v>805</v>
      </c>
      <c r="BB172" s="256" t="s">
        <v>805</v>
      </c>
      <c r="BC172" s="256" t="s">
        <v>805</v>
      </c>
      <c r="BD172" s="256" t="s">
        <v>805</v>
      </c>
      <c r="BE172" s="256" t="s">
        <v>805</v>
      </c>
      <c r="BF172" s="256" t="s">
        <v>805</v>
      </c>
      <c r="BG172" s="256" t="s">
        <v>805</v>
      </c>
      <c r="BH172" s="256" t="s">
        <v>805</v>
      </c>
      <c r="BI172" s="256" t="s">
        <v>805</v>
      </c>
      <c r="BJ172" s="256" t="s">
        <v>805</v>
      </c>
      <c r="BK172" s="256" t="s">
        <v>805</v>
      </c>
      <c r="BL172" s="256" t="s">
        <v>805</v>
      </c>
      <c r="BM172" s="256" t="s">
        <v>805</v>
      </c>
      <c r="BN172" s="256" t="s">
        <v>805</v>
      </c>
      <c r="BO172" s="256" t="s">
        <v>805</v>
      </c>
      <c r="BP172" s="256" t="s">
        <v>805</v>
      </c>
      <c r="BQ172" s="256" t="s">
        <v>805</v>
      </c>
      <c r="BR172" s="256" t="s">
        <v>805</v>
      </c>
      <c r="BS172" s="256" t="s">
        <v>805</v>
      </c>
      <c r="BT172" s="256" t="s">
        <v>805</v>
      </c>
      <c r="BU172" s="256" t="s">
        <v>805</v>
      </c>
      <c r="BV172" s="256" t="s">
        <v>805</v>
      </c>
      <c r="BW172" s="256" t="s">
        <v>805</v>
      </c>
      <c r="BX172" s="256" t="s">
        <v>805</v>
      </c>
      <c r="BY172" s="256" t="s">
        <v>805</v>
      </c>
      <c r="BZ172" s="256" t="s">
        <v>805</v>
      </c>
      <c r="CA172" s="256" t="s">
        <v>805</v>
      </c>
      <c r="CB172" s="256" t="s">
        <v>805</v>
      </c>
      <c r="CC172" s="256" t="s">
        <v>805</v>
      </c>
      <c r="CD172" s="256" t="s">
        <v>805</v>
      </c>
      <c r="CE172" s="256" t="s">
        <v>805</v>
      </c>
      <c r="CF172" s="256" t="s">
        <v>805</v>
      </c>
      <c r="CG172" s="256" t="s">
        <v>805</v>
      </c>
      <c r="CH172" s="256" t="s">
        <v>805</v>
      </c>
      <c r="CI172" s="256" t="s">
        <v>805</v>
      </c>
      <c r="CJ172" s="256" t="s">
        <v>805</v>
      </c>
      <c r="CK172" s="256" t="s">
        <v>805</v>
      </c>
      <c r="CL172" s="256" t="s">
        <v>805</v>
      </c>
      <c r="CM172" s="256" t="s">
        <v>805</v>
      </c>
      <c r="CN172" s="256" t="s">
        <v>805</v>
      </c>
      <c r="CO172" s="256" t="s">
        <v>805</v>
      </c>
      <c r="CP172" s="256" t="s">
        <v>805</v>
      </c>
      <c r="CQ172" s="256" t="s">
        <v>805</v>
      </c>
      <c r="CR172" s="256" t="s">
        <v>805</v>
      </c>
      <c r="CS172" s="256" t="s">
        <v>805</v>
      </c>
      <c r="CT172" s="256" t="s">
        <v>805</v>
      </c>
      <c r="CU172" s="256" t="s">
        <v>805</v>
      </c>
      <c r="CV172" s="256" t="s">
        <v>805</v>
      </c>
      <c r="CW172" s="256" t="s">
        <v>805</v>
      </c>
      <c r="CX172" s="256" t="s">
        <v>805</v>
      </c>
      <c r="CY172" s="256" t="s">
        <v>805</v>
      </c>
      <c r="CZ172" s="256" t="s">
        <v>805</v>
      </c>
      <c r="DA172" s="256" t="s">
        <v>805</v>
      </c>
      <c r="DB172" s="256" t="s">
        <v>805</v>
      </c>
      <c r="DC172" s="256" t="s">
        <v>805</v>
      </c>
      <c r="DD172" s="256" t="s">
        <v>805</v>
      </c>
      <c r="DE172" s="256" t="s">
        <v>805</v>
      </c>
      <c r="DF172" s="256" t="s">
        <v>805</v>
      </c>
      <c r="DG172" s="273"/>
      <c r="DH172" s="256"/>
      <c r="DI172" s="256"/>
      <c r="DJ172" s="256"/>
      <c r="DK172" s="256"/>
      <c r="DL172" s="256"/>
      <c r="DM172" s="256"/>
      <c r="DN172" s="273"/>
      <c r="DO172" s="256"/>
      <c r="DP172" s="256"/>
      <c r="DQ172" s="256"/>
      <c r="DR172" s="256"/>
      <c r="DS172" s="256"/>
      <c r="DT172" s="256"/>
      <c r="DU172" s="273"/>
      <c r="DV172" s="256"/>
      <c r="DW172" s="256"/>
      <c r="DX172" s="256"/>
      <c r="DY172" s="256"/>
      <c r="DZ172" s="256"/>
      <c r="EA172" s="256"/>
      <c r="EB172" s="273"/>
      <c r="EC172" s="256"/>
      <c r="ED172" s="256"/>
      <c r="EE172" s="256"/>
      <c r="EF172" s="256"/>
      <c r="EG172" s="256"/>
      <c r="EH172" s="256"/>
      <c r="EI172" s="256"/>
      <c r="EJ172" s="256"/>
      <c r="EK172" s="256"/>
      <c r="EL172" s="256"/>
      <c r="EM172" s="256"/>
      <c r="EN172" s="256"/>
      <c r="EO172" s="256"/>
      <c r="EP172" s="256"/>
      <c r="EQ172" s="256"/>
      <c r="ER172" s="256"/>
      <c r="ES172" s="256"/>
      <c r="ET172" s="256"/>
      <c r="EU172" s="256"/>
      <c r="EV172" s="256"/>
      <c r="EW172" s="256"/>
      <c r="EX172" s="256"/>
      <c r="EY172" s="256"/>
      <c r="EZ172" s="256"/>
      <c r="FA172" s="256"/>
      <c r="FB172" s="256"/>
      <c r="FC172" s="256"/>
      <c r="FD172" s="256"/>
      <c r="FE172" s="256"/>
      <c r="FF172" s="256"/>
      <c r="FG172" s="256"/>
      <c r="FH172" s="256"/>
      <c r="FI172" s="256"/>
      <c r="FJ172" s="256"/>
      <c r="FK172" s="256"/>
      <c r="FL172" s="256"/>
      <c r="FM172" s="256"/>
      <c r="FN172" s="256"/>
      <c r="FO172" s="256"/>
      <c r="FP172" s="256"/>
      <c r="FQ172" s="256"/>
      <c r="FR172" s="256"/>
      <c r="FS172" s="256"/>
      <c r="FT172" s="256"/>
      <c r="FU172" s="256"/>
      <c r="FV172" s="256"/>
      <c r="FW172" s="256"/>
      <c r="FX172" s="256"/>
      <c r="FY172" s="256"/>
      <c r="FZ172" s="256"/>
      <c r="GA172" s="256"/>
      <c r="GB172" s="256"/>
      <c r="GC172" s="256"/>
      <c r="GD172" s="256"/>
      <c r="GE172" s="256"/>
      <c r="GF172" s="256"/>
      <c r="GG172" s="256"/>
      <c r="GH172" s="256"/>
      <c r="GI172" s="256"/>
      <c r="GJ172" s="256"/>
      <c r="GK172" s="256"/>
      <c r="GL172" s="256"/>
      <c r="GM172" s="256"/>
      <c r="GN172" s="256"/>
      <c r="GO172" s="256"/>
      <c r="GP172" s="256"/>
      <c r="GQ172" s="256"/>
      <c r="GR172" s="256"/>
      <c r="GS172" s="256"/>
      <c r="GT172" s="256"/>
      <c r="GU172" s="256"/>
      <c r="GV172" s="256"/>
      <c r="GW172" s="256"/>
      <c r="GX172" s="256"/>
      <c r="GY172" s="256"/>
      <c r="GZ172" s="256"/>
      <c r="HA172" s="256"/>
      <c r="HB172" s="256"/>
      <c r="HC172" s="256"/>
      <c r="HD172" s="256"/>
      <c r="HE172" s="256"/>
      <c r="HF172" s="256"/>
      <c r="HG172" s="256"/>
      <c r="HH172" s="256"/>
      <c r="HI172" s="256"/>
      <c r="HJ172" s="256"/>
      <c r="HK172" s="256"/>
      <c r="HL172" s="256"/>
      <c r="HM172" s="256"/>
      <c r="HN172" s="256"/>
      <c r="HO172" s="256"/>
      <c r="HP172" s="256"/>
      <c r="HQ172" s="256"/>
      <c r="HR172" s="256"/>
      <c r="HS172" s="256"/>
      <c r="HT172" s="256"/>
      <c r="HU172" s="256"/>
      <c r="HV172" s="256"/>
      <c r="HW172" s="256"/>
      <c r="HX172" s="256"/>
      <c r="HY172" s="256"/>
      <c r="HZ172" s="256"/>
      <c r="IA172" s="256"/>
      <c r="IB172" s="256"/>
      <c r="IC172" s="256"/>
      <c r="ID172" s="256"/>
      <c r="IE172" s="256"/>
      <c r="IF172" s="256"/>
      <c r="IG172" s="328"/>
      <c r="IH172" s="287"/>
      <c r="II172" s="287"/>
      <c r="IJ172" s="287"/>
      <c r="IK172" s="287"/>
      <c r="IL172" s="287"/>
      <c r="IM172" s="328"/>
      <c r="IN172" s="287"/>
      <c r="IO172" s="287"/>
      <c r="IP172" s="287"/>
      <c r="IQ172" s="287"/>
      <c r="IR172" s="287"/>
      <c r="IS172" s="328"/>
      <c r="IT172" s="287"/>
      <c r="IU172" s="287"/>
      <c r="IV172" s="287"/>
      <c r="IW172" s="287"/>
      <c r="IX172" s="287"/>
      <c r="IY172" s="328"/>
      <c r="IZ172" s="287"/>
      <c r="JA172" s="287"/>
      <c r="JB172" s="287"/>
      <c r="JC172" s="287"/>
      <c r="JD172" s="329"/>
      <c r="JF172" s="66"/>
      <c r="JG172" s="66">
        <f t="shared" ca="1" si="1425"/>
        <v>11616.756385496639</v>
      </c>
      <c r="JH172" s="66">
        <f t="shared" ca="1" si="1426"/>
        <v>16352.671608420844</v>
      </c>
      <c r="JI172" s="66">
        <f t="shared" ca="1" si="1427"/>
        <v>74917.407512475635</v>
      </c>
      <c r="JJ172" s="66">
        <f t="shared" ca="1" si="1428"/>
        <v>498</v>
      </c>
      <c r="JK172" s="33"/>
      <c r="JL172" s="74">
        <f t="shared" ca="1" si="1429"/>
        <v>11616.756385496639</v>
      </c>
      <c r="JM172" s="75">
        <f t="shared" ca="1" si="1430"/>
        <v>13984.713996958741</v>
      </c>
      <c r="JN172" s="75">
        <f t="shared" ca="1" si="1431"/>
        <v>45635.03956044824</v>
      </c>
      <c r="JO172" s="74">
        <f t="shared" ca="1" si="1432"/>
        <v>74917.407512475635</v>
      </c>
      <c r="JP172" s="74">
        <f t="shared" ca="1" si="1433"/>
        <v>146153.91745537927</v>
      </c>
    </row>
    <row r="173" spans="1:276" hidden="1" outlineLevel="1" x14ac:dyDescent="0.35">
      <c r="A173" s="125" t="s">
        <v>805</v>
      </c>
      <c r="B173" s="125" t="s">
        <v>805</v>
      </c>
      <c r="C173" s="125" t="s">
        <v>805</v>
      </c>
      <c r="E173" s="142" t="s">
        <v>888</v>
      </c>
      <c r="F173" s="254" t="s">
        <v>772</v>
      </c>
      <c r="G173" t="s">
        <v>540</v>
      </c>
      <c r="H173" t="s">
        <v>535</v>
      </c>
      <c r="I173" t="s">
        <v>536</v>
      </c>
      <c r="J173" s="211" t="s">
        <v>805</v>
      </c>
      <c r="K173" t="s">
        <v>805</v>
      </c>
      <c r="L173" t="s">
        <v>805</v>
      </c>
      <c r="M173" t="s">
        <v>805</v>
      </c>
      <c r="N173" t="s">
        <v>805</v>
      </c>
      <c r="O173" t="s">
        <v>805</v>
      </c>
      <c r="P173" t="s">
        <v>805</v>
      </c>
      <c r="Q173" t="s">
        <v>805</v>
      </c>
      <c r="R173" t="s">
        <v>805</v>
      </c>
      <c r="S173" t="s">
        <v>805</v>
      </c>
      <c r="T173" t="s">
        <v>805</v>
      </c>
      <c r="U173" t="s">
        <v>805</v>
      </c>
      <c r="V173" t="s">
        <v>805</v>
      </c>
      <c r="W173" t="s">
        <v>805</v>
      </c>
      <c r="X173" t="s">
        <v>805</v>
      </c>
      <c r="Y173" t="s">
        <v>805</v>
      </c>
      <c r="Z173" t="s">
        <v>805</v>
      </c>
      <c r="AA173" t="s">
        <v>805</v>
      </c>
      <c r="AB173" t="s">
        <v>805</v>
      </c>
      <c r="AC173" t="s">
        <v>805</v>
      </c>
      <c r="AD173" t="s">
        <v>805</v>
      </c>
      <c r="AE173" t="s">
        <v>805</v>
      </c>
      <c r="AF173" t="s">
        <v>805</v>
      </c>
      <c r="AG173" t="s">
        <v>805</v>
      </c>
      <c r="AH173" t="s">
        <v>805</v>
      </c>
      <c r="AI173" t="s">
        <v>805</v>
      </c>
      <c r="AJ173" t="s">
        <v>805</v>
      </c>
      <c r="AK173" t="s">
        <v>805</v>
      </c>
      <c r="AL173" t="s">
        <v>805</v>
      </c>
      <c r="AM173" t="s">
        <v>805</v>
      </c>
      <c r="AN173" t="s">
        <v>805</v>
      </c>
      <c r="AO173" t="s">
        <v>805</v>
      </c>
      <c r="AP173" t="s">
        <v>805</v>
      </c>
      <c r="AQ173" t="s">
        <v>805</v>
      </c>
      <c r="AR173" t="s">
        <v>805</v>
      </c>
      <c r="AS173" t="s">
        <v>805</v>
      </c>
      <c r="AT173" t="s">
        <v>805</v>
      </c>
      <c r="AU173" t="s">
        <v>805</v>
      </c>
      <c r="AV173" t="s">
        <v>805</v>
      </c>
      <c r="AW173" t="s">
        <v>805</v>
      </c>
      <c r="AX173" t="s">
        <v>805</v>
      </c>
      <c r="AY173" t="s">
        <v>805</v>
      </c>
      <c r="AZ173" t="s">
        <v>805</v>
      </c>
      <c r="BA173" t="s">
        <v>805</v>
      </c>
      <c r="BB173" t="s">
        <v>805</v>
      </c>
      <c r="BC173" t="s">
        <v>805</v>
      </c>
      <c r="BD173" t="s">
        <v>805</v>
      </c>
      <c r="BE173" t="s">
        <v>805</v>
      </c>
      <c r="BF173" t="s">
        <v>805</v>
      </c>
      <c r="BG173" t="s">
        <v>805</v>
      </c>
      <c r="BH173" t="s">
        <v>805</v>
      </c>
      <c r="BI173" t="s">
        <v>805</v>
      </c>
      <c r="BJ173" t="s">
        <v>805</v>
      </c>
      <c r="BK173" t="s">
        <v>805</v>
      </c>
      <c r="BL173" t="s">
        <v>805</v>
      </c>
      <c r="BM173" t="s">
        <v>805</v>
      </c>
      <c r="BN173" t="s">
        <v>805</v>
      </c>
      <c r="BO173" t="s">
        <v>805</v>
      </c>
      <c r="BP173" t="s">
        <v>805</v>
      </c>
      <c r="BQ173" t="s">
        <v>805</v>
      </c>
      <c r="BR173" t="s">
        <v>805</v>
      </c>
      <c r="BS173" t="s">
        <v>805</v>
      </c>
      <c r="BT173" t="s">
        <v>805</v>
      </c>
      <c r="BU173" t="s">
        <v>805</v>
      </c>
      <c r="BV173" t="s">
        <v>805</v>
      </c>
      <c r="BW173" t="s">
        <v>805</v>
      </c>
      <c r="BX173" t="s">
        <v>805</v>
      </c>
      <c r="BY173" t="s">
        <v>805</v>
      </c>
      <c r="BZ173" t="s">
        <v>805</v>
      </c>
      <c r="CA173" t="s">
        <v>805</v>
      </c>
      <c r="CB173" t="s">
        <v>805</v>
      </c>
      <c r="CC173" t="s">
        <v>805</v>
      </c>
      <c r="CD173" t="s">
        <v>805</v>
      </c>
      <c r="CE173" t="s">
        <v>805</v>
      </c>
      <c r="CF173" t="s">
        <v>805</v>
      </c>
      <c r="CG173" t="s">
        <v>805</v>
      </c>
      <c r="CH173" t="s">
        <v>805</v>
      </c>
      <c r="CI173" t="s">
        <v>805</v>
      </c>
      <c r="CJ173" t="s">
        <v>805</v>
      </c>
      <c r="CK173" t="s">
        <v>805</v>
      </c>
      <c r="CL173" t="s">
        <v>805</v>
      </c>
      <c r="CM173" t="s">
        <v>805</v>
      </c>
      <c r="CN173" t="s">
        <v>805</v>
      </c>
      <c r="CO173" t="s">
        <v>805</v>
      </c>
      <c r="CP173" t="s">
        <v>805</v>
      </c>
      <c r="CQ173" t="s">
        <v>805</v>
      </c>
      <c r="CR173" t="s">
        <v>805</v>
      </c>
      <c r="CS173" t="s">
        <v>805</v>
      </c>
      <c r="CT173" t="s">
        <v>805</v>
      </c>
      <c r="CU173" t="s">
        <v>805</v>
      </c>
      <c r="CV173" t="s">
        <v>805</v>
      </c>
      <c r="CW173" t="s">
        <v>805</v>
      </c>
      <c r="CX173" t="s">
        <v>805</v>
      </c>
      <c r="CY173" t="s">
        <v>805</v>
      </c>
      <c r="CZ173" t="s">
        <v>805</v>
      </c>
      <c r="DA173" t="s">
        <v>805</v>
      </c>
      <c r="DB173" t="s">
        <v>805</v>
      </c>
      <c r="DC173" t="s">
        <v>805</v>
      </c>
      <c r="DD173" t="s">
        <v>805</v>
      </c>
      <c r="DE173" t="s">
        <v>805</v>
      </c>
      <c r="DF173" t="s">
        <v>805</v>
      </c>
      <c r="DG173" s="28">
        <f>VLOOKUP(E173,'KPI Count-SHARE'!A:F,3,0)</f>
        <v>0</v>
      </c>
      <c r="DH173" t="s">
        <v>805</v>
      </c>
      <c r="DI173" t="s">
        <v>805</v>
      </c>
      <c r="DJ173" t="s">
        <v>805</v>
      </c>
      <c r="DK173" t="s">
        <v>805</v>
      </c>
      <c r="DL173" t="s">
        <v>805</v>
      </c>
      <c r="DM173" t="s">
        <v>805</v>
      </c>
      <c r="DN173" s="28">
        <f>VLOOKUP(E173,'KPI Count-SHARE'!A:F,4,0)</f>
        <v>0</v>
      </c>
      <c r="DU173" s="28">
        <f>VLOOKUP(E173,'KPI Count-SHARE'!A:F,5,0)</f>
        <v>0</v>
      </c>
      <c r="EB173" s="28">
        <f>VLOOKUP(E173,'KPI Count-SHARE'!A:F,6,0)</f>
        <v>0</v>
      </c>
      <c r="EI173" t="str">
        <f t="shared" ref="EI173:EI179" si="1684">XCurrency &amp; " '000 per FTE"</f>
        <v>USD '000 per FTE</v>
      </c>
      <c r="EJ173" s="237" t="str">
        <f t="shared" ref="EJ173" si="1685">IFERROR(IF(ISBLANK(J173), "-", IF(OR($I173="c",$I173="r"), J173*$I$5, J173)),"-")</f>
        <v>-</v>
      </c>
      <c r="EK173" s="237" t="str">
        <f t="shared" ref="EK173" si="1686">IFERROR(IF(ISBLANK(K173), "-", IF($I173="c", K173*$I$5, K173)),"-")</f>
        <v>-</v>
      </c>
      <c r="EL173" s="237" t="str">
        <f t="shared" ref="EL173" si="1687">IFERROR(IF(ISBLANK(L173), "-", IF($I173="c", L173*$I$5, L173)),"-")</f>
        <v>-</v>
      </c>
      <c r="EM173" s="237" t="str">
        <f t="shared" ref="EM173" si="1688">IFERROR(IF(ISBLANK(M173), "-", IF($I173="c", M173*$I$5,M173)),"-")</f>
        <v>-</v>
      </c>
      <c r="EN173" s="237" t="str">
        <f t="shared" ref="EN173" si="1689">IFERROR(IF(ISBLANK(N173), "-", IF($I173="c", N173*$I$5, N173)),"-")</f>
        <v>-</v>
      </c>
      <c r="EO173" s="237" t="str">
        <f t="shared" ref="EO173" si="1690">IFERROR(IF(ISBLANK(O173), "-", IF($I173="c", O173*$I$5,O173)),"-")</f>
        <v>-</v>
      </c>
      <c r="EP173" s="237" t="str">
        <f t="shared" ref="EP173" si="1691">IFERROR(IF(ISBLANK(P173), "-", IF($I173="c", P173*$I$5, P173)),"-")</f>
        <v>-</v>
      </c>
      <c r="EQ173" s="237" t="str">
        <f t="shared" ref="EQ173" si="1692">IFERROR(IF(ISBLANK(Q173), "-", IF($I173="c", Q173*$I$5, Q173)),"-")</f>
        <v>-</v>
      </c>
      <c r="ER173" s="237" t="str">
        <f t="shared" ref="ER173" si="1693">IFERROR(IF(ISBLANK(R173), "-", IF($I173="c", R173*$I$5, R173)),"-")</f>
        <v>-</v>
      </c>
      <c r="ES173" s="237" t="str">
        <f t="shared" ref="ES173" si="1694">IFERROR(IF(ISBLANK(S173), "-", IF($I173="c", S173*$I$5, S173)),"-")</f>
        <v>-</v>
      </c>
      <c r="ET173" s="237" t="str">
        <f t="shared" ref="ET173" si="1695">IFERROR(IF(ISBLANK(T173), "-", IF($I173="c", T173*$I$5, T173)),"-")</f>
        <v>-</v>
      </c>
      <c r="EU173" s="237" t="str">
        <f t="shared" ref="EU173" si="1696">IFERROR(IF(ISBLANK(U173), "-", IF($I173="c", U173*$I$5, U173)),"-")</f>
        <v>-</v>
      </c>
      <c r="EV173" s="237" t="str">
        <f t="shared" ref="EV173" si="1697">IFERROR(IF(ISBLANK(V173), "-", IF($I173="c", V173*$I$5, V173)),"-")</f>
        <v>-</v>
      </c>
      <c r="EW173" s="237" t="str">
        <f t="shared" ref="EW173" si="1698">IFERROR(IF(ISBLANK(W173), "-", IF($I173="c", W173*$I$5, W173)),"-")</f>
        <v>-</v>
      </c>
      <c r="EX173" s="237" t="str">
        <f t="shared" ref="EX173" si="1699">IFERROR(IF(ISBLANK(X173), "-", IF($I173="c", X173*$I$5, X173)),"-")</f>
        <v>-</v>
      </c>
      <c r="EY173" s="237" t="str">
        <f t="shared" ref="EY173" si="1700">IFERROR(IF(ISBLANK(Y173), "-", IF($I173="c", Y173*$I$5, Y173)),"-")</f>
        <v>-</v>
      </c>
      <c r="EZ173" s="237" t="str">
        <f t="shared" ref="EZ173" si="1701">IFERROR(IF(ISBLANK(Z173), "-", IF($I173="c", Z173*$I$5, Z173)),"-")</f>
        <v>-</v>
      </c>
      <c r="FA173" s="237" t="str">
        <f t="shared" ref="FA173" si="1702">IFERROR(IF(ISBLANK(AA173), "-", IF($I173="c", AA173*$I$5, AA173)),"-")</f>
        <v>-</v>
      </c>
      <c r="FB173" s="237" t="str">
        <f t="shared" ref="FB173" si="1703">IFERROR(IF(ISBLANK(AB173), "-", IF($I173="c", AB173*$I$5, AB173)),"-")</f>
        <v>-</v>
      </c>
      <c r="FC173" s="237" t="str">
        <f t="shared" ref="FC173" si="1704">IFERROR(IF(ISBLANK(AC173), "-", IF($I173="c", AC173*$I$5, AC173)),"-")</f>
        <v>-</v>
      </c>
      <c r="FD173" s="237" t="str">
        <f t="shared" ref="FD173" si="1705">IFERROR(IF(ISBLANK(AD173), "-", IF($I173="c", AD173*$I$5, AD173)),"-")</f>
        <v>-</v>
      </c>
      <c r="FE173" s="237" t="str">
        <f t="shared" ref="FE173" si="1706">IFERROR(IF(ISBLANK(AE173), "-", IF($I173="c", AE173*$I$5, AE173)),"-")</f>
        <v>-</v>
      </c>
      <c r="FF173" s="237" t="str">
        <f t="shared" ref="FF173" si="1707">IFERROR(IF(ISBLANK(AF173), "-", IF($I173="c", AF173*$I$5, AF173)),"-")</f>
        <v>-</v>
      </c>
      <c r="FG173" s="237" t="str">
        <f t="shared" ref="FG173" si="1708">IFERROR(IF(ISBLANK(AG173), "-", IF($I173="c", AG173*$I$5, AG173)),"-")</f>
        <v>-</v>
      </c>
      <c r="FH173" s="237" t="str">
        <f t="shared" ref="FH173" si="1709">IFERROR(IF(ISBLANK(AH173), "-", IF($I173="c", AH173*$I$5, AH173)),"-")</f>
        <v>-</v>
      </c>
      <c r="FI173" s="237" t="str">
        <f t="shared" ref="FI173" si="1710">IFERROR(IF(ISBLANK(AI173), "-", IF($I173="c", AI173*$I$5, AI173)),"-")</f>
        <v>-</v>
      </c>
      <c r="FJ173" s="237" t="str">
        <f t="shared" ref="FJ173" si="1711">IFERROR(IF(ISBLANK(AJ173), "-", IF($I173="c", AJ173*$I$5, AJ173)),"-")</f>
        <v>-</v>
      </c>
      <c r="FK173" s="237" t="str">
        <f t="shared" ref="FK173" si="1712">IFERROR(IF(ISBLANK(AK173), "-", IF($I173="c", AK173*$I$5, AK173)),"-")</f>
        <v>-</v>
      </c>
      <c r="FL173" s="237" t="str">
        <f t="shared" ref="FL173" si="1713">IFERROR(IF(ISBLANK(AL173), "-", IF($I173="c", AL173*$I$5, AL173)),"-")</f>
        <v>-</v>
      </c>
      <c r="FM173" s="237" t="str">
        <f t="shared" ref="FM173" si="1714">IFERROR(IF(ISBLANK(AM173), "-", IF($I173="c", AM173*$I$5, AM173)),"-")</f>
        <v>-</v>
      </c>
      <c r="FN173" s="237" t="str">
        <f t="shared" ref="FN173" si="1715">IFERROR(IF(ISBLANK(AN173), "-", IF($I173="c", AN173*$I$5, AN173)),"-")</f>
        <v>-</v>
      </c>
      <c r="FO173" s="237" t="str">
        <f t="shared" ref="FO173" si="1716">IFERROR(IF(ISBLANK(AO173), "-", IF($I173="c", AO173*$I$5, AO173)),"-")</f>
        <v>-</v>
      </c>
      <c r="FP173" s="237" t="str">
        <f t="shared" ref="FP173" si="1717">IFERROR(IF(ISBLANK(AP173), "-", IF($I173="c", AP173*$I$5, AP173)),"-")</f>
        <v>-</v>
      </c>
      <c r="FQ173" s="237" t="str">
        <f t="shared" ref="FQ173" si="1718">IFERROR(IF(ISBLANK(AQ173), "-", IF($I173="c", AQ173*$I$5, AQ173)),"-")</f>
        <v>-</v>
      </c>
      <c r="FR173" s="237" t="str">
        <f t="shared" ref="FR173" si="1719">IFERROR(IF(ISBLANK(AR173), "-", IF($I173="c", AR173*$I$5, AR173)),"-")</f>
        <v>-</v>
      </c>
      <c r="FS173" s="237" t="str">
        <f t="shared" ref="FS173" si="1720">IFERROR(IF(ISBLANK(AS173), "-", IF($I173="c", AS173*$I$5, AS173)),"-")</f>
        <v>-</v>
      </c>
      <c r="FT173" s="237" t="str">
        <f t="shared" ref="FT173" si="1721">IFERROR(IF(ISBLANK(AT173), "-", IF($I173="c", AT173*$I$5, AT173)),"-")</f>
        <v>-</v>
      </c>
      <c r="FU173" s="237" t="str">
        <f t="shared" ref="FU173" si="1722">IFERROR(IF(ISBLANK(AU173), "-", IF($I173="c", AU173*$I$5, AU173)),"-")</f>
        <v>-</v>
      </c>
      <c r="FV173" s="237" t="str">
        <f t="shared" ref="FV173" si="1723">IFERROR(IF(ISBLANK(AV173), "-", IF($I173="c", AV173*$I$5, AV173)),"-")</f>
        <v>-</v>
      </c>
      <c r="FW173" s="237" t="str">
        <f t="shared" ref="FW173" si="1724">IFERROR(IF(ISBLANK(AW173), "-", IF($I173="c", AW173*$I$5, AW173)),"-")</f>
        <v>-</v>
      </c>
      <c r="FX173" s="237" t="str">
        <f t="shared" ref="FX173" si="1725">IFERROR(IF(ISBLANK(AX173), "-", IF($I173="c", AX173*$I$5, AX173)),"-")</f>
        <v>-</v>
      </c>
      <c r="FY173" s="237" t="str">
        <f t="shared" ref="FY173" si="1726">IFERROR(IF(ISBLANK(AY173), "-", IF($I173="c", AY173*$I$5, AY173)),"-")</f>
        <v>-</v>
      </c>
      <c r="FZ173" s="237" t="str">
        <f t="shared" ref="FZ173" si="1727">IFERROR(IF(ISBLANK(AZ173), "-", IF($I173="c", AZ173*$I$5, AZ173)),"-")</f>
        <v>-</v>
      </c>
      <c r="GA173" s="237" t="str">
        <f t="shared" ref="GA173" si="1728">IFERROR(IF(ISBLANK(BA173), "-", IF($I173="c", BA173*$I$5, BA173)),"-")</f>
        <v>-</v>
      </c>
      <c r="GB173" s="237" t="str">
        <f t="shared" ref="GB173" si="1729">IFERROR(IF(ISBLANK(BB173), "-", IF($I173="c", BB173*$I$5, BB173)),"-")</f>
        <v>-</v>
      </c>
      <c r="GC173" s="237" t="str">
        <f t="shared" ref="GC173" si="1730">IFERROR(IF(ISBLANK(BC173), "-", IF($I173="c", BC173*$I$5, BC173)),"-")</f>
        <v>-</v>
      </c>
      <c r="GD173" s="237" t="str">
        <f t="shared" ref="GD173" si="1731">IFERROR(IF(ISBLANK(BD173), "-", IF($I173="c", BD173*$I$5, BD173)),"-")</f>
        <v>-</v>
      </c>
      <c r="GE173" s="237" t="str">
        <f t="shared" ref="GE173" si="1732">IFERROR(IF(ISBLANK(BE173), "-", IF($I173="c", BE173*$I$5, BE173)),"-")</f>
        <v>-</v>
      </c>
      <c r="GF173" s="237" t="str">
        <f t="shared" ref="GF173" si="1733">IFERROR(IF(ISBLANK(BF173), "-", IF($I173="c", BF173*$I$5, BF173)),"-")</f>
        <v>-</v>
      </c>
      <c r="GG173" s="237" t="str">
        <f t="shared" ref="GG173" si="1734">IFERROR(IF(ISBLANK(BG173), "-", IF($I173="c", BG173*$I$5, BG173)),"-")</f>
        <v>-</v>
      </c>
      <c r="GH173" s="237" t="str">
        <f t="shared" ref="GH173" si="1735">IFERROR(IF(ISBLANK(BH173), "-", IF($I173="c", BH173*$I$5, BH173)),"-")</f>
        <v>-</v>
      </c>
      <c r="GI173" s="237" t="str">
        <f t="shared" ref="GI173" si="1736">IFERROR(IF(ISBLANK(BI173), "-", IF($I173="c", BI173*$I$5, BI173)),"-")</f>
        <v>-</v>
      </c>
      <c r="GJ173" s="237" t="str">
        <f t="shared" ref="GJ173" si="1737">IFERROR(IF(ISBLANK(BJ173), "-", IF($I173="c", BJ173*$I$5, BJ173)),"-")</f>
        <v>-</v>
      </c>
      <c r="GK173" s="237" t="str">
        <f t="shared" ref="GK173" si="1738">IFERROR(IF(ISBLANK(BK173), "-", IF($I173="c", BK173*$I$5, BK173)),"-")</f>
        <v>-</v>
      </c>
      <c r="GL173" s="237" t="str">
        <f t="shared" ref="GL173" si="1739">IFERROR(IF(ISBLANK(BL173), "-", IF($I173="c", BL173*$I$5, BL173)),"-")</f>
        <v>-</v>
      </c>
      <c r="GM173" s="237" t="str">
        <f t="shared" ref="GM173" si="1740">IFERROR(IF(ISBLANK(BM173), "-", IF($I173="c", BM173*$I$5, BM173)),"-")</f>
        <v>-</v>
      </c>
      <c r="GN173" s="237" t="str">
        <f t="shared" ref="GN173" si="1741">IFERROR(IF(ISBLANK(BN173), "-", IF($I173="c", BN173*$I$5, BN173)),"-")</f>
        <v>-</v>
      </c>
      <c r="GO173" s="237" t="str">
        <f t="shared" ref="GO173" si="1742">IFERROR(IF(ISBLANK(BO173), "-", IF($I173="c", BO173*$I$5, BO173)),"-")</f>
        <v>-</v>
      </c>
      <c r="GP173" s="237" t="str">
        <f t="shared" ref="GP173" si="1743">IFERROR(IF(ISBLANK(BP173), "-", IF($I173="c", BP173*$I$5, BP173)),"-")</f>
        <v>-</v>
      </c>
      <c r="GQ173" s="237" t="str">
        <f t="shared" ref="GQ173" si="1744">IFERROR(IF(ISBLANK(BQ173), "-", IF($I173="c", BQ173*$I$5, BQ173)),"-")</f>
        <v>-</v>
      </c>
      <c r="GR173" s="237" t="str">
        <f t="shared" ref="GR173" si="1745">IFERROR(IF(ISBLANK(BR173), "-", IF($I173="c", BR173*$I$5, BR173)),"-")</f>
        <v>-</v>
      </c>
      <c r="GS173" s="237" t="str">
        <f t="shared" ref="GS173" si="1746">IFERROR(IF(ISBLANK(BS173), "-", IF($I173="c", BS173*$I$5, BS173)),"-")</f>
        <v>-</v>
      </c>
      <c r="GT173" s="237" t="str">
        <f t="shared" ref="GT173" si="1747">IFERROR(IF(ISBLANK(BT173), "-", IF($I173="c", BT173*$I$5, BT173)),"-")</f>
        <v>-</v>
      </c>
      <c r="GU173" s="237" t="str">
        <f t="shared" ref="GU173" si="1748">IFERROR(IF(ISBLANK(BU173), "-", IF($I173="c", BU173*$I$5, BU173)),"-")</f>
        <v>-</v>
      </c>
      <c r="GV173" s="237" t="str">
        <f t="shared" ref="GV173" si="1749">IFERROR(IF(ISBLANK(BV173), "-", IF($I173="c", BV173*$I$5, BV173)),"-")</f>
        <v>-</v>
      </c>
      <c r="GW173" s="237" t="str">
        <f t="shared" ref="GW173" si="1750">IFERROR(IF(ISBLANK(BW173), "-", IF($I173="c", BW173*$I$5, BW173)),"-")</f>
        <v>-</v>
      </c>
      <c r="GX173" s="237" t="str">
        <f t="shared" ref="GX173" si="1751">IFERROR(IF(ISBLANK(BX173), "-", IF($I173="c", BX173*$I$5, BX173)),"-")</f>
        <v>-</v>
      </c>
      <c r="GY173" s="237" t="str">
        <f t="shared" ref="GY173" si="1752">IFERROR(IF(ISBLANK(BY173), "-", IF($I173="c", BY173*$I$5, BY173)),"-")</f>
        <v>-</v>
      </c>
      <c r="GZ173" s="237" t="str">
        <f t="shared" ref="GZ173" si="1753">IFERROR(IF(ISBLANK(BZ173), "-", IF($I173="c", BZ173*$I$5, BZ173)),"-")</f>
        <v>-</v>
      </c>
      <c r="HA173" s="237" t="str">
        <f t="shared" ref="HA173" si="1754">IFERROR(IF(ISBLANK(CA173), "-", IF($I173="c", CA173*$I$5, CA173)),"-")</f>
        <v>-</v>
      </c>
      <c r="HB173" s="237" t="str">
        <f t="shared" ref="HB173" si="1755">IFERROR(IF(ISBLANK(CB173), "-", IF($I173="c", CB173*$I$5, CB173)),"-")</f>
        <v>-</v>
      </c>
      <c r="HC173" s="237" t="str">
        <f t="shared" ref="HC173" si="1756">IFERROR(IF(ISBLANK(CC173), "-", IF($I173="c", CC173*$I$5, CC173)),"-")</f>
        <v>-</v>
      </c>
      <c r="HD173" s="237" t="str">
        <f t="shared" ref="HD173" si="1757">IFERROR(IF(ISBLANK(CD173), "-", IF($I173="c", CD173*$I$5, CD173)),"-")</f>
        <v>-</v>
      </c>
      <c r="HE173" s="237" t="str">
        <f t="shared" ref="HE173" si="1758">IFERROR(IF(ISBLANK(CE173), "-", IF($I173="c", CE173*$I$5, CE173)),"-")</f>
        <v>-</v>
      </c>
      <c r="HF173" s="237" t="str">
        <f t="shared" ref="HF173" si="1759">IFERROR(IF(ISBLANK(CF173), "-", IF($I173="c", CF173*$I$5, CF173)),"-")</f>
        <v>-</v>
      </c>
      <c r="HG173" s="237" t="str">
        <f t="shared" ref="HG173" si="1760">IFERROR(IF(ISBLANK(CG173), "-", IF($I173="c", CG173*$I$5, CG173)),"-")</f>
        <v>-</v>
      </c>
      <c r="HH173" s="237" t="str">
        <f t="shared" ref="HH173" si="1761">IFERROR(IF(ISBLANK(CH173), "-", IF($I173="c", CH173*$I$5, CH173)),"-")</f>
        <v>-</v>
      </c>
      <c r="HI173" s="237" t="str">
        <f t="shared" ref="HI173" si="1762">IFERROR(IF(ISBLANK(CI173), "-", IF($I173="c", CI173*$I$5, CI173)),"-")</f>
        <v>-</v>
      </c>
      <c r="HJ173" s="237" t="str">
        <f t="shared" ref="HJ173" si="1763">IFERROR(IF(ISBLANK(CJ173), "-", IF($I173="c", CJ173*$I$5, CJ173)),"-")</f>
        <v>-</v>
      </c>
      <c r="HK173" s="237" t="str">
        <f t="shared" ref="HK173" si="1764">IFERROR(IF(ISBLANK(CK173), "-", IF($I173="c", CK173*$I$5, CK173)),"-")</f>
        <v>-</v>
      </c>
      <c r="HL173" s="237" t="str">
        <f t="shared" ref="HL173" si="1765">IFERROR(IF(ISBLANK(CL173), "-", IF($I173="c", CL173*$I$5, CL173)),"-")</f>
        <v>-</v>
      </c>
      <c r="HM173" s="237" t="str">
        <f t="shared" ref="HM173" si="1766">IFERROR(IF(ISBLANK(CM173), "-", IF($I173="c", CM173*$I$5, CM173)),"-")</f>
        <v>-</v>
      </c>
      <c r="HN173" s="237" t="str">
        <f t="shared" ref="HN173" si="1767">IFERROR(IF(ISBLANK(CN173), "-", IF($I173="c", CN173*$I$5, CN173)),"-")</f>
        <v>-</v>
      </c>
      <c r="HO173" s="237" t="str">
        <f t="shared" ref="HO173" si="1768">IFERROR(IF(ISBLANK(CO173), "-", IF($I173="c", CO173*$I$5, CO173)),"-")</f>
        <v>-</v>
      </c>
      <c r="HP173" s="237" t="str">
        <f t="shared" ref="HP173" si="1769">IFERROR(IF(ISBLANK(CP173), "-", IF($I173="c", CP173*$I$5, CP173)),"-")</f>
        <v>-</v>
      </c>
      <c r="HQ173" s="237" t="str">
        <f t="shared" ref="HQ173" si="1770">IFERROR(IF(ISBLANK(CQ173), "-", IF($I173="c", CQ173*$I$5, CQ173)),"-")</f>
        <v>-</v>
      </c>
      <c r="HR173" s="237" t="str">
        <f t="shared" ref="HR173" si="1771">IFERROR(IF(ISBLANK(CR173), "-", IF($I173="c", CR173*$I$5, CR173)),"-")</f>
        <v>-</v>
      </c>
      <c r="HS173" s="237" t="str">
        <f t="shared" ref="HS173" si="1772">IFERROR(IF(ISBLANK(CS173), "-", IF($I173="c", CS173*$I$5, CS173)),"-")</f>
        <v>-</v>
      </c>
      <c r="HT173" s="237" t="str">
        <f t="shared" ref="HT173" si="1773">IFERROR(IF(ISBLANK(CT173), "-", IF($I173="c", CT173*$I$5, CT173)),"-")</f>
        <v>-</v>
      </c>
      <c r="HU173" s="237" t="str">
        <f t="shared" ref="HU173" si="1774">IFERROR(IF(ISBLANK(CU173), "-", IF($I173="c", CU173*$I$5, CU173)),"-")</f>
        <v>-</v>
      </c>
      <c r="HV173" s="237" t="str">
        <f t="shared" ref="HV173" si="1775">IFERROR(IF(ISBLANK(CV173), "-", IF($I173="c", CV173*$I$5, CV173)),"-")</f>
        <v>-</v>
      </c>
      <c r="HW173" s="237" t="str">
        <f t="shared" ref="HW173" si="1776">IFERROR(IF(ISBLANK(CW173), "-", IF($I173="c", CW173*$I$5, CW173)),"-")</f>
        <v>-</v>
      </c>
      <c r="HX173" s="237" t="str">
        <f t="shared" ref="HX173" si="1777">IFERROR(IF(ISBLANK(CX173), "-", IF($I173="c", CX173*$I$5, CX173)),"-")</f>
        <v>-</v>
      </c>
      <c r="HY173" s="237" t="str">
        <f t="shared" ref="HY173" si="1778">IFERROR(IF(ISBLANK(CY173), "-", IF($I173="c", CY173*$I$5, CY173)),"-")</f>
        <v>-</v>
      </c>
      <c r="HZ173" s="237" t="str">
        <f t="shared" ref="HZ173" si="1779">IFERROR(IF(ISBLANK(CZ173), "-", IF($I173="c", CZ173*$I$5, CZ173)),"-")</f>
        <v>-</v>
      </c>
      <c r="IA173" s="237" t="str">
        <f t="shared" ref="IA173" si="1780">IFERROR(IF(ISBLANK(DA173), "-", IF($I173="c", DA173*$I$5, DA173)),"-")</f>
        <v>-</v>
      </c>
      <c r="IB173" s="237" t="str">
        <f t="shared" ref="IB173" si="1781">IFERROR(IF(ISBLANK(DB173), "-", IF($I173="c", DB173*$I$5, DB173)),"-")</f>
        <v>-</v>
      </c>
      <c r="IC173" s="237" t="str">
        <f t="shared" ref="IC173" si="1782">IFERROR(IF(ISBLANK(DC173), "-", IF($I173="c", DC173*$I$5, DC173)),"-")</f>
        <v>-</v>
      </c>
      <c r="ID173" s="237" t="str">
        <f t="shared" ref="ID173" si="1783">IFERROR(IF(ISBLANK(DD173), "-", IF($I173="c", DD173*$I$5, DD173)),"-")</f>
        <v>-</v>
      </c>
      <c r="IE173" s="237" t="str">
        <f t="shared" ref="IE173" si="1784">IFERROR(IF(ISBLANK(DE173), "-", IF($I173="c", DE173*$I$5, DE173)),"-")</f>
        <v>-</v>
      </c>
      <c r="IF173" s="237" t="str">
        <f t="shared" ref="IF173" si="1785">IFERROR(IF(ISBLANK(DF173), "-", IF($I173="c", DF173*$I$5, DF173)),"-")</f>
        <v>-</v>
      </c>
      <c r="IG173" s="312" t="str">
        <f t="shared" ref="IG173" si="1786">IFERROR(IF(ISBLANK(DH173), "-", IF($I173="c", DH173*$I$5, DH173)),"-")</f>
        <v>-</v>
      </c>
      <c r="IH173" s="99" t="str">
        <f t="shared" ref="IH173:IH179" si="1787">IFERROR(IF(ISBLANK(DI173), "-", IF($I173="c", DI173*$I$5, DI173)),"-")</f>
        <v>-</v>
      </c>
      <c r="II173" s="99" t="str">
        <f t="shared" ref="II173:II179" si="1788">IFERROR(IF(ISBLANK(DJ173), "-", IF($I173="c", DJ173*$I$5, DJ173)),"-")</f>
        <v>-</v>
      </c>
      <c r="IJ173" s="99" t="str">
        <f t="shared" ref="IJ173:IJ179" si="1789">IFERROR(IF(ISBLANK(DK173), "-", IF($I173="c", DK173*$I$5, DK173)),"-")</f>
        <v>-</v>
      </c>
      <c r="IK173" s="99" t="str">
        <f t="shared" ref="IK173:IK179" si="1790">IFERROR(IF(ISBLANK(DL173), "-", IF($I173="c", DL173*$I$5, DL173)),"-")</f>
        <v>-</v>
      </c>
      <c r="IL173" s="99" t="str">
        <f t="shared" ref="IL173:IL179" si="1791">IFERROR(IF(ISBLANK(DM173), "-", IF($I173="c", DM173*$I$5, DM173)),"-")</f>
        <v>-</v>
      </c>
      <c r="IM173" s="312" t="str">
        <f t="shared" ref="IM173" si="1792">IFERROR(IF(ISBLANK(DO173), "", IF($I173="c",DO173*$I$5, DO173)),"-")</f>
        <v/>
      </c>
      <c r="IN173" s="99" t="str">
        <f t="shared" ref="IN173:IN179" si="1793">IFERROR(IF(ISBLANK(DP173), "", IF($I173="c",DP173*$I$5, DP173)),"-")</f>
        <v/>
      </c>
      <c r="IO173" s="99" t="str">
        <f t="shared" ref="IO173:IO179" si="1794">IFERROR(IF(ISBLANK(DQ173), "", IF($I173="c",DQ173*$I$5, DQ173)),"-")</f>
        <v/>
      </c>
      <c r="IP173" s="99" t="str">
        <f t="shared" ref="IP173:IP179" si="1795">IFERROR(IF(ISBLANK(DR173), "", IF($I173="c",DR173*$I$5, DR173)),"-")</f>
        <v/>
      </c>
      <c r="IQ173" s="99" t="str">
        <f t="shared" ref="IQ173:IQ179" si="1796">IFERROR(IF(ISBLANK(DS173), "", IF($I173="c",DS173*$I$5, DS173)),"-")</f>
        <v/>
      </c>
      <c r="IR173" s="99" t="str">
        <f t="shared" ref="IR173:IR179" si="1797">IFERROR(IF(ISBLANK(DT173), "", IF($I173="c",DT173*$I$5, DT173)),"-")</f>
        <v/>
      </c>
      <c r="IS173" s="312" t="str">
        <f t="shared" ref="IS173" si="1798">IFERROR(IF(ISBLANK(DV173), "", IF($I173="c", DV173*$I$5, DV173)),"-")</f>
        <v/>
      </c>
      <c r="IT173" s="99" t="str">
        <f t="shared" ref="IT173:IT179" si="1799">IFERROR(IF(ISBLANK(DW173), "", IF($I173="c", DW173*$I$5, DW173)),"-")</f>
        <v/>
      </c>
      <c r="IU173" s="99" t="str">
        <f t="shared" ref="IU173:IU179" si="1800">IFERROR(IF(ISBLANK(DX173), "", IF($I173="c", DX173*$I$5, DX173)),"-")</f>
        <v/>
      </c>
      <c r="IV173" s="99" t="str">
        <f t="shared" ref="IV173:IV179" si="1801">IFERROR(IF(ISBLANK(DY173), "", IF($I173="c", DY173*$I$5, DY173)),"-")</f>
        <v/>
      </c>
      <c r="IW173" s="99" t="str">
        <f t="shared" ref="IW173:IW179" si="1802">IFERROR(IF(ISBLANK(DZ173), "", IF($I173="c", DZ173*$I$5, DZ173)),"-")</f>
        <v/>
      </c>
      <c r="IX173" s="99" t="str">
        <f t="shared" ref="IX173:IX179" si="1803">IFERROR(IF(ISBLANK(EA173), "", IF($I173="c", EA173*$I$5, EA173)),"-")</f>
        <v/>
      </c>
      <c r="IY173" s="312" t="str">
        <f t="shared" ref="IY173" si="1804">IFERROR(IF(ISBLANK(EC173), "", IF($I173="c", EC173*$I$5, EC173)),"-")</f>
        <v/>
      </c>
      <c r="IZ173" s="99" t="str">
        <f t="shared" ref="IZ173:IZ179" si="1805">IFERROR(IF(ISBLANK(ED173), "", IF($I173="c", ED173*$I$5, ED173)),"-")</f>
        <v/>
      </c>
      <c r="JA173" s="99" t="str">
        <f t="shared" ref="JA173:JA179" si="1806">IFERROR(IF(ISBLANK(EE173), "", IF($I173="c", EE173*$I$5, EE173)),"-")</f>
        <v/>
      </c>
      <c r="JB173" s="99" t="str">
        <f t="shared" ref="JB173:JB179" si="1807">IFERROR(IF(ISBLANK(EF173), "", IF($I173="c", EF173*$I$5, EF173)),"-")</f>
        <v/>
      </c>
      <c r="JC173" s="99" t="str">
        <f t="shared" ref="JC173:JC179" si="1808">IFERROR(IF(ISBLANK(EG173), "", IF($I173="c", EG173*$I$5, EG173)),"-")</f>
        <v/>
      </c>
      <c r="JD173" s="313" t="str">
        <f t="shared" ref="JD173:JD179" si="1809">IFERROR(IF(ISBLANK(EH173), "", IF($I173="c", EH173*$I$5, EH173)),"-")</f>
        <v/>
      </c>
      <c r="JF173" s="66">
        <f t="shared" si="1424"/>
        <v>173</v>
      </c>
      <c r="JG173" s="66">
        <f t="shared" ca="1" si="1425"/>
        <v>0</v>
      </c>
      <c r="JH173" s="66">
        <f t="shared" ca="1" si="1426"/>
        <v>0</v>
      </c>
      <c r="JI173" s="66">
        <f t="shared" ca="1" si="1427"/>
        <v>0</v>
      </c>
      <c r="JJ173" s="66">
        <f t="shared" ca="1" si="1428"/>
        <v>0</v>
      </c>
      <c r="JK173" s="33"/>
      <c r="JL173" s="74" t="str">
        <f t="shared" ca="1" si="1429"/>
        <v>-</v>
      </c>
      <c r="JM173" s="75">
        <f t="shared" ca="1" si="1430"/>
        <v>0</v>
      </c>
      <c r="JN173" s="75">
        <f t="shared" ca="1" si="1431"/>
        <v>0</v>
      </c>
      <c r="JO173" s="74" t="str">
        <f t="shared" ca="1" si="1432"/>
        <v>-</v>
      </c>
      <c r="JP173" s="74">
        <f t="shared" ca="1" si="1433"/>
        <v>0</v>
      </c>
    </row>
    <row r="174" spans="1:276" hidden="1" outlineLevel="1" x14ac:dyDescent="0.35">
      <c r="A174" s="125" t="s">
        <v>805</v>
      </c>
      <c r="B174" s="125" t="s">
        <v>805</v>
      </c>
      <c r="C174" s="125" t="s">
        <v>805</v>
      </c>
      <c r="E174" s="142" t="s">
        <v>889</v>
      </c>
      <c r="F174" s="254" t="s">
        <v>773</v>
      </c>
      <c r="G174" t="s">
        <v>540</v>
      </c>
      <c r="H174" t="s">
        <v>535</v>
      </c>
      <c r="I174" t="s">
        <v>536</v>
      </c>
      <c r="J174" s="211" t="s">
        <v>805</v>
      </c>
      <c r="K174" t="s">
        <v>805</v>
      </c>
      <c r="L174" t="s">
        <v>805</v>
      </c>
      <c r="M174" t="s">
        <v>805</v>
      </c>
      <c r="N174" t="s">
        <v>805</v>
      </c>
      <c r="O174" t="s">
        <v>805</v>
      </c>
      <c r="P174" t="s">
        <v>805</v>
      </c>
      <c r="Q174" t="s">
        <v>805</v>
      </c>
      <c r="R174" t="s">
        <v>805</v>
      </c>
      <c r="S174" t="s">
        <v>805</v>
      </c>
      <c r="T174" t="s">
        <v>805</v>
      </c>
      <c r="U174" t="s">
        <v>805</v>
      </c>
      <c r="V174" t="s">
        <v>805</v>
      </c>
      <c r="W174" t="s">
        <v>805</v>
      </c>
      <c r="X174" t="s">
        <v>805</v>
      </c>
      <c r="Y174" t="s">
        <v>805</v>
      </c>
      <c r="Z174" t="s">
        <v>805</v>
      </c>
      <c r="AA174" t="s">
        <v>805</v>
      </c>
      <c r="AB174" t="s">
        <v>805</v>
      </c>
      <c r="AC174" t="s">
        <v>805</v>
      </c>
      <c r="AD174" t="s">
        <v>805</v>
      </c>
      <c r="AE174" t="s">
        <v>805</v>
      </c>
      <c r="AF174" t="s">
        <v>805</v>
      </c>
      <c r="AG174" t="s">
        <v>805</v>
      </c>
      <c r="AH174" t="s">
        <v>805</v>
      </c>
      <c r="AI174" t="s">
        <v>805</v>
      </c>
      <c r="AJ174" t="s">
        <v>805</v>
      </c>
      <c r="AK174" t="s">
        <v>805</v>
      </c>
      <c r="AL174" t="s">
        <v>805</v>
      </c>
      <c r="AM174" t="s">
        <v>805</v>
      </c>
      <c r="AN174" t="s">
        <v>805</v>
      </c>
      <c r="AO174" t="s">
        <v>805</v>
      </c>
      <c r="AP174" t="s">
        <v>805</v>
      </c>
      <c r="AQ174" t="s">
        <v>805</v>
      </c>
      <c r="AR174" t="s">
        <v>805</v>
      </c>
      <c r="AS174" t="s">
        <v>805</v>
      </c>
      <c r="AT174" t="s">
        <v>805</v>
      </c>
      <c r="AU174" t="s">
        <v>805</v>
      </c>
      <c r="AV174" t="s">
        <v>805</v>
      </c>
      <c r="AW174" t="s">
        <v>805</v>
      </c>
      <c r="AX174" t="s">
        <v>805</v>
      </c>
      <c r="AY174" t="s">
        <v>805</v>
      </c>
      <c r="AZ174" t="s">
        <v>805</v>
      </c>
      <c r="BA174" t="s">
        <v>805</v>
      </c>
      <c r="BB174" t="s">
        <v>805</v>
      </c>
      <c r="BC174" t="s">
        <v>805</v>
      </c>
      <c r="BD174" t="s">
        <v>805</v>
      </c>
      <c r="BE174" t="s">
        <v>805</v>
      </c>
      <c r="BF174" t="s">
        <v>805</v>
      </c>
      <c r="BG174" t="s">
        <v>805</v>
      </c>
      <c r="BH174" t="s">
        <v>805</v>
      </c>
      <c r="BI174" t="s">
        <v>805</v>
      </c>
      <c r="BJ174" t="s">
        <v>805</v>
      </c>
      <c r="BK174" t="s">
        <v>805</v>
      </c>
      <c r="BL174" t="s">
        <v>805</v>
      </c>
      <c r="BM174" t="s">
        <v>805</v>
      </c>
      <c r="BN174" t="s">
        <v>805</v>
      </c>
      <c r="BO174" t="s">
        <v>805</v>
      </c>
      <c r="BP174" t="s">
        <v>805</v>
      </c>
      <c r="BQ174" t="s">
        <v>805</v>
      </c>
      <c r="BR174" t="s">
        <v>805</v>
      </c>
      <c r="BS174" t="s">
        <v>805</v>
      </c>
      <c r="BT174" t="s">
        <v>805</v>
      </c>
      <c r="BU174" t="s">
        <v>805</v>
      </c>
      <c r="BV174" t="s">
        <v>805</v>
      </c>
      <c r="BW174" t="s">
        <v>805</v>
      </c>
      <c r="BX174" t="s">
        <v>805</v>
      </c>
      <c r="BY174" t="s">
        <v>805</v>
      </c>
      <c r="BZ174" t="s">
        <v>805</v>
      </c>
      <c r="CA174" t="s">
        <v>805</v>
      </c>
      <c r="CB174" t="s">
        <v>805</v>
      </c>
      <c r="CC174" t="s">
        <v>805</v>
      </c>
      <c r="CD174" t="s">
        <v>805</v>
      </c>
      <c r="CE174" t="s">
        <v>805</v>
      </c>
      <c r="CF174" t="s">
        <v>805</v>
      </c>
      <c r="CG174" t="s">
        <v>805</v>
      </c>
      <c r="CH174" t="s">
        <v>805</v>
      </c>
      <c r="CI174" t="s">
        <v>805</v>
      </c>
      <c r="CJ174" t="s">
        <v>805</v>
      </c>
      <c r="CK174" t="s">
        <v>805</v>
      </c>
      <c r="CL174" t="s">
        <v>805</v>
      </c>
      <c r="CM174" t="s">
        <v>805</v>
      </c>
      <c r="CN174" t="s">
        <v>805</v>
      </c>
      <c r="CO174" t="s">
        <v>805</v>
      </c>
      <c r="CP174" t="s">
        <v>805</v>
      </c>
      <c r="CQ174" t="s">
        <v>805</v>
      </c>
      <c r="CR174" t="s">
        <v>805</v>
      </c>
      <c r="CS174" t="s">
        <v>805</v>
      </c>
      <c r="CT174" t="s">
        <v>805</v>
      </c>
      <c r="CU174" t="s">
        <v>805</v>
      </c>
      <c r="CV174" t="s">
        <v>805</v>
      </c>
      <c r="CW174" t="s">
        <v>805</v>
      </c>
      <c r="CX174" t="s">
        <v>805</v>
      </c>
      <c r="CY174" t="s">
        <v>805</v>
      </c>
      <c r="CZ174" t="s">
        <v>805</v>
      </c>
      <c r="DA174" t="s">
        <v>805</v>
      </c>
      <c r="DB174" t="s">
        <v>805</v>
      </c>
      <c r="DC174" t="s">
        <v>805</v>
      </c>
      <c r="DD174" t="s">
        <v>805</v>
      </c>
      <c r="DE174" t="s">
        <v>805</v>
      </c>
      <c r="DF174" t="s">
        <v>805</v>
      </c>
      <c r="DG174" s="28">
        <f>VLOOKUP(E174,'KPI Count-SHARE'!A:F,3,0)</f>
        <v>0</v>
      </c>
      <c r="DH174" t="s">
        <v>805</v>
      </c>
      <c r="DI174" t="s">
        <v>805</v>
      </c>
      <c r="DJ174" t="s">
        <v>805</v>
      </c>
      <c r="DK174" t="s">
        <v>805</v>
      </c>
      <c r="DL174" t="s">
        <v>805</v>
      </c>
      <c r="DM174" t="s">
        <v>805</v>
      </c>
      <c r="DN174" s="28">
        <f>VLOOKUP(E174,'KPI Count-SHARE'!A:F,4,0)</f>
        <v>0</v>
      </c>
      <c r="DU174" s="28">
        <f>VLOOKUP(E174,'KPI Count-SHARE'!A:F,5,0)</f>
        <v>0</v>
      </c>
      <c r="EB174" s="28">
        <f>VLOOKUP(E174,'KPI Count-SHARE'!A:F,6,0)</f>
        <v>0</v>
      </c>
      <c r="EI174" t="str">
        <f t="shared" si="1684"/>
        <v>USD '000 per FTE</v>
      </c>
      <c r="EJ174" s="237" t="str">
        <f t="shared" ref="EJ174:EJ179" si="1810">IFERROR(IF(ISBLANK(J174), "-", IF(OR($I174="c",$I174="r"), J174*$I$5, J174)),"-")</f>
        <v>-</v>
      </c>
      <c r="EK174" s="237" t="str">
        <f t="shared" ref="EK174:EK179" si="1811">IFERROR(IF(ISBLANK(K174), "-", IF($I174="c", K174*$I$5, K174)),"-")</f>
        <v>-</v>
      </c>
      <c r="EL174" s="237" t="str">
        <f t="shared" ref="EL174:EL179" si="1812">IFERROR(IF(ISBLANK(L174), "-", IF($I174="c", L174*$I$5, L174)),"-")</f>
        <v>-</v>
      </c>
      <c r="EM174" s="237" t="str">
        <f t="shared" ref="EM174:EM179" si="1813">IFERROR(IF(ISBLANK(M174), "-", IF($I174="c", M174*$I$5,M174)),"-")</f>
        <v>-</v>
      </c>
      <c r="EN174" s="237" t="str">
        <f t="shared" ref="EN174:EN179" si="1814">IFERROR(IF(ISBLANK(N174), "-", IF($I174="c", N174*$I$5, N174)),"-")</f>
        <v>-</v>
      </c>
      <c r="EO174" s="237" t="str">
        <f t="shared" ref="EO174:EO179" si="1815">IFERROR(IF(ISBLANK(O174), "-", IF($I174="c", O174*$I$5,O174)),"-")</f>
        <v>-</v>
      </c>
      <c r="EP174" s="237" t="str">
        <f t="shared" ref="EP174:EP179" si="1816">IFERROR(IF(ISBLANK(P174), "-", IF($I174="c", P174*$I$5, P174)),"-")</f>
        <v>-</v>
      </c>
      <c r="EQ174" s="237" t="str">
        <f t="shared" ref="EQ174:EQ179" si="1817">IFERROR(IF(ISBLANK(Q174), "-", IF($I174="c", Q174*$I$5, Q174)),"-")</f>
        <v>-</v>
      </c>
      <c r="ER174" s="237" t="str">
        <f t="shared" ref="ER174:ER179" si="1818">IFERROR(IF(ISBLANK(R174), "-", IF($I174="c", R174*$I$5, R174)),"-")</f>
        <v>-</v>
      </c>
      <c r="ES174" s="237" t="str">
        <f t="shared" ref="ES174:ES179" si="1819">IFERROR(IF(ISBLANK(S174), "-", IF($I174="c", S174*$I$5, S174)),"-")</f>
        <v>-</v>
      </c>
      <c r="ET174" s="237" t="str">
        <f t="shared" ref="ET174:ET179" si="1820">IFERROR(IF(ISBLANK(T174), "-", IF($I174="c", T174*$I$5, T174)),"-")</f>
        <v>-</v>
      </c>
      <c r="EU174" s="237" t="str">
        <f t="shared" ref="EU174:EU179" si="1821">IFERROR(IF(ISBLANK(U174), "-", IF($I174="c", U174*$I$5, U174)),"-")</f>
        <v>-</v>
      </c>
      <c r="EV174" s="237" t="str">
        <f t="shared" ref="EV174:EV179" si="1822">IFERROR(IF(ISBLANK(V174), "-", IF($I174="c", V174*$I$5, V174)),"-")</f>
        <v>-</v>
      </c>
      <c r="EW174" s="237" t="str">
        <f t="shared" ref="EW174:EW179" si="1823">IFERROR(IF(ISBLANK(W174), "-", IF($I174="c", W174*$I$5, W174)),"-")</f>
        <v>-</v>
      </c>
      <c r="EX174" s="237" t="str">
        <f t="shared" ref="EX174:EX179" si="1824">IFERROR(IF(ISBLANK(X174), "-", IF($I174="c", X174*$I$5, X174)),"-")</f>
        <v>-</v>
      </c>
      <c r="EY174" s="237" t="str">
        <f t="shared" ref="EY174:EY179" si="1825">IFERROR(IF(ISBLANK(Y174), "-", IF($I174="c", Y174*$I$5, Y174)),"-")</f>
        <v>-</v>
      </c>
      <c r="EZ174" s="237" t="str">
        <f t="shared" ref="EZ174:EZ179" si="1826">IFERROR(IF(ISBLANK(Z174), "-", IF($I174="c", Z174*$I$5, Z174)),"-")</f>
        <v>-</v>
      </c>
      <c r="FA174" s="237" t="str">
        <f t="shared" ref="FA174:FA179" si="1827">IFERROR(IF(ISBLANK(AA174), "-", IF($I174="c", AA174*$I$5, AA174)),"-")</f>
        <v>-</v>
      </c>
      <c r="FB174" s="237" t="str">
        <f t="shared" ref="FB174:FB179" si="1828">IFERROR(IF(ISBLANK(AB174), "-", IF($I174="c", AB174*$I$5, AB174)),"-")</f>
        <v>-</v>
      </c>
      <c r="FC174" s="237" t="str">
        <f t="shared" ref="FC174:FC179" si="1829">IFERROR(IF(ISBLANK(AC174), "-", IF($I174="c", AC174*$I$5, AC174)),"-")</f>
        <v>-</v>
      </c>
      <c r="FD174" s="237" t="str">
        <f t="shared" ref="FD174:FD179" si="1830">IFERROR(IF(ISBLANK(AD174), "-", IF($I174="c", AD174*$I$5, AD174)),"-")</f>
        <v>-</v>
      </c>
      <c r="FE174" s="237" t="str">
        <f t="shared" ref="FE174:FE179" si="1831">IFERROR(IF(ISBLANK(AE174), "-", IF($I174="c", AE174*$I$5, AE174)),"-")</f>
        <v>-</v>
      </c>
      <c r="FF174" s="237" t="str">
        <f t="shared" ref="FF174:FF179" si="1832">IFERROR(IF(ISBLANK(AF174), "-", IF($I174="c", AF174*$I$5, AF174)),"-")</f>
        <v>-</v>
      </c>
      <c r="FG174" s="237" t="str">
        <f t="shared" ref="FG174:FG179" si="1833">IFERROR(IF(ISBLANK(AG174), "-", IF($I174="c", AG174*$I$5, AG174)),"-")</f>
        <v>-</v>
      </c>
      <c r="FH174" s="237" t="str">
        <f t="shared" ref="FH174:FH179" si="1834">IFERROR(IF(ISBLANK(AH174), "-", IF($I174="c", AH174*$I$5, AH174)),"-")</f>
        <v>-</v>
      </c>
      <c r="FI174" s="237" t="str">
        <f t="shared" ref="FI174:FI179" si="1835">IFERROR(IF(ISBLANK(AI174), "-", IF($I174="c", AI174*$I$5, AI174)),"-")</f>
        <v>-</v>
      </c>
      <c r="FJ174" s="237" t="str">
        <f t="shared" ref="FJ174:FJ179" si="1836">IFERROR(IF(ISBLANK(AJ174), "-", IF($I174="c", AJ174*$I$5, AJ174)),"-")</f>
        <v>-</v>
      </c>
      <c r="FK174" s="237" t="str">
        <f t="shared" ref="FK174:FK179" si="1837">IFERROR(IF(ISBLANK(AK174), "-", IF($I174="c", AK174*$I$5, AK174)),"-")</f>
        <v>-</v>
      </c>
      <c r="FL174" s="237" t="str">
        <f t="shared" ref="FL174:FL179" si="1838">IFERROR(IF(ISBLANK(AL174), "-", IF($I174="c", AL174*$I$5, AL174)),"-")</f>
        <v>-</v>
      </c>
      <c r="FM174" s="237" t="str">
        <f t="shared" ref="FM174:FM179" si="1839">IFERROR(IF(ISBLANK(AM174), "-", IF($I174="c", AM174*$I$5, AM174)),"-")</f>
        <v>-</v>
      </c>
      <c r="FN174" s="237" t="str">
        <f t="shared" ref="FN174:FN179" si="1840">IFERROR(IF(ISBLANK(AN174), "-", IF($I174="c", AN174*$I$5, AN174)),"-")</f>
        <v>-</v>
      </c>
      <c r="FO174" s="237" t="str">
        <f t="shared" ref="FO174:FO179" si="1841">IFERROR(IF(ISBLANK(AO174), "-", IF($I174="c", AO174*$I$5, AO174)),"-")</f>
        <v>-</v>
      </c>
      <c r="FP174" s="237" t="str">
        <f t="shared" ref="FP174:FP179" si="1842">IFERROR(IF(ISBLANK(AP174), "-", IF($I174="c", AP174*$I$5, AP174)),"-")</f>
        <v>-</v>
      </c>
      <c r="FQ174" s="237" t="str">
        <f t="shared" ref="FQ174:FQ179" si="1843">IFERROR(IF(ISBLANK(AQ174), "-", IF($I174="c", AQ174*$I$5, AQ174)),"-")</f>
        <v>-</v>
      </c>
      <c r="FR174" s="237" t="str">
        <f t="shared" ref="FR174:FR179" si="1844">IFERROR(IF(ISBLANK(AR174), "-", IF($I174="c", AR174*$I$5, AR174)),"-")</f>
        <v>-</v>
      </c>
      <c r="FS174" s="237" t="str">
        <f t="shared" ref="FS174:FS179" si="1845">IFERROR(IF(ISBLANK(AS174), "-", IF($I174="c", AS174*$I$5, AS174)),"-")</f>
        <v>-</v>
      </c>
      <c r="FT174" s="237" t="str">
        <f t="shared" ref="FT174:FT179" si="1846">IFERROR(IF(ISBLANK(AT174), "-", IF($I174="c", AT174*$I$5, AT174)),"-")</f>
        <v>-</v>
      </c>
      <c r="FU174" s="237" t="str">
        <f t="shared" ref="FU174:FU179" si="1847">IFERROR(IF(ISBLANK(AU174), "-", IF($I174="c", AU174*$I$5, AU174)),"-")</f>
        <v>-</v>
      </c>
      <c r="FV174" s="237" t="str">
        <f t="shared" ref="FV174:FV179" si="1848">IFERROR(IF(ISBLANK(AV174), "-", IF($I174="c", AV174*$I$5, AV174)),"-")</f>
        <v>-</v>
      </c>
      <c r="FW174" s="237" t="str">
        <f t="shared" ref="FW174:FW179" si="1849">IFERROR(IF(ISBLANK(AW174), "-", IF($I174="c", AW174*$I$5, AW174)),"-")</f>
        <v>-</v>
      </c>
      <c r="FX174" s="237" t="str">
        <f t="shared" ref="FX174:FX179" si="1850">IFERROR(IF(ISBLANK(AX174), "-", IF($I174="c", AX174*$I$5, AX174)),"-")</f>
        <v>-</v>
      </c>
      <c r="FY174" s="237" t="str">
        <f t="shared" ref="FY174:FY179" si="1851">IFERROR(IF(ISBLANK(AY174), "-", IF($I174="c", AY174*$I$5, AY174)),"-")</f>
        <v>-</v>
      </c>
      <c r="FZ174" s="237" t="str">
        <f t="shared" ref="FZ174:FZ179" si="1852">IFERROR(IF(ISBLANK(AZ174), "-", IF($I174="c", AZ174*$I$5, AZ174)),"-")</f>
        <v>-</v>
      </c>
      <c r="GA174" s="237" t="str">
        <f t="shared" ref="GA174:GA179" si="1853">IFERROR(IF(ISBLANK(BA174), "-", IF($I174="c", BA174*$I$5, BA174)),"-")</f>
        <v>-</v>
      </c>
      <c r="GB174" s="237" t="str">
        <f t="shared" ref="GB174:GB179" si="1854">IFERROR(IF(ISBLANK(BB174), "-", IF($I174="c", BB174*$I$5, BB174)),"-")</f>
        <v>-</v>
      </c>
      <c r="GC174" s="237" t="str">
        <f t="shared" ref="GC174:GC179" si="1855">IFERROR(IF(ISBLANK(BC174), "-", IF($I174="c", BC174*$I$5, BC174)),"-")</f>
        <v>-</v>
      </c>
      <c r="GD174" s="237" t="str">
        <f t="shared" ref="GD174:GD179" si="1856">IFERROR(IF(ISBLANK(BD174), "-", IF($I174="c", BD174*$I$5, BD174)),"-")</f>
        <v>-</v>
      </c>
      <c r="GE174" s="237" t="str">
        <f t="shared" ref="GE174:GE179" si="1857">IFERROR(IF(ISBLANK(BE174), "-", IF($I174="c", BE174*$I$5, BE174)),"-")</f>
        <v>-</v>
      </c>
      <c r="GF174" s="237" t="str">
        <f t="shared" ref="GF174:GF179" si="1858">IFERROR(IF(ISBLANK(BF174), "-", IF($I174="c", BF174*$I$5, BF174)),"-")</f>
        <v>-</v>
      </c>
      <c r="GG174" s="237" t="str">
        <f t="shared" ref="GG174:GG179" si="1859">IFERROR(IF(ISBLANK(BG174), "-", IF($I174="c", BG174*$I$5, BG174)),"-")</f>
        <v>-</v>
      </c>
      <c r="GH174" s="237" t="str">
        <f t="shared" ref="GH174:GH179" si="1860">IFERROR(IF(ISBLANK(BH174), "-", IF($I174="c", BH174*$I$5, BH174)),"-")</f>
        <v>-</v>
      </c>
      <c r="GI174" s="237" t="str">
        <f t="shared" ref="GI174:GI179" si="1861">IFERROR(IF(ISBLANK(BI174), "-", IF($I174="c", BI174*$I$5, BI174)),"-")</f>
        <v>-</v>
      </c>
      <c r="GJ174" s="237" t="str">
        <f t="shared" ref="GJ174:GJ179" si="1862">IFERROR(IF(ISBLANK(BJ174), "-", IF($I174="c", BJ174*$I$5, BJ174)),"-")</f>
        <v>-</v>
      </c>
      <c r="GK174" s="237" t="str">
        <f t="shared" ref="GK174:GK179" si="1863">IFERROR(IF(ISBLANK(BK174), "-", IF($I174="c", BK174*$I$5, BK174)),"-")</f>
        <v>-</v>
      </c>
      <c r="GL174" s="237" t="str">
        <f t="shared" ref="GL174:GL179" si="1864">IFERROR(IF(ISBLANK(BL174), "-", IF($I174="c", BL174*$I$5, BL174)),"-")</f>
        <v>-</v>
      </c>
      <c r="GM174" s="237" t="str">
        <f t="shared" ref="GM174:GM179" si="1865">IFERROR(IF(ISBLANK(BM174), "-", IF($I174="c", BM174*$I$5, BM174)),"-")</f>
        <v>-</v>
      </c>
      <c r="GN174" s="237" t="str">
        <f t="shared" ref="GN174:GN179" si="1866">IFERROR(IF(ISBLANK(BN174), "-", IF($I174="c", BN174*$I$5, BN174)),"-")</f>
        <v>-</v>
      </c>
      <c r="GO174" s="237" t="str">
        <f t="shared" ref="GO174:GO179" si="1867">IFERROR(IF(ISBLANK(BO174), "-", IF($I174="c", BO174*$I$5, BO174)),"-")</f>
        <v>-</v>
      </c>
      <c r="GP174" s="237" t="str">
        <f t="shared" ref="GP174:GP179" si="1868">IFERROR(IF(ISBLANK(BP174), "-", IF($I174="c", BP174*$I$5, BP174)),"-")</f>
        <v>-</v>
      </c>
      <c r="GQ174" s="237" t="str">
        <f t="shared" ref="GQ174:GQ179" si="1869">IFERROR(IF(ISBLANK(BQ174), "-", IF($I174="c", BQ174*$I$5, BQ174)),"-")</f>
        <v>-</v>
      </c>
      <c r="GR174" s="237" t="str">
        <f t="shared" ref="GR174:GR179" si="1870">IFERROR(IF(ISBLANK(BR174), "-", IF($I174="c", BR174*$I$5, BR174)),"-")</f>
        <v>-</v>
      </c>
      <c r="GS174" s="237" t="str">
        <f t="shared" ref="GS174:GS179" si="1871">IFERROR(IF(ISBLANK(BS174), "-", IF($I174="c", BS174*$I$5, BS174)),"-")</f>
        <v>-</v>
      </c>
      <c r="GT174" s="237" t="str">
        <f t="shared" ref="GT174:GT179" si="1872">IFERROR(IF(ISBLANK(BT174), "-", IF($I174="c", BT174*$I$5, BT174)),"-")</f>
        <v>-</v>
      </c>
      <c r="GU174" s="237" t="str">
        <f t="shared" ref="GU174:GU179" si="1873">IFERROR(IF(ISBLANK(BU174), "-", IF($I174="c", BU174*$I$5, BU174)),"-")</f>
        <v>-</v>
      </c>
      <c r="GV174" s="237" t="str">
        <f t="shared" ref="GV174:GV179" si="1874">IFERROR(IF(ISBLANK(BV174), "-", IF($I174="c", BV174*$I$5, BV174)),"-")</f>
        <v>-</v>
      </c>
      <c r="GW174" s="237" t="str">
        <f t="shared" ref="GW174:GW179" si="1875">IFERROR(IF(ISBLANK(BW174), "-", IF($I174="c", BW174*$I$5, BW174)),"-")</f>
        <v>-</v>
      </c>
      <c r="GX174" s="237" t="str">
        <f t="shared" ref="GX174:GX179" si="1876">IFERROR(IF(ISBLANK(BX174), "-", IF($I174="c", BX174*$I$5, BX174)),"-")</f>
        <v>-</v>
      </c>
      <c r="GY174" s="237" t="str">
        <f t="shared" ref="GY174:GY179" si="1877">IFERROR(IF(ISBLANK(BY174), "-", IF($I174="c", BY174*$I$5, BY174)),"-")</f>
        <v>-</v>
      </c>
      <c r="GZ174" s="237" t="str">
        <f t="shared" ref="GZ174:GZ179" si="1878">IFERROR(IF(ISBLANK(BZ174), "-", IF($I174="c", BZ174*$I$5, BZ174)),"-")</f>
        <v>-</v>
      </c>
      <c r="HA174" s="237" t="str">
        <f t="shared" ref="HA174:HA179" si="1879">IFERROR(IF(ISBLANK(CA174), "-", IF($I174="c", CA174*$I$5, CA174)),"-")</f>
        <v>-</v>
      </c>
      <c r="HB174" s="237" t="str">
        <f t="shared" ref="HB174:HB179" si="1880">IFERROR(IF(ISBLANK(CB174), "-", IF($I174="c", CB174*$I$5, CB174)),"-")</f>
        <v>-</v>
      </c>
      <c r="HC174" s="237" t="str">
        <f t="shared" ref="HC174:HC179" si="1881">IFERROR(IF(ISBLANK(CC174), "-", IF($I174="c", CC174*$I$5, CC174)),"-")</f>
        <v>-</v>
      </c>
      <c r="HD174" s="237" t="str">
        <f t="shared" ref="HD174:HD179" si="1882">IFERROR(IF(ISBLANK(CD174), "-", IF($I174="c", CD174*$I$5, CD174)),"-")</f>
        <v>-</v>
      </c>
      <c r="HE174" s="237" t="str">
        <f t="shared" ref="HE174:HE179" si="1883">IFERROR(IF(ISBLANK(CE174), "-", IF($I174="c", CE174*$I$5, CE174)),"-")</f>
        <v>-</v>
      </c>
      <c r="HF174" s="237" t="str">
        <f t="shared" ref="HF174:HF179" si="1884">IFERROR(IF(ISBLANK(CF174), "-", IF($I174="c", CF174*$I$5, CF174)),"-")</f>
        <v>-</v>
      </c>
      <c r="HG174" s="237" t="str">
        <f t="shared" ref="HG174:HG179" si="1885">IFERROR(IF(ISBLANK(CG174), "-", IF($I174="c", CG174*$I$5, CG174)),"-")</f>
        <v>-</v>
      </c>
      <c r="HH174" s="237" t="str">
        <f t="shared" ref="HH174:HH179" si="1886">IFERROR(IF(ISBLANK(CH174), "-", IF($I174="c", CH174*$I$5, CH174)),"-")</f>
        <v>-</v>
      </c>
      <c r="HI174" s="237" t="str">
        <f t="shared" ref="HI174:HI179" si="1887">IFERROR(IF(ISBLANK(CI174), "-", IF($I174="c", CI174*$I$5, CI174)),"-")</f>
        <v>-</v>
      </c>
      <c r="HJ174" s="237" t="str">
        <f t="shared" ref="HJ174:HJ179" si="1888">IFERROR(IF(ISBLANK(CJ174), "-", IF($I174="c", CJ174*$I$5, CJ174)),"-")</f>
        <v>-</v>
      </c>
      <c r="HK174" s="237" t="str">
        <f t="shared" ref="HK174:HK179" si="1889">IFERROR(IF(ISBLANK(CK174), "-", IF($I174="c", CK174*$I$5, CK174)),"-")</f>
        <v>-</v>
      </c>
      <c r="HL174" s="237" t="str">
        <f t="shared" ref="HL174:HL179" si="1890">IFERROR(IF(ISBLANK(CL174), "-", IF($I174="c", CL174*$I$5, CL174)),"-")</f>
        <v>-</v>
      </c>
      <c r="HM174" s="237" t="str">
        <f t="shared" ref="HM174:HM179" si="1891">IFERROR(IF(ISBLANK(CM174), "-", IF($I174="c", CM174*$I$5, CM174)),"-")</f>
        <v>-</v>
      </c>
      <c r="HN174" s="237" t="str">
        <f t="shared" ref="HN174:HN179" si="1892">IFERROR(IF(ISBLANK(CN174), "-", IF($I174="c", CN174*$I$5, CN174)),"-")</f>
        <v>-</v>
      </c>
      <c r="HO174" s="237" t="str">
        <f t="shared" ref="HO174:HO179" si="1893">IFERROR(IF(ISBLANK(CO174), "-", IF($I174="c", CO174*$I$5, CO174)),"-")</f>
        <v>-</v>
      </c>
      <c r="HP174" s="237" t="str">
        <f t="shared" ref="HP174:HP179" si="1894">IFERROR(IF(ISBLANK(CP174), "-", IF($I174="c", CP174*$I$5, CP174)),"-")</f>
        <v>-</v>
      </c>
      <c r="HQ174" s="237" t="str">
        <f t="shared" ref="HQ174:HQ179" si="1895">IFERROR(IF(ISBLANK(CQ174), "-", IF($I174="c", CQ174*$I$5, CQ174)),"-")</f>
        <v>-</v>
      </c>
      <c r="HR174" s="237" t="str">
        <f t="shared" ref="HR174:HR179" si="1896">IFERROR(IF(ISBLANK(CR174), "-", IF($I174="c", CR174*$I$5, CR174)),"-")</f>
        <v>-</v>
      </c>
      <c r="HS174" s="237" t="str">
        <f t="shared" ref="HS174:HS179" si="1897">IFERROR(IF(ISBLANK(CS174), "-", IF($I174="c", CS174*$I$5, CS174)),"-")</f>
        <v>-</v>
      </c>
      <c r="HT174" s="237" t="str">
        <f t="shared" ref="HT174:HT179" si="1898">IFERROR(IF(ISBLANK(CT174), "-", IF($I174="c", CT174*$I$5, CT174)),"-")</f>
        <v>-</v>
      </c>
      <c r="HU174" s="237" t="str">
        <f t="shared" ref="HU174:HU179" si="1899">IFERROR(IF(ISBLANK(CU174), "-", IF($I174="c", CU174*$I$5, CU174)),"-")</f>
        <v>-</v>
      </c>
      <c r="HV174" s="237" t="str">
        <f t="shared" ref="HV174:HV179" si="1900">IFERROR(IF(ISBLANK(CV174), "-", IF($I174="c", CV174*$I$5, CV174)),"-")</f>
        <v>-</v>
      </c>
      <c r="HW174" s="237" t="str">
        <f t="shared" ref="HW174:HW179" si="1901">IFERROR(IF(ISBLANK(CW174), "-", IF($I174="c", CW174*$I$5, CW174)),"-")</f>
        <v>-</v>
      </c>
      <c r="HX174" s="237" t="str">
        <f t="shared" ref="HX174:HX179" si="1902">IFERROR(IF(ISBLANK(CX174), "-", IF($I174="c", CX174*$I$5, CX174)),"-")</f>
        <v>-</v>
      </c>
      <c r="HY174" s="237" t="str">
        <f t="shared" ref="HY174:HY179" si="1903">IFERROR(IF(ISBLANK(CY174), "-", IF($I174="c", CY174*$I$5, CY174)),"-")</f>
        <v>-</v>
      </c>
      <c r="HZ174" s="237" t="str">
        <f t="shared" ref="HZ174:HZ179" si="1904">IFERROR(IF(ISBLANK(CZ174), "-", IF($I174="c", CZ174*$I$5, CZ174)),"-")</f>
        <v>-</v>
      </c>
      <c r="IA174" s="237" t="str">
        <f t="shared" ref="IA174:IA179" si="1905">IFERROR(IF(ISBLANK(DA174), "-", IF($I174="c", DA174*$I$5, DA174)),"-")</f>
        <v>-</v>
      </c>
      <c r="IB174" s="237" t="str">
        <f t="shared" ref="IB174:IB179" si="1906">IFERROR(IF(ISBLANK(DB174), "-", IF($I174="c", DB174*$I$5, DB174)),"-")</f>
        <v>-</v>
      </c>
      <c r="IC174" s="237" t="str">
        <f t="shared" ref="IC174:IC179" si="1907">IFERROR(IF(ISBLANK(DC174), "-", IF($I174="c", DC174*$I$5, DC174)),"-")</f>
        <v>-</v>
      </c>
      <c r="ID174" s="237" t="str">
        <f t="shared" ref="ID174:ID179" si="1908">IFERROR(IF(ISBLANK(DD174), "-", IF($I174="c", DD174*$I$5, DD174)),"-")</f>
        <v>-</v>
      </c>
      <c r="IE174" s="237" t="str">
        <f t="shared" ref="IE174:IE179" si="1909">IFERROR(IF(ISBLANK(DE174), "-", IF($I174="c", DE174*$I$5, DE174)),"-")</f>
        <v>-</v>
      </c>
      <c r="IF174" s="237" t="str">
        <f t="shared" ref="IF174:IF179" si="1910">IFERROR(IF(ISBLANK(DF174), "-", IF($I174="c", DF174*$I$5, DF174)),"-")</f>
        <v>-</v>
      </c>
      <c r="IG174" s="312" t="str">
        <f t="shared" ref="IG174:IG179" si="1911">IFERROR(IF(ISBLANK(DH174), "-", IF($I174="c", DH174*$I$5, DH174)),"-")</f>
        <v>-</v>
      </c>
      <c r="IH174" s="99" t="str">
        <f t="shared" si="1787"/>
        <v>-</v>
      </c>
      <c r="II174" s="99" t="str">
        <f t="shared" si="1788"/>
        <v>-</v>
      </c>
      <c r="IJ174" s="99" t="str">
        <f t="shared" si="1789"/>
        <v>-</v>
      </c>
      <c r="IK174" s="99" t="str">
        <f t="shared" si="1790"/>
        <v>-</v>
      </c>
      <c r="IL174" s="99" t="str">
        <f t="shared" si="1791"/>
        <v>-</v>
      </c>
      <c r="IM174" s="312" t="str">
        <f t="shared" ref="IM174:IM179" si="1912">IFERROR(IF(ISBLANK(DO174), "", IF($I174="c",DO174*$I$5, DO174)),"-")</f>
        <v/>
      </c>
      <c r="IN174" s="99" t="str">
        <f t="shared" si="1793"/>
        <v/>
      </c>
      <c r="IO174" s="99" t="str">
        <f t="shared" si="1794"/>
        <v/>
      </c>
      <c r="IP174" s="99" t="str">
        <f t="shared" si="1795"/>
        <v/>
      </c>
      <c r="IQ174" s="99" t="str">
        <f t="shared" si="1796"/>
        <v/>
      </c>
      <c r="IR174" s="99" t="str">
        <f t="shared" si="1797"/>
        <v/>
      </c>
      <c r="IS174" s="312" t="str">
        <f t="shared" ref="IS174:IS179" si="1913">IFERROR(IF(ISBLANK(DV174), "", IF($I174="c", DV174*$I$5, DV174)),"-")</f>
        <v/>
      </c>
      <c r="IT174" s="99" t="str">
        <f t="shared" si="1799"/>
        <v/>
      </c>
      <c r="IU174" s="99" t="str">
        <f t="shared" si="1800"/>
        <v/>
      </c>
      <c r="IV174" s="99" t="str">
        <f t="shared" si="1801"/>
        <v/>
      </c>
      <c r="IW174" s="99" t="str">
        <f t="shared" si="1802"/>
        <v/>
      </c>
      <c r="IX174" s="99" t="str">
        <f t="shared" si="1803"/>
        <v/>
      </c>
      <c r="IY174" s="312" t="str">
        <f t="shared" ref="IY174:IY179" si="1914">IFERROR(IF(ISBLANK(EC174), "", IF($I174="c", EC174*$I$5, EC174)),"-")</f>
        <v/>
      </c>
      <c r="IZ174" s="99" t="str">
        <f t="shared" si="1805"/>
        <v/>
      </c>
      <c r="JA174" s="99" t="str">
        <f t="shared" si="1806"/>
        <v/>
      </c>
      <c r="JB174" s="99" t="str">
        <f t="shared" si="1807"/>
        <v/>
      </c>
      <c r="JC174" s="99" t="str">
        <f t="shared" si="1808"/>
        <v/>
      </c>
      <c r="JD174" s="313" t="str">
        <f t="shared" si="1809"/>
        <v/>
      </c>
      <c r="JF174" s="66">
        <f t="shared" si="1424"/>
        <v>174</v>
      </c>
      <c r="JG174" s="66">
        <f t="shared" ca="1" si="1425"/>
        <v>0</v>
      </c>
      <c r="JH174" s="66">
        <f t="shared" ca="1" si="1426"/>
        <v>0</v>
      </c>
      <c r="JI174" s="66">
        <f t="shared" ca="1" si="1427"/>
        <v>0</v>
      </c>
      <c r="JJ174" s="66">
        <f t="shared" ca="1" si="1428"/>
        <v>0</v>
      </c>
      <c r="JK174" s="33"/>
      <c r="JL174" s="74" t="str">
        <f t="shared" ca="1" si="1429"/>
        <v>-</v>
      </c>
      <c r="JM174" s="75">
        <f t="shared" ca="1" si="1430"/>
        <v>0</v>
      </c>
      <c r="JN174" s="75">
        <f t="shared" ca="1" si="1431"/>
        <v>0</v>
      </c>
      <c r="JO174" s="74" t="str">
        <f t="shared" ca="1" si="1432"/>
        <v>-</v>
      </c>
      <c r="JP174" s="74">
        <f t="shared" ca="1" si="1433"/>
        <v>0</v>
      </c>
    </row>
    <row r="175" spans="1:276" hidden="1" outlineLevel="1" x14ac:dyDescent="0.35">
      <c r="A175" s="125" t="s">
        <v>805</v>
      </c>
      <c r="B175" s="125" t="s">
        <v>805</v>
      </c>
      <c r="C175" s="125" t="s">
        <v>805</v>
      </c>
      <c r="E175" s="142" t="s">
        <v>890</v>
      </c>
      <c r="F175" s="254" t="s">
        <v>774</v>
      </c>
      <c r="G175" t="s">
        <v>540</v>
      </c>
      <c r="H175" t="s">
        <v>535</v>
      </c>
      <c r="I175" t="s">
        <v>536</v>
      </c>
      <c r="J175" s="211" t="s">
        <v>805</v>
      </c>
      <c r="K175" t="s">
        <v>805</v>
      </c>
      <c r="L175" t="s">
        <v>805</v>
      </c>
      <c r="M175" t="s">
        <v>805</v>
      </c>
      <c r="N175" t="s">
        <v>805</v>
      </c>
      <c r="O175" t="s">
        <v>805</v>
      </c>
      <c r="P175" t="s">
        <v>805</v>
      </c>
      <c r="Q175" t="s">
        <v>805</v>
      </c>
      <c r="R175" t="s">
        <v>805</v>
      </c>
      <c r="S175" t="s">
        <v>805</v>
      </c>
      <c r="T175" t="s">
        <v>805</v>
      </c>
      <c r="U175" t="s">
        <v>805</v>
      </c>
      <c r="V175" t="s">
        <v>805</v>
      </c>
      <c r="W175" t="s">
        <v>805</v>
      </c>
      <c r="X175" t="s">
        <v>805</v>
      </c>
      <c r="Y175" t="s">
        <v>805</v>
      </c>
      <c r="Z175" t="s">
        <v>805</v>
      </c>
      <c r="AA175" t="s">
        <v>805</v>
      </c>
      <c r="AB175" t="s">
        <v>805</v>
      </c>
      <c r="AC175" t="s">
        <v>805</v>
      </c>
      <c r="AD175" t="s">
        <v>805</v>
      </c>
      <c r="AE175" t="s">
        <v>805</v>
      </c>
      <c r="AF175" t="s">
        <v>805</v>
      </c>
      <c r="AG175" t="s">
        <v>805</v>
      </c>
      <c r="AH175" t="s">
        <v>805</v>
      </c>
      <c r="AI175" t="s">
        <v>805</v>
      </c>
      <c r="AJ175" t="s">
        <v>805</v>
      </c>
      <c r="AK175" t="s">
        <v>805</v>
      </c>
      <c r="AL175" t="s">
        <v>805</v>
      </c>
      <c r="AM175" t="s">
        <v>805</v>
      </c>
      <c r="AN175" t="s">
        <v>805</v>
      </c>
      <c r="AO175" t="s">
        <v>805</v>
      </c>
      <c r="AP175" t="s">
        <v>805</v>
      </c>
      <c r="AQ175" t="s">
        <v>805</v>
      </c>
      <c r="AR175" t="s">
        <v>805</v>
      </c>
      <c r="AS175" t="s">
        <v>805</v>
      </c>
      <c r="AT175" t="s">
        <v>805</v>
      </c>
      <c r="AU175" t="s">
        <v>805</v>
      </c>
      <c r="AV175" t="s">
        <v>805</v>
      </c>
      <c r="AW175" t="s">
        <v>805</v>
      </c>
      <c r="AX175" t="s">
        <v>805</v>
      </c>
      <c r="AY175" t="s">
        <v>805</v>
      </c>
      <c r="AZ175" t="s">
        <v>805</v>
      </c>
      <c r="BA175" t="s">
        <v>805</v>
      </c>
      <c r="BB175" t="s">
        <v>805</v>
      </c>
      <c r="BC175" t="s">
        <v>805</v>
      </c>
      <c r="BD175" t="s">
        <v>805</v>
      </c>
      <c r="BE175" t="s">
        <v>805</v>
      </c>
      <c r="BF175" t="s">
        <v>805</v>
      </c>
      <c r="BG175" t="s">
        <v>805</v>
      </c>
      <c r="BH175" t="s">
        <v>805</v>
      </c>
      <c r="BI175" t="s">
        <v>805</v>
      </c>
      <c r="BJ175" t="s">
        <v>805</v>
      </c>
      <c r="BK175" t="s">
        <v>805</v>
      </c>
      <c r="BL175" t="s">
        <v>805</v>
      </c>
      <c r="BM175" t="s">
        <v>805</v>
      </c>
      <c r="BN175" t="s">
        <v>805</v>
      </c>
      <c r="BO175" t="s">
        <v>805</v>
      </c>
      <c r="BP175" t="s">
        <v>805</v>
      </c>
      <c r="BQ175" t="s">
        <v>805</v>
      </c>
      <c r="BR175" t="s">
        <v>805</v>
      </c>
      <c r="BS175" t="s">
        <v>805</v>
      </c>
      <c r="BT175" t="s">
        <v>805</v>
      </c>
      <c r="BU175" t="s">
        <v>805</v>
      </c>
      <c r="BV175" t="s">
        <v>805</v>
      </c>
      <c r="BW175" t="s">
        <v>805</v>
      </c>
      <c r="BX175" t="s">
        <v>805</v>
      </c>
      <c r="BY175" t="s">
        <v>805</v>
      </c>
      <c r="BZ175" t="s">
        <v>805</v>
      </c>
      <c r="CA175" t="s">
        <v>805</v>
      </c>
      <c r="CB175" t="s">
        <v>805</v>
      </c>
      <c r="CC175" t="s">
        <v>805</v>
      </c>
      <c r="CD175" t="s">
        <v>805</v>
      </c>
      <c r="CE175" t="s">
        <v>805</v>
      </c>
      <c r="CF175" t="s">
        <v>805</v>
      </c>
      <c r="CG175" t="s">
        <v>805</v>
      </c>
      <c r="CH175" t="s">
        <v>805</v>
      </c>
      <c r="CI175" t="s">
        <v>805</v>
      </c>
      <c r="CJ175" t="s">
        <v>805</v>
      </c>
      <c r="CK175" t="s">
        <v>805</v>
      </c>
      <c r="CL175" t="s">
        <v>805</v>
      </c>
      <c r="CM175" t="s">
        <v>805</v>
      </c>
      <c r="CN175" t="s">
        <v>805</v>
      </c>
      <c r="CO175" t="s">
        <v>805</v>
      </c>
      <c r="CP175" t="s">
        <v>805</v>
      </c>
      <c r="CQ175" t="s">
        <v>805</v>
      </c>
      <c r="CR175" t="s">
        <v>805</v>
      </c>
      <c r="CS175" t="s">
        <v>805</v>
      </c>
      <c r="CT175" t="s">
        <v>805</v>
      </c>
      <c r="CU175" t="s">
        <v>805</v>
      </c>
      <c r="CV175" t="s">
        <v>805</v>
      </c>
      <c r="CW175" t="s">
        <v>805</v>
      </c>
      <c r="CX175" t="s">
        <v>805</v>
      </c>
      <c r="CY175" t="s">
        <v>805</v>
      </c>
      <c r="CZ175" t="s">
        <v>805</v>
      </c>
      <c r="DA175" t="s">
        <v>805</v>
      </c>
      <c r="DB175" t="s">
        <v>805</v>
      </c>
      <c r="DC175" t="s">
        <v>805</v>
      </c>
      <c r="DD175" t="s">
        <v>805</v>
      </c>
      <c r="DE175" t="s">
        <v>805</v>
      </c>
      <c r="DF175" t="s">
        <v>805</v>
      </c>
      <c r="DG175" s="28">
        <f>VLOOKUP(E175,'KPI Count-SHARE'!A:F,3,0)</f>
        <v>0</v>
      </c>
      <c r="DH175" t="s">
        <v>805</v>
      </c>
      <c r="DI175" t="s">
        <v>805</v>
      </c>
      <c r="DJ175" t="s">
        <v>805</v>
      </c>
      <c r="DK175" t="s">
        <v>805</v>
      </c>
      <c r="DL175" t="s">
        <v>805</v>
      </c>
      <c r="DM175" t="s">
        <v>805</v>
      </c>
      <c r="DN175" s="28">
        <f>VLOOKUP(E175,'KPI Count-SHARE'!A:F,4,0)</f>
        <v>0</v>
      </c>
      <c r="DU175" s="28">
        <f>VLOOKUP(E175,'KPI Count-SHARE'!A:F,5,0)</f>
        <v>0</v>
      </c>
      <c r="EB175" s="28">
        <f>VLOOKUP(E175,'KPI Count-SHARE'!A:F,6,0)</f>
        <v>0</v>
      </c>
      <c r="EI175" t="str">
        <f t="shared" si="1684"/>
        <v>USD '000 per FTE</v>
      </c>
      <c r="EJ175" s="237" t="str">
        <f t="shared" si="1810"/>
        <v>-</v>
      </c>
      <c r="EK175" s="237" t="str">
        <f t="shared" si="1811"/>
        <v>-</v>
      </c>
      <c r="EL175" s="237" t="str">
        <f t="shared" si="1812"/>
        <v>-</v>
      </c>
      <c r="EM175" s="237" t="str">
        <f t="shared" si="1813"/>
        <v>-</v>
      </c>
      <c r="EN175" s="237" t="str">
        <f t="shared" si="1814"/>
        <v>-</v>
      </c>
      <c r="EO175" s="237" t="str">
        <f t="shared" si="1815"/>
        <v>-</v>
      </c>
      <c r="EP175" s="237" t="str">
        <f t="shared" si="1816"/>
        <v>-</v>
      </c>
      <c r="EQ175" s="237" t="str">
        <f t="shared" si="1817"/>
        <v>-</v>
      </c>
      <c r="ER175" s="237" t="str">
        <f t="shared" si="1818"/>
        <v>-</v>
      </c>
      <c r="ES175" s="237" t="str">
        <f t="shared" si="1819"/>
        <v>-</v>
      </c>
      <c r="ET175" s="237" t="str">
        <f t="shared" si="1820"/>
        <v>-</v>
      </c>
      <c r="EU175" s="237" t="str">
        <f t="shared" si="1821"/>
        <v>-</v>
      </c>
      <c r="EV175" s="237" t="str">
        <f t="shared" si="1822"/>
        <v>-</v>
      </c>
      <c r="EW175" s="237" t="str">
        <f t="shared" si="1823"/>
        <v>-</v>
      </c>
      <c r="EX175" s="237" t="str">
        <f t="shared" si="1824"/>
        <v>-</v>
      </c>
      <c r="EY175" s="237" t="str">
        <f t="shared" si="1825"/>
        <v>-</v>
      </c>
      <c r="EZ175" s="237" t="str">
        <f t="shared" si="1826"/>
        <v>-</v>
      </c>
      <c r="FA175" s="237" t="str">
        <f t="shared" si="1827"/>
        <v>-</v>
      </c>
      <c r="FB175" s="237" t="str">
        <f t="shared" si="1828"/>
        <v>-</v>
      </c>
      <c r="FC175" s="237" t="str">
        <f t="shared" si="1829"/>
        <v>-</v>
      </c>
      <c r="FD175" s="237" t="str">
        <f t="shared" si="1830"/>
        <v>-</v>
      </c>
      <c r="FE175" s="237" t="str">
        <f t="shared" si="1831"/>
        <v>-</v>
      </c>
      <c r="FF175" s="237" t="str">
        <f t="shared" si="1832"/>
        <v>-</v>
      </c>
      <c r="FG175" s="237" t="str">
        <f t="shared" si="1833"/>
        <v>-</v>
      </c>
      <c r="FH175" s="237" t="str">
        <f t="shared" si="1834"/>
        <v>-</v>
      </c>
      <c r="FI175" s="237" t="str">
        <f t="shared" si="1835"/>
        <v>-</v>
      </c>
      <c r="FJ175" s="237" t="str">
        <f t="shared" si="1836"/>
        <v>-</v>
      </c>
      <c r="FK175" s="237" t="str">
        <f t="shared" si="1837"/>
        <v>-</v>
      </c>
      <c r="FL175" s="237" t="str">
        <f t="shared" si="1838"/>
        <v>-</v>
      </c>
      <c r="FM175" s="237" t="str">
        <f t="shared" si="1839"/>
        <v>-</v>
      </c>
      <c r="FN175" s="237" t="str">
        <f t="shared" si="1840"/>
        <v>-</v>
      </c>
      <c r="FO175" s="237" t="str">
        <f t="shared" si="1841"/>
        <v>-</v>
      </c>
      <c r="FP175" s="237" t="str">
        <f t="shared" si="1842"/>
        <v>-</v>
      </c>
      <c r="FQ175" s="237" t="str">
        <f t="shared" si="1843"/>
        <v>-</v>
      </c>
      <c r="FR175" s="237" t="str">
        <f t="shared" si="1844"/>
        <v>-</v>
      </c>
      <c r="FS175" s="237" t="str">
        <f t="shared" si="1845"/>
        <v>-</v>
      </c>
      <c r="FT175" s="237" t="str">
        <f t="shared" si="1846"/>
        <v>-</v>
      </c>
      <c r="FU175" s="237" t="str">
        <f t="shared" si="1847"/>
        <v>-</v>
      </c>
      <c r="FV175" s="237" t="str">
        <f t="shared" si="1848"/>
        <v>-</v>
      </c>
      <c r="FW175" s="237" t="str">
        <f t="shared" si="1849"/>
        <v>-</v>
      </c>
      <c r="FX175" s="237" t="str">
        <f t="shared" si="1850"/>
        <v>-</v>
      </c>
      <c r="FY175" s="237" t="str">
        <f t="shared" si="1851"/>
        <v>-</v>
      </c>
      <c r="FZ175" s="237" t="str">
        <f t="shared" si="1852"/>
        <v>-</v>
      </c>
      <c r="GA175" s="237" t="str">
        <f t="shared" si="1853"/>
        <v>-</v>
      </c>
      <c r="GB175" s="237" t="str">
        <f t="shared" si="1854"/>
        <v>-</v>
      </c>
      <c r="GC175" s="237" t="str">
        <f t="shared" si="1855"/>
        <v>-</v>
      </c>
      <c r="GD175" s="237" t="str">
        <f t="shared" si="1856"/>
        <v>-</v>
      </c>
      <c r="GE175" s="237" t="str">
        <f t="shared" si="1857"/>
        <v>-</v>
      </c>
      <c r="GF175" s="237" t="str">
        <f t="shared" si="1858"/>
        <v>-</v>
      </c>
      <c r="GG175" s="237" t="str">
        <f t="shared" si="1859"/>
        <v>-</v>
      </c>
      <c r="GH175" s="237" t="str">
        <f t="shared" si="1860"/>
        <v>-</v>
      </c>
      <c r="GI175" s="237" t="str">
        <f t="shared" si="1861"/>
        <v>-</v>
      </c>
      <c r="GJ175" s="237" t="str">
        <f t="shared" si="1862"/>
        <v>-</v>
      </c>
      <c r="GK175" s="237" t="str">
        <f t="shared" si="1863"/>
        <v>-</v>
      </c>
      <c r="GL175" s="237" t="str">
        <f t="shared" si="1864"/>
        <v>-</v>
      </c>
      <c r="GM175" s="237" t="str">
        <f t="shared" si="1865"/>
        <v>-</v>
      </c>
      <c r="GN175" s="237" t="str">
        <f t="shared" si="1866"/>
        <v>-</v>
      </c>
      <c r="GO175" s="237" t="str">
        <f t="shared" si="1867"/>
        <v>-</v>
      </c>
      <c r="GP175" s="237" t="str">
        <f t="shared" si="1868"/>
        <v>-</v>
      </c>
      <c r="GQ175" s="237" t="str">
        <f t="shared" si="1869"/>
        <v>-</v>
      </c>
      <c r="GR175" s="237" t="str">
        <f t="shared" si="1870"/>
        <v>-</v>
      </c>
      <c r="GS175" s="237" t="str">
        <f t="shared" si="1871"/>
        <v>-</v>
      </c>
      <c r="GT175" s="237" t="str">
        <f t="shared" si="1872"/>
        <v>-</v>
      </c>
      <c r="GU175" s="237" t="str">
        <f t="shared" si="1873"/>
        <v>-</v>
      </c>
      <c r="GV175" s="237" t="str">
        <f t="shared" si="1874"/>
        <v>-</v>
      </c>
      <c r="GW175" s="237" t="str">
        <f t="shared" si="1875"/>
        <v>-</v>
      </c>
      <c r="GX175" s="237" t="str">
        <f t="shared" si="1876"/>
        <v>-</v>
      </c>
      <c r="GY175" s="237" t="str">
        <f t="shared" si="1877"/>
        <v>-</v>
      </c>
      <c r="GZ175" s="237" t="str">
        <f t="shared" si="1878"/>
        <v>-</v>
      </c>
      <c r="HA175" s="237" t="str">
        <f t="shared" si="1879"/>
        <v>-</v>
      </c>
      <c r="HB175" s="237" t="str">
        <f t="shared" si="1880"/>
        <v>-</v>
      </c>
      <c r="HC175" s="237" t="str">
        <f t="shared" si="1881"/>
        <v>-</v>
      </c>
      <c r="HD175" s="237" t="str">
        <f t="shared" si="1882"/>
        <v>-</v>
      </c>
      <c r="HE175" s="237" t="str">
        <f t="shared" si="1883"/>
        <v>-</v>
      </c>
      <c r="HF175" s="237" t="str">
        <f t="shared" si="1884"/>
        <v>-</v>
      </c>
      <c r="HG175" s="237" t="str">
        <f t="shared" si="1885"/>
        <v>-</v>
      </c>
      <c r="HH175" s="237" t="str">
        <f t="shared" si="1886"/>
        <v>-</v>
      </c>
      <c r="HI175" s="237" t="str">
        <f t="shared" si="1887"/>
        <v>-</v>
      </c>
      <c r="HJ175" s="237" t="str">
        <f t="shared" si="1888"/>
        <v>-</v>
      </c>
      <c r="HK175" s="237" t="str">
        <f t="shared" si="1889"/>
        <v>-</v>
      </c>
      <c r="HL175" s="237" t="str">
        <f t="shared" si="1890"/>
        <v>-</v>
      </c>
      <c r="HM175" s="237" t="str">
        <f t="shared" si="1891"/>
        <v>-</v>
      </c>
      <c r="HN175" s="237" t="str">
        <f t="shared" si="1892"/>
        <v>-</v>
      </c>
      <c r="HO175" s="237" t="str">
        <f t="shared" si="1893"/>
        <v>-</v>
      </c>
      <c r="HP175" s="237" t="str">
        <f t="shared" si="1894"/>
        <v>-</v>
      </c>
      <c r="HQ175" s="237" t="str">
        <f t="shared" si="1895"/>
        <v>-</v>
      </c>
      <c r="HR175" s="237" t="str">
        <f t="shared" si="1896"/>
        <v>-</v>
      </c>
      <c r="HS175" s="237" t="str">
        <f t="shared" si="1897"/>
        <v>-</v>
      </c>
      <c r="HT175" s="237" t="str">
        <f t="shared" si="1898"/>
        <v>-</v>
      </c>
      <c r="HU175" s="237" t="str">
        <f t="shared" si="1899"/>
        <v>-</v>
      </c>
      <c r="HV175" s="237" t="str">
        <f t="shared" si="1900"/>
        <v>-</v>
      </c>
      <c r="HW175" s="237" t="str">
        <f t="shared" si="1901"/>
        <v>-</v>
      </c>
      <c r="HX175" s="237" t="str">
        <f t="shared" si="1902"/>
        <v>-</v>
      </c>
      <c r="HY175" s="237" t="str">
        <f t="shared" si="1903"/>
        <v>-</v>
      </c>
      <c r="HZ175" s="237" t="str">
        <f t="shared" si="1904"/>
        <v>-</v>
      </c>
      <c r="IA175" s="237" t="str">
        <f t="shared" si="1905"/>
        <v>-</v>
      </c>
      <c r="IB175" s="237" t="str">
        <f t="shared" si="1906"/>
        <v>-</v>
      </c>
      <c r="IC175" s="237" t="str">
        <f t="shared" si="1907"/>
        <v>-</v>
      </c>
      <c r="ID175" s="237" t="str">
        <f t="shared" si="1908"/>
        <v>-</v>
      </c>
      <c r="IE175" s="237" t="str">
        <f t="shared" si="1909"/>
        <v>-</v>
      </c>
      <c r="IF175" s="237" t="str">
        <f t="shared" si="1910"/>
        <v>-</v>
      </c>
      <c r="IG175" s="312" t="str">
        <f t="shared" si="1911"/>
        <v>-</v>
      </c>
      <c r="IH175" s="99" t="str">
        <f t="shared" si="1787"/>
        <v>-</v>
      </c>
      <c r="II175" s="99" t="str">
        <f t="shared" si="1788"/>
        <v>-</v>
      </c>
      <c r="IJ175" s="99" t="str">
        <f t="shared" si="1789"/>
        <v>-</v>
      </c>
      <c r="IK175" s="99" t="str">
        <f t="shared" si="1790"/>
        <v>-</v>
      </c>
      <c r="IL175" s="99" t="str">
        <f t="shared" si="1791"/>
        <v>-</v>
      </c>
      <c r="IM175" s="312" t="str">
        <f t="shared" si="1912"/>
        <v/>
      </c>
      <c r="IN175" s="99" t="str">
        <f t="shared" si="1793"/>
        <v/>
      </c>
      <c r="IO175" s="99" t="str">
        <f t="shared" si="1794"/>
        <v/>
      </c>
      <c r="IP175" s="99" t="str">
        <f t="shared" si="1795"/>
        <v/>
      </c>
      <c r="IQ175" s="99" t="str">
        <f t="shared" si="1796"/>
        <v/>
      </c>
      <c r="IR175" s="99" t="str">
        <f t="shared" si="1797"/>
        <v/>
      </c>
      <c r="IS175" s="312" t="str">
        <f t="shared" si="1913"/>
        <v/>
      </c>
      <c r="IT175" s="99" t="str">
        <f t="shared" si="1799"/>
        <v/>
      </c>
      <c r="IU175" s="99" t="str">
        <f t="shared" si="1800"/>
        <v/>
      </c>
      <c r="IV175" s="99" t="str">
        <f t="shared" si="1801"/>
        <v/>
      </c>
      <c r="IW175" s="99" t="str">
        <f t="shared" si="1802"/>
        <v/>
      </c>
      <c r="IX175" s="99" t="str">
        <f t="shared" si="1803"/>
        <v/>
      </c>
      <c r="IY175" s="312" t="str">
        <f t="shared" si="1914"/>
        <v/>
      </c>
      <c r="IZ175" s="99" t="str">
        <f t="shared" si="1805"/>
        <v/>
      </c>
      <c r="JA175" s="99" t="str">
        <f t="shared" si="1806"/>
        <v/>
      </c>
      <c r="JB175" s="99" t="str">
        <f t="shared" si="1807"/>
        <v/>
      </c>
      <c r="JC175" s="99" t="str">
        <f t="shared" si="1808"/>
        <v/>
      </c>
      <c r="JD175" s="313" t="str">
        <f t="shared" si="1809"/>
        <v/>
      </c>
      <c r="JF175" s="66">
        <f t="shared" si="1424"/>
        <v>175</v>
      </c>
      <c r="JG175" s="66">
        <f t="shared" ca="1" si="1425"/>
        <v>0</v>
      </c>
      <c r="JH175" s="66">
        <f t="shared" ca="1" si="1426"/>
        <v>0</v>
      </c>
      <c r="JI175" s="66">
        <f t="shared" ca="1" si="1427"/>
        <v>0</v>
      </c>
      <c r="JJ175" s="66">
        <f t="shared" ca="1" si="1428"/>
        <v>0</v>
      </c>
      <c r="JK175" s="33"/>
      <c r="JL175" s="74" t="str">
        <f t="shared" ca="1" si="1429"/>
        <v>-</v>
      </c>
      <c r="JM175" s="75">
        <f t="shared" ca="1" si="1430"/>
        <v>0</v>
      </c>
      <c r="JN175" s="75">
        <f t="shared" ca="1" si="1431"/>
        <v>0</v>
      </c>
      <c r="JO175" s="74" t="str">
        <f t="shared" ca="1" si="1432"/>
        <v>-</v>
      </c>
      <c r="JP175" s="74">
        <f t="shared" ca="1" si="1433"/>
        <v>0</v>
      </c>
    </row>
    <row r="176" spans="1:276" hidden="1" outlineLevel="1" x14ac:dyDescent="0.35">
      <c r="A176" s="125" t="s">
        <v>805</v>
      </c>
      <c r="B176" s="125" t="s">
        <v>805</v>
      </c>
      <c r="C176" s="125" t="s">
        <v>805</v>
      </c>
      <c r="E176" s="142" t="s">
        <v>891</v>
      </c>
      <c r="F176" s="254" t="s">
        <v>775</v>
      </c>
      <c r="G176" t="s">
        <v>540</v>
      </c>
      <c r="H176" t="s">
        <v>535</v>
      </c>
      <c r="I176" t="s">
        <v>536</v>
      </c>
      <c r="J176" s="211" t="s">
        <v>805</v>
      </c>
      <c r="K176" t="s">
        <v>805</v>
      </c>
      <c r="L176" t="s">
        <v>805</v>
      </c>
      <c r="M176" t="s">
        <v>805</v>
      </c>
      <c r="N176" t="s">
        <v>805</v>
      </c>
      <c r="O176" t="s">
        <v>805</v>
      </c>
      <c r="P176" t="s">
        <v>805</v>
      </c>
      <c r="Q176" t="s">
        <v>805</v>
      </c>
      <c r="R176" t="s">
        <v>805</v>
      </c>
      <c r="S176" t="s">
        <v>805</v>
      </c>
      <c r="T176" t="s">
        <v>805</v>
      </c>
      <c r="U176" t="s">
        <v>805</v>
      </c>
      <c r="V176" t="s">
        <v>805</v>
      </c>
      <c r="W176" t="s">
        <v>805</v>
      </c>
      <c r="X176" t="s">
        <v>805</v>
      </c>
      <c r="Y176" t="s">
        <v>805</v>
      </c>
      <c r="Z176" t="s">
        <v>805</v>
      </c>
      <c r="AA176" t="s">
        <v>805</v>
      </c>
      <c r="AB176" t="s">
        <v>805</v>
      </c>
      <c r="AC176" t="s">
        <v>805</v>
      </c>
      <c r="AD176" t="s">
        <v>805</v>
      </c>
      <c r="AE176" t="s">
        <v>805</v>
      </c>
      <c r="AF176" t="s">
        <v>805</v>
      </c>
      <c r="AG176" t="s">
        <v>805</v>
      </c>
      <c r="AH176" t="s">
        <v>805</v>
      </c>
      <c r="AI176" t="s">
        <v>805</v>
      </c>
      <c r="AJ176" t="s">
        <v>805</v>
      </c>
      <c r="AK176" t="s">
        <v>805</v>
      </c>
      <c r="AL176" t="s">
        <v>805</v>
      </c>
      <c r="AM176" t="s">
        <v>805</v>
      </c>
      <c r="AN176" t="s">
        <v>805</v>
      </c>
      <c r="AO176" t="s">
        <v>805</v>
      </c>
      <c r="AP176" t="s">
        <v>805</v>
      </c>
      <c r="AQ176" t="s">
        <v>805</v>
      </c>
      <c r="AR176" t="s">
        <v>805</v>
      </c>
      <c r="AS176" t="s">
        <v>805</v>
      </c>
      <c r="AT176" t="s">
        <v>805</v>
      </c>
      <c r="AU176" t="s">
        <v>805</v>
      </c>
      <c r="AV176" t="s">
        <v>805</v>
      </c>
      <c r="AW176" t="s">
        <v>805</v>
      </c>
      <c r="AX176" t="s">
        <v>805</v>
      </c>
      <c r="AY176" t="s">
        <v>805</v>
      </c>
      <c r="AZ176" t="s">
        <v>805</v>
      </c>
      <c r="BA176" t="s">
        <v>805</v>
      </c>
      <c r="BB176" t="s">
        <v>805</v>
      </c>
      <c r="BC176" t="s">
        <v>805</v>
      </c>
      <c r="BD176" t="s">
        <v>805</v>
      </c>
      <c r="BE176" t="s">
        <v>805</v>
      </c>
      <c r="BF176" t="s">
        <v>805</v>
      </c>
      <c r="BG176" t="s">
        <v>805</v>
      </c>
      <c r="BH176" t="s">
        <v>805</v>
      </c>
      <c r="BI176" t="s">
        <v>805</v>
      </c>
      <c r="BJ176" t="s">
        <v>805</v>
      </c>
      <c r="BK176" t="s">
        <v>805</v>
      </c>
      <c r="BL176" t="s">
        <v>805</v>
      </c>
      <c r="BM176" t="s">
        <v>805</v>
      </c>
      <c r="BN176" t="s">
        <v>805</v>
      </c>
      <c r="BO176" t="s">
        <v>805</v>
      </c>
      <c r="BP176" t="s">
        <v>805</v>
      </c>
      <c r="BQ176" t="s">
        <v>805</v>
      </c>
      <c r="BR176" t="s">
        <v>805</v>
      </c>
      <c r="BS176" t="s">
        <v>805</v>
      </c>
      <c r="BT176" t="s">
        <v>805</v>
      </c>
      <c r="BU176" t="s">
        <v>805</v>
      </c>
      <c r="BV176" t="s">
        <v>805</v>
      </c>
      <c r="BW176" t="s">
        <v>805</v>
      </c>
      <c r="BX176" t="s">
        <v>805</v>
      </c>
      <c r="BY176" t="s">
        <v>805</v>
      </c>
      <c r="BZ176" t="s">
        <v>805</v>
      </c>
      <c r="CA176" t="s">
        <v>805</v>
      </c>
      <c r="CB176" t="s">
        <v>805</v>
      </c>
      <c r="CC176" t="s">
        <v>805</v>
      </c>
      <c r="CD176" t="s">
        <v>805</v>
      </c>
      <c r="CE176" t="s">
        <v>805</v>
      </c>
      <c r="CF176" t="s">
        <v>805</v>
      </c>
      <c r="CG176" t="s">
        <v>805</v>
      </c>
      <c r="CH176" t="s">
        <v>805</v>
      </c>
      <c r="CI176" t="s">
        <v>805</v>
      </c>
      <c r="CJ176" t="s">
        <v>805</v>
      </c>
      <c r="CK176" t="s">
        <v>805</v>
      </c>
      <c r="CL176" t="s">
        <v>805</v>
      </c>
      <c r="CM176" t="s">
        <v>805</v>
      </c>
      <c r="CN176" t="s">
        <v>805</v>
      </c>
      <c r="CO176" t="s">
        <v>805</v>
      </c>
      <c r="CP176" t="s">
        <v>805</v>
      </c>
      <c r="CQ176" t="s">
        <v>805</v>
      </c>
      <c r="CR176" t="s">
        <v>805</v>
      </c>
      <c r="CS176" t="s">
        <v>805</v>
      </c>
      <c r="CT176" t="s">
        <v>805</v>
      </c>
      <c r="CU176" t="s">
        <v>805</v>
      </c>
      <c r="CV176" t="s">
        <v>805</v>
      </c>
      <c r="CW176" t="s">
        <v>805</v>
      </c>
      <c r="CX176" t="s">
        <v>805</v>
      </c>
      <c r="CY176" t="s">
        <v>805</v>
      </c>
      <c r="CZ176" t="s">
        <v>805</v>
      </c>
      <c r="DA176" t="s">
        <v>805</v>
      </c>
      <c r="DB176" t="s">
        <v>805</v>
      </c>
      <c r="DC176" t="s">
        <v>805</v>
      </c>
      <c r="DD176" t="s">
        <v>805</v>
      </c>
      <c r="DE176" t="s">
        <v>805</v>
      </c>
      <c r="DF176" t="s">
        <v>805</v>
      </c>
      <c r="DG176" s="28">
        <f>VLOOKUP(E176,'KPI Count-SHARE'!A:F,3,0)</f>
        <v>0</v>
      </c>
      <c r="DH176" t="s">
        <v>805</v>
      </c>
      <c r="DI176" t="s">
        <v>805</v>
      </c>
      <c r="DJ176" t="s">
        <v>805</v>
      </c>
      <c r="DK176" t="s">
        <v>805</v>
      </c>
      <c r="DL176" t="s">
        <v>805</v>
      </c>
      <c r="DM176" t="s">
        <v>805</v>
      </c>
      <c r="DN176" s="28">
        <f>VLOOKUP(E176,'KPI Count-SHARE'!A:F,4,0)</f>
        <v>0</v>
      </c>
      <c r="DU176" s="28">
        <f>VLOOKUP(E176,'KPI Count-SHARE'!A:F,5,0)</f>
        <v>0</v>
      </c>
      <c r="EB176" s="28">
        <f>VLOOKUP(E176,'KPI Count-SHARE'!A:F,6,0)</f>
        <v>0</v>
      </c>
      <c r="EI176" t="str">
        <f t="shared" si="1684"/>
        <v>USD '000 per FTE</v>
      </c>
      <c r="EJ176" s="237" t="str">
        <f t="shared" si="1810"/>
        <v>-</v>
      </c>
      <c r="EK176" s="237" t="str">
        <f t="shared" si="1811"/>
        <v>-</v>
      </c>
      <c r="EL176" s="237" t="str">
        <f t="shared" si="1812"/>
        <v>-</v>
      </c>
      <c r="EM176" s="237" t="str">
        <f t="shared" si="1813"/>
        <v>-</v>
      </c>
      <c r="EN176" s="237" t="str">
        <f t="shared" si="1814"/>
        <v>-</v>
      </c>
      <c r="EO176" s="237" t="str">
        <f t="shared" si="1815"/>
        <v>-</v>
      </c>
      <c r="EP176" s="237" t="str">
        <f t="shared" si="1816"/>
        <v>-</v>
      </c>
      <c r="EQ176" s="237" t="str">
        <f t="shared" si="1817"/>
        <v>-</v>
      </c>
      <c r="ER176" s="237" t="str">
        <f t="shared" si="1818"/>
        <v>-</v>
      </c>
      <c r="ES176" s="237" t="str">
        <f t="shared" si="1819"/>
        <v>-</v>
      </c>
      <c r="ET176" s="237" t="str">
        <f t="shared" si="1820"/>
        <v>-</v>
      </c>
      <c r="EU176" s="237" t="str">
        <f t="shared" si="1821"/>
        <v>-</v>
      </c>
      <c r="EV176" s="237" t="str">
        <f t="shared" si="1822"/>
        <v>-</v>
      </c>
      <c r="EW176" s="237" t="str">
        <f t="shared" si="1823"/>
        <v>-</v>
      </c>
      <c r="EX176" s="237" t="str">
        <f t="shared" si="1824"/>
        <v>-</v>
      </c>
      <c r="EY176" s="237" t="str">
        <f t="shared" si="1825"/>
        <v>-</v>
      </c>
      <c r="EZ176" s="237" t="str">
        <f t="shared" si="1826"/>
        <v>-</v>
      </c>
      <c r="FA176" s="237" t="str">
        <f t="shared" si="1827"/>
        <v>-</v>
      </c>
      <c r="FB176" s="237" t="str">
        <f t="shared" si="1828"/>
        <v>-</v>
      </c>
      <c r="FC176" s="237" t="str">
        <f t="shared" si="1829"/>
        <v>-</v>
      </c>
      <c r="FD176" s="237" t="str">
        <f t="shared" si="1830"/>
        <v>-</v>
      </c>
      <c r="FE176" s="237" t="str">
        <f t="shared" si="1831"/>
        <v>-</v>
      </c>
      <c r="FF176" s="237" t="str">
        <f t="shared" si="1832"/>
        <v>-</v>
      </c>
      <c r="FG176" s="237" t="str">
        <f t="shared" si="1833"/>
        <v>-</v>
      </c>
      <c r="FH176" s="237" t="str">
        <f t="shared" si="1834"/>
        <v>-</v>
      </c>
      <c r="FI176" s="237" t="str">
        <f t="shared" si="1835"/>
        <v>-</v>
      </c>
      <c r="FJ176" s="237" t="str">
        <f t="shared" si="1836"/>
        <v>-</v>
      </c>
      <c r="FK176" s="237" t="str">
        <f t="shared" si="1837"/>
        <v>-</v>
      </c>
      <c r="FL176" s="237" t="str">
        <f t="shared" si="1838"/>
        <v>-</v>
      </c>
      <c r="FM176" s="237" t="str">
        <f t="shared" si="1839"/>
        <v>-</v>
      </c>
      <c r="FN176" s="237" t="str">
        <f t="shared" si="1840"/>
        <v>-</v>
      </c>
      <c r="FO176" s="237" t="str">
        <f t="shared" si="1841"/>
        <v>-</v>
      </c>
      <c r="FP176" s="237" t="str">
        <f t="shared" si="1842"/>
        <v>-</v>
      </c>
      <c r="FQ176" s="237" t="str">
        <f t="shared" si="1843"/>
        <v>-</v>
      </c>
      <c r="FR176" s="237" t="str">
        <f t="shared" si="1844"/>
        <v>-</v>
      </c>
      <c r="FS176" s="237" t="str">
        <f t="shared" si="1845"/>
        <v>-</v>
      </c>
      <c r="FT176" s="237" t="str">
        <f t="shared" si="1846"/>
        <v>-</v>
      </c>
      <c r="FU176" s="237" t="str">
        <f t="shared" si="1847"/>
        <v>-</v>
      </c>
      <c r="FV176" s="237" t="str">
        <f t="shared" si="1848"/>
        <v>-</v>
      </c>
      <c r="FW176" s="237" t="str">
        <f t="shared" si="1849"/>
        <v>-</v>
      </c>
      <c r="FX176" s="237" t="str">
        <f t="shared" si="1850"/>
        <v>-</v>
      </c>
      <c r="FY176" s="237" t="str">
        <f t="shared" si="1851"/>
        <v>-</v>
      </c>
      <c r="FZ176" s="237" t="str">
        <f t="shared" si="1852"/>
        <v>-</v>
      </c>
      <c r="GA176" s="237" t="str">
        <f t="shared" si="1853"/>
        <v>-</v>
      </c>
      <c r="GB176" s="237" t="str">
        <f t="shared" si="1854"/>
        <v>-</v>
      </c>
      <c r="GC176" s="237" t="str">
        <f t="shared" si="1855"/>
        <v>-</v>
      </c>
      <c r="GD176" s="237" t="str">
        <f t="shared" si="1856"/>
        <v>-</v>
      </c>
      <c r="GE176" s="237" t="str">
        <f t="shared" si="1857"/>
        <v>-</v>
      </c>
      <c r="GF176" s="237" t="str">
        <f t="shared" si="1858"/>
        <v>-</v>
      </c>
      <c r="GG176" s="237" t="str">
        <f t="shared" si="1859"/>
        <v>-</v>
      </c>
      <c r="GH176" s="237" t="str">
        <f t="shared" si="1860"/>
        <v>-</v>
      </c>
      <c r="GI176" s="237" t="str">
        <f t="shared" si="1861"/>
        <v>-</v>
      </c>
      <c r="GJ176" s="237" t="str">
        <f t="shared" si="1862"/>
        <v>-</v>
      </c>
      <c r="GK176" s="237" t="str">
        <f t="shared" si="1863"/>
        <v>-</v>
      </c>
      <c r="GL176" s="237" t="str">
        <f t="shared" si="1864"/>
        <v>-</v>
      </c>
      <c r="GM176" s="237" t="str">
        <f t="shared" si="1865"/>
        <v>-</v>
      </c>
      <c r="GN176" s="237" t="str">
        <f t="shared" si="1866"/>
        <v>-</v>
      </c>
      <c r="GO176" s="237" t="str">
        <f t="shared" si="1867"/>
        <v>-</v>
      </c>
      <c r="GP176" s="237" t="str">
        <f t="shared" si="1868"/>
        <v>-</v>
      </c>
      <c r="GQ176" s="237" t="str">
        <f t="shared" si="1869"/>
        <v>-</v>
      </c>
      <c r="GR176" s="237" t="str">
        <f t="shared" si="1870"/>
        <v>-</v>
      </c>
      <c r="GS176" s="237" t="str">
        <f t="shared" si="1871"/>
        <v>-</v>
      </c>
      <c r="GT176" s="237" t="str">
        <f t="shared" si="1872"/>
        <v>-</v>
      </c>
      <c r="GU176" s="237" t="str">
        <f t="shared" si="1873"/>
        <v>-</v>
      </c>
      <c r="GV176" s="237" t="str">
        <f t="shared" si="1874"/>
        <v>-</v>
      </c>
      <c r="GW176" s="237" t="str">
        <f t="shared" si="1875"/>
        <v>-</v>
      </c>
      <c r="GX176" s="237" t="str">
        <f t="shared" si="1876"/>
        <v>-</v>
      </c>
      <c r="GY176" s="237" t="str">
        <f t="shared" si="1877"/>
        <v>-</v>
      </c>
      <c r="GZ176" s="237" t="str">
        <f t="shared" si="1878"/>
        <v>-</v>
      </c>
      <c r="HA176" s="237" t="str">
        <f t="shared" si="1879"/>
        <v>-</v>
      </c>
      <c r="HB176" s="237" t="str">
        <f t="shared" si="1880"/>
        <v>-</v>
      </c>
      <c r="HC176" s="237" t="str">
        <f t="shared" si="1881"/>
        <v>-</v>
      </c>
      <c r="HD176" s="237" t="str">
        <f t="shared" si="1882"/>
        <v>-</v>
      </c>
      <c r="HE176" s="237" t="str">
        <f t="shared" si="1883"/>
        <v>-</v>
      </c>
      <c r="HF176" s="237" t="str">
        <f t="shared" si="1884"/>
        <v>-</v>
      </c>
      <c r="HG176" s="237" t="str">
        <f t="shared" si="1885"/>
        <v>-</v>
      </c>
      <c r="HH176" s="237" t="str">
        <f t="shared" si="1886"/>
        <v>-</v>
      </c>
      <c r="HI176" s="237" t="str">
        <f t="shared" si="1887"/>
        <v>-</v>
      </c>
      <c r="HJ176" s="237" t="str">
        <f t="shared" si="1888"/>
        <v>-</v>
      </c>
      <c r="HK176" s="237" t="str">
        <f t="shared" si="1889"/>
        <v>-</v>
      </c>
      <c r="HL176" s="237" t="str">
        <f t="shared" si="1890"/>
        <v>-</v>
      </c>
      <c r="HM176" s="237" t="str">
        <f t="shared" si="1891"/>
        <v>-</v>
      </c>
      <c r="HN176" s="237" t="str">
        <f t="shared" si="1892"/>
        <v>-</v>
      </c>
      <c r="HO176" s="237" t="str">
        <f t="shared" si="1893"/>
        <v>-</v>
      </c>
      <c r="HP176" s="237" t="str">
        <f t="shared" si="1894"/>
        <v>-</v>
      </c>
      <c r="HQ176" s="237" t="str">
        <f t="shared" si="1895"/>
        <v>-</v>
      </c>
      <c r="HR176" s="237" t="str">
        <f t="shared" si="1896"/>
        <v>-</v>
      </c>
      <c r="HS176" s="237" t="str">
        <f t="shared" si="1897"/>
        <v>-</v>
      </c>
      <c r="HT176" s="237" t="str">
        <f t="shared" si="1898"/>
        <v>-</v>
      </c>
      <c r="HU176" s="237" t="str">
        <f t="shared" si="1899"/>
        <v>-</v>
      </c>
      <c r="HV176" s="237" t="str">
        <f t="shared" si="1900"/>
        <v>-</v>
      </c>
      <c r="HW176" s="237" t="str">
        <f t="shared" si="1901"/>
        <v>-</v>
      </c>
      <c r="HX176" s="237" t="str">
        <f t="shared" si="1902"/>
        <v>-</v>
      </c>
      <c r="HY176" s="237" t="str">
        <f t="shared" si="1903"/>
        <v>-</v>
      </c>
      <c r="HZ176" s="237" t="str">
        <f t="shared" si="1904"/>
        <v>-</v>
      </c>
      <c r="IA176" s="237" t="str">
        <f t="shared" si="1905"/>
        <v>-</v>
      </c>
      <c r="IB176" s="237" t="str">
        <f t="shared" si="1906"/>
        <v>-</v>
      </c>
      <c r="IC176" s="237" t="str">
        <f t="shared" si="1907"/>
        <v>-</v>
      </c>
      <c r="ID176" s="237" t="str">
        <f t="shared" si="1908"/>
        <v>-</v>
      </c>
      <c r="IE176" s="237" t="str">
        <f t="shared" si="1909"/>
        <v>-</v>
      </c>
      <c r="IF176" s="237" t="str">
        <f t="shared" si="1910"/>
        <v>-</v>
      </c>
      <c r="IG176" s="312" t="str">
        <f t="shared" si="1911"/>
        <v>-</v>
      </c>
      <c r="IH176" s="99" t="str">
        <f t="shared" si="1787"/>
        <v>-</v>
      </c>
      <c r="II176" s="99" t="str">
        <f t="shared" si="1788"/>
        <v>-</v>
      </c>
      <c r="IJ176" s="99" t="str">
        <f t="shared" si="1789"/>
        <v>-</v>
      </c>
      <c r="IK176" s="99" t="str">
        <f t="shared" si="1790"/>
        <v>-</v>
      </c>
      <c r="IL176" s="99" t="str">
        <f t="shared" si="1791"/>
        <v>-</v>
      </c>
      <c r="IM176" s="312" t="str">
        <f t="shared" si="1912"/>
        <v/>
      </c>
      <c r="IN176" s="99" t="str">
        <f t="shared" si="1793"/>
        <v/>
      </c>
      <c r="IO176" s="99" t="str">
        <f t="shared" si="1794"/>
        <v/>
      </c>
      <c r="IP176" s="99" t="str">
        <f t="shared" si="1795"/>
        <v/>
      </c>
      <c r="IQ176" s="99" t="str">
        <f t="shared" si="1796"/>
        <v/>
      </c>
      <c r="IR176" s="99" t="str">
        <f t="shared" si="1797"/>
        <v/>
      </c>
      <c r="IS176" s="312" t="str">
        <f t="shared" si="1913"/>
        <v/>
      </c>
      <c r="IT176" s="99" t="str">
        <f t="shared" si="1799"/>
        <v/>
      </c>
      <c r="IU176" s="99" t="str">
        <f t="shared" si="1800"/>
        <v/>
      </c>
      <c r="IV176" s="99" t="str">
        <f t="shared" si="1801"/>
        <v/>
      </c>
      <c r="IW176" s="99" t="str">
        <f t="shared" si="1802"/>
        <v/>
      </c>
      <c r="IX176" s="99" t="str">
        <f t="shared" si="1803"/>
        <v/>
      </c>
      <c r="IY176" s="312" t="str">
        <f t="shared" si="1914"/>
        <v/>
      </c>
      <c r="IZ176" s="99" t="str">
        <f t="shared" si="1805"/>
        <v/>
      </c>
      <c r="JA176" s="99" t="str">
        <f t="shared" si="1806"/>
        <v/>
      </c>
      <c r="JB176" s="99" t="str">
        <f t="shared" si="1807"/>
        <v/>
      </c>
      <c r="JC176" s="99" t="str">
        <f t="shared" si="1808"/>
        <v/>
      </c>
      <c r="JD176" s="313" t="str">
        <f t="shared" si="1809"/>
        <v/>
      </c>
      <c r="JF176" s="66">
        <f t="shared" si="1424"/>
        <v>176</v>
      </c>
      <c r="JG176" s="66">
        <f t="shared" ca="1" si="1425"/>
        <v>0</v>
      </c>
      <c r="JH176" s="66">
        <f t="shared" ca="1" si="1426"/>
        <v>0</v>
      </c>
      <c r="JI176" s="66">
        <f t="shared" ca="1" si="1427"/>
        <v>0</v>
      </c>
      <c r="JJ176" s="66">
        <f t="shared" ca="1" si="1428"/>
        <v>0</v>
      </c>
      <c r="JK176" s="33"/>
      <c r="JL176" s="74" t="str">
        <f t="shared" ca="1" si="1429"/>
        <v>-</v>
      </c>
      <c r="JM176" s="75">
        <f t="shared" ca="1" si="1430"/>
        <v>0</v>
      </c>
      <c r="JN176" s="75">
        <f t="shared" ca="1" si="1431"/>
        <v>0</v>
      </c>
      <c r="JO176" s="74" t="str">
        <f t="shared" ca="1" si="1432"/>
        <v>-</v>
      </c>
      <c r="JP176" s="74">
        <f t="shared" ca="1" si="1433"/>
        <v>0</v>
      </c>
    </row>
    <row r="177" spans="1:276" hidden="1" outlineLevel="1" x14ac:dyDescent="0.35">
      <c r="A177" s="125" t="s">
        <v>805</v>
      </c>
      <c r="B177" s="125" t="s">
        <v>805</v>
      </c>
      <c r="C177" s="125" t="s">
        <v>805</v>
      </c>
      <c r="E177" s="142" t="s">
        <v>892</v>
      </c>
      <c r="F177" s="254" t="s">
        <v>776</v>
      </c>
      <c r="G177" t="s">
        <v>540</v>
      </c>
      <c r="H177" t="s">
        <v>535</v>
      </c>
      <c r="I177" t="s">
        <v>536</v>
      </c>
      <c r="J177" s="211" t="s">
        <v>805</v>
      </c>
      <c r="K177" t="s">
        <v>805</v>
      </c>
      <c r="L177" t="s">
        <v>805</v>
      </c>
      <c r="M177" t="s">
        <v>805</v>
      </c>
      <c r="N177" t="s">
        <v>805</v>
      </c>
      <c r="O177" t="s">
        <v>805</v>
      </c>
      <c r="P177" t="s">
        <v>805</v>
      </c>
      <c r="Q177" t="s">
        <v>805</v>
      </c>
      <c r="R177" t="s">
        <v>805</v>
      </c>
      <c r="S177" t="s">
        <v>805</v>
      </c>
      <c r="T177" t="s">
        <v>805</v>
      </c>
      <c r="U177" t="s">
        <v>805</v>
      </c>
      <c r="V177" t="s">
        <v>805</v>
      </c>
      <c r="W177" t="s">
        <v>805</v>
      </c>
      <c r="X177" t="s">
        <v>805</v>
      </c>
      <c r="Y177" t="s">
        <v>805</v>
      </c>
      <c r="Z177" t="s">
        <v>805</v>
      </c>
      <c r="AA177" t="s">
        <v>805</v>
      </c>
      <c r="AB177" t="s">
        <v>805</v>
      </c>
      <c r="AC177" t="s">
        <v>805</v>
      </c>
      <c r="AD177" t="s">
        <v>805</v>
      </c>
      <c r="AE177" t="s">
        <v>805</v>
      </c>
      <c r="AF177" t="s">
        <v>805</v>
      </c>
      <c r="AG177" t="s">
        <v>805</v>
      </c>
      <c r="AH177" t="s">
        <v>805</v>
      </c>
      <c r="AI177" t="s">
        <v>805</v>
      </c>
      <c r="AJ177" t="s">
        <v>805</v>
      </c>
      <c r="AK177" t="s">
        <v>805</v>
      </c>
      <c r="AL177" t="s">
        <v>805</v>
      </c>
      <c r="AM177" t="s">
        <v>805</v>
      </c>
      <c r="AN177" t="s">
        <v>805</v>
      </c>
      <c r="AO177" t="s">
        <v>805</v>
      </c>
      <c r="AP177" t="s">
        <v>805</v>
      </c>
      <c r="AQ177" t="s">
        <v>805</v>
      </c>
      <c r="AR177" t="s">
        <v>805</v>
      </c>
      <c r="AS177" t="s">
        <v>805</v>
      </c>
      <c r="AT177" t="s">
        <v>805</v>
      </c>
      <c r="AU177" t="s">
        <v>805</v>
      </c>
      <c r="AV177" t="s">
        <v>805</v>
      </c>
      <c r="AW177" t="s">
        <v>805</v>
      </c>
      <c r="AX177" t="s">
        <v>805</v>
      </c>
      <c r="AY177" t="s">
        <v>805</v>
      </c>
      <c r="AZ177" t="s">
        <v>805</v>
      </c>
      <c r="BA177" t="s">
        <v>805</v>
      </c>
      <c r="BB177" t="s">
        <v>805</v>
      </c>
      <c r="BC177" t="s">
        <v>805</v>
      </c>
      <c r="BD177" t="s">
        <v>805</v>
      </c>
      <c r="BE177" t="s">
        <v>805</v>
      </c>
      <c r="BF177" t="s">
        <v>805</v>
      </c>
      <c r="BG177" t="s">
        <v>805</v>
      </c>
      <c r="BH177" t="s">
        <v>805</v>
      </c>
      <c r="BI177" t="s">
        <v>805</v>
      </c>
      <c r="BJ177" t="s">
        <v>805</v>
      </c>
      <c r="BK177" t="s">
        <v>805</v>
      </c>
      <c r="BL177" t="s">
        <v>805</v>
      </c>
      <c r="BM177" t="s">
        <v>805</v>
      </c>
      <c r="BN177" t="s">
        <v>805</v>
      </c>
      <c r="BO177" t="s">
        <v>805</v>
      </c>
      <c r="BP177" t="s">
        <v>805</v>
      </c>
      <c r="BQ177" t="s">
        <v>805</v>
      </c>
      <c r="BR177" t="s">
        <v>805</v>
      </c>
      <c r="BS177" t="s">
        <v>805</v>
      </c>
      <c r="BT177" t="s">
        <v>805</v>
      </c>
      <c r="BU177" t="s">
        <v>805</v>
      </c>
      <c r="BV177" t="s">
        <v>805</v>
      </c>
      <c r="BW177" t="s">
        <v>805</v>
      </c>
      <c r="BX177" t="s">
        <v>805</v>
      </c>
      <c r="BY177" t="s">
        <v>805</v>
      </c>
      <c r="BZ177" t="s">
        <v>805</v>
      </c>
      <c r="CA177" t="s">
        <v>805</v>
      </c>
      <c r="CB177" t="s">
        <v>805</v>
      </c>
      <c r="CC177" t="s">
        <v>805</v>
      </c>
      <c r="CD177" t="s">
        <v>805</v>
      </c>
      <c r="CE177" t="s">
        <v>805</v>
      </c>
      <c r="CF177" t="s">
        <v>805</v>
      </c>
      <c r="CG177" t="s">
        <v>805</v>
      </c>
      <c r="CH177" t="s">
        <v>805</v>
      </c>
      <c r="CI177" t="s">
        <v>805</v>
      </c>
      <c r="CJ177" t="s">
        <v>805</v>
      </c>
      <c r="CK177" t="s">
        <v>805</v>
      </c>
      <c r="CL177" t="s">
        <v>805</v>
      </c>
      <c r="CM177" t="s">
        <v>805</v>
      </c>
      <c r="CN177" t="s">
        <v>805</v>
      </c>
      <c r="CO177" t="s">
        <v>805</v>
      </c>
      <c r="CP177" t="s">
        <v>805</v>
      </c>
      <c r="CQ177" t="s">
        <v>805</v>
      </c>
      <c r="CR177" t="s">
        <v>805</v>
      </c>
      <c r="CS177" t="s">
        <v>805</v>
      </c>
      <c r="CT177" t="s">
        <v>805</v>
      </c>
      <c r="CU177" t="s">
        <v>805</v>
      </c>
      <c r="CV177" t="s">
        <v>805</v>
      </c>
      <c r="CW177" t="s">
        <v>805</v>
      </c>
      <c r="CX177" t="s">
        <v>805</v>
      </c>
      <c r="CY177" t="s">
        <v>805</v>
      </c>
      <c r="CZ177" t="s">
        <v>805</v>
      </c>
      <c r="DA177" t="s">
        <v>805</v>
      </c>
      <c r="DB177" t="s">
        <v>805</v>
      </c>
      <c r="DC177" t="s">
        <v>805</v>
      </c>
      <c r="DD177" t="s">
        <v>805</v>
      </c>
      <c r="DE177" t="s">
        <v>805</v>
      </c>
      <c r="DF177" t="s">
        <v>805</v>
      </c>
      <c r="DG177" s="28">
        <f>VLOOKUP(E177,'KPI Count-SHARE'!A:F,3,0)</f>
        <v>0</v>
      </c>
      <c r="DH177" t="s">
        <v>805</v>
      </c>
      <c r="DI177" t="s">
        <v>805</v>
      </c>
      <c r="DJ177" t="s">
        <v>805</v>
      </c>
      <c r="DK177" t="s">
        <v>805</v>
      </c>
      <c r="DL177" t="s">
        <v>805</v>
      </c>
      <c r="DM177" t="s">
        <v>805</v>
      </c>
      <c r="DN177" s="28">
        <f>VLOOKUP(E177,'KPI Count-SHARE'!A:F,4,0)</f>
        <v>0</v>
      </c>
      <c r="DU177" s="28">
        <f>VLOOKUP(E177,'KPI Count-SHARE'!A:F,5,0)</f>
        <v>0</v>
      </c>
      <c r="EB177" s="28">
        <f>VLOOKUP(E177,'KPI Count-SHARE'!A:F,6,0)</f>
        <v>0</v>
      </c>
      <c r="EI177" t="str">
        <f t="shared" si="1684"/>
        <v>USD '000 per FTE</v>
      </c>
      <c r="EJ177" s="237" t="str">
        <f t="shared" si="1810"/>
        <v>-</v>
      </c>
      <c r="EK177" s="237" t="str">
        <f t="shared" si="1811"/>
        <v>-</v>
      </c>
      <c r="EL177" s="237" t="str">
        <f t="shared" si="1812"/>
        <v>-</v>
      </c>
      <c r="EM177" s="237" t="str">
        <f t="shared" si="1813"/>
        <v>-</v>
      </c>
      <c r="EN177" s="237" t="str">
        <f t="shared" si="1814"/>
        <v>-</v>
      </c>
      <c r="EO177" s="237" t="str">
        <f t="shared" si="1815"/>
        <v>-</v>
      </c>
      <c r="EP177" s="237" t="str">
        <f t="shared" si="1816"/>
        <v>-</v>
      </c>
      <c r="EQ177" s="237" t="str">
        <f t="shared" si="1817"/>
        <v>-</v>
      </c>
      <c r="ER177" s="237" t="str">
        <f t="shared" si="1818"/>
        <v>-</v>
      </c>
      <c r="ES177" s="237" t="str">
        <f t="shared" si="1819"/>
        <v>-</v>
      </c>
      <c r="ET177" s="237" t="str">
        <f t="shared" si="1820"/>
        <v>-</v>
      </c>
      <c r="EU177" s="237" t="str">
        <f t="shared" si="1821"/>
        <v>-</v>
      </c>
      <c r="EV177" s="237" t="str">
        <f t="shared" si="1822"/>
        <v>-</v>
      </c>
      <c r="EW177" s="237" t="str">
        <f t="shared" si="1823"/>
        <v>-</v>
      </c>
      <c r="EX177" s="237" t="str">
        <f t="shared" si="1824"/>
        <v>-</v>
      </c>
      <c r="EY177" s="237" t="str">
        <f t="shared" si="1825"/>
        <v>-</v>
      </c>
      <c r="EZ177" s="237" t="str">
        <f t="shared" si="1826"/>
        <v>-</v>
      </c>
      <c r="FA177" s="237" t="str">
        <f t="shared" si="1827"/>
        <v>-</v>
      </c>
      <c r="FB177" s="237" t="str">
        <f t="shared" si="1828"/>
        <v>-</v>
      </c>
      <c r="FC177" s="237" t="str">
        <f t="shared" si="1829"/>
        <v>-</v>
      </c>
      <c r="FD177" s="237" t="str">
        <f t="shared" si="1830"/>
        <v>-</v>
      </c>
      <c r="FE177" s="237" t="str">
        <f t="shared" si="1831"/>
        <v>-</v>
      </c>
      <c r="FF177" s="237" t="str">
        <f t="shared" si="1832"/>
        <v>-</v>
      </c>
      <c r="FG177" s="237" t="str">
        <f t="shared" si="1833"/>
        <v>-</v>
      </c>
      <c r="FH177" s="237" t="str">
        <f t="shared" si="1834"/>
        <v>-</v>
      </c>
      <c r="FI177" s="237" t="str">
        <f t="shared" si="1835"/>
        <v>-</v>
      </c>
      <c r="FJ177" s="237" t="str">
        <f t="shared" si="1836"/>
        <v>-</v>
      </c>
      <c r="FK177" s="237" t="str">
        <f t="shared" si="1837"/>
        <v>-</v>
      </c>
      <c r="FL177" s="237" t="str">
        <f t="shared" si="1838"/>
        <v>-</v>
      </c>
      <c r="FM177" s="237" t="str">
        <f t="shared" si="1839"/>
        <v>-</v>
      </c>
      <c r="FN177" s="237" t="str">
        <f t="shared" si="1840"/>
        <v>-</v>
      </c>
      <c r="FO177" s="237" t="str">
        <f t="shared" si="1841"/>
        <v>-</v>
      </c>
      <c r="FP177" s="237" t="str">
        <f t="shared" si="1842"/>
        <v>-</v>
      </c>
      <c r="FQ177" s="237" t="str">
        <f t="shared" si="1843"/>
        <v>-</v>
      </c>
      <c r="FR177" s="237" t="str">
        <f t="shared" si="1844"/>
        <v>-</v>
      </c>
      <c r="FS177" s="237" t="str">
        <f t="shared" si="1845"/>
        <v>-</v>
      </c>
      <c r="FT177" s="237" t="str">
        <f t="shared" si="1846"/>
        <v>-</v>
      </c>
      <c r="FU177" s="237" t="str">
        <f t="shared" si="1847"/>
        <v>-</v>
      </c>
      <c r="FV177" s="237" t="str">
        <f t="shared" si="1848"/>
        <v>-</v>
      </c>
      <c r="FW177" s="237" t="str">
        <f t="shared" si="1849"/>
        <v>-</v>
      </c>
      <c r="FX177" s="237" t="str">
        <f t="shared" si="1850"/>
        <v>-</v>
      </c>
      <c r="FY177" s="237" t="str">
        <f t="shared" si="1851"/>
        <v>-</v>
      </c>
      <c r="FZ177" s="237" t="str">
        <f t="shared" si="1852"/>
        <v>-</v>
      </c>
      <c r="GA177" s="237" t="str">
        <f t="shared" si="1853"/>
        <v>-</v>
      </c>
      <c r="GB177" s="237" t="str">
        <f t="shared" si="1854"/>
        <v>-</v>
      </c>
      <c r="GC177" s="237" t="str">
        <f t="shared" si="1855"/>
        <v>-</v>
      </c>
      <c r="GD177" s="237" t="str">
        <f t="shared" si="1856"/>
        <v>-</v>
      </c>
      <c r="GE177" s="237" t="str">
        <f t="shared" si="1857"/>
        <v>-</v>
      </c>
      <c r="GF177" s="237" t="str">
        <f t="shared" si="1858"/>
        <v>-</v>
      </c>
      <c r="GG177" s="237" t="str">
        <f t="shared" si="1859"/>
        <v>-</v>
      </c>
      <c r="GH177" s="237" t="str">
        <f t="shared" si="1860"/>
        <v>-</v>
      </c>
      <c r="GI177" s="237" t="str">
        <f t="shared" si="1861"/>
        <v>-</v>
      </c>
      <c r="GJ177" s="237" t="str">
        <f t="shared" si="1862"/>
        <v>-</v>
      </c>
      <c r="GK177" s="237" t="str">
        <f t="shared" si="1863"/>
        <v>-</v>
      </c>
      <c r="GL177" s="237" t="str">
        <f t="shared" si="1864"/>
        <v>-</v>
      </c>
      <c r="GM177" s="237" t="str">
        <f t="shared" si="1865"/>
        <v>-</v>
      </c>
      <c r="GN177" s="237" t="str">
        <f t="shared" si="1866"/>
        <v>-</v>
      </c>
      <c r="GO177" s="237" t="str">
        <f t="shared" si="1867"/>
        <v>-</v>
      </c>
      <c r="GP177" s="237" t="str">
        <f t="shared" si="1868"/>
        <v>-</v>
      </c>
      <c r="GQ177" s="237" t="str">
        <f t="shared" si="1869"/>
        <v>-</v>
      </c>
      <c r="GR177" s="237" t="str">
        <f t="shared" si="1870"/>
        <v>-</v>
      </c>
      <c r="GS177" s="237" t="str">
        <f t="shared" si="1871"/>
        <v>-</v>
      </c>
      <c r="GT177" s="237" t="str">
        <f t="shared" si="1872"/>
        <v>-</v>
      </c>
      <c r="GU177" s="237" t="str">
        <f t="shared" si="1873"/>
        <v>-</v>
      </c>
      <c r="GV177" s="237" t="str">
        <f t="shared" si="1874"/>
        <v>-</v>
      </c>
      <c r="GW177" s="237" t="str">
        <f t="shared" si="1875"/>
        <v>-</v>
      </c>
      <c r="GX177" s="237" t="str">
        <f t="shared" si="1876"/>
        <v>-</v>
      </c>
      <c r="GY177" s="237" t="str">
        <f t="shared" si="1877"/>
        <v>-</v>
      </c>
      <c r="GZ177" s="237" t="str">
        <f t="shared" si="1878"/>
        <v>-</v>
      </c>
      <c r="HA177" s="237" t="str">
        <f t="shared" si="1879"/>
        <v>-</v>
      </c>
      <c r="HB177" s="237" t="str">
        <f t="shared" si="1880"/>
        <v>-</v>
      </c>
      <c r="HC177" s="237" t="str">
        <f t="shared" si="1881"/>
        <v>-</v>
      </c>
      <c r="HD177" s="237" t="str">
        <f t="shared" si="1882"/>
        <v>-</v>
      </c>
      <c r="HE177" s="237" t="str">
        <f t="shared" si="1883"/>
        <v>-</v>
      </c>
      <c r="HF177" s="237" t="str">
        <f t="shared" si="1884"/>
        <v>-</v>
      </c>
      <c r="HG177" s="237" t="str">
        <f t="shared" si="1885"/>
        <v>-</v>
      </c>
      <c r="HH177" s="237" t="str">
        <f t="shared" si="1886"/>
        <v>-</v>
      </c>
      <c r="HI177" s="237" t="str">
        <f t="shared" si="1887"/>
        <v>-</v>
      </c>
      <c r="HJ177" s="237" t="str">
        <f t="shared" si="1888"/>
        <v>-</v>
      </c>
      <c r="HK177" s="237" t="str">
        <f t="shared" si="1889"/>
        <v>-</v>
      </c>
      <c r="HL177" s="237" t="str">
        <f t="shared" si="1890"/>
        <v>-</v>
      </c>
      <c r="HM177" s="237" t="str">
        <f t="shared" si="1891"/>
        <v>-</v>
      </c>
      <c r="HN177" s="237" t="str">
        <f t="shared" si="1892"/>
        <v>-</v>
      </c>
      <c r="HO177" s="237" t="str">
        <f t="shared" si="1893"/>
        <v>-</v>
      </c>
      <c r="HP177" s="237" t="str">
        <f t="shared" si="1894"/>
        <v>-</v>
      </c>
      <c r="HQ177" s="237" t="str">
        <f t="shared" si="1895"/>
        <v>-</v>
      </c>
      <c r="HR177" s="237" t="str">
        <f t="shared" si="1896"/>
        <v>-</v>
      </c>
      <c r="HS177" s="237" t="str">
        <f t="shared" si="1897"/>
        <v>-</v>
      </c>
      <c r="HT177" s="237" t="str">
        <f t="shared" si="1898"/>
        <v>-</v>
      </c>
      <c r="HU177" s="237" t="str">
        <f t="shared" si="1899"/>
        <v>-</v>
      </c>
      <c r="HV177" s="237" t="str">
        <f t="shared" si="1900"/>
        <v>-</v>
      </c>
      <c r="HW177" s="237" t="str">
        <f t="shared" si="1901"/>
        <v>-</v>
      </c>
      <c r="HX177" s="237" t="str">
        <f t="shared" si="1902"/>
        <v>-</v>
      </c>
      <c r="HY177" s="237" t="str">
        <f t="shared" si="1903"/>
        <v>-</v>
      </c>
      <c r="HZ177" s="237" t="str">
        <f t="shared" si="1904"/>
        <v>-</v>
      </c>
      <c r="IA177" s="237" t="str">
        <f t="shared" si="1905"/>
        <v>-</v>
      </c>
      <c r="IB177" s="237" t="str">
        <f t="shared" si="1906"/>
        <v>-</v>
      </c>
      <c r="IC177" s="237" t="str">
        <f t="shared" si="1907"/>
        <v>-</v>
      </c>
      <c r="ID177" s="237" t="str">
        <f t="shared" si="1908"/>
        <v>-</v>
      </c>
      <c r="IE177" s="237" t="str">
        <f t="shared" si="1909"/>
        <v>-</v>
      </c>
      <c r="IF177" s="237" t="str">
        <f t="shared" si="1910"/>
        <v>-</v>
      </c>
      <c r="IG177" s="312" t="str">
        <f t="shared" si="1911"/>
        <v>-</v>
      </c>
      <c r="IH177" s="99" t="str">
        <f t="shared" si="1787"/>
        <v>-</v>
      </c>
      <c r="II177" s="99" t="str">
        <f t="shared" si="1788"/>
        <v>-</v>
      </c>
      <c r="IJ177" s="99" t="str">
        <f t="shared" si="1789"/>
        <v>-</v>
      </c>
      <c r="IK177" s="99" t="str">
        <f t="shared" si="1790"/>
        <v>-</v>
      </c>
      <c r="IL177" s="99" t="str">
        <f t="shared" si="1791"/>
        <v>-</v>
      </c>
      <c r="IM177" s="312" t="str">
        <f t="shared" si="1912"/>
        <v/>
      </c>
      <c r="IN177" s="99" t="str">
        <f t="shared" si="1793"/>
        <v/>
      </c>
      <c r="IO177" s="99" t="str">
        <f t="shared" si="1794"/>
        <v/>
      </c>
      <c r="IP177" s="99" t="str">
        <f t="shared" si="1795"/>
        <v/>
      </c>
      <c r="IQ177" s="99" t="str">
        <f t="shared" si="1796"/>
        <v/>
      </c>
      <c r="IR177" s="99" t="str">
        <f t="shared" si="1797"/>
        <v/>
      </c>
      <c r="IS177" s="312" t="str">
        <f t="shared" si="1913"/>
        <v/>
      </c>
      <c r="IT177" s="99" t="str">
        <f t="shared" si="1799"/>
        <v/>
      </c>
      <c r="IU177" s="99" t="str">
        <f t="shared" si="1800"/>
        <v/>
      </c>
      <c r="IV177" s="99" t="str">
        <f t="shared" si="1801"/>
        <v/>
      </c>
      <c r="IW177" s="99" t="str">
        <f t="shared" si="1802"/>
        <v/>
      </c>
      <c r="IX177" s="99" t="str">
        <f t="shared" si="1803"/>
        <v/>
      </c>
      <c r="IY177" s="312" t="str">
        <f t="shared" si="1914"/>
        <v/>
      </c>
      <c r="IZ177" s="99" t="str">
        <f t="shared" si="1805"/>
        <v/>
      </c>
      <c r="JA177" s="99" t="str">
        <f t="shared" si="1806"/>
        <v/>
      </c>
      <c r="JB177" s="99" t="str">
        <f t="shared" si="1807"/>
        <v/>
      </c>
      <c r="JC177" s="99" t="str">
        <f t="shared" si="1808"/>
        <v/>
      </c>
      <c r="JD177" s="313" t="str">
        <f t="shared" si="1809"/>
        <v/>
      </c>
      <c r="JF177" s="66">
        <f t="shared" si="1424"/>
        <v>177</v>
      </c>
      <c r="JG177" s="66">
        <f t="shared" ca="1" si="1425"/>
        <v>0</v>
      </c>
      <c r="JH177" s="66">
        <f t="shared" ca="1" si="1426"/>
        <v>0</v>
      </c>
      <c r="JI177" s="66">
        <f t="shared" ca="1" si="1427"/>
        <v>0</v>
      </c>
      <c r="JJ177" s="66">
        <f t="shared" ca="1" si="1428"/>
        <v>0</v>
      </c>
      <c r="JK177" s="33"/>
      <c r="JL177" s="74" t="str">
        <f t="shared" ca="1" si="1429"/>
        <v>-</v>
      </c>
      <c r="JM177" s="75">
        <f t="shared" ca="1" si="1430"/>
        <v>0</v>
      </c>
      <c r="JN177" s="75">
        <f t="shared" ca="1" si="1431"/>
        <v>0</v>
      </c>
      <c r="JO177" s="74" t="str">
        <f t="shared" ca="1" si="1432"/>
        <v>-</v>
      </c>
      <c r="JP177" s="74">
        <f t="shared" ca="1" si="1433"/>
        <v>0</v>
      </c>
    </row>
    <row r="178" spans="1:276" hidden="1" outlineLevel="1" x14ac:dyDescent="0.35">
      <c r="A178" s="125" t="s">
        <v>805</v>
      </c>
      <c r="B178" s="125" t="s">
        <v>805</v>
      </c>
      <c r="C178" s="125" t="s">
        <v>805</v>
      </c>
      <c r="E178" s="142" t="s">
        <v>893</v>
      </c>
      <c r="F178" s="254" t="s">
        <v>777</v>
      </c>
      <c r="G178" t="s">
        <v>540</v>
      </c>
      <c r="H178" t="s">
        <v>535</v>
      </c>
      <c r="I178" t="s">
        <v>536</v>
      </c>
      <c r="J178" s="211" t="s">
        <v>805</v>
      </c>
      <c r="K178" t="s">
        <v>805</v>
      </c>
      <c r="L178" t="s">
        <v>805</v>
      </c>
      <c r="M178" t="s">
        <v>805</v>
      </c>
      <c r="N178" t="s">
        <v>805</v>
      </c>
      <c r="O178" t="s">
        <v>805</v>
      </c>
      <c r="P178" t="s">
        <v>805</v>
      </c>
      <c r="Q178" t="s">
        <v>805</v>
      </c>
      <c r="R178" t="s">
        <v>805</v>
      </c>
      <c r="S178" t="s">
        <v>805</v>
      </c>
      <c r="T178" t="s">
        <v>805</v>
      </c>
      <c r="U178" t="s">
        <v>805</v>
      </c>
      <c r="V178" t="s">
        <v>805</v>
      </c>
      <c r="W178" t="s">
        <v>805</v>
      </c>
      <c r="X178" t="s">
        <v>805</v>
      </c>
      <c r="Y178" t="s">
        <v>805</v>
      </c>
      <c r="Z178" t="s">
        <v>805</v>
      </c>
      <c r="AA178" t="s">
        <v>805</v>
      </c>
      <c r="AB178" t="s">
        <v>805</v>
      </c>
      <c r="AC178" t="s">
        <v>805</v>
      </c>
      <c r="AD178" t="s">
        <v>805</v>
      </c>
      <c r="AE178" t="s">
        <v>805</v>
      </c>
      <c r="AF178" t="s">
        <v>805</v>
      </c>
      <c r="AG178" t="s">
        <v>805</v>
      </c>
      <c r="AH178" t="s">
        <v>805</v>
      </c>
      <c r="AI178" t="s">
        <v>805</v>
      </c>
      <c r="AJ178" t="s">
        <v>805</v>
      </c>
      <c r="AK178" t="s">
        <v>805</v>
      </c>
      <c r="AL178" t="s">
        <v>805</v>
      </c>
      <c r="AM178" t="s">
        <v>805</v>
      </c>
      <c r="AN178" t="s">
        <v>805</v>
      </c>
      <c r="AO178" t="s">
        <v>805</v>
      </c>
      <c r="AP178" t="s">
        <v>805</v>
      </c>
      <c r="AQ178" t="s">
        <v>805</v>
      </c>
      <c r="AR178" t="s">
        <v>805</v>
      </c>
      <c r="AS178" t="s">
        <v>805</v>
      </c>
      <c r="AT178" t="s">
        <v>805</v>
      </c>
      <c r="AU178" t="s">
        <v>805</v>
      </c>
      <c r="AV178" t="s">
        <v>805</v>
      </c>
      <c r="AW178" t="s">
        <v>805</v>
      </c>
      <c r="AX178" t="s">
        <v>805</v>
      </c>
      <c r="AY178" t="s">
        <v>805</v>
      </c>
      <c r="AZ178" t="s">
        <v>805</v>
      </c>
      <c r="BA178" t="s">
        <v>805</v>
      </c>
      <c r="BB178" t="s">
        <v>805</v>
      </c>
      <c r="BC178" t="s">
        <v>805</v>
      </c>
      <c r="BD178" t="s">
        <v>805</v>
      </c>
      <c r="BE178" t="s">
        <v>805</v>
      </c>
      <c r="BF178" t="s">
        <v>805</v>
      </c>
      <c r="BG178" t="s">
        <v>805</v>
      </c>
      <c r="BH178" t="s">
        <v>805</v>
      </c>
      <c r="BI178" t="s">
        <v>805</v>
      </c>
      <c r="BJ178" t="s">
        <v>805</v>
      </c>
      <c r="BK178" t="s">
        <v>805</v>
      </c>
      <c r="BL178" t="s">
        <v>805</v>
      </c>
      <c r="BM178" t="s">
        <v>805</v>
      </c>
      <c r="BN178" t="s">
        <v>805</v>
      </c>
      <c r="BO178" t="s">
        <v>805</v>
      </c>
      <c r="BP178" t="s">
        <v>805</v>
      </c>
      <c r="BQ178" t="s">
        <v>805</v>
      </c>
      <c r="BR178" t="s">
        <v>805</v>
      </c>
      <c r="BS178" t="s">
        <v>805</v>
      </c>
      <c r="BT178" t="s">
        <v>805</v>
      </c>
      <c r="BU178" t="s">
        <v>805</v>
      </c>
      <c r="BV178" t="s">
        <v>805</v>
      </c>
      <c r="BW178" t="s">
        <v>805</v>
      </c>
      <c r="BX178" t="s">
        <v>805</v>
      </c>
      <c r="BY178" t="s">
        <v>805</v>
      </c>
      <c r="BZ178" t="s">
        <v>805</v>
      </c>
      <c r="CA178" t="s">
        <v>805</v>
      </c>
      <c r="CB178" t="s">
        <v>805</v>
      </c>
      <c r="CC178" t="s">
        <v>805</v>
      </c>
      <c r="CD178" t="s">
        <v>805</v>
      </c>
      <c r="CE178" t="s">
        <v>805</v>
      </c>
      <c r="CF178" t="s">
        <v>805</v>
      </c>
      <c r="CG178" t="s">
        <v>805</v>
      </c>
      <c r="CH178" t="s">
        <v>805</v>
      </c>
      <c r="CI178" t="s">
        <v>805</v>
      </c>
      <c r="CJ178" t="s">
        <v>805</v>
      </c>
      <c r="CK178" t="s">
        <v>805</v>
      </c>
      <c r="CL178" t="s">
        <v>805</v>
      </c>
      <c r="CM178" t="s">
        <v>805</v>
      </c>
      <c r="CN178" t="s">
        <v>805</v>
      </c>
      <c r="CO178" t="s">
        <v>805</v>
      </c>
      <c r="CP178" t="s">
        <v>805</v>
      </c>
      <c r="CQ178" t="s">
        <v>805</v>
      </c>
      <c r="CR178" t="s">
        <v>805</v>
      </c>
      <c r="CS178" t="s">
        <v>805</v>
      </c>
      <c r="CT178" t="s">
        <v>805</v>
      </c>
      <c r="CU178" t="s">
        <v>805</v>
      </c>
      <c r="CV178" t="s">
        <v>805</v>
      </c>
      <c r="CW178" t="s">
        <v>805</v>
      </c>
      <c r="CX178" t="s">
        <v>805</v>
      </c>
      <c r="CY178" t="s">
        <v>805</v>
      </c>
      <c r="CZ178" t="s">
        <v>805</v>
      </c>
      <c r="DA178" t="s">
        <v>805</v>
      </c>
      <c r="DB178" t="s">
        <v>805</v>
      </c>
      <c r="DC178" t="s">
        <v>805</v>
      </c>
      <c r="DD178" t="s">
        <v>805</v>
      </c>
      <c r="DE178" t="s">
        <v>805</v>
      </c>
      <c r="DF178" t="s">
        <v>805</v>
      </c>
      <c r="DG178" s="28">
        <f>VLOOKUP(E178,'KPI Count-SHARE'!A:F,3,0)</f>
        <v>0</v>
      </c>
      <c r="DH178" t="s">
        <v>805</v>
      </c>
      <c r="DI178" t="s">
        <v>805</v>
      </c>
      <c r="DJ178" t="s">
        <v>805</v>
      </c>
      <c r="DK178" t="s">
        <v>805</v>
      </c>
      <c r="DL178" t="s">
        <v>805</v>
      </c>
      <c r="DM178" t="s">
        <v>805</v>
      </c>
      <c r="DN178" s="28">
        <f>VLOOKUP(E178,'KPI Count-SHARE'!A:F,4,0)</f>
        <v>0</v>
      </c>
      <c r="DU178" s="28">
        <f>VLOOKUP(E178,'KPI Count-SHARE'!A:F,5,0)</f>
        <v>0</v>
      </c>
      <c r="EB178" s="28">
        <f>VLOOKUP(E178,'KPI Count-SHARE'!A:F,6,0)</f>
        <v>0</v>
      </c>
      <c r="EI178" t="str">
        <f t="shared" si="1684"/>
        <v>USD '000 per FTE</v>
      </c>
      <c r="EJ178" s="237" t="str">
        <f t="shared" si="1810"/>
        <v>-</v>
      </c>
      <c r="EK178" s="237" t="str">
        <f t="shared" si="1811"/>
        <v>-</v>
      </c>
      <c r="EL178" s="237" t="str">
        <f t="shared" si="1812"/>
        <v>-</v>
      </c>
      <c r="EM178" s="237" t="str">
        <f t="shared" si="1813"/>
        <v>-</v>
      </c>
      <c r="EN178" s="237" t="str">
        <f t="shared" si="1814"/>
        <v>-</v>
      </c>
      <c r="EO178" s="237" t="str">
        <f t="shared" si="1815"/>
        <v>-</v>
      </c>
      <c r="EP178" s="237" t="str">
        <f t="shared" si="1816"/>
        <v>-</v>
      </c>
      <c r="EQ178" s="237" t="str">
        <f t="shared" si="1817"/>
        <v>-</v>
      </c>
      <c r="ER178" s="237" t="str">
        <f t="shared" si="1818"/>
        <v>-</v>
      </c>
      <c r="ES178" s="237" t="str">
        <f t="shared" si="1819"/>
        <v>-</v>
      </c>
      <c r="ET178" s="237" t="str">
        <f t="shared" si="1820"/>
        <v>-</v>
      </c>
      <c r="EU178" s="237" t="str">
        <f t="shared" si="1821"/>
        <v>-</v>
      </c>
      <c r="EV178" s="237" t="str">
        <f t="shared" si="1822"/>
        <v>-</v>
      </c>
      <c r="EW178" s="237" t="str">
        <f t="shared" si="1823"/>
        <v>-</v>
      </c>
      <c r="EX178" s="237" t="str">
        <f t="shared" si="1824"/>
        <v>-</v>
      </c>
      <c r="EY178" s="237" t="str">
        <f t="shared" si="1825"/>
        <v>-</v>
      </c>
      <c r="EZ178" s="237" t="str">
        <f t="shared" si="1826"/>
        <v>-</v>
      </c>
      <c r="FA178" s="237" t="str">
        <f t="shared" si="1827"/>
        <v>-</v>
      </c>
      <c r="FB178" s="237" t="str">
        <f t="shared" si="1828"/>
        <v>-</v>
      </c>
      <c r="FC178" s="237" t="str">
        <f t="shared" si="1829"/>
        <v>-</v>
      </c>
      <c r="FD178" s="237" t="str">
        <f t="shared" si="1830"/>
        <v>-</v>
      </c>
      <c r="FE178" s="237" t="str">
        <f t="shared" si="1831"/>
        <v>-</v>
      </c>
      <c r="FF178" s="237" t="str">
        <f t="shared" si="1832"/>
        <v>-</v>
      </c>
      <c r="FG178" s="237" t="str">
        <f t="shared" si="1833"/>
        <v>-</v>
      </c>
      <c r="FH178" s="237" t="str">
        <f t="shared" si="1834"/>
        <v>-</v>
      </c>
      <c r="FI178" s="237" t="str">
        <f t="shared" si="1835"/>
        <v>-</v>
      </c>
      <c r="FJ178" s="237" t="str">
        <f t="shared" si="1836"/>
        <v>-</v>
      </c>
      <c r="FK178" s="237" t="str">
        <f t="shared" si="1837"/>
        <v>-</v>
      </c>
      <c r="FL178" s="237" t="str">
        <f t="shared" si="1838"/>
        <v>-</v>
      </c>
      <c r="FM178" s="237" t="str">
        <f t="shared" si="1839"/>
        <v>-</v>
      </c>
      <c r="FN178" s="237" t="str">
        <f t="shared" si="1840"/>
        <v>-</v>
      </c>
      <c r="FO178" s="237" t="str">
        <f t="shared" si="1841"/>
        <v>-</v>
      </c>
      <c r="FP178" s="237" t="str">
        <f t="shared" si="1842"/>
        <v>-</v>
      </c>
      <c r="FQ178" s="237" t="str">
        <f t="shared" si="1843"/>
        <v>-</v>
      </c>
      <c r="FR178" s="237" t="str">
        <f t="shared" si="1844"/>
        <v>-</v>
      </c>
      <c r="FS178" s="237" t="str">
        <f t="shared" si="1845"/>
        <v>-</v>
      </c>
      <c r="FT178" s="237" t="str">
        <f t="shared" si="1846"/>
        <v>-</v>
      </c>
      <c r="FU178" s="237" t="str">
        <f t="shared" si="1847"/>
        <v>-</v>
      </c>
      <c r="FV178" s="237" t="str">
        <f t="shared" si="1848"/>
        <v>-</v>
      </c>
      <c r="FW178" s="237" t="str">
        <f t="shared" si="1849"/>
        <v>-</v>
      </c>
      <c r="FX178" s="237" t="str">
        <f t="shared" si="1850"/>
        <v>-</v>
      </c>
      <c r="FY178" s="237" t="str">
        <f t="shared" si="1851"/>
        <v>-</v>
      </c>
      <c r="FZ178" s="237" t="str">
        <f t="shared" si="1852"/>
        <v>-</v>
      </c>
      <c r="GA178" s="237" t="str">
        <f t="shared" si="1853"/>
        <v>-</v>
      </c>
      <c r="GB178" s="237" t="str">
        <f t="shared" si="1854"/>
        <v>-</v>
      </c>
      <c r="GC178" s="237" t="str">
        <f t="shared" si="1855"/>
        <v>-</v>
      </c>
      <c r="GD178" s="237" t="str">
        <f t="shared" si="1856"/>
        <v>-</v>
      </c>
      <c r="GE178" s="237" t="str">
        <f t="shared" si="1857"/>
        <v>-</v>
      </c>
      <c r="GF178" s="237" t="str">
        <f t="shared" si="1858"/>
        <v>-</v>
      </c>
      <c r="GG178" s="237" t="str">
        <f t="shared" si="1859"/>
        <v>-</v>
      </c>
      <c r="GH178" s="237" t="str">
        <f t="shared" si="1860"/>
        <v>-</v>
      </c>
      <c r="GI178" s="237" t="str">
        <f t="shared" si="1861"/>
        <v>-</v>
      </c>
      <c r="GJ178" s="237" t="str">
        <f t="shared" si="1862"/>
        <v>-</v>
      </c>
      <c r="GK178" s="237" t="str">
        <f t="shared" si="1863"/>
        <v>-</v>
      </c>
      <c r="GL178" s="237" t="str">
        <f t="shared" si="1864"/>
        <v>-</v>
      </c>
      <c r="GM178" s="237" t="str">
        <f t="shared" si="1865"/>
        <v>-</v>
      </c>
      <c r="GN178" s="237" t="str">
        <f t="shared" si="1866"/>
        <v>-</v>
      </c>
      <c r="GO178" s="237" t="str">
        <f t="shared" si="1867"/>
        <v>-</v>
      </c>
      <c r="GP178" s="237" t="str">
        <f t="shared" si="1868"/>
        <v>-</v>
      </c>
      <c r="GQ178" s="237" t="str">
        <f t="shared" si="1869"/>
        <v>-</v>
      </c>
      <c r="GR178" s="237" t="str">
        <f t="shared" si="1870"/>
        <v>-</v>
      </c>
      <c r="GS178" s="237" t="str">
        <f t="shared" si="1871"/>
        <v>-</v>
      </c>
      <c r="GT178" s="237" t="str">
        <f t="shared" si="1872"/>
        <v>-</v>
      </c>
      <c r="GU178" s="237" t="str">
        <f t="shared" si="1873"/>
        <v>-</v>
      </c>
      <c r="GV178" s="237" t="str">
        <f t="shared" si="1874"/>
        <v>-</v>
      </c>
      <c r="GW178" s="237" t="str">
        <f t="shared" si="1875"/>
        <v>-</v>
      </c>
      <c r="GX178" s="237" t="str">
        <f t="shared" si="1876"/>
        <v>-</v>
      </c>
      <c r="GY178" s="237" t="str">
        <f t="shared" si="1877"/>
        <v>-</v>
      </c>
      <c r="GZ178" s="237" t="str">
        <f t="shared" si="1878"/>
        <v>-</v>
      </c>
      <c r="HA178" s="237" t="str">
        <f t="shared" si="1879"/>
        <v>-</v>
      </c>
      <c r="HB178" s="237" t="str">
        <f t="shared" si="1880"/>
        <v>-</v>
      </c>
      <c r="HC178" s="237" t="str">
        <f t="shared" si="1881"/>
        <v>-</v>
      </c>
      <c r="HD178" s="237" t="str">
        <f t="shared" si="1882"/>
        <v>-</v>
      </c>
      <c r="HE178" s="237" t="str">
        <f t="shared" si="1883"/>
        <v>-</v>
      </c>
      <c r="HF178" s="237" t="str">
        <f t="shared" si="1884"/>
        <v>-</v>
      </c>
      <c r="HG178" s="237" t="str">
        <f t="shared" si="1885"/>
        <v>-</v>
      </c>
      <c r="HH178" s="237" t="str">
        <f t="shared" si="1886"/>
        <v>-</v>
      </c>
      <c r="HI178" s="237" t="str">
        <f t="shared" si="1887"/>
        <v>-</v>
      </c>
      <c r="HJ178" s="237" t="str">
        <f t="shared" si="1888"/>
        <v>-</v>
      </c>
      <c r="HK178" s="237" t="str">
        <f t="shared" si="1889"/>
        <v>-</v>
      </c>
      <c r="HL178" s="237" t="str">
        <f t="shared" si="1890"/>
        <v>-</v>
      </c>
      <c r="HM178" s="237" t="str">
        <f t="shared" si="1891"/>
        <v>-</v>
      </c>
      <c r="HN178" s="237" t="str">
        <f t="shared" si="1892"/>
        <v>-</v>
      </c>
      <c r="HO178" s="237" t="str">
        <f t="shared" si="1893"/>
        <v>-</v>
      </c>
      <c r="HP178" s="237" t="str">
        <f t="shared" si="1894"/>
        <v>-</v>
      </c>
      <c r="HQ178" s="237" t="str">
        <f t="shared" si="1895"/>
        <v>-</v>
      </c>
      <c r="HR178" s="237" t="str">
        <f t="shared" si="1896"/>
        <v>-</v>
      </c>
      <c r="HS178" s="237" t="str">
        <f t="shared" si="1897"/>
        <v>-</v>
      </c>
      <c r="HT178" s="237" t="str">
        <f t="shared" si="1898"/>
        <v>-</v>
      </c>
      <c r="HU178" s="237" t="str">
        <f t="shared" si="1899"/>
        <v>-</v>
      </c>
      <c r="HV178" s="237" t="str">
        <f t="shared" si="1900"/>
        <v>-</v>
      </c>
      <c r="HW178" s="237" t="str">
        <f t="shared" si="1901"/>
        <v>-</v>
      </c>
      <c r="HX178" s="237" t="str">
        <f t="shared" si="1902"/>
        <v>-</v>
      </c>
      <c r="HY178" s="237" t="str">
        <f t="shared" si="1903"/>
        <v>-</v>
      </c>
      <c r="HZ178" s="237" t="str">
        <f t="shared" si="1904"/>
        <v>-</v>
      </c>
      <c r="IA178" s="237" t="str">
        <f t="shared" si="1905"/>
        <v>-</v>
      </c>
      <c r="IB178" s="237" t="str">
        <f t="shared" si="1906"/>
        <v>-</v>
      </c>
      <c r="IC178" s="237" t="str">
        <f t="shared" si="1907"/>
        <v>-</v>
      </c>
      <c r="ID178" s="237" t="str">
        <f t="shared" si="1908"/>
        <v>-</v>
      </c>
      <c r="IE178" s="237" t="str">
        <f t="shared" si="1909"/>
        <v>-</v>
      </c>
      <c r="IF178" s="237" t="str">
        <f t="shared" si="1910"/>
        <v>-</v>
      </c>
      <c r="IG178" s="312" t="str">
        <f t="shared" si="1911"/>
        <v>-</v>
      </c>
      <c r="IH178" s="99" t="str">
        <f t="shared" si="1787"/>
        <v>-</v>
      </c>
      <c r="II178" s="99" t="str">
        <f t="shared" si="1788"/>
        <v>-</v>
      </c>
      <c r="IJ178" s="99" t="str">
        <f t="shared" si="1789"/>
        <v>-</v>
      </c>
      <c r="IK178" s="99" t="str">
        <f t="shared" si="1790"/>
        <v>-</v>
      </c>
      <c r="IL178" s="99" t="str">
        <f t="shared" si="1791"/>
        <v>-</v>
      </c>
      <c r="IM178" s="312" t="str">
        <f t="shared" si="1912"/>
        <v/>
      </c>
      <c r="IN178" s="99" t="str">
        <f t="shared" si="1793"/>
        <v/>
      </c>
      <c r="IO178" s="99" t="str">
        <f t="shared" si="1794"/>
        <v/>
      </c>
      <c r="IP178" s="99" t="str">
        <f t="shared" si="1795"/>
        <v/>
      </c>
      <c r="IQ178" s="99" t="str">
        <f t="shared" si="1796"/>
        <v/>
      </c>
      <c r="IR178" s="99" t="str">
        <f t="shared" si="1797"/>
        <v/>
      </c>
      <c r="IS178" s="312" t="str">
        <f t="shared" si="1913"/>
        <v/>
      </c>
      <c r="IT178" s="99" t="str">
        <f t="shared" si="1799"/>
        <v/>
      </c>
      <c r="IU178" s="99" t="str">
        <f t="shared" si="1800"/>
        <v/>
      </c>
      <c r="IV178" s="99" t="str">
        <f t="shared" si="1801"/>
        <v/>
      </c>
      <c r="IW178" s="99" t="str">
        <f t="shared" si="1802"/>
        <v/>
      </c>
      <c r="IX178" s="99" t="str">
        <f t="shared" si="1803"/>
        <v/>
      </c>
      <c r="IY178" s="312" t="str">
        <f t="shared" si="1914"/>
        <v/>
      </c>
      <c r="IZ178" s="99" t="str">
        <f t="shared" si="1805"/>
        <v/>
      </c>
      <c r="JA178" s="99" t="str">
        <f t="shared" si="1806"/>
        <v/>
      </c>
      <c r="JB178" s="99" t="str">
        <f t="shared" si="1807"/>
        <v/>
      </c>
      <c r="JC178" s="99" t="str">
        <f t="shared" si="1808"/>
        <v/>
      </c>
      <c r="JD178" s="313" t="str">
        <f t="shared" si="1809"/>
        <v/>
      </c>
      <c r="JF178" s="66">
        <f t="shared" si="1424"/>
        <v>178</v>
      </c>
      <c r="JG178" s="66">
        <f t="shared" ca="1" si="1425"/>
        <v>0</v>
      </c>
      <c r="JH178" s="66">
        <f t="shared" ca="1" si="1426"/>
        <v>0</v>
      </c>
      <c r="JI178" s="66">
        <f t="shared" ca="1" si="1427"/>
        <v>0</v>
      </c>
      <c r="JJ178" s="66">
        <f t="shared" ca="1" si="1428"/>
        <v>0</v>
      </c>
      <c r="JK178" s="33"/>
      <c r="JL178" s="74" t="str">
        <f t="shared" ca="1" si="1429"/>
        <v>-</v>
      </c>
      <c r="JM178" s="75">
        <f t="shared" ca="1" si="1430"/>
        <v>0</v>
      </c>
      <c r="JN178" s="75">
        <f t="shared" ca="1" si="1431"/>
        <v>0</v>
      </c>
      <c r="JO178" s="74" t="str">
        <f t="shared" ca="1" si="1432"/>
        <v>-</v>
      </c>
      <c r="JP178" s="74">
        <f t="shared" ca="1" si="1433"/>
        <v>0</v>
      </c>
    </row>
    <row r="179" spans="1:276" hidden="1" outlineLevel="1" x14ac:dyDescent="0.35">
      <c r="A179" s="125" t="s">
        <v>805</v>
      </c>
      <c r="B179" s="125" t="s">
        <v>805</v>
      </c>
      <c r="C179" s="125" t="s">
        <v>805</v>
      </c>
      <c r="E179" s="142" t="s">
        <v>894</v>
      </c>
      <c r="F179" s="254" t="s">
        <v>778</v>
      </c>
      <c r="G179" t="s">
        <v>540</v>
      </c>
      <c r="H179" t="s">
        <v>535</v>
      </c>
      <c r="I179" t="s">
        <v>536</v>
      </c>
      <c r="J179" s="211" t="s">
        <v>805</v>
      </c>
      <c r="K179" t="s">
        <v>805</v>
      </c>
      <c r="L179" t="s">
        <v>805</v>
      </c>
      <c r="M179" t="s">
        <v>805</v>
      </c>
      <c r="N179" t="s">
        <v>805</v>
      </c>
      <c r="O179" t="s">
        <v>805</v>
      </c>
      <c r="P179" t="s">
        <v>805</v>
      </c>
      <c r="Q179" t="s">
        <v>805</v>
      </c>
      <c r="R179" t="s">
        <v>805</v>
      </c>
      <c r="S179" t="s">
        <v>805</v>
      </c>
      <c r="T179" t="s">
        <v>805</v>
      </c>
      <c r="U179" t="s">
        <v>805</v>
      </c>
      <c r="V179" t="s">
        <v>805</v>
      </c>
      <c r="W179" t="s">
        <v>805</v>
      </c>
      <c r="X179" t="s">
        <v>805</v>
      </c>
      <c r="Y179" t="s">
        <v>805</v>
      </c>
      <c r="Z179" t="s">
        <v>805</v>
      </c>
      <c r="AA179" t="s">
        <v>805</v>
      </c>
      <c r="AB179" t="s">
        <v>805</v>
      </c>
      <c r="AC179" t="s">
        <v>805</v>
      </c>
      <c r="AD179" t="s">
        <v>805</v>
      </c>
      <c r="AE179" t="s">
        <v>805</v>
      </c>
      <c r="AF179" t="s">
        <v>805</v>
      </c>
      <c r="AG179" t="s">
        <v>805</v>
      </c>
      <c r="AH179" t="s">
        <v>805</v>
      </c>
      <c r="AI179" t="s">
        <v>805</v>
      </c>
      <c r="AJ179" t="s">
        <v>805</v>
      </c>
      <c r="AK179" t="s">
        <v>805</v>
      </c>
      <c r="AL179" t="s">
        <v>805</v>
      </c>
      <c r="AM179" t="s">
        <v>805</v>
      </c>
      <c r="AN179" t="s">
        <v>805</v>
      </c>
      <c r="AO179" t="s">
        <v>805</v>
      </c>
      <c r="AP179" t="s">
        <v>805</v>
      </c>
      <c r="AQ179" t="s">
        <v>805</v>
      </c>
      <c r="AR179" t="s">
        <v>805</v>
      </c>
      <c r="AS179" t="s">
        <v>805</v>
      </c>
      <c r="AT179" t="s">
        <v>805</v>
      </c>
      <c r="AU179" t="s">
        <v>805</v>
      </c>
      <c r="AV179" t="s">
        <v>805</v>
      </c>
      <c r="AW179" t="s">
        <v>805</v>
      </c>
      <c r="AX179" t="s">
        <v>805</v>
      </c>
      <c r="AY179" t="s">
        <v>805</v>
      </c>
      <c r="AZ179" t="s">
        <v>805</v>
      </c>
      <c r="BA179" t="s">
        <v>805</v>
      </c>
      <c r="BB179" t="s">
        <v>805</v>
      </c>
      <c r="BC179" t="s">
        <v>805</v>
      </c>
      <c r="BD179" t="s">
        <v>805</v>
      </c>
      <c r="BE179" t="s">
        <v>805</v>
      </c>
      <c r="BF179" t="s">
        <v>805</v>
      </c>
      <c r="BG179" t="s">
        <v>805</v>
      </c>
      <c r="BH179" t="s">
        <v>805</v>
      </c>
      <c r="BI179" t="s">
        <v>805</v>
      </c>
      <c r="BJ179" t="s">
        <v>805</v>
      </c>
      <c r="BK179" t="s">
        <v>805</v>
      </c>
      <c r="BL179" t="s">
        <v>805</v>
      </c>
      <c r="BM179" t="s">
        <v>805</v>
      </c>
      <c r="BN179" t="s">
        <v>805</v>
      </c>
      <c r="BO179" t="s">
        <v>805</v>
      </c>
      <c r="BP179" t="s">
        <v>805</v>
      </c>
      <c r="BQ179" t="s">
        <v>805</v>
      </c>
      <c r="BR179" t="s">
        <v>805</v>
      </c>
      <c r="BS179" t="s">
        <v>805</v>
      </c>
      <c r="BT179" t="s">
        <v>805</v>
      </c>
      <c r="BU179" t="s">
        <v>805</v>
      </c>
      <c r="BV179" t="s">
        <v>805</v>
      </c>
      <c r="BW179" t="s">
        <v>805</v>
      </c>
      <c r="BX179" t="s">
        <v>805</v>
      </c>
      <c r="BY179" t="s">
        <v>805</v>
      </c>
      <c r="BZ179" t="s">
        <v>805</v>
      </c>
      <c r="CA179" t="s">
        <v>805</v>
      </c>
      <c r="CB179" t="s">
        <v>805</v>
      </c>
      <c r="CC179" t="s">
        <v>805</v>
      </c>
      <c r="CD179" t="s">
        <v>805</v>
      </c>
      <c r="CE179" t="s">
        <v>805</v>
      </c>
      <c r="CF179" t="s">
        <v>805</v>
      </c>
      <c r="CG179" t="s">
        <v>805</v>
      </c>
      <c r="CH179" t="s">
        <v>805</v>
      </c>
      <c r="CI179" t="s">
        <v>805</v>
      </c>
      <c r="CJ179" t="s">
        <v>805</v>
      </c>
      <c r="CK179" t="s">
        <v>805</v>
      </c>
      <c r="CL179" t="s">
        <v>805</v>
      </c>
      <c r="CM179" t="s">
        <v>805</v>
      </c>
      <c r="CN179" t="s">
        <v>805</v>
      </c>
      <c r="CO179" t="s">
        <v>805</v>
      </c>
      <c r="CP179" t="s">
        <v>805</v>
      </c>
      <c r="CQ179" t="s">
        <v>805</v>
      </c>
      <c r="CR179" t="s">
        <v>805</v>
      </c>
      <c r="CS179" t="s">
        <v>805</v>
      </c>
      <c r="CT179" t="s">
        <v>805</v>
      </c>
      <c r="CU179" t="s">
        <v>805</v>
      </c>
      <c r="CV179" t="s">
        <v>805</v>
      </c>
      <c r="CW179" t="s">
        <v>805</v>
      </c>
      <c r="CX179" t="s">
        <v>805</v>
      </c>
      <c r="CY179" t="s">
        <v>805</v>
      </c>
      <c r="CZ179" t="s">
        <v>805</v>
      </c>
      <c r="DA179" t="s">
        <v>805</v>
      </c>
      <c r="DB179" t="s">
        <v>805</v>
      </c>
      <c r="DC179" t="s">
        <v>805</v>
      </c>
      <c r="DD179" t="s">
        <v>805</v>
      </c>
      <c r="DE179" t="s">
        <v>805</v>
      </c>
      <c r="DF179" t="s">
        <v>805</v>
      </c>
      <c r="DG179" s="28">
        <f>VLOOKUP(E179,'KPI Count-SHARE'!A:F,3,0)</f>
        <v>0</v>
      </c>
      <c r="DH179" t="s">
        <v>805</v>
      </c>
      <c r="DI179" t="s">
        <v>805</v>
      </c>
      <c r="DJ179" t="s">
        <v>805</v>
      </c>
      <c r="DK179" t="s">
        <v>805</v>
      </c>
      <c r="DL179" t="s">
        <v>805</v>
      </c>
      <c r="DM179" t="s">
        <v>805</v>
      </c>
      <c r="DN179" s="28">
        <f>VLOOKUP(E179,'KPI Count-SHARE'!A:F,4,0)</f>
        <v>0</v>
      </c>
      <c r="DU179" s="28">
        <f>VLOOKUP(E179,'KPI Count-SHARE'!A:F,5,0)</f>
        <v>0</v>
      </c>
      <c r="EB179" s="28">
        <f>VLOOKUP(E179,'KPI Count-SHARE'!A:F,6,0)</f>
        <v>0</v>
      </c>
      <c r="EI179" t="str">
        <f t="shared" si="1684"/>
        <v>USD '000 per FTE</v>
      </c>
      <c r="EJ179" s="237" t="str">
        <f t="shared" si="1810"/>
        <v>-</v>
      </c>
      <c r="EK179" s="237" t="str">
        <f t="shared" si="1811"/>
        <v>-</v>
      </c>
      <c r="EL179" s="237" t="str">
        <f t="shared" si="1812"/>
        <v>-</v>
      </c>
      <c r="EM179" s="237" t="str">
        <f t="shared" si="1813"/>
        <v>-</v>
      </c>
      <c r="EN179" s="237" t="str">
        <f t="shared" si="1814"/>
        <v>-</v>
      </c>
      <c r="EO179" s="237" t="str">
        <f t="shared" si="1815"/>
        <v>-</v>
      </c>
      <c r="EP179" s="237" t="str">
        <f t="shared" si="1816"/>
        <v>-</v>
      </c>
      <c r="EQ179" s="237" t="str">
        <f t="shared" si="1817"/>
        <v>-</v>
      </c>
      <c r="ER179" s="237" t="str">
        <f t="shared" si="1818"/>
        <v>-</v>
      </c>
      <c r="ES179" s="237" t="str">
        <f t="shared" si="1819"/>
        <v>-</v>
      </c>
      <c r="ET179" s="237" t="str">
        <f t="shared" si="1820"/>
        <v>-</v>
      </c>
      <c r="EU179" s="237" t="str">
        <f t="shared" si="1821"/>
        <v>-</v>
      </c>
      <c r="EV179" s="237" t="str">
        <f t="shared" si="1822"/>
        <v>-</v>
      </c>
      <c r="EW179" s="237" t="str">
        <f t="shared" si="1823"/>
        <v>-</v>
      </c>
      <c r="EX179" s="237" t="str">
        <f t="shared" si="1824"/>
        <v>-</v>
      </c>
      <c r="EY179" s="237" t="str">
        <f t="shared" si="1825"/>
        <v>-</v>
      </c>
      <c r="EZ179" s="237" t="str">
        <f t="shared" si="1826"/>
        <v>-</v>
      </c>
      <c r="FA179" s="237" t="str">
        <f t="shared" si="1827"/>
        <v>-</v>
      </c>
      <c r="FB179" s="237" t="str">
        <f t="shared" si="1828"/>
        <v>-</v>
      </c>
      <c r="FC179" s="237" t="str">
        <f t="shared" si="1829"/>
        <v>-</v>
      </c>
      <c r="FD179" s="237" t="str">
        <f t="shared" si="1830"/>
        <v>-</v>
      </c>
      <c r="FE179" s="237" t="str">
        <f t="shared" si="1831"/>
        <v>-</v>
      </c>
      <c r="FF179" s="237" t="str">
        <f t="shared" si="1832"/>
        <v>-</v>
      </c>
      <c r="FG179" s="237" t="str">
        <f t="shared" si="1833"/>
        <v>-</v>
      </c>
      <c r="FH179" s="237" t="str">
        <f t="shared" si="1834"/>
        <v>-</v>
      </c>
      <c r="FI179" s="237" t="str">
        <f t="shared" si="1835"/>
        <v>-</v>
      </c>
      <c r="FJ179" s="237" t="str">
        <f t="shared" si="1836"/>
        <v>-</v>
      </c>
      <c r="FK179" s="237" t="str">
        <f t="shared" si="1837"/>
        <v>-</v>
      </c>
      <c r="FL179" s="237" t="str">
        <f t="shared" si="1838"/>
        <v>-</v>
      </c>
      <c r="FM179" s="237" t="str">
        <f t="shared" si="1839"/>
        <v>-</v>
      </c>
      <c r="FN179" s="237" t="str">
        <f t="shared" si="1840"/>
        <v>-</v>
      </c>
      <c r="FO179" s="237" t="str">
        <f t="shared" si="1841"/>
        <v>-</v>
      </c>
      <c r="FP179" s="237" t="str">
        <f t="shared" si="1842"/>
        <v>-</v>
      </c>
      <c r="FQ179" s="237" t="str">
        <f t="shared" si="1843"/>
        <v>-</v>
      </c>
      <c r="FR179" s="237" t="str">
        <f t="shared" si="1844"/>
        <v>-</v>
      </c>
      <c r="FS179" s="237" t="str">
        <f t="shared" si="1845"/>
        <v>-</v>
      </c>
      <c r="FT179" s="237" t="str">
        <f t="shared" si="1846"/>
        <v>-</v>
      </c>
      <c r="FU179" s="237" t="str">
        <f t="shared" si="1847"/>
        <v>-</v>
      </c>
      <c r="FV179" s="237" t="str">
        <f t="shared" si="1848"/>
        <v>-</v>
      </c>
      <c r="FW179" s="237" t="str">
        <f t="shared" si="1849"/>
        <v>-</v>
      </c>
      <c r="FX179" s="237" t="str">
        <f t="shared" si="1850"/>
        <v>-</v>
      </c>
      <c r="FY179" s="237" t="str">
        <f t="shared" si="1851"/>
        <v>-</v>
      </c>
      <c r="FZ179" s="237" t="str">
        <f t="shared" si="1852"/>
        <v>-</v>
      </c>
      <c r="GA179" s="237" t="str">
        <f t="shared" si="1853"/>
        <v>-</v>
      </c>
      <c r="GB179" s="237" t="str">
        <f t="shared" si="1854"/>
        <v>-</v>
      </c>
      <c r="GC179" s="237" t="str">
        <f t="shared" si="1855"/>
        <v>-</v>
      </c>
      <c r="GD179" s="237" t="str">
        <f t="shared" si="1856"/>
        <v>-</v>
      </c>
      <c r="GE179" s="237" t="str">
        <f t="shared" si="1857"/>
        <v>-</v>
      </c>
      <c r="GF179" s="237" t="str">
        <f t="shared" si="1858"/>
        <v>-</v>
      </c>
      <c r="GG179" s="237" t="str">
        <f t="shared" si="1859"/>
        <v>-</v>
      </c>
      <c r="GH179" s="237" t="str">
        <f t="shared" si="1860"/>
        <v>-</v>
      </c>
      <c r="GI179" s="237" t="str">
        <f t="shared" si="1861"/>
        <v>-</v>
      </c>
      <c r="GJ179" s="237" t="str">
        <f t="shared" si="1862"/>
        <v>-</v>
      </c>
      <c r="GK179" s="237" t="str">
        <f t="shared" si="1863"/>
        <v>-</v>
      </c>
      <c r="GL179" s="237" t="str">
        <f t="shared" si="1864"/>
        <v>-</v>
      </c>
      <c r="GM179" s="237" t="str">
        <f t="shared" si="1865"/>
        <v>-</v>
      </c>
      <c r="GN179" s="237" t="str">
        <f t="shared" si="1866"/>
        <v>-</v>
      </c>
      <c r="GO179" s="237" t="str">
        <f t="shared" si="1867"/>
        <v>-</v>
      </c>
      <c r="GP179" s="237" t="str">
        <f t="shared" si="1868"/>
        <v>-</v>
      </c>
      <c r="GQ179" s="237" t="str">
        <f t="shared" si="1869"/>
        <v>-</v>
      </c>
      <c r="GR179" s="237" t="str">
        <f t="shared" si="1870"/>
        <v>-</v>
      </c>
      <c r="GS179" s="237" t="str">
        <f t="shared" si="1871"/>
        <v>-</v>
      </c>
      <c r="GT179" s="237" t="str">
        <f t="shared" si="1872"/>
        <v>-</v>
      </c>
      <c r="GU179" s="237" t="str">
        <f t="shared" si="1873"/>
        <v>-</v>
      </c>
      <c r="GV179" s="237" t="str">
        <f t="shared" si="1874"/>
        <v>-</v>
      </c>
      <c r="GW179" s="237" t="str">
        <f t="shared" si="1875"/>
        <v>-</v>
      </c>
      <c r="GX179" s="237" t="str">
        <f t="shared" si="1876"/>
        <v>-</v>
      </c>
      <c r="GY179" s="237" t="str">
        <f t="shared" si="1877"/>
        <v>-</v>
      </c>
      <c r="GZ179" s="237" t="str">
        <f t="shared" si="1878"/>
        <v>-</v>
      </c>
      <c r="HA179" s="237" t="str">
        <f t="shared" si="1879"/>
        <v>-</v>
      </c>
      <c r="HB179" s="237" t="str">
        <f t="shared" si="1880"/>
        <v>-</v>
      </c>
      <c r="HC179" s="237" t="str">
        <f t="shared" si="1881"/>
        <v>-</v>
      </c>
      <c r="HD179" s="237" t="str">
        <f t="shared" si="1882"/>
        <v>-</v>
      </c>
      <c r="HE179" s="237" t="str">
        <f t="shared" si="1883"/>
        <v>-</v>
      </c>
      <c r="HF179" s="237" t="str">
        <f t="shared" si="1884"/>
        <v>-</v>
      </c>
      <c r="HG179" s="237" t="str">
        <f t="shared" si="1885"/>
        <v>-</v>
      </c>
      <c r="HH179" s="237" t="str">
        <f t="shared" si="1886"/>
        <v>-</v>
      </c>
      <c r="HI179" s="237" t="str">
        <f t="shared" si="1887"/>
        <v>-</v>
      </c>
      <c r="HJ179" s="237" t="str">
        <f t="shared" si="1888"/>
        <v>-</v>
      </c>
      <c r="HK179" s="237" t="str">
        <f t="shared" si="1889"/>
        <v>-</v>
      </c>
      <c r="HL179" s="237" t="str">
        <f t="shared" si="1890"/>
        <v>-</v>
      </c>
      <c r="HM179" s="237" t="str">
        <f t="shared" si="1891"/>
        <v>-</v>
      </c>
      <c r="HN179" s="237" t="str">
        <f t="shared" si="1892"/>
        <v>-</v>
      </c>
      <c r="HO179" s="237" t="str">
        <f t="shared" si="1893"/>
        <v>-</v>
      </c>
      <c r="HP179" s="237" t="str">
        <f t="shared" si="1894"/>
        <v>-</v>
      </c>
      <c r="HQ179" s="237" t="str">
        <f t="shared" si="1895"/>
        <v>-</v>
      </c>
      <c r="HR179" s="237" t="str">
        <f t="shared" si="1896"/>
        <v>-</v>
      </c>
      <c r="HS179" s="237" t="str">
        <f t="shared" si="1897"/>
        <v>-</v>
      </c>
      <c r="HT179" s="237" t="str">
        <f t="shared" si="1898"/>
        <v>-</v>
      </c>
      <c r="HU179" s="237" t="str">
        <f t="shared" si="1899"/>
        <v>-</v>
      </c>
      <c r="HV179" s="237" t="str">
        <f t="shared" si="1900"/>
        <v>-</v>
      </c>
      <c r="HW179" s="237" t="str">
        <f t="shared" si="1901"/>
        <v>-</v>
      </c>
      <c r="HX179" s="237" t="str">
        <f t="shared" si="1902"/>
        <v>-</v>
      </c>
      <c r="HY179" s="237" t="str">
        <f t="shared" si="1903"/>
        <v>-</v>
      </c>
      <c r="HZ179" s="237" t="str">
        <f t="shared" si="1904"/>
        <v>-</v>
      </c>
      <c r="IA179" s="237" t="str">
        <f t="shared" si="1905"/>
        <v>-</v>
      </c>
      <c r="IB179" s="237" t="str">
        <f t="shared" si="1906"/>
        <v>-</v>
      </c>
      <c r="IC179" s="237" t="str">
        <f t="shared" si="1907"/>
        <v>-</v>
      </c>
      <c r="ID179" s="237" t="str">
        <f t="shared" si="1908"/>
        <v>-</v>
      </c>
      <c r="IE179" s="237" t="str">
        <f t="shared" si="1909"/>
        <v>-</v>
      </c>
      <c r="IF179" s="237" t="str">
        <f t="shared" si="1910"/>
        <v>-</v>
      </c>
      <c r="IG179" s="312" t="str">
        <f t="shared" si="1911"/>
        <v>-</v>
      </c>
      <c r="IH179" s="99" t="str">
        <f t="shared" si="1787"/>
        <v>-</v>
      </c>
      <c r="II179" s="99" t="str">
        <f t="shared" si="1788"/>
        <v>-</v>
      </c>
      <c r="IJ179" s="99" t="str">
        <f t="shared" si="1789"/>
        <v>-</v>
      </c>
      <c r="IK179" s="99" t="str">
        <f t="shared" si="1790"/>
        <v>-</v>
      </c>
      <c r="IL179" s="99" t="str">
        <f t="shared" si="1791"/>
        <v>-</v>
      </c>
      <c r="IM179" s="312" t="str">
        <f t="shared" si="1912"/>
        <v/>
      </c>
      <c r="IN179" s="99" t="str">
        <f t="shared" si="1793"/>
        <v/>
      </c>
      <c r="IO179" s="99" t="str">
        <f t="shared" si="1794"/>
        <v/>
      </c>
      <c r="IP179" s="99" t="str">
        <f t="shared" si="1795"/>
        <v/>
      </c>
      <c r="IQ179" s="99" t="str">
        <f t="shared" si="1796"/>
        <v/>
      </c>
      <c r="IR179" s="99" t="str">
        <f t="shared" si="1797"/>
        <v/>
      </c>
      <c r="IS179" s="312" t="str">
        <f t="shared" si="1913"/>
        <v/>
      </c>
      <c r="IT179" s="99" t="str">
        <f t="shared" si="1799"/>
        <v/>
      </c>
      <c r="IU179" s="99" t="str">
        <f t="shared" si="1800"/>
        <v/>
      </c>
      <c r="IV179" s="99" t="str">
        <f t="shared" si="1801"/>
        <v/>
      </c>
      <c r="IW179" s="99" t="str">
        <f t="shared" si="1802"/>
        <v/>
      </c>
      <c r="IX179" s="99" t="str">
        <f t="shared" si="1803"/>
        <v/>
      </c>
      <c r="IY179" s="312" t="str">
        <f t="shared" si="1914"/>
        <v/>
      </c>
      <c r="IZ179" s="99" t="str">
        <f t="shared" si="1805"/>
        <v/>
      </c>
      <c r="JA179" s="99" t="str">
        <f t="shared" si="1806"/>
        <v/>
      </c>
      <c r="JB179" s="99" t="str">
        <f t="shared" si="1807"/>
        <v/>
      </c>
      <c r="JC179" s="99" t="str">
        <f t="shared" si="1808"/>
        <v/>
      </c>
      <c r="JD179" s="313" t="str">
        <f t="shared" si="1809"/>
        <v/>
      </c>
      <c r="JF179" s="66">
        <f t="shared" si="1424"/>
        <v>179</v>
      </c>
      <c r="JG179" s="66">
        <f t="shared" ca="1" si="1425"/>
        <v>0</v>
      </c>
      <c r="JH179" s="66">
        <f t="shared" ca="1" si="1426"/>
        <v>0</v>
      </c>
      <c r="JI179" s="66">
        <f t="shared" ca="1" si="1427"/>
        <v>0</v>
      </c>
      <c r="JJ179" s="66">
        <f t="shared" ca="1" si="1428"/>
        <v>0</v>
      </c>
      <c r="JK179" s="33"/>
      <c r="JL179" s="74" t="str">
        <f t="shared" ca="1" si="1429"/>
        <v>-</v>
      </c>
      <c r="JM179" s="75">
        <f t="shared" ca="1" si="1430"/>
        <v>0</v>
      </c>
      <c r="JN179" s="75">
        <f t="shared" ca="1" si="1431"/>
        <v>0</v>
      </c>
      <c r="JO179" s="74" t="str">
        <f t="shared" ca="1" si="1432"/>
        <v>-</v>
      </c>
      <c r="JP179" s="74">
        <f t="shared" ca="1" si="1433"/>
        <v>0</v>
      </c>
    </row>
    <row r="180" spans="1:276" hidden="1" outlineLevel="1" x14ac:dyDescent="0.35">
      <c r="A180" s="125" t="s">
        <v>805</v>
      </c>
      <c r="B180" s="125" t="s">
        <v>805</v>
      </c>
      <c r="C180" s="125" t="s">
        <v>805</v>
      </c>
      <c r="E180" s="142"/>
      <c r="F180" s="255"/>
      <c r="J180" t="s">
        <v>805</v>
      </c>
      <c r="K180" t="s">
        <v>805</v>
      </c>
      <c r="L180" t="s">
        <v>805</v>
      </c>
      <c r="M180" t="s">
        <v>805</v>
      </c>
      <c r="N180" t="s">
        <v>805</v>
      </c>
      <c r="O180" t="s">
        <v>805</v>
      </c>
      <c r="P180" t="s">
        <v>805</v>
      </c>
      <c r="Q180" t="s">
        <v>805</v>
      </c>
      <c r="R180" t="s">
        <v>805</v>
      </c>
      <c r="S180" t="s">
        <v>805</v>
      </c>
      <c r="T180" t="s">
        <v>805</v>
      </c>
      <c r="U180" t="s">
        <v>805</v>
      </c>
      <c r="V180" t="s">
        <v>805</v>
      </c>
      <c r="W180" t="s">
        <v>805</v>
      </c>
      <c r="X180" t="s">
        <v>805</v>
      </c>
      <c r="Y180" t="s">
        <v>805</v>
      </c>
      <c r="Z180" t="s">
        <v>805</v>
      </c>
      <c r="AA180" t="s">
        <v>805</v>
      </c>
      <c r="AB180" t="s">
        <v>805</v>
      </c>
      <c r="AC180" t="s">
        <v>805</v>
      </c>
      <c r="AD180" t="s">
        <v>805</v>
      </c>
      <c r="AE180" t="s">
        <v>805</v>
      </c>
      <c r="AF180" t="s">
        <v>805</v>
      </c>
      <c r="AG180" t="s">
        <v>805</v>
      </c>
      <c r="AH180" t="s">
        <v>805</v>
      </c>
      <c r="AI180" t="s">
        <v>805</v>
      </c>
      <c r="AJ180" t="s">
        <v>805</v>
      </c>
      <c r="AK180" t="s">
        <v>805</v>
      </c>
      <c r="AL180" t="s">
        <v>805</v>
      </c>
      <c r="AM180" t="s">
        <v>805</v>
      </c>
      <c r="AN180" t="s">
        <v>805</v>
      </c>
      <c r="AO180" t="s">
        <v>805</v>
      </c>
      <c r="AP180" t="s">
        <v>805</v>
      </c>
      <c r="AQ180" t="s">
        <v>805</v>
      </c>
      <c r="AR180" t="s">
        <v>805</v>
      </c>
      <c r="AS180" t="s">
        <v>805</v>
      </c>
      <c r="AT180" t="s">
        <v>805</v>
      </c>
      <c r="AU180" t="s">
        <v>805</v>
      </c>
      <c r="AV180" t="s">
        <v>805</v>
      </c>
      <c r="AW180" t="s">
        <v>805</v>
      </c>
      <c r="AX180" t="s">
        <v>805</v>
      </c>
      <c r="AY180" t="s">
        <v>805</v>
      </c>
      <c r="AZ180" t="s">
        <v>805</v>
      </c>
      <c r="BA180" t="s">
        <v>805</v>
      </c>
      <c r="BB180" t="s">
        <v>805</v>
      </c>
      <c r="BC180" t="s">
        <v>805</v>
      </c>
      <c r="BD180" t="s">
        <v>805</v>
      </c>
      <c r="BE180" t="s">
        <v>805</v>
      </c>
      <c r="BF180" t="s">
        <v>805</v>
      </c>
      <c r="BG180" t="s">
        <v>805</v>
      </c>
      <c r="BH180" t="s">
        <v>805</v>
      </c>
      <c r="BI180" t="s">
        <v>805</v>
      </c>
      <c r="BJ180" t="s">
        <v>805</v>
      </c>
      <c r="BK180" t="s">
        <v>805</v>
      </c>
      <c r="BL180" t="s">
        <v>805</v>
      </c>
      <c r="BM180" t="s">
        <v>805</v>
      </c>
      <c r="BN180" t="s">
        <v>805</v>
      </c>
      <c r="BO180" t="s">
        <v>805</v>
      </c>
      <c r="BP180" t="s">
        <v>805</v>
      </c>
      <c r="BQ180" t="s">
        <v>805</v>
      </c>
      <c r="BR180" t="s">
        <v>805</v>
      </c>
      <c r="BS180" t="s">
        <v>805</v>
      </c>
      <c r="BT180" t="s">
        <v>805</v>
      </c>
      <c r="BU180" t="s">
        <v>805</v>
      </c>
      <c r="BV180" t="s">
        <v>805</v>
      </c>
      <c r="BW180" t="s">
        <v>805</v>
      </c>
      <c r="BX180" t="s">
        <v>805</v>
      </c>
      <c r="BY180" t="s">
        <v>805</v>
      </c>
      <c r="BZ180" t="s">
        <v>805</v>
      </c>
      <c r="CA180" t="s">
        <v>805</v>
      </c>
      <c r="CB180" t="s">
        <v>805</v>
      </c>
      <c r="CC180" t="s">
        <v>805</v>
      </c>
      <c r="CD180" t="s">
        <v>805</v>
      </c>
      <c r="CE180" t="s">
        <v>805</v>
      </c>
      <c r="CF180" t="s">
        <v>805</v>
      </c>
      <c r="CG180" t="s">
        <v>805</v>
      </c>
      <c r="CH180" t="s">
        <v>805</v>
      </c>
      <c r="CI180" t="s">
        <v>805</v>
      </c>
      <c r="CJ180" t="s">
        <v>805</v>
      </c>
      <c r="CK180" t="s">
        <v>805</v>
      </c>
      <c r="CL180" t="s">
        <v>805</v>
      </c>
      <c r="CM180" t="s">
        <v>805</v>
      </c>
      <c r="CN180" t="s">
        <v>805</v>
      </c>
      <c r="CO180" t="s">
        <v>805</v>
      </c>
      <c r="CP180" t="s">
        <v>805</v>
      </c>
      <c r="CQ180" t="s">
        <v>805</v>
      </c>
      <c r="CR180" t="s">
        <v>805</v>
      </c>
      <c r="CS180" t="s">
        <v>805</v>
      </c>
      <c r="CT180" t="s">
        <v>805</v>
      </c>
      <c r="CU180" t="s">
        <v>805</v>
      </c>
      <c r="CV180" t="s">
        <v>805</v>
      </c>
      <c r="CW180" t="s">
        <v>805</v>
      </c>
      <c r="CX180" t="s">
        <v>805</v>
      </c>
      <c r="CY180" t="s">
        <v>805</v>
      </c>
      <c r="CZ180" t="s">
        <v>805</v>
      </c>
      <c r="DA180" t="s">
        <v>805</v>
      </c>
      <c r="DB180" t="s">
        <v>805</v>
      </c>
      <c r="DC180" t="s">
        <v>805</v>
      </c>
      <c r="DD180" t="s">
        <v>805</v>
      </c>
      <c r="DE180" t="s">
        <v>805</v>
      </c>
      <c r="DF180" t="s">
        <v>805</v>
      </c>
      <c r="DG180" s="28"/>
      <c r="DN180" s="28"/>
      <c r="DU180" s="28"/>
      <c r="EB180" s="28"/>
      <c r="JF180" s="66">
        <f t="shared" si="1424"/>
        <v>180</v>
      </c>
      <c r="JG180" s="66">
        <f t="shared" ca="1" si="1425"/>
        <v>0</v>
      </c>
      <c r="JH180" s="66">
        <f t="shared" ca="1" si="1426"/>
        <v>0</v>
      </c>
      <c r="JI180" s="66">
        <f t="shared" ca="1" si="1427"/>
        <v>0</v>
      </c>
      <c r="JJ180" s="66">
        <f t="shared" ca="1" si="1428"/>
        <v>0</v>
      </c>
      <c r="JK180" s="33"/>
      <c r="JL180" s="74" t="str">
        <f t="shared" ca="1" si="1429"/>
        <v>-</v>
      </c>
      <c r="JM180" s="75">
        <f t="shared" ca="1" si="1430"/>
        <v>0</v>
      </c>
      <c r="JN180" s="75">
        <f t="shared" ca="1" si="1431"/>
        <v>0</v>
      </c>
      <c r="JO180" s="74" t="str">
        <f t="shared" ca="1" si="1432"/>
        <v>-</v>
      </c>
      <c r="JP180" s="74">
        <f t="shared" ca="1" si="1433"/>
        <v>0</v>
      </c>
    </row>
    <row r="181" spans="1:276" hidden="1" outlineLevel="1" x14ac:dyDescent="0.35">
      <c r="A181" s="125" t="s">
        <v>805</v>
      </c>
      <c r="B181" s="125" t="s">
        <v>805</v>
      </c>
      <c r="C181" s="125" t="s">
        <v>805</v>
      </c>
      <c r="D181" s="256"/>
      <c r="E181" s="256"/>
      <c r="F181" s="257" t="s">
        <v>779</v>
      </c>
      <c r="G181" s="256"/>
      <c r="H181" s="256"/>
      <c r="I181" s="256"/>
      <c r="J181" s="256" t="s">
        <v>805</v>
      </c>
      <c r="K181" s="256" t="s">
        <v>805</v>
      </c>
      <c r="L181" s="256" t="s">
        <v>805</v>
      </c>
      <c r="M181" s="256" t="s">
        <v>805</v>
      </c>
      <c r="N181" s="256" t="s">
        <v>805</v>
      </c>
      <c r="O181" s="256" t="s">
        <v>805</v>
      </c>
      <c r="P181" s="256" t="s">
        <v>805</v>
      </c>
      <c r="Q181" s="256" t="s">
        <v>805</v>
      </c>
      <c r="R181" s="256" t="s">
        <v>805</v>
      </c>
      <c r="S181" s="256" t="s">
        <v>805</v>
      </c>
      <c r="T181" s="256" t="s">
        <v>805</v>
      </c>
      <c r="U181" s="256" t="s">
        <v>805</v>
      </c>
      <c r="V181" s="256" t="s">
        <v>805</v>
      </c>
      <c r="W181" s="256" t="s">
        <v>805</v>
      </c>
      <c r="X181" s="256" t="s">
        <v>805</v>
      </c>
      <c r="Y181" s="256" t="s">
        <v>805</v>
      </c>
      <c r="Z181" s="256" t="s">
        <v>805</v>
      </c>
      <c r="AA181" s="256" t="s">
        <v>805</v>
      </c>
      <c r="AB181" s="256" t="s">
        <v>805</v>
      </c>
      <c r="AC181" s="256" t="s">
        <v>805</v>
      </c>
      <c r="AD181" s="256" t="s">
        <v>805</v>
      </c>
      <c r="AE181" s="256" t="s">
        <v>805</v>
      </c>
      <c r="AF181" s="256" t="s">
        <v>805</v>
      </c>
      <c r="AG181" s="256" t="s">
        <v>805</v>
      </c>
      <c r="AH181" s="256" t="s">
        <v>805</v>
      </c>
      <c r="AI181" s="256" t="s">
        <v>805</v>
      </c>
      <c r="AJ181" s="256" t="s">
        <v>805</v>
      </c>
      <c r="AK181" s="256" t="s">
        <v>805</v>
      </c>
      <c r="AL181" s="256" t="s">
        <v>805</v>
      </c>
      <c r="AM181" s="256" t="s">
        <v>805</v>
      </c>
      <c r="AN181" s="256" t="s">
        <v>805</v>
      </c>
      <c r="AO181" s="256" t="s">
        <v>805</v>
      </c>
      <c r="AP181" s="256" t="s">
        <v>805</v>
      </c>
      <c r="AQ181" s="256" t="s">
        <v>805</v>
      </c>
      <c r="AR181" s="256" t="s">
        <v>805</v>
      </c>
      <c r="AS181" s="256" t="s">
        <v>805</v>
      </c>
      <c r="AT181" s="256" t="s">
        <v>805</v>
      </c>
      <c r="AU181" s="256" t="s">
        <v>805</v>
      </c>
      <c r="AV181" s="256" t="s">
        <v>805</v>
      </c>
      <c r="AW181" s="256" t="s">
        <v>805</v>
      </c>
      <c r="AX181" s="256" t="s">
        <v>805</v>
      </c>
      <c r="AY181" s="256" t="s">
        <v>805</v>
      </c>
      <c r="AZ181" s="256" t="s">
        <v>805</v>
      </c>
      <c r="BA181" s="256" t="s">
        <v>805</v>
      </c>
      <c r="BB181" s="256" t="s">
        <v>805</v>
      </c>
      <c r="BC181" s="256" t="s">
        <v>805</v>
      </c>
      <c r="BD181" s="256" t="s">
        <v>805</v>
      </c>
      <c r="BE181" s="256" t="s">
        <v>805</v>
      </c>
      <c r="BF181" s="256" t="s">
        <v>805</v>
      </c>
      <c r="BG181" s="256" t="s">
        <v>805</v>
      </c>
      <c r="BH181" s="256" t="s">
        <v>805</v>
      </c>
      <c r="BI181" s="256" t="s">
        <v>805</v>
      </c>
      <c r="BJ181" s="256" t="s">
        <v>805</v>
      </c>
      <c r="BK181" s="256" t="s">
        <v>805</v>
      </c>
      <c r="BL181" s="256" t="s">
        <v>805</v>
      </c>
      <c r="BM181" s="256" t="s">
        <v>805</v>
      </c>
      <c r="BN181" s="256" t="s">
        <v>805</v>
      </c>
      <c r="BO181" s="256" t="s">
        <v>805</v>
      </c>
      <c r="BP181" s="256" t="s">
        <v>805</v>
      </c>
      <c r="BQ181" s="256" t="s">
        <v>805</v>
      </c>
      <c r="BR181" s="256" t="s">
        <v>805</v>
      </c>
      <c r="BS181" s="256" t="s">
        <v>805</v>
      </c>
      <c r="BT181" s="256" t="s">
        <v>805</v>
      </c>
      <c r="BU181" s="256" t="s">
        <v>805</v>
      </c>
      <c r="BV181" s="256" t="s">
        <v>805</v>
      </c>
      <c r="BW181" s="256" t="s">
        <v>805</v>
      </c>
      <c r="BX181" s="256" t="s">
        <v>805</v>
      </c>
      <c r="BY181" s="256" t="s">
        <v>805</v>
      </c>
      <c r="BZ181" s="256" t="s">
        <v>805</v>
      </c>
      <c r="CA181" s="256" t="s">
        <v>805</v>
      </c>
      <c r="CB181" s="256" t="s">
        <v>805</v>
      </c>
      <c r="CC181" s="256" t="s">
        <v>805</v>
      </c>
      <c r="CD181" s="256" t="s">
        <v>805</v>
      </c>
      <c r="CE181" s="256" t="s">
        <v>805</v>
      </c>
      <c r="CF181" s="256" t="s">
        <v>805</v>
      </c>
      <c r="CG181" s="256" t="s">
        <v>805</v>
      </c>
      <c r="CH181" s="256" t="s">
        <v>805</v>
      </c>
      <c r="CI181" s="256" t="s">
        <v>805</v>
      </c>
      <c r="CJ181" s="256" t="s">
        <v>805</v>
      </c>
      <c r="CK181" s="256" t="s">
        <v>805</v>
      </c>
      <c r="CL181" s="256" t="s">
        <v>805</v>
      </c>
      <c r="CM181" s="256" t="s">
        <v>805</v>
      </c>
      <c r="CN181" s="256" t="s">
        <v>805</v>
      </c>
      <c r="CO181" s="256" t="s">
        <v>805</v>
      </c>
      <c r="CP181" s="256" t="s">
        <v>805</v>
      </c>
      <c r="CQ181" s="256" t="s">
        <v>805</v>
      </c>
      <c r="CR181" s="256" t="s">
        <v>805</v>
      </c>
      <c r="CS181" s="256" t="s">
        <v>805</v>
      </c>
      <c r="CT181" s="256" t="s">
        <v>805</v>
      </c>
      <c r="CU181" s="256" t="s">
        <v>805</v>
      </c>
      <c r="CV181" s="256" t="s">
        <v>805</v>
      </c>
      <c r="CW181" s="256" t="s">
        <v>805</v>
      </c>
      <c r="CX181" s="256" t="s">
        <v>805</v>
      </c>
      <c r="CY181" s="256" t="s">
        <v>805</v>
      </c>
      <c r="CZ181" s="256" t="s">
        <v>805</v>
      </c>
      <c r="DA181" s="256" t="s">
        <v>805</v>
      </c>
      <c r="DB181" s="256" t="s">
        <v>805</v>
      </c>
      <c r="DC181" s="256" t="s">
        <v>805</v>
      </c>
      <c r="DD181" s="256" t="s">
        <v>805</v>
      </c>
      <c r="DE181" s="256" t="s">
        <v>805</v>
      </c>
      <c r="DF181" s="256" t="s">
        <v>805</v>
      </c>
      <c r="DG181" s="273"/>
      <c r="DH181" s="256"/>
      <c r="DI181" s="256"/>
      <c r="DJ181" s="256"/>
      <c r="DK181" s="256"/>
      <c r="DL181" s="256"/>
      <c r="DM181" s="256"/>
      <c r="DN181" s="273"/>
      <c r="DO181" s="256"/>
      <c r="DP181" s="256"/>
      <c r="DQ181" s="256"/>
      <c r="DR181" s="256"/>
      <c r="DS181" s="256"/>
      <c r="DT181" s="256"/>
      <c r="DU181" s="273"/>
      <c r="DV181" s="256"/>
      <c r="DW181" s="256"/>
      <c r="DX181" s="256"/>
      <c r="DY181" s="256"/>
      <c r="DZ181" s="256"/>
      <c r="EA181" s="256"/>
      <c r="EB181" s="273"/>
      <c r="EC181" s="256"/>
      <c r="ED181" s="256"/>
      <c r="EE181" s="256"/>
      <c r="EF181" s="256"/>
      <c r="EG181" s="256"/>
      <c r="EH181" s="256"/>
      <c r="EI181" s="256"/>
      <c r="EJ181" s="256"/>
      <c r="EK181" s="256"/>
      <c r="EL181" s="256"/>
      <c r="EM181" s="256"/>
      <c r="EN181" s="256"/>
      <c r="EO181" s="256"/>
      <c r="EP181" s="256"/>
      <c r="EQ181" s="256"/>
      <c r="ER181" s="256"/>
      <c r="ES181" s="256"/>
      <c r="ET181" s="256"/>
      <c r="EU181" s="256"/>
      <c r="EV181" s="256"/>
      <c r="EW181" s="256"/>
      <c r="EX181" s="256"/>
      <c r="EY181" s="256"/>
      <c r="EZ181" s="256"/>
      <c r="FA181" s="256"/>
      <c r="FB181" s="256"/>
      <c r="FC181" s="256"/>
      <c r="FD181" s="256"/>
      <c r="FE181" s="256"/>
      <c r="FF181" s="256"/>
      <c r="FG181" s="256"/>
      <c r="FH181" s="256"/>
      <c r="FI181" s="256"/>
      <c r="FJ181" s="256"/>
      <c r="FK181" s="256"/>
      <c r="FL181" s="256"/>
      <c r="FM181" s="256"/>
      <c r="FN181" s="256"/>
      <c r="FO181" s="256"/>
      <c r="FP181" s="256"/>
      <c r="FQ181" s="256"/>
      <c r="FR181" s="256"/>
      <c r="FS181" s="256"/>
      <c r="FT181" s="256"/>
      <c r="FU181" s="256"/>
      <c r="FV181" s="256"/>
      <c r="FW181" s="256"/>
      <c r="FX181" s="256"/>
      <c r="FY181" s="256"/>
      <c r="FZ181" s="256"/>
      <c r="GA181" s="256"/>
      <c r="GB181" s="256"/>
      <c r="GC181" s="256"/>
      <c r="GD181" s="256"/>
      <c r="GE181" s="256"/>
      <c r="GF181" s="256"/>
      <c r="GG181" s="256"/>
      <c r="GH181" s="256"/>
      <c r="GI181" s="256"/>
      <c r="GJ181" s="256"/>
      <c r="GK181" s="256"/>
      <c r="GL181" s="256"/>
      <c r="GM181" s="256"/>
      <c r="GN181" s="256"/>
      <c r="GO181" s="256"/>
      <c r="GP181" s="256"/>
      <c r="GQ181" s="256"/>
      <c r="GR181" s="256"/>
      <c r="GS181" s="256"/>
      <c r="GT181" s="256"/>
      <c r="GU181" s="256"/>
      <c r="GV181" s="256"/>
      <c r="GW181" s="256"/>
      <c r="GX181" s="256"/>
      <c r="GY181" s="256"/>
      <c r="GZ181" s="256"/>
      <c r="HA181" s="256"/>
      <c r="HB181" s="256"/>
      <c r="HC181" s="256"/>
      <c r="HD181" s="256"/>
      <c r="HE181" s="256"/>
      <c r="HF181" s="256"/>
      <c r="HG181" s="256"/>
      <c r="HH181" s="256"/>
      <c r="HI181" s="256"/>
      <c r="HJ181" s="256"/>
      <c r="HK181" s="256"/>
      <c r="HL181" s="256"/>
      <c r="HM181" s="256"/>
      <c r="HN181" s="256"/>
      <c r="HO181" s="256"/>
      <c r="HP181" s="256"/>
      <c r="HQ181" s="256"/>
      <c r="HR181" s="256"/>
      <c r="HS181" s="256"/>
      <c r="HT181" s="256"/>
      <c r="HU181" s="256"/>
      <c r="HV181" s="256"/>
      <c r="HW181" s="256"/>
      <c r="HX181" s="256"/>
      <c r="HY181" s="256"/>
      <c r="HZ181" s="256"/>
      <c r="IA181" s="256"/>
      <c r="IB181" s="256"/>
      <c r="IC181" s="256"/>
      <c r="ID181" s="256"/>
      <c r="IE181" s="256"/>
      <c r="IF181" s="256"/>
      <c r="IG181" s="328"/>
      <c r="IH181" s="287"/>
      <c r="II181" s="287"/>
      <c r="IJ181" s="287"/>
      <c r="IK181" s="287"/>
      <c r="IL181" s="287"/>
      <c r="IM181" s="328"/>
      <c r="IN181" s="287"/>
      <c r="IO181" s="287"/>
      <c r="IP181" s="287"/>
      <c r="IQ181" s="287"/>
      <c r="IR181" s="287"/>
      <c r="IS181" s="328"/>
      <c r="IT181" s="287"/>
      <c r="IU181" s="287"/>
      <c r="IV181" s="287"/>
      <c r="IW181" s="287"/>
      <c r="IX181" s="287"/>
      <c r="IY181" s="328"/>
      <c r="IZ181" s="287"/>
      <c r="JA181" s="287"/>
      <c r="JB181" s="287"/>
      <c r="JC181" s="287"/>
      <c r="JD181" s="329"/>
      <c r="JF181" s="66"/>
      <c r="JG181" s="66"/>
      <c r="JH181" s="66"/>
      <c r="JI181" s="66"/>
      <c r="JJ181" s="66"/>
      <c r="JK181" s="33"/>
      <c r="JL181" s="74"/>
      <c r="JM181" s="75"/>
      <c r="JN181" s="75"/>
      <c r="JO181" s="74"/>
      <c r="JP181" s="74"/>
    </row>
    <row r="182" spans="1:276" hidden="1" outlineLevel="1" x14ac:dyDescent="0.35">
      <c r="A182" s="125" t="s">
        <v>805</v>
      </c>
      <c r="B182" s="125" t="s">
        <v>805</v>
      </c>
      <c r="C182" s="125" t="s">
        <v>805</v>
      </c>
      <c r="E182" s="142" t="s">
        <v>895</v>
      </c>
      <c r="F182" s="254" t="s">
        <v>780</v>
      </c>
      <c r="G182" t="s">
        <v>542</v>
      </c>
      <c r="H182" t="s">
        <v>531</v>
      </c>
      <c r="I182" t="s">
        <v>534</v>
      </c>
      <c r="J182" s="211" t="s">
        <v>805</v>
      </c>
      <c r="K182" t="s">
        <v>805</v>
      </c>
      <c r="L182" t="s">
        <v>805</v>
      </c>
      <c r="M182" t="s">
        <v>805</v>
      </c>
      <c r="N182" t="s">
        <v>805</v>
      </c>
      <c r="O182" t="s">
        <v>805</v>
      </c>
      <c r="P182" t="s">
        <v>805</v>
      </c>
      <c r="Q182" t="s">
        <v>805</v>
      </c>
      <c r="R182" t="s">
        <v>805</v>
      </c>
      <c r="S182" t="s">
        <v>805</v>
      </c>
      <c r="T182" t="s">
        <v>805</v>
      </c>
      <c r="U182" t="s">
        <v>805</v>
      </c>
      <c r="V182" t="s">
        <v>805</v>
      </c>
      <c r="W182" t="s">
        <v>805</v>
      </c>
      <c r="X182" t="s">
        <v>805</v>
      </c>
      <c r="Y182" t="s">
        <v>805</v>
      </c>
      <c r="Z182" t="s">
        <v>805</v>
      </c>
      <c r="AA182" t="s">
        <v>805</v>
      </c>
      <c r="AB182" t="s">
        <v>805</v>
      </c>
      <c r="AC182" t="s">
        <v>805</v>
      </c>
      <c r="AD182" t="s">
        <v>805</v>
      </c>
      <c r="AE182" t="s">
        <v>805</v>
      </c>
      <c r="AF182" t="s">
        <v>805</v>
      </c>
      <c r="AG182" t="s">
        <v>805</v>
      </c>
      <c r="AH182" t="s">
        <v>805</v>
      </c>
      <c r="AI182" t="s">
        <v>805</v>
      </c>
      <c r="AJ182" t="s">
        <v>805</v>
      </c>
      <c r="AK182" t="s">
        <v>805</v>
      </c>
      <c r="AL182" t="s">
        <v>805</v>
      </c>
      <c r="AM182" t="s">
        <v>805</v>
      </c>
      <c r="AN182" t="s">
        <v>805</v>
      </c>
      <c r="AO182" t="s">
        <v>805</v>
      </c>
      <c r="AP182" t="s">
        <v>805</v>
      </c>
      <c r="AQ182" t="s">
        <v>805</v>
      </c>
      <c r="AR182" t="s">
        <v>805</v>
      </c>
      <c r="AS182" t="s">
        <v>805</v>
      </c>
      <c r="AT182" t="s">
        <v>805</v>
      </c>
      <c r="AU182" t="s">
        <v>805</v>
      </c>
      <c r="AV182" t="s">
        <v>805</v>
      </c>
      <c r="AW182" t="s">
        <v>805</v>
      </c>
      <c r="AX182" t="s">
        <v>805</v>
      </c>
      <c r="AY182" t="s">
        <v>805</v>
      </c>
      <c r="AZ182" t="s">
        <v>805</v>
      </c>
      <c r="BA182" t="s">
        <v>805</v>
      </c>
      <c r="BB182" t="s">
        <v>805</v>
      </c>
      <c r="BC182" t="s">
        <v>805</v>
      </c>
      <c r="BD182" t="s">
        <v>805</v>
      </c>
      <c r="BE182" t="s">
        <v>805</v>
      </c>
      <c r="BF182" t="s">
        <v>805</v>
      </c>
      <c r="BG182" t="s">
        <v>805</v>
      </c>
      <c r="BH182" t="s">
        <v>805</v>
      </c>
      <c r="BI182" t="s">
        <v>805</v>
      </c>
      <c r="BJ182" t="s">
        <v>805</v>
      </c>
      <c r="BK182" t="s">
        <v>805</v>
      </c>
      <c r="BL182" t="s">
        <v>805</v>
      </c>
      <c r="BM182" t="s">
        <v>805</v>
      </c>
      <c r="BN182" t="s">
        <v>805</v>
      </c>
      <c r="BO182" t="s">
        <v>805</v>
      </c>
      <c r="BP182" t="s">
        <v>805</v>
      </c>
      <c r="BQ182" t="s">
        <v>805</v>
      </c>
      <c r="BR182" t="s">
        <v>805</v>
      </c>
      <c r="BS182" t="s">
        <v>805</v>
      </c>
      <c r="BT182" t="s">
        <v>805</v>
      </c>
      <c r="BU182" t="s">
        <v>805</v>
      </c>
      <c r="BV182" t="s">
        <v>805</v>
      </c>
      <c r="BW182" t="s">
        <v>805</v>
      </c>
      <c r="BX182" t="s">
        <v>805</v>
      </c>
      <c r="BY182" t="s">
        <v>805</v>
      </c>
      <c r="BZ182" t="s">
        <v>805</v>
      </c>
      <c r="CA182" t="s">
        <v>805</v>
      </c>
      <c r="CB182" t="s">
        <v>805</v>
      </c>
      <c r="CC182" t="s">
        <v>805</v>
      </c>
      <c r="CD182" t="s">
        <v>805</v>
      </c>
      <c r="CE182" t="s">
        <v>805</v>
      </c>
      <c r="CF182" t="s">
        <v>805</v>
      </c>
      <c r="CG182" t="s">
        <v>805</v>
      </c>
      <c r="CH182" t="s">
        <v>805</v>
      </c>
      <c r="CI182" t="s">
        <v>805</v>
      </c>
      <c r="CJ182" t="s">
        <v>805</v>
      </c>
      <c r="CK182" t="s">
        <v>805</v>
      </c>
      <c r="CL182" t="s">
        <v>805</v>
      </c>
      <c r="CM182" t="s">
        <v>805</v>
      </c>
      <c r="CN182" t="s">
        <v>805</v>
      </c>
      <c r="CO182" t="s">
        <v>805</v>
      </c>
      <c r="CP182" t="s">
        <v>805</v>
      </c>
      <c r="CQ182" t="s">
        <v>805</v>
      </c>
      <c r="CR182" t="s">
        <v>805</v>
      </c>
      <c r="CS182" t="s">
        <v>805</v>
      </c>
      <c r="CT182" t="s">
        <v>805</v>
      </c>
      <c r="CU182" t="s">
        <v>805</v>
      </c>
      <c r="CV182" t="s">
        <v>805</v>
      </c>
      <c r="CW182" t="s">
        <v>805</v>
      </c>
      <c r="CX182" t="s">
        <v>805</v>
      </c>
      <c r="CY182" t="s">
        <v>805</v>
      </c>
      <c r="CZ182" t="s">
        <v>805</v>
      </c>
      <c r="DA182" t="s">
        <v>805</v>
      </c>
      <c r="DB182" t="s">
        <v>805</v>
      </c>
      <c r="DC182" t="s">
        <v>805</v>
      </c>
      <c r="DD182" t="s">
        <v>805</v>
      </c>
      <c r="DE182" t="s">
        <v>805</v>
      </c>
      <c r="DF182" t="s">
        <v>805</v>
      </c>
      <c r="DG182" s="28">
        <f>VLOOKUP(E182,'KPI Count-SHARE'!A:F,3,0)</f>
        <v>0</v>
      </c>
      <c r="DH182">
        <v>0</v>
      </c>
      <c r="DI182" t="s">
        <v>805</v>
      </c>
      <c r="DJ182" t="s">
        <v>805</v>
      </c>
      <c r="DK182" t="s">
        <v>805</v>
      </c>
      <c r="DL182" t="s">
        <v>805</v>
      </c>
      <c r="DM182" t="s">
        <v>805</v>
      </c>
      <c r="DN182" s="28">
        <f>VLOOKUP(E182,'KPI Count-SHARE'!A:F,4,0)</f>
        <v>0</v>
      </c>
      <c r="DU182" s="28">
        <f>VLOOKUP(E182,'KPI Count-SHARE'!A:F,5,0)</f>
        <v>0</v>
      </c>
      <c r="EB182" s="28">
        <f>VLOOKUP(E182,'KPI Count-SHARE'!A:F,6,0)</f>
        <v>0</v>
      </c>
      <c r="EI182" t="s">
        <v>531</v>
      </c>
      <c r="EJ182" s="41" t="str">
        <f t="shared" ref="EJ182:EJ191" si="1915">IFERROR(IF(ISBLANK(J182), "-", IF(OR($I182="c",$I182="r"), J182*$I$5, J182)),"-")</f>
        <v/>
      </c>
      <c r="EK182" s="41" t="str">
        <f t="shared" ref="EK182:EK191" si="1916">IFERROR(IF(ISBLANK(K182), "-", IF($I182="c", K182*$I$5, K182)),"-")</f>
        <v/>
      </c>
      <c r="EL182" s="41" t="str">
        <f t="shared" ref="EL182:EL191" si="1917">IFERROR(IF(ISBLANK(L182), "-", IF($I182="c", L182*$I$5, L182)),"-")</f>
        <v/>
      </c>
      <c r="EM182" s="41" t="str">
        <f t="shared" ref="EM182:EM191" si="1918">IFERROR(IF(ISBLANK(M182), "-", IF($I182="c", M182*$I$5,M182)),"-")</f>
        <v/>
      </c>
      <c r="EN182" s="41" t="str">
        <f t="shared" ref="EN182:EN191" si="1919">IFERROR(IF(ISBLANK(N182), "-", IF($I182="c", N182*$I$5, N182)),"-")</f>
        <v/>
      </c>
      <c r="EO182" s="41" t="str">
        <f t="shared" ref="EO182:EO191" si="1920">IFERROR(IF(ISBLANK(O182), "-", IF($I182="c", O182*$I$5,O182)),"-")</f>
        <v/>
      </c>
      <c r="EP182" s="41" t="str">
        <f t="shared" ref="EP182:EP191" si="1921">IFERROR(IF(ISBLANK(P182), "-", IF($I182="c", P182*$I$5, P182)),"-")</f>
        <v/>
      </c>
      <c r="EQ182" s="41" t="str">
        <f t="shared" ref="EQ182:EQ191" si="1922">IFERROR(IF(ISBLANK(Q182), "-", IF($I182="c", Q182*$I$5, Q182)),"-")</f>
        <v/>
      </c>
      <c r="ER182" s="41" t="str">
        <f t="shared" ref="ER182:ER191" si="1923">IFERROR(IF(ISBLANK(R182), "-", IF($I182="c", R182*$I$5, R182)),"-")</f>
        <v/>
      </c>
      <c r="ES182" s="41" t="str">
        <f t="shared" ref="ES182:ES191" si="1924">IFERROR(IF(ISBLANK(S182), "-", IF($I182="c", S182*$I$5, S182)),"-")</f>
        <v/>
      </c>
      <c r="ET182" s="41" t="str">
        <f t="shared" ref="ET182:ET191" si="1925">IFERROR(IF(ISBLANK(T182), "-", IF($I182="c", T182*$I$5, T182)),"-")</f>
        <v/>
      </c>
      <c r="EU182" s="41" t="str">
        <f t="shared" ref="EU182:EU191" si="1926">IFERROR(IF(ISBLANK(U182), "-", IF($I182="c", U182*$I$5, U182)),"-")</f>
        <v/>
      </c>
      <c r="EV182" s="41" t="str">
        <f t="shared" ref="EV182:EV191" si="1927">IFERROR(IF(ISBLANK(V182), "-", IF($I182="c", V182*$I$5, V182)),"-")</f>
        <v/>
      </c>
      <c r="EW182" s="41" t="str">
        <f t="shared" ref="EW182:EW191" si="1928">IFERROR(IF(ISBLANK(W182), "-", IF($I182="c", W182*$I$5, W182)),"-")</f>
        <v/>
      </c>
      <c r="EX182" s="41" t="str">
        <f t="shared" ref="EX182:EX191" si="1929">IFERROR(IF(ISBLANK(X182), "-", IF($I182="c", X182*$I$5, X182)),"-")</f>
        <v/>
      </c>
      <c r="EY182" s="41" t="str">
        <f t="shared" ref="EY182:EY191" si="1930">IFERROR(IF(ISBLANK(Y182), "-", IF($I182="c", Y182*$I$5, Y182)),"-")</f>
        <v/>
      </c>
      <c r="EZ182" s="41" t="str">
        <f t="shared" ref="EZ182:EZ191" si="1931">IFERROR(IF(ISBLANK(Z182), "-", IF($I182="c", Z182*$I$5, Z182)),"-")</f>
        <v/>
      </c>
      <c r="FA182" s="41" t="str">
        <f t="shared" ref="FA182:FA191" si="1932">IFERROR(IF(ISBLANK(AA182), "-", IF($I182="c", AA182*$I$5, AA182)),"-")</f>
        <v/>
      </c>
      <c r="FB182" s="41" t="str">
        <f t="shared" ref="FB182:FB191" si="1933">IFERROR(IF(ISBLANK(AB182), "-", IF($I182="c", AB182*$I$5, AB182)),"-")</f>
        <v/>
      </c>
      <c r="FC182" s="41" t="str">
        <f t="shared" ref="FC182:FC191" si="1934">IFERROR(IF(ISBLANK(AC182), "-", IF($I182="c", AC182*$I$5, AC182)),"-")</f>
        <v/>
      </c>
      <c r="FD182" s="41" t="str">
        <f t="shared" ref="FD182:FD191" si="1935">IFERROR(IF(ISBLANK(AD182), "-", IF($I182="c", AD182*$I$5, AD182)),"-")</f>
        <v/>
      </c>
      <c r="FE182" s="41" t="str">
        <f t="shared" ref="FE182:FE191" si="1936">IFERROR(IF(ISBLANK(AE182), "-", IF($I182="c", AE182*$I$5, AE182)),"-")</f>
        <v/>
      </c>
      <c r="FF182" s="41" t="str">
        <f t="shared" ref="FF182:FF191" si="1937">IFERROR(IF(ISBLANK(AF182), "-", IF($I182="c", AF182*$I$5, AF182)),"-")</f>
        <v/>
      </c>
      <c r="FG182" s="41" t="str">
        <f t="shared" ref="FG182:FG191" si="1938">IFERROR(IF(ISBLANK(AG182), "-", IF($I182="c", AG182*$I$5, AG182)),"-")</f>
        <v/>
      </c>
      <c r="FH182" s="41" t="str">
        <f t="shared" ref="FH182:FH191" si="1939">IFERROR(IF(ISBLANK(AH182), "-", IF($I182="c", AH182*$I$5, AH182)),"-")</f>
        <v/>
      </c>
      <c r="FI182" s="41" t="str">
        <f t="shared" ref="FI182:FI191" si="1940">IFERROR(IF(ISBLANK(AI182), "-", IF($I182="c", AI182*$I$5, AI182)),"-")</f>
        <v/>
      </c>
      <c r="FJ182" s="41" t="str">
        <f t="shared" ref="FJ182:FJ191" si="1941">IFERROR(IF(ISBLANK(AJ182), "-", IF($I182="c", AJ182*$I$5, AJ182)),"-")</f>
        <v/>
      </c>
      <c r="FK182" s="41" t="str">
        <f t="shared" ref="FK182:FK191" si="1942">IFERROR(IF(ISBLANK(AK182), "-", IF($I182="c", AK182*$I$5, AK182)),"-")</f>
        <v/>
      </c>
      <c r="FL182" s="41" t="str">
        <f t="shared" ref="FL182:FL191" si="1943">IFERROR(IF(ISBLANK(AL182), "-", IF($I182="c", AL182*$I$5, AL182)),"-")</f>
        <v/>
      </c>
      <c r="FM182" s="41" t="str">
        <f t="shared" ref="FM182:FM191" si="1944">IFERROR(IF(ISBLANK(AM182), "-", IF($I182="c", AM182*$I$5, AM182)),"-")</f>
        <v/>
      </c>
      <c r="FN182" s="41" t="str">
        <f t="shared" ref="FN182:FN191" si="1945">IFERROR(IF(ISBLANK(AN182), "-", IF($I182="c", AN182*$I$5, AN182)),"-")</f>
        <v/>
      </c>
      <c r="FO182" s="41" t="str">
        <f t="shared" ref="FO182:FO191" si="1946">IFERROR(IF(ISBLANK(AO182), "-", IF($I182="c", AO182*$I$5, AO182)),"-")</f>
        <v/>
      </c>
      <c r="FP182" s="41" t="str">
        <f t="shared" ref="FP182:FP191" si="1947">IFERROR(IF(ISBLANK(AP182), "-", IF($I182="c", AP182*$I$5, AP182)),"-")</f>
        <v/>
      </c>
      <c r="FQ182" s="41" t="str">
        <f t="shared" ref="FQ182:FQ191" si="1948">IFERROR(IF(ISBLANK(AQ182), "-", IF($I182="c", AQ182*$I$5, AQ182)),"-")</f>
        <v/>
      </c>
      <c r="FR182" s="41" t="str">
        <f t="shared" ref="FR182:FR191" si="1949">IFERROR(IF(ISBLANK(AR182), "-", IF($I182="c", AR182*$I$5, AR182)),"-")</f>
        <v/>
      </c>
      <c r="FS182" s="41" t="str">
        <f t="shared" ref="FS182:FS191" si="1950">IFERROR(IF(ISBLANK(AS182), "-", IF($I182="c", AS182*$I$5, AS182)),"-")</f>
        <v/>
      </c>
      <c r="FT182" s="41" t="str">
        <f t="shared" ref="FT182:FT191" si="1951">IFERROR(IF(ISBLANK(AT182), "-", IF($I182="c", AT182*$I$5, AT182)),"-")</f>
        <v/>
      </c>
      <c r="FU182" s="41" t="str">
        <f t="shared" ref="FU182:FU191" si="1952">IFERROR(IF(ISBLANK(AU182), "-", IF($I182="c", AU182*$I$5, AU182)),"-")</f>
        <v/>
      </c>
      <c r="FV182" s="41" t="str">
        <f t="shared" ref="FV182:FV191" si="1953">IFERROR(IF(ISBLANK(AV182), "-", IF($I182="c", AV182*$I$5, AV182)),"-")</f>
        <v/>
      </c>
      <c r="FW182" s="41" t="str">
        <f t="shared" ref="FW182:FW191" si="1954">IFERROR(IF(ISBLANK(AW182), "-", IF($I182="c", AW182*$I$5, AW182)),"-")</f>
        <v/>
      </c>
      <c r="FX182" s="41" t="str">
        <f t="shared" ref="FX182:FX191" si="1955">IFERROR(IF(ISBLANK(AX182), "-", IF($I182="c", AX182*$I$5, AX182)),"-")</f>
        <v/>
      </c>
      <c r="FY182" s="41" t="str">
        <f t="shared" ref="FY182:FY191" si="1956">IFERROR(IF(ISBLANK(AY182), "-", IF($I182="c", AY182*$I$5, AY182)),"-")</f>
        <v/>
      </c>
      <c r="FZ182" s="41" t="str">
        <f t="shared" ref="FZ182:FZ191" si="1957">IFERROR(IF(ISBLANK(AZ182), "-", IF($I182="c", AZ182*$I$5, AZ182)),"-")</f>
        <v/>
      </c>
      <c r="GA182" s="41" t="str">
        <f t="shared" ref="GA182:GA191" si="1958">IFERROR(IF(ISBLANK(BA182), "-", IF($I182="c", BA182*$I$5, BA182)),"-")</f>
        <v/>
      </c>
      <c r="GB182" s="41" t="str">
        <f t="shared" ref="GB182:GB191" si="1959">IFERROR(IF(ISBLANK(BB182), "-", IF($I182="c", BB182*$I$5, BB182)),"-")</f>
        <v/>
      </c>
      <c r="GC182" s="41" t="str">
        <f t="shared" ref="GC182:GC191" si="1960">IFERROR(IF(ISBLANK(BC182), "-", IF($I182="c", BC182*$I$5, BC182)),"-")</f>
        <v/>
      </c>
      <c r="GD182" s="41" t="str">
        <f t="shared" ref="GD182:GD191" si="1961">IFERROR(IF(ISBLANK(BD182), "-", IF($I182="c", BD182*$I$5, BD182)),"-")</f>
        <v/>
      </c>
      <c r="GE182" s="41" t="str">
        <f t="shared" ref="GE182:GE191" si="1962">IFERROR(IF(ISBLANK(BE182), "-", IF($I182="c", BE182*$I$5, BE182)),"-")</f>
        <v/>
      </c>
      <c r="GF182" s="41" t="str">
        <f t="shared" ref="GF182:GF191" si="1963">IFERROR(IF(ISBLANK(BF182), "-", IF($I182="c", BF182*$I$5, BF182)),"-")</f>
        <v/>
      </c>
      <c r="GG182" s="41" t="str">
        <f t="shared" ref="GG182:GG191" si="1964">IFERROR(IF(ISBLANK(BG182), "-", IF($I182="c", BG182*$I$5, BG182)),"-")</f>
        <v/>
      </c>
      <c r="GH182" s="41" t="str">
        <f t="shared" ref="GH182:GH191" si="1965">IFERROR(IF(ISBLANK(BH182), "-", IF($I182="c", BH182*$I$5, BH182)),"-")</f>
        <v/>
      </c>
      <c r="GI182" s="41" t="str">
        <f t="shared" ref="GI182:GI191" si="1966">IFERROR(IF(ISBLANK(BI182), "-", IF($I182="c", BI182*$I$5, BI182)),"-")</f>
        <v/>
      </c>
      <c r="GJ182" s="41" t="str">
        <f t="shared" ref="GJ182:GJ191" si="1967">IFERROR(IF(ISBLANK(BJ182), "-", IF($I182="c", BJ182*$I$5, BJ182)),"-")</f>
        <v/>
      </c>
      <c r="GK182" s="41" t="str">
        <f t="shared" ref="GK182:GK191" si="1968">IFERROR(IF(ISBLANK(BK182), "-", IF($I182="c", BK182*$I$5, BK182)),"-")</f>
        <v/>
      </c>
      <c r="GL182" s="41" t="str">
        <f t="shared" ref="GL182:GL191" si="1969">IFERROR(IF(ISBLANK(BL182), "-", IF($I182="c", BL182*$I$5, BL182)),"-")</f>
        <v/>
      </c>
      <c r="GM182" s="41" t="str">
        <f t="shared" ref="GM182:GM191" si="1970">IFERROR(IF(ISBLANK(BM182), "-", IF($I182="c", BM182*$I$5, BM182)),"-")</f>
        <v/>
      </c>
      <c r="GN182" s="41" t="str">
        <f t="shared" ref="GN182:GN191" si="1971">IFERROR(IF(ISBLANK(BN182), "-", IF($I182="c", BN182*$I$5, BN182)),"-")</f>
        <v/>
      </c>
      <c r="GO182" s="41" t="str">
        <f t="shared" ref="GO182:GO191" si="1972">IFERROR(IF(ISBLANK(BO182), "-", IF($I182="c", BO182*$I$5, BO182)),"-")</f>
        <v/>
      </c>
      <c r="GP182" s="41" t="str">
        <f t="shared" ref="GP182:GP191" si="1973">IFERROR(IF(ISBLANK(BP182), "-", IF($I182="c", BP182*$I$5, BP182)),"-")</f>
        <v/>
      </c>
      <c r="GQ182" s="41" t="str">
        <f t="shared" ref="GQ182:GQ191" si="1974">IFERROR(IF(ISBLANK(BQ182), "-", IF($I182="c", BQ182*$I$5, BQ182)),"-")</f>
        <v/>
      </c>
      <c r="GR182" s="41" t="str">
        <f t="shared" ref="GR182:GR191" si="1975">IFERROR(IF(ISBLANK(BR182), "-", IF($I182="c", BR182*$I$5, BR182)),"-")</f>
        <v/>
      </c>
      <c r="GS182" s="41" t="str">
        <f t="shared" ref="GS182:GS191" si="1976">IFERROR(IF(ISBLANK(BS182), "-", IF($I182="c", BS182*$I$5, BS182)),"-")</f>
        <v/>
      </c>
      <c r="GT182" s="41" t="str">
        <f t="shared" ref="GT182:GT191" si="1977">IFERROR(IF(ISBLANK(BT182), "-", IF($I182="c", BT182*$I$5, BT182)),"-")</f>
        <v/>
      </c>
      <c r="GU182" s="41" t="str">
        <f t="shared" ref="GU182:GU191" si="1978">IFERROR(IF(ISBLANK(BU182), "-", IF($I182="c", BU182*$I$5, BU182)),"-")</f>
        <v/>
      </c>
      <c r="GV182" s="41" t="str">
        <f t="shared" ref="GV182:GV191" si="1979">IFERROR(IF(ISBLANK(BV182), "-", IF($I182="c", BV182*$I$5, BV182)),"-")</f>
        <v/>
      </c>
      <c r="GW182" s="41" t="str">
        <f t="shared" ref="GW182:GW191" si="1980">IFERROR(IF(ISBLANK(BW182), "-", IF($I182="c", BW182*$I$5, BW182)),"-")</f>
        <v/>
      </c>
      <c r="GX182" s="41" t="str">
        <f t="shared" ref="GX182:GX191" si="1981">IFERROR(IF(ISBLANK(BX182), "-", IF($I182="c", BX182*$I$5, BX182)),"-")</f>
        <v/>
      </c>
      <c r="GY182" s="41" t="str">
        <f t="shared" ref="GY182:GY191" si="1982">IFERROR(IF(ISBLANK(BY182), "-", IF($I182="c", BY182*$I$5, BY182)),"-")</f>
        <v/>
      </c>
      <c r="GZ182" s="41" t="str">
        <f t="shared" ref="GZ182:GZ191" si="1983">IFERROR(IF(ISBLANK(BZ182), "-", IF($I182="c", BZ182*$I$5, BZ182)),"-")</f>
        <v/>
      </c>
      <c r="HA182" s="41" t="str">
        <f t="shared" ref="HA182:HA191" si="1984">IFERROR(IF(ISBLANK(CA182), "-", IF($I182="c", CA182*$I$5, CA182)),"-")</f>
        <v/>
      </c>
      <c r="HB182" s="41" t="str">
        <f t="shared" ref="HB182:HB191" si="1985">IFERROR(IF(ISBLANK(CB182), "-", IF($I182="c", CB182*$I$5, CB182)),"-")</f>
        <v/>
      </c>
      <c r="HC182" s="41" t="str">
        <f t="shared" ref="HC182:HC191" si="1986">IFERROR(IF(ISBLANK(CC182), "-", IF($I182="c", CC182*$I$5, CC182)),"-")</f>
        <v/>
      </c>
      <c r="HD182" s="41" t="str">
        <f t="shared" ref="HD182:HD191" si="1987">IFERROR(IF(ISBLANK(CD182), "-", IF($I182="c", CD182*$I$5, CD182)),"-")</f>
        <v/>
      </c>
      <c r="HE182" s="41" t="str">
        <f t="shared" ref="HE182:HE191" si="1988">IFERROR(IF(ISBLANK(CE182), "-", IF($I182="c", CE182*$I$5, CE182)),"-")</f>
        <v/>
      </c>
      <c r="HF182" s="41" t="str">
        <f t="shared" ref="HF182:HF191" si="1989">IFERROR(IF(ISBLANK(CF182), "-", IF($I182="c", CF182*$I$5, CF182)),"-")</f>
        <v/>
      </c>
      <c r="HG182" s="41" t="str">
        <f t="shared" ref="HG182:HG191" si="1990">IFERROR(IF(ISBLANK(CG182), "-", IF($I182="c", CG182*$I$5, CG182)),"-")</f>
        <v/>
      </c>
      <c r="HH182" s="41" t="str">
        <f t="shared" ref="HH182:HH191" si="1991">IFERROR(IF(ISBLANK(CH182), "-", IF($I182="c", CH182*$I$5, CH182)),"-")</f>
        <v/>
      </c>
      <c r="HI182" s="41" t="str">
        <f t="shared" ref="HI182:HI191" si="1992">IFERROR(IF(ISBLANK(CI182), "-", IF($I182="c", CI182*$I$5, CI182)),"-")</f>
        <v/>
      </c>
      <c r="HJ182" s="41" t="str">
        <f t="shared" ref="HJ182:HJ191" si="1993">IFERROR(IF(ISBLANK(CJ182), "-", IF($I182="c", CJ182*$I$5, CJ182)),"-")</f>
        <v/>
      </c>
      <c r="HK182" s="41" t="str">
        <f t="shared" ref="HK182:HK191" si="1994">IFERROR(IF(ISBLANK(CK182), "-", IF($I182="c", CK182*$I$5, CK182)),"-")</f>
        <v/>
      </c>
      <c r="HL182" s="41" t="str">
        <f t="shared" ref="HL182:HL191" si="1995">IFERROR(IF(ISBLANK(CL182), "-", IF($I182="c", CL182*$I$5, CL182)),"-")</f>
        <v/>
      </c>
      <c r="HM182" s="41" t="str">
        <f t="shared" ref="HM182:HM191" si="1996">IFERROR(IF(ISBLANK(CM182), "-", IF($I182="c", CM182*$I$5, CM182)),"-")</f>
        <v/>
      </c>
      <c r="HN182" s="41" t="str">
        <f t="shared" ref="HN182:HN191" si="1997">IFERROR(IF(ISBLANK(CN182), "-", IF($I182="c", CN182*$I$5, CN182)),"-")</f>
        <v/>
      </c>
      <c r="HO182" s="41" t="str">
        <f t="shared" ref="HO182:HO191" si="1998">IFERROR(IF(ISBLANK(CO182), "-", IF($I182="c", CO182*$I$5, CO182)),"-")</f>
        <v/>
      </c>
      <c r="HP182" s="41" t="str">
        <f t="shared" ref="HP182:HP191" si="1999">IFERROR(IF(ISBLANK(CP182), "-", IF($I182="c", CP182*$I$5, CP182)),"-")</f>
        <v/>
      </c>
      <c r="HQ182" s="41" t="str">
        <f t="shared" ref="HQ182:HQ191" si="2000">IFERROR(IF(ISBLANK(CQ182), "-", IF($I182="c", CQ182*$I$5, CQ182)),"-")</f>
        <v/>
      </c>
      <c r="HR182" s="41" t="str">
        <f t="shared" ref="HR182:HR191" si="2001">IFERROR(IF(ISBLANK(CR182), "-", IF($I182="c", CR182*$I$5, CR182)),"-")</f>
        <v/>
      </c>
      <c r="HS182" s="41" t="str">
        <f t="shared" ref="HS182:HS191" si="2002">IFERROR(IF(ISBLANK(CS182), "-", IF($I182="c", CS182*$I$5, CS182)),"-")</f>
        <v/>
      </c>
      <c r="HT182" s="41" t="str">
        <f t="shared" ref="HT182:HT191" si="2003">IFERROR(IF(ISBLANK(CT182), "-", IF($I182="c", CT182*$I$5, CT182)),"-")</f>
        <v/>
      </c>
      <c r="HU182" s="41" t="str">
        <f t="shared" ref="HU182:HU191" si="2004">IFERROR(IF(ISBLANK(CU182), "-", IF($I182="c", CU182*$I$5, CU182)),"-")</f>
        <v/>
      </c>
      <c r="HV182" s="41" t="str">
        <f t="shared" ref="HV182:HV191" si="2005">IFERROR(IF(ISBLANK(CV182), "-", IF($I182="c", CV182*$I$5, CV182)),"-")</f>
        <v/>
      </c>
      <c r="HW182" s="41" t="str">
        <f t="shared" ref="HW182:HW191" si="2006">IFERROR(IF(ISBLANK(CW182), "-", IF($I182="c", CW182*$I$5, CW182)),"-")</f>
        <v/>
      </c>
      <c r="HX182" s="41" t="str">
        <f t="shared" ref="HX182:HX191" si="2007">IFERROR(IF(ISBLANK(CX182), "-", IF($I182="c", CX182*$I$5, CX182)),"-")</f>
        <v/>
      </c>
      <c r="HY182" s="41" t="str">
        <f t="shared" ref="HY182:HY191" si="2008">IFERROR(IF(ISBLANK(CY182), "-", IF($I182="c", CY182*$I$5, CY182)),"-")</f>
        <v/>
      </c>
      <c r="HZ182" s="41" t="str">
        <f t="shared" ref="HZ182:HZ191" si="2009">IFERROR(IF(ISBLANK(CZ182), "-", IF($I182="c", CZ182*$I$5, CZ182)),"-")</f>
        <v/>
      </c>
      <c r="IA182" s="41" t="str">
        <f t="shared" ref="IA182:IA191" si="2010">IFERROR(IF(ISBLANK(DA182), "-", IF($I182="c", DA182*$I$5, DA182)),"-")</f>
        <v/>
      </c>
      <c r="IB182" s="41" t="str">
        <f t="shared" ref="IB182:IB191" si="2011">IFERROR(IF(ISBLANK(DB182), "-", IF($I182="c", DB182*$I$5, DB182)),"-")</f>
        <v/>
      </c>
      <c r="IC182" s="41" t="str">
        <f t="shared" ref="IC182:IC191" si="2012">IFERROR(IF(ISBLANK(DC182), "-", IF($I182="c", DC182*$I$5, DC182)),"-")</f>
        <v/>
      </c>
      <c r="ID182" s="41" t="str">
        <f t="shared" ref="ID182:ID191" si="2013">IFERROR(IF(ISBLANK(DD182), "-", IF($I182="c", DD182*$I$5, DD182)),"-")</f>
        <v/>
      </c>
      <c r="IE182" s="41" t="str">
        <f t="shared" ref="IE182:IE191" si="2014">IFERROR(IF(ISBLANK(DE182), "-", IF($I182="c", DE182*$I$5, DE182)),"-")</f>
        <v/>
      </c>
      <c r="IF182" s="41" t="str">
        <f t="shared" ref="IF182:IF191" si="2015">IFERROR(IF(ISBLANK(DF182), "-", IF($I182="c", DF182*$I$5, DF182)),"-")</f>
        <v/>
      </c>
      <c r="IG182" s="306">
        <f t="shared" ref="IG182:IG191" si="2016">IFERROR(IF(ISBLANK(DH182), "-", IF($I182="c", DH182*$I$5, DH182)),"-")</f>
        <v>0</v>
      </c>
      <c r="IH182" s="44" t="str">
        <f t="shared" ref="IH182:IH192" si="2017">IFERROR(IF(ISBLANK(DI182), "-", IF($I182="c", DI182*$I$5, DI182)),"-")</f>
        <v/>
      </c>
      <c r="II182" s="44" t="str">
        <f t="shared" ref="II182:II192" si="2018">IFERROR(IF(ISBLANK(DJ182), "-", IF($I182="c", DJ182*$I$5, DJ182)),"-")</f>
        <v/>
      </c>
      <c r="IJ182" s="44" t="str">
        <f t="shared" ref="IJ182:IJ192" si="2019">IFERROR(IF(ISBLANK(DK182), "-", IF($I182="c", DK182*$I$5, DK182)),"-")</f>
        <v/>
      </c>
      <c r="IK182" s="44" t="str">
        <f t="shared" ref="IK182:IK192" si="2020">IFERROR(IF(ISBLANK(DL182), "-", IF($I182="c", DL182*$I$5, DL182)),"-")</f>
        <v/>
      </c>
      <c r="IL182" s="44" t="str">
        <f t="shared" ref="IL182:IL192" si="2021">IFERROR(IF(ISBLANK(DM182), "-", IF($I182="c", DM182*$I$5, DM182)),"-")</f>
        <v/>
      </c>
      <c r="IM182" s="306" t="str">
        <f t="shared" ref="IM182:IM191" si="2022">IFERROR(IF(ISBLANK(DO182), "", IF($I182="c",DO182*$I$5, DO182)),"-")</f>
        <v/>
      </c>
      <c r="IN182" s="44" t="str">
        <f t="shared" ref="IN182:IN192" si="2023">IFERROR(IF(ISBLANK(DP182), "", IF($I182="c",DP182*$I$5, DP182)),"-")</f>
        <v/>
      </c>
      <c r="IO182" s="44" t="str">
        <f t="shared" ref="IO182:IO192" si="2024">IFERROR(IF(ISBLANK(DQ182), "", IF($I182="c",DQ182*$I$5, DQ182)),"-")</f>
        <v/>
      </c>
      <c r="IP182" s="44" t="str">
        <f t="shared" ref="IP182:IP192" si="2025">IFERROR(IF(ISBLANK(DR182), "", IF($I182="c",DR182*$I$5, DR182)),"-")</f>
        <v/>
      </c>
      <c r="IQ182" s="44" t="str">
        <f t="shared" ref="IQ182:IQ192" si="2026">IFERROR(IF(ISBLANK(DS182), "", IF($I182="c",DS182*$I$5, DS182)),"-")</f>
        <v/>
      </c>
      <c r="IR182" s="44" t="str">
        <f t="shared" ref="IR182:IR192" si="2027">IFERROR(IF(ISBLANK(DT182), "", IF($I182="c",DT182*$I$5, DT182)),"-")</f>
        <v/>
      </c>
      <c r="IS182" s="306" t="str">
        <f t="shared" ref="IS182:IS191" si="2028">IFERROR(IF(ISBLANK(DV182), "", IF($I182="c", DV182*$I$5, DV182)),"-")</f>
        <v/>
      </c>
      <c r="IT182" s="44" t="str">
        <f t="shared" ref="IT182:IT192" si="2029">IFERROR(IF(ISBLANK(DW182), "", IF($I182="c", DW182*$I$5, DW182)),"-")</f>
        <v/>
      </c>
      <c r="IU182" s="44" t="str">
        <f t="shared" ref="IU182:IU192" si="2030">IFERROR(IF(ISBLANK(DX182), "", IF($I182="c", DX182*$I$5, DX182)),"-")</f>
        <v/>
      </c>
      <c r="IV182" s="44" t="str">
        <f t="shared" ref="IV182:IV192" si="2031">IFERROR(IF(ISBLANK(DY182), "", IF($I182="c", DY182*$I$5, DY182)),"-")</f>
        <v/>
      </c>
      <c r="IW182" s="44" t="str">
        <f t="shared" ref="IW182:IW192" si="2032">IFERROR(IF(ISBLANK(DZ182), "", IF($I182="c", DZ182*$I$5, DZ182)),"-")</f>
        <v/>
      </c>
      <c r="IX182" s="44" t="str">
        <f t="shared" ref="IX182:IX192" si="2033">IFERROR(IF(ISBLANK(EA182), "", IF($I182="c", EA182*$I$5, EA182)),"-")</f>
        <v/>
      </c>
      <c r="IY182" s="306" t="str">
        <f t="shared" ref="IY182:IY191" si="2034">IFERROR(IF(ISBLANK(EC182), "", IF($I182="c", EC182*$I$5, EC182)),"-")</f>
        <v/>
      </c>
      <c r="IZ182" s="44" t="str">
        <f t="shared" ref="IZ182:IZ192" si="2035">IFERROR(IF(ISBLANK(ED182), "", IF($I182="c", ED182*$I$5, ED182)),"-")</f>
        <v/>
      </c>
      <c r="JA182" s="44" t="str">
        <f t="shared" ref="JA182:JA192" si="2036">IFERROR(IF(ISBLANK(EE182), "", IF($I182="c", EE182*$I$5, EE182)),"-")</f>
        <v/>
      </c>
      <c r="JB182" s="44" t="str">
        <f t="shared" ref="JB182:JB192" si="2037">IFERROR(IF(ISBLANK(EF182), "", IF($I182="c", EF182*$I$5, EF182)),"-")</f>
        <v/>
      </c>
      <c r="JC182" s="44" t="str">
        <f t="shared" ref="JC182:JC192" si="2038">IFERROR(IF(ISBLANK(EG182), "", IF($I182="c", EG182*$I$5, EG182)),"-")</f>
        <v/>
      </c>
      <c r="JD182" s="307" t="str">
        <f t="shared" ref="JD182:JD192" si="2039">IFERROR(IF(ISBLANK(EH182), "", IF($I182="c", EH182*$I$5, EH182)),"-")</f>
        <v/>
      </c>
      <c r="JF182" s="66">
        <f t="shared" si="1424"/>
        <v>182</v>
      </c>
      <c r="JG182" s="66">
        <f t="shared" ca="1" si="1425"/>
        <v>0</v>
      </c>
      <c r="JH182" s="66">
        <f t="shared" ca="1" si="1426"/>
        <v>0</v>
      </c>
      <c r="JI182" s="66">
        <f t="shared" ca="1" si="1427"/>
        <v>0</v>
      </c>
      <c r="JJ182" s="66">
        <f t="shared" ca="1" si="1428"/>
        <v>0</v>
      </c>
      <c r="JK182" s="33"/>
      <c r="JL182" s="74" t="str">
        <f t="shared" ca="1" si="1429"/>
        <v>-</v>
      </c>
      <c r="JM182" s="75">
        <f t="shared" ca="1" si="1430"/>
        <v>0</v>
      </c>
      <c r="JN182" s="75">
        <f t="shared" ca="1" si="1431"/>
        <v>0</v>
      </c>
      <c r="JO182" s="74" t="str">
        <f t="shared" ca="1" si="1432"/>
        <v>-</v>
      </c>
      <c r="JP182" s="74">
        <f t="shared" ca="1" si="1433"/>
        <v>0</v>
      </c>
    </row>
    <row r="183" spans="1:276" hidden="1" outlineLevel="1" x14ac:dyDescent="0.35">
      <c r="A183" s="125" t="s">
        <v>805</v>
      </c>
      <c r="B183" s="125" t="s">
        <v>805</v>
      </c>
      <c r="C183" s="125" t="s">
        <v>805</v>
      </c>
      <c r="E183" s="142" t="s">
        <v>896</v>
      </c>
      <c r="F183" s="254" t="s">
        <v>781</v>
      </c>
      <c r="G183" t="s">
        <v>542</v>
      </c>
      <c r="H183" t="s">
        <v>531</v>
      </c>
      <c r="I183" t="s">
        <v>534</v>
      </c>
      <c r="J183" s="211" t="s">
        <v>805</v>
      </c>
      <c r="K183" t="s">
        <v>805</v>
      </c>
      <c r="L183" t="s">
        <v>805</v>
      </c>
      <c r="M183" t="s">
        <v>805</v>
      </c>
      <c r="N183" t="s">
        <v>805</v>
      </c>
      <c r="O183" t="s">
        <v>805</v>
      </c>
      <c r="P183" t="s">
        <v>805</v>
      </c>
      <c r="Q183" t="s">
        <v>805</v>
      </c>
      <c r="R183" t="s">
        <v>805</v>
      </c>
      <c r="S183" t="s">
        <v>805</v>
      </c>
      <c r="T183" t="s">
        <v>805</v>
      </c>
      <c r="U183" t="s">
        <v>805</v>
      </c>
      <c r="V183" t="s">
        <v>805</v>
      </c>
      <c r="W183" t="s">
        <v>805</v>
      </c>
      <c r="X183" t="s">
        <v>805</v>
      </c>
      <c r="Y183" t="s">
        <v>805</v>
      </c>
      <c r="Z183" t="s">
        <v>805</v>
      </c>
      <c r="AA183" t="s">
        <v>805</v>
      </c>
      <c r="AB183" t="s">
        <v>805</v>
      </c>
      <c r="AC183" t="s">
        <v>805</v>
      </c>
      <c r="AD183" t="s">
        <v>805</v>
      </c>
      <c r="AE183" t="s">
        <v>805</v>
      </c>
      <c r="AF183" t="s">
        <v>805</v>
      </c>
      <c r="AG183" t="s">
        <v>805</v>
      </c>
      <c r="AH183" t="s">
        <v>805</v>
      </c>
      <c r="AI183" t="s">
        <v>805</v>
      </c>
      <c r="AJ183" t="s">
        <v>805</v>
      </c>
      <c r="AK183" t="s">
        <v>805</v>
      </c>
      <c r="AL183" t="s">
        <v>805</v>
      </c>
      <c r="AM183" t="s">
        <v>805</v>
      </c>
      <c r="AN183" t="s">
        <v>805</v>
      </c>
      <c r="AO183" t="s">
        <v>805</v>
      </c>
      <c r="AP183" t="s">
        <v>805</v>
      </c>
      <c r="AQ183" t="s">
        <v>805</v>
      </c>
      <c r="AR183" t="s">
        <v>805</v>
      </c>
      <c r="AS183" t="s">
        <v>805</v>
      </c>
      <c r="AT183" t="s">
        <v>805</v>
      </c>
      <c r="AU183" t="s">
        <v>805</v>
      </c>
      <c r="AV183" t="s">
        <v>805</v>
      </c>
      <c r="AW183" t="s">
        <v>805</v>
      </c>
      <c r="AX183" t="s">
        <v>805</v>
      </c>
      <c r="AY183" t="s">
        <v>805</v>
      </c>
      <c r="AZ183" t="s">
        <v>805</v>
      </c>
      <c r="BA183" t="s">
        <v>805</v>
      </c>
      <c r="BB183" t="s">
        <v>805</v>
      </c>
      <c r="BC183" t="s">
        <v>805</v>
      </c>
      <c r="BD183" t="s">
        <v>805</v>
      </c>
      <c r="BE183" t="s">
        <v>805</v>
      </c>
      <c r="BF183" t="s">
        <v>805</v>
      </c>
      <c r="BG183" t="s">
        <v>805</v>
      </c>
      <c r="BH183" t="s">
        <v>805</v>
      </c>
      <c r="BI183" t="s">
        <v>805</v>
      </c>
      <c r="BJ183" t="s">
        <v>805</v>
      </c>
      <c r="BK183" t="s">
        <v>805</v>
      </c>
      <c r="BL183" t="s">
        <v>805</v>
      </c>
      <c r="BM183" t="s">
        <v>805</v>
      </c>
      <c r="BN183" t="s">
        <v>805</v>
      </c>
      <c r="BO183" t="s">
        <v>805</v>
      </c>
      <c r="BP183" t="s">
        <v>805</v>
      </c>
      <c r="BQ183" t="s">
        <v>805</v>
      </c>
      <c r="BR183" t="s">
        <v>805</v>
      </c>
      <c r="BS183" t="s">
        <v>805</v>
      </c>
      <c r="BT183" t="s">
        <v>805</v>
      </c>
      <c r="BU183" t="s">
        <v>805</v>
      </c>
      <c r="BV183" t="s">
        <v>805</v>
      </c>
      <c r="BW183" t="s">
        <v>805</v>
      </c>
      <c r="BX183" t="s">
        <v>805</v>
      </c>
      <c r="BY183" t="s">
        <v>805</v>
      </c>
      <c r="BZ183" t="s">
        <v>805</v>
      </c>
      <c r="CA183" t="s">
        <v>805</v>
      </c>
      <c r="CB183" t="s">
        <v>805</v>
      </c>
      <c r="CC183" t="s">
        <v>805</v>
      </c>
      <c r="CD183" t="s">
        <v>805</v>
      </c>
      <c r="CE183" t="s">
        <v>805</v>
      </c>
      <c r="CF183" t="s">
        <v>805</v>
      </c>
      <c r="CG183" t="s">
        <v>805</v>
      </c>
      <c r="CH183" t="s">
        <v>805</v>
      </c>
      <c r="CI183" t="s">
        <v>805</v>
      </c>
      <c r="CJ183" t="s">
        <v>805</v>
      </c>
      <c r="CK183" t="s">
        <v>805</v>
      </c>
      <c r="CL183" t="s">
        <v>805</v>
      </c>
      <c r="CM183" t="s">
        <v>805</v>
      </c>
      <c r="CN183" t="s">
        <v>805</v>
      </c>
      <c r="CO183" t="s">
        <v>805</v>
      </c>
      <c r="CP183" t="s">
        <v>805</v>
      </c>
      <c r="CQ183" t="s">
        <v>805</v>
      </c>
      <c r="CR183" t="s">
        <v>805</v>
      </c>
      <c r="CS183" t="s">
        <v>805</v>
      </c>
      <c r="CT183" t="s">
        <v>805</v>
      </c>
      <c r="CU183" t="s">
        <v>805</v>
      </c>
      <c r="CV183" t="s">
        <v>805</v>
      </c>
      <c r="CW183" t="s">
        <v>805</v>
      </c>
      <c r="CX183" t="s">
        <v>805</v>
      </c>
      <c r="CY183" t="s">
        <v>805</v>
      </c>
      <c r="CZ183" t="s">
        <v>805</v>
      </c>
      <c r="DA183" t="s">
        <v>805</v>
      </c>
      <c r="DB183" t="s">
        <v>805</v>
      </c>
      <c r="DC183" t="s">
        <v>805</v>
      </c>
      <c r="DD183" t="s">
        <v>805</v>
      </c>
      <c r="DE183" t="s">
        <v>805</v>
      </c>
      <c r="DF183" t="s">
        <v>805</v>
      </c>
      <c r="DG183" s="28">
        <f>VLOOKUP(E183,'KPI Count-SHARE'!A:F,3,0)</f>
        <v>0</v>
      </c>
      <c r="DH183">
        <v>0</v>
      </c>
      <c r="DI183" t="s">
        <v>805</v>
      </c>
      <c r="DJ183" t="s">
        <v>805</v>
      </c>
      <c r="DK183" t="s">
        <v>805</v>
      </c>
      <c r="DL183" t="s">
        <v>805</v>
      </c>
      <c r="DM183" t="s">
        <v>805</v>
      </c>
      <c r="DN183" s="28">
        <f>VLOOKUP(E183,'KPI Count-SHARE'!A:F,4,0)</f>
        <v>0</v>
      </c>
      <c r="DU183" s="28">
        <f>VLOOKUP(E183,'KPI Count-SHARE'!A:F,5,0)</f>
        <v>0</v>
      </c>
      <c r="EB183" s="28">
        <f>VLOOKUP(E183,'KPI Count-SHARE'!A:F,6,0)</f>
        <v>0</v>
      </c>
      <c r="EI183" t="s">
        <v>531</v>
      </c>
      <c r="EJ183" s="41" t="str">
        <f t="shared" si="1915"/>
        <v/>
      </c>
      <c r="EK183" s="41" t="str">
        <f t="shared" si="1916"/>
        <v/>
      </c>
      <c r="EL183" s="41" t="str">
        <f t="shared" si="1917"/>
        <v/>
      </c>
      <c r="EM183" s="41" t="str">
        <f t="shared" si="1918"/>
        <v/>
      </c>
      <c r="EN183" s="41" t="str">
        <f t="shared" si="1919"/>
        <v/>
      </c>
      <c r="EO183" s="41" t="str">
        <f t="shared" si="1920"/>
        <v/>
      </c>
      <c r="EP183" s="41" t="str">
        <f t="shared" si="1921"/>
        <v/>
      </c>
      <c r="EQ183" s="41" t="str">
        <f t="shared" si="1922"/>
        <v/>
      </c>
      <c r="ER183" s="41" t="str">
        <f t="shared" si="1923"/>
        <v/>
      </c>
      <c r="ES183" s="41" t="str">
        <f t="shared" si="1924"/>
        <v/>
      </c>
      <c r="ET183" s="41" t="str">
        <f t="shared" si="1925"/>
        <v/>
      </c>
      <c r="EU183" s="41" t="str">
        <f t="shared" si="1926"/>
        <v/>
      </c>
      <c r="EV183" s="41" t="str">
        <f t="shared" si="1927"/>
        <v/>
      </c>
      <c r="EW183" s="41" t="str">
        <f t="shared" si="1928"/>
        <v/>
      </c>
      <c r="EX183" s="41" t="str">
        <f t="shared" si="1929"/>
        <v/>
      </c>
      <c r="EY183" s="41" t="str">
        <f t="shared" si="1930"/>
        <v/>
      </c>
      <c r="EZ183" s="41" t="str">
        <f t="shared" si="1931"/>
        <v/>
      </c>
      <c r="FA183" s="41" t="str">
        <f t="shared" si="1932"/>
        <v/>
      </c>
      <c r="FB183" s="41" t="str">
        <f t="shared" si="1933"/>
        <v/>
      </c>
      <c r="FC183" s="41" t="str">
        <f t="shared" si="1934"/>
        <v/>
      </c>
      <c r="FD183" s="41" t="str">
        <f t="shared" si="1935"/>
        <v/>
      </c>
      <c r="FE183" s="41" t="str">
        <f t="shared" si="1936"/>
        <v/>
      </c>
      <c r="FF183" s="41" t="str">
        <f t="shared" si="1937"/>
        <v/>
      </c>
      <c r="FG183" s="41" t="str">
        <f t="shared" si="1938"/>
        <v/>
      </c>
      <c r="FH183" s="41" t="str">
        <f t="shared" si="1939"/>
        <v/>
      </c>
      <c r="FI183" s="41" t="str">
        <f t="shared" si="1940"/>
        <v/>
      </c>
      <c r="FJ183" s="41" t="str">
        <f t="shared" si="1941"/>
        <v/>
      </c>
      <c r="FK183" s="41" t="str">
        <f t="shared" si="1942"/>
        <v/>
      </c>
      <c r="FL183" s="41" t="str">
        <f t="shared" si="1943"/>
        <v/>
      </c>
      <c r="FM183" s="41" t="str">
        <f t="shared" si="1944"/>
        <v/>
      </c>
      <c r="FN183" s="41" t="str">
        <f t="shared" si="1945"/>
        <v/>
      </c>
      <c r="FO183" s="41" t="str">
        <f t="shared" si="1946"/>
        <v/>
      </c>
      <c r="FP183" s="41" t="str">
        <f t="shared" si="1947"/>
        <v/>
      </c>
      <c r="FQ183" s="41" t="str">
        <f t="shared" si="1948"/>
        <v/>
      </c>
      <c r="FR183" s="41" t="str">
        <f t="shared" si="1949"/>
        <v/>
      </c>
      <c r="FS183" s="41" t="str">
        <f t="shared" si="1950"/>
        <v/>
      </c>
      <c r="FT183" s="41" t="str">
        <f t="shared" si="1951"/>
        <v/>
      </c>
      <c r="FU183" s="41" t="str">
        <f t="shared" si="1952"/>
        <v/>
      </c>
      <c r="FV183" s="41" t="str">
        <f t="shared" si="1953"/>
        <v/>
      </c>
      <c r="FW183" s="41" t="str">
        <f t="shared" si="1954"/>
        <v/>
      </c>
      <c r="FX183" s="41" t="str">
        <f t="shared" si="1955"/>
        <v/>
      </c>
      <c r="FY183" s="41" t="str">
        <f t="shared" si="1956"/>
        <v/>
      </c>
      <c r="FZ183" s="41" t="str">
        <f t="shared" si="1957"/>
        <v/>
      </c>
      <c r="GA183" s="41" t="str">
        <f t="shared" si="1958"/>
        <v/>
      </c>
      <c r="GB183" s="41" t="str">
        <f t="shared" si="1959"/>
        <v/>
      </c>
      <c r="GC183" s="41" t="str">
        <f t="shared" si="1960"/>
        <v/>
      </c>
      <c r="GD183" s="41" t="str">
        <f t="shared" si="1961"/>
        <v/>
      </c>
      <c r="GE183" s="41" t="str">
        <f t="shared" si="1962"/>
        <v/>
      </c>
      <c r="GF183" s="41" t="str">
        <f t="shared" si="1963"/>
        <v/>
      </c>
      <c r="GG183" s="41" t="str">
        <f t="shared" si="1964"/>
        <v/>
      </c>
      <c r="GH183" s="41" t="str">
        <f t="shared" si="1965"/>
        <v/>
      </c>
      <c r="GI183" s="41" t="str">
        <f t="shared" si="1966"/>
        <v/>
      </c>
      <c r="GJ183" s="41" t="str">
        <f t="shared" si="1967"/>
        <v/>
      </c>
      <c r="GK183" s="41" t="str">
        <f t="shared" si="1968"/>
        <v/>
      </c>
      <c r="GL183" s="41" t="str">
        <f t="shared" si="1969"/>
        <v/>
      </c>
      <c r="GM183" s="41" t="str">
        <f t="shared" si="1970"/>
        <v/>
      </c>
      <c r="GN183" s="41" t="str">
        <f t="shared" si="1971"/>
        <v/>
      </c>
      <c r="GO183" s="41" t="str">
        <f t="shared" si="1972"/>
        <v/>
      </c>
      <c r="GP183" s="41" t="str">
        <f t="shared" si="1973"/>
        <v/>
      </c>
      <c r="GQ183" s="41" t="str">
        <f t="shared" si="1974"/>
        <v/>
      </c>
      <c r="GR183" s="41" t="str">
        <f t="shared" si="1975"/>
        <v/>
      </c>
      <c r="GS183" s="41" t="str">
        <f t="shared" si="1976"/>
        <v/>
      </c>
      <c r="GT183" s="41" t="str">
        <f t="shared" si="1977"/>
        <v/>
      </c>
      <c r="GU183" s="41" t="str">
        <f t="shared" si="1978"/>
        <v/>
      </c>
      <c r="GV183" s="41" t="str">
        <f t="shared" si="1979"/>
        <v/>
      </c>
      <c r="GW183" s="41" t="str">
        <f t="shared" si="1980"/>
        <v/>
      </c>
      <c r="GX183" s="41" t="str">
        <f t="shared" si="1981"/>
        <v/>
      </c>
      <c r="GY183" s="41" t="str">
        <f t="shared" si="1982"/>
        <v/>
      </c>
      <c r="GZ183" s="41" t="str">
        <f t="shared" si="1983"/>
        <v/>
      </c>
      <c r="HA183" s="41" t="str">
        <f t="shared" si="1984"/>
        <v/>
      </c>
      <c r="HB183" s="41" t="str">
        <f t="shared" si="1985"/>
        <v/>
      </c>
      <c r="HC183" s="41" t="str">
        <f t="shared" si="1986"/>
        <v/>
      </c>
      <c r="HD183" s="41" t="str">
        <f t="shared" si="1987"/>
        <v/>
      </c>
      <c r="HE183" s="41" t="str">
        <f t="shared" si="1988"/>
        <v/>
      </c>
      <c r="HF183" s="41" t="str">
        <f t="shared" si="1989"/>
        <v/>
      </c>
      <c r="HG183" s="41" t="str">
        <f t="shared" si="1990"/>
        <v/>
      </c>
      <c r="HH183" s="41" t="str">
        <f t="shared" si="1991"/>
        <v/>
      </c>
      <c r="HI183" s="41" t="str">
        <f t="shared" si="1992"/>
        <v/>
      </c>
      <c r="HJ183" s="41" t="str">
        <f t="shared" si="1993"/>
        <v/>
      </c>
      <c r="HK183" s="41" t="str">
        <f t="shared" si="1994"/>
        <v/>
      </c>
      <c r="HL183" s="41" t="str">
        <f t="shared" si="1995"/>
        <v/>
      </c>
      <c r="HM183" s="41" t="str">
        <f t="shared" si="1996"/>
        <v/>
      </c>
      <c r="HN183" s="41" t="str">
        <f t="shared" si="1997"/>
        <v/>
      </c>
      <c r="HO183" s="41" t="str">
        <f t="shared" si="1998"/>
        <v/>
      </c>
      <c r="HP183" s="41" t="str">
        <f t="shared" si="1999"/>
        <v/>
      </c>
      <c r="HQ183" s="41" t="str">
        <f t="shared" si="2000"/>
        <v/>
      </c>
      <c r="HR183" s="41" t="str">
        <f t="shared" si="2001"/>
        <v/>
      </c>
      <c r="HS183" s="41" t="str">
        <f t="shared" si="2002"/>
        <v/>
      </c>
      <c r="HT183" s="41" t="str">
        <f t="shared" si="2003"/>
        <v/>
      </c>
      <c r="HU183" s="41" t="str">
        <f t="shared" si="2004"/>
        <v/>
      </c>
      <c r="HV183" s="41" t="str">
        <f t="shared" si="2005"/>
        <v/>
      </c>
      <c r="HW183" s="41" t="str">
        <f t="shared" si="2006"/>
        <v/>
      </c>
      <c r="HX183" s="41" t="str">
        <f t="shared" si="2007"/>
        <v/>
      </c>
      <c r="HY183" s="41" t="str">
        <f t="shared" si="2008"/>
        <v/>
      </c>
      <c r="HZ183" s="41" t="str">
        <f t="shared" si="2009"/>
        <v/>
      </c>
      <c r="IA183" s="41" t="str">
        <f t="shared" si="2010"/>
        <v/>
      </c>
      <c r="IB183" s="41" t="str">
        <f t="shared" si="2011"/>
        <v/>
      </c>
      <c r="IC183" s="41" t="str">
        <f t="shared" si="2012"/>
        <v/>
      </c>
      <c r="ID183" s="41" t="str">
        <f t="shared" si="2013"/>
        <v/>
      </c>
      <c r="IE183" s="41" t="str">
        <f t="shared" si="2014"/>
        <v/>
      </c>
      <c r="IF183" s="41" t="str">
        <f t="shared" si="2015"/>
        <v/>
      </c>
      <c r="IG183" s="306">
        <f t="shared" si="2016"/>
        <v>0</v>
      </c>
      <c r="IH183" s="44" t="str">
        <f t="shared" si="2017"/>
        <v/>
      </c>
      <c r="II183" s="44" t="str">
        <f t="shared" si="2018"/>
        <v/>
      </c>
      <c r="IJ183" s="44" t="str">
        <f t="shared" si="2019"/>
        <v/>
      </c>
      <c r="IK183" s="44" t="str">
        <f t="shared" si="2020"/>
        <v/>
      </c>
      <c r="IL183" s="44" t="str">
        <f t="shared" si="2021"/>
        <v/>
      </c>
      <c r="IM183" s="306" t="str">
        <f t="shared" si="2022"/>
        <v/>
      </c>
      <c r="IN183" s="44" t="str">
        <f t="shared" si="2023"/>
        <v/>
      </c>
      <c r="IO183" s="44" t="str">
        <f t="shared" si="2024"/>
        <v/>
      </c>
      <c r="IP183" s="44" t="str">
        <f t="shared" si="2025"/>
        <v/>
      </c>
      <c r="IQ183" s="44" t="str">
        <f t="shared" si="2026"/>
        <v/>
      </c>
      <c r="IR183" s="44" t="str">
        <f t="shared" si="2027"/>
        <v/>
      </c>
      <c r="IS183" s="306" t="str">
        <f t="shared" si="2028"/>
        <v/>
      </c>
      <c r="IT183" s="44" t="str">
        <f t="shared" si="2029"/>
        <v/>
      </c>
      <c r="IU183" s="44" t="str">
        <f t="shared" si="2030"/>
        <v/>
      </c>
      <c r="IV183" s="44" t="str">
        <f t="shared" si="2031"/>
        <v/>
      </c>
      <c r="IW183" s="44" t="str">
        <f t="shared" si="2032"/>
        <v/>
      </c>
      <c r="IX183" s="44" t="str">
        <f t="shared" si="2033"/>
        <v/>
      </c>
      <c r="IY183" s="306" t="str">
        <f t="shared" si="2034"/>
        <v/>
      </c>
      <c r="IZ183" s="44" t="str">
        <f t="shared" si="2035"/>
        <v/>
      </c>
      <c r="JA183" s="44" t="str">
        <f t="shared" si="2036"/>
        <v/>
      </c>
      <c r="JB183" s="44" t="str">
        <f t="shared" si="2037"/>
        <v/>
      </c>
      <c r="JC183" s="44" t="str">
        <f t="shared" si="2038"/>
        <v/>
      </c>
      <c r="JD183" s="307" t="str">
        <f t="shared" si="2039"/>
        <v/>
      </c>
      <c r="JF183" s="66">
        <f t="shared" si="1424"/>
        <v>183</v>
      </c>
      <c r="JG183" s="66">
        <f t="shared" ca="1" si="1425"/>
        <v>0</v>
      </c>
      <c r="JH183" s="66">
        <f t="shared" ca="1" si="1426"/>
        <v>0</v>
      </c>
      <c r="JI183" s="66">
        <f t="shared" ca="1" si="1427"/>
        <v>0</v>
      </c>
      <c r="JJ183" s="66">
        <f t="shared" ca="1" si="1428"/>
        <v>0</v>
      </c>
      <c r="JK183" s="33"/>
      <c r="JL183" s="74" t="str">
        <f t="shared" ca="1" si="1429"/>
        <v>-</v>
      </c>
      <c r="JM183" s="75">
        <f t="shared" ca="1" si="1430"/>
        <v>0</v>
      </c>
      <c r="JN183" s="75">
        <f t="shared" ca="1" si="1431"/>
        <v>0</v>
      </c>
      <c r="JO183" s="74" t="str">
        <f t="shared" ca="1" si="1432"/>
        <v>-</v>
      </c>
      <c r="JP183" s="74">
        <f t="shared" ca="1" si="1433"/>
        <v>0</v>
      </c>
    </row>
    <row r="184" spans="1:276" hidden="1" outlineLevel="1" x14ac:dyDescent="0.35">
      <c r="A184" s="125" t="s">
        <v>805</v>
      </c>
      <c r="B184" s="125" t="s">
        <v>805</v>
      </c>
      <c r="C184" s="125" t="s">
        <v>805</v>
      </c>
      <c r="E184" s="142" t="s">
        <v>897</v>
      </c>
      <c r="F184" s="254" t="s">
        <v>782</v>
      </c>
      <c r="G184" t="s">
        <v>540</v>
      </c>
      <c r="H184" t="s">
        <v>535</v>
      </c>
      <c r="I184" t="s">
        <v>536</v>
      </c>
      <c r="J184" s="211" t="s">
        <v>805</v>
      </c>
      <c r="K184" t="s">
        <v>805</v>
      </c>
      <c r="L184" t="s">
        <v>805</v>
      </c>
      <c r="M184" t="s">
        <v>805</v>
      </c>
      <c r="N184" t="s">
        <v>805</v>
      </c>
      <c r="O184" t="s">
        <v>805</v>
      </c>
      <c r="P184" t="s">
        <v>805</v>
      </c>
      <c r="Q184" t="s">
        <v>805</v>
      </c>
      <c r="R184" t="s">
        <v>805</v>
      </c>
      <c r="S184" t="s">
        <v>805</v>
      </c>
      <c r="T184" t="s">
        <v>805</v>
      </c>
      <c r="U184" t="s">
        <v>805</v>
      </c>
      <c r="V184" t="s">
        <v>805</v>
      </c>
      <c r="W184" t="s">
        <v>805</v>
      </c>
      <c r="X184" t="s">
        <v>805</v>
      </c>
      <c r="Y184" t="s">
        <v>805</v>
      </c>
      <c r="Z184" t="s">
        <v>805</v>
      </c>
      <c r="AA184" t="s">
        <v>805</v>
      </c>
      <c r="AB184" t="s">
        <v>805</v>
      </c>
      <c r="AC184" t="s">
        <v>805</v>
      </c>
      <c r="AD184" t="s">
        <v>805</v>
      </c>
      <c r="AE184" t="s">
        <v>805</v>
      </c>
      <c r="AF184" t="s">
        <v>805</v>
      </c>
      <c r="AG184" t="s">
        <v>805</v>
      </c>
      <c r="AH184" t="s">
        <v>805</v>
      </c>
      <c r="AI184" t="s">
        <v>805</v>
      </c>
      <c r="AJ184" t="s">
        <v>805</v>
      </c>
      <c r="AK184" t="s">
        <v>805</v>
      </c>
      <c r="AL184" t="s">
        <v>805</v>
      </c>
      <c r="AM184" t="s">
        <v>805</v>
      </c>
      <c r="AN184" t="s">
        <v>805</v>
      </c>
      <c r="AO184" t="s">
        <v>805</v>
      </c>
      <c r="AP184" t="s">
        <v>805</v>
      </c>
      <c r="AQ184" t="s">
        <v>805</v>
      </c>
      <c r="AR184" t="s">
        <v>805</v>
      </c>
      <c r="AS184" t="s">
        <v>805</v>
      </c>
      <c r="AT184" t="s">
        <v>805</v>
      </c>
      <c r="AU184" t="s">
        <v>805</v>
      </c>
      <c r="AV184" t="s">
        <v>805</v>
      </c>
      <c r="AW184" t="s">
        <v>805</v>
      </c>
      <c r="AX184" t="s">
        <v>805</v>
      </c>
      <c r="AY184" t="s">
        <v>805</v>
      </c>
      <c r="AZ184" t="s">
        <v>805</v>
      </c>
      <c r="BA184" t="s">
        <v>805</v>
      </c>
      <c r="BB184" t="s">
        <v>805</v>
      </c>
      <c r="BC184" t="s">
        <v>805</v>
      </c>
      <c r="BD184" t="s">
        <v>805</v>
      </c>
      <c r="BE184" t="s">
        <v>805</v>
      </c>
      <c r="BF184" t="s">
        <v>805</v>
      </c>
      <c r="BG184" t="s">
        <v>805</v>
      </c>
      <c r="BH184" t="s">
        <v>805</v>
      </c>
      <c r="BI184" t="s">
        <v>805</v>
      </c>
      <c r="BJ184" t="s">
        <v>805</v>
      </c>
      <c r="BK184" t="s">
        <v>805</v>
      </c>
      <c r="BL184" t="s">
        <v>805</v>
      </c>
      <c r="BM184" t="s">
        <v>805</v>
      </c>
      <c r="BN184" t="s">
        <v>805</v>
      </c>
      <c r="BO184" t="s">
        <v>805</v>
      </c>
      <c r="BP184" t="s">
        <v>805</v>
      </c>
      <c r="BQ184" t="s">
        <v>805</v>
      </c>
      <c r="BR184" t="s">
        <v>805</v>
      </c>
      <c r="BS184" t="s">
        <v>805</v>
      </c>
      <c r="BT184" t="s">
        <v>805</v>
      </c>
      <c r="BU184" t="s">
        <v>805</v>
      </c>
      <c r="BV184" t="s">
        <v>805</v>
      </c>
      <c r="BW184" t="s">
        <v>805</v>
      </c>
      <c r="BX184" t="s">
        <v>805</v>
      </c>
      <c r="BY184" t="s">
        <v>805</v>
      </c>
      <c r="BZ184" t="s">
        <v>805</v>
      </c>
      <c r="CA184" t="s">
        <v>805</v>
      </c>
      <c r="CB184" t="s">
        <v>805</v>
      </c>
      <c r="CC184" t="s">
        <v>805</v>
      </c>
      <c r="CD184" t="s">
        <v>805</v>
      </c>
      <c r="CE184" t="s">
        <v>805</v>
      </c>
      <c r="CF184" t="s">
        <v>805</v>
      </c>
      <c r="CG184" t="s">
        <v>805</v>
      </c>
      <c r="CH184" t="s">
        <v>805</v>
      </c>
      <c r="CI184" t="s">
        <v>805</v>
      </c>
      <c r="CJ184" t="s">
        <v>805</v>
      </c>
      <c r="CK184" t="s">
        <v>805</v>
      </c>
      <c r="CL184" t="s">
        <v>805</v>
      </c>
      <c r="CM184" t="s">
        <v>805</v>
      </c>
      <c r="CN184" t="s">
        <v>805</v>
      </c>
      <c r="CO184" t="s">
        <v>805</v>
      </c>
      <c r="CP184" t="s">
        <v>805</v>
      </c>
      <c r="CQ184" t="s">
        <v>805</v>
      </c>
      <c r="CR184" t="s">
        <v>805</v>
      </c>
      <c r="CS184" t="s">
        <v>805</v>
      </c>
      <c r="CT184" t="s">
        <v>805</v>
      </c>
      <c r="CU184" t="s">
        <v>805</v>
      </c>
      <c r="CV184" t="s">
        <v>805</v>
      </c>
      <c r="CW184" t="s">
        <v>805</v>
      </c>
      <c r="CX184" t="s">
        <v>805</v>
      </c>
      <c r="CY184" t="s">
        <v>805</v>
      </c>
      <c r="CZ184" t="s">
        <v>805</v>
      </c>
      <c r="DA184" t="s">
        <v>805</v>
      </c>
      <c r="DB184" t="s">
        <v>805</v>
      </c>
      <c r="DC184" t="s">
        <v>805</v>
      </c>
      <c r="DD184" t="s">
        <v>805</v>
      </c>
      <c r="DE184" t="s">
        <v>805</v>
      </c>
      <c r="DF184" t="s">
        <v>805</v>
      </c>
      <c r="DG184" s="28">
        <f>VLOOKUP(E184,'KPI Count-SHARE'!A:F,3,0)</f>
        <v>0</v>
      </c>
      <c r="DH184" t="s">
        <v>805</v>
      </c>
      <c r="DI184" t="s">
        <v>805</v>
      </c>
      <c r="DJ184" t="s">
        <v>805</v>
      </c>
      <c r="DK184" t="s">
        <v>805</v>
      </c>
      <c r="DL184" t="s">
        <v>805</v>
      </c>
      <c r="DM184" t="s">
        <v>805</v>
      </c>
      <c r="DN184" s="28">
        <f>VLOOKUP(E184,'KPI Count-SHARE'!A:F,4,0)</f>
        <v>0</v>
      </c>
      <c r="DU184" s="28">
        <f>VLOOKUP(E184,'KPI Count-SHARE'!A:F,5,0)</f>
        <v>0</v>
      </c>
      <c r="EB184" s="28">
        <f>VLOOKUP(E184,'KPI Count-SHARE'!A:F,6,0)</f>
        <v>0</v>
      </c>
      <c r="EI184" t="str">
        <f t="shared" ref="EI184:EI191" si="2040">XCurrency &amp; " '000 per FTE"</f>
        <v>USD '000 per FTE</v>
      </c>
      <c r="EJ184" s="237" t="str">
        <f t="shared" si="1915"/>
        <v>-</v>
      </c>
      <c r="EK184" s="237" t="str">
        <f t="shared" si="1916"/>
        <v>-</v>
      </c>
      <c r="EL184" s="237" t="str">
        <f t="shared" si="1917"/>
        <v>-</v>
      </c>
      <c r="EM184" s="237" t="str">
        <f t="shared" si="1918"/>
        <v>-</v>
      </c>
      <c r="EN184" s="237" t="str">
        <f t="shared" si="1919"/>
        <v>-</v>
      </c>
      <c r="EO184" s="237" t="str">
        <f t="shared" si="1920"/>
        <v>-</v>
      </c>
      <c r="EP184" s="237" t="str">
        <f t="shared" si="1921"/>
        <v>-</v>
      </c>
      <c r="EQ184" s="237" t="str">
        <f t="shared" si="1922"/>
        <v>-</v>
      </c>
      <c r="ER184" s="237" t="str">
        <f t="shared" si="1923"/>
        <v>-</v>
      </c>
      <c r="ES184" s="237" t="str">
        <f t="shared" si="1924"/>
        <v>-</v>
      </c>
      <c r="ET184" s="237" t="str">
        <f t="shared" si="1925"/>
        <v>-</v>
      </c>
      <c r="EU184" s="237" t="str">
        <f t="shared" si="1926"/>
        <v>-</v>
      </c>
      <c r="EV184" s="237" t="str">
        <f t="shared" si="1927"/>
        <v>-</v>
      </c>
      <c r="EW184" s="237" t="str">
        <f t="shared" si="1928"/>
        <v>-</v>
      </c>
      <c r="EX184" s="237" t="str">
        <f t="shared" si="1929"/>
        <v>-</v>
      </c>
      <c r="EY184" s="237" t="str">
        <f t="shared" si="1930"/>
        <v>-</v>
      </c>
      <c r="EZ184" s="237" t="str">
        <f t="shared" si="1931"/>
        <v>-</v>
      </c>
      <c r="FA184" s="237" t="str">
        <f t="shared" si="1932"/>
        <v>-</v>
      </c>
      <c r="FB184" s="237" t="str">
        <f t="shared" si="1933"/>
        <v>-</v>
      </c>
      <c r="FC184" s="237" t="str">
        <f t="shared" si="1934"/>
        <v>-</v>
      </c>
      <c r="FD184" s="237" t="str">
        <f t="shared" si="1935"/>
        <v>-</v>
      </c>
      <c r="FE184" s="237" t="str">
        <f t="shared" si="1936"/>
        <v>-</v>
      </c>
      <c r="FF184" s="237" t="str">
        <f t="shared" si="1937"/>
        <v>-</v>
      </c>
      <c r="FG184" s="237" t="str">
        <f t="shared" si="1938"/>
        <v>-</v>
      </c>
      <c r="FH184" s="237" t="str">
        <f t="shared" si="1939"/>
        <v>-</v>
      </c>
      <c r="FI184" s="237" t="str">
        <f t="shared" si="1940"/>
        <v>-</v>
      </c>
      <c r="FJ184" s="237" t="str">
        <f t="shared" si="1941"/>
        <v>-</v>
      </c>
      <c r="FK184" s="237" t="str">
        <f t="shared" si="1942"/>
        <v>-</v>
      </c>
      <c r="FL184" s="237" t="str">
        <f t="shared" si="1943"/>
        <v>-</v>
      </c>
      <c r="FM184" s="237" t="str">
        <f t="shared" si="1944"/>
        <v>-</v>
      </c>
      <c r="FN184" s="237" t="str">
        <f t="shared" si="1945"/>
        <v>-</v>
      </c>
      <c r="FO184" s="237" t="str">
        <f t="shared" si="1946"/>
        <v>-</v>
      </c>
      <c r="FP184" s="237" t="str">
        <f t="shared" si="1947"/>
        <v>-</v>
      </c>
      <c r="FQ184" s="237" t="str">
        <f t="shared" si="1948"/>
        <v>-</v>
      </c>
      <c r="FR184" s="237" t="str">
        <f t="shared" si="1949"/>
        <v>-</v>
      </c>
      <c r="FS184" s="237" t="str">
        <f t="shared" si="1950"/>
        <v>-</v>
      </c>
      <c r="FT184" s="237" t="str">
        <f t="shared" si="1951"/>
        <v>-</v>
      </c>
      <c r="FU184" s="237" t="str">
        <f t="shared" si="1952"/>
        <v>-</v>
      </c>
      <c r="FV184" s="237" t="str">
        <f t="shared" si="1953"/>
        <v>-</v>
      </c>
      <c r="FW184" s="237" t="str">
        <f t="shared" si="1954"/>
        <v>-</v>
      </c>
      <c r="FX184" s="237" t="str">
        <f t="shared" si="1955"/>
        <v>-</v>
      </c>
      <c r="FY184" s="237" t="str">
        <f t="shared" si="1956"/>
        <v>-</v>
      </c>
      <c r="FZ184" s="237" t="str">
        <f t="shared" si="1957"/>
        <v>-</v>
      </c>
      <c r="GA184" s="237" t="str">
        <f t="shared" si="1958"/>
        <v>-</v>
      </c>
      <c r="GB184" s="237" t="str">
        <f t="shared" si="1959"/>
        <v>-</v>
      </c>
      <c r="GC184" s="237" t="str">
        <f t="shared" si="1960"/>
        <v>-</v>
      </c>
      <c r="GD184" s="237" t="str">
        <f t="shared" si="1961"/>
        <v>-</v>
      </c>
      <c r="GE184" s="237" t="str">
        <f t="shared" si="1962"/>
        <v>-</v>
      </c>
      <c r="GF184" s="237" t="str">
        <f t="shared" si="1963"/>
        <v>-</v>
      </c>
      <c r="GG184" s="237" t="str">
        <f t="shared" si="1964"/>
        <v>-</v>
      </c>
      <c r="GH184" s="237" t="str">
        <f t="shared" si="1965"/>
        <v>-</v>
      </c>
      <c r="GI184" s="237" t="str">
        <f t="shared" si="1966"/>
        <v>-</v>
      </c>
      <c r="GJ184" s="237" t="str">
        <f t="shared" si="1967"/>
        <v>-</v>
      </c>
      <c r="GK184" s="237" t="str">
        <f t="shared" si="1968"/>
        <v>-</v>
      </c>
      <c r="GL184" s="237" t="str">
        <f t="shared" si="1969"/>
        <v>-</v>
      </c>
      <c r="GM184" s="237" t="str">
        <f t="shared" si="1970"/>
        <v>-</v>
      </c>
      <c r="GN184" s="237" t="str">
        <f t="shared" si="1971"/>
        <v>-</v>
      </c>
      <c r="GO184" s="237" t="str">
        <f t="shared" si="1972"/>
        <v>-</v>
      </c>
      <c r="GP184" s="237" t="str">
        <f t="shared" si="1973"/>
        <v>-</v>
      </c>
      <c r="GQ184" s="237" t="str">
        <f t="shared" si="1974"/>
        <v>-</v>
      </c>
      <c r="GR184" s="237" t="str">
        <f t="shared" si="1975"/>
        <v>-</v>
      </c>
      <c r="GS184" s="237" t="str">
        <f t="shared" si="1976"/>
        <v>-</v>
      </c>
      <c r="GT184" s="237" t="str">
        <f t="shared" si="1977"/>
        <v>-</v>
      </c>
      <c r="GU184" s="237" t="str">
        <f t="shared" si="1978"/>
        <v>-</v>
      </c>
      <c r="GV184" s="237" t="str">
        <f t="shared" si="1979"/>
        <v>-</v>
      </c>
      <c r="GW184" s="237" t="str">
        <f t="shared" si="1980"/>
        <v>-</v>
      </c>
      <c r="GX184" s="237" t="str">
        <f t="shared" si="1981"/>
        <v>-</v>
      </c>
      <c r="GY184" s="237" t="str">
        <f t="shared" si="1982"/>
        <v>-</v>
      </c>
      <c r="GZ184" s="237" t="str">
        <f t="shared" si="1983"/>
        <v>-</v>
      </c>
      <c r="HA184" s="237" t="str">
        <f t="shared" si="1984"/>
        <v>-</v>
      </c>
      <c r="HB184" s="237" t="str">
        <f t="shared" si="1985"/>
        <v>-</v>
      </c>
      <c r="HC184" s="237" t="str">
        <f t="shared" si="1986"/>
        <v>-</v>
      </c>
      <c r="HD184" s="237" t="str">
        <f t="shared" si="1987"/>
        <v>-</v>
      </c>
      <c r="HE184" s="237" t="str">
        <f t="shared" si="1988"/>
        <v>-</v>
      </c>
      <c r="HF184" s="237" t="str">
        <f t="shared" si="1989"/>
        <v>-</v>
      </c>
      <c r="HG184" s="237" t="str">
        <f t="shared" si="1990"/>
        <v>-</v>
      </c>
      <c r="HH184" s="237" t="str">
        <f t="shared" si="1991"/>
        <v>-</v>
      </c>
      <c r="HI184" s="237" t="str">
        <f t="shared" si="1992"/>
        <v>-</v>
      </c>
      <c r="HJ184" s="237" t="str">
        <f t="shared" si="1993"/>
        <v>-</v>
      </c>
      <c r="HK184" s="237" t="str">
        <f t="shared" si="1994"/>
        <v>-</v>
      </c>
      <c r="HL184" s="237" t="str">
        <f t="shared" si="1995"/>
        <v>-</v>
      </c>
      <c r="HM184" s="237" t="str">
        <f t="shared" si="1996"/>
        <v>-</v>
      </c>
      <c r="HN184" s="237" t="str">
        <f t="shared" si="1997"/>
        <v>-</v>
      </c>
      <c r="HO184" s="237" t="str">
        <f t="shared" si="1998"/>
        <v>-</v>
      </c>
      <c r="HP184" s="237" t="str">
        <f t="shared" si="1999"/>
        <v>-</v>
      </c>
      <c r="HQ184" s="237" t="str">
        <f t="shared" si="2000"/>
        <v>-</v>
      </c>
      <c r="HR184" s="237" t="str">
        <f t="shared" si="2001"/>
        <v>-</v>
      </c>
      <c r="HS184" s="237" t="str">
        <f t="shared" si="2002"/>
        <v>-</v>
      </c>
      <c r="HT184" s="237" t="str">
        <f t="shared" si="2003"/>
        <v>-</v>
      </c>
      <c r="HU184" s="237" t="str">
        <f t="shared" si="2004"/>
        <v>-</v>
      </c>
      <c r="HV184" s="237" t="str">
        <f t="shared" si="2005"/>
        <v>-</v>
      </c>
      <c r="HW184" s="237" t="str">
        <f t="shared" si="2006"/>
        <v>-</v>
      </c>
      <c r="HX184" s="237" t="str">
        <f t="shared" si="2007"/>
        <v>-</v>
      </c>
      <c r="HY184" s="237" t="str">
        <f t="shared" si="2008"/>
        <v>-</v>
      </c>
      <c r="HZ184" s="237" t="str">
        <f t="shared" si="2009"/>
        <v>-</v>
      </c>
      <c r="IA184" s="237" t="str">
        <f t="shared" si="2010"/>
        <v>-</v>
      </c>
      <c r="IB184" s="237" t="str">
        <f t="shared" si="2011"/>
        <v>-</v>
      </c>
      <c r="IC184" s="237" t="str">
        <f t="shared" si="2012"/>
        <v>-</v>
      </c>
      <c r="ID184" s="237" t="str">
        <f t="shared" si="2013"/>
        <v>-</v>
      </c>
      <c r="IE184" s="237" t="str">
        <f t="shared" si="2014"/>
        <v>-</v>
      </c>
      <c r="IF184" s="237" t="str">
        <f t="shared" si="2015"/>
        <v>-</v>
      </c>
      <c r="IG184" s="312" t="str">
        <f t="shared" si="2016"/>
        <v>-</v>
      </c>
      <c r="IH184" s="99" t="str">
        <f t="shared" si="2017"/>
        <v>-</v>
      </c>
      <c r="II184" s="99" t="str">
        <f t="shared" si="2018"/>
        <v>-</v>
      </c>
      <c r="IJ184" s="99" t="str">
        <f t="shared" si="2019"/>
        <v>-</v>
      </c>
      <c r="IK184" s="99" t="str">
        <f t="shared" si="2020"/>
        <v>-</v>
      </c>
      <c r="IL184" s="99" t="str">
        <f t="shared" si="2021"/>
        <v>-</v>
      </c>
      <c r="IM184" s="312" t="str">
        <f t="shared" si="2022"/>
        <v/>
      </c>
      <c r="IN184" s="99" t="str">
        <f t="shared" si="2023"/>
        <v/>
      </c>
      <c r="IO184" s="99" t="str">
        <f t="shared" si="2024"/>
        <v/>
      </c>
      <c r="IP184" s="99" t="str">
        <f t="shared" si="2025"/>
        <v/>
      </c>
      <c r="IQ184" s="99" t="str">
        <f t="shared" si="2026"/>
        <v/>
      </c>
      <c r="IR184" s="99" t="str">
        <f t="shared" si="2027"/>
        <v/>
      </c>
      <c r="IS184" s="312" t="str">
        <f t="shared" si="2028"/>
        <v/>
      </c>
      <c r="IT184" s="99" t="str">
        <f t="shared" si="2029"/>
        <v/>
      </c>
      <c r="IU184" s="99" t="str">
        <f t="shared" si="2030"/>
        <v/>
      </c>
      <c r="IV184" s="99" t="str">
        <f t="shared" si="2031"/>
        <v/>
      </c>
      <c r="IW184" s="99" t="str">
        <f t="shared" si="2032"/>
        <v/>
      </c>
      <c r="IX184" s="99" t="str">
        <f t="shared" si="2033"/>
        <v/>
      </c>
      <c r="IY184" s="312" t="str">
        <f t="shared" si="2034"/>
        <v/>
      </c>
      <c r="IZ184" s="99" t="str">
        <f t="shared" si="2035"/>
        <v/>
      </c>
      <c r="JA184" s="99" t="str">
        <f t="shared" si="2036"/>
        <v/>
      </c>
      <c r="JB184" s="99" t="str">
        <f t="shared" si="2037"/>
        <v/>
      </c>
      <c r="JC184" s="99" t="str">
        <f t="shared" si="2038"/>
        <v/>
      </c>
      <c r="JD184" s="313" t="str">
        <f t="shared" si="2039"/>
        <v/>
      </c>
      <c r="JF184" s="66">
        <f t="shared" si="1424"/>
        <v>184</v>
      </c>
      <c r="JG184" s="66">
        <f t="shared" ca="1" si="1425"/>
        <v>0</v>
      </c>
      <c r="JH184" s="66">
        <f t="shared" ca="1" si="1426"/>
        <v>0</v>
      </c>
      <c r="JI184" s="66">
        <f t="shared" ca="1" si="1427"/>
        <v>0</v>
      </c>
      <c r="JJ184" s="66">
        <f t="shared" ca="1" si="1428"/>
        <v>0</v>
      </c>
      <c r="JK184" s="33"/>
      <c r="JL184" s="74" t="str">
        <f t="shared" ca="1" si="1429"/>
        <v>-</v>
      </c>
      <c r="JM184" s="75">
        <f t="shared" ca="1" si="1430"/>
        <v>0</v>
      </c>
      <c r="JN184" s="75">
        <f t="shared" ca="1" si="1431"/>
        <v>0</v>
      </c>
      <c r="JO184" s="74" t="str">
        <f t="shared" ca="1" si="1432"/>
        <v>-</v>
      </c>
      <c r="JP184" s="74">
        <f t="shared" ca="1" si="1433"/>
        <v>0</v>
      </c>
    </row>
    <row r="185" spans="1:276" hidden="1" outlineLevel="1" x14ac:dyDescent="0.35">
      <c r="A185" s="125" t="s">
        <v>805</v>
      </c>
      <c r="B185" s="125" t="s">
        <v>805</v>
      </c>
      <c r="C185" s="125" t="s">
        <v>805</v>
      </c>
      <c r="E185" s="142" t="s">
        <v>898</v>
      </c>
      <c r="F185" s="254" t="s">
        <v>802</v>
      </c>
      <c r="G185" t="s">
        <v>540</v>
      </c>
      <c r="H185" t="s">
        <v>535</v>
      </c>
      <c r="I185" t="s">
        <v>536</v>
      </c>
      <c r="J185" s="211" t="s">
        <v>805</v>
      </c>
      <c r="K185" t="s">
        <v>805</v>
      </c>
      <c r="L185" t="s">
        <v>805</v>
      </c>
      <c r="M185" t="s">
        <v>805</v>
      </c>
      <c r="N185" t="s">
        <v>805</v>
      </c>
      <c r="O185" t="s">
        <v>805</v>
      </c>
      <c r="P185" t="s">
        <v>805</v>
      </c>
      <c r="Q185" t="s">
        <v>805</v>
      </c>
      <c r="R185" t="s">
        <v>805</v>
      </c>
      <c r="S185" t="s">
        <v>805</v>
      </c>
      <c r="T185" t="s">
        <v>805</v>
      </c>
      <c r="U185" t="s">
        <v>805</v>
      </c>
      <c r="V185" t="s">
        <v>805</v>
      </c>
      <c r="W185" t="s">
        <v>805</v>
      </c>
      <c r="X185" t="s">
        <v>805</v>
      </c>
      <c r="Y185" t="s">
        <v>805</v>
      </c>
      <c r="Z185" t="s">
        <v>805</v>
      </c>
      <c r="AA185" t="s">
        <v>805</v>
      </c>
      <c r="AB185" t="s">
        <v>805</v>
      </c>
      <c r="AC185" t="s">
        <v>805</v>
      </c>
      <c r="AD185" t="s">
        <v>805</v>
      </c>
      <c r="AE185" t="s">
        <v>805</v>
      </c>
      <c r="AF185" t="s">
        <v>805</v>
      </c>
      <c r="AG185" t="s">
        <v>805</v>
      </c>
      <c r="AH185" t="s">
        <v>805</v>
      </c>
      <c r="AI185" t="s">
        <v>805</v>
      </c>
      <c r="AJ185" t="s">
        <v>805</v>
      </c>
      <c r="AK185" t="s">
        <v>805</v>
      </c>
      <c r="AL185" t="s">
        <v>805</v>
      </c>
      <c r="AM185" t="s">
        <v>805</v>
      </c>
      <c r="AN185" t="s">
        <v>805</v>
      </c>
      <c r="AO185" t="s">
        <v>805</v>
      </c>
      <c r="AP185" t="s">
        <v>805</v>
      </c>
      <c r="AQ185" t="s">
        <v>805</v>
      </c>
      <c r="AR185" t="s">
        <v>805</v>
      </c>
      <c r="AS185" t="s">
        <v>805</v>
      </c>
      <c r="AT185" t="s">
        <v>805</v>
      </c>
      <c r="AU185" t="s">
        <v>805</v>
      </c>
      <c r="AV185" t="s">
        <v>805</v>
      </c>
      <c r="AW185" t="s">
        <v>805</v>
      </c>
      <c r="AX185" t="s">
        <v>805</v>
      </c>
      <c r="AY185" t="s">
        <v>805</v>
      </c>
      <c r="AZ185" t="s">
        <v>805</v>
      </c>
      <c r="BA185" t="s">
        <v>805</v>
      </c>
      <c r="BB185" t="s">
        <v>805</v>
      </c>
      <c r="BC185" t="s">
        <v>805</v>
      </c>
      <c r="BD185" t="s">
        <v>805</v>
      </c>
      <c r="BE185" t="s">
        <v>805</v>
      </c>
      <c r="BF185" t="s">
        <v>805</v>
      </c>
      <c r="BG185" t="s">
        <v>805</v>
      </c>
      <c r="BH185" t="s">
        <v>805</v>
      </c>
      <c r="BI185" t="s">
        <v>805</v>
      </c>
      <c r="BJ185" t="s">
        <v>805</v>
      </c>
      <c r="BK185" t="s">
        <v>805</v>
      </c>
      <c r="BL185" t="s">
        <v>805</v>
      </c>
      <c r="BM185" t="s">
        <v>805</v>
      </c>
      <c r="BN185" t="s">
        <v>805</v>
      </c>
      <c r="BO185" t="s">
        <v>805</v>
      </c>
      <c r="BP185" t="s">
        <v>805</v>
      </c>
      <c r="BQ185" t="s">
        <v>805</v>
      </c>
      <c r="BR185" t="s">
        <v>805</v>
      </c>
      <c r="BS185" t="s">
        <v>805</v>
      </c>
      <c r="BT185" t="s">
        <v>805</v>
      </c>
      <c r="BU185" t="s">
        <v>805</v>
      </c>
      <c r="BV185" t="s">
        <v>805</v>
      </c>
      <c r="BW185" t="s">
        <v>805</v>
      </c>
      <c r="BX185" t="s">
        <v>805</v>
      </c>
      <c r="BY185" t="s">
        <v>805</v>
      </c>
      <c r="BZ185" t="s">
        <v>805</v>
      </c>
      <c r="CA185" t="s">
        <v>805</v>
      </c>
      <c r="CB185" t="s">
        <v>805</v>
      </c>
      <c r="CC185" t="s">
        <v>805</v>
      </c>
      <c r="CD185" t="s">
        <v>805</v>
      </c>
      <c r="CE185" t="s">
        <v>805</v>
      </c>
      <c r="CF185" t="s">
        <v>805</v>
      </c>
      <c r="CG185" t="s">
        <v>805</v>
      </c>
      <c r="CH185" t="s">
        <v>805</v>
      </c>
      <c r="CI185" t="s">
        <v>805</v>
      </c>
      <c r="CJ185" t="s">
        <v>805</v>
      </c>
      <c r="CK185" t="s">
        <v>805</v>
      </c>
      <c r="CL185" t="s">
        <v>805</v>
      </c>
      <c r="CM185" t="s">
        <v>805</v>
      </c>
      <c r="CN185" t="s">
        <v>805</v>
      </c>
      <c r="CO185" t="s">
        <v>805</v>
      </c>
      <c r="CP185" t="s">
        <v>805</v>
      </c>
      <c r="CQ185" t="s">
        <v>805</v>
      </c>
      <c r="CR185" t="s">
        <v>805</v>
      </c>
      <c r="CS185" t="s">
        <v>805</v>
      </c>
      <c r="CT185" t="s">
        <v>805</v>
      </c>
      <c r="CU185" t="s">
        <v>805</v>
      </c>
      <c r="CV185" t="s">
        <v>805</v>
      </c>
      <c r="CW185" t="s">
        <v>805</v>
      </c>
      <c r="CX185" t="s">
        <v>805</v>
      </c>
      <c r="CY185" t="s">
        <v>805</v>
      </c>
      <c r="CZ185" t="s">
        <v>805</v>
      </c>
      <c r="DA185" t="s">
        <v>805</v>
      </c>
      <c r="DB185" t="s">
        <v>805</v>
      </c>
      <c r="DC185" t="s">
        <v>805</v>
      </c>
      <c r="DD185" t="s">
        <v>805</v>
      </c>
      <c r="DE185" t="s">
        <v>805</v>
      </c>
      <c r="DF185" t="s">
        <v>805</v>
      </c>
      <c r="DG185" s="28">
        <f>VLOOKUP(E185,'KPI Count-SHARE'!A:F,3,0)</f>
        <v>0</v>
      </c>
      <c r="DH185" t="s">
        <v>805</v>
      </c>
      <c r="DI185" t="s">
        <v>805</v>
      </c>
      <c r="DJ185" t="s">
        <v>805</v>
      </c>
      <c r="DK185" t="s">
        <v>805</v>
      </c>
      <c r="DL185" t="s">
        <v>805</v>
      </c>
      <c r="DM185" t="s">
        <v>805</v>
      </c>
      <c r="DN185" s="28">
        <f>VLOOKUP(E185,'KPI Count-SHARE'!A:F,4,0)</f>
        <v>0</v>
      </c>
      <c r="DU185" s="28">
        <f>VLOOKUP(E185,'KPI Count-SHARE'!A:F,5,0)</f>
        <v>0</v>
      </c>
      <c r="EB185" s="28">
        <f>VLOOKUP(E185,'KPI Count-SHARE'!A:F,6,0)</f>
        <v>0</v>
      </c>
      <c r="EI185" t="str">
        <f t="shared" si="2040"/>
        <v>USD '000 per FTE</v>
      </c>
      <c r="EJ185" s="237" t="str">
        <f t="shared" si="1915"/>
        <v>-</v>
      </c>
      <c r="EK185" s="237" t="str">
        <f t="shared" si="1916"/>
        <v>-</v>
      </c>
      <c r="EL185" s="237" t="str">
        <f t="shared" si="1917"/>
        <v>-</v>
      </c>
      <c r="EM185" s="237" t="str">
        <f t="shared" si="1918"/>
        <v>-</v>
      </c>
      <c r="EN185" s="237" t="str">
        <f t="shared" si="1919"/>
        <v>-</v>
      </c>
      <c r="EO185" s="237" t="str">
        <f t="shared" si="1920"/>
        <v>-</v>
      </c>
      <c r="EP185" s="237" t="str">
        <f t="shared" si="1921"/>
        <v>-</v>
      </c>
      <c r="EQ185" s="237" t="str">
        <f t="shared" si="1922"/>
        <v>-</v>
      </c>
      <c r="ER185" s="237" t="str">
        <f t="shared" si="1923"/>
        <v>-</v>
      </c>
      <c r="ES185" s="237" t="str">
        <f t="shared" si="1924"/>
        <v>-</v>
      </c>
      <c r="ET185" s="237" t="str">
        <f t="shared" si="1925"/>
        <v>-</v>
      </c>
      <c r="EU185" s="237" t="str">
        <f t="shared" si="1926"/>
        <v>-</v>
      </c>
      <c r="EV185" s="237" t="str">
        <f t="shared" si="1927"/>
        <v>-</v>
      </c>
      <c r="EW185" s="237" t="str">
        <f t="shared" si="1928"/>
        <v>-</v>
      </c>
      <c r="EX185" s="237" t="str">
        <f t="shared" si="1929"/>
        <v>-</v>
      </c>
      <c r="EY185" s="237" t="str">
        <f t="shared" si="1930"/>
        <v>-</v>
      </c>
      <c r="EZ185" s="237" t="str">
        <f t="shared" si="1931"/>
        <v>-</v>
      </c>
      <c r="FA185" s="237" t="str">
        <f t="shared" si="1932"/>
        <v>-</v>
      </c>
      <c r="FB185" s="237" t="str">
        <f t="shared" si="1933"/>
        <v>-</v>
      </c>
      <c r="FC185" s="237" t="str">
        <f t="shared" si="1934"/>
        <v>-</v>
      </c>
      <c r="FD185" s="237" t="str">
        <f t="shared" si="1935"/>
        <v>-</v>
      </c>
      <c r="FE185" s="237" t="str">
        <f t="shared" si="1936"/>
        <v>-</v>
      </c>
      <c r="FF185" s="237" t="str">
        <f t="shared" si="1937"/>
        <v>-</v>
      </c>
      <c r="FG185" s="237" t="str">
        <f t="shared" si="1938"/>
        <v>-</v>
      </c>
      <c r="FH185" s="237" t="str">
        <f t="shared" si="1939"/>
        <v>-</v>
      </c>
      <c r="FI185" s="237" t="str">
        <f t="shared" si="1940"/>
        <v>-</v>
      </c>
      <c r="FJ185" s="237" t="str">
        <f t="shared" si="1941"/>
        <v>-</v>
      </c>
      <c r="FK185" s="237" t="str">
        <f t="shared" si="1942"/>
        <v>-</v>
      </c>
      <c r="FL185" s="237" t="str">
        <f t="shared" si="1943"/>
        <v>-</v>
      </c>
      <c r="FM185" s="237" t="str">
        <f t="shared" si="1944"/>
        <v>-</v>
      </c>
      <c r="FN185" s="237" t="str">
        <f t="shared" si="1945"/>
        <v>-</v>
      </c>
      <c r="FO185" s="237" t="str">
        <f t="shared" si="1946"/>
        <v>-</v>
      </c>
      <c r="FP185" s="237" t="str">
        <f t="shared" si="1947"/>
        <v>-</v>
      </c>
      <c r="FQ185" s="237" t="str">
        <f t="shared" si="1948"/>
        <v>-</v>
      </c>
      <c r="FR185" s="237" t="str">
        <f t="shared" si="1949"/>
        <v>-</v>
      </c>
      <c r="FS185" s="237" t="str">
        <f t="shared" si="1950"/>
        <v>-</v>
      </c>
      <c r="FT185" s="237" t="str">
        <f t="shared" si="1951"/>
        <v>-</v>
      </c>
      <c r="FU185" s="237" t="str">
        <f t="shared" si="1952"/>
        <v>-</v>
      </c>
      <c r="FV185" s="237" t="str">
        <f t="shared" si="1953"/>
        <v>-</v>
      </c>
      <c r="FW185" s="237" t="str">
        <f t="shared" si="1954"/>
        <v>-</v>
      </c>
      <c r="FX185" s="237" t="str">
        <f t="shared" si="1955"/>
        <v>-</v>
      </c>
      <c r="FY185" s="237" t="str">
        <f t="shared" si="1956"/>
        <v>-</v>
      </c>
      <c r="FZ185" s="237" t="str">
        <f t="shared" si="1957"/>
        <v>-</v>
      </c>
      <c r="GA185" s="237" t="str">
        <f t="shared" si="1958"/>
        <v>-</v>
      </c>
      <c r="GB185" s="237" t="str">
        <f t="shared" si="1959"/>
        <v>-</v>
      </c>
      <c r="GC185" s="237" t="str">
        <f t="shared" si="1960"/>
        <v>-</v>
      </c>
      <c r="GD185" s="237" t="str">
        <f t="shared" si="1961"/>
        <v>-</v>
      </c>
      <c r="GE185" s="237" t="str">
        <f t="shared" si="1962"/>
        <v>-</v>
      </c>
      <c r="GF185" s="237" t="str">
        <f t="shared" si="1963"/>
        <v>-</v>
      </c>
      <c r="GG185" s="237" t="str">
        <f t="shared" si="1964"/>
        <v>-</v>
      </c>
      <c r="GH185" s="237" t="str">
        <f t="shared" si="1965"/>
        <v>-</v>
      </c>
      <c r="GI185" s="237" t="str">
        <f t="shared" si="1966"/>
        <v>-</v>
      </c>
      <c r="GJ185" s="237" t="str">
        <f t="shared" si="1967"/>
        <v>-</v>
      </c>
      <c r="GK185" s="237" t="str">
        <f t="shared" si="1968"/>
        <v>-</v>
      </c>
      <c r="GL185" s="237" t="str">
        <f t="shared" si="1969"/>
        <v>-</v>
      </c>
      <c r="GM185" s="237" t="str">
        <f t="shared" si="1970"/>
        <v>-</v>
      </c>
      <c r="GN185" s="237" t="str">
        <f t="shared" si="1971"/>
        <v>-</v>
      </c>
      <c r="GO185" s="237" t="str">
        <f t="shared" si="1972"/>
        <v>-</v>
      </c>
      <c r="GP185" s="237" t="str">
        <f t="shared" si="1973"/>
        <v>-</v>
      </c>
      <c r="GQ185" s="237" t="str">
        <f t="shared" si="1974"/>
        <v>-</v>
      </c>
      <c r="GR185" s="237" t="str">
        <f t="shared" si="1975"/>
        <v>-</v>
      </c>
      <c r="GS185" s="237" t="str">
        <f t="shared" si="1976"/>
        <v>-</v>
      </c>
      <c r="GT185" s="237" t="str">
        <f t="shared" si="1977"/>
        <v>-</v>
      </c>
      <c r="GU185" s="237" t="str">
        <f t="shared" si="1978"/>
        <v>-</v>
      </c>
      <c r="GV185" s="237" t="str">
        <f t="shared" si="1979"/>
        <v>-</v>
      </c>
      <c r="GW185" s="237" t="str">
        <f t="shared" si="1980"/>
        <v>-</v>
      </c>
      <c r="GX185" s="237" t="str">
        <f t="shared" si="1981"/>
        <v>-</v>
      </c>
      <c r="GY185" s="237" t="str">
        <f t="shared" si="1982"/>
        <v>-</v>
      </c>
      <c r="GZ185" s="237" t="str">
        <f t="shared" si="1983"/>
        <v>-</v>
      </c>
      <c r="HA185" s="237" t="str">
        <f t="shared" si="1984"/>
        <v>-</v>
      </c>
      <c r="HB185" s="237" t="str">
        <f t="shared" si="1985"/>
        <v>-</v>
      </c>
      <c r="HC185" s="237" t="str">
        <f t="shared" si="1986"/>
        <v>-</v>
      </c>
      <c r="HD185" s="237" t="str">
        <f t="shared" si="1987"/>
        <v>-</v>
      </c>
      <c r="HE185" s="237" t="str">
        <f t="shared" si="1988"/>
        <v>-</v>
      </c>
      <c r="HF185" s="237" t="str">
        <f t="shared" si="1989"/>
        <v>-</v>
      </c>
      <c r="HG185" s="237" t="str">
        <f t="shared" si="1990"/>
        <v>-</v>
      </c>
      <c r="HH185" s="237" t="str">
        <f t="shared" si="1991"/>
        <v>-</v>
      </c>
      <c r="HI185" s="237" t="str">
        <f t="shared" si="1992"/>
        <v>-</v>
      </c>
      <c r="HJ185" s="237" t="str">
        <f t="shared" si="1993"/>
        <v>-</v>
      </c>
      <c r="HK185" s="237" t="str">
        <f t="shared" si="1994"/>
        <v>-</v>
      </c>
      <c r="HL185" s="237" t="str">
        <f t="shared" si="1995"/>
        <v>-</v>
      </c>
      <c r="HM185" s="237" t="str">
        <f t="shared" si="1996"/>
        <v>-</v>
      </c>
      <c r="HN185" s="237" t="str">
        <f t="shared" si="1997"/>
        <v>-</v>
      </c>
      <c r="HO185" s="237" t="str">
        <f t="shared" si="1998"/>
        <v>-</v>
      </c>
      <c r="HP185" s="237" t="str">
        <f t="shared" si="1999"/>
        <v>-</v>
      </c>
      <c r="HQ185" s="237" t="str">
        <f t="shared" si="2000"/>
        <v>-</v>
      </c>
      <c r="HR185" s="237" t="str">
        <f t="shared" si="2001"/>
        <v>-</v>
      </c>
      <c r="HS185" s="237" t="str">
        <f t="shared" si="2002"/>
        <v>-</v>
      </c>
      <c r="HT185" s="237" t="str">
        <f t="shared" si="2003"/>
        <v>-</v>
      </c>
      <c r="HU185" s="237" t="str">
        <f t="shared" si="2004"/>
        <v>-</v>
      </c>
      <c r="HV185" s="237" t="str">
        <f t="shared" si="2005"/>
        <v>-</v>
      </c>
      <c r="HW185" s="237" t="str">
        <f t="shared" si="2006"/>
        <v>-</v>
      </c>
      <c r="HX185" s="237" t="str">
        <f t="shared" si="2007"/>
        <v>-</v>
      </c>
      <c r="HY185" s="237" t="str">
        <f t="shared" si="2008"/>
        <v>-</v>
      </c>
      <c r="HZ185" s="237" t="str">
        <f t="shared" si="2009"/>
        <v>-</v>
      </c>
      <c r="IA185" s="237" t="str">
        <f t="shared" si="2010"/>
        <v>-</v>
      </c>
      <c r="IB185" s="237" t="str">
        <f t="shared" si="2011"/>
        <v>-</v>
      </c>
      <c r="IC185" s="237" t="str">
        <f t="shared" si="2012"/>
        <v>-</v>
      </c>
      <c r="ID185" s="237" t="str">
        <f t="shared" si="2013"/>
        <v>-</v>
      </c>
      <c r="IE185" s="237" t="str">
        <f t="shared" si="2014"/>
        <v>-</v>
      </c>
      <c r="IF185" s="237" t="str">
        <f t="shared" si="2015"/>
        <v>-</v>
      </c>
      <c r="IG185" s="312" t="str">
        <f t="shared" si="2016"/>
        <v>-</v>
      </c>
      <c r="IH185" s="99" t="str">
        <f t="shared" si="2017"/>
        <v>-</v>
      </c>
      <c r="II185" s="99" t="str">
        <f t="shared" si="2018"/>
        <v>-</v>
      </c>
      <c r="IJ185" s="99" t="str">
        <f t="shared" si="2019"/>
        <v>-</v>
      </c>
      <c r="IK185" s="99" t="str">
        <f t="shared" si="2020"/>
        <v>-</v>
      </c>
      <c r="IL185" s="99" t="str">
        <f t="shared" si="2021"/>
        <v>-</v>
      </c>
      <c r="IM185" s="312" t="str">
        <f t="shared" si="2022"/>
        <v/>
      </c>
      <c r="IN185" s="99" t="str">
        <f t="shared" si="2023"/>
        <v/>
      </c>
      <c r="IO185" s="99" t="str">
        <f t="shared" si="2024"/>
        <v/>
      </c>
      <c r="IP185" s="99" t="str">
        <f t="shared" si="2025"/>
        <v/>
      </c>
      <c r="IQ185" s="99" t="str">
        <f t="shared" si="2026"/>
        <v/>
      </c>
      <c r="IR185" s="99" t="str">
        <f t="shared" si="2027"/>
        <v/>
      </c>
      <c r="IS185" s="312" t="str">
        <f t="shared" si="2028"/>
        <v/>
      </c>
      <c r="IT185" s="99" t="str">
        <f t="shared" si="2029"/>
        <v/>
      </c>
      <c r="IU185" s="99" t="str">
        <f t="shared" si="2030"/>
        <v/>
      </c>
      <c r="IV185" s="99" t="str">
        <f t="shared" si="2031"/>
        <v/>
      </c>
      <c r="IW185" s="99" t="str">
        <f t="shared" si="2032"/>
        <v/>
      </c>
      <c r="IX185" s="99" t="str">
        <f t="shared" si="2033"/>
        <v/>
      </c>
      <c r="IY185" s="312" t="str">
        <f t="shared" si="2034"/>
        <v/>
      </c>
      <c r="IZ185" s="99" t="str">
        <f t="shared" si="2035"/>
        <v/>
      </c>
      <c r="JA185" s="99" t="str">
        <f t="shared" si="2036"/>
        <v/>
      </c>
      <c r="JB185" s="99" t="str">
        <f t="shared" si="2037"/>
        <v/>
      </c>
      <c r="JC185" s="99" t="str">
        <f t="shared" si="2038"/>
        <v/>
      </c>
      <c r="JD185" s="313" t="str">
        <f t="shared" si="2039"/>
        <v/>
      </c>
      <c r="JF185" s="66">
        <f t="shared" si="1424"/>
        <v>185</v>
      </c>
      <c r="JG185" s="66">
        <f t="shared" ca="1" si="1425"/>
        <v>0</v>
      </c>
      <c r="JH185" s="66">
        <f t="shared" ca="1" si="1426"/>
        <v>0</v>
      </c>
      <c r="JI185" s="66">
        <f t="shared" ca="1" si="1427"/>
        <v>0</v>
      </c>
      <c r="JJ185" s="66">
        <f t="shared" ca="1" si="1428"/>
        <v>0</v>
      </c>
      <c r="JK185" s="33"/>
      <c r="JL185" s="74" t="str">
        <f t="shared" ca="1" si="1429"/>
        <v>-</v>
      </c>
      <c r="JM185" s="75">
        <f t="shared" ca="1" si="1430"/>
        <v>0</v>
      </c>
      <c r="JN185" s="75">
        <f t="shared" ca="1" si="1431"/>
        <v>0</v>
      </c>
      <c r="JO185" s="74" t="str">
        <f t="shared" ca="1" si="1432"/>
        <v>-</v>
      </c>
      <c r="JP185" s="74">
        <f t="shared" ca="1" si="1433"/>
        <v>0</v>
      </c>
    </row>
    <row r="186" spans="1:276" hidden="1" outlineLevel="1" x14ac:dyDescent="0.35">
      <c r="A186" s="125" t="s">
        <v>805</v>
      </c>
      <c r="B186" s="125" t="s">
        <v>805</v>
      </c>
      <c r="C186" s="125" t="s">
        <v>805</v>
      </c>
      <c r="E186" s="142" t="s">
        <v>899</v>
      </c>
      <c r="F186" s="254" t="s">
        <v>783</v>
      </c>
      <c r="G186" t="s">
        <v>540</v>
      </c>
      <c r="H186" t="s">
        <v>535</v>
      </c>
      <c r="I186" t="s">
        <v>536</v>
      </c>
      <c r="J186" s="211" t="s">
        <v>805</v>
      </c>
      <c r="K186" t="s">
        <v>805</v>
      </c>
      <c r="L186" t="s">
        <v>805</v>
      </c>
      <c r="M186" t="s">
        <v>805</v>
      </c>
      <c r="N186" t="s">
        <v>805</v>
      </c>
      <c r="O186" t="s">
        <v>805</v>
      </c>
      <c r="P186" t="s">
        <v>805</v>
      </c>
      <c r="Q186" t="s">
        <v>805</v>
      </c>
      <c r="R186" t="s">
        <v>805</v>
      </c>
      <c r="S186" t="s">
        <v>805</v>
      </c>
      <c r="T186" t="s">
        <v>805</v>
      </c>
      <c r="U186" t="s">
        <v>805</v>
      </c>
      <c r="V186" t="s">
        <v>805</v>
      </c>
      <c r="W186" t="s">
        <v>805</v>
      </c>
      <c r="X186" t="s">
        <v>805</v>
      </c>
      <c r="Y186" t="s">
        <v>805</v>
      </c>
      <c r="Z186" t="s">
        <v>805</v>
      </c>
      <c r="AA186" t="s">
        <v>805</v>
      </c>
      <c r="AB186" t="s">
        <v>805</v>
      </c>
      <c r="AC186" t="s">
        <v>805</v>
      </c>
      <c r="AD186" t="s">
        <v>805</v>
      </c>
      <c r="AE186" t="s">
        <v>805</v>
      </c>
      <c r="AF186" t="s">
        <v>805</v>
      </c>
      <c r="AG186" t="s">
        <v>805</v>
      </c>
      <c r="AH186" t="s">
        <v>805</v>
      </c>
      <c r="AI186" t="s">
        <v>805</v>
      </c>
      <c r="AJ186" t="s">
        <v>805</v>
      </c>
      <c r="AK186" t="s">
        <v>805</v>
      </c>
      <c r="AL186" t="s">
        <v>805</v>
      </c>
      <c r="AM186" t="s">
        <v>805</v>
      </c>
      <c r="AN186" t="s">
        <v>805</v>
      </c>
      <c r="AO186" t="s">
        <v>805</v>
      </c>
      <c r="AP186" t="s">
        <v>805</v>
      </c>
      <c r="AQ186" t="s">
        <v>805</v>
      </c>
      <c r="AR186" t="s">
        <v>805</v>
      </c>
      <c r="AS186" t="s">
        <v>805</v>
      </c>
      <c r="AT186" t="s">
        <v>805</v>
      </c>
      <c r="AU186" t="s">
        <v>805</v>
      </c>
      <c r="AV186" t="s">
        <v>805</v>
      </c>
      <c r="AW186" t="s">
        <v>805</v>
      </c>
      <c r="AX186" t="s">
        <v>805</v>
      </c>
      <c r="AY186" t="s">
        <v>805</v>
      </c>
      <c r="AZ186" t="s">
        <v>805</v>
      </c>
      <c r="BA186" t="s">
        <v>805</v>
      </c>
      <c r="BB186" t="s">
        <v>805</v>
      </c>
      <c r="BC186" t="s">
        <v>805</v>
      </c>
      <c r="BD186" t="s">
        <v>805</v>
      </c>
      <c r="BE186" t="s">
        <v>805</v>
      </c>
      <c r="BF186" t="s">
        <v>805</v>
      </c>
      <c r="BG186" t="s">
        <v>805</v>
      </c>
      <c r="BH186" t="s">
        <v>805</v>
      </c>
      <c r="BI186" t="s">
        <v>805</v>
      </c>
      <c r="BJ186" t="s">
        <v>805</v>
      </c>
      <c r="BK186" t="s">
        <v>805</v>
      </c>
      <c r="BL186" t="s">
        <v>805</v>
      </c>
      <c r="BM186" t="s">
        <v>805</v>
      </c>
      <c r="BN186" t="s">
        <v>805</v>
      </c>
      <c r="BO186" t="s">
        <v>805</v>
      </c>
      <c r="BP186" t="s">
        <v>805</v>
      </c>
      <c r="BQ186" t="s">
        <v>805</v>
      </c>
      <c r="BR186" t="s">
        <v>805</v>
      </c>
      <c r="BS186" t="s">
        <v>805</v>
      </c>
      <c r="BT186" t="s">
        <v>805</v>
      </c>
      <c r="BU186" t="s">
        <v>805</v>
      </c>
      <c r="BV186" t="s">
        <v>805</v>
      </c>
      <c r="BW186" t="s">
        <v>805</v>
      </c>
      <c r="BX186" t="s">
        <v>805</v>
      </c>
      <c r="BY186" t="s">
        <v>805</v>
      </c>
      <c r="BZ186" t="s">
        <v>805</v>
      </c>
      <c r="CA186" t="s">
        <v>805</v>
      </c>
      <c r="CB186" t="s">
        <v>805</v>
      </c>
      <c r="CC186" t="s">
        <v>805</v>
      </c>
      <c r="CD186" t="s">
        <v>805</v>
      </c>
      <c r="CE186" t="s">
        <v>805</v>
      </c>
      <c r="CF186" t="s">
        <v>805</v>
      </c>
      <c r="CG186" t="s">
        <v>805</v>
      </c>
      <c r="CH186" t="s">
        <v>805</v>
      </c>
      <c r="CI186" t="s">
        <v>805</v>
      </c>
      <c r="CJ186" t="s">
        <v>805</v>
      </c>
      <c r="CK186" t="s">
        <v>805</v>
      </c>
      <c r="CL186" t="s">
        <v>805</v>
      </c>
      <c r="CM186" t="s">
        <v>805</v>
      </c>
      <c r="CN186" t="s">
        <v>805</v>
      </c>
      <c r="CO186" t="s">
        <v>805</v>
      </c>
      <c r="CP186" t="s">
        <v>805</v>
      </c>
      <c r="CQ186" t="s">
        <v>805</v>
      </c>
      <c r="CR186" t="s">
        <v>805</v>
      </c>
      <c r="CS186" t="s">
        <v>805</v>
      </c>
      <c r="CT186" t="s">
        <v>805</v>
      </c>
      <c r="CU186" t="s">
        <v>805</v>
      </c>
      <c r="CV186" t="s">
        <v>805</v>
      </c>
      <c r="CW186" t="s">
        <v>805</v>
      </c>
      <c r="CX186" t="s">
        <v>805</v>
      </c>
      <c r="CY186" t="s">
        <v>805</v>
      </c>
      <c r="CZ186" t="s">
        <v>805</v>
      </c>
      <c r="DA186" t="s">
        <v>805</v>
      </c>
      <c r="DB186" t="s">
        <v>805</v>
      </c>
      <c r="DC186" t="s">
        <v>805</v>
      </c>
      <c r="DD186" t="s">
        <v>805</v>
      </c>
      <c r="DE186" t="s">
        <v>805</v>
      </c>
      <c r="DF186" t="s">
        <v>805</v>
      </c>
      <c r="DG186" s="28">
        <f>VLOOKUP(E186,'KPI Count-SHARE'!A:F,3,0)</f>
        <v>0</v>
      </c>
      <c r="DH186" t="s">
        <v>805</v>
      </c>
      <c r="DI186" t="s">
        <v>805</v>
      </c>
      <c r="DJ186" t="s">
        <v>805</v>
      </c>
      <c r="DK186" t="s">
        <v>805</v>
      </c>
      <c r="DL186" t="s">
        <v>805</v>
      </c>
      <c r="DM186" t="s">
        <v>805</v>
      </c>
      <c r="DN186" s="28">
        <f>VLOOKUP(E186,'KPI Count-SHARE'!A:F,4,0)</f>
        <v>0</v>
      </c>
      <c r="DU186" s="28">
        <f>VLOOKUP(E186,'KPI Count-SHARE'!A:F,5,0)</f>
        <v>0</v>
      </c>
      <c r="EB186" s="28">
        <f>VLOOKUP(E186,'KPI Count-SHARE'!A:F,6,0)</f>
        <v>0</v>
      </c>
      <c r="EI186" t="str">
        <f t="shared" si="2040"/>
        <v>USD '000 per FTE</v>
      </c>
      <c r="EJ186" s="237" t="str">
        <f t="shared" si="1915"/>
        <v>-</v>
      </c>
      <c r="EK186" s="237" t="str">
        <f t="shared" si="1916"/>
        <v>-</v>
      </c>
      <c r="EL186" s="237" t="str">
        <f t="shared" si="1917"/>
        <v>-</v>
      </c>
      <c r="EM186" s="237" t="str">
        <f t="shared" si="1918"/>
        <v>-</v>
      </c>
      <c r="EN186" s="237" t="str">
        <f t="shared" si="1919"/>
        <v>-</v>
      </c>
      <c r="EO186" s="237" t="str">
        <f t="shared" si="1920"/>
        <v>-</v>
      </c>
      <c r="EP186" s="237" t="str">
        <f t="shared" si="1921"/>
        <v>-</v>
      </c>
      <c r="EQ186" s="237" t="str">
        <f t="shared" si="1922"/>
        <v>-</v>
      </c>
      <c r="ER186" s="237" t="str">
        <f t="shared" si="1923"/>
        <v>-</v>
      </c>
      <c r="ES186" s="237" t="str">
        <f t="shared" si="1924"/>
        <v>-</v>
      </c>
      <c r="ET186" s="237" t="str">
        <f t="shared" si="1925"/>
        <v>-</v>
      </c>
      <c r="EU186" s="237" t="str">
        <f t="shared" si="1926"/>
        <v>-</v>
      </c>
      <c r="EV186" s="237" t="str">
        <f t="shared" si="1927"/>
        <v>-</v>
      </c>
      <c r="EW186" s="237" t="str">
        <f t="shared" si="1928"/>
        <v>-</v>
      </c>
      <c r="EX186" s="237" t="str">
        <f t="shared" si="1929"/>
        <v>-</v>
      </c>
      <c r="EY186" s="237" t="str">
        <f t="shared" si="1930"/>
        <v>-</v>
      </c>
      <c r="EZ186" s="237" t="str">
        <f t="shared" si="1931"/>
        <v>-</v>
      </c>
      <c r="FA186" s="237" t="str">
        <f t="shared" si="1932"/>
        <v>-</v>
      </c>
      <c r="FB186" s="237" t="str">
        <f t="shared" si="1933"/>
        <v>-</v>
      </c>
      <c r="FC186" s="237" t="str">
        <f t="shared" si="1934"/>
        <v>-</v>
      </c>
      <c r="FD186" s="237" t="str">
        <f t="shared" si="1935"/>
        <v>-</v>
      </c>
      <c r="FE186" s="237" t="str">
        <f t="shared" si="1936"/>
        <v>-</v>
      </c>
      <c r="FF186" s="237" t="str">
        <f t="shared" si="1937"/>
        <v>-</v>
      </c>
      <c r="FG186" s="237" t="str">
        <f t="shared" si="1938"/>
        <v>-</v>
      </c>
      <c r="FH186" s="237" t="str">
        <f t="shared" si="1939"/>
        <v>-</v>
      </c>
      <c r="FI186" s="237" t="str">
        <f t="shared" si="1940"/>
        <v>-</v>
      </c>
      <c r="FJ186" s="237" t="str">
        <f t="shared" si="1941"/>
        <v>-</v>
      </c>
      <c r="FK186" s="237" t="str">
        <f t="shared" si="1942"/>
        <v>-</v>
      </c>
      <c r="FL186" s="237" t="str">
        <f t="shared" si="1943"/>
        <v>-</v>
      </c>
      <c r="FM186" s="237" t="str">
        <f t="shared" si="1944"/>
        <v>-</v>
      </c>
      <c r="FN186" s="237" t="str">
        <f t="shared" si="1945"/>
        <v>-</v>
      </c>
      <c r="FO186" s="237" t="str">
        <f t="shared" si="1946"/>
        <v>-</v>
      </c>
      <c r="FP186" s="237" t="str">
        <f t="shared" si="1947"/>
        <v>-</v>
      </c>
      <c r="FQ186" s="237" t="str">
        <f t="shared" si="1948"/>
        <v>-</v>
      </c>
      <c r="FR186" s="237" t="str">
        <f t="shared" si="1949"/>
        <v>-</v>
      </c>
      <c r="FS186" s="237" t="str">
        <f t="shared" si="1950"/>
        <v>-</v>
      </c>
      <c r="FT186" s="237" t="str">
        <f t="shared" si="1951"/>
        <v>-</v>
      </c>
      <c r="FU186" s="237" t="str">
        <f t="shared" si="1952"/>
        <v>-</v>
      </c>
      <c r="FV186" s="237" t="str">
        <f t="shared" si="1953"/>
        <v>-</v>
      </c>
      <c r="FW186" s="237" t="str">
        <f t="shared" si="1954"/>
        <v>-</v>
      </c>
      <c r="FX186" s="237" t="str">
        <f t="shared" si="1955"/>
        <v>-</v>
      </c>
      <c r="FY186" s="237" t="str">
        <f t="shared" si="1956"/>
        <v>-</v>
      </c>
      <c r="FZ186" s="237" t="str">
        <f t="shared" si="1957"/>
        <v>-</v>
      </c>
      <c r="GA186" s="237" t="str">
        <f t="shared" si="1958"/>
        <v>-</v>
      </c>
      <c r="GB186" s="237" t="str">
        <f t="shared" si="1959"/>
        <v>-</v>
      </c>
      <c r="GC186" s="237" t="str">
        <f t="shared" si="1960"/>
        <v>-</v>
      </c>
      <c r="GD186" s="237" t="str">
        <f t="shared" si="1961"/>
        <v>-</v>
      </c>
      <c r="GE186" s="237" t="str">
        <f t="shared" si="1962"/>
        <v>-</v>
      </c>
      <c r="GF186" s="237" t="str">
        <f t="shared" si="1963"/>
        <v>-</v>
      </c>
      <c r="GG186" s="237" t="str">
        <f t="shared" si="1964"/>
        <v>-</v>
      </c>
      <c r="GH186" s="237" t="str">
        <f t="shared" si="1965"/>
        <v>-</v>
      </c>
      <c r="GI186" s="237" t="str">
        <f t="shared" si="1966"/>
        <v>-</v>
      </c>
      <c r="GJ186" s="237" t="str">
        <f t="shared" si="1967"/>
        <v>-</v>
      </c>
      <c r="GK186" s="237" t="str">
        <f t="shared" si="1968"/>
        <v>-</v>
      </c>
      <c r="GL186" s="237" t="str">
        <f t="shared" si="1969"/>
        <v>-</v>
      </c>
      <c r="GM186" s="237" t="str">
        <f t="shared" si="1970"/>
        <v>-</v>
      </c>
      <c r="GN186" s="237" t="str">
        <f t="shared" si="1971"/>
        <v>-</v>
      </c>
      <c r="GO186" s="237" t="str">
        <f t="shared" si="1972"/>
        <v>-</v>
      </c>
      <c r="GP186" s="237" t="str">
        <f t="shared" si="1973"/>
        <v>-</v>
      </c>
      <c r="GQ186" s="237" t="str">
        <f t="shared" si="1974"/>
        <v>-</v>
      </c>
      <c r="GR186" s="237" t="str">
        <f t="shared" si="1975"/>
        <v>-</v>
      </c>
      <c r="GS186" s="237" t="str">
        <f t="shared" si="1976"/>
        <v>-</v>
      </c>
      <c r="GT186" s="237" t="str">
        <f t="shared" si="1977"/>
        <v>-</v>
      </c>
      <c r="GU186" s="237" t="str">
        <f t="shared" si="1978"/>
        <v>-</v>
      </c>
      <c r="GV186" s="237" t="str">
        <f t="shared" si="1979"/>
        <v>-</v>
      </c>
      <c r="GW186" s="237" t="str">
        <f t="shared" si="1980"/>
        <v>-</v>
      </c>
      <c r="GX186" s="237" t="str">
        <f t="shared" si="1981"/>
        <v>-</v>
      </c>
      <c r="GY186" s="237" t="str">
        <f t="shared" si="1982"/>
        <v>-</v>
      </c>
      <c r="GZ186" s="237" t="str">
        <f t="shared" si="1983"/>
        <v>-</v>
      </c>
      <c r="HA186" s="237" t="str">
        <f t="shared" si="1984"/>
        <v>-</v>
      </c>
      <c r="HB186" s="237" t="str">
        <f t="shared" si="1985"/>
        <v>-</v>
      </c>
      <c r="HC186" s="237" t="str">
        <f t="shared" si="1986"/>
        <v>-</v>
      </c>
      <c r="HD186" s="237" t="str">
        <f t="shared" si="1987"/>
        <v>-</v>
      </c>
      <c r="HE186" s="237" t="str">
        <f t="shared" si="1988"/>
        <v>-</v>
      </c>
      <c r="HF186" s="237" t="str">
        <f t="shared" si="1989"/>
        <v>-</v>
      </c>
      <c r="HG186" s="237" t="str">
        <f t="shared" si="1990"/>
        <v>-</v>
      </c>
      <c r="HH186" s="237" t="str">
        <f t="shared" si="1991"/>
        <v>-</v>
      </c>
      <c r="HI186" s="237" t="str">
        <f t="shared" si="1992"/>
        <v>-</v>
      </c>
      <c r="HJ186" s="237" t="str">
        <f t="shared" si="1993"/>
        <v>-</v>
      </c>
      <c r="HK186" s="237" t="str">
        <f t="shared" si="1994"/>
        <v>-</v>
      </c>
      <c r="HL186" s="237" t="str">
        <f t="shared" si="1995"/>
        <v>-</v>
      </c>
      <c r="HM186" s="237" t="str">
        <f t="shared" si="1996"/>
        <v>-</v>
      </c>
      <c r="HN186" s="237" t="str">
        <f t="shared" si="1997"/>
        <v>-</v>
      </c>
      <c r="HO186" s="237" t="str">
        <f t="shared" si="1998"/>
        <v>-</v>
      </c>
      <c r="HP186" s="237" t="str">
        <f t="shared" si="1999"/>
        <v>-</v>
      </c>
      <c r="HQ186" s="237" t="str">
        <f t="shared" si="2000"/>
        <v>-</v>
      </c>
      <c r="HR186" s="237" t="str">
        <f t="shared" si="2001"/>
        <v>-</v>
      </c>
      <c r="HS186" s="237" t="str">
        <f t="shared" si="2002"/>
        <v>-</v>
      </c>
      <c r="HT186" s="237" t="str">
        <f t="shared" si="2003"/>
        <v>-</v>
      </c>
      <c r="HU186" s="237" t="str">
        <f t="shared" si="2004"/>
        <v>-</v>
      </c>
      <c r="HV186" s="237" t="str">
        <f t="shared" si="2005"/>
        <v>-</v>
      </c>
      <c r="HW186" s="237" t="str">
        <f t="shared" si="2006"/>
        <v>-</v>
      </c>
      <c r="HX186" s="237" t="str">
        <f t="shared" si="2007"/>
        <v>-</v>
      </c>
      <c r="HY186" s="237" t="str">
        <f t="shared" si="2008"/>
        <v>-</v>
      </c>
      <c r="HZ186" s="237" t="str">
        <f t="shared" si="2009"/>
        <v>-</v>
      </c>
      <c r="IA186" s="237" t="str">
        <f t="shared" si="2010"/>
        <v>-</v>
      </c>
      <c r="IB186" s="237" t="str">
        <f t="shared" si="2011"/>
        <v>-</v>
      </c>
      <c r="IC186" s="237" t="str">
        <f t="shared" si="2012"/>
        <v>-</v>
      </c>
      <c r="ID186" s="237" t="str">
        <f t="shared" si="2013"/>
        <v>-</v>
      </c>
      <c r="IE186" s="237" t="str">
        <f t="shared" si="2014"/>
        <v>-</v>
      </c>
      <c r="IF186" s="237" t="str">
        <f t="shared" si="2015"/>
        <v>-</v>
      </c>
      <c r="IG186" s="312" t="str">
        <f t="shared" si="2016"/>
        <v>-</v>
      </c>
      <c r="IH186" s="99" t="str">
        <f t="shared" si="2017"/>
        <v>-</v>
      </c>
      <c r="II186" s="99" t="str">
        <f t="shared" si="2018"/>
        <v>-</v>
      </c>
      <c r="IJ186" s="99" t="str">
        <f t="shared" si="2019"/>
        <v>-</v>
      </c>
      <c r="IK186" s="99" t="str">
        <f t="shared" si="2020"/>
        <v>-</v>
      </c>
      <c r="IL186" s="99" t="str">
        <f t="shared" si="2021"/>
        <v>-</v>
      </c>
      <c r="IM186" s="312" t="str">
        <f t="shared" si="2022"/>
        <v/>
      </c>
      <c r="IN186" s="99" t="str">
        <f t="shared" si="2023"/>
        <v/>
      </c>
      <c r="IO186" s="99" t="str">
        <f t="shared" si="2024"/>
        <v/>
      </c>
      <c r="IP186" s="99" t="str">
        <f t="shared" si="2025"/>
        <v/>
      </c>
      <c r="IQ186" s="99" t="str">
        <f t="shared" si="2026"/>
        <v/>
      </c>
      <c r="IR186" s="99" t="str">
        <f t="shared" si="2027"/>
        <v/>
      </c>
      <c r="IS186" s="312" t="str">
        <f t="shared" si="2028"/>
        <v/>
      </c>
      <c r="IT186" s="99" t="str">
        <f t="shared" si="2029"/>
        <v/>
      </c>
      <c r="IU186" s="99" t="str">
        <f t="shared" si="2030"/>
        <v/>
      </c>
      <c r="IV186" s="99" t="str">
        <f t="shared" si="2031"/>
        <v/>
      </c>
      <c r="IW186" s="99" t="str">
        <f t="shared" si="2032"/>
        <v/>
      </c>
      <c r="IX186" s="99" t="str">
        <f t="shared" si="2033"/>
        <v/>
      </c>
      <c r="IY186" s="312" t="str">
        <f t="shared" si="2034"/>
        <v/>
      </c>
      <c r="IZ186" s="99" t="str">
        <f t="shared" si="2035"/>
        <v/>
      </c>
      <c r="JA186" s="99" t="str">
        <f t="shared" si="2036"/>
        <v/>
      </c>
      <c r="JB186" s="99" t="str">
        <f t="shared" si="2037"/>
        <v/>
      </c>
      <c r="JC186" s="99" t="str">
        <f t="shared" si="2038"/>
        <v/>
      </c>
      <c r="JD186" s="313" t="str">
        <f t="shared" si="2039"/>
        <v/>
      </c>
      <c r="JF186" s="66">
        <f t="shared" si="1424"/>
        <v>186</v>
      </c>
      <c r="JG186" s="66">
        <f t="shared" ca="1" si="1425"/>
        <v>0</v>
      </c>
      <c r="JH186" s="66">
        <f t="shared" ca="1" si="1426"/>
        <v>0</v>
      </c>
      <c r="JI186" s="66">
        <f t="shared" ca="1" si="1427"/>
        <v>0</v>
      </c>
      <c r="JJ186" s="66">
        <f t="shared" ca="1" si="1428"/>
        <v>0</v>
      </c>
      <c r="JK186" s="33"/>
      <c r="JL186" s="74" t="str">
        <f t="shared" ca="1" si="1429"/>
        <v>-</v>
      </c>
      <c r="JM186" s="75">
        <f t="shared" ca="1" si="1430"/>
        <v>0</v>
      </c>
      <c r="JN186" s="75">
        <f t="shared" ca="1" si="1431"/>
        <v>0</v>
      </c>
      <c r="JO186" s="74" t="str">
        <f t="shared" ca="1" si="1432"/>
        <v>-</v>
      </c>
      <c r="JP186" s="74">
        <f t="shared" ca="1" si="1433"/>
        <v>0</v>
      </c>
    </row>
    <row r="187" spans="1:276" hidden="1" outlineLevel="1" x14ac:dyDescent="0.35">
      <c r="A187" s="125" t="s">
        <v>805</v>
      </c>
      <c r="B187" s="125" t="s">
        <v>805</v>
      </c>
      <c r="C187" s="125" t="s">
        <v>805</v>
      </c>
      <c r="E187" s="142" t="s">
        <v>900</v>
      </c>
      <c r="F187" s="254" t="s">
        <v>784</v>
      </c>
      <c r="G187" t="s">
        <v>540</v>
      </c>
      <c r="H187" t="s">
        <v>535</v>
      </c>
      <c r="I187" t="s">
        <v>536</v>
      </c>
      <c r="J187" s="211" t="s">
        <v>805</v>
      </c>
      <c r="K187" t="s">
        <v>805</v>
      </c>
      <c r="L187" t="s">
        <v>805</v>
      </c>
      <c r="M187" t="s">
        <v>805</v>
      </c>
      <c r="N187" t="s">
        <v>805</v>
      </c>
      <c r="O187" t="s">
        <v>805</v>
      </c>
      <c r="P187" t="s">
        <v>805</v>
      </c>
      <c r="Q187" t="s">
        <v>805</v>
      </c>
      <c r="R187" t="s">
        <v>805</v>
      </c>
      <c r="S187" t="s">
        <v>805</v>
      </c>
      <c r="T187" t="s">
        <v>805</v>
      </c>
      <c r="U187" t="s">
        <v>805</v>
      </c>
      <c r="V187" t="s">
        <v>805</v>
      </c>
      <c r="W187" t="s">
        <v>805</v>
      </c>
      <c r="X187" t="s">
        <v>805</v>
      </c>
      <c r="Y187" t="s">
        <v>805</v>
      </c>
      <c r="Z187" t="s">
        <v>805</v>
      </c>
      <c r="AA187" t="s">
        <v>805</v>
      </c>
      <c r="AB187" t="s">
        <v>805</v>
      </c>
      <c r="AC187" t="s">
        <v>805</v>
      </c>
      <c r="AD187" t="s">
        <v>805</v>
      </c>
      <c r="AE187" t="s">
        <v>805</v>
      </c>
      <c r="AF187" t="s">
        <v>805</v>
      </c>
      <c r="AG187" t="s">
        <v>805</v>
      </c>
      <c r="AH187" t="s">
        <v>805</v>
      </c>
      <c r="AI187" t="s">
        <v>805</v>
      </c>
      <c r="AJ187" t="s">
        <v>805</v>
      </c>
      <c r="AK187" t="s">
        <v>805</v>
      </c>
      <c r="AL187" t="s">
        <v>805</v>
      </c>
      <c r="AM187" t="s">
        <v>805</v>
      </c>
      <c r="AN187" t="s">
        <v>805</v>
      </c>
      <c r="AO187" t="s">
        <v>805</v>
      </c>
      <c r="AP187" t="s">
        <v>805</v>
      </c>
      <c r="AQ187" t="s">
        <v>805</v>
      </c>
      <c r="AR187" t="s">
        <v>805</v>
      </c>
      <c r="AS187" t="s">
        <v>805</v>
      </c>
      <c r="AT187" t="s">
        <v>805</v>
      </c>
      <c r="AU187" t="s">
        <v>805</v>
      </c>
      <c r="AV187" t="s">
        <v>805</v>
      </c>
      <c r="AW187" t="s">
        <v>805</v>
      </c>
      <c r="AX187" t="s">
        <v>805</v>
      </c>
      <c r="AY187" t="s">
        <v>805</v>
      </c>
      <c r="AZ187" t="s">
        <v>805</v>
      </c>
      <c r="BA187" t="s">
        <v>805</v>
      </c>
      <c r="BB187" t="s">
        <v>805</v>
      </c>
      <c r="BC187" t="s">
        <v>805</v>
      </c>
      <c r="BD187" t="s">
        <v>805</v>
      </c>
      <c r="BE187" t="s">
        <v>805</v>
      </c>
      <c r="BF187" t="s">
        <v>805</v>
      </c>
      <c r="BG187" t="s">
        <v>805</v>
      </c>
      <c r="BH187" t="s">
        <v>805</v>
      </c>
      <c r="BI187" t="s">
        <v>805</v>
      </c>
      <c r="BJ187" t="s">
        <v>805</v>
      </c>
      <c r="BK187" t="s">
        <v>805</v>
      </c>
      <c r="BL187" t="s">
        <v>805</v>
      </c>
      <c r="BM187" t="s">
        <v>805</v>
      </c>
      <c r="BN187" t="s">
        <v>805</v>
      </c>
      <c r="BO187" t="s">
        <v>805</v>
      </c>
      <c r="BP187" t="s">
        <v>805</v>
      </c>
      <c r="BQ187" t="s">
        <v>805</v>
      </c>
      <c r="BR187" t="s">
        <v>805</v>
      </c>
      <c r="BS187" t="s">
        <v>805</v>
      </c>
      <c r="BT187" t="s">
        <v>805</v>
      </c>
      <c r="BU187" t="s">
        <v>805</v>
      </c>
      <c r="BV187" t="s">
        <v>805</v>
      </c>
      <c r="BW187" t="s">
        <v>805</v>
      </c>
      <c r="BX187" t="s">
        <v>805</v>
      </c>
      <c r="BY187" t="s">
        <v>805</v>
      </c>
      <c r="BZ187" t="s">
        <v>805</v>
      </c>
      <c r="CA187" t="s">
        <v>805</v>
      </c>
      <c r="CB187" t="s">
        <v>805</v>
      </c>
      <c r="CC187" t="s">
        <v>805</v>
      </c>
      <c r="CD187" t="s">
        <v>805</v>
      </c>
      <c r="CE187" t="s">
        <v>805</v>
      </c>
      <c r="CF187" t="s">
        <v>805</v>
      </c>
      <c r="CG187" t="s">
        <v>805</v>
      </c>
      <c r="CH187" t="s">
        <v>805</v>
      </c>
      <c r="CI187" t="s">
        <v>805</v>
      </c>
      <c r="CJ187" t="s">
        <v>805</v>
      </c>
      <c r="CK187" t="s">
        <v>805</v>
      </c>
      <c r="CL187" t="s">
        <v>805</v>
      </c>
      <c r="CM187" t="s">
        <v>805</v>
      </c>
      <c r="CN187" t="s">
        <v>805</v>
      </c>
      <c r="CO187" t="s">
        <v>805</v>
      </c>
      <c r="CP187" t="s">
        <v>805</v>
      </c>
      <c r="CQ187" t="s">
        <v>805</v>
      </c>
      <c r="CR187" t="s">
        <v>805</v>
      </c>
      <c r="CS187" t="s">
        <v>805</v>
      </c>
      <c r="CT187" t="s">
        <v>805</v>
      </c>
      <c r="CU187" t="s">
        <v>805</v>
      </c>
      <c r="CV187" t="s">
        <v>805</v>
      </c>
      <c r="CW187" t="s">
        <v>805</v>
      </c>
      <c r="CX187" t="s">
        <v>805</v>
      </c>
      <c r="CY187" t="s">
        <v>805</v>
      </c>
      <c r="CZ187" t="s">
        <v>805</v>
      </c>
      <c r="DA187" t="s">
        <v>805</v>
      </c>
      <c r="DB187" t="s">
        <v>805</v>
      </c>
      <c r="DC187" t="s">
        <v>805</v>
      </c>
      <c r="DD187" t="s">
        <v>805</v>
      </c>
      <c r="DE187" t="s">
        <v>805</v>
      </c>
      <c r="DF187" t="s">
        <v>805</v>
      </c>
      <c r="DG187" s="28">
        <f>VLOOKUP(E187,'KPI Count-SHARE'!A:F,3,0)</f>
        <v>0</v>
      </c>
      <c r="DH187">
        <v>0</v>
      </c>
      <c r="DI187" t="s">
        <v>805</v>
      </c>
      <c r="DJ187" t="s">
        <v>805</v>
      </c>
      <c r="DK187" t="s">
        <v>805</v>
      </c>
      <c r="DL187" t="s">
        <v>805</v>
      </c>
      <c r="DM187" t="s">
        <v>805</v>
      </c>
      <c r="DN187" s="28">
        <f>VLOOKUP(E187,'KPI Count-SHARE'!A:F,4,0)</f>
        <v>0</v>
      </c>
      <c r="DU187" s="28">
        <f>VLOOKUP(E187,'KPI Count-SHARE'!A:F,5,0)</f>
        <v>0</v>
      </c>
      <c r="EB187" s="28">
        <f>VLOOKUP(E187,'KPI Count-SHARE'!A:F,6,0)</f>
        <v>0</v>
      </c>
      <c r="EI187" t="str">
        <f t="shared" si="2040"/>
        <v>USD '000 per FTE</v>
      </c>
      <c r="EJ187" s="237" t="str">
        <f t="shared" si="1915"/>
        <v>-</v>
      </c>
      <c r="EK187" s="237" t="str">
        <f t="shared" si="1916"/>
        <v>-</v>
      </c>
      <c r="EL187" s="237" t="str">
        <f t="shared" si="1917"/>
        <v>-</v>
      </c>
      <c r="EM187" s="237" t="str">
        <f t="shared" si="1918"/>
        <v>-</v>
      </c>
      <c r="EN187" s="237" t="str">
        <f t="shared" si="1919"/>
        <v>-</v>
      </c>
      <c r="EO187" s="237" t="str">
        <f t="shared" si="1920"/>
        <v>-</v>
      </c>
      <c r="EP187" s="237" t="str">
        <f t="shared" si="1921"/>
        <v>-</v>
      </c>
      <c r="EQ187" s="237" t="str">
        <f t="shared" si="1922"/>
        <v>-</v>
      </c>
      <c r="ER187" s="237" t="str">
        <f t="shared" si="1923"/>
        <v>-</v>
      </c>
      <c r="ES187" s="237" t="str">
        <f t="shared" si="1924"/>
        <v>-</v>
      </c>
      <c r="ET187" s="237" t="str">
        <f t="shared" si="1925"/>
        <v>-</v>
      </c>
      <c r="EU187" s="237" t="str">
        <f t="shared" si="1926"/>
        <v>-</v>
      </c>
      <c r="EV187" s="237" t="str">
        <f t="shared" si="1927"/>
        <v>-</v>
      </c>
      <c r="EW187" s="237" t="str">
        <f t="shared" si="1928"/>
        <v>-</v>
      </c>
      <c r="EX187" s="237" t="str">
        <f t="shared" si="1929"/>
        <v>-</v>
      </c>
      <c r="EY187" s="237" t="str">
        <f t="shared" si="1930"/>
        <v>-</v>
      </c>
      <c r="EZ187" s="237" t="str">
        <f t="shared" si="1931"/>
        <v>-</v>
      </c>
      <c r="FA187" s="237" t="str">
        <f t="shared" si="1932"/>
        <v>-</v>
      </c>
      <c r="FB187" s="237" t="str">
        <f t="shared" si="1933"/>
        <v>-</v>
      </c>
      <c r="FC187" s="237" t="str">
        <f t="shared" si="1934"/>
        <v>-</v>
      </c>
      <c r="FD187" s="237" t="str">
        <f t="shared" si="1935"/>
        <v>-</v>
      </c>
      <c r="FE187" s="237" t="str">
        <f t="shared" si="1936"/>
        <v>-</v>
      </c>
      <c r="FF187" s="237" t="str">
        <f t="shared" si="1937"/>
        <v>-</v>
      </c>
      <c r="FG187" s="237" t="str">
        <f t="shared" si="1938"/>
        <v>-</v>
      </c>
      <c r="FH187" s="237" t="str">
        <f t="shared" si="1939"/>
        <v>-</v>
      </c>
      <c r="FI187" s="237" t="str">
        <f t="shared" si="1940"/>
        <v>-</v>
      </c>
      <c r="FJ187" s="237" t="str">
        <f t="shared" si="1941"/>
        <v>-</v>
      </c>
      <c r="FK187" s="237" t="str">
        <f t="shared" si="1942"/>
        <v>-</v>
      </c>
      <c r="FL187" s="237" t="str">
        <f t="shared" si="1943"/>
        <v>-</v>
      </c>
      <c r="FM187" s="237" t="str">
        <f t="shared" si="1944"/>
        <v>-</v>
      </c>
      <c r="FN187" s="237" t="str">
        <f t="shared" si="1945"/>
        <v>-</v>
      </c>
      <c r="FO187" s="237" t="str">
        <f t="shared" si="1946"/>
        <v>-</v>
      </c>
      <c r="FP187" s="237" t="str">
        <f t="shared" si="1947"/>
        <v>-</v>
      </c>
      <c r="FQ187" s="237" t="str">
        <f t="shared" si="1948"/>
        <v>-</v>
      </c>
      <c r="FR187" s="237" t="str">
        <f t="shared" si="1949"/>
        <v>-</v>
      </c>
      <c r="FS187" s="237" t="str">
        <f t="shared" si="1950"/>
        <v>-</v>
      </c>
      <c r="FT187" s="237" t="str">
        <f t="shared" si="1951"/>
        <v>-</v>
      </c>
      <c r="FU187" s="237" t="str">
        <f t="shared" si="1952"/>
        <v>-</v>
      </c>
      <c r="FV187" s="237" t="str">
        <f t="shared" si="1953"/>
        <v>-</v>
      </c>
      <c r="FW187" s="237" t="str">
        <f t="shared" si="1954"/>
        <v>-</v>
      </c>
      <c r="FX187" s="237" t="str">
        <f t="shared" si="1955"/>
        <v>-</v>
      </c>
      <c r="FY187" s="237" t="str">
        <f t="shared" si="1956"/>
        <v>-</v>
      </c>
      <c r="FZ187" s="237" t="str">
        <f t="shared" si="1957"/>
        <v>-</v>
      </c>
      <c r="GA187" s="237" t="str">
        <f t="shared" si="1958"/>
        <v>-</v>
      </c>
      <c r="GB187" s="237" t="str">
        <f t="shared" si="1959"/>
        <v>-</v>
      </c>
      <c r="GC187" s="237" t="str">
        <f t="shared" si="1960"/>
        <v>-</v>
      </c>
      <c r="GD187" s="237" t="str">
        <f t="shared" si="1961"/>
        <v>-</v>
      </c>
      <c r="GE187" s="237" t="str">
        <f t="shared" si="1962"/>
        <v>-</v>
      </c>
      <c r="GF187" s="237" t="str">
        <f t="shared" si="1963"/>
        <v>-</v>
      </c>
      <c r="GG187" s="237" t="str">
        <f t="shared" si="1964"/>
        <v>-</v>
      </c>
      <c r="GH187" s="237" t="str">
        <f t="shared" si="1965"/>
        <v>-</v>
      </c>
      <c r="GI187" s="237" t="str">
        <f t="shared" si="1966"/>
        <v>-</v>
      </c>
      <c r="GJ187" s="237" t="str">
        <f t="shared" si="1967"/>
        <v>-</v>
      </c>
      <c r="GK187" s="237" t="str">
        <f t="shared" si="1968"/>
        <v>-</v>
      </c>
      <c r="GL187" s="237" t="str">
        <f t="shared" si="1969"/>
        <v>-</v>
      </c>
      <c r="GM187" s="237" t="str">
        <f t="shared" si="1970"/>
        <v>-</v>
      </c>
      <c r="GN187" s="237" t="str">
        <f t="shared" si="1971"/>
        <v>-</v>
      </c>
      <c r="GO187" s="237" t="str">
        <f t="shared" si="1972"/>
        <v>-</v>
      </c>
      <c r="GP187" s="237" t="str">
        <f t="shared" si="1973"/>
        <v>-</v>
      </c>
      <c r="GQ187" s="237" t="str">
        <f t="shared" si="1974"/>
        <v>-</v>
      </c>
      <c r="GR187" s="237" t="str">
        <f t="shared" si="1975"/>
        <v>-</v>
      </c>
      <c r="GS187" s="237" t="str">
        <f t="shared" si="1976"/>
        <v>-</v>
      </c>
      <c r="GT187" s="237" t="str">
        <f t="shared" si="1977"/>
        <v>-</v>
      </c>
      <c r="GU187" s="237" t="str">
        <f t="shared" si="1978"/>
        <v>-</v>
      </c>
      <c r="GV187" s="237" t="str">
        <f t="shared" si="1979"/>
        <v>-</v>
      </c>
      <c r="GW187" s="237" t="str">
        <f t="shared" si="1980"/>
        <v>-</v>
      </c>
      <c r="GX187" s="237" t="str">
        <f t="shared" si="1981"/>
        <v>-</v>
      </c>
      <c r="GY187" s="237" t="str">
        <f t="shared" si="1982"/>
        <v>-</v>
      </c>
      <c r="GZ187" s="237" t="str">
        <f t="shared" si="1983"/>
        <v>-</v>
      </c>
      <c r="HA187" s="237" t="str">
        <f t="shared" si="1984"/>
        <v>-</v>
      </c>
      <c r="HB187" s="237" t="str">
        <f t="shared" si="1985"/>
        <v>-</v>
      </c>
      <c r="HC187" s="237" t="str">
        <f t="shared" si="1986"/>
        <v>-</v>
      </c>
      <c r="HD187" s="237" t="str">
        <f t="shared" si="1987"/>
        <v>-</v>
      </c>
      <c r="HE187" s="237" t="str">
        <f t="shared" si="1988"/>
        <v>-</v>
      </c>
      <c r="HF187" s="237" t="str">
        <f t="shared" si="1989"/>
        <v>-</v>
      </c>
      <c r="HG187" s="237" t="str">
        <f t="shared" si="1990"/>
        <v>-</v>
      </c>
      <c r="HH187" s="237" t="str">
        <f t="shared" si="1991"/>
        <v>-</v>
      </c>
      <c r="HI187" s="237" t="str">
        <f t="shared" si="1992"/>
        <v>-</v>
      </c>
      <c r="HJ187" s="237" t="str">
        <f t="shared" si="1993"/>
        <v>-</v>
      </c>
      <c r="HK187" s="237" t="str">
        <f t="shared" si="1994"/>
        <v>-</v>
      </c>
      <c r="HL187" s="237" t="str">
        <f t="shared" si="1995"/>
        <v>-</v>
      </c>
      <c r="HM187" s="237" t="str">
        <f t="shared" si="1996"/>
        <v>-</v>
      </c>
      <c r="HN187" s="237" t="str">
        <f t="shared" si="1997"/>
        <v>-</v>
      </c>
      <c r="HO187" s="237" t="str">
        <f t="shared" si="1998"/>
        <v>-</v>
      </c>
      <c r="HP187" s="237" t="str">
        <f t="shared" si="1999"/>
        <v>-</v>
      </c>
      <c r="HQ187" s="237" t="str">
        <f t="shared" si="2000"/>
        <v>-</v>
      </c>
      <c r="HR187" s="237" t="str">
        <f t="shared" si="2001"/>
        <v>-</v>
      </c>
      <c r="HS187" s="237" t="str">
        <f t="shared" si="2002"/>
        <v>-</v>
      </c>
      <c r="HT187" s="237" t="str">
        <f t="shared" si="2003"/>
        <v>-</v>
      </c>
      <c r="HU187" s="237" t="str">
        <f t="shared" si="2004"/>
        <v>-</v>
      </c>
      <c r="HV187" s="237" t="str">
        <f t="shared" si="2005"/>
        <v>-</v>
      </c>
      <c r="HW187" s="237" t="str">
        <f t="shared" si="2006"/>
        <v>-</v>
      </c>
      <c r="HX187" s="237" t="str">
        <f t="shared" si="2007"/>
        <v>-</v>
      </c>
      <c r="HY187" s="237" t="str">
        <f t="shared" si="2008"/>
        <v>-</v>
      </c>
      <c r="HZ187" s="237" t="str">
        <f t="shared" si="2009"/>
        <v>-</v>
      </c>
      <c r="IA187" s="237" t="str">
        <f t="shared" si="2010"/>
        <v>-</v>
      </c>
      <c r="IB187" s="237" t="str">
        <f t="shared" si="2011"/>
        <v>-</v>
      </c>
      <c r="IC187" s="237" t="str">
        <f t="shared" si="2012"/>
        <v>-</v>
      </c>
      <c r="ID187" s="237" t="str">
        <f t="shared" si="2013"/>
        <v>-</v>
      </c>
      <c r="IE187" s="237" t="str">
        <f t="shared" si="2014"/>
        <v>-</v>
      </c>
      <c r="IF187" s="237" t="str">
        <f t="shared" si="2015"/>
        <v>-</v>
      </c>
      <c r="IG187" s="312">
        <f t="shared" si="2016"/>
        <v>0</v>
      </c>
      <c r="IH187" s="99" t="str">
        <f t="shared" si="2017"/>
        <v>-</v>
      </c>
      <c r="II187" s="99" t="str">
        <f t="shared" si="2018"/>
        <v>-</v>
      </c>
      <c r="IJ187" s="99" t="str">
        <f t="shared" si="2019"/>
        <v>-</v>
      </c>
      <c r="IK187" s="99" t="str">
        <f t="shared" si="2020"/>
        <v>-</v>
      </c>
      <c r="IL187" s="99" t="str">
        <f t="shared" si="2021"/>
        <v>-</v>
      </c>
      <c r="IM187" s="312" t="str">
        <f t="shared" si="2022"/>
        <v/>
      </c>
      <c r="IN187" s="99" t="str">
        <f t="shared" si="2023"/>
        <v/>
      </c>
      <c r="IO187" s="99" t="str">
        <f t="shared" si="2024"/>
        <v/>
      </c>
      <c r="IP187" s="99" t="str">
        <f t="shared" si="2025"/>
        <v/>
      </c>
      <c r="IQ187" s="99" t="str">
        <f t="shared" si="2026"/>
        <v/>
      </c>
      <c r="IR187" s="99" t="str">
        <f t="shared" si="2027"/>
        <v/>
      </c>
      <c r="IS187" s="312" t="str">
        <f t="shared" si="2028"/>
        <v/>
      </c>
      <c r="IT187" s="99" t="str">
        <f t="shared" si="2029"/>
        <v/>
      </c>
      <c r="IU187" s="99" t="str">
        <f t="shared" si="2030"/>
        <v/>
      </c>
      <c r="IV187" s="99" t="str">
        <f t="shared" si="2031"/>
        <v/>
      </c>
      <c r="IW187" s="99" t="str">
        <f t="shared" si="2032"/>
        <v/>
      </c>
      <c r="IX187" s="99" t="str">
        <f t="shared" si="2033"/>
        <v/>
      </c>
      <c r="IY187" s="312" t="str">
        <f t="shared" si="2034"/>
        <v/>
      </c>
      <c r="IZ187" s="99" t="str">
        <f t="shared" si="2035"/>
        <v/>
      </c>
      <c r="JA187" s="99" t="str">
        <f t="shared" si="2036"/>
        <v/>
      </c>
      <c r="JB187" s="99" t="str">
        <f t="shared" si="2037"/>
        <v/>
      </c>
      <c r="JC187" s="99" t="str">
        <f t="shared" si="2038"/>
        <v/>
      </c>
      <c r="JD187" s="313" t="str">
        <f t="shared" si="2039"/>
        <v/>
      </c>
      <c r="JF187" s="66">
        <f t="shared" si="1424"/>
        <v>187</v>
      </c>
      <c r="JG187" s="66">
        <f t="shared" ca="1" si="1425"/>
        <v>0</v>
      </c>
      <c r="JH187" s="66">
        <f t="shared" ca="1" si="1426"/>
        <v>0</v>
      </c>
      <c r="JI187" s="66">
        <f t="shared" ca="1" si="1427"/>
        <v>0</v>
      </c>
      <c r="JJ187" s="66">
        <f t="shared" ca="1" si="1428"/>
        <v>0</v>
      </c>
      <c r="JK187" s="33"/>
      <c r="JL187" s="74" t="str">
        <f t="shared" ca="1" si="1429"/>
        <v>-</v>
      </c>
      <c r="JM187" s="75">
        <f t="shared" ca="1" si="1430"/>
        <v>0</v>
      </c>
      <c r="JN187" s="75">
        <f t="shared" ca="1" si="1431"/>
        <v>0</v>
      </c>
      <c r="JO187" s="74" t="str">
        <f t="shared" ca="1" si="1432"/>
        <v>-</v>
      </c>
      <c r="JP187" s="74">
        <f t="shared" ca="1" si="1433"/>
        <v>0</v>
      </c>
    </row>
    <row r="188" spans="1:276" hidden="1" outlineLevel="1" x14ac:dyDescent="0.35">
      <c r="A188" s="125" t="s">
        <v>805</v>
      </c>
      <c r="B188" s="125" t="s">
        <v>805</v>
      </c>
      <c r="C188" s="125" t="s">
        <v>805</v>
      </c>
      <c r="E188" s="142" t="s">
        <v>901</v>
      </c>
      <c r="F188" s="254" t="s">
        <v>785</v>
      </c>
      <c r="G188" t="s">
        <v>540</v>
      </c>
      <c r="H188" t="s">
        <v>535</v>
      </c>
      <c r="I188" t="s">
        <v>536</v>
      </c>
      <c r="J188" s="211" t="s">
        <v>805</v>
      </c>
      <c r="K188" t="s">
        <v>805</v>
      </c>
      <c r="L188" t="s">
        <v>805</v>
      </c>
      <c r="M188" t="s">
        <v>805</v>
      </c>
      <c r="N188" t="s">
        <v>805</v>
      </c>
      <c r="O188" t="s">
        <v>805</v>
      </c>
      <c r="P188" t="s">
        <v>805</v>
      </c>
      <c r="Q188" t="s">
        <v>805</v>
      </c>
      <c r="R188" t="s">
        <v>805</v>
      </c>
      <c r="S188" t="s">
        <v>805</v>
      </c>
      <c r="T188" t="s">
        <v>805</v>
      </c>
      <c r="U188" t="s">
        <v>805</v>
      </c>
      <c r="V188" t="s">
        <v>805</v>
      </c>
      <c r="W188" t="s">
        <v>805</v>
      </c>
      <c r="X188" t="s">
        <v>805</v>
      </c>
      <c r="Y188" t="s">
        <v>805</v>
      </c>
      <c r="Z188" t="s">
        <v>805</v>
      </c>
      <c r="AA188" t="s">
        <v>805</v>
      </c>
      <c r="AB188" t="s">
        <v>805</v>
      </c>
      <c r="AC188" t="s">
        <v>805</v>
      </c>
      <c r="AD188" t="s">
        <v>805</v>
      </c>
      <c r="AE188" t="s">
        <v>805</v>
      </c>
      <c r="AF188" t="s">
        <v>805</v>
      </c>
      <c r="AG188" t="s">
        <v>805</v>
      </c>
      <c r="AH188" t="s">
        <v>805</v>
      </c>
      <c r="AI188" t="s">
        <v>805</v>
      </c>
      <c r="AJ188" t="s">
        <v>805</v>
      </c>
      <c r="AK188" t="s">
        <v>805</v>
      </c>
      <c r="AL188" t="s">
        <v>805</v>
      </c>
      <c r="AM188" t="s">
        <v>805</v>
      </c>
      <c r="AN188" t="s">
        <v>805</v>
      </c>
      <c r="AO188" t="s">
        <v>805</v>
      </c>
      <c r="AP188" t="s">
        <v>805</v>
      </c>
      <c r="AQ188" t="s">
        <v>805</v>
      </c>
      <c r="AR188" t="s">
        <v>805</v>
      </c>
      <c r="AS188" t="s">
        <v>805</v>
      </c>
      <c r="AT188" t="s">
        <v>805</v>
      </c>
      <c r="AU188" t="s">
        <v>805</v>
      </c>
      <c r="AV188" t="s">
        <v>805</v>
      </c>
      <c r="AW188" t="s">
        <v>805</v>
      </c>
      <c r="AX188" t="s">
        <v>805</v>
      </c>
      <c r="AY188" t="s">
        <v>805</v>
      </c>
      <c r="AZ188" t="s">
        <v>805</v>
      </c>
      <c r="BA188" t="s">
        <v>805</v>
      </c>
      <c r="BB188" t="s">
        <v>805</v>
      </c>
      <c r="BC188" t="s">
        <v>805</v>
      </c>
      <c r="BD188" t="s">
        <v>805</v>
      </c>
      <c r="BE188" t="s">
        <v>805</v>
      </c>
      <c r="BF188" t="s">
        <v>805</v>
      </c>
      <c r="BG188" t="s">
        <v>805</v>
      </c>
      <c r="BH188" t="s">
        <v>805</v>
      </c>
      <c r="BI188" t="s">
        <v>805</v>
      </c>
      <c r="BJ188" t="s">
        <v>805</v>
      </c>
      <c r="BK188" t="s">
        <v>805</v>
      </c>
      <c r="BL188" t="s">
        <v>805</v>
      </c>
      <c r="BM188" t="s">
        <v>805</v>
      </c>
      <c r="BN188" t="s">
        <v>805</v>
      </c>
      <c r="BO188" t="s">
        <v>805</v>
      </c>
      <c r="BP188" t="s">
        <v>805</v>
      </c>
      <c r="BQ188" t="s">
        <v>805</v>
      </c>
      <c r="BR188" t="s">
        <v>805</v>
      </c>
      <c r="BS188" t="s">
        <v>805</v>
      </c>
      <c r="BT188" t="s">
        <v>805</v>
      </c>
      <c r="BU188" t="s">
        <v>805</v>
      </c>
      <c r="BV188" t="s">
        <v>805</v>
      </c>
      <c r="BW188" t="s">
        <v>805</v>
      </c>
      <c r="BX188" t="s">
        <v>805</v>
      </c>
      <c r="BY188" t="s">
        <v>805</v>
      </c>
      <c r="BZ188" t="s">
        <v>805</v>
      </c>
      <c r="CA188" t="s">
        <v>805</v>
      </c>
      <c r="CB188" t="s">
        <v>805</v>
      </c>
      <c r="CC188" t="s">
        <v>805</v>
      </c>
      <c r="CD188" t="s">
        <v>805</v>
      </c>
      <c r="CE188" t="s">
        <v>805</v>
      </c>
      <c r="CF188" t="s">
        <v>805</v>
      </c>
      <c r="CG188" t="s">
        <v>805</v>
      </c>
      <c r="CH188" t="s">
        <v>805</v>
      </c>
      <c r="CI188" t="s">
        <v>805</v>
      </c>
      <c r="CJ188" t="s">
        <v>805</v>
      </c>
      <c r="CK188" t="s">
        <v>805</v>
      </c>
      <c r="CL188" t="s">
        <v>805</v>
      </c>
      <c r="CM188" t="s">
        <v>805</v>
      </c>
      <c r="CN188" t="s">
        <v>805</v>
      </c>
      <c r="CO188" t="s">
        <v>805</v>
      </c>
      <c r="CP188" t="s">
        <v>805</v>
      </c>
      <c r="CQ188" t="s">
        <v>805</v>
      </c>
      <c r="CR188" t="s">
        <v>805</v>
      </c>
      <c r="CS188" t="s">
        <v>805</v>
      </c>
      <c r="CT188" t="s">
        <v>805</v>
      </c>
      <c r="CU188" t="s">
        <v>805</v>
      </c>
      <c r="CV188" t="s">
        <v>805</v>
      </c>
      <c r="CW188" t="s">
        <v>805</v>
      </c>
      <c r="CX188" t="s">
        <v>805</v>
      </c>
      <c r="CY188" t="s">
        <v>805</v>
      </c>
      <c r="CZ188" t="s">
        <v>805</v>
      </c>
      <c r="DA188" t="s">
        <v>805</v>
      </c>
      <c r="DB188" t="s">
        <v>805</v>
      </c>
      <c r="DC188" t="s">
        <v>805</v>
      </c>
      <c r="DD188" t="s">
        <v>805</v>
      </c>
      <c r="DE188" t="s">
        <v>805</v>
      </c>
      <c r="DF188" t="s">
        <v>805</v>
      </c>
      <c r="DG188" s="28">
        <f>VLOOKUP(E188,'KPI Count-SHARE'!A:F,3,0)</f>
        <v>0</v>
      </c>
      <c r="DH188">
        <v>0</v>
      </c>
      <c r="DI188" t="s">
        <v>805</v>
      </c>
      <c r="DJ188" t="s">
        <v>805</v>
      </c>
      <c r="DK188" t="s">
        <v>805</v>
      </c>
      <c r="DL188" t="s">
        <v>805</v>
      </c>
      <c r="DM188" t="s">
        <v>805</v>
      </c>
      <c r="DN188" s="28">
        <f>VLOOKUP(E188,'KPI Count-SHARE'!A:F,4,0)</f>
        <v>0</v>
      </c>
      <c r="DU188" s="28">
        <f>VLOOKUP(E188,'KPI Count-SHARE'!A:F,5,0)</f>
        <v>0</v>
      </c>
      <c r="EB188" s="28">
        <f>VLOOKUP(E188,'KPI Count-SHARE'!A:F,6,0)</f>
        <v>0</v>
      </c>
      <c r="EI188" t="str">
        <f t="shared" si="2040"/>
        <v>USD '000 per FTE</v>
      </c>
      <c r="EJ188" s="237" t="str">
        <f t="shared" si="1915"/>
        <v>-</v>
      </c>
      <c r="EK188" s="237" t="str">
        <f t="shared" si="1916"/>
        <v>-</v>
      </c>
      <c r="EL188" s="237" t="str">
        <f t="shared" si="1917"/>
        <v>-</v>
      </c>
      <c r="EM188" s="237" t="str">
        <f t="shared" si="1918"/>
        <v>-</v>
      </c>
      <c r="EN188" s="237" t="str">
        <f t="shared" si="1919"/>
        <v>-</v>
      </c>
      <c r="EO188" s="237" t="str">
        <f t="shared" si="1920"/>
        <v>-</v>
      </c>
      <c r="EP188" s="237" t="str">
        <f t="shared" si="1921"/>
        <v>-</v>
      </c>
      <c r="EQ188" s="237" t="str">
        <f t="shared" si="1922"/>
        <v>-</v>
      </c>
      <c r="ER188" s="237" t="str">
        <f t="shared" si="1923"/>
        <v>-</v>
      </c>
      <c r="ES188" s="237" t="str">
        <f t="shared" si="1924"/>
        <v>-</v>
      </c>
      <c r="ET188" s="237" t="str">
        <f t="shared" si="1925"/>
        <v>-</v>
      </c>
      <c r="EU188" s="237" t="str">
        <f t="shared" si="1926"/>
        <v>-</v>
      </c>
      <c r="EV188" s="237" t="str">
        <f t="shared" si="1927"/>
        <v>-</v>
      </c>
      <c r="EW188" s="237" t="str">
        <f t="shared" si="1928"/>
        <v>-</v>
      </c>
      <c r="EX188" s="237" t="str">
        <f t="shared" si="1929"/>
        <v>-</v>
      </c>
      <c r="EY188" s="237" t="str">
        <f t="shared" si="1930"/>
        <v>-</v>
      </c>
      <c r="EZ188" s="237" t="str">
        <f t="shared" si="1931"/>
        <v>-</v>
      </c>
      <c r="FA188" s="237" t="str">
        <f t="shared" si="1932"/>
        <v>-</v>
      </c>
      <c r="FB188" s="237" t="str">
        <f t="shared" si="1933"/>
        <v>-</v>
      </c>
      <c r="FC188" s="237" t="str">
        <f t="shared" si="1934"/>
        <v>-</v>
      </c>
      <c r="FD188" s="237" t="str">
        <f t="shared" si="1935"/>
        <v>-</v>
      </c>
      <c r="FE188" s="237" t="str">
        <f t="shared" si="1936"/>
        <v>-</v>
      </c>
      <c r="FF188" s="237" t="str">
        <f t="shared" si="1937"/>
        <v>-</v>
      </c>
      <c r="FG188" s="237" t="str">
        <f t="shared" si="1938"/>
        <v>-</v>
      </c>
      <c r="FH188" s="237" t="str">
        <f t="shared" si="1939"/>
        <v>-</v>
      </c>
      <c r="FI188" s="237" t="str">
        <f t="shared" si="1940"/>
        <v>-</v>
      </c>
      <c r="FJ188" s="237" t="str">
        <f t="shared" si="1941"/>
        <v>-</v>
      </c>
      <c r="FK188" s="237" t="str">
        <f t="shared" si="1942"/>
        <v>-</v>
      </c>
      <c r="FL188" s="237" t="str">
        <f t="shared" si="1943"/>
        <v>-</v>
      </c>
      <c r="FM188" s="237" t="str">
        <f t="shared" si="1944"/>
        <v>-</v>
      </c>
      <c r="FN188" s="237" t="str">
        <f t="shared" si="1945"/>
        <v>-</v>
      </c>
      <c r="FO188" s="237" t="str">
        <f t="shared" si="1946"/>
        <v>-</v>
      </c>
      <c r="FP188" s="237" t="str">
        <f t="shared" si="1947"/>
        <v>-</v>
      </c>
      <c r="FQ188" s="237" t="str">
        <f t="shared" si="1948"/>
        <v>-</v>
      </c>
      <c r="FR188" s="237" t="str">
        <f t="shared" si="1949"/>
        <v>-</v>
      </c>
      <c r="FS188" s="237" t="str">
        <f t="shared" si="1950"/>
        <v>-</v>
      </c>
      <c r="FT188" s="237" t="str">
        <f t="shared" si="1951"/>
        <v>-</v>
      </c>
      <c r="FU188" s="237" t="str">
        <f t="shared" si="1952"/>
        <v>-</v>
      </c>
      <c r="FV188" s="237" t="str">
        <f t="shared" si="1953"/>
        <v>-</v>
      </c>
      <c r="FW188" s="237" t="str">
        <f t="shared" si="1954"/>
        <v>-</v>
      </c>
      <c r="FX188" s="237" t="str">
        <f t="shared" si="1955"/>
        <v>-</v>
      </c>
      <c r="FY188" s="237" t="str">
        <f t="shared" si="1956"/>
        <v>-</v>
      </c>
      <c r="FZ188" s="237" t="str">
        <f t="shared" si="1957"/>
        <v>-</v>
      </c>
      <c r="GA188" s="237" t="str">
        <f t="shared" si="1958"/>
        <v>-</v>
      </c>
      <c r="GB188" s="237" t="str">
        <f t="shared" si="1959"/>
        <v>-</v>
      </c>
      <c r="GC188" s="237" t="str">
        <f t="shared" si="1960"/>
        <v>-</v>
      </c>
      <c r="GD188" s="237" t="str">
        <f t="shared" si="1961"/>
        <v>-</v>
      </c>
      <c r="GE188" s="237" t="str">
        <f t="shared" si="1962"/>
        <v>-</v>
      </c>
      <c r="GF188" s="237" t="str">
        <f t="shared" si="1963"/>
        <v>-</v>
      </c>
      <c r="GG188" s="237" t="str">
        <f t="shared" si="1964"/>
        <v>-</v>
      </c>
      <c r="GH188" s="237" t="str">
        <f t="shared" si="1965"/>
        <v>-</v>
      </c>
      <c r="GI188" s="237" t="str">
        <f t="shared" si="1966"/>
        <v>-</v>
      </c>
      <c r="GJ188" s="237" t="str">
        <f t="shared" si="1967"/>
        <v>-</v>
      </c>
      <c r="GK188" s="237" t="str">
        <f t="shared" si="1968"/>
        <v>-</v>
      </c>
      <c r="GL188" s="237" t="str">
        <f t="shared" si="1969"/>
        <v>-</v>
      </c>
      <c r="GM188" s="237" t="str">
        <f t="shared" si="1970"/>
        <v>-</v>
      </c>
      <c r="GN188" s="237" t="str">
        <f t="shared" si="1971"/>
        <v>-</v>
      </c>
      <c r="GO188" s="237" t="str">
        <f t="shared" si="1972"/>
        <v>-</v>
      </c>
      <c r="GP188" s="237" t="str">
        <f t="shared" si="1973"/>
        <v>-</v>
      </c>
      <c r="GQ188" s="237" t="str">
        <f t="shared" si="1974"/>
        <v>-</v>
      </c>
      <c r="GR188" s="237" t="str">
        <f t="shared" si="1975"/>
        <v>-</v>
      </c>
      <c r="GS188" s="237" t="str">
        <f t="shared" si="1976"/>
        <v>-</v>
      </c>
      <c r="GT188" s="237" t="str">
        <f t="shared" si="1977"/>
        <v>-</v>
      </c>
      <c r="GU188" s="237" t="str">
        <f t="shared" si="1978"/>
        <v>-</v>
      </c>
      <c r="GV188" s="237" t="str">
        <f t="shared" si="1979"/>
        <v>-</v>
      </c>
      <c r="GW188" s="237" t="str">
        <f t="shared" si="1980"/>
        <v>-</v>
      </c>
      <c r="GX188" s="237" t="str">
        <f t="shared" si="1981"/>
        <v>-</v>
      </c>
      <c r="GY188" s="237" t="str">
        <f t="shared" si="1982"/>
        <v>-</v>
      </c>
      <c r="GZ188" s="237" t="str">
        <f t="shared" si="1983"/>
        <v>-</v>
      </c>
      <c r="HA188" s="237" t="str">
        <f t="shared" si="1984"/>
        <v>-</v>
      </c>
      <c r="HB188" s="237" t="str">
        <f t="shared" si="1985"/>
        <v>-</v>
      </c>
      <c r="HC188" s="237" t="str">
        <f t="shared" si="1986"/>
        <v>-</v>
      </c>
      <c r="HD188" s="237" t="str">
        <f t="shared" si="1987"/>
        <v>-</v>
      </c>
      <c r="HE188" s="237" t="str">
        <f t="shared" si="1988"/>
        <v>-</v>
      </c>
      <c r="HF188" s="237" t="str">
        <f t="shared" si="1989"/>
        <v>-</v>
      </c>
      <c r="HG188" s="237" t="str">
        <f t="shared" si="1990"/>
        <v>-</v>
      </c>
      <c r="HH188" s="237" t="str">
        <f t="shared" si="1991"/>
        <v>-</v>
      </c>
      <c r="HI188" s="237" t="str">
        <f t="shared" si="1992"/>
        <v>-</v>
      </c>
      <c r="HJ188" s="237" t="str">
        <f t="shared" si="1993"/>
        <v>-</v>
      </c>
      <c r="HK188" s="237" t="str">
        <f t="shared" si="1994"/>
        <v>-</v>
      </c>
      <c r="HL188" s="237" t="str">
        <f t="shared" si="1995"/>
        <v>-</v>
      </c>
      <c r="HM188" s="237" t="str">
        <f t="shared" si="1996"/>
        <v>-</v>
      </c>
      <c r="HN188" s="237" t="str">
        <f t="shared" si="1997"/>
        <v>-</v>
      </c>
      <c r="HO188" s="237" t="str">
        <f t="shared" si="1998"/>
        <v>-</v>
      </c>
      <c r="HP188" s="237" t="str">
        <f t="shared" si="1999"/>
        <v>-</v>
      </c>
      <c r="HQ188" s="237" t="str">
        <f t="shared" si="2000"/>
        <v>-</v>
      </c>
      <c r="HR188" s="237" t="str">
        <f t="shared" si="2001"/>
        <v>-</v>
      </c>
      <c r="HS188" s="237" t="str">
        <f t="shared" si="2002"/>
        <v>-</v>
      </c>
      <c r="HT188" s="237" t="str">
        <f t="shared" si="2003"/>
        <v>-</v>
      </c>
      <c r="HU188" s="237" t="str">
        <f t="shared" si="2004"/>
        <v>-</v>
      </c>
      <c r="HV188" s="237" t="str">
        <f t="shared" si="2005"/>
        <v>-</v>
      </c>
      <c r="HW188" s="237" t="str">
        <f t="shared" si="2006"/>
        <v>-</v>
      </c>
      <c r="HX188" s="237" t="str">
        <f t="shared" si="2007"/>
        <v>-</v>
      </c>
      <c r="HY188" s="237" t="str">
        <f t="shared" si="2008"/>
        <v>-</v>
      </c>
      <c r="HZ188" s="237" t="str">
        <f t="shared" si="2009"/>
        <v>-</v>
      </c>
      <c r="IA188" s="237" t="str">
        <f t="shared" si="2010"/>
        <v>-</v>
      </c>
      <c r="IB188" s="237" t="str">
        <f t="shared" si="2011"/>
        <v>-</v>
      </c>
      <c r="IC188" s="237" t="str">
        <f t="shared" si="2012"/>
        <v>-</v>
      </c>
      <c r="ID188" s="237" t="str">
        <f t="shared" si="2013"/>
        <v>-</v>
      </c>
      <c r="IE188" s="237" t="str">
        <f t="shared" si="2014"/>
        <v>-</v>
      </c>
      <c r="IF188" s="237" t="str">
        <f t="shared" si="2015"/>
        <v>-</v>
      </c>
      <c r="IG188" s="312">
        <f t="shared" si="2016"/>
        <v>0</v>
      </c>
      <c r="IH188" s="99" t="str">
        <f t="shared" si="2017"/>
        <v>-</v>
      </c>
      <c r="II188" s="99" t="str">
        <f t="shared" si="2018"/>
        <v>-</v>
      </c>
      <c r="IJ188" s="99" t="str">
        <f t="shared" si="2019"/>
        <v>-</v>
      </c>
      <c r="IK188" s="99" t="str">
        <f t="shared" si="2020"/>
        <v>-</v>
      </c>
      <c r="IL188" s="99" t="str">
        <f t="shared" si="2021"/>
        <v>-</v>
      </c>
      <c r="IM188" s="312" t="str">
        <f t="shared" si="2022"/>
        <v/>
      </c>
      <c r="IN188" s="99" t="str">
        <f t="shared" si="2023"/>
        <v/>
      </c>
      <c r="IO188" s="99" t="str">
        <f t="shared" si="2024"/>
        <v/>
      </c>
      <c r="IP188" s="99" t="str">
        <f t="shared" si="2025"/>
        <v/>
      </c>
      <c r="IQ188" s="99" t="str">
        <f t="shared" si="2026"/>
        <v/>
      </c>
      <c r="IR188" s="99" t="str">
        <f t="shared" si="2027"/>
        <v/>
      </c>
      <c r="IS188" s="312" t="str">
        <f t="shared" si="2028"/>
        <v/>
      </c>
      <c r="IT188" s="99" t="str">
        <f t="shared" si="2029"/>
        <v/>
      </c>
      <c r="IU188" s="99" t="str">
        <f t="shared" si="2030"/>
        <v/>
      </c>
      <c r="IV188" s="99" t="str">
        <f t="shared" si="2031"/>
        <v/>
      </c>
      <c r="IW188" s="99" t="str">
        <f t="shared" si="2032"/>
        <v/>
      </c>
      <c r="IX188" s="99" t="str">
        <f t="shared" si="2033"/>
        <v/>
      </c>
      <c r="IY188" s="312" t="str">
        <f t="shared" si="2034"/>
        <v/>
      </c>
      <c r="IZ188" s="99" t="str">
        <f t="shared" si="2035"/>
        <v/>
      </c>
      <c r="JA188" s="99" t="str">
        <f t="shared" si="2036"/>
        <v/>
      </c>
      <c r="JB188" s="99" t="str">
        <f t="shared" si="2037"/>
        <v/>
      </c>
      <c r="JC188" s="99" t="str">
        <f t="shared" si="2038"/>
        <v/>
      </c>
      <c r="JD188" s="313" t="str">
        <f t="shared" si="2039"/>
        <v/>
      </c>
      <c r="JF188" s="66">
        <f t="shared" si="1424"/>
        <v>188</v>
      </c>
      <c r="JG188" s="66">
        <f t="shared" ca="1" si="1425"/>
        <v>0</v>
      </c>
      <c r="JH188" s="66">
        <f t="shared" ca="1" si="1426"/>
        <v>0</v>
      </c>
      <c r="JI188" s="66">
        <f t="shared" ca="1" si="1427"/>
        <v>0</v>
      </c>
      <c r="JJ188" s="66">
        <f t="shared" ca="1" si="1428"/>
        <v>0</v>
      </c>
      <c r="JK188" s="33"/>
      <c r="JL188" s="74" t="str">
        <f t="shared" ca="1" si="1429"/>
        <v>-</v>
      </c>
      <c r="JM188" s="75">
        <f t="shared" ca="1" si="1430"/>
        <v>0</v>
      </c>
      <c r="JN188" s="75">
        <f t="shared" ca="1" si="1431"/>
        <v>0</v>
      </c>
      <c r="JO188" s="74" t="str">
        <f t="shared" ca="1" si="1432"/>
        <v>-</v>
      </c>
      <c r="JP188" s="74">
        <f t="shared" ca="1" si="1433"/>
        <v>0</v>
      </c>
    </row>
    <row r="189" spans="1:276" hidden="1" outlineLevel="1" x14ac:dyDescent="0.35">
      <c r="A189" s="125" t="s">
        <v>805</v>
      </c>
      <c r="B189" s="125" t="s">
        <v>805</v>
      </c>
      <c r="C189" s="125" t="s">
        <v>805</v>
      </c>
      <c r="E189" s="142" t="s">
        <v>902</v>
      </c>
      <c r="F189" s="254" t="s">
        <v>786</v>
      </c>
      <c r="G189" t="s">
        <v>540</v>
      </c>
      <c r="H189" t="s">
        <v>535</v>
      </c>
      <c r="I189" t="s">
        <v>536</v>
      </c>
      <c r="J189" s="211" t="s">
        <v>805</v>
      </c>
      <c r="K189" t="s">
        <v>805</v>
      </c>
      <c r="L189" t="s">
        <v>805</v>
      </c>
      <c r="M189" t="s">
        <v>805</v>
      </c>
      <c r="N189" t="s">
        <v>805</v>
      </c>
      <c r="O189" t="s">
        <v>805</v>
      </c>
      <c r="P189" t="s">
        <v>805</v>
      </c>
      <c r="Q189" t="s">
        <v>805</v>
      </c>
      <c r="R189" t="s">
        <v>805</v>
      </c>
      <c r="S189" t="s">
        <v>805</v>
      </c>
      <c r="T189" t="s">
        <v>805</v>
      </c>
      <c r="U189" t="s">
        <v>805</v>
      </c>
      <c r="V189" t="s">
        <v>805</v>
      </c>
      <c r="W189" t="s">
        <v>805</v>
      </c>
      <c r="X189" t="s">
        <v>805</v>
      </c>
      <c r="Y189" t="s">
        <v>805</v>
      </c>
      <c r="Z189" t="s">
        <v>805</v>
      </c>
      <c r="AA189" t="s">
        <v>805</v>
      </c>
      <c r="AB189" t="s">
        <v>805</v>
      </c>
      <c r="AC189" t="s">
        <v>805</v>
      </c>
      <c r="AD189" t="s">
        <v>805</v>
      </c>
      <c r="AE189" t="s">
        <v>805</v>
      </c>
      <c r="AF189" t="s">
        <v>805</v>
      </c>
      <c r="AG189" t="s">
        <v>805</v>
      </c>
      <c r="AH189" t="s">
        <v>805</v>
      </c>
      <c r="AI189" t="s">
        <v>805</v>
      </c>
      <c r="AJ189" t="s">
        <v>805</v>
      </c>
      <c r="AK189" t="s">
        <v>805</v>
      </c>
      <c r="AL189" t="s">
        <v>805</v>
      </c>
      <c r="AM189" t="s">
        <v>805</v>
      </c>
      <c r="AN189" t="s">
        <v>805</v>
      </c>
      <c r="AO189" t="s">
        <v>805</v>
      </c>
      <c r="AP189" t="s">
        <v>805</v>
      </c>
      <c r="AQ189" t="s">
        <v>805</v>
      </c>
      <c r="AR189" t="s">
        <v>805</v>
      </c>
      <c r="AS189" t="s">
        <v>805</v>
      </c>
      <c r="AT189" t="s">
        <v>805</v>
      </c>
      <c r="AU189" t="s">
        <v>805</v>
      </c>
      <c r="AV189" t="s">
        <v>805</v>
      </c>
      <c r="AW189" t="s">
        <v>805</v>
      </c>
      <c r="AX189" t="s">
        <v>805</v>
      </c>
      <c r="AY189" t="s">
        <v>805</v>
      </c>
      <c r="AZ189" t="s">
        <v>805</v>
      </c>
      <c r="BA189" t="s">
        <v>805</v>
      </c>
      <c r="BB189" t="s">
        <v>805</v>
      </c>
      <c r="BC189" t="s">
        <v>805</v>
      </c>
      <c r="BD189" t="s">
        <v>805</v>
      </c>
      <c r="BE189" t="s">
        <v>805</v>
      </c>
      <c r="BF189" t="s">
        <v>805</v>
      </c>
      <c r="BG189" t="s">
        <v>805</v>
      </c>
      <c r="BH189" t="s">
        <v>805</v>
      </c>
      <c r="BI189" t="s">
        <v>805</v>
      </c>
      <c r="BJ189" t="s">
        <v>805</v>
      </c>
      <c r="BK189" t="s">
        <v>805</v>
      </c>
      <c r="BL189" t="s">
        <v>805</v>
      </c>
      <c r="BM189" t="s">
        <v>805</v>
      </c>
      <c r="BN189" t="s">
        <v>805</v>
      </c>
      <c r="BO189" t="s">
        <v>805</v>
      </c>
      <c r="BP189" t="s">
        <v>805</v>
      </c>
      <c r="BQ189" t="s">
        <v>805</v>
      </c>
      <c r="BR189" t="s">
        <v>805</v>
      </c>
      <c r="BS189" t="s">
        <v>805</v>
      </c>
      <c r="BT189" t="s">
        <v>805</v>
      </c>
      <c r="BU189" t="s">
        <v>805</v>
      </c>
      <c r="BV189" t="s">
        <v>805</v>
      </c>
      <c r="BW189" t="s">
        <v>805</v>
      </c>
      <c r="BX189" t="s">
        <v>805</v>
      </c>
      <c r="BY189" t="s">
        <v>805</v>
      </c>
      <c r="BZ189" t="s">
        <v>805</v>
      </c>
      <c r="CA189" t="s">
        <v>805</v>
      </c>
      <c r="CB189" t="s">
        <v>805</v>
      </c>
      <c r="CC189" t="s">
        <v>805</v>
      </c>
      <c r="CD189" t="s">
        <v>805</v>
      </c>
      <c r="CE189" t="s">
        <v>805</v>
      </c>
      <c r="CF189" t="s">
        <v>805</v>
      </c>
      <c r="CG189" t="s">
        <v>805</v>
      </c>
      <c r="CH189" t="s">
        <v>805</v>
      </c>
      <c r="CI189" t="s">
        <v>805</v>
      </c>
      <c r="CJ189" t="s">
        <v>805</v>
      </c>
      <c r="CK189" t="s">
        <v>805</v>
      </c>
      <c r="CL189" t="s">
        <v>805</v>
      </c>
      <c r="CM189" t="s">
        <v>805</v>
      </c>
      <c r="CN189" t="s">
        <v>805</v>
      </c>
      <c r="CO189" t="s">
        <v>805</v>
      </c>
      <c r="CP189" t="s">
        <v>805</v>
      </c>
      <c r="CQ189" t="s">
        <v>805</v>
      </c>
      <c r="CR189" t="s">
        <v>805</v>
      </c>
      <c r="CS189" t="s">
        <v>805</v>
      </c>
      <c r="CT189" t="s">
        <v>805</v>
      </c>
      <c r="CU189" t="s">
        <v>805</v>
      </c>
      <c r="CV189" t="s">
        <v>805</v>
      </c>
      <c r="CW189" t="s">
        <v>805</v>
      </c>
      <c r="CX189" t="s">
        <v>805</v>
      </c>
      <c r="CY189" t="s">
        <v>805</v>
      </c>
      <c r="CZ189" t="s">
        <v>805</v>
      </c>
      <c r="DA189" t="s">
        <v>805</v>
      </c>
      <c r="DB189" t="s">
        <v>805</v>
      </c>
      <c r="DC189" t="s">
        <v>805</v>
      </c>
      <c r="DD189" t="s">
        <v>805</v>
      </c>
      <c r="DE189" t="s">
        <v>805</v>
      </c>
      <c r="DF189" t="s">
        <v>805</v>
      </c>
      <c r="DG189" s="28">
        <f>VLOOKUP(E189,'KPI Count-SHARE'!A:F,3,0)</f>
        <v>0</v>
      </c>
      <c r="DH189" t="s">
        <v>805</v>
      </c>
      <c r="DI189" t="s">
        <v>805</v>
      </c>
      <c r="DJ189" t="s">
        <v>805</v>
      </c>
      <c r="DK189" t="s">
        <v>805</v>
      </c>
      <c r="DL189" t="s">
        <v>805</v>
      </c>
      <c r="DM189" t="s">
        <v>805</v>
      </c>
      <c r="DN189" s="28">
        <f>VLOOKUP(E189,'KPI Count-SHARE'!A:F,4,0)</f>
        <v>0</v>
      </c>
      <c r="DU189" s="28">
        <f>VLOOKUP(E189,'KPI Count-SHARE'!A:F,5,0)</f>
        <v>0</v>
      </c>
      <c r="EB189" s="28">
        <f>VLOOKUP(E189,'KPI Count-SHARE'!A:F,6,0)</f>
        <v>0</v>
      </c>
      <c r="EI189" t="str">
        <f t="shared" si="2040"/>
        <v>USD '000 per FTE</v>
      </c>
      <c r="EJ189" s="237" t="str">
        <f t="shared" si="1915"/>
        <v>-</v>
      </c>
      <c r="EK189" s="237" t="str">
        <f t="shared" si="1916"/>
        <v>-</v>
      </c>
      <c r="EL189" s="237" t="str">
        <f t="shared" si="1917"/>
        <v>-</v>
      </c>
      <c r="EM189" s="237" t="str">
        <f t="shared" si="1918"/>
        <v>-</v>
      </c>
      <c r="EN189" s="237" t="str">
        <f t="shared" si="1919"/>
        <v>-</v>
      </c>
      <c r="EO189" s="237" t="str">
        <f t="shared" si="1920"/>
        <v>-</v>
      </c>
      <c r="EP189" s="237" t="str">
        <f t="shared" si="1921"/>
        <v>-</v>
      </c>
      <c r="EQ189" s="237" t="str">
        <f t="shared" si="1922"/>
        <v>-</v>
      </c>
      <c r="ER189" s="237" t="str">
        <f t="shared" si="1923"/>
        <v>-</v>
      </c>
      <c r="ES189" s="237" t="str">
        <f t="shared" si="1924"/>
        <v>-</v>
      </c>
      <c r="ET189" s="237" t="str">
        <f t="shared" si="1925"/>
        <v>-</v>
      </c>
      <c r="EU189" s="237" t="str">
        <f t="shared" si="1926"/>
        <v>-</v>
      </c>
      <c r="EV189" s="237" t="str">
        <f t="shared" si="1927"/>
        <v>-</v>
      </c>
      <c r="EW189" s="237" t="str">
        <f t="shared" si="1928"/>
        <v>-</v>
      </c>
      <c r="EX189" s="237" t="str">
        <f t="shared" si="1929"/>
        <v>-</v>
      </c>
      <c r="EY189" s="237" t="str">
        <f t="shared" si="1930"/>
        <v>-</v>
      </c>
      <c r="EZ189" s="237" t="str">
        <f t="shared" si="1931"/>
        <v>-</v>
      </c>
      <c r="FA189" s="237" t="str">
        <f t="shared" si="1932"/>
        <v>-</v>
      </c>
      <c r="FB189" s="237" t="str">
        <f t="shared" si="1933"/>
        <v>-</v>
      </c>
      <c r="FC189" s="237" t="str">
        <f t="shared" si="1934"/>
        <v>-</v>
      </c>
      <c r="FD189" s="237" t="str">
        <f t="shared" si="1935"/>
        <v>-</v>
      </c>
      <c r="FE189" s="237" t="str">
        <f t="shared" si="1936"/>
        <v>-</v>
      </c>
      <c r="FF189" s="237" t="str">
        <f t="shared" si="1937"/>
        <v>-</v>
      </c>
      <c r="FG189" s="237" t="str">
        <f t="shared" si="1938"/>
        <v>-</v>
      </c>
      <c r="FH189" s="237" t="str">
        <f t="shared" si="1939"/>
        <v>-</v>
      </c>
      <c r="FI189" s="237" t="str">
        <f t="shared" si="1940"/>
        <v>-</v>
      </c>
      <c r="FJ189" s="237" t="str">
        <f t="shared" si="1941"/>
        <v>-</v>
      </c>
      <c r="FK189" s="237" t="str">
        <f t="shared" si="1942"/>
        <v>-</v>
      </c>
      <c r="FL189" s="237" t="str">
        <f t="shared" si="1943"/>
        <v>-</v>
      </c>
      <c r="FM189" s="237" t="str">
        <f t="shared" si="1944"/>
        <v>-</v>
      </c>
      <c r="FN189" s="237" t="str">
        <f t="shared" si="1945"/>
        <v>-</v>
      </c>
      <c r="FO189" s="237" t="str">
        <f t="shared" si="1946"/>
        <v>-</v>
      </c>
      <c r="FP189" s="237" t="str">
        <f t="shared" si="1947"/>
        <v>-</v>
      </c>
      <c r="FQ189" s="237" t="str">
        <f t="shared" si="1948"/>
        <v>-</v>
      </c>
      <c r="FR189" s="237" t="str">
        <f t="shared" si="1949"/>
        <v>-</v>
      </c>
      <c r="FS189" s="237" t="str">
        <f t="shared" si="1950"/>
        <v>-</v>
      </c>
      <c r="FT189" s="237" t="str">
        <f t="shared" si="1951"/>
        <v>-</v>
      </c>
      <c r="FU189" s="237" t="str">
        <f t="shared" si="1952"/>
        <v>-</v>
      </c>
      <c r="FV189" s="237" t="str">
        <f t="shared" si="1953"/>
        <v>-</v>
      </c>
      <c r="FW189" s="237" t="str">
        <f t="shared" si="1954"/>
        <v>-</v>
      </c>
      <c r="FX189" s="237" t="str">
        <f t="shared" si="1955"/>
        <v>-</v>
      </c>
      <c r="FY189" s="237" t="str">
        <f t="shared" si="1956"/>
        <v>-</v>
      </c>
      <c r="FZ189" s="237" t="str">
        <f t="shared" si="1957"/>
        <v>-</v>
      </c>
      <c r="GA189" s="237" t="str">
        <f t="shared" si="1958"/>
        <v>-</v>
      </c>
      <c r="GB189" s="237" t="str">
        <f t="shared" si="1959"/>
        <v>-</v>
      </c>
      <c r="GC189" s="237" t="str">
        <f t="shared" si="1960"/>
        <v>-</v>
      </c>
      <c r="GD189" s="237" t="str">
        <f t="shared" si="1961"/>
        <v>-</v>
      </c>
      <c r="GE189" s="237" t="str">
        <f t="shared" si="1962"/>
        <v>-</v>
      </c>
      <c r="GF189" s="237" t="str">
        <f t="shared" si="1963"/>
        <v>-</v>
      </c>
      <c r="GG189" s="237" t="str">
        <f t="shared" si="1964"/>
        <v>-</v>
      </c>
      <c r="GH189" s="237" t="str">
        <f t="shared" si="1965"/>
        <v>-</v>
      </c>
      <c r="GI189" s="237" t="str">
        <f t="shared" si="1966"/>
        <v>-</v>
      </c>
      <c r="GJ189" s="237" t="str">
        <f t="shared" si="1967"/>
        <v>-</v>
      </c>
      <c r="GK189" s="237" t="str">
        <f t="shared" si="1968"/>
        <v>-</v>
      </c>
      <c r="GL189" s="237" t="str">
        <f t="shared" si="1969"/>
        <v>-</v>
      </c>
      <c r="GM189" s="237" t="str">
        <f t="shared" si="1970"/>
        <v>-</v>
      </c>
      <c r="GN189" s="237" t="str">
        <f t="shared" si="1971"/>
        <v>-</v>
      </c>
      <c r="GO189" s="237" t="str">
        <f t="shared" si="1972"/>
        <v>-</v>
      </c>
      <c r="GP189" s="237" t="str">
        <f t="shared" si="1973"/>
        <v>-</v>
      </c>
      <c r="GQ189" s="237" t="str">
        <f t="shared" si="1974"/>
        <v>-</v>
      </c>
      <c r="GR189" s="237" t="str">
        <f t="shared" si="1975"/>
        <v>-</v>
      </c>
      <c r="GS189" s="237" t="str">
        <f t="shared" si="1976"/>
        <v>-</v>
      </c>
      <c r="GT189" s="237" t="str">
        <f t="shared" si="1977"/>
        <v>-</v>
      </c>
      <c r="GU189" s="237" t="str">
        <f t="shared" si="1978"/>
        <v>-</v>
      </c>
      <c r="GV189" s="237" t="str">
        <f t="shared" si="1979"/>
        <v>-</v>
      </c>
      <c r="GW189" s="237" t="str">
        <f t="shared" si="1980"/>
        <v>-</v>
      </c>
      <c r="GX189" s="237" t="str">
        <f t="shared" si="1981"/>
        <v>-</v>
      </c>
      <c r="GY189" s="237" t="str">
        <f t="shared" si="1982"/>
        <v>-</v>
      </c>
      <c r="GZ189" s="237" t="str">
        <f t="shared" si="1983"/>
        <v>-</v>
      </c>
      <c r="HA189" s="237" t="str">
        <f t="shared" si="1984"/>
        <v>-</v>
      </c>
      <c r="HB189" s="237" t="str">
        <f t="shared" si="1985"/>
        <v>-</v>
      </c>
      <c r="HC189" s="237" t="str">
        <f t="shared" si="1986"/>
        <v>-</v>
      </c>
      <c r="HD189" s="237" t="str">
        <f t="shared" si="1987"/>
        <v>-</v>
      </c>
      <c r="HE189" s="237" t="str">
        <f t="shared" si="1988"/>
        <v>-</v>
      </c>
      <c r="HF189" s="237" t="str">
        <f t="shared" si="1989"/>
        <v>-</v>
      </c>
      <c r="HG189" s="237" t="str">
        <f t="shared" si="1990"/>
        <v>-</v>
      </c>
      <c r="HH189" s="237" t="str">
        <f t="shared" si="1991"/>
        <v>-</v>
      </c>
      <c r="HI189" s="237" t="str">
        <f t="shared" si="1992"/>
        <v>-</v>
      </c>
      <c r="HJ189" s="237" t="str">
        <f t="shared" si="1993"/>
        <v>-</v>
      </c>
      <c r="HK189" s="237" t="str">
        <f t="shared" si="1994"/>
        <v>-</v>
      </c>
      <c r="HL189" s="237" t="str">
        <f t="shared" si="1995"/>
        <v>-</v>
      </c>
      <c r="HM189" s="237" t="str">
        <f t="shared" si="1996"/>
        <v>-</v>
      </c>
      <c r="HN189" s="237" t="str">
        <f t="shared" si="1997"/>
        <v>-</v>
      </c>
      <c r="HO189" s="237" t="str">
        <f t="shared" si="1998"/>
        <v>-</v>
      </c>
      <c r="HP189" s="237" t="str">
        <f t="shared" si="1999"/>
        <v>-</v>
      </c>
      <c r="HQ189" s="237" t="str">
        <f t="shared" si="2000"/>
        <v>-</v>
      </c>
      <c r="HR189" s="237" t="str">
        <f t="shared" si="2001"/>
        <v>-</v>
      </c>
      <c r="HS189" s="237" t="str">
        <f t="shared" si="2002"/>
        <v>-</v>
      </c>
      <c r="HT189" s="237" t="str">
        <f t="shared" si="2003"/>
        <v>-</v>
      </c>
      <c r="HU189" s="237" t="str">
        <f t="shared" si="2004"/>
        <v>-</v>
      </c>
      <c r="HV189" s="237" t="str">
        <f t="shared" si="2005"/>
        <v>-</v>
      </c>
      <c r="HW189" s="237" t="str">
        <f t="shared" si="2006"/>
        <v>-</v>
      </c>
      <c r="HX189" s="237" t="str">
        <f t="shared" si="2007"/>
        <v>-</v>
      </c>
      <c r="HY189" s="237" t="str">
        <f t="shared" si="2008"/>
        <v>-</v>
      </c>
      <c r="HZ189" s="237" t="str">
        <f t="shared" si="2009"/>
        <v>-</v>
      </c>
      <c r="IA189" s="237" t="str">
        <f t="shared" si="2010"/>
        <v>-</v>
      </c>
      <c r="IB189" s="237" t="str">
        <f t="shared" si="2011"/>
        <v>-</v>
      </c>
      <c r="IC189" s="237" t="str">
        <f t="shared" si="2012"/>
        <v>-</v>
      </c>
      <c r="ID189" s="237" t="str">
        <f t="shared" si="2013"/>
        <v>-</v>
      </c>
      <c r="IE189" s="237" t="str">
        <f t="shared" si="2014"/>
        <v>-</v>
      </c>
      <c r="IF189" s="237" t="str">
        <f t="shared" si="2015"/>
        <v>-</v>
      </c>
      <c r="IG189" s="312" t="str">
        <f t="shared" si="2016"/>
        <v>-</v>
      </c>
      <c r="IH189" s="99" t="str">
        <f t="shared" si="2017"/>
        <v>-</v>
      </c>
      <c r="II189" s="99" t="str">
        <f t="shared" si="2018"/>
        <v>-</v>
      </c>
      <c r="IJ189" s="99" t="str">
        <f t="shared" si="2019"/>
        <v>-</v>
      </c>
      <c r="IK189" s="99" t="str">
        <f t="shared" si="2020"/>
        <v>-</v>
      </c>
      <c r="IL189" s="99" t="str">
        <f t="shared" si="2021"/>
        <v>-</v>
      </c>
      <c r="IM189" s="312" t="str">
        <f t="shared" si="2022"/>
        <v/>
      </c>
      <c r="IN189" s="99" t="str">
        <f t="shared" si="2023"/>
        <v/>
      </c>
      <c r="IO189" s="99" t="str">
        <f t="shared" si="2024"/>
        <v/>
      </c>
      <c r="IP189" s="99" t="str">
        <f t="shared" si="2025"/>
        <v/>
      </c>
      <c r="IQ189" s="99" t="str">
        <f t="shared" si="2026"/>
        <v/>
      </c>
      <c r="IR189" s="99" t="str">
        <f t="shared" si="2027"/>
        <v/>
      </c>
      <c r="IS189" s="312" t="str">
        <f t="shared" si="2028"/>
        <v/>
      </c>
      <c r="IT189" s="99" t="str">
        <f t="shared" si="2029"/>
        <v/>
      </c>
      <c r="IU189" s="99" t="str">
        <f t="shared" si="2030"/>
        <v/>
      </c>
      <c r="IV189" s="99" t="str">
        <f t="shared" si="2031"/>
        <v/>
      </c>
      <c r="IW189" s="99" t="str">
        <f t="shared" si="2032"/>
        <v/>
      </c>
      <c r="IX189" s="99" t="str">
        <f t="shared" si="2033"/>
        <v/>
      </c>
      <c r="IY189" s="312" t="str">
        <f t="shared" si="2034"/>
        <v/>
      </c>
      <c r="IZ189" s="99" t="str">
        <f t="shared" si="2035"/>
        <v/>
      </c>
      <c r="JA189" s="99" t="str">
        <f t="shared" si="2036"/>
        <v/>
      </c>
      <c r="JB189" s="99" t="str">
        <f t="shared" si="2037"/>
        <v/>
      </c>
      <c r="JC189" s="99" t="str">
        <f t="shared" si="2038"/>
        <v/>
      </c>
      <c r="JD189" s="313" t="str">
        <f t="shared" si="2039"/>
        <v/>
      </c>
      <c r="JF189" s="66">
        <f t="shared" si="1424"/>
        <v>189</v>
      </c>
      <c r="JG189" s="66">
        <f t="shared" ca="1" si="1425"/>
        <v>0</v>
      </c>
      <c r="JH189" s="66">
        <f t="shared" ca="1" si="1426"/>
        <v>0</v>
      </c>
      <c r="JI189" s="66">
        <f t="shared" ca="1" si="1427"/>
        <v>0</v>
      </c>
      <c r="JJ189" s="66">
        <f t="shared" ca="1" si="1428"/>
        <v>0</v>
      </c>
      <c r="JK189" s="33"/>
      <c r="JL189" s="74" t="str">
        <f t="shared" ca="1" si="1429"/>
        <v>-</v>
      </c>
      <c r="JM189" s="75">
        <f t="shared" ca="1" si="1430"/>
        <v>0</v>
      </c>
      <c r="JN189" s="75">
        <f t="shared" ca="1" si="1431"/>
        <v>0</v>
      </c>
      <c r="JO189" s="74" t="str">
        <f t="shared" ca="1" si="1432"/>
        <v>-</v>
      </c>
      <c r="JP189" s="74">
        <f t="shared" ca="1" si="1433"/>
        <v>0</v>
      </c>
    </row>
    <row r="190" spans="1:276" hidden="1" outlineLevel="1" x14ac:dyDescent="0.35">
      <c r="A190" s="125" t="s">
        <v>805</v>
      </c>
      <c r="B190" s="125" t="s">
        <v>805</v>
      </c>
      <c r="C190" s="125" t="s">
        <v>805</v>
      </c>
      <c r="E190" s="142" t="s">
        <v>903</v>
      </c>
      <c r="F190" s="254" t="s">
        <v>787</v>
      </c>
      <c r="G190" t="s">
        <v>540</v>
      </c>
      <c r="H190" t="s">
        <v>535</v>
      </c>
      <c r="I190" t="s">
        <v>536</v>
      </c>
      <c r="J190" s="211" t="s">
        <v>805</v>
      </c>
      <c r="K190" t="s">
        <v>805</v>
      </c>
      <c r="L190" t="s">
        <v>805</v>
      </c>
      <c r="M190" t="s">
        <v>805</v>
      </c>
      <c r="N190" t="s">
        <v>805</v>
      </c>
      <c r="O190" t="s">
        <v>805</v>
      </c>
      <c r="P190" t="s">
        <v>805</v>
      </c>
      <c r="Q190" t="s">
        <v>805</v>
      </c>
      <c r="R190" t="s">
        <v>805</v>
      </c>
      <c r="S190" t="s">
        <v>805</v>
      </c>
      <c r="T190" t="s">
        <v>805</v>
      </c>
      <c r="U190" t="s">
        <v>805</v>
      </c>
      <c r="V190" t="s">
        <v>805</v>
      </c>
      <c r="W190" t="s">
        <v>805</v>
      </c>
      <c r="X190" t="s">
        <v>805</v>
      </c>
      <c r="Y190" t="s">
        <v>805</v>
      </c>
      <c r="Z190" t="s">
        <v>805</v>
      </c>
      <c r="AA190" t="s">
        <v>805</v>
      </c>
      <c r="AB190" t="s">
        <v>805</v>
      </c>
      <c r="AC190" t="s">
        <v>805</v>
      </c>
      <c r="AD190" t="s">
        <v>805</v>
      </c>
      <c r="AE190" t="s">
        <v>805</v>
      </c>
      <c r="AF190" t="s">
        <v>805</v>
      </c>
      <c r="AG190" t="s">
        <v>805</v>
      </c>
      <c r="AH190" t="s">
        <v>805</v>
      </c>
      <c r="AI190" t="s">
        <v>805</v>
      </c>
      <c r="AJ190" t="s">
        <v>805</v>
      </c>
      <c r="AK190" t="s">
        <v>805</v>
      </c>
      <c r="AL190" t="s">
        <v>805</v>
      </c>
      <c r="AM190" t="s">
        <v>805</v>
      </c>
      <c r="AN190" t="s">
        <v>805</v>
      </c>
      <c r="AO190" t="s">
        <v>805</v>
      </c>
      <c r="AP190" t="s">
        <v>805</v>
      </c>
      <c r="AQ190" t="s">
        <v>805</v>
      </c>
      <c r="AR190" t="s">
        <v>805</v>
      </c>
      <c r="AS190" t="s">
        <v>805</v>
      </c>
      <c r="AT190" t="s">
        <v>805</v>
      </c>
      <c r="AU190" t="s">
        <v>805</v>
      </c>
      <c r="AV190" t="s">
        <v>805</v>
      </c>
      <c r="AW190" t="s">
        <v>805</v>
      </c>
      <c r="AX190" t="s">
        <v>805</v>
      </c>
      <c r="AY190" t="s">
        <v>805</v>
      </c>
      <c r="AZ190" t="s">
        <v>805</v>
      </c>
      <c r="BA190" t="s">
        <v>805</v>
      </c>
      <c r="BB190" t="s">
        <v>805</v>
      </c>
      <c r="BC190" t="s">
        <v>805</v>
      </c>
      <c r="BD190" t="s">
        <v>805</v>
      </c>
      <c r="BE190" t="s">
        <v>805</v>
      </c>
      <c r="BF190" t="s">
        <v>805</v>
      </c>
      <c r="BG190" t="s">
        <v>805</v>
      </c>
      <c r="BH190" t="s">
        <v>805</v>
      </c>
      <c r="BI190" t="s">
        <v>805</v>
      </c>
      <c r="BJ190" t="s">
        <v>805</v>
      </c>
      <c r="BK190" t="s">
        <v>805</v>
      </c>
      <c r="BL190" t="s">
        <v>805</v>
      </c>
      <c r="BM190" t="s">
        <v>805</v>
      </c>
      <c r="BN190" t="s">
        <v>805</v>
      </c>
      <c r="BO190" t="s">
        <v>805</v>
      </c>
      <c r="BP190" t="s">
        <v>805</v>
      </c>
      <c r="BQ190" t="s">
        <v>805</v>
      </c>
      <c r="BR190" t="s">
        <v>805</v>
      </c>
      <c r="BS190" t="s">
        <v>805</v>
      </c>
      <c r="BT190" t="s">
        <v>805</v>
      </c>
      <c r="BU190" t="s">
        <v>805</v>
      </c>
      <c r="BV190" t="s">
        <v>805</v>
      </c>
      <c r="BW190" t="s">
        <v>805</v>
      </c>
      <c r="BX190" t="s">
        <v>805</v>
      </c>
      <c r="BY190" t="s">
        <v>805</v>
      </c>
      <c r="BZ190" t="s">
        <v>805</v>
      </c>
      <c r="CA190" t="s">
        <v>805</v>
      </c>
      <c r="CB190" t="s">
        <v>805</v>
      </c>
      <c r="CC190" t="s">
        <v>805</v>
      </c>
      <c r="CD190" t="s">
        <v>805</v>
      </c>
      <c r="CE190" t="s">
        <v>805</v>
      </c>
      <c r="CF190" t="s">
        <v>805</v>
      </c>
      <c r="CG190" t="s">
        <v>805</v>
      </c>
      <c r="CH190" t="s">
        <v>805</v>
      </c>
      <c r="CI190" t="s">
        <v>805</v>
      </c>
      <c r="CJ190" t="s">
        <v>805</v>
      </c>
      <c r="CK190" t="s">
        <v>805</v>
      </c>
      <c r="CL190" t="s">
        <v>805</v>
      </c>
      <c r="CM190" t="s">
        <v>805</v>
      </c>
      <c r="CN190" t="s">
        <v>805</v>
      </c>
      <c r="CO190" t="s">
        <v>805</v>
      </c>
      <c r="CP190" t="s">
        <v>805</v>
      </c>
      <c r="CQ190" t="s">
        <v>805</v>
      </c>
      <c r="CR190" t="s">
        <v>805</v>
      </c>
      <c r="CS190" t="s">
        <v>805</v>
      </c>
      <c r="CT190" t="s">
        <v>805</v>
      </c>
      <c r="CU190" t="s">
        <v>805</v>
      </c>
      <c r="CV190" t="s">
        <v>805</v>
      </c>
      <c r="CW190" t="s">
        <v>805</v>
      </c>
      <c r="CX190" t="s">
        <v>805</v>
      </c>
      <c r="CY190" t="s">
        <v>805</v>
      </c>
      <c r="CZ190" t="s">
        <v>805</v>
      </c>
      <c r="DA190" t="s">
        <v>805</v>
      </c>
      <c r="DB190" t="s">
        <v>805</v>
      </c>
      <c r="DC190" t="s">
        <v>805</v>
      </c>
      <c r="DD190" t="s">
        <v>805</v>
      </c>
      <c r="DE190" t="s">
        <v>805</v>
      </c>
      <c r="DF190" t="s">
        <v>805</v>
      </c>
      <c r="DG190" s="28">
        <f>VLOOKUP(E190,'KPI Count-SHARE'!A:F,3,0)</f>
        <v>0</v>
      </c>
      <c r="DH190">
        <v>0</v>
      </c>
      <c r="DI190" t="s">
        <v>805</v>
      </c>
      <c r="DJ190" t="s">
        <v>805</v>
      </c>
      <c r="DK190" t="s">
        <v>805</v>
      </c>
      <c r="DL190" t="s">
        <v>805</v>
      </c>
      <c r="DM190" t="s">
        <v>805</v>
      </c>
      <c r="DN190" s="28">
        <f>VLOOKUP(E190,'KPI Count-SHARE'!A:F,4,0)</f>
        <v>0</v>
      </c>
      <c r="DU190" s="28">
        <f>VLOOKUP(E190,'KPI Count-SHARE'!A:F,5,0)</f>
        <v>0</v>
      </c>
      <c r="EB190" s="28">
        <f>VLOOKUP(E190,'KPI Count-SHARE'!A:F,6,0)</f>
        <v>0</v>
      </c>
      <c r="EI190" t="str">
        <f t="shared" si="2040"/>
        <v>USD '000 per FTE</v>
      </c>
      <c r="EJ190" s="237" t="str">
        <f t="shared" si="1915"/>
        <v>-</v>
      </c>
      <c r="EK190" s="237" t="str">
        <f t="shared" si="1916"/>
        <v>-</v>
      </c>
      <c r="EL190" s="237" t="str">
        <f t="shared" si="1917"/>
        <v>-</v>
      </c>
      <c r="EM190" s="237" t="str">
        <f t="shared" si="1918"/>
        <v>-</v>
      </c>
      <c r="EN190" s="237" t="str">
        <f t="shared" si="1919"/>
        <v>-</v>
      </c>
      <c r="EO190" s="237" t="str">
        <f t="shared" si="1920"/>
        <v>-</v>
      </c>
      <c r="EP190" s="237" t="str">
        <f t="shared" si="1921"/>
        <v>-</v>
      </c>
      <c r="EQ190" s="237" t="str">
        <f t="shared" si="1922"/>
        <v>-</v>
      </c>
      <c r="ER190" s="237" t="str">
        <f t="shared" si="1923"/>
        <v>-</v>
      </c>
      <c r="ES190" s="237" t="str">
        <f t="shared" si="1924"/>
        <v>-</v>
      </c>
      <c r="ET190" s="237" t="str">
        <f t="shared" si="1925"/>
        <v>-</v>
      </c>
      <c r="EU190" s="237" t="str">
        <f t="shared" si="1926"/>
        <v>-</v>
      </c>
      <c r="EV190" s="237" t="str">
        <f t="shared" si="1927"/>
        <v>-</v>
      </c>
      <c r="EW190" s="237" t="str">
        <f t="shared" si="1928"/>
        <v>-</v>
      </c>
      <c r="EX190" s="237" t="str">
        <f t="shared" si="1929"/>
        <v>-</v>
      </c>
      <c r="EY190" s="237" t="str">
        <f t="shared" si="1930"/>
        <v>-</v>
      </c>
      <c r="EZ190" s="237" t="str">
        <f t="shared" si="1931"/>
        <v>-</v>
      </c>
      <c r="FA190" s="237" t="str">
        <f t="shared" si="1932"/>
        <v>-</v>
      </c>
      <c r="FB190" s="237" t="str">
        <f t="shared" si="1933"/>
        <v>-</v>
      </c>
      <c r="FC190" s="237" t="str">
        <f t="shared" si="1934"/>
        <v>-</v>
      </c>
      <c r="FD190" s="237" t="str">
        <f t="shared" si="1935"/>
        <v>-</v>
      </c>
      <c r="FE190" s="237" t="str">
        <f t="shared" si="1936"/>
        <v>-</v>
      </c>
      <c r="FF190" s="237" t="str">
        <f t="shared" si="1937"/>
        <v>-</v>
      </c>
      <c r="FG190" s="237" t="str">
        <f t="shared" si="1938"/>
        <v>-</v>
      </c>
      <c r="FH190" s="237" t="str">
        <f t="shared" si="1939"/>
        <v>-</v>
      </c>
      <c r="FI190" s="237" t="str">
        <f t="shared" si="1940"/>
        <v>-</v>
      </c>
      <c r="FJ190" s="237" t="str">
        <f t="shared" si="1941"/>
        <v>-</v>
      </c>
      <c r="FK190" s="237" t="str">
        <f t="shared" si="1942"/>
        <v>-</v>
      </c>
      <c r="FL190" s="237" t="str">
        <f t="shared" si="1943"/>
        <v>-</v>
      </c>
      <c r="FM190" s="237" t="str">
        <f t="shared" si="1944"/>
        <v>-</v>
      </c>
      <c r="FN190" s="237" t="str">
        <f t="shared" si="1945"/>
        <v>-</v>
      </c>
      <c r="FO190" s="237" t="str">
        <f t="shared" si="1946"/>
        <v>-</v>
      </c>
      <c r="FP190" s="237" t="str">
        <f t="shared" si="1947"/>
        <v>-</v>
      </c>
      <c r="FQ190" s="237" t="str">
        <f t="shared" si="1948"/>
        <v>-</v>
      </c>
      <c r="FR190" s="237" t="str">
        <f t="shared" si="1949"/>
        <v>-</v>
      </c>
      <c r="FS190" s="237" t="str">
        <f t="shared" si="1950"/>
        <v>-</v>
      </c>
      <c r="FT190" s="237" t="str">
        <f t="shared" si="1951"/>
        <v>-</v>
      </c>
      <c r="FU190" s="237" t="str">
        <f t="shared" si="1952"/>
        <v>-</v>
      </c>
      <c r="FV190" s="237" t="str">
        <f t="shared" si="1953"/>
        <v>-</v>
      </c>
      <c r="FW190" s="237" t="str">
        <f t="shared" si="1954"/>
        <v>-</v>
      </c>
      <c r="FX190" s="237" t="str">
        <f t="shared" si="1955"/>
        <v>-</v>
      </c>
      <c r="FY190" s="237" t="str">
        <f t="shared" si="1956"/>
        <v>-</v>
      </c>
      <c r="FZ190" s="237" t="str">
        <f t="shared" si="1957"/>
        <v>-</v>
      </c>
      <c r="GA190" s="237" t="str">
        <f t="shared" si="1958"/>
        <v>-</v>
      </c>
      <c r="GB190" s="237" t="str">
        <f t="shared" si="1959"/>
        <v>-</v>
      </c>
      <c r="GC190" s="237" t="str">
        <f t="shared" si="1960"/>
        <v>-</v>
      </c>
      <c r="GD190" s="237" t="str">
        <f t="shared" si="1961"/>
        <v>-</v>
      </c>
      <c r="GE190" s="237" t="str">
        <f t="shared" si="1962"/>
        <v>-</v>
      </c>
      <c r="GF190" s="237" t="str">
        <f t="shared" si="1963"/>
        <v>-</v>
      </c>
      <c r="GG190" s="237" t="str">
        <f t="shared" si="1964"/>
        <v>-</v>
      </c>
      <c r="GH190" s="237" t="str">
        <f t="shared" si="1965"/>
        <v>-</v>
      </c>
      <c r="GI190" s="237" t="str">
        <f t="shared" si="1966"/>
        <v>-</v>
      </c>
      <c r="GJ190" s="237" t="str">
        <f t="shared" si="1967"/>
        <v>-</v>
      </c>
      <c r="GK190" s="237" t="str">
        <f t="shared" si="1968"/>
        <v>-</v>
      </c>
      <c r="GL190" s="237" t="str">
        <f t="shared" si="1969"/>
        <v>-</v>
      </c>
      <c r="GM190" s="237" t="str">
        <f t="shared" si="1970"/>
        <v>-</v>
      </c>
      <c r="GN190" s="237" t="str">
        <f t="shared" si="1971"/>
        <v>-</v>
      </c>
      <c r="GO190" s="237" t="str">
        <f t="shared" si="1972"/>
        <v>-</v>
      </c>
      <c r="GP190" s="237" t="str">
        <f t="shared" si="1973"/>
        <v>-</v>
      </c>
      <c r="GQ190" s="237" t="str">
        <f t="shared" si="1974"/>
        <v>-</v>
      </c>
      <c r="GR190" s="237" t="str">
        <f t="shared" si="1975"/>
        <v>-</v>
      </c>
      <c r="GS190" s="237" t="str">
        <f t="shared" si="1976"/>
        <v>-</v>
      </c>
      <c r="GT190" s="237" t="str">
        <f t="shared" si="1977"/>
        <v>-</v>
      </c>
      <c r="GU190" s="237" t="str">
        <f t="shared" si="1978"/>
        <v>-</v>
      </c>
      <c r="GV190" s="237" t="str">
        <f t="shared" si="1979"/>
        <v>-</v>
      </c>
      <c r="GW190" s="237" t="str">
        <f t="shared" si="1980"/>
        <v>-</v>
      </c>
      <c r="GX190" s="237" t="str">
        <f t="shared" si="1981"/>
        <v>-</v>
      </c>
      <c r="GY190" s="237" t="str">
        <f t="shared" si="1982"/>
        <v>-</v>
      </c>
      <c r="GZ190" s="237" t="str">
        <f t="shared" si="1983"/>
        <v>-</v>
      </c>
      <c r="HA190" s="237" t="str">
        <f t="shared" si="1984"/>
        <v>-</v>
      </c>
      <c r="HB190" s="237" t="str">
        <f t="shared" si="1985"/>
        <v>-</v>
      </c>
      <c r="HC190" s="237" t="str">
        <f t="shared" si="1986"/>
        <v>-</v>
      </c>
      <c r="HD190" s="237" t="str">
        <f t="shared" si="1987"/>
        <v>-</v>
      </c>
      <c r="HE190" s="237" t="str">
        <f t="shared" si="1988"/>
        <v>-</v>
      </c>
      <c r="HF190" s="237" t="str">
        <f t="shared" si="1989"/>
        <v>-</v>
      </c>
      <c r="HG190" s="237" t="str">
        <f t="shared" si="1990"/>
        <v>-</v>
      </c>
      <c r="HH190" s="237" t="str">
        <f t="shared" si="1991"/>
        <v>-</v>
      </c>
      <c r="HI190" s="237" t="str">
        <f t="shared" si="1992"/>
        <v>-</v>
      </c>
      <c r="HJ190" s="237" t="str">
        <f t="shared" si="1993"/>
        <v>-</v>
      </c>
      <c r="HK190" s="237" t="str">
        <f t="shared" si="1994"/>
        <v>-</v>
      </c>
      <c r="HL190" s="237" t="str">
        <f t="shared" si="1995"/>
        <v>-</v>
      </c>
      <c r="HM190" s="237" t="str">
        <f t="shared" si="1996"/>
        <v>-</v>
      </c>
      <c r="HN190" s="237" t="str">
        <f t="shared" si="1997"/>
        <v>-</v>
      </c>
      <c r="HO190" s="237" t="str">
        <f t="shared" si="1998"/>
        <v>-</v>
      </c>
      <c r="HP190" s="237" t="str">
        <f t="shared" si="1999"/>
        <v>-</v>
      </c>
      <c r="HQ190" s="237" t="str">
        <f t="shared" si="2000"/>
        <v>-</v>
      </c>
      <c r="HR190" s="237" t="str">
        <f t="shared" si="2001"/>
        <v>-</v>
      </c>
      <c r="HS190" s="237" t="str">
        <f t="shared" si="2002"/>
        <v>-</v>
      </c>
      <c r="HT190" s="237" t="str">
        <f t="shared" si="2003"/>
        <v>-</v>
      </c>
      <c r="HU190" s="237" t="str">
        <f t="shared" si="2004"/>
        <v>-</v>
      </c>
      <c r="HV190" s="237" t="str">
        <f t="shared" si="2005"/>
        <v>-</v>
      </c>
      <c r="HW190" s="237" t="str">
        <f t="shared" si="2006"/>
        <v>-</v>
      </c>
      <c r="HX190" s="237" t="str">
        <f t="shared" si="2007"/>
        <v>-</v>
      </c>
      <c r="HY190" s="237" t="str">
        <f t="shared" si="2008"/>
        <v>-</v>
      </c>
      <c r="HZ190" s="237" t="str">
        <f t="shared" si="2009"/>
        <v>-</v>
      </c>
      <c r="IA190" s="237" t="str">
        <f t="shared" si="2010"/>
        <v>-</v>
      </c>
      <c r="IB190" s="237" t="str">
        <f t="shared" si="2011"/>
        <v>-</v>
      </c>
      <c r="IC190" s="237" t="str">
        <f t="shared" si="2012"/>
        <v>-</v>
      </c>
      <c r="ID190" s="237" t="str">
        <f t="shared" si="2013"/>
        <v>-</v>
      </c>
      <c r="IE190" s="237" t="str">
        <f t="shared" si="2014"/>
        <v>-</v>
      </c>
      <c r="IF190" s="237" t="str">
        <f t="shared" si="2015"/>
        <v>-</v>
      </c>
      <c r="IG190" s="312">
        <f t="shared" si="2016"/>
        <v>0</v>
      </c>
      <c r="IH190" s="99" t="str">
        <f t="shared" si="2017"/>
        <v>-</v>
      </c>
      <c r="II190" s="99" t="str">
        <f t="shared" si="2018"/>
        <v>-</v>
      </c>
      <c r="IJ190" s="99" t="str">
        <f t="shared" si="2019"/>
        <v>-</v>
      </c>
      <c r="IK190" s="99" t="str">
        <f t="shared" si="2020"/>
        <v>-</v>
      </c>
      <c r="IL190" s="99" t="str">
        <f t="shared" si="2021"/>
        <v>-</v>
      </c>
      <c r="IM190" s="312" t="str">
        <f t="shared" si="2022"/>
        <v/>
      </c>
      <c r="IN190" s="99" t="str">
        <f t="shared" si="2023"/>
        <v/>
      </c>
      <c r="IO190" s="99" t="str">
        <f t="shared" si="2024"/>
        <v/>
      </c>
      <c r="IP190" s="99" t="str">
        <f t="shared" si="2025"/>
        <v/>
      </c>
      <c r="IQ190" s="99" t="str">
        <f t="shared" si="2026"/>
        <v/>
      </c>
      <c r="IR190" s="99" t="str">
        <f t="shared" si="2027"/>
        <v/>
      </c>
      <c r="IS190" s="312" t="str">
        <f t="shared" si="2028"/>
        <v/>
      </c>
      <c r="IT190" s="99" t="str">
        <f t="shared" si="2029"/>
        <v/>
      </c>
      <c r="IU190" s="99" t="str">
        <f t="shared" si="2030"/>
        <v/>
      </c>
      <c r="IV190" s="99" t="str">
        <f t="shared" si="2031"/>
        <v/>
      </c>
      <c r="IW190" s="99" t="str">
        <f t="shared" si="2032"/>
        <v/>
      </c>
      <c r="IX190" s="99" t="str">
        <f t="shared" si="2033"/>
        <v/>
      </c>
      <c r="IY190" s="312" t="str">
        <f t="shared" si="2034"/>
        <v/>
      </c>
      <c r="IZ190" s="99" t="str">
        <f t="shared" si="2035"/>
        <v/>
      </c>
      <c r="JA190" s="99" t="str">
        <f t="shared" si="2036"/>
        <v/>
      </c>
      <c r="JB190" s="99" t="str">
        <f t="shared" si="2037"/>
        <v/>
      </c>
      <c r="JC190" s="99" t="str">
        <f t="shared" si="2038"/>
        <v/>
      </c>
      <c r="JD190" s="313" t="str">
        <f t="shared" si="2039"/>
        <v/>
      </c>
      <c r="JF190" s="66">
        <f t="shared" si="1424"/>
        <v>190</v>
      </c>
      <c r="JG190" s="66">
        <f t="shared" ca="1" si="1425"/>
        <v>0</v>
      </c>
      <c r="JH190" s="66">
        <f t="shared" ca="1" si="1426"/>
        <v>0</v>
      </c>
      <c r="JI190" s="66">
        <f t="shared" ca="1" si="1427"/>
        <v>0</v>
      </c>
      <c r="JJ190" s="66">
        <f t="shared" ca="1" si="1428"/>
        <v>0</v>
      </c>
      <c r="JK190" s="33"/>
      <c r="JL190" s="74" t="str">
        <f t="shared" ca="1" si="1429"/>
        <v>-</v>
      </c>
      <c r="JM190" s="75">
        <f t="shared" ca="1" si="1430"/>
        <v>0</v>
      </c>
      <c r="JN190" s="75">
        <f t="shared" ca="1" si="1431"/>
        <v>0</v>
      </c>
      <c r="JO190" s="74" t="str">
        <f t="shared" ca="1" si="1432"/>
        <v>-</v>
      </c>
      <c r="JP190" s="74">
        <f t="shared" ca="1" si="1433"/>
        <v>0</v>
      </c>
    </row>
    <row r="191" spans="1:276" hidden="1" outlineLevel="1" x14ac:dyDescent="0.35">
      <c r="A191" s="125" t="s">
        <v>805</v>
      </c>
      <c r="B191" s="125" t="s">
        <v>805</v>
      </c>
      <c r="C191" s="125" t="s">
        <v>805</v>
      </c>
      <c r="E191" s="142" t="s">
        <v>904</v>
      </c>
      <c r="F191" s="254" t="s">
        <v>788</v>
      </c>
      <c r="G191" t="s">
        <v>540</v>
      </c>
      <c r="H191" t="s">
        <v>535</v>
      </c>
      <c r="I191" t="s">
        <v>536</v>
      </c>
      <c r="J191" s="211" t="s">
        <v>805</v>
      </c>
      <c r="K191" t="s">
        <v>805</v>
      </c>
      <c r="L191" t="s">
        <v>805</v>
      </c>
      <c r="M191" t="s">
        <v>805</v>
      </c>
      <c r="N191" t="s">
        <v>805</v>
      </c>
      <c r="O191" t="s">
        <v>805</v>
      </c>
      <c r="P191" t="s">
        <v>805</v>
      </c>
      <c r="Q191" t="s">
        <v>805</v>
      </c>
      <c r="R191" t="s">
        <v>805</v>
      </c>
      <c r="S191" t="s">
        <v>805</v>
      </c>
      <c r="T191" t="s">
        <v>805</v>
      </c>
      <c r="U191" t="s">
        <v>805</v>
      </c>
      <c r="V191" t="s">
        <v>805</v>
      </c>
      <c r="W191" t="s">
        <v>805</v>
      </c>
      <c r="X191" t="s">
        <v>805</v>
      </c>
      <c r="Y191" t="s">
        <v>805</v>
      </c>
      <c r="Z191" t="s">
        <v>805</v>
      </c>
      <c r="AA191" t="s">
        <v>805</v>
      </c>
      <c r="AB191" t="s">
        <v>805</v>
      </c>
      <c r="AC191" t="s">
        <v>805</v>
      </c>
      <c r="AD191" t="s">
        <v>805</v>
      </c>
      <c r="AE191" t="s">
        <v>805</v>
      </c>
      <c r="AF191" t="s">
        <v>805</v>
      </c>
      <c r="AG191" t="s">
        <v>805</v>
      </c>
      <c r="AH191" t="s">
        <v>805</v>
      </c>
      <c r="AI191" t="s">
        <v>805</v>
      </c>
      <c r="AJ191" t="s">
        <v>805</v>
      </c>
      <c r="AK191" t="s">
        <v>805</v>
      </c>
      <c r="AL191" t="s">
        <v>805</v>
      </c>
      <c r="AM191" t="s">
        <v>805</v>
      </c>
      <c r="AN191" t="s">
        <v>805</v>
      </c>
      <c r="AO191" t="s">
        <v>805</v>
      </c>
      <c r="AP191" t="s">
        <v>805</v>
      </c>
      <c r="AQ191" t="s">
        <v>805</v>
      </c>
      <c r="AR191" t="s">
        <v>805</v>
      </c>
      <c r="AS191" t="s">
        <v>805</v>
      </c>
      <c r="AT191" t="s">
        <v>805</v>
      </c>
      <c r="AU191" t="s">
        <v>805</v>
      </c>
      <c r="AV191" t="s">
        <v>805</v>
      </c>
      <c r="AW191" t="s">
        <v>805</v>
      </c>
      <c r="AX191" t="s">
        <v>805</v>
      </c>
      <c r="AY191" t="s">
        <v>805</v>
      </c>
      <c r="AZ191" t="s">
        <v>805</v>
      </c>
      <c r="BA191" t="s">
        <v>805</v>
      </c>
      <c r="BB191" t="s">
        <v>805</v>
      </c>
      <c r="BC191" t="s">
        <v>805</v>
      </c>
      <c r="BD191" t="s">
        <v>805</v>
      </c>
      <c r="BE191" t="s">
        <v>805</v>
      </c>
      <c r="BF191" t="s">
        <v>805</v>
      </c>
      <c r="BG191" t="s">
        <v>805</v>
      </c>
      <c r="BH191" t="s">
        <v>805</v>
      </c>
      <c r="BI191" t="s">
        <v>805</v>
      </c>
      <c r="BJ191" t="s">
        <v>805</v>
      </c>
      <c r="BK191" t="s">
        <v>805</v>
      </c>
      <c r="BL191" t="s">
        <v>805</v>
      </c>
      <c r="BM191" t="s">
        <v>805</v>
      </c>
      <c r="BN191" t="s">
        <v>805</v>
      </c>
      <c r="BO191" t="s">
        <v>805</v>
      </c>
      <c r="BP191" t="s">
        <v>805</v>
      </c>
      <c r="BQ191" t="s">
        <v>805</v>
      </c>
      <c r="BR191" t="s">
        <v>805</v>
      </c>
      <c r="BS191" t="s">
        <v>805</v>
      </c>
      <c r="BT191" t="s">
        <v>805</v>
      </c>
      <c r="BU191" t="s">
        <v>805</v>
      </c>
      <c r="BV191" t="s">
        <v>805</v>
      </c>
      <c r="BW191" t="s">
        <v>805</v>
      </c>
      <c r="BX191" t="s">
        <v>805</v>
      </c>
      <c r="BY191" t="s">
        <v>805</v>
      </c>
      <c r="BZ191" t="s">
        <v>805</v>
      </c>
      <c r="CA191" t="s">
        <v>805</v>
      </c>
      <c r="CB191" t="s">
        <v>805</v>
      </c>
      <c r="CC191" t="s">
        <v>805</v>
      </c>
      <c r="CD191" t="s">
        <v>805</v>
      </c>
      <c r="CE191" t="s">
        <v>805</v>
      </c>
      <c r="CF191" t="s">
        <v>805</v>
      </c>
      <c r="CG191" t="s">
        <v>805</v>
      </c>
      <c r="CH191" t="s">
        <v>805</v>
      </c>
      <c r="CI191" t="s">
        <v>805</v>
      </c>
      <c r="CJ191" t="s">
        <v>805</v>
      </c>
      <c r="CK191" t="s">
        <v>805</v>
      </c>
      <c r="CL191" t="s">
        <v>805</v>
      </c>
      <c r="CM191" t="s">
        <v>805</v>
      </c>
      <c r="CN191" t="s">
        <v>805</v>
      </c>
      <c r="CO191" t="s">
        <v>805</v>
      </c>
      <c r="CP191" t="s">
        <v>805</v>
      </c>
      <c r="CQ191" t="s">
        <v>805</v>
      </c>
      <c r="CR191" t="s">
        <v>805</v>
      </c>
      <c r="CS191" t="s">
        <v>805</v>
      </c>
      <c r="CT191" t="s">
        <v>805</v>
      </c>
      <c r="CU191" t="s">
        <v>805</v>
      </c>
      <c r="CV191" t="s">
        <v>805</v>
      </c>
      <c r="CW191" t="s">
        <v>805</v>
      </c>
      <c r="CX191" t="s">
        <v>805</v>
      </c>
      <c r="CY191" t="s">
        <v>805</v>
      </c>
      <c r="CZ191" t="s">
        <v>805</v>
      </c>
      <c r="DA191" t="s">
        <v>805</v>
      </c>
      <c r="DB191" t="s">
        <v>805</v>
      </c>
      <c r="DC191" t="s">
        <v>805</v>
      </c>
      <c r="DD191" t="s">
        <v>805</v>
      </c>
      <c r="DE191" t="s">
        <v>805</v>
      </c>
      <c r="DF191" t="s">
        <v>805</v>
      </c>
      <c r="DG191" s="28">
        <f>VLOOKUP(E191,'KPI Count-SHARE'!A:F,3,0)</f>
        <v>0</v>
      </c>
      <c r="DH191">
        <v>0</v>
      </c>
      <c r="DI191" t="s">
        <v>805</v>
      </c>
      <c r="DJ191" t="s">
        <v>805</v>
      </c>
      <c r="DK191" t="s">
        <v>805</v>
      </c>
      <c r="DL191" t="s">
        <v>805</v>
      </c>
      <c r="DM191" t="s">
        <v>805</v>
      </c>
      <c r="DN191" s="28">
        <f>VLOOKUP(E191,'KPI Count-SHARE'!A:F,4,0)</f>
        <v>0</v>
      </c>
      <c r="DU191" s="28">
        <f>VLOOKUP(E191,'KPI Count-SHARE'!A:F,5,0)</f>
        <v>0</v>
      </c>
      <c r="EB191" s="28">
        <f>VLOOKUP(E191,'KPI Count-SHARE'!A:F,6,0)</f>
        <v>0</v>
      </c>
      <c r="EI191" t="str">
        <f t="shared" si="2040"/>
        <v>USD '000 per FTE</v>
      </c>
      <c r="EJ191" s="237" t="str">
        <f t="shared" si="1915"/>
        <v>-</v>
      </c>
      <c r="EK191" s="237" t="str">
        <f t="shared" si="1916"/>
        <v>-</v>
      </c>
      <c r="EL191" s="237" t="str">
        <f t="shared" si="1917"/>
        <v>-</v>
      </c>
      <c r="EM191" s="237" t="str">
        <f t="shared" si="1918"/>
        <v>-</v>
      </c>
      <c r="EN191" s="237" t="str">
        <f t="shared" si="1919"/>
        <v>-</v>
      </c>
      <c r="EO191" s="237" t="str">
        <f t="shared" si="1920"/>
        <v>-</v>
      </c>
      <c r="EP191" s="237" t="str">
        <f t="shared" si="1921"/>
        <v>-</v>
      </c>
      <c r="EQ191" s="237" t="str">
        <f t="shared" si="1922"/>
        <v>-</v>
      </c>
      <c r="ER191" s="237" t="str">
        <f t="shared" si="1923"/>
        <v>-</v>
      </c>
      <c r="ES191" s="237" t="str">
        <f t="shared" si="1924"/>
        <v>-</v>
      </c>
      <c r="ET191" s="237" t="str">
        <f t="shared" si="1925"/>
        <v>-</v>
      </c>
      <c r="EU191" s="237" t="str">
        <f t="shared" si="1926"/>
        <v>-</v>
      </c>
      <c r="EV191" s="237" t="str">
        <f t="shared" si="1927"/>
        <v>-</v>
      </c>
      <c r="EW191" s="237" t="str">
        <f t="shared" si="1928"/>
        <v>-</v>
      </c>
      <c r="EX191" s="237" t="str">
        <f t="shared" si="1929"/>
        <v>-</v>
      </c>
      <c r="EY191" s="237" t="str">
        <f t="shared" si="1930"/>
        <v>-</v>
      </c>
      <c r="EZ191" s="237" t="str">
        <f t="shared" si="1931"/>
        <v>-</v>
      </c>
      <c r="FA191" s="237" t="str">
        <f t="shared" si="1932"/>
        <v>-</v>
      </c>
      <c r="FB191" s="237" t="str">
        <f t="shared" si="1933"/>
        <v>-</v>
      </c>
      <c r="FC191" s="237" t="str">
        <f t="shared" si="1934"/>
        <v>-</v>
      </c>
      <c r="FD191" s="237" t="str">
        <f t="shared" si="1935"/>
        <v>-</v>
      </c>
      <c r="FE191" s="237" t="str">
        <f t="shared" si="1936"/>
        <v>-</v>
      </c>
      <c r="FF191" s="237" t="str">
        <f t="shared" si="1937"/>
        <v>-</v>
      </c>
      <c r="FG191" s="237" t="str">
        <f t="shared" si="1938"/>
        <v>-</v>
      </c>
      <c r="FH191" s="237" t="str">
        <f t="shared" si="1939"/>
        <v>-</v>
      </c>
      <c r="FI191" s="237" t="str">
        <f t="shared" si="1940"/>
        <v>-</v>
      </c>
      <c r="FJ191" s="237" t="str">
        <f t="shared" si="1941"/>
        <v>-</v>
      </c>
      <c r="FK191" s="237" t="str">
        <f t="shared" si="1942"/>
        <v>-</v>
      </c>
      <c r="FL191" s="237" t="str">
        <f t="shared" si="1943"/>
        <v>-</v>
      </c>
      <c r="FM191" s="237" t="str">
        <f t="shared" si="1944"/>
        <v>-</v>
      </c>
      <c r="FN191" s="237" t="str">
        <f t="shared" si="1945"/>
        <v>-</v>
      </c>
      <c r="FO191" s="237" t="str">
        <f t="shared" si="1946"/>
        <v>-</v>
      </c>
      <c r="FP191" s="237" t="str">
        <f t="shared" si="1947"/>
        <v>-</v>
      </c>
      <c r="FQ191" s="237" t="str">
        <f t="shared" si="1948"/>
        <v>-</v>
      </c>
      <c r="FR191" s="237" t="str">
        <f t="shared" si="1949"/>
        <v>-</v>
      </c>
      <c r="FS191" s="237" t="str">
        <f t="shared" si="1950"/>
        <v>-</v>
      </c>
      <c r="FT191" s="237" t="str">
        <f t="shared" si="1951"/>
        <v>-</v>
      </c>
      <c r="FU191" s="237" t="str">
        <f t="shared" si="1952"/>
        <v>-</v>
      </c>
      <c r="FV191" s="237" t="str">
        <f t="shared" si="1953"/>
        <v>-</v>
      </c>
      <c r="FW191" s="237" t="str">
        <f t="shared" si="1954"/>
        <v>-</v>
      </c>
      <c r="FX191" s="237" t="str">
        <f t="shared" si="1955"/>
        <v>-</v>
      </c>
      <c r="FY191" s="237" t="str">
        <f t="shared" si="1956"/>
        <v>-</v>
      </c>
      <c r="FZ191" s="237" t="str">
        <f t="shared" si="1957"/>
        <v>-</v>
      </c>
      <c r="GA191" s="237" t="str">
        <f t="shared" si="1958"/>
        <v>-</v>
      </c>
      <c r="GB191" s="237" t="str">
        <f t="shared" si="1959"/>
        <v>-</v>
      </c>
      <c r="GC191" s="237" t="str">
        <f t="shared" si="1960"/>
        <v>-</v>
      </c>
      <c r="GD191" s="237" t="str">
        <f t="shared" si="1961"/>
        <v>-</v>
      </c>
      <c r="GE191" s="237" t="str">
        <f t="shared" si="1962"/>
        <v>-</v>
      </c>
      <c r="GF191" s="237" t="str">
        <f t="shared" si="1963"/>
        <v>-</v>
      </c>
      <c r="GG191" s="237" t="str">
        <f t="shared" si="1964"/>
        <v>-</v>
      </c>
      <c r="GH191" s="237" t="str">
        <f t="shared" si="1965"/>
        <v>-</v>
      </c>
      <c r="GI191" s="237" t="str">
        <f t="shared" si="1966"/>
        <v>-</v>
      </c>
      <c r="GJ191" s="237" t="str">
        <f t="shared" si="1967"/>
        <v>-</v>
      </c>
      <c r="GK191" s="237" t="str">
        <f t="shared" si="1968"/>
        <v>-</v>
      </c>
      <c r="GL191" s="237" t="str">
        <f t="shared" si="1969"/>
        <v>-</v>
      </c>
      <c r="GM191" s="237" t="str">
        <f t="shared" si="1970"/>
        <v>-</v>
      </c>
      <c r="GN191" s="237" t="str">
        <f t="shared" si="1971"/>
        <v>-</v>
      </c>
      <c r="GO191" s="237" t="str">
        <f t="shared" si="1972"/>
        <v>-</v>
      </c>
      <c r="GP191" s="237" t="str">
        <f t="shared" si="1973"/>
        <v>-</v>
      </c>
      <c r="GQ191" s="237" t="str">
        <f t="shared" si="1974"/>
        <v>-</v>
      </c>
      <c r="GR191" s="237" t="str">
        <f t="shared" si="1975"/>
        <v>-</v>
      </c>
      <c r="GS191" s="237" t="str">
        <f t="shared" si="1976"/>
        <v>-</v>
      </c>
      <c r="GT191" s="237" t="str">
        <f t="shared" si="1977"/>
        <v>-</v>
      </c>
      <c r="GU191" s="237" t="str">
        <f t="shared" si="1978"/>
        <v>-</v>
      </c>
      <c r="GV191" s="237" t="str">
        <f t="shared" si="1979"/>
        <v>-</v>
      </c>
      <c r="GW191" s="237" t="str">
        <f t="shared" si="1980"/>
        <v>-</v>
      </c>
      <c r="GX191" s="237" t="str">
        <f t="shared" si="1981"/>
        <v>-</v>
      </c>
      <c r="GY191" s="237" t="str">
        <f t="shared" si="1982"/>
        <v>-</v>
      </c>
      <c r="GZ191" s="237" t="str">
        <f t="shared" si="1983"/>
        <v>-</v>
      </c>
      <c r="HA191" s="237" t="str">
        <f t="shared" si="1984"/>
        <v>-</v>
      </c>
      <c r="HB191" s="237" t="str">
        <f t="shared" si="1985"/>
        <v>-</v>
      </c>
      <c r="HC191" s="237" t="str">
        <f t="shared" si="1986"/>
        <v>-</v>
      </c>
      <c r="HD191" s="237" t="str">
        <f t="shared" si="1987"/>
        <v>-</v>
      </c>
      <c r="HE191" s="237" t="str">
        <f t="shared" si="1988"/>
        <v>-</v>
      </c>
      <c r="HF191" s="237" t="str">
        <f t="shared" si="1989"/>
        <v>-</v>
      </c>
      <c r="HG191" s="237" t="str">
        <f t="shared" si="1990"/>
        <v>-</v>
      </c>
      <c r="HH191" s="237" t="str">
        <f t="shared" si="1991"/>
        <v>-</v>
      </c>
      <c r="HI191" s="237" t="str">
        <f t="shared" si="1992"/>
        <v>-</v>
      </c>
      <c r="HJ191" s="237" t="str">
        <f t="shared" si="1993"/>
        <v>-</v>
      </c>
      <c r="HK191" s="237" t="str">
        <f t="shared" si="1994"/>
        <v>-</v>
      </c>
      <c r="HL191" s="237" t="str">
        <f t="shared" si="1995"/>
        <v>-</v>
      </c>
      <c r="HM191" s="237" t="str">
        <f t="shared" si="1996"/>
        <v>-</v>
      </c>
      <c r="HN191" s="237" t="str">
        <f t="shared" si="1997"/>
        <v>-</v>
      </c>
      <c r="HO191" s="237" t="str">
        <f t="shared" si="1998"/>
        <v>-</v>
      </c>
      <c r="HP191" s="237" t="str">
        <f t="shared" si="1999"/>
        <v>-</v>
      </c>
      <c r="HQ191" s="237" t="str">
        <f t="shared" si="2000"/>
        <v>-</v>
      </c>
      <c r="HR191" s="237" t="str">
        <f t="shared" si="2001"/>
        <v>-</v>
      </c>
      <c r="HS191" s="237" t="str">
        <f t="shared" si="2002"/>
        <v>-</v>
      </c>
      <c r="HT191" s="237" t="str">
        <f t="shared" si="2003"/>
        <v>-</v>
      </c>
      <c r="HU191" s="237" t="str">
        <f t="shared" si="2004"/>
        <v>-</v>
      </c>
      <c r="HV191" s="237" t="str">
        <f t="shared" si="2005"/>
        <v>-</v>
      </c>
      <c r="HW191" s="237" t="str">
        <f t="shared" si="2006"/>
        <v>-</v>
      </c>
      <c r="HX191" s="237" t="str">
        <f t="shared" si="2007"/>
        <v>-</v>
      </c>
      <c r="HY191" s="237" t="str">
        <f t="shared" si="2008"/>
        <v>-</v>
      </c>
      <c r="HZ191" s="237" t="str">
        <f t="shared" si="2009"/>
        <v>-</v>
      </c>
      <c r="IA191" s="237" t="str">
        <f t="shared" si="2010"/>
        <v>-</v>
      </c>
      <c r="IB191" s="237" t="str">
        <f t="shared" si="2011"/>
        <v>-</v>
      </c>
      <c r="IC191" s="237" t="str">
        <f t="shared" si="2012"/>
        <v>-</v>
      </c>
      <c r="ID191" s="237" t="str">
        <f t="shared" si="2013"/>
        <v>-</v>
      </c>
      <c r="IE191" s="237" t="str">
        <f t="shared" si="2014"/>
        <v>-</v>
      </c>
      <c r="IF191" s="237" t="str">
        <f t="shared" si="2015"/>
        <v>-</v>
      </c>
      <c r="IG191" s="312">
        <f t="shared" si="2016"/>
        <v>0</v>
      </c>
      <c r="IH191" s="99" t="str">
        <f t="shared" si="2017"/>
        <v>-</v>
      </c>
      <c r="II191" s="99" t="str">
        <f t="shared" si="2018"/>
        <v>-</v>
      </c>
      <c r="IJ191" s="99" t="str">
        <f t="shared" si="2019"/>
        <v>-</v>
      </c>
      <c r="IK191" s="99" t="str">
        <f t="shared" si="2020"/>
        <v>-</v>
      </c>
      <c r="IL191" s="99" t="str">
        <f t="shared" si="2021"/>
        <v>-</v>
      </c>
      <c r="IM191" s="312" t="str">
        <f t="shared" si="2022"/>
        <v/>
      </c>
      <c r="IN191" s="99" t="str">
        <f t="shared" si="2023"/>
        <v/>
      </c>
      <c r="IO191" s="99" t="str">
        <f t="shared" si="2024"/>
        <v/>
      </c>
      <c r="IP191" s="99" t="str">
        <f t="shared" si="2025"/>
        <v/>
      </c>
      <c r="IQ191" s="99" t="str">
        <f t="shared" si="2026"/>
        <v/>
      </c>
      <c r="IR191" s="99" t="str">
        <f t="shared" si="2027"/>
        <v/>
      </c>
      <c r="IS191" s="312" t="str">
        <f t="shared" si="2028"/>
        <v/>
      </c>
      <c r="IT191" s="99" t="str">
        <f t="shared" si="2029"/>
        <v/>
      </c>
      <c r="IU191" s="99" t="str">
        <f t="shared" si="2030"/>
        <v/>
      </c>
      <c r="IV191" s="99" t="str">
        <f t="shared" si="2031"/>
        <v/>
      </c>
      <c r="IW191" s="99" t="str">
        <f t="shared" si="2032"/>
        <v/>
      </c>
      <c r="IX191" s="99" t="str">
        <f t="shared" si="2033"/>
        <v/>
      </c>
      <c r="IY191" s="312" t="str">
        <f t="shared" si="2034"/>
        <v/>
      </c>
      <c r="IZ191" s="99" t="str">
        <f t="shared" si="2035"/>
        <v/>
      </c>
      <c r="JA191" s="99" t="str">
        <f t="shared" si="2036"/>
        <v/>
      </c>
      <c r="JB191" s="99" t="str">
        <f t="shared" si="2037"/>
        <v/>
      </c>
      <c r="JC191" s="99" t="str">
        <f t="shared" si="2038"/>
        <v/>
      </c>
      <c r="JD191" s="313" t="str">
        <f t="shared" si="2039"/>
        <v/>
      </c>
      <c r="JF191" s="66">
        <f t="shared" si="1424"/>
        <v>191</v>
      </c>
      <c r="JG191" s="66">
        <f t="shared" ca="1" si="1425"/>
        <v>0</v>
      </c>
      <c r="JH191" s="66">
        <f t="shared" ca="1" si="1426"/>
        <v>0</v>
      </c>
      <c r="JI191" s="66">
        <f t="shared" ca="1" si="1427"/>
        <v>0</v>
      </c>
      <c r="JJ191" s="66">
        <f t="shared" ca="1" si="1428"/>
        <v>0</v>
      </c>
      <c r="JK191" s="33"/>
      <c r="JL191" s="74" t="str">
        <f t="shared" ca="1" si="1429"/>
        <v>-</v>
      </c>
      <c r="JM191" s="75">
        <f t="shared" ca="1" si="1430"/>
        <v>0</v>
      </c>
      <c r="JN191" s="75">
        <f t="shared" ca="1" si="1431"/>
        <v>0</v>
      </c>
      <c r="JO191" s="74" t="str">
        <f t="shared" ca="1" si="1432"/>
        <v>-</v>
      </c>
      <c r="JP191" s="74">
        <f t="shared" ca="1" si="1433"/>
        <v>0</v>
      </c>
    </row>
    <row r="192" spans="1:276" hidden="1" collapsed="1" x14ac:dyDescent="0.35">
      <c r="E192" s="142" t="s">
        <v>905</v>
      </c>
      <c r="F192" t="s">
        <v>811</v>
      </c>
      <c r="G192" t="s">
        <v>530</v>
      </c>
      <c r="H192" t="s">
        <v>533</v>
      </c>
      <c r="J192" s="211"/>
      <c r="DG192" s="28">
        <f>VLOOKUP(E192,'KPI Count-SHARE'!A:F,3,0)</f>
        <v>0</v>
      </c>
      <c r="DH192" t="s">
        <v>805</v>
      </c>
      <c r="DI192" t="s">
        <v>805</v>
      </c>
      <c r="DJ192" t="s">
        <v>805</v>
      </c>
      <c r="DK192" t="s">
        <v>805</v>
      </c>
      <c r="DL192" t="s">
        <v>805</v>
      </c>
      <c r="DM192" t="s">
        <v>805</v>
      </c>
      <c r="DN192" s="28">
        <f>VLOOKUP(E192,'KPI Count-SHARE'!A:F,4,0)</f>
        <v>0</v>
      </c>
      <c r="DU192" s="28">
        <f>VLOOKUP(E192,'KPI Count-SHARE'!A:F,5,0)</f>
        <v>0</v>
      </c>
      <c r="EB192" s="28">
        <f>VLOOKUP(E192,'KPI Count-SHARE'!A:F,6,0)</f>
        <v>0</v>
      </c>
      <c r="EI192" t="s">
        <v>533</v>
      </c>
      <c r="EJ192" s="237" t="str">
        <f t="shared" ref="EJ192" si="2041">IFERROR(IF(ISBLANK(J192), "-", IF(OR($I192="c",$I192="r"), J192*$I$5, J192)),"-")</f>
        <v>-</v>
      </c>
      <c r="EK192" s="237" t="str">
        <f t="shared" ref="EK192" si="2042">IFERROR(IF(ISBLANK(K192), "-", IF($I192="c", K192*$I$5, K192)),"-")</f>
        <v>-</v>
      </c>
      <c r="EL192" s="237" t="str">
        <f t="shared" ref="EL192" si="2043">IFERROR(IF(ISBLANK(L192), "-", IF($I192="c", L192*$I$5, L192)),"-")</f>
        <v>-</v>
      </c>
      <c r="EM192" s="237" t="str">
        <f t="shared" ref="EM192" si="2044">IFERROR(IF(ISBLANK(M192), "-", IF($I192="c", M192*$I$5,M192)),"-")</f>
        <v>-</v>
      </c>
      <c r="EN192" s="237" t="str">
        <f t="shared" ref="EN192" si="2045">IFERROR(IF(ISBLANK(N192), "-", IF($I192="c", N192*$I$5, N192)),"-")</f>
        <v>-</v>
      </c>
      <c r="EO192" s="237" t="str">
        <f t="shared" ref="EO192" si="2046">IFERROR(IF(ISBLANK(O192), "-", IF($I192="c", O192*$I$5,O192)),"-")</f>
        <v>-</v>
      </c>
      <c r="EP192" s="237" t="str">
        <f t="shared" ref="EP192" si="2047">IFERROR(IF(ISBLANK(P192), "-", IF($I192="c", P192*$I$5, P192)),"-")</f>
        <v>-</v>
      </c>
      <c r="EQ192" s="237" t="str">
        <f t="shared" ref="EQ192" si="2048">IFERROR(IF(ISBLANK(Q192), "-", IF($I192="c", Q192*$I$5, Q192)),"-")</f>
        <v>-</v>
      </c>
      <c r="ER192" s="237" t="str">
        <f t="shared" ref="ER192" si="2049">IFERROR(IF(ISBLANK(R192), "-", IF($I192="c", R192*$I$5, R192)),"-")</f>
        <v>-</v>
      </c>
      <c r="ES192" s="237" t="str">
        <f t="shared" ref="ES192" si="2050">IFERROR(IF(ISBLANK(S192), "-", IF($I192="c", S192*$I$5, S192)),"-")</f>
        <v>-</v>
      </c>
      <c r="ET192" s="237" t="str">
        <f t="shared" ref="ET192" si="2051">IFERROR(IF(ISBLANK(T192), "-", IF($I192="c", T192*$I$5, T192)),"-")</f>
        <v>-</v>
      </c>
      <c r="EU192" s="237" t="str">
        <f t="shared" ref="EU192" si="2052">IFERROR(IF(ISBLANK(U192), "-", IF($I192="c", U192*$I$5, U192)),"-")</f>
        <v>-</v>
      </c>
      <c r="EV192" s="237" t="str">
        <f t="shared" ref="EV192" si="2053">IFERROR(IF(ISBLANK(V192), "-", IF($I192="c", V192*$I$5, V192)),"-")</f>
        <v>-</v>
      </c>
      <c r="EW192" s="237" t="str">
        <f t="shared" ref="EW192" si="2054">IFERROR(IF(ISBLANK(W192), "-", IF($I192="c", W192*$I$5, W192)),"-")</f>
        <v>-</v>
      </c>
      <c r="EX192" s="237" t="str">
        <f t="shared" ref="EX192" si="2055">IFERROR(IF(ISBLANK(X192), "-", IF($I192="c", X192*$I$5, X192)),"-")</f>
        <v>-</v>
      </c>
      <c r="EY192" s="237" t="str">
        <f t="shared" ref="EY192" si="2056">IFERROR(IF(ISBLANK(Y192), "-", IF($I192="c", Y192*$I$5, Y192)),"-")</f>
        <v>-</v>
      </c>
      <c r="EZ192" s="237" t="str">
        <f t="shared" ref="EZ192" si="2057">IFERROR(IF(ISBLANK(Z192), "-", IF($I192="c", Z192*$I$5, Z192)),"-")</f>
        <v>-</v>
      </c>
      <c r="FA192" s="237" t="str">
        <f t="shared" ref="FA192" si="2058">IFERROR(IF(ISBLANK(AA192), "-", IF($I192="c", AA192*$I$5, AA192)),"-")</f>
        <v>-</v>
      </c>
      <c r="FB192" s="237" t="str">
        <f t="shared" ref="FB192" si="2059">IFERROR(IF(ISBLANK(AB192), "-", IF($I192="c", AB192*$I$5, AB192)),"-")</f>
        <v>-</v>
      </c>
      <c r="FC192" s="237" t="str">
        <f t="shared" ref="FC192" si="2060">IFERROR(IF(ISBLANK(AC192), "-", IF($I192="c", AC192*$I$5, AC192)),"-")</f>
        <v>-</v>
      </c>
      <c r="FD192" s="237" t="str">
        <f t="shared" ref="FD192" si="2061">IFERROR(IF(ISBLANK(AD192), "-", IF($I192="c", AD192*$I$5, AD192)),"-")</f>
        <v>-</v>
      </c>
      <c r="FE192" s="237" t="str">
        <f t="shared" ref="FE192" si="2062">IFERROR(IF(ISBLANK(AE192), "-", IF($I192="c", AE192*$I$5, AE192)),"-")</f>
        <v>-</v>
      </c>
      <c r="FF192" s="237" t="str">
        <f t="shared" ref="FF192" si="2063">IFERROR(IF(ISBLANK(AF192), "-", IF($I192="c", AF192*$I$5, AF192)),"-")</f>
        <v>-</v>
      </c>
      <c r="FG192" s="237" t="str">
        <f t="shared" ref="FG192" si="2064">IFERROR(IF(ISBLANK(AG192), "-", IF($I192="c", AG192*$I$5, AG192)),"-")</f>
        <v>-</v>
      </c>
      <c r="FH192" s="237" t="str">
        <f t="shared" ref="FH192" si="2065">IFERROR(IF(ISBLANK(AH192), "-", IF($I192="c", AH192*$I$5, AH192)),"-")</f>
        <v>-</v>
      </c>
      <c r="FI192" s="237" t="str">
        <f t="shared" ref="FI192" si="2066">IFERROR(IF(ISBLANK(AI192), "-", IF($I192="c", AI192*$I$5, AI192)),"-")</f>
        <v>-</v>
      </c>
      <c r="FJ192" s="237" t="str">
        <f t="shared" ref="FJ192" si="2067">IFERROR(IF(ISBLANK(AJ192), "-", IF($I192="c", AJ192*$I$5, AJ192)),"-")</f>
        <v>-</v>
      </c>
      <c r="FK192" s="237" t="str">
        <f t="shared" ref="FK192" si="2068">IFERROR(IF(ISBLANK(AK192), "-", IF($I192="c", AK192*$I$5, AK192)),"-")</f>
        <v>-</v>
      </c>
      <c r="FL192" s="237" t="str">
        <f t="shared" ref="FL192" si="2069">IFERROR(IF(ISBLANK(AL192), "-", IF($I192="c", AL192*$I$5, AL192)),"-")</f>
        <v>-</v>
      </c>
      <c r="FM192" s="237" t="str">
        <f t="shared" ref="FM192" si="2070">IFERROR(IF(ISBLANK(AM192), "-", IF($I192="c", AM192*$I$5, AM192)),"-")</f>
        <v>-</v>
      </c>
      <c r="FN192" s="237" t="str">
        <f t="shared" ref="FN192" si="2071">IFERROR(IF(ISBLANK(AN192), "-", IF($I192="c", AN192*$I$5, AN192)),"-")</f>
        <v>-</v>
      </c>
      <c r="FO192" s="237" t="str">
        <f t="shared" ref="FO192" si="2072">IFERROR(IF(ISBLANK(AO192), "-", IF($I192="c", AO192*$I$5, AO192)),"-")</f>
        <v>-</v>
      </c>
      <c r="FP192" s="237" t="str">
        <f t="shared" ref="FP192" si="2073">IFERROR(IF(ISBLANK(AP192), "-", IF($I192="c", AP192*$I$5, AP192)),"-")</f>
        <v>-</v>
      </c>
      <c r="FQ192" s="237" t="str">
        <f t="shared" ref="FQ192" si="2074">IFERROR(IF(ISBLANK(AQ192), "-", IF($I192="c", AQ192*$I$5, AQ192)),"-")</f>
        <v>-</v>
      </c>
      <c r="FR192" s="237" t="str">
        <f t="shared" ref="FR192" si="2075">IFERROR(IF(ISBLANK(AR192), "-", IF($I192="c", AR192*$I$5, AR192)),"-")</f>
        <v>-</v>
      </c>
      <c r="FS192" s="237" t="str">
        <f t="shared" ref="FS192" si="2076">IFERROR(IF(ISBLANK(AS192), "-", IF($I192="c", AS192*$I$5, AS192)),"-")</f>
        <v>-</v>
      </c>
      <c r="FT192" s="237" t="str">
        <f t="shared" ref="FT192" si="2077">IFERROR(IF(ISBLANK(AT192), "-", IF($I192="c", AT192*$I$5, AT192)),"-")</f>
        <v>-</v>
      </c>
      <c r="FU192" s="237" t="str">
        <f t="shared" ref="FU192" si="2078">IFERROR(IF(ISBLANK(AU192), "-", IF($I192="c", AU192*$I$5, AU192)),"-")</f>
        <v>-</v>
      </c>
      <c r="FV192" s="237" t="str">
        <f t="shared" ref="FV192" si="2079">IFERROR(IF(ISBLANK(AV192), "-", IF($I192="c", AV192*$I$5, AV192)),"-")</f>
        <v>-</v>
      </c>
      <c r="FW192" s="237" t="str">
        <f t="shared" ref="FW192" si="2080">IFERROR(IF(ISBLANK(AW192), "-", IF($I192="c", AW192*$I$5, AW192)),"-")</f>
        <v>-</v>
      </c>
      <c r="FX192" s="237" t="str">
        <f t="shared" ref="FX192" si="2081">IFERROR(IF(ISBLANK(AX192), "-", IF($I192="c", AX192*$I$5, AX192)),"-")</f>
        <v>-</v>
      </c>
      <c r="FY192" s="237" t="str">
        <f t="shared" ref="FY192" si="2082">IFERROR(IF(ISBLANK(AY192), "-", IF($I192="c", AY192*$I$5, AY192)),"-")</f>
        <v>-</v>
      </c>
      <c r="FZ192" s="237" t="str">
        <f t="shared" ref="FZ192" si="2083">IFERROR(IF(ISBLANK(AZ192), "-", IF($I192="c", AZ192*$I$5, AZ192)),"-")</f>
        <v>-</v>
      </c>
      <c r="GA192" s="237" t="str">
        <f t="shared" ref="GA192" si="2084">IFERROR(IF(ISBLANK(BA192), "-", IF($I192="c", BA192*$I$5, BA192)),"-")</f>
        <v>-</v>
      </c>
      <c r="GB192" s="237" t="str">
        <f t="shared" ref="GB192" si="2085">IFERROR(IF(ISBLANK(BB192), "-", IF($I192="c", BB192*$I$5, BB192)),"-")</f>
        <v>-</v>
      </c>
      <c r="GC192" s="237" t="str">
        <f t="shared" ref="GC192" si="2086">IFERROR(IF(ISBLANK(BC192), "-", IF($I192="c", BC192*$I$5, BC192)),"-")</f>
        <v>-</v>
      </c>
      <c r="GD192" s="237" t="str">
        <f t="shared" ref="GD192" si="2087">IFERROR(IF(ISBLANK(BD192), "-", IF($I192="c", BD192*$I$5, BD192)),"-")</f>
        <v>-</v>
      </c>
      <c r="GE192" s="237" t="str">
        <f t="shared" ref="GE192" si="2088">IFERROR(IF(ISBLANK(BE192), "-", IF($I192="c", BE192*$I$5, BE192)),"-")</f>
        <v>-</v>
      </c>
      <c r="GF192" s="237" t="str">
        <f t="shared" ref="GF192" si="2089">IFERROR(IF(ISBLANK(BF192), "-", IF($I192="c", BF192*$I$5, BF192)),"-")</f>
        <v>-</v>
      </c>
      <c r="GG192" s="237" t="str">
        <f t="shared" ref="GG192" si="2090">IFERROR(IF(ISBLANK(BG192), "-", IF($I192="c", BG192*$I$5, BG192)),"-")</f>
        <v>-</v>
      </c>
      <c r="GH192" s="237" t="str">
        <f t="shared" ref="GH192" si="2091">IFERROR(IF(ISBLANK(BH192), "-", IF($I192="c", BH192*$I$5, BH192)),"-")</f>
        <v>-</v>
      </c>
      <c r="GI192" s="237" t="str">
        <f t="shared" ref="GI192" si="2092">IFERROR(IF(ISBLANK(BI192), "-", IF($I192="c", BI192*$I$5, BI192)),"-")</f>
        <v>-</v>
      </c>
      <c r="GJ192" s="237" t="str">
        <f t="shared" ref="GJ192" si="2093">IFERROR(IF(ISBLANK(BJ192), "-", IF($I192="c", BJ192*$I$5, BJ192)),"-")</f>
        <v>-</v>
      </c>
      <c r="GK192" s="237" t="str">
        <f t="shared" ref="GK192" si="2094">IFERROR(IF(ISBLANK(BK192), "-", IF($I192="c", BK192*$I$5, BK192)),"-")</f>
        <v>-</v>
      </c>
      <c r="GL192" s="237" t="str">
        <f t="shared" ref="GL192" si="2095">IFERROR(IF(ISBLANK(BL192), "-", IF($I192="c", BL192*$I$5, BL192)),"-")</f>
        <v>-</v>
      </c>
      <c r="GM192" s="237" t="str">
        <f t="shared" ref="GM192" si="2096">IFERROR(IF(ISBLANK(BM192), "-", IF($I192="c", BM192*$I$5, BM192)),"-")</f>
        <v>-</v>
      </c>
      <c r="GN192" s="237" t="str">
        <f t="shared" ref="GN192" si="2097">IFERROR(IF(ISBLANK(BN192), "-", IF($I192="c", BN192*$I$5, BN192)),"-")</f>
        <v>-</v>
      </c>
      <c r="GO192" s="237" t="str">
        <f t="shared" ref="GO192" si="2098">IFERROR(IF(ISBLANK(BO192), "-", IF($I192="c", BO192*$I$5, BO192)),"-")</f>
        <v>-</v>
      </c>
      <c r="GP192" s="237" t="str">
        <f t="shared" ref="GP192" si="2099">IFERROR(IF(ISBLANK(BP192), "-", IF($I192="c", BP192*$I$5, BP192)),"-")</f>
        <v>-</v>
      </c>
      <c r="GQ192" s="237" t="str">
        <f t="shared" ref="GQ192" si="2100">IFERROR(IF(ISBLANK(BQ192), "-", IF($I192="c", BQ192*$I$5, BQ192)),"-")</f>
        <v>-</v>
      </c>
      <c r="GR192" s="237" t="str">
        <f t="shared" ref="GR192" si="2101">IFERROR(IF(ISBLANK(BR192), "-", IF($I192="c", BR192*$I$5, BR192)),"-")</f>
        <v>-</v>
      </c>
      <c r="GS192" s="237" t="str">
        <f t="shared" ref="GS192" si="2102">IFERROR(IF(ISBLANK(BS192), "-", IF($I192="c", BS192*$I$5, BS192)),"-")</f>
        <v>-</v>
      </c>
      <c r="GT192" s="237" t="str">
        <f t="shared" ref="GT192" si="2103">IFERROR(IF(ISBLANK(BT192), "-", IF($I192="c", BT192*$I$5, BT192)),"-")</f>
        <v>-</v>
      </c>
      <c r="GU192" s="237" t="str">
        <f t="shared" ref="GU192" si="2104">IFERROR(IF(ISBLANK(BU192), "-", IF($I192="c", BU192*$I$5, BU192)),"-")</f>
        <v>-</v>
      </c>
      <c r="GV192" s="237" t="str">
        <f t="shared" ref="GV192" si="2105">IFERROR(IF(ISBLANK(BV192), "-", IF($I192="c", BV192*$I$5, BV192)),"-")</f>
        <v>-</v>
      </c>
      <c r="GW192" s="237" t="str">
        <f t="shared" ref="GW192" si="2106">IFERROR(IF(ISBLANK(BW192), "-", IF($I192="c", BW192*$I$5, BW192)),"-")</f>
        <v>-</v>
      </c>
      <c r="GX192" s="237" t="str">
        <f t="shared" ref="GX192" si="2107">IFERROR(IF(ISBLANK(BX192), "-", IF($I192="c", BX192*$I$5, BX192)),"-")</f>
        <v>-</v>
      </c>
      <c r="GY192" s="237" t="str">
        <f t="shared" ref="GY192" si="2108">IFERROR(IF(ISBLANK(BY192), "-", IF($I192="c", BY192*$I$5, BY192)),"-")</f>
        <v>-</v>
      </c>
      <c r="GZ192" s="237" t="str">
        <f t="shared" ref="GZ192" si="2109">IFERROR(IF(ISBLANK(BZ192), "-", IF($I192="c", BZ192*$I$5, BZ192)),"-")</f>
        <v>-</v>
      </c>
      <c r="HA192" s="237" t="str">
        <f t="shared" ref="HA192" si="2110">IFERROR(IF(ISBLANK(CA192), "-", IF($I192="c", CA192*$I$5, CA192)),"-")</f>
        <v>-</v>
      </c>
      <c r="HB192" s="237" t="str">
        <f t="shared" ref="HB192" si="2111">IFERROR(IF(ISBLANK(CB192), "-", IF($I192="c", CB192*$I$5, CB192)),"-")</f>
        <v>-</v>
      </c>
      <c r="HC192" s="237" t="str">
        <f t="shared" ref="HC192" si="2112">IFERROR(IF(ISBLANK(CC192), "-", IF($I192="c", CC192*$I$5, CC192)),"-")</f>
        <v>-</v>
      </c>
      <c r="HD192" s="237" t="str">
        <f t="shared" ref="HD192" si="2113">IFERROR(IF(ISBLANK(CD192), "-", IF($I192="c", CD192*$I$5, CD192)),"-")</f>
        <v>-</v>
      </c>
      <c r="HE192" s="237" t="str">
        <f t="shared" ref="HE192" si="2114">IFERROR(IF(ISBLANK(CE192), "-", IF($I192="c", CE192*$I$5, CE192)),"-")</f>
        <v>-</v>
      </c>
      <c r="HF192" s="237" t="str">
        <f t="shared" ref="HF192" si="2115">IFERROR(IF(ISBLANK(CF192), "-", IF($I192="c", CF192*$I$5, CF192)),"-")</f>
        <v>-</v>
      </c>
      <c r="HG192" s="237" t="str">
        <f t="shared" ref="HG192" si="2116">IFERROR(IF(ISBLANK(CG192), "-", IF($I192="c", CG192*$I$5, CG192)),"-")</f>
        <v>-</v>
      </c>
      <c r="HH192" s="237" t="str">
        <f t="shared" ref="HH192" si="2117">IFERROR(IF(ISBLANK(CH192), "-", IF($I192="c", CH192*$I$5, CH192)),"-")</f>
        <v>-</v>
      </c>
      <c r="HI192" s="237" t="str">
        <f t="shared" ref="HI192" si="2118">IFERROR(IF(ISBLANK(CI192), "-", IF($I192="c", CI192*$I$5, CI192)),"-")</f>
        <v>-</v>
      </c>
      <c r="HJ192" s="237" t="str">
        <f t="shared" ref="HJ192" si="2119">IFERROR(IF(ISBLANK(CJ192), "-", IF($I192="c", CJ192*$I$5, CJ192)),"-")</f>
        <v>-</v>
      </c>
      <c r="HK192" s="237" t="str">
        <f t="shared" ref="HK192" si="2120">IFERROR(IF(ISBLANK(CK192), "-", IF($I192="c", CK192*$I$5, CK192)),"-")</f>
        <v>-</v>
      </c>
      <c r="HL192" s="237" t="str">
        <f t="shared" ref="HL192" si="2121">IFERROR(IF(ISBLANK(CL192), "-", IF($I192="c", CL192*$I$5, CL192)),"-")</f>
        <v>-</v>
      </c>
      <c r="HM192" s="237" t="str">
        <f t="shared" ref="HM192" si="2122">IFERROR(IF(ISBLANK(CM192), "-", IF($I192="c", CM192*$I$5, CM192)),"-")</f>
        <v>-</v>
      </c>
      <c r="HN192" s="237" t="str">
        <f t="shared" ref="HN192" si="2123">IFERROR(IF(ISBLANK(CN192), "-", IF($I192="c", CN192*$I$5, CN192)),"-")</f>
        <v>-</v>
      </c>
      <c r="HO192" s="237" t="str">
        <f t="shared" ref="HO192" si="2124">IFERROR(IF(ISBLANK(CO192), "-", IF($I192="c", CO192*$I$5, CO192)),"-")</f>
        <v>-</v>
      </c>
      <c r="HP192" s="237" t="str">
        <f t="shared" ref="HP192" si="2125">IFERROR(IF(ISBLANK(CP192), "-", IF($I192="c", CP192*$I$5, CP192)),"-")</f>
        <v>-</v>
      </c>
      <c r="HQ192" s="237" t="str">
        <f t="shared" ref="HQ192" si="2126">IFERROR(IF(ISBLANK(CQ192), "-", IF($I192="c", CQ192*$I$5, CQ192)),"-")</f>
        <v>-</v>
      </c>
      <c r="HR192" s="237" t="str">
        <f t="shared" ref="HR192" si="2127">IFERROR(IF(ISBLANK(CR192), "-", IF($I192="c", CR192*$I$5, CR192)),"-")</f>
        <v>-</v>
      </c>
      <c r="HS192" s="237" t="str">
        <f t="shared" ref="HS192" si="2128">IFERROR(IF(ISBLANK(CS192), "-", IF($I192="c", CS192*$I$5, CS192)),"-")</f>
        <v>-</v>
      </c>
      <c r="HT192" s="237" t="str">
        <f t="shared" ref="HT192" si="2129">IFERROR(IF(ISBLANK(CT192), "-", IF($I192="c", CT192*$I$5, CT192)),"-")</f>
        <v>-</v>
      </c>
      <c r="HU192" s="237" t="str">
        <f t="shared" ref="HU192" si="2130">IFERROR(IF(ISBLANK(CU192), "-", IF($I192="c", CU192*$I$5, CU192)),"-")</f>
        <v>-</v>
      </c>
      <c r="HV192" s="237" t="str">
        <f t="shared" ref="HV192" si="2131">IFERROR(IF(ISBLANK(CV192), "-", IF($I192="c", CV192*$I$5, CV192)),"-")</f>
        <v>-</v>
      </c>
      <c r="HW192" s="237" t="str">
        <f t="shared" ref="HW192" si="2132">IFERROR(IF(ISBLANK(CW192), "-", IF($I192="c", CW192*$I$5, CW192)),"-")</f>
        <v>-</v>
      </c>
      <c r="HX192" s="237" t="str">
        <f t="shared" ref="HX192" si="2133">IFERROR(IF(ISBLANK(CX192), "-", IF($I192="c", CX192*$I$5, CX192)),"-")</f>
        <v>-</v>
      </c>
      <c r="HY192" s="237" t="str">
        <f t="shared" ref="HY192" si="2134">IFERROR(IF(ISBLANK(CY192), "-", IF($I192="c", CY192*$I$5, CY192)),"-")</f>
        <v>-</v>
      </c>
      <c r="HZ192" s="237" t="str">
        <f t="shared" ref="HZ192" si="2135">IFERROR(IF(ISBLANK(CZ192), "-", IF($I192="c", CZ192*$I$5, CZ192)),"-")</f>
        <v>-</v>
      </c>
      <c r="IA192" s="237" t="str">
        <f t="shared" ref="IA192" si="2136">IFERROR(IF(ISBLANK(DA192), "-", IF($I192="c", DA192*$I$5, DA192)),"-")</f>
        <v>-</v>
      </c>
      <c r="IB192" s="237" t="str">
        <f t="shared" ref="IB192" si="2137">IFERROR(IF(ISBLANK(DB192), "-", IF($I192="c", DB192*$I$5, DB192)),"-")</f>
        <v>-</v>
      </c>
      <c r="IC192" s="237" t="str">
        <f t="shared" ref="IC192" si="2138">IFERROR(IF(ISBLANK(DC192), "-", IF($I192="c", DC192*$I$5, DC192)),"-")</f>
        <v>-</v>
      </c>
      <c r="ID192" s="237" t="str">
        <f t="shared" ref="ID192" si="2139">IFERROR(IF(ISBLANK(DD192), "-", IF($I192="c", DD192*$I$5, DD192)),"-")</f>
        <v>-</v>
      </c>
      <c r="IE192" s="237" t="str">
        <f t="shared" ref="IE192" si="2140">IFERROR(IF(ISBLANK(DE192), "-", IF($I192="c", DE192*$I$5, DE192)),"-")</f>
        <v>-</v>
      </c>
      <c r="IF192" s="237" t="str">
        <f t="shared" ref="IF192" si="2141">IFERROR(IF(ISBLANK(DF192), "-", IF($I192="c", DF192*$I$5, DF192)),"-")</f>
        <v>-</v>
      </c>
      <c r="IG192" s="312" t="str">
        <f t="shared" ref="IG192" si="2142">IFERROR(IF(ISBLANK(DH192), "-", IF($I192="c", DH192*$I$5, DH192)),"-")</f>
        <v/>
      </c>
      <c r="IH192" s="99" t="str">
        <f t="shared" si="2017"/>
        <v/>
      </c>
      <c r="II192" s="99" t="str">
        <f t="shared" si="2018"/>
        <v/>
      </c>
      <c r="IJ192" s="99" t="str">
        <f t="shared" si="2019"/>
        <v/>
      </c>
      <c r="IK192" s="99" t="str">
        <f t="shared" si="2020"/>
        <v/>
      </c>
      <c r="IL192" s="99" t="str">
        <f t="shared" si="2021"/>
        <v/>
      </c>
      <c r="IM192" s="312" t="str">
        <f t="shared" ref="IM192" si="2143">IFERROR(IF(ISBLANK(DO192), "", IF($I192="c",DO192*$I$5, DO192)),"-")</f>
        <v/>
      </c>
      <c r="IN192" s="99" t="str">
        <f t="shared" si="2023"/>
        <v/>
      </c>
      <c r="IO192" s="99" t="str">
        <f t="shared" si="2024"/>
        <v/>
      </c>
      <c r="IP192" s="99" t="str">
        <f t="shared" si="2025"/>
        <v/>
      </c>
      <c r="IQ192" s="99" t="str">
        <f t="shared" si="2026"/>
        <v/>
      </c>
      <c r="IR192" s="99" t="str">
        <f t="shared" si="2027"/>
        <v/>
      </c>
      <c r="IS192" s="312" t="str">
        <f t="shared" ref="IS192" si="2144">IFERROR(IF(ISBLANK(DV192), "", IF($I192="c", DV192*$I$5, DV192)),"-")</f>
        <v/>
      </c>
      <c r="IT192" s="99" t="str">
        <f t="shared" si="2029"/>
        <v/>
      </c>
      <c r="IU192" s="99" t="str">
        <f t="shared" si="2030"/>
        <v/>
      </c>
      <c r="IV192" s="99" t="str">
        <f t="shared" si="2031"/>
        <v/>
      </c>
      <c r="IW192" s="99" t="str">
        <f t="shared" si="2032"/>
        <v/>
      </c>
      <c r="IX192" s="99" t="str">
        <f t="shared" si="2033"/>
        <v/>
      </c>
      <c r="IY192" s="312" t="str">
        <f t="shared" ref="IY192" si="2145">IFERROR(IF(ISBLANK(EC192), "", IF($I192="c", EC192*$I$5, EC192)),"-")</f>
        <v/>
      </c>
      <c r="IZ192" s="99" t="str">
        <f t="shared" si="2035"/>
        <v/>
      </c>
      <c r="JA192" s="99" t="str">
        <f t="shared" si="2036"/>
        <v/>
      </c>
      <c r="JB192" s="99" t="str">
        <f t="shared" si="2037"/>
        <v/>
      </c>
      <c r="JC192" s="99" t="str">
        <f t="shared" si="2038"/>
        <v/>
      </c>
      <c r="JD192" s="313" t="str">
        <f t="shared" si="2039"/>
        <v/>
      </c>
      <c r="JF192" s="66">
        <f t="shared" ref="JF192" si="2146">ROW(F192)</f>
        <v>192</v>
      </c>
      <c r="JG192" s="66">
        <f t="shared" ref="JG192" ca="1" si="2147">SUM(INDIRECT(VLOOKUP($JH$4,XPEERCOLUMNS,2,0) &amp; JF192 &amp; ":" &amp; VLOOKUP($JH$4,XPEERCOLUMNS,2,0) &amp; JF192))</f>
        <v>0</v>
      </c>
      <c r="JH192" s="66">
        <f t="shared" ref="JH192" ca="1" si="2148">SUM(INDIRECT(VLOOKUP($JH$4,XPEERCOLUMNS,3,0) &amp; JF192 &amp; ":" &amp; VLOOKUP($JH$4,XPEERCOLUMNS,3,0) &amp; JF192))</f>
        <v>0</v>
      </c>
      <c r="JI192" s="66">
        <f t="shared" ref="JI192" ca="1" si="2149">SUM(INDIRECT(VLOOKUP($JH$4,XPEERCOLUMNS,4,0) &amp; JF192 &amp; ":" &amp; VLOOKUP($JH$4,XPEERCOLUMNS,4,0) &amp; JF192))</f>
        <v>0</v>
      </c>
      <c r="JJ192" s="66">
        <f t="shared" ref="JJ192" ca="1" si="2150">SUM(INDIRECT(VLOOKUP($JH$4,XPEERCOLUMNS,5,0) &amp; JF192 &amp; ":" &amp; VLOOKUP($JH$4,XPEERCOLUMNS,5,0) &amp; JF192))</f>
        <v>0</v>
      </c>
      <c r="JK192" s="33"/>
      <c r="JL192" s="74" t="str">
        <f t="shared" ref="JL192" ca="1" si="2151">IF(JG192=0,"-",JG192)</f>
        <v>-</v>
      </c>
      <c r="JM192" s="75">
        <f t="shared" ref="JM192" ca="1" si="2152">IF(G192="Smaller better",JG192-((JG192-JH192)*0.5),JG192+((JH192-JG192)*0.5))</f>
        <v>0</v>
      </c>
      <c r="JN192" s="75">
        <f t="shared" ref="JN192" ca="1" si="2153">IF(G192="Smaller better",JH192-((JH192-JI192)*0.5),JH192+((JI192-JH192)*0.5))</f>
        <v>0</v>
      </c>
      <c r="JO192" s="74" t="str">
        <f t="shared" ref="JO192" ca="1" si="2154">IF(JI192=0,"-",JI192)</f>
        <v>-</v>
      </c>
      <c r="JP192" s="74">
        <f t="shared" ref="JP192" ca="1" si="2155">SUM(JL192:JO192)</f>
        <v>0</v>
      </c>
    </row>
    <row r="193" spans="111:264" x14ac:dyDescent="0.35">
      <c r="DG193" s="28"/>
    </row>
    <row r="194" spans="111:264" s="267" customFormat="1" hidden="1" x14ac:dyDescent="0.35">
      <c r="EJ194" s="268">
        <f>COUNTIF(EJ7:EJ191,"&gt;0")</f>
        <v>55</v>
      </c>
      <c r="EK194" s="268">
        <f t="shared" ref="EK194:GV194" si="2156">COUNTIF(EK7:EK191,"&gt;0")</f>
        <v>54</v>
      </c>
      <c r="EL194" s="268">
        <f t="shared" si="2156"/>
        <v>47</v>
      </c>
      <c r="EM194" s="268">
        <f t="shared" si="2156"/>
        <v>43</v>
      </c>
      <c r="EN194" s="268">
        <f t="shared" si="2156"/>
        <v>0</v>
      </c>
      <c r="EO194" s="268">
        <f t="shared" si="2156"/>
        <v>0</v>
      </c>
      <c r="EP194" s="268">
        <f t="shared" si="2156"/>
        <v>0</v>
      </c>
      <c r="EQ194" s="268">
        <f t="shared" si="2156"/>
        <v>0</v>
      </c>
      <c r="ER194" s="268">
        <f t="shared" si="2156"/>
        <v>0</v>
      </c>
      <c r="ES194" s="268">
        <f t="shared" si="2156"/>
        <v>0</v>
      </c>
      <c r="ET194" s="268">
        <f t="shared" si="2156"/>
        <v>0</v>
      </c>
      <c r="EU194" s="268">
        <f t="shared" si="2156"/>
        <v>0</v>
      </c>
      <c r="EV194" s="268">
        <f t="shared" si="2156"/>
        <v>0</v>
      </c>
      <c r="EW194" s="268">
        <f t="shared" si="2156"/>
        <v>0</v>
      </c>
      <c r="EX194" s="268">
        <f t="shared" si="2156"/>
        <v>0</v>
      </c>
      <c r="EY194" s="268">
        <f t="shared" si="2156"/>
        <v>0</v>
      </c>
      <c r="EZ194" s="268">
        <f t="shared" si="2156"/>
        <v>0</v>
      </c>
      <c r="FA194" s="268">
        <f t="shared" si="2156"/>
        <v>0</v>
      </c>
      <c r="FB194" s="268">
        <f t="shared" si="2156"/>
        <v>0</v>
      </c>
      <c r="FC194" s="268">
        <f t="shared" si="2156"/>
        <v>0</v>
      </c>
      <c r="FD194" s="268">
        <f t="shared" si="2156"/>
        <v>0</v>
      </c>
      <c r="FE194" s="268">
        <f t="shared" si="2156"/>
        <v>0</v>
      </c>
      <c r="FF194" s="268">
        <f t="shared" si="2156"/>
        <v>0</v>
      </c>
      <c r="FG194" s="268">
        <f t="shared" si="2156"/>
        <v>0</v>
      </c>
      <c r="FH194" s="268">
        <f t="shared" si="2156"/>
        <v>0</v>
      </c>
      <c r="FI194" s="268">
        <f t="shared" si="2156"/>
        <v>0</v>
      </c>
      <c r="FJ194" s="268">
        <f t="shared" si="2156"/>
        <v>0</v>
      </c>
      <c r="FK194" s="268">
        <f t="shared" si="2156"/>
        <v>0</v>
      </c>
      <c r="FL194" s="268">
        <f t="shared" si="2156"/>
        <v>0</v>
      </c>
      <c r="FM194" s="268">
        <f t="shared" si="2156"/>
        <v>0</v>
      </c>
      <c r="FN194" s="268">
        <f t="shared" si="2156"/>
        <v>0</v>
      </c>
      <c r="FO194" s="268">
        <f t="shared" si="2156"/>
        <v>0</v>
      </c>
      <c r="FP194" s="268">
        <f t="shared" si="2156"/>
        <v>0</v>
      </c>
      <c r="FQ194" s="268">
        <f t="shared" si="2156"/>
        <v>0</v>
      </c>
      <c r="FR194" s="268">
        <f t="shared" si="2156"/>
        <v>0</v>
      </c>
      <c r="FS194" s="268">
        <f t="shared" si="2156"/>
        <v>0</v>
      </c>
      <c r="FT194" s="268">
        <f t="shared" si="2156"/>
        <v>0</v>
      </c>
      <c r="FU194" s="268">
        <f t="shared" si="2156"/>
        <v>0</v>
      </c>
      <c r="FV194" s="268">
        <f t="shared" si="2156"/>
        <v>0</v>
      </c>
      <c r="FW194" s="268">
        <f t="shared" si="2156"/>
        <v>0</v>
      </c>
      <c r="FX194" s="268">
        <f t="shared" si="2156"/>
        <v>0</v>
      </c>
      <c r="FY194" s="268">
        <f t="shared" si="2156"/>
        <v>0</v>
      </c>
      <c r="FZ194" s="268">
        <f t="shared" si="2156"/>
        <v>0</v>
      </c>
      <c r="GA194" s="268">
        <f t="shared" si="2156"/>
        <v>0</v>
      </c>
      <c r="GB194" s="268">
        <f t="shared" si="2156"/>
        <v>0</v>
      </c>
      <c r="GC194" s="268">
        <f t="shared" si="2156"/>
        <v>0</v>
      </c>
      <c r="GD194" s="268">
        <f t="shared" si="2156"/>
        <v>0</v>
      </c>
      <c r="GE194" s="268">
        <f t="shared" si="2156"/>
        <v>0</v>
      </c>
      <c r="GF194" s="268">
        <f t="shared" si="2156"/>
        <v>0</v>
      </c>
      <c r="GG194" s="268">
        <f t="shared" si="2156"/>
        <v>0</v>
      </c>
      <c r="GH194" s="268">
        <f t="shared" si="2156"/>
        <v>0</v>
      </c>
      <c r="GI194" s="268">
        <f t="shared" si="2156"/>
        <v>0</v>
      </c>
      <c r="GJ194" s="268">
        <f t="shared" si="2156"/>
        <v>0</v>
      </c>
      <c r="GK194" s="268">
        <f t="shared" si="2156"/>
        <v>0</v>
      </c>
      <c r="GL194" s="268">
        <f t="shared" si="2156"/>
        <v>0</v>
      </c>
      <c r="GM194" s="268">
        <f t="shared" si="2156"/>
        <v>0</v>
      </c>
      <c r="GN194" s="268">
        <f t="shared" si="2156"/>
        <v>0</v>
      </c>
      <c r="GO194" s="268">
        <f t="shared" si="2156"/>
        <v>0</v>
      </c>
      <c r="GP194" s="268">
        <f t="shared" si="2156"/>
        <v>0</v>
      </c>
      <c r="GQ194" s="268">
        <f t="shared" si="2156"/>
        <v>0</v>
      </c>
      <c r="GR194" s="268">
        <f t="shared" si="2156"/>
        <v>0</v>
      </c>
      <c r="GS194" s="268">
        <f t="shared" si="2156"/>
        <v>0</v>
      </c>
      <c r="GT194" s="268">
        <f t="shared" si="2156"/>
        <v>0</v>
      </c>
      <c r="GU194" s="268">
        <f t="shared" si="2156"/>
        <v>0</v>
      </c>
      <c r="GV194" s="268">
        <f t="shared" si="2156"/>
        <v>0</v>
      </c>
      <c r="GW194" s="268">
        <f t="shared" ref="GW194:IF194" si="2157">COUNTIF(GW7:GW191,"&gt;0")</f>
        <v>0</v>
      </c>
      <c r="GX194" s="268">
        <f t="shared" si="2157"/>
        <v>0</v>
      </c>
      <c r="GY194" s="268">
        <f t="shared" si="2157"/>
        <v>0</v>
      </c>
      <c r="GZ194" s="268">
        <f t="shared" si="2157"/>
        <v>0</v>
      </c>
      <c r="HA194" s="268">
        <f t="shared" si="2157"/>
        <v>0</v>
      </c>
      <c r="HB194" s="268">
        <f t="shared" si="2157"/>
        <v>0</v>
      </c>
      <c r="HC194" s="268">
        <f t="shared" si="2157"/>
        <v>0</v>
      </c>
      <c r="HD194" s="268">
        <f t="shared" si="2157"/>
        <v>0</v>
      </c>
      <c r="HE194" s="268">
        <f t="shared" si="2157"/>
        <v>0</v>
      </c>
      <c r="HF194" s="268">
        <f t="shared" si="2157"/>
        <v>0</v>
      </c>
      <c r="HG194" s="268">
        <f t="shared" si="2157"/>
        <v>0</v>
      </c>
      <c r="HH194" s="268">
        <f t="shared" si="2157"/>
        <v>0</v>
      </c>
      <c r="HI194" s="268">
        <f t="shared" si="2157"/>
        <v>0</v>
      </c>
      <c r="HJ194" s="268">
        <f t="shared" si="2157"/>
        <v>0</v>
      </c>
      <c r="HK194" s="268">
        <f t="shared" si="2157"/>
        <v>0</v>
      </c>
      <c r="HL194" s="268">
        <f t="shared" si="2157"/>
        <v>0</v>
      </c>
      <c r="HM194" s="268">
        <f t="shared" si="2157"/>
        <v>0</v>
      </c>
      <c r="HN194" s="268">
        <f t="shared" si="2157"/>
        <v>0</v>
      </c>
      <c r="HO194" s="268">
        <f t="shared" si="2157"/>
        <v>0</v>
      </c>
      <c r="HP194" s="268">
        <f t="shared" si="2157"/>
        <v>0</v>
      </c>
      <c r="HQ194" s="268">
        <f t="shared" si="2157"/>
        <v>0</v>
      </c>
      <c r="HR194" s="268">
        <f t="shared" si="2157"/>
        <v>0</v>
      </c>
      <c r="HS194" s="268">
        <f t="shared" si="2157"/>
        <v>0</v>
      </c>
      <c r="HT194" s="268">
        <f t="shared" si="2157"/>
        <v>0</v>
      </c>
      <c r="HU194" s="268">
        <f t="shared" si="2157"/>
        <v>0</v>
      </c>
      <c r="HV194" s="268">
        <f t="shared" si="2157"/>
        <v>0</v>
      </c>
      <c r="HW194" s="268">
        <f t="shared" si="2157"/>
        <v>0</v>
      </c>
      <c r="HX194" s="268">
        <f t="shared" si="2157"/>
        <v>0</v>
      </c>
      <c r="HY194" s="268">
        <f t="shared" si="2157"/>
        <v>0</v>
      </c>
      <c r="HZ194" s="268">
        <f t="shared" si="2157"/>
        <v>0</v>
      </c>
      <c r="IA194" s="268">
        <f t="shared" si="2157"/>
        <v>0</v>
      </c>
      <c r="IB194" s="268">
        <f t="shared" si="2157"/>
        <v>0</v>
      </c>
      <c r="IC194" s="268">
        <f t="shared" si="2157"/>
        <v>0</v>
      </c>
      <c r="ID194" s="268">
        <f t="shared" si="2157"/>
        <v>0</v>
      </c>
      <c r="IE194" s="268">
        <f t="shared" si="2157"/>
        <v>0</v>
      </c>
      <c r="IF194" s="268">
        <f t="shared" si="2157"/>
        <v>0</v>
      </c>
      <c r="IG194" s="332">
        <f>IF(Instructions!E$10="No",0,COUNTIF(IG7:IG191,"&gt;0"))</f>
        <v>0</v>
      </c>
      <c r="IH194" s="288">
        <f>IF(Instructions!F$10="No",0,COUNTIF(IH7:IH191,"&gt;0"))</f>
        <v>0</v>
      </c>
      <c r="II194" s="288">
        <f>IF(Instructions!G$10="No",0,COUNTIF(II7:II191,"&gt;0"))</f>
        <v>55</v>
      </c>
      <c r="IJ194" s="288">
        <f>IF(Instructions!H$10="No",0,COUNTIF(IJ7:IJ191,"&gt;0"))</f>
        <v>55</v>
      </c>
      <c r="IK194" s="288">
        <f>IF(Instructions!I$10="No",0,COUNTIF(IK7:IK191,"&gt;0"))</f>
        <v>55</v>
      </c>
      <c r="IL194" s="288">
        <f>IF(Instructions!J$10="No",0,COUNTIF(IL7:IL191,"&gt;0"))</f>
        <v>0</v>
      </c>
      <c r="IM194" s="332">
        <f>IF(Instructions!K$10="No",0,COUNTIF(IM7:IM191,"&gt;0"))</f>
        <v>0</v>
      </c>
      <c r="IN194" s="288">
        <f>IF(Instructions!L$10="No",0,COUNTIF(IN7:IN191,"&gt;0"))</f>
        <v>0</v>
      </c>
      <c r="IO194" s="288">
        <f>IF(Instructions!M$10="No",0,COUNTIF(IO7:IO191,"&gt;0"))</f>
        <v>0</v>
      </c>
      <c r="IP194" s="288">
        <f>IF(Instructions!N$10="No",0,COUNTIF(IP7:IP191,"&gt;0"))</f>
        <v>0</v>
      </c>
      <c r="IQ194" s="288">
        <f>IF(Instructions!O$10="No",0,COUNTIF(IQ7:IQ191,"&gt;0"))</f>
        <v>0</v>
      </c>
      <c r="IR194" s="288">
        <f>IF(Instructions!P$10="No",0,COUNTIF(IR7:IR191,"&gt;0"))</f>
        <v>0</v>
      </c>
      <c r="IS194" s="332">
        <f>IF(Instructions!Q$10="No",0,COUNTIF(IS7:IS191,"&gt;0"))</f>
        <v>0</v>
      </c>
      <c r="IT194" s="288">
        <f>IF(Instructions!R$10="No",0,COUNTIF(IT7:IT191,"&gt;0"))</f>
        <v>0</v>
      </c>
      <c r="IU194" s="288">
        <f>IF(Instructions!S$10="No",0,COUNTIF(IU7:IU191,"&gt;0"))</f>
        <v>0</v>
      </c>
      <c r="IV194" s="288">
        <f>IF(Instructions!T$10="No",0,COUNTIF(IV7:IV191,"&gt;0"))</f>
        <v>0</v>
      </c>
      <c r="IW194" s="288">
        <f>IF(Instructions!U$10="No",0,COUNTIF(IW7:IW191,"&gt;0"))</f>
        <v>0</v>
      </c>
      <c r="IX194" s="288">
        <f>IF(Instructions!V$10="No",0,COUNTIF(IX7:IX191,"&gt;0"))</f>
        <v>0</v>
      </c>
      <c r="IY194" s="332">
        <f>IF(Instructions!W$10="No",0,COUNTIF(IY7:IY191,"&gt;0"))</f>
        <v>0</v>
      </c>
      <c r="IZ194" s="288">
        <f>IF(Instructions!X$10="No",0,COUNTIF(IZ7:IZ191,"&gt;0"))</f>
        <v>0</v>
      </c>
      <c r="JA194" s="288">
        <f>IF(Instructions!Y$10="No",0,COUNTIF(JA7:JA191,"&gt;0"))</f>
        <v>0</v>
      </c>
      <c r="JB194" s="288">
        <f>IF(Instructions!Z$10="No",0,COUNTIF(JB7:JB191,"&gt;0"))</f>
        <v>0</v>
      </c>
      <c r="JC194" s="288">
        <f>IF(Instructions!AA$10="No",0,COUNTIF(JC7:JC191,"&gt;0"))</f>
        <v>0</v>
      </c>
      <c r="JD194" s="333">
        <f>IF(Instructions!AB$10="No",0,COUNTIF(JD7:JD191,"&gt;0"))</f>
        <v>0</v>
      </c>
    </row>
    <row r="195" spans="111:264" x14ac:dyDescent="0.35"/>
  </sheetData>
  <sheetProtection pivotTables="0"/>
  <autoFilter ref="EI6:EI191" xr:uid="{5D754E68-D9BE-445E-9A6C-D9C6FF651D67}"/>
  <mergeCells count="8">
    <mergeCell ref="EB4:EH4"/>
    <mergeCell ref="EB5:EH5"/>
    <mergeCell ref="DG4:DM4"/>
    <mergeCell ref="DG5:DM5"/>
    <mergeCell ref="DN4:DT4"/>
    <mergeCell ref="DN5:DT5"/>
    <mergeCell ref="DU4:EA4"/>
    <mergeCell ref="DU5:EA5"/>
  </mergeCells>
  <conditionalFormatting sqref="F2">
    <cfRule type="expression" dxfId="1732" priority="3777">
      <formula>IF(AND($E$2="c",$G$2="$"),TRUE,FALSE)</formula>
    </cfRule>
  </conditionalFormatting>
  <conditionalFormatting sqref="EJ8:IF8 EJ64:IF71 EJ17:IF17 EJ73:IF76 EJ78:IF88">
    <cfRule type="expression" priority="2302" stopIfTrue="1">
      <formula>$JJ8&lt;4</formula>
    </cfRule>
    <cfRule type="expression" dxfId="1731" priority="2304">
      <formula>IF(AND($I8="c",$EJ$2="£"),TRUE,FALSE)</formula>
    </cfRule>
    <cfRule type="expression" dxfId="1730" priority="2305">
      <formula>IF(AND($I8="c",$EJ$2="€"),TRUE,FALSE)</formula>
    </cfRule>
    <cfRule type="expression" dxfId="1729" priority="2306">
      <formula>IF(AND($I8="c",$EJ$2="¥"),TRUE,FALSE)</formula>
    </cfRule>
    <cfRule type="expression" dxfId="1728" priority="2307">
      <formula>IF(AND($I8="c",$EJ$2="$"),TRUE,FALSE)</formula>
    </cfRule>
    <cfRule type="cellIs" dxfId="1727" priority="2308" operator="lessThan">
      <formula>$JL8</formula>
    </cfRule>
    <cfRule type="cellIs" dxfId="1726" priority="2309" operator="between">
      <formula>$JL8</formula>
      <formula>$JM8</formula>
    </cfRule>
    <cfRule type="cellIs" dxfId="1725" priority="2310" operator="between">
      <formula>$JM8</formula>
      <formula>$JN8</formula>
    </cfRule>
    <cfRule type="cellIs" dxfId="1724" priority="2311" operator="between">
      <formula>$JN8</formula>
      <formula>$JO8</formula>
    </cfRule>
    <cfRule type="cellIs" dxfId="1723" priority="2312" operator="greaterThanOrEqual">
      <formula>$JO8</formula>
    </cfRule>
  </conditionalFormatting>
  <conditionalFormatting sqref="EJ19:IF33 EJ45:IF52">
    <cfRule type="expression" priority="1939" stopIfTrue="1">
      <formula>$JJ19&lt;4</formula>
    </cfRule>
    <cfRule type="expression" dxfId="1722" priority="1941">
      <formula>IF(AND($I19="c",$EJ$2="£"),TRUE,FALSE)</formula>
    </cfRule>
    <cfRule type="expression" dxfId="1721" priority="1942">
      <formula>IF(AND($I19="c",$EJ$2="€"),TRUE,FALSE)</formula>
    </cfRule>
    <cfRule type="expression" dxfId="1720" priority="1943">
      <formula>IF(AND($I19="c",$EJ$2="¥"),TRUE,FALSE)</formula>
    </cfRule>
    <cfRule type="expression" dxfId="1719" priority="1944">
      <formula>IF(AND($I19="c",$EJ$2="$"),TRUE,FALSE)</formula>
    </cfRule>
    <cfRule type="cellIs" dxfId="1718" priority="1945" operator="greaterThan">
      <formula>$JL19</formula>
    </cfRule>
    <cfRule type="cellIs" dxfId="1717" priority="1946" operator="between">
      <formula>$JL19</formula>
      <formula>$JM19</formula>
    </cfRule>
    <cfRule type="cellIs" dxfId="1716" priority="1947" operator="between">
      <formula>$JM19</formula>
      <formula>$JN19</formula>
    </cfRule>
    <cfRule type="cellIs" dxfId="1715" priority="1948" operator="between">
      <formula>$JN19</formula>
      <formula>$JO19</formula>
    </cfRule>
    <cfRule type="cellIs" dxfId="1714" priority="1949" operator="lessThanOrEqual">
      <formula>$JO19</formula>
    </cfRule>
  </conditionalFormatting>
  <conditionalFormatting sqref="EJ17:IF17 EJ8:JD8 EJ64:JD71 EJ19:JD33 IG12:JD17 EJ35:JD60 EJ73:JD76 EJ78:JD88">
    <cfRule type="expression" dxfId="1713" priority="2303">
      <formula>IF(AND($I8="c",$EJ$2="kr"),TRUE,FALSE)</formula>
    </cfRule>
  </conditionalFormatting>
  <conditionalFormatting sqref="EJ9:IF9">
    <cfRule type="expression" priority="1685" stopIfTrue="1">
      <formula>$JJ9&lt;4</formula>
    </cfRule>
    <cfRule type="expression" dxfId="1712" priority="1687">
      <formula>IF(AND($I9="c",$EJ$2="£"),TRUE,FALSE)</formula>
    </cfRule>
    <cfRule type="expression" dxfId="1711" priority="1688">
      <formula>IF(AND($I9="c",$EJ$2="€"),TRUE,FALSE)</formula>
    </cfRule>
    <cfRule type="expression" dxfId="1710" priority="1689">
      <formula>IF(AND($I9="c",$EJ$2="¥"),TRUE,FALSE)</formula>
    </cfRule>
    <cfRule type="expression" dxfId="1709" priority="1690">
      <formula>IF(AND($I9="c",$EJ$2="$"),TRUE,FALSE)</formula>
    </cfRule>
    <cfRule type="cellIs" dxfId="1708" priority="1691" operator="lessThan">
      <formula>$JL9</formula>
    </cfRule>
    <cfRule type="cellIs" dxfId="1707" priority="1692" operator="between">
      <formula>$JL9</formula>
      <formula>$JM9</formula>
    </cfRule>
    <cfRule type="cellIs" dxfId="1706" priority="1693" operator="between">
      <formula>$JM9</formula>
      <formula>$JN9</formula>
    </cfRule>
    <cfRule type="cellIs" dxfId="1705" priority="1694" operator="between">
      <formula>$JN9</formula>
      <formula>$JO9</formula>
    </cfRule>
    <cfRule type="cellIs" dxfId="1704" priority="1695" operator="greaterThanOrEqual">
      <formula>$JO9</formula>
    </cfRule>
  </conditionalFormatting>
  <conditionalFormatting sqref="EJ9:JD9">
    <cfRule type="expression" dxfId="1703" priority="1686">
      <formula>IF(AND($I9="c",$EJ$2="kr"),TRUE,FALSE)</formula>
    </cfRule>
  </conditionalFormatting>
  <conditionalFormatting sqref="EJ10:IF10">
    <cfRule type="expression" priority="1673" stopIfTrue="1">
      <formula>$JJ10&lt;4</formula>
    </cfRule>
    <cfRule type="expression" dxfId="1702" priority="1675">
      <formula>IF(AND($I10="c",$EJ$2="£"),TRUE,FALSE)</formula>
    </cfRule>
    <cfRule type="expression" dxfId="1701" priority="1676">
      <formula>IF(AND($I10="c",$EJ$2="€"),TRUE,FALSE)</formula>
    </cfRule>
    <cfRule type="expression" dxfId="1700" priority="1677">
      <formula>IF(AND($I10="c",$EJ$2="¥"),TRUE,FALSE)</formula>
    </cfRule>
    <cfRule type="expression" dxfId="1699" priority="1678">
      <formula>IF(AND($I10="c",$EJ$2="$"),TRUE,FALSE)</formula>
    </cfRule>
    <cfRule type="cellIs" dxfId="1698" priority="1679" operator="lessThan">
      <formula>$JL10</formula>
    </cfRule>
    <cfRule type="cellIs" dxfId="1697" priority="1680" operator="between">
      <formula>$JL10</formula>
      <formula>$JM10</formula>
    </cfRule>
    <cfRule type="cellIs" dxfId="1696" priority="1681" operator="between">
      <formula>$JM10</formula>
      <formula>$JN10</formula>
    </cfRule>
    <cfRule type="cellIs" dxfId="1695" priority="1682" operator="between">
      <formula>$JN10</formula>
      <formula>$JO10</formula>
    </cfRule>
    <cfRule type="cellIs" dxfId="1694" priority="1683" operator="greaterThanOrEqual">
      <formula>$JO10</formula>
    </cfRule>
  </conditionalFormatting>
  <conditionalFormatting sqref="EJ10:JD10">
    <cfRule type="expression" dxfId="1693" priority="1674">
      <formula>IF(AND($I10="c",$EJ$2="kr"),TRUE,FALSE)</formula>
    </cfRule>
  </conditionalFormatting>
  <conditionalFormatting sqref="EJ12:IF12">
    <cfRule type="expression" priority="1661" stopIfTrue="1">
      <formula>$JJ12&lt;4</formula>
    </cfRule>
    <cfRule type="expression" dxfId="1692" priority="1663">
      <formula>IF(AND($I12="c",$EJ$2="£"),TRUE,FALSE)</formula>
    </cfRule>
    <cfRule type="expression" dxfId="1691" priority="1664">
      <formula>IF(AND($I12="c",$EJ$2="€"),TRUE,FALSE)</formula>
    </cfRule>
    <cfRule type="expression" dxfId="1690" priority="1665">
      <formula>IF(AND($I12="c",$EJ$2="¥"),TRUE,FALSE)</formula>
    </cfRule>
    <cfRule type="expression" dxfId="1689" priority="1666">
      <formula>IF(AND($I12="c",$EJ$2="$"),TRUE,FALSE)</formula>
    </cfRule>
    <cfRule type="cellIs" dxfId="1688" priority="1667" operator="lessThan">
      <formula>$JL12</formula>
    </cfRule>
    <cfRule type="cellIs" dxfId="1687" priority="1668" operator="between">
      <formula>$JL12</formula>
      <formula>$JM12</formula>
    </cfRule>
    <cfRule type="cellIs" dxfId="1686" priority="1669" operator="between">
      <formula>$JM12</formula>
      <formula>$JN12</formula>
    </cfRule>
    <cfRule type="cellIs" dxfId="1685" priority="1670" operator="between">
      <formula>$JN12</formula>
      <formula>$JO12</formula>
    </cfRule>
    <cfRule type="cellIs" dxfId="1684" priority="1671" operator="greaterThanOrEqual">
      <formula>$JO12</formula>
    </cfRule>
  </conditionalFormatting>
  <conditionalFormatting sqref="EJ12:IF12">
    <cfRule type="expression" dxfId="1683" priority="1662">
      <formula>IF(AND($I12="c",$EJ$2="kr"),TRUE,FALSE)</formula>
    </cfRule>
  </conditionalFormatting>
  <conditionalFormatting sqref="EJ13:IF13">
    <cfRule type="expression" priority="1649" stopIfTrue="1">
      <formula>$JJ13&lt;4</formula>
    </cfRule>
    <cfRule type="expression" dxfId="1682" priority="1651">
      <formula>IF(AND($I13="c",$EJ$2="£"),TRUE,FALSE)</formula>
    </cfRule>
    <cfRule type="expression" dxfId="1681" priority="1652">
      <formula>IF(AND($I13="c",$EJ$2="€"),TRUE,FALSE)</formula>
    </cfRule>
    <cfRule type="expression" dxfId="1680" priority="1653">
      <formula>IF(AND($I13="c",$EJ$2="¥"),TRUE,FALSE)</formula>
    </cfRule>
    <cfRule type="expression" dxfId="1679" priority="1654">
      <formula>IF(AND($I13="c",$EJ$2="$"),TRUE,FALSE)</formula>
    </cfRule>
    <cfRule type="cellIs" dxfId="1678" priority="1655" operator="lessThan">
      <formula>$JL13</formula>
    </cfRule>
    <cfRule type="cellIs" dxfId="1677" priority="1656" operator="between">
      <formula>$JL13</formula>
      <formula>$JM13</formula>
    </cfRule>
    <cfRule type="cellIs" dxfId="1676" priority="1657" operator="between">
      <formula>$JM13</formula>
      <formula>$JN13</formula>
    </cfRule>
    <cfRule type="cellIs" dxfId="1675" priority="1658" operator="between">
      <formula>$JN13</formula>
      <formula>$JO13</formula>
    </cfRule>
    <cfRule type="cellIs" dxfId="1674" priority="1659" operator="greaterThanOrEqual">
      <formula>$JO13</formula>
    </cfRule>
  </conditionalFormatting>
  <conditionalFormatting sqref="EJ13:IF13">
    <cfRule type="expression" dxfId="1673" priority="1650">
      <formula>IF(AND($I13="c",$EJ$2="kr"),TRUE,FALSE)</formula>
    </cfRule>
  </conditionalFormatting>
  <conditionalFormatting sqref="EJ14:IF14">
    <cfRule type="expression" priority="1637" stopIfTrue="1">
      <formula>$JJ14&lt;4</formula>
    </cfRule>
    <cfRule type="expression" dxfId="1672" priority="1639">
      <formula>IF(AND($I14="c",$EJ$2="£"),TRUE,FALSE)</formula>
    </cfRule>
    <cfRule type="expression" dxfId="1671" priority="1640">
      <formula>IF(AND($I14="c",$EJ$2="€"),TRUE,FALSE)</formula>
    </cfRule>
    <cfRule type="expression" dxfId="1670" priority="1641">
      <formula>IF(AND($I14="c",$EJ$2="¥"),TRUE,FALSE)</formula>
    </cfRule>
    <cfRule type="expression" dxfId="1669" priority="1642">
      <formula>IF(AND($I14="c",$EJ$2="$"),TRUE,FALSE)</formula>
    </cfRule>
    <cfRule type="cellIs" dxfId="1668" priority="1643" operator="lessThan">
      <formula>$JL14</formula>
    </cfRule>
    <cfRule type="cellIs" dxfId="1667" priority="1644" operator="between">
      <formula>$JL14</formula>
      <formula>$JM14</formula>
    </cfRule>
    <cfRule type="cellIs" dxfId="1666" priority="1645" operator="between">
      <formula>$JM14</formula>
      <formula>$JN14</formula>
    </cfRule>
    <cfRule type="cellIs" dxfId="1665" priority="1646" operator="between">
      <formula>$JN14</formula>
      <formula>$JO14</formula>
    </cfRule>
    <cfRule type="cellIs" dxfId="1664" priority="1647" operator="greaterThanOrEqual">
      <formula>$JO14</formula>
    </cfRule>
  </conditionalFormatting>
  <conditionalFormatting sqref="EJ14:IF14">
    <cfRule type="expression" dxfId="1663" priority="1638">
      <formula>IF(AND($I14="c",$EJ$2="kr"),TRUE,FALSE)</formula>
    </cfRule>
  </conditionalFormatting>
  <conditionalFormatting sqref="EJ15:IF15">
    <cfRule type="expression" priority="1625" stopIfTrue="1">
      <formula>$JJ15&lt;4</formula>
    </cfRule>
    <cfRule type="expression" dxfId="1662" priority="1627">
      <formula>IF(AND($I15="c",$EJ$2="£"),TRUE,FALSE)</formula>
    </cfRule>
    <cfRule type="expression" dxfId="1661" priority="1628">
      <formula>IF(AND($I15="c",$EJ$2="€"),TRUE,FALSE)</formula>
    </cfRule>
    <cfRule type="expression" dxfId="1660" priority="1629">
      <formula>IF(AND($I15="c",$EJ$2="¥"),TRUE,FALSE)</formula>
    </cfRule>
    <cfRule type="expression" dxfId="1659" priority="1630">
      <formula>IF(AND($I15="c",$EJ$2="$"),TRUE,FALSE)</formula>
    </cfRule>
    <cfRule type="cellIs" dxfId="1658" priority="1631" operator="lessThan">
      <formula>$JL15</formula>
    </cfRule>
    <cfRule type="cellIs" dxfId="1657" priority="1632" operator="between">
      <formula>$JL15</formula>
      <formula>$JM15</formula>
    </cfRule>
    <cfRule type="cellIs" dxfId="1656" priority="1633" operator="between">
      <formula>$JM15</formula>
      <formula>$JN15</formula>
    </cfRule>
    <cfRule type="cellIs" dxfId="1655" priority="1634" operator="between">
      <formula>$JN15</formula>
      <formula>$JO15</formula>
    </cfRule>
    <cfRule type="cellIs" dxfId="1654" priority="1635" operator="greaterThanOrEqual">
      <formula>$JO15</formula>
    </cfRule>
  </conditionalFormatting>
  <conditionalFormatting sqref="EJ15:IF15">
    <cfRule type="expression" dxfId="1653" priority="1626">
      <formula>IF(AND($I15="c",$EJ$2="kr"),TRUE,FALSE)</formula>
    </cfRule>
  </conditionalFormatting>
  <conditionalFormatting sqref="EJ16:IF16">
    <cfRule type="expression" priority="1613" stopIfTrue="1">
      <formula>$JJ16&lt;4</formula>
    </cfRule>
    <cfRule type="expression" dxfId="1652" priority="1615">
      <formula>IF(AND($I16="c",$EJ$2="£"),TRUE,FALSE)</formula>
    </cfRule>
    <cfRule type="expression" dxfId="1651" priority="1616">
      <formula>IF(AND($I16="c",$EJ$2="€"),TRUE,FALSE)</formula>
    </cfRule>
    <cfRule type="expression" dxfId="1650" priority="1617">
      <formula>IF(AND($I16="c",$EJ$2="¥"),TRUE,FALSE)</formula>
    </cfRule>
    <cfRule type="expression" dxfId="1649" priority="1618">
      <formula>IF(AND($I16="c",$EJ$2="$"),TRUE,FALSE)</formula>
    </cfRule>
    <cfRule type="cellIs" dxfId="1648" priority="1619" operator="lessThan">
      <formula>$JL16</formula>
    </cfRule>
    <cfRule type="cellIs" dxfId="1647" priority="1620" operator="between">
      <formula>$JL16</formula>
      <formula>$JM16</formula>
    </cfRule>
    <cfRule type="cellIs" dxfId="1646" priority="1621" operator="between">
      <formula>$JM16</formula>
      <formula>$JN16</formula>
    </cfRule>
    <cfRule type="cellIs" dxfId="1645" priority="1622" operator="between">
      <formula>$JN16</formula>
      <formula>$JO16</formula>
    </cfRule>
    <cfRule type="cellIs" dxfId="1644" priority="1623" operator="greaterThanOrEqual">
      <formula>$JO16</formula>
    </cfRule>
  </conditionalFormatting>
  <conditionalFormatting sqref="EJ16:IF16">
    <cfRule type="expression" dxfId="1643" priority="1614">
      <formula>IF(AND($I16="c",$EJ$2="kr"),TRUE,FALSE)</formula>
    </cfRule>
  </conditionalFormatting>
  <conditionalFormatting sqref="EJ35:IF44 EJ53:IF60 IG86:JD88 IG12:JD17 IG26:JD33">
    <cfRule type="expression" priority="1408" stopIfTrue="1">
      <formula>$JJ12&lt;4</formula>
    </cfRule>
    <cfRule type="expression" dxfId="1642" priority="1410">
      <formula>IF(AND($I12="c",$EJ$2="£"),TRUE,FALSE)</formula>
    </cfRule>
    <cfRule type="expression" dxfId="1641" priority="1411">
      <formula>IF(AND($I12="c",$EJ$2="€"),TRUE,FALSE)</formula>
    </cfRule>
    <cfRule type="expression" dxfId="1640" priority="1412">
      <formula>IF(AND($I12="c",$EJ$2="¥"),TRUE,FALSE)</formula>
    </cfRule>
    <cfRule type="expression" dxfId="1639" priority="1413">
      <formula>IF(AND($I12="c",$EJ$2="$"),TRUE,FALSE)</formula>
    </cfRule>
  </conditionalFormatting>
  <conditionalFormatting sqref="IG8:JD8">
    <cfRule type="expression" priority="894" stopIfTrue="1">
      <formula>$JJ8&lt;4</formula>
    </cfRule>
    <cfRule type="expression" dxfId="1638" priority="895">
      <formula>IF(AND($I8="c",$EJ$2="£"),TRUE,FALSE)</formula>
    </cfRule>
    <cfRule type="expression" dxfId="1637" priority="896">
      <formula>IF(AND($I8="c",$EJ$2="€"),TRUE,FALSE)</formula>
    </cfRule>
    <cfRule type="expression" dxfId="1636" priority="897">
      <formula>IF(AND($I8="c",$EJ$2="¥"),TRUE,FALSE)</formula>
    </cfRule>
    <cfRule type="expression" dxfId="1635" priority="898">
      <formula>IF(AND($I8="c",$EJ$2="$"),TRUE,FALSE)</formula>
    </cfRule>
  </conditionalFormatting>
  <conditionalFormatting sqref="EJ109:IF109">
    <cfRule type="expression" priority="674" stopIfTrue="1">
      <formula>$JJ109&lt;4</formula>
    </cfRule>
    <cfRule type="expression" dxfId="1634" priority="676">
      <formula>IF(AND($I109="c",$EJ$2="£"),TRUE,FALSE)</formula>
    </cfRule>
    <cfRule type="expression" dxfId="1633" priority="677">
      <formula>IF(AND($I109="c",$EJ$2="€"),TRUE,FALSE)</formula>
    </cfRule>
    <cfRule type="expression" dxfId="1632" priority="678">
      <formula>IF(AND($I109="c",$EJ$2="¥"),TRUE,FALSE)</formula>
    </cfRule>
    <cfRule type="expression" dxfId="1631" priority="679">
      <formula>IF(AND($I109="c",$EJ$2="$"),TRUE,FALSE)</formula>
    </cfRule>
    <cfRule type="cellIs" dxfId="1630" priority="680" operator="lessThan">
      <formula>$JL109</formula>
    </cfRule>
    <cfRule type="cellIs" dxfId="1629" priority="681" operator="between">
      <formula>$JL109</formula>
      <formula>$JM109</formula>
    </cfRule>
    <cfRule type="cellIs" dxfId="1628" priority="682" operator="between">
      <formula>$JM109</formula>
      <formula>$JN109</formula>
    </cfRule>
    <cfRule type="cellIs" dxfId="1627" priority="683" operator="between">
      <formula>$JN109</formula>
      <formula>$JO109</formula>
    </cfRule>
    <cfRule type="cellIs" dxfId="1626" priority="684" operator="greaterThanOrEqual">
      <formula>$JO109</formula>
    </cfRule>
  </conditionalFormatting>
  <conditionalFormatting sqref="EJ109:JD109">
    <cfRule type="expression" dxfId="1625" priority="675">
      <formula>IF(AND($I109="c",$EJ$2="kr"),TRUE,FALSE)</formula>
    </cfRule>
  </conditionalFormatting>
  <conditionalFormatting sqref="IG109:JD109">
    <cfRule type="expression" priority="668" stopIfTrue="1">
      <formula>$JJ109&lt;4</formula>
    </cfRule>
    <cfRule type="expression" dxfId="1624" priority="669">
      <formula>IF(AND($I109="c",$EJ$2="£"),TRUE,FALSE)</formula>
    </cfRule>
    <cfRule type="expression" dxfId="1623" priority="670">
      <formula>IF(AND($I109="c",$EJ$2="€"),TRUE,FALSE)</formula>
    </cfRule>
    <cfRule type="expression" dxfId="1622" priority="671">
      <formula>IF(AND($I109="c",$EJ$2="¥"),TRUE,FALSE)</formula>
    </cfRule>
    <cfRule type="expression" dxfId="1621" priority="672">
      <formula>IF(AND($I109="c",$EJ$2="$"),TRUE,FALSE)</formula>
    </cfRule>
  </conditionalFormatting>
  <conditionalFormatting sqref="EJ110:IF110">
    <cfRule type="expression" priority="657" stopIfTrue="1">
      <formula>$JJ110&lt;4</formula>
    </cfRule>
    <cfRule type="expression" dxfId="1620" priority="659">
      <formula>IF(AND($I110="c",$EJ$2="£"),TRUE,FALSE)</formula>
    </cfRule>
    <cfRule type="expression" dxfId="1619" priority="660">
      <formula>IF(AND($I110="c",$EJ$2="€"),TRUE,FALSE)</formula>
    </cfRule>
    <cfRule type="expression" dxfId="1618" priority="661">
      <formula>IF(AND($I110="c",$EJ$2="¥"),TRUE,FALSE)</formula>
    </cfRule>
    <cfRule type="expression" dxfId="1617" priority="662">
      <formula>IF(AND($I110="c",$EJ$2="$"),TRUE,FALSE)</formula>
    </cfRule>
    <cfRule type="cellIs" dxfId="1616" priority="663" operator="lessThan">
      <formula>$JL110</formula>
    </cfRule>
    <cfRule type="cellIs" dxfId="1615" priority="664" operator="between">
      <formula>$JL110</formula>
      <formula>$JM110</formula>
    </cfRule>
    <cfRule type="cellIs" dxfId="1614" priority="665" operator="between">
      <formula>$JM110</formula>
      <formula>$JN110</formula>
    </cfRule>
    <cfRule type="cellIs" dxfId="1613" priority="666" operator="between">
      <formula>$JN110</formula>
      <formula>$JO110</formula>
    </cfRule>
    <cfRule type="cellIs" dxfId="1612" priority="667" operator="greaterThanOrEqual">
      <formula>$JO110</formula>
    </cfRule>
  </conditionalFormatting>
  <conditionalFormatting sqref="EJ110:JD110">
    <cfRule type="expression" dxfId="1611" priority="658">
      <formula>IF(AND($I110="c",$EJ$2="kr"),TRUE,FALSE)</formula>
    </cfRule>
  </conditionalFormatting>
  <conditionalFormatting sqref="IG110:JD110">
    <cfRule type="expression" priority="651" stopIfTrue="1">
      <formula>$JJ110&lt;4</formula>
    </cfRule>
    <cfRule type="expression" dxfId="1610" priority="652">
      <formula>IF(AND($I110="c",$EJ$2="£"),TRUE,FALSE)</formula>
    </cfRule>
    <cfRule type="expression" dxfId="1609" priority="653">
      <formula>IF(AND($I110="c",$EJ$2="€"),TRUE,FALSE)</formula>
    </cfRule>
    <cfRule type="expression" dxfId="1608" priority="654">
      <formula>IF(AND($I110="c",$EJ$2="¥"),TRUE,FALSE)</formula>
    </cfRule>
    <cfRule type="expression" dxfId="1607" priority="655">
      <formula>IF(AND($I110="c",$EJ$2="$"),TRUE,FALSE)</formula>
    </cfRule>
  </conditionalFormatting>
  <conditionalFormatting sqref="EJ137:IF137">
    <cfRule type="expression" priority="640" stopIfTrue="1">
      <formula>$JJ137&lt;4</formula>
    </cfRule>
    <cfRule type="expression" dxfId="1606" priority="642">
      <formula>IF(AND($I137="c",$EJ$2="£"),TRUE,FALSE)</formula>
    </cfRule>
    <cfRule type="expression" dxfId="1605" priority="643">
      <formula>IF(AND($I137="c",$EJ$2="€"),TRUE,FALSE)</formula>
    </cfRule>
    <cfRule type="expression" dxfId="1604" priority="644">
      <formula>IF(AND($I137="c",$EJ$2="¥"),TRUE,FALSE)</formula>
    </cfRule>
    <cfRule type="expression" dxfId="1603" priority="645">
      <formula>IF(AND($I137="c",$EJ$2="$"),TRUE,FALSE)</formula>
    </cfRule>
    <cfRule type="cellIs" dxfId="1602" priority="646" operator="lessThan">
      <formula>$JL137</formula>
    </cfRule>
    <cfRule type="cellIs" dxfId="1601" priority="647" operator="between">
      <formula>$JL137</formula>
      <formula>$JM137</formula>
    </cfRule>
    <cfRule type="cellIs" dxfId="1600" priority="648" operator="between">
      <formula>$JM137</formula>
      <formula>$JN137</formula>
    </cfRule>
    <cfRule type="cellIs" dxfId="1599" priority="649" operator="between">
      <formula>$JN137</formula>
      <formula>$JO137</formula>
    </cfRule>
    <cfRule type="cellIs" dxfId="1598" priority="650" operator="greaterThanOrEqual">
      <formula>$JO137</formula>
    </cfRule>
  </conditionalFormatting>
  <conditionalFormatting sqref="EJ137:JD137">
    <cfRule type="expression" dxfId="1597" priority="641">
      <formula>IF(AND($I137="c",$EJ$2="kr"),TRUE,FALSE)</formula>
    </cfRule>
  </conditionalFormatting>
  <conditionalFormatting sqref="IG137:JD137">
    <cfRule type="expression" priority="634" stopIfTrue="1">
      <formula>$JJ137&lt;4</formula>
    </cfRule>
    <cfRule type="expression" dxfId="1596" priority="635">
      <formula>IF(AND($I137="c",$EJ$2="£"),TRUE,FALSE)</formula>
    </cfRule>
    <cfRule type="expression" dxfId="1595" priority="636">
      <formula>IF(AND($I137="c",$EJ$2="€"),TRUE,FALSE)</formula>
    </cfRule>
    <cfRule type="expression" dxfId="1594" priority="637">
      <formula>IF(AND($I137="c",$EJ$2="¥"),TRUE,FALSE)</formula>
    </cfRule>
    <cfRule type="expression" dxfId="1593" priority="638">
      <formula>IF(AND($I137="c",$EJ$2="$"),TRUE,FALSE)</formula>
    </cfRule>
  </conditionalFormatting>
  <conditionalFormatting sqref="EJ138:IF138">
    <cfRule type="expression" priority="623" stopIfTrue="1">
      <formula>$JJ138&lt;4</formula>
    </cfRule>
    <cfRule type="expression" dxfId="1592" priority="625">
      <formula>IF(AND($I138="c",$EJ$2="£"),TRUE,FALSE)</formula>
    </cfRule>
    <cfRule type="expression" dxfId="1591" priority="626">
      <formula>IF(AND($I138="c",$EJ$2="€"),TRUE,FALSE)</formula>
    </cfRule>
    <cfRule type="expression" dxfId="1590" priority="627">
      <formula>IF(AND($I138="c",$EJ$2="¥"),TRUE,FALSE)</formula>
    </cfRule>
    <cfRule type="expression" dxfId="1589" priority="628">
      <formula>IF(AND($I138="c",$EJ$2="$"),TRUE,FALSE)</formula>
    </cfRule>
    <cfRule type="cellIs" dxfId="1588" priority="629" operator="lessThan">
      <formula>$JL138</formula>
    </cfRule>
    <cfRule type="cellIs" dxfId="1587" priority="630" operator="between">
      <formula>$JL138</formula>
      <formula>$JM138</formula>
    </cfRule>
    <cfRule type="cellIs" dxfId="1586" priority="631" operator="between">
      <formula>$JM138</formula>
      <formula>$JN138</formula>
    </cfRule>
    <cfRule type="cellIs" dxfId="1585" priority="632" operator="between">
      <formula>$JN138</formula>
      <formula>$JO138</formula>
    </cfRule>
    <cfRule type="cellIs" dxfId="1584" priority="633" operator="greaterThanOrEqual">
      <formula>$JO138</formula>
    </cfRule>
  </conditionalFormatting>
  <conditionalFormatting sqref="EJ138:JD138">
    <cfRule type="expression" dxfId="1583" priority="624">
      <formula>IF(AND($I138="c",$EJ$2="kr"),TRUE,FALSE)</formula>
    </cfRule>
  </conditionalFormatting>
  <conditionalFormatting sqref="IG138:JD138">
    <cfRule type="expression" priority="617" stopIfTrue="1">
      <formula>$JJ138&lt;4</formula>
    </cfRule>
    <cfRule type="expression" dxfId="1582" priority="618">
      <formula>IF(AND($I138="c",$EJ$2="£"),TRUE,FALSE)</formula>
    </cfRule>
    <cfRule type="expression" dxfId="1581" priority="619">
      <formula>IF(AND($I138="c",$EJ$2="€"),TRUE,FALSE)</formula>
    </cfRule>
    <cfRule type="expression" dxfId="1580" priority="620">
      <formula>IF(AND($I138="c",$EJ$2="¥"),TRUE,FALSE)</formula>
    </cfRule>
    <cfRule type="expression" dxfId="1579" priority="621">
      <formula>IF(AND($I138="c",$EJ$2="$"),TRUE,FALSE)</formula>
    </cfRule>
  </conditionalFormatting>
  <conditionalFormatting sqref="EJ139:IF139">
    <cfRule type="expression" priority="606" stopIfTrue="1">
      <formula>$JJ139&lt;4</formula>
    </cfRule>
    <cfRule type="expression" dxfId="1578" priority="608">
      <formula>IF(AND($I139="c",$EJ$2="£"),TRUE,FALSE)</formula>
    </cfRule>
    <cfRule type="expression" dxfId="1577" priority="609">
      <formula>IF(AND($I139="c",$EJ$2="€"),TRUE,FALSE)</formula>
    </cfRule>
    <cfRule type="expression" dxfId="1576" priority="610">
      <formula>IF(AND($I139="c",$EJ$2="¥"),TRUE,FALSE)</formula>
    </cfRule>
    <cfRule type="expression" dxfId="1575" priority="611">
      <formula>IF(AND($I139="c",$EJ$2="$"),TRUE,FALSE)</formula>
    </cfRule>
    <cfRule type="cellIs" dxfId="1574" priority="612" operator="lessThan">
      <formula>$JL139</formula>
    </cfRule>
    <cfRule type="cellIs" dxfId="1573" priority="613" operator="between">
      <formula>$JL139</formula>
      <formula>$JM139</formula>
    </cfRule>
    <cfRule type="cellIs" dxfId="1572" priority="614" operator="between">
      <formula>$JM139</formula>
      <formula>$JN139</formula>
    </cfRule>
    <cfRule type="cellIs" dxfId="1571" priority="615" operator="between">
      <formula>$JN139</formula>
      <formula>$JO139</formula>
    </cfRule>
    <cfRule type="cellIs" dxfId="1570" priority="616" operator="greaterThanOrEqual">
      <formula>$JO139</formula>
    </cfRule>
  </conditionalFormatting>
  <conditionalFormatting sqref="EJ139:JD139">
    <cfRule type="expression" dxfId="1569" priority="607">
      <formula>IF(AND($I139="c",$EJ$2="kr"),TRUE,FALSE)</formula>
    </cfRule>
  </conditionalFormatting>
  <conditionalFormatting sqref="IG139:JD139">
    <cfRule type="expression" priority="600" stopIfTrue="1">
      <formula>$JJ139&lt;4</formula>
    </cfRule>
    <cfRule type="expression" dxfId="1568" priority="601">
      <formula>IF(AND($I139="c",$EJ$2="£"),TRUE,FALSE)</formula>
    </cfRule>
    <cfRule type="expression" dxfId="1567" priority="602">
      <formula>IF(AND($I139="c",$EJ$2="€"),TRUE,FALSE)</formula>
    </cfRule>
    <cfRule type="expression" dxfId="1566" priority="603">
      <formula>IF(AND($I139="c",$EJ$2="¥"),TRUE,FALSE)</formula>
    </cfRule>
    <cfRule type="expression" dxfId="1565" priority="604">
      <formula>IF(AND($I139="c",$EJ$2="$"),TRUE,FALSE)</formula>
    </cfRule>
  </conditionalFormatting>
  <conditionalFormatting sqref="EJ140:IF140">
    <cfRule type="expression" priority="589" stopIfTrue="1">
      <formula>$JJ140&lt;4</formula>
    </cfRule>
    <cfRule type="expression" dxfId="1564" priority="591">
      <formula>IF(AND($I140="c",$EJ$2="£"),TRUE,FALSE)</formula>
    </cfRule>
    <cfRule type="expression" dxfId="1563" priority="592">
      <formula>IF(AND($I140="c",$EJ$2="€"),TRUE,FALSE)</formula>
    </cfRule>
    <cfRule type="expression" dxfId="1562" priority="593">
      <formula>IF(AND($I140="c",$EJ$2="¥"),TRUE,FALSE)</formula>
    </cfRule>
    <cfRule type="expression" dxfId="1561" priority="594">
      <formula>IF(AND($I140="c",$EJ$2="$"),TRUE,FALSE)</formula>
    </cfRule>
    <cfRule type="cellIs" dxfId="1560" priority="595" operator="lessThan">
      <formula>$JL140</formula>
    </cfRule>
    <cfRule type="cellIs" dxfId="1559" priority="596" operator="between">
      <formula>$JL140</formula>
      <formula>$JM140</formula>
    </cfRule>
    <cfRule type="cellIs" dxfId="1558" priority="597" operator="between">
      <formula>$JM140</formula>
      <formula>$JN140</formula>
    </cfRule>
    <cfRule type="cellIs" dxfId="1557" priority="598" operator="between">
      <formula>$JN140</formula>
      <formula>$JO140</formula>
    </cfRule>
    <cfRule type="cellIs" dxfId="1556" priority="599" operator="greaterThanOrEqual">
      <formula>$JO140</formula>
    </cfRule>
  </conditionalFormatting>
  <conditionalFormatting sqref="EJ140:JD140">
    <cfRule type="expression" dxfId="1555" priority="590">
      <formula>IF(AND($I140="c",$EJ$2="kr"),TRUE,FALSE)</formula>
    </cfRule>
  </conditionalFormatting>
  <conditionalFormatting sqref="IG140:JD140">
    <cfRule type="expression" priority="583" stopIfTrue="1">
      <formula>$JJ140&lt;4</formula>
    </cfRule>
    <cfRule type="expression" dxfId="1554" priority="584">
      <formula>IF(AND($I140="c",$EJ$2="£"),TRUE,FALSE)</formula>
    </cfRule>
    <cfRule type="expression" dxfId="1553" priority="585">
      <formula>IF(AND($I140="c",$EJ$2="€"),TRUE,FALSE)</formula>
    </cfRule>
    <cfRule type="expression" dxfId="1552" priority="586">
      <formula>IF(AND($I140="c",$EJ$2="¥"),TRUE,FALSE)</formula>
    </cfRule>
    <cfRule type="expression" dxfId="1551" priority="587">
      <formula>IF(AND($I140="c",$EJ$2="$"),TRUE,FALSE)</formula>
    </cfRule>
  </conditionalFormatting>
  <conditionalFormatting sqref="EJ142:IF142">
    <cfRule type="expression" priority="572" stopIfTrue="1">
      <formula>$JJ142&lt;4</formula>
    </cfRule>
    <cfRule type="expression" dxfId="1550" priority="574">
      <formula>IF(AND($I142="c",$EJ$2="£"),TRUE,FALSE)</formula>
    </cfRule>
    <cfRule type="expression" dxfId="1549" priority="575">
      <formula>IF(AND($I142="c",$EJ$2="€"),TRUE,FALSE)</formula>
    </cfRule>
    <cfRule type="expression" dxfId="1548" priority="576">
      <formula>IF(AND($I142="c",$EJ$2="¥"),TRUE,FALSE)</formula>
    </cfRule>
    <cfRule type="expression" dxfId="1547" priority="577">
      <formula>IF(AND($I142="c",$EJ$2="$"),TRUE,FALSE)</formula>
    </cfRule>
    <cfRule type="cellIs" dxfId="1546" priority="578" operator="lessThan">
      <formula>$JL142</formula>
    </cfRule>
    <cfRule type="cellIs" dxfId="1545" priority="579" operator="between">
      <formula>$JL142</formula>
      <formula>$JM142</formula>
    </cfRule>
    <cfRule type="cellIs" dxfId="1544" priority="580" operator="between">
      <formula>$JM142</formula>
      <formula>$JN142</formula>
    </cfRule>
    <cfRule type="cellIs" dxfId="1543" priority="581" operator="between">
      <formula>$JN142</formula>
      <formula>$JO142</formula>
    </cfRule>
    <cfRule type="cellIs" dxfId="1542" priority="582" operator="greaterThanOrEqual">
      <formula>$JO142</formula>
    </cfRule>
  </conditionalFormatting>
  <conditionalFormatting sqref="EJ142:JD142">
    <cfRule type="expression" dxfId="1541" priority="573">
      <formula>IF(AND($I142="c",$EJ$2="kr"),TRUE,FALSE)</formula>
    </cfRule>
  </conditionalFormatting>
  <conditionalFormatting sqref="IG142:JD142">
    <cfRule type="expression" priority="566" stopIfTrue="1">
      <formula>$JJ142&lt;4</formula>
    </cfRule>
    <cfRule type="expression" dxfId="1540" priority="567">
      <formula>IF(AND($I142="c",$EJ$2="£"),TRUE,FALSE)</formula>
    </cfRule>
    <cfRule type="expression" dxfId="1539" priority="568">
      <formula>IF(AND($I142="c",$EJ$2="€"),TRUE,FALSE)</formula>
    </cfRule>
    <cfRule type="expression" dxfId="1538" priority="569">
      <formula>IF(AND($I142="c",$EJ$2="¥"),TRUE,FALSE)</formula>
    </cfRule>
    <cfRule type="expression" dxfId="1537" priority="570">
      <formula>IF(AND($I142="c",$EJ$2="$"),TRUE,FALSE)</formula>
    </cfRule>
  </conditionalFormatting>
  <conditionalFormatting sqref="EJ141:IF141">
    <cfRule type="expression" priority="555" stopIfTrue="1">
      <formula>$JJ141&lt;4</formula>
    </cfRule>
    <cfRule type="expression" dxfId="1536" priority="557">
      <formula>IF(AND($I141="c",$EJ$2="£"),TRUE,FALSE)</formula>
    </cfRule>
    <cfRule type="expression" dxfId="1535" priority="558">
      <formula>IF(AND($I141="c",$EJ$2="€"),TRUE,FALSE)</formula>
    </cfRule>
    <cfRule type="expression" dxfId="1534" priority="559">
      <formula>IF(AND($I141="c",$EJ$2="¥"),TRUE,FALSE)</formula>
    </cfRule>
    <cfRule type="expression" dxfId="1533" priority="560">
      <formula>IF(AND($I141="c",$EJ$2="$"),TRUE,FALSE)</formula>
    </cfRule>
    <cfRule type="cellIs" dxfId="1532" priority="561" operator="lessThan">
      <formula>$JL141</formula>
    </cfRule>
    <cfRule type="cellIs" dxfId="1531" priority="562" operator="between">
      <formula>$JL141</formula>
      <formula>$JM141</formula>
    </cfRule>
    <cfRule type="cellIs" dxfId="1530" priority="563" operator="between">
      <formula>$JM141</formula>
      <formula>$JN141</formula>
    </cfRule>
    <cfRule type="cellIs" dxfId="1529" priority="564" operator="between">
      <formula>$JN141</formula>
      <formula>$JO141</formula>
    </cfRule>
    <cfRule type="cellIs" dxfId="1528" priority="565" operator="greaterThanOrEqual">
      <formula>$JO141</formula>
    </cfRule>
  </conditionalFormatting>
  <conditionalFormatting sqref="EJ141:JD141">
    <cfRule type="expression" dxfId="1527" priority="556">
      <formula>IF(AND($I141="c",$EJ$2="kr"),TRUE,FALSE)</formula>
    </cfRule>
  </conditionalFormatting>
  <conditionalFormatting sqref="IG141:JD141">
    <cfRule type="expression" priority="549" stopIfTrue="1">
      <formula>$JJ141&lt;4</formula>
    </cfRule>
    <cfRule type="expression" dxfId="1526" priority="550">
      <formula>IF(AND($I141="c",$EJ$2="£"),TRUE,FALSE)</formula>
    </cfRule>
    <cfRule type="expression" dxfId="1525" priority="551">
      <formula>IF(AND($I141="c",$EJ$2="€"),TRUE,FALSE)</formula>
    </cfRule>
    <cfRule type="expression" dxfId="1524" priority="552">
      <formula>IF(AND($I141="c",$EJ$2="¥"),TRUE,FALSE)</formula>
    </cfRule>
    <cfRule type="expression" dxfId="1523" priority="553">
      <formula>IF(AND($I141="c",$EJ$2="$"),TRUE,FALSE)</formula>
    </cfRule>
  </conditionalFormatting>
  <conditionalFormatting sqref="EJ143:IF143">
    <cfRule type="expression" priority="538" stopIfTrue="1">
      <formula>$JJ143&lt;4</formula>
    </cfRule>
    <cfRule type="expression" dxfId="1522" priority="540">
      <formula>IF(AND($I143="c",$EJ$2="£"),TRUE,FALSE)</formula>
    </cfRule>
    <cfRule type="expression" dxfId="1521" priority="541">
      <formula>IF(AND($I143="c",$EJ$2="€"),TRUE,FALSE)</formula>
    </cfRule>
    <cfRule type="expression" dxfId="1520" priority="542">
      <formula>IF(AND($I143="c",$EJ$2="¥"),TRUE,FALSE)</formula>
    </cfRule>
    <cfRule type="expression" dxfId="1519" priority="543">
      <formula>IF(AND($I143="c",$EJ$2="$"),TRUE,FALSE)</formula>
    </cfRule>
    <cfRule type="cellIs" dxfId="1518" priority="544" operator="lessThan">
      <formula>$JL143</formula>
    </cfRule>
    <cfRule type="cellIs" dxfId="1517" priority="545" operator="between">
      <formula>$JL143</formula>
      <formula>$JM143</formula>
    </cfRule>
    <cfRule type="cellIs" dxfId="1516" priority="546" operator="between">
      <formula>$JM143</formula>
      <formula>$JN143</formula>
    </cfRule>
    <cfRule type="cellIs" dxfId="1515" priority="547" operator="between">
      <formula>$JN143</formula>
      <formula>$JO143</formula>
    </cfRule>
    <cfRule type="cellIs" dxfId="1514" priority="548" operator="greaterThanOrEqual">
      <formula>$JO143</formula>
    </cfRule>
  </conditionalFormatting>
  <conditionalFormatting sqref="EJ143:JD143">
    <cfRule type="expression" dxfId="1513" priority="539">
      <formula>IF(AND($I143="c",$EJ$2="kr"),TRUE,FALSE)</formula>
    </cfRule>
  </conditionalFormatting>
  <conditionalFormatting sqref="IG143:JD143">
    <cfRule type="expression" priority="532" stopIfTrue="1">
      <formula>$JJ143&lt;4</formula>
    </cfRule>
    <cfRule type="expression" dxfId="1512" priority="533">
      <formula>IF(AND($I143="c",$EJ$2="£"),TRUE,FALSE)</formula>
    </cfRule>
    <cfRule type="expression" dxfId="1511" priority="534">
      <formula>IF(AND($I143="c",$EJ$2="€"),TRUE,FALSE)</formula>
    </cfRule>
    <cfRule type="expression" dxfId="1510" priority="535">
      <formula>IF(AND($I143="c",$EJ$2="¥"),TRUE,FALSE)</formula>
    </cfRule>
    <cfRule type="expression" dxfId="1509" priority="536">
      <formula>IF(AND($I143="c",$EJ$2="$"),TRUE,FALSE)</formula>
    </cfRule>
  </conditionalFormatting>
  <conditionalFormatting sqref="EJ144:IF144">
    <cfRule type="expression" priority="521" stopIfTrue="1">
      <formula>$JJ144&lt;4</formula>
    </cfRule>
    <cfRule type="expression" dxfId="1508" priority="523">
      <formula>IF(AND($I144="c",$EJ$2="£"),TRUE,FALSE)</formula>
    </cfRule>
    <cfRule type="expression" dxfId="1507" priority="524">
      <formula>IF(AND($I144="c",$EJ$2="€"),TRUE,FALSE)</formula>
    </cfRule>
    <cfRule type="expression" dxfId="1506" priority="525">
      <formula>IF(AND($I144="c",$EJ$2="¥"),TRUE,FALSE)</formula>
    </cfRule>
    <cfRule type="expression" dxfId="1505" priority="526">
      <formula>IF(AND($I144="c",$EJ$2="$"),TRUE,FALSE)</formula>
    </cfRule>
    <cfRule type="cellIs" dxfId="1504" priority="527" operator="lessThan">
      <formula>$JL144</formula>
    </cfRule>
    <cfRule type="cellIs" dxfId="1503" priority="528" operator="between">
      <formula>$JL144</formula>
      <formula>$JM144</formula>
    </cfRule>
    <cfRule type="cellIs" dxfId="1502" priority="529" operator="between">
      <formula>$JM144</formula>
      <formula>$JN144</formula>
    </cfRule>
    <cfRule type="cellIs" dxfId="1501" priority="530" operator="between">
      <formula>$JN144</formula>
      <formula>$JO144</formula>
    </cfRule>
    <cfRule type="cellIs" dxfId="1500" priority="531" operator="greaterThanOrEqual">
      <formula>$JO144</formula>
    </cfRule>
  </conditionalFormatting>
  <conditionalFormatting sqref="EJ144:JD144">
    <cfRule type="expression" dxfId="1499" priority="522">
      <formula>IF(AND($I144="c",$EJ$2="kr"),TRUE,FALSE)</formula>
    </cfRule>
  </conditionalFormatting>
  <conditionalFormatting sqref="IG144:JD144">
    <cfRule type="expression" priority="515" stopIfTrue="1">
      <formula>$JJ144&lt;4</formula>
    </cfRule>
    <cfRule type="expression" dxfId="1498" priority="516">
      <formula>IF(AND($I144="c",$EJ$2="£"),TRUE,FALSE)</formula>
    </cfRule>
    <cfRule type="expression" dxfId="1497" priority="517">
      <formula>IF(AND($I144="c",$EJ$2="€"),TRUE,FALSE)</formula>
    </cfRule>
    <cfRule type="expression" dxfId="1496" priority="518">
      <formula>IF(AND($I144="c",$EJ$2="¥"),TRUE,FALSE)</formula>
    </cfRule>
    <cfRule type="expression" dxfId="1495" priority="519">
      <formula>IF(AND($I144="c",$EJ$2="$"),TRUE,FALSE)</formula>
    </cfRule>
  </conditionalFormatting>
  <conditionalFormatting sqref="EJ145:IF145">
    <cfRule type="expression" priority="504" stopIfTrue="1">
      <formula>$JJ145&lt;4</formula>
    </cfRule>
    <cfRule type="expression" dxfId="1494" priority="506">
      <formula>IF(AND($I145="c",$EJ$2="£"),TRUE,FALSE)</formula>
    </cfRule>
    <cfRule type="expression" dxfId="1493" priority="507">
      <formula>IF(AND($I145="c",$EJ$2="€"),TRUE,FALSE)</formula>
    </cfRule>
    <cfRule type="expression" dxfId="1492" priority="508">
      <formula>IF(AND($I145="c",$EJ$2="¥"),TRUE,FALSE)</formula>
    </cfRule>
    <cfRule type="expression" dxfId="1491" priority="509">
      <formula>IF(AND($I145="c",$EJ$2="$"),TRUE,FALSE)</formula>
    </cfRule>
    <cfRule type="cellIs" dxfId="1490" priority="510" operator="lessThan">
      <formula>$JL145</formula>
    </cfRule>
    <cfRule type="cellIs" dxfId="1489" priority="511" operator="between">
      <formula>$JL145</formula>
      <formula>$JM145</formula>
    </cfRule>
    <cfRule type="cellIs" dxfId="1488" priority="512" operator="between">
      <formula>$JM145</formula>
      <formula>$JN145</formula>
    </cfRule>
    <cfRule type="cellIs" dxfId="1487" priority="513" operator="between">
      <formula>$JN145</formula>
      <formula>$JO145</formula>
    </cfRule>
    <cfRule type="cellIs" dxfId="1486" priority="514" operator="greaterThanOrEqual">
      <formula>$JO145</formula>
    </cfRule>
  </conditionalFormatting>
  <conditionalFormatting sqref="EJ145:JD145">
    <cfRule type="expression" dxfId="1485" priority="505">
      <formula>IF(AND($I145="c",$EJ$2="kr"),TRUE,FALSE)</formula>
    </cfRule>
  </conditionalFormatting>
  <conditionalFormatting sqref="IG145:JD145">
    <cfRule type="expression" priority="498" stopIfTrue="1">
      <formula>$JJ145&lt;4</formula>
    </cfRule>
    <cfRule type="expression" dxfId="1484" priority="499">
      <formula>IF(AND($I145="c",$EJ$2="£"),TRUE,FALSE)</formula>
    </cfRule>
    <cfRule type="expression" dxfId="1483" priority="500">
      <formula>IF(AND($I145="c",$EJ$2="€"),TRUE,FALSE)</formula>
    </cfRule>
    <cfRule type="expression" dxfId="1482" priority="501">
      <formula>IF(AND($I145="c",$EJ$2="¥"),TRUE,FALSE)</formula>
    </cfRule>
    <cfRule type="expression" dxfId="1481" priority="502">
      <formula>IF(AND($I145="c",$EJ$2="$"),TRUE,FALSE)</formula>
    </cfRule>
  </conditionalFormatting>
  <conditionalFormatting sqref="EJ148:IF148">
    <cfRule type="expression" priority="487" stopIfTrue="1">
      <formula>$JJ148&lt;4</formula>
    </cfRule>
    <cfRule type="expression" dxfId="1480" priority="489">
      <formula>IF(AND($I148="c",$EJ$2="£"),TRUE,FALSE)</formula>
    </cfRule>
    <cfRule type="expression" dxfId="1479" priority="490">
      <formula>IF(AND($I148="c",$EJ$2="€"),TRUE,FALSE)</formula>
    </cfRule>
    <cfRule type="expression" dxfId="1478" priority="491">
      <formula>IF(AND($I148="c",$EJ$2="¥"),TRUE,FALSE)</formula>
    </cfRule>
    <cfRule type="expression" dxfId="1477" priority="492">
      <formula>IF(AND($I148="c",$EJ$2="$"),TRUE,FALSE)</formula>
    </cfRule>
    <cfRule type="cellIs" dxfId="1476" priority="493" operator="lessThan">
      <formula>$JL148</formula>
    </cfRule>
    <cfRule type="cellIs" dxfId="1475" priority="494" operator="between">
      <formula>$JL148</formula>
      <formula>$JM148</formula>
    </cfRule>
    <cfRule type="cellIs" dxfId="1474" priority="495" operator="between">
      <formula>$JM148</formula>
      <formula>$JN148</formula>
    </cfRule>
    <cfRule type="cellIs" dxfId="1473" priority="496" operator="between">
      <formula>$JN148</formula>
      <formula>$JO148</formula>
    </cfRule>
    <cfRule type="cellIs" dxfId="1472" priority="497" operator="greaterThanOrEqual">
      <formula>$JO148</formula>
    </cfRule>
  </conditionalFormatting>
  <conditionalFormatting sqref="EJ148:JD148">
    <cfRule type="expression" dxfId="1471" priority="488">
      <formula>IF(AND($I148="c",$EJ$2="kr"),TRUE,FALSE)</formula>
    </cfRule>
  </conditionalFormatting>
  <conditionalFormatting sqref="IG148:JD148">
    <cfRule type="expression" priority="481" stopIfTrue="1">
      <formula>$JJ148&lt;4</formula>
    </cfRule>
    <cfRule type="expression" dxfId="1470" priority="482">
      <formula>IF(AND($I148="c",$EJ$2="£"),TRUE,FALSE)</formula>
    </cfRule>
    <cfRule type="expression" dxfId="1469" priority="483">
      <formula>IF(AND($I148="c",$EJ$2="€"),TRUE,FALSE)</formula>
    </cfRule>
    <cfRule type="expression" dxfId="1468" priority="484">
      <formula>IF(AND($I148="c",$EJ$2="¥"),TRUE,FALSE)</formula>
    </cfRule>
    <cfRule type="expression" dxfId="1467" priority="485">
      <formula>IF(AND($I148="c",$EJ$2="$"),TRUE,FALSE)</formula>
    </cfRule>
  </conditionalFormatting>
  <conditionalFormatting sqref="EJ111:IF111">
    <cfRule type="expression" priority="458" stopIfTrue="1">
      <formula>$JJ111&lt;4</formula>
    </cfRule>
    <cfRule type="expression" dxfId="1466" priority="459">
      <formula>IF(AND($I111="c",$EJ$2="£"),TRUE,FALSE)</formula>
    </cfRule>
    <cfRule type="expression" dxfId="1465" priority="460">
      <formula>IF(AND($I111="c",$EJ$2="€"),TRUE,FALSE)</formula>
    </cfRule>
    <cfRule type="expression" dxfId="1464" priority="461">
      <formula>IF(AND($I111="c",$EJ$2="¥"),TRUE,FALSE)</formula>
    </cfRule>
    <cfRule type="expression" dxfId="1463" priority="462">
      <formula>IF(AND($I111="c",$EJ$2="$"),TRUE,FALSE)</formula>
    </cfRule>
    <cfRule type="cellIs" dxfId="1462" priority="463" operator="greaterThan">
      <formula>$JL111</formula>
    </cfRule>
    <cfRule type="cellIs" dxfId="1461" priority="464" operator="between">
      <formula>$JL111</formula>
      <formula>$JM111</formula>
    </cfRule>
    <cfRule type="cellIs" dxfId="1460" priority="465" operator="between">
      <formula>$JM111</formula>
      <formula>$JN111</formula>
    </cfRule>
    <cfRule type="cellIs" dxfId="1459" priority="466" operator="between">
      <formula>$JN111</formula>
      <formula>$JO111</formula>
    </cfRule>
    <cfRule type="cellIs" dxfId="1458" priority="467" operator="lessThanOrEqual">
      <formula>$JO111</formula>
    </cfRule>
  </conditionalFormatting>
  <conditionalFormatting sqref="EJ111:JD111">
    <cfRule type="expression" dxfId="1457" priority="468">
      <formula>IF(AND($I111="c",$EJ$2="kr"),TRUE,FALSE)</formula>
    </cfRule>
  </conditionalFormatting>
  <conditionalFormatting sqref="EJ112:IF112">
    <cfRule type="expression" priority="446" stopIfTrue="1">
      <formula>$JJ112&lt;4</formula>
    </cfRule>
    <cfRule type="expression" dxfId="1456" priority="447">
      <formula>IF(AND($I112="c",$EJ$2="£"),TRUE,FALSE)</formula>
    </cfRule>
    <cfRule type="expression" dxfId="1455" priority="448">
      <formula>IF(AND($I112="c",$EJ$2="€"),TRUE,FALSE)</formula>
    </cfRule>
    <cfRule type="expression" dxfId="1454" priority="449">
      <formula>IF(AND($I112="c",$EJ$2="¥"),TRUE,FALSE)</formula>
    </cfRule>
    <cfRule type="expression" dxfId="1453" priority="450">
      <formula>IF(AND($I112="c",$EJ$2="$"),TRUE,FALSE)</formula>
    </cfRule>
    <cfRule type="cellIs" dxfId="1452" priority="451" operator="greaterThan">
      <formula>$JL112</formula>
    </cfRule>
    <cfRule type="cellIs" dxfId="1451" priority="452" operator="between">
      <formula>$JL112</formula>
      <formula>$JM112</formula>
    </cfRule>
    <cfRule type="cellIs" dxfId="1450" priority="453" operator="between">
      <formula>$JM112</formula>
      <formula>$JN112</formula>
    </cfRule>
    <cfRule type="cellIs" dxfId="1449" priority="454" operator="between">
      <formula>$JN112</formula>
      <formula>$JO112</formula>
    </cfRule>
    <cfRule type="cellIs" dxfId="1448" priority="455" operator="lessThanOrEqual">
      <formula>$JO112</formula>
    </cfRule>
  </conditionalFormatting>
  <conditionalFormatting sqref="EJ112:JD112">
    <cfRule type="expression" dxfId="1447" priority="456">
      <formula>IF(AND($I112="c",$EJ$2="kr"),TRUE,FALSE)</formula>
    </cfRule>
  </conditionalFormatting>
  <conditionalFormatting sqref="EJ113:IF113">
    <cfRule type="expression" priority="434" stopIfTrue="1">
      <formula>$JJ113&lt;4</formula>
    </cfRule>
    <cfRule type="expression" dxfId="1446" priority="435">
      <formula>IF(AND($I113="c",$EJ$2="£"),TRUE,FALSE)</formula>
    </cfRule>
    <cfRule type="expression" dxfId="1445" priority="436">
      <formula>IF(AND($I113="c",$EJ$2="€"),TRUE,FALSE)</formula>
    </cfRule>
    <cfRule type="expression" dxfId="1444" priority="437">
      <formula>IF(AND($I113="c",$EJ$2="¥"),TRUE,FALSE)</formula>
    </cfRule>
    <cfRule type="expression" dxfId="1443" priority="438">
      <formula>IF(AND($I113="c",$EJ$2="$"),TRUE,FALSE)</formula>
    </cfRule>
    <cfRule type="cellIs" dxfId="1442" priority="439" operator="greaterThan">
      <formula>$JL113</formula>
    </cfRule>
    <cfRule type="cellIs" dxfId="1441" priority="440" operator="between">
      <formula>$JL113</formula>
      <formula>$JM113</formula>
    </cfRule>
    <cfRule type="cellIs" dxfId="1440" priority="441" operator="between">
      <formula>$JM113</formula>
      <formula>$JN113</formula>
    </cfRule>
    <cfRule type="cellIs" dxfId="1439" priority="442" operator="between">
      <formula>$JN113</formula>
      <formula>$JO113</formula>
    </cfRule>
    <cfRule type="cellIs" dxfId="1438" priority="443" operator="lessThanOrEqual">
      <formula>$JO113</formula>
    </cfRule>
  </conditionalFormatting>
  <conditionalFormatting sqref="EJ113:JD113">
    <cfRule type="expression" dxfId="1437" priority="444">
      <formula>IF(AND($I113="c",$EJ$2="kr"),TRUE,FALSE)</formula>
    </cfRule>
  </conditionalFormatting>
  <conditionalFormatting sqref="EJ114:IF114">
    <cfRule type="expression" priority="422" stopIfTrue="1">
      <formula>$JJ114&lt;4</formula>
    </cfRule>
    <cfRule type="expression" dxfId="1436" priority="423">
      <formula>IF(AND($I114="c",$EJ$2="£"),TRUE,FALSE)</formula>
    </cfRule>
    <cfRule type="expression" dxfId="1435" priority="424">
      <formula>IF(AND($I114="c",$EJ$2="€"),TRUE,FALSE)</formula>
    </cfRule>
    <cfRule type="expression" dxfId="1434" priority="425">
      <formula>IF(AND($I114="c",$EJ$2="¥"),TRUE,FALSE)</formula>
    </cfRule>
    <cfRule type="expression" dxfId="1433" priority="426">
      <formula>IF(AND($I114="c",$EJ$2="$"),TRUE,FALSE)</formula>
    </cfRule>
    <cfRule type="cellIs" dxfId="1432" priority="427" operator="greaterThan">
      <formula>$JL114</formula>
    </cfRule>
    <cfRule type="cellIs" dxfId="1431" priority="428" operator="between">
      <formula>$JL114</formula>
      <formula>$JM114</formula>
    </cfRule>
    <cfRule type="cellIs" dxfId="1430" priority="429" operator="between">
      <formula>$JM114</formula>
      <formula>$JN114</formula>
    </cfRule>
    <cfRule type="cellIs" dxfId="1429" priority="430" operator="between">
      <formula>$JN114</formula>
      <formula>$JO114</formula>
    </cfRule>
    <cfRule type="cellIs" dxfId="1428" priority="431" operator="lessThanOrEqual">
      <formula>$JO114</formula>
    </cfRule>
  </conditionalFormatting>
  <conditionalFormatting sqref="EJ114:JD114">
    <cfRule type="expression" dxfId="1427" priority="432">
      <formula>IF(AND($I114="c",$EJ$2="kr"),TRUE,FALSE)</formula>
    </cfRule>
  </conditionalFormatting>
  <conditionalFormatting sqref="EJ115:IF115">
    <cfRule type="expression" priority="410" stopIfTrue="1">
      <formula>$JJ115&lt;4</formula>
    </cfRule>
    <cfRule type="expression" dxfId="1426" priority="411">
      <formula>IF(AND($I115="c",$EJ$2="£"),TRUE,FALSE)</formula>
    </cfRule>
    <cfRule type="expression" dxfId="1425" priority="412">
      <formula>IF(AND($I115="c",$EJ$2="€"),TRUE,FALSE)</formula>
    </cfRule>
    <cfRule type="expression" dxfId="1424" priority="413">
      <formula>IF(AND($I115="c",$EJ$2="¥"),TRUE,FALSE)</formula>
    </cfRule>
    <cfRule type="expression" dxfId="1423" priority="414">
      <formula>IF(AND($I115="c",$EJ$2="$"),TRUE,FALSE)</formula>
    </cfRule>
    <cfRule type="cellIs" dxfId="1422" priority="415" operator="greaterThan">
      <formula>$JL115</formula>
    </cfRule>
    <cfRule type="cellIs" dxfId="1421" priority="416" operator="between">
      <formula>$JL115</formula>
      <formula>$JM115</formula>
    </cfRule>
    <cfRule type="cellIs" dxfId="1420" priority="417" operator="between">
      <formula>$JM115</formula>
      <formula>$JN115</formula>
    </cfRule>
    <cfRule type="cellIs" dxfId="1419" priority="418" operator="between">
      <formula>$JN115</formula>
      <formula>$JO115</formula>
    </cfRule>
    <cfRule type="cellIs" dxfId="1418" priority="419" operator="lessThanOrEqual">
      <formula>$JO115</formula>
    </cfRule>
  </conditionalFormatting>
  <conditionalFormatting sqref="EJ115:JD115">
    <cfRule type="expression" dxfId="1417" priority="420">
      <formula>IF(AND($I115="c",$EJ$2="kr"),TRUE,FALSE)</formula>
    </cfRule>
  </conditionalFormatting>
  <conditionalFormatting sqref="EJ136:IF136">
    <cfRule type="expression" priority="398" stopIfTrue="1">
      <formula>$JJ136&lt;4</formula>
    </cfRule>
    <cfRule type="expression" dxfId="1416" priority="399">
      <formula>IF(AND($I136="c",$EJ$2="£"),TRUE,FALSE)</formula>
    </cfRule>
    <cfRule type="expression" dxfId="1415" priority="400">
      <formula>IF(AND($I136="c",$EJ$2="€"),TRUE,FALSE)</formula>
    </cfRule>
    <cfRule type="expression" dxfId="1414" priority="401">
      <formula>IF(AND($I136="c",$EJ$2="¥"),TRUE,FALSE)</formula>
    </cfRule>
    <cfRule type="expression" dxfId="1413" priority="402">
      <formula>IF(AND($I136="c",$EJ$2="$"),TRUE,FALSE)</formula>
    </cfRule>
    <cfRule type="cellIs" dxfId="1412" priority="403" operator="greaterThan">
      <formula>$JL136</formula>
    </cfRule>
    <cfRule type="cellIs" dxfId="1411" priority="404" operator="between">
      <formula>$JL136</formula>
      <formula>$JM136</formula>
    </cfRule>
    <cfRule type="cellIs" dxfId="1410" priority="405" operator="between">
      <formula>$JM136</formula>
      <formula>$JN136</formula>
    </cfRule>
    <cfRule type="cellIs" dxfId="1409" priority="406" operator="between">
      <formula>$JN136</formula>
      <formula>$JO136</formula>
    </cfRule>
    <cfRule type="cellIs" dxfId="1408" priority="407" operator="lessThanOrEqual">
      <formula>$JO136</formula>
    </cfRule>
  </conditionalFormatting>
  <conditionalFormatting sqref="EJ136:JD136">
    <cfRule type="expression" dxfId="1407" priority="408">
      <formula>IF(AND($I136="c",$EJ$2="kr"),TRUE,FALSE)</formula>
    </cfRule>
  </conditionalFormatting>
  <conditionalFormatting sqref="EJ149:IF149">
    <cfRule type="expression" priority="386" stopIfTrue="1">
      <formula>$JJ149&lt;4</formula>
    </cfRule>
    <cfRule type="expression" dxfId="1406" priority="387">
      <formula>IF(AND($I149="c",$EJ$2="£"),TRUE,FALSE)</formula>
    </cfRule>
    <cfRule type="expression" dxfId="1405" priority="388">
      <formula>IF(AND($I149="c",$EJ$2="€"),TRUE,FALSE)</formula>
    </cfRule>
    <cfRule type="expression" dxfId="1404" priority="389">
      <formula>IF(AND($I149="c",$EJ$2="¥"),TRUE,FALSE)</formula>
    </cfRule>
    <cfRule type="expression" dxfId="1403" priority="390">
      <formula>IF(AND($I149="c",$EJ$2="$"),TRUE,FALSE)</formula>
    </cfRule>
    <cfRule type="cellIs" dxfId="1402" priority="391" operator="greaterThan">
      <formula>$JL149</formula>
    </cfRule>
    <cfRule type="cellIs" dxfId="1401" priority="392" operator="between">
      <formula>$JL149</formula>
      <formula>$JM149</formula>
    </cfRule>
    <cfRule type="cellIs" dxfId="1400" priority="393" operator="between">
      <formula>$JM149</formula>
      <formula>$JN149</formula>
    </cfRule>
    <cfRule type="cellIs" dxfId="1399" priority="394" operator="between">
      <formula>$JN149</formula>
      <formula>$JO149</formula>
    </cfRule>
    <cfRule type="cellIs" dxfId="1398" priority="395" operator="lessThanOrEqual">
      <formula>$JO149</formula>
    </cfRule>
  </conditionalFormatting>
  <conditionalFormatting sqref="EJ149:JD149">
    <cfRule type="expression" dxfId="1397" priority="396">
      <formula>IF(AND($I149="c",$EJ$2="kr"),TRUE,FALSE)</formula>
    </cfRule>
  </conditionalFormatting>
  <conditionalFormatting sqref="EJ150:IF150">
    <cfRule type="expression" priority="374" stopIfTrue="1">
      <formula>$JJ150&lt;4</formula>
    </cfRule>
    <cfRule type="expression" dxfId="1396" priority="375">
      <formula>IF(AND($I150="c",$EJ$2="£"),TRUE,FALSE)</formula>
    </cfRule>
    <cfRule type="expression" dxfId="1395" priority="376">
      <formula>IF(AND($I150="c",$EJ$2="€"),TRUE,FALSE)</formula>
    </cfRule>
    <cfRule type="expression" dxfId="1394" priority="377">
      <formula>IF(AND($I150="c",$EJ$2="¥"),TRUE,FALSE)</formula>
    </cfRule>
    <cfRule type="expression" dxfId="1393" priority="378">
      <formula>IF(AND($I150="c",$EJ$2="$"),TRUE,FALSE)</formula>
    </cfRule>
    <cfRule type="cellIs" dxfId="1392" priority="379" operator="greaterThan">
      <formula>$JL150</formula>
    </cfRule>
    <cfRule type="cellIs" dxfId="1391" priority="380" operator="between">
      <formula>$JL150</formula>
      <formula>$JM150</formula>
    </cfRule>
    <cfRule type="cellIs" dxfId="1390" priority="381" operator="between">
      <formula>$JM150</formula>
      <formula>$JN150</formula>
    </cfRule>
    <cfRule type="cellIs" dxfId="1389" priority="382" operator="between">
      <formula>$JN150</formula>
      <formula>$JO150</formula>
    </cfRule>
    <cfRule type="cellIs" dxfId="1388" priority="383" operator="lessThanOrEqual">
      <formula>$JO150</formula>
    </cfRule>
  </conditionalFormatting>
  <conditionalFormatting sqref="EJ150:JD150">
    <cfRule type="expression" dxfId="1387" priority="384">
      <formula>IF(AND($I150="c",$EJ$2="kr"),TRUE,FALSE)</formula>
    </cfRule>
  </conditionalFormatting>
  <conditionalFormatting sqref="EJ151:IF151">
    <cfRule type="expression" priority="362" stopIfTrue="1">
      <formula>$JJ151&lt;4</formula>
    </cfRule>
    <cfRule type="expression" dxfId="1386" priority="363">
      <formula>IF(AND($I151="c",$EJ$2="£"),TRUE,FALSE)</formula>
    </cfRule>
    <cfRule type="expression" dxfId="1385" priority="364">
      <formula>IF(AND($I151="c",$EJ$2="€"),TRUE,FALSE)</formula>
    </cfRule>
    <cfRule type="expression" dxfId="1384" priority="365">
      <formula>IF(AND($I151="c",$EJ$2="¥"),TRUE,FALSE)</formula>
    </cfRule>
    <cfRule type="expression" dxfId="1383" priority="366">
      <formula>IF(AND($I151="c",$EJ$2="$"),TRUE,FALSE)</formula>
    </cfRule>
    <cfRule type="cellIs" dxfId="1382" priority="367" operator="greaterThan">
      <formula>$JL151</formula>
    </cfRule>
    <cfRule type="cellIs" dxfId="1381" priority="368" operator="between">
      <formula>$JL151</formula>
      <formula>$JM151</formula>
    </cfRule>
    <cfRule type="cellIs" dxfId="1380" priority="369" operator="between">
      <formula>$JM151</formula>
      <formula>$JN151</formula>
    </cfRule>
    <cfRule type="cellIs" dxfId="1379" priority="370" operator="between">
      <formula>$JN151</formula>
      <formula>$JO151</formula>
    </cfRule>
    <cfRule type="cellIs" dxfId="1378" priority="371" operator="lessThanOrEqual">
      <formula>$JO151</formula>
    </cfRule>
  </conditionalFormatting>
  <conditionalFormatting sqref="EJ151:JD151">
    <cfRule type="expression" dxfId="1377" priority="372">
      <formula>IF(AND($I151="c",$EJ$2="kr"),TRUE,FALSE)</formula>
    </cfRule>
  </conditionalFormatting>
  <conditionalFormatting sqref="EJ152:IF152">
    <cfRule type="expression" priority="350" stopIfTrue="1">
      <formula>$JJ152&lt;4</formula>
    </cfRule>
    <cfRule type="expression" dxfId="1376" priority="351">
      <formula>IF(AND($I152="c",$EJ$2="£"),TRUE,FALSE)</formula>
    </cfRule>
    <cfRule type="expression" dxfId="1375" priority="352">
      <formula>IF(AND($I152="c",$EJ$2="€"),TRUE,FALSE)</formula>
    </cfRule>
    <cfRule type="expression" dxfId="1374" priority="353">
      <formula>IF(AND($I152="c",$EJ$2="¥"),TRUE,FALSE)</formula>
    </cfRule>
    <cfRule type="expression" dxfId="1373" priority="354">
      <formula>IF(AND($I152="c",$EJ$2="$"),TRUE,FALSE)</formula>
    </cfRule>
    <cfRule type="cellIs" dxfId="1372" priority="355" operator="greaterThan">
      <formula>$JL152</formula>
    </cfRule>
    <cfRule type="cellIs" dxfId="1371" priority="356" operator="between">
      <formula>$JL152</formula>
      <formula>$JM152</formula>
    </cfRule>
    <cfRule type="cellIs" dxfId="1370" priority="357" operator="between">
      <formula>$JM152</formula>
      <formula>$JN152</formula>
    </cfRule>
    <cfRule type="cellIs" dxfId="1369" priority="358" operator="between">
      <formula>$JN152</formula>
      <formula>$JO152</formula>
    </cfRule>
    <cfRule type="cellIs" dxfId="1368" priority="359" operator="lessThanOrEqual">
      <formula>$JO152</formula>
    </cfRule>
  </conditionalFormatting>
  <conditionalFormatting sqref="EJ152:JD152">
    <cfRule type="expression" dxfId="1367" priority="360">
      <formula>IF(AND($I152="c",$EJ$2="kr"),TRUE,FALSE)</formula>
    </cfRule>
  </conditionalFormatting>
  <conditionalFormatting sqref="EJ153:IF153">
    <cfRule type="expression" priority="338" stopIfTrue="1">
      <formula>$JJ153&lt;4</formula>
    </cfRule>
    <cfRule type="expression" dxfId="1366" priority="339">
      <formula>IF(AND($I153="c",$EJ$2="£"),TRUE,FALSE)</formula>
    </cfRule>
    <cfRule type="expression" dxfId="1365" priority="340">
      <formula>IF(AND($I153="c",$EJ$2="€"),TRUE,FALSE)</formula>
    </cfRule>
    <cfRule type="expression" dxfId="1364" priority="341">
      <formula>IF(AND($I153="c",$EJ$2="¥"),TRUE,FALSE)</formula>
    </cfRule>
    <cfRule type="expression" dxfId="1363" priority="342">
      <formula>IF(AND($I153="c",$EJ$2="$"),TRUE,FALSE)</formula>
    </cfRule>
    <cfRule type="cellIs" dxfId="1362" priority="343" operator="greaterThan">
      <formula>$JL153</formula>
    </cfRule>
    <cfRule type="cellIs" dxfId="1361" priority="344" operator="between">
      <formula>$JL153</formula>
      <formula>$JM153</formula>
    </cfRule>
    <cfRule type="cellIs" dxfId="1360" priority="345" operator="between">
      <formula>$JM153</formula>
      <formula>$JN153</formula>
    </cfRule>
    <cfRule type="cellIs" dxfId="1359" priority="346" operator="between">
      <formula>$JN153</formula>
      <formula>$JO153</formula>
    </cfRule>
    <cfRule type="cellIs" dxfId="1358" priority="347" operator="lessThanOrEqual">
      <formula>$JO153</formula>
    </cfRule>
  </conditionalFormatting>
  <conditionalFormatting sqref="EJ153:JD153">
    <cfRule type="expression" dxfId="1357" priority="348">
      <formula>IF(AND($I153="c",$EJ$2="kr"),TRUE,FALSE)</formula>
    </cfRule>
  </conditionalFormatting>
  <conditionalFormatting sqref="EJ154:IF154">
    <cfRule type="expression" priority="326" stopIfTrue="1">
      <formula>$JJ154&lt;4</formula>
    </cfRule>
    <cfRule type="expression" dxfId="1356" priority="327">
      <formula>IF(AND($I154="c",$EJ$2="£"),TRUE,FALSE)</formula>
    </cfRule>
    <cfRule type="expression" dxfId="1355" priority="328">
      <formula>IF(AND($I154="c",$EJ$2="€"),TRUE,FALSE)</formula>
    </cfRule>
    <cfRule type="expression" dxfId="1354" priority="329">
      <formula>IF(AND($I154="c",$EJ$2="¥"),TRUE,FALSE)</formula>
    </cfRule>
    <cfRule type="expression" dxfId="1353" priority="330">
      <formula>IF(AND($I154="c",$EJ$2="$"),TRUE,FALSE)</formula>
    </cfRule>
    <cfRule type="cellIs" dxfId="1352" priority="331" operator="greaterThan">
      <formula>$JL154</formula>
    </cfRule>
    <cfRule type="cellIs" dxfId="1351" priority="332" operator="between">
      <formula>$JL154</formula>
      <formula>$JM154</formula>
    </cfRule>
    <cfRule type="cellIs" dxfId="1350" priority="333" operator="between">
      <formula>$JM154</formula>
      <formula>$JN154</formula>
    </cfRule>
    <cfRule type="cellIs" dxfId="1349" priority="334" operator="between">
      <formula>$JN154</formula>
      <formula>$JO154</formula>
    </cfRule>
    <cfRule type="cellIs" dxfId="1348" priority="335" operator="lessThanOrEqual">
      <formula>$JO154</formula>
    </cfRule>
  </conditionalFormatting>
  <conditionalFormatting sqref="EJ154:JD154">
    <cfRule type="expression" dxfId="1347" priority="336">
      <formula>IF(AND($I154="c",$EJ$2="kr"),TRUE,FALSE)</formula>
    </cfRule>
  </conditionalFormatting>
  <conditionalFormatting sqref="EJ155:IF155">
    <cfRule type="expression" priority="314" stopIfTrue="1">
      <formula>$JJ155&lt;4</formula>
    </cfRule>
    <cfRule type="expression" dxfId="1346" priority="315">
      <formula>IF(AND($I155="c",$EJ$2="£"),TRUE,FALSE)</formula>
    </cfRule>
    <cfRule type="expression" dxfId="1345" priority="316">
      <formula>IF(AND($I155="c",$EJ$2="€"),TRUE,FALSE)</formula>
    </cfRule>
    <cfRule type="expression" dxfId="1344" priority="317">
      <formula>IF(AND($I155="c",$EJ$2="¥"),TRUE,FALSE)</formula>
    </cfRule>
    <cfRule type="expression" dxfId="1343" priority="318">
      <formula>IF(AND($I155="c",$EJ$2="$"),TRUE,FALSE)</formula>
    </cfRule>
    <cfRule type="cellIs" dxfId="1342" priority="319" operator="greaterThan">
      <formula>$JL155</formula>
    </cfRule>
    <cfRule type="cellIs" dxfId="1341" priority="320" operator="between">
      <formula>$JL155</formula>
      <formula>$JM155</formula>
    </cfRule>
    <cfRule type="cellIs" dxfId="1340" priority="321" operator="between">
      <formula>$JM155</formula>
      <formula>$JN155</formula>
    </cfRule>
    <cfRule type="cellIs" dxfId="1339" priority="322" operator="between">
      <formula>$JN155</formula>
      <formula>$JO155</formula>
    </cfRule>
    <cfRule type="cellIs" dxfId="1338" priority="323" operator="lessThanOrEqual">
      <formula>$JO155</formula>
    </cfRule>
  </conditionalFormatting>
  <conditionalFormatting sqref="EJ155:JD155">
    <cfRule type="expression" dxfId="1337" priority="324">
      <formula>IF(AND($I155="c",$EJ$2="kr"),TRUE,FALSE)</formula>
    </cfRule>
  </conditionalFormatting>
  <conditionalFormatting sqref="EJ156:IF156">
    <cfRule type="expression" priority="302" stopIfTrue="1">
      <formula>$JJ156&lt;4</formula>
    </cfRule>
    <cfRule type="expression" dxfId="1336" priority="303">
      <formula>IF(AND($I156="c",$EJ$2="£"),TRUE,FALSE)</formula>
    </cfRule>
    <cfRule type="expression" dxfId="1335" priority="304">
      <formula>IF(AND($I156="c",$EJ$2="€"),TRUE,FALSE)</formula>
    </cfRule>
    <cfRule type="expression" dxfId="1334" priority="305">
      <formula>IF(AND($I156="c",$EJ$2="¥"),TRUE,FALSE)</formula>
    </cfRule>
    <cfRule type="expression" dxfId="1333" priority="306">
      <formula>IF(AND($I156="c",$EJ$2="$"),TRUE,FALSE)</formula>
    </cfRule>
    <cfRule type="cellIs" dxfId="1332" priority="307" operator="greaterThan">
      <formula>$JL156</formula>
    </cfRule>
    <cfRule type="cellIs" dxfId="1331" priority="308" operator="between">
      <formula>$JL156</formula>
      <formula>$JM156</formula>
    </cfRule>
    <cfRule type="cellIs" dxfId="1330" priority="309" operator="between">
      <formula>$JM156</formula>
      <formula>$JN156</formula>
    </cfRule>
    <cfRule type="cellIs" dxfId="1329" priority="310" operator="between">
      <formula>$JN156</formula>
      <formula>$JO156</formula>
    </cfRule>
    <cfRule type="cellIs" dxfId="1328" priority="311" operator="lessThanOrEqual">
      <formula>$JO156</formula>
    </cfRule>
  </conditionalFormatting>
  <conditionalFormatting sqref="EJ156:JD156">
    <cfRule type="expression" dxfId="1327" priority="312">
      <formula>IF(AND($I156="c",$EJ$2="kr"),TRUE,FALSE)</formula>
    </cfRule>
  </conditionalFormatting>
  <conditionalFormatting sqref="EJ157:IF157">
    <cfRule type="expression" priority="290" stopIfTrue="1">
      <formula>$JJ157&lt;4</formula>
    </cfRule>
    <cfRule type="expression" dxfId="1326" priority="291">
      <formula>IF(AND($I157="c",$EJ$2="£"),TRUE,FALSE)</formula>
    </cfRule>
    <cfRule type="expression" dxfId="1325" priority="292">
      <formula>IF(AND($I157="c",$EJ$2="€"),TRUE,FALSE)</formula>
    </cfRule>
    <cfRule type="expression" dxfId="1324" priority="293">
      <formula>IF(AND($I157="c",$EJ$2="¥"),TRUE,FALSE)</formula>
    </cfRule>
    <cfRule type="expression" dxfId="1323" priority="294">
      <formula>IF(AND($I157="c",$EJ$2="$"),TRUE,FALSE)</formula>
    </cfRule>
    <cfRule type="cellIs" dxfId="1322" priority="295" operator="greaterThan">
      <formula>$JL157</formula>
    </cfRule>
    <cfRule type="cellIs" dxfId="1321" priority="296" operator="between">
      <formula>$JL157</formula>
      <formula>$JM157</formula>
    </cfRule>
    <cfRule type="cellIs" dxfId="1320" priority="297" operator="between">
      <formula>$JM157</formula>
      <formula>$JN157</formula>
    </cfRule>
    <cfRule type="cellIs" dxfId="1319" priority="298" operator="between">
      <formula>$JN157</formula>
      <formula>$JO157</formula>
    </cfRule>
    <cfRule type="cellIs" dxfId="1318" priority="299" operator="lessThanOrEqual">
      <formula>$JO157</formula>
    </cfRule>
  </conditionalFormatting>
  <conditionalFormatting sqref="EJ157:JD157">
    <cfRule type="expression" dxfId="1317" priority="300">
      <formula>IF(AND($I157="c",$EJ$2="kr"),TRUE,FALSE)</formula>
    </cfRule>
  </conditionalFormatting>
  <conditionalFormatting sqref="EJ173:IF173">
    <cfRule type="expression" priority="278" stopIfTrue="1">
      <formula>$JJ173&lt;4</formula>
    </cfRule>
    <cfRule type="expression" dxfId="1316" priority="279">
      <formula>IF(AND($I173="c",$EJ$2="£"),TRUE,FALSE)</formula>
    </cfRule>
    <cfRule type="expression" dxfId="1315" priority="280">
      <formula>IF(AND($I173="c",$EJ$2="€"),TRUE,FALSE)</formula>
    </cfRule>
    <cfRule type="expression" dxfId="1314" priority="281">
      <formula>IF(AND($I173="c",$EJ$2="¥"),TRUE,FALSE)</formula>
    </cfRule>
    <cfRule type="expression" dxfId="1313" priority="282">
      <formula>IF(AND($I173="c",$EJ$2="$"),TRUE,FALSE)</formula>
    </cfRule>
    <cfRule type="cellIs" dxfId="1312" priority="283" operator="greaterThan">
      <formula>$JL173</formula>
    </cfRule>
    <cfRule type="cellIs" dxfId="1311" priority="284" operator="between">
      <formula>$JL173</formula>
      <formula>$JM173</formula>
    </cfRule>
    <cfRule type="cellIs" dxfId="1310" priority="285" operator="between">
      <formula>$JM173</formula>
      <formula>$JN173</formula>
    </cfRule>
    <cfRule type="cellIs" dxfId="1309" priority="286" operator="between">
      <formula>$JN173</formula>
      <formula>$JO173</formula>
    </cfRule>
    <cfRule type="cellIs" dxfId="1308" priority="287" operator="lessThanOrEqual">
      <formula>$JO173</formula>
    </cfRule>
  </conditionalFormatting>
  <conditionalFormatting sqref="EJ173:JD173">
    <cfRule type="expression" dxfId="1307" priority="288">
      <formula>IF(AND($I173="c",$EJ$2="kr"),TRUE,FALSE)</formula>
    </cfRule>
  </conditionalFormatting>
  <conditionalFormatting sqref="EJ174:IF174">
    <cfRule type="expression" priority="266" stopIfTrue="1">
      <formula>$JJ174&lt;4</formula>
    </cfRule>
    <cfRule type="expression" dxfId="1306" priority="267">
      <formula>IF(AND($I174="c",$EJ$2="£"),TRUE,FALSE)</formula>
    </cfRule>
    <cfRule type="expression" dxfId="1305" priority="268">
      <formula>IF(AND($I174="c",$EJ$2="€"),TRUE,FALSE)</formula>
    </cfRule>
    <cfRule type="expression" dxfId="1304" priority="269">
      <formula>IF(AND($I174="c",$EJ$2="¥"),TRUE,FALSE)</formula>
    </cfRule>
    <cfRule type="expression" dxfId="1303" priority="270">
      <formula>IF(AND($I174="c",$EJ$2="$"),TRUE,FALSE)</formula>
    </cfRule>
    <cfRule type="cellIs" dxfId="1302" priority="271" operator="greaterThan">
      <formula>$JL174</formula>
    </cfRule>
    <cfRule type="cellIs" dxfId="1301" priority="272" operator="between">
      <formula>$JL174</formula>
      <formula>$JM174</formula>
    </cfRule>
    <cfRule type="cellIs" dxfId="1300" priority="273" operator="between">
      <formula>$JM174</formula>
      <formula>$JN174</formula>
    </cfRule>
    <cfRule type="cellIs" dxfId="1299" priority="274" operator="between">
      <formula>$JN174</formula>
      <formula>$JO174</formula>
    </cfRule>
    <cfRule type="cellIs" dxfId="1298" priority="275" operator="lessThanOrEqual">
      <formula>$JO174</formula>
    </cfRule>
  </conditionalFormatting>
  <conditionalFormatting sqref="EJ174:JD174">
    <cfRule type="expression" dxfId="1297" priority="276">
      <formula>IF(AND($I174="c",$EJ$2="kr"),TRUE,FALSE)</formula>
    </cfRule>
  </conditionalFormatting>
  <conditionalFormatting sqref="EJ175:IF175">
    <cfRule type="expression" priority="254" stopIfTrue="1">
      <formula>$JJ175&lt;4</formula>
    </cfRule>
    <cfRule type="expression" dxfId="1296" priority="255">
      <formula>IF(AND($I175="c",$EJ$2="£"),TRUE,FALSE)</formula>
    </cfRule>
    <cfRule type="expression" dxfId="1295" priority="256">
      <formula>IF(AND($I175="c",$EJ$2="€"),TRUE,FALSE)</formula>
    </cfRule>
    <cfRule type="expression" dxfId="1294" priority="257">
      <formula>IF(AND($I175="c",$EJ$2="¥"),TRUE,FALSE)</formula>
    </cfRule>
    <cfRule type="expression" dxfId="1293" priority="258">
      <formula>IF(AND($I175="c",$EJ$2="$"),TRUE,FALSE)</formula>
    </cfRule>
    <cfRule type="cellIs" dxfId="1292" priority="259" operator="greaterThan">
      <formula>$JL175</formula>
    </cfRule>
    <cfRule type="cellIs" dxfId="1291" priority="260" operator="between">
      <formula>$JL175</formula>
      <formula>$JM175</formula>
    </cfRule>
    <cfRule type="cellIs" dxfId="1290" priority="261" operator="between">
      <formula>$JM175</formula>
      <formula>$JN175</formula>
    </cfRule>
    <cfRule type="cellIs" dxfId="1289" priority="262" operator="between">
      <formula>$JN175</formula>
      <formula>$JO175</formula>
    </cfRule>
    <cfRule type="cellIs" dxfId="1288" priority="263" operator="lessThanOrEqual">
      <formula>$JO175</formula>
    </cfRule>
  </conditionalFormatting>
  <conditionalFormatting sqref="EJ175:JD175">
    <cfRule type="expression" dxfId="1287" priority="264">
      <formula>IF(AND($I175="c",$EJ$2="kr"),TRUE,FALSE)</formula>
    </cfRule>
  </conditionalFormatting>
  <conditionalFormatting sqref="EJ176:IF176">
    <cfRule type="expression" priority="242" stopIfTrue="1">
      <formula>$JJ176&lt;4</formula>
    </cfRule>
    <cfRule type="expression" dxfId="1286" priority="243">
      <formula>IF(AND($I176="c",$EJ$2="£"),TRUE,FALSE)</formula>
    </cfRule>
    <cfRule type="expression" dxfId="1285" priority="244">
      <formula>IF(AND($I176="c",$EJ$2="€"),TRUE,FALSE)</formula>
    </cfRule>
    <cfRule type="expression" dxfId="1284" priority="245">
      <formula>IF(AND($I176="c",$EJ$2="¥"),TRUE,FALSE)</formula>
    </cfRule>
    <cfRule type="expression" dxfId="1283" priority="246">
      <formula>IF(AND($I176="c",$EJ$2="$"),TRUE,FALSE)</formula>
    </cfRule>
    <cfRule type="cellIs" dxfId="1282" priority="247" operator="greaterThan">
      <formula>$JL176</formula>
    </cfRule>
    <cfRule type="cellIs" dxfId="1281" priority="248" operator="between">
      <formula>$JL176</formula>
      <formula>$JM176</formula>
    </cfRule>
    <cfRule type="cellIs" dxfId="1280" priority="249" operator="between">
      <formula>$JM176</formula>
      <formula>$JN176</formula>
    </cfRule>
    <cfRule type="cellIs" dxfId="1279" priority="250" operator="between">
      <formula>$JN176</formula>
      <formula>$JO176</formula>
    </cfRule>
    <cfRule type="cellIs" dxfId="1278" priority="251" operator="lessThanOrEqual">
      <formula>$JO176</formula>
    </cfRule>
  </conditionalFormatting>
  <conditionalFormatting sqref="EJ176:JD176">
    <cfRule type="expression" dxfId="1277" priority="252">
      <formula>IF(AND($I176="c",$EJ$2="kr"),TRUE,FALSE)</formula>
    </cfRule>
  </conditionalFormatting>
  <conditionalFormatting sqref="EJ177:IF177">
    <cfRule type="expression" priority="230" stopIfTrue="1">
      <formula>$JJ177&lt;4</formula>
    </cfRule>
    <cfRule type="expression" dxfId="1276" priority="231">
      <formula>IF(AND($I177="c",$EJ$2="£"),TRUE,FALSE)</formula>
    </cfRule>
    <cfRule type="expression" dxfId="1275" priority="232">
      <formula>IF(AND($I177="c",$EJ$2="€"),TRUE,FALSE)</formula>
    </cfRule>
    <cfRule type="expression" dxfId="1274" priority="233">
      <formula>IF(AND($I177="c",$EJ$2="¥"),TRUE,FALSE)</formula>
    </cfRule>
    <cfRule type="expression" dxfId="1273" priority="234">
      <formula>IF(AND($I177="c",$EJ$2="$"),TRUE,FALSE)</formula>
    </cfRule>
    <cfRule type="cellIs" dxfId="1272" priority="235" operator="greaterThan">
      <formula>$JL177</formula>
    </cfRule>
    <cfRule type="cellIs" dxfId="1271" priority="236" operator="between">
      <formula>$JL177</formula>
      <formula>$JM177</formula>
    </cfRule>
    <cfRule type="cellIs" dxfId="1270" priority="237" operator="between">
      <formula>$JM177</formula>
      <formula>$JN177</formula>
    </cfRule>
    <cfRule type="cellIs" dxfId="1269" priority="238" operator="between">
      <formula>$JN177</formula>
      <formula>$JO177</formula>
    </cfRule>
    <cfRule type="cellIs" dxfId="1268" priority="239" operator="lessThanOrEqual">
      <formula>$JO177</formula>
    </cfRule>
  </conditionalFormatting>
  <conditionalFormatting sqref="EJ177:JD177">
    <cfRule type="expression" dxfId="1267" priority="240">
      <formula>IF(AND($I177="c",$EJ$2="kr"),TRUE,FALSE)</formula>
    </cfRule>
  </conditionalFormatting>
  <conditionalFormatting sqref="EJ178:IF178">
    <cfRule type="expression" priority="218" stopIfTrue="1">
      <formula>$JJ178&lt;4</formula>
    </cfRule>
    <cfRule type="expression" dxfId="1266" priority="219">
      <formula>IF(AND($I178="c",$EJ$2="£"),TRUE,FALSE)</formula>
    </cfRule>
    <cfRule type="expression" dxfId="1265" priority="220">
      <formula>IF(AND($I178="c",$EJ$2="€"),TRUE,FALSE)</formula>
    </cfRule>
    <cfRule type="expression" dxfId="1264" priority="221">
      <formula>IF(AND($I178="c",$EJ$2="¥"),TRUE,FALSE)</formula>
    </cfRule>
    <cfRule type="expression" dxfId="1263" priority="222">
      <formula>IF(AND($I178="c",$EJ$2="$"),TRUE,FALSE)</formula>
    </cfRule>
    <cfRule type="cellIs" dxfId="1262" priority="223" operator="greaterThan">
      <formula>$JL178</formula>
    </cfRule>
    <cfRule type="cellIs" dxfId="1261" priority="224" operator="between">
      <formula>$JL178</formula>
      <formula>$JM178</formula>
    </cfRule>
    <cfRule type="cellIs" dxfId="1260" priority="225" operator="between">
      <formula>$JM178</formula>
      <formula>$JN178</formula>
    </cfRule>
    <cfRule type="cellIs" dxfId="1259" priority="226" operator="between">
      <formula>$JN178</formula>
      <formula>$JO178</formula>
    </cfRule>
    <cfRule type="cellIs" dxfId="1258" priority="227" operator="lessThanOrEqual">
      <formula>$JO178</formula>
    </cfRule>
  </conditionalFormatting>
  <conditionalFormatting sqref="EJ178:JD178">
    <cfRule type="expression" dxfId="1257" priority="228">
      <formula>IF(AND($I178="c",$EJ$2="kr"),TRUE,FALSE)</formula>
    </cfRule>
  </conditionalFormatting>
  <conditionalFormatting sqref="EJ179:IF179">
    <cfRule type="expression" priority="206" stopIfTrue="1">
      <formula>$JJ179&lt;4</formula>
    </cfRule>
    <cfRule type="expression" dxfId="1256" priority="207">
      <formula>IF(AND($I179="c",$EJ$2="£"),TRUE,FALSE)</formula>
    </cfRule>
    <cfRule type="expression" dxfId="1255" priority="208">
      <formula>IF(AND($I179="c",$EJ$2="€"),TRUE,FALSE)</formula>
    </cfRule>
    <cfRule type="expression" dxfId="1254" priority="209">
      <formula>IF(AND($I179="c",$EJ$2="¥"),TRUE,FALSE)</formula>
    </cfRule>
    <cfRule type="expression" dxfId="1253" priority="210">
      <formula>IF(AND($I179="c",$EJ$2="$"),TRUE,FALSE)</formula>
    </cfRule>
    <cfRule type="cellIs" dxfId="1252" priority="211" operator="greaterThan">
      <formula>$JL179</formula>
    </cfRule>
    <cfRule type="cellIs" dxfId="1251" priority="212" operator="between">
      <formula>$JL179</formula>
      <formula>$JM179</formula>
    </cfRule>
    <cfRule type="cellIs" dxfId="1250" priority="213" operator="between">
      <formula>$JM179</formula>
      <formula>$JN179</formula>
    </cfRule>
    <cfRule type="cellIs" dxfId="1249" priority="214" operator="between">
      <formula>$JN179</formula>
      <formula>$JO179</formula>
    </cfRule>
    <cfRule type="cellIs" dxfId="1248" priority="215" operator="lessThanOrEqual">
      <formula>$JO179</formula>
    </cfRule>
  </conditionalFormatting>
  <conditionalFormatting sqref="EJ179:JD179">
    <cfRule type="expression" dxfId="1247" priority="216">
      <formula>IF(AND($I179="c",$EJ$2="kr"),TRUE,FALSE)</formula>
    </cfRule>
  </conditionalFormatting>
  <conditionalFormatting sqref="EJ184:IF184">
    <cfRule type="expression" priority="194" stopIfTrue="1">
      <formula>$JJ184&lt;4</formula>
    </cfRule>
    <cfRule type="expression" dxfId="1246" priority="195">
      <formula>IF(AND($I184="c",$EJ$2="£"),TRUE,FALSE)</formula>
    </cfRule>
    <cfRule type="expression" dxfId="1245" priority="196">
      <formula>IF(AND($I184="c",$EJ$2="€"),TRUE,FALSE)</formula>
    </cfRule>
    <cfRule type="expression" dxfId="1244" priority="197">
      <formula>IF(AND($I184="c",$EJ$2="¥"),TRUE,FALSE)</formula>
    </cfRule>
    <cfRule type="expression" dxfId="1243" priority="198">
      <formula>IF(AND($I184="c",$EJ$2="$"),TRUE,FALSE)</formula>
    </cfRule>
    <cfRule type="cellIs" dxfId="1242" priority="199" operator="greaterThan">
      <formula>$JL184</formula>
    </cfRule>
    <cfRule type="cellIs" dxfId="1241" priority="200" operator="between">
      <formula>$JL184</formula>
      <formula>$JM184</formula>
    </cfRule>
    <cfRule type="cellIs" dxfId="1240" priority="201" operator="between">
      <formula>$JM184</formula>
      <formula>$JN184</formula>
    </cfRule>
    <cfRule type="cellIs" dxfId="1239" priority="202" operator="between">
      <formula>$JN184</formula>
      <formula>$JO184</formula>
    </cfRule>
    <cfRule type="cellIs" dxfId="1238" priority="203" operator="lessThanOrEqual">
      <formula>$JO184</formula>
    </cfRule>
  </conditionalFormatting>
  <conditionalFormatting sqref="EJ184:JD184">
    <cfRule type="expression" dxfId="1237" priority="204">
      <formula>IF(AND($I184="c",$EJ$2="kr"),TRUE,FALSE)</formula>
    </cfRule>
  </conditionalFormatting>
  <conditionalFormatting sqref="EJ185:IF185">
    <cfRule type="expression" priority="182" stopIfTrue="1">
      <formula>$JJ185&lt;4</formula>
    </cfRule>
    <cfRule type="expression" dxfId="1236" priority="183">
      <formula>IF(AND($I185="c",$EJ$2="£"),TRUE,FALSE)</formula>
    </cfRule>
    <cfRule type="expression" dxfId="1235" priority="184">
      <formula>IF(AND($I185="c",$EJ$2="€"),TRUE,FALSE)</formula>
    </cfRule>
    <cfRule type="expression" dxfId="1234" priority="185">
      <formula>IF(AND($I185="c",$EJ$2="¥"),TRUE,FALSE)</formula>
    </cfRule>
    <cfRule type="expression" dxfId="1233" priority="186">
      <formula>IF(AND($I185="c",$EJ$2="$"),TRUE,FALSE)</formula>
    </cfRule>
    <cfRule type="cellIs" dxfId="1232" priority="187" operator="greaterThan">
      <formula>$JL185</formula>
    </cfRule>
    <cfRule type="cellIs" dxfId="1231" priority="188" operator="between">
      <formula>$JL185</formula>
      <formula>$JM185</formula>
    </cfRule>
    <cfRule type="cellIs" dxfId="1230" priority="189" operator="between">
      <formula>$JM185</formula>
      <formula>$JN185</formula>
    </cfRule>
    <cfRule type="cellIs" dxfId="1229" priority="190" operator="between">
      <formula>$JN185</formula>
      <formula>$JO185</formula>
    </cfRule>
    <cfRule type="cellIs" dxfId="1228" priority="191" operator="lessThanOrEqual">
      <formula>$JO185</formula>
    </cfRule>
  </conditionalFormatting>
  <conditionalFormatting sqref="EJ185:JD185">
    <cfRule type="expression" dxfId="1227" priority="192">
      <formula>IF(AND($I185="c",$EJ$2="kr"),TRUE,FALSE)</formula>
    </cfRule>
  </conditionalFormatting>
  <conditionalFormatting sqref="EJ186:IF186">
    <cfRule type="expression" priority="170" stopIfTrue="1">
      <formula>$JJ186&lt;4</formula>
    </cfRule>
    <cfRule type="expression" dxfId="1226" priority="171">
      <formula>IF(AND($I186="c",$EJ$2="£"),TRUE,FALSE)</formula>
    </cfRule>
    <cfRule type="expression" dxfId="1225" priority="172">
      <formula>IF(AND($I186="c",$EJ$2="€"),TRUE,FALSE)</formula>
    </cfRule>
    <cfRule type="expression" dxfId="1224" priority="173">
      <formula>IF(AND($I186="c",$EJ$2="¥"),TRUE,FALSE)</formula>
    </cfRule>
    <cfRule type="expression" dxfId="1223" priority="174">
      <formula>IF(AND($I186="c",$EJ$2="$"),TRUE,FALSE)</formula>
    </cfRule>
    <cfRule type="cellIs" dxfId="1222" priority="175" operator="greaterThan">
      <formula>$JL186</formula>
    </cfRule>
    <cfRule type="cellIs" dxfId="1221" priority="176" operator="between">
      <formula>$JL186</formula>
      <formula>$JM186</formula>
    </cfRule>
    <cfRule type="cellIs" dxfId="1220" priority="177" operator="between">
      <formula>$JM186</formula>
      <formula>$JN186</formula>
    </cfRule>
    <cfRule type="cellIs" dxfId="1219" priority="178" operator="between">
      <formula>$JN186</formula>
      <formula>$JO186</formula>
    </cfRule>
    <cfRule type="cellIs" dxfId="1218" priority="179" operator="lessThanOrEqual">
      <formula>$JO186</formula>
    </cfRule>
  </conditionalFormatting>
  <conditionalFormatting sqref="EJ186:JD186">
    <cfRule type="expression" dxfId="1217" priority="180">
      <formula>IF(AND($I186="c",$EJ$2="kr"),TRUE,FALSE)</formula>
    </cfRule>
  </conditionalFormatting>
  <conditionalFormatting sqref="EJ187:IF187">
    <cfRule type="expression" priority="158" stopIfTrue="1">
      <formula>$JJ187&lt;4</formula>
    </cfRule>
    <cfRule type="expression" dxfId="1216" priority="159">
      <formula>IF(AND($I187="c",$EJ$2="£"),TRUE,FALSE)</formula>
    </cfRule>
    <cfRule type="expression" dxfId="1215" priority="160">
      <formula>IF(AND($I187="c",$EJ$2="€"),TRUE,FALSE)</formula>
    </cfRule>
    <cfRule type="expression" dxfId="1214" priority="161">
      <formula>IF(AND($I187="c",$EJ$2="¥"),TRUE,FALSE)</formula>
    </cfRule>
    <cfRule type="expression" dxfId="1213" priority="162">
      <formula>IF(AND($I187="c",$EJ$2="$"),TRUE,FALSE)</formula>
    </cfRule>
    <cfRule type="cellIs" dxfId="1212" priority="163" operator="greaterThan">
      <formula>$JL187</formula>
    </cfRule>
    <cfRule type="cellIs" dxfId="1211" priority="164" operator="between">
      <formula>$JL187</formula>
      <formula>$JM187</formula>
    </cfRule>
    <cfRule type="cellIs" dxfId="1210" priority="165" operator="between">
      <formula>$JM187</formula>
      <formula>$JN187</formula>
    </cfRule>
    <cfRule type="cellIs" dxfId="1209" priority="166" operator="between">
      <formula>$JN187</formula>
      <formula>$JO187</formula>
    </cfRule>
    <cfRule type="cellIs" dxfId="1208" priority="167" operator="lessThanOrEqual">
      <formula>$JO187</formula>
    </cfRule>
  </conditionalFormatting>
  <conditionalFormatting sqref="EJ187:JD187">
    <cfRule type="expression" dxfId="1207" priority="168">
      <formula>IF(AND($I187="c",$EJ$2="kr"),TRUE,FALSE)</formula>
    </cfRule>
  </conditionalFormatting>
  <conditionalFormatting sqref="EJ188:IF188">
    <cfRule type="expression" priority="146" stopIfTrue="1">
      <formula>$JJ188&lt;4</formula>
    </cfRule>
    <cfRule type="expression" dxfId="1206" priority="147">
      <formula>IF(AND($I188="c",$EJ$2="£"),TRUE,FALSE)</formula>
    </cfRule>
    <cfRule type="expression" dxfId="1205" priority="148">
      <formula>IF(AND($I188="c",$EJ$2="€"),TRUE,FALSE)</formula>
    </cfRule>
    <cfRule type="expression" dxfId="1204" priority="149">
      <formula>IF(AND($I188="c",$EJ$2="¥"),TRUE,FALSE)</formula>
    </cfRule>
    <cfRule type="expression" dxfId="1203" priority="150">
      <formula>IF(AND($I188="c",$EJ$2="$"),TRUE,FALSE)</formula>
    </cfRule>
    <cfRule type="cellIs" dxfId="1202" priority="151" operator="greaterThan">
      <formula>$JL188</formula>
    </cfRule>
    <cfRule type="cellIs" dxfId="1201" priority="152" operator="between">
      <formula>$JL188</formula>
      <formula>$JM188</formula>
    </cfRule>
    <cfRule type="cellIs" dxfId="1200" priority="153" operator="between">
      <formula>$JM188</formula>
      <formula>$JN188</formula>
    </cfRule>
    <cfRule type="cellIs" dxfId="1199" priority="154" operator="between">
      <formula>$JN188</formula>
      <formula>$JO188</formula>
    </cfRule>
    <cfRule type="cellIs" dxfId="1198" priority="155" operator="lessThanOrEqual">
      <formula>$JO188</formula>
    </cfRule>
  </conditionalFormatting>
  <conditionalFormatting sqref="EJ188:JD188">
    <cfRule type="expression" dxfId="1197" priority="156">
      <formula>IF(AND($I188="c",$EJ$2="kr"),TRUE,FALSE)</formula>
    </cfRule>
  </conditionalFormatting>
  <conditionalFormatting sqref="EJ189:IF189">
    <cfRule type="expression" priority="134" stopIfTrue="1">
      <formula>$JJ189&lt;4</formula>
    </cfRule>
    <cfRule type="expression" dxfId="1196" priority="135">
      <formula>IF(AND($I189="c",$EJ$2="£"),TRUE,FALSE)</formula>
    </cfRule>
    <cfRule type="expression" dxfId="1195" priority="136">
      <formula>IF(AND($I189="c",$EJ$2="€"),TRUE,FALSE)</formula>
    </cfRule>
    <cfRule type="expression" dxfId="1194" priority="137">
      <formula>IF(AND($I189="c",$EJ$2="¥"),TRUE,FALSE)</formula>
    </cfRule>
    <cfRule type="expression" dxfId="1193" priority="138">
      <formula>IF(AND($I189="c",$EJ$2="$"),TRUE,FALSE)</formula>
    </cfRule>
    <cfRule type="cellIs" dxfId="1192" priority="139" operator="greaterThan">
      <formula>$JL189</formula>
    </cfRule>
    <cfRule type="cellIs" dxfId="1191" priority="140" operator="between">
      <formula>$JL189</formula>
      <formula>$JM189</formula>
    </cfRule>
    <cfRule type="cellIs" dxfId="1190" priority="141" operator="between">
      <formula>$JM189</formula>
      <formula>$JN189</formula>
    </cfRule>
    <cfRule type="cellIs" dxfId="1189" priority="142" operator="between">
      <formula>$JN189</formula>
      <formula>$JO189</formula>
    </cfRule>
    <cfRule type="cellIs" dxfId="1188" priority="143" operator="lessThanOrEqual">
      <formula>$JO189</formula>
    </cfRule>
  </conditionalFormatting>
  <conditionalFormatting sqref="EJ189:JD189">
    <cfRule type="expression" dxfId="1187" priority="144">
      <formula>IF(AND($I189="c",$EJ$2="kr"),TRUE,FALSE)</formula>
    </cfRule>
  </conditionalFormatting>
  <conditionalFormatting sqref="EJ190:IF190">
    <cfRule type="expression" priority="122" stopIfTrue="1">
      <formula>$JJ190&lt;4</formula>
    </cfRule>
    <cfRule type="expression" dxfId="1186" priority="123">
      <formula>IF(AND($I190="c",$EJ$2="£"),TRUE,FALSE)</formula>
    </cfRule>
    <cfRule type="expression" dxfId="1185" priority="124">
      <formula>IF(AND($I190="c",$EJ$2="€"),TRUE,FALSE)</formula>
    </cfRule>
    <cfRule type="expression" dxfId="1184" priority="125">
      <formula>IF(AND($I190="c",$EJ$2="¥"),TRUE,FALSE)</formula>
    </cfRule>
    <cfRule type="expression" dxfId="1183" priority="126">
      <formula>IF(AND($I190="c",$EJ$2="$"),TRUE,FALSE)</formula>
    </cfRule>
    <cfRule type="cellIs" dxfId="1182" priority="127" operator="greaterThan">
      <formula>$JL190</formula>
    </cfRule>
    <cfRule type="cellIs" dxfId="1181" priority="128" operator="between">
      <formula>$JL190</formula>
      <formula>$JM190</formula>
    </cfRule>
    <cfRule type="cellIs" dxfId="1180" priority="129" operator="between">
      <formula>$JM190</formula>
      <formula>$JN190</formula>
    </cfRule>
    <cfRule type="cellIs" dxfId="1179" priority="130" operator="between">
      <formula>$JN190</formula>
      <formula>$JO190</formula>
    </cfRule>
    <cfRule type="cellIs" dxfId="1178" priority="131" operator="lessThanOrEqual">
      <formula>$JO190</formula>
    </cfRule>
  </conditionalFormatting>
  <conditionalFormatting sqref="EJ190:JD190">
    <cfRule type="expression" dxfId="1177" priority="132">
      <formula>IF(AND($I190="c",$EJ$2="kr"),TRUE,FALSE)</formula>
    </cfRule>
  </conditionalFormatting>
  <conditionalFormatting sqref="EJ191:IF192">
    <cfRule type="expression" priority="110" stopIfTrue="1">
      <formula>$JJ191&lt;4</formula>
    </cfRule>
    <cfRule type="expression" dxfId="1176" priority="111">
      <formula>IF(AND($I191="c",$EJ$2="£"),TRUE,FALSE)</formula>
    </cfRule>
    <cfRule type="expression" dxfId="1175" priority="112">
      <formula>IF(AND($I191="c",$EJ$2="€"),TRUE,FALSE)</formula>
    </cfRule>
    <cfRule type="expression" dxfId="1174" priority="113">
      <formula>IF(AND($I191="c",$EJ$2="¥"),TRUE,FALSE)</formula>
    </cfRule>
    <cfRule type="expression" dxfId="1173" priority="114">
      <formula>IF(AND($I191="c",$EJ$2="$"),TRUE,FALSE)</formula>
    </cfRule>
    <cfRule type="cellIs" dxfId="1172" priority="115" operator="greaterThan">
      <formula>$JL191</formula>
    </cfRule>
    <cfRule type="cellIs" dxfId="1171" priority="116" operator="between">
      <formula>$JL191</formula>
      <formula>$JM191</formula>
    </cfRule>
    <cfRule type="cellIs" dxfId="1170" priority="117" operator="between">
      <formula>$JM191</formula>
      <formula>$JN191</formula>
    </cfRule>
    <cfRule type="cellIs" dxfId="1169" priority="118" operator="between">
      <formula>$JN191</formula>
      <formula>$JO191</formula>
    </cfRule>
    <cfRule type="cellIs" dxfId="1168" priority="119" operator="lessThanOrEqual">
      <formula>$JO191</formula>
    </cfRule>
  </conditionalFormatting>
  <conditionalFormatting sqref="EJ191:JD192">
    <cfRule type="expression" dxfId="1167" priority="120">
      <formula>IF(AND($I191="c",$EJ$2="kr"),TRUE,FALSE)</formula>
    </cfRule>
  </conditionalFormatting>
  <conditionalFormatting sqref="EJ94:IF94">
    <cfRule type="expression" priority="98">
      <formula>$JJ94&lt;4</formula>
    </cfRule>
    <cfRule type="expression" dxfId="1166" priority="100">
      <formula>IF(AND($I94="c",$EJ$2="£"),TRUE,FALSE)</formula>
    </cfRule>
    <cfRule type="expression" dxfId="1165" priority="101">
      <formula>IF(AND($I94="c",$EJ$2="€"),TRUE,FALSE)</formula>
    </cfRule>
    <cfRule type="expression" dxfId="1164" priority="102">
      <formula>IF(AND($I94="c",$EJ$2="¥"),TRUE,FALSE)</formula>
    </cfRule>
    <cfRule type="expression" dxfId="1163" priority="103">
      <formula>IF(AND($I94="c",$EJ$2="$"),TRUE,FALSE)</formula>
    </cfRule>
    <cfRule type="cellIs" dxfId="1162" priority="104" operator="lessThan">
      <formula>$JL94</formula>
    </cfRule>
    <cfRule type="cellIs" dxfId="1161" priority="105" operator="between">
      <formula>$JL94</formula>
      <formula>$JM94</formula>
    </cfRule>
    <cfRule type="cellIs" dxfId="1160" priority="106" operator="between">
      <formula>$JM94</formula>
      <formula>$JN94</formula>
    </cfRule>
    <cfRule type="cellIs" dxfId="1159" priority="107" operator="between">
      <formula>$JN94</formula>
      <formula>$JO94</formula>
    </cfRule>
    <cfRule type="cellIs" dxfId="1158" priority="108" operator="greaterThanOrEqual">
      <formula>$JO94</formula>
    </cfRule>
  </conditionalFormatting>
  <conditionalFormatting sqref="EJ94:IF94">
    <cfRule type="expression" dxfId="1157" priority="99">
      <formula>IF(AND($I94="c",$EJ$2="kr"),TRUE,FALSE)</formula>
    </cfRule>
  </conditionalFormatting>
  <conditionalFormatting sqref="EJ95:IF95">
    <cfRule type="expression" priority="86">
      <formula>$JJ95&lt;4</formula>
    </cfRule>
    <cfRule type="expression" dxfId="1156" priority="88">
      <formula>IF(AND($I95="c",$EJ$2="£"),TRUE,FALSE)</formula>
    </cfRule>
    <cfRule type="expression" dxfId="1155" priority="89">
      <formula>IF(AND($I95="c",$EJ$2="€"),TRUE,FALSE)</formula>
    </cfRule>
    <cfRule type="expression" dxfId="1154" priority="90">
      <formula>IF(AND($I95="c",$EJ$2="¥"),TRUE,FALSE)</formula>
    </cfRule>
    <cfRule type="expression" dxfId="1153" priority="91">
      <formula>IF(AND($I95="c",$EJ$2="$"),TRUE,FALSE)</formula>
    </cfRule>
    <cfRule type="cellIs" dxfId="1152" priority="92" operator="lessThan">
      <formula>$JL95</formula>
    </cfRule>
    <cfRule type="cellIs" dxfId="1151" priority="93" operator="between">
      <formula>$JL95</formula>
      <formula>$JM95</formula>
    </cfRule>
    <cfRule type="cellIs" dxfId="1150" priority="94" operator="between">
      <formula>$JM95</formula>
      <formula>$JN95</formula>
    </cfRule>
    <cfRule type="cellIs" dxfId="1149" priority="95" operator="between">
      <formula>$JN95</formula>
      <formula>$JO95</formula>
    </cfRule>
    <cfRule type="cellIs" dxfId="1148" priority="96" operator="greaterThanOrEqual">
      <formula>$JO95</formula>
    </cfRule>
  </conditionalFormatting>
  <conditionalFormatting sqref="EJ95:IF95">
    <cfRule type="expression" dxfId="1147" priority="87">
      <formula>IF(AND($I95="c",$EJ$2="kr"),TRUE,FALSE)</formula>
    </cfRule>
  </conditionalFormatting>
  <conditionalFormatting sqref="EJ96:IF96">
    <cfRule type="expression" priority="74">
      <formula>$JJ96&lt;4</formula>
    </cfRule>
    <cfRule type="expression" dxfId="1146" priority="76">
      <formula>IF(AND($I96="c",$EJ$2="£"),TRUE,FALSE)</formula>
    </cfRule>
    <cfRule type="expression" dxfId="1145" priority="77">
      <formula>IF(AND($I96="c",$EJ$2="€"),TRUE,FALSE)</formula>
    </cfRule>
    <cfRule type="expression" dxfId="1144" priority="78">
      <formula>IF(AND($I96="c",$EJ$2="¥"),TRUE,FALSE)</formula>
    </cfRule>
    <cfRule type="expression" dxfId="1143" priority="79">
      <formula>IF(AND($I96="c",$EJ$2="$"),TRUE,FALSE)</formula>
    </cfRule>
    <cfRule type="cellIs" dxfId="1142" priority="80" operator="lessThan">
      <formula>$JL96</formula>
    </cfRule>
    <cfRule type="cellIs" dxfId="1141" priority="81" operator="between">
      <formula>$JL96</formula>
      <formula>$JM96</formula>
    </cfRule>
    <cfRule type="cellIs" dxfId="1140" priority="82" operator="between">
      <formula>$JM96</formula>
      <formula>$JN96</formula>
    </cfRule>
    <cfRule type="cellIs" dxfId="1139" priority="83" operator="between">
      <formula>$JN96</formula>
      <formula>$JO96</formula>
    </cfRule>
    <cfRule type="cellIs" dxfId="1138" priority="84" operator="greaterThanOrEqual">
      <formula>$JO96</formula>
    </cfRule>
  </conditionalFormatting>
  <conditionalFormatting sqref="EJ96:IF96">
    <cfRule type="expression" dxfId="1137" priority="75">
      <formula>IF(AND($I96="c",$EJ$2="kr"),TRUE,FALSE)</formula>
    </cfRule>
  </conditionalFormatting>
  <conditionalFormatting sqref="EJ97:IF97">
    <cfRule type="expression" priority="62">
      <formula>$JJ97&lt;4</formula>
    </cfRule>
    <cfRule type="expression" dxfId="1136" priority="64">
      <formula>IF(AND($I97="c",$EJ$2="£"),TRUE,FALSE)</formula>
    </cfRule>
    <cfRule type="expression" dxfId="1135" priority="65">
      <formula>IF(AND($I97="c",$EJ$2="€"),TRUE,FALSE)</formula>
    </cfRule>
    <cfRule type="expression" dxfId="1134" priority="66">
      <formula>IF(AND($I97="c",$EJ$2="¥"),TRUE,FALSE)</formula>
    </cfRule>
    <cfRule type="expression" dxfId="1133" priority="67">
      <formula>IF(AND($I97="c",$EJ$2="$"),TRUE,FALSE)</formula>
    </cfRule>
    <cfRule type="cellIs" dxfId="1132" priority="68" operator="lessThan">
      <formula>$JL97</formula>
    </cfRule>
    <cfRule type="cellIs" dxfId="1131" priority="69" operator="between">
      <formula>$JL97</formula>
      <formula>$JM97</formula>
    </cfRule>
    <cfRule type="cellIs" dxfId="1130" priority="70" operator="between">
      <formula>$JM97</formula>
      <formula>$JN97</formula>
    </cfRule>
    <cfRule type="cellIs" dxfId="1129" priority="71" operator="between">
      <formula>$JN97</formula>
      <formula>$JO97</formula>
    </cfRule>
    <cfRule type="cellIs" dxfId="1128" priority="72" operator="greaterThanOrEqual">
      <formula>$JO97</formula>
    </cfRule>
  </conditionalFormatting>
  <conditionalFormatting sqref="EJ97:IF97">
    <cfRule type="expression" dxfId="1127" priority="63">
      <formula>IF(AND($I97="c",$EJ$2="kr"),TRUE,FALSE)</formula>
    </cfRule>
  </conditionalFormatting>
  <conditionalFormatting sqref="EJ98:IF98">
    <cfRule type="expression" priority="50">
      <formula>$JJ98&lt;4</formula>
    </cfRule>
    <cfRule type="expression" dxfId="1126" priority="52">
      <formula>IF(AND($I98="c",$EJ$2="£"),TRUE,FALSE)</formula>
    </cfRule>
    <cfRule type="expression" dxfId="1125" priority="53">
      <formula>IF(AND($I98="c",$EJ$2="€"),TRUE,FALSE)</formula>
    </cfRule>
    <cfRule type="expression" dxfId="1124" priority="54">
      <formula>IF(AND($I98="c",$EJ$2="¥"),TRUE,FALSE)</formula>
    </cfRule>
    <cfRule type="expression" dxfId="1123" priority="55">
      <formula>IF(AND($I98="c",$EJ$2="$"),TRUE,FALSE)</formula>
    </cfRule>
    <cfRule type="cellIs" dxfId="1122" priority="56" operator="lessThan">
      <formula>$JL98</formula>
    </cfRule>
    <cfRule type="cellIs" dxfId="1121" priority="57" operator="between">
      <formula>$JL98</formula>
      <formula>$JM98</formula>
    </cfRule>
    <cfRule type="cellIs" dxfId="1120" priority="58" operator="between">
      <formula>$JM98</formula>
      <formula>$JN98</formula>
    </cfRule>
    <cfRule type="cellIs" dxfId="1119" priority="59" operator="between">
      <formula>$JN98</formula>
      <formula>$JO98</formula>
    </cfRule>
    <cfRule type="cellIs" dxfId="1118" priority="60" operator="greaterThanOrEqual">
      <formula>$JO98</formula>
    </cfRule>
  </conditionalFormatting>
  <conditionalFormatting sqref="EJ98:IF98">
    <cfRule type="expression" dxfId="1117" priority="51">
      <formula>IF(AND($I98="c",$EJ$2="kr"),TRUE,FALSE)</formula>
    </cfRule>
  </conditionalFormatting>
  <conditionalFormatting sqref="EJ99:IF99">
    <cfRule type="expression" priority="38">
      <formula>$JJ99&lt;4</formula>
    </cfRule>
    <cfRule type="expression" dxfId="1116" priority="40">
      <formula>IF(AND($I99="c",$EJ$2="£"),TRUE,FALSE)</formula>
    </cfRule>
    <cfRule type="expression" dxfId="1115" priority="41">
      <formula>IF(AND($I99="c",$EJ$2="€"),TRUE,FALSE)</formula>
    </cfRule>
    <cfRule type="expression" dxfId="1114" priority="42">
      <formula>IF(AND($I99="c",$EJ$2="¥"),TRUE,FALSE)</formula>
    </cfRule>
    <cfRule type="expression" dxfId="1113" priority="43">
      <formula>IF(AND($I99="c",$EJ$2="$"),TRUE,FALSE)</formula>
    </cfRule>
    <cfRule type="cellIs" dxfId="1112" priority="44" operator="lessThan">
      <formula>$JL99</formula>
    </cfRule>
    <cfRule type="cellIs" dxfId="1111" priority="45" operator="between">
      <formula>$JL99</formula>
      <formula>$JM99</formula>
    </cfRule>
    <cfRule type="cellIs" dxfId="1110" priority="46" operator="between">
      <formula>$JM99</formula>
      <formula>$JN99</formula>
    </cfRule>
    <cfRule type="cellIs" dxfId="1109" priority="47" operator="between">
      <formula>$JN99</formula>
      <formula>$JO99</formula>
    </cfRule>
    <cfRule type="cellIs" dxfId="1108" priority="48" operator="greaterThanOrEqual">
      <formula>$JO99</formula>
    </cfRule>
  </conditionalFormatting>
  <conditionalFormatting sqref="EJ99:IF99">
    <cfRule type="expression" dxfId="1107" priority="39">
      <formula>IF(AND($I99="c",$EJ$2="kr"),TRUE,FALSE)</formula>
    </cfRule>
  </conditionalFormatting>
  <conditionalFormatting sqref="EJ100:IF100">
    <cfRule type="expression" priority="26">
      <formula>$JJ100&lt;4</formula>
    </cfRule>
    <cfRule type="expression" dxfId="1106" priority="28">
      <formula>IF(AND($I100="c",$EJ$2="£"),TRUE,FALSE)</formula>
    </cfRule>
    <cfRule type="expression" dxfId="1105" priority="29">
      <formula>IF(AND($I100="c",$EJ$2="€"),TRUE,FALSE)</formula>
    </cfRule>
    <cfRule type="expression" dxfId="1104" priority="30">
      <formula>IF(AND($I100="c",$EJ$2="¥"),TRUE,FALSE)</formula>
    </cfRule>
    <cfRule type="expression" dxfId="1103" priority="31">
      <formula>IF(AND($I100="c",$EJ$2="$"),TRUE,FALSE)</formula>
    </cfRule>
    <cfRule type="cellIs" dxfId="1102" priority="32" operator="lessThan">
      <formula>$JL100</formula>
    </cfRule>
    <cfRule type="cellIs" dxfId="1101" priority="33" operator="between">
      <formula>$JL100</formula>
      <formula>$JM100</formula>
    </cfRule>
    <cfRule type="cellIs" dxfId="1100" priority="34" operator="between">
      <formula>$JM100</formula>
      <formula>$JN100</formula>
    </cfRule>
    <cfRule type="cellIs" dxfId="1099" priority="35" operator="between">
      <formula>$JN100</formula>
      <formula>$JO100</formula>
    </cfRule>
    <cfRule type="cellIs" dxfId="1098" priority="36" operator="greaterThanOrEqual">
      <formula>$JO100</formula>
    </cfRule>
  </conditionalFormatting>
  <conditionalFormatting sqref="EJ100:IF100">
    <cfRule type="expression" dxfId="1097" priority="27">
      <formula>IF(AND($I100="c",$EJ$2="kr"),TRUE,FALSE)</formula>
    </cfRule>
  </conditionalFormatting>
  <conditionalFormatting sqref="EJ101:IF101">
    <cfRule type="expression" priority="14">
      <formula>$JJ101&lt;4</formula>
    </cfRule>
    <cfRule type="expression" dxfId="1096" priority="16">
      <formula>IF(AND($I101="c",$EJ$2="£"),TRUE,FALSE)</formula>
    </cfRule>
    <cfRule type="expression" dxfId="1095" priority="17">
      <formula>IF(AND($I101="c",$EJ$2="€"),TRUE,FALSE)</formula>
    </cfRule>
    <cfRule type="expression" dxfId="1094" priority="18">
      <formula>IF(AND($I101="c",$EJ$2="¥"),TRUE,FALSE)</formula>
    </cfRule>
    <cfRule type="expression" dxfId="1093" priority="19">
      <formula>IF(AND($I101="c",$EJ$2="$"),TRUE,FALSE)</formula>
    </cfRule>
    <cfRule type="cellIs" dxfId="1092" priority="20" operator="lessThan">
      <formula>$JL101</formula>
    </cfRule>
    <cfRule type="cellIs" dxfId="1091" priority="21" operator="between">
      <formula>$JL101</formula>
      <formula>$JM101</formula>
    </cfRule>
    <cfRule type="cellIs" dxfId="1090" priority="22" operator="between">
      <formula>$JM101</formula>
      <formula>$JN101</formula>
    </cfRule>
    <cfRule type="cellIs" dxfId="1089" priority="23" operator="between">
      <formula>$JN101</formula>
      <formula>$JO101</formula>
    </cfRule>
    <cfRule type="cellIs" dxfId="1088" priority="24" operator="greaterThanOrEqual">
      <formula>$JO101</formula>
    </cfRule>
  </conditionalFormatting>
  <conditionalFormatting sqref="EJ101:IF101">
    <cfRule type="expression" dxfId="1087" priority="15">
      <formula>IF(AND($I101="c",$EJ$2="kr"),TRUE,FALSE)</formula>
    </cfRule>
  </conditionalFormatting>
  <conditionalFormatting sqref="EJ102:IF102">
    <cfRule type="expression" priority="2">
      <formula>$JJ102&lt;4</formula>
    </cfRule>
    <cfRule type="expression" dxfId="1086" priority="4">
      <formula>IF(AND($I102="c",$EJ$2="£"),TRUE,FALSE)</formula>
    </cfRule>
    <cfRule type="expression" dxfId="1085" priority="5">
      <formula>IF(AND($I102="c",$EJ$2="€"),TRUE,FALSE)</formula>
    </cfRule>
    <cfRule type="expression" dxfId="1084" priority="6">
      <formula>IF(AND($I102="c",$EJ$2="¥"),TRUE,FALSE)</formula>
    </cfRule>
    <cfRule type="expression" dxfId="1083" priority="7">
      <formula>IF(AND($I102="c",$EJ$2="$"),TRUE,FALSE)</formula>
    </cfRule>
    <cfRule type="cellIs" dxfId="1082" priority="8" operator="lessThan">
      <formula>$JL102</formula>
    </cfRule>
    <cfRule type="cellIs" dxfId="1081" priority="9" operator="between">
      <formula>$JL102</formula>
      <formula>$JM102</formula>
    </cfRule>
    <cfRule type="cellIs" dxfId="1080" priority="10" operator="between">
      <formula>$JM102</formula>
      <formula>$JN102</formula>
    </cfRule>
    <cfRule type="cellIs" dxfId="1079" priority="11" operator="between">
      <formula>$JN102</formula>
      <formula>$JO102</formula>
    </cfRule>
    <cfRule type="cellIs" dxfId="1078" priority="12" operator="greaterThanOrEqual">
      <formula>$JO102</formula>
    </cfRule>
  </conditionalFormatting>
  <conditionalFormatting sqref="EJ102:IF102">
    <cfRule type="expression" dxfId="1077" priority="3">
      <formula>IF(AND($I102="c",$EJ$2="kr"),TRUE,FALSE)</formula>
    </cfRule>
  </conditionalFormatting>
  <dataValidations count="1">
    <dataValidation type="list" allowBlank="1" showInputMessage="1" showErrorMessage="1" sqref="F4" xr:uid="{9C59D974-1CA6-492C-AB52-76FFBDE622E7}">
      <formula1>XPeerSets</formula1>
    </dataValidation>
  </dataValidations>
  <pageMargins left="0.7" right="0.7" top="0.75" bottom="0.75" header="0.3" footer="0.3"/>
  <pageSetup orientation="portrait" r:id="rId1"/>
  <ignoredErrors>
    <ignoredError sqref="EM42:EO44 EM35:EO39 EM73:EO76 EM8:EO10 EM12:EO17 EM19:EO33 EM53:EO60 EM62:EO62 EM67:EO67 EM64:EO6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PastePeerSetKPI1">
                <anchor moveWithCells="1" sizeWithCells="1">
                  <from>
                    <xdr:col>111</xdr:col>
                    <xdr:colOff>196850</xdr:colOff>
                    <xdr:row>1</xdr:row>
                    <xdr:rowOff>69850</xdr:rowOff>
                  </from>
                  <to>
                    <xdr:col>111</xdr:col>
                    <xdr:colOff>914400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PastePeerSetKPI2">
                <anchor moveWithCells="1" sizeWithCells="1">
                  <from>
                    <xdr:col>118</xdr:col>
                    <xdr:colOff>196850</xdr:colOff>
                    <xdr:row>1</xdr:row>
                    <xdr:rowOff>69850</xdr:rowOff>
                  </from>
                  <to>
                    <xdr:col>118</xdr:col>
                    <xdr:colOff>914400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PastePeerSetKPI3">
                <anchor moveWithCells="1" sizeWithCells="1">
                  <from>
                    <xdr:col>125</xdr:col>
                    <xdr:colOff>196850</xdr:colOff>
                    <xdr:row>1</xdr:row>
                    <xdr:rowOff>69850</xdr:rowOff>
                  </from>
                  <to>
                    <xdr:col>125</xdr:col>
                    <xdr:colOff>914400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 macro="[0]!PastePeerSetKPI4">
                <anchor moveWithCells="1" sizeWithCells="1">
                  <from>
                    <xdr:col>132</xdr:col>
                    <xdr:colOff>196850</xdr:colOff>
                    <xdr:row>1</xdr:row>
                    <xdr:rowOff>69850</xdr:rowOff>
                  </from>
                  <to>
                    <xdr:col>132</xdr:col>
                    <xdr:colOff>914400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96" stopIfTrue="1" operator="containsText" id="{142180A4-95AF-4085-A3A6-98397E07BE5F}">
            <xm:f>NOT(ISERROR(SEARCH("-",EJ8)))</xm:f>
            <xm:f>"-"</xm:f>
            <x14:dxf/>
          </x14:cfRule>
          <xm:sqref>EJ8:IF8 EJ76:IF76 EJ68:IF71 EJ78:IF88 IG86:JD88</xm:sqref>
        </x14:conditionalFormatting>
        <x14:conditionalFormatting xmlns:xm="http://schemas.microsoft.com/office/excel/2006/main">
          <x14:cfRule type="containsText" priority="1599" stopIfTrue="1" operator="containsText" id="{46752FAF-2D06-42F2-9D66-B01CCAA7A428}">
            <xm:f>NOT(ISERROR(SEARCH("-",EJ19)))</xm:f>
            <xm:f>"-"</xm:f>
            <x14:dxf/>
          </x14:cfRule>
          <xm:sqref>EJ19:IF19</xm:sqref>
        </x14:conditionalFormatting>
        <x14:conditionalFormatting xmlns:xm="http://schemas.microsoft.com/office/excel/2006/main">
          <x14:cfRule type="containsText" priority="1684" stopIfTrue="1" operator="containsText" id="{38B653BE-15F0-4ADB-9207-98E8C349E5E6}">
            <xm:f>NOT(ISERROR(SEARCH("-",EJ9)))</xm:f>
            <xm:f>"-"</xm:f>
            <x14:dxf/>
          </x14:cfRule>
          <xm:sqref>EJ9:IF9</xm:sqref>
        </x14:conditionalFormatting>
        <x14:conditionalFormatting xmlns:xm="http://schemas.microsoft.com/office/excel/2006/main">
          <x14:cfRule type="containsText" priority="1672" stopIfTrue="1" operator="containsText" id="{A54CEE8D-C5AF-4C99-938D-2E57693F6A29}">
            <xm:f>NOT(ISERROR(SEARCH("-",EJ10)))</xm:f>
            <xm:f>"-"</xm:f>
            <x14:dxf/>
          </x14:cfRule>
          <xm:sqref>EJ10:IF10</xm:sqref>
        </x14:conditionalFormatting>
        <x14:conditionalFormatting xmlns:xm="http://schemas.microsoft.com/office/excel/2006/main">
          <x14:cfRule type="containsText" priority="1660" stopIfTrue="1" operator="containsText" id="{017F53F1-6958-4735-AF1B-79BF4E054B65}">
            <xm:f>NOT(ISERROR(SEARCH("-",EJ12)))</xm:f>
            <xm:f>"-"</xm:f>
            <x14:dxf/>
          </x14:cfRule>
          <xm:sqref>EJ12:IF12</xm:sqref>
        </x14:conditionalFormatting>
        <x14:conditionalFormatting xmlns:xm="http://schemas.microsoft.com/office/excel/2006/main">
          <x14:cfRule type="containsText" priority="1648" stopIfTrue="1" operator="containsText" id="{490563D7-09B3-4783-8796-0E557D948F1F}">
            <xm:f>NOT(ISERROR(SEARCH("-",EJ13)))</xm:f>
            <xm:f>"-"</xm:f>
            <x14:dxf/>
          </x14:cfRule>
          <xm:sqref>EJ13:IF13</xm:sqref>
        </x14:conditionalFormatting>
        <x14:conditionalFormatting xmlns:xm="http://schemas.microsoft.com/office/excel/2006/main">
          <x14:cfRule type="containsText" priority="1636" stopIfTrue="1" operator="containsText" id="{6050F6CF-A5B0-43CF-BC9D-668CF8917473}">
            <xm:f>NOT(ISERROR(SEARCH("-",EJ14)))</xm:f>
            <xm:f>"-"</xm:f>
            <x14:dxf/>
          </x14:cfRule>
          <xm:sqref>EJ14:IF14</xm:sqref>
        </x14:conditionalFormatting>
        <x14:conditionalFormatting xmlns:xm="http://schemas.microsoft.com/office/excel/2006/main">
          <x14:cfRule type="containsText" priority="1624" stopIfTrue="1" operator="containsText" id="{C725D782-FCF5-477C-B0F6-79BF479B3C41}">
            <xm:f>NOT(ISERROR(SEARCH("-",EJ15)))</xm:f>
            <xm:f>"-"</xm:f>
            <x14:dxf/>
          </x14:cfRule>
          <xm:sqref>EJ15:IF15</xm:sqref>
        </x14:conditionalFormatting>
        <x14:conditionalFormatting xmlns:xm="http://schemas.microsoft.com/office/excel/2006/main">
          <x14:cfRule type="containsText" priority="1612" stopIfTrue="1" operator="containsText" id="{54571123-9359-44F4-8F5F-30AB9864DBC3}">
            <xm:f>NOT(ISERROR(SEARCH("-",EJ16)))</xm:f>
            <xm:f>"-"</xm:f>
            <x14:dxf/>
          </x14:cfRule>
          <xm:sqref>EJ16:IF16</xm:sqref>
        </x14:conditionalFormatting>
        <x14:conditionalFormatting xmlns:xm="http://schemas.microsoft.com/office/excel/2006/main">
          <x14:cfRule type="containsText" priority="1600" stopIfTrue="1" operator="containsText" id="{87AEDF6F-37B6-40E2-A9C1-20CF22715583}">
            <xm:f>NOT(ISERROR(SEARCH("-",EJ17)))</xm:f>
            <xm:f>"-"</xm:f>
            <x14:dxf/>
          </x14:cfRule>
          <xm:sqref>EJ17:IF17</xm:sqref>
        </x14:conditionalFormatting>
        <x14:conditionalFormatting xmlns:xm="http://schemas.microsoft.com/office/excel/2006/main">
          <x14:cfRule type="containsText" priority="1587" stopIfTrue="1" operator="containsText" id="{E9B3B888-800F-4178-AEA0-C039DF48BA26}">
            <xm:f>NOT(ISERROR(SEARCH("-",EJ20)))</xm:f>
            <xm:f>"-"</xm:f>
            <x14:dxf/>
          </x14:cfRule>
          <xm:sqref>EJ20:IF20</xm:sqref>
        </x14:conditionalFormatting>
        <x14:conditionalFormatting xmlns:xm="http://schemas.microsoft.com/office/excel/2006/main">
          <x14:cfRule type="containsText" priority="1575" stopIfTrue="1" operator="containsText" id="{0D3EF1C9-ADA3-4572-83BE-B5C3EC473EE1}">
            <xm:f>NOT(ISERROR(SEARCH("-",EJ21)))</xm:f>
            <xm:f>"-"</xm:f>
            <x14:dxf/>
          </x14:cfRule>
          <xm:sqref>EJ21:IF21</xm:sqref>
        </x14:conditionalFormatting>
        <x14:conditionalFormatting xmlns:xm="http://schemas.microsoft.com/office/excel/2006/main">
          <x14:cfRule type="containsText" priority="1563" stopIfTrue="1" operator="containsText" id="{51EDDD62-7700-4548-9FB7-0FC6C0ACF1F3}">
            <xm:f>NOT(ISERROR(SEARCH("-",EJ22)))</xm:f>
            <xm:f>"-"</xm:f>
            <x14:dxf/>
          </x14:cfRule>
          <xm:sqref>EJ22:IF22</xm:sqref>
        </x14:conditionalFormatting>
        <x14:conditionalFormatting xmlns:xm="http://schemas.microsoft.com/office/excel/2006/main">
          <x14:cfRule type="containsText" priority="1551" stopIfTrue="1" operator="containsText" id="{D804C538-D1F1-4190-A72C-F27DE16FA3CF}">
            <xm:f>NOT(ISERROR(SEARCH("-",EJ23)))</xm:f>
            <xm:f>"-"</xm:f>
            <x14:dxf/>
          </x14:cfRule>
          <xm:sqref>EJ23:IF23</xm:sqref>
        </x14:conditionalFormatting>
        <x14:conditionalFormatting xmlns:xm="http://schemas.microsoft.com/office/excel/2006/main">
          <x14:cfRule type="containsText" priority="1539" stopIfTrue="1" operator="containsText" id="{33F73C11-AC2E-4930-AF39-0A4F9556BB54}">
            <xm:f>NOT(ISERROR(SEARCH("-",EJ24)))</xm:f>
            <xm:f>"-"</xm:f>
            <x14:dxf/>
          </x14:cfRule>
          <xm:sqref>EJ24:IF24</xm:sqref>
        </x14:conditionalFormatting>
        <x14:conditionalFormatting xmlns:xm="http://schemas.microsoft.com/office/excel/2006/main">
          <x14:cfRule type="containsText" priority="1527" stopIfTrue="1" operator="containsText" id="{998AE534-7CD5-4DDC-AA62-85DF4F4A2F96}">
            <xm:f>NOT(ISERROR(SEARCH("-",EJ25)))</xm:f>
            <xm:f>"-"</xm:f>
            <x14:dxf/>
          </x14:cfRule>
          <xm:sqref>EJ25:IF25</xm:sqref>
        </x14:conditionalFormatting>
        <x14:conditionalFormatting xmlns:xm="http://schemas.microsoft.com/office/excel/2006/main">
          <x14:cfRule type="containsText" priority="1515" stopIfTrue="1" operator="containsText" id="{6B3A0C54-7888-4BC5-9004-9EABA4F68D00}">
            <xm:f>NOT(ISERROR(SEARCH("-",EJ26)))</xm:f>
            <xm:f>"-"</xm:f>
            <x14:dxf/>
          </x14:cfRule>
          <xm:sqref>EJ26:IF26</xm:sqref>
        </x14:conditionalFormatting>
        <x14:conditionalFormatting xmlns:xm="http://schemas.microsoft.com/office/excel/2006/main">
          <x14:cfRule type="containsText" priority="1503" stopIfTrue="1" operator="containsText" id="{178BDA2B-CB3E-45F2-A394-E0B0EC02E535}">
            <xm:f>NOT(ISERROR(SEARCH("-",EJ27)))</xm:f>
            <xm:f>"-"</xm:f>
            <x14:dxf/>
          </x14:cfRule>
          <xm:sqref>EJ27:IF27</xm:sqref>
        </x14:conditionalFormatting>
        <x14:conditionalFormatting xmlns:xm="http://schemas.microsoft.com/office/excel/2006/main">
          <x14:cfRule type="containsText" priority="1491" stopIfTrue="1" operator="containsText" id="{EFE3770F-A25C-4C68-9D3E-81EDE2809C3B}">
            <xm:f>NOT(ISERROR(SEARCH("-",EJ28)))</xm:f>
            <xm:f>"-"</xm:f>
            <x14:dxf/>
          </x14:cfRule>
          <xm:sqref>EJ28:IF28</xm:sqref>
        </x14:conditionalFormatting>
        <x14:conditionalFormatting xmlns:xm="http://schemas.microsoft.com/office/excel/2006/main">
          <x14:cfRule type="containsText" priority="1479" stopIfTrue="1" operator="containsText" id="{FF8567D4-0829-43CD-B0BA-98CCD1974850}">
            <xm:f>NOT(ISERROR(SEARCH("-",EJ29)))</xm:f>
            <xm:f>"-"</xm:f>
            <x14:dxf/>
          </x14:cfRule>
          <xm:sqref>EJ29:IF29</xm:sqref>
        </x14:conditionalFormatting>
        <x14:conditionalFormatting xmlns:xm="http://schemas.microsoft.com/office/excel/2006/main">
          <x14:cfRule type="containsText" priority="1467" stopIfTrue="1" operator="containsText" id="{4D5DA031-0E23-4B2E-BB13-938101C2FB83}">
            <xm:f>NOT(ISERROR(SEARCH("-",EJ30)))</xm:f>
            <xm:f>"-"</xm:f>
            <x14:dxf/>
          </x14:cfRule>
          <xm:sqref>EJ30:IF30</xm:sqref>
        </x14:conditionalFormatting>
        <x14:conditionalFormatting xmlns:xm="http://schemas.microsoft.com/office/excel/2006/main">
          <x14:cfRule type="containsText" priority="1455" stopIfTrue="1" operator="containsText" id="{F0F1C878-6BE8-4216-B73F-109E3A6DF2AE}">
            <xm:f>NOT(ISERROR(SEARCH("-",EJ31)))</xm:f>
            <xm:f>"-"</xm:f>
            <x14:dxf/>
          </x14:cfRule>
          <xm:sqref>EJ31:IF31</xm:sqref>
        </x14:conditionalFormatting>
        <x14:conditionalFormatting xmlns:xm="http://schemas.microsoft.com/office/excel/2006/main">
          <x14:cfRule type="containsText" priority="1443" stopIfTrue="1" operator="containsText" id="{944B2EB4-65A1-484C-87F7-AFEC4B6A5BEA}">
            <xm:f>NOT(ISERROR(SEARCH("-",EJ32)))</xm:f>
            <xm:f>"-"</xm:f>
            <x14:dxf/>
          </x14:cfRule>
          <xm:sqref>EJ32:IF32</xm:sqref>
        </x14:conditionalFormatting>
        <x14:conditionalFormatting xmlns:xm="http://schemas.microsoft.com/office/excel/2006/main">
          <x14:cfRule type="containsText" priority="1431" stopIfTrue="1" operator="containsText" id="{6FB73442-3EA2-4233-9A88-5C732ABED9D7}">
            <xm:f>NOT(ISERROR(SEARCH("-",EJ33)))</xm:f>
            <xm:f>"-"</xm:f>
            <x14:dxf/>
          </x14:cfRule>
          <xm:sqref>EJ33:IF33</xm:sqref>
        </x14:conditionalFormatting>
        <x14:conditionalFormatting xmlns:xm="http://schemas.microsoft.com/office/excel/2006/main">
          <x14:cfRule type="containsText" priority="1407" stopIfTrue="1" operator="containsText" id="{46D87451-853B-4878-8827-BC3A6B34C21D}">
            <xm:f>NOT(ISERROR(SEARCH("-",EJ35)))</xm:f>
            <xm:f>"-"</xm:f>
            <x14:dxf/>
          </x14:cfRule>
          <xm:sqref>EJ35:IF35</xm:sqref>
        </x14:conditionalFormatting>
        <x14:conditionalFormatting xmlns:xm="http://schemas.microsoft.com/office/excel/2006/main">
          <x14:cfRule type="containsText" priority="1400" stopIfTrue="1" operator="containsText" id="{EAAAEFC9-CAD8-4108-8ED4-C1D77113D4C4}">
            <xm:f>NOT(ISERROR(SEARCH("-",EJ36)))</xm:f>
            <xm:f>"-"</xm:f>
            <x14:dxf/>
          </x14:cfRule>
          <xm:sqref>EJ36:IF36</xm:sqref>
        </x14:conditionalFormatting>
        <x14:conditionalFormatting xmlns:xm="http://schemas.microsoft.com/office/excel/2006/main">
          <x14:cfRule type="containsText" priority="1393" stopIfTrue="1" operator="containsText" id="{12A25F90-E5FD-42D0-AF63-817AB30B2BD2}">
            <xm:f>NOT(ISERROR(SEARCH("-",EJ37)))</xm:f>
            <xm:f>"-"</xm:f>
            <x14:dxf/>
          </x14:cfRule>
          <xm:sqref>EJ37:IF37</xm:sqref>
        </x14:conditionalFormatting>
        <x14:conditionalFormatting xmlns:xm="http://schemas.microsoft.com/office/excel/2006/main">
          <x14:cfRule type="containsText" priority="1386" stopIfTrue="1" operator="containsText" id="{C516D636-CF25-4F14-8D68-69D01C9B2880}">
            <xm:f>NOT(ISERROR(SEARCH("-",EJ38)))</xm:f>
            <xm:f>"-"</xm:f>
            <x14:dxf/>
          </x14:cfRule>
          <xm:sqref>EJ38:IF38</xm:sqref>
        </x14:conditionalFormatting>
        <x14:conditionalFormatting xmlns:xm="http://schemas.microsoft.com/office/excel/2006/main">
          <x14:cfRule type="containsText" priority="1379" stopIfTrue="1" operator="containsText" id="{C063041E-7F97-4123-84C8-A327D2AD68A0}">
            <xm:f>NOT(ISERROR(SEARCH("-",EJ39)))</xm:f>
            <xm:f>"-"</xm:f>
            <x14:dxf/>
          </x14:cfRule>
          <xm:sqref>EJ39:IF39</xm:sqref>
        </x14:conditionalFormatting>
        <x14:conditionalFormatting xmlns:xm="http://schemas.microsoft.com/office/excel/2006/main">
          <x14:cfRule type="containsText" priority="1372" stopIfTrue="1" operator="containsText" id="{5297CBB0-EAE1-44A8-8885-BB69E26CDE77}">
            <xm:f>NOT(ISERROR(SEARCH("-",EJ40)))</xm:f>
            <xm:f>"-"</xm:f>
            <x14:dxf/>
          </x14:cfRule>
          <xm:sqref>EJ40:IF40</xm:sqref>
        </x14:conditionalFormatting>
        <x14:conditionalFormatting xmlns:xm="http://schemas.microsoft.com/office/excel/2006/main">
          <x14:cfRule type="containsText" priority="1365" stopIfTrue="1" operator="containsText" id="{6D795524-58B8-4BFA-AA2F-05A3A97090C4}">
            <xm:f>NOT(ISERROR(SEARCH("-",EJ41)))</xm:f>
            <xm:f>"-"</xm:f>
            <x14:dxf/>
          </x14:cfRule>
          <xm:sqref>EJ41:IF41</xm:sqref>
        </x14:conditionalFormatting>
        <x14:conditionalFormatting xmlns:xm="http://schemas.microsoft.com/office/excel/2006/main">
          <x14:cfRule type="containsText" priority="1358" stopIfTrue="1" operator="containsText" id="{E6DEA675-53EE-4281-9552-E54F8C9E58AC}">
            <xm:f>NOT(ISERROR(SEARCH("-",EJ42)))</xm:f>
            <xm:f>"-"</xm:f>
            <x14:dxf/>
          </x14:cfRule>
          <xm:sqref>EJ42:IF42</xm:sqref>
        </x14:conditionalFormatting>
        <x14:conditionalFormatting xmlns:xm="http://schemas.microsoft.com/office/excel/2006/main">
          <x14:cfRule type="containsText" priority="1351" stopIfTrue="1" operator="containsText" id="{9B545DAD-656F-40F1-BACF-F73533B30D59}">
            <xm:f>NOT(ISERROR(SEARCH("-",EJ43)))</xm:f>
            <xm:f>"-"</xm:f>
            <x14:dxf/>
          </x14:cfRule>
          <xm:sqref>EJ43:IF43</xm:sqref>
        </x14:conditionalFormatting>
        <x14:conditionalFormatting xmlns:xm="http://schemas.microsoft.com/office/excel/2006/main">
          <x14:cfRule type="containsText" priority="1344" stopIfTrue="1" operator="containsText" id="{C1243AFD-EFDD-46FD-8303-5B87D553137C}">
            <xm:f>NOT(ISERROR(SEARCH("-",EJ44)))</xm:f>
            <xm:f>"-"</xm:f>
            <x14:dxf/>
          </x14:cfRule>
          <xm:sqref>EJ44:IF44</xm:sqref>
        </x14:conditionalFormatting>
        <x14:conditionalFormatting xmlns:xm="http://schemas.microsoft.com/office/excel/2006/main">
          <x14:cfRule type="containsText" priority="1320" stopIfTrue="1" operator="containsText" id="{4355B2CC-134E-48FA-B7F0-4014589279C0}">
            <xm:f>NOT(ISERROR(SEARCH("-",EJ78)))</xm:f>
            <xm:f>"-"</xm:f>
            <x14:dxf/>
          </x14:cfRule>
          <xm:sqref>EJ78:IF78</xm:sqref>
        </x14:conditionalFormatting>
        <x14:conditionalFormatting xmlns:xm="http://schemas.microsoft.com/office/excel/2006/main">
          <x14:cfRule type="containsText" priority="1308" stopIfTrue="1" operator="containsText" id="{DE430747-F5E4-4A06-A519-EFCF071BD70D}">
            <xm:f>NOT(ISERROR(SEARCH("-",EJ79)))</xm:f>
            <xm:f>"-"</xm:f>
            <x14:dxf/>
          </x14:cfRule>
          <xm:sqref>EJ79:IF79</xm:sqref>
        </x14:conditionalFormatting>
        <x14:conditionalFormatting xmlns:xm="http://schemas.microsoft.com/office/excel/2006/main">
          <x14:cfRule type="containsText" priority="1296" stopIfTrue="1" operator="containsText" id="{D6B68A6C-078D-420E-896E-C90F13E29B0D}">
            <xm:f>NOT(ISERROR(SEARCH("-",EJ64)))</xm:f>
            <xm:f>"-"</xm:f>
            <x14:dxf/>
          </x14:cfRule>
          <xm:sqref>EJ64:IF64</xm:sqref>
        </x14:conditionalFormatting>
        <x14:conditionalFormatting xmlns:xm="http://schemas.microsoft.com/office/excel/2006/main">
          <x14:cfRule type="containsText" priority="1284" stopIfTrue="1" operator="containsText" id="{7EC4801B-19F6-40CF-AD91-DDE12A117257}">
            <xm:f>NOT(ISERROR(SEARCH("-",EJ65)))</xm:f>
            <xm:f>"-"</xm:f>
            <x14:dxf/>
          </x14:cfRule>
          <xm:sqref>EJ65:IF65</xm:sqref>
        </x14:conditionalFormatting>
        <x14:conditionalFormatting xmlns:xm="http://schemas.microsoft.com/office/excel/2006/main">
          <x14:cfRule type="containsText" priority="1272" stopIfTrue="1" operator="containsText" id="{617AA6A2-F150-4AC1-BE54-560E0B233451}">
            <xm:f>NOT(ISERROR(SEARCH("-",EJ66)))</xm:f>
            <xm:f>"-"</xm:f>
            <x14:dxf/>
          </x14:cfRule>
          <xm:sqref>EJ66:IF66</xm:sqref>
        </x14:conditionalFormatting>
        <x14:conditionalFormatting xmlns:xm="http://schemas.microsoft.com/office/excel/2006/main">
          <x14:cfRule type="containsText" priority="1248" stopIfTrue="1" operator="containsText" id="{3F747109-8D63-4F8C-9159-FB1EBF388636}">
            <xm:f>NOT(ISERROR(SEARCH("-",EJ80)))</xm:f>
            <xm:f>"-"</xm:f>
            <x14:dxf/>
          </x14:cfRule>
          <xm:sqref>EJ80:IF80</xm:sqref>
        </x14:conditionalFormatting>
        <x14:conditionalFormatting xmlns:xm="http://schemas.microsoft.com/office/excel/2006/main">
          <x14:cfRule type="containsText" priority="1224" stopIfTrue="1" operator="containsText" id="{A0AE84BD-9746-41EE-A5C8-5F0B329D0A63}">
            <xm:f>NOT(ISERROR(SEARCH("-",EJ67)))</xm:f>
            <xm:f>"-"</xm:f>
            <x14:dxf/>
          </x14:cfRule>
          <xm:sqref>EJ67:IF71</xm:sqref>
        </x14:conditionalFormatting>
        <x14:conditionalFormatting xmlns:xm="http://schemas.microsoft.com/office/excel/2006/main">
          <x14:cfRule type="containsText" priority="1212" stopIfTrue="1" operator="containsText" id="{00E56636-E201-43A2-AFE3-A3DFCEB223F6}">
            <xm:f>NOT(ISERROR(SEARCH("-",EJ68)))</xm:f>
            <xm:f>"-"</xm:f>
            <x14:dxf/>
          </x14:cfRule>
          <xm:sqref>EJ68:IF71</xm:sqref>
        </x14:conditionalFormatting>
        <x14:conditionalFormatting xmlns:xm="http://schemas.microsoft.com/office/excel/2006/main">
          <x14:cfRule type="containsText" priority="1200" stopIfTrue="1" operator="containsText" id="{7794CF8C-7C36-4C6D-9E22-F8843B384F5E}">
            <xm:f>NOT(ISERROR(SEARCH("-",EJ69)))</xm:f>
            <xm:f>"-"</xm:f>
            <x14:dxf/>
          </x14:cfRule>
          <xm:sqref>EJ69:IF69</xm:sqref>
        </x14:conditionalFormatting>
        <x14:conditionalFormatting xmlns:xm="http://schemas.microsoft.com/office/excel/2006/main">
          <x14:cfRule type="containsText" priority="1188" stopIfTrue="1" operator="containsText" id="{2E41CAF9-122B-460F-B003-FFCB1498AE4A}">
            <xm:f>NOT(ISERROR(SEARCH("-",EJ82)))</xm:f>
            <xm:f>"-"</xm:f>
            <x14:dxf/>
          </x14:cfRule>
          <xm:sqref>EJ82:IF82</xm:sqref>
        </x14:conditionalFormatting>
        <x14:conditionalFormatting xmlns:xm="http://schemas.microsoft.com/office/excel/2006/main">
          <x14:cfRule type="containsText" priority="1176" stopIfTrue="1" operator="containsText" id="{A2B149C4-F23F-4309-91AA-2939E148CBB5}">
            <xm:f>NOT(ISERROR(SEARCH("-",EJ83)))</xm:f>
            <xm:f>"-"</xm:f>
            <x14:dxf/>
          </x14:cfRule>
          <xm:sqref>EJ83:IF83</xm:sqref>
        </x14:conditionalFormatting>
        <x14:conditionalFormatting xmlns:xm="http://schemas.microsoft.com/office/excel/2006/main">
          <x14:cfRule type="containsText" priority="1164" stopIfTrue="1" operator="containsText" id="{BD5A6738-2C59-4D0B-A5AD-1E91288C8B5B}">
            <xm:f>NOT(ISERROR(SEARCH("-",EJ70)))</xm:f>
            <xm:f>"-"</xm:f>
            <x14:dxf/>
          </x14:cfRule>
          <xm:sqref>EJ70:IF70</xm:sqref>
        </x14:conditionalFormatting>
        <x14:conditionalFormatting xmlns:xm="http://schemas.microsoft.com/office/excel/2006/main">
          <x14:cfRule type="containsText" priority="1152" stopIfTrue="1" operator="containsText" id="{E66B4E72-6CDF-4949-8961-EFA8035F1007}">
            <xm:f>NOT(ISERROR(SEARCH("-",EJ71)))</xm:f>
            <xm:f>"-"</xm:f>
            <x14:dxf/>
          </x14:cfRule>
          <xm:sqref>EJ71:IF71</xm:sqref>
        </x14:conditionalFormatting>
        <x14:conditionalFormatting xmlns:xm="http://schemas.microsoft.com/office/excel/2006/main">
          <x14:cfRule type="containsText" priority="1140" stopIfTrue="1" operator="containsText" id="{58BB9781-3317-419E-847C-858C576C4EFD}">
            <xm:f>NOT(ISERROR(SEARCH("-",EJ84)))</xm:f>
            <xm:f>"-"</xm:f>
            <x14:dxf/>
          </x14:cfRule>
          <xm:sqref>EJ84:IF84</xm:sqref>
        </x14:conditionalFormatting>
        <x14:conditionalFormatting xmlns:xm="http://schemas.microsoft.com/office/excel/2006/main">
          <x14:cfRule type="containsText" priority="1128" stopIfTrue="1" operator="containsText" id="{6FB4CC1A-52B9-45CD-8A50-BD34E0379570}">
            <xm:f>NOT(ISERROR(SEARCH("-",EJ85)))</xm:f>
            <xm:f>"-"</xm:f>
            <x14:dxf/>
          </x14:cfRule>
          <xm:sqref>EJ85:IF85</xm:sqref>
        </x14:conditionalFormatting>
        <x14:conditionalFormatting xmlns:xm="http://schemas.microsoft.com/office/excel/2006/main">
          <x14:cfRule type="containsText" priority="1116" stopIfTrue="1" operator="containsText" id="{38CECE7E-F9EB-4A62-AB9D-747D3CAAB876}">
            <xm:f>NOT(ISERROR(SEARCH("-",EJ86)))</xm:f>
            <xm:f>"-"</xm:f>
            <x14:dxf/>
          </x14:cfRule>
          <xm:sqref>EJ86:IF86</xm:sqref>
        </x14:conditionalFormatting>
        <x14:conditionalFormatting xmlns:xm="http://schemas.microsoft.com/office/excel/2006/main">
          <x14:cfRule type="containsText" priority="1092" stopIfTrue="1" operator="containsText" id="{941FDDF1-0A2E-4528-B9E0-A7C878613BA7}">
            <xm:f>NOT(ISERROR(SEARCH("-",EJ73)))</xm:f>
            <xm:f>"-"</xm:f>
            <x14:dxf/>
          </x14:cfRule>
          <xm:sqref>EJ73:IF73</xm:sqref>
        </x14:conditionalFormatting>
        <x14:conditionalFormatting xmlns:xm="http://schemas.microsoft.com/office/excel/2006/main">
          <x14:cfRule type="containsText" priority="1080" stopIfTrue="1" operator="containsText" id="{F77F9164-02C3-4855-BABB-0BA9CC2B54C2}">
            <xm:f>NOT(ISERROR(SEARCH("-",EJ74)))</xm:f>
            <xm:f>"-"</xm:f>
            <x14:dxf/>
          </x14:cfRule>
          <xm:sqref>EJ74:IF74</xm:sqref>
        </x14:conditionalFormatting>
        <x14:conditionalFormatting xmlns:xm="http://schemas.microsoft.com/office/excel/2006/main">
          <x14:cfRule type="containsText" priority="1068" stopIfTrue="1" operator="containsText" id="{1C8D067B-FE5A-4AB8-91E7-D4A6AB97D8BD}">
            <xm:f>NOT(ISERROR(SEARCH("-",EJ75)))</xm:f>
            <xm:f>"-"</xm:f>
            <x14:dxf/>
          </x14:cfRule>
          <xm:sqref>EJ75:IF75</xm:sqref>
        </x14:conditionalFormatting>
        <x14:conditionalFormatting xmlns:xm="http://schemas.microsoft.com/office/excel/2006/main">
          <x14:cfRule type="containsText" priority="1049" stopIfTrue="1" operator="containsText" id="{142217E3-7810-4902-A1D7-CACD9F763A26}">
            <xm:f>NOT(ISERROR(SEARCH("-",EJ53)))</xm:f>
            <xm:f>"-"</xm:f>
            <x14:dxf/>
          </x14:cfRule>
          <xm:sqref>EJ53:IF53</xm:sqref>
        </x14:conditionalFormatting>
        <x14:conditionalFormatting xmlns:xm="http://schemas.microsoft.com/office/excel/2006/main">
          <x14:cfRule type="containsText" priority="1042" stopIfTrue="1" operator="containsText" id="{EDCDFF6E-71E0-4599-8419-CAA04A1A99F6}">
            <xm:f>NOT(ISERROR(SEARCH("-",EJ54)))</xm:f>
            <xm:f>"-"</xm:f>
            <x14:dxf/>
          </x14:cfRule>
          <xm:sqref>EJ54:IF54</xm:sqref>
        </x14:conditionalFormatting>
        <x14:conditionalFormatting xmlns:xm="http://schemas.microsoft.com/office/excel/2006/main">
          <x14:cfRule type="containsText" priority="1035" stopIfTrue="1" operator="containsText" id="{D77CB658-E98F-4D8F-BAFC-26F9C15750DF}">
            <xm:f>NOT(ISERROR(SEARCH("-",EJ55)))</xm:f>
            <xm:f>"-"</xm:f>
            <x14:dxf/>
          </x14:cfRule>
          <xm:sqref>EJ55:IF55</xm:sqref>
        </x14:conditionalFormatting>
        <x14:conditionalFormatting xmlns:xm="http://schemas.microsoft.com/office/excel/2006/main">
          <x14:cfRule type="containsText" priority="1028" stopIfTrue="1" operator="containsText" id="{EF42F9FB-7C5F-4B7A-BD57-E53B8509FF77}">
            <xm:f>NOT(ISERROR(SEARCH("-",EJ56)))</xm:f>
            <xm:f>"-"</xm:f>
            <x14:dxf/>
          </x14:cfRule>
          <xm:sqref>EJ56:IF56</xm:sqref>
        </x14:conditionalFormatting>
        <x14:conditionalFormatting xmlns:xm="http://schemas.microsoft.com/office/excel/2006/main">
          <x14:cfRule type="containsText" priority="1021" stopIfTrue="1" operator="containsText" id="{300C5BC2-A1F4-4079-891B-4D32BC510F6D}">
            <xm:f>NOT(ISERROR(SEARCH("-",EJ57)))</xm:f>
            <xm:f>"-"</xm:f>
            <x14:dxf/>
          </x14:cfRule>
          <xm:sqref>EJ57:IF57</xm:sqref>
        </x14:conditionalFormatting>
        <x14:conditionalFormatting xmlns:xm="http://schemas.microsoft.com/office/excel/2006/main">
          <x14:cfRule type="containsText" priority="1014" stopIfTrue="1" operator="containsText" id="{A3661A76-F8BC-4C31-83B8-B92867FB3E47}">
            <xm:f>NOT(ISERROR(SEARCH("-",EJ58)))</xm:f>
            <xm:f>"-"</xm:f>
            <x14:dxf/>
          </x14:cfRule>
          <xm:sqref>EJ58:IF58</xm:sqref>
        </x14:conditionalFormatting>
        <x14:conditionalFormatting xmlns:xm="http://schemas.microsoft.com/office/excel/2006/main">
          <x14:cfRule type="containsText" priority="1007" stopIfTrue="1" operator="containsText" id="{7E47F651-A7FC-4C26-99CE-0EEE3CD833B6}">
            <xm:f>NOT(ISERROR(SEARCH("-",EJ59)))</xm:f>
            <xm:f>"-"</xm:f>
            <x14:dxf/>
          </x14:cfRule>
          <xm:sqref>EJ59:IF59</xm:sqref>
        </x14:conditionalFormatting>
        <x14:conditionalFormatting xmlns:xm="http://schemas.microsoft.com/office/excel/2006/main">
          <x14:cfRule type="containsText" priority="1000" stopIfTrue="1" operator="containsText" id="{EA0D8361-EDDC-446E-B472-31340219B1FA}">
            <xm:f>NOT(ISERROR(SEARCH("-",EJ60)))</xm:f>
            <xm:f>"-"</xm:f>
            <x14:dxf/>
          </x14:cfRule>
          <xm:sqref>EJ60:IF60</xm:sqref>
        </x14:conditionalFormatting>
        <x14:conditionalFormatting xmlns:xm="http://schemas.microsoft.com/office/excel/2006/main">
          <x14:cfRule type="containsText" priority="988" stopIfTrue="1" operator="containsText" id="{BCEF495B-0F3B-4FCE-9849-FF24171FA5CD}">
            <xm:f>NOT(ISERROR(SEARCH("-",EJ45)))</xm:f>
            <xm:f>"-"</xm:f>
            <x14:dxf/>
          </x14:cfRule>
          <xm:sqref>EJ45:IF45</xm:sqref>
        </x14:conditionalFormatting>
        <x14:conditionalFormatting xmlns:xm="http://schemas.microsoft.com/office/excel/2006/main">
          <x14:cfRule type="containsText" priority="976" stopIfTrue="1" operator="containsText" id="{2479F113-54E3-407F-A9CA-1F52211C8A99}">
            <xm:f>NOT(ISERROR(SEARCH("-",EJ46)))</xm:f>
            <xm:f>"-"</xm:f>
            <x14:dxf/>
          </x14:cfRule>
          <xm:sqref>EJ46:IF46</xm:sqref>
        </x14:conditionalFormatting>
        <x14:conditionalFormatting xmlns:xm="http://schemas.microsoft.com/office/excel/2006/main">
          <x14:cfRule type="containsText" priority="964" stopIfTrue="1" operator="containsText" id="{BB874B2C-3EC0-429E-BC34-714811C65026}">
            <xm:f>NOT(ISERROR(SEARCH("-",EJ47)))</xm:f>
            <xm:f>"-"</xm:f>
            <x14:dxf/>
          </x14:cfRule>
          <xm:sqref>EJ47:IF47</xm:sqref>
        </x14:conditionalFormatting>
        <x14:conditionalFormatting xmlns:xm="http://schemas.microsoft.com/office/excel/2006/main">
          <x14:cfRule type="containsText" priority="952" stopIfTrue="1" operator="containsText" id="{9C1E2D73-F905-4357-BEFE-44C021D5D6A2}">
            <xm:f>NOT(ISERROR(SEARCH("-",EJ48)))</xm:f>
            <xm:f>"-"</xm:f>
            <x14:dxf/>
          </x14:cfRule>
          <xm:sqref>EJ48:IF48</xm:sqref>
        </x14:conditionalFormatting>
        <x14:conditionalFormatting xmlns:xm="http://schemas.microsoft.com/office/excel/2006/main">
          <x14:cfRule type="containsText" priority="940" stopIfTrue="1" operator="containsText" id="{185D2EEB-C96E-4E41-A5C9-B19928DFA6E3}">
            <xm:f>NOT(ISERROR(SEARCH("-",EJ49)))</xm:f>
            <xm:f>"-"</xm:f>
            <x14:dxf/>
          </x14:cfRule>
          <xm:sqref>EJ49:IF49</xm:sqref>
        </x14:conditionalFormatting>
        <x14:conditionalFormatting xmlns:xm="http://schemas.microsoft.com/office/excel/2006/main">
          <x14:cfRule type="containsText" priority="928" stopIfTrue="1" operator="containsText" id="{A14F8B94-C9B7-4637-A7C5-C0DFBEED1F5F}">
            <xm:f>NOT(ISERROR(SEARCH("-",EJ50)))</xm:f>
            <xm:f>"-"</xm:f>
            <x14:dxf/>
          </x14:cfRule>
          <xm:sqref>EJ50:IF50</xm:sqref>
        </x14:conditionalFormatting>
        <x14:conditionalFormatting xmlns:xm="http://schemas.microsoft.com/office/excel/2006/main">
          <x14:cfRule type="containsText" priority="916" stopIfTrue="1" operator="containsText" id="{3AC1B05A-6713-4A98-B083-DAB4B47EEE47}">
            <xm:f>NOT(ISERROR(SEARCH("-",EJ51)))</xm:f>
            <xm:f>"-"</xm:f>
            <x14:dxf/>
          </x14:cfRule>
          <xm:sqref>EJ51:IF51</xm:sqref>
        </x14:conditionalFormatting>
        <x14:conditionalFormatting xmlns:xm="http://schemas.microsoft.com/office/excel/2006/main">
          <x14:cfRule type="containsText" priority="904" stopIfTrue="1" operator="containsText" id="{F1CD8832-9CBA-49C1-9B5B-2FC8BC2FF4EC}">
            <xm:f>NOT(ISERROR(SEARCH("-",EJ52)))</xm:f>
            <xm:f>"-"</xm:f>
            <x14:dxf/>
          </x14:cfRule>
          <xm:sqref>EJ52:IF52</xm:sqref>
        </x14:conditionalFormatting>
        <x14:conditionalFormatting xmlns:xm="http://schemas.microsoft.com/office/excel/2006/main">
          <x14:cfRule type="containsText" priority="893" stopIfTrue="1" operator="containsText" id="{8C2348A9-93EE-45CC-9998-9FC4424A1E4F}">
            <xm:f>NOT(ISERROR(SEARCH("-",IG8)))</xm:f>
            <xm:f>"-"</xm:f>
            <x14:dxf/>
          </x14:cfRule>
          <xm:sqref>IG8:JD8</xm:sqref>
        </x14:conditionalFormatting>
        <x14:conditionalFormatting xmlns:xm="http://schemas.microsoft.com/office/excel/2006/main">
          <x14:cfRule type="containsText" priority="886" stopIfTrue="1" operator="containsText" id="{F7CBB9D9-1228-4AFD-9D20-28A5B7A5CFCA}">
            <xm:f>NOT(ISERROR(SEARCH("-",IG12)))</xm:f>
            <xm:f>"-"</xm:f>
            <x14:dxf/>
          </x14:cfRule>
          <xm:sqref>IG12:JD17</xm:sqref>
        </x14:conditionalFormatting>
        <x14:conditionalFormatting xmlns:xm="http://schemas.microsoft.com/office/excel/2006/main">
          <x14:cfRule type="containsText" priority="879" stopIfTrue="1" operator="containsText" id="{D46DC279-07D3-4338-B989-4DE5C0D6E11D}">
            <xm:f>NOT(ISERROR(SEARCH("-",IG26)))</xm:f>
            <xm:f>"-"</xm:f>
            <x14:dxf/>
          </x14:cfRule>
          <xm:sqref>IG26:JD33</xm:sqref>
        </x14:conditionalFormatting>
        <x14:conditionalFormatting xmlns:xm="http://schemas.microsoft.com/office/excel/2006/main">
          <x14:cfRule type="containsText" priority="673" stopIfTrue="1" operator="containsText" id="{DD224B00-AC85-46F7-A405-2AB4E655CB19}">
            <xm:f>NOT(ISERROR(SEARCH("-",EJ109)))</xm:f>
            <xm:f>"-"</xm:f>
            <x14:dxf/>
          </x14:cfRule>
          <xm:sqref>EJ109:JD109</xm:sqref>
        </x14:conditionalFormatting>
        <x14:conditionalFormatting xmlns:xm="http://schemas.microsoft.com/office/excel/2006/main">
          <x14:cfRule type="containsText" priority="656" stopIfTrue="1" operator="containsText" id="{B4EA00BF-1E3F-4719-821D-EE02EEEC6C60}">
            <xm:f>NOT(ISERROR(SEARCH("-",EJ110)))</xm:f>
            <xm:f>"-"</xm:f>
            <x14:dxf/>
          </x14:cfRule>
          <xm:sqref>EJ110:JD110</xm:sqref>
        </x14:conditionalFormatting>
        <x14:conditionalFormatting xmlns:xm="http://schemas.microsoft.com/office/excel/2006/main">
          <x14:cfRule type="containsText" priority="639" stopIfTrue="1" operator="containsText" id="{1933708C-5C5A-4614-96B6-7822DB6A829E}">
            <xm:f>NOT(ISERROR(SEARCH("-",EJ137)))</xm:f>
            <xm:f>"-"</xm:f>
            <x14:dxf/>
          </x14:cfRule>
          <xm:sqref>EJ137:JD137</xm:sqref>
        </x14:conditionalFormatting>
        <x14:conditionalFormatting xmlns:xm="http://schemas.microsoft.com/office/excel/2006/main">
          <x14:cfRule type="containsText" priority="622" stopIfTrue="1" operator="containsText" id="{2DB6F403-1BC9-4B75-90E6-776DB24C80DA}">
            <xm:f>NOT(ISERROR(SEARCH("-",EJ138)))</xm:f>
            <xm:f>"-"</xm:f>
            <x14:dxf/>
          </x14:cfRule>
          <xm:sqref>EJ138:JD138</xm:sqref>
        </x14:conditionalFormatting>
        <x14:conditionalFormatting xmlns:xm="http://schemas.microsoft.com/office/excel/2006/main">
          <x14:cfRule type="containsText" priority="605" stopIfTrue="1" operator="containsText" id="{EB92E307-4BAB-476F-BA8D-FA7EED44CCB0}">
            <xm:f>NOT(ISERROR(SEARCH("-",EJ139)))</xm:f>
            <xm:f>"-"</xm:f>
            <x14:dxf/>
          </x14:cfRule>
          <xm:sqref>EJ139:JD139</xm:sqref>
        </x14:conditionalFormatting>
        <x14:conditionalFormatting xmlns:xm="http://schemas.microsoft.com/office/excel/2006/main">
          <x14:cfRule type="containsText" priority="588" stopIfTrue="1" operator="containsText" id="{B0360D4D-1394-49EE-8EC7-C395C7C9A0F6}">
            <xm:f>NOT(ISERROR(SEARCH("-",EJ140)))</xm:f>
            <xm:f>"-"</xm:f>
            <x14:dxf/>
          </x14:cfRule>
          <xm:sqref>EJ140:JD140</xm:sqref>
        </x14:conditionalFormatting>
        <x14:conditionalFormatting xmlns:xm="http://schemas.microsoft.com/office/excel/2006/main">
          <x14:cfRule type="containsText" priority="571" stopIfTrue="1" operator="containsText" id="{8369FFF2-B05B-4C3A-BB00-A5E88D30C079}">
            <xm:f>NOT(ISERROR(SEARCH("-",EJ142)))</xm:f>
            <xm:f>"-"</xm:f>
            <x14:dxf/>
          </x14:cfRule>
          <xm:sqref>EJ142:JD142</xm:sqref>
        </x14:conditionalFormatting>
        <x14:conditionalFormatting xmlns:xm="http://schemas.microsoft.com/office/excel/2006/main">
          <x14:cfRule type="containsText" priority="554" stopIfTrue="1" operator="containsText" id="{6697253D-2910-4320-899C-7C5A1BCEB3A4}">
            <xm:f>NOT(ISERROR(SEARCH("-",EJ141)))</xm:f>
            <xm:f>"-"</xm:f>
            <x14:dxf/>
          </x14:cfRule>
          <xm:sqref>EJ141:JD141</xm:sqref>
        </x14:conditionalFormatting>
        <x14:conditionalFormatting xmlns:xm="http://schemas.microsoft.com/office/excel/2006/main">
          <x14:cfRule type="containsText" priority="537" stopIfTrue="1" operator="containsText" id="{5CFC1295-9FF2-419C-9528-82765D132FB0}">
            <xm:f>NOT(ISERROR(SEARCH("-",EJ143)))</xm:f>
            <xm:f>"-"</xm:f>
            <x14:dxf/>
          </x14:cfRule>
          <xm:sqref>EJ143:JD143</xm:sqref>
        </x14:conditionalFormatting>
        <x14:conditionalFormatting xmlns:xm="http://schemas.microsoft.com/office/excel/2006/main">
          <x14:cfRule type="containsText" priority="520" stopIfTrue="1" operator="containsText" id="{4C4456EC-40D0-4ACE-AC1E-73E79807B3C2}">
            <xm:f>NOT(ISERROR(SEARCH("-",EJ144)))</xm:f>
            <xm:f>"-"</xm:f>
            <x14:dxf/>
          </x14:cfRule>
          <xm:sqref>EJ144:JD144</xm:sqref>
        </x14:conditionalFormatting>
        <x14:conditionalFormatting xmlns:xm="http://schemas.microsoft.com/office/excel/2006/main">
          <x14:cfRule type="containsText" priority="503" stopIfTrue="1" operator="containsText" id="{549B32F2-65F5-4B26-9ACF-B4134C147FF5}">
            <xm:f>NOT(ISERROR(SEARCH("-",EJ145)))</xm:f>
            <xm:f>"-"</xm:f>
            <x14:dxf/>
          </x14:cfRule>
          <xm:sqref>EJ145:JD145</xm:sqref>
        </x14:conditionalFormatting>
        <x14:conditionalFormatting xmlns:xm="http://schemas.microsoft.com/office/excel/2006/main">
          <x14:cfRule type="containsText" priority="486" stopIfTrue="1" operator="containsText" id="{DBC12CE6-5717-4DBD-930A-28F9693FA171}">
            <xm:f>NOT(ISERROR(SEARCH("-",EJ148)))</xm:f>
            <xm:f>"-"</xm:f>
            <x14:dxf/>
          </x14:cfRule>
          <xm:sqref>EJ148:JD148</xm:sqref>
        </x14:conditionalFormatting>
        <x14:conditionalFormatting xmlns:xm="http://schemas.microsoft.com/office/excel/2006/main">
          <x14:cfRule type="containsText" priority="457" stopIfTrue="1" operator="containsText" id="{B856725C-FB89-4B70-8D9D-A85AE25539BD}">
            <xm:f>NOT(ISERROR(SEARCH("-",EJ111)))</xm:f>
            <xm:f>"-"</xm:f>
            <x14:dxf/>
          </x14:cfRule>
          <xm:sqref>EJ111:IF111</xm:sqref>
        </x14:conditionalFormatting>
        <x14:conditionalFormatting xmlns:xm="http://schemas.microsoft.com/office/excel/2006/main">
          <x14:cfRule type="containsText" priority="445" stopIfTrue="1" operator="containsText" id="{BB9EF4DB-F21F-4C97-8F4C-37C572857B1B}">
            <xm:f>NOT(ISERROR(SEARCH("-",EJ112)))</xm:f>
            <xm:f>"-"</xm:f>
            <x14:dxf/>
          </x14:cfRule>
          <xm:sqref>EJ112:IF112</xm:sqref>
        </x14:conditionalFormatting>
        <x14:conditionalFormatting xmlns:xm="http://schemas.microsoft.com/office/excel/2006/main">
          <x14:cfRule type="containsText" priority="433" stopIfTrue="1" operator="containsText" id="{267309C3-EB58-410F-896B-0A5F1058DBD3}">
            <xm:f>NOT(ISERROR(SEARCH("-",EJ113)))</xm:f>
            <xm:f>"-"</xm:f>
            <x14:dxf/>
          </x14:cfRule>
          <xm:sqref>EJ113:IF113</xm:sqref>
        </x14:conditionalFormatting>
        <x14:conditionalFormatting xmlns:xm="http://schemas.microsoft.com/office/excel/2006/main">
          <x14:cfRule type="containsText" priority="421" stopIfTrue="1" operator="containsText" id="{3654CFD5-7E6E-4B02-ADA6-0852B13BE53F}">
            <xm:f>NOT(ISERROR(SEARCH("-",EJ114)))</xm:f>
            <xm:f>"-"</xm:f>
            <x14:dxf/>
          </x14:cfRule>
          <xm:sqref>EJ114:IF114</xm:sqref>
        </x14:conditionalFormatting>
        <x14:conditionalFormatting xmlns:xm="http://schemas.microsoft.com/office/excel/2006/main">
          <x14:cfRule type="containsText" priority="409" stopIfTrue="1" operator="containsText" id="{5A0DA459-E5AB-4E94-BAA8-FB15F4AE1E7C}">
            <xm:f>NOT(ISERROR(SEARCH("-",EJ115)))</xm:f>
            <xm:f>"-"</xm:f>
            <x14:dxf/>
          </x14:cfRule>
          <xm:sqref>EJ115:IF115</xm:sqref>
        </x14:conditionalFormatting>
        <x14:conditionalFormatting xmlns:xm="http://schemas.microsoft.com/office/excel/2006/main">
          <x14:cfRule type="containsText" priority="397" stopIfTrue="1" operator="containsText" id="{D59E98E8-9324-4C95-8897-9E3AFB4B1A7F}">
            <xm:f>NOT(ISERROR(SEARCH("-",EJ136)))</xm:f>
            <xm:f>"-"</xm:f>
            <x14:dxf/>
          </x14:cfRule>
          <xm:sqref>EJ136:IF136</xm:sqref>
        </x14:conditionalFormatting>
        <x14:conditionalFormatting xmlns:xm="http://schemas.microsoft.com/office/excel/2006/main">
          <x14:cfRule type="containsText" priority="385" stopIfTrue="1" operator="containsText" id="{3C959D7A-8EF4-4E34-9310-7A61D5B991EB}">
            <xm:f>NOT(ISERROR(SEARCH("-",EJ149)))</xm:f>
            <xm:f>"-"</xm:f>
            <x14:dxf/>
          </x14:cfRule>
          <xm:sqref>EJ149:IF149</xm:sqref>
        </x14:conditionalFormatting>
        <x14:conditionalFormatting xmlns:xm="http://schemas.microsoft.com/office/excel/2006/main">
          <x14:cfRule type="containsText" priority="373" stopIfTrue="1" operator="containsText" id="{918C1733-5842-450B-BCF1-CD91209E12B4}">
            <xm:f>NOT(ISERROR(SEARCH("-",EJ150)))</xm:f>
            <xm:f>"-"</xm:f>
            <x14:dxf/>
          </x14:cfRule>
          <xm:sqref>EJ150:IF150</xm:sqref>
        </x14:conditionalFormatting>
        <x14:conditionalFormatting xmlns:xm="http://schemas.microsoft.com/office/excel/2006/main">
          <x14:cfRule type="containsText" priority="361" stopIfTrue="1" operator="containsText" id="{40713E3D-DE65-48D0-8C63-8304A53A195B}">
            <xm:f>NOT(ISERROR(SEARCH("-",EJ151)))</xm:f>
            <xm:f>"-"</xm:f>
            <x14:dxf/>
          </x14:cfRule>
          <xm:sqref>EJ151:IF151</xm:sqref>
        </x14:conditionalFormatting>
        <x14:conditionalFormatting xmlns:xm="http://schemas.microsoft.com/office/excel/2006/main">
          <x14:cfRule type="containsText" priority="349" stopIfTrue="1" operator="containsText" id="{2E37CB07-7241-4EE6-8752-FA17772F45DE}">
            <xm:f>NOT(ISERROR(SEARCH("-",EJ152)))</xm:f>
            <xm:f>"-"</xm:f>
            <x14:dxf/>
          </x14:cfRule>
          <xm:sqref>EJ152:IF152</xm:sqref>
        </x14:conditionalFormatting>
        <x14:conditionalFormatting xmlns:xm="http://schemas.microsoft.com/office/excel/2006/main">
          <x14:cfRule type="containsText" priority="337" stopIfTrue="1" operator="containsText" id="{4DC29E1B-E202-4E67-85EA-4C70778DF534}">
            <xm:f>NOT(ISERROR(SEARCH("-",EJ153)))</xm:f>
            <xm:f>"-"</xm:f>
            <x14:dxf/>
          </x14:cfRule>
          <xm:sqref>EJ153:IF153</xm:sqref>
        </x14:conditionalFormatting>
        <x14:conditionalFormatting xmlns:xm="http://schemas.microsoft.com/office/excel/2006/main">
          <x14:cfRule type="containsText" priority="325" stopIfTrue="1" operator="containsText" id="{D4CB55C9-9673-4882-A6C8-58CD405B8E3E}">
            <xm:f>NOT(ISERROR(SEARCH("-",EJ154)))</xm:f>
            <xm:f>"-"</xm:f>
            <x14:dxf/>
          </x14:cfRule>
          <xm:sqref>EJ154:IF154</xm:sqref>
        </x14:conditionalFormatting>
        <x14:conditionalFormatting xmlns:xm="http://schemas.microsoft.com/office/excel/2006/main">
          <x14:cfRule type="containsText" priority="313" stopIfTrue="1" operator="containsText" id="{C028DBBA-610D-4CA8-BF54-48AEE82C03DC}">
            <xm:f>NOT(ISERROR(SEARCH("-",EJ155)))</xm:f>
            <xm:f>"-"</xm:f>
            <x14:dxf/>
          </x14:cfRule>
          <xm:sqref>EJ155:IF155</xm:sqref>
        </x14:conditionalFormatting>
        <x14:conditionalFormatting xmlns:xm="http://schemas.microsoft.com/office/excel/2006/main">
          <x14:cfRule type="containsText" priority="301" stopIfTrue="1" operator="containsText" id="{7A620B68-3B6E-4C91-B593-8EA512C1C63F}">
            <xm:f>NOT(ISERROR(SEARCH("-",EJ156)))</xm:f>
            <xm:f>"-"</xm:f>
            <x14:dxf/>
          </x14:cfRule>
          <xm:sqref>EJ156:IF156</xm:sqref>
        </x14:conditionalFormatting>
        <x14:conditionalFormatting xmlns:xm="http://schemas.microsoft.com/office/excel/2006/main">
          <x14:cfRule type="containsText" priority="289" stopIfTrue="1" operator="containsText" id="{50B39149-7DAB-4083-85F2-EDDDECB15F24}">
            <xm:f>NOT(ISERROR(SEARCH("-",EJ157)))</xm:f>
            <xm:f>"-"</xm:f>
            <x14:dxf/>
          </x14:cfRule>
          <xm:sqref>EJ157:IF157</xm:sqref>
        </x14:conditionalFormatting>
        <x14:conditionalFormatting xmlns:xm="http://schemas.microsoft.com/office/excel/2006/main">
          <x14:cfRule type="containsText" priority="277" stopIfTrue="1" operator="containsText" id="{DEB78996-37D6-4FBB-B26D-EB35B6689412}">
            <xm:f>NOT(ISERROR(SEARCH("-",EJ173)))</xm:f>
            <xm:f>"-"</xm:f>
            <x14:dxf/>
          </x14:cfRule>
          <xm:sqref>EJ173:IF173</xm:sqref>
        </x14:conditionalFormatting>
        <x14:conditionalFormatting xmlns:xm="http://schemas.microsoft.com/office/excel/2006/main">
          <x14:cfRule type="containsText" priority="265" stopIfTrue="1" operator="containsText" id="{94444766-E7F3-4A34-BC8B-B98F4B8C5848}">
            <xm:f>NOT(ISERROR(SEARCH("-",EJ174)))</xm:f>
            <xm:f>"-"</xm:f>
            <x14:dxf/>
          </x14:cfRule>
          <xm:sqref>EJ174:IF174</xm:sqref>
        </x14:conditionalFormatting>
        <x14:conditionalFormatting xmlns:xm="http://schemas.microsoft.com/office/excel/2006/main">
          <x14:cfRule type="containsText" priority="253" stopIfTrue="1" operator="containsText" id="{E0E6669A-10C0-46A6-A75E-06062E9103AF}">
            <xm:f>NOT(ISERROR(SEARCH("-",EJ175)))</xm:f>
            <xm:f>"-"</xm:f>
            <x14:dxf/>
          </x14:cfRule>
          <xm:sqref>EJ175:IF175</xm:sqref>
        </x14:conditionalFormatting>
        <x14:conditionalFormatting xmlns:xm="http://schemas.microsoft.com/office/excel/2006/main">
          <x14:cfRule type="containsText" priority="241" stopIfTrue="1" operator="containsText" id="{067C50E1-18BA-407D-B3EB-31AAF842D017}">
            <xm:f>NOT(ISERROR(SEARCH("-",EJ176)))</xm:f>
            <xm:f>"-"</xm:f>
            <x14:dxf/>
          </x14:cfRule>
          <xm:sqref>EJ176:IF176</xm:sqref>
        </x14:conditionalFormatting>
        <x14:conditionalFormatting xmlns:xm="http://schemas.microsoft.com/office/excel/2006/main">
          <x14:cfRule type="containsText" priority="229" stopIfTrue="1" operator="containsText" id="{D6742D71-4255-4798-AEEC-B1168CD05289}">
            <xm:f>NOT(ISERROR(SEARCH("-",EJ177)))</xm:f>
            <xm:f>"-"</xm:f>
            <x14:dxf/>
          </x14:cfRule>
          <xm:sqref>EJ177:IF177</xm:sqref>
        </x14:conditionalFormatting>
        <x14:conditionalFormatting xmlns:xm="http://schemas.microsoft.com/office/excel/2006/main">
          <x14:cfRule type="containsText" priority="217" stopIfTrue="1" operator="containsText" id="{2811CECF-6AEA-42B0-91AD-C1F667F81F57}">
            <xm:f>NOT(ISERROR(SEARCH("-",EJ178)))</xm:f>
            <xm:f>"-"</xm:f>
            <x14:dxf/>
          </x14:cfRule>
          <xm:sqref>EJ178:IF178</xm:sqref>
        </x14:conditionalFormatting>
        <x14:conditionalFormatting xmlns:xm="http://schemas.microsoft.com/office/excel/2006/main">
          <x14:cfRule type="containsText" priority="205" stopIfTrue="1" operator="containsText" id="{B7E390A7-1415-4220-847B-A433A0B77A2B}">
            <xm:f>NOT(ISERROR(SEARCH("-",EJ179)))</xm:f>
            <xm:f>"-"</xm:f>
            <x14:dxf/>
          </x14:cfRule>
          <xm:sqref>EJ179:IF179</xm:sqref>
        </x14:conditionalFormatting>
        <x14:conditionalFormatting xmlns:xm="http://schemas.microsoft.com/office/excel/2006/main">
          <x14:cfRule type="containsText" priority="193" stopIfTrue="1" operator="containsText" id="{473FF54C-7803-4B5F-A25A-749133A8AE4C}">
            <xm:f>NOT(ISERROR(SEARCH("-",EJ184)))</xm:f>
            <xm:f>"-"</xm:f>
            <x14:dxf/>
          </x14:cfRule>
          <xm:sqref>EJ184:IF184</xm:sqref>
        </x14:conditionalFormatting>
        <x14:conditionalFormatting xmlns:xm="http://schemas.microsoft.com/office/excel/2006/main">
          <x14:cfRule type="containsText" priority="181" stopIfTrue="1" operator="containsText" id="{C7E41CC6-40B5-424A-8895-688A93F95E57}">
            <xm:f>NOT(ISERROR(SEARCH("-",EJ185)))</xm:f>
            <xm:f>"-"</xm:f>
            <x14:dxf/>
          </x14:cfRule>
          <xm:sqref>EJ185:IF185</xm:sqref>
        </x14:conditionalFormatting>
        <x14:conditionalFormatting xmlns:xm="http://schemas.microsoft.com/office/excel/2006/main">
          <x14:cfRule type="containsText" priority="169" stopIfTrue="1" operator="containsText" id="{AF2D4331-BEE5-48B3-8FBC-8FE5A527C065}">
            <xm:f>NOT(ISERROR(SEARCH("-",EJ186)))</xm:f>
            <xm:f>"-"</xm:f>
            <x14:dxf/>
          </x14:cfRule>
          <xm:sqref>EJ186:IF186</xm:sqref>
        </x14:conditionalFormatting>
        <x14:conditionalFormatting xmlns:xm="http://schemas.microsoft.com/office/excel/2006/main">
          <x14:cfRule type="containsText" priority="157" stopIfTrue="1" operator="containsText" id="{400ABC4A-97BC-4EAF-A816-587D69FDA534}">
            <xm:f>NOT(ISERROR(SEARCH("-",EJ187)))</xm:f>
            <xm:f>"-"</xm:f>
            <x14:dxf/>
          </x14:cfRule>
          <xm:sqref>EJ187:IF187</xm:sqref>
        </x14:conditionalFormatting>
        <x14:conditionalFormatting xmlns:xm="http://schemas.microsoft.com/office/excel/2006/main">
          <x14:cfRule type="containsText" priority="145" stopIfTrue="1" operator="containsText" id="{04558577-3613-4324-9ED6-823690FCD29A}">
            <xm:f>NOT(ISERROR(SEARCH("-",EJ188)))</xm:f>
            <xm:f>"-"</xm:f>
            <x14:dxf/>
          </x14:cfRule>
          <xm:sqref>EJ188:IF188</xm:sqref>
        </x14:conditionalFormatting>
        <x14:conditionalFormatting xmlns:xm="http://schemas.microsoft.com/office/excel/2006/main">
          <x14:cfRule type="containsText" priority="133" stopIfTrue="1" operator="containsText" id="{9D5FE2D4-34DC-4F81-AB5A-54623C57A740}">
            <xm:f>NOT(ISERROR(SEARCH("-",EJ189)))</xm:f>
            <xm:f>"-"</xm:f>
            <x14:dxf/>
          </x14:cfRule>
          <xm:sqref>EJ189:IF189</xm:sqref>
        </x14:conditionalFormatting>
        <x14:conditionalFormatting xmlns:xm="http://schemas.microsoft.com/office/excel/2006/main">
          <x14:cfRule type="containsText" priority="121" stopIfTrue="1" operator="containsText" id="{5FD4DE5E-7FAD-4C4D-A6BD-9CD18B742694}">
            <xm:f>NOT(ISERROR(SEARCH("-",EJ190)))</xm:f>
            <xm:f>"-"</xm:f>
            <x14:dxf/>
          </x14:cfRule>
          <xm:sqref>EJ190:IF190</xm:sqref>
        </x14:conditionalFormatting>
        <x14:conditionalFormatting xmlns:xm="http://schemas.microsoft.com/office/excel/2006/main">
          <x14:cfRule type="containsText" priority="109" stopIfTrue="1" operator="containsText" id="{C627AB21-21AA-48DC-BE3B-10C7044B707B}">
            <xm:f>NOT(ISERROR(SEARCH("-",EJ191)))</xm:f>
            <xm:f>"-"</xm:f>
            <x14:dxf/>
          </x14:cfRule>
          <xm:sqref>EJ191:IF192</xm:sqref>
        </x14:conditionalFormatting>
        <x14:conditionalFormatting xmlns:xm="http://schemas.microsoft.com/office/excel/2006/main">
          <x14:cfRule type="containsText" priority="97" stopIfTrue="1" operator="containsText" id="{7457F02E-34CC-438B-BF16-EF53C4F173F1}">
            <xm:f>NOT(ISERROR(SEARCH("-",EJ94)))</xm:f>
            <xm:f>"-"</xm:f>
            <x14:dxf/>
          </x14:cfRule>
          <xm:sqref>EJ94:IF94</xm:sqref>
        </x14:conditionalFormatting>
        <x14:conditionalFormatting xmlns:xm="http://schemas.microsoft.com/office/excel/2006/main">
          <x14:cfRule type="containsText" priority="85" stopIfTrue="1" operator="containsText" id="{83EA2B8D-9893-415E-87FC-187DDD3A10D2}">
            <xm:f>NOT(ISERROR(SEARCH("-",EJ95)))</xm:f>
            <xm:f>"-"</xm:f>
            <x14:dxf/>
          </x14:cfRule>
          <xm:sqref>EJ95:IF95</xm:sqref>
        </x14:conditionalFormatting>
        <x14:conditionalFormatting xmlns:xm="http://schemas.microsoft.com/office/excel/2006/main">
          <x14:cfRule type="containsText" priority="73" stopIfTrue="1" operator="containsText" id="{69E746F3-4D05-41A7-8F27-27F511A56434}">
            <xm:f>NOT(ISERROR(SEARCH("-",EJ96)))</xm:f>
            <xm:f>"-"</xm:f>
            <x14:dxf/>
          </x14:cfRule>
          <xm:sqref>EJ96:IF96</xm:sqref>
        </x14:conditionalFormatting>
        <x14:conditionalFormatting xmlns:xm="http://schemas.microsoft.com/office/excel/2006/main">
          <x14:cfRule type="containsText" priority="61" stopIfTrue="1" operator="containsText" id="{DE915E87-5CD8-4083-AC9A-0D45CA45FA91}">
            <xm:f>NOT(ISERROR(SEARCH("-",EJ97)))</xm:f>
            <xm:f>"-"</xm:f>
            <x14:dxf/>
          </x14:cfRule>
          <xm:sqref>EJ97:IF97</xm:sqref>
        </x14:conditionalFormatting>
        <x14:conditionalFormatting xmlns:xm="http://schemas.microsoft.com/office/excel/2006/main">
          <x14:cfRule type="containsText" priority="49" stopIfTrue="1" operator="containsText" id="{5B488ACA-D20F-4877-8C01-36D4F5E47C44}">
            <xm:f>NOT(ISERROR(SEARCH("-",EJ98)))</xm:f>
            <xm:f>"-"</xm:f>
            <x14:dxf/>
          </x14:cfRule>
          <xm:sqref>EJ98:IF98</xm:sqref>
        </x14:conditionalFormatting>
        <x14:conditionalFormatting xmlns:xm="http://schemas.microsoft.com/office/excel/2006/main">
          <x14:cfRule type="containsText" priority="37" stopIfTrue="1" operator="containsText" id="{F619ECAE-F73E-4F38-A3CE-82B79393821A}">
            <xm:f>NOT(ISERROR(SEARCH("-",EJ99)))</xm:f>
            <xm:f>"-"</xm:f>
            <x14:dxf/>
          </x14:cfRule>
          <xm:sqref>EJ99:IF99</xm:sqref>
        </x14:conditionalFormatting>
        <x14:conditionalFormatting xmlns:xm="http://schemas.microsoft.com/office/excel/2006/main">
          <x14:cfRule type="containsText" priority="25" stopIfTrue="1" operator="containsText" id="{209C9BD0-61B5-42FB-BE10-9DEFCB24CFB8}">
            <xm:f>NOT(ISERROR(SEARCH("-",EJ100)))</xm:f>
            <xm:f>"-"</xm:f>
            <x14:dxf/>
          </x14:cfRule>
          <xm:sqref>EJ100:IF100</xm:sqref>
        </x14:conditionalFormatting>
        <x14:conditionalFormatting xmlns:xm="http://schemas.microsoft.com/office/excel/2006/main">
          <x14:cfRule type="containsText" priority="13" stopIfTrue="1" operator="containsText" id="{59D5F393-EAAE-4442-AB44-A37347B48A3B}">
            <xm:f>NOT(ISERROR(SEARCH("-",EJ101)))</xm:f>
            <xm:f>"-"</xm:f>
            <x14:dxf/>
          </x14:cfRule>
          <xm:sqref>EJ101:IF101</xm:sqref>
        </x14:conditionalFormatting>
        <x14:conditionalFormatting xmlns:xm="http://schemas.microsoft.com/office/excel/2006/main">
          <x14:cfRule type="containsText" priority="1" stopIfTrue="1" operator="containsText" id="{49B1F158-01C8-45FC-93F9-21E128ECBD6F}">
            <xm:f>NOT(ISERROR(SEARCH("-",EJ102)))</xm:f>
            <xm:f>"-"</xm:f>
            <x14:dxf/>
          </x14:cfRule>
          <xm:sqref>EJ102:IF102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IR210"/>
  <sheetViews>
    <sheetView showGridLines="0" zoomScale="85" zoomScaleNormal="85" workbookViewId="0">
      <pane ySplit="6" topLeftCell="A7" activePane="bottomLeft" state="frozen"/>
      <selection activeCell="E10" sqref="E10"/>
      <selection pane="bottomLeft" sqref="A1:XFD1048576"/>
    </sheetView>
  </sheetViews>
  <sheetFormatPr defaultColWidth="9.08984375" defaultRowHeight="14.5" zeroHeight="1" outlineLevelCol="1" x14ac:dyDescent="0.35"/>
  <cols>
    <col min="1" max="3" width="12.54296875" style="28" customWidth="1"/>
    <col min="4" max="4" width="1.54296875" customWidth="1"/>
    <col min="5" max="5" width="4" customWidth="1"/>
    <col min="6" max="6" width="70.90625" bestFit="1" customWidth="1"/>
    <col min="7" max="7" width="15" customWidth="1"/>
    <col min="8" max="8" width="20" customWidth="1" outlineLevel="1"/>
    <col min="9" max="9" width="34" customWidth="1" outlineLevel="1"/>
    <col min="10" max="11" width="12.6328125" customWidth="1" outlineLevel="1"/>
    <col min="12" max="110" width="11.6328125" customWidth="1" outlineLevel="1"/>
    <col min="111" max="111" width="7" style="22" customWidth="1" outlineLevel="1"/>
    <col min="112" max="114" width="16.54296875" style="28" customWidth="1" outlineLevel="1"/>
    <col min="115" max="115" width="7" style="58" customWidth="1" outlineLevel="1"/>
    <col min="116" max="118" width="16.54296875" style="28" customWidth="1" outlineLevel="1"/>
    <col min="119" max="119" width="7" style="58" customWidth="1" outlineLevel="1"/>
    <col min="120" max="122" width="16.54296875" style="28" customWidth="1" outlineLevel="1"/>
    <col min="123" max="123" width="7" style="58" customWidth="1" outlineLevel="1"/>
    <col min="124" max="126" width="16.08984375" style="28" customWidth="1" outlineLevel="1"/>
    <col min="127" max="127" width="25.90625" customWidth="1"/>
    <col min="128" max="128" width="20" customWidth="1"/>
    <col min="129" max="228" width="13.6328125" customWidth="1"/>
    <col min="229" max="229" width="16.36328125" style="157" customWidth="1"/>
    <col min="230" max="230" width="13" style="33" customWidth="1"/>
    <col min="231" max="231" width="17" style="158" customWidth="1"/>
    <col min="232" max="232" width="16.36328125" style="33" customWidth="1"/>
    <col min="233" max="233" width="13" style="33" customWidth="1"/>
    <col min="234" max="234" width="17" style="33" customWidth="1"/>
    <col min="235" max="235" width="16.36328125" style="157" customWidth="1"/>
    <col min="236" max="236" width="13" style="33" customWidth="1"/>
    <col min="237" max="237" width="17" style="158" customWidth="1"/>
    <col min="238" max="238" width="16.36328125" style="157" customWidth="1"/>
    <col min="239" max="239" width="13" style="33" customWidth="1"/>
    <col min="240" max="240" width="17" style="158" customWidth="1"/>
    <col min="241" max="241" width="1.6328125" customWidth="1"/>
    <col min="242" max="246" width="9" style="66" customWidth="1"/>
    <col min="247" max="247" width="9" style="28" customWidth="1"/>
    <col min="248" max="248" width="10.54296875" style="71" customWidth="1"/>
    <col min="249" max="249" width="15.90625" style="71" customWidth="1"/>
    <col min="250" max="250" width="14.90625" style="71" customWidth="1"/>
    <col min="251" max="251" width="10.54296875" style="71" customWidth="1"/>
    <col min="252" max="252" width="9.08984375" style="72" customWidth="1"/>
  </cols>
  <sheetData>
    <row r="1" spans="1:252" s="12" customFormat="1" x14ac:dyDescent="0.35">
      <c r="A1" s="141" t="s">
        <v>403</v>
      </c>
      <c r="B1" s="55"/>
      <c r="C1" s="55"/>
      <c r="I1" s="14"/>
      <c r="DH1" s="55"/>
      <c r="DI1" s="55"/>
      <c r="DJ1" s="55"/>
      <c r="DK1" s="55"/>
      <c r="DL1" s="55"/>
      <c r="DM1" s="55"/>
      <c r="DN1" s="55"/>
      <c r="DO1" s="55"/>
      <c r="DP1" s="55"/>
      <c r="DQ1" s="55"/>
      <c r="DR1" s="55"/>
      <c r="DS1" s="55"/>
      <c r="DT1" s="55"/>
      <c r="DU1" s="55"/>
      <c r="DV1" s="55"/>
      <c r="HU1" s="152"/>
      <c r="HV1" s="153"/>
      <c r="HW1" s="154"/>
      <c r="HX1" s="153"/>
      <c r="HY1" s="153"/>
      <c r="HZ1" s="153"/>
      <c r="IA1" s="152"/>
      <c r="IB1" s="153"/>
      <c r="IC1" s="154"/>
      <c r="ID1" s="152"/>
      <c r="IE1" s="153"/>
      <c r="IF1" s="154"/>
      <c r="IH1" s="64"/>
      <c r="II1" s="65"/>
      <c r="IJ1" s="64"/>
      <c r="IK1" s="64"/>
      <c r="IL1" s="64"/>
      <c r="IM1" s="55"/>
      <c r="IN1" s="69"/>
      <c r="IO1" s="69"/>
      <c r="IP1" s="69"/>
      <c r="IQ1" s="69"/>
      <c r="IR1" s="70"/>
    </row>
    <row r="2" spans="1:252" s="15" customFormat="1" x14ac:dyDescent="0.35">
      <c r="A2" s="56"/>
      <c r="B2" s="56"/>
      <c r="C2" s="56"/>
      <c r="E2" s="62"/>
      <c r="F2" s="62"/>
      <c r="G2" s="63"/>
      <c r="I2" s="16"/>
      <c r="J2" s="15">
        <v>3</v>
      </c>
      <c r="K2" s="15">
        <v>4</v>
      </c>
      <c r="L2" s="15">
        <v>5</v>
      </c>
      <c r="M2" s="15">
        <v>6</v>
      </c>
      <c r="N2" s="15">
        <v>7</v>
      </c>
      <c r="O2" s="15">
        <v>8</v>
      </c>
      <c r="P2" s="15">
        <v>9</v>
      </c>
      <c r="Q2" s="15">
        <v>10</v>
      </c>
      <c r="R2" s="15">
        <v>11</v>
      </c>
      <c r="S2" s="15">
        <v>12</v>
      </c>
      <c r="T2" s="15">
        <v>13</v>
      </c>
      <c r="U2" s="15">
        <v>14</v>
      </c>
      <c r="V2" s="15">
        <v>15</v>
      </c>
      <c r="W2" s="15">
        <v>16</v>
      </c>
      <c r="X2" s="15">
        <v>17</v>
      </c>
      <c r="Y2" s="15">
        <v>18</v>
      </c>
      <c r="Z2" s="15">
        <v>19</v>
      </c>
      <c r="AA2" s="15">
        <v>20</v>
      </c>
      <c r="AB2" s="15">
        <v>21</v>
      </c>
      <c r="AC2" s="15">
        <v>22</v>
      </c>
      <c r="AD2" s="15">
        <v>23</v>
      </c>
      <c r="AE2" s="15">
        <v>24</v>
      </c>
      <c r="AF2" s="15">
        <v>25</v>
      </c>
      <c r="AG2" s="15">
        <v>26</v>
      </c>
      <c r="AH2" s="15">
        <v>27</v>
      </c>
      <c r="AI2" s="15">
        <v>28</v>
      </c>
      <c r="AJ2" s="15">
        <v>29</v>
      </c>
      <c r="AK2" s="15">
        <v>30</v>
      </c>
      <c r="AL2" s="15">
        <v>31</v>
      </c>
      <c r="AM2" s="15">
        <v>32</v>
      </c>
      <c r="AN2" s="15">
        <v>33</v>
      </c>
      <c r="AO2" s="15">
        <v>34</v>
      </c>
      <c r="AP2" s="15">
        <v>35</v>
      </c>
      <c r="AQ2" s="15">
        <v>36</v>
      </c>
      <c r="AR2" s="15">
        <v>37</v>
      </c>
      <c r="AS2" s="15">
        <v>38</v>
      </c>
      <c r="AT2" s="15">
        <v>39</v>
      </c>
      <c r="AU2" s="15">
        <v>40</v>
      </c>
      <c r="AV2" s="15">
        <v>41</v>
      </c>
      <c r="AW2" s="15">
        <v>42</v>
      </c>
      <c r="AX2" s="15">
        <v>43</v>
      </c>
      <c r="AY2" s="15">
        <v>44</v>
      </c>
      <c r="AZ2" s="15">
        <v>45</v>
      </c>
      <c r="BA2" s="15">
        <v>46</v>
      </c>
      <c r="BB2" s="15">
        <v>47</v>
      </c>
      <c r="BC2" s="15">
        <v>48</v>
      </c>
      <c r="BD2" s="15">
        <v>49</v>
      </c>
      <c r="BE2" s="15">
        <v>50</v>
      </c>
      <c r="BF2" s="15">
        <v>51</v>
      </c>
      <c r="BG2" s="15">
        <v>52</v>
      </c>
      <c r="BH2" s="15">
        <v>53</v>
      </c>
      <c r="BI2" s="15">
        <v>54</v>
      </c>
      <c r="BJ2" s="15">
        <v>55</v>
      </c>
      <c r="BK2" s="15">
        <v>56</v>
      </c>
      <c r="BL2" s="15">
        <v>57</v>
      </c>
      <c r="BM2" s="15">
        <v>58</v>
      </c>
      <c r="BN2" s="15">
        <v>59</v>
      </c>
      <c r="BO2" s="15">
        <v>60</v>
      </c>
      <c r="BP2" s="15">
        <v>61</v>
      </c>
      <c r="BQ2" s="15">
        <v>62</v>
      </c>
      <c r="BR2" s="15">
        <v>63</v>
      </c>
      <c r="BS2" s="15">
        <v>64</v>
      </c>
      <c r="BT2" s="15">
        <v>65</v>
      </c>
      <c r="BU2" s="15">
        <v>66</v>
      </c>
      <c r="BV2" s="15">
        <v>67</v>
      </c>
      <c r="BW2" s="15">
        <v>68</v>
      </c>
      <c r="BX2" s="15">
        <v>69</v>
      </c>
      <c r="BY2" s="15">
        <v>70</v>
      </c>
      <c r="BZ2" s="15">
        <v>71</v>
      </c>
      <c r="CA2" s="15">
        <v>72</v>
      </c>
      <c r="CB2" s="15">
        <v>73</v>
      </c>
      <c r="CC2" s="15">
        <v>74</v>
      </c>
      <c r="CD2" s="15">
        <v>75</v>
      </c>
      <c r="CE2" s="15">
        <v>76</v>
      </c>
      <c r="CF2" s="15">
        <v>77</v>
      </c>
      <c r="CG2" s="15">
        <v>78</v>
      </c>
      <c r="CH2" s="15">
        <v>79</v>
      </c>
      <c r="CI2" s="15">
        <v>80</v>
      </c>
      <c r="CJ2" s="15">
        <v>81</v>
      </c>
      <c r="CK2" s="15">
        <v>82</v>
      </c>
      <c r="CL2" s="15">
        <v>83</v>
      </c>
      <c r="CM2" s="15">
        <v>84</v>
      </c>
      <c r="CN2" s="15">
        <v>85</v>
      </c>
      <c r="CO2" s="15">
        <v>86</v>
      </c>
      <c r="CP2" s="15">
        <v>87</v>
      </c>
      <c r="CQ2" s="15">
        <v>88</v>
      </c>
      <c r="CR2" s="15">
        <v>89</v>
      </c>
      <c r="CS2" s="15">
        <v>90</v>
      </c>
      <c r="CT2" s="15">
        <v>91</v>
      </c>
      <c r="CU2" s="15">
        <v>92</v>
      </c>
      <c r="CV2" s="15">
        <v>93</v>
      </c>
      <c r="CW2" s="15">
        <v>94</v>
      </c>
      <c r="CX2" s="15">
        <v>95</v>
      </c>
      <c r="CY2" s="15">
        <v>96</v>
      </c>
      <c r="CZ2" s="15">
        <v>97</v>
      </c>
      <c r="DA2" s="15">
        <v>98</v>
      </c>
      <c r="DB2" s="15">
        <v>99</v>
      </c>
      <c r="DC2" s="15">
        <v>100</v>
      </c>
      <c r="DD2" s="15">
        <v>101</v>
      </c>
      <c r="DE2" s="15">
        <v>102</v>
      </c>
      <c r="DF2" s="15">
        <v>103</v>
      </c>
      <c r="DH2" s="56"/>
      <c r="DI2" s="56"/>
      <c r="DJ2" s="56"/>
      <c r="DK2" s="56"/>
      <c r="DL2" s="56"/>
      <c r="DM2" s="56"/>
      <c r="DN2" s="56"/>
      <c r="DO2" s="56"/>
      <c r="DP2" s="56"/>
      <c r="DQ2" s="56"/>
      <c r="DR2" s="56"/>
      <c r="DS2" s="56"/>
      <c r="DT2" s="56"/>
      <c r="DU2" s="56"/>
      <c r="DV2" s="56"/>
      <c r="DX2" s="63" t="str">
        <f>VLOOKUP(XCurrency,XCURRSIGN,2,0)</f>
        <v>$</v>
      </c>
      <c r="HU2" s="155"/>
      <c r="HV2" s="56"/>
      <c r="HW2" s="156"/>
      <c r="HX2" s="56"/>
      <c r="HY2" s="56"/>
      <c r="HZ2" s="56"/>
      <c r="IA2" s="155"/>
      <c r="IB2" s="56"/>
      <c r="IC2" s="156"/>
      <c r="ID2" s="155"/>
      <c r="IE2" s="56"/>
      <c r="IF2" s="156"/>
      <c r="IH2" s="64"/>
      <c r="II2" s="65"/>
      <c r="IJ2" s="64"/>
      <c r="IK2" s="64"/>
      <c r="IL2" s="64"/>
      <c r="IM2" s="56"/>
      <c r="IN2" s="69"/>
      <c r="IO2" s="69"/>
      <c r="IP2" s="69"/>
      <c r="IQ2" s="69"/>
      <c r="IR2" s="70"/>
    </row>
    <row r="3" spans="1:252" x14ac:dyDescent="0.35">
      <c r="A3" s="56"/>
      <c r="B3" s="56"/>
      <c r="C3" s="56"/>
      <c r="D3" s="15"/>
      <c r="F3" s="207" t="s">
        <v>404</v>
      </c>
      <c r="G3" s="15"/>
      <c r="H3" s="15"/>
      <c r="J3" s="13" t="s">
        <v>405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/>
      <c r="DK3" s="28"/>
      <c r="DO3" s="28"/>
      <c r="DS3" s="28"/>
      <c r="II3" s="67"/>
    </row>
    <row r="4" spans="1:252" ht="15" customHeight="1" thickBot="1" x14ac:dyDescent="0.4">
      <c r="F4" s="234" t="s">
        <v>269</v>
      </c>
      <c r="I4" s="17" t="s">
        <v>406</v>
      </c>
      <c r="J4" s="10" t="s">
        <v>407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371" t="str">
        <f>'KPI Count-SHARE'!J3</f>
        <v>Reference Set 1</v>
      </c>
      <c r="DH4" s="371"/>
      <c r="DI4" s="371"/>
      <c r="DJ4" s="371"/>
      <c r="DK4" s="373" t="str">
        <f>'KPI Count-SHARE'!K3</f>
        <v>Reference Set 2</v>
      </c>
      <c r="DL4" s="373"/>
      <c r="DM4" s="373"/>
      <c r="DN4" s="373"/>
      <c r="DO4" s="375" t="str">
        <f>'KPI Count-SHARE'!L3</f>
        <v>Reference Set 3</v>
      </c>
      <c r="DP4" s="375"/>
      <c r="DQ4" s="375"/>
      <c r="DR4" s="375"/>
      <c r="DS4" s="369" t="str">
        <f>'KPI Count-SHARE'!M3</f>
        <v>Reference Set 4</v>
      </c>
      <c r="DT4" s="369"/>
      <c r="DU4" s="369"/>
      <c r="DV4" s="369"/>
      <c r="DX4" s="13" t="s">
        <v>408</v>
      </c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389" t="str">
        <f>'KPI Count-SHARE'!J3</f>
        <v>Reference Set 1</v>
      </c>
      <c r="HV4" s="390"/>
      <c r="HW4" s="391"/>
      <c r="HX4" s="380" t="str">
        <f>'KPI Count-SHARE'!K3</f>
        <v>Reference Set 2</v>
      </c>
      <c r="HY4" s="381"/>
      <c r="HZ4" s="382"/>
      <c r="IA4" s="383" t="str">
        <f>'KPI Count-SHARE'!L3</f>
        <v>Reference Set 3</v>
      </c>
      <c r="IB4" s="384"/>
      <c r="IC4" s="385"/>
      <c r="ID4" s="377" t="str">
        <f>'KPI Count-SHARE'!M3</f>
        <v>Reference Set 4</v>
      </c>
      <c r="IE4" s="378"/>
      <c r="IF4" s="379"/>
      <c r="II4" s="67" t="s">
        <v>409</v>
      </c>
      <c r="IJ4" s="66" t="e">
        <f>VLOOKUP(F4,MCKPEERREF,2,0)</f>
        <v>#N/A</v>
      </c>
    </row>
    <row r="5" spans="1:252" ht="15" customHeight="1" thickBot="1" x14ac:dyDescent="0.4">
      <c r="I5" s="18">
        <f>1/'KPI Count-SHARE'!O3</f>
        <v>1.1235955056179776</v>
      </c>
      <c r="J5" s="19" t="s">
        <v>410</v>
      </c>
      <c r="K5" s="19" t="s">
        <v>411</v>
      </c>
      <c r="L5" s="19" t="s">
        <v>412</v>
      </c>
      <c r="M5" s="19" t="s">
        <v>413</v>
      </c>
      <c r="N5" s="19" t="s">
        <v>414</v>
      </c>
      <c r="O5" s="19" t="s">
        <v>415</v>
      </c>
      <c r="P5" s="19" t="s">
        <v>416</v>
      </c>
      <c r="Q5" s="19" t="s">
        <v>417</v>
      </c>
      <c r="R5" s="19" t="s">
        <v>418</v>
      </c>
      <c r="S5" s="19" t="s">
        <v>419</v>
      </c>
      <c r="T5" s="19" t="s">
        <v>420</v>
      </c>
      <c r="U5" s="19" t="s">
        <v>421</v>
      </c>
      <c r="V5" s="19" t="s">
        <v>422</v>
      </c>
      <c r="W5" s="19" t="s">
        <v>423</v>
      </c>
      <c r="X5" s="19" t="s">
        <v>424</v>
      </c>
      <c r="Y5" s="19" t="s">
        <v>425</v>
      </c>
      <c r="Z5" s="19" t="s">
        <v>426</v>
      </c>
      <c r="AA5" s="19" t="s">
        <v>427</v>
      </c>
      <c r="AB5" s="19" t="s">
        <v>428</v>
      </c>
      <c r="AC5" s="19" t="s">
        <v>429</v>
      </c>
      <c r="AD5" s="19" t="s">
        <v>430</v>
      </c>
      <c r="AE5" s="19" t="s">
        <v>431</v>
      </c>
      <c r="AF5" s="19" t="s">
        <v>432</v>
      </c>
      <c r="AG5" s="19" t="s">
        <v>433</v>
      </c>
      <c r="AH5" s="19" t="s">
        <v>434</v>
      </c>
      <c r="AI5" s="19" t="s">
        <v>435</v>
      </c>
      <c r="AJ5" s="19" t="s">
        <v>436</v>
      </c>
      <c r="AK5" s="19" t="s">
        <v>437</v>
      </c>
      <c r="AL5" s="19" t="s">
        <v>438</v>
      </c>
      <c r="AM5" s="19" t="s">
        <v>439</v>
      </c>
      <c r="AN5" s="19" t="s">
        <v>440</v>
      </c>
      <c r="AO5" s="19" t="s">
        <v>441</v>
      </c>
      <c r="AP5" s="19" t="s">
        <v>442</v>
      </c>
      <c r="AQ5" s="19" t="s">
        <v>443</v>
      </c>
      <c r="AR5" s="19" t="s">
        <v>444</v>
      </c>
      <c r="AS5" s="19" t="s">
        <v>445</v>
      </c>
      <c r="AT5" s="19" t="s">
        <v>446</v>
      </c>
      <c r="AU5" s="19" t="s">
        <v>447</v>
      </c>
      <c r="AV5" s="19" t="s">
        <v>448</v>
      </c>
      <c r="AW5" s="19" t="s">
        <v>449</v>
      </c>
      <c r="AX5" s="19" t="s">
        <v>450</v>
      </c>
      <c r="AY5" s="19" t="s">
        <v>451</v>
      </c>
      <c r="AZ5" s="19" t="s">
        <v>452</v>
      </c>
      <c r="BA5" s="19" t="s">
        <v>453</v>
      </c>
      <c r="BB5" s="19" t="s">
        <v>454</v>
      </c>
      <c r="BC5" s="19" t="s">
        <v>455</v>
      </c>
      <c r="BD5" s="19" t="s">
        <v>456</v>
      </c>
      <c r="BE5" s="19" t="s">
        <v>457</v>
      </c>
      <c r="BF5" s="19" t="s">
        <v>458</v>
      </c>
      <c r="BG5" s="19" t="s">
        <v>459</v>
      </c>
      <c r="BH5" s="19" t="s">
        <v>460</v>
      </c>
      <c r="BI5" s="19" t="s">
        <v>461</v>
      </c>
      <c r="BJ5" s="19" t="s">
        <v>462</v>
      </c>
      <c r="BK5" s="19" t="s">
        <v>463</v>
      </c>
      <c r="BL5" s="19" t="s">
        <v>464</v>
      </c>
      <c r="BM5" s="19" t="s">
        <v>465</v>
      </c>
      <c r="BN5" s="19" t="s">
        <v>466</v>
      </c>
      <c r="BO5" s="19" t="s">
        <v>467</v>
      </c>
      <c r="BP5" s="19" t="s">
        <v>468</v>
      </c>
      <c r="BQ5" s="19" t="s">
        <v>469</v>
      </c>
      <c r="BR5" s="19" t="s">
        <v>470</v>
      </c>
      <c r="BS5" s="19" t="s">
        <v>471</v>
      </c>
      <c r="BT5" s="19" t="s">
        <v>472</v>
      </c>
      <c r="BU5" s="19" t="s">
        <v>473</v>
      </c>
      <c r="BV5" s="19" t="s">
        <v>474</v>
      </c>
      <c r="BW5" s="19" t="s">
        <v>475</v>
      </c>
      <c r="BX5" s="19" t="s">
        <v>476</v>
      </c>
      <c r="BY5" s="19" t="s">
        <v>477</v>
      </c>
      <c r="BZ5" s="19" t="s">
        <v>478</v>
      </c>
      <c r="CA5" s="19" t="s">
        <v>479</v>
      </c>
      <c r="CB5" s="19" t="s">
        <v>480</v>
      </c>
      <c r="CC5" s="19" t="s">
        <v>481</v>
      </c>
      <c r="CD5" s="19" t="s">
        <v>482</v>
      </c>
      <c r="CE5" s="19" t="s">
        <v>483</v>
      </c>
      <c r="CF5" s="19" t="s">
        <v>484</v>
      </c>
      <c r="CG5" s="19" t="s">
        <v>485</v>
      </c>
      <c r="CH5" s="19" t="s">
        <v>486</v>
      </c>
      <c r="CI5" s="19" t="s">
        <v>487</v>
      </c>
      <c r="CJ5" s="19" t="s">
        <v>488</v>
      </c>
      <c r="CK5" s="19" t="s">
        <v>489</v>
      </c>
      <c r="CL5" s="19" t="s">
        <v>490</v>
      </c>
      <c r="CM5" s="19" t="s">
        <v>491</v>
      </c>
      <c r="CN5" s="19" t="s">
        <v>492</v>
      </c>
      <c r="CO5" s="19" t="s">
        <v>493</v>
      </c>
      <c r="CP5" s="19" t="s">
        <v>494</v>
      </c>
      <c r="CQ5" s="19" t="s">
        <v>495</v>
      </c>
      <c r="CR5" s="19" t="s">
        <v>496</v>
      </c>
      <c r="CS5" s="19" t="s">
        <v>497</v>
      </c>
      <c r="CT5" s="19" t="s">
        <v>498</v>
      </c>
      <c r="CU5" s="19" t="s">
        <v>499</v>
      </c>
      <c r="CV5" s="19" t="s">
        <v>500</v>
      </c>
      <c r="CW5" s="19" t="s">
        <v>501</v>
      </c>
      <c r="CX5" s="19" t="s">
        <v>502</v>
      </c>
      <c r="CY5" s="19" t="s">
        <v>503</v>
      </c>
      <c r="CZ5" s="19" t="s">
        <v>504</v>
      </c>
      <c r="DA5" s="19" t="s">
        <v>505</v>
      </c>
      <c r="DB5" s="19" t="s">
        <v>506</v>
      </c>
      <c r="DC5" s="19" t="s">
        <v>507</v>
      </c>
      <c r="DD5" s="19" t="s">
        <v>508</v>
      </c>
      <c r="DE5" s="19" t="s">
        <v>509</v>
      </c>
      <c r="DF5" s="19" t="s">
        <v>510</v>
      </c>
      <c r="DG5" s="372" t="s">
        <v>511</v>
      </c>
      <c r="DH5" s="372"/>
      <c r="DI5" s="372"/>
      <c r="DJ5" s="372"/>
      <c r="DK5" s="386" t="s">
        <v>511</v>
      </c>
      <c r="DL5" s="386"/>
      <c r="DM5" s="386"/>
      <c r="DN5" s="386"/>
      <c r="DO5" s="387" t="s">
        <v>511</v>
      </c>
      <c r="DP5" s="387"/>
      <c r="DQ5" s="387"/>
      <c r="DR5" s="387"/>
      <c r="DS5" s="388" t="s">
        <v>511</v>
      </c>
      <c r="DT5" s="388"/>
      <c r="DU5" s="388"/>
      <c r="DV5" s="388"/>
      <c r="DX5" s="19" t="str">
        <f t="shared" ref="DX5:EH6" si="0">J5</f>
        <v>Total</v>
      </c>
      <c r="DY5" s="19" t="str">
        <f t="shared" si="0"/>
        <v>BU 1</v>
      </c>
      <c r="DZ5" s="19" t="str">
        <f t="shared" si="0"/>
        <v>BU 2</v>
      </c>
      <c r="EA5" s="19" t="str">
        <f t="shared" si="0"/>
        <v>BU 3</v>
      </c>
      <c r="EB5" s="19" t="str">
        <f t="shared" si="0"/>
        <v>BU 4</v>
      </c>
      <c r="EC5" s="19" t="str">
        <f t="shared" si="0"/>
        <v>BU 5</v>
      </c>
      <c r="ED5" s="19" t="str">
        <f t="shared" si="0"/>
        <v>BU 6</v>
      </c>
      <c r="EE5" s="19" t="str">
        <f t="shared" si="0"/>
        <v>BU 7</v>
      </c>
      <c r="EF5" s="19" t="str">
        <f t="shared" si="0"/>
        <v>BU 8</v>
      </c>
      <c r="EG5" s="19" t="str">
        <f t="shared" si="0"/>
        <v>BU 9</v>
      </c>
      <c r="EH5" s="19" t="str">
        <f t="shared" si="0"/>
        <v>BU 10</v>
      </c>
      <c r="EI5" s="19" t="str">
        <f t="shared" ref="EI5:ET6" si="1">U5</f>
        <v>BU 11</v>
      </c>
      <c r="EJ5" s="19" t="str">
        <f t="shared" si="1"/>
        <v>BU 12</v>
      </c>
      <c r="EK5" s="19" t="str">
        <f t="shared" si="1"/>
        <v>BU 13</v>
      </c>
      <c r="EL5" s="19" t="str">
        <f t="shared" si="1"/>
        <v>BU 14</v>
      </c>
      <c r="EM5" s="19" t="str">
        <f t="shared" si="1"/>
        <v>BU 15</v>
      </c>
      <c r="EN5" s="19" t="str">
        <f t="shared" si="1"/>
        <v>BU 16</v>
      </c>
      <c r="EO5" s="19" t="str">
        <f t="shared" si="1"/>
        <v>BU 17</v>
      </c>
      <c r="EP5" s="19" t="str">
        <f t="shared" si="1"/>
        <v>BU 18</v>
      </c>
      <c r="EQ5" s="19" t="str">
        <f t="shared" si="1"/>
        <v>BU 19</v>
      </c>
      <c r="ER5" s="19" t="str">
        <f t="shared" si="1"/>
        <v>BU 20</v>
      </c>
      <c r="ES5" s="19" t="str">
        <f t="shared" si="1"/>
        <v>BU 21</v>
      </c>
      <c r="ET5" s="19" t="str">
        <f t="shared" si="1"/>
        <v>BU 22</v>
      </c>
      <c r="EU5" s="19" t="str">
        <f t="shared" ref="EU5:EU6" si="2">AG5</f>
        <v>BU 23</v>
      </c>
      <c r="EV5" s="19" t="str">
        <f t="shared" ref="EV5:EV6" si="3">AH5</f>
        <v>BU 24</v>
      </c>
      <c r="EW5" s="19" t="str">
        <f t="shared" ref="EW5:EW6" si="4">AI5</f>
        <v>BU 25</v>
      </c>
      <c r="EX5" s="19" t="str">
        <f t="shared" ref="EX5:EX6" si="5">AJ5</f>
        <v>BU 26</v>
      </c>
      <c r="EY5" s="19" t="str">
        <f t="shared" ref="EY5:EY6" si="6">AK5</f>
        <v>BU 27</v>
      </c>
      <c r="EZ5" s="19" t="str">
        <f t="shared" ref="EZ5:EZ6" si="7">AL5</f>
        <v>BU 28</v>
      </c>
      <c r="FA5" s="19" t="str">
        <f t="shared" ref="FA5:FA6" si="8">AM5</f>
        <v>BU 29</v>
      </c>
      <c r="FB5" s="19" t="str">
        <f t="shared" ref="FB5:FB6" si="9">AN5</f>
        <v>BU 30</v>
      </c>
      <c r="FC5" s="19" t="str">
        <f t="shared" ref="FC5:FC6" si="10">AO5</f>
        <v>BU 31</v>
      </c>
      <c r="FD5" s="19" t="str">
        <f t="shared" ref="FD5:FD6" si="11">AP5</f>
        <v>BU 32</v>
      </c>
      <c r="FE5" s="19" t="str">
        <f t="shared" ref="FE5:FE6" si="12">AQ5</f>
        <v>BU 33</v>
      </c>
      <c r="FF5" s="19" t="str">
        <f t="shared" ref="FF5:FF6" si="13">AR5</f>
        <v>BU 34</v>
      </c>
      <c r="FG5" s="19" t="str">
        <f t="shared" ref="FG5:FG6" si="14">AS5</f>
        <v>BU 35</v>
      </c>
      <c r="FH5" s="19" t="str">
        <f t="shared" ref="FH5:FH6" si="15">AT5</f>
        <v>BU 36</v>
      </c>
      <c r="FI5" s="19" t="str">
        <f t="shared" ref="FI5:FI6" si="16">AU5</f>
        <v>BU 37</v>
      </c>
      <c r="FJ5" s="19" t="str">
        <f t="shared" ref="FJ5:FJ6" si="17">AV5</f>
        <v>BU 38</v>
      </c>
      <c r="FK5" s="19" t="str">
        <f t="shared" ref="FK5:FK6" si="18">AW5</f>
        <v>BU 39</v>
      </c>
      <c r="FL5" s="19" t="str">
        <f t="shared" ref="FL5:FL6" si="19">AX5</f>
        <v>BU 40</v>
      </c>
      <c r="FM5" s="19" t="str">
        <f t="shared" ref="FM5:FM6" si="20">AY5</f>
        <v>BU 41</v>
      </c>
      <c r="FN5" s="19" t="str">
        <f t="shared" ref="FN5:FN6" si="21">AZ5</f>
        <v>BU 42</v>
      </c>
      <c r="FO5" s="19" t="str">
        <f t="shared" ref="FO5:FO6" si="22">BA5</f>
        <v>BU 43</v>
      </c>
      <c r="FP5" s="19" t="str">
        <f t="shared" ref="FP5:FP6" si="23">BB5</f>
        <v>BU 44</v>
      </c>
      <c r="FQ5" s="19" t="str">
        <f t="shared" ref="FQ5:FQ6" si="24">BC5</f>
        <v>BU 45</v>
      </c>
      <c r="FR5" s="19" t="str">
        <f t="shared" ref="FR5:FR6" si="25">BD5</f>
        <v>BU 46</v>
      </c>
      <c r="FS5" s="19" t="str">
        <f t="shared" ref="FS5:FS6" si="26">BE5</f>
        <v>BU 47</v>
      </c>
      <c r="FT5" s="19" t="str">
        <f t="shared" ref="FT5:FT6" si="27">BF5</f>
        <v>BU 48</v>
      </c>
      <c r="FU5" s="19" t="str">
        <f t="shared" ref="FU5:FU6" si="28">BG5</f>
        <v>BU 49</v>
      </c>
      <c r="FV5" s="19" t="str">
        <f t="shared" ref="FV5:FV6" si="29">BH5</f>
        <v>BU 50</v>
      </c>
      <c r="FW5" s="19" t="str">
        <f t="shared" ref="FW5:FW6" si="30">BI5</f>
        <v>BU 51</v>
      </c>
      <c r="FX5" s="19" t="str">
        <f t="shared" ref="FX5:FX6" si="31">BJ5</f>
        <v>BU 52</v>
      </c>
      <c r="FY5" s="19" t="str">
        <f t="shared" ref="FY5:FY6" si="32">BK5</f>
        <v>BU 53</v>
      </c>
      <c r="FZ5" s="19" t="str">
        <f t="shared" ref="FZ5:FZ6" si="33">BL5</f>
        <v>BU 54</v>
      </c>
      <c r="GA5" s="19" t="str">
        <f t="shared" ref="GA5:GA6" si="34">BM5</f>
        <v>BU 55</v>
      </c>
      <c r="GB5" s="19" t="str">
        <f t="shared" ref="GB5:GB6" si="35">BN5</f>
        <v>BU 56</v>
      </c>
      <c r="GC5" s="19" t="str">
        <f t="shared" ref="GC5:GC6" si="36">BO5</f>
        <v>BU 57</v>
      </c>
      <c r="GD5" s="19" t="str">
        <f t="shared" ref="GD5:GD6" si="37">BP5</f>
        <v>BU 58</v>
      </c>
      <c r="GE5" s="19" t="str">
        <f t="shared" ref="GE5:GE6" si="38">BQ5</f>
        <v>BU 59</v>
      </c>
      <c r="GF5" s="19" t="str">
        <f t="shared" ref="GF5:GF6" si="39">BR5</f>
        <v>BU 60</v>
      </c>
      <c r="GG5" s="19" t="str">
        <f t="shared" ref="GG5:GG6" si="40">BS5</f>
        <v>BU 61</v>
      </c>
      <c r="GH5" s="19" t="str">
        <f t="shared" ref="GH5:GH6" si="41">BT5</f>
        <v>BU 62</v>
      </c>
      <c r="GI5" s="19" t="str">
        <f t="shared" ref="GI5:GI6" si="42">BU5</f>
        <v>BU 63</v>
      </c>
      <c r="GJ5" s="19" t="str">
        <f t="shared" ref="GJ5:GJ6" si="43">BV5</f>
        <v>BU 64</v>
      </c>
      <c r="GK5" s="19" t="str">
        <f t="shared" ref="GK5:GK6" si="44">BW5</f>
        <v>BU 65</v>
      </c>
      <c r="GL5" s="19" t="str">
        <f t="shared" ref="GL5:GL6" si="45">BX5</f>
        <v>BU 66</v>
      </c>
      <c r="GM5" s="19" t="str">
        <f t="shared" ref="GM5:GM6" si="46">BY5</f>
        <v>BU 67</v>
      </c>
      <c r="GN5" s="19" t="str">
        <f t="shared" ref="GN5:GN6" si="47">BZ5</f>
        <v>BU 68</v>
      </c>
      <c r="GO5" s="19" t="str">
        <f t="shared" ref="GO5:GO6" si="48">CA5</f>
        <v>BU 69</v>
      </c>
      <c r="GP5" s="19" t="str">
        <f t="shared" ref="GP5:GP6" si="49">CB5</f>
        <v>BU 70</v>
      </c>
      <c r="GQ5" s="19" t="str">
        <f t="shared" ref="GQ5:GQ6" si="50">CC5</f>
        <v>BU 71</v>
      </c>
      <c r="GR5" s="19" t="str">
        <f t="shared" ref="GR5:GR6" si="51">CD5</f>
        <v>BU 72</v>
      </c>
      <c r="GS5" s="19" t="str">
        <f t="shared" ref="GS5:GS6" si="52">CE5</f>
        <v>BU 73</v>
      </c>
      <c r="GT5" s="19" t="str">
        <f t="shared" ref="GT5:GT6" si="53">CF5</f>
        <v>BU 74</v>
      </c>
      <c r="GU5" s="19" t="str">
        <f t="shared" ref="GU5:GU6" si="54">CG5</f>
        <v>BU 75</v>
      </c>
      <c r="GV5" s="19" t="str">
        <f t="shared" ref="GV5:GV6" si="55">CH5</f>
        <v>BU 76</v>
      </c>
      <c r="GW5" s="19" t="str">
        <f t="shared" ref="GW5:GW6" si="56">CI5</f>
        <v>BU 77</v>
      </c>
      <c r="GX5" s="19" t="str">
        <f t="shared" ref="GX5:GX6" si="57">CJ5</f>
        <v>BU 78</v>
      </c>
      <c r="GY5" s="19" t="str">
        <f t="shared" ref="GY5:GY6" si="58">CK5</f>
        <v>BU 79</v>
      </c>
      <c r="GZ5" s="19" t="str">
        <f t="shared" ref="GZ5:GZ6" si="59">CL5</f>
        <v>BU 80</v>
      </c>
      <c r="HA5" s="19" t="str">
        <f t="shared" ref="HA5:HA6" si="60">CM5</f>
        <v>BU 81</v>
      </c>
      <c r="HB5" s="19" t="str">
        <f t="shared" ref="HB5:HB6" si="61">CN5</f>
        <v>BU 82</v>
      </c>
      <c r="HC5" s="19" t="str">
        <f t="shared" ref="HC5:HC6" si="62">CO5</f>
        <v>BU 83</v>
      </c>
      <c r="HD5" s="19" t="str">
        <f t="shared" ref="HD5:HD6" si="63">CP5</f>
        <v>BU 84</v>
      </c>
      <c r="HE5" s="19" t="str">
        <f t="shared" ref="HE5:HE6" si="64">CQ5</f>
        <v>BU 85</v>
      </c>
      <c r="HF5" s="19" t="str">
        <f t="shared" ref="HF5:HF6" si="65">CR5</f>
        <v>BU 86</v>
      </c>
      <c r="HG5" s="19" t="str">
        <f t="shared" ref="HG5:HG6" si="66">CS5</f>
        <v>BU 87</v>
      </c>
      <c r="HH5" s="19" t="str">
        <f t="shared" ref="HH5:HH6" si="67">CT5</f>
        <v>BU 88</v>
      </c>
      <c r="HI5" s="19" t="str">
        <f t="shared" ref="HI5:HI6" si="68">CU5</f>
        <v>BU 89</v>
      </c>
      <c r="HJ5" s="19" t="str">
        <f t="shared" ref="HJ5:HJ6" si="69">CV5</f>
        <v>BU 90</v>
      </c>
      <c r="HK5" s="19" t="str">
        <f t="shared" ref="HK5:HK6" si="70">CW5</f>
        <v>BU 91</v>
      </c>
      <c r="HL5" s="19" t="str">
        <f t="shared" ref="HL5:HL6" si="71">CX5</f>
        <v>BU 92</v>
      </c>
      <c r="HM5" s="19" t="str">
        <f t="shared" ref="HM5:HM6" si="72">CY5</f>
        <v>BU 93</v>
      </c>
      <c r="HN5" s="19" t="str">
        <f t="shared" ref="HN5:HN6" si="73">CZ5</f>
        <v>BU 94</v>
      </c>
      <c r="HO5" s="19" t="str">
        <f t="shared" ref="HO5:HO6" si="74">DA5</f>
        <v>BU 95</v>
      </c>
      <c r="HP5" s="19" t="str">
        <f t="shared" ref="HP5:HP6" si="75">DB5</f>
        <v>BU 96</v>
      </c>
      <c r="HQ5" s="19" t="str">
        <f t="shared" ref="HQ5:HQ6" si="76">DC5</f>
        <v>BU 97</v>
      </c>
      <c r="HR5" s="19" t="str">
        <f t="shared" ref="HR5:HR6" si="77">DD5</f>
        <v>BU 98</v>
      </c>
      <c r="HS5" s="19" t="str">
        <f t="shared" ref="HS5:HT6" si="78">DE5</f>
        <v>BU 99</v>
      </c>
      <c r="HT5" s="19" t="str">
        <f t="shared" si="78"/>
        <v>BU 100</v>
      </c>
      <c r="HU5" s="389" t="str">
        <f>DG5</f>
        <v>at the company level</v>
      </c>
      <c r="HV5" s="390"/>
      <c r="HW5" s="391"/>
      <c r="HX5" s="380" t="str">
        <f>DK5</f>
        <v>at the company level</v>
      </c>
      <c r="HY5" s="381"/>
      <c r="HZ5" s="382"/>
      <c r="IA5" s="383" t="str">
        <f>DO5</f>
        <v>at the company level</v>
      </c>
      <c r="IB5" s="384"/>
      <c r="IC5" s="385"/>
      <c r="ID5" s="377" t="str">
        <f>DS5</f>
        <v>at the company level</v>
      </c>
      <c r="IE5" s="378"/>
      <c r="IF5" s="379"/>
      <c r="II5" s="67"/>
      <c r="IN5" s="72" t="s">
        <v>512</v>
      </c>
      <c r="IO5" s="72" t="s">
        <v>513</v>
      </c>
      <c r="IP5" s="72" t="s">
        <v>514</v>
      </c>
      <c r="IQ5" s="72" t="s">
        <v>515</v>
      </c>
    </row>
    <row r="6" spans="1:252" s="6" customFormat="1" ht="29" x14ac:dyDescent="0.35">
      <c r="A6" s="140" t="s">
        <v>516</v>
      </c>
      <c r="B6" s="140" t="s">
        <v>517</v>
      </c>
      <c r="C6" s="140" t="s">
        <v>518</v>
      </c>
      <c r="D6" s="20"/>
      <c r="F6" s="11" t="s">
        <v>519</v>
      </c>
      <c r="G6" s="11" t="s">
        <v>520</v>
      </c>
      <c r="H6" s="11" t="s">
        <v>521</v>
      </c>
      <c r="J6" s="9" t="s">
        <v>921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6" t="s">
        <v>522</v>
      </c>
      <c r="DH6" s="57" t="str">
        <f>Instructions!$E$9</f>
        <v>Average</v>
      </c>
      <c r="DI6" s="57" t="str">
        <f>Instructions!$F$9</f>
        <v>Worst Percentile</v>
      </c>
      <c r="DJ6" s="57" t="str">
        <f>Instructions!$G$9</f>
        <v>Bottom Quartile</v>
      </c>
      <c r="DK6" s="57" t="s">
        <v>522</v>
      </c>
      <c r="DL6" s="57" t="str">
        <f>Instructions!$E$9</f>
        <v>Average</v>
      </c>
      <c r="DM6" s="57" t="str">
        <f>Instructions!$F$9</f>
        <v>Worst Percentile</v>
      </c>
      <c r="DN6" s="57" t="str">
        <f>Instructions!$G$9</f>
        <v>Bottom Quartile</v>
      </c>
      <c r="DO6" s="57" t="s">
        <v>522</v>
      </c>
      <c r="DP6" s="57" t="str">
        <f>Instructions!$E$9</f>
        <v>Average</v>
      </c>
      <c r="DQ6" s="57" t="str">
        <f>Instructions!$F$9</f>
        <v>Worst Percentile</v>
      </c>
      <c r="DR6" s="57" t="str">
        <f>Instructions!$G$9</f>
        <v>Bottom Quartile</v>
      </c>
      <c r="DS6" s="57" t="s">
        <v>522</v>
      </c>
      <c r="DT6" s="57" t="str">
        <f>Instructions!$E$9</f>
        <v>Average</v>
      </c>
      <c r="DU6" s="57" t="str">
        <f>Instructions!$F$9</f>
        <v>Worst Percentile</v>
      </c>
      <c r="DV6" s="57" t="str">
        <f>Instructions!$G$9</f>
        <v>Bottom Quartile</v>
      </c>
      <c r="DW6" s="38" t="s">
        <v>521</v>
      </c>
      <c r="DX6" s="6" t="str">
        <f t="shared" si="0"/>
        <v>Nexeo</v>
      </c>
      <c r="DY6" s="6">
        <f t="shared" si="0"/>
        <v>0</v>
      </c>
      <c r="DZ6" s="6">
        <f t="shared" si="0"/>
        <v>0</v>
      </c>
      <c r="EA6" s="6">
        <f t="shared" si="0"/>
        <v>0</v>
      </c>
      <c r="EB6" s="6">
        <f t="shared" si="0"/>
        <v>0</v>
      </c>
      <c r="EC6" s="6">
        <f t="shared" si="0"/>
        <v>0</v>
      </c>
      <c r="ED6" s="6">
        <f t="shared" si="0"/>
        <v>0</v>
      </c>
      <c r="EE6" s="6">
        <f t="shared" si="0"/>
        <v>0</v>
      </c>
      <c r="EF6" s="6">
        <f t="shared" si="0"/>
        <v>0</v>
      </c>
      <c r="EG6" s="6">
        <f t="shared" si="0"/>
        <v>0</v>
      </c>
      <c r="EH6" s="6">
        <f t="shared" si="0"/>
        <v>0</v>
      </c>
      <c r="EI6" s="6">
        <f t="shared" si="1"/>
        <v>0</v>
      </c>
      <c r="EJ6" s="6">
        <f t="shared" si="1"/>
        <v>0</v>
      </c>
      <c r="EK6" s="6">
        <f t="shared" si="1"/>
        <v>0</v>
      </c>
      <c r="EL6" s="6">
        <f t="shared" si="1"/>
        <v>0</v>
      </c>
      <c r="EM6" s="6">
        <f t="shared" si="1"/>
        <v>0</v>
      </c>
      <c r="EN6" s="6">
        <f t="shared" si="1"/>
        <v>0</v>
      </c>
      <c r="EO6" s="6">
        <f t="shared" si="1"/>
        <v>0</v>
      </c>
      <c r="EP6" s="6">
        <f t="shared" si="1"/>
        <v>0</v>
      </c>
      <c r="EQ6" s="6">
        <f t="shared" si="1"/>
        <v>0</v>
      </c>
      <c r="ER6" s="6">
        <f t="shared" si="1"/>
        <v>0</v>
      </c>
      <c r="ES6" s="6">
        <f t="shared" si="1"/>
        <v>0</v>
      </c>
      <c r="ET6" s="6">
        <f t="shared" si="1"/>
        <v>0</v>
      </c>
      <c r="EU6" s="6">
        <f t="shared" si="2"/>
        <v>0</v>
      </c>
      <c r="EV6" s="6">
        <f t="shared" si="3"/>
        <v>0</v>
      </c>
      <c r="EW6" s="6">
        <f t="shared" si="4"/>
        <v>0</v>
      </c>
      <c r="EX6" s="6">
        <f t="shared" si="5"/>
        <v>0</v>
      </c>
      <c r="EY6" s="6">
        <f t="shared" si="6"/>
        <v>0</v>
      </c>
      <c r="EZ6" s="6">
        <f t="shared" si="7"/>
        <v>0</v>
      </c>
      <c r="FA6" s="6">
        <f t="shared" si="8"/>
        <v>0</v>
      </c>
      <c r="FB6" s="6">
        <f t="shared" si="9"/>
        <v>0</v>
      </c>
      <c r="FC6" s="6">
        <f t="shared" si="10"/>
        <v>0</v>
      </c>
      <c r="FD6" s="6">
        <f t="shared" si="11"/>
        <v>0</v>
      </c>
      <c r="FE6" s="6">
        <f t="shared" si="12"/>
        <v>0</v>
      </c>
      <c r="FF6" s="6">
        <f t="shared" si="13"/>
        <v>0</v>
      </c>
      <c r="FG6" s="6">
        <f t="shared" si="14"/>
        <v>0</v>
      </c>
      <c r="FH6" s="6">
        <f t="shared" si="15"/>
        <v>0</v>
      </c>
      <c r="FI6" s="6">
        <f t="shared" si="16"/>
        <v>0</v>
      </c>
      <c r="FJ6" s="6">
        <f t="shared" si="17"/>
        <v>0</v>
      </c>
      <c r="FK6" s="6">
        <f t="shared" si="18"/>
        <v>0</v>
      </c>
      <c r="FL6" s="6">
        <f t="shared" si="19"/>
        <v>0</v>
      </c>
      <c r="FM6" s="6">
        <f t="shared" si="20"/>
        <v>0</v>
      </c>
      <c r="FN6" s="6">
        <f t="shared" si="21"/>
        <v>0</v>
      </c>
      <c r="FO6" s="6">
        <f t="shared" si="22"/>
        <v>0</v>
      </c>
      <c r="FP6" s="6">
        <f t="shared" si="23"/>
        <v>0</v>
      </c>
      <c r="FQ6" s="6">
        <f t="shared" si="24"/>
        <v>0</v>
      </c>
      <c r="FR6" s="6">
        <f t="shared" si="25"/>
        <v>0</v>
      </c>
      <c r="FS6" s="6">
        <f t="shared" si="26"/>
        <v>0</v>
      </c>
      <c r="FT6" s="6">
        <f t="shared" si="27"/>
        <v>0</v>
      </c>
      <c r="FU6" s="6">
        <f t="shared" si="28"/>
        <v>0</v>
      </c>
      <c r="FV6" s="6">
        <f t="shared" si="29"/>
        <v>0</v>
      </c>
      <c r="FW6" s="6">
        <f t="shared" si="30"/>
        <v>0</v>
      </c>
      <c r="FX6" s="6">
        <f t="shared" si="31"/>
        <v>0</v>
      </c>
      <c r="FY6" s="6">
        <f t="shared" si="32"/>
        <v>0</v>
      </c>
      <c r="FZ6" s="6">
        <f t="shared" si="33"/>
        <v>0</v>
      </c>
      <c r="GA6" s="6">
        <f t="shared" si="34"/>
        <v>0</v>
      </c>
      <c r="GB6" s="6">
        <f t="shared" si="35"/>
        <v>0</v>
      </c>
      <c r="GC6" s="6">
        <f t="shared" si="36"/>
        <v>0</v>
      </c>
      <c r="GD6" s="6">
        <f t="shared" si="37"/>
        <v>0</v>
      </c>
      <c r="GE6" s="6">
        <f t="shared" si="38"/>
        <v>0</v>
      </c>
      <c r="GF6" s="6">
        <f t="shared" si="39"/>
        <v>0</v>
      </c>
      <c r="GG6" s="6">
        <f t="shared" si="40"/>
        <v>0</v>
      </c>
      <c r="GH6" s="6">
        <f t="shared" si="41"/>
        <v>0</v>
      </c>
      <c r="GI6" s="6">
        <f t="shared" si="42"/>
        <v>0</v>
      </c>
      <c r="GJ6" s="6">
        <f t="shared" si="43"/>
        <v>0</v>
      </c>
      <c r="GK6" s="6">
        <f t="shared" si="44"/>
        <v>0</v>
      </c>
      <c r="GL6" s="6">
        <f t="shared" si="45"/>
        <v>0</v>
      </c>
      <c r="GM6" s="6">
        <f t="shared" si="46"/>
        <v>0</v>
      </c>
      <c r="GN6" s="6">
        <f t="shared" si="47"/>
        <v>0</v>
      </c>
      <c r="GO6" s="6">
        <f t="shared" si="48"/>
        <v>0</v>
      </c>
      <c r="GP6" s="6">
        <f t="shared" si="49"/>
        <v>0</v>
      </c>
      <c r="GQ6" s="6">
        <f t="shared" si="50"/>
        <v>0</v>
      </c>
      <c r="GR6" s="6">
        <f t="shared" si="51"/>
        <v>0</v>
      </c>
      <c r="GS6" s="6">
        <f t="shared" si="52"/>
        <v>0</v>
      </c>
      <c r="GT6" s="6">
        <f t="shared" si="53"/>
        <v>0</v>
      </c>
      <c r="GU6" s="6">
        <f t="shared" si="54"/>
        <v>0</v>
      </c>
      <c r="GV6" s="6">
        <f t="shared" si="55"/>
        <v>0</v>
      </c>
      <c r="GW6" s="6">
        <f t="shared" si="56"/>
        <v>0</v>
      </c>
      <c r="GX6" s="6">
        <f t="shared" si="57"/>
        <v>0</v>
      </c>
      <c r="GY6" s="6">
        <f t="shared" si="58"/>
        <v>0</v>
      </c>
      <c r="GZ6" s="6">
        <f t="shared" si="59"/>
        <v>0</v>
      </c>
      <c r="HA6" s="6">
        <f t="shared" si="60"/>
        <v>0</v>
      </c>
      <c r="HB6" s="6">
        <f t="shared" si="61"/>
        <v>0</v>
      </c>
      <c r="HC6" s="6">
        <f t="shared" si="62"/>
        <v>0</v>
      </c>
      <c r="HD6" s="6">
        <f t="shared" si="63"/>
        <v>0</v>
      </c>
      <c r="HE6" s="6">
        <f t="shared" si="64"/>
        <v>0</v>
      </c>
      <c r="HF6" s="6">
        <f t="shared" si="65"/>
        <v>0</v>
      </c>
      <c r="HG6" s="6">
        <f t="shared" si="66"/>
        <v>0</v>
      </c>
      <c r="HH6" s="6">
        <f t="shared" si="67"/>
        <v>0</v>
      </c>
      <c r="HI6" s="6">
        <f t="shared" si="68"/>
        <v>0</v>
      </c>
      <c r="HJ6" s="6">
        <f t="shared" si="69"/>
        <v>0</v>
      </c>
      <c r="HK6" s="6">
        <f t="shared" si="70"/>
        <v>0</v>
      </c>
      <c r="HL6" s="6">
        <f t="shared" si="71"/>
        <v>0</v>
      </c>
      <c r="HM6" s="6">
        <f t="shared" si="72"/>
        <v>0</v>
      </c>
      <c r="HN6" s="6">
        <f t="shared" si="73"/>
        <v>0</v>
      </c>
      <c r="HO6" s="6">
        <f t="shared" si="74"/>
        <v>0</v>
      </c>
      <c r="HP6" s="6">
        <f t="shared" si="75"/>
        <v>0</v>
      </c>
      <c r="HQ6" s="6">
        <f t="shared" si="76"/>
        <v>0</v>
      </c>
      <c r="HR6" s="6">
        <f t="shared" si="77"/>
        <v>0</v>
      </c>
      <c r="HS6" s="6">
        <f t="shared" si="78"/>
        <v>0</v>
      </c>
      <c r="HT6" s="6">
        <f t="shared" si="78"/>
        <v>0</v>
      </c>
      <c r="HU6" s="159" t="str">
        <f>DH6</f>
        <v>Average</v>
      </c>
      <c r="HV6" s="160" t="str">
        <f>DI6</f>
        <v>Worst Percentile</v>
      </c>
      <c r="HW6" s="161" t="str">
        <f>DJ6</f>
        <v>Bottom Quartile</v>
      </c>
      <c r="HX6" s="160" t="str">
        <f>DL6</f>
        <v>Average</v>
      </c>
      <c r="HY6" s="160" t="str">
        <f>DM6</f>
        <v>Worst Percentile</v>
      </c>
      <c r="HZ6" s="160" t="str">
        <f>DN6</f>
        <v>Bottom Quartile</v>
      </c>
      <c r="IA6" s="159" t="str">
        <f>DP6</f>
        <v>Average</v>
      </c>
      <c r="IB6" s="160" t="str">
        <f>DQ6</f>
        <v>Worst Percentile</v>
      </c>
      <c r="IC6" s="161" t="str">
        <f>DR6</f>
        <v>Bottom Quartile</v>
      </c>
      <c r="ID6" s="159" t="str">
        <f>DT6</f>
        <v>Average</v>
      </c>
      <c r="IE6" s="160" t="str">
        <f>DU6</f>
        <v>Worst Percentile</v>
      </c>
      <c r="IF6" s="161" t="str">
        <f>DV6</f>
        <v>Bottom Quartile</v>
      </c>
      <c r="IH6" s="68" t="s">
        <v>523</v>
      </c>
      <c r="II6" s="68" t="s">
        <v>524</v>
      </c>
      <c r="IJ6" s="68" t="s">
        <v>525</v>
      </c>
      <c r="IK6" s="68" t="s">
        <v>526</v>
      </c>
      <c r="IL6" s="68" t="s">
        <v>527</v>
      </c>
      <c r="IN6" s="73" t="s">
        <v>524</v>
      </c>
      <c r="IO6" s="73" t="s">
        <v>525</v>
      </c>
      <c r="IP6" s="73" t="s">
        <v>526</v>
      </c>
      <c r="IQ6" s="73" t="s">
        <v>528</v>
      </c>
      <c r="IR6" s="73" t="s">
        <v>529</v>
      </c>
    </row>
    <row r="7" spans="1:252" x14ac:dyDescent="0.35">
      <c r="A7" s="28">
        <v>1</v>
      </c>
      <c r="B7" s="28">
        <v>1</v>
      </c>
      <c r="C7" s="28">
        <v>1</v>
      </c>
      <c r="D7" s="1"/>
      <c r="E7" s="4"/>
      <c r="F7" t="s">
        <v>271</v>
      </c>
      <c r="G7" s="5" t="s">
        <v>530</v>
      </c>
      <c r="H7" s="4" t="s">
        <v>531</v>
      </c>
      <c r="I7" s="7" t="s">
        <v>532</v>
      </c>
      <c r="J7" s="276">
        <v>254.63371216855236</v>
      </c>
      <c r="K7" s="40" t="s">
        <v>805</v>
      </c>
      <c r="L7" s="40" t="s">
        <v>805</v>
      </c>
      <c r="M7" s="40" t="s">
        <v>805</v>
      </c>
      <c r="N7" s="40" t="s">
        <v>805</v>
      </c>
      <c r="O7" s="40" t="s">
        <v>805</v>
      </c>
      <c r="P7" s="40" t="s">
        <v>805</v>
      </c>
      <c r="Q7" s="40" t="s">
        <v>805</v>
      </c>
      <c r="R7" s="40" t="s">
        <v>805</v>
      </c>
      <c r="S7" s="40" t="s">
        <v>805</v>
      </c>
      <c r="T7" s="40" t="s">
        <v>805</v>
      </c>
      <c r="U7" s="40" t="s">
        <v>805</v>
      </c>
      <c r="V7" s="40" t="s">
        <v>805</v>
      </c>
      <c r="W7" s="40" t="s">
        <v>805</v>
      </c>
      <c r="X7" s="40" t="s">
        <v>805</v>
      </c>
      <c r="Y7" s="40" t="s">
        <v>805</v>
      </c>
      <c r="Z7" s="40" t="s">
        <v>805</v>
      </c>
      <c r="AA7" s="40" t="s">
        <v>805</v>
      </c>
      <c r="AB7" s="40" t="s">
        <v>805</v>
      </c>
      <c r="AC7" s="40" t="s">
        <v>805</v>
      </c>
      <c r="AD7" s="40" t="s">
        <v>805</v>
      </c>
      <c r="AE7" s="40" t="s">
        <v>805</v>
      </c>
      <c r="AF7" s="40" t="s">
        <v>805</v>
      </c>
      <c r="AG7" s="40" t="s">
        <v>805</v>
      </c>
      <c r="AH7" s="40" t="s">
        <v>805</v>
      </c>
      <c r="AI7" s="40" t="s">
        <v>805</v>
      </c>
      <c r="AJ7" s="40" t="s">
        <v>805</v>
      </c>
      <c r="AK7" s="40" t="s">
        <v>805</v>
      </c>
      <c r="AL7" s="40" t="s">
        <v>805</v>
      </c>
      <c r="AM7" s="40" t="s">
        <v>805</v>
      </c>
      <c r="AN7" s="40" t="s">
        <v>805</v>
      </c>
      <c r="AO7" s="40" t="s">
        <v>805</v>
      </c>
      <c r="AP7" s="40" t="s">
        <v>805</v>
      </c>
      <c r="AQ7" s="40" t="s">
        <v>805</v>
      </c>
      <c r="AR7" s="40" t="s">
        <v>805</v>
      </c>
      <c r="AS7" s="40" t="s">
        <v>805</v>
      </c>
      <c r="AT7" s="40" t="s">
        <v>805</v>
      </c>
      <c r="AU7" s="40" t="s">
        <v>805</v>
      </c>
      <c r="AV7" s="40" t="s">
        <v>805</v>
      </c>
      <c r="AW7" s="40" t="s">
        <v>805</v>
      </c>
      <c r="AX7" s="40" t="s">
        <v>805</v>
      </c>
      <c r="AY7" s="40" t="s">
        <v>805</v>
      </c>
      <c r="AZ7" s="40" t="s">
        <v>805</v>
      </c>
      <c r="BA7" s="40" t="s">
        <v>805</v>
      </c>
      <c r="BB7" s="40" t="s">
        <v>805</v>
      </c>
      <c r="BC7" s="40" t="s">
        <v>805</v>
      </c>
      <c r="BD7" s="40" t="s">
        <v>805</v>
      </c>
      <c r="BE7" s="40" t="s">
        <v>805</v>
      </c>
      <c r="BF7" s="40" t="s">
        <v>805</v>
      </c>
      <c r="BG7" s="40" t="s">
        <v>805</v>
      </c>
      <c r="BH7" s="40" t="s">
        <v>805</v>
      </c>
      <c r="BI7" s="40" t="s">
        <v>805</v>
      </c>
      <c r="BJ7" s="40" t="s">
        <v>805</v>
      </c>
      <c r="BK7" s="40" t="s">
        <v>805</v>
      </c>
      <c r="BL7" s="40" t="s">
        <v>805</v>
      </c>
      <c r="BM7" s="40" t="s">
        <v>805</v>
      </c>
      <c r="BN7" s="40" t="s">
        <v>805</v>
      </c>
      <c r="BO7" s="40" t="s">
        <v>805</v>
      </c>
      <c r="BP7" s="40" t="s">
        <v>805</v>
      </c>
      <c r="BQ7" s="40" t="s">
        <v>805</v>
      </c>
      <c r="BR7" s="40" t="s">
        <v>805</v>
      </c>
      <c r="BS7" s="40" t="s">
        <v>805</v>
      </c>
      <c r="BT7" s="40" t="s">
        <v>805</v>
      </c>
      <c r="BU7" s="40" t="s">
        <v>805</v>
      </c>
      <c r="BV7" s="40" t="s">
        <v>805</v>
      </c>
      <c r="BW7" s="40" t="s">
        <v>805</v>
      </c>
      <c r="BX7" s="40" t="s">
        <v>805</v>
      </c>
      <c r="BY7" s="40" t="s">
        <v>805</v>
      </c>
      <c r="BZ7" s="40" t="s">
        <v>805</v>
      </c>
      <c r="CA7" s="40" t="s">
        <v>805</v>
      </c>
      <c r="CB7" s="40" t="s">
        <v>805</v>
      </c>
      <c r="CC7" s="40" t="s">
        <v>805</v>
      </c>
      <c r="CD7" s="40" t="s">
        <v>805</v>
      </c>
      <c r="CE7" s="40" t="s">
        <v>805</v>
      </c>
      <c r="CF7" s="40" t="s">
        <v>805</v>
      </c>
      <c r="CG7" s="40" t="s">
        <v>805</v>
      </c>
      <c r="CH7" s="40" t="s">
        <v>805</v>
      </c>
      <c r="CI7" s="40" t="s">
        <v>805</v>
      </c>
      <c r="CJ7" s="40" t="s">
        <v>805</v>
      </c>
      <c r="CK7" s="40" t="s">
        <v>805</v>
      </c>
      <c r="CL7" s="40" t="s">
        <v>805</v>
      </c>
      <c r="CM7" s="40" t="s">
        <v>805</v>
      </c>
      <c r="CN7" s="40" t="s">
        <v>805</v>
      </c>
      <c r="CO7" s="40" t="s">
        <v>805</v>
      </c>
      <c r="CP7" s="40" t="s">
        <v>805</v>
      </c>
      <c r="CQ7" s="40" t="s">
        <v>805</v>
      </c>
      <c r="CR7" s="40" t="s">
        <v>805</v>
      </c>
      <c r="CS7" s="40" t="s">
        <v>805</v>
      </c>
      <c r="CT7" s="40" t="s">
        <v>805</v>
      </c>
      <c r="CU7" s="40" t="s">
        <v>805</v>
      </c>
      <c r="CV7" s="40" t="s">
        <v>805</v>
      </c>
      <c r="CW7" s="40" t="s">
        <v>805</v>
      </c>
      <c r="CX7" s="40" t="s">
        <v>805</v>
      </c>
      <c r="CY7" s="40" t="s">
        <v>805</v>
      </c>
      <c r="CZ7" s="40" t="s">
        <v>805</v>
      </c>
      <c r="DA7" s="40" t="s">
        <v>805</v>
      </c>
      <c r="DB7" s="40" t="s">
        <v>805</v>
      </c>
      <c r="DC7" s="40" t="s">
        <v>805</v>
      </c>
      <c r="DD7" s="40" t="s">
        <v>805</v>
      </c>
      <c r="DE7" s="40" t="s">
        <v>805</v>
      </c>
      <c r="DF7" s="40" t="s">
        <v>805</v>
      </c>
      <c r="DG7" s="28">
        <f>'KPI Count-SHARE'!J4</f>
        <v>0</v>
      </c>
      <c r="DH7" s="104"/>
      <c r="DI7" s="104"/>
      <c r="DJ7" s="104"/>
      <c r="DK7" s="28">
        <f>'KPI Count-SHARE'!K4</f>
        <v>0</v>
      </c>
      <c r="DL7" s="42"/>
      <c r="DM7" s="42"/>
      <c r="DN7" s="42"/>
      <c r="DO7" s="28">
        <f>'KPI Count-SHARE'!L4</f>
        <v>0</v>
      </c>
      <c r="DP7" s="42"/>
      <c r="DQ7" s="42"/>
      <c r="DR7" s="42"/>
      <c r="DS7" s="28">
        <f>'KPI Count-SHARE'!M4</f>
        <v>0</v>
      </c>
      <c r="DT7" s="42"/>
      <c r="DU7" s="42"/>
      <c r="DV7" s="42"/>
      <c r="DW7" s="30" t="s">
        <v>531</v>
      </c>
      <c r="DX7" s="41">
        <f t="shared" ref="DX7:DX39" si="79">IFERROR(IF(ISBLANK(J7), "-", IF($I7="c", J7*$I$5, J7)),"-")</f>
        <v>254.63371216855236</v>
      </c>
      <c r="DY7" s="41" t="str">
        <f t="shared" ref="DY7:DY39" si="80">IFERROR(IF(ISBLANK(K7), "-", IF($I7="c", K7*$I$5, K7)),"-")</f>
        <v/>
      </c>
      <c r="DZ7" s="41" t="str">
        <f t="shared" ref="DZ7:DZ39" si="81">IFERROR(IF(ISBLANK(L7), "-", IF($I7="c", L7*$I$5, L7)),"-")</f>
        <v/>
      </c>
      <c r="EA7" s="41" t="str">
        <f>IFERROR(IF(ISBLANK(M7), "-", IF($I7="c", M7*$I$5,M7)),"-")</f>
        <v/>
      </c>
      <c r="EB7" s="41" t="str">
        <f>IFERROR(IF(ISBLANK(N7), "-", IF($I7="c", N7*$I$5, N7)),"-")</f>
        <v/>
      </c>
      <c r="EC7" s="41" t="str">
        <f>IFERROR(IF(ISBLANK(O7), "-", IF($I7="c", O7*$I$5,O7)),"-")</f>
        <v/>
      </c>
      <c r="ED7" s="41" t="str">
        <f t="shared" ref="ED7:ED39" si="82">IFERROR(IF(ISBLANK(P7), "-", IF($I7="c", P7*$I$5, P7)),"-")</f>
        <v/>
      </c>
      <c r="EE7" s="41" t="str">
        <f t="shared" ref="EE7:EE39" si="83">IFERROR(IF(ISBLANK(Q7), "-", IF($I7="c", Q7*$I$5, Q7)),"-")</f>
        <v/>
      </c>
      <c r="EF7" s="41" t="str">
        <f t="shared" ref="EF7:EF39" si="84">IFERROR(IF(ISBLANK(R7), "-", IF($I7="c", R7*$I$5, R7)),"-")</f>
        <v/>
      </c>
      <c r="EG7" s="41" t="str">
        <f t="shared" ref="EG7:EG39" si="85">IFERROR(IF(ISBLANK(S7), "-", IF($I7="c", S7*$I$5, S7)),"-")</f>
        <v/>
      </c>
      <c r="EH7" s="41" t="str">
        <f t="shared" ref="EH7:EH39" si="86">IFERROR(IF(ISBLANK(T7), "-", IF($I7="c", T7*$I$5, T7)),"-")</f>
        <v/>
      </c>
      <c r="EI7" s="41" t="str">
        <f t="shared" ref="EI7:ET22" si="87">IFERROR(IF(ISBLANK(U7), "-", IF($I7="c", U7*$I$5, U7)),"-")</f>
        <v/>
      </c>
      <c r="EJ7" s="41" t="str">
        <f t="shared" si="87"/>
        <v/>
      </c>
      <c r="EK7" s="41" t="str">
        <f t="shared" si="87"/>
        <v/>
      </c>
      <c r="EL7" s="41" t="str">
        <f t="shared" si="87"/>
        <v/>
      </c>
      <c r="EM7" s="41" t="str">
        <f t="shared" si="87"/>
        <v/>
      </c>
      <c r="EN7" s="41" t="str">
        <f t="shared" si="87"/>
        <v/>
      </c>
      <c r="EO7" s="41" t="str">
        <f t="shared" si="87"/>
        <v/>
      </c>
      <c r="EP7" s="41" t="str">
        <f t="shared" si="87"/>
        <v/>
      </c>
      <c r="EQ7" s="41" t="str">
        <f t="shared" si="87"/>
        <v/>
      </c>
      <c r="ER7" s="41" t="str">
        <f t="shared" si="87"/>
        <v/>
      </c>
      <c r="ES7" s="41" t="str">
        <f t="shared" si="87"/>
        <v/>
      </c>
      <c r="ET7" s="41" t="str">
        <f t="shared" si="87"/>
        <v/>
      </c>
      <c r="EU7" s="41" t="str">
        <f t="shared" ref="EU7:EU39" si="88">IFERROR(IF(ISBLANK(AG7), "-", IF($I7="c", AG7*$I$5, AG7)),"-")</f>
        <v/>
      </c>
      <c r="EV7" s="41" t="str">
        <f t="shared" ref="EV7:EV39" si="89">IFERROR(IF(ISBLANK(AH7), "-", IF($I7="c", AH7*$I$5, AH7)),"-")</f>
        <v/>
      </c>
      <c r="EW7" s="41" t="str">
        <f t="shared" ref="EW7:EW39" si="90">IFERROR(IF(ISBLANK(AI7), "-", IF($I7="c", AI7*$I$5, AI7)),"-")</f>
        <v/>
      </c>
      <c r="EX7" s="41" t="str">
        <f t="shared" ref="EX7:EX39" si="91">IFERROR(IF(ISBLANK(AJ7), "-", IF($I7="c", AJ7*$I$5, AJ7)),"-")</f>
        <v/>
      </c>
      <c r="EY7" s="41" t="str">
        <f t="shared" ref="EY7:EY39" si="92">IFERROR(IF(ISBLANK(AK7), "-", IF($I7="c", AK7*$I$5, AK7)),"-")</f>
        <v/>
      </c>
      <c r="EZ7" s="41" t="str">
        <f t="shared" ref="EZ7:EZ39" si="93">IFERROR(IF(ISBLANK(AL7), "-", IF($I7="c", AL7*$I$5, AL7)),"-")</f>
        <v/>
      </c>
      <c r="FA7" s="41" t="str">
        <f t="shared" ref="FA7:FA39" si="94">IFERROR(IF(ISBLANK(AM7), "-", IF($I7="c", AM7*$I$5, AM7)),"-")</f>
        <v/>
      </c>
      <c r="FB7" s="41" t="str">
        <f t="shared" ref="FB7:FB39" si="95">IFERROR(IF(ISBLANK(AN7), "-", IF($I7="c", AN7*$I$5, AN7)),"-")</f>
        <v/>
      </c>
      <c r="FC7" s="41" t="str">
        <f t="shared" ref="FC7:FC39" si="96">IFERROR(IF(ISBLANK(AO7), "-", IF($I7="c", AO7*$I$5, AO7)),"-")</f>
        <v/>
      </c>
      <c r="FD7" s="41" t="str">
        <f t="shared" ref="FD7:FD39" si="97">IFERROR(IF(ISBLANK(AP7), "-", IF($I7="c", AP7*$I$5, AP7)),"-")</f>
        <v/>
      </c>
      <c r="FE7" s="41" t="str">
        <f t="shared" ref="FE7:FE39" si="98">IFERROR(IF(ISBLANK(AQ7), "-", IF($I7="c", AQ7*$I$5, AQ7)),"-")</f>
        <v/>
      </c>
      <c r="FF7" s="41" t="str">
        <f t="shared" ref="FF7:FF39" si="99">IFERROR(IF(ISBLANK(AR7), "-", IF($I7="c", AR7*$I$5, AR7)),"-")</f>
        <v/>
      </c>
      <c r="FG7" s="41" t="str">
        <f t="shared" ref="FG7:FG39" si="100">IFERROR(IF(ISBLANK(AS7), "-", IF($I7="c", AS7*$I$5, AS7)),"-")</f>
        <v/>
      </c>
      <c r="FH7" s="41" t="str">
        <f t="shared" ref="FH7:FH39" si="101">IFERROR(IF(ISBLANK(AT7), "-", IF($I7="c", AT7*$I$5, AT7)),"-")</f>
        <v/>
      </c>
      <c r="FI7" s="41" t="str">
        <f t="shared" ref="FI7:FI39" si="102">IFERROR(IF(ISBLANK(AU7), "-", IF($I7="c", AU7*$I$5, AU7)),"-")</f>
        <v/>
      </c>
      <c r="FJ7" s="41" t="str">
        <f t="shared" ref="FJ7:FJ39" si="103">IFERROR(IF(ISBLANK(AV7), "-", IF($I7="c", AV7*$I$5, AV7)),"-")</f>
        <v/>
      </c>
      <c r="FK7" s="41" t="str">
        <f t="shared" ref="FK7:FK39" si="104">IFERROR(IF(ISBLANK(AW7), "-", IF($I7="c", AW7*$I$5, AW7)),"-")</f>
        <v/>
      </c>
      <c r="FL7" s="41" t="str">
        <f t="shared" ref="FL7:FL39" si="105">IFERROR(IF(ISBLANK(AX7), "-", IF($I7="c", AX7*$I$5, AX7)),"-")</f>
        <v/>
      </c>
      <c r="FM7" s="41" t="str">
        <f t="shared" ref="FM7:FM39" si="106">IFERROR(IF(ISBLANK(AY7), "-", IF($I7="c", AY7*$I$5, AY7)),"-")</f>
        <v/>
      </c>
      <c r="FN7" s="41" t="str">
        <f t="shared" ref="FN7:FN39" si="107">IFERROR(IF(ISBLANK(AZ7), "-", IF($I7="c", AZ7*$I$5, AZ7)),"-")</f>
        <v/>
      </c>
      <c r="FO7" s="41" t="str">
        <f t="shared" ref="FO7:FO39" si="108">IFERROR(IF(ISBLANK(BA7), "-", IF($I7="c", BA7*$I$5, BA7)),"-")</f>
        <v/>
      </c>
      <c r="FP7" s="41" t="str">
        <f t="shared" ref="FP7:FP39" si="109">IFERROR(IF(ISBLANK(BB7), "-", IF($I7="c", BB7*$I$5, BB7)),"-")</f>
        <v/>
      </c>
      <c r="FQ7" s="41" t="str">
        <f t="shared" ref="FQ7:FQ39" si="110">IFERROR(IF(ISBLANK(BC7), "-", IF($I7="c", BC7*$I$5, BC7)),"-")</f>
        <v/>
      </c>
      <c r="FR7" s="41" t="str">
        <f t="shared" ref="FR7:FR39" si="111">IFERROR(IF(ISBLANK(BD7), "-", IF($I7="c", BD7*$I$5, BD7)),"-")</f>
        <v/>
      </c>
      <c r="FS7" s="41" t="str">
        <f t="shared" ref="FS7:FS39" si="112">IFERROR(IF(ISBLANK(BE7), "-", IF($I7="c", BE7*$I$5, BE7)),"-")</f>
        <v/>
      </c>
      <c r="FT7" s="41" t="str">
        <f t="shared" ref="FT7:FT39" si="113">IFERROR(IF(ISBLANK(BF7), "-", IF($I7="c", BF7*$I$5, BF7)),"-")</f>
        <v/>
      </c>
      <c r="FU7" s="41" t="str">
        <f t="shared" ref="FU7:FU39" si="114">IFERROR(IF(ISBLANK(BG7), "-", IF($I7="c", BG7*$I$5, BG7)),"-")</f>
        <v/>
      </c>
      <c r="FV7" s="41" t="str">
        <f t="shared" ref="FV7:FV39" si="115">IFERROR(IF(ISBLANK(BH7), "-", IF($I7="c", BH7*$I$5, BH7)),"-")</f>
        <v/>
      </c>
      <c r="FW7" s="41" t="str">
        <f t="shared" ref="FW7:FW39" si="116">IFERROR(IF(ISBLANK(BI7), "-", IF($I7="c", BI7*$I$5, BI7)),"-")</f>
        <v/>
      </c>
      <c r="FX7" s="41" t="str">
        <f t="shared" ref="FX7:FX39" si="117">IFERROR(IF(ISBLANK(BJ7), "-", IF($I7="c", BJ7*$I$5, BJ7)),"-")</f>
        <v/>
      </c>
      <c r="FY7" s="41" t="str">
        <f t="shared" ref="FY7:FY39" si="118">IFERROR(IF(ISBLANK(BK7), "-", IF($I7="c", BK7*$I$5, BK7)),"-")</f>
        <v/>
      </c>
      <c r="FZ7" s="41" t="str">
        <f t="shared" ref="FZ7:FZ39" si="119">IFERROR(IF(ISBLANK(BL7), "-", IF($I7="c", BL7*$I$5, BL7)),"-")</f>
        <v/>
      </c>
      <c r="GA7" s="41" t="str">
        <f t="shared" ref="GA7:GA39" si="120">IFERROR(IF(ISBLANK(BM7), "-", IF($I7="c", BM7*$I$5, BM7)),"-")</f>
        <v/>
      </c>
      <c r="GB7" s="41" t="str">
        <f t="shared" ref="GB7:GB39" si="121">IFERROR(IF(ISBLANK(BN7), "-", IF($I7="c", BN7*$I$5, BN7)),"-")</f>
        <v/>
      </c>
      <c r="GC7" s="41" t="str">
        <f t="shared" ref="GC7:GC39" si="122">IFERROR(IF(ISBLANK(BO7), "-", IF($I7="c", BO7*$I$5, BO7)),"-")</f>
        <v/>
      </c>
      <c r="GD7" s="41" t="str">
        <f t="shared" ref="GD7:GD39" si="123">IFERROR(IF(ISBLANK(BP7), "-", IF($I7="c", BP7*$I$5, BP7)),"-")</f>
        <v/>
      </c>
      <c r="GE7" s="41" t="str">
        <f t="shared" ref="GE7:GE39" si="124">IFERROR(IF(ISBLANK(BQ7), "-", IF($I7="c", BQ7*$I$5, BQ7)),"-")</f>
        <v/>
      </c>
      <c r="GF7" s="41" t="str">
        <f t="shared" ref="GF7:GF39" si="125">IFERROR(IF(ISBLANK(BR7), "-", IF($I7="c", BR7*$I$5, BR7)),"-")</f>
        <v/>
      </c>
      <c r="GG7" s="41" t="str">
        <f t="shared" ref="GG7:GG39" si="126">IFERROR(IF(ISBLANK(BS7), "-", IF($I7="c", BS7*$I$5, BS7)),"-")</f>
        <v/>
      </c>
      <c r="GH7" s="41" t="str">
        <f t="shared" ref="GH7:GH39" si="127">IFERROR(IF(ISBLANK(BT7), "-", IF($I7="c", BT7*$I$5, BT7)),"-")</f>
        <v/>
      </c>
      <c r="GI7" s="41" t="str">
        <f t="shared" ref="GI7:GI39" si="128">IFERROR(IF(ISBLANK(BU7), "-", IF($I7="c", BU7*$I$5, BU7)),"-")</f>
        <v/>
      </c>
      <c r="GJ7" s="41" t="str">
        <f t="shared" ref="GJ7:GJ39" si="129">IFERROR(IF(ISBLANK(BV7), "-", IF($I7="c", BV7*$I$5, BV7)),"-")</f>
        <v/>
      </c>
      <c r="GK7" s="41" t="str">
        <f t="shared" ref="GK7:GK39" si="130">IFERROR(IF(ISBLANK(BW7), "-", IF($I7="c", BW7*$I$5, BW7)),"-")</f>
        <v/>
      </c>
      <c r="GL7" s="41" t="str">
        <f t="shared" ref="GL7:GL39" si="131">IFERROR(IF(ISBLANK(BX7), "-", IF($I7="c", BX7*$I$5, BX7)),"-")</f>
        <v/>
      </c>
      <c r="GM7" s="41" t="str">
        <f t="shared" ref="GM7:GM39" si="132">IFERROR(IF(ISBLANK(BY7), "-", IF($I7="c", BY7*$I$5, BY7)),"-")</f>
        <v/>
      </c>
      <c r="GN7" s="41" t="str">
        <f t="shared" ref="GN7:GN39" si="133">IFERROR(IF(ISBLANK(BZ7), "-", IF($I7="c", BZ7*$I$5, BZ7)),"-")</f>
        <v/>
      </c>
      <c r="GO7" s="41" t="str">
        <f t="shared" ref="GO7:GO39" si="134">IFERROR(IF(ISBLANK(CA7), "-", IF($I7="c", CA7*$I$5, CA7)),"-")</f>
        <v/>
      </c>
      <c r="GP7" s="41" t="str">
        <f t="shared" ref="GP7:GP39" si="135">IFERROR(IF(ISBLANK(CB7), "-", IF($I7="c", CB7*$I$5, CB7)),"-")</f>
        <v/>
      </c>
      <c r="GQ7" s="41" t="str">
        <f t="shared" ref="GQ7:GQ39" si="136">IFERROR(IF(ISBLANK(CC7), "-", IF($I7="c", CC7*$I$5, CC7)),"-")</f>
        <v/>
      </c>
      <c r="GR7" s="41" t="str">
        <f t="shared" ref="GR7:GR39" si="137">IFERROR(IF(ISBLANK(CD7), "-", IF($I7="c", CD7*$I$5, CD7)),"-")</f>
        <v/>
      </c>
      <c r="GS7" s="41" t="str">
        <f t="shared" ref="GS7:GS39" si="138">IFERROR(IF(ISBLANK(CE7), "-", IF($I7="c", CE7*$I$5, CE7)),"-")</f>
        <v/>
      </c>
      <c r="GT7" s="41" t="str">
        <f t="shared" ref="GT7:GT39" si="139">IFERROR(IF(ISBLANK(CF7), "-", IF($I7="c", CF7*$I$5, CF7)),"-")</f>
        <v/>
      </c>
      <c r="GU7" s="41" t="str">
        <f t="shared" ref="GU7:GU39" si="140">IFERROR(IF(ISBLANK(CG7), "-", IF($I7="c", CG7*$I$5, CG7)),"-")</f>
        <v/>
      </c>
      <c r="GV7" s="41" t="str">
        <f t="shared" ref="GV7:GV39" si="141">IFERROR(IF(ISBLANK(CH7), "-", IF($I7="c", CH7*$I$5, CH7)),"-")</f>
        <v/>
      </c>
      <c r="GW7" s="41" t="str">
        <f t="shared" ref="GW7:GW39" si="142">IFERROR(IF(ISBLANK(CI7), "-", IF($I7="c", CI7*$I$5, CI7)),"-")</f>
        <v/>
      </c>
      <c r="GX7" s="41" t="str">
        <f t="shared" ref="GX7:GX39" si="143">IFERROR(IF(ISBLANK(CJ7), "-", IF($I7="c", CJ7*$I$5, CJ7)),"-")</f>
        <v/>
      </c>
      <c r="GY7" s="41" t="str">
        <f t="shared" ref="GY7:GY39" si="144">IFERROR(IF(ISBLANK(CK7), "-", IF($I7="c", CK7*$I$5, CK7)),"-")</f>
        <v/>
      </c>
      <c r="GZ7" s="41" t="str">
        <f t="shared" ref="GZ7:GZ39" si="145">IFERROR(IF(ISBLANK(CL7), "-", IF($I7="c", CL7*$I$5, CL7)),"-")</f>
        <v/>
      </c>
      <c r="HA7" s="41" t="str">
        <f t="shared" ref="HA7:HA39" si="146">IFERROR(IF(ISBLANK(CM7), "-", IF($I7="c", CM7*$I$5, CM7)),"-")</f>
        <v/>
      </c>
      <c r="HB7" s="41" t="str">
        <f t="shared" ref="HB7:HB39" si="147">IFERROR(IF(ISBLANK(CN7), "-", IF($I7="c", CN7*$I$5, CN7)),"-")</f>
        <v/>
      </c>
      <c r="HC7" s="41" t="str">
        <f t="shared" ref="HC7:HC39" si="148">IFERROR(IF(ISBLANK(CO7), "-", IF($I7="c", CO7*$I$5, CO7)),"-")</f>
        <v/>
      </c>
      <c r="HD7" s="41" t="str">
        <f t="shared" ref="HD7:HD39" si="149">IFERROR(IF(ISBLANK(CP7), "-", IF($I7="c", CP7*$I$5, CP7)),"-")</f>
        <v/>
      </c>
      <c r="HE7" s="41" t="str">
        <f t="shared" ref="HE7:HE39" si="150">IFERROR(IF(ISBLANK(CQ7), "-", IF($I7="c", CQ7*$I$5, CQ7)),"-")</f>
        <v/>
      </c>
      <c r="HF7" s="41" t="str">
        <f t="shared" ref="HF7:HF39" si="151">IFERROR(IF(ISBLANK(CR7), "-", IF($I7="c", CR7*$I$5, CR7)),"-")</f>
        <v/>
      </c>
      <c r="HG7" s="41" t="str">
        <f t="shared" ref="HG7:HG39" si="152">IFERROR(IF(ISBLANK(CS7), "-", IF($I7="c", CS7*$I$5, CS7)),"-")</f>
        <v/>
      </c>
      <c r="HH7" s="41" t="str">
        <f t="shared" ref="HH7:HH39" si="153">IFERROR(IF(ISBLANK(CT7), "-", IF($I7="c", CT7*$I$5, CT7)),"-")</f>
        <v/>
      </c>
      <c r="HI7" s="41" t="str">
        <f t="shared" ref="HI7:HI39" si="154">IFERROR(IF(ISBLANK(CU7), "-", IF($I7="c", CU7*$I$5, CU7)),"-")</f>
        <v/>
      </c>
      <c r="HJ7" s="41" t="str">
        <f t="shared" ref="HJ7:HJ39" si="155">IFERROR(IF(ISBLANK(CV7), "-", IF($I7="c", CV7*$I$5, CV7)),"-")</f>
        <v/>
      </c>
      <c r="HK7" s="41" t="str">
        <f t="shared" ref="HK7:HK39" si="156">IFERROR(IF(ISBLANK(CW7), "-", IF($I7="c", CW7*$I$5, CW7)),"-")</f>
        <v/>
      </c>
      <c r="HL7" s="41" t="str">
        <f t="shared" ref="HL7:HL39" si="157">IFERROR(IF(ISBLANK(CX7), "-", IF($I7="c", CX7*$I$5, CX7)),"-")</f>
        <v/>
      </c>
      <c r="HM7" s="41" t="str">
        <f t="shared" ref="HM7:HM39" si="158">IFERROR(IF(ISBLANK(CY7), "-", IF($I7="c", CY7*$I$5, CY7)),"-")</f>
        <v/>
      </c>
      <c r="HN7" s="41" t="str">
        <f t="shared" ref="HN7:HN39" si="159">IFERROR(IF(ISBLANK(CZ7), "-", IF($I7="c", CZ7*$I$5, CZ7)),"-")</f>
        <v/>
      </c>
      <c r="HO7" s="41" t="str">
        <f t="shared" ref="HO7:HO39" si="160">IFERROR(IF(ISBLANK(DA7), "-", IF($I7="c", DA7*$I$5, DA7)),"-")</f>
        <v/>
      </c>
      <c r="HP7" s="41" t="str">
        <f t="shared" ref="HP7:HP39" si="161">IFERROR(IF(ISBLANK(DB7), "-", IF($I7="c", DB7*$I$5, DB7)),"-")</f>
        <v/>
      </c>
      <c r="HQ7" s="41" t="str">
        <f t="shared" ref="HQ7:HQ39" si="162">IFERROR(IF(ISBLANK(DC7), "-", IF($I7="c", DC7*$I$5, DC7)),"-")</f>
        <v/>
      </c>
      <c r="HR7" s="41" t="str">
        <f t="shared" ref="HR7:HR39" si="163">IFERROR(IF(ISBLANK(DD7), "-", IF($I7="c", DD7*$I$5, DD7)),"-")</f>
        <v/>
      </c>
      <c r="HS7" s="41" t="str">
        <f t="shared" ref="HS7:HT39" si="164">IFERROR(IF(ISBLANK(DE7), "-", IF($I7="c", DE7*$I$5, DE7)),"-")</f>
        <v/>
      </c>
      <c r="HT7" s="41" t="str">
        <f t="shared" si="164"/>
        <v/>
      </c>
      <c r="HU7" s="43" t="str">
        <f>IFERROR(IF(ISBLANK(DH7), "-", IF($I7="c", DH7*$I$5, DH7)),"-")</f>
        <v>-</v>
      </c>
      <c r="HV7" s="44" t="str">
        <f t="shared" ref="HV7:HV39" si="165">IFERROR(IF(ISBLANK(DI7), "", IF($I7="c", DI7*$I$5, DI7)),"-")</f>
        <v/>
      </c>
      <c r="HW7" s="45" t="str">
        <f t="shared" ref="HW7:HW39" si="166">IFERROR(IF(ISBLANK(DJ7), "", IF($I7="c", DJ7*$I$5, DJ7)),"-")</f>
        <v/>
      </c>
      <c r="HX7" s="44" t="str">
        <f>IFERROR(IF(ISBLANK(DL7), "", IF($I7="c",DL7*$I$5, DL7)),"-")</f>
        <v/>
      </c>
      <c r="HY7" s="44" t="str">
        <f t="shared" ref="HY7:HY39" si="167">IFERROR(IF(ISBLANK(DM7), "", IF($I7="c", DM7*$I$5, DM7)),"-")</f>
        <v/>
      </c>
      <c r="HZ7" s="44" t="str">
        <f t="shared" ref="HZ7:HZ39" si="168">IFERROR(IF(ISBLANK(DN7), "", IF($I7="c", DN7*$I$5, DN7)),"-")</f>
        <v/>
      </c>
      <c r="IA7" s="43" t="str">
        <f t="shared" ref="IA7:IA39" si="169">IFERROR(IF(ISBLANK(DP7), "", IF($I7="c", DP7*$I$5, DP7)),"-")</f>
        <v/>
      </c>
      <c r="IB7" s="44" t="str">
        <f t="shared" ref="IB7:IB39" si="170">IFERROR(IF(ISBLANK(DQ7), "", IF($I7="c", DQ7*$I$5, DQ7)),"-")</f>
        <v/>
      </c>
      <c r="IC7" s="45" t="str">
        <f t="shared" ref="IC7:IC39" si="171">IFERROR(IF(ISBLANK(DR7), "", IF($I7="c", DR7*$I$5, DR7)),"-")</f>
        <v/>
      </c>
      <c r="ID7" s="43" t="str">
        <f t="shared" ref="ID7:ID39" si="172">IFERROR(IF(ISBLANK(DT7), "", IF($I7="c", DT7*$I$5, DT7)),"-")</f>
        <v/>
      </c>
      <c r="IE7" s="44" t="str">
        <f t="shared" ref="IE7:IE39" si="173">IFERROR(IF(ISBLANK(DU7), "", IF($I7="c", DU7*$I$5, DU7)),"-")</f>
        <v/>
      </c>
      <c r="IF7" s="45" t="str">
        <f t="shared" ref="IF7:IF39" si="174">IFERROR(IF(ISBLANK(DV7), "", IF($I7="c", DV7*$I$5, DV7)),"-")</f>
        <v/>
      </c>
      <c r="IH7" s="66">
        <v>7</v>
      </c>
      <c r="II7" s="66" t="e">
        <f t="shared" ref="II7:II38" ca="1" si="175">SUM(INDIRECT(VLOOKUP($IJ$4,MKTPEERCOLUMNS,2,0) &amp; IH7 &amp; ":" &amp; VLOOKUP($IJ$4,MKTPEERCOLUMNS,2,0) &amp; IH7))</f>
        <v>#N/A</v>
      </c>
      <c r="IJ7" s="66" t="e">
        <f t="shared" ref="IJ7:IJ38" ca="1" si="176">SUM(INDIRECT(VLOOKUP($IJ$4,MKTPEERCOLUMNS,3,0) &amp; IH7 &amp; ":" &amp; VLOOKUP($IJ$4,MKTPEERCOLUMNS,3,0) &amp; IH7))</f>
        <v>#N/A</v>
      </c>
      <c r="IK7" s="66" t="e">
        <f t="shared" ref="IK7:IK38" ca="1" si="177">SUM(INDIRECT(VLOOKUP($IJ$4,MKTPEERCOLUMNS,4,0) &amp; IH7 &amp; ":" &amp; VLOOKUP($IJ$4,MKTPEERCOLUMNS,4,0) &amp; IH7))</f>
        <v>#N/A</v>
      </c>
      <c r="IL7" s="66" t="e">
        <f t="shared" ref="IL7:IL38" ca="1" si="178">SUM(INDIRECT(VLOOKUP($IJ$4,MKTPEERCOLUMNS,5,0) &amp; IH7 &amp; ":" &amp; VLOOKUP($IJ$4,MKTPEERCOLUMNS,5,0) &amp; IH7))</f>
        <v>#N/A</v>
      </c>
      <c r="IN7" s="75" t="e">
        <f ca="1">IF(II7=0,"-",II7)</f>
        <v>#N/A</v>
      </c>
      <c r="IO7" s="75" t="e">
        <f ca="1">IF(G7="Smaller better",II7-((II7-IJ7)*0.5),II7+((IJ7-II7)*0.5))</f>
        <v>#N/A</v>
      </c>
      <c r="IP7" s="75" t="e">
        <f ca="1">IF(G7="Smaller better",IJ7-((IJ7-IK7)*0.5),IJ7+((IK7-IJ7)*0.5))</f>
        <v>#N/A</v>
      </c>
      <c r="IQ7" s="75" t="e">
        <f ca="1">IF(IK7=0,"-",IK7)</f>
        <v>#N/A</v>
      </c>
      <c r="IR7" s="74" t="e">
        <f ca="1">SUM(IN7:IQ7)</f>
        <v>#N/A</v>
      </c>
    </row>
    <row r="8" spans="1:252" x14ac:dyDescent="0.35">
      <c r="A8" s="28">
        <v>1</v>
      </c>
      <c r="B8" s="28">
        <v>1</v>
      </c>
      <c r="C8" s="28">
        <v>1</v>
      </c>
      <c r="D8" s="1"/>
      <c r="E8" s="4"/>
      <c r="F8" t="s">
        <v>272</v>
      </c>
      <c r="G8" s="5" t="s">
        <v>530</v>
      </c>
      <c r="H8" s="4" t="s">
        <v>533</v>
      </c>
      <c r="I8" s="7" t="s">
        <v>534</v>
      </c>
      <c r="J8" s="276">
        <v>0.1454336578652245</v>
      </c>
      <c r="K8" s="39" t="s">
        <v>805</v>
      </c>
      <c r="L8" s="39" t="s">
        <v>805</v>
      </c>
      <c r="M8" s="39" t="s">
        <v>805</v>
      </c>
      <c r="N8" s="39" t="s">
        <v>805</v>
      </c>
      <c r="O8" s="39" t="s">
        <v>805</v>
      </c>
      <c r="P8" s="39" t="s">
        <v>805</v>
      </c>
      <c r="Q8" s="39" t="s">
        <v>805</v>
      </c>
      <c r="R8" s="39" t="s">
        <v>805</v>
      </c>
      <c r="S8" s="39" t="s">
        <v>805</v>
      </c>
      <c r="T8" s="39" t="s">
        <v>805</v>
      </c>
      <c r="U8" s="39" t="s">
        <v>805</v>
      </c>
      <c r="V8" s="39" t="s">
        <v>805</v>
      </c>
      <c r="W8" s="39" t="s">
        <v>805</v>
      </c>
      <c r="X8" s="39" t="s">
        <v>805</v>
      </c>
      <c r="Y8" s="39" t="s">
        <v>805</v>
      </c>
      <c r="Z8" s="39" t="s">
        <v>805</v>
      </c>
      <c r="AA8" s="39" t="s">
        <v>805</v>
      </c>
      <c r="AB8" s="39" t="s">
        <v>805</v>
      </c>
      <c r="AC8" s="39" t="s">
        <v>805</v>
      </c>
      <c r="AD8" s="39" t="s">
        <v>805</v>
      </c>
      <c r="AE8" s="39" t="s">
        <v>805</v>
      </c>
      <c r="AF8" s="39" t="s">
        <v>805</v>
      </c>
      <c r="AG8" s="39" t="s">
        <v>805</v>
      </c>
      <c r="AH8" s="39" t="s">
        <v>805</v>
      </c>
      <c r="AI8" s="39" t="s">
        <v>805</v>
      </c>
      <c r="AJ8" s="39" t="s">
        <v>805</v>
      </c>
      <c r="AK8" s="39" t="s">
        <v>805</v>
      </c>
      <c r="AL8" s="39" t="s">
        <v>805</v>
      </c>
      <c r="AM8" s="39" t="s">
        <v>805</v>
      </c>
      <c r="AN8" s="39" t="s">
        <v>805</v>
      </c>
      <c r="AO8" s="39" t="s">
        <v>805</v>
      </c>
      <c r="AP8" s="39" t="s">
        <v>805</v>
      </c>
      <c r="AQ8" s="39" t="s">
        <v>805</v>
      </c>
      <c r="AR8" s="39" t="s">
        <v>805</v>
      </c>
      <c r="AS8" s="39" t="s">
        <v>805</v>
      </c>
      <c r="AT8" s="39" t="s">
        <v>805</v>
      </c>
      <c r="AU8" s="39" t="s">
        <v>805</v>
      </c>
      <c r="AV8" s="39" t="s">
        <v>805</v>
      </c>
      <c r="AW8" s="39" t="s">
        <v>805</v>
      </c>
      <c r="AX8" s="39" t="s">
        <v>805</v>
      </c>
      <c r="AY8" s="39" t="s">
        <v>805</v>
      </c>
      <c r="AZ8" s="39" t="s">
        <v>805</v>
      </c>
      <c r="BA8" s="39" t="s">
        <v>805</v>
      </c>
      <c r="BB8" s="39" t="s">
        <v>805</v>
      </c>
      <c r="BC8" s="39" t="s">
        <v>805</v>
      </c>
      <c r="BD8" s="39" t="s">
        <v>805</v>
      </c>
      <c r="BE8" s="39" t="s">
        <v>805</v>
      </c>
      <c r="BF8" s="39" t="s">
        <v>805</v>
      </c>
      <c r="BG8" s="39" t="s">
        <v>805</v>
      </c>
      <c r="BH8" s="39" t="s">
        <v>805</v>
      </c>
      <c r="BI8" s="39" t="s">
        <v>805</v>
      </c>
      <c r="BJ8" s="39" t="s">
        <v>805</v>
      </c>
      <c r="BK8" s="39" t="s">
        <v>805</v>
      </c>
      <c r="BL8" s="39" t="s">
        <v>805</v>
      </c>
      <c r="BM8" s="39" t="s">
        <v>805</v>
      </c>
      <c r="BN8" s="39" t="s">
        <v>805</v>
      </c>
      <c r="BO8" s="39" t="s">
        <v>805</v>
      </c>
      <c r="BP8" s="39" t="s">
        <v>805</v>
      </c>
      <c r="BQ8" s="39" t="s">
        <v>805</v>
      </c>
      <c r="BR8" s="39" t="s">
        <v>805</v>
      </c>
      <c r="BS8" s="39" t="s">
        <v>805</v>
      </c>
      <c r="BT8" s="39" t="s">
        <v>805</v>
      </c>
      <c r="BU8" s="39" t="s">
        <v>805</v>
      </c>
      <c r="BV8" s="39" t="s">
        <v>805</v>
      </c>
      <c r="BW8" s="39" t="s">
        <v>805</v>
      </c>
      <c r="BX8" s="39" t="s">
        <v>805</v>
      </c>
      <c r="BY8" s="39" t="s">
        <v>805</v>
      </c>
      <c r="BZ8" s="39" t="s">
        <v>805</v>
      </c>
      <c r="CA8" s="39" t="s">
        <v>805</v>
      </c>
      <c r="CB8" s="39" t="s">
        <v>805</v>
      </c>
      <c r="CC8" s="39" t="s">
        <v>805</v>
      </c>
      <c r="CD8" s="39" t="s">
        <v>805</v>
      </c>
      <c r="CE8" s="39" t="s">
        <v>805</v>
      </c>
      <c r="CF8" s="39" t="s">
        <v>805</v>
      </c>
      <c r="CG8" s="39" t="s">
        <v>805</v>
      </c>
      <c r="CH8" s="39" t="s">
        <v>805</v>
      </c>
      <c r="CI8" s="39" t="s">
        <v>805</v>
      </c>
      <c r="CJ8" s="39" t="s">
        <v>805</v>
      </c>
      <c r="CK8" s="39" t="s">
        <v>805</v>
      </c>
      <c r="CL8" s="39" t="s">
        <v>805</v>
      </c>
      <c r="CM8" s="39" t="s">
        <v>805</v>
      </c>
      <c r="CN8" s="39" t="s">
        <v>805</v>
      </c>
      <c r="CO8" s="39" t="s">
        <v>805</v>
      </c>
      <c r="CP8" s="39" t="s">
        <v>805</v>
      </c>
      <c r="CQ8" s="39" t="s">
        <v>805</v>
      </c>
      <c r="CR8" s="39" t="s">
        <v>805</v>
      </c>
      <c r="CS8" s="39" t="s">
        <v>805</v>
      </c>
      <c r="CT8" s="39" t="s">
        <v>805</v>
      </c>
      <c r="CU8" s="39" t="s">
        <v>805</v>
      </c>
      <c r="CV8" s="39" t="s">
        <v>805</v>
      </c>
      <c r="CW8" s="39" t="s">
        <v>805</v>
      </c>
      <c r="CX8" s="39" t="s">
        <v>805</v>
      </c>
      <c r="CY8" s="39" t="s">
        <v>805</v>
      </c>
      <c r="CZ8" s="39" t="s">
        <v>805</v>
      </c>
      <c r="DA8" s="39" t="s">
        <v>805</v>
      </c>
      <c r="DB8" s="39" t="s">
        <v>805</v>
      </c>
      <c r="DC8" s="39" t="s">
        <v>805</v>
      </c>
      <c r="DD8" s="39" t="s">
        <v>805</v>
      </c>
      <c r="DE8" s="39" t="s">
        <v>805</v>
      </c>
      <c r="DF8" s="39" t="s">
        <v>805</v>
      </c>
      <c r="DG8" s="28">
        <f>'KPI Count-SHARE'!J5</f>
        <v>0</v>
      </c>
      <c r="DH8" s="105"/>
      <c r="DI8" s="105"/>
      <c r="DJ8" s="105"/>
      <c r="DK8" s="28">
        <f>'KPI Count-SHARE'!K5</f>
        <v>0</v>
      </c>
      <c r="DL8" s="39"/>
      <c r="DM8" s="39"/>
      <c r="DN8" s="39"/>
      <c r="DO8" s="28">
        <f>'KPI Count-SHARE'!L5</f>
        <v>0</v>
      </c>
      <c r="DP8" s="61"/>
      <c r="DQ8" s="61"/>
      <c r="DR8" s="61"/>
      <c r="DS8" s="28">
        <f>'KPI Count-SHARE'!M5</f>
        <v>0</v>
      </c>
      <c r="DT8" s="39"/>
      <c r="DU8" s="39"/>
      <c r="DV8" s="39"/>
      <c r="DW8" s="30" t="s">
        <v>533</v>
      </c>
      <c r="DX8" s="41">
        <f t="shared" si="79"/>
        <v>0.1454336578652245</v>
      </c>
      <c r="DY8" s="41" t="str">
        <f t="shared" si="80"/>
        <v/>
      </c>
      <c r="DZ8" s="41" t="str">
        <f t="shared" si="81"/>
        <v/>
      </c>
      <c r="EA8" s="41" t="str">
        <f t="shared" ref="EA8:EA71" si="179">IFERROR(IF(ISBLANK(M8), "-", IF($I8="c", M8*$I$5,M8)),"-")</f>
        <v/>
      </c>
      <c r="EB8" s="41" t="str">
        <f t="shared" ref="EB8:EB71" si="180">IFERROR(IF(ISBLANK(N8), "-", IF($I8="c", N8*$I$5, N8)),"-")</f>
        <v/>
      </c>
      <c r="EC8" s="41" t="str">
        <f t="shared" ref="EC8:EC71" si="181">IFERROR(IF(ISBLANK(O8), "-", IF($I8="c", O8*$I$5,O8)),"-")</f>
        <v/>
      </c>
      <c r="ED8" s="41" t="str">
        <f t="shared" si="82"/>
        <v/>
      </c>
      <c r="EE8" s="41" t="str">
        <f t="shared" si="83"/>
        <v/>
      </c>
      <c r="EF8" s="41" t="str">
        <f t="shared" si="84"/>
        <v/>
      </c>
      <c r="EG8" s="41" t="str">
        <f t="shared" si="85"/>
        <v/>
      </c>
      <c r="EH8" s="41" t="str">
        <f t="shared" si="86"/>
        <v/>
      </c>
      <c r="EI8" s="41" t="str">
        <f t="shared" si="87"/>
        <v/>
      </c>
      <c r="EJ8" s="41" t="str">
        <f t="shared" si="87"/>
        <v/>
      </c>
      <c r="EK8" s="41" t="str">
        <f t="shared" si="87"/>
        <v/>
      </c>
      <c r="EL8" s="41" t="str">
        <f t="shared" si="87"/>
        <v/>
      </c>
      <c r="EM8" s="41" t="str">
        <f t="shared" si="87"/>
        <v/>
      </c>
      <c r="EN8" s="41" t="str">
        <f t="shared" si="87"/>
        <v/>
      </c>
      <c r="EO8" s="41" t="str">
        <f t="shared" si="87"/>
        <v/>
      </c>
      <c r="EP8" s="41" t="str">
        <f t="shared" si="87"/>
        <v/>
      </c>
      <c r="EQ8" s="41" t="str">
        <f t="shared" si="87"/>
        <v/>
      </c>
      <c r="ER8" s="41" t="str">
        <f t="shared" si="87"/>
        <v/>
      </c>
      <c r="ES8" s="41" t="str">
        <f t="shared" si="87"/>
        <v/>
      </c>
      <c r="ET8" s="41" t="str">
        <f t="shared" si="87"/>
        <v/>
      </c>
      <c r="EU8" s="41" t="str">
        <f t="shared" si="88"/>
        <v/>
      </c>
      <c r="EV8" s="41" t="str">
        <f t="shared" si="89"/>
        <v/>
      </c>
      <c r="EW8" s="41" t="str">
        <f t="shared" si="90"/>
        <v/>
      </c>
      <c r="EX8" s="41" t="str">
        <f t="shared" si="91"/>
        <v/>
      </c>
      <c r="EY8" s="41" t="str">
        <f t="shared" si="92"/>
        <v/>
      </c>
      <c r="EZ8" s="41" t="str">
        <f t="shared" si="93"/>
        <v/>
      </c>
      <c r="FA8" s="41" t="str">
        <f t="shared" si="94"/>
        <v/>
      </c>
      <c r="FB8" s="41" t="str">
        <f t="shared" si="95"/>
        <v/>
      </c>
      <c r="FC8" s="41" t="str">
        <f t="shared" si="96"/>
        <v/>
      </c>
      <c r="FD8" s="41" t="str">
        <f t="shared" si="97"/>
        <v/>
      </c>
      <c r="FE8" s="41" t="str">
        <f t="shared" si="98"/>
        <v/>
      </c>
      <c r="FF8" s="41" t="str">
        <f t="shared" si="99"/>
        <v/>
      </c>
      <c r="FG8" s="41" t="str">
        <f t="shared" si="100"/>
        <v/>
      </c>
      <c r="FH8" s="41" t="str">
        <f t="shared" si="101"/>
        <v/>
      </c>
      <c r="FI8" s="41" t="str">
        <f t="shared" si="102"/>
        <v/>
      </c>
      <c r="FJ8" s="41" t="str">
        <f t="shared" si="103"/>
        <v/>
      </c>
      <c r="FK8" s="41" t="str">
        <f t="shared" si="104"/>
        <v/>
      </c>
      <c r="FL8" s="41" t="str">
        <f t="shared" si="105"/>
        <v/>
      </c>
      <c r="FM8" s="41" t="str">
        <f t="shared" si="106"/>
        <v/>
      </c>
      <c r="FN8" s="41" t="str">
        <f t="shared" si="107"/>
        <v/>
      </c>
      <c r="FO8" s="41" t="str">
        <f t="shared" si="108"/>
        <v/>
      </c>
      <c r="FP8" s="41" t="str">
        <f t="shared" si="109"/>
        <v/>
      </c>
      <c r="FQ8" s="41" t="str">
        <f t="shared" si="110"/>
        <v/>
      </c>
      <c r="FR8" s="41" t="str">
        <f t="shared" si="111"/>
        <v/>
      </c>
      <c r="FS8" s="41" t="str">
        <f t="shared" si="112"/>
        <v/>
      </c>
      <c r="FT8" s="41" t="str">
        <f t="shared" si="113"/>
        <v/>
      </c>
      <c r="FU8" s="41" t="str">
        <f t="shared" si="114"/>
        <v/>
      </c>
      <c r="FV8" s="41" t="str">
        <f t="shared" si="115"/>
        <v/>
      </c>
      <c r="FW8" s="41" t="str">
        <f t="shared" si="116"/>
        <v/>
      </c>
      <c r="FX8" s="41" t="str">
        <f t="shared" si="117"/>
        <v/>
      </c>
      <c r="FY8" s="41" t="str">
        <f t="shared" si="118"/>
        <v/>
      </c>
      <c r="FZ8" s="41" t="str">
        <f t="shared" si="119"/>
        <v/>
      </c>
      <c r="GA8" s="41" t="str">
        <f t="shared" si="120"/>
        <v/>
      </c>
      <c r="GB8" s="41" t="str">
        <f t="shared" si="121"/>
        <v/>
      </c>
      <c r="GC8" s="41" t="str">
        <f t="shared" si="122"/>
        <v/>
      </c>
      <c r="GD8" s="41" t="str">
        <f t="shared" si="123"/>
        <v/>
      </c>
      <c r="GE8" s="41" t="str">
        <f t="shared" si="124"/>
        <v/>
      </c>
      <c r="GF8" s="41" t="str">
        <f t="shared" si="125"/>
        <v/>
      </c>
      <c r="GG8" s="41" t="str">
        <f t="shared" si="126"/>
        <v/>
      </c>
      <c r="GH8" s="41" t="str">
        <f t="shared" si="127"/>
        <v/>
      </c>
      <c r="GI8" s="41" t="str">
        <f t="shared" si="128"/>
        <v/>
      </c>
      <c r="GJ8" s="41" t="str">
        <f t="shared" si="129"/>
        <v/>
      </c>
      <c r="GK8" s="41" t="str">
        <f t="shared" si="130"/>
        <v/>
      </c>
      <c r="GL8" s="41" t="str">
        <f t="shared" si="131"/>
        <v/>
      </c>
      <c r="GM8" s="41" t="str">
        <f t="shared" si="132"/>
        <v/>
      </c>
      <c r="GN8" s="41" t="str">
        <f t="shared" si="133"/>
        <v/>
      </c>
      <c r="GO8" s="41" t="str">
        <f t="shared" si="134"/>
        <v/>
      </c>
      <c r="GP8" s="41" t="str">
        <f t="shared" si="135"/>
        <v/>
      </c>
      <c r="GQ8" s="41" t="str">
        <f t="shared" si="136"/>
        <v/>
      </c>
      <c r="GR8" s="41" t="str">
        <f t="shared" si="137"/>
        <v/>
      </c>
      <c r="GS8" s="41" t="str">
        <f t="shared" si="138"/>
        <v/>
      </c>
      <c r="GT8" s="41" t="str">
        <f t="shared" si="139"/>
        <v/>
      </c>
      <c r="GU8" s="41" t="str">
        <f t="shared" si="140"/>
        <v/>
      </c>
      <c r="GV8" s="41" t="str">
        <f t="shared" si="141"/>
        <v/>
      </c>
      <c r="GW8" s="41" t="str">
        <f t="shared" si="142"/>
        <v/>
      </c>
      <c r="GX8" s="41" t="str">
        <f t="shared" si="143"/>
        <v/>
      </c>
      <c r="GY8" s="41" t="str">
        <f t="shared" si="144"/>
        <v/>
      </c>
      <c r="GZ8" s="41" t="str">
        <f t="shared" si="145"/>
        <v/>
      </c>
      <c r="HA8" s="41" t="str">
        <f t="shared" si="146"/>
        <v/>
      </c>
      <c r="HB8" s="41" t="str">
        <f t="shared" si="147"/>
        <v/>
      </c>
      <c r="HC8" s="41" t="str">
        <f t="shared" si="148"/>
        <v/>
      </c>
      <c r="HD8" s="41" t="str">
        <f t="shared" si="149"/>
        <v/>
      </c>
      <c r="HE8" s="41" t="str">
        <f t="shared" si="150"/>
        <v/>
      </c>
      <c r="HF8" s="41" t="str">
        <f t="shared" si="151"/>
        <v/>
      </c>
      <c r="HG8" s="41" t="str">
        <f t="shared" si="152"/>
        <v/>
      </c>
      <c r="HH8" s="41" t="str">
        <f t="shared" si="153"/>
        <v/>
      </c>
      <c r="HI8" s="41" t="str">
        <f t="shared" si="154"/>
        <v/>
      </c>
      <c r="HJ8" s="41" t="str">
        <f t="shared" si="155"/>
        <v/>
      </c>
      <c r="HK8" s="41" t="str">
        <f t="shared" si="156"/>
        <v/>
      </c>
      <c r="HL8" s="41" t="str">
        <f t="shared" si="157"/>
        <v/>
      </c>
      <c r="HM8" s="41" t="str">
        <f t="shared" si="158"/>
        <v/>
      </c>
      <c r="HN8" s="41" t="str">
        <f t="shared" si="159"/>
        <v/>
      </c>
      <c r="HO8" s="41" t="str">
        <f t="shared" si="160"/>
        <v/>
      </c>
      <c r="HP8" s="41" t="str">
        <f t="shared" si="161"/>
        <v/>
      </c>
      <c r="HQ8" s="41" t="str">
        <f t="shared" si="162"/>
        <v/>
      </c>
      <c r="HR8" s="41" t="str">
        <f t="shared" si="163"/>
        <v/>
      </c>
      <c r="HS8" s="41" t="str">
        <f t="shared" si="164"/>
        <v/>
      </c>
      <c r="HT8" s="41" t="str">
        <f t="shared" si="164"/>
        <v/>
      </c>
      <c r="HU8" s="83" t="str">
        <f t="shared" ref="HU8:HU71" si="182">IFERROR(IF(ISBLANK(DH8), "-", IF($I8="c", DH8*$I$5, DH8)),"-")</f>
        <v>-</v>
      </c>
      <c r="HV8" s="84" t="str">
        <f t="shared" si="165"/>
        <v/>
      </c>
      <c r="HW8" s="85" t="str">
        <f t="shared" si="166"/>
        <v/>
      </c>
      <c r="HX8" s="84" t="str">
        <f t="shared" ref="HX8:HX71" si="183">IFERROR(IF(ISBLANK(DL8), "", IF($I8="c",DL8*$I$5, DL8)),"-")</f>
        <v/>
      </c>
      <c r="HY8" s="84" t="str">
        <f t="shared" si="167"/>
        <v/>
      </c>
      <c r="HZ8" s="84" t="str">
        <f t="shared" si="168"/>
        <v/>
      </c>
      <c r="IA8" s="83" t="str">
        <f t="shared" si="169"/>
        <v/>
      </c>
      <c r="IB8" s="84" t="str">
        <f t="shared" si="170"/>
        <v/>
      </c>
      <c r="IC8" s="85" t="str">
        <f t="shared" si="171"/>
        <v/>
      </c>
      <c r="ID8" s="83" t="str">
        <f t="shared" si="172"/>
        <v/>
      </c>
      <c r="IE8" s="84" t="str">
        <f t="shared" si="173"/>
        <v/>
      </c>
      <c r="IF8" s="85" t="str">
        <f t="shared" si="174"/>
        <v/>
      </c>
      <c r="IH8" s="66">
        <v>8</v>
      </c>
      <c r="II8" s="66" t="e">
        <f t="shared" ca="1" si="175"/>
        <v>#N/A</v>
      </c>
      <c r="IJ8" s="66" t="e">
        <f t="shared" ca="1" si="176"/>
        <v>#N/A</v>
      </c>
      <c r="IK8" s="66" t="e">
        <f t="shared" ca="1" si="177"/>
        <v>#N/A</v>
      </c>
      <c r="IL8" s="66" t="e">
        <f t="shared" ca="1" si="178"/>
        <v>#N/A</v>
      </c>
      <c r="IN8" s="77" t="e">
        <f t="shared" ref="IN8:IN71" ca="1" si="184">IF(II8=0,"-",II8)</f>
        <v>#N/A</v>
      </c>
      <c r="IO8" s="77" t="e">
        <f t="shared" ref="IO8:IO71" ca="1" si="185">IF(G8="Smaller better",II8-((II8-IJ8)*0.5),II8+((IJ8-II8)*0.5))</f>
        <v>#N/A</v>
      </c>
      <c r="IP8" s="75" t="e">
        <f t="shared" ref="IP8:IP71" ca="1" si="186">IF(G8="Smaller better",IJ8-((IJ8-IK8)*0.5),IJ8+((IK8-IJ8)*0.5))</f>
        <v>#N/A</v>
      </c>
      <c r="IQ8" s="77" t="e">
        <f t="shared" ref="IQ8:IQ71" ca="1" si="187">IF(IK8=0,"-",IK8)</f>
        <v>#N/A</v>
      </c>
      <c r="IR8" s="74" t="e">
        <f t="shared" ref="IR8:IR71" ca="1" si="188">SUM(IN8:IQ8)</f>
        <v>#N/A</v>
      </c>
    </row>
    <row r="9" spans="1:252" x14ac:dyDescent="0.35">
      <c r="A9" s="28">
        <v>1</v>
      </c>
      <c r="B9" s="28">
        <v>1</v>
      </c>
      <c r="C9" s="28">
        <v>1</v>
      </c>
      <c r="D9" s="1"/>
      <c r="E9" s="4"/>
      <c r="F9" t="s">
        <v>273</v>
      </c>
      <c r="G9" s="5" t="s">
        <v>540</v>
      </c>
      <c r="H9" s="4" t="s">
        <v>533</v>
      </c>
      <c r="I9" s="7" t="s">
        <v>534</v>
      </c>
      <c r="J9" s="276">
        <v>5.7340034422780723E-4</v>
      </c>
      <c r="K9" s="39" t="s">
        <v>805</v>
      </c>
      <c r="L9" s="39" t="s">
        <v>805</v>
      </c>
      <c r="M9" s="39" t="s">
        <v>805</v>
      </c>
      <c r="N9" s="39" t="s">
        <v>805</v>
      </c>
      <c r="O9" s="39" t="s">
        <v>805</v>
      </c>
      <c r="P9" s="39" t="s">
        <v>805</v>
      </c>
      <c r="Q9" s="39" t="s">
        <v>805</v>
      </c>
      <c r="R9" s="39" t="s">
        <v>805</v>
      </c>
      <c r="S9" s="39" t="s">
        <v>805</v>
      </c>
      <c r="T9" s="39" t="s">
        <v>805</v>
      </c>
      <c r="U9" s="39" t="s">
        <v>805</v>
      </c>
      <c r="V9" s="39" t="s">
        <v>805</v>
      </c>
      <c r="W9" s="39" t="s">
        <v>805</v>
      </c>
      <c r="X9" s="39" t="s">
        <v>805</v>
      </c>
      <c r="Y9" s="39" t="s">
        <v>805</v>
      </c>
      <c r="Z9" s="39" t="s">
        <v>805</v>
      </c>
      <c r="AA9" s="39" t="s">
        <v>805</v>
      </c>
      <c r="AB9" s="39" t="s">
        <v>805</v>
      </c>
      <c r="AC9" s="39" t="s">
        <v>805</v>
      </c>
      <c r="AD9" s="39" t="s">
        <v>805</v>
      </c>
      <c r="AE9" s="39" t="s">
        <v>805</v>
      </c>
      <c r="AF9" s="39" t="s">
        <v>805</v>
      </c>
      <c r="AG9" s="39" t="s">
        <v>805</v>
      </c>
      <c r="AH9" s="39" t="s">
        <v>805</v>
      </c>
      <c r="AI9" s="39" t="s">
        <v>805</v>
      </c>
      <c r="AJ9" s="39" t="s">
        <v>805</v>
      </c>
      <c r="AK9" s="39" t="s">
        <v>805</v>
      </c>
      <c r="AL9" s="39" t="s">
        <v>805</v>
      </c>
      <c r="AM9" s="39" t="s">
        <v>805</v>
      </c>
      <c r="AN9" s="39" t="s">
        <v>805</v>
      </c>
      <c r="AO9" s="39" t="s">
        <v>805</v>
      </c>
      <c r="AP9" s="39" t="s">
        <v>805</v>
      </c>
      <c r="AQ9" s="39" t="s">
        <v>805</v>
      </c>
      <c r="AR9" s="39" t="s">
        <v>805</v>
      </c>
      <c r="AS9" s="39" t="s">
        <v>805</v>
      </c>
      <c r="AT9" s="39" t="s">
        <v>805</v>
      </c>
      <c r="AU9" s="39" t="s">
        <v>805</v>
      </c>
      <c r="AV9" s="39" t="s">
        <v>805</v>
      </c>
      <c r="AW9" s="39" t="s">
        <v>805</v>
      </c>
      <c r="AX9" s="39" t="s">
        <v>805</v>
      </c>
      <c r="AY9" s="39" t="s">
        <v>805</v>
      </c>
      <c r="AZ9" s="39" t="s">
        <v>805</v>
      </c>
      <c r="BA9" s="39" t="s">
        <v>805</v>
      </c>
      <c r="BB9" s="39" t="s">
        <v>805</v>
      </c>
      <c r="BC9" s="39" t="s">
        <v>805</v>
      </c>
      <c r="BD9" s="39" t="s">
        <v>805</v>
      </c>
      <c r="BE9" s="39" t="s">
        <v>805</v>
      </c>
      <c r="BF9" s="39" t="s">
        <v>805</v>
      </c>
      <c r="BG9" s="39" t="s">
        <v>805</v>
      </c>
      <c r="BH9" s="39" t="s">
        <v>805</v>
      </c>
      <c r="BI9" s="39" t="s">
        <v>805</v>
      </c>
      <c r="BJ9" s="39" t="s">
        <v>805</v>
      </c>
      <c r="BK9" s="39" t="s">
        <v>805</v>
      </c>
      <c r="BL9" s="39" t="s">
        <v>805</v>
      </c>
      <c r="BM9" s="39" t="s">
        <v>805</v>
      </c>
      <c r="BN9" s="39" t="s">
        <v>805</v>
      </c>
      <c r="BO9" s="39" t="s">
        <v>805</v>
      </c>
      <c r="BP9" s="39" t="s">
        <v>805</v>
      </c>
      <c r="BQ9" s="39" t="s">
        <v>805</v>
      </c>
      <c r="BR9" s="39" t="s">
        <v>805</v>
      </c>
      <c r="BS9" s="39" t="s">
        <v>805</v>
      </c>
      <c r="BT9" s="39" t="s">
        <v>805</v>
      </c>
      <c r="BU9" s="39" t="s">
        <v>805</v>
      </c>
      <c r="BV9" s="39" t="s">
        <v>805</v>
      </c>
      <c r="BW9" s="39" t="s">
        <v>805</v>
      </c>
      <c r="BX9" s="39" t="s">
        <v>805</v>
      </c>
      <c r="BY9" s="39" t="s">
        <v>805</v>
      </c>
      <c r="BZ9" s="39" t="s">
        <v>805</v>
      </c>
      <c r="CA9" s="39" t="s">
        <v>805</v>
      </c>
      <c r="CB9" s="39" t="s">
        <v>805</v>
      </c>
      <c r="CC9" s="39" t="s">
        <v>805</v>
      </c>
      <c r="CD9" s="39" t="s">
        <v>805</v>
      </c>
      <c r="CE9" s="39" t="s">
        <v>805</v>
      </c>
      <c r="CF9" s="39" t="s">
        <v>805</v>
      </c>
      <c r="CG9" s="39" t="s">
        <v>805</v>
      </c>
      <c r="CH9" s="39" t="s">
        <v>805</v>
      </c>
      <c r="CI9" s="39" t="s">
        <v>805</v>
      </c>
      <c r="CJ9" s="39" t="s">
        <v>805</v>
      </c>
      <c r="CK9" s="39" t="s">
        <v>805</v>
      </c>
      <c r="CL9" s="39" t="s">
        <v>805</v>
      </c>
      <c r="CM9" s="39" t="s">
        <v>805</v>
      </c>
      <c r="CN9" s="39" t="s">
        <v>805</v>
      </c>
      <c r="CO9" s="39" t="s">
        <v>805</v>
      </c>
      <c r="CP9" s="39" t="s">
        <v>805</v>
      </c>
      <c r="CQ9" s="39" t="s">
        <v>805</v>
      </c>
      <c r="CR9" s="39" t="s">
        <v>805</v>
      </c>
      <c r="CS9" s="39" t="s">
        <v>805</v>
      </c>
      <c r="CT9" s="39" t="s">
        <v>805</v>
      </c>
      <c r="CU9" s="39" t="s">
        <v>805</v>
      </c>
      <c r="CV9" s="39" t="s">
        <v>805</v>
      </c>
      <c r="CW9" s="39" t="s">
        <v>805</v>
      </c>
      <c r="CX9" s="39" t="s">
        <v>805</v>
      </c>
      <c r="CY9" s="39" t="s">
        <v>805</v>
      </c>
      <c r="CZ9" s="39" t="s">
        <v>805</v>
      </c>
      <c r="DA9" s="39" t="s">
        <v>805</v>
      </c>
      <c r="DB9" s="39" t="s">
        <v>805</v>
      </c>
      <c r="DC9" s="39" t="s">
        <v>805</v>
      </c>
      <c r="DD9" s="39" t="s">
        <v>805</v>
      </c>
      <c r="DE9" s="39" t="s">
        <v>805</v>
      </c>
      <c r="DF9" s="39" t="s">
        <v>805</v>
      </c>
      <c r="DG9" s="28">
        <f>'KPI Count-SHARE'!J6</f>
        <v>0</v>
      </c>
      <c r="DH9" s="105"/>
      <c r="DI9" s="105"/>
      <c r="DJ9" s="105"/>
      <c r="DK9" s="28">
        <f>'KPI Count-SHARE'!K6</f>
        <v>0</v>
      </c>
      <c r="DL9" s="39"/>
      <c r="DM9" s="39"/>
      <c r="DN9" s="39"/>
      <c r="DO9" s="28">
        <f>'KPI Count-SHARE'!L6</f>
        <v>0</v>
      </c>
      <c r="DP9" s="61"/>
      <c r="DQ9" s="61"/>
      <c r="DR9" s="61"/>
      <c r="DS9" s="28">
        <f>'KPI Count-SHARE'!M6</f>
        <v>0</v>
      </c>
      <c r="DT9" s="39"/>
      <c r="DU9" s="39"/>
      <c r="DV9" s="39"/>
      <c r="DW9" s="30" t="s">
        <v>533</v>
      </c>
      <c r="DX9" s="39">
        <f t="shared" si="79"/>
        <v>5.7340034422780723E-4</v>
      </c>
      <c r="DY9" s="39" t="str">
        <f t="shared" si="80"/>
        <v/>
      </c>
      <c r="DZ9" s="39" t="str">
        <f t="shared" si="81"/>
        <v/>
      </c>
      <c r="EA9" s="39" t="str">
        <f t="shared" si="179"/>
        <v/>
      </c>
      <c r="EB9" s="39" t="str">
        <f t="shared" si="180"/>
        <v/>
      </c>
      <c r="EC9" s="39" t="str">
        <f t="shared" si="181"/>
        <v/>
      </c>
      <c r="ED9" s="39" t="str">
        <f t="shared" si="82"/>
        <v/>
      </c>
      <c r="EE9" s="39" t="str">
        <f t="shared" si="83"/>
        <v/>
      </c>
      <c r="EF9" s="39" t="str">
        <f t="shared" si="84"/>
        <v/>
      </c>
      <c r="EG9" s="39" t="str">
        <f t="shared" si="85"/>
        <v/>
      </c>
      <c r="EH9" s="39" t="str">
        <f t="shared" si="86"/>
        <v/>
      </c>
      <c r="EI9" s="39" t="str">
        <f t="shared" si="87"/>
        <v/>
      </c>
      <c r="EJ9" s="39" t="str">
        <f t="shared" si="87"/>
        <v/>
      </c>
      <c r="EK9" s="39" t="str">
        <f t="shared" si="87"/>
        <v/>
      </c>
      <c r="EL9" s="39" t="str">
        <f t="shared" si="87"/>
        <v/>
      </c>
      <c r="EM9" s="39" t="str">
        <f t="shared" si="87"/>
        <v/>
      </c>
      <c r="EN9" s="39" t="str">
        <f t="shared" si="87"/>
        <v/>
      </c>
      <c r="EO9" s="39" t="str">
        <f t="shared" si="87"/>
        <v/>
      </c>
      <c r="EP9" s="39" t="str">
        <f t="shared" si="87"/>
        <v/>
      </c>
      <c r="EQ9" s="39" t="str">
        <f t="shared" si="87"/>
        <v/>
      </c>
      <c r="ER9" s="39" t="str">
        <f t="shared" si="87"/>
        <v/>
      </c>
      <c r="ES9" s="39" t="str">
        <f t="shared" si="87"/>
        <v/>
      </c>
      <c r="ET9" s="39" t="str">
        <f t="shared" si="87"/>
        <v/>
      </c>
      <c r="EU9" s="39" t="str">
        <f t="shared" si="88"/>
        <v/>
      </c>
      <c r="EV9" s="39" t="str">
        <f t="shared" si="89"/>
        <v/>
      </c>
      <c r="EW9" s="39" t="str">
        <f t="shared" si="90"/>
        <v/>
      </c>
      <c r="EX9" s="39" t="str">
        <f t="shared" si="91"/>
        <v/>
      </c>
      <c r="EY9" s="39" t="str">
        <f t="shared" si="92"/>
        <v/>
      </c>
      <c r="EZ9" s="39" t="str">
        <f t="shared" si="93"/>
        <v/>
      </c>
      <c r="FA9" s="39" t="str">
        <f t="shared" si="94"/>
        <v/>
      </c>
      <c r="FB9" s="39" t="str">
        <f t="shared" si="95"/>
        <v/>
      </c>
      <c r="FC9" s="39" t="str">
        <f t="shared" si="96"/>
        <v/>
      </c>
      <c r="FD9" s="39" t="str">
        <f t="shared" si="97"/>
        <v/>
      </c>
      <c r="FE9" s="39" t="str">
        <f t="shared" si="98"/>
        <v/>
      </c>
      <c r="FF9" s="39" t="str">
        <f t="shared" si="99"/>
        <v/>
      </c>
      <c r="FG9" s="39" t="str">
        <f t="shared" si="100"/>
        <v/>
      </c>
      <c r="FH9" s="39" t="str">
        <f t="shared" si="101"/>
        <v/>
      </c>
      <c r="FI9" s="39" t="str">
        <f t="shared" si="102"/>
        <v/>
      </c>
      <c r="FJ9" s="39" t="str">
        <f t="shared" si="103"/>
        <v/>
      </c>
      <c r="FK9" s="39" t="str">
        <f t="shared" si="104"/>
        <v/>
      </c>
      <c r="FL9" s="39" t="str">
        <f t="shared" si="105"/>
        <v/>
      </c>
      <c r="FM9" s="39" t="str">
        <f t="shared" si="106"/>
        <v/>
      </c>
      <c r="FN9" s="39" t="str">
        <f t="shared" si="107"/>
        <v/>
      </c>
      <c r="FO9" s="39" t="str">
        <f t="shared" si="108"/>
        <v/>
      </c>
      <c r="FP9" s="39" t="str">
        <f t="shared" si="109"/>
        <v/>
      </c>
      <c r="FQ9" s="39" t="str">
        <f t="shared" si="110"/>
        <v/>
      </c>
      <c r="FR9" s="39" t="str">
        <f t="shared" si="111"/>
        <v/>
      </c>
      <c r="FS9" s="39" t="str">
        <f t="shared" si="112"/>
        <v/>
      </c>
      <c r="FT9" s="39" t="str">
        <f t="shared" si="113"/>
        <v/>
      </c>
      <c r="FU9" s="39" t="str">
        <f t="shared" si="114"/>
        <v/>
      </c>
      <c r="FV9" s="39" t="str">
        <f t="shared" si="115"/>
        <v/>
      </c>
      <c r="FW9" s="39" t="str">
        <f t="shared" si="116"/>
        <v/>
      </c>
      <c r="FX9" s="39" t="str">
        <f t="shared" si="117"/>
        <v/>
      </c>
      <c r="FY9" s="39" t="str">
        <f t="shared" si="118"/>
        <v/>
      </c>
      <c r="FZ9" s="39" t="str">
        <f t="shared" si="119"/>
        <v/>
      </c>
      <c r="GA9" s="39" t="str">
        <f t="shared" si="120"/>
        <v/>
      </c>
      <c r="GB9" s="39" t="str">
        <f t="shared" si="121"/>
        <v/>
      </c>
      <c r="GC9" s="39" t="str">
        <f t="shared" si="122"/>
        <v/>
      </c>
      <c r="GD9" s="39" t="str">
        <f t="shared" si="123"/>
        <v/>
      </c>
      <c r="GE9" s="39" t="str">
        <f t="shared" si="124"/>
        <v/>
      </c>
      <c r="GF9" s="39" t="str">
        <f t="shared" si="125"/>
        <v/>
      </c>
      <c r="GG9" s="39" t="str">
        <f t="shared" si="126"/>
        <v/>
      </c>
      <c r="GH9" s="39" t="str">
        <f t="shared" si="127"/>
        <v/>
      </c>
      <c r="GI9" s="39" t="str">
        <f t="shared" si="128"/>
        <v/>
      </c>
      <c r="GJ9" s="39" t="str">
        <f t="shared" si="129"/>
        <v/>
      </c>
      <c r="GK9" s="39" t="str">
        <f t="shared" si="130"/>
        <v/>
      </c>
      <c r="GL9" s="39" t="str">
        <f t="shared" si="131"/>
        <v/>
      </c>
      <c r="GM9" s="39" t="str">
        <f t="shared" si="132"/>
        <v/>
      </c>
      <c r="GN9" s="39" t="str">
        <f t="shared" si="133"/>
        <v/>
      </c>
      <c r="GO9" s="39" t="str">
        <f t="shared" si="134"/>
        <v/>
      </c>
      <c r="GP9" s="39" t="str">
        <f t="shared" si="135"/>
        <v/>
      </c>
      <c r="GQ9" s="39" t="str">
        <f t="shared" si="136"/>
        <v/>
      </c>
      <c r="GR9" s="39" t="str">
        <f t="shared" si="137"/>
        <v/>
      </c>
      <c r="GS9" s="39" t="str">
        <f t="shared" si="138"/>
        <v/>
      </c>
      <c r="GT9" s="39" t="str">
        <f t="shared" si="139"/>
        <v/>
      </c>
      <c r="GU9" s="39" t="str">
        <f t="shared" si="140"/>
        <v/>
      </c>
      <c r="GV9" s="39" t="str">
        <f t="shared" si="141"/>
        <v/>
      </c>
      <c r="GW9" s="39" t="str">
        <f t="shared" si="142"/>
        <v/>
      </c>
      <c r="GX9" s="39" t="str">
        <f t="shared" si="143"/>
        <v/>
      </c>
      <c r="GY9" s="39" t="str">
        <f t="shared" si="144"/>
        <v/>
      </c>
      <c r="GZ9" s="39" t="str">
        <f t="shared" si="145"/>
        <v/>
      </c>
      <c r="HA9" s="39" t="str">
        <f t="shared" si="146"/>
        <v/>
      </c>
      <c r="HB9" s="39" t="str">
        <f t="shared" si="147"/>
        <v/>
      </c>
      <c r="HC9" s="39" t="str">
        <f t="shared" si="148"/>
        <v/>
      </c>
      <c r="HD9" s="39" t="str">
        <f t="shared" si="149"/>
        <v/>
      </c>
      <c r="HE9" s="39" t="str">
        <f t="shared" si="150"/>
        <v/>
      </c>
      <c r="HF9" s="39" t="str">
        <f t="shared" si="151"/>
        <v/>
      </c>
      <c r="HG9" s="39" t="str">
        <f t="shared" si="152"/>
        <v/>
      </c>
      <c r="HH9" s="39" t="str">
        <f t="shared" si="153"/>
        <v/>
      </c>
      <c r="HI9" s="39" t="str">
        <f t="shared" si="154"/>
        <v/>
      </c>
      <c r="HJ9" s="39" t="str">
        <f t="shared" si="155"/>
        <v/>
      </c>
      <c r="HK9" s="39" t="str">
        <f t="shared" si="156"/>
        <v/>
      </c>
      <c r="HL9" s="39" t="str">
        <f t="shared" si="157"/>
        <v/>
      </c>
      <c r="HM9" s="39" t="str">
        <f t="shared" si="158"/>
        <v/>
      </c>
      <c r="HN9" s="39" t="str">
        <f t="shared" si="159"/>
        <v/>
      </c>
      <c r="HO9" s="39" t="str">
        <f t="shared" si="160"/>
        <v/>
      </c>
      <c r="HP9" s="39" t="str">
        <f t="shared" si="161"/>
        <v/>
      </c>
      <c r="HQ9" s="39" t="str">
        <f t="shared" si="162"/>
        <v/>
      </c>
      <c r="HR9" s="39" t="str">
        <f t="shared" si="163"/>
        <v/>
      </c>
      <c r="HS9" s="39" t="str">
        <f t="shared" si="164"/>
        <v/>
      </c>
      <c r="HT9" s="39" t="str">
        <f t="shared" si="164"/>
        <v/>
      </c>
      <c r="HU9" s="83" t="str">
        <f t="shared" si="182"/>
        <v>-</v>
      </c>
      <c r="HV9" s="84" t="str">
        <f t="shared" si="165"/>
        <v/>
      </c>
      <c r="HW9" s="85" t="str">
        <f t="shared" si="166"/>
        <v/>
      </c>
      <c r="HX9" s="84" t="str">
        <f t="shared" si="183"/>
        <v/>
      </c>
      <c r="HY9" s="84" t="str">
        <f t="shared" si="167"/>
        <v/>
      </c>
      <c r="HZ9" s="84" t="str">
        <f t="shared" si="168"/>
        <v/>
      </c>
      <c r="IA9" s="83" t="str">
        <f t="shared" si="169"/>
        <v/>
      </c>
      <c r="IB9" s="84" t="str">
        <f t="shared" si="170"/>
        <v/>
      </c>
      <c r="IC9" s="85" t="str">
        <f t="shared" si="171"/>
        <v/>
      </c>
      <c r="ID9" s="83" t="str">
        <f t="shared" si="172"/>
        <v/>
      </c>
      <c r="IE9" s="84" t="str">
        <f t="shared" si="173"/>
        <v/>
      </c>
      <c r="IF9" s="85" t="str">
        <f t="shared" si="174"/>
        <v/>
      </c>
      <c r="IH9" s="66">
        <v>9</v>
      </c>
      <c r="II9" s="66" t="e">
        <f t="shared" ca="1" si="175"/>
        <v>#N/A</v>
      </c>
      <c r="IJ9" s="66" t="e">
        <f t="shared" ca="1" si="176"/>
        <v>#N/A</v>
      </c>
      <c r="IK9" s="66" t="e">
        <f t="shared" ca="1" si="177"/>
        <v>#N/A</v>
      </c>
      <c r="IL9" s="66" t="e">
        <f t="shared" ca="1" si="178"/>
        <v>#N/A</v>
      </c>
      <c r="IN9" s="77" t="e">
        <f t="shared" ca="1" si="184"/>
        <v>#N/A</v>
      </c>
      <c r="IO9" s="75" t="e">
        <f t="shared" ca="1" si="185"/>
        <v>#N/A</v>
      </c>
      <c r="IP9" s="75" t="e">
        <f t="shared" ca="1" si="186"/>
        <v>#N/A</v>
      </c>
      <c r="IQ9" s="77" t="e">
        <f t="shared" ca="1" si="187"/>
        <v>#N/A</v>
      </c>
      <c r="IR9" s="74" t="e">
        <f t="shared" ca="1" si="188"/>
        <v>#N/A</v>
      </c>
    </row>
    <row r="10" spans="1:252" x14ac:dyDescent="0.35">
      <c r="A10" s="28">
        <v>1</v>
      </c>
      <c r="B10" s="28">
        <v>1</v>
      </c>
      <c r="C10" s="28">
        <v>1</v>
      </c>
      <c r="D10" s="1"/>
      <c r="E10" s="4"/>
      <c r="F10" t="s">
        <v>274</v>
      </c>
      <c r="G10" s="5" t="s">
        <v>530</v>
      </c>
      <c r="H10" s="4" t="s">
        <v>535</v>
      </c>
      <c r="I10" s="7" t="s">
        <v>536</v>
      </c>
      <c r="J10" s="276" t="s">
        <v>805</v>
      </c>
      <c r="K10" s="110" t="s">
        <v>805</v>
      </c>
      <c r="L10" s="110" t="s">
        <v>805</v>
      </c>
      <c r="M10" s="110" t="s">
        <v>805</v>
      </c>
      <c r="N10" s="110" t="s">
        <v>805</v>
      </c>
      <c r="O10" s="110" t="s">
        <v>805</v>
      </c>
      <c r="P10" s="110" t="s">
        <v>805</v>
      </c>
      <c r="Q10" s="110" t="s">
        <v>805</v>
      </c>
      <c r="R10" s="110" t="s">
        <v>805</v>
      </c>
      <c r="S10" s="110" t="s">
        <v>805</v>
      </c>
      <c r="T10" s="110" t="s">
        <v>805</v>
      </c>
      <c r="U10" s="110" t="s">
        <v>805</v>
      </c>
      <c r="V10" s="110" t="s">
        <v>805</v>
      </c>
      <c r="W10" s="110" t="s">
        <v>805</v>
      </c>
      <c r="X10" s="110" t="s">
        <v>805</v>
      </c>
      <c r="Y10" s="110" t="s">
        <v>805</v>
      </c>
      <c r="Z10" s="110" t="s">
        <v>805</v>
      </c>
      <c r="AA10" s="110" t="s">
        <v>805</v>
      </c>
      <c r="AB10" s="110" t="s">
        <v>805</v>
      </c>
      <c r="AC10" s="110" t="s">
        <v>805</v>
      </c>
      <c r="AD10" s="110" t="s">
        <v>805</v>
      </c>
      <c r="AE10" s="110" t="s">
        <v>805</v>
      </c>
      <c r="AF10" s="110" t="s">
        <v>805</v>
      </c>
      <c r="AG10" s="110" t="s">
        <v>805</v>
      </c>
      <c r="AH10" s="110" t="s">
        <v>805</v>
      </c>
      <c r="AI10" s="110" t="s">
        <v>805</v>
      </c>
      <c r="AJ10" s="110" t="s">
        <v>805</v>
      </c>
      <c r="AK10" s="110" t="s">
        <v>805</v>
      </c>
      <c r="AL10" s="110" t="s">
        <v>805</v>
      </c>
      <c r="AM10" s="110" t="s">
        <v>805</v>
      </c>
      <c r="AN10" s="110" t="s">
        <v>805</v>
      </c>
      <c r="AO10" s="110" t="s">
        <v>805</v>
      </c>
      <c r="AP10" s="110" t="s">
        <v>805</v>
      </c>
      <c r="AQ10" s="110" t="s">
        <v>805</v>
      </c>
      <c r="AR10" s="110" t="s">
        <v>805</v>
      </c>
      <c r="AS10" s="110" t="s">
        <v>805</v>
      </c>
      <c r="AT10" s="110" t="s">
        <v>805</v>
      </c>
      <c r="AU10" s="110" t="s">
        <v>805</v>
      </c>
      <c r="AV10" s="110" t="s">
        <v>805</v>
      </c>
      <c r="AW10" s="110" t="s">
        <v>805</v>
      </c>
      <c r="AX10" s="110" t="s">
        <v>805</v>
      </c>
      <c r="AY10" s="110" t="s">
        <v>805</v>
      </c>
      <c r="AZ10" s="110" t="s">
        <v>805</v>
      </c>
      <c r="BA10" s="110" t="s">
        <v>805</v>
      </c>
      <c r="BB10" s="110" t="s">
        <v>805</v>
      </c>
      <c r="BC10" s="110" t="s">
        <v>805</v>
      </c>
      <c r="BD10" s="110" t="s">
        <v>805</v>
      </c>
      <c r="BE10" s="110" t="s">
        <v>805</v>
      </c>
      <c r="BF10" s="110" t="s">
        <v>805</v>
      </c>
      <c r="BG10" s="110" t="s">
        <v>805</v>
      </c>
      <c r="BH10" s="110" t="s">
        <v>805</v>
      </c>
      <c r="BI10" s="110" t="s">
        <v>805</v>
      </c>
      <c r="BJ10" s="110" t="s">
        <v>805</v>
      </c>
      <c r="BK10" s="110" t="s">
        <v>805</v>
      </c>
      <c r="BL10" s="110" t="s">
        <v>805</v>
      </c>
      <c r="BM10" s="110" t="s">
        <v>805</v>
      </c>
      <c r="BN10" s="110" t="s">
        <v>805</v>
      </c>
      <c r="BO10" s="110" t="s">
        <v>805</v>
      </c>
      <c r="BP10" s="110" t="s">
        <v>805</v>
      </c>
      <c r="BQ10" s="110" t="s">
        <v>805</v>
      </c>
      <c r="BR10" s="110" t="s">
        <v>805</v>
      </c>
      <c r="BS10" s="110" t="s">
        <v>805</v>
      </c>
      <c r="BT10" s="110" t="s">
        <v>805</v>
      </c>
      <c r="BU10" s="110" t="s">
        <v>805</v>
      </c>
      <c r="BV10" s="110" t="s">
        <v>805</v>
      </c>
      <c r="BW10" s="110" t="s">
        <v>805</v>
      </c>
      <c r="BX10" s="110" t="s">
        <v>805</v>
      </c>
      <c r="BY10" s="110" t="s">
        <v>805</v>
      </c>
      <c r="BZ10" s="110" t="s">
        <v>805</v>
      </c>
      <c r="CA10" s="110" t="s">
        <v>805</v>
      </c>
      <c r="CB10" s="110" t="s">
        <v>805</v>
      </c>
      <c r="CC10" s="110" t="s">
        <v>805</v>
      </c>
      <c r="CD10" s="110" t="s">
        <v>805</v>
      </c>
      <c r="CE10" s="110" t="s">
        <v>805</v>
      </c>
      <c r="CF10" s="110" t="s">
        <v>805</v>
      </c>
      <c r="CG10" s="110" t="s">
        <v>805</v>
      </c>
      <c r="CH10" s="110" t="s">
        <v>805</v>
      </c>
      <c r="CI10" s="110" t="s">
        <v>805</v>
      </c>
      <c r="CJ10" s="110" t="s">
        <v>805</v>
      </c>
      <c r="CK10" s="110" t="s">
        <v>805</v>
      </c>
      <c r="CL10" s="110" t="s">
        <v>805</v>
      </c>
      <c r="CM10" s="110" t="s">
        <v>805</v>
      </c>
      <c r="CN10" s="110" t="s">
        <v>805</v>
      </c>
      <c r="CO10" s="110" t="s">
        <v>805</v>
      </c>
      <c r="CP10" s="110" t="s">
        <v>805</v>
      </c>
      <c r="CQ10" s="110" t="s">
        <v>805</v>
      </c>
      <c r="CR10" s="110" t="s">
        <v>805</v>
      </c>
      <c r="CS10" s="110" t="s">
        <v>805</v>
      </c>
      <c r="CT10" s="110" t="s">
        <v>805</v>
      </c>
      <c r="CU10" s="110" t="s">
        <v>805</v>
      </c>
      <c r="CV10" s="110" t="s">
        <v>805</v>
      </c>
      <c r="CW10" s="110" t="s">
        <v>805</v>
      </c>
      <c r="CX10" s="110" t="s">
        <v>805</v>
      </c>
      <c r="CY10" s="110" t="s">
        <v>805</v>
      </c>
      <c r="CZ10" s="110" t="s">
        <v>805</v>
      </c>
      <c r="DA10" s="110" t="s">
        <v>805</v>
      </c>
      <c r="DB10" s="110" t="s">
        <v>805</v>
      </c>
      <c r="DC10" s="110" t="s">
        <v>805</v>
      </c>
      <c r="DD10" s="110" t="s">
        <v>805</v>
      </c>
      <c r="DE10" s="110" t="s">
        <v>805</v>
      </c>
      <c r="DF10" s="110" t="s">
        <v>805</v>
      </c>
      <c r="DG10" s="28">
        <f>'KPI Count-SHARE'!J7</f>
        <v>0</v>
      </c>
      <c r="DH10" s="114"/>
      <c r="DI10" s="114"/>
      <c r="DJ10" s="114"/>
      <c r="DK10" s="28">
        <f>'KPI Count-SHARE'!K7</f>
        <v>0</v>
      </c>
      <c r="DL10" s="118"/>
      <c r="DM10" s="118"/>
      <c r="DN10" s="118"/>
      <c r="DO10" s="28">
        <f>'KPI Count-SHARE'!L7</f>
        <v>0</v>
      </c>
      <c r="DP10" s="118"/>
      <c r="DQ10" s="118"/>
      <c r="DR10" s="118"/>
      <c r="DS10" s="28">
        <f>'KPI Count-SHARE'!M7</f>
        <v>0</v>
      </c>
      <c r="DT10" s="118"/>
      <c r="DU10" s="118"/>
      <c r="DV10" s="118"/>
      <c r="DW10" s="30" t="str">
        <f t="shared" ref="DW10:DW23" si="189">XCurrency &amp; "' 000 per FTE"</f>
        <v>USD' 000 per FTE</v>
      </c>
      <c r="DX10" s="41" t="str">
        <f t="shared" si="79"/>
        <v>-</v>
      </c>
      <c r="DY10" s="41" t="str">
        <f t="shared" si="80"/>
        <v>-</v>
      </c>
      <c r="DZ10" s="41" t="str">
        <f t="shared" si="81"/>
        <v>-</v>
      </c>
      <c r="EA10" s="41" t="str">
        <f t="shared" si="179"/>
        <v>-</v>
      </c>
      <c r="EB10" s="41" t="str">
        <f t="shared" si="180"/>
        <v>-</v>
      </c>
      <c r="EC10" s="41" t="str">
        <f t="shared" si="181"/>
        <v>-</v>
      </c>
      <c r="ED10" s="41" t="str">
        <f t="shared" si="82"/>
        <v>-</v>
      </c>
      <c r="EE10" s="41" t="str">
        <f t="shared" si="83"/>
        <v>-</v>
      </c>
      <c r="EF10" s="41" t="str">
        <f t="shared" si="84"/>
        <v>-</v>
      </c>
      <c r="EG10" s="41" t="str">
        <f t="shared" si="85"/>
        <v>-</v>
      </c>
      <c r="EH10" s="41" t="str">
        <f t="shared" si="86"/>
        <v>-</v>
      </c>
      <c r="EI10" s="41" t="str">
        <f t="shared" si="87"/>
        <v>-</v>
      </c>
      <c r="EJ10" s="41" t="str">
        <f t="shared" si="87"/>
        <v>-</v>
      </c>
      <c r="EK10" s="41" t="str">
        <f t="shared" si="87"/>
        <v>-</v>
      </c>
      <c r="EL10" s="41" t="str">
        <f t="shared" si="87"/>
        <v>-</v>
      </c>
      <c r="EM10" s="41" t="str">
        <f t="shared" si="87"/>
        <v>-</v>
      </c>
      <c r="EN10" s="41" t="str">
        <f t="shared" si="87"/>
        <v>-</v>
      </c>
      <c r="EO10" s="41" t="str">
        <f t="shared" si="87"/>
        <v>-</v>
      </c>
      <c r="EP10" s="41" t="str">
        <f t="shared" si="87"/>
        <v>-</v>
      </c>
      <c r="EQ10" s="41" t="str">
        <f t="shared" si="87"/>
        <v>-</v>
      </c>
      <c r="ER10" s="41" t="str">
        <f t="shared" si="87"/>
        <v>-</v>
      </c>
      <c r="ES10" s="41" t="str">
        <f t="shared" si="87"/>
        <v>-</v>
      </c>
      <c r="ET10" s="41" t="str">
        <f t="shared" si="87"/>
        <v>-</v>
      </c>
      <c r="EU10" s="41" t="str">
        <f t="shared" si="88"/>
        <v>-</v>
      </c>
      <c r="EV10" s="41" t="str">
        <f t="shared" si="89"/>
        <v>-</v>
      </c>
      <c r="EW10" s="41" t="str">
        <f t="shared" si="90"/>
        <v>-</v>
      </c>
      <c r="EX10" s="41" t="str">
        <f t="shared" si="91"/>
        <v>-</v>
      </c>
      <c r="EY10" s="41" t="str">
        <f t="shared" si="92"/>
        <v>-</v>
      </c>
      <c r="EZ10" s="41" t="str">
        <f t="shared" si="93"/>
        <v>-</v>
      </c>
      <c r="FA10" s="41" t="str">
        <f t="shared" si="94"/>
        <v>-</v>
      </c>
      <c r="FB10" s="41" t="str">
        <f t="shared" si="95"/>
        <v>-</v>
      </c>
      <c r="FC10" s="41" t="str">
        <f t="shared" si="96"/>
        <v>-</v>
      </c>
      <c r="FD10" s="41" t="str">
        <f t="shared" si="97"/>
        <v>-</v>
      </c>
      <c r="FE10" s="41" t="str">
        <f t="shared" si="98"/>
        <v>-</v>
      </c>
      <c r="FF10" s="41" t="str">
        <f t="shared" si="99"/>
        <v>-</v>
      </c>
      <c r="FG10" s="41" t="str">
        <f t="shared" si="100"/>
        <v>-</v>
      </c>
      <c r="FH10" s="41" t="str">
        <f t="shared" si="101"/>
        <v>-</v>
      </c>
      <c r="FI10" s="41" t="str">
        <f t="shared" si="102"/>
        <v>-</v>
      </c>
      <c r="FJ10" s="41" t="str">
        <f t="shared" si="103"/>
        <v>-</v>
      </c>
      <c r="FK10" s="41" t="str">
        <f t="shared" si="104"/>
        <v>-</v>
      </c>
      <c r="FL10" s="41" t="str">
        <f t="shared" si="105"/>
        <v>-</v>
      </c>
      <c r="FM10" s="41" t="str">
        <f t="shared" si="106"/>
        <v>-</v>
      </c>
      <c r="FN10" s="41" t="str">
        <f t="shared" si="107"/>
        <v>-</v>
      </c>
      <c r="FO10" s="41" t="str">
        <f t="shared" si="108"/>
        <v>-</v>
      </c>
      <c r="FP10" s="41" t="str">
        <f t="shared" si="109"/>
        <v>-</v>
      </c>
      <c r="FQ10" s="41" t="str">
        <f t="shared" si="110"/>
        <v>-</v>
      </c>
      <c r="FR10" s="41" t="str">
        <f t="shared" si="111"/>
        <v>-</v>
      </c>
      <c r="FS10" s="41" t="str">
        <f t="shared" si="112"/>
        <v>-</v>
      </c>
      <c r="FT10" s="41" t="str">
        <f t="shared" si="113"/>
        <v>-</v>
      </c>
      <c r="FU10" s="41" t="str">
        <f t="shared" si="114"/>
        <v>-</v>
      </c>
      <c r="FV10" s="41" t="str">
        <f t="shared" si="115"/>
        <v>-</v>
      </c>
      <c r="FW10" s="41" t="str">
        <f t="shared" si="116"/>
        <v>-</v>
      </c>
      <c r="FX10" s="41" t="str">
        <f t="shared" si="117"/>
        <v>-</v>
      </c>
      <c r="FY10" s="41" t="str">
        <f t="shared" si="118"/>
        <v>-</v>
      </c>
      <c r="FZ10" s="41" t="str">
        <f t="shared" si="119"/>
        <v>-</v>
      </c>
      <c r="GA10" s="41" t="str">
        <f t="shared" si="120"/>
        <v>-</v>
      </c>
      <c r="GB10" s="41" t="str">
        <f t="shared" si="121"/>
        <v>-</v>
      </c>
      <c r="GC10" s="41" t="str">
        <f t="shared" si="122"/>
        <v>-</v>
      </c>
      <c r="GD10" s="41" t="str">
        <f t="shared" si="123"/>
        <v>-</v>
      </c>
      <c r="GE10" s="41" t="str">
        <f t="shared" si="124"/>
        <v>-</v>
      </c>
      <c r="GF10" s="41" t="str">
        <f t="shared" si="125"/>
        <v>-</v>
      </c>
      <c r="GG10" s="41" t="str">
        <f t="shared" si="126"/>
        <v>-</v>
      </c>
      <c r="GH10" s="41" t="str">
        <f t="shared" si="127"/>
        <v>-</v>
      </c>
      <c r="GI10" s="41" t="str">
        <f t="shared" si="128"/>
        <v>-</v>
      </c>
      <c r="GJ10" s="41" t="str">
        <f t="shared" si="129"/>
        <v>-</v>
      </c>
      <c r="GK10" s="41" t="str">
        <f t="shared" si="130"/>
        <v>-</v>
      </c>
      <c r="GL10" s="41" t="str">
        <f t="shared" si="131"/>
        <v>-</v>
      </c>
      <c r="GM10" s="41" t="str">
        <f t="shared" si="132"/>
        <v>-</v>
      </c>
      <c r="GN10" s="41" t="str">
        <f t="shared" si="133"/>
        <v>-</v>
      </c>
      <c r="GO10" s="41" t="str">
        <f t="shared" si="134"/>
        <v>-</v>
      </c>
      <c r="GP10" s="41" t="str">
        <f t="shared" si="135"/>
        <v>-</v>
      </c>
      <c r="GQ10" s="41" t="str">
        <f t="shared" si="136"/>
        <v>-</v>
      </c>
      <c r="GR10" s="41" t="str">
        <f t="shared" si="137"/>
        <v>-</v>
      </c>
      <c r="GS10" s="41" t="str">
        <f t="shared" si="138"/>
        <v>-</v>
      </c>
      <c r="GT10" s="41" t="str">
        <f t="shared" si="139"/>
        <v>-</v>
      </c>
      <c r="GU10" s="41" t="str">
        <f t="shared" si="140"/>
        <v>-</v>
      </c>
      <c r="GV10" s="41" t="str">
        <f t="shared" si="141"/>
        <v>-</v>
      </c>
      <c r="GW10" s="41" t="str">
        <f t="shared" si="142"/>
        <v>-</v>
      </c>
      <c r="GX10" s="41" t="str">
        <f t="shared" si="143"/>
        <v>-</v>
      </c>
      <c r="GY10" s="41" t="str">
        <f t="shared" si="144"/>
        <v>-</v>
      </c>
      <c r="GZ10" s="41" t="str">
        <f t="shared" si="145"/>
        <v>-</v>
      </c>
      <c r="HA10" s="41" t="str">
        <f t="shared" si="146"/>
        <v>-</v>
      </c>
      <c r="HB10" s="41" t="str">
        <f t="shared" si="147"/>
        <v>-</v>
      </c>
      <c r="HC10" s="41" t="str">
        <f t="shared" si="148"/>
        <v>-</v>
      </c>
      <c r="HD10" s="41" t="str">
        <f t="shared" si="149"/>
        <v>-</v>
      </c>
      <c r="HE10" s="41" t="str">
        <f t="shared" si="150"/>
        <v>-</v>
      </c>
      <c r="HF10" s="41" t="str">
        <f t="shared" si="151"/>
        <v>-</v>
      </c>
      <c r="HG10" s="41" t="str">
        <f t="shared" si="152"/>
        <v>-</v>
      </c>
      <c r="HH10" s="41" t="str">
        <f t="shared" si="153"/>
        <v>-</v>
      </c>
      <c r="HI10" s="41" t="str">
        <f t="shared" si="154"/>
        <v>-</v>
      </c>
      <c r="HJ10" s="41" t="str">
        <f t="shared" si="155"/>
        <v>-</v>
      </c>
      <c r="HK10" s="41" t="str">
        <f t="shared" si="156"/>
        <v>-</v>
      </c>
      <c r="HL10" s="41" t="str">
        <f t="shared" si="157"/>
        <v>-</v>
      </c>
      <c r="HM10" s="41" t="str">
        <f t="shared" si="158"/>
        <v>-</v>
      </c>
      <c r="HN10" s="41" t="str">
        <f t="shared" si="159"/>
        <v>-</v>
      </c>
      <c r="HO10" s="41" t="str">
        <f t="shared" si="160"/>
        <v>-</v>
      </c>
      <c r="HP10" s="41" t="str">
        <f t="shared" si="161"/>
        <v>-</v>
      </c>
      <c r="HQ10" s="41" t="str">
        <f t="shared" si="162"/>
        <v>-</v>
      </c>
      <c r="HR10" s="41" t="str">
        <f t="shared" si="163"/>
        <v>-</v>
      </c>
      <c r="HS10" s="41" t="str">
        <f t="shared" si="164"/>
        <v>-</v>
      </c>
      <c r="HT10" s="41" t="str">
        <f t="shared" si="164"/>
        <v>-</v>
      </c>
      <c r="HU10" s="43" t="str">
        <f t="shared" si="182"/>
        <v>-</v>
      </c>
      <c r="HV10" s="44" t="str">
        <f t="shared" si="165"/>
        <v/>
      </c>
      <c r="HW10" s="45" t="str">
        <f t="shared" si="166"/>
        <v/>
      </c>
      <c r="HX10" s="44" t="str">
        <f t="shared" si="183"/>
        <v/>
      </c>
      <c r="HY10" s="44" t="str">
        <f t="shared" si="167"/>
        <v/>
      </c>
      <c r="HZ10" s="44" t="str">
        <f t="shared" si="168"/>
        <v/>
      </c>
      <c r="IA10" s="43" t="str">
        <f t="shared" si="169"/>
        <v/>
      </c>
      <c r="IB10" s="44" t="str">
        <f t="shared" si="170"/>
        <v/>
      </c>
      <c r="IC10" s="45" t="str">
        <f t="shared" si="171"/>
        <v/>
      </c>
      <c r="ID10" s="43" t="str">
        <f t="shared" si="172"/>
        <v/>
      </c>
      <c r="IE10" s="44" t="str">
        <f t="shared" si="173"/>
        <v/>
      </c>
      <c r="IF10" s="45" t="str">
        <f t="shared" si="174"/>
        <v/>
      </c>
      <c r="IH10" s="66">
        <v>10</v>
      </c>
      <c r="II10" s="66" t="e">
        <f t="shared" ca="1" si="175"/>
        <v>#N/A</v>
      </c>
      <c r="IJ10" s="66" t="e">
        <f t="shared" ca="1" si="176"/>
        <v>#N/A</v>
      </c>
      <c r="IK10" s="66" t="e">
        <f t="shared" ca="1" si="177"/>
        <v>#N/A</v>
      </c>
      <c r="IL10" s="66" t="e">
        <f t="shared" ca="1" si="178"/>
        <v>#N/A</v>
      </c>
      <c r="IN10" s="75" t="e">
        <f t="shared" ca="1" si="184"/>
        <v>#N/A</v>
      </c>
      <c r="IO10" s="75" t="e">
        <f t="shared" ca="1" si="185"/>
        <v>#N/A</v>
      </c>
      <c r="IP10" s="75" t="e">
        <f t="shared" ca="1" si="186"/>
        <v>#N/A</v>
      </c>
      <c r="IQ10" s="75" t="e">
        <f t="shared" ca="1" si="187"/>
        <v>#N/A</v>
      </c>
      <c r="IR10" s="74" t="e">
        <f t="shared" ca="1" si="188"/>
        <v>#N/A</v>
      </c>
    </row>
    <row r="11" spans="1:252" x14ac:dyDescent="0.35">
      <c r="A11" s="28">
        <v>1</v>
      </c>
      <c r="B11" s="28">
        <v>1</v>
      </c>
      <c r="C11" s="28">
        <v>1</v>
      </c>
      <c r="D11" s="1"/>
      <c r="E11" s="4"/>
      <c r="F11" t="s">
        <v>275</v>
      </c>
      <c r="G11" s="5" t="s">
        <v>530</v>
      </c>
      <c r="H11" s="4" t="s">
        <v>535</v>
      </c>
      <c r="I11" s="7" t="s">
        <v>536</v>
      </c>
      <c r="J11" s="276" t="s">
        <v>805</v>
      </c>
      <c r="K11" s="110" t="s">
        <v>805</v>
      </c>
      <c r="L11" s="110" t="s">
        <v>805</v>
      </c>
      <c r="M11" s="110" t="s">
        <v>805</v>
      </c>
      <c r="N11" s="110" t="s">
        <v>805</v>
      </c>
      <c r="O11" s="110" t="s">
        <v>805</v>
      </c>
      <c r="P11" s="110" t="s">
        <v>805</v>
      </c>
      <c r="Q11" s="110" t="s">
        <v>805</v>
      </c>
      <c r="R11" s="110" t="s">
        <v>805</v>
      </c>
      <c r="S11" s="110" t="s">
        <v>805</v>
      </c>
      <c r="T11" s="110" t="s">
        <v>805</v>
      </c>
      <c r="U11" s="110" t="s">
        <v>805</v>
      </c>
      <c r="V11" s="110" t="s">
        <v>805</v>
      </c>
      <c r="W11" s="110" t="s">
        <v>805</v>
      </c>
      <c r="X11" s="110" t="s">
        <v>805</v>
      </c>
      <c r="Y11" s="110" t="s">
        <v>805</v>
      </c>
      <c r="Z11" s="110" t="s">
        <v>805</v>
      </c>
      <c r="AA11" s="110" t="s">
        <v>805</v>
      </c>
      <c r="AB11" s="110" t="s">
        <v>805</v>
      </c>
      <c r="AC11" s="110" t="s">
        <v>805</v>
      </c>
      <c r="AD11" s="110" t="s">
        <v>805</v>
      </c>
      <c r="AE11" s="110" t="s">
        <v>805</v>
      </c>
      <c r="AF11" s="110" t="s">
        <v>805</v>
      </c>
      <c r="AG11" s="110" t="s">
        <v>805</v>
      </c>
      <c r="AH11" s="110" t="s">
        <v>805</v>
      </c>
      <c r="AI11" s="110" t="s">
        <v>805</v>
      </c>
      <c r="AJ11" s="110" t="s">
        <v>805</v>
      </c>
      <c r="AK11" s="110" t="s">
        <v>805</v>
      </c>
      <c r="AL11" s="110" t="s">
        <v>805</v>
      </c>
      <c r="AM11" s="110" t="s">
        <v>805</v>
      </c>
      <c r="AN11" s="110" t="s">
        <v>805</v>
      </c>
      <c r="AO11" s="110" t="s">
        <v>805</v>
      </c>
      <c r="AP11" s="110" t="s">
        <v>805</v>
      </c>
      <c r="AQ11" s="110" t="s">
        <v>805</v>
      </c>
      <c r="AR11" s="110" t="s">
        <v>805</v>
      </c>
      <c r="AS11" s="110" t="s">
        <v>805</v>
      </c>
      <c r="AT11" s="110" t="s">
        <v>805</v>
      </c>
      <c r="AU11" s="110" t="s">
        <v>805</v>
      </c>
      <c r="AV11" s="110" t="s">
        <v>805</v>
      </c>
      <c r="AW11" s="110" t="s">
        <v>805</v>
      </c>
      <c r="AX11" s="110" t="s">
        <v>805</v>
      </c>
      <c r="AY11" s="110" t="s">
        <v>805</v>
      </c>
      <c r="AZ11" s="110" t="s">
        <v>805</v>
      </c>
      <c r="BA11" s="110" t="s">
        <v>805</v>
      </c>
      <c r="BB11" s="110" t="s">
        <v>805</v>
      </c>
      <c r="BC11" s="110" t="s">
        <v>805</v>
      </c>
      <c r="BD11" s="110" t="s">
        <v>805</v>
      </c>
      <c r="BE11" s="110" t="s">
        <v>805</v>
      </c>
      <c r="BF11" s="110" t="s">
        <v>805</v>
      </c>
      <c r="BG11" s="110" t="s">
        <v>805</v>
      </c>
      <c r="BH11" s="110" t="s">
        <v>805</v>
      </c>
      <c r="BI11" s="110" t="s">
        <v>805</v>
      </c>
      <c r="BJ11" s="110" t="s">
        <v>805</v>
      </c>
      <c r="BK11" s="110" t="s">
        <v>805</v>
      </c>
      <c r="BL11" s="110" t="s">
        <v>805</v>
      </c>
      <c r="BM11" s="110" t="s">
        <v>805</v>
      </c>
      <c r="BN11" s="110" t="s">
        <v>805</v>
      </c>
      <c r="BO11" s="110" t="s">
        <v>805</v>
      </c>
      <c r="BP11" s="110" t="s">
        <v>805</v>
      </c>
      <c r="BQ11" s="110" t="s">
        <v>805</v>
      </c>
      <c r="BR11" s="110" t="s">
        <v>805</v>
      </c>
      <c r="BS11" s="110" t="s">
        <v>805</v>
      </c>
      <c r="BT11" s="110" t="s">
        <v>805</v>
      </c>
      <c r="BU11" s="110" t="s">
        <v>805</v>
      </c>
      <c r="BV11" s="110" t="s">
        <v>805</v>
      </c>
      <c r="BW11" s="110" t="s">
        <v>805</v>
      </c>
      <c r="BX11" s="110" t="s">
        <v>805</v>
      </c>
      <c r="BY11" s="110" t="s">
        <v>805</v>
      </c>
      <c r="BZ11" s="110" t="s">
        <v>805</v>
      </c>
      <c r="CA11" s="110" t="s">
        <v>805</v>
      </c>
      <c r="CB11" s="110" t="s">
        <v>805</v>
      </c>
      <c r="CC11" s="110" t="s">
        <v>805</v>
      </c>
      <c r="CD11" s="110" t="s">
        <v>805</v>
      </c>
      <c r="CE11" s="110" t="s">
        <v>805</v>
      </c>
      <c r="CF11" s="110" t="s">
        <v>805</v>
      </c>
      <c r="CG11" s="110" t="s">
        <v>805</v>
      </c>
      <c r="CH11" s="110" t="s">
        <v>805</v>
      </c>
      <c r="CI11" s="110" t="s">
        <v>805</v>
      </c>
      <c r="CJ11" s="110" t="s">
        <v>805</v>
      </c>
      <c r="CK11" s="110" t="s">
        <v>805</v>
      </c>
      <c r="CL11" s="110" t="s">
        <v>805</v>
      </c>
      <c r="CM11" s="110" t="s">
        <v>805</v>
      </c>
      <c r="CN11" s="110" t="s">
        <v>805</v>
      </c>
      <c r="CO11" s="110" t="s">
        <v>805</v>
      </c>
      <c r="CP11" s="110" t="s">
        <v>805</v>
      </c>
      <c r="CQ11" s="110" t="s">
        <v>805</v>
      </c>
      <c r="CR11" s="110" t="s">
        <v>805</v>
      </c>
      <c r="CS11" s="110" t="s">
        <v>805</v>
      </c>
      <c r="CT11" s="110" t="s">
        <v>805</v>
      </c>
      <c r="CU11" s="110" t="s">
        <v>805</v>
      </c>
      <c r="CV11" s="110" t="s">
        <v>805</v>
      </c>
      <c r="CW11" s="110" t="s">
        <v>805</v>
      </c>
      <c r="CX11" s="110" t="s">
        <v>805</v>
      </c>
      <c r="CY11" s="110" t="s">
        <v>805</v>
      </c>
      <c r="CZ11" s="110" t="s">
        <v>805</v>
      </c>
      <c r="DA11" s="110" t="s">
        <v>805</v>
      </c>
      <c r="DB11" s="110" t="s">
        <v>805</v>
      </c>
      <c r="DC11" s="110" t="s">
        <v>805</v>
      </c>
      <c r="DD11" s="110" t="s">
        <v>805</v>
      </c>
      <c r="DE11" s="110" t="s">
        <v>805</v>
      </c>
      <c r="DF11" s="110" t="s">
        <v>805</v>
      </c>
      <c r="DG11" s="28" t="e">
        <f>'KPI Count-SHARE'!#REF!</f>
        <v>#REF!</v>
      </c>
      <c r="DH11" s="114"/>
      <c r="DI11" s="114"/>
      <c r="DJ11" s="114"/>
      <c r="DK11" s="28" t="e">
        <f>'KPI Count-SHARE'!#REF!</f>
        <v>#REF!</v>
      </c>
      <c r="DL11" s="118"/>
      <c r="DM11" s="118"/>
      <c r="DN11" s="118"/>
      <c r="DO11" s="28" t="e">
        <f>'KPI Count-SHARE'!#REF!</f>
        <v>#REF!</v>
      </c>
      <c r="DP11" s="118"/>
      <c r="DQ11" s="118"/>
      <c r="DR11" s="118"/>
      <c r="DS11" s="28" t="e">
        <f>'KPI Count-SHARE'!#REF!</f>
        <v>#REF!</v>
      </c>
      <c r="DT11" s="118"/>
      <c r="DU11" s="118"/>
      <c r="DV11" s="118"/>
      <c r="DW11" s="30" t="str">
        <f t="shared" si="189"/>
        <v>USD' 000 per FTE</v>
      </c>
      <c r="DX11" s="41" t="str">
        <f t="shared" si="79"/>
        <v>-</v>
      </c>
      <c r="DY11" s="41" t="str">
        <f t="shared" si="80"/>
        <v>-</v>
      </c>
      <c r="DZ11" s="41" t="str">
        <f t="shared" si="81"/>
        <v>-</v>
      </c>
      <c r="EA11" s="41" t="str">
        <f t="shared" si="179"/>
        <v>-</v>
      </c>
      <c r="EB11" s="41" t="str">
        <f t="shared" si="180"/>
        <v>-</v>
      </c>
      <c r="EC11" s="41" t="str">
        <f t="shared" si="181"/>
        <v>-</v>
      </c>
      <c r="ED11" s="41" t="str">
        <f t="shared" si="82"/>
        <v>-</v>
      </c>
      <c r="EE11" s="41" t="str">
        <f t="shared" si="83"/>
        <v>-</v>
      </c>
      <c r="EF11" s="41" t="str">
        <f t="shared" si="84"/>
        <v>-</v>
      </c>
      <c r="EG11" s="41" t="str">
        <f t="shared" si="85"/>
        <v>-</v>
      </c>
      <c r="EH11" s="41" t="str">
        <f t="shared" si="86"/>
        <v>-</v>
      </c>
      <c r="EI11" s="41" t="str">
        <f t="shared" si="87"/>
        <v>-</v>
      </c>
      <c r="EJ11" s="41" t="str">
        <f t="shared" si="87"/>
        <v>-</v>
      </c>
      <c r="EK11" s="41" t="str">
        <f t="shared" si="87"/>
        <v>-</v>
      </c>
      <c r="EL11" s="41" t="str">
        <f t="shared" si="87"/>
        <v>-</v>
      </c>
      <c r="EM11" s="41" t="str">
        <f t="shared" si="87"/>
        <v>-</v>
      </c>
      <c r="EN11" s="41" t="str">
        <f t="shared" si="87"/>
        <v>-</v>
      </c>
      <c r="EO11" s="41" t="str">
        <f t="shared" si="87"/>
        <v>-</v>
      </c>
      <c r="EP11" s="41" t="str">
        <f t="shared" si="87"/>
        <v>-</v>
      </c>
      <c r="EQ11" s="41" t="str">
        <f t="shared" si="87"/>
        <v>-</v>
      </c>
      <c r="ER11" s="41" t="str">
        <f t="shared" si="87"/>
        <v>-</v>
      </c>
      <c r="ES11" s="41" t="str">
        <f t="shared" si="87"/>
        <v>-</v>
      </c>
      <c r="ET11" s="41" t="str">
        <f t="shared" si="87"/>
        <v>-</v>
      </c>
      <c r="EU11" s="41" t="str">
        <f t="shared" si="88"/>
        <v>-</v>
      </c>
      <c r="EV11" s="41" t="str">
        <f t="shared" si="89"/>
        <v>-</v>
      </c>
      <c r="EW11" s="41" t="str">
        <f t="shared" si="90"/>
        <v>-</v>
      </c>
      <c r="EX11" s="41" t="str">
        <f t="shared" si="91"/>
        <v>-</v>
      </c>
      <c r="EY11" s="41" t="str">
        <f t="shared" si="92"/>
        <v>-</v>
      </c>
      <c r="EZ11" s="41" t="str">
        <f t="shared" si="93"/>
        <v>-</v>
      </c>
      <c r="FA11" s="41" t="str">
        <f t="shared" si="94"/>
        <v>-</v>
      </c>
      <c r="FB11" s="41" t="str">
        <f t="shared" si="95"/>
        <v>-</v>
      </c>
      <c r="FC11" s="41" t="str">
        <f t="shared" si="96"/>
        <v>-</v>
      </c>
      <c r="FD11" s="41" t="str">
        <f t="shared" si="97"/>
        <v>-</v>
      </c>
      <c r="FE11" s="41" t="str">
        <f t="shared" si="98"/>
        <v>-</v>
      </c>
      <c r="FF11" s="41" t="str">
        <f t="shared" si="99"/>
        <v>-</v>
      </c>
      <c r="FG11" s="41" t="str">
        <f t="shared" si="100"/>
        <v>-</v>
      </c>
      <c r="FH11" s="41" t="str">
        <f t="shared" si="101"/>
        <v>-</v>
      </c>
      <c r="FI11" s="41" t="str">
        <f t="shared" si="102"/>
        <v>-</v>
      </c>
      <c r="FJ11" s="41" t="str">
        <f t="shared" si="103"/>
        <v>-</v>
      </c>
      <c r="FK11" s="41" t="str">
        <f t="shared" si="104"/>
        <v>-</v>
      </c>
      <c r="FL11" s="41" t="str">
        <f t="shared" si="105"/>
        <v>-</v>
      </c>
      <c r="FM11" s="41" t="str">
        <f t="shared" si="106"/>
        <v>-</v>
      </c>
      <c r="FN11" s="41" t="str">
        <f t="shared" si="107"/>
        <v>-</v>
      </c>
      <c r="FO11" s="41" t="str">
        <f t="shared" si="108"/>
        <v>-</v>
      </c>
      <c r="FP11" s="41" t="str">
        <f t="shared" si="109"/>
        <v>-</v>
      </c>
      <c r="FQ11" s="41" t="str">
        <f t="shared" si="110"/>
        <v>-</v>
      </c>
      <c r="FR11" s="41" t="str">
        <f t="shared" si="111"/>
        <v>-</v>
      </c>
      <c r="FS11" s="41" t="str">
        <f t="shared" si="112"/>
        <v>-</v>
      </c>
      <c r="FT11" s="41" t="str">
        <f t="shared" si="113"/>
        <v>-</v>
      </c>
      <c r="FU11" s="41" t="str">
        <f t="shared" si="114"/>
        <v>-</v>
      </c>
      <c r="FV11" s="41" t="str">
        <f t="shared" si="115"/>
        <v>-</v>
      </c>
      <c r="FW11" s="41" t="str">
        <f t="shared" si="116"/>
        <v>-</v>
      </c>
      <c r="FX11" s="41" t="str">
        <f t="shared" si="117"/>
        <v>-</v>
      </c>
      <c r="FY11" s="41" t="str">
        <f t="shared" si="118"/>
        <v>-</v>
      </c>
      <c r="FZ11" s="41" t="str">
        <f t="shared" si="119"/>
        <v>-</v>
      </c>
      <c r="GA11" s="41" t="str">
        <f t="shared" si="120"/>
        <v>-</v>
      </c>
      <c r="GB11" s="41" t="str">
        <f t="shared" si="121"/>
        <v>-</v>
      </c>
      <c r="GC11" s="41" t="str">
        <f t="shared" si="122"/>
        <v>-</v>
      </c>
      <c r="GD11" s="41" t="str">
        <f t="shared" si="123"/>
        <v>-</v>
      </c>
      <c r="GE11" s="41" t="str">
        <f t="shared" si="124"/>
        <v>-</v>
      </c>
      <c r="GF11" s="41" t="str">
        <f t="shared" si="125"/>
        <v>-</v>
      </c>
      <c r="GG11" s="41" t="str">
        <f t="shared" si="126"/>
        <v>-</v>
      </c>
      <c r="GH11" s="41" t="str">
        <f t="shared" si="127"/>
        <v>-</v>
      </c>
      <c r="GI11" s="41" t="str">
        <f t="shared" si="128"/>
        <v>-</v>
      </c>
      <c r="GJ11" s="41" t="str">
        <f t="shared" si="129"/>
        <v>-</v>
      </c>
      <c r="GK11" s="41" t="str">
        <f t="shared" si="130"/>
        <v>-</v>
      </c>
      <c r="GL11" s="41" t="str">
        <f t="shared" si="131"/>
        <v>-</v>
      </c>
      <c r="GM11" s="41" t="str">
        <f t="shared" si="132"/>
        <v>-</v>
      </c>
      <c r="GN11" s="41" t="str">
        <f t="shared" si="133"/>
        <v>-</v>
      </c>
      <c r="GO11" s="41" t="str">
        <f t="shared" si="134"/>
        <v>-</v>
      </c>
      <c r="GP11" s="41" t="str">
        <f t="shared" si="135"/>
        <v>-</v>
      </c>
      <c r="GQ11" s="41" t="str">
        <f t="shared" si="136"/>
        <v>-</v>
      </c>
      <c r="GR11" s="41" t="str">
        <f t="shared" si="137"/>
        <v>-</v>
      </c>
      <c r="GS11" s="41" t="str">
        <f t="shared" si="138"/>
        <v>-</v>
      </c>
      <c r="GT11" s="41" t="str">
        <f t="shared" si="139"/>
        <v>-</v>
      </c>
      <c r="GU11" s="41" t="str">
        <f t="shared" si="140"/>
        <v>-</v>
      </c>
      <c r="GV11" s="41" t="str">
        <f t="shared" si="141"/>
        <v>-</v>
      </c>
      <c r="GW11" s="41" t="str">
        <f t="shared" si="142"/>
        <v>-</v>
      </c>
      <c r="GX11" s="41" t="str">
        <f t="shared" si="143"/>
        <v>-</v>
      </c>
      <c r="GY11" s="41" t="str">
        <f t="shared" si="144"/>
        <v>-</v>
      </c>
      <c r="GZ11" s="41" t="str">
        <f t="shared" si="145"/>
        <v>-</v>
      </c>
      <c r="HA11" s="41" t="str">
        <f t="shared" si="146"/>
        <v>-</v>
      </c>
      <c r="HB11" s="41" t="str">
        <f t="shared" si="147"/>
        <v>-</v>
      </c>
      <c r="HC11" s="41" t="str">
        <f t="shared" si="148"/>
        <v>-</v>
      </c>
      <c r="HD11" s="41" t="str">
        <f t="shared" si="149"/>
        <v>-</v>
      </c>
      <c r="HE11" s="41" t="str">
        <f t="shared" si="150"/>
        <v>-</v>
      </c>
      <c r="HF11" s="41" t="str">
        <f t="shared" si="151"/>
        <v>-</v>
      </c>
      <c r="HG11" s="41" t="str">
        <f t="shared" si="152"/>
        <v>-</v>
      </c>
      <c r="HH11" s="41" t="str">
        <f t="shared" si="153"/>
        <v>-</v>
      </c>
      <c r="HI11" s="41" t="str">
        <f t="shared" si="154"/>
        <v>-</v>
      </c>
      <c r="HJ11" s="41" t="str">
        <f t="shared" si="155"/>
        <v>-</v>
      </c>
      <c r="HK11" s="41" t="str">
        <f t="shared" si="156"/>
        <v>-</v>
      </c>
      <c r="HL11" s="41" t="str">
        <f t="shared" si="157"/>
        <v>-</v>
      </c>
      <c r="HM11" s="41" t="str">
        <f t="shared" si="158"/>
        <v>-</v>
      </c>
      <c r="HN11" s="41" t="str">
        <f t="shared" si="159"/>
        <v>-</v>
      </c>
      <c r="HO11" s="41" t="str">
        <f t="shared" si="160"/>
        <v>-</v>
      </c>
      <c r="HP11" s="41" t="str">
        <f t="shared" si="161"/>
        <v>-</v>
      </c>
      <c r="HQ11" s="41" t="str">
        <f t="shared" si="162"/>
        <v>-</v>
      </c>
      <c r="HR11" s="41" t="str">
        <f t="shared" si="163"/>
        <v>-</v>
      </c>
      <c r="HS11" s="41" t="str">
        <f t="shared" si="164"/>
        <v>-</v>
      </c>
      <c r="HT11" s="41" t="str">
        <f t="shared" si="164"/>
        <v>-</v>
      </c>
      <c r="HU11" s="43" t="str">
        <f t="shared" si="182"/>
        <v>-</v>
      </c>
      <c r="HV11" s="44" t="str">
        <f t="shared" si="165"/>
        <v/>
      </c>
      <c r="HW11" s="45" t="str">
        <f t="shared" si="166"/>
        <v/>
      </c>
      <c r="HX11" s="44" t="str">
        <f t="shared" si="183"/>
        <v/>
      </c>
      <c r="HY11" s="44" t="str">
        <f t="shared" si="167"/>
        <v/>
      </c>
      <c r="HZ11" s="44" t="str">
        <f t="shared" si="168"/>
        <v/>
      </c>
      <c r="IA11" s="43" t="str">
        <f t="shared" si="169"/>
        <v/>
      </c>
      <c r="IB11" s="44" t="str">
        <f t="shared" si="170"/>
        <v/>
      </c>
      <c r="IC11" s="45" t="str">
        <f t="shared" si="171"/>
        <v/>
      </c>
      <c r="ID11" s="43" t="str">
        <f t="shared" si="172"/>
        <v/>
      </c>
      <c r="IE11" s="44" t="str">
        <f t="shared" si="173"/>
        <v/>
      </c>
      <c r="IF11" s="45" t="str">
        <f t="shared" si="174"/>
        <v/>
      </c>
      <c r="IH11" s="66">
        <v>11</v>
      </c>
      <c r="II11" s="66" t="e">
        <f t="shared" ca="1" si="175"/>
        <v>#N/A</v>
      </c>
      <c r="IJ11" s="66" t="e">
        <f t="shared" ca="1" si="176"/>
        <v>#N/A</v>
      </c>
      <c r="IK11" s="66" t="e">
        <f t="shared" ca="1" si="177"/>
        <v>#N/A</v>
      </c>
      <c r="IL11" s="66" t="e">
        <f t="shared" ca="1" si="178"/>
        <v>#N/A</v>
      </c>
      <c r="IN11" s="75" t="e">
        <f t="shared" ca="1" si="184"/>
        <v>#N/A</v>
      </c>
      <c r="IO11" s="75" t="e">
        <f t="shared" ca="1" si="185"/>
        <v>#N/A</v>
      </c>
      <c r="IP11" s="75" t="e">
        <f t="shared" ca="1" si="186"/>
        <v>#N/A</v>
      </c>
      <c r="IQ11" s="75" t="e">
        <f t="shared" ca="1" si="187"/>
        <v>#N/A</v>
      </c>
      <c r="IR11" s="74" t="e">
        <f t="shared" ca="1" si="188"/>
        <v>#N/A</v>
      </c>
    </row>
    <row r="12" spans="1:252" x14ac:dyDescent="0.35">
      <c r="A12" s="28">
        <v>0</v>
      </c>
      <c r="B12" s="28">
        <v>1</v>
      </c>
      <c r="C12" s="28">
        <v>1</v>
      </c>
      <c r="D12" s="1"/>
      <c r="E12" s="4"/>
      <c r="F12" t="s">
        <v>276</v>
      </c>
      <c r="G12" s="5" t="s">
        <v>530</v>
      </c>
      <c r="H12" s="4" t="s">
        <v>535</v>
      </c>
      <c r="I12" s="7" t="s">
        <v>536</v>
      </c>
      <c r="J12" s="276" t="s">
        <v>805</v>
      </c>
      <c r="K12" s="110" t="s">
        <v>805</v>
      </c>
      <c r="L12" s="110" t="s">
        <v>805</v>
      </c>
      <c r="M12" s="110" t="s">
        <v>805</v>
      </c>
      <c r="N12" s="110" t="s">
        <v>805</v>
      </c>
      <c r="O12" s="110" t="s">
        <v>805</v>
      </c>
      <c r="P12" s="110" t="s">
        <v>805</v>
      </c>
      <c r="Q12" s="110" t="s">
        <v>805</v>
      </c>
      <c r="R12" s="110" t="s">
        <v>805</v>
      </c>
      <c r="S12" s="110" t="s">
        <v>805</v>
      </c>
      <c r="T12" s="110" t="s">
        <v>805</v>
      </c>
      <c r="U12" s="110" t="s">
        <v>805</v>
      </c>
      <c r="V12" s="110" t="s">
        <v>805</v>
      </c>
      <c r="W12" s="110" t="s">
        <v>805</v>
      </c>
      <c r="X12" s="110" t="s">
        <v>805</v>
      </c>
      <c r="Y12" s="110" t="s">
        <v>805</v>
      </c>
      <c r="Z12" s="110" t="s">
        <v>805</v>
      </c>
      <c r="AA12" s="110" t="s">
        <v>805</v>
      </c>
      <c r="AB12" s="110" t="s">
        <v>805</v>
      </c>
      <c r="AC12" s="110" t="s">
        <v>805</v>
      </c>
      <c r="AD12" s="110" t="s">
        <v>805</v>
      </c>
      <c r="AE12" s="110" t="s">
        <v>805</v>
      </c>
      <c r="AF12" s="110" t="s">
        <v>805</v>
      </c>
      <c r="AG12" s="110" t="s">
        <v>805</v>
      </c>
      <c r="AH12" s="110" t="s">
        <v>805</v>
      </c>
      <c r="AI12" s="110" t="s">
        <v>805</v>
      </c>
      <c r="AJ12" s="110" t="s">
        <v>805</v>
      </c>
      <c r="AK12" s="110" t="s">
        <v>805</v>
      </c>
      <c r="AL12" s="110" t="s">
        <v>805</v>
      </c>
      <c r="AM12" s="110" t="s">
        <v>805</v>
      </c>
      <c r="AN12" s="110" t="s">
        <v>805</v>
      </c>
      <c r="AO12" s="110" t="s">
        <v>805</v>
      </c>
      <c r="AP12" s="110" t="s">
        <v>805</v>
      </c>
      <c r="AQ12" s="110" t="s">
        <v>805</v>
      </c>
      <c r="AR12" s="110" t="s">
        <v>805</v>
      </c>
      <c r="AS12" s="110" t="s">
        <v>805</v>
      </c>
      <c r="AT12" s="110" t="s">
        <v>805</v>
      </c>
      <c r="AU12" s="110" t="s">
        <v>805</v>
      </c>
      <c r="AV12" s="110" t="s">
        <v>805</v>
      </c>
      <c r="AW12" s="110" t="s">
        <v>805</v>
      </c>
      <c r="AX12" s="110" t="s">
        <v>805</v>
      </c>
      <c r="AY12" s="110" t="s">
        <v>805</v>
      </c>
      <c r="AZ12" s="110" t="s">
        <v>805</v>
      </c>
      <c r="BA12" s="110" t="s">
        <v>805</v>
      </c>
      <c r="BB12" s="110" t="s">
        <v>805</v>
      </c>
      <c r="BC12" s="110" t="s">
        <v>805</v>
      </c>
      <c r="BD12" s="110" t="s">
        <v>805</v>
      </c>
      <c r="BE12" s="110" t="s">
        <v>805</v>
      </c>
      <c r="BF12" s="110" t="s">
        <v>805</v>
      </c>
      <c r="BG12" s="110" t="s">
        <v>805</v>
      </c>
      <c r="BH12" s="110" t="s">
        <v>805</v>
      </c>
      <c r="BI12" s="110" t="s">
        <v>805</v>
      </c>
      <c r="BJ12" s="110" t="s">
        <v>805</v>
      </c>
      <c r="BK12" s="110" t="s">
        <v>805</v>
      </c>
      <c r="BL12" s="110" t="s">
        <v>805</v>
      </c>
      <c r="BM12" s="110" t="s">
        <v>805</v>
      </c>
      <c r="BN12" s="110" t="s">
        <v>805</v>
      </c>
      <c r="BO12" s="110" t="s">
        <v>805</v>
      </c>
      <c r="BP12" s="110" t="s">
        <v>805</v>
      </c>
      <c r="BQ12" s="110" t="s">
        <v>805</v>
      </c>
      <c r="BR12" s="110" t="s">
        <v>805</v>
      </c>
      <c r="BS12" s="110" t="s">
        <v>805</v>
      </c>
      <c r="BT12" s="110" t="s">
        <v>805</v>
      </c>
      <c r="BU12" s="110" t="s">
        <v>805</v>
      </c>
      <c r="BV12" s="110" t="s">
        <v>805</v>
      </c>
      <c r="BW12" s="110" t="s">
        <v>805</v>
      </c>
      <c r="BX12" s="110" t="s">
        <v>805</v>
      </c>
      <c r="BY12" s="110" t="s">
        <v>805</v>
      </c>
      <c r="BZ12" s="110" t="s">
        <v>805</v>
      </c>
      <c r="CA12" s="110" t="s">
        <v>805</v>
      </c>
      <c r="CB12" s="110" t="s">
        <v>805</v>
      </c>
      <c r="CC12" s="110" t="s">
        <v>805</v>
      </c>
      <c r="CD12" s="110" t="s">
        <v>805</v>
      </c>
      <c r="CE12" s="110" t="s">
        <v>805</v>
      </c>
      <c r="CF12" s="110" t="s">
        <v>805</v>
      </c>
      <c r="CG12" s="110" t="s">
        <v>805</v>
      </c>
      <c r="CH12" s="110" t="s">
        <v>805</v>
      </c>
      <c r="CI12" s="110" t="s">
        <v>805</v>
      </c>
      <c r="CJ12" s="110" t="s">
        <v>805</v>
      </c>
      <c r="CK12" s="110" t="s">
        <v>805</v>
      </c>
      <c r="CL12" s="110" t="s">
        <v>805</v>
      </c>
      <c r="CM12" s="110" t="s">
        <v>805</v>
      </c>
      <c r="CN12" s="110" t="s">
        <v>805</v>
      </c>
      <c r="CO12" s="110" t="s">
        <v>805</v>
      </c>
      <c r="CP12" s="110" t="s">
        <v>805</v>
      </c>
      <c r="CQ12" s="110" t="s">
        <v>805</v>
      </c>
      <c r="CR12" s="110" t="s">
        <v>805</v>
      </c>
      <c r="CS12" s="110" t="s">
        <v>805</v>
      </c>
      <c r="CT12" s="110" t="s">
        <v>805</v>
      </c>
      <c r="CU12" s="110" t="s">
        <v>805</v>
      </c>
      <c r="CV12" s="110" t="s">
        <v>805</v>
      </c>
      <c r="CW12" s="110" t="s">
        <v>805</v>
      </c>
      <c r="CX12" s="110" t="s">
        <v>805</v>
      </c>
      <c r="CY12" s="110" t="s">
        <v>805</v>
      </c>
      <c r="CZ12" s="110" t="s">
        <v>805</v>
      </c>
      <c r="DA12" s="110" t="s">
        <v>805</v>
      </c>
      <c r="DB12" s="110" t="s">
        <v>805</v>
      </c>
      <c r="DC12" s="110" t="s">
        <v>805</v>
      </c>
      <c r="DD12" s="110" t="s">
        <v>805</v>
      </c>
      <c r="DE12" s="110" t="s">
        <v>805</v>
      </c>
      <c r="DF12" s="110" t="s">
        <v>805</v>
      </c>
      <c r="DG12" s="28">
        <f>'KPI Count-SHARE'!J8</f>
        <v>0</v>
      </c>
      <c r="DH12" s="114"/>
      <c r="DI12" s="114"/>
      <c r="DJ12" s="114"/>
      <c r="DK12" s="28">
        <f>'KPI Count-SHARE'!K8</f>
        <v>0</v>
      </c>
      <c r="DL12" s="118"/>
      <c r="DM12" s="118"/>
      <c r="DN12" s="118"/>
      <c r="DO12" s="28">
        <f>'KPI Count-SHARE'!L8</f>
        <v>0</v>
      </c>
      <c r="DP12" s="118"/>
      <c r="DQ12" s="118"/>
      <c r="DR12" s="118"/>
      <c r="DS12" s="28">
        <f>'KPI Count-SHARE'!M8</f>
        <v>0</v>
      </c>
      <c r="DT12" s="118"/>
      <c r="DU12" s="118"/>
      <c r="DV12" s="118"/>
      <c r="DW12" s="30" t="str">
        <f t="shared" si="189"/>
        <v>USD' 000 per FTE</v>
      </c>
      <c r="DX12" s="41" t="str">
        <f t="shared" si="79"/>
        <v>-</v>
      </c>
      <c r="DY12" s="41" t="str">
        <f t="shared" si="80"/>
        <v>-</v>
      </c>
      <c r="DZ12" s="41" t="str">
        <f t="shared" si="81"/>
        <v>-</v>
      </c>
      <c r="EA12" s="41" t="str">
        <f t="shared" si="179"/>
        <v>-</v>
      </c>
      <c r="EB12" s="41" t="str">
        <f t="shared" si="180"/>
        <v>-</v>
      </c>
      <c r="EC12" s="41" t="str">
        <f t="shared" si="181"/>
        <v>-</v>
      </c>
      <c r="ED12" s="41" t="str">
        <f t="shared" si="82"/>
        <v>-</v>
      </c>
      <c r="EE12" s="41" t="str">
        <f t="shared" si="83"/>
        <v>-</v>
      </c>
      <c r="EF12" s="41" t="str">
        <f t="shared" si="84"/>
        <v>-</v>
      </c>
      <c r="EG12" s="41" t="str">
        <f t="shared" si="85"/>
        <v>-</v>
      </c>
      <c r="EH12" s="41" t="str">
        <f t="shared" si="86"/>
        <v>-</v>
      </c>
      <c r="EI12" s="41" t="str">
        <f t="shared" si="87"/>
        <v>-</v>
      </c>
      <c r="EJ12" s="41" t="str">
        <f t="shared" si="87"/>
        <v>-</v>
      </c>
      <c r="EK12" s="41" t="str">
        <f t="shared" si="87"/>
        <v>-</v>
      </c>
      <c r="EL12" s="41" t="str">
        <f t="shared" si="87"/>
        <v>-</v>
      </c>
      <c r="EM12" s="41" t="str">
        <f t="shared" si="87"/>
        <v>-</v>
      </c>
      <c r="EN12" s="41" t="str">
        <f t="shared" si="87"/>
        <v>-</v>
      </c>
      <c r="EO12" s="41" t="str">
        <f t="shared" si="87"/>
        <v>-</v>
      </c>
      <c r="EP12" s="41" t="str">
        <f t="shared" si="87"/>
        <v>-</v>
      </c>
      <c r="EQ12" s="41" t="str">
        <f t="shared" si="87"/>
        <v>-</v>
      </c>
      <c r="ER12" s="41" t="str">
        <f t="shared" si="87"/>
        <v>-</v>
      </c>
      <c r="ES12" s="41" t="str">
        <f t="shared" si="87"/>
        <v>-</v>
      </c>
      <c r="ET12" s="41" t="str">
        <f t="shared" si="87"/>
        <v>-</v>
      </c>
      <c r="EU12" s="41" t="str">
        <f t="shared" si="88"/>
        <v>-</v>
      </c>
      <c r="EV12" s="41" t="str">
        <f t="shared" si="89"/>
        <v>-</v>
      </c>
      <c r="EW12" s="41" t="str">
        <f t="shared" si="90"/>
        <v>-</v>
      </c>
      <c r="EX12" s="41" t="str">
        <f t="shared" si="91"/>
        <v>-</v>
      </c>
      <c r="EY12" s="41" t="str">
        <f t="shared" si="92"/>
        <v>-</v>
      </c>
      <c r="EZ12" s="41" t="str">
        <f t="shared" si="93"/>
        <v>-</v>
      </c>
      <c r="FA12" s="41" t="str">
        <f t="shared" si="94"/>
        <v>-</v>
      </c>
      <c r="FB12" s="41" t="str">
        <f t="shared" si="95"/>
        <v>-</v>
      </c>
      <c r="FC12" s="41" t="str">
        <f t="shared" si="96"/>
        <v>-</v>
      </c>
      <c r="FD12" s="41" t="str">
        <f t="shared" si="97"/>
        <v>-</v>
      </c>
      <c r="FE12" s="41" t="str">
        <f t="shared" si="98"/>
        <v>-</v>
      </c>
      <c r="FF12" s="41" t="str">
        <f t="shared" si="99"/>
        <v>-</v>
      </c>
      <c r="FG12" s="41" t="str">
        <f t="shared" si="100"/>
        <v>-</v>
      </c>
      <c r="FH12" s="41" t="str">
        <f t="shared" si="101"/>
        <v>-</v>
      </c>
      <c r="FI12" s="41" t="str">
        <f t="shared" si="102"/>
        <v>-</v>
      </c>
      <c r="FJ12" s="41" t="str">
        <f t="shared" si="103"/>
        <v>-</v>
      </c>
      <c r="FK12" s="41" t="str">
        <f t="shared" si="104"/>
        <v>-</v>
      </c>
      <c r="FL12" s="41" t="str">
        <f t="shared" si="105"/>
        <v>-</v>
      </c>
      <c r="FM12" s="41" t="str">
        <f t="shared" si="106"/>
        <v>-</v>
      </c>
      <c r="FN12" s="41" t="str">
        <f t="shared" si="107"/>
        <v>-</v>
      </c>
      <c r="FO12" s="41" t="str">
        <f t="shared" si="108"/>
        <v>-</v>
      </c>
      <c r="FP12" s="41" t="str">
        <f t="shared" si="109"/>
        <v>-</v>
      </c>
      <c r="FQ12" s="41" t="str">
        <f t="shared" si="110"/>
        <v>-</v>
      </c>
      <c r="FR12" s="41" t="str">
        <f t="shared" si="111"/>
        <v>-</v>
      </c>
      <c r="FS12" s="41" t="str">
        <f t="shared" si="112"/>
        <v>-</v>
      </c>
      <c r="FT12" s="41" t="str">
        <f t="shared" si="113"/>
        <v>-</v>
      </c>
      <c r="FU12" s="41" t="str">
        <f t="shared" si="114"/>
        <v>-</v>
      </c>
      <c r="FV12" s="41" t="str">
        <f t="shared" si="115"/>
        <v>-</v>
      </c>
      <c r="FW12" s="41" t="str">
        <f t="shared" si="116"/>
        <v>-</v>
      </c>
      <c r="FX12" s="41" t="str">
        <f t="shared" si="117"/>
        <v>-</v>
      </c>
      <c r="FY12" s="41" t="str">
        <f t="shared" si="118"/>
        <v>-</v>
      </c>
      <c r="FZ12" s="41" t="str">
        <f t="shared" si="119"/>
        <v>-</v>
      </c>
      <c r="GA12" s="41" t="str">
        <f t="shared" si="120"/>
        <v>-</v>
      </c>
      <c r="GB12" s="41" t="str">
        <f t="shared" si="121"/>
        <v>-</v>
      </c>
      <c r="GC12" s="41" t="str">
        <f t="shared" si="122"/>
        <v>-</v>
      </c>
      <c r="GD12" s="41" t="str">
        <f t="shared" si="123"/>
        <v>-</v>
      </c>
      <c r="GE12" s="41" t="str">
        <f t="shared" si="124"/>
        <v>-</v>
      </c>
      <c r="GF12" s="41" t="str">
        <f t="shared" si="125"/>
        <v>-</v>
      </c>
      <c r="GG12" s="41" t="str">
        <f t="shared" si="126"/>
        <v>-</v>
      </c>
      <c r="GH12" s="41" t="str">
        <f t="shared" si="127"/>
        <v>-</v>
      </c>
      <c r="GI12" s="41" t="str">
        <f t="shared" si="128"/>
        <v>-</v>
      </c>
      <c r="GJ12" s="41" t="str">
        <f t="shared" si="129"/>
        <v>-</v>
      </c>
      <c r="GK12" s="41" t="str">
        <f t="shared" si="130"/>
        <v>-</v>
      </c>
      <c r="GL12" s="41" t="str">
        <f t="shared" si="131"/>
        <v>-</v>
      </c>
      <c r="GM12" s="41" t="str">
        <f t="shared" si="132"/>
        <v>-</v>
      </c>
      <c r="GN12" s="41" t="str">
        <f t="shared" si="133"/>
        <v>-</v>
      </c>
      <c r="GO12" s="41" t="str">
        <f t="shared" si="134"/>
        <v>-</v>
      </c>
      <c r="GP12" s="41" t="str">
        <f t="shared" si="135"/>
        <v>-</v>
      </c>
      <c r="GQ12" s="41" t="str">
        <f t="shared" si="136"/>
        <v>-</v>
      </c>
      <c r="GR12" s="41" t="str">
        <f t="shared" si="137"/>
        <v>-</v>
      </c>
      <c r="GS12" s="41" t="str">
        <f t="shared" si="138"/>
        <v>-</v>
      </c>
      <c r="GT12" s="41" t="str">
        <f t="shared" si="139"/>
        <v>-</v>
      </c>
      <c r="GU12" s="41" t="str">
        <f t="shared" si="140"/>
        <v>-</v>
      </c>
      <c r="GV12" s="41" t="str">
        <f t="shared" si="141"/>
        <v>-</v>
      </c>
      <c r="GW12" s="41" t="str">
        <f t="shared" si="142"/>
        <v>-</v>
      </c>
      <c r="GX12" s="41" t="str">
        <f t="shared" si="143"/>
        <v>-</v>
      </c>
      <c r="GY12" s="41" t="str">
        <f t="shared" si="144"/>
        <v>-</v>
      </c>
      <c r="GZ12" s="41" t="str">
        <f t="shared" si="145"/>
        <v>-</v>
      </c>
      <c r="HA12" s="41" t="str">
        <f t="shared" si="146"/>
        <v>-</v>
      </c>
      <c r="HB12" s="41" t="str">
        <f t="shared" si="147"/>
        <v>-</v>
      </c>
      <c r="HC12" s="41" t="str">
        <f t="shared" si="148"/>
        <v>-</v>
      </c>
      <c r="HD12" s="41" t="str">
        <f t="shared" si="149"/>
        <v>-</v>
      </c>
      <c r="HE12" s="41" t="str">
        <f t="shared" si="150"/>
        <v>-</v>
      </c>
      <c r="HF12" s="41" t="str">
        <f t="shared" si="151"/>
        <v>-</v>
      </c>
      <c r="HG12" s="41" t="str">
        <f t="shared" si="152"/>
        <v>-</v>
      </c>
      <c r="HH12" s="41" t="str">
        <f t="shared" si="153"/>
        <v>-</v>
      </c>
      <c r="HI12" s="41" t="str">
        <f t="shared" si="154"/>
        <v>-</v>
      </c>
      <c r="HJ12" s="41" t="str">
        <f t="shared" si="155"/>
        <v>-</v>
      </c>
      <c r="HK12" s="41" t="str">
        <f t="shared" si="156"/>
        <v>-</v>
      </c>
      <c r="HL12" s="41" t="str">
        <f t="shared" si="157"/>
        <v>-</v>
      </c>
      <c r="HM12" s="41" t="str">
        <f t="shared" si="158"/>
        <v>-</v>
      </c>
      <c r="HN12" s="41" t="str">
        <f t="shared" si="159"/>
        <v>-</v>
      </c>
      <c r="HO12" s="41" t="str">
        <f t="shared" si="160"/>
        <v>-</v>
      </c>
      <c r="HP12" s="41" t="str">
        <f t="shared" si="161"/>
        <v>-</v>
      </c>
      <c r="HQ12" s="41" t="str">
        <f t="shared" si="162"/>
        <v>-</v>
      </c>
      <c r="HR12" s="41" t="str">
        <f t="shared" si="163"/>
        <v>-</v>
      </c>
      <c r="HS12" s="41" t="str">
        <f t="shared" si="164"/>
        <v>-</v>
      </c>
      <c r="HT12" s="41" t="str">
        <f t="shared" si="164"/>
        <v>-</v>
      </c>
      <c r="HU12" s="43" t="str">
        <f t="shared" si="182"/>
        <v>-</v>
      </c>
      <c r="HV12" s="44" t="str">
        <f t="shared" si="165"/>
        <v/>
      </c>
      <c r="HW12" s="45" t="str">
        <f t="shared" si="166"/>
        <v/>
      </c>
      <c r="HX12" s="44" t="str">
        <f t="shared" si="183"/>
        <v/>
      </c>
      <c r="HY12" s="44" t="str">
        <f t="shared" si="167"/>
        <v/>
      </c>
      <c r="HZ12" s="44" t="str">
        <f t="shared" si="168"/>
        <v/>
      </c>
      <c r="IA12" s="43" t="str">
        <f t="shared" si="169"/>
        <v/>
      </c>
      <c r="IB12" s="44" t="str">
        <f t="shared" si="170"/>
        <v/>
      </c>
      <c r="IC12" s="45" t="str">
        <f t="shared" si="171"/>
        <v/>
      </c>
      <c r="ID12" s="43" t="str">
        <f t="shared" si="172"/>
        <v/>
      </c>
      <c r="IE12" s="44" t="str">
        <f t="shared" si="173"/>
        <v/>
      </c>
      <c r="IF12" s="45" t="str">
        <f t="shared" si="174"/>
        <v/>
      </c>
      <c r="IH12" s="66">
        <v>12</v>
      </c>
      <c r="II12" s="66" t="e">
        <f t="shared" ca="1" si="175"/>
        <v>#N/A</v>
      </c>
      <c r="IJ12" s="66" t="e">
        <f t="shared" ca="1" si="176"/>
        <v>#N/A</v>
      </c>
      <c r="IK12" s="66" t="e">
        <f t="shared" ca="1" si="177"/>
        <v>#N/A</v>
      </c>
      <c r="IL12" s="66" t="e">
        <f t="shared" ca="1" si="178"/>
        <v>#N/A</v>
      </c>
      <c r="IN12" s="75" t="e">
        <f t="shared" ca="1" si="184"/>
        <v>#N/A</v>
      </c>
      <c r="IO12" s="75" t="e">
        <f t="shared" ca="1" si="185"/>
        <v>#N/A</v>
      </c>
      <c r="IP12" s="75" t="e">
        <f t="shared" ca="1" si="186"/>
        <v>#N/A</v>
      </c>
      <c r="IQ12" s="75" t="e">
        <f t="shared" ca="1" si="187"/>
        <v>#N/A</v>
      </c>
      <c r="IR12" s="74" t="e">
        <f t="shared" ca="1" si="188"/>
        <v>#N/A</v>
      </c>
    </row>
    <row r="13" spans="1:252" x14ac:dyDescent="0.35">
      <c r="A13" s="28">
        <v>0</v>
      </c>
      <c r="B13" s="28">
        <v>1</v>
      </c>
      <c r="C13" s="28">
        <v>1</v>
      </c>
      <c r="D13" s="1"/>
      <c r="E13" s="4"/>
      <c r="F13" t="s">
        <v>277</v>
      </c>
      <c r="G13" s="5" t="s">
        <v>530</v>
      </c>
      <c r="H13" s="4" t="s">
        <v>535</v>
      </c>
      <c r="I13" s="7" t="s">
        <v>536</v>
      </c>
      <c r="J13" s="276" t="s">
        <v>805</v>
      </c>
      <c r="K13" s="110" t="s">
        <v>805</v>
      </c>
      <c r="L13" s="110" t="s">
        <v>805</v>
      </c>
      <c r="M13" s="110" t="s">
        <v>805</v>
      </c>
      <c r="N13" s="110" t="s">
        <v>805</v>
      </c>
      <c r="O13" s="110" t="s">
        <v>805</v>
      </c>
      <c r="P13" s="110" t="s">
        <v>805</v>
      </c>
      <c r="Q13" s="110" t="s">
        <v>805</v>
      </c>
      <c r="R13" s="110" t="s">
        <v>805</v>
      </c>
      <c r="S13" s="110" t="s">
        <v>805</v>
      </c>
      <c r="T13" s="110" t="s">
        <v>805</v>
      </c>
      <c r="U13" s="110" t="s">
        <v>805</v>
      </c>
      <c r="V13" s="110" t="s">
        <v>805</v>
      </c>
      <c r="W13" s="110" t="s">
        <v>805</v>
      </c>
      <c r="X13" s="110" t="s">
        <v>805</v>
      </c>
      <c r="Y13" s="110" t="s">
        <v>805</v>
      </c>
      <c r="Z13" s="110" t="s">
        <v>805</v>
      </c>
      <c r="AA13" s="110" t="s">
        <v>805</v>
      </c>
      <c r="AB13" s="110" t="s">
        <v>805</v>
      </c>
      <c r="AC13" s="110" t="s">
        <v>805</v>
      </c>
      <c r="AD13" s="110" t="s">
        <v>805</v>
      </c>
      <c r="AE13" s="110" t="s">
        <v>805</v>
      </c>
      <c r="AF13" s="110" t="s">
        <v>805</v>
      </c>
      <c r="AG13" s="110" t="s">
        <v>805</v>
      </c>
      <c r="AH13" s="110" t="s">
        <v>805</v>
      </c>
      <c r="AI13" s="110" t="s">
        <v>805</v>
      </c>
      <c r="AJ13" s="110" t="s">
        <v>805</v>
      </c>
      <c r="AK13" s="110" t="s">
        <v>805</v>
      </c>
      <c r="AL13" s="110" t="s">
        <v>805</v>
      </c>
      <c r="AM13" s="110" t="s">
        <v>805</v>
      </c>
      <c r="AN13" s="110" t="s">
        <v>805</v>
      </c>
      <c r="AO13" s="110" t="s">
        <v>805</v>
      </c>
      <c r="AP13" s="110" t="s">
        <v>805</v>
      </c>
      <c r="AQ13" s="110" t="s">
        <v>805</v>
      </c>
      <c r="AR13" s="110" t="s">
        <v>805</v>
      </c>
      <c r="AS13" s="110" t="s">
        <v>805</v>
      </c>
      <c r="AT13" s="110" t="s">
        <v>805</v>
      </c>
      <c r="AU13" s="110" t="s">
        <v>805</v>
      </c>
      <c r="AV13" s="110" t="s">
        <v>805</v>
      </c>
      <c r="AW13" s="110" t="s">
        <v>805</v>
      </c>
      <c r="AX13" s="110" t="s">
        <v>805</v>
      </c>
      <c r="AY13" s="110" t="s">
        <v>805</v>
      </c>
      <c r="AZ13" s="110" t="s">
        <v>805</v>
      </c>
      <c r="BA13" s="110" t="s">
        <v>805</v>
      </c>
      <c r="BB13" s="110" t="s">
        <v>805</v>
      </c>
      <c r="BC13" s="110" t="s">
        <v>805</v>
      </c>
      <c r="BD13" s="110" t="s">
        <v>805</v>
      </c>
      <c r="BE13" s="110" t="s">
        <v>805</v>
      </c>
      <c r="BF13" s="110" t="s">
        <v>805</v>
      </c>
      <c r="BG13" s="110" t="s">
        <v>805</v>
      </c>
      <c r="BH13" s="110" t="s">
        <v>805</v>
      </c>
      <c r="BI13" s="110" t="s">
        <v>805</v>
      </c>
      <c r="BJ13" s="110" t="s">
        <v>805</v>
      </c>
      <c r="BK13" s="110" t="s">
        <v>805</v>
      </c>
      <c r="BL13" s="110" t="s">
        <v>805</v>
      </c>
      <c r="BM13" s="110" t="s">
        <v>805</v>
      </c>
      <c r="BN13" s="110" t="s">
        <v>805</v>
      </c>
      <c r="BO13" s="110" t="s">
        <v>805</v>
      </c>
      <c r="BP13" s="110" t="s">
        <v>805</v>
      </c>
      <c r="BQ13" s="110" t="s">
        <v>805</v>
      </c>
      <c r="BR13" s="110" t="s">
        <v>805</v>
      </c>
      <c r="BS13" s="110" t="s">
        <v>805</v>
      </c>
      <c r="BT13" s="110" t="s">
        <v>805</v>
      </c>
      <c r="BU13" s="110" t="s">
        <v>805</v>
      </c>
      <c r="BV13" s="110" t="s">
        <v>805</v>
      </c>
      <c r="BW13" s="110" t="s">
        <v>805</v>
      </c>
      <c r="BX13" s="110" t="s">
        <v>805</v>
      </c>
      <c r="BY13" s="110" t="s">
        <v>805</v>
      </c>
      <c r="BZ13" s="110" t="s">
        <v>805</v>
      </c>
      <c r="CA13" s="110" t="s">
        <v>805</v>
      </c>
      <c r="CB13" s="110" t="s">
        <v>805</v>
      </c>
      <c r="CC13" s="110" t="s">
        <v>805</v>
      </c>
      <c r="CD13" s="110" t="s">
        <v>805</v>
      </c>
      <c r="CE13" s="110" t="s">
        <v>805</v>
      </c>
      <c r="CF13" s="110" t="s">
        <v>805</v>
      </c>
      <c r="CG13" s="110" t="s">
        <v>805</v>
      </c>
      <c r="CH13" s="110" t="s">
        <v>805</v>
      </c>
      <c r="CI13" s="110" t="s">
        <v>805</v>
      </c>
      <c r="CJ13" s="110" t="s">
        <v>805</v>
      </c>
      <c r="CK13" s="110" t="s">
        <v>805</v>
      </c>
      <c r="CL13" s="110" t="s">
        <v>805</v>
      </c>
      <c r="CM13" s="110" t="s">
        <v>805</v>
      </c>
      <c r="CN13" s="110" t="s">
        <v>805</v>
      </c>
      <c r="CO13" s="110" t="s">
        <v>805</v>
      </c>
      <c r="CP13" s="110" t="s">
        <v>805</v>
      </c>
      <c r="CQ13" s="110" t="s">
        <v>805</v>
      </c>
      <c r="CR13" s="110" t="s">
        <v>805</v>
      </c>
      <c r="CS13" s="110" t="s">
        <v>805</v>
      </c>
      <c r="CT13" s="110" t="s">
        <v>805</v>
      </c>
      <c r="CU13" s="110" t="s">
        <v>805</v>
      </c>
      <c r="CV13" s="110" t="s">
        <v>805</v>
      </c>
      <c r="CW13" s="110" t="s">
        <v>805</v>
      </c>
      <c r="CX13" s="110" t="s">
        <v>805</v>
      </c>
      <c r="CY13" s="110" t="s">
        <v>805</v>
      </c>
      <c r="CZ13" s="110" t="s">
        <v>805</v>
      </c>
      <c r="DA13" s="110" t="s">
        <v>805</v>
      </c>
      <c r="DB13" s="110" t="s">
        <v>805</v>
      </c>
      <c r="DC13" s="110" t="s">
        <v>805</v>
      </c>
      <c r="DD13" s="110" t="s">
        <v>805</v>
      </c>
      <c r="DE13" s="110" t="s">
        <v>805</v>
      </c>
      <c r="DF13" s="110" t="s">
        <v>805</v>
      </c>
      <c r="DG13" s="28">
        <f>'KPI Count-SHARE'!J9</f>
        <v>0</v>
      </c>
      <c r="DH13" s="114"/>
      <c r="DI13" s="114"/>
      <c r="DJ13" s="114"/>
      <c r="DK13" s="28">
        <f>'KPI Count-SHARE'!K9</f>
        <v>0</v>
      </c>
      <c r="DL13" s="118"/>
      <c r="DM13" s="118"/>
      <c r="DN13" s="118"/>
      <c r="DO13" s="28">
        <f>'KPI Count-SHARE'!L9</f>
        <v>0</v>
      </c>
      <c r="DP13" s="118"/>
      <c r="DQ13" s="118"/>
      <c r="DR13" s="118"/>
      <c r="DS13" s="28">
        <f>'KPI Count-SHARE'!M9</f>
        <v>0</v>
      </c>
      <c r="DT13" s="118"/>
      <c r="DU13" s="118"/>
      <c r="DV13" s="118"/>
      <c r="DW13" s="30" t="str">
        <f t="shared" si="189"/>
        <v>USD' 000 per FTE</v>
      </c>
      <c r="DX13" s="41" t="str">
        <f t="shared" si="79"/>
        <v>-</v>
      </c>
      <c r="DY13" s="41" t="str">
        <f t="shared" si="80"/>
        <v>-</v>
      </c>
      <c r="DZ13" s="41" t="str">
        <f t="shared" si="81"/>
        <v>-</v>
      </c>
      <c r="EA13" s="41" t="str">
        <f t="shared" si="179"/>
        <v>-</v>
      </c>
      <c r="EB13" s="41" t="str">
        <f t="shared" si="180"/>
        <v>-</v>
      </c>
      <c r="EC13" s="41" t="str">
        <f t="shared" si="181"/>
        <v>-</v>
      </c>
      <c r="ED13" s="41" t="str">
        <f t="shared" si="82"/>
        <v>-</v>
      </c>
      <c r="EE13" s="41" t="str">
        <f t="shared" si="83"/>
        <v>-</v>
      </c>
      <c r="EF13" s="41" t="str">
        <f t="shared" si="84"/>
        <v>-</v>
      </c>
      <c r="EG13" s="41" t="str">
        <f t="shared" si="85"/>
        <v>-</v>
      </c>
      <c r="EH13" s="41" t="str">
        <f t="shared" si="86"/>
        <v>-</v>
      </c>
      <c r="EI13" s="41" t="str">
        <f t="shared" si="87"/>
        <v>-</v>
      </c>
      <c r="EJ13" s="41" t="str">
        <f t="shared" si="87"/>
        <v>-</v>
      </c>
      <c r="EK13" s="41" t="str">
        <f t="shared" si="87"/>
        <v>-</v>
      </c>
      <c r="EL13" s="41" t="str">
        <f t="shared" si="87"/>
        <v>-</v>
      </c>
      <c r="EM13" s="41" t="str">
        <f t="shared" si="87"/>
        <v>-</v>
      </c>
      <c r="EN13" s="41" t="str">
        <f t="shared" si="87"/>
        <v>-</v>
      </c>
      <c r="EO13" s="41" t="str">
        <f t="shared" si="87"/>
        <v>-</v>
      </c>
      <c r="EP13" s="41" t="str">
        <f t="shared" si="87"/>
        <v>-</v>
      </c>
      <c r="EQ13" s="41" t="str">
        <f t="shared" si="87"/>
        <v>-</v>
      </c>
      <c r="ER13" s="41" t="str">
        <f t="shared" si="87"/>
        <v>-</v>
      </c>
      <c r="ES13" s="41" t="str">
        <f t="shared" si="87"/>
        <v>-</v>
      </c>
      <c r="ET13" s="41" t="str">
        <f t="shared" si="87"/>
        <v>-</v>
      </c>
      <c r="EU13" s="41" t="str">
        <f t="shared" si="88"/>
        <v>-</v>
      </c>
      <c r="EV13" s="41" t="str">
        <f t="shared" si="89"/>
        <v>-</v>
      </c>
      <c r="EW13" s="41" t="str">
        <f t="shared" si="90"/>
        <v>-</v>
      </c>
      <c r="EX13" s="41" t="str">
        <f t="shared" si="91"/>
        <v>-</v>
      </c>
      <c r="EY13" s="41" t="str">
        <f t="shared" si="92"/>
        <v>-</v>
      </c>
      <c r="EZ13" s="41" t="str">
        <f t="shared" si="93"/>
        <v>-</v>
      </c>
      <c r="FA13" s="41" t="str">
        <f t="shared" si="94"/>
        <v>-</v>
      </c>
      <c r="FB13" s="41" t="str">
        <f t="shared" si="95"/>
        <v>-</v>
      </c>
      <c r="FC13" s="41" t="str">
        <f t="shared" si="96"/>
        <v>-</v>
      </c>
      <c r="FD13" s="41" t="str">
        <f t="shared" si="97"/>
        <v>-</v>
      </c>
      <c r="FE13" s="41" t="str">
        <f t="shared" si="98"/>
        <v>-</v>
      </c>
      <c r="FF13" s="41" t="str">
        <f t="shared" si="99"/>
        <v>-</v>
      </c>
      <c r="FG13" s="41" t="str">
        <f t="shared" si="100"/>
        <v>-</v>
      </c>
      <c r="FH13" s="41" t="str">
        <f t="shared" si="101"/>
        <v>-</v>
      </c>
      <c r="FI13" s="41" t="str">
        <f t="shared" si="102"/>
        <v>-</v>
      </c>
      <c r="FJ13" s="41" t="str">
        <f t="shared" si="103"/>
        <v>-</v>
      </c>
      <c r="FK13" s="41" t="str">
        <f t="shared" si="104"/>
        <v>-</v>
      </c>
      <c r="FL13" s="41" t="str">
        <f t="shared" si="105"/>
        <v>-</v>
      </c>
      <c r="FM13" s="41" t="str">
        <f t="shared" si="106"/>
        <v>-</v>
      </c>
      <c r="FN13" s="41" t="str">
        <f t="shared" si="107"/>
        <v>-</v>
      </c>
      <c r="FO13" s="41" t="str">
        <f t="shared" si="108"/>
        <v>-</v>
      </c>
      <c r="FP13" s="41" t="str">
        <f t="shared" si="109"/>
        <v>-</v>
      </c>
      <c r="FQ13" s="41" t="str">
        <f t="shared" si="110"/>
        <v>-</v>
      </c>
      <c r="FR13" s="41" t="str">
        <f t="shared" si="111"/>
        <v>-</v>
      </c>
      <c r="FS13" s="41" t="str">
        <f t="shared" si="112"/>
        <v>-</v>
      </c>
      <c r="FT13" s="41" t="str">
        <f t="shared" si="113"/>
        <v>-</v>
      </c>
      <c r="FU13" s="41" t="str">
        <f t="shared" si="114"/>
        <v>-</v>
      </c>
      <c r="FV13" s="41" t="str">
        <f t="shared" si="115"/>
        <v>-</v>
      </c>
      <c r="FW13" s="41" t="str">
        <f t="shared" si="116"/>
        <v>-</v>
      </c>
      <c r="FX13" s="41" t="str">
        <f t="shared" si="117"/>
        <v>-</v>
      </c>
      <c r="FY13" s="41" t="str">
        <f t="shared" si="118"/>
        <v>-</v>
      </c>
      <c r="FZ13" s="41" t="str">
        <f t="shared" si="119"/>
        <v>-</v>
      </c>
      <c r="GA13" s="41" t="str">
        <f t="shared" si="120"/>
        <v>-</v>
      </c>
      <c r="GB13" s="41" t="str">
        <f t="shared" si="121"/>
        <v>-</v>
      </c>
      <c r="GC13" s="41" t="str">
        <f t="shared" si="122"/>
        <v>-</v>
      </c>
      <c r="GD13" s="41" t="str">
        <f t="shared" si="123"/>
        <v>-</v>
      </c>
      <c r="GE13" s="41" t="str">
        <f t="shared" si="124"/>
        <v>-</v>
      </c>
      <c r="GF13" s="41" t="str">
        <f t="shared" si="125"/>
        <v>-</v>
      </c>
      <c r="GG13" s="41" t="str">
        <f t="shared" si="126"/>
        <v>-</v>
      </c>
      <c r="GH13" s="41" t="str">
        <f t="shared" si="127"/>
        <v>-</v>
      </c>
      <c r="GI13" s="41" t="str">
        <f t="shared" si="128"/>
        <v>-</v>
      </c>
      <c r="GJ13" s="41" t="str">
        <f t="shared" si="129"/>
        <v>-</v>
      </c>
      <c r="GK13" s="41" t="str">
        <f t="shared" si="130"/>
        <v>-</v>
      </c>
      <c r="GL13" s="41" t="str">
        <f t="shared" si="131"/>
        <v>-</v>
      </c>
      <c r="GM13" s="41" t="str">
        <f t="shared" si="132"/>
        <v>-</v>
      </c>
      <c r="GN13" s="41" t="str">
        <f t="shared" si="133"/>
        <v>-</v>
      </c>
      <c r="GO13" s="41" t="str">
        <f t="shared" si="134"/>
        <v>-</v>
      </c>
      <c r="GP13" s="41" t="str">
        <f t="shared" si="135"/>
        <v>-</v>
      </c>
      <c r="GQ13" s="41" t="str">
        <f t="shared" si="136"/>
        <v>-</v>
      </c>
      <c r="GR13" s="41" t="str">
        <f t="shared" si="137"/>
        <v>-</v>
      </c>
      <c r="GS13" s="41" t="str">
        <f t="shared" si="138"/>
        <v>-</v>
      </c>
      <c r="GT13" s="41" t="str">
        <f t="shared" si="139"/>
        <v>-</v>
      </c>
      <c r="GU13" s="41" t="str">
        <f t="shared" si="140"/>
        <v>-</v>
      </c>
      <c r="GV13" s="41" t="str">
        <f t="shared" si="141"/>
        <v>-</v>
      </c>
      <c r="GW13" s="41" t="str">
        <f t="shared" si="142"/>
        <v>-</v>
      </c>
      <c r="GX13" s="41" t="str">
        <f t="shared" si="143"/>
        <v>-</v>
      </c>
      <c r="GY13" s="41" t="str">
        <f t="shared" si="144"/>
        <v>-</v>
      </c>
      <c r="GZ13" s="41" t="str">
        <f t="shared" si="145"/>
        <v>-</v>
      </c>
      <c r="HA13" s="41" t="str">
        <f t="shared" si="146"/>
        <v>-</v>
      </c>
      <c r="HB13" s="41" t="str">
        <f t="shared" si="147"/>
        <v>-</v>
      </c>
      <c r="HC13" s="41" t="str">
        <f t="shared" si="148"/>
        <v>-</v>
      </c>
      <c r="HD13" s="41" t="str">
        <f t="shared" si="149"/>
        <v>-</v>
      </c>
      <c r="HE13" s="41" t="str">
        <f t="shared" si="150"/>
        <v>-</v>
      </c>
      <c r="HF13" s="41" t="str">
        <f t="shared" si="151"/>
        <v>-</v>
      </c>
      <c r="HG13" s="41" t="str">
        <f t="shared" si="152"/>
        <v>-</v>
      </c>
      <c r="HH13" s="41" t="str">
        <f t="shared" si="153"/>
        <v>-</v>
      </c>
      <c r="HI13" s="41" t="str">
        <f t="shared" si="154"/>
        <v>-</v>
      </c>
      <c r="HJ13" s="41" t="str">
        <f t="shared" si="155"/>
        <v>-</v>
      </c>
      <c r="HK13" s="41" t="str">
        <f t="shared" si="156"/>
        <v>-</v>
      </c>
      <c r="HL13" s="41" t="str">
        <f t="shared" si="157"/>
        <v>-</v>
      </c>
      <c r="HM13" s="41" t="str">
        <f t="shared" si="158"/>
        <v>-</v>
      </c>
      <c r="HN13" s="41" t="str">
        <f t="shared" si="159"/>
        <v>-</v>
      </c>
      <c r="HO13" s="41" t="str">
        <f t="shared" si="160"/>
        <v>-</v>
      </c>
      <c r="HP13" s="41" t="str">
        <f t="shared" si="161"/>
        <v>-</v>
      </c>
      <c r="HQ13" s="41" t="str">
        <f t="shared" si="162"/>
        <v>-</v>
      </c>
      <c r="HR13" s="41" t="str">
        <f t="shared" si="163"/>
        <v>-</v>
      </c>
      <c r="HS13" s="41" t="str">
        <f t="shared" si="164"/>
        <v>-</v>
      </c>
      <c r="HT13" s="41" t="str">
        <f t="shared" si="164"/>
        <v>-</v>
      </c>
      <c r="HU13" s="43" t="str">
        <f t="shared" si="182"/>
        <v>-</v>
      </c>
      <c r="HV13" s="44" t="str">
        <f t="shared" si="165"/>
        <v/>
      </c>
      <c r="HW13" s="45" t="str">
        <f t="shared" si="166"/>
        <v/>
      </c>
      <c r="HX13" s="44" t="str">
        <f t="shared" si="183"/>
        <v/>
      </c>
      <c r="HY13" s="44" t="str">
        <f t="shared" si="167"/>
        <v/>
      </c>
      <c r="HZ13" s="44" t="str">
        <f t="shared" si="168"/>
        <v/>
      </c>
      <c r="IA13" s="43" t="str">
        <f t="shared" si="169"/>
        <v/>
      </c>
      <c r="IB13" s="44" t="str">
        <f t="shared" si="170"/>
        <v/>
      </c>
      <c r="IC13" s="45" t="str">
        <f t="shared" si="171"/>
        <v/>
      </c>
      <c r="ID13" s="43" t="str">
        <f t="shared" si="172"/>
        <v/>
      </c>
      <c r="IE13" s="44" t="str">
        <f t="shared" si="173"/>
        <v/>
      </c>
      <c r="IF13" s="45" t="str">
        <f t="shared" si="174"/>
        <v/>
      </c>
      <c r="IH13" s="66">
        <v>13</v>
      </c>
      <c r="II13" s="66" t="e">
        <f t="shared" ca="1" si="175"/>
        <v>#N/A</v>
      </c>
      <c r="IJ13" s="66" t="e">
        <f t="shared" ca="1" si="176"/>
        <v>#N/A</v>
      </c>
      <c r="IK13" s="66" t="e">
        <f t="shared" ca="1" si="177"/>
        <v>#N/A</v>
      </c>
      <c r="IL13" s="66" t="e">
        <f t="shared" ca="1" si="178"/>
        <v>#N/A</v>
      </c>
      <c r="IN13" s="75" t="e">
        <f t="shared" ca="1" si="184"/>
        <v>#N/A</v>
      </c>
      <c r="IO13" s="75" t="e">
        <f t="shared" ca="1" si="185"/>
        <v>#N/A</v>
      </c>
      <c r="IP13" s="75" t="e">
        <f t="shared" ca="1" si="186"/>
        <v>#N/A</v>
      </c>
      <c r="IQ13" s="75" t="e">
        <f t="shared" ca="1" si="187"/>
        <v>#N/A</v>
      </c>
      <c r="IR13" s="74" t="e">
        <f t="shared" ca="1" si="188"/>
        <v>#N/A</v>
      </c>
    </row>
    <row r="14" spans="1:252" x14ac:dyDescent="0.35">
      <c r="A14" s="28">
        <v>0</v>
      </c>
      <c r="B14" s="28">
        <v>1</v>
      </c>
      <c r="C14" s="28">
        <v>1</v>
      </c>
      <c r="D14" s="1"/>
      <c r="E14" s="4"/>
      <c r="F14" t="s">
        <v>278</v>
      </c>
      <c r="G14" s="5" t="s">
        <v>530</v>
      </c>
      <c r="H14" s="4" t="s">
        <v>535</v>
      </c>
      <c r="I14" s="7" t="s">
        <v>536</v>
      </c>
      <c r="J14" s="276" t="s">
        <v>805</v>
      </c>
      <c r="K14" s="110" t="s">
        <v>805</v>
      </c>
      <c r="L14" s="110" t="s">
        <v>805</v>
      </c>
      <c r="M14" s="110" t="s">
        <v>805</v>
      </c>
      <c r="N14" s="110" t="s">
        <v>805</v>
      </c>
      <c r="O14" s="110" t="s">
        <v>805</v>
      </c>
      <c r="P14" s="110" t="s">
        <v>805</v>
      </c>
      <c r="Q14" s="110" t="s">
        <v>805</v>
      </c>
      <c r="R14" s="110" t="s">
        <v>805</v>
      </c>
      <c r="S14" s="110" t="s">
        <v>805</v>
      </c>
      <c r="T14" s="110" t="s">
        <v>805</v>
      </c>
      <c r="U14" s="110" t="s">
        <v>805</v>
      </c>
      <c r="V14" s="110" t="s">
        <v>805</v>
      </c>
      <c r="W14" s="110" t="s">
        <v>805</v>
      </c>
      <c r="X14" s="110" t="s">
        <v>805</v>
      </c>
      <c r="Y14" s="110" t="s">
        <v>805</v>
      </c>
      <c r="Z14" s="110" t="s">
        <v>805</v>
      </c>
      <c r="AA14" s="110" t="s">
        <v>805</v>
      </c>
      <c r="AB14" s="110" t="s">
        <v>805</v>
      </c>
      <c r="AC14" s="110" t="s">
        <v>805</v>
      </c>
      <c r="AD14" s="110" t="s">
        <v>805</v>
      </c>
      <c r="AE14" s="110" t="s">
        <v>805</v>
      </c>
      <c r="AF14" s="110" t="s">
        <v>805</v>
      </c>
      <c r="AG14" s="110" t="s">
        <v>805</v>
      </c>
      <c r="AH14" s="110" t="s">
        <v>805</v>
      </c>
      <c r="AI14" s="110" t="s">
        <v>805</v>
      </c>
      <c r="AJ14" s="110" t="s">
        <v>805</v>
      </c>
      <c r="AK14" s="110" t="s">
        <v>805</v>
      </c>
      <c r="AL14" s="110" t="s">
        <v>805</v>
      </c>
      <c r="AM14" s="110" t="s">
        <v>805</v>
      </c>
      <c r="AN14" s="110" t="s">
        <v>805</v>
      </c>
      <c r="AO14" s="110" t="s">
        <v>805</v>
      </c>
      <c r="AP14" s="110" t="s">
        <v>805</v>
      </c>
      <c r="AQ14" s="110" t="s">
        <v>805</v>
      </c>
      <c r="AR14" s="110" t="s">
        <v>805</v>
      </c>
      <c r="AS14" s="110" t="s">
        <v>805</v>
      </c>
      <c r="AT14" s="110" t="s">
        <v>805</v>
      </c>
      <c r="AU14" s="110" t="s">
        <v>805</v>
      </c>
      <c r="AV14" s="110" t="s">
        <v>805</v>
      </c>
      <c r="AW14" s="110" t="s">
        <v>805</v>
      </c>
      <c r="AX14" s="110" t="s">
        <v>805</v>
      </c>
      <c r="AY14" s="110" t="s">
        <v>805</v>
      </c>
      <c r="AZ14" s="110" t="s">
        <v>805</v>
      </c>
      <c r="BA14" s="110" t="s">
        <v>805</v>
      </c>
      <c r="BB14" s="110" t="s">
        <v>805</v>
      </c>
      <c r="BC14" s="110" t="s">
        <v>805</v>
      </c>
      <c r="BD14" s="110" t="s">
        <v>805</v>
      </c>
      <c r="BE14" s="110" t="s">
        <v>805</v>
      </c>
      <c r="BF14" s="110" t="s">
        <v>805</v>
      </c>
      <c r="BG14" s="110" t="s">
        <v>805</v>
      </c>
      <c r="BH14" s="110" t="s">
        <v>805</v>
      </c>
      <c r="BI14" s="110" t="s">
        <v>805</v>
      </c>
      <c r="BJ14" s="110" t="s">
        <v>805</v>
      </c>
      <c r="BK14" s="110" t="s">
        <v>805</v>
      </c>
      <c r="BL14" s="110" t="s">
        <v>805</v>
      </c>
      <c r="BM14" s="110" t="s">
        <v>805</v>
      </c>
      <c r="BN14" s="110" t="s">
        <v>805</v>
      </c>
      <c r="BO14" s="110" t="s">
        <v>805</v>
      </c>
      <c r="BP14" s="110" t="s">
        <v>805</v>
      </c>
      <c r="BQ14" s="110" t="s">
        <v>805</v>
      </c>
      <c r="BR14" s="110" t="s">
        <v>805</v>
      </c>
      <c r="BS14" s="110" t="s">
        <v>805</v>
      </c>
      <c r="BT14" s="110" t="s">
        <v>805</v>
      </c>
      <c r="BU14" s="110" t="s">
        <v>805</v>
      </c>
      <c r="BV14" s="110" t="s">
        <v>805</v>
      </c>
      <c r="BW14" s="110" t="s">
        <v>805</v>
      </c>
      <c r="BX14" s="110" t="s">
        <v>805</v>
      </c>
      <c r="BY14" s="110" t="s">
        <v>805</v>
      </c>
      <c r="BZ14" s="110" t="s">
        <v>805</v>
      </c>
      <c r="CA14" s="110" t="s">
        <v>805</v>
      </c>
      <c r="CB14" s="110" t="s">
        <v>805</v>
      </c>
      <c r="CC14" s="110" t="s">
        <v>805</v>
      </c>
      <c r="CD14" s="110" t="s">
        <v>805</v>
      </c>
      <c r="CE14" s="110" t="s">
        <v>805</v>
      </c>
      <c r="CF14" s="110" t="s">
        <v>805</v>
      </c>
      <c r="CG14" s="110" t="s">
        <v>805</v>
      </c>
      <c r="CH14" s="110" t="s">
        <v>805</v>
      </c>
      <c r="CI14" s="110" t="s">
        <v>805</v>
      </c>
      <c r="CJ14" s="110" t="s">
        <v>805</v>
      </c>
      <c r="CK14" s="110" t="s">
        <v>805</v>
      </c>
      <c r="CL14" s="110" t="s">
        <v>805</v>
      </c>
      <c r="CM14" s="110" t="s">
        <v>805</v>
      </c>
      <c r="CN14" s="110" t="s">
        <v>805</v>
      </c>
      <c r="CO14" s="110" t="s">
        <v>805</v>
      </c>
      <c r="CP14" s="110" t="s">
        <v>805</v>
      </c>
      <c r="CQ14" s="110" t="s">
        <v>805</v>
      </c>
      <c r="CR14" s="110" t="s">
        <v>805</v>
      </c>
      <c r="CS14" s="110" t="s">
        <v>805</v>
      </c>
      <c r="CT14" s="110" t="s">
        <v>805</v>
      </c>
      <c r="CU14" s="110" t="s">
        <v>805</v>
      </c>
      <c r="CV14" s="110" t="s">
        <v>805</v>
      </c>
      <c r="CW14" s="110" t="s">
        <v>805</v>
      </c>
      <c r="CX14" s="110" t="s">
        <v>805</v>
      </c>
      <c r="CY14" s="110" t="s">
        <v>805</v>
      </c>
      <c r="CZ14" s="110" t="s">
        <v>805</v>
      </c>
      <c r="DA14" s="110" t="s">
        <v>805</v>
      </c>
      <c r="DB14" s="110" t="s">
        <v>805</v>
      </c>
      <c r="DC14" s="110" t="s">
        <v>805</v>
      </c>
      <c r="DD14" s="110" t="s">
        <v>805</v>
      </c>
      <c r="DE14" s="110" t="s">
        <v>805</v>
      </c>
      <c r="DF14" s="110" t="s">
        <v>805</v>
      </c>
      <c r="DG14" s="28">
        <f>'KPI Count-SHARE'!J10</f>
        <v>0</v>
      </c>
      <c r="DH14" s="114"/>
      <c r="DI14" s="114"/>
      <c r="DJ14" s="114"/>
      <c r="DK14" s="28">
        <f>'KPI Count-SHARE'!K10</f>
        <v>0</v>
      </c>
      <c r="DL14" s="118"/>
      <c r="DM14" s="118"/>
      <c r="DN14" s="118"/>
      <c r="DO14" s="28">
        <f>'KPI Count-SHARE'!L10</f>
        <v>0</v>
      </c>
      <c r="DP14" s="118"/>
      <c r="DQ14" s="118"/>
      <c r="DR14" s="118"/>
      <c r="DS14" s="28">
        <f>'KPI Count-SHARE'!M10</f>
        <v>0</v>
      </c>
      <c r="DT14" s="118"/>
      <c r="DU14" s="118"/>
      <c r="DV14" s="118"/>
      <c r="DW14" s="30" t="str">
        <f t="shared" si="189"/>
        <v>USD' 000 per FTE</v>
      </c>
      <c r="DX14" s="41" t="str">
        <f t="shared" si="79"/>
        <v>-</v>
      </c>
      <c r="DY14" s="41" t="str">
        <f t="shared" si="80"/>
        <v>-</v>
      </c>
      <c r="DZ14" s="41" t="str">
        <f t="shared" si="81"/>
        <v>-</v>
      </c>
      <c r="EA14" s="41" t="str">
        <f t="shared" si="179"/>
        <v>-</v>
      </c>
      <c r="EB14" s="41" t="str">
        <f t="shared" si="180"/>
        <v>-</v>
      </c>
      <c r="EC14" s="41" t="str">
        <f t="shared" si="181"/>
        <v>-</v>
      </c>
      <c r="ED14" s="41" t="str">
        <f t="shared" si="82"/>
        <v>-</v>
      </c>
      <c r="EE14" s="41" t="str">
        <f t="shared" si="83"/>
        <v>-</v>
      </c>
      <c r="EF14" s="41" t="str">
        <f t="shared" si="84"/>
        <v>-</v>
      </c>
      <c r="EG14" s="41" t="str">
        <f t="shared" si="85"/>
        <v>-</v>
      </c>
      <c r="EH14" s="41" t="str">
        <f t="shared" si="86"/>
        <v>-</v>
      </c>
      <c r="EI14" s="41" t="str">
        <f t="shared" si="87"/>
        <v>-</v>
      </c>
      <c r="EJ14" s="41" t="str">
        <f t="shared" si="87"/>
        <v>-</v>
      </c>
      <c r="EK14" s="41" t="str">
        <f t="shared" si="87"/>
        <v>-</v>
      </c>
      <c r="EL14" s="41" t="str">
        <f t="shared" si="87"/>
        <v>-</v>
      </c>
      <c r="EM14" s="41" t="str">
        <f t="shared" si="87"/>
        <v>-</v>
      </c>
      <c r="EN14" s="41" t="str">
        <f t="shared" si="87"/>
        <v>-</v>
      </c>
      <c r="EO14" s="41" t="str">
        <f t="shared" si="87"/>
        <v>-</v>
      </c>
      <c r="EP14" s="41" t="str">
        <f t="shared" si="87"/>
        <v>-</v>
      </c>
      <c r="EQ14" s="41" t="str">
        <f t="shared" si="87"/>
        <v>-</v>
      </c>
      <c r="ER14" s="41" t="str">
        <f t="shared" si="87"/>
        <v>-</v>
      </c>
      <c r="ES14" s="41" t="str">
        <f t="shared" si="87"/>
        <v>-</v>
      </c>
      <c r="ET14" s="41" t="str">
        <f t="shared" si="87"/>
        <v>-</v>
      </c>
      <c r="EU14" s="41" t="str">
        <f t="shared" si="88"/>
        <v>-</v>
      </c>
      <c r="EV14" s="41" t="str">
        <f t="shared" si="89"/>
        <v>-</v>
      </c>
      <c r="EW14" s="41" t="str">
        <f t="shared" si="90"/>
        <v>-</v>
      </c>
      <c r="EX14" s="41" t="str">
        <f t="shared" si="91"/>
        <v>-</v>
      </c>
      <c r="EY14" s="41" t="str">
        <f t="shared" si="92"/>
        <v>-</v>
      </c>
      <c r="EZ14" s="41" t="str">
        <f t="shared" si="93"/>
        <v>-</v>
      </c>
      <c r="FA14" s="41" t="str">
        <f t="shared" si="94"/>
        <v>-</v>
      </c>
      <c r="FB14" s="41" t="str">
        <f t="shared" si="95"/>
        <v>-</v>
      </c>
      <c r="FC14" s="41" t="str">
        <f t="shared" si="96"/>
        <v>-</v>
      </c>
      <c r="FD14" s="41" t="str">
        <f t="shared" si="97"/>
        <v>-</v>
      </c>
      <c r="FE14" s="41" t="str">
        <f t="shared" si="98"/>
        <v>-</v>
      </c>
      <c r="FF14" s="41" t="str">
        <f t="shared" si="99"/>
        <v>-</v>
      </c>
      <c r="FG14" s="41" t="str">
        <f t="shared" si="100"/>
        <v>-</v>
      </c>
      <c r="FH14" s="41" t="str">
        <f t="shared" si="101"/>
        <v>-</v>
      </c>
      <c r="FI14" s="41" t="str">
        <f t="shared" si="102"/>
        <v>-</v>
      </c>
      <c r="FJ14" s="41" t="str">
        <f t="shared" si="103"/>
        <v>-</v>
      </c>
      <c r="FK14" s="41" t="str">
        <f t="shared" si="104"/>
        <v>-</v>
      </c>
      <c r="FL14" s="41" t="str">
        <f t="shared" si="105"/>
        <v>-</v>
      </c>
      <c r="FM14" s="41" t="str">
        <f t="shared" si="106"/>
        <v>-</v>
      </c>
      <c r="FN14" s="41" t="str">
        <f t="shared" si="107"/>
        <v>-</v>
      </c>
      <c r="FO14" s="41" t="str">
        <f t="shared" si="108"/>
        <v>-</v>
      </c>
      <c r="FP14" s="41" t="str">
        <f t="shared" si="109"/>
        <v>-</v>
      </c>
      <c r="FQ14" s="41" t="str">
        <f t="shared" si="110"/>
        <v>-</v>
      </c>
      <c r="FR14" s="41" t="str">
        <f t="shared" si="111"/>
        <v>-</v>
      </c>
      <c r="FS14" s="41" t="str">
        <f t="shared" si="112"/>
        <v>-</v>
      </c>
      <c r="FT14" s="41" t="str">
        <f t="shared" si="113"/>
        <v>-</v>
      </c>
      <c r="FU14" s="41" t="str">
        <f t="shared" si="114"/>
        <v>-</v>
      </c>
      <c r="FV14" s="41" t="str">
        <f t="shared" si="115"/>
        <v>-</v>
      </c>
      <c r="FW14" s="41" t="str">
        <f t="shared" si="116"/>
        <v>-</v>
      </c>
      <c r="FX14" s="41" t="str">
        <f t="shared" si="117"/>
        <v>-</v>
      </c>
      <c r="FY14" s="41" t="str">
        <f t="shared" si="118"/>
        <v>-</v>
      </c>
      <c r="FZ14" s="41" t="str">
        <f t="shared" si="119"/>
        <v>-</v>
      </c>
      <c r="GA14" s="41" t="str">
        <f t="shared" si="120"/>
        <v>-</v>
      </c>
      <c r="GB14" s="41" t="str">
        <f t="shared" si="121"/>
        <v>-</v>
      </c>
      <c r="GC14" s="41" t="str">
        <f t="shared" si="122"/>
        <v>-</v>
      </c>
      <c r="GD14" s="41" t="str">
        <f t="shared" si="123"/>
        <v>-</v>
      </c>
      <c r="GE14" s="41" t="str">
        <f t="shared" si="124"/>
        <v>-</v>
      </c>
      <c r="GF14" s="41" t="str">
        <f t="shared" si="125"/>
        <v>-</v>
      </c>
      <c r="GG14" s="41" t="str">
        <f t="shared" si="126"/>
        <v>-</v>
      </c>
      <c r="GH14" s="41" t="str">
        <f t="shared" si="127"/>
        <v>-</v>
      </c>
      <c r="GI14" s="41" t="str">
        <f t="shared" si="128"/>
        <v>-</v>
      </c>
      <c r="GJ14" s="41" t="str">
        <f t="shared" si="129"/>
        <v>-</v>
      </c>
      <c r="GK14" s="41" t="str">
        <f t="shared" si="130"/>
        <v>-</v>
      </c>
      <c r="GL14" s="41" t="str">
        <f t="shared" si="131"/>
        <v>-</v>
      </c>
      <c r="GM14" s="41" t="str">
        <f t="shared" si="132"/>
        <v>-</v>
      </c>
      <c r="GN14" s="41" t="str">
        <f t="shared" si="133"/>
        <v>-</v>
      </c>
      <c r="GO14" s="41" t="str">
        <f t="shared" si="134"/>
        <v>-</v>
      </c>
      <c r="GP14" s="41" t="str">
        <f t="shared" si="135"/>
        <v>-</v>
      </c>
      <c r="GQ14" s="41" t="str">
        <f t="shared" si="136"/>
        <v>-</v>
      </c>
      <c r="GR14" s="41" t="str">
        <f t="shared" si="137"/>
        <v>-</v>
      </c>
      <c r="GS14" s="41" t="str">
        <f t="shared" si="138"/>
        <v>-</v>
      </c>
      <c r="GT14" s="41" t="str">
        <f t="shared" si="139"/>
        <v>-</v>
      </c>
      <c r="GU14" s="41" t="str">
        <f t="shared" si="140"/>
        <v>-</v>
      </c>
      <c r="GV14" s="41" t="str">
        <f t="shared" si="141"/>
        <v>-</v>
      </c>
      <c r="GW14" s="41" t="str">
        <f t="shared" si="142"/>
        <v>-</v>
      </c>
      <c r="GX14" s="41" t="str">
        <f t="shared" si="143"/>
        <v>-</v>
      </c>
      <c r="GY14" s="41" t="str">
        <f t="shared" si="144"/>
        <v>-</v>
      </c>
      <c r="GZ14" s="41" t="str">
        <f t="shared" si="145"/>
        <v>-</v>
      </c>
      <c r="HA14" s="41" t="str">
        <f t="shared" si="146"/>
        <v>-</v>
      </c>
      <c r="HB14" s="41" t="str">
        <f t="shared" si="147"/>
        <v>-</v>
      </c>
      <c r="HC14" s="41" t="str">
        <f t="shared" si="148"/>
        <v>-</v>
      </c>
      <c r="HD14" s="41" t="str">
        <f t="shared" si="149"/>
        <v>-</v>
      </c>
      <c r="HE14" s="41" t="str">
        <f t="shared" si="150"/>
        <v>-</v>
      </c>
      <c r="HF14" s="41" t="str">
        <f t="shared" si="151"/>
        <v>-</v>
      </c>
      <c r="HG14" s="41" t="str">
        <f t="shared" si="152"/>
        <v>-</v>
      </c>
      <c r="HH14" s="41" t="str">
        <f t="shared" si="153"/>
        <v>-</v>
      </c>
      <c r="HI14" s="41" t="str">
        <f t="shared" si="154"/>
        <v>-</v>
      </c>
      <c r="HJ14" s="41" t="str">
        <f t="shared" si="155"/>
        <v>-</v>
      </c>
      <c r="HK14" s="41" t="str">
        <f t="shared" si="156"/>
        <v>-</v>
      </c>
      <c r="HL14" s="41" t="str">
        <f t="shared" si="157"/>
        <v>-</v>
      </c>
      <c r="HM14" s="41" t="str">
        <f t="shared" si="158"/>
        <v>-</v>
      </c>
      <c r="HN14" s="41" t="str">
        <f t="shared" si="159"/>
        <v>-</v>
      </c>
      <c r="HO14" s="41" t="str">
        <f t="shared" si="160"/>
        <v>-</v>
      </c>
      <c r="HP14" s="41" t="str">
        <f t="shared" si="161"/>
        <v>-</v>
      </c>
      <c r="HQ14" s="41" t="str">
        <f t="shared" si="162"/>
        <v>-</v>
      </c>
      <c r="HR14" s="41" t="str">
        <f t="shared" si="163"/>
        <v>-</v>
      </c>
      <c r="HS14" s="41" t="str">
        <f t="shared" si="164"/>
        <v>-</v>
      </c>
      <c r="HT14" s="41" t="str">
        <f t="shared" si="164"/>
        <v>-</v>
      </c>
      <c r="HU14" s="43" t="str">
        <f t="shared" si="182"/>
        <v>-</v>
      </c>
      <c r="HV14" s="44" t="str">
        <f t="shared" si="165"/>
        <v/>
      </c>
      <c r="HW14" s="45" t="str">
        <f t="shared" si="166"/>
        <v/>
      </c>
      <c r="HX14" s="44" t="str">
        <f t="shared" si="183"/>
        <v/>
      </c>
      <c r="HY14" s="44" t="str">
        <f t="shared" si="167"/>
        <v/>
      </c>
      <c r="HZ14" s="44" t="str">
        <f t="shared" si="168"/>
        <v/>
      </c>
      <c r="IA14" s="43" t="str">
        <f t="shared" si="169"/>
        <v/>
      </c>
      <c r="IB14" s="44" t="str">
        <f t="shared" si="170"/>
        <v/>
      </c>
      <c r="IC14" s="45" t="str">
        <f t="shared" si="171"/>
        <v/>
      </c>
      <c r="ID14" s="43" t="str">
        <f t="shared" si="172"/>
        <v/>
      </c>
      <c r="IE14" s="44" t="str">
        <f t="shared" si="173"/>
        <v/>
      </c>
      <c r="IF14" s="45" t="str">
        <f t="shared" si="174"/>
        <v/>
      </c>
      <c r="IH14" s="66">
        <v>14</v>
      </c>
      <c r="II14" s="66" t="e">
        <f t="shared" ca="1" si="175"/>
        <v>#N/A</v>
      </c>
      <c r="IJ14" s="66" t="e">
        <f t="shared" ca="1" si="176"/>
        <v>#N/A</v>
      </c>
      <c r="IK14" s="66" t="e">
        <f t="shared" ca="1" si="177"/>
        <v>#N/A</v>
      </c>
      <c r="IL14" s="66" t="e">
        <f t="shared" ca="1" si="178"/>
        <v>#N/A</v>
      </c>
      <c r="IN14" s="75" t="e">
        <f t="shared" ca="1" si="184"/>
        <v>#N/A</v>
      </c>
      <c r="IO14" s="75" t="e">
        <f t="shared" ca="1" si="185"/>
        <v>#N/A</v>
      </c>
      <c r="IP14" s="75" t="e">
        <f t="shared" ca="1" si="186"/>
        <v>#N/A</v>
      </c>
      <c r="IQ14" s="75" t="e">
        <f t="shared" ca="1" si="187"/>
        <v>#N/A</v>
      </c>
      <c r="IR14" s="74" t="e">
        <f t="shared" ca="1" si="188"/>
        <v>#N/A</v>
      </c>
    </row>
    <row r="15" spans="1:252" s="1" customFormat="1" x14ac:dyDescent="0.35">
      <c r="A15" s="33">
        <v>0</v>
      </c>
      <c r="B15" s="33">
        <v>1</v>
      </c>
      <c r="C15" s="33">
        <v>1</v>
      </c>
      <c r="E15" s="4"/>
      <c r="F15" t="s">
        <v>279</v>
      </c>
      <c r="G15" s="5" t="s">
        <v>530</v>
      </c>
      <c r="H15" s="4" t="s">
        <v>535</v>
      </c>
      <c r="I15" s="7" t="s">
        <v>536</v>
      </c>
      <c r="J15" s="276" t="s">
        <v>805</v>
      </c>
      <c r="K15" s="110" t="s">
        <v>805</v>
      </c>
      <c r="L15" s="110" t="s">
        <v>805</v>
      </c>
      <c r="M15" s="110" t="s">
        <v>805</v>
      </c>
      <c r="N15" s="110" t="s">
        <v>805</v>
      </c>
      <c r="O15" s="110" t="s">
        <v>805</v>
      </c>
      <c r="P15" s="110" t="s">
        <v>805</v>
      </c>
      <c r="Q15" s="110" t="s">
        <v>805</v>
      </c>
      <c r="R15" s="110" t="s">
        <v>805</v>
      </c>
      <c r="S15" s="110" t="s">
        <v>805</v>
      </c>
      <c r="T15" s="110" t="s">
        <v>805</v>
      </c>
      <c r="U15" s="110" t="s">
        <v>805</v>
      </c>
      <c r="V15" s="110" t="s">
        <v>805</v>
      </c>
      <c r="W15" s="110" t="s">
        <v>805</v>
      </c>
      <c r="X15" s="110" t="s">
        <v>805</v>
      </c>
      <c r="Y15" s="110" t="s">
        <v>805</v>
      </c>
      <c r="Z15" s="110" t="s">
        <v>805</v>
      </c>
      <c r="AA15" s="110" t="s">
        <v>805</v>
      </c>
      <c r="AB15" s="110" t="s">
        <v>805</v>
      </c>
      <c r="AC15" s="110" t="s">
        <v>805</v>
      </c>
      <c r="AD15" s="110" t="s">
        <v>805</v>
      </c>
      <c r="AE15" s="110" t="s">
        <v>805</v>
      </c>
      <c r="AF15" s="110" t="s">
        <v>805</v>
      </c>
      <c r="AG15" s="110" t="s">
        <v>805</v>
      </c>
      <c r="AH15" s="110" t="s">
        <v>805</v>
      </c>
      <c r="AI15" s="110" t="s">
        <v>805</v>
      </c>
      <c r="AJ15" s="110" t="s">
        <v>805</v>
      </c>
      <c r="AK15" s="110" t="s">
        <v>805</v>
      </c>
      <c r="AL15" s="110" t="s">
        <v>805</v>
      </c>
      <c r="AM15" s="110" t="s">
        <v>805</v>
      </c>
      <c r="AN15" s="110" t="s">
        <v>805</v>
      </c>
      <c r="AO15" s="110" t="s">
        <v>805</v>
      </c>
      <c r="AP15" s="110" t="s">
        <v>805</v>
      </c>
      <c r="AQ15" s="110" t="s">
        <v>805</v>
      </c>
      <c r="AR15" s="110" t="s">
        <v>805</v>
      </c>
      <c r="AS15" s="110" t="s">
        <v>805</v>
      </c>
      <c r="AT15" s="110" t="s">
        <v>805</v>
      </c>
      <c r="AU15" s="110" t="s">
        <v>805</v>
      </c>
      <c r="AV15" s="110" t="s">
        <v>805</v>
      </c>
      <c r="AW15" s="110" t="s">
        <v>805</v>
      </c>
      <c r="AX15" s="110" t="s">
        <v>805</v>
      </c>
      <c r="AY15" s="110" t="s">
        <v>805</v>
      </c>
      <c r="AZ15" s="110" t="s">
        <v>805</v>
      </c>
      <c r="BA15" s="110" t="s">
        <v>805</v>
      </c>
      <c r="BB15" s="110" t="s">
        <v>805</v>
      </c>
      <c r="BC15" s="110" t="s">
        <v>805</v>
      </c>
      <c r="BD15" s="110" t="s">
        <v>805</v>
      </c>
      <c r="BE15" s="110" t="s">
        <v>805</v>
      </c>
      <c r="BF15" s="110" t="s">
        <v>805</v>
      </c>
      <c r="BG15" s="110" t="s">
        <v>805</v>
      </c>
      <c r="BH15" s="110" t="s">
        <v>805</v>
      </c>
      <c r="BI15" s="110" t="s">
        <v>805</v>
      </c>
      <c r="BJ15" s="110" t="s">
        <v>805</v>
      </c>
      <c r="BK15" s="110" t="s">
        <v>805</v>
      </c>
      <c r="BL15" s="110" t="s">
        <v>805</v>
      </c>
      <c r="BM15" s="110" t="s">
        <v>805</v>
      </c>
      <c r="BN15" s="110" t="s">
        <v>805</v>
      </c>
      <c r="BO15" s="110" t="s">
        <v>805</v>
      </c>
      <c r="BP15" s="110" t="s">
        <v>805</v>
      </c>
      <c r="BQ15" s="110" t="s">
        <v>805</v>
      </c>
      <c r="BR15" s="110" t="s">
        <v>805</v>
      </c>
      <c r="BS15" s="110" t="s">
        <v>805</v>
      </c>
      <c r="BT15" s="110" t="s">
        <v>805</v>
      </c>
      <c r="BU15" s="110" t="s">
        <v>805</v>
      </c>
      <c r="BV15" s="110" t="s">
        <v>805</v>
      </c>
      <c r="BW15" s="110" t="s">
        <v>805</v>
      </c>
      <c r="BX15" s="110" t="s">
        <v>805</v>
      </c>
      <c r="BY15" s="110" t="s">
        <v>805</v>
      </c>
      <c r="BZ15" s="110" t="s">
        <v>805</v>
      </c>
      <c r="CA15" s="110" t="s">
        <v>805</v>
      </c>
      <c r="CB15" s="110" t="s">
        <v>805</v>
      </c>
      <c r="CC15" s="110" t="s">
        <v>805</v>
      </c>
      <c r="CD15" s="110" t="s">
        <v>805</v>
      </c>
      <c r="CE15" s="110" t="s">
        <v>805</v>
      </c>
      <c r="CF15" s="110" t="s">
        <v>805</v>
      </c>
      <c r="CG15" s="110" t="s">
        <v>805</v>
      </c>
      <c r="CH15" s="110" t="s">
        <v>805</v>
      </c>
      <c r="CI15" s="110" t="s">
        <v>805</v>
      </c>
      <c r="CJ15" s="110" t="s">
        <v>805</v>
      </c>
      <c r="CK15" s="110" t="s">
        <v>805</v>
      </c>
      <c r="CL15" s="110" t="s">
        <v>805</v>
      </c>
      <c r="CM15" s="110" t="s">
        <v>805</v>
      </c>
      <c r="CN15" s="110" t="s">
        <v>805</v>
      </c>
      <c r="CO15" s="110" t="s">
        <v>805</v>
      </c>
      <c r="CP15" s="110" t="s">
        <v>805</v>
      </c>
      <c r="CQ15" s="110" t="s">
        <v>805</v>
      </c>
      <c r="CR15" s="110" t="s">
        <v>805</v>
      </c>
      <c r="CS15" s="110" t="s">
        <v>805</v>
      </c>
      <c r="CT15" s="110" t="s">
        <v>805</v>
      </c>
      <c r="CU15" s="110" t="s">
        <v>805</v>
      </c>
      <c r="CV15" s="110" t="s">
        <v>805</v>
      </c>
      <c r="CW15" s="110" t="s">
        <v>805</v>
      </c>
      <c r="CX15" s="110" t="s">
        <v>805</v>
      </c>
      <c r="CY15" s="110" t="s">
        <v>805</v>
      </c>
      <c r="CZ15" s="110" t="s">
        <v>805</v>
      </c>
      <c r="DA15" s="110" t="s">
        <v>805</v>
      </c>
      <c r="DB15" s="110" t="s">
        <v>805</v>
      </c>
      <c r="DC15" s="110" t="s">
        <v>805</v>
      </c>
      <c r="DD15" s="110" t="s">
        <v>805</v>
      </c>
      <c r="DE15" s="110" t="s">
        <v>805</v>
      </c>
      <c r="DF15" s="110" t="s">
        <v>805</v>
      </c>
      <c r="DG15" s="28">
        <f>'KPI Count-SHARE'!J11</f>
        <v>0</v>
      </c>
      <c r="DH15" s="114"/>
      <c r="DI15" s="114"/>
      <c r="DJ15" s="114"/>
      <c r="DK15" s="28">
        <f>'KPI Count-SHARE'!K11</f>
        <v>0</v>
      </c>
      <c r="DL15" s="118"/>
      <c r="DM15" s="118"/>
      <c r="DN15" s="118"/>
      <c r="DO15" s="28">
        <f>'KPI Count-SHARE'!L11</f>
        <v>0</v>
      </c>
      <c r="DP15" s="118"/>
      <c r="DQ15" s="118"/>
      <c r="DR15" s="118"/>
      <c r="DS15" s="28">
        <f>'KPI Count-SHARE'!M11</f>
        <v>0</v>
      </c>
      <c r="DT15" s="118"/>
      <c r="DU15" s="118"/>
      <c r="DV15" s="118"/>
      <c r="DW15" s="30" t="str">
        <f t="shared" si="189"/>
        <v>USD' 000 per FTE</v>
      </c>
      <c r="DX15" s="41" t="str">
        <f t="shared" si="79"/>
        <v>-</v>
      </c>
      <c r="DY15" s="41" t="str">
        <f t="shared" si="80"/>
        <v>-</v>
      </c>
      <c r="DZ15" s="41" t="str">
        <f t="shared" si="81"/>
        <v>-</v>
      </c>
      <c r="EA15" s="41" t="str">
        <f t="shared" si="179"/>
        <v>-</v>
      </c>
      <c r="EB15" s="41" t="str">
        <f t="shared" si="180"/>
        <v>-</v>
      </c>
      <c r="EC15" s="41" t="str">
        <f t="shared" si="181"/>
        <v>-</v>
      </c>
      <c r="ED15" s="41" t="str">
        <f t="shared" si="82"/>
        <v>-</v>
      </c>
      <c r="EE15" s="41" t="str">
        <f t="shared" si="83"/>
        <v>-</v>
      </c>
      <c r="EF15" s="41" t="str">
        <f t="shared" si="84"/>
        <v>-</v>
      </c>
      <c r="EG15" s="41" t="str">
        <f t="shared" si="85"/>
        <v>-</v>
      </c>
      <c r="EH15" s="41" t="str">
        <f t="shared" si="86"/>
        <v>-</v>
      </c>
      <c r="EI15" s="41" t="str">
        <f t="shared" si="87"/>
        <v>-</v>
      </c>
      <c r="EJ15" s="41" t="str">
        <f t="shared" si="87"/>
        <v>-</v>
      </c>
      <c r="EK15" s="41" t="str">
        <f t="shared" si="87"/>
        <v>-</v>
      </c>
      <c r="EL15" s="41" t="str">
        <f t="shared" si="87"/>
        <v>-</v>
      </c>
      <c r="EM15" s="41" t="str">
        <f t="shared" si="87"/>
        <v>-</v>
      </c>
      <c r="EN15" s="41" t="str">
        <f t="shared" si="87"/>
        <v>-</v>
      </c>
      <c r="EO15" s="41" t="str">
        <f t="shared" si="87"/>
        <v>-</v>
      </c>
      <c r="EP15" s="41" t="str">
        <f t="shared" si="87"/>
        <v>-</v>
      </c>
      <c r="EQ15" s="41" t="str">
        <f t="shared" si="87"/>
        <v>-</v>
      </c>
      <c r="ER15" s="41" t="str">
        <f t="shared" si="87"/>
        <v>-</v>
      </c>
      <c r="ES15" s="41" t="str">
        <f t="shared" si="87"/>
        <v>-</v>
      </c>
      <c r="ET15" s="41" t="str">
        <f t="shared" si="87"/>
        <v>-</v>
      </c>
      <c r="EU15" s="41" t="str">
        <f t="shared" si="88"/>
        <v>-</v>
      </c>
      <c r="EV15" s="41" t="str">
        <f t="shared" si="89"/>
        <v>-</v>
      </c>
      <c r="EW15" s="41" t="str">
        <f t="shared" si="90"/>
        <v>-</v>
      </c>
      <c r="EX15" s="41" t="str">
        <f t="shared" si="91"/>
        <v>-</v>
      </c>
      <c r="EY15" s="41" t="str">
        <f t="shared" si="92"/>
        <v>-</v>
      </c>
      <c r="EZ15" s="41" t="str">
        <f t="shared" si="93"/>
        <v>-</v>
      </c>
      <c r="FA15" s="41" t="str">
        <f t="shared" si="94"/>
        <v>-</v>
      </c>
      <c r="FB15" s="41" t="str">
        <f t="shared" si="95"/>
        <v>-</v>
      </c>
      <c r="FC15" s="41" t="str">
        <f t="shared" si="96"/>
        <v>-</v>
      </c>
      <c r="FD15" s="41" t="str">
        <f t="shared" si="97"/>
        <v>-</v>
      </c>
      <c r="FE15" s="41" t="str">
        <f t="shared" si="98"/>
        <v>-</v>
      </c>
      <c r="FF15" s="41" t="str">
        <f t="shared" si="99"/>
        <v>-</v>
      </c>
      <c r="FG15" s="41" t="str">
        <f t="shared" si="100"/>
        <v>-</v>
      </c>
      <c r="FH15" s="41" t="str">
        <f t="shared" si="101"/>
        <v>-</v>
      </c>
      <c r="FI15" s="41" t="str">
        <f t="shared" si="102"/>
        <v>-</v>
      </c>
      <c r="FJ15" s="41" t="str">
        <f t="shared" si="103"/>
        <v>-</v>
      </c>
      <c r="FK15" s="41" t="str">
        <f t="shared" si="104"/>
        <v>-</v>
      </c>
      <c r="FL15" s="41" t="str">
        <f t="shared" si="105"/>
        <v>-</v>
      </c>
      <c r="FM15" s="41" t="str">
        <f t="shared" si="106"/>
        <v>-</v>
      </c>
      <c r="FN15" s="41" t="str">
        <f t="shared" si="107"/>
        <v>-</v>
      </c>
      <c r="FO15" s="41" t="str">
        <f t="shared" si="108"/>
        <v>-</v>
      </c>
      <c r="FP15" s="41" t="str">
        <f t="shared" si="109"/>
        <v>-</v>
      </c>
      <c r="FQ15" s="41" t="str">
        <f t="shared" si="110"/>
        <v>-</v>
      </c>
      <c r="FR15" s="41" t="str">
        <f t="shared" si="111"/>
        <v>-</v>
      </c>
      <c r="FS15" s="41" t="str">
        <f t="shared" si="112"/>
        <v>-</v>
      </c>
      <c r="FT15" s="41" t="str">
        <f t="shared" si="113"/>
        <v>-</v>
      </c>
      <c r="FU15" s="41" t="str">
        <f t="shared" si="114"/>
        <v>-</v>
      </c>
      <c r="FV15" s="41" t="str">
        <f t="shared" si="115"/>
        <v>-</v>
      </c>
      <c r="FW15" s="41" t="str">
        <f t="shared" si="116"/>
        <v>-</v>
      </c>
      <c r="FX15" s="41" t="str">
        <f t="shared" si="117"/>
        <v>-</v>
      </c>
      <c r="FY15" s="41" t="str">
        <f t="shared" si="118"/>
        <v>-</v>
      </c>
      <c r="FZ15" s="41" t="str">
        <f t="shared" si="119"/>
        <v>-</v>
      </c>
      <c r="GA15" s="41" t="str">
        <f t="shared" si="120"/>
        <v>-</v>
      </c>
      <c r="GB15" s="41" t="str">
        <f t="shared" si="121"/>
        <v>-</v>
      </c>
      <c r="GC15" s="41" t="str">
        <f t="shared" si="122"/>
        <v>-</v>
      </c>
      <c r="GD15" s="41" t="str">
        <f t="shared" si="123"/>
        <v>-</v>
      </c>
      <c r="GE15" s="41" t="str">
        <f t="shared" si="124"/>
        <v>-</v>
      </c>
      <c r="GF15" s="41" t="str">
        <f t="shared" si="125"/>
        <v>-</v>
      </c>
      <c r="GG15" s="41" t="str">
        <f t="shared" si="126"/>
        <v>-</v>
      </c>
      <c r="GH15" s="41" t="str">
        <f t="shared" si="127"/>
        <v>-</v>
      </c>
      <c r="GI15" s="41" t="str">
        <f t="shared" si="128"/>
        <v>-</v>
      </c>
      <c r="GJ15" s="41" t="str">
        <f t="shared" si="129"/>
        <v>-</v>
      </c>
      <c r="GK15" s="41" t="str">
        <f t="shared" si="130"/>
        <v>-</v>
      </c>
      <c r="GL15" s="41" t="str">
        <f t="shared" si="131"/>
        <v>-</v>
      </c>
      <c r="GM15" s="41" t="str">
        <f t="shared" si="132"/>
        <v>-</v>
      </c>
      <c r="GN15" s="41" t="str">
        <f t="shared" si="133"/>
        <v>-</v>
      </c>
      <c r="GO15" s="41" t="str">
        <f t="shared" si="134"/>
        <v>-</v>
      </c>
      <c r="GP15" s="41" t="str">
        <f t="shared" si="135"/>
        <v>-</v>
      </c>
      <c r="GQ15" s="41" t="str">
        <f t="shared" si="136"/>
        <v>-</v>
      </c>
      <c r="GR15" s="41" t="str">
        <f t="shared" si="137"/>
        <v>-</v>
      </c>
      <c r="GS15" s="41" t="str">
        <f t="shared" si="138"/>
        <v>-</v>
      </c>
      <c r="GT15" s="41" t="str">
        <f t="shared" si="139"/>
        <v>-</v>
      </c>
      <c r="GU15" s="41" t="str">
        <f t="shared" si="140"/>
        <v>-</v>
      </c>
      <c r="GV15" s="41" t="str">
        <f t="shared" si="141"/>
        <v>-</v>
      </c>
      <c r="GW15" s="41" t="str">
        <f t="shared" si="142"/>
        <v>-</v>
      </c>
      <c r="GX15" s="41" t="str">
        <f t="shared" si="143"/>
        <v>-</v>
      </c>
      <c r="GY15" s="41" t="str">
        <f t="shared" si="144"/>
        <v>-</v>
      </c>
      <c r="GZ15" s="41" t="str">
        <f t="shared" si="145"/>
        <v>-</v>
      </c>
      <c r="HA15" s="41" t="str">
        <f t="shared" si="146"/>
        <v>-</v>
      </c>
      <c r="HB15" s="41" t="str">
        <f t="shared" si="147"/>
        <v>-</v>
      </c>
      <c r="HC15" s="41" t="str">
        <f t="shared" si="148"/>
        <v>-</v>
      </c>
      <c r="HD15" s="41" t="str">
        <f t="shared" si="149"/>
        <v>-</v>
      </c>
      <c r="HE15" s="41" t="str">
        <f t="shared" si="150"/>
        <v>-</v>
      </c>
      <c r="HF15" s="41" t="str">
        <f t="shared" si="151"/>
        <v>-</v>
      </c>
      <c r="HG15" s="41" t="str">
        <f t="shared" si="152"/>
        <v>-</v>
      </c>
      <c r="HH15" s="41" t="str">
        <f t="shared" si="153"/>
        <v>-</v>
      </c>
      <c r="HI15" s="41" t="str">
        <f t="shared" si="154"/>
        <v>-</v>
      </c>
      <c r="HJ15" s="41" t="str">
        <f t="shared" si="155"/>
        <v>-</v>
      </c>
      <c r="HK15" s="41" t="str">
        <f t="shared" si="156"/>
        <v>-</v>
      </c>
      <c r="HL15" s="41" t="str">
        <f t="shared" si="157"/>
        <v>-</v>
      </c>
      <c r="HM15" s="41" t="str">
        <f t="shared" si="158"/>
        <v>-</v>
      </c>
      <c r="HN15" s="41" t="str">
        <f t="shared" si="159"/>
        <v>-</v>
      </c>
      <c r="HO15" s="41" t="str">
        <f t="shared" si="160"/>
        <v>-</v>
      </c>
      <c r="HP15" s="41" t="str">
        <f t="shared" si="161"/>
        <v>-</v>
      </c>
      <c r="HQ15" s="41" t="str">
        <f t="shared" si="162"/>
        <v>-</v>
      </c>
      <c r="HR15" s="41" t="str">
        <f t="shared" si="163"/>
        <v>-</v>
      </c>
      <c r="HS15" s="41" t="str">
        <f t="shared" si="164"/>
        <v>-</v>
      </c>
      <c r="HT15" s="41" t="str">
        <f t="shared" si="164"/>
        <v>-</v>
      </c>
      <c r="HU15" s="43" t="str">
        <f t="shared" si="182"/>
        <v>-</v>
      </c>
      <c r="HV15" s="44" t="str">
        <f t="shared" si="165"/>
        <v/>
      </c>
      <c r="HW15" s="45" t="str">
        <f t="shared" si="166"/>
        <v/>
      </c>
      <c r="HX15" s="44" t="str">
        <f t="shared" si="183"/>
        <v/>
      </c>
      <c r="HY15" s="44" t="str">
        <f t="shared" si="167"/>
        <v/>
      </c>
      <c r="HZ15" s="44" t="str">
        <f t="shared" si="168"/>
        <v/>
      </c>
      <c r="IA15" s="43" t="str">
        <f t="shared" si="169"/>
        <v/>
      </c>
      <c r="IB15" s="44" t="str">
        <f t="shared" si="170"/>
        <v/>
      </c>
      <c r="IC15" s="45" t="str">
        <f t="shared" si="171"/>
        <v/>
      </c>
      <c r="ID15" s="43" t="str">
        <f t="shared" si="172"/>
        <v/>
      </c>
      <c r="IE15" s="44" t="str">
        <f t="shared" si="173"/>
        <v/>
      </c>
      <c r="IF15" s="45" t="str">
        <f t="shared" si="174"/>
        <v/>
      </c>
      <c r="IH15" s="66">
        <v>15</v>
      </c>
      <c r="II15" s="66" t="e">
        <f t="shared" ca="1" si="175"/>
        <v>#N/A</v>
      </c>
      <c r="IJ15" s="66" t="e">
        <f t="shared" ca="1" si="176"/>
        <v>#N/A</v>
      </c>
      <c r="IK15" s="66" t="e">
        <f t="shared" ca="1" si="177"/>
        <v>#N/A</v>
      </c>
      <c r="IL15" s="66" t="e">
        <f t="shared" ca="1" si="178"/>
        <v>#N/A</v>
      </c>
      <c r="IM15" s="33"/>
      <c r="IN15" s="75" t="e">
        <f t="shared" ca="1" si="184"/>
        <v>#N/A</v>
      </c>
      <c r="IO15" s="75" t="e">
        <f t="shared" ca="1" si="185"/>
        <v>#N/A</v>
      </c>
      <c r="IP15" s="75" t="e">
        <f t="shared" ca="1" si="186"/>
        <v>#N/A</v>
      </c>
      <c r="IQ15" s="75" t="e">
        <f t="shared" ca="1" si="187"/>
        <v>#N/A</v>
      </c>
      <c r="IR15" s="74" t="e">
        <f t="shared" ca="1" si="188"/>
        <v>#N/A</v>
      </c>
    </row>
    <row r="16" spans="1:252" s="1" customFormat="1" x14ac:dyDescent="0.35">
      <c r="A16" s="33">
        <v>0</v>
      </c>
      <c r="B16" s="33">
        <v>0</v>
      </c>
      <c r="C16" s="33">
        <v>1</v>
      </c>
      <c r="E16" s="4"/>
      <c r="F16" t="s">
        <v>280</v>
      </c>
      <c r="G16" s="5" t="s">
        <v>530</v>
      </c>
      <c r="H16" s="4" t="s">
        <v>535</v>
      </c>
      <c r="I16" s="7" t="s">
        <v>536</v>
      </c>
      <c r="J16" s="276" t="s">
        <v>805</v>
      </c>
      <c r="K16" s="111" t="s">
        <v>805</v>
      </c>
      <c r="L16" s="111" t="s">
        <v>805</v>
      </c>
      <c r="M16" s="111" t="s">
        <v>805</v>
      </c>
      <c r="N16" s="111" t="s">
        <v>805</v>
      </c>
      <c r="O16" s="111" t="s">
        <v>805</v>
      </c>
      <c r="P16" s="111" t="s">
        <v>805</v>
      </c>
      <c r="Q16" s="111" t="s">
        <v>805</v>
      </c>
      <c r="R16" s="111" t="s">
        <v>805</v>
      </c>
      <c r="S16" s="111" t="s">
        <v>805</v>
      </c>
      <c r="T16" s="111" t="s">
        <v>805</v>
      </c>
      <c r="U16" s="111" t="s">
        <v>805</v>
      </c>
      <c r="V16" s="111" t="s">
        <v>805</v>
      </c>
      <c r="W16" s="111" t="s">
        <v>805</v>
      </c>
      <c r="X16" s="111" t="s">
        <v>805</v>
      </c>
      <c r="Y16" s="111" t="s">
        <v>805</v>
      </c>
      <c r="Z16" s="111" t="s">
        <v>805</v>
      </c>
      <c r="AA16" s="111" t="s">
        <v>805</v>
      </c>
      <c r="AB16" s="111" t="s">
        <v>805</v>
      </c>
      <c r="AC16" s="111" t="s">
        <v>805</v>
      </c>
      <c r="AD16" s="111" t="s">
        <v>805</v>
      </c>
      <c r="AE16" s="111" t="s">
        <v>805</v>
      </c>
      <c r="AF16" s="111" t="s">
        <v>805</v>
      </c>
      <c r="AG16" s="111" t="s">
        <v>805</v>
      </c>
      <c r="AH16" s="111" t="s">
        <v>805</v>
      </c>
      <c r="AI16" s="111" t="s">
        <v>805</v>
      </c>
      <c r="AJ16" s="111" t="s">
        <v>805</v>
      </c>
      <c r="AK16" s="111" t="s">
        <v>805</v>
      </c>
      <c r="AL16" s="111" t="s">
        <v>805</v>
      </c>
      <c r="AM16" s="111" t="s">
        <v>805</v>
      </c>
      <c r="AN16" s="111" t="s">
        <v>805</v>
      </c>
      <c r="AO16" s="111" t="s">
        <v>805</v>
      </c>
      <c r="AP16" s="111" t="s">
        <v>805</v>
      </c>
      <c r="AQ16" s="111" t="s">
        <v>805</v>
      </c>
      <c r="AR16" s="111" t="s">
        <v>805</v>
      </c>
      <c r="AS16" s="111" t="s">
        <v>805</v>
      </c>
      <c r="AT16" s="111" t="s">
        <v>805</v>
      </c>
      <c r="AU16" s="111" t="s">
        <v>805</v>
      </c>
      <c r="AV16" s="111" t="s">
        <v>805</v>
      </c>
      <c r="AW16" s="111" t="s">
        <v>805</v>
      </c>
      <c r="AX16" s="111" t="s">
        <v>805</v>
      </c>
      <c r="AY16" s="111" t="s">
        <v>805</v>
      </c>
      <c r="AZ16" s="111" t="s">
        <v>805</v>
      </c>
      <c r="BA16" s="111" t="s">
        <v>805</v>
      </c>
      <c r="BB16" s="111" t="s">
        <v>805</v>
      </c>
      <c r="BC16" s="111" t="s">
        <v>805</v>
      </c>
      <c r="BD16" s="111" t="s">
        <v>805</v>
      </c>
      <c r="BE16" s="111" t="s">
        <v>805</v>
      </c>
      <c r="BF16" s="111" t="s">
        <v>805</v>
      </c>
      <c r="BG16" s="111" t="s">
        <v>805</v>
      </c>
      <c r="BH16" s="111" t="s">
        <v>805</v>
      </c>
      <c r="BI16" s="111" t="s">
        <v>805</v>
      </c>
      <c r="BJ16" s="111" t="s">
        <v>805</v>
      </c>
      <c r="BK16" s="111" t="s">
        <v>805</v>
      </c>
      <c r="BL16" s="111" t="s">
        <v>805</v>
      </c>
      <c r="BM16" s="111" t="s">
        <v>805</v>
      </c>
      <c r="BN16" s="111" t="s">
        <v>805</v>
      </c>
      <c r="BO16" s="111" t="s">
        <v>805</v>
      </c>
      <c r="BP16" s="111" t="s">
        <v>805</v>
      </c>
      <c r="BQ16" s="111" t="s">
        <v>805</v>
      </c>
      <c r="BR16" s="111" t="s">
        <v>805</v>
      </c>
      <c r="BS16" s="111" t="s">
        <v>805</v>
      </c>
      <c r="BT16" s="111" t="s">
        <v>805</v>
      </c>
      <c r="BU16" s="111" t="s">
        <v>805</v>
      </c>
      <c r="BV16" s="111" t="s">
        <v>805</v>
      </c>
      <c r="BW16" s="111" t="s">
        <v>805</v>
      </c>
      <c r="BX16" s="111" t="s">
        <v>805</v>
      </c>
      <c r="BY16" s="111" t="s">
        <v>805</v>
      </c>
      <c r="BZ16" s="111" t="s">
        <v>805</v>
      </c>
      <c r="CA16" s="111" t="s">
        <v>805</v>
      </c>
      <c r="CB16" s="111" t="s">
        <v>805</v>
      </c>
      <c r="CC16" s="111" t="s">
        <v>805</v>
      </c>
      <c r="CD16" s="111" t="s">
        <v>805</v>
      </c>
      <c r="CE16" s="111" t="s">
        <v>805</v>
      </c>
      <c r="CF16" s="111" t="s">
        <v>805</v>
      </c>
      <c r="CG16" s="111" t="s">
        <v>805</v>
      </c>
      <c r="CH16" s="111" t="s">
        <v>805</v>
      </c>
      <c r="CI16" s="111" t="s">
        <v>805</v>
      </c>
      <c r="CJ16" s="111" t="s">
        <v>805</v>
      </c>
      <c r="CK16" s="111" t="s">
        <v>805</v>
      </c>
      <c r="CL16" s="111" t="s">
        <v>805</v>
      </c>
      <c r="CM16" s="111" t="s">
        <v>805</v>
      </c>
      <c r="CN16" s="111" t="s">
        <v>805</v>
      </c>
      <c r="CO16" s="111" t="s">
        <v>805</v>
      </c>
      <c r="CP16" s="111" t="s">
        <v>805</v>
      </c>
      <c r="CQ16" s="111" t="s">
        <v>805</v>
      </c>
      <c r="CR16" s="111" t="s">
        <v>805</v>
      </c>
      <c r="CS16" s="111" t="s">
        <v>805</v>
      </c>
      <c r="CT16" s="111" t="s">
        <v>805</v>
      </c>
      <c r="CU16" s="111" t="s">
        <v>805</v>
      </c>
      <c r="CV16" s="111" t="s">
        <v>805</v>
      </c>
      <c r="CW16" s="111" t="s">
        <v>805</v>
      </c>
      <c r="CX16" s="111" t="s">
        <v>805</v>
      </c>
      <c r="CY16" s="111" t="s">
        <v>805</v>
      </c>
      <c r="CZ16" s="111" t="s">
        <v>805</v>
      </c>
      <c r="DA16" s="111" t="s">
        <v>805</v>
      </c>
      <c r="DB16" s="111" t="s">
        <v>805</v>
      </c>
      <c r="DC16" s="111" t="s">
        <v>805</v>
      </c>
      <c r="DD16" s="111" t="s">
        <v>805</v>
      </c>
      <c r="DE16" s="111" t="s">
        <v>805</v>
      </c>
      <c r="DF16" s="111" t="s">
        <v>805</v>
      </c>
      <c r="DG16" s="28">
        <f>'KPI Count-SHARE'!J12</f>
        <v>0</v>
      </c>
      <c r="DH16" s="115"/>
      <c r="DI16" s="115"/>
      <c r="DJ16" s="115"/>
      <c r="DK16" s="28">
        <f>'KPI Count-SHARE'!K12</f>
        <v>0</v>
      </c>
      <c r="DL16" s="111"/>
      <c r="DM16" s="111"/>
      <c r="DN16" s="111"/>
      <c r="DO16" s="28">
        <f>'KPI Count-SHARE'!L12</f>
        <v>0</v>
      </c>
      <c r="DP16" s="111"/>
      <c r="DQ16" s="111"/>
      <c r="DR16" s="111"/>
      <c r="DS16" s="28">
        <f>'KPI Count-SHARE'!M12</f>
        <v>0</v>
      </c>
      <c r="DT16" s="111"/>
      <c r="DU16" s="111"/>
      <c r="DV16" s="111"/>
      <c r="DW16" s="30" t="str">
        <f t="shared" si="189"/>
        <v>USD' 000 per FTE</v>
      </c>
      <c r="DX16" s="41" t="str">
        <f t="shared" si="79"/>
        <v>-</v>
      </c>
      <c r="DY16" s="41" t="str">
        <f t="shared" si="80"/>
        <v>-</v>
      </c>
      <c r="DZ16" s="41" t="str">
        <f t="shared" si="81"/>
        <v>-</v>
      </c>
      <c r="EA16" s="41" t="str">
        <f t="shared" si="179"/>
        <v>-</v>
      </c>
      <c r="EB16" s="41" t="str">
        <f t="shared" si="180"/>
        <v>-</v>
      </c>
      <c r="EC16" s="41" t="str">
        <f t="shared" si="181"/>
        <v>-</v>
      </c>
      <c r="ED16" s="41" t="str">
        <f t="shared" si="82"/>
        <v>-</v>
      </c>
      <c r="EE16" s="41" t="str">
        <f t="shared" si="83"/>
        <v>-</v>
      </c>
      <c r="EF16" s="41" t="str">
        <f t="shared" si="84"/>
        <v>-</v>
      </c>
      <c r="EG16" s="41" t="str">
        <f t="shared" si="85"/>
        <v>-</v>
      </c>
      <c r="EH16" s="41" t="str">
        <f t="shared" si="86"/>
        <v>-</v>
      </c>
      <c r="EI16" s="41" t="str">
        <f t="shared" si="87"/>
        <v>-</v>
      </c>
      <c r="EJ16" s="41" t="str">
        <f t="shared" si="87"/>
        <v>-</v>
      </c>
      <c r="EK16" s="41" t="str">
        <f t="shared" si="87"/>
        <v>-</v>
      </c>
      <c r="EL16" s="41" t="str">
        <f t="shared" si="87"/>
        <v>-</v>
      </c>
      <c r="EM16" s="41" t="str">
        <f t="shared" si="87"/>
        <v>-</v>
      </c>
      <c r="EN16" s="41" t="str">
        <f t="shared" si="87"/>
        <v>-</v>
      </c>
      <c r="EO16" s="41" t="str">
        <f t="shared" si="87"/>
        <v>-</v>
      </c>
      <c r="EP16" s="41" t="str">
        <f t="shared" si="87"/>
        <v>-</v>
      </c>
      <c r="EQ16" s="41" t="str">
        <f t="shared" si="87"/>
        <v>-</v>
      </c>
      <c r="ER16" s="41" t="str">
        <f t="shared" si="87"/>
        <v>-</v>
      </c>
      <c r="ES16" s="41" t="str">
        <f t="shared" si="87"/>
        <v>-</v>
      </c>
      <c r="ET16" s="41" t="str">
        <f t="shared" si="87"/>
        <v>-</v>
      </c>
      <c r="EU16" s="41" t="str">
        <f t="shared" si="88"/>
        <v>-</v>
      </c>
      <c r="EV16" s="41" t="str">
        <f t="shared" si="89"/>
        <v>-</v>
      </c>
      <c r="EW16" s="41" t="str">
        <f t="shared" si="90"/>
        <v>-</v>
      </c>
      <c r="EX16" s="41" t="str">
        <f t="shared" si="91"/>
        <v>-</v>
      </c>
      <c r="EY16" s="41" t="str">
        <f t="shared" si="92"/>
        <v>-</v>
      </c>
      <c r="EZ16" s="41" t="str">
        <f t="shared" si="93"/>
        <v>-</v>
      </c>
      <c r="FA16" s="41" t="str">
        <f t="shared" si="94"/>
        <v>-</v>
      </c>
      <c r="FB16" s="41" t="str">
        <f t="shared" si="95"/>
        <v>-</v>
      </c>
      <c r="FC16" s="41" t="str">
        <f t="shared" si="96"/>
        <v>-</v>
      </c>
      <c r="FD16" s="41" t="str">
        <f t="shared" si="97"/>
        <v>-</v>
      </c>
      <c r="FE16" s="41" t="str">
        <f t="shared" si="98"/>
        <v>-</v>
      </c>
      <c r="FF16" s="41" t="str">
        <f t="shared" si="99"/>
        <v>-</v>
      </c>
      <c r="FG16" s="41" t="str">
        <f t="shared" si="100"/>
        <v>-</v>
      </c>
      <c r="FH16" s="41" t="str">
        <f t="shared" si="101"/>
        <v>-</v>
      </c>
      <c r="FI16" s="41" t="str">
        <f t="shared" si="102"/>
        <v>-</v>
      </c>
      <c r="FJ16" s="41" t="str">
        <f t="shared" si="103"/>
        <v>-</v>
      </c>
      <c r="FK16" s="41" t="str">
        <f t="shared" si="104"/>
        <v>-</v>
      </c>
      <c r="FL16" s="41" t="str">
        <f t="shared" si="105"/>
        <v>-</v>
      </c>
      <c r="FM16" s="41" t="str">
        <f t="shared" si="106"/>
        <v>-</v>
      </c>
      <c r="FN16" s="41" t="str">
        <f t="shared" si="107"/>
        <v>-</v>
      </c>
      <c r="FO16" s="41" t="str">
        <f t="shared" si="108"/>
        <v>-</v>
      </c>
      <c r="FP16" s="41" t="str">
        <f t="shared" si="109"/>
        <v>-</v>
      </c>
      <c r="FQ16" s="41" t="str">
        <f t="shared" si="110"/>
        <v>-</v>
      </c>
      <c r="FR16" s="41" t="str">
        <f t="shared" si="111"/>
        <v>-</v>
      </c>
      <c r="FS16" s="41" t="str">
        <f t="shared" si="112"/>
        <v>-</v>
      </c>
      <c r="FT16" s="41" t="str">
        <f t="shared" si="113"/>
        <v>-</v>
      </c>
      <c r="FU16" s="41" t="str">
        <f t="shared" si="114"/>
        <v>-</v>
      </c>
      <c r="FV16" s="41" t="str">
        <f t="shared" si="115"/>
        <v>-</v>
      </c>
      <c r="FW16" s="41" t="str">
        <f t="shared" si="116"/>
        <v>-</v>
      </c>
      <c r="FX16" s="41" t="str">
        <f t="shared" si="117"/>
        <v>-</v>
      </c>
      <c r="FY16" s="41" t="str">
        <f t="shared" si="118"/>
        <v>-</v>
      </c>
      <c r="FZ16" s="41" t="str">
        <f t="shared" si="119"/>
        <v>-</v>
      </c>
      <c r="GA16" s="41" t="str">
        <f t="shared" si="120"/>
        <v>-</v>
      </c>
      <c r="GB16" s="41" t="str">
        <f t="shared" si="121"/>
        <v>-</v>
      </c>
      <c r="GC16" s="41" t="str">
        <f t="shared" si="122"/>
        <v>-</v>
      </c>
      <c r="GD16" s="41" t="str">
        <f t="shared" si="123"/>
        <v>-</v>
      </c>
      <c r="GE16" s="41" t="str">
        <f t="shared" si="124"/>
        <v>-</v>
      </c>
      <c r="GF16" s="41" t="str">
        <f t="shared" si="125"/>
        <v>-</v>
      </c>
      <c r="GG16" s="41" t="str">
        <f t="shared" si="126"/>
        <v>-</v>
      </c>
      <c r="GH16" s="41" t="str">
        <f t="shared" si="127"/>
        <v>-</v>
      </c>
      <c r="GI16" s="41" t="str">
        <f t="shared" si="128"/>
        <v>-</v>
      </c>
      <c r="GJ16" s="41" t="str">
        <f t="shared" si="129"/>
        <v>-</v>
      </c>
      <c r="GK16" s="41" t="str">
        <f t="shared" si="130"/>
        <v>-</v>
      </c>
      <c r="GL16" s="41" t="str">
        <f t="shared" si="131"/>
        <v>-</v>
      </c>
      <c r="GM16" s="41" t="str">
        <f t="shared" si="132"/>
        <v>-</v>
      </c>
      <c r="GN16" s="41" t="str">
        <f t="shared" si="133"/>
        <v>-</v>
      </c>
      <c r="GO16" s="41" t="str">
        <f t="shared" si="134"/>
        <v>-</v>
      </c>
      <c r="GP16" s="41" t="str">
        <f t="shared" si="135"/>
        <v>-</v>
      </c>
      <c r="GQ16" s="41" t="str">
        <f t="shared" si="136"/>
        <v>-</v>
      </c>
      <c r="GR16" s="41" t="str">
        <f t="shared" si="137"/>
        <v>-</v>
      </c>
      <c r="GS16" s="41" t="str">
        <f t="shared" si="138"/>
        <v>-</v>
      </c>
      <c r="GT16" s="41" t="str">
        <f t="shared" si="139"/>
        <v>-</v>
      </c>
      <c r="GU16" s="41" t="str">
        <f t="shared" si="140"/>
        <v>-</v>
      </c>
      <c r="GV16" s="41" t="str">
        <f t="shared" si="141"/>
        <v>-</v>
      </c>
      <c r="GW16" s="41" t="str">
        <f t="shared" si="142"/>
        <v>-</v>
      </c>
      <c r="GX16" s="41" t="str">
        <f t="shared" si="143"/>
        <v>-</v>
      </c>
      <c r="GY16" s="41" t="str">
        <f t="shared" si="144"/>
        <v>-</v>
      </c>
      <c r="GZ16" s="41" t="str">
        <f t="shared" si="145"/>
        <v>-</v>
      </c>
      <c r="HA16" s="41" t="str">
        <f t="shared" si="146"/>
        <v>-</v>
      </c>
      <c r="HB16" s="41" t="str">
        <f t="shared" si="147"/>
        <v>-</v>
      </c>
      <c r="HC16" s="41" t="str">
        <f t="shared" si="148"/>
        <v>-</v>
      </c>
      <c r="HD16" s="41" t="str">
        <f t="shared" si="149"/>
        <v>-</v>
      </c>
      <c r="HE16" s="41" t="str">
        <f t="shared" si="150"/>
        <v>-</v>
      </c>
      <c r="HF16" s="41" t="str">
        <f t="shared" si="151"/>
        <v>-</v>
      </c>
      <c r="HG16" s="41" t="str">
        <f t="shared" si="152"/>
        <v>-</v>
      </c>
      <c r="HH16" s="41" t="str">
        <f t="shared" si="153"/>
        <v>-</v>
      </c>
      <c r="HI16" s="41" t="str">
        <f t="shared" si="154"/>
        <v>-</v>
      </c>
      <c r="HJ16" s="41" t="str">
        <f t="shared" si="155"/>
        <v>-</v>
      </c>
      <c r="HK16" s="41" t="str">
        <f t="shared" si="156"/>
        <v>-</v>
      </c>
      <c r="HL16" s="41" t="str">
        <f t="shared" si="157"/>
        <v>-</v>
      </c>
      <c r="HM16" s="41" t="str">
        <f t="shared" si="158"/>
        <v>-</v>
      </c>
      <c r="HN16" s="41" t="str">
        <f t="shared" si="159"/>
        <v>-</v>
      </c>
      <c r="HO16" s="41" t="str">
        <f t="shared" si="160"/>
        <v>-</v>
      </c>
      <c r="HP16" s="41" t="str">
        <f t="shared" si="161"/>
        <v>-</v>
      </c>
      <c r="HQ16" s="41" t="str">
        <f t="shared" si="162"/>
        <v>-</v>
      </c>
      <c r="HR16" s="41" t="str">
        <f t="shared" si="163"/>
        <v>-</v>
      </c>
      <c r="HS16" s="41" t="str">
        <f t="shared" si="164"/>
        <v>-</v>
      </c>
      <c r="HT16" s="41" t="str">
        <f t="shared" si="164"/>
        <v>-</v>
      </c>
      <c r="HU16" s="43" t="str">
        <f t="shared" si="182"/>
        <v>-</v>
      </c>
      <c r="HV16" s="44" t="str">
        <f t="shared" si="165"/>
        <v/>
      </c>
      <c r="HW16" s="45" t="str">
        <f t="shared" si="166"/>
        <v/>
      </c>
      <c r="HX16" s="84" t="str">
        <f t="shared" si="183"/>
        <v/>
      </c>
      <c r="HY16" s="84" t="str">
        <f t="shared" si="167"/>
        <v/>
      </c>
      <c r="HZ16" s="84" t="str">
        <f t="shared" si="168"/>
        <v/>
      </c>
      <c r="IA16" s="83" t="str">
        <f t="shared" si="169"/>
        <v/>
      </c>
      <c r="IB16" s="84" t="str">
        <f t="shared" si="170"/>
        <v/>
      </c>
      <c r="IC16" s="85" t="str">
        <f t="shared" si="171"/>
        <v/>
      </c>
      <c r="ID16" s="83" t="str">
        <f t="shared" si="172"/>
        <v/>
      </c>
      <c r="IE16" s="84" t="str">
        <f t="shared" si="173"/>
        <v/>
      </c>
      <c r="IF16" s="85" t="str">
        <f t="shared" si="174"/>
        <v/>
      </c>
      <c r="IH16" s="66">
        <v>16</v>
      </c>
      <c r="II16" s="79" t="e">
        <f t="shared" ca="1" si="175"/>
        <v>#N/A</v>
      </c>
      <c r="IJ16" s="79" t="e">
        <f t="shared" ca="1" si="176"/>
        <v>#N/A</v>
      </c>
      <c r="IK16" s="79" t="e">
        <f t="shared" ca="1" si="177"/>
        <v>#N/A</v>
      </c>
      <c r="IL16" s="66" t="e">
        <f t="shared" ca="1" si="178"/>
        <v>#N/A</v>
      </c>
      <c r="IM16" s="33"/>
      <c r="IN16" s="78" t="e">
        <f t="shared" ca="1" si="184"/>
        <v>#N/A</v>
      </c>
      <c r="IO16" s="75" t="e">
        <f t="shared" ca="1" si="185"/>
        <v>#N/A</v>
      </c>
      <c r="IP16" s="75" t="e">
        <f t="shared" ca="1" si="186"/>
        <v>#N/A</v>
      </c>
      <c r="IQ16" s="78" t="e">
        <f t="shared" ca="1" si="187"/>
        <v>#N/A</v>
      </c>
      <c r="IR16" s="74" t="e">
        <f t="shared" ca="1" si="188"/>
        <v>#N/A</v>
      </c>
    </row>
    <row r="17" spans="1:252" s="1" customFormat="1" x14ac:dyDescent="0.35">
      <c r="A17" s="33">
        <v>0</v>
      </c>
      <c r="B17" s="33">
        <v>0</v>
      </c>
      <c r="C17" s="33">
        <v>1</v>
      </c>
      <c r="E17" s="4"/>
      <c r="F17" t="s">
        <v>281</v>
      </c>
      <c r="G17" s="5" t="s">
        <v>530</v>
      </c>
      <c r="H17" s="4" t="s">
        <v>535</v>
      </c>
      <c r="I17" s="7" t="s">
        <v>536</v>
      </c>
      <c r="J17" s="276" t="s">
        <v>805</v>
      </c>
      <c r="K17" s="111" t="s">
        <v>805</v>
      </c>
      <c r="L17" s="111" t="s">
        <v>805</v>
      </c>
      <c r="M17" s="111" t="s">
        <v>805</v>
      </c>
      <c r="N17" s="111" t="s">
        <v>805</v>
      </c>
      <c r="O17" s="111" t="s">
        <v>805</v>
      </c>
      <c r="P17" s="111" t="s">
        <v>805</v>
      </c>
      <c r="Q17" s="111" t="s">
        <v>805</v>
      </c>
      <c r="R17" s="111" t="s">
        <v>805</v>
      </c>
      <c r="S17" s="111" t="s">
        <v>805</v>
      </c>
      <c r="T17" s="111" t="s">
        <v>805</v>
      </c>
      <c r="U17" s="111" t="s">
        <v>805</v>
      </c>
      <c r="V17" s="111" t="s">
        <v>805</v>
      </c>
      <c r="W17" s="111" t="s">
        <v>805</v>
      </c>
      <c r="X17" s="111" t="s">
        <v>805</v>
      </c>
      <c r="Y17" s="111" t="s">
        <v>805</v>
      </c>
      <c r="Z17" s="111" t="s">
        <v>805</v>
      </c>
      <c r="AA17" s="111" t="s">
        <v>805</v>
      </c>
      <c r="AB17" s="111" t="s">
        <v>805</v>
      </c>
      <c r="AC17" s="111" t="s">
        <v>805</v>
      </c>
      <c r="AD17" s="111" t="s">
        <v>805</v>
      </c>
      <c r="AE17" s="111" t="s">
        <v>805</v>
      </c>
      <c r="AF17" s="111" t="s">
        <v>805</v>
      </c>
      <c r="AG17" s="111" t="s">
        <v>805</v>
      </c>
      <c r="AH17" s="111" t="s">
        <v>805</v>
      </c>
      <c r="AI17" s="111" t="s">
        <v>805</v>
      </c>
      <c r="AJ17" s="111" t="s">
        <v>805</v>
      </c>
      <c r="AK17" s="111" t="s">
        <v>805</v>
      </c>
      <c r="AL17" s="111" t="s">
        <v>805</v>
      </c>
      <c r="AM17" s="111" t="s">
        <v>805</v>
      </c>
      <c r="AN17" s="111" t="s">
        <v>805</v>
      </c>
      <c r="AO17" s="111" t="s">
        <v>805</v>
      </c>
      <c r="AP17" s="111" t="s">
        <v>805</v>
      </c>
      <c r="AQ17" s="111" t="s">
        <v>805</v>
      </c>
      <c r="AR17" s="111" t="s">
        <v>805</v>
      </c>
      <c r="AS17" s="111" t="s">
        <v>805</v>
      </c>
      <c r="AT17" s="111" t="s">
        <v>805</v>
      </c>
      <c r="AU17" s="111" t="s">
        <v>805</v>
      </c>
      <c r="AV17" s="111" t="s">
        <v>805</v>
      </c>
      <c r="AW17" s="111" t="s">
        <v>805</v>
      </c>
      <c r="AX17" s="111" t="s">
        <v>805</v>
      </c>
      <c r="AY17" s="111" t="s">
        <v>805</v>
      </c>
      <c r="AZ17" s="111" t="s">
        <v>805</v>
      </c>
      <c r="BA17" s="111" t="s">
        <v>805</v>
      </c>
      <c r="BB17" s="111" t="s">
        <v>805</v>
      </c>
      <c r="BC17" s="111" t="s">
        <v>805</v>
      </c>
      <c r="BD17" s="111" t="s">
        <v>805</v>
      </c>
      <c r="BE17" s="111" t="s">
        <v>805</v>
      </c>
      <c r="BF17" s="111" t="s">
        <v>805</v>
      </c>
      <c r="BG17" s="111" t="s">
        <v>805</v>
      </c>
      <c r="BH17" s="111" t="s">
        <v>805</v>
      </c>
      <c r="BI17" s="111" t="s">
        <v>805</v>
      </c>
      <c r="BJ17" s="111" t="s">
        <v>805</v>
      </c>
      <c r="BK17" s="111" t="s">
        <v>805</v>
      </c>
      <c r="BL17" s="111" t="s">
        <v>805</v>
      </c>
      <c r="BM17" s="111" t="s">
        <v>805</v>
      </c>
      <c r="BN17" s="111" t="s">
        <v>805</v>
      </c>
      <c r="BO17" s="111" t="s">
        <v>805</v>
      </c>
      <c r="BP17" s="111" t="s">
        <v>805</v>
      </c>
      <c r="BQ17" s="111" t="s">
        <v>805</v>
      </c>
      <c r="BR17" s="111" t="s">
        <v>805</v>
      </c>
      <c r="BS17" s="111" t="s">
        <v>805</v>
      </c>
      <c r="BT17" s="111" t="s">
        <v>805</v>
      </c>
      <c r="BU17" s="111" t="s">
        <v>805</v>
      </c>
      <c r="BV17" s="111" t="s">
        <v>805</v>
      </c>
      <c r="BW17" s="111" t="s">
        <v>805</v>
      </c>
      <c r="BX17" s="111" t="s">
        <v>805</v>
      </c>
      <c r="BY17" s="111" t="s">
        <v>805</v>
      </c>
      <c r="BZ17" s="111" t="s">
        <v>805</v>
      </c>
      <c r="CA17" s="111" t="s">
        <v>805</v>
      </c>
      <c r="CB17" s="111" t="s">
        <v>805</v>
      </c>
      <c r="CC17" s="111" t="s">
        <v>805</v>
      </c>
      <c r="CD17" s="111" t="s">
        <v>805</v>
      </c>
      <c r="CE17" s="111" t="s">
        <v>805</v>
      </c>
      <c r="CF17" s="111" t="s">
        <v>805</v>
      </c>
      <c r="CG17" s="111" t="s">
        <v>805</v>
      </c>
      <c r="CH17" s="111" t="s">
        <v>805</v>
      </c>
      <c r="CI17" s="111" t="s">
        <v>805</v>
      </c>
      <c r="CJ17" s="111" t="s">
        <v>805</v>
      </c>
      <c r="CK17" s="111" t="s">
        <v>805</v>
      </c>
      <c r="CL17" s="111" t="s">
        <v>805</v>
      </c>
      <c r="CM17" s="111" t="s">
        <v>805</v>
      </c>
      <c r="CN17" s="111" t="s">
        <v>805</v>
      </c>
      <c r="CO17" s="111" t="s">
        <v>805</v>
      </c>
      <c r="CP17" s="111" t="s">
        <v>805</v>
      </c>
      <c r="CQ17" s="111" t="s">
        <v>805</v>
      </c>
      <c r="CR17" s="111" t="s">
        <v>805</v>
      </c>
      <c r="CS17" s="111" t="s">
        <v>805</v>
      </c>
      <c r="CT17" s="111" t="s">
        <v>805</v>
      </c>
      <c r="CU17" s="111" t="s">
        <v>805</v>
      </c>
      <c r="CV17" s="111" t="s">
        <v>805</v>
      </c>
      <c r="CW17" s="111" t="s">
        <v>805</v>
      </c>
      <c r="CX17" s="111" t="s">
        <v>805</v>
      </c>
      <c r="CY17" s="111" t="s">
        <v>805</v>
      </c>
      <c r="CZ17" s="111" t="s">
        <v>805</v>
      </c>
      <c r="DA17" s="111" t="s">
        <v>805</v>
      </c>
      <c r="DB17" s="111" t="s">
        <v>805</v>
      </c>
      <c r="DC17" s="111" t="s">
        <v>805</v>
      </c>
      <c r="DD17" s="111" t="s">
        <v>805</v>
      </c>
      <c r="DE17" s="111" t="s">
        <v>805</v>
      </c>
      <c r="DF17" s="111" t="s">
        <v>805</v>
      </c>
      <c r="DG17" s="28">
        <f>'KPI Count-SHARE'!J13</f>
        <v>0</v>
      </c>
      <c r="DH17" s="115"/>
      <c r="DI17" s="115"/>
      <c r="DJ17" s="115"/>
      <c r="DK17" s="28">
        <f>'KPI Count-SHARE'!K13</f>
        <v>0</v>
      </c>
      <c r="DL17" s="111"/>
      <c r="DM17" s="111"/>
      <c r="DN17" s="111"/>
      <c r="DO17" s="28">
        <f>'KPI Count-SHARE'!L13</f>
        <v>0</v>
      </c>
      <c r="DP17" s="111"/>
      <c r="DQ17" s="111"/>
      <c r="DR17" s="111"/>
      <c r="DS17" s="28">
        <f>'KPI Count-SHARE'!M13</f>
        <v>0</v>
      </c>
      <c r="DT17" s="111"/>
      <c r="DU17" s="111"/>
      <c r="DV17" s="111"/>
      <c r="DW17" s="30" t="str">
        <f t="shared" si="189"/>
        <v>USD' 000 per FTE</v>
      </c>
      <c r="DX17" s="41" t="str">
        <f t="shared" si="79"/>
        <v>-</v>
      </c>
      <c r="DY17" s="41" t="str">
        <f t="shared" si="80"/>
        <v>-</v>
      </c>
      <c r="DZ17" s="41" t="str">
        <f t="shared" si="81"/>
        <v>-</v>
      </c>
      <c r="EA17" s="41" t="str">
        <f t="shared" si="179"/>
        <v>-</v>
      </c>
      <c r="EB17" s="41" t="str">
        <f t="shared" si="180"/>
        <v>-</v>
      </c>
      <c r="EC17" s="41" t="str">
        <f t="shared" si="181"/>
        <v>-</v>
      </c>
      <c r="ED17" s="41" t="str">
        <f t="shared" si="82"/>
        <v>-</v>
      </c>
      <c r="EE17" s="41" t="str">
        <f t="shared" si="83"/>
        <v>-</v>
      </c>
      <c r="EF17" s="41" t="str">
        <f t="shared" si="84"/>
        <v>-</v>
      </c>
      <c r="EG17" s="41" t="str">
        <f t="shared" si="85"/>
        <v>-</v>
      </c>
      <c r="EH17" s="41" t="str">
        <f t="shared" si="86"/>
        <v>-</v>
      </c>
      <c r="EI17" s="41" t="str">
        <f t="shared" si="87"/>
        <v>-</v>
      </c>
      <c r="EJ17" s="41" t="str">
        <f t="shared" si="87"/>
        <v>-</v>
      </c>
      <c r="EK17" s="41" t="str">
        <f t="shared" si="87"/>
        <v>-</v>
      </c>
      <c r="EL17" s="41" t="str">
        <f t="shared" si="87"/>
        <v>-</v>
      </c>
      <c r="EM17" s="41" t="str">
        <f t="shared" si="87"/>
        <v>-</v>
      </c>
      <c r="EN17" s="41" t="str">
        <f t="shared" si="87"/>
        <v>-</v>
      </c>
      <c r="EO17" s="41" t="str">
        <f t="shared" si="87"/>
        <v>-</v>
      </c>
      <c r="EP17" s="41" t="str">
        <f t="shared" si="87"/>
        <v>-</v>
      </c>
      <c r="EQ17" s="41" t="str">
        <f t="shared" si="87"/>
        <v>-</v>
      </c>
      <c r="ER17" s="41" t="str">
        <f t="shared" si="87"/>
        <v>-</v>
      </c>
      <c r="ES17" s="41" t="str">
        <f t="shared" si="87"/>
        <v>-</v>
      </c>
      <c r="ET17" s="41" t="str">
        <f t="shared" si="87"/>
        <v>-</v>
      </c>
      <c r="EU17" s="41" t="str">
        <f t="shared" si="88"/>
        <v>-</v>
      </c>
      <c r="EV17" s="41" t="str">
        <f t="shared" si="89"/>
        <v>-</v>
      </c>
      <c r="EW17" s="41" t="str">
        <f t="shared" si="90"/>
        <v>-</v>
      </c>
      <c r="EX17" s="41" t="str">
        <f t="shared" si="91"/>
        <v>-</v>
      </c>
      <c r="EY17" s="41" t="str">
        <f t="shared" si="92"/>
        <v>-</v>
      </c>
      <c r="EZ17" s="41" t="str">
        <f t="shared" si="93"/>
        <v>-</v>
      </c>
      <c r="FA17" s="41" t="str">
        <f t="shared" si="94"/>
        <v>-</v>
      </c>
      <c r="FB17" s="41" t="str">
        <f t="shared" si="95"/>
        <v>-</v>
      </c>
      <c r="FC17" s="41" t="str">
        <f t="shared" si="96"/>
        <v>-</v>
      </c>
      <c r="FD17" s="41" t="str">
        <f t="shared" si="97"/>
        <v>-</v>
      </c>
      <c r="FE17" s="41" t="str">
        <f t="shared" si="98"/>
        <v>-</v>
      </c>
      <c r="FF17" s="41" t="str">
        <f t="shared" si="99"/>
        <v>-</v>
      </c>
      <c r="FG17" s="41" t="str">
        <f t="shared" si="100"/>
        <v>-</v>
      </c>
      <c r="FH17" s="41" t="str">
        <f t="shared" si="101"/>
        <v>-</v>
      </c>
      <c r="FI17" s="41" t="str">
        <f t="shared" si="102"/>
        <v>-</v>
      </c>
      <c r="FJ17" s="41" t="str">
        <f t="shared" si="103"/>
        <v>-</v>
      </c>
      <c r="FK17" s="41" t="str">
        <f t="shared" si="104"/>
        <v>-</v>
      </c>
      <c r="FL17" s="41" t="str">
        <f t="shared" si="105"/>
        <v>-</v>
      </c>
      <c r="FM17" s="41" t="str">
        <f t="shared" si="106"/>
        <v>-</v>
      </c>
      <c r="FN17" s="41" t="str">
        <f t="shared" si="107"/>
        <v>-</v>
      </c>
      <c r="FO17" s="41" t="str">
        <f t="shared" si="108"/>
        <v>-</v>
      </c>
      <c r="FP17" s="41" t="str">
        <f t="shared" si="109"/>
        <v>-</v>
      </c>
      <c r="FQ17" s="41" t="str">
        <f t="shared" si="110"/>
        <v>-</v>
      </c>
      <c r="FR17" s="41" t="str">
        <f t="shared" si="111"/>
        <v>-</v>
      </c>
      <c r="FS17" s="41" t="str">
        <f t="shared" si="112"/>
        <v>-</v>
      </c>
      <c r="FT17" s="41" t="str">
        <f t="shared" si="113"/>
        <v>-</v>
      </c>
      <c r="FU17" s="41" t="str">
        <f t="shared" si="114"/>
        <v>-</v>
      </c>
      <c r="FV17" s="41" t="str">
        <f t="shared" si="115"/>
        <v>-</v>
      </c>
      <c r="FW17" s="41" t="str">
        <f t="shared" si="116"/>
        <v>-</v>
      </c>
      <c r="FX17" s="41" t="str">
        <f t="shared" si="117"/>
        <v>-</v>
      </c>
      <c r="FY17" s="41" t="str">
        <f t="shared" si="118"/>
        <v>-</v>
      </c>
      <c r="FZ17" s="41" t="str">
        <f t="shared" si="119"/>
        <v>-</v>
      </c>
      <c r="GA17" s="41" t="str">
        <f t="shared" si="120"/>
        <v>-</v>
      </c>
      <c r="GB17" s="41" t="str">
        <f t="shared" si="121"/>
        <v>-</v>
      </c>
      <c r="GC17" s="41" t="str">
        <f t="shared" si="122"/>
        <v>-</v>
      </c>
      <c r="GD17" s="41" t="str">
        <f t="shared" si="123"/>
        <v>-</v>
      </c>
      <c r="GE17" s="41" t="str">
        <f t="shared" si="124"/>
        <v>-</v>
      </c>
      <c r="GF17" s="41" t="str">
        <f t="shared" si="125"/>
        <v>-</v>
      </c>
      <c r="GG17" s="41" t="str">
        <f t="shared" si="126"/>
        <v>-</v>
      </c>
      <c r="GH17" s="41" t="str">
        <f t="shared" si="127"/>
        <v>-</v>
      </c>
      <c r="GI17" s="41" t="str">
        <f t="shared" si="128"/>
        <v>-</v>
      </c>
      <c r="GJ17" s="41" t="str">
        <f t="shared" si="129"/>
        <v>-</v>
      </c>
      <c r="GK17" s="41" t="str">
        <f t="shared" si="130"/>
        <v>-</v>
      </c>
      <c r="GL17" s="41" t="str">
        <f t="shared" si="131"/>
        <v>-</v>
      </c>
      <c r="GM17" s="41" t="str">
        <f t="shared" si="132"/>
        <v>-</v>
      </c>
      <c r="GN17" s="41" t="str">
        <f t="shared" si="133"/>
        <v>-</v>
      </c>
      <c r="GO17" s="41" t="str">
        <f t="shared" si="134"/>
        <v>-</v>
      </c>
      <c r="GP17" s="41" t="str">
        <f t="shared" si="135"/>
        <v>-</v>
      </c>
      <c r="GQ17" s="41" t="str">
        <f t="shared" si="136"/>
        <v>-</v>
      </c>
      <c r="GR17" s="41" t="str">
        <f t="shared" si="137"/>
        <v>-</v>
      </c>
      <c r="GS17" s="41" t="str">
        <f t="shared" si="138"/>
        <v>-</v>
      </c>
      <c r="GT17" s="41" t="str">
        <f t="shared" si="139"/>
        <v>-</v>
      </c>
      <c r="GU17" s="41" t="str">
        <f t="shared" si="140"/>
        <v>-</v>
      </c>
      <c r="GV17" s="41" t="str">
        <f t="shared" si="141"/>
        <v>-</v>
      </c>
      <c r="GW17" s="41" t="str">
        <f t="shared" si="142"/>
        <v>-</v>
      </c>
      <c r="GX17" s="41" t="str">
        <f t="shared" si="143"/>
        <v>-</v>
      </c>
      <c r="GY17" s="41" t="str">
        <f t="shared" si="144"/>
        <v>-</v>
      </c>
      <c r="GZ17" s="41" t="str">
        <f t="shared" si="145"/>
        <v>-</v>
      </c>
      <c r="HA17" s="41" t="str">
        <f t="shared" si="146"/>
        <v>-</v>
      </c>
      <c r="HB17" s="41" t="str">
        <f t="shared" si="147"/>
        <v>-</v>
      </c>
      <c r="HC17" s="41" t="str">
        <f t="shared" si="148"/>
        <v>-</v>
      </c>
      <c r="HD17" s="41" t="str">
        <f t="shared" si="149"/>
        <v>-</v>
      </c>
      <c r="HE17" s="41" t="str">
        <f t="shared" si="150"/>
        <v>-</v>
      </c>
      <c r="HF17" s="41" t="str">
        <f t="shared" si="151"/>
        <v>-</v>
      </c>
      <c r="HG17" s="41" t="str">
        <f t="shared" si="152"/>
        <v>-</v>
      </c>
      <c r="HH17" s="41" t="str">
        <f t="shared" si="153"/>
        <v>-</v>
      </c>
      <c r="HI17" s="41" t="str">
        <f t="shared" si="154"/>
        <v>-</v>
      </c>
      <c r="HJ17" s="41" t="str">
        <f t="shared" si="155"/>
        <v>-</v>
      </c>
      <c r="HK17" s="41" t="str">
        <f t="shared" si="156"/>
        <v>-</v>
      </c>
      <c r="HL17" s="41" t="str">
        <f t="shared" si="157"/>
        <v>-</v>
      </c>
      <c r="HM17" s="41" t="str">
        <f t="shared" si="158"/>
        <v>-</v>
      </c>
      <c r="HN17" s="41" t="str">
        <f t="shared" si="159"/>
        <v>-</v>
      </c>
      <c r="HO17" s="41" t="str">
        <f t="shared" si="160"/>
        <v>-</v>
      </c>
      <c r="HP17" s="41" t="str">
        <f t="shared" si="161"/>
        <v>-</v>
      </c>
      <c r="HQ17" s="41" t="str">
        <f t="shared" si="162"/>
        <v>-</v>
      </c>
      <c r="HR17" s="41" t="str">
        <f t="shared" si="163"/>
        <v>-</v>
      </c>
      <c r="HS17" s="41" t="str">
        <f t="shared" si="164"/>
        <v>-</v>
      </c>
      <c r="HT17" s="41" t="str">
        <f t="shared" si="164"/>
        <v>-</v>
      </c>
      <c r="HU17" s="43" t="str">
        <f t="shared" si="182"/>
        <v>-</v>
      </c>
      <c r="HV17" s="44" t="str">
        <f t="shared" si="165"/>
        <v/>
      </c>
      <c r="HW17" s="45" t="str">
        <f t="shared" si="166"/>
        <v/>
      </c>
      <c r="HX17" s="84" t="str">
        <f t="shared" si="183"/>
        <v/>
      </c>
      <c r="HY17" s="84" t="str">
        <f t="shared" si="167"/>
        <v/>
      </c>
      <c r="HZ17" s="84" t="str">
        <f t="shared" si="168"/>
        <v/>
      </c>
      <c r="IA17" s="83" t="str">
        <f t="shared" si="169"/>
        <v/>
      </c>
      <c r="IB17" s="84" t="str">
        <f t="shared" si="170"/>
        <v/>
      </c>
      <c r="IC17" s="85" t="str">
        <f t="shared" si="171"/>
        <v/>
      </c>
      <c r="ID17" s="83" t="str">
        <f t="shared" si="172"/>
        <v/>
      </c>
      <c r="IE17" s="84" t="str">
        <f t="shared" si="173"/>
        <v/>
      </c>
      <c r="IF17" s="85" t="str">
        <f t="shared" si="174"/>
        <v/>
      </c>
      <c r="IH17" s="66">
        <v>17</v>
      </c>
      <c r="II17" s="79" t="e">
        <f t="shared" ca="1" si="175"/>
        <v>#N/A</v>
      </c>
      <c r="IJ17" s="79" t="e">
        <f t="shared" ca="1" si="176"/>
        <v>#N/A</v>
      </c>
      <c r="IK17" s="79" t="e">
        <f t="shared" ca="1" si="177"/>
        <v>#N/A</v>
      </c>
      <c r="IL17" s="66" t="e">
        <f t="shared" ca="1" si="178"/>
        <v>#N/A</v>
      </c>
      <c r="IM17" s="33"/>
      <c r="IN17" s="78" t="e">
        <f t="shared" ca="1" si="184"/>
        <v>#N/A</v>
      </c>
      <c r="IO17" s="75" t="e">
        <f t="shared" ca="1" si="185"/>
        <v>#N/A</v>
      </c>
      <c r="IP17" s="75" t="e">
        <f t="shared" ca="1" si="186"/>
        <v>#N/A</v>
      </c>
      <c r="IQ17" s="78" t="e">
        <f t="shared" ca="1" si="187"/>
        <v>#N/A</v>
      </c>
      <c r="IR17" s="74" t="e">
        <f t="shared" ca="1" si="188"/>
        <v>#N/A</v>
      </c>
    </row>
    <row r="18" spans="1:252" s="1" customFormat="1" x14ac:dyDescent="0.35">
      <c r="A18" s="33">
        <v>0</v>
      </c>
      <c r="B18" s="33">
        <v>1</v>
      </c>
      <c r="C18" s="33">
        <v>1</v>
      </c>
      <c r="E18" s="4"/>
      <c r="F18" t="s">
        <v>282</v>
      </c>
      <c r="G18" s="5" t="s">
        <v>530</v>
      </c>
      <c r="H18" s="4" t="s">
        <v>535</v>
      </c>
      <c r="I18" s="7" t="s">
        <v>536</v>
      </c>
      <c r="J18" s="276" t="s">
        <v>805</v>
      </c>
      <c r="K18" s="111" t="s">
        <v>805</v>
      </c>
      <c r="L18" s="111" t="s">
        <v>805</v>
      </c>
      <c r="M18" s="111" t="s">
        <v>805</v>
      </c>
      <c r="N18" s="111" t="s">
        <v>805</v>
      </c>
      <c r="O18" s="111" t="s">
        <v>805</v>
      </c>
      <c r="P18" s="111" t="s">
        <v>805</v>
      </c>
      <c r="Q18" s="111" t="s">
        <v>805</v>
      </c>
      <c r="R18" s="111" t="s">
        <v>805</v>
      </c>
      <c r="S18" s="111" t="s">
        <v>805</v>
      </c>
      <c r="T18" s="111" t="s">
        <v>805</v>
      </c>
      <c r="U18" s="111" t="s">
        <v>805</v>
      </c>
      <c r="V18" s="111" t="s">
        <v>805</v>
      </c>
      <c r="W18" s="111" t="s">
        <v>805</v>
      </c>
      <c r="X18" s="111" t="s">
        <v>805</v>
      </c>
      <c r="Y18" s="111" t="s">
        <v>805</v>
      </c>
      <c r="Z18" s="111" t="s">
        <v>805</v>
      </c>
      <c r="AA18" s="111" t="s">
        <v>805</v>
      </c>
      <c r="AB18" s="111" t="s">
        <v>805</v>
      </c>
      <c r="AC18" s="111" t="s">
        <v>805</v>
      </c>
      <c r="AD18" s="111" t="s">
        <v>805</v>
      </c>
      <c r="AE18" s="111" t="s">
        <v>805</v>
      </c>
      <c r="AF18" s="111" t="s">
        <v>805</v>
      </c>
      <c r="AG18" s="111" t="s">
        <v>805</v>
      </c>
      <c r="AH18" s="111" t="s">
        <v>805</v>
      </c>
      <c r="AI18" s="111" t="s">
        <v>805</v>
      </c>
      <c r="AJ18" s="111" t="s">
        <v>805</v>
      </c>
      <c r="AK18" s="111" t="s">
        <v>805</v>
      </c>
      <c r="AL18" s="111" t="s">
        <v>805</v>
      </c>
      <c r="AM18" s="111" t="s">
        <v>805</v>
      </c>
      <c r="AN18" s="111" t="s">
        <v>805</v>
      </c>
      <c r="AO18" s="111" t="s">
        <v>805</v>
      </c>
      <c r="AP18" s="111" t="s">
        <v>805</v>
      </c>
      <c r="AQ18" s="111" t="s">
        <v>805</v>
      </c>
      <c r="AR18" s="111" t="s">
        <v>805</v>
      </c>
      <c r="AS18" s="111" t="s">
        <v>805</v>
      </c>
      <c r="AT18" s="111" t="s">
        <v>805</v>
      </c>
      <c r="AU18" s="111" t="s">
        <v>805</v>
      </c>
      <c r="AV18" s="111" t="s">
        <v>805</v>
      </c>
      <c r="AW18" s="111" t="s">
        <v>805</v>
      </c>
      <c r="AX18" s="111" t="s">
        <v>805</v>
      </c>
      <c r="AY18" s="111" t="s">
        <v>805</v>
      </c>
      <c r="AZ18" s="111" t="s">
        <v>805</v>
      </c>
      <c r="BA18" s="111" t="s">
        <v>805</v>
      </c>
      <c r="BB18" s="111" t="s">
        <v>805</v>
      </c>
      <c r="BC18" s="111" t="s">
        <v>805</v>
      </c>
      <c r="BD18" s="111" t="s">
        <v>805</v>
      </c>
      <c r="BE18" s="111" t="s">
        <v>805</v>
      </c>
      <c r="BF18" s="111" t="s">
        <v>805</v>
      </c>
      <c r="BG18" s="111" t="s">
        <v>805</v>
      </c>
      <c r="BH18" s="111" t="s">
        <v>805</v>
      </c>
      <c r="BI18" s="111" t="s">
        <v>805</v>
      </c>
      <c r="BJ18" s="111" t="s">
        <v>805</v>
      </c>
      <c r="BK18" s="111" t="s">
        <v>805</v>
      </c>
      <c r="BL18" s="111" t="s">
        <v>805</v>
      </c>
      <c r="BM18" s="111" t="s">
        <v>805</v>
      </c>
      <c r="BN18" s="111" t="s">
        <v>805</v>
      </c>
      <c r="BO18" s="111" t="s">
        <v>805</v>
      </c>
      <c r="BP18" s="111" t="s">
        <v>805</v>
      </c>
      <c r="BQ18" s="111" t="s">
        <v>805</v>
      </c>
      <c r="BR18" s="111" t="s">
        <v>805</v>
      </c>
      <c r="BS18" s="111" t="s">
        <v>805</v>
      </c>
      <c r="BT18" s="111" t="s">
        <v>805</v>
      </c>
      <c r="BU18" s="111" t="s">
        <v>805</v>
      </c>
      <c r="BV18" s="111" t="s">
        <v>805</v>
      </c>
      <c r="BW18" s="111" t="s">
        <v>805</v>
      </c>
      <c r="BX18" s="111" t="s">
        <v>805</v>
      </c>
      <c r="BY18" s="111" t="s">
        <v>805</v>
      </c>
      <c r="BZ18" s="111" t="s">
        <v>805</v>
      </c>
      <c r="CA18" s="111" t="s">
        <v>805</v>
      </c>
      <c r="CB18" s="111" t="s">
        <v>805</v>
      </c>
      <c r="CC18" s="111" t="s">
        <v>805</v>
      </c>
      <c r="CD18" s="111" t="s">
        <v>805</v>
      </c>
      <c r="CE18" s="111" t="s">
        <v>805</v>
      </c>
      <c r="CF18" s="111" t="s">
        <v>805</v>
      </c>
      <c r="CG18" s="111" t="s">
        <v>805</v>
      </c>
      <c r="CH18" s="111" t="s">
        <v>805</v>
      </c>
      <c r="CI18" s="111" t="s">
        <v>805</v>
      </c>
      <c r="CJ18" s="111" t="s">
        <v>805</v>
      </c>
      <c r="CK18" s="111" t="s">
        <v>805</v>
      </c>
      <c r="CL18" s="111" t="s">
        <v>805</v>
      </c>
      <c r="CM18" s="111" t="s">
        <v>805</v>
      </c>
      <c r="CN18" s="111" t="s">
        <v>805</v>
      </c>
      <c r="CO18" s="111" t="s">
        <v>805</v>
      </c>
      <c r="CP18" s="111" t="s">
        <v>805</v>
      </c>
      <c r="CQ18" s="111" t="s">
        <v>805</v>
      </c>
      <c r="CR18" s="111" t="s">
        <v>805</v>
      </c>
      <c r="CS18" s="111" t="s">
        <v>805</v>
      </c>
      <c r="CT18" s="111" t="s">
        <v>805</v>
      </c>
      <c r="CU18" s="111" t="s">
        <v>805</v>
      </c>
      <c r="CV18" s="111" t="s">
        <v>805</v>
      </c>
      <c r="CW18" s="111" t="s">
        <v>805</v>
      </c>
      <c r="CX18" s="111" t="s">
        <v>805</v>
      </c>
      <c r="CY18" s="111" t="s">
        <v>805</v>
      </c>
      <c r="CZ18" s="111" t="s">
        <v>805</v>
      </c>
      <c r="DA18" s="111" t="s">
        <v>805</v>
      </c>
      <c r="DB18" s="111" t="s">
        <v>805</v>
      </c>
      <c r="DC18" s="111" t="s">
        <v>805</v>
      </c>
      <c r="DD18" s="111" t="s">
        <v>805</v>
      </c>
      <c r="DE18" s="111" t="s">
        <v>805</v>
      </c>
      <c r="DF18" s="111" t="s">
        <v>805</v>
      </c>
      <c r="DG18" s="28">
        <f>'KPI Count-SHARE'!J14</f>
        <v>0</v>
      </c>
      <c r="DH18" s="115"/>
      <c r="DI18" s="115"/>
      <c r="DJ18" s="115"/>
      <c r="DK18" s="28">
        <f>'KPI Count-SHARE'!K14</f>
        <v>0</v>
      </c>
      <c r="DL18" s="111"/>
      <c r="DM18" s="111"/>
      <c r="DN18" s="111"/>
      <c r="DO18" s="28">
        <f>'KPI Count-SHARE'!L14</f>
        <v>0</v>
      </c>
      <c r="DP18" s="111"/>
      <c r="DQ18" s="111"/>
      <c r="DR18" s="111"/>
      <c r="DS18" s="28">
        <f>'KPI Count-SHARE'!M14</f>
        <v>0</v>
      </c>
      <c r="DT18" s="111"/>
      <c r="DU18" s="111"/>
      <c r="DV18" s="111"/>
      <c r="DW18" s="30" t="str">
        <f t="shared" si="189"/>
        <v>USD' 000 per FTE</v>
      </c>
      <c r="DX18" s="41" t="str">
        <f t="shared" si="79"/>
        <v>-</v>
      </c>
      <c r="DY18" s="41" t="str">
        <f t="shared" si="80"/>
        <v>-</v>
      </c>
      <c r="DZ18" s="41" t="str">
        <f t="shared" si="81"/>
        <v>-</v>
      </c>
      <c r="EA18" s="41" t="str">
        <f t="shared" si="179"/>
        <v>-</v>
      </c>
      <c r="EB18" s="41" t="str">
        <f t="shared" si="180"/>
        <v>-</v>
      </c>
      <c r="EC18" s="41" t="str">
        <f t="shared" si="181"/>
        <v>-</v>
      </c>
      <c r="ED18" s="41" t="str">
        <f t="shared" si="82"/>
        <v>-</v>
      </c>
      <c r="EE18" s="41" t="str">
        <f t="shared" si="83"/>
        <v>-</v>
      </c>
      <c r="EF18" s="41" t="str">
        <f t="shared" si="84"/>
        <v>-</v>
      </c>
      <c r="EG18" s="41" t="str">
        <f t="shared" si="85"/>
        <v>-</v>
      </c>
      <c r="EH18" s="41" t="str">
        <f t="shared" si="86"/>
        <v>-</v>
      </c>
      <c r="EI18" s="41" t="str">
        <f t="shared" si="87"/>
        <v>-</v>
      </c>
      <c r="EJ18" s="41" t="str">
        <f t="shared" si="87"/>
        <v>-</v>
      </c>
      <c r="EK18" s="41" t="str">
        <f t="shared" si="87"/>
        <v>-</v>
      </c>
      <c r="EL18" s="41" t="str">
        <f t="shared" si="87"/>
        <v>-</v>
      </c>
      <c r="EM18" s="41" t="str">
        <f t="shared" si="87"/>
        <v>-</v>
      </c>
      <c r="EN18" s="41" t="str">
        <f t="shared" si="87"/>
        <v>-</v>
      </c>
      <c r="EO18" s="41" t="str">
        <f t="shared" si="87"/>
        <v>-</v>
      </c>
      <c r="EP18" s="41" t="str">
        <f t="shared" si="87"/>
        <v>-</v>
      </c>
      <c r="EQ18" s="41" t="str">
        <f t="shared" si="87"/>
        <v>-</v>
      </c>
      <c r="ER18" s="41" t="str">
        <f t="shared" si="87"/>
        <v>-</v>
      </c>
      <c r="ES18" s="41" t="str">
        <f t="shared" si="87"/>
        <v>-</v>
      </c>
      <c r="ET18" s="41" t="str">
        <f t="shared" si="87"/>
        <v>-</v>
      </c>
      <c r="EU18" s="41" t="str">
        <f t="shared" si="88"/>
        <v>-</v>
      </c>
      <c r="EV18" s="41" t="str">
        <f t="shared" si="89"/>
        <v>-</v>
      </c>
      <c r="EW18" s="41" t="str">
        <f t="shared" si="90"/>
        <v>-</v>
      </c>
      <c r="EX18" s="41" t="str">
        <f t="shared" si="91"/>
        <v>-</v>
      </c>
      <c r="EY18" s="41" t="str">
        <f t="shared" si="92"/>
        <v>-</v>
      </c>
      <c r="EZ18" s="41" t="str">
        <f t="shared" si="93"/>
        <v>-</v>
      </c>
      <c r="FA18" s="41" t="str">
        <f t="shared" si="94"/>
        <v>-</v>
      </c>
      <c r="FB18" s="41" t="str">
        <f t="shared" si="95"/>
        <v>-</v>
      </c>
      <c r="FC18" s="41" t="str">
        <f t="shared" si="96"/>
        <v>-</v>
      </c>
      <c r="FD18" s="41" t="str">
        <f t="shared" si="97"/>
        <v>-</v>
      </c>
      <c r="FE18" s="41" t="str">
        <f t="shared" si="98"/>
        <v>-</v>
      </c>
      <c r="FF18" s="41" t="str">
        <f t="shared" si="99"/>
        <v>-</v>
      </c>
      <c r="FG18" s="41" t="str">
        <f t="shared" si="100"/>
        <v>-</v>
      </c>
      <c r="FH18" s="41" t="str">
        <f t="shared" si="101"/>
        <v>-</v>
      </c>
      <c r="FI18" s="41" t="str">
        <f t="shared" si="102"/>
        <v>-</v>
      </c>
      <c r="FJ18" s="41" t="str">
        <f t="shared" si="103"/>
        <v>-</v>
      </c>
      <c r="FK18" s="41" t="str">
        <f t="shared" si="104"/>
        <v>-</v>
      </c>
      <c r="FL18" s="41" t="str">
        <f t="shared" si="105"/>
        <v>-</v>
      </c>
      <c r="FM18" s="41" t="str">
        <f t="shared" si="106"/>
        <v>-</v>
      </c>
      <c r="FN18" s="41" t="str">
        <f t="shared" si="107"/>
        <v>-</v>
      </c>
      <c r="FO18" s="41" t="str">
        <f t="shared" si="108"/>
        <v>-</v>
      </c>
      <c r="FP18" s="41" t="str">
        <f t="shared" si="109"/>
        <v>-</v>
      </c>
      <c r="FQ18" s="41" t="str">
        <f t="shared" si="110"/>
        <v>-</v>
      </c>
      <c r="FR18" s="41" t="str">
        <f t="shared" si="111"/>
        <v>-</v>
      </c>
      <c r="FS18" s="41" t="str">
        <f t="shared" si="112"/>
        <v>-</v>
      </c>
      <c r="FT18" s="41" t="str">
        <f t="shared" si="113"/>
        <v>-</v>
      </c>
      <c r="FU18" s="41" t="str">
        <f t="shared" si="114"/>
        <v>-</v>
      </c>
      <c r="FV18" s="41" t="str">
        <f t="shared" si="115"/>
        <v>-</v>
      </c>
      <c r="FW18" s="41" t="str">
        <f t="shared" si="116"/>
        <v>-</v>
      </c>
      <c r="FX18" s="41" t="str">
        <f t="shared" si="117"/>
        <v>-</v>
      </c>
      <c r="FY18" s="41" t="str">
        <f t="shared" si="118"/>
        <v>-</v>
      </c>
      <c r="FZ18" s="41" t="str">
        <f t="shared" si="119"/>
        <v>-</v>
      </c>
      <c r="GA18" s="41" t="str">
        <f t="shared" si="120"/>
        <v>-</v>
      </c>
      <c r="GB18" s="41" t="str">
        <f t="shared" si="121"/>
        <v>-</v>
      </c>
      <c r="GC18" s="41" t="str">
        <f t="shared" si="122"/>
        <v>-</v>
      </c>
      <c r="GD18" s="41" t="str">
        <f t="shared" si="123"/>
        <v>-</v>
      </c>
      <c r="GE18" s="41" t="str">
        <f t="shared" si="124"/>
        <v>-</v>
      </c>
      <c r="GF18" s="41" t="str">
        <f t="shared" si="125"/>
        <v>-</v>
      </c>
      <c r="GG18" s="41" t="str">
        <f t="shared" si="126"/>
        <v>-</v>
      </c>
      <c r="GH18" s="41" t="str">
        <f t="shared" si="127"/>
        <v>-</v>
      </c>
      <c r="GI18" s="41" t="str">
        <f t="shared" si="128"/>
        <v>-</v>
      </c>
      <c r="GJ18" s="41" t="str">
        <f t="shared" si="129"/>
        <v>-</v>
      </c>
      <c r="GK18" s="41" t="str">
        <f t="shared" si="130"/>
        <v>-</v>
      </c>
      <c r="GL18" s="41" t="str">
        <f t="shared" si="131"/>
        <v>-</v>
      </c>
      <c r="GM18" s="41" t="str">
        <f t="shared" si="132"/>
        <v>-</v>
      </c>
      <c r="GN18" s="41" t="str">
        <f t="shared" si="133"/>
        <v>-</v>
      </c>
      <c r="GO18" s="41" t="str">
        <f t="shared" si="134"/>
        <v>-</v>
      </c>
      <c r="GP18" s="41" t="str">
        <f t="shared" si="135"/>
        <v>-</v>
      </c>
      <c r="GQ18" s="41" t="str">
        <f t="shared" si="136"/>
        <v>-</v>
      </c>
      <c r="GR18" s="41" t="str">
        <f t="shared" si="137"/>
        <v>-</v>
      </c>
      <c r="GS18" s="41" t="str">
        <f t="shared" si="138"/>
        <v>-</v>
      </c>
      <c r="GT18" s="41" t="str">
        <f t="shared" si="139"/>
        <v>-</v>
      </c>
      <c r="GU18" s="41" t="str">
        <f t="shared" si="140"/>
        <v>-</v>
      </c>
      <c r="GV18" s="41" t="str">
        <f t="shared" si="141"/>
        <v>-</v>
      </c>
      <c r="GW18" s="41" t="str">
        <f t="shared" si="142"/>
        <v>-</v>
      </c>
      <c r="GX18" s="41" t="str">
        <f t="shared" si="143"/>
        <v>-</v>
      </c>
      <c r="GY18" s="41" t="str">
        <f t="shared" si="144"/>
        <v>-</v>
      </c>
      <c r="GZ18" s="41" t="str">
        <f t="shared" si="145"/>
        <v>-</v>
      </c>
      <c r="HA18" s="41" t="str">
        <f t="shared" si="146"/>
        <v>-</v>
      </c>
      <c r="HB18" s="41" t="str">
        <f t="shared" si="147"/>
        <v>-</v>
      </c>
      <c r="HC18" s="41" t="str">
        <f t="shared" si="148"/>
        <v>-</v>
      </c>
      <c r="HD18" s="41" t="str">
        <f t="shared" si="149"/>
        <v>-</v>
      </c>
      <c r="HE18" s="41" t="str">
        <f t="shared" si="150"/>
        <v>-</v>
      </c>
      <c r="HF18" s="41" t="str">
        <f t="shared" si="151"/>
        <v>-</v>
      </c>
      <c r="HG18" s="41" t="str">
        <f t="shared" si="152"/>
        <v>-</v>
      </c>
      <c r="HH18" s="41" t="str">
        <f t="shared" si="153"/>
        <v>-</v>
      </c>
      <c r="HI18" s="41" t="str">
        <f t="shared" si="154"/>
        <v>-</v>
      </c>
      <c r="HJ18" s="41" t="str">
        <f t="shared" si="155"/>
        <v>-</v>
      </c>
      <c r="HK18" s="41" t="str">
        <f t="shared" si="156"/>
        <v>-</v>
      </c>
      <c r="HL18" s="41" t="str">
        <f t="shared" si="157"/>
        <v>-</v>
      </c>
      <c r="HM18" s="41" t="str">
        <f t="shared" si="158"/>
        <v>-</v>
      </c>
      <c r="HN18" s="41" t="str">
        <f t="shared" si="159"/>
        <v>-</v>
      </c>
      <c r="HO18" s="41" t="str">
        <f t="shared" si="160"/>
        <v>-</v>
      </c>
      <c r="HP18" s="41" t="str">
        <f t="shared" si="161"/>
        <v>-</v>
      </c>
      <c r="HQ18" s="41" t="str">
        <f t="shared" si="162"/>
        <v>-</v>
      </c>
      <c r="HR18" s="41" t="str">
        <f t="shared" si="163"/>
        <v>-</v>
      </c>
      <c r="HS18" s="41" t="str">
        <f t="shared" si="164"/>
        <v>-</v>
      </c>
      <c r="HT18" s="41" t="str">
        <f t="shared" si="164"/>
        <v>-</v>
      </c>
      <c r="HU18" s="43" t="str">
        <f t="shared" si="182"/>
        <v>-</v>
      </c>
      <c r="HV18" s="44" t="str">
        <f t="shared" si="165"/>
        <v/>
      </c>
      <c r="HW18" s="45" t="str">
        <f t="shared" si="166"/>
        <v/>
      </c>
      <c r="HX18" s="84" t="str">
        <f t="shared" si="183"/>
        <v/>
      </c>
      <c r="HY18" s="84" t="str">
        <f t="shared" si="167"/>
        <v/>
      </c>
      <c r="HZ18" s="84" t="str">
        <f t="shared" si="168"/>
        <v/>
      </c>
      <c r="IA18" s="83" t="str">
        <f t="shared" si="169"/>
        <v/>
      </c>
      <c r="IB18" s="84" t="str">
        <f t="shared" si="170"/>
        <v/>
      </c>
      <c r="IC18" s="85" t="str">
        <f t="shared" si="171"/>
        <v/>
      </c>
      <c r="ID18" s="83" t="str">
        <f t="shared" si="172"/>
        <v/>
      </c>
      <c r="IE18" s="84" t="str">
        <f t="shared" si="173"/>
        <v/>
      </c>
      <c r="IF18" s="85" t="str">
        <f t="shared" si="174"/>
        <v/>
      </c>
      <c r="IH18" s="66">
        <v>18</v>
      </c>
      <c r="II18" s="79" t="e">
        <f t="shared" ca="1" si="175"/>
        <v>#N/A</v>
      </c>
      <c r="IJ18" s="79" t="e">
        <f t="shared" ca="1" si="176"/>
        <v>#N/A</v>
      </c>
      <c r="IK18" s="79" t="e">
        <f t="shared" ca="1" si="177"/>
        <v>#N/A</v>
      </c>
      <c r="IL18" s="66" t="e">
        <f t="shared" ca="1" si="178"/>
        <v>#N/A</v>
      </c>
      <c r="IM18" s="33"/>
      <c r="IN18" s="78" t="e">
        <f t="shared" ca="1" si="184"/>
        <v>#N/A</v>
      </c>
      <c r="IO18" s="75" t="e">
        <f t="shared" ca="1" si="185"/>
        <v>#N/A</v>
      </c>
      <c r="IP18" s="75" t="e">
        <f t="shared" ca="1" si="186"/>
        <v>#N/A</v>
      </c>
      <c r="IQ18" s="78" t="e">
        <f t="shared" ca="1" si="187"/>
        <v>#N/A</v>
      </c>
      <c r="IR18" s="74" t="e">
        <f t="shared" ca="1" si="188"/>
        <v>#N/A</v>
      </c>
    </row>
    <row r="19" spans="1:252" s="1" customFormat="1" x14ac:dyDescent="0.35">
      <c r="A19" s="33">
        <v>0</v>
      </c>
      <c r="B19" s="33">
        <v>1</v>
      </c>
      <c r="C19" s="33">
        <v>1</v>
      </c>
      <c r="E19" s="4"/>
      <c r="F19" t="s">
        <v>283</v>
      </c>
      <c r="G19" s="5" t="s">
        <v>530</v>
      </c>
      <c r="H19" s="4" t="s">
        <v>535</v>
      </c>
      <c r="I19" s="7" t="s">
        <v>536</v>
      </c>
      <c r="J19" s="276" t="s">
        <v>805</v>
      </c>
      <c r="K19" s="111" t="s">
        <v>805</v>
      </c>
      <c r="L19" s="111" t="s">
        <v>805</v>
      </c>
      <c r="M19" s="111" t="s">
        <v>805</v>
      </c>
      <c r="N19" s="111" t="s">
        <v>805</v>
      </c>
      <c r="O19" s="111" t="s">
        <v>805</v>
      </c>
      <c r="P19" s="111" t="s">
        <v>805</v>
      </c>
      <c r="Q19" s="111" t="s">
        <v>805</v>
      </c>
      <c r="R19" s="111" t="s">
        <v>805</v>
      </c>
      <c r="S19" s="111" t="s">
        <v>805</v>
      </c>
      <c r="T19" s="111" t="s">
        <v>805</v>
      </c>
      <c r="U19" s="111" t="s">
        <v>805</v>
      </c>
      <c r="V19" s="111" t="s">
        <v>805</v>
      </c>
      <c r="W19" s="111" t="s">
        <v>805</v>
      </c>
      <c r="X19" s="111" t="s">
        <v>805</v>
      </c>
      <c r="Y19" s="111" t="s">
        <v>805</v>
      </c>
      <c r="Z19" s="111" t="s">
        <v>805</v>
      </c>
      <c r="AA19" s="111" t="s">
        <v>805</v>
      </c>
      <c r="AB19" s="111" t="s">
        <v>805</v>
      </c>
      <c r="AC19" s="111" t="s">
        <v>805</v>
      </c>
      <c r="AD19" s="111" t="s">
        <v>805</v>
      </c>
      <c r="AE19" s="111" t="s">
        <v>805</v>
      </c>
      <c r="AF19" s="111" t="s">
        <v>805</v>
      </c>
      <c r="AG19" s="111" t="s">
        <v>805</v>
      </c>
      <c r="AH19" s="111" t="s">
        <v>805</v>
      </c>
      <c r="AI19" s="111" t="s">
        <v>805</v>
      </c>
      <c r="AJ19" s="111" t="s">
        <v>805</v>
      </c>
      <c r="AK19" s="111" t="s">
        <v>805</v>
      </c>
      <c r="AL19" s="111" t="s">
        <v>805</v>
      </c>
      <c r="AM19" s="111" t="s">
        <v>805</v>
      </c>
      <c r="AN19" s="111" t="s">
        <v>805</v>
      </c>
      <c r="AO19" s="111" t="s">
        <v>805</v>
      </c>
      <c r="AP19" s="111" t="s">
        <v>805</v>
      </c>
      <c r="AQ19" s="111" t="s">
        <v>805</v>
      </c>
      <c r="AR19" s="111" t="s">
        <v>805</v>
      </c>
      <c r="AS19" s="111" t="s">
        <v>805</v>
      </c>
      <c r="AT19" s="111" t="s">
        <v>805</v>
      </c>
      <c r="AU19" s="111" t="s">
        <v>805</v>
      </c>
      <c r="AV19" s="111" t="s">
        <v>805</v>
      </c>
      <c r="AW19" s="111" t="s">
        <v>805</v>
      </c>
      <c r="AX19" s="111" t="s">
        <v>805</v>
      </c>
      <c r="AY19" s="111" t="s">
        <v>805</v>
      </c>
      <c r="AZ19" s="111" t="s">
        <v>805</v>
      </c>
      <c r="BA19" s="111" t="s">
        <v>805</v>
      </c>
      <c r="BB19" s="111" t="s">
        <v>805</v>
      </c>
      <c r="BC19" s="111" t="s">
        <v>805</v>
      </c>
      <c r="BD19" s="111" t="s">
        <v>805</v>
      </c>
      <c r="BE19" s="111" t="s">
        <v>805</v>
      </c>
      <c r="BF19" s="111" t="s">
        <v>805</v>
      </c>
      <c r="BG19" s="111" t="s">
        <v>805</v>
      </c>
      <c r="BH19" s="111" t="s">
        <v>805</v>
      </c>
      <c r="BI19" s="111" t="s">
        <v>805</v>
      </c>
      <c r="BJ19" s="111" t="s">
        <v>805</v>
      </c>
      <c r="BK19" s="111" t="s">
        <v>805</v>
      </c>
      <c r="BL19" s="111" t="s">
        <v>805</v>
      </c>
      <c r="BM19" s="111" t="s">
        <v>805</v>
      </c>
      <c r="BN19" s="111" t="s">
        <v>805</v>
      </c>
      <c r="BO19" s="111" t="s">
        <v>805</v>
      </c>
      <c r="BP19" s="111" t="s">
        <v>805</v>
      </c>
      <c r="BQ19" s="111" t="s">
        <v>805</v>
      </c>
      <c r="BR19" s="111" t="s">
        <v>805</v>
      </c>
      <c r="BS19" s="111" t="s">
        <v>805</v>
      </c>
      <c r="BT19" s="111" t="s">
        <v>805</v>
      </c>
      <c r="BU19" s="111" t="s">
        <v>805</v>
      </c>
      <c r="BV19" s="111" t="s">
        <v>805</v>
      </c>
      <c r="BW19" s="111" t="s">
        <v>805</v>
      </c>
      <c r="BX19" s="111" t="s">
        <v>805</v>
      </c>
      <c r="BY19" s="111" t="s">
        <v>805</v>
      </c>
      <c r="BZ19" s="111" t="s">
        <v>805</v>
      </c>
      <c r="CA19" s="111" t="s">
        <v>805</v>
      </c>
      <c r="CB19" s="111" t="s">
        <v>805</v>
      </c>
      <c r="CC19" s="111" t="s">
        <v>805</v>
      </c>
      <c r="CD19" s="111" t="s">
        <v>805</v>
      </c>
      <c r="CE19" s="111" t="s">
        <v>805</v>
      </c>
      <c r="CF19" s="111" t="s">
        <v>805</v>
      </c>
      <c r="CG19" s="111" t="s">
        <v>805</v>
      </c>
      <c r="CH19" s="111" t="s">
        <v>805</v>
      </c>
      <c r="CI19" s="111" t="s">
        <v>805</v>
      </c>
      <c r="CJ19" s="111" t="s">
        <v>805</v>
      </c>
      <c r="CK19" s="111" t="s">
        <v>805</v>
      </c>
      <c r="CL19" s="111" t="s">
        <v>805</v>
      </c>
      <c r="CM19" s="111" t="s">
        <v>805</v>
      </c>
      <c r="CN19" s="111" t="s">
        <v>805</v>
      </c>
      <c r="CO19" s="111" t="s">
        <v>805</v>
      </c>
      <c r="CP19" s="111" t="s">
        <v>805</v>
      </c>
      <c r="CQ19" s="111" t="s">
        <v>805</v>
      </c>
      <c r="CR19" s="111" t="s">
        <v>805</v>
      </c>
      <c r="CS19" s="111" t="s">
        <v>805</v>
      </c>
      <c r="CT19" s="111" t="s">
        <v>805</v>
      </c>
      <c r="CU19" s="111" t="s">
        <v>805</v>
      </c>
      <c r="CV19" s="111" t="s">
        <v>805</v>
      </c>
      <c r="CW19" s="111" t="s">
        <v>805</v>
      </c>
      <c r="CX19" s="111" t="s">
        <v>805</v>
      </c>
      <c r="CY19" s="111" t="s">
        <v>805</v>
      </c>
      <c r="CZ19" s="111" t="s">
        <v>805</v>
      </c>
      <c r="DA19" s="111" t="s">
        <v>805</v>
      </c>
      <c r="DB19" s="111" t="s">
        <v>805</v>
      </c>
      <c r="DC19" s="111" t="s">
        <v>805</v>
      </c>
      <c r="DD19" s="111" t="s">
        <v>805</v>
      </c>
      <c r="DE19" s="111" t="s">
        <v>805</v>
      </c>
      <c r="DF19" s="111" t="s">
        <v>805</v>
      </c>
      <c r="DG19" s="28" t="e">
        <f>'KPI Count-SHARE'!#REF!</f>
        <v>#REF!</v>
      </c>
      <c r="DH19" s="115"/>
      <c r="DI19" s="115"/>
      <c r="DJ19" s="115"/>
      <c r="DK19" s="28" t="e">
        <f>'KPI Count-SHARE'!#REF!</f>
        <v>#REF!</v>
      </c>
      <c r="DL19" s="111"/>
      <c r="DM19" s="111"/>
      <c r="DN19" s="111"/>
      <c r="DO19" s="28" t="e">
        <f>'KPI Count-SHARE'!#REF!</f>
        <v>#REF!</v>
      </c>
      <c r="DP19" s="111"/>
      <c r="DQ19" s="111"/>
      <c r="DR19" s="111"/>
      <c r="DS19" s="28" t="e">
        <f>'KPI Count-SHARE'!#REF!</f>
        <v>#REF!</v>
      </c>
      <c r="DT19" s="111"/>
      <c r="DU19" s="111"/>
      <c r="DV19" s="111"/>
      <c r="DW19" s="30" t="str">
        <f t="shared" si="189"/>
        <v>USD' 000 per FTE</v>
      </c>
      <c r="DX19" s="41" t="str">
        <f t="shared" si="79"/>
        <v>-</v>
      </c>
      <c r="DY19" s="41" t="str">
        <f t="shared" si="80"/>
        <v>-</v>
      </c>
      <c r="DZ19" s="41" t="str">
        <f t="shared" si="81"/>
        <v>-</v>
      </c>
      <c r="EA19" s="41" t="str">
        <f t="shared" si="179"/>
        <v>-</v>
      </c>
      <c r="EB19" s="41" t="str">
        <f t="shared" si="180"/>
        <v>-</v>
      </c>
      <c r="EC19" s="41" t="str">
        <f t="shared" si="181"/>
        <v>-</v>
      </c>
      <c r="ED19" s="41" t="str">
        <f t="shared" si="82"/>
        <v>-</v>
      </c>
      <c r="EE19" s="41" t="str">
        <f t="shared" si="83"/>
        <v>-</v>
      </c>
      <c r="EF19" s="41" t="str">
        <f t="shared" si="84"/>
        <v>-</v>
      </c>
      <c r="EG19" s="41" t="str">
        <f t="shared" si="85"/>
        <v>-</v>
      </c>
      <c r="EH19" s="41" t="str">
        <f t="shared" si="86"/>
        <v>-</v>
      </c>
      <c r="EI19" s="41" t="str">
        <f t="shared" si="87"/>
        <v>-</v>
      </c>
      <c r="EJ19" s="41" t="str">
        <f t="shared" si="87"/>
        <v>-</v>
      </c>
      <c r="EK19" s="41" t="str">
        <f t="shared" si="87"/>
        <v>-</v>
      </c>
      <c r="EL19" s="41" t="str">
        <f t="shared" si="87"/>
        <v>-</v>
      </c>
      <c r="EM19" s="41" t="str">
        <f t="shared" si="87"/>
        <v>-</v>
      </c>
      <c r="EN19" s="41" t="str">
        <f t="shared" si="87"/>
        <v>-</v>
      </c>
      <c r="EO19" s="41" t="str">
        <f t="shared" si="87"/>
        <v>-</v>
      </c>
      <c r="EP19" s="41" t="str">
        <f t="shared" si="87"/>
        <v>-</v>
      </c>
      <c r="EQ19" s="41" t="str">
        <f t="shared" si="87"/>
        <v>-</v>
      </c>
      <c r="ER19" s="41" t="str">
        <f t="shared" si="87"/>
        <v>-</v>
      </c>
      <c r="ES19" s="41" t="str">
        <f t="shared" si="87"/>
        <v>-</v>
      </c>
      <c r="ET19" s="41" t="str">
        <f t="shared" si="87"/>
        <v>-</v>
      </c>
      <c r="EU19" s="41" t="str">
        <f t="shared" si="88"/>
        <v>-</v>
      </c>
      <c r="EV19" s="41" t="str">
        <f t="shared" si="89"/>
        <v>-</v>
      </c>
      <c r="EW19" s="41" t="str">
        <f t="shared" si="90"/>
        <v>-</v>
      </c>
      <c r="EX19" s="41" t="str">
        <f t="shared" si="91"/>
        <v>-</v>
      </c>
      <c r="EY19" s="41" t="str">
        <f t="shared" si="92"/>
        <v>-</v>
      </c>
      <c r="EZ19" s="41" t="str">
        <f t="shared" si="93"/>
        <v>-</v>
      </c>
      <c r="FA19" s="41" t="str">
        <f t="shared" si="94"/>
        <v>-</v>
      </c>
      <c r="FB19" s="41" t="str">
        <f t="shared" si="95"/>
        <v>-</v>
      </c>
      <c r="FC19" s="41" t="str">
        <f t="shared" si="96"/>
        <v>-</v>
      </c>
      <c r="FD19" s="41" t="str">
        <f t="shared" si="97"/>
        <v>-</v>
      </c>
      <c r="FE19" s="41" t="str">
        <f t="shared" si="98"/>
        <v>-</v>
      </c>
      <c r="FF19" s="41" t="str">
        <f t="shared" si="99"/>
        <v>-</v>
      </c>
      <c r="FG19" s="41" t="str">
        <f t="shared" si="100"/>
        <v>-</v>
      </c>
      <c r="FH19" s="41" t="str">
        <f t="shared" si="101"/>
        <v>-</v>
      </c>
      <c r="FI19" s="41" t="str">
        <f t="shared" si="102"/>
        <v>-</v>
      </c>
      <c r="FJ19" s="41" t="str">
        <f t="shared" si="103"/>
        <v>-</v>
      </c>
      <c r="FK19" s="41" t="str">
        <f t="shared" si="104"/>
        <v>-</v>
      </c>
      <c r="FL19" s="41" t="str">
        <f t="shared" si="105"/>
        <v>-</v>
      </c>
      <c r="FM19" s="41" t="str">
        <f t="shared" si="106"/>
        <v>-</v>
      </c>
      <c r="FN19" s="41" t="str">
        <f t="shared" si="107"/>
        <v>-</v>
      </c>
      <c r="FO19" s="41" t="str">
        <f t="shared" si="108"/>
        <v>-</v>
      </c>
      <c r="FP19" s="41" t="str">
        <f t="shared" si="109"/>
        <v>-</v>
      </c>
      <c r="FQ19" s="41" t="str">
        <f t="shared" si="110"/>
        <v>-</v>
      </c>
      <c r="FR19" s="41" t="str">
        <f t="shared" si="111"/>
        <v>-</v>
      </c>
      <c r="FS19" s="41" t="str">
        <f t="shared" si="112"/>
        <v>-</v>
      </c>
      <c r="FT19" s="41" t="str">
        <f t="shared" si="113"/>
        <v>-</v>
      </c>
      <c r="FU19" s="41" t="str">
        <f t="shared" si="114"/>
        <v>-</v>
      </c>
      <c r="FV19" s="41" t="str">
        <f t="shared" si="115"/>
        <v>-</v>
      </c>
      <c r="FW19" s="41" t="str">
        <f t="shared" si="116"/>
        <v>-</v>
      </c>
      <c r="FX19" s="41" t="str">
        <f t="shared" si="117"/>
        <v>-</v>
      </c>
      <c r="FY19" s="41" t="str">
        <f t="shared" si="118"/>
        <v>-</v>
      </c>
      <c r="FZ19" s="41" t="str">
        <f t="shared" si="119"/>
        <v>-</v>
      </c>
      <c r="GA19" s="41" t="str">
        <f t="shared" si="120"/>
        <v>-</v>
      </c>
      <c r="GB19" s="41" t="str">
        <f t="shared" si="121"/>
        <v>-</v>
      </c>
      <c r="GC19" s="41" t="str">
        <f t="shared" si="122"/>
        <v>-</v>
      </c>
      <c r="GD19" s="41" t="str">
        <f t="shared" si="123"/>
        <v>-</v>
      </c>
      <c r="GE19" s="41" t="str">
        <f t="shared" si="124"/>
        <v>-</v>
      </c>
      <c r="GF19" s="41" t="str">
        <f t="shared" si="125"/>
        <v>-</v>
      </c>
      <c r="GG19" s="41" t="str">
        <f t="shared" si="126"/>
        <v>-</v>
      </c>
      <c r="GH19" s="41" t="str">
        <f t="shared" si="127"/>
        <v>-</v>
      </c>
      <c r="GI19" s="41" t="str">
        <f t="shared" si="128"/>
        <v>-</v>
      </c>
      <c r="GJ19" s="41" t="str">
        <f t="shared" si="129"/>
        <v>-</v>
      </c>
      <c r="GK19" s="41" t="str">
        <f t="shared" si="130"/>
        <v>-</v>
      </c>
      <c r="GL19" s="41" t="str">
        <f t="shared" si="131"/>
        <v>-</v>
      </c>
      <c r="GM19" s="41" t="str">
        <f t="shared" si="132"/>
        <v>-</v>
      </c>
      <c r="GN19" s="41" t="str">
        <f t="shared" si="133"/>
        <v>-</v>
      </c>
      <c r="GO19" s="41" t="str">
        <f t="shared" si="134"/>
        <v>-</v>
      </c>
      <c r="GP19" s="41" t="str">
        <f t="shared" si="135"/>
        <v>-</v>
      </c>
      <c r="GQ19" s="41" t="str">
        <f t="shared" si="136"/>
        <v>-</v>
      </c>
      <c r="GR19" s="41" t="str">
        <f t="shared" si="137"/>
        <v>-</v>
      </c>
      <c r="GS19" s="41" t="str">
        <f t="shared" si="138"/>
        <v>-</v>
      </c>
      <c r="GT19" s="41" t="str">
        <f t="shared" si="139"/>
        <v>-</v>
      </c>
      <c r="GU19" s="41" t="str">
        <f t="shared" si="140"/>
        <v>-</v>
      </c>
      <c r="GV19" s="41" t="str">
        <f t="shared" si="141"/>
        <v>-</v>
      </c>
      <c r="GW19" s="41" t="str">
        <f t="shared" si="142"/>
        <v>-</v>
      </c>
      <c r="GX19" s="41" t="str">
        <f t="shared" si="143"/>
        <v>-</v>
      </c>
      <c r="GY19" s="41" t="str">
        <f t="shared" si="144"/>
        <v>-</v>
      </c>
      <c r="GZ19" s="41" t="str">
        <f t="shared" si="145"/>
        <v>-</v>
      </c>
      <c r="HA19" s="41" t="str">
        <f t="shared" si="146"/>
        <v>-</v>
      </c>
      <c r="HB19" s="41" t="str">
        <f t="shared" si="147"/>
        <v>-</v>
      </c>
      <c r="HC19" s="41" t="str">
        <f t="shared" si="148"/>
        <v>-</v>
      </c>
      <c r="HD19" s="41" t="str">
        <f t="shared" si="149"/>
        <v>-</v>
      </c>
      <c r="HE19" s="41" t="str">
        <f t="shared" si="150"/>
        <v>-</v>
      </c>
      <c r="HF19" s="41" t="str">
        <f t="shared" si="151"/>
        <v>-</v>
      </c>
      <c r="HG19" s="41" t="str">
        <f t="shared" si="152"/>
        <v>-</v>
      </c>
      <c r="HH19" s="41" t="str">
        <f t="shared" si="153"/>
        <v>-</v>
      </c>
      <c r="HI19" s="41" t="str">
        <f t="shared" si="154"/>
        <v>-</v>
      </c>
      <c r="HJ19" s="41" t="str">
        <f t="shared" si="155"/>
        <v>-</v>
      </c>
      <c r="HK19" s="41" t="str">
        <f t="shared" si="156"/>
        <v>-</v>
      </c>
      <c r="HL19" s="41" t="str">
        <f t="shared" si="157"/>
        <v>-</v>
      </c>
      <c r="HM19" s="41" t="str">
        <f t="shared" si="158"/>
        <v>-</v>
      </c>
      <c r="HN19" s="41" t="str">
        <f t="shared" si="159"/>
        <v>-</v>
      </c>
      <c r="HO19" s="41" t="str">
        <f t="shared" si="160"/>
        <v>-</v>
      </c>
      <c r="HP19" s="41" t="str">
        <f t="shared" si="161"/>
        <v>-</v>
      </c>
      <c r="HQ19" s="41" t="str">
        <f t="shared" si="162"/>
        <v>-</v>
      </c>
      <c r="HR19" s="41" t="str">
        <f t="shared" si="163"/>
        <v>-</v>
      </c>
      <c r="HS19" s="41" t="str">
        <f t="shared" si="164"/>
        <v>-</v>
      </c>
      <c r="HT19" s="41" t="str">
        <f t="shared" si="164"/>
        <v>-</v>
      </c>
      <c r="HU19" s="43" t="str">
        <f t="shared" si="182"/>
        <v>-</v>
      </c>
      <c r="HV19" s="44" t="str">
        <f t="shared" si="165"/>
        <v/>
      </c>
      <c r="HW19" s="45" t="str">
        <f t="shared" si="166"/>
        <v/>
      </c>
      <c r="HX19" s="84" t="str">
        <f t="shared" si="183"/>
        <v/>
      </c>
      <c r="HY19" s="84" t="str">
        <f t="shared" si="167"/>
        <v/>
      </c>
      <c r="HZ19" s="84" t="str">
        <f t="shared" si="168"/>
        <v/>
      </c>
      <c r="IA19" s="83" t="str">
        <f t="shared" si="169"/>
        <v/>
      </c>
      <c r="IB19" s="84" t="str">
        <f t="shared" si="170"/>
        <v/>
      </c>
      <c r="IC19" s="85" t="str">
        <f t="shared" si="171"/>
        <v/>
      </c>
      <c r="ID19" s="83" t="str">
        <f t="shared" si="172"/>
        <v/>
      </c>
      <c r="IE19" s="84" t="str">
        <f t="shared" si="173"/>
        <v/>
      </c>
      <c r="IF19" s="85" t="str">
        <f t="shared" si="174"/>
        <v/>
      </c>
      <c r="IH19" s="66">
        <v>19</v>
      </c>
      <c r="II19" s="79" t="e">
        <f t="shared" ca="1" si="175"/>
        <v>#N/A</v>
      </c>
      <c r="IJ19" s="79" t="e">
        <f t="shared" ca="1" si="176"/>
        <v>#N/A</v>
      </c>
      <c r="IK19" s="79" t="e">
        <f t="shared" ca="1" si="177"/>
        <v>#N/A</v>
      </c>
      <c r="IL19" s="66" t="e">
        <f t="shared" ca="1" si="178"/>
        <v>#N/A</v>
      </c>
      <c r="IM19" s="33"/>
      <c r="IN19" s="78" t="e">
        <f t="shared" ca="1" si="184"/>
        <v>#N/A</v>
      </c>
      <c r="IO19" s="75" t="e">
        <f t="shared" ca="1" si="185"/>
        <v>#N/A</v>
      </c>
      <c r="IP19" s="75" t="e">
        <f t="shared" ca="1" si="186"/>
        <v>#N/A</v>
      </c>
      <c r="IQ19" s="78" t="e">
        <f t="shared" ca="1" si="187"/>
        <v>#N/A</v>
      </c>
      <c r="IR19" s="74" t="e">
        <f t="shared" ca="1" si="188"/>
        <v>#N/A</v>
      </c>
    </row>
    <row r="20" spans="1:252" s="1" customFormat="1" x14ac:dyDescent="0.35">
      <c r="A20" s="33">
        <v>0</v>
      </c>
      <c r="B20" s="33">
        <v>1</v>
      </c>
      <c r="C20" s="33">
        <v>1</v>
      </c>
      <c r="E20" s="4"/>
      <c r="F20" t="s">
        <v>284</v>
      </c>
      <c r="G20" s="5" t="s">
        <v>530</v>
      </c>
      <c r="H20" s="4" t="s">
        <v>535</v>
      </c>
      <c r="I20" s="7" t="s">
        <v>536</v>
      </c>
      <c r="J20" s="276" t="s">
        <v>805</v>
      </c>
      <c r="K20" s="111" t="s">
        <v>805</v>
      </c>
      <c r="L20" s="111" t="s">
        <v>805</v>
      </c>
      <c r="M20" s="111" t="s">
        <v>805</v>
      </c>
      <c r="N20" s="111" t="s">
        <v>805</v>
      </c>
      <c r="O20" s="111" t="s">
        <v>805</v>
      </c>
      <c r="P20" s="111" t="s">
        <v>805</v>
      </c>
      <c r="Q20" s="111" t="s">
        <v>805</v>
      </c>
      <c r="R20" s="111" t="s">
        <v>805</v>
      </c>
      <c r="S20" s="111" t="s">
        <v>805</v>
      </c>
      <c r="T20" s="111" t="s">
        <v>805</v>
      </c>
      <c r="U20" s="111" t="s">
        <v>805</v>
      </c>
      <c r="V20" s="111" t="s">
        <v>805</v>
      </c>
      <c r="W20" s="111" t="s">
        <v>805</v>
      </c>
      <c r="X20" s="111" t="s">
        <v>805</v>
      </c>
      <c r="Y20" s="111" t="s">
        <v>805</v>
      </c>
      <c r="Z20" s="111" t="s">
        <v>805</v>
      </c>
      <c r="AA20" s="111" t="s">
        <v>805</v>
      </c>
      <c r="AB20" s="111" t="s">
        <v>805</v>
      </c>
      <c r="AC20" s="111" t="s">
        <v>805</v>
      </c>
      <c r="AD20" s="111" t="s">
        <v>805</v>
      </c>
      <c r="AE20" s="111" t="s">
        <v>805</v>
      </c>
      <c r="AF20" s="111" t="s">
        <v>805</v>
      </c>
      <c r="AG20" s="111" t="s">
        <v>805</v>
      </c>
      <c r="AH20" s="111" t="s">
        <v>805</v>
      </c>
      <c r="AI20" s="111" t="s">
        <v>805</v>
      </c>
      <c r="AJ20" s="111" t="s">
        <v>805</v>
      </c>
      <c r="AK20" s="111" t="s">
        <v>805</v>
      </c>
      <c r="AL20" s="111" t="s">
        <v>805</v>
      </c>
      <c r="AM20" s="111" t="s">
        <v>805</v>
      </c>
      <c r="AN20" s="111" t="s">
        <v>805</v>
      </c>
      <c r="AO20" s="111" t="s">
        <v>805</v>
      </c>
      <c r="AP20" s="111" t="s">
        <v>805</v>
      </c>
      <c r="AQ20" s="111" t="s">
        <v>805</v>
      </c>
      <c r="AR20" s="111" t="s">
        <v>805</v>
      </c>
      <c r="AS20" s="111" t="s">
        <v>805</v>
      </c>
      <c r="AT20" s="111" t="s">
        <v>805</v>
      </c>
      <c r="AU20" s="111" t="s">
        <v>805</v>
      </c>
      <c r="AV20" s="111" t="s">
        <v>805</v>
      </c>
      <c r="AW20" s="111" t="s">
        <v>805</v>
      </c>
      <c r="AX20" s="111" t="s">
        <v>805</v>
      </c>
      <c r="AY20" s="111" t="s">
        <v>805</v>
      </c>
      <c r="AZ20" s="111" t="s">
        <v>805</v>
      </c>
      <c r="BA20" s="111" t="s">
        <v>805</v>
      </c>
      <c r="BB20" s="111" t="s">
        <v>805</v>
      </c>
      <c r="BC20" s="111" t="s">
        <v>805</v>
      </c>
      <c r="BD20" s="111" t="s">
        <v>805</v>
      </c>
      <c r="BE20" s="111" t="s">
        <v>805</v>
      </c>
      <c r="BF20" s="111" t="s">
        <v>805</v>
      </c>
      <c r="BG20" s="111" t="s">
        <v>805</v>
      </c>
      <c r="BH20" s="111" t="s">
        <v>805</v>
      </c>
      <c r="BI20" s="111" t="s">
        <v>805</v>
      </c>
      <c r="BJ20" s="111" t="s">
        <v>805</v>
      </c>
      <c r="BK20" s="111" t="s">
        <v>805</v>
      </c>
      <c r="BL20" s="111" t="s">
        <v>805</v>
      </c>
      <c r="BM20" s="111" t="s">
        <v>805</v>
      </c>
      <c r="BN20" s="111" t="s">
        <v>805</v>
      </c>
      <c r="BO20" s="111" t="s">
        <v>805</v>
      </c>
      <c r="BP20" s="111" t="s">
        <v>805</v>
      </c>
      <c r="BQ20" s="111" t="s">
        <v>805</v>
      </c>
      <c r="BR20" s="111" t="s">
        <v>805</v>
      </c>
      <c r="BS20" s="111" t="s">
        <v>805</v>
      </c>
      <c r="BT20" s="111" t="s">
        <v>805</v>
      </c>
      <c r="BU20" s="111" t="s">
        <v>805</v>
      </c>
      <c r="BV20" s="111" t="s">
        <v>805</v>
      </c>
      <c r="BW20" s="111" t="s">
        <v>805</v>
      </c>
      <c r="BX20" s="111" t="s">
        <v>805</v>
      </c>
      <c r="BY20" s="111" t="s">
        <v>805</v>
      </c>
      <c r="BZ20" s="111" t="s">
        <v>805</v>
      </c>
      <c r="CA20" s="111" t="s">
        <v>805</v>
      </c>
      <c r="CB20" s="111" t="s">
        <v>805</v>
      </c>
      <c r="CC20" s="111" t="s">
        <v>805</v>
      </c>
      <c r="CD20" s="111" t="s">
        <v>805</v>
      </c>
      <c r="CE20" s="111" t="s">
        <v>805</v>
      </c>
      <c r="CF20" s="111" t="s">
        <v>805</v>
      </c>
      <c r="CG20" s="111" t="s">
        <v>805</v>
      </c>
      <c r="CH20" s="111" t="s">
        <v>805</v>
      </c>
      <c r="CI20" s="111" t="s">
        <v>805</v>
      </c>
      <c r="CJ20" s="111" t="s">
        <v>805</v>
      </c>
      <c r="CK20" s="111" t="s">
        <v>805</v>
      </c>
      <c r="CL20" s="111" t="s">
        <v>805</v>
      </c>
      <c r="CM20" s="111" t="s">
        <v>805</v>
      </c>
      <c r="CN20" s="111" t="s">
        <v>805</v>
      </c>
      <c r="CO20" s="111" t="s">
        <v>805</v>
      </c>
      <c r="CP20" s="111" t="s">
        <v>805</v>
      </c>
      <c r="CQ20" s="111" t="s">
        <v>805</v>
      </c>
      <c r="CR20" s="111" t="s">
        <v>805</v>
      </c>
      <c r="CS20" s="111" t="s">
        <v>805</v>
      </c>
      <c r="CT20" s="111" t="s">
        <v>805</v>
      </c>
      <c r="CU20" s="111" t="s">
        <v>805</v>
      </c>
      <c r="CV20" s="111" t="s">
        <v>805</v>
      </c>
      <c r="CW20" s="111" t="s">
        <v>805</v>
      </c>
      <c r="CX20" s="111" t="s">
        <v>805</v>
      </c>
      <c r="CY20" s="111" t="s">
        <v>805</v>
      </c>
      <c r="CZ20" s="111" t="s">
        <v>805</v>
      </c>
      <c r="DA20" s="111" t="s">
        <v>805</v>
      </c>
      <c r="DB20" s="111" t="s">
        <v>805</v>
      </c>
      <c r="DC20" s="111" t="s">
        <v>805</v>
      </c>
      <c r="DD20" s="111" t="s">
        <v>805</v>
      </c>
      <c r="DE20" s="111" t="s">
        <v>805</v>
      </c>
      <c r="DF20" s="111" t="s">
        <v>805</v>
      </c>
      <c r="DG20" s="28">
        <f>'KPI Count-SHARE'!J15</f>
        <v>0</v>
      </c>
      <c r="DH20" s="115"/>
      <c r="DI20" s="115"/>
      <c r="DJ20" s="115"/>
      <c r="DK20" s="28">
        <f>'KPI Count-SHARE'!K15</f>
        <v>0</v>
      </c>
      <c r="DL20" s="111"/>
      <c r="DM20" s="111"/>
      <c r="DN20" s="111"/>
      <c r="DO20" s="28">
        <f>'KPI Count-SHARE'!L15</f>
        <v>0</v>
      </c>
      <c r="DP20" s="111"/>
      <c r="DQ20" s="111"/>
      <c r="DR20" s="111"/>
      <c r="DS20" s="28">
        <f>'KPI Count-SHARE'!M15</f>
        <v>0</v>
      </c>
      <c r="DT20" s="111"/>
      <c r="DU20" s="111"/>
      <c r="DV20" s="111"/>
      <c r="DW20" s="30" t="str">
        <f t="shared" si="189"/>
        <v>USD' 000 per FTE</v>
      </c>
      <c r="DX20" s="41" t="str">
        <f t="shared" si="79"/>
        <v>-</v>
      </c>
      <c r="DY20" s="41" t="str">
        <f t="shared" si="80"/>
        <v>-</v>
      </c>
      <c r="DZ20" s="41" t="str">
        <f t="shared" si="81"/>
        <v>-</v>
      </c>
      <c r="EA20" s="41" t="str">
        <f t="shared" si="179"/>
        <v>-</v>
      </c>
      <c r="EB20" s="41" t="str">
        <f t="shared" si="180"/>
        <v>-</v>
      </c>
      <c r="EC20" s="41" t="str">
        <f t="shared" si="181"/>
        <v>-</v>
      </c>
      <c r="ED20" s="41" t="str">
        <f t="shared" si="82"/>
        <v>-</v>
      </c>
      <c r="EE20" s="41" t="str">
        <f t="shared" si="83"/>
        <v>-</v>
      </c>
      <c r="EF20" s="41" t="str">
        <f t="shared" si="84"/>
        <v>-</v>
      </c>
      <c r="EG20" s="41" t="str">
        <f t="shared" si="85"/>
        <v>-</v>
      </c>
      <c r="EH20" s="41" t="str">
        <f t="shared" si="86"/>
        <v>-</v>
      </c>
      <c r="EI20" s="41" t="str">
        <f t="shared" si="87"/>
        <v>-</v>
      </c>
      <c r="EJ20" s="41" t="str">
        <f t="shared" si="87"/>
        <v>-</v>
      </c>
      <c r="EK20" s="41" t="str">
        <f t="shared" si="87"/>
        <v>-</v>
      </c>
      <c r="EL20" s="41" t="str">
        <f t="shared" si="87"/>
        <v>-</v>
      </c>
      <c r="EM20" s="41" t="str">
        <f t="shared" si="87"/>
        <v>-</v>
      </c>
      <c r="EN20" s="41" t="str">
        <f t="shared" si="87"/>
        <v>-</v>
      </c>
      <c r="EO20" s="41" t="str">
        <f t="shared" si="87"/>
        <v>-</v>
      </c>
      <c r="EP20" s="41" t="str">
        <f t="shared" si="87"/>
        <v>-</v>
      </c>
      <c r="EQ20" s="41" t="str">
        <f t="shared" si="87"/>
        <v>-</v>
      </c>
      <c r="ER20" s="41" t="str">
        <f t="shared" si="87"/>
        <v>-</v>
      </c>
      <c r="ES20" s="41" t="str">
        <f t="shared" si="87"/>
        <v>-</v>
      </c>
      <c r="ET20" s="41" t="str">
        <f t="shared" si="87"/>
        <v>-</v>
      </c>
      <c r="EU20" s="41" t="str">
        <f t="shared" si="88"/>
        <v>-</v>
      </c>
      <c r="EV20" s="41" t="str">
        <f t="shared" si="89"/>
        <v>-</v>
      </c>
      <c r="EW20" s="41" t="str">
        <f t="shared" si="90"/>
        <v>-</v>
      </c>
      <c r="EX20" s="41" t="str">
        <f t="shared" si="91"/>
        <v>-</v>
      </c>
      <c r="EY20" s="41" t="str">
        <f t="shared" si="92"/>
        <v>-</v>
      </c>
      <c r="EZ20" s="41" t="str">
        <f t="shared" si="93"/>
        <v>-</v>
      </c>
      <c r="FA20" s="41" t="str">
        <f t="shared" si="94"/>
        <v>-</v>
      </c>
      <c r="FB20" s="41" t="str">
        <f t="shared" si="95"/>
        <v>-</v>
      </c>
      <c r="FC20" s="41" t="str">
        <f t="shared" si="96"/>
        <v>-</v>
      </c>
      <c r="FD20" s="41" t="str">
        <f t="shared" si="97"/>
        <v>-</v>
      </c>
      <c r="FE20" s="41" t="str">
        <f t="shared" si="98"/>
        <v>-</v>
      </c>
      <c r="FF20" s="41" t="str">
        <f t="shared" si="99"/>
        <v>-</v>
      </c>
      <c r="FG20" s="41" t="str">
        <f t="shared" si="100"/>
        <v>-</v>
      </c>
      <c r="FH20" s="41" t="str">
        <f t="shared" si="101"/>
        <v>-</v>
      </c>
      <c r="FI20" s="41" t="str">
        <f t="shared" si="102"/>
        <v>-</v>
      </c>
      <c r="FJ20" s="41" t="str">
        <f t="shared" si="103"/>
        <v>-</v>
      </c>
      <c r="FK20" s="41" t="str">
        <f t="shared" si="104"/>
        <v>-</v>
      </c>
      <c r="FL20" s="41" t="str">
        <f t="shared" si="105"/>
        <v>-</v>
      </c>
      <c r="FM20" s="41" t="str">
        <f t="shared" si="106"/>
        <v>-</v>
      </c>
      <c r="FN20" s="41" t="str">
        <f t="shared" si="107"/>
        <v>-</v>
      </c>
      <c r="FO20" s="41" t="str">
        <f t="shared" si="108"/>
        <v>-</v>
      </c>
      <c r="FP20" s="41" t="str">
        <f t="shared" si="109"/>
        <v>-</v>
      </c>
      <c r="FQ20" s="41" t="str">
        <f t="shared" si="110"/>
        <v>-</v>
      </c>
      <c r="FR20" s="41" t="str">
        <f t="shared" si="111"/>
        <v>-</v>
      </c>
      <c r="FS20" s="41" t="str">
        <f t="shared" si="112"/>
        <v>-</v>
      </c>
      <c r="FT20" s="41" t="str">
        <f t="shared" si="113"/>
        <v>-</v>
      </c>
      <c r="FU20" s="41" t="str">
        <f t="shared" si="114"/>
        <v>-</v>
      </c>
      <c r="FV20" s="41" t="str">
        <f t="shared" si="115"/>
        <v>-</v>
      </c>
      <c r="FW20" s="41" t="str">
        <f t="shared" si="116"/>
        <v>-</v>
      </c>
      <c r="FX20" s="41" t="str">
        <f t="shared" si="117"/>
        <v>-</v>
      </c>
      <c r="FY20" s="41" t="str">
        <f t="shared" si="118"/>
        <v>-</v>
      </c>
      <c r="FZ20" s="41" t="str">
        <f t="shared" si="119"/>
        <v>-</v>
      </c>
      <c r="GA20" s="41" t="str">
        <f t="shared" si="120"/>
        <v>-</v>
      </c>
      <c r="GB20" s="41" t="str">
        <f t="shared" si="121"/>
        <v>-</v>
      </c>
      <c r="GC20" s="41" t="str">
        <f t="shared" si="122"/>
        <v>-</v>
      </c>
      <c r="GD20" s="41" t="str">
        <f t="shared" si="123"/>
        <v>-</v>
      </c>
      <c r="GE20" s="41" t="str">
        <f t="shared" si="124"/>
        <v>-</v>
      </c>
      <c r="GF20" s="41" t="str">
        <f t="shared" si="125"/>
        <v>-</v>
      </c>
      <c r="GG20" s="41" t="str">
        <f t="shared" si="126"/>
        <v>-</v>
      </c>
      <c r="GH20" s="41" t="str">
        <f t="shared" si="127"/>
        <v>-</v>
      </c>
      <c r="GI20" s="41" t="str">
        <f t="shared" si="128"/>
        <v>-</v>
      </c>
      <c r="GJ20" s="41" t="str">
        <f t="shared" si="129"/>
        <v>-</v>
      </c>
      <c r="GK20" s="41" t="str">
        <f t="shared" si="130"/>
        <v>-</v>
      </c>
      <c r="GL20" s="41" t="str">
        <f t="shared" si="131"/>
        <v>-</v>
      </c>
      <c r="GM20" s="41" t="str">
        <f t="shared" si="132"/>
        <v>-</v>
      </c>
      <c r="GN20" s="41" t="str">
        <f t="shared" si="133"/>
        <v>-</v>
      </c>
      <c r="GO20" s="41" t="str">
        <f t="shared" si="134"/>
        <v>-</v>
      </c>
      <c r="GP20" s="41" t="str">
        <f t="shared" si="135"/>
        <v>-</v>
      </c>
      <c r="GQ20" s="41" t="str">
        <f t="shared" si="136"/>
        <v>-</v>
      </c>
      <c r="GR20" s="41" t="str">
        <f t="shared" si="137"/>
        <v>-</v>
      </c>
      <c r="GS20" s="41" t="str">
        <f t="shared" si="138"/>
        <v>-</v>
      </c>
      <c r="GT20" s="41" t="str">
        <f t="shared" si="139"/>
        <v>-</v>
      </c>
      <c r="GU20" s="41" t="str">
        <f t="shared" si="140"/>
        <v>-</v>
      </c>
      <c r="GV20" s="41" t="str">
        <f t="shared" si="141"/>
        <v>-</v>
      </c>
      <c r="GW20" s="41" t="str">
        <f t="shared" si="142"/>
        <v>-</v>
      </c>
      <c r="GX20" s="41" t="str">
        <f t="shared" si="143"/>
        <v>-</v>
      </c>
      <c r="GY20" s="41" t="str">
        <f t="shared" si="144"/>
        <v>-</v>
      </c>
      <c r="GZ20" s="41" t="str">
        <f t="shared" si="145"/>
        <v>-</v>
      </c>
      <c r="HA20" s="41" t="str">
        <f t="shared" si="146"/>
        <v>-</v>
      </c>
      <c r="HB20" s="41" t="str">
        <f t="shared" si="147"/>
        <v>-</v>
      </c>
      <c r="HC20" s="41" t="str">
        <f t="shared" si="148"/>
        <v>-</v>
      </c>
      <c r="HD20" s="41" t="str">
        <f t="shared" si="149"/>
        <v>-</v>
      </c>
      <c r="HE20" s="41" t="str">
        <f t="shared" si="150"/>
        <v>-</v>
      </c>
      <c r="HF20" s="41" t="str">
        <f t="shared" si="151"/>
        <v>-</v>
      </c>
      <c r="HG20" s="41" t="str">
        <f t="shared" si="152"/>
        <v>-</v>
      </c>
      <c r="HH20" s="41" t="str">
        <f t="shared" si="153"/>
        <v>-</v>
      </c>
      <c r="HI20" s="41" t="str">
        <f t="shared" si="154"/>
        <v>-</v>
      </c>
      <c r="HJ20" s="41" t="str">
        <f t="shared" si="155"/>
        <v>-</v>
      </c>
      <c r="HK20" s="41" t="str">
        <f t="shared" si="156"/>
        <v>-</v>
      </c>
      <c r="HL20" s="41" t="str">
        <f t="shared" si="157"/>
        <v>-</v>
      </c>
      <c r="HM20" s="41" t="str">
        <f t="shared" si="158"/>
        <v>-</v>
      </c>
      <c r="HN20" s="41" t="str">
        <f t="shared" si="159"/>
        <v>-</v>
      </c>
      <c r="HO20" s="41" t="str">
        <f t="shared" si="160"/>
        <v>-</v>
      </c>
      <c r="HP20" s="41" t="str">
        <f t="shared" si="161"/>
        <v>-</v>
      </c>
      <c r="HQ20" s="41" t="str">
        <f t="shared" si="162"/>
        <v>-</v>
      </c>
      <c r="HR20" s="41" t="str">
        <f t="shared" si="163"/>
        <v>-</v>
      </c>
      <c r="HS20" s="41" t="str">
        <f t="shared" si="164"/>
        <v>-</v>
      </c>
      <c r="HT20" s="41" t="str">
        <f t="shared" si="164"/>
        <v>-</v>
      </c>
      <c r="HU20" s="43" t="str">
        <f t="shared" si="182"/>
        <v>-</v>
      </c>
      <c r="HV20" s="44" t="str">
        <f t="shared" si="165"/>
        <v/>
      </c>
      <c r="HW20" s="45" t="str">
        <f t="shared" si="166"/>
        <v/>
      </c>
      <c r="HX20" s="84" t="str">
        <f t="shared" si="183"/>
        <v/>
      </c>
      <c r="HY20" s="84" t="str">
        <f t="shared" si="167"/>
        <v/>
      </c>
      <c r="HZ20" s="84" t="str">
        <f t="shared" si="168"/>
        <v/>
      </c>
      <c r="IA20" s="83" t="str">
        <f t="shared" si="169"/>
        <v/>
      </c>
      <c r="IB20" s="84" t="str">
        <f t="shared" si="170"/>
        <v/>
      </c>
      <c r="IC20" s="85" t="str">
        <f t="shared" si="171"/>
        <v/>
      </c>
      <c r="ID20" s="83" t="str">
        <f t="shared" si="172"/>
        <v/>
      </c>
      <c r="IE20" s="84" t="str">
        <f t="shared" si="173"/>
        <v/>
      </c>
      <c r="IF20" s="85" t="str">
        <f t="shared" si="174"/>
        <v/>
      </c>
      <c r="IH20" s="66">
        <v>20</v>
      </c>
      <c r="II20" s="79" t="e">
        <f t="shared" ca="1" si="175"/>
        <v>#N/A</v>
      </c>
      <c r="IJ20" s="79" t="e">
        <f t="shared" ca="1" si="176"/>
        <v>#N/A</v>
      </c>
      <c r="IK20" s="79" t="e">
        <f t="shared" ca="1" si="177"/>
        <v>#N/A</v>
      </c>
      <c r="IL20" s="66" t="e">
        <f t="shared" ca="1" si="178"/>
        <v>#N/A</v>
      </c>
      <c r="IM20" s="33"/>
      <c r="IN20" s="78" t="e">
        <f t="shared" ca="1" si="184"/>
        <v>#N/A</v>
      </c>
      <c r="IO20" s="75" t="e">
        <f t="shared" ca="1" si="185"/>
        <v>#N/A</v>
      </c>
      <c r="IP20" s="75" t="e">
        <f t="shared" ca="1" si="186"/>
        <v>#N/A</v>
      </c>
      <c r="IQ20" s="78" t="e">
        <f t="shared" ca="1" si="187"/>
        <v>#N/A</v>
      </c>
      <c r="IR20" s="74" t="e">
        <f t="shared" ca="1" si="188"/>
        <v>#N/A</v>
      </c>
    </row>
    <row r="21" spans="1:252" s="1" customFormat="1" x14ac:dyDescent="0.35">
      <c r="A21" s="33">
        <v>0</v>
      </c>
      <c r="B21" s="33">
        <v>1</v>
      </c>
      <c r="C21" s="33">
        <v>1</v>
      </c>
      <c r="E21" s="4"/>
      <c r="F21" t="s">
        <v>285</v>
      </c>
      <c r="G21" s="5" t="s">
        <v>530</v>
      </c>
      <c r="H21" s="4" t="s">
        <v>535</v>
      </c>
      <c r="I21" s="7" t="s">
        <v>536</v>
      </c>
      <c r="J21" s="276" t="s">
        <v>805</v>
      </c>
      <c r="K21" s="111" t="s">
        <v>805</v>
      </c>
      <c r="L21" s="111" t="s">
        <v>805</v>
      </c>
      <c r="M21" s="111" t="s">
        <v>805</v>
      </c>
      <c r="N21" s="111" t="s">
        <v>805</v>
      </c>
      <c r="O21" s="111" t="s">
        <v>805</v>
      </c>
      <c r="P21" s="111" t="s">
        <v>805</v>
      </c>
      <c r="Q21" s="111" t="s">
        <v>805</v>
      </c>
      <c r="R21" s="111" t="s">
        <v>805</v>
      </c>
      <c r="S21" s="111" t="s">
        <v>805</v>
      </c>
      <c r="T21" s="111" t="s">
        <v>805</v>
      </c>
      <c r="U21" s="111" t="s">
        <v>805</v>
      </c>
      <c r="V21" s="111" t="s">
        <v>805</v>
      </c>
      <c r="W21" s="111" t="s">
        <v>805</v>
      </c>
      <c r="X21" s="111" t="s">
        <v>805</v>
      </c>
      <c r="Y21" s="111" t="s">
        <v>805</v>
      </c>
      <c r="Z21" s="111" t="s">
        <v>805</v>
      </c>
      <c r="AA21" s="111" t="s">
        <v>805</v>
      </c>
      <c r="AB21" s="111" t="s">
        <v>805</v>
      </c>
      <c r="AC21" s="111" t="s">
        <v>805</v>
      </c>
      <c r="AD21" s="111" t="s">
        <v>805</v>
      </c>
      <c r="AE21" s="111" t="s">
        <v>805</v>
      </c>
      <c r="AF21" s="111" t="s">
        <v>805</v>
      </c>
      <c r="AG21" s="111" t="s">
        <v>805</v>
      </c>
      <c r="AH21" s="111" t="s">
        <v>805</v>
      </c>
      <c r="AI21" s="111" t="s">
        <v>805</v>
      </c>
      <c r="AJ21" s="111" t="s">
        <v>805</v>
      </c>
      <c r="AK21" s="111" t="s">
        <v>805</v>
      </c>
      <c r="AL21" s="111" t="s">
        <v>805</v>
      </c>
      <c r="AM21" s="111" t="s">
        <v>805</v>
      </c>
      <c r="AN21" s="111" t="s">
        <v>805</v>
      </c>
      <c r="AO21" s="111" t="s">
        <v>805</v>
      </c>
      <c r="AP21" s="111" t="s">
        <v>805</v>
      </c>
      <c r="AQ21" s="111" t="s">
        <v>805</v>
      </c>
      <c r="AR21" s="111" t="s">
        <v>805</v>
      </c>
      <c r="AS21" s="111" t="s">
        <v>805</v>
      </c>
      <c r="AT21" s="111" t="s">
        <v>805</v>
      </c>
      <c r="AU21" s="111" t="s">
        <v>805</v>
      </c>
      <c r="AV21" s="111" t="s">
        <v>805</v>
      </c>
      <c r="AW21" s="111" t="s">
        <v>805</v>
      </c>
      <c r="AX21" s="111" t="s">
        <v>805</v>
      </c>
      <c r="AY21" s="111" t="s">
        <v>805</v>
      </c>
      <c r="AZ21" s="111" t="s">
        <v>805</v>
      </c>
      <c r="BA21" s="111" t="s">
        <v>805</v>
      </c>
      <c r="BB21" s="111" t="s">
        <v>805</v>
      </c>
      <c r="BC21" s="111" t="s">
        <v>805</v>
      </c>
      <c r="BD21" s="111" t="s">
        <v>805</v>
      </c>
      <c r="BE21" s="111" t="s">
        <v>805</v>
      </c>
      <c r="BF21" s="111" t="s">
        <v>805</v>
      </c>
      <c r="BG21" s="111" t="s">
        <v>805</v>
      </c>
      <c r="BH21" s="111" t="s">
        <v>805</v>
      </c>
      <c r="BI21" s="111" t="s">
        <v>805</v>
      </c>
      <c r="BJ21" s="111" t="s">
        <v>805</v>
      </c>
      <c r="BK21" s="111" t="s">
        <v>805</v>
      </c>
      <c r="BL21" s="111" t="s">
        <v>805</v>
      </c>
      <c r="BM21" s="111" t="s">
        <v>805</v>
      </c>
      <c r="BN21" s="111" t="s">
        <v>805</v>
      </c>
      <c r="BO21" s="111" t="s">
        <v>805</v>
      </c>
      <c r="BP21" s="111" t="s">
        <v>805</v>
      </c>
      <c r="BQ21" s="111" t="s">
        <v>805</v>
      </c>
      <c r="BR21" s="111" t="s">
        <v>805</v>
      </c>
      <c r="BS21" s="111" t="s">
        <v>805</v>
      </c>
      <c r="BT21" s="111" t="s">
        <v>805</v>
      </c>
      <c r="BU21" s="111" t="s">
        <v>805</v>
      </c>
      <c r="BV21" s="111" t="s">
        <v>805</v>
      </c>
      <c r="BW21" s="111" t="s">
        <v>805</v>
      </c>
      <c r="BX21" s="111" t="s">
        <v>805</v>
      </c>
      <c r="BY21" s="111" t="s">
        <v>805</v>
      </c>
      <c r="BZ21" s="111" t="s">
        <v>805</v>
      </c>
      <c r="CA21" s="111" t="s">
        <v>805</v>
      </c>
      <c r="CB21" s="111" t="s">
        <v>805</v>
      </c>
      <c r="CC21" s="111" t="s">
        <v>805</v>
      </c>
      <c r="CD21" s="111" t="s">
        <v>805</v>
      </c>
      <c r="CE21" s="111" t="s">
        <v>805</v>
      </c>
      <c r="CF21" s="111" t="s">
        <v>805</v>
      </c>
      <c r="CG21" s="111" t="s">
        <v>805</v>
      </c>
      <c r="CH21" s="111" t="s">
        <v>805</v>
      </c>
      <c r="CI21" s="111" t="s">
        <v>805</v>
      </c>
      <c r="CJ21" s="111" t="s">
        <v>805</v>
      </c>
      <c r="CK21" s="111" t="s">
        <v>805</v>
      </c>
      <c r="CL21" s="111" t="s">
        <v>805</v>
      </c>
      <c r="CM21" s="111" t="s">
        <v>805</v>
      </c>
      <c r="CN21" s="111" t="s">
        <v>805</v>
      </c>
      <c r="CO21" s="111" t="s">
        <v>805</v>
      </c>
      <c r="CP21" s="111" t="s">
        <v>805</v>
      </c>
      <c r="CQ21" s="111" t="s">
        <v>805</v>
      </c>
      <c r="CR21" s="111" t="s">
        <v>805</v>
      </c>
      <c r="CS21" s="111" t="s">
        <v>805</v>
      </c>
      <c r="CT21" s="111" t="s">
        <v>805</v>
      </c>
      <c r="CU21" s="111" t="s">
        <v>805</v>
      </c>
      <c r="CV21" s="111" t="s">
        <v>805</v>
      </c>
      <c r="CW21" s="111" t="s">
        <v>805</v>
      </c>
      <c r="CX21" s="111" t="s">
        <v>805</v>
      </c>
      <c r="CY21" s="111" t="s">
        <v>805</v>
      </c>
      <c r="CZ21" s="111" t="s">
        <v>805</v>
      </c>
      <c r="DA21" s="111" t="s">
        <v>805</v>
      </c>
      <c r="DB21" s="111" t="s">
        <v>805</v>
      </c>
      <c r="DC21" s="111" t="s">
        <v>805</v>
      </c>
      <c r="DD21" s="111" t="s">
        <v>805</v>
      </c>
      <c r="DE21" s="111" t="s">
        <v>805</v>
      </c>
      <c r="DF21" s="111" t="s">
        <v>805</v>
      </c>
      <c r="DG21" s="28">
        <f>'KPI Count-SHARE'!J16</f>
        <v>0</v>
      </c>
      <c r="DH21" s="115"/>
      <c r="DI21" s="115"/>
      <c r="DJ21" s="115"/>
      <c r="DK21" s="28">
        <f>'KPI Count-SHARE'!K16</f>
        <v>0</v>
      </c>
      <c r="DL21" s="111"/>
      <c r="DM21" s="111"/>
      <c r="DN21" s="111"/>
      <c r="DO21" s="28">
        <f>'KPI Count-SHARE'!L16</f>
        <v>0</v>
      </c>
      <c r="DP21" s="111"/>
      <c r="DQ21" s="111"/>
      <c r="DR21" s="111"/>
      <c r="DS21" s="28">
        <f>'KPI Count-SHARE'!M16</f>
        <v>0</v>
      </c>
      <c r="DT21" s="111"/>
      <c r="DU21" s="111"/>
      <c r="DV21" s="111"/>
      <c r="DW21" s="30" t="str">
        <f t="shared" si="189"/>
        <v>USD' 000 per FTE</v>
      </c>
      <c r="DX21" s="41" t="str">
        <f t="shared" si="79"/>
        <v>-</v>
      </c>
      <c r="DY21" s="41" t="str">
        <f t="shared" si="80"/>
        <v>-</v>
      </c>
      <c r="DZ21" s="41" t="str">
        <f t="shared" si="81"/>
        <v>-</v>
      </c>
      <c r="EA21" s="41" t="str">
        <f t="shared" si="179"/>
        <v>-</v>
      </c>
      <c r="EB21" s="41" t="str">
        <f t="shared" si="180"/>
        <v>-</v>
      </c>
      <c r="EC21" s="41" t="str">
        <f t="shared" si="181"/>
        <v>-</v>
      </c>
      <c r="ED21" s="41" t="str">
        <f t="shared" si="82"/>
        <v>-</v>
      </c>
      <c r="EE21" s="41" t="str">
        <f t="shared" si="83"/>
        <v>-</v>
      </c>
      <c r="EF21" s="41" t="str">
        <f t="shared" si="84"/>
        <v>-</v>
      </c>
      <c r="EG21" s="41" t="str">
        <f t="shared" si="85"/>
        <v>-</v>
      </c>
      <c r="EH21" s="41" t="str">
        <f t="shared" si="86"/>
        <v>-</v>
      </c>
      <c r="EI21" s="41" t="str">
        <f t="shared" si="87"/>
        <v>-</v>
      </c>
      <c r="EJ21" s="41" t="str">
        <f t="shared" si="87"/>
        <v>-</v>
      </c>
      <c r="EK21" s="41" t="str">
        <f t="shared" si="87"/>
        <v>-</v>
      </c>
      <c r="EL21" s="41" t="str">
        <f t="shared" si="87"/>
        <v>-</v>
      </c>
      <c r="EM21" s="41" t="str">
        <f t="shared" si="87"/>
        <v>-</v>
      </c>
      <c r="EN21" s="41" t="str">
        <f t="shared" si="87"/>
        <v>-</v>
      </c>
      <c r="EO21" s="41" t="str">
        <f t="shared" si="87"/>
        <v>-</v>
      </c>
      <c r="EP21" s="41" t="str">
        <f t="shared" si="87"/>
        <v>-</v>
      </c>
      <c r="EQ21" s="41" t="str">
        <f t="shared" si="87"/>
        <v>-</v>
      </c>
      <c r="ER21" s="41" t="str">
        <f t="shared" si="87"/>
        <v>-</v>
      </c>
      <c r="ES21" s="41" t="str">
        <f t="shared" si="87"/>
        <v>-</v>
      </c>
      <c r="ET21" s="41" t="str">
        <f t="shared" si="87"/>
        <v>-</v>
      </c>
      <c r="EU21" s="41" t="str">
        <f t="shared" si="88"/>
        <v>-</v>
      </c>
      <c r="EV21" s="41" t="str">
        <f t="shared" si="89"/>
        <v>-</v>
      </c>
      <c r="EW21" s="41" t="str">
        <f t="shared" si="90"/>
        <v>-</v>
      </c>
      <c r="EX21" s="41" t="str">
        <f t="shared" si="91"/>
        <v>-</v>
      </c>
      <c r="EY21" s="41" t="str">
        <f t="shared" si="92"/>
        <v>-</v>
      </c>
      <c r="EZ21" s="41" t="str">
        <f t="shared" si="93"/>
        <v>-</v>
      </c>
      <c r="FA21" s="41" t="str">
        <f t="shared" si="94"/>
        <v>-</v>
      </c>
      <c r="FB21" s="41" t="str">
        <f t="shared" si="95"/>
        <v>-</v>
      </c>
      <c r="FC21" s="41" t="str">
        <f t="shared" si="96"/>
        <v>-</v>
      </c>
      <c r="FD21" s="41" t="str">
        <f t="shared" si="97"/>
        <v>-</v>
      </c>
      <c r="FE21" s="41" t="str">
        <f t="shared" si="98"/>
        <v>-</v>
      </c>
      <c r="FF21" s="41" t="str">
        <f t="shared" si="99"/>
        <v>-</v>
      </c>
      <c r="FG21" s="41" t="str">
        <f t="shared" si="100"/>
        <v>-</v>
      </c>
      <c r="FH21" s="41" t="str">
        <f t="shared" si="101"/>
        <v>-</v>
      </c>
      <c r="FI21" s="41" t="str">
        <f t="shared" si="102"/>
        <v>-</v>
      </c>
      <c r="FJ21" s="41" t="str">
        <f t="shared" si="103"/>
        <v>-</v>
      </c>
      <c r="FK21" s="41" t="str">
        <f t="shared" si="104"/>
        <v>-</v>
      </c>
      <c r="FL21" s="41" t="str">
        <f t="shared" si="105"/>
        <v>-</v>
      </c>
      <c r="FM21" s="41" t="str">
        <f t="shared" si="106"/>
        <v>-</v>
      </c>
      <c r="FN21" s="41" t="str">
        <f t="shared" si="107"/>
        <v>-</v>
      </c>
      <c r="FO21" s="41" t="str">
        <f t="shared" si="108"/>
        <v>-</v>
      </c>
      <c r="FP21" s="41" t="str">
        <f t="shared" si="109"/>
        <v>-</v>
      </c>
      <c r="FQ21" s="41" t="str">
        <f t="shared" si="110"/>
        <v>-</v>
      </c>
      <c r="FR21" s="41" t="str">
        <f t="shared" si="111"/>
        <v>-</v>
      </c>
      <c r="FS21" s="41" t="str">
        <f t="shared" si="112"/>
        <v>-</v>
      </c>
      <c r="FT21" s="41" t="str">
        <f t="shared" si="113"/>
        <v>-</v>
      </c>
      <c r="FU21" s="41" t="str">
        <f t="shared" si="114"/>
        <v>-</v>
      </c>
      <c r="FV21" s="41" t="str">
        <f t="shared" si="115"/>
        <v>-</v>
      </c>
      <c r="FW21" s="41" t="str">
        <f t="shared" si="116"/>
        <v>-</v>
      </c>
      <c r="FX21" s="41" t="str">
        <f t="shared" si="117"/>
        <v>-</v>
      </c>
      <c r="FY21" s="41" t="str">
        <f t="shared" si="118"/>
        <v>-</v>
      </c>
      <c r="FZ21" s="41" t="str">
        <f t="shared" si="119"/>
        <v>-</v>
      </c>
      <c r="GA21" s="41" t="str">
        <f t="shared" si="120"/>
        <v>-</v>
      </c>
      <c r="GB21" s="41" t="str">
        <f t="shared" si="121"/>
        <v>-</v>
      </c>
      <c r="GC21" s="41" t="str">
        <f t="shared" si="122"/>
        <v>-</v>
      </c>
      <c r="GD21" s="41" t="str">
        <f t="shared" si="123"/>
        <v>-</v>
      </c>
      <c r="GE21" s="41" t="str">
        <f t="shared" si="124"/>
        <v>-</v>
      </c>
      <c r="GF21" s="41" t="str">
        <f t="shared" si="125"/>
        <v>-</v>
      </c>
      <c r="GG21" s="41" t="str">
        <f t="shared" si="126"/>
        <v>-</v>
      </c>
      <c r="GH21" s="41" t="str">
        <f t="shared" si="127"/>
        <v>-</v>
      </c>
      <c r="GI21" s="41" t="str">
        <f t="shared" si="128"/>
        <v>-</v>
      </c>
      <c r="GJ21" s="41" t="str">
        <f t="shared" si="129"/>
        <v>-</v>
      </c>
      <c r="GK21" s="41" t="str">
        <f t="shared" si="130"/>
        <v>-</v>
      </c>
      <c r="GL21" s="41" t="str">
        <f t="shared" si="131"/>
        <v>-</v>
      </c>
      <c r="GM21" s="41" t="str">
        <f t="shared" si="132"/>
        <v>-</v>
      </c>
      <c r="GN21" s="41" t="str">
        <f t="shared" si="133"/>
        <v>-</v>
      </c>
      <c r="GO21" s="41" t="str">
        <f t="shared" si="134"/>
        <v>-</v>
      </c>
      <c r="GP21" s="41" t="str">
        <f t="shared" si="135"/>
        <v>-</v>
      </c>
      <c r="GQ21" s="41" t="str">
        <f t="shared" si="136"/>
        <v>-</v>
      </c>
      <c r="GR21" s="41" t="str">
        <f t="shared" si="137"/>
        <v>-</v>
      </c>
      <c r="GS21" s="41" t="str">
        <f t="shared" si="138"/>
        <v>-</v>
      </c>
      <c r="GT21" s="41" t="str">
        <f t="shared" si="139"/>
        <v>-</v>
      </c>
      <c r="GU21" s="41" t="str">
        <f t="shared" si="140"/>
        <v>-</v>
      </c>
      <c r="GV21" s="41" t="str">
        <f t="shared" si="141"/>
        <v>-</v>
      </c>
      <c r="GW21" s="41" t="str">
        <f t="shared" si="142"/>
        <v>-</v>
      </c>
      <c r="GX21" s="41" t="str">
        <f t="shared" si="143"/>
        <v>-</v>
      </c>
      <c r="GY21" s="41" t="str">
        <f t="shared" si="144"/>
        <v>-</v>
      </c>
      <c r="GZ21" s="41" t="str">
        <f t="shared" si="145"/>
        <v>-</v>
      </c>
      <c r="HA21" s="41" t="str">
        <f t="shared" si="146"/>
        <v>-</v>
      </c>
      <c r="HB21" s="41" t="str">
        <f t="shared" si="147"/>
        <v>-</v>
      </c>
      <c r="HC21" s="41" t="str">
        <f t="shared" si="148"/>
        <v>-</v>
      </c>
      <c r="HD21" s="41" t="str">
        <f t="shared" si="149"/>
        <v>-</v>
      </c>
      <c r="HE21" s="41" t="str">
        <f t="shared" si="150"/>
        <v>-</v>
      </c>
      <c r="HF21" s="41" t="str">
        <f t="shared" si="151"/>
        <v>-</v>
      </c>
      <c r="HG21" s="41" t="str">
        <f t="shared" si="152"/>
        <v>-</v>
      </c>
      <c r="HH21" s="41" t="str">
        <f t="shared" si="153"/>
        <v>-</v>
      </c>
      <c r="HI21" s="41" t="str">
        <f t="shared" si="154"/>
        <v>-</v>
      </c>
      <c r="HJ21" s="41" t="str">
        <f t="shared" si="155"/>
        <v>-</v>
      </c>
      <c r="HK21" s="41" t="str">
        <f t="shared" si="156"/>
        <v>-</v>
      </c>
      <c r="HL21" s="41" t="str">
        <f t="shared" si="157"/>
        <v>-</v>
      </c>
      <c r="HM21" s="41" t="str">
        <f t="shared" si="158"/>
        <v>-</v>
      </c>
      <c r="HN21" s="41" t="str">
        <f t="shared" si="159"/>
        <v>-</v>
      </c>
      <c r="HO21" s="41" t="str">
        <f t="shared" si="160"/>
        <v>-</v>
      </c>
      <c r="HP21" s="41" t="str">
        <f t="shared" si="161"/>
        <v>-</v>
      </c>
      <c r="HQ21" s="41" t="str">
        <f t="shared" si="162"/>
        <v>-</v>
      </c>
      <c r="HR21" s="41" t="str">
        <f t="shared" si="163"/>
        <v>-</v>
      </c>
      <c r="HS21" s="41" t="str">
        <f t="shared" si="164"/>
        <v>-</v>
      </c>
      <c r="HT21" s="41" t="str">
        <f t="shared" si="164"/>
        <v>-</v>
      </c>
      <c r="HU21" s="43" t="str">
        <f t="shared" si="182"/>
        <v>-</v>
      </c>
      <c r="HV21" s="44" t="str">
        <f t="shared" si="165"/>
        <v/>
      </c>
      <c r="HW21" s="45" t="str">
        <f t="shared" si="166"/>
        <v/>
      </c>
      <c r="HX21" s="84" t="str">
        <f t="shared" si="183"/>
        <v/>
      </c>
      <c r="HY21" s="84" t="str">
        <f t="shared" si="167"/>
        <v/>
      </c>
      <c r="HZ21" s="84" t="str">
        <f t="shared" si="168"/>
        <v/>
      </c>
      <c r="IA21" s="83" t="str">
        <f t="shared" si="169"/>
        <v/>
      </c>
      <c r="IB21" s="84" t="str">
        <f t="shared" si="170"/>
        <v/>
      </c>
      <c r="IC21" s="85" t="str">
        <f t="shared" si="171"/>
        <v/>
      </c>
      <c r="ID21" s="83" t="str">
        <f t="shared" si="172"/>
        <v/>
      </c>
      <c r="IE21" s="84" t="str">
        <f t="shared" si="173"/>
        <v/>
      </c>
      <c r="IF21" s="85" t="str">
        <f t="shared" si="174"/>
        <v/>
      </c>
      <c r="IH21" s="66">
        <v>21</v>
      </c>
      <c r="II21" s="79" t="e">
        <f t="shared" ca="1" si="175"/>
        <v>#N/A</v>
      </c>
      <c r="IJ21" s="79" t="e">
        <f t="shared" ca="1" si="176"/>
        <v>#N/A</v>
      </c>
      <c r="IK21" s="79" t="e">
        <f t="shared" ca="1" si="177"/>
        <v>#N/A</v>
      </c>
      <c r="IL21" s="66" t="e">
        <f t="shared" ca="1" si="178"/>
        <v>#N/A</v>
      </c>
      <c r="IM21" s="33"/>
      <c r="IN21" s="78" t="e">
        <f t="shared" ca="1" si="184"/>
        <v>#N/A</v>
      </c>
      <c r="IO21" s="75" t="e">
        <f t="shared" ca="1" si="185"/>
        <v>#N/A</v>
      </c>
      <c r="IP21" s="75" t="e">
        <f t="shared" ca="1" si="186"/>
        <v>#N/A</v>
      </c>
      <c r="IQ21" s="78" t="e">
        <f t="shared" ca="1" si="187"/>
        <v>#N/A</v>
      </c>
      <c r="IR21" s="74" t="e">
        <f t="shared" ca="1" si="188"/>
        <v>#N/A</v>
      </c>
    </row>
    <row r="22" spans="1:252" s="1" customFormat="1" x14ac:dyDescent="0.35">
      <c r="A22" s="33">
        <v>0</v>
      </c>
      <c r="B22" s="33">
        <v>0</v>
      </c>
      <c r="C22" s="33">
        <v>1</v>
      </c>
      <c r="E22" s="4"/>
      <c r="F22" t="s">
        <v>286</v>
      </c>
      <c r="G22" s="5" t="s">
        <v>530</v>
      </c>
      <c r="H22" s="4" t="s">
        <v>535</v>
      </c>
      <c r="I22" s="7" t="s">
        <v>536</v>
      </c>
      <c r="J22" s="276" t="s">
        <v>805</v>
      </c>
      <c r="K22" s="111" t="s">
        <v>805</v>
      </c>
      <c r="L22" s="111" t="s">
        <v>805</v>
      </c>
      <c r="M22" s="111" t="s">
        <v>805</v>
      </c>
      <c r="N22" s="111" t="s">
        <v>805</v>
      </c>
      <c r="O22" s="111" t="s">
        <v>805</v>
      </c>
      <c r="P22" s="111" t="s">
        <v>805</v>
      </c>
      <c r="Q22" s="111" t="s">
        <v>805</v>
      </c>
      <c r="R22" s="111" t="s">
        <v>805</v>
      </c>
      <c r="S22" s="111" t="s">
        <v>805</v>
      </c>
      <c r="T22" s="111" t="s">
        <v>805</v>
      </c>
      <c r="U22" s="111" t="s">
        <v>805</v>
      </c>
      <c r="V22" s="111" t="s">
        <v>805</v>
      </c>
      <c r="W22" s="111" t="s">
        <v>805</v>
      </c>
      <c r="X22" s="111" t="s">
        <v>805</v>
      </c>
      <c r="Y22" s="111" t="s">
        <v>805</v>
      </c>
      <c r="Z22" s="111" t="s">
        <v>805</v>
      </c>
      <c r="AA22" s="111" t="s">
        <v>805</v>
      </c>
      <c r="AB22" s="111" t="s">
        <v>805</v>
      </c>
      <c r="AC22" s="111" t="s">
        <v>805</v>
      </c>
      <c r="AD22" s="111" t="s">
        <v>805</v>
      </c>
      <c r="AE22" s="111" t="s">
        <v>805</v>
      </c>
      <c r="AF22" s="111" t="s">
        <v>805</v>
      </c>
      <c r="AG22" s="111" t="s">
        <v>805</v>
      </c>
      <c r="AH22" s="111" t="s">
        <v>805</v>
      </c>
      <c r="AI22" s="111" t="s">
        <v>805</v>
      </c>
      <c r="AJ22" s="111" t="s">
        <v>805</v>
      </c>
      <c r="AK22" s="111" t="s">
        <v>805</v>
      </c>
      <c r="AL22" s="111" t="s">
        <v>805</v>
      </c>
      <c r="AM22" s="111" t="s">
        <v>805</v>
      </c>
      <c r="AN22" s="111" t="s">
        <v>805</v>
      </c>
      <c r="AO22" s="111" t="s">
        <v>805</v>
      </c>
      <c r="AP22" s="111" t="s">
        <v>805</v>
      </c>
      <c r="AQ22" s="111" t="s">
        <v>805</v>
      </c>
      <c r="AR22" s="111" t="s">
        <v>805</v>
      </c>
      <c r="AS22" s="111" t="s">
        <v>805</v>
      </c>
      <c r="AT22" s="111" t="s">
        <v>805</v>
      </c>
      <c r="AU22" s="111" t="s">
        <v>805</v>
      </c>
      <c r="AV22" s="111" t="s">
        <v>805</v>
      </c>
      <c r="AW22" s="111" t="s">
        <v>805</v>
      </c>
      <c r="AX22" s="111" t="s">
        <v>805</v>
      </c>
      <c r="AY22" s="111" t="s">
        <v>805</v>
      </c>
      <c r="AZ22" s="111" t="s">
        <v>805</v>
      </c>
      <c r="BA22" s="111" t="s">
        <v>805</v>
      </c>
      <c r="BB22" s="111" t="s">
        <v>805</v>
      </c>
      <c r="BC22" s="111" t="s">
        <v>805</v>
      </c>
      <c r="BD22" s="111" t="s">
        <v>805</v>
      </c>
      <c r="BE22" s="111" t="s">
        <v>805</v>
      </c>
      <c r="BF22" s="111" t="s">
        <v>805</v>
      </c>
      <c r="BG22" s="111" t="s">
        <v>805</v>
      </c>
      <c r="BH22" s="111" t="s">
        <v>805</v>
      </c>
      <c r="BI22" s="111" t="s">
        <v>805</v>
      </c>
      <c r="BJ22" s="111" t="s">
        <v>805</v>
      </c>
      <c r="BK22" s="111" t="s">
        <v>805</v>
      </c>
      <c r="BL22" s="111" t="s">
        <v>805</v>
      </c>
      <c r="BM22" s="111" t="s">
        <v>805</v>
      </c>
      <c r="BN22" s="111" t="s">
        <v>805</v>
      </c>
      <c r="BO22" s="111" t="s">
        <v>805</v>
      </c>
      <c r="BP22" s="111" t="s">
        <v>805</v>
      </c>
      <c r="BQ22" s="111" t="s">
        <v>805</v>
      </c>
      <c r="BR22" s="111" t="s">
        <v>805</v>
      </c>
      <c r="BS22" s="111" t="s">
        <v>805</v>
      </c>
      <c r="BT22" s="111" t="s">
        <v>805</v>
      </c>
      <c r="BU22" s="111" t="s">
        <v>805</v>
      </c>
      <c r="BV22" s="111" t="s">
        <v>805</v>
      </c>
      <c r="BW22" s="111" t="s">
        <v>805</v>
      </c>
      <c r="BX22" s="111" t="s">
        <v>805</v>
      </c>
      <c r="BY22" s="111" t="s">
        <v>805</v>
      </c>
      <c r="BZ22" s="111" t="s">
        <v>805</v>
      </c>
      <c r="CA22" s="111" t="s">
        <v>805</v>
      </c>
      <c r="CB22" s="111" t="s">
        <v>805</v>
      </c>
      <c r="CC22" s="111" t="s">
        <v>805</v>
      </c>
      <c r="CD22" s="111" t="s">
        <v>805</v>
      </c>
      <c r="CE22" s="111" t="s">
        <v>805</v>
      </c>
      <c r="CF22" s="111" t="s">
        <v>805</v>
      </c>
      <c r="CG22" s="111" t="s">
        <v>805</v>
      </c>
      <c r="CH22" s="111" t="s">
        <v>805</v>
      </c>
      <c r="CI22" s="111" t="s">
        <v>805</v>
      </c>
      <c r="CJ22" s="111" t="s">
        <v>805</v>
      </c>
      <c r="CK22" s="111" t="s">
        <v>805</v>
      </c>
      <c r="CL22" s="111" t="s">
        <v>805</v>
      </c>
      <c r="CM22" s="111" t="s">
        <v>805</v>
      </c>
      <c r="CN22" s="111" t="s">
        <v>805</v>
      </c>
      <c r="CO22" s="111" t="s">
        <v>805</v>
      </c>
      <c r="CP22" s="111" t="s">
        <v>805</v>
      </c>
      <c r="CQ22" s="111" t="s">
        <v>805</v>
      </c>
      <c r="CR22" s="111" t="s">
        <v>805</v>
      </c>
      <c r="CS22" s="111" t="s">
        <v>805</v>
      </c>
      <c r="CT22" s="111" t="s">
        <v>805</v>
      </c>
      <c r="CU22" s="111" t="s">
        <v>805</v>
      </c>
      <c r="CV22" s="111" t="s">
        <v>805</v>
      </c>
      <c r="CW22" s="111" t="s">
        <v>805</v>
      </c>
      <c r="CX22" s="111" t="s">
        <v>805</v>
      </c>
      <c r="CY22" s="111" t="s">
        <v>805</v>
      </c>
      <c r="CZ22" s="111" t="s">
        <v>805</v>
      </c>
      <c r="DA22" s="111" t="s">
        <v>805</v>
      </c>
      <c r="DB22" s="111" t="s">
        <v>805</v>
      </c>
      <c r="DC22" s="111" t="s">
        <v>805</v>
      </c>
      <c r="DD22" s="111" t="s">
        <v>805</v>
      </c>
      <c r="DE22" s="111" t="s">
        <v>805</v>
      </c>
      <c r="DF22" s="111" t="s">
        <v>805</v>
      </c>
      <c r="DG22" s="28">
        <f>'KPI Count-SHARE'!J17</f>
        <v>0</v>
      </c>
      <c r="DH22" s="115"/>
      <c r="DI22" s="115"/>
      <c r="DJ22" s="115"/>
      <c r="DK22" s="28">
        <f>'KPI Count-SHARE'!K17</f>
        <v>0</v>
      </c>
      <c r="DL22" s="111"/>
      <c r="DM22" s="111"/>
      <c r="DN22" s="111"/>
      <c r="DO22" s="28">
        <f>'KPI Count-SHARE'!L17</f>
        <v>0</v>
      </c>
      <c r="DP22" s="111"/>
      <c r="DQ22" s="111"/>
      <c r="DR22" s="111"/>
      <c r="DS22" s="28">
        <f>'KPI Count-SHARE'!M17</f>
        <v>0</v>
      </c>
      <c r="DT22" s="111"/>
      <c r="DU22" s="111"/>
      <c r="DV22" s="111"/>
      <c r="DW22" s="30" t="str">
        <f t="shared" si="189"/>
        <v>USD' 000 per FTE</v>
      </c>
      <c r="DX22" s="41" t="str">
        <f t="shared" si="79"/>
        <v>-</v>
      </c>
      <c r="DY22" s="41" t="str">
        <f t="shared" si="80"/>
        <v>-</v>
      </c>
      <c r="DZ22" s="41" t="str">
        <f t="shared" si="81"/>
        <v>-</v>
      </c>
      <c r="EA22" s="41" t="str">
        <f t="shared" si="179"/>
        <v>-</v>
      </c>
      <c r="EB22" s="41" t="str">
        <f t="shared" si="180"/>
        <v>-</v>
      </c>
      <c r="EC22" s="41" t="str">
        <f t="shared" si="181"/>
        <v>-</v>
      </c>
      <c r="ED22" s="41" t="str">
        <f t="shared" si="82"/>
        <v>-</v>
      </c>
      <c r="EE22" s="41" t="str">
        <f t="shared" si="83"/>
        <v>-</v>
      </c>
      <c r="EF22" s="41" t="str">
        <f t="shared" si="84"/>
        <v>-</v>
      </c>
      <c r="EG22" s="41" t="str">
        <f t="shared" si="85"/>
        <v>-</v>
      </c>
      <c r="EH22" s="41" t="str">
        <f t="shared" si="86"/>
        <v>-</v>
      </c>
      <c r="EI22" s="41" t="str">
        <f t="shared" si="87"/>
        <v>-</v>
      </c>
      <c r="EJ22" s="41" t="str">
        <f t="shared" si="87"/>
        <v>-</v>
      </c>
      <c r="EK22" s="41" t="str">
        <f t="shared" si="87"/>
        <v>-</v>
      </c>
      <c r="EL22" s="41" t="str">
        <f t="shared" si="87"/>
        <v>-</v>
      </c>
      <c r="EM22" s="41" t="str">
        <f t="shared" si="87"/>
        <v>-</v>
      </c>
      <c r="EN22" s="41" t="str">
        <f t="shared" si="87"/>
        <v>-</v>
      </c>
      <c r="EO22" s="41" t="str">
        <f t="shared" si="87"/>
        <v>-</v>
      </c>
      <c r="EP22" s="41" t="str">
        <f t="shared" si="87"/>
        <v>-</v>
      </c>
      <c r="EQ22" s="41" t="str">
        <f t="shared" si="87"/>
        <v>-</v>
      </c>
      <c r="ER22" s="41" t="str">
        <f t="shared" si="87"/>
        <v>-</v>
      </c>
      <c r="ES22" s="41" t="str">
        <f t="shared" si="87"/>
        <v>-</v>
      </c>
      <c r="ET22" s="41" t="str">
        <f t="shared" si="87"/>
        <v>-</v>
      </c>
      <c r="EU22" s="41" t="str">
        <f t="shared" si="88"/>
        <v>-</v>
      </c>
      <c r="EV22" s="41" t="str">
        <f t="shared" si="89"/>
        <v>-</v>
      </c>
      <c r="EW22" s="41" t="str">
        <f t="shared" si="90"/>
        <v>-</v>
      </c>
      <c r="EX22" s="41" t="str">
        <f t="shared" si="91"/>
        <v>-</v>
      </c>
      <c r="EY22" s="41" t="str">
        <f t="shared" si="92"/>
        <v>-</v>
      </c>
      <c r="EZ22" s="41" t="str">
        <f t="shared" si="93"/>
        <v>-</v>
      </c>
      <c r="FA22" s="41" t="str">
        <f t="shared" si="94"/>
        <v>-</v>
      </c>
      <c r="FB22" s="41" t="str">
        <f t="shared" si="95"/>
        <v>-</v>
      </c>
      <c r="FC22" s="41" t="str">
        <f t="shared" si="96"/>
        <v>-</v>
      </c>
      <c r="FD22" s="41" t="str">
        <f t="shared" si="97"/>
        <v>-</v>
      </c>
      <c r="FE22" s="41" t="str">
        <f t="shared" si="98"/>
        <v>-</v>
      </c>
      <c r="FF22" s="41" t="str">
        <f t="shared" si="99"/>
        <v>-</v>
      </c>
      <c r="FG22" s="41" t="str">
        <f t="shared" si="100"/>
        <v>-</v>
      </c>
      <c r="FH22" s="41" t="str">
        <f t="shared" si="101"/>
        <v>-</v>
      </c>
      <c r="FI22" s="41" t="str">
        <f t="shared" si="102"/>
        <v>-</v>
      </c>
      <c r="FJ22" s="41" t="str">
        <f t="shared" si="103"/>
        <v>-</v>
      </c>
      <c r="FK22" s="41" t="str">
        <f t="shared" si="104"/>
        <v>-</v>
      </c>
      <c r="FL22" s="41" t="str">
        <f t="shared" si="105"/>
        <v>-</v>
      </c>
      <c r="FM22" s="41" t="str">
        <f t="shared" si="106"/>
        <v>-</v>
      </c>
      <c r="FN22" s="41" t="str">
        <f t="shared" si="107"/>
        <v>-</v>
      </c>
      <c r="FO22" s="41" t="str">
        <f t="shared" si="108"/>
        <v>-</v>
      </c>
      <c r="FP22" s="41" t="str">
        <f t="shared" si="109"/>
        <v>-</v>
      </c>
      <c r="FQ22" s="41" t="str">
        <f t="shared" si="110"/>
        <v>-</v>
      </c>
      <c r="FR22" s="41" t="str">
        <f t="shared" si="111"/>
        <v>-</v>
      </c>
      <c r="FS22" s="41" t="str">
        <f t="shared" si="112"/>
        <v>-</v>
      </c>
      <c r="FT22" s="41" t="str">
        <f t="shared" si="113"/>
        <v>-</v>
      </c>
      <c r="FU22" s="41" t="str">
        <f t="shared" si="114"/>
        <v>-</v>
      </c>
      <c r="FV22" s="41" t="str">
        <f t="shared" si="115"/>
        <v>-</v>
      </c>
      <c r="FW22" s="41" t="str">
        <f t="shared" si="116"/>
        <v>-</v>
      </c>
      <c r="FX22" s="41" t="str">
        <f t="shared" si="117"/>
        <v>-</v>
      </c>
      <c r="FY22" s="41" t="str">
        <f t="shared" si="118"/>
        <v>-</v>
      </c>
      <c r="FZ22" s="41" t="str">
        <f t="shared" si="119"/>
        <v>-</v>
      </c>
      <c r="GA22" s="41" t="str">
        <f t="shared" si="120"/>
        <v>-</v>
      </c>
      <c r="GB22" s="41" t="str">
        <f t="shared" si="121"/>
        <v>-</v>
      </c>
      <c r="GC22" s="41" t="str">
        <f t="shared" si="122"/>
        <v>-</v>
      </c>
      <c r="GD22" s="41" t="str">
        <f t="shared" si="123"/>
        <v>-</v>
      </c>
      <c r="GE22" s="41" t="str">
        <f t="shared" si="124"/>
        <v>-</v>
      </c>
      <c r="GF22" s="41" t="str">
        <f t="shared" si="125"/>
        <v>-</v>
      </c>
      <c r="GG22" s="41" t="str">
        <f t="shared" si="126"/>
        <v>-</v>
      </c>
      <c r="GH22" s="41" t="str">
        <f t="shared" si="127"/>
        <v>-</v>
      </c>
      <c r="GI22" s="41" t="str">
        <f t="shared" si="128"/>
        <v>-</v>
      </c>
      <c r="GJ22" s="41" t="str">
        <f t="shared" si="129"/>
        <v>-</v>
      </c>
      <c r="GK22" s="41" t="str">
        <f t="shared" si="130"/>
        <v>-</v>
      </c>
      <c r="GL22" s="41" t="str">
        <f t="shared" si="131"/>
        <v>-</v>
      </c>
      <c r="GM22" s="41" t="str">
        <f t="shared" si="132"/>
        <v>-</v>
      </c>
      <c r="GN22" s="41" t="str">
        <f t="shared" si="133"/>
        <v>-</v>
      </c>
      <c r="GO22" s="41" t="str">
        <f t="shared" si="134"/>
        <v>-</v>
      </c>
      <c r="GP22" s="41" t="str">
        <f t="shared" si="135"/>
        <v>-</v>
      </c>
      <c r="GQ22" s="41" t="str">
        <f t="shared" si="136"/>
        <v>-</v>
      </c>
      <c r="GR22" s="41" t="str">
        <f t="shared" si="137"/>
        <v>-</v>
      </c>
      <c r="GS22" s="41" t="str">
        <f t="shared" si="138"/>
        <v>-</v>
      </c>
      <c r="GT22" s="41" t="str">
        <f t="shared" si="139"/>
        <v>-</v>
      </c>
      <c r="GU22" s="41" t="str">
        <f t="shared" si="140"/>
        <v>-</v>
      </c>
      <c r="GV22" s="41" t="str">
        <f t="shared" si="141"/>
        <v>-</v>
      </c>
      <c r="GW22" s="41" t="str">
        <f t="shared" si="142"/>
        <v>-</v>
      </c>
      <c r="GX22" s="41" t="str">
        <f t="shared" si="143"/>
        <v>-</v>
      </c>
      <c r="GY22" s="41" t="str">
        <f t="shared" si="144"/>
        <v>-</v>
      </c>
      <c r="GZ22" s="41" t="str">
        <f t="shared" si="145"/>
        <v>-</v>
      </c>
      <c r="HA22" s="41" t="str">
        <f t="shared" si="146"/>
        <v>-</v>
      </c>
      <c r="HB22" s="41" t="str">
        <f t="shared" si="147"/>
        <v>-</v>
      </c>
      <c r="HC22" s="41" t="str">
        <f t="shared" si="148"/>
        <v>-</v>
      </c>
      <c r="HD22" s="41" t="str">
        <f t="shared" si="149"/>
        <v>-</v>
      </c>
      <c r="HE22" s="41" t="str">
        <f t="shared" si="150"/>
        <v>-</v>
      </c>
      <c r="HF22" s="41" t="str">
        <f t="shared" si="151"/>
        <v>-</v>
      </c>
      <c r="HG22" s="41" t="str">
        <f t="shared" si="152"/>
        <v>-</v>
      </c>
      <c r="HH22" s="41" t="str">
        <f t="shared" si="153"/>
        <v>-</v>
      </c>
      <c r="HI22" s="41" t="str">
        <f t="shared" si="154"/>
        <v>-</v>
      </c>
      <c r="HJ22" s="41" t="str">
        <f t="shared" si="155"/>
        <v>-</v>
      </c>
      <c r="HK22" s="41" t="str">
        <f t="shared" si="156"/>
        <v>-</v>
      </c>
      <c r="HL22" s="41" t="str">
        <f t="shared" si="157"/>
        <v>-</v>
      </c>
      <c r="HM22" s="41" t="str">
        <f t="shared" si="158"/>
        <v>-</v>
      </c>
      <c r="HN22" s="41" t="str">
        <f t="shared" si="159"/>
        <v>-</v>
      </c>
      <c r="HO22" s="41" t="str">
        <f t="shared" si="160"/>
        <v>-</v>
      </c>
      <c r="HP22" s="41" t="str">
        <f t="shared" si="161"/>
        <v>-</v>
      </c>
      <c r="HQ22" s="41" t="str">
        <f t="shared" si="162"/>
        <v>-</v>
      </c>
      <c r="HR22" s="41" t="str">
        <f t="shared" si="163"/>
        <v>-</v>
      </c>
      <c r="HS22" s="41" t="str">
        <f t="shared" si="164"/>
        <v>-</v>
      </c>
      <c r="HT22" s="41" t="str">
        <f t="shared" si="164"/>
        <v>-</v>
      </c>
      <c r="HU22" s="43" t="str">
        <f t="shared" si="182"/>
        <v>-</v>
      </c>
      <c r="HV22" s="44" t="str">
        <f t="shared" si="165"/>
        <v/>
      </c>
      <c r="HW22" s="45" t="str">
        <f t="shared" si="166"/>
        <v/>
      </c>
      <c r="HX22" s="84" t="str">
        <f t="shared" si="183"/>
        <v/>
      </c>
      <c r="HY22" s="84" t="str">
        <f t="shared" si="167"/>
        <v/>
      </c>
      <c r="HZ22" s="84" t="str">
        <f t="shared" si="168"/>
        <v/>
      </c>
      <c r="IA22" s="83" t="str">
        <f t="shared" si="169"/>
        <v/>
      </c>
      <c r="IB22" s="84" t="str">
        <f t="shared" si="170"/>
        <v/>
      </c>
      <c r="IC22" s="85" t="str">
        <f t="shared" si="171"/>
        <v/>
      </c>
      <c r="ID22" s="83" t="str">
        <f t="shared" si="172"/>
        <v/>
      </c>
      <c r="IE22" s="84" t="str">
        <f t="shared" si="173"/>
        <v/>
      </c>
      <c r="IF22" s="85" t="str">
        <f t="shared" si="174"/>
        <v/>
      </c>
      <c r="IH22" s="66">
        <v>22</v>
      </c>
      <c r="II22" s="79" t="e">
        <f t="shared" ca="1" si="175"/>
        <v>#N/A</v>
      </c>
      <c r="IJ22" s="79" t="e">
        <f t="shared" ca="1" si="176"/>
        <v>#N/A</v>
      </c>
      <c r="IK22" s="79" t="e">
        <f t="shared" ca="1" si="177"/>
        <v>#N/A</v>
      </c>
      <c r="IL22" s="66" t="e">
        <f t="shared" ca="1" si="178"/>
        <v>#N/A</v>
      </c>
      <c r="IM22" s="33"/>
      <c r="IN22" s="78" t="e">
        <f t="shared" ca="1" si="184"/>
        <v>#N/A</v>
      </c>
      <c r="IO22" s="75" t="e">
        <f t="shared" ca="1" si="185"/>
        <v>#N/A</v>
      </c>
      <c r="IP22" s="75" t="e">
        <f t="shared" ca="1" si="186"/>
        <v>#N/A</v>
      </c>
      <c r="IQ22" s="78" t="e">
        <f t="shared" ca="1" si="187"/>
        <v>#N/A</v>
      </c>
      <c r="IR22" s="74" t="e">
        <f t="shared" ca="1" si="188"/>
        <v>#N/A</v>
      </c>
    </row>
    <row r="23" spans="1:252" s="1" customFormat="1" x14ac:dyDescent="0.35">
      <c r="A23" s="33">
        <v>0</v>
      </c>
      <c r="B23" s="33">
        <v>0</v>
      </c>
      <c r="C23" s="33">
        <v>1</v>
      </c>
      <c r="E23" s="4"/>
      <c r="F23" s="1" t="s">
        <v>287</v>
      </c>
      <c r="G23" s="4" t="s">
        <v>530</v>
      </c>
      <c r="H23" s="4" t="s">
        <v>535</v>
      </c>
      <c r="I23" s="7" t="s">
        <v>536</v>
      </c>
      <c r="J23" s="276" t="s">
        <v>805</v>
      </c>
      <c r="K23" s="112" t="s">
        <v>805</v>
      </c>
      <c r="L23" s="112" t="s">
        <v>805</v>
      </c>
      <c r="M23" s="112" t="s">
        <v>805</v>
      </c>
      <c r="N23" s="112" t="s">
        <v>805</v>
      </c>
      <c r="O23" s="112" t="s">
        <v>805</v>
      </c>
      <c r="P23" s="112" t="s">
        <v>805</v>
      </c>
      <c r="Q23" s="112" t="s">
        <v>805</v>
      </c>
      <c r="R23" s="112" t="s">
        <v>805</v>
      </c>
      <c r="S23" s="112" t="s">
        <v>805</v>
      </c>
      <c r="T23" s="112" t="s">
        <v>805</v>
      </c>
      <c r="U23" s="112" t="s">
        <v>805</v>
      </c>
      <c r="V23" s="112" t="s">
        <v>805</v>
      </c>
      <c r="W23" s="112" t="s">
        <v>805</v>
      </c>
      <c r="X23" s="112" t="s">
        <v>805</v>
      </c>
      <c r="Y23" s="112" t="s">
        <v>805</v>
      </c>
      <c r="Z23" s="112" t="s">
        <v>805</v>
      </c>
      <c r="AA23" s="112" t="s">
        <v>805</v>
      </c>
      <c r="AB23" s="112" t="s">
        <v>805</v>
      </c>
      <c r="AC23" s="112" t="s">
        <v>805</v>
      </c>
      <c r="AD23" s="112" t="s">
        <v>805</v>
      </c>
      <c r="AE23" s="112" t="s">
        <v>805</v>
      </c>
      <c r="AF23" s="112" t="s">
        <v>805</v>
      </c>
      <c r="AG23" s="112" t="s">
        <v>805</v>
      </c>
      <c r="AH23" s="112" t="s">
        <v>805</v>
      </c>
      <c r="AI23" s="112" t="s">
        <v>805</v>
      </c>
      <c r="AJ23" s="112" t="s">
        <v>805</v>
      </c>
      <c r="AK23" s="112" t="s">
        <v>805</v>
      </c>
      <c r="AL23" s="112" t="s">
        <v>805</v>
      </c>
      <c r="AM23" s="112" t="s">
        <v>805</v>
      </c>
      <c r="AN23" s="112" t="s">
        <v>805</v>
      </c>
      <c r="AO23" s="112" t="s">
        <v>805</v>
      </c>
      <c r="AP23" s="112" t="s">
        <v>805</v>
      </c>
      <c r="AQ23" s="112" t="s">
        <v>805</v>
      </c>
      <c r="AR23" s="112" t="s">
        <v>805</v>
      </c>
      <c r="AS23" s="112" t="s">
        <v>805</v>
      </c>
      <c r="AT23" s="112" t="s">
        <v>805</v>
      </c>
      <c r="AU23" s="112" t="s">
        <v>805</v>
      </c>
      <c r="AV23" s="112" t="s">
        <v>805</v>
      </c>
      <c r="AW23" s="112" t="s">
        <v>805</v>
      </c>
      <c r="AX23" s="112" t="s">
        <v>805</v>
      </c>
      <c r="AY23" s="112" t="s">
        <v>805</v>
      </c>
      <c r="AZ23" s="112" t="s">
        <v>805</v>
      </c>
      <c r="BA23" s="112" t="s">
        <v>805</v>
      </c>
      <c r="BB23" s="112" t="s">
        <v>805</v>
      </c>
      <c r="BC23" s="112" t="s">
        <v>805</v>
      </c>
      <c r="BD23" s="112" t="s">
        <v>805</v>
      </c>
      <c r="BE23" s="112" t="s">
        <v>805</v>
      </c>
      <c r="BF23" s="112" t="s">
        <v>805</v>
      </c>
      <c r="BG23" s="112" t="s">
        <v>805</v>
      </c>
      <c r="BH23" s="112" t="s">
        <v>805</v>
      </c>
      <c r="BI23" s="112" t="s">
        <v>805</v>
      </c>
      <c r="BJ23" s="112" t="s">
        <v>805</v>
      </c>
      <c r="BK23" s="112" t="s">
        <v>805</v>
      </c>
      <c r="BL23" s="112" t="s">
        <v>805</v>
      </c>
      <c r="BM23" s="112" t="s">
        <v>805</v>
      </c>
      <c r="BN23" s="112" t="s">
        <v>805</v>
      </c>
      <c r="BO23" s="112" t="s">
        <v>805</v>
      </c>
      <c r="BP23" s="112" t="s">
        <v>805</v>
      </c>
      <c r="BQ23" s="112" t="s">
        <v>805</v>
      </c>
      <c r="BR23" s="112" t="s">
        <v>805</v>
      </c>
      <c r="BS23" s="112" t="s">
        <v>805</v>
      </c>
      <c r="BT23" s="112" t="s">
        <v>805</v>
      </c>
      <c r="BU23" s="112" t="s">
        <v>805</v>
      </c>
      <c r="BV23" s="112" t="s">
        <v>805</v>
      </c>
      <c r="BW23" s="112" t="s">
        <v>805</v>
      </c>
      <c r="BX23" s="112" t="s">
        <v>805</v>
      </c>
      <c r="BY23" s="112" t="s">
        <v>805</v>
      </c>
      <c r="BZ23" s="112" t="s">
        <v>805</v>
      </c>
      <c r="CA23" s="112" t="s">
        <v>805</v>
      </c>
      <c r="CB23" s="112" t="s">
        <v>805</v>
      </c>
      <c r="CC23" s="112" t="s">
        <v>805</v>
      </c>
      <c r="CD23" s="112" t="s">
        <v>805</v>
      </c>
      <c r="CE23" s="112" t="s">
        <v>805</v>
      </c>
      <c r="CF23" s="112" t="s">
        <v>805</v>
      </c>
      <c r="CG23" s="112" t="s">
        <v>805</v>
      </c>
      <c r="CH23" s="112" t="s">
        <v>805</v>
      </c>
      <c r="CI23" s="112" t="s">
        <v>805</v>
      </c>
      <c r="CJ23" s="112" t="s">
        <v>805</v>
      </c>
      <c r="CK23" s="112" t="s">
        <v>805</v>
      </c>
      <c r="CL23" s="112" t="s">
        <v>805</v>
      </c>
      <c r="CM23" s="112" t="s">
        <v>805</v>
      </c>
      <c r="CN23" s="112" t="s">
        <v>805</v>
      </c>
      <c r="CO23" s="112" t="s">
        <v>805</v>
      </c>
      <c r="CP23" s="112" t="s">
        <v>805</v>
      </c>
      <c r="CQ23" s="112" t="s">
        <v>805</v>
      </c>
      <c r="CR23" s="112" t="s">
        <v>805</v>
      </c>
      <c r="CS23" s="112" t="s">
        <v>805</v>
      </c>
      <c r="CT23" s="112" t="s">
        <v>805</v>
      </c>
      <c r="CU23" s="112" t="s">
        <v>805</v>
      </c>
      <c r="CV23" s="112" t="s">
        <v>805</v>
      </c>
      <c r="CW23" s="112" t="s">
        <v>805</v>
      </c>
      <c r="CX23" s="112" t="s">
        <v>805</v>
      </c>
      <c r="CY23" s="112" t="s">
        <v>805</v>
      </c>
      <c r="CZ23" s="112" t="s">
        <v>805</v>
      </c>
      <c r="DA23" s="112" t="s">
        <v>805</v>
      </c>
      <c r="DB23" s="112" t="s">
        <v>805</v>
      </c>
      <c r="DC23" s="112" t="s">
        <v>805</v>
      </c>
      <c r="DD23" s="112" t="s">
        <v>805</v>
      </c>
      <c r="DE23" s="112" t="s">
        <v>805</v>
      </c>
      <c r="DF23" s="112" t="s">
        <v>805</v>
      </c>
      <c r="DG23" s="28">
        <f>'KPI Count-SHARE'!J18</f>
        <v>0</v>
      </c>
      <c r="DH23" s="116"/>
      <c r="DI23" s="116"/>
      <c r="DJ23" s="116"/>
      <c r="DK23" s="28">
        <f>'KPI Count-SHARE'!K18</f>
        <v>0</v>
      </c>
      <c r="DL23" s="119"/>
      <c r="DM23" s="119"/>
      <c r="DN23" s="119"/>
      <c r="DO23" s="28">
        <f>'KPI Count-SHARE'!L18</f>
        <v>0</v>
      </c>
      <c r="DP23" s="119"/>
      <c r="DQ23" s="119"/>
      <c r="DR23" s="119"/>
      <c r="DS23" s="28">
        <f>'KPI Count-SHARE'!M18</f>
        <v>0</v>
      </c>
      <c r="DT23" s="119"/>
      <c r="DU23" s="119"/>
      <c r="DV23" s="119"/>
      <c r="DW23" s="30" t="str">
        <f t="shared" si="189"/>
        <v>USD' 000 per FTE</v>
      </c>
      <c r="DX23" s="41" t="str">
        <f t="shared" si="79"/>
        <v>-</v>
      </c>
      <c r="DY23" s="41" t="str">
        <f t="shared" si="80"/>
        <v>-</v>
      </c>
      <c r="DZ23" s="41" t="str">
        <f t="shared" si="81"/>
        <v>-</v>
      </c>
      <c r="EA23" s="41" t="str">
        <f t="shared" si="179"/>
        <v>-</v>
      </c>
      <c r="EB23" s="41" t="str">
        <f t="shared" si="180"/>
        <v>-</v>
      </c>
      <c r="EC23" s="41" t="str">
        <f t="shared" si="181"/>
        <v>-</v>
      </c>
      <c r="ED23" s="41" t="str">
        <f t="shared" si="82"/>
        <v>-</v>
      </c>
      <c r="EE23" s="41" t="str">
        <f t="shared" si="83"/>
        <v>-</v>
      </c>
      <c r="EF23" s="41" t="str">
        <f t="shared" si="84"/>
        <v>-</v>
      </c>
      <c r="EG23" s="41" t="str">
        <f t="shared" si="85"/>
        <v>-</v>
      </c>
      <c r="EH23" s="41" t="str">
        <f t="shared" si="86"/>
        <v>-</v>
      </c>
      <c r="EI23" s="41" t="str">
        <f t="shared" ref="EI23:ET38" si="190">IFERROR(IF(ISBLANK(U23), "-", IF($I23="c", U23*$I$5, U23)),"-")</f>
        <v>-</v>
      </c>
      <c r="EJ23" s="41" t="str">
        <f t="shared" si="190"/>
        <v>-</v>
      </c>
      <c r="EK23" s="41" t="str">
        <f t="shared" si="190"/>
        <v>-</v>
      </c>
      <c r="EL23" s="41" t="str">
        <f t="shared" si="190"/>
        <v>-</v>
      </c>
      <c r="EM23" s="41" t="str">
        <f t="shared" si="190"/>
        <v>-</v>
      </c>
      <c r="EN23" s="41" t="str">
        <f t="shared" si="190"/>
        <v>-</v>
      </c>
      <c r="EO23" s="41" t="str">
        <f t="shared" si="190"/>
        <v>-</v>
      </c>
      <c r="EP23" s="41" t="str">
        <f t="shared" si="190"/>
        <v>-</v>
      </c>
      <c r="EQ23" s="41" t="str">
        <f t="shared" si="190"/>
        <v>-</v>
      </c>
      <c r="ER23" s="41" t="str">
        <f t="shared" si="190"/>
        <v>-</v>
      </c>
      <c r="ES23" s="41" t="str">
        <f t="shared" si="190"/>
        <v>-</v>
      </c>
      <c r="ET23" s="41" t="str">
        <f t="shared" si="190"/>
        <v>-</v>
      </c>
      <c r="EU23" s="41" t="str">
        <f t="shared" si="88"/>
        <v>-</v>
      </c>
      <c r="EV23" s="41" t="str">
        <f t="shared" si="89"/>
        <v>-</v>
      </c>
      <c r="EW23" s="41" t="str">
        <f t="shared" si="90"/>
        <v>-</v>
      </c>
      <c r="EX23" s="41" t="str">
        <f t="shared" si="91"/>
        <v>-</v>
      </c>
      <c r="EY23" s="41" t="str">
        <f t="shared" si="92"/>
        <v>-</v>
      </c>
      <c r="EZ23" s="41" t="str">
        <f t="shared" si="93"/>
        <v>-</v>
      </c>
      <c r="FA23" s="41" t="str">
        <f t="shared" si="94"/>
        <v>-</v>
      </c>
      <c r="FB23" s="41" t="str">
        <f t="shared" si="95"/>
        <v>-</v>
      </c>
      <c r="FC23" s="41" t="str">
        <f t="shared" si="96"/>
        <v>-</v>
      </c>
      <c r="FD23" s="41" t="str">
        <f t="shared" si="97"/>
        <v>-</v>
      </c>
      <c r="FE23" s="41" t="str">
        <f t="shared" si="98"/>
        <v>-</v>
      </c>
      <c r="FF23" s="41" t="str">
        <f t="shared" si="99"/>
        <v>-</v>
      </c>
      <c r="FG23" s="41" t="str">
        <f t="shared" si="100"/>
        <v>-</v>
      </c>
      <c r="FH23" s="41" t="str">
        <f t="shared" si="101"/>
        <v>-</v>
      </c>
      <c r="FI23" s="41" t="str">
        <f t="shared" si="102"/>
        <v>-</v>
      </c>
      <c r="FJ23" s="41" t="str">
        <f t="shared" si="103"/>
        <v>-</v>
      </c>
      <c r="FK23" s="41" t="str">
        <f t="shared" si="104"/>
        <v>-</v>
      </c>
      <c r="FL23" s="41" t="str">
        <f t="shared" si="105"/>
        <v>-</v>
      </c>
      <c r="FM23" s="41" t="str">
        <f t="shared" si="106"/>
        <v>-</v>
      </c>
      <c r="FN23" s="41" t="str">
        <f t="shared" si="107"/>
        <v>-</v>
      </c>
      <c r="FO23" s="41" t="str">
        <f t="shared" si="108"/>
        <v>-</v>
      </c>
      <c r="FP23" s="41" t="str">
        <f t="shared" si="109"/>
        <v>-</v>
      </c>
      <c r="FQ23" s="41" t="str">
        <f t="shared" si="110"/>
        <v>-</v>
      </c>
      <c r="FR23" s="41" t="str">
        <f t="shared" si="111"/>
        <v>-</v>
      </c>
      <c r="FS23" s="41" t="str">
        <f t="shared" si="112"/>
        <v>-</v>
      </c>
      <c r="FT23" s="41" t="str">
        <f t="shared" si="113"/>
        <v>-</v>
      </c>
      <c r="FU23" s="41" t="str">
        <f t="shared" si="114"/>
        <v>-</v>
      </c>
      <c r="FV23" s="41" t="str">
        <f t="shared" si="115"/>
        <v>-</v>
      </c>
      <c r="FW23" s="41" t="str">
        <f t="shared" si="116"/>
        <v>-</v>
      </c>
      <c r="FX23" s="41" t="str">
        <f t="shared" si="117"/>
        <v>-</v>
      </c>
      <c r="FY23" s="41" t="str">
        <f t="shared" si="118"/>
        <v>-</v>
      </c>
      <c r="FZ23" s="41" t="str">
        <f t="shared" si="119"/>
        <v>-</v>
      </c>
      <c r="GA23" s="41" t="str">
        <f t="shared" si="120"/>
        <v>-</v>
      </c>
      <c r="GB23" s="41" t="str">
        <f t="shared" si="121"/>
        <v>-</v>
      </c>
      <c r="GC23" s="41" t="str">
        <f t="shared" si="122"/>
        <v>-</v>
      </c>
      <c r="GD23" s="41" t="str">
        <f t="shared" si="123"/>
        <v>-</v>
      </c>
      <c r="GE23" s="41" t="str">
        <f t="shared" si="124"/>
        <v>-</v>
      </c>
      <c r="GF23" s="41" t="str">
        <f t="shared" si="125"/>
        <v>-</v>
      </c>
      <c r="GG23" s="41" t="str">
        <f t="shared" si="126"/>
        <v>-</v>
      </c>
      <c r="GH23" s="41" t="str">
        <f t="shared" si="127"/>
        <v>-</v>
      </c>
      <c r="GI23" s="41" t="str">
        <f t="shared" si="128"/>
        <v>-</v>
      </c>
      <c r="GJ23" s="41" t="str">
        <f t="shared" si="129"/>
        <v>-</v>
      </c>
      <c r="GK23" s="41" t="str">
        <f t="shared" si="130"/>
        <v>-</v>
      </c>
      <c r="GL23" s="41" t="str">
        <f t="shared" si="131"/>
        <v>-</v>
      </c>
      <c r="GM23" s="41" t="str">
        <f t="shared" si="132"/>
        <v>-</v>
      </c>
      <c r="GN23" s="41" t="str">
        <f t="shared" si="133"/>
        <v>-</v>
      </c>
      <c r="GO23" s="41" t="str">
        <f t="shared" si="134"/>
        <v>-</v>
      </c>
      <c r="GP23" s="41" t="str">
        <f t="shared" si="135"/>
        <v>-</v>
      </c>
      <c r="GQ23" s="41" t="str">
        <f t="shared" si="136"/>
        <v>-</v>
      </c>
      <c r="GR23" s="41" t="str">
        <f t="shared" si="137"/>
        <v>-</v>
      </c>
      <c r="GS23" s="41" t="str">
        <f t="shared" si="138"/>
        <v>-</v>
      </c>
      <c r="GT23" s="41" t="str">
        <f t="shared" si="139"/>
        <v>-</v>
      </c>
      <c r="GU23" s="41" t="str">
        <f t="shared" si="140"/>
        <v>-</v>
      </c>
      <c r="GV23" s="41" t="str">
        <f t="shared" si="141"/>
        <v>-</v>
      </c>
      <c r="GW23" s="41" t="str">
        <f t="shared" si="142"/>
        <v>-</v>
      </c>
      <c r="GX23" s="41" t="str">
        <f t="shared" si="143"/>
        <v>-</v>
      </c>
      <c r="GY23" s="41" t="str">
        <f t="shared" si="144"/>
        <v>-</v>
      </c>
      <c r="GZ23" s="41" t="str">
        <f t="shared" si="145"/>
        <v>-</v>
      </c>
      <c r="HA23" s="41" t="str">
        <f t="shared" si="146"/>
        <v>-</v>
      </c>
      <c r="HB23" s="41" t="str">
        <f t="shared" si="147"/>
        <v>-</v>
      </c>
      <c r="HC23" s="41" t="str">
        <f t="shared" si="148"/>
        <v>-</v>
      </c>
      <c r="HD23" s="41" t="str">
        <f t="shared" si="149"/>
        <v>-</v>
      </c>
      <c r="HE23" s="41" t="str">
        <f t="shared" si="150"/>
        <v>-</v>
      </c>
      <c r="HF23" s="41" t="str">
        <f t="shared" si="151"/>
        <v>-</v>
      </c>
      <c r="HG23" s="41" t="str">
        <f t="shared" si="152"/>
        <v>-</v>
      </c>
      <c r="HH23" s="41" t="str">
        <f t="shared" si="153"/>
        <v>-</v>
      </c>
      <c r="HI23" s="41" t="str">
        <f t="shared" si="154"/>
        <v>-</v>
      </c>
      <c r="HJ23" s="41" t="str">
        <f t="shared" si="155"/>
        <v>-</v>
      </c>
      <c r="HK23" s="41" t="str">
        <f t="shared" si="156"/>
        <v>-</v>
      </c>
      <c r="HL23" s="41" t="str">
        <f t="shared" si="157"/>
        <v>-</v>
      </c>
      <c r="HM23" s="41" t="str">
        <f t="shared" si="158"/>
        <v>-</v>
      </c>
      <c r="HN23" s="41" t="str">
        <f t="shared" si="159"/>
        <v>-</v>
      </c>
      <c r="HO23" s="41" t="str">
        <f t="shared" si="160"/>
        <v>-</v>
      </c>
      <c r="HP23" s="41" t="str">
        <f t="shared" si="161"/>
        <v>-</v>
      </c>
      <c r="HQ23" s="41" t="str">
        <f t="shared" si="162"/>
        <v>-</v>
      </c>
      <c r="HR23" s="41" t="str">
        <f t="shared" si="163"/>
        <v>-</v>
      </c>
      <c r="HS23" s="41" t="str">
        <f t="shared" si="164"/>
        <v>-</v>
      </c>
      <c r="HT23" s="41" t="str">
        <f t="shared" si="164"/>
        <v>-</v>
      </c>
      <c r="HU23" s="43" t="str">
        <f t="shared" si="182"/>
        <v>-</v>
      </c>
      <c r="HV23" s="44" t="str">
        <f t="shared" si="165"/>
        <v/>
      </c>
      <c r="HW23" s="45" t="str">
        <f t="shared" si="166"/>
        <v/>
      </c>
      <c r="HX23" s="44" t="str">
        <f t="shared" si="183"/>
        <v/>
      </c>
      <c r="HY23" s="44" t="str">
        <f t="shared" si="167"/>
        <v/>
      </c>
      <c r="HZ23" s="44" t="str">
        <f t="shared" si="168"/>
        <v/>
      </c>
      <c r="IA23" s="43" t="str">
        <f t="shared" si="169"/>
        <v/>
      </c>
      <c r="IB23" s="44" t="str">
        <f t="shared" si="170"/>
        <v/>
      </c>
      <c r="IC23" s="45" t="str">
        <f t="shared" si="171"/>
        <v/>
      </c>
      <c r="ID23" s="43" t="str">
        <f t="shared" si="172"/>
        <v/>
      </c>
      <c r="IE23" s="44" t="str">
        <f t="shared" si="173"/>
        <v/>
      </c>
      <c r="IF23" s="45" t="str">
        <f t="shared" si="174"/>
        <v/>
      </c>
      <c r="IH23" s="80">
        <v>23</v>
      </c>
      <c r="II23" s="80" t="e">
        <f t="shared" ca="1" si="175"/>
        <v>#N/A</v>
      </c>
      <c r="IJ23" s="80" t="e">
        <f t="shared" ca="1" si="176"/>
        <v>#N/A</v>
      </c>
      <c r="IK23" s="80" t="e">
        <f t="shared" ca="1" si="177"/>
        <v>#N/A</v>
      </c>
      <c r="IL23" s="80" t="e">
        <f t="shared" ca="1" si="178"/>
        <v>#N/A</v>
      </c>
      <c r="IM23" s="33"/>
      <c r="IN23" s="81" t="e">
        <f t="shared" ca="1" si="184"/>
        <v>#N/A</v>
      </c>
      <c r="IO23" s="82" t="e">
        <f t="shared" ca="1" si="185"/>
        <v>#N/A</v>
      </c>
      <c r="IP23" s="82" t="e">
        <f t="shared" ca="1" si="186"/>
        <v>#N/A</v>
      </c>
      <c r="IQ23" s="81" t="e">
        <f t="shared" ca="1" si="187"/>
        <v>#N/A</v>
      </c>
      <c r="IR23" s="81" t="e">
        <f t="shared" ca="1" si="188"/>
        <v>#N/A</v>
      </c>
    </row>
    <row r="24" spans="1:252" s="1" customFormat="1" x14ac:dyDescent="0.35">
      <c r="A24" s="33">
        <v>0</v>
      </c>
      <c r="B24" s="33">
        <v>1</v>
      </c>
      <c r="C24" s="33">
        <v>1</v>
      </c>
      <c r="E24" s="4"/>
      <c r="F24" t="s">
        <v>288</v>
      </c>
      <c r="G24" s="5" t="s">
        <v>542</v>
      </c>
      <c r="H24" s="4" t="s">
        <v>533</v>
      </c>
      <c r="I24" s="7" t="s">
        <v>534</v>
      </c>
      <c r="J24" s="276" t="s">
        <v>805</v>
      </c>
      <c r="K24" s="39" t="s">
        <v>805</v>
      </c>
      <c r="L24" s="39" t="s">
        <v>805</v>
      </c>
      <c r="M24" s="39" t="s">
        <v>805</v>
      </c>
      <c r="N24" s="39" t="s">
        <v>805</v>
      </c>
      <c r="O24" s="39" t="s">
        <v>805</v>
      </c>
      <c r="P24" s="39" t="s">
        <v>805</v>
      </c>
      <c r="Q24" s="39" t="s">
        <v>805</v>
      </c>
      <c r="R24" s="39" t="s">
        <v>805</v>
      </c>
      <c r="S24" s="39" t="s">
        <v>805</v>
      </c>
      <c r="T24" s="39" t="s">
        <v>805</v>
      </c>
      <c r="U24" s="39" t="s">
        <v>805</v>
      </c>
      <c r="V24" s="39" t="s">
        <v>805</v>
      </c>
      <c r="W24" s="39" t="s">
        <v>805</v>
      </c>
      <c r="X24" s="39" t="s">
        <v>805</v>
      </c>
      <c r="Y24" s="39" t="s">
        <v>805</v>
      </c>
      <c r="Z24" s="39" t="s">
        <v>805</v>
      </c>
      <c r="AA24" s="39" t="s">
        <v>805</v>
      </c>
      <c r="AB24" s="39" t="s">
        <v>805</v>
      </c>
      <c r="AC24" s="39" t="s">
        <v>805</v>
      </c>
      <c r="AD24" s="39" t="s">
        <v>805</v>
      </c>
      <c r="AE24" s="39" t="s">
        <v>805</v>
      </c>
      <c r="AF24" s="39" t="s">
        <v>805</v>
      </c>
      <c r="AG24" s="39" t="s">
        <v>805</v>
      </c>
      <c r="AH24" s="39" t="s">
        <v>805</v>
      </c>
      <c r="AI24" s="39" t="s">
        <v>805</v>
      </c>
      <c r="AJ24" s="39" t="s">
        <v>805</v>
      </c>
      <c r="AK24" s="39" t="s">
        <v>805</v>
      </c>
      <c r="AL24" s="39" t="s">
        <v>805</v>
      </c>
      <c r="AM24" s="39" t="s">
        <v>805</v>
      </c>
      <c r="AN24" s="39" t="s">
        <v>805</v>
      </c>
      <c r="AO24" s="39" t="s">
        <v>805</v>
      </c>
      <c r="AP24" s="39" t="s">
        <v>805</v>
      </c>
      <c r="AQ24" s="39" t="s">
        <v>805</v>
      </c>
      <c r="AR24" s="39" t="s">
        <v>805</v>
      </c>
      <c r="AS24" s="39" t="s">
        <v>805</v>
      </c>
      <c r="AT24" s="39" t="s">
        <v>805</v>
      </c>
      <c r="AU24" s="39" t="s">
        <v>805</v>
      </c>
      <c r="AV24" s="39" t="s">
        <v>805</v>
      </c>
      <c r="AW24" s="39" t="s">
        <v>805</v>
      </c>
      <c r="AX24" s="39" t="s">
        <v>805</v>
      </c>
      <c r="AY24" s="39" t="s">
        <v>805</v>
      </c>
      <c r="AZ24" s="39" t="s">
        <v>805</v>
      </c>
      <c r="BA24" s="39" t="s">
        <v>805</v>
      </c>
      <c r="BB24" s="39" t="s">
        <v>805</v>
      </c>
      <c r="BC24" s="39" t="s">
        <v>805</v>
      </c>
      <c r="BD24" s="39" t="s">
        <v>805</v>
      </c>
      <c r="BE24" s="39" t="s">
        <v>805</v>
      </c>
      <c r="BF24" s="39" t="s">
        <v>805</v>
      </c>
      <c r="BG24" s="39" t="s">
        <v>805</v>
      </c>
      <c r="BH24" s="39" t="s">
        <v>805</v>
      </c>
      <c r="BI24" s="39" t="s">
        <v>805</v>
      </c>
      <c r="BJ24" s="39" t="s">
        <v>805</v>
      </c>
      <c r="BK24" s="39" t="s">
        <v>805</v>
      </c>
      <c r="BL24" s="39" t="s">
        <v>805</v>
      </c>
      <c r="BM24" s="39" t="s">
        <v>805</v>
      </c>
      <c r="BN24" s="39" t="s">
        <v>805</v>
      </c>
      <c r="BO24" s="39" t="s">
        <v>805</v>
      </c>
      <c r="BP24" s="39" t="s">
        <v>805</v>
      </c>
      <c r="BQ24" s="39" t="s">
        <v>805</v>
      </c>
      <c r="BR24" s="39" t="s">
        <v>805</v>
      </c>
      <c r="BS24" s="39" t="s">
        <v>805</v>
      </c>
      <c r="BT24" s="39" t="s">
        <v>805</v>
      </c>
      <c r="BU24" s="39" t="s">
        <v>805</v>
      </c>
      <c r="BV24" s="39" t="s">
        <v>805</v>
      </c>
      <c r="BW24" s="39" t="s">
        <v>805</v>
      </c>
      <c r="BX24" s="39" t="s">
        <v>805</v>
      </c>
      <c r="BY24" s="39" t="s">
        <v>805</v>
      </c>
      <c r="BZ24" s="39" t="s">
        <v>805</v>
      </c>
      <c r="CA24" s="39" t="s">
        <v>805</v>
      </c>
      <c r="CB24" s="39" t="s">
        <v>805</v>
      </c>
      <c r="CC24" s="39" t="s">
        <v>805</v>
      </c>
      <c r="CD24" s="39" t="s">
        <v>805</v>
      </c>
      <c r="CE24" s="39" t="s">
        <v>805</v>
      </c>
      <c r="CF24" s="39" t="s">
        <v>805</v>
      </c>
      <c r="CG24" s="39" t="s">
        <v>805</v>
      </c>
      <c r="CH24" s="39" t="s">
        <v>805</v>
      </c>
      <c r="CI24" s="39" t="s">
        <v>805</v>
      </c>
      <c r="CJ24" s="39" t="s">
        <v>805</v>
      </c>
      <c r="CK24" s="39" t="s">
        <v>805</v>
      </c>
      <c r="CL24" s="39" t="s">
        <v>805</v>
      </c>
      <c r="CM24" s="39" t="s">
        <v>805</v>
      </c>
      <c r="CN24" s="39" t="s">
        <v>805</v>
      </c>
      <c r="CO24" s="39" t="s">
        <v>805</v>
      </c>
      <c r="CP24" s="39" t="s">
        <v>805</v>
      </c>
      <c r="CQ24" s="39" t="s">
        <v>805</v>
      </c>
      <c r="CR24" s="39" t="s">
        <v>805</v>
      </c>
      <c r="CS24" s="39" t="s">
        <v>805</v>
      </c>
      <c r="CT24" s="39" t="s">
        <v>805</v>
      </c>
      <c r="CU24" s="39" t="s">
        <v>805</v>
      </c>
      <c r="CV24" s="39" t="s">
        <v>805</v>
      </c>
      <c r="CW24" s="39" t="s">
        <v>805</v>
      </c>
      <c r="CX24" s="39" t="s">
        <v>805</v>
      </c>
      <c r="CY24" s="39" t="s">
        <v>805</v>
      </c>
      <c r="CZ24" s="39" t="s">
        <v>805</v>
      </c>
      <c r="DA24" s="39" t="s">
        <v>805</v>
      </c>
      <c r="DB24" s="39" t="s">
        <v>805</v>
      </c>
      <c r="DC24" s="39" t="s">
        <v>805</v>
      </c>
      <c r="DD24" s="39" t="s">
        <v>805</v>
      </c>
      <c r="DE24" s="39" t="s">
        <v>805</v>
      </c>
      <c r="DF24" s="39" t="s">
        <v>805</v>
      </c>
      <c r="DG24" s="28">
        <f>'KPI Count-SHARE'!J19</f>
        <v>0</v>
      </c>
      <c r="DH24" s="105"/>
      <c r="DI24" s="105"/>
      <c r="DJ24" s="105"/>
      <c r="DK24" s="28">
        <f>'KPI Count-SHARE'!K19</f>
        <v>0</v>
      </c>
      <c r="DL24" s="39"/>
      <c r="DM24" s="39"/>
      <c r="DN24" s="39"/>
      <c r="DO24" s="28">
        <f>'KPI Count-SHARE'!L19</f>
        <v>0</v>
      </c>
      <c r="DP24" s="61"/>
      <c r="DQ24" s="61"/>
      <c r="DR24" s="61"/>
      <c r="DS24" s="28">
        <f>'KPI Count-SHARE'!M19</f>
        <v>0</v>
      </c>
      <c r="DT24" s="39"/>
      <c r="DU24" s="39"/>
      <c r="DV24" s="39"/>
      <c r="DW24" s="30" t="s">
        <v>533</v>
      </c>
      <c r="DX24" s="39" t="str">
        <f t="shared" si="79"/>
        <v/>
      </c>
      <c r="DY24" s="39" t="str">
        <f t="shared" si="80"/>
        <v/>
      </c>
      <c r="DZ24" s="39" t="str">
        <f t="shared" si="81"/>
        <v/>
      </c>
      <c r="EA24" s="39" t="str">
        <f t="shared" si="179"/>
        <v/>
      </c>
      <c r="EB24" s="39" t="str">
        <f t="shared" si="180"/>
        <v/>
      </c>
      <c r="EC24" s="39" t="str">
        <f t="shared" si="181"/>
        <v/>
      </c>
      <c r="ED24" s="39" t="str">
        <f t="shared" si="82"/>
        <v/>
      </c>
      <c r="EE24" s="39" t="str">
        <f t="shared" si="83"/>
        <v/>
      </c>
      <c r="EF24" s="39" t="str">
        <f t="shared" si="84"/>
        <v/>
      </c>
      <c r="EG24" s="39" t="str">
        <f t="shared" si="85"/>
        <v/>
      </c>
      <c r="EH24" s="39" t="str">
        <f t="shared" si="86"/>
        <v/>
      </c>
      <c r="EI24" s="39" t="str">
        <f t="shared" si="190"/>
        <v/>
      </c>
      <c r="EJ24" s="39" t="str">
        <f t="shared" si="190"/>
        <v/>
      </c>
      <c r="EK24" s="39" t="str">
        <f t="shared" si="190"/>
        <v/>
      </c>
      <c r="EL24" s="39" t="str">
        <f t="shared" si="190"/>
        <v/>
      </c>
      <c r="EM24" s="39" t="str">
        <f t="shared" si="190"/>
        <v/>
      </c>
      <c r="EN24" s="39" t="str">
        <f t="shared" si="190"/>
        <v/>
      </c>
      <c r="EO24" s="39" t="str">
        <f t="shared" si="190"/>
        <v/>
      </c>
      <c r="EP24" s="39" t="str">
        <f t="shared" si="190"/>
        <v/>
      </c>
      <c r="EQ24" s="39" t="str">
        <f t="shared" si="190"/>
        <v/>
      </c>
      <c r="ER24" s="39" t="str">
        <f t="shared" si="190"/>
        <v/>
      </c>
      <c r="ES24" s="39" t="str">
        <f t="shared" si="190"/>
        <v/>
      </c>
      <c r="ET24" s="39" t="str">
        <f t="shared" si="190"/>
        <v/>
      </c>
      <c r="EU24" s="39" t="str">
        <f t="shared" si="88"/>
        <v/>
      </c>
      <c r="EV24" s="39" t="str">
        <f t="shared" si="89"/>
        <v/>
      </c>
      <c r="EW24" s="39" t="str">
        <f t="shared" si="90"/>
        <v/>
      </c>
      <c r="EX24" s="39" t="str">
        <f t="shared" si="91"/>
        <v/>
      </c>
      <c r="EY24" s="39" t="str">
        <f t="shared" si="92"/>
        <v/>
      </c>
      <c r="EZ24" s="39" t="str">
        <f t="shared" si="93"/>
        <v/>
      </c>
      <c r="FA24" s="39" t="str">
        <f t="shared" si="94"/>
        <v/>
      </c>
      <c r="FB24" s="39" t="str">
        <f t="shared" si="95"/>
        <v/>
      </c>
      <c r="FC24" s="39" t="str">
        <f t="shared" si="96"/>
        <v/>
      </c>
      <c r="FD24" s="39" t="str">
        <f t="shared" si="97"/>
        <v/>
      </c>
      <c r="FE24" s="39" t="str">
        <f t="shared" si="98"/>
        <v/>
      </c>
      <c r="FF24" s="39" t="str">
        <f t="shared" si="99"/>
        <v/>
      </c>
      <c r="FG24" s="39" t="str">
        <f t="shared" si="100"/>
        <v/>
      </c>
      <c r="FH24" s="39" t="str">
        <f t="shared" si="101"/>
        <v/>
      </c>
      <c r="FI24" s="39" t="str">
        <f t="shared" si="102"/>
        <v/>
      </c>
      <c r="FJ24" s="39" t="str">
        <f t="shared" si="103"/>
        <v/>
      </c>
      <c r="FK24" s="39" t="str">
        <f t="shared" si="104"/>
        <v/>
      </c>
      <c r="FL24" s="39" t="str">
        <f t="shared" si="105"/>
        <v/>
      </c>
      <c r="FM24" s="39" t="str">
        <f t="shared" si="106"/>
        <v/>
      </c>
      <c r="FN24" s="39" t="str">
        <f t="shared" si="107"/>
        <v/>
      </c>
      <c r="FO24" s="39" t="str">
        <f t="shared" si="108"/>
        <v/>
      </c>
      <c r="FP24" s="39" t="str">
        <f t="shared" si="109"/>
        <v/>
      </c>
      <c r="FQ24" s="39" t="str">
        <f t="shared" si="110"/>
        <v/>
      </c>
      <c r="FR24" s="39" t="str">
        <f t="shared" si="111"/>
        <v/>
      </c>
      <c r="FS24" s="39" t="str">
        <f t="shared" si="112"/>
        <v/>
      </c>
      <c r="FT24" s="39" t="str">
        <f t="shared" si="113"/>
        <v/>
      </c>
      <c r="FU24" s="39" t="str">
        <f t="shared" si="114"/>
        <v/>
      </c>
      <c r="FV24" s="39" t="str">
        <f t="shared" si="115"/>
        <v/>
      </c>
      <c r="FW24" s="39" t="str">
        <f t="shared" si="116"/>
        <v/>
      </c>
      <c r="FX24" s="39" t="str">
        <f t="shared" si="117"/>
        <v/>
      </c>
      <c r="FY24" s="39" t="str">
        <f t="shared" si="118"/>
        <v/>
      </c>
      <c r="FZ24" s="39" t="str">
        <f t="shared" si="119"/>
        <v/>
      </c>
      <c r="GA24" s="39" t="str">
        <f t="shared" si="120"/>
        <v/>
      </c>
      <c r="GB24" s="39" t="str">
        <f t="shared" si="121"/>
        <v/>
      </c>
      <c r="GC24" s="39" t="str">
        <f t="shared" si="122"/>
        <v/>
      </c>
      <c r="GD24" s="39" t="str">
        <f t="shared" si="123"/>
        <v/>
      </c>
      <c r="GE24" s="39" t="str">
        <f t="shared" si="124"/>
        <v/>
      </c>
      <c r="GF24" s="39" t="str">
        <f t="shared" si="125"/>
        <v/>
      </c>
      <c r="GG24" s="39" t="str">
        <f t="shared" si="126"/>
        <v/>
      </c>
      <c r="GH24" s="39" t="str">
        <f t="shared" si="127"/>
        <v/>
      </c>
      <c r="GI24" s="39" t="str">
        <f t="shared" si="128"/>
        <v/>
      </c>
      <c r="GJ24" s="39" t="str">
        <f t="shared" si="129"/>
        <v/>
      </c>
      <c r="GK24" s="39" t="str">
        <f t="shared" si="130"/>
        <v/>
      </c>
      <c r="GL24" s="39" t="str">
        <f t="shared" si="131"/>
        <v/>
      </c>
      <c r="GM24" s="39" t="str">
        <f t="shared" si="132"/>
        <v/>
      </c>
      <c r="GN24" s="39" t="str">
        <f t="shared" si="133"/>
        <v/>
      </c>
      <c r="GO24" s="39" t="str">
        <f t="shared" si="134"/>
        <v/>
      </c>
      <c r="GP24" s="39" t="str">
        <f t="shared" si="135"/>
        <v/>
      </c>
      <c r="GQ24" s="39" t="str">
        <f t="shared" si="136"/>
        <v/>
      </c>
      <c r="GR24" s="39" t="str">
        <f t="shared" si="137"/>
        <v/>
      </c>
      <c r="GS24" s="39" t="str">
        <f t="shared" si="138"/>
        <v/>
      </c>
      <c r="GT24" s="39" t="str">
        <f t="shared" si="139"/>
        <v/>
      </c>
      <c r="GU24" s="39" t="str">
        <f t="shared" si="140"/>
        <v/>
      </c>
      <c r="GV24" s="39" t="str">
        <f t="shared" si="141"/>
        <v/>
      </c>
      <c r="GW24" s="39" t="str">
        <f t="shared" si="142"/>
        <v/>
      </c>
      <c r="GX24" s="39" t="str">
        <f t="shared" si="143"/>
        <v/>
      </c>
      <c r="GY24" s="39" t="str">
        <f t="shared" si="144"/>
        <v/>
      </c>
      <c r="GZ24" s="39" t="str">
        <f t="shared" si="145"/>
        <v/>
      </c>
      <c r="HA24" s="39" t="str">
        <f t="shared" si="146"/>
        <v/>
      </c>
      <c r="HB24" s="39" t="str">
        <f t="shared" si="147"/>
        <v/>
      </c>
      <c r="HC24" s="39" t="str">
        <f t="shared" si="148"/>
        <v/>
      </c>
      <c r="HD24" s="39" t="str">
        <f t="shared" si="149"/>
        <v/>
      </c>
      <c r="HE24" s="39" t="str">
        <f t="shared" si="150"/>
        <v/>
      </c>
      <c r="HF24" s="39" t="str">
        <f t="shared" si="151"/>
        <v/>
      </c>
      <c r="HG24" s="39" t="str">
        <f t="shared" si="152"/>
        <v/>
      </c>
      <c r="HH24" s="39" t="str">
        <f t="shared" si="153"/>
        <v/>
      </c>
      <c r="HI24" s="39" t="str">
        <f t="shared" si="154"/>
        <v/>
      </c>
      <c r="HJ24" s="39" t="str">
        <f t="shared" si="155"/>
        <v/>
      </c>
      <c r="HK24" s="39" t="str">
        <f t="shared" si="156"/>
        <v/>
      </c>
      <c r="HL24" s="39" t="str">
        <f t="shared" si="157"/>
        <v/>
      </c>
      <c r="HM24" s="39" t="str">
        <f t="shared" si="158"/>
        <v/>
      </c>
      <c r="HN24" s="39" t="str">
        <f t="shared" si="159"/>
        <v/>
      </c>
      <c r="HO24" s="39" t="str">
        <f t="shared" si="160"/>
        <v/>
      </c>
      <c r="HP24" s="39" t="str">
        <f t="shared" si="161"/>
        <v/>
      </c>
      <c r="HQ24" s="39" t="str">
        <f t="shared" si="162"/>
        <v/>
      </c>
      <c r="HR24" s="39" t="str">
        <f t="shared" si="163"/>
        <v/>
      </c>
      <c r="HS24" s="39" t="str">
        <f t="shared" si="164"/>
        <v/>
      </c>
      <c r="HT24" s="39" t="str">
        <f t="shared" si="164"/>
        <v/>
      </c>
      <c r="HU24" s="83" t="str">
        <f t="shared" si="182"/>
        <v>-</v>
      </c>
      <c r="HV24" s="84" t="str">
        <f t="shared" si="165"/>
        <v/>
      </c>
      <c r="HW24" s="85" t="str">
        <f t="shared" si="166"/>
        <v/>
      </c>
      <c r="HX24" s="84" t="str">
        <f t="shared" si="183"/>
        <v/>
      </c>
      <c r="HY24" s="84" t="str">
        <f t="shared" si="167"/>
        <v/>
      </c>
      <c r="HZ24" s="84" t="str">
        <f t="shared" si="168"/>
        <v/>
      </c>
      <c r="IA24" s="83" t="str">
        <f t="shared" si="169"/>
        <v/>
      </c>
      <c r="IB24" s="84" t="str">
        <f t="shared" si="170"/>
        <v/>
      </c>
      <c r="IC24" s="85" t="str">
        <f t="shared" si="171"/>
        <v/>
      </c>
      <c r="ID24" s="83" t="str">
        <f t="shared" si="172"/>
        <v/>
      </c>
      <c r="IE24" s="84" t="str">
        <f t="shared" si="173"/>
        <v/>
      </c>
      <c r="IF24" s="85" t="str">
        <f t="shared" si="174"/>
        <v/>
      </c>
      <c r="IH24" s="66">
        <v>24</v>
      </c>
      <c r="II24" s="66" t="e">
        <f t="shared" ca="1" si="175"/>
        <v>#N/A</v>
      </c>
      <c r="IJ24" s="66" t="e">
        <f t="shared" ca="1" si="176"/>
        <v>#N/A</v>
      </c>
      <c r="IK24" s="66" t="e">
        <f t="shared" ca="1" si="177"/>
        <v>#N/A</v>
      </c>
      <c r="IL24" s="66" t="e">
        <f t="shared" ca="1" si="178"/>
        <v>#N/A</v>
      </c>
      <c r="IM24" s="33"/>
      <c r="IN24" s="75" t="e">
        <f t="shared" ca="1" si="184"/>
        <v>#N/A</v>
      </c>
      <c r="IO24" s="75" t="e">
        <f t="shared" ca="1" si="185"/>
        <v>#N/A</v>
      </c>
      <c r="IP24" s="75" t="e">
        <f t="shared" ca="1" si="186"/>
        <v>#N/A</v>
      </c>
      <c r="IQ24" s="75" t="e">
        <f t="shared" ca="1" si="187"/>
        <v>#N/A</v>
      </c>
      <c r="IR24" s="74" t="e">
        <f t="shared" ca="1" si="188"/>
        <v>#N/A</v>
      </c>
    </row>
    <row r="25" spans="1:252" s="1" customFormat="1" x14ac:dyDescent="0.35">
      <c r="A25" s="33">
        <v>0</v>
      </c>
      <c r="B25" s="33">
        <v>1</v>
      </c>
      <c r="C25" s="33">
        <v>1</v>
      </c>
      <c r="E25" s="4"/>
      <c r="F25" t="s">
        <v>289</v>
      </c>
      <c r="G25" s="5" t="s">
        <v>542</v>
      </c>
      <c r="H25" s="4" t="s">
        <v>533</v>
      </c>
      <c r="I25" s="7" t="s">
        <v>534</v>
      </c>
      <c r="J25" s="276" t="s">
        <v>805</v>
      </c>
      <c r="K25" s="39" t="s">
        <v>805</v>
      </c>
      <c r="L25" s="39" t="s">
        <v>805</v>
      </c>
      <c r="M25" s="39" t="s">
        <v>805</v>
      </c>
      <c r="N25" s="39" t="s">
        <v>805</v>
      </c>
      <c r="O25" s="39" t="s">
        <v>805</v>
      </c>
      <c r="P25" s="39" t="s">
        <v>805</v>
      </c>
      <c r="Q25" s="39" t="s">
        <v>805</v>
      </c>
      <c r="R25" s="39" t="s">
        <v>805</v>
      </c>
      <c r="S25" s="39" t="s">
        <v>805</v>
      </c>
      <c r="T25" s="39" t="s">
        <v>805</v>
      </c>
      <c r="U25" s="39" t="s">
        <v>805</v>
      </c>
      <c r="V25" s="39" t="s">
        <v>805</v>
      </c>
      <c r="W25" s="39" t="s">
        <v>805</v>
      </c>
      <c r="X25" s="39" t="s">
        <v>805</v>
      </c>
      <c r="Y25" s="39" t="s">
        <v>805</v>
      </c>
      <c r="Z25" s="39" t="s">
        <v>805</v>
      </c>
      <c r="AA25" s="39" t="s">
        <v>805</v>
      </c>
      <c r="AB25" s="39" t="s">
        <v>805</v>
      </c>
      <c r="AC25" s="39" t="s">
        <v>805</v>
      </c>
      <c r="AD25" s="39" t="s">
        <v>805</v>
      </c>
      <c r="AE25" s="39" t="s">
        <v>805</v>
      </c>
      <c r="AF25" s="39" t="s">
        <v>805</v>
      </c>
      <c r="AG25" s="39" t="s">
        <v>805</v>
      </c>
      <c r="AH25" s="39" t="s">
        <v>805</v>
      </c>
      <c r="AI25" s="39" t="s">
        <v>805</v>
      </c>
      <c r="AJ25" s="39" t="s">
        <v>805</v>
      </c>
      <c r="AK25" s="39" t="s">
        <v>805</v>
      </c>
      <c r="AL25" s="39" t="s">
        <v>805</v>
      </c>
      <c r="AM25" s="39" t="s">
        <v>805</v>
      </c>
      <c r="AN25" s="39" t="s">
        <v>805</v>
      </c>
      <c r="AO25" s="39" t="s">
        <v>805</v>
      </c>
      <c r="AP25" s="39" t="s">
        <v>805</v>
      </c>
      <c r="AQ25" s="39" t="s">
        <v>805</v>
      </c>
      <c r="AR25" s="39" t="s">
        <v>805</v>
      </c>
      <c r="AS25" s="39" t="s">
        <v>805</v>
      </c>
      <c r="AT25" s="39" t="s">
        <v>805</v>
      </c>
      <c r="AU25" s="39" t="s">
        <v>805</v>
      </c>
      <c r="AV25" s="39" t="s">
        <v>805</v>
      </c>
      <c r="AW25" s="39" t="s">
        <v>805</v>
      </c>
      <c r="AX25" s="39" t="s">
        <v>805</v>
      </c>
      <c r="AY25" s="39" t="s">
        <v>805</v>
      </c>
      <c r="AZ25" s="39" t="s">
        <v>805</v>
      </c>
      <c r="BA25" s="39" t="s">
        <v>805</v>
      </c>
      <c r="BB25" s="39" t="s">
        <v>805</v>
      </c>
      <c r="BC25" s="39" t="s">
        <v>805</v>
      </c>
      <c r="BD25" s="39" t="s">
        <v>805</v>
      </c>
      <c r="BE25" s="39" t="s">
        <v>805</v>
      </c>
      <c r="BF25" s="39" t="s">
        <v>805</v>
      </c>
      <c r="BG25" s="39" t="s">
        <v>805</v>
      </c>
      <c r="BH25" s="39" t="s">
        <v>805</v>
      </c>
      <c r="BI25" s="39" t="s">
        <v>805</v>
      </c>
      <c r="BJ25" s="39" t="s">
        <v>805</v>
      </c>
      <c r="BK25" s="39" t="s">
        <v>805</v>
      </c>
      <c r="BL25" s="39" t="s">
        <v>805</v>
      </c>
      <c r="BM25" s="39" t="s">
        <v>805</v>
      </c>
      <c r="BN25" s="39" t="s">
        <v>805</v>
      </c>
      <c r="BO25" s="39" t="s">
        <v>805</v>
      </c>
      <c r="BP25" s="39" t="s">
        <v>805</v>
      </c>
      <c r="BQ25" s="39" t="s">
        <v>805</v>
      </c>
      <c r="BR25" s="39" t="s">
        <v>805</v>
      </c>
      <c r="BS25" s="39" t="s">
        <v>805</v>
      </c>
      <c r="BT25" s="39" t="s">
        <v>805</v>
      </c>
      <c r="BU25" s="39" t="s">
        <v>805</v>
      </c>
      <c r="BV25" s="39" t="s">
        <v>805</v>
      </c>
      <c r="BW25" s="39" t="s">
        <v>805</v>
      </c>
      <c r="BX25" s="39" t="s">
        <v>805</v>
      </c>
      <c r="BY25" s="39" t="s">
        <v>805</v>
      </c>
      <c r="BZ25" s="39" t="s">
        <v>805</v>
      </c>
      <c r="CA25" s="39" t="s">
        <v>805</v>
      </c>
      <c r="CB25" s="39" t="s">
        <v>805</v>
      </c>
      <c r="CC25" s="39" t="s">
        <v>805</v>
      </c>
      <c r="CD25" s="39" t="s">
        <v>805</v>
      </c>
      <c r="CE25" s="39" t="s">
        <v>805</v>
      </c>
      <c r="CF25" s="39" t="s">
        <v>805</v>
      </c>
      <c r="CG25" s="39" t="s">
        <v>805</v>
      </c>
      <c r="CH25" s="39" t="s">
        <v>805</v>
      </c>
      <c r="CI25" s="39" t="s">
        <v>805</v>
      </c>
      <c r="CJ25" s="39" t="s">
        <v>805</v>
      </c>
      <c r="CK25" s="39" t="s">
        <v>805</v>
      </c>
      <c r="CL25" s="39" t="s">
        <v>805</v>
      </c>
      <c r="CM25" s="39" t="s">
        <v>805</v>
      </c>
      <c r="CN25" s="39" t="s">
        <v>805</v>
      </c>
      <c r="CO25" s="39" t="s">
        <v>805</v>
      </c>
      <c r="CP25" s="39" t="s">
        <v>805</v>
      </c>
      <c r="CQ25" s="39" t="s">
        <v>805</v>
      </c>
      <c r="CR25" s="39" t="s">
        <v>805</v>
      </c>
      <c r="CS25" s="39" t="s">
        <v>805</v>
      </c>
      <c r="CT25" s="39" t="s">
        <v>805</v>
      </c>
      <c r="CU25" s="39" t="s">
        <v>805</v>
      </c>
      <c r="CV25" s="39" t="s">
        <v>805</v>
      </c>
      <c r="CW25" s="39" t="s">
        <v>805</v>
      </c>
      <c r="CX25" s="39" t="s">
        <v>805</v>
      </c>
      <c r="CY25" s="39" t="s">
        <v>805</v>
      </c>
      <c r="CZ25" s="39" t="s">
        <v>805</v>
      </c>
      <c r="DA25" s="39" t="s">
        <v>805</v>
      </c>
      <c r="DB25" s="39" t="s">
        <v>805</v>
      </c>
      <c r="DC25" s="39" t="s">
        <v>805</v>
      </c>
      <c r="DD25" s="39" t="s">
        <v>805</v>
      </c>
      <c r="DE25" s="39" t="s">
        <v>805</v>
      </c>
      <c r="DF25" s="39" t="s">
        <v>805</v>
      </c>
      <c r="DG25" s="28">
        <f>'KPI Count-SHARE'!J20</f>
        <v>0</v>
      </c>
      <c r="DH25" s="105"/>
      <c r="DI25" s="105"/>
      <c r="DJ25" s="105"/>
      <c r="DK25" s="28">
        <f>'KPI Count-SHARE'!K20</f>
        <v>0</v>
      </c>
      <c r="DL25" s="39"/>
      <c r="DM25" s="39"/>
      <c r="DN25" s="39"/>
      <c r="DO25" s="28">
        <f>'KPI Count-SHARE'!L20</f>
        <v>0</v>
      </c>
      <c r="DP25" s="61"/>
      <c r="DQ25" s="61"/>
      <c r="DR25" s="61"/>
      <c r="DS25" s="28">
        <f>'KPI Count-SHARE'!M20</f>
        <v>0</v>
      </c>
      <c r="DT25" s="39"/>
      <c r="DU25" s="39"/>
      <c r="DV25" s="39"/>
      <c r="DW25" s="30" t="s">
        <v>533</v>
      </c>
      <c r="DX25" s="39" t="str">
        <f t="shared" si="79"/>
        <v/>
      </c>
      <c r="DY25" s="39" t="str">
        <f t="shared" si="80"/>
        <v/>
      </c>
      <c r="DZ25" s="39" t="str">
        <f t="shared" si="81"/>
        <v/>
      </c>
      <c r="EA25" s="39" t="str">
        <f t="shared" si="179"/>
        <v/>
      </c>
      <c r="EB25" s="39" t="str">
        <f t="shared" si="180"/>
        <v/>
      </c>
      <c r="EC25" s="39" t="str">
        <f t="shared" si="181"/>
        <v/>
      </c>
      <c r="ED25" s="39" t="str">
        <f t="shared" si="82"/>
        <v/>
      </c>
      <c r="EE25" s="39" t="str">
        <f t="shared" si="83"/>
        <v/>
      </c>
      <c r="EF25" s="39" t="str">
        <f t="shared" si="84"/>
        <v/>
      </c>
      <c r="EG25" s="39" t="str">
        <f t="shared" si="85"/>
        <v/>
      </c>
      <c r="EH25" s="39" t="str">
        <f t="shared" si="86"/>
        <v/>
      </c>
      <c r="EI25" s="39" t="str">
        <f t="shared" si="190"/>
        <v/>
      </c>
      <c r="EJ25" s="39" t="str">
        <f t="shared" si="190"/>
        <v/>
      </c>
      <c r="EK25" s="39" t="str">
        <f t="shared" si="190"/>
        <v/>
      </c>
      <c r="EL25" s="39" t="str">
        <f t="shared" si="190"/>
        <v/>
      </c>
      <c r="EM25" s="39" t="str">
        <f t="shared" si="190"/>
        <v/>
      </c>
      <c r="EN25" s="39" t="str">
        <f t="shared" si="190"/>
        <v/>
      </c>
      <c r="EO25" s="39" t="str">
        <f t="shared" si="190"/>
        <v/>
      </c>
      <c r="EP25" s="39" t="str">
        <f t="shared" si="190"/>
        <v/>
      </c>
      <c r="EQ25" s="39" t="str">
        <f t="shared" si="190"/>
        <v/>
      </c>
      <c r="ER25" s="39" t="str">
        <f t="shared" si="190"/>
        <v/>
      </c>
      <c r="ES25" s="39" t="str">
        <f t="shared" si="190"/>
        <v/>
      </c>
      <c r="ET25" s="39" t="str">
        <f t="shared" si="190"/>
        <v/>
      </c>
      <c r="EU25" s="39" t="str">
        <f t="shared" si="88"/>
        <v/>
      </c>
      <c r="EV25" s="39" t="str">
        <f t="shared" si="89"/>
        <v/>
      </c>
      <c r="EW25" s="39" t="str">
        <f t="shared" si="90"/>
        <v/>
      </c>
      <c r="EX25" s="39" t="str">
        <f t="shared" si="91"/>
        <v/>
      </c>
      <c r="EY25" s="39" t="str">
        <f t="shared" si="92"/>
        <v/>
      </c>
      <c r="EZ25" s="39" t="str">
        <f t="shared" si="93"/>
        <v/>
      </c>
      <c r="FA25" s="39" t="str">
        <f t="shared" si="94"/>
        <v/>
      </c>
      <c r="FB25" s="39" t="str">
        <f t="shared" si="95"/>
        <v/>
      </c>
      <c r="FC25" s="39" t="str">
        <f t="shared" si="96"/>
        <v/>
      </c>
      <c r="FD25" s="39" t="str">
        <f t="shared" si="97"/>
        <v/>
      </c>
      <c r="FE25" s="39" t="str">
        <f t="shared" si="98"/>
        <v/>
      </c>
      <c r="FF25" s="39" t="str">
        <f t="shared" si="99"/>
        <v/>
      </c>
      <c r="FG25" s="39" t="str">
        <f t="shared" si="100"/>
        <v/>
      </c>
      <c r="FH25" s="39" t="str">
        <f t="shared" si="101"/>
        <v/>
      </c>
      <c r="FI25" s="39" t="str">
        <f t="shared" si="102"/>
        <v/>
      </c>
      <c r="FJ25" s="39" t="str">
        <f t="shared" si="103"/>
        <v/>
      </c>
      <c r="FK25" s="39" t="str">
        <f t="shared" si="104"/>
        <v/>
      </c>
      <c r="FL25" s="39" t="str">
        <f t="shared" si="105"/>
        <v/>
      </c>
      <c r="FM25" s="39" t="str">
        <f t="shared" si="106"/>
        <v/>
      </c>
      <c r="FN25" s="39" t="str">
        <f t="shared" si="107"/>
        <v/>
      </c>
      <c r="FO25" s="39" t="str">
        <f t="shared" si="108"/>
        <v/>
      </c>
      <c r="FP25" s="39" t="str">
        <f t="shared" si="109"/>
        <v/>
      </c>
      <c r="FQ25" s="39" t="str">
        <f t="shared" si="110"/>
        <v/>
      </c>
      <c r="FR25" s="39" t="str">
        <f t="shared" si="111"/>
        <v/>
      </c>
      <c r="FS25" s="39" t="str">
        <f t="shared" si="112"/>
        <v/>
      </c>
      <c r="FT25" s="39" t="str">
        <f t="shared" si="113"/>
        <v/>
      </c>
      <c r="FU25" s="39" t="str">
        <f t="shared" si="114"/>
        <v/>
      </c>
      <c r="FV25" s="39" t="str">
        <f t="shared" si="115"/>
        <v/>
      </c>
      <c r="FW25" s="39" t="str">
        <f t="shared" si="116"/>
        <v/>
      </c>
      <c r="FX25" s="39" t="str">
        <f t="shared" si="117"/>
        <v/>
      </c>
      <c r="FY25" s="39" t="str">
        <f t="shared" si="118"/>
        <v/>
      </c>
      <c r="FZ25" s="39" t="str">
        <f t="shared" si="119"/>
        <v/>
      </c>
      <c r="GA25" s="39" t="str">
        <f t="shared" si="120"/>
        <v/>
      </c>
      <c r="GB25" s="39" t="str">
        <f t="shared" si="121"/>
        <v/>
      </c>
      <c r="GC25" s="39" t="str">
        <f t="shared" si="122"/>
        <v/>
      </c>
      <c r="GD25" s="39" t="str">
        <f t="shared" si="123"/>
        <v/>
      </c>
      <c r="GE25" s="39" t="str">
        <f t="shared" si="124"/>
        <v/>
      </c>
      <c r="GF25" s="39" t="str">
        <f t="shared" si="125"/>
        <v/>
      </c>
      <c r="GG25" s="39" t="str">
        <f t="shared" si="126"/>
        <v/>
      </c>
      <c r="GH25" s="39" t="str">
        <f t="shared" si="127"/>
        <v/>
      </c>
      <c r="GI25" s="39" t="str">
        <f t="shared" si="128"/>
        <v/>
      </c>
      <c r="GJ25" s="39" t="str">
        <f t="shared" si="129"/>
        <v/>
      </c>
      <c r="GK25" s="39" t="str">
        <f t="shared" si="130"/>
        <v/>
      </c>
      <c r="GL25" s="39" t="str">
        <f t="shared" si="131"/>
        <v/>
      </c>
      <c r="GM25" s="39" t="str">
        <f t="shared" si="132"/>
        <v/>
      </c>
      <c r="GN25" s="39" t="str">
        <f t="shared" si="133"/>
        <v/>
      </c>
      <c r="GO25" s="39" t="str">
        <f t="shared" si="134"/>
        <v/>
      </c>
      <c r="GP25" s="39" t="str">
        <f t="shared" si="135"/>
        <v/>
      </c>
      <c r="GQ25" s="39" t="str">
        <f t="shared" si="136"/>
        <v/>
      </c>
      <c r="GR25" s="39" t="str">
        <f t="shared" si="137"/>
        <v/>
      </c>
      <c r="GS25" s="39" t="str">
        <f t="shared" si="138"/>
        <v/>
      </c>
      <c r="GT25" s="39" t="str">
        <f t="shared" si="139"/>
        <v/>
      </c>
      <c r="GU25" s="39" t="str">
        <f t="shared" si="140"/>
        <v/>
      </c>
      <c r="GV25" s="39" t="str">
        <f t="shared" si="141"/>
        <v/>
      </c>
      <c r="GW25" s="39" t="str">
        <f t="shared" si="142"/>
        <v/>
      </c>
      <c r="GX25" s="39" t="str">
        <f t="shared" si="143"/>
        <v/>
      </c>
      <c r="GY25" s="39" t="str">
        <f t="shared" si="144"/>
        <v/>
      </c>
      <c r="GZ25" s="39" t="str">
        <f t="shared" si="145"/>
        <v/>
      </c>
      <c r="HA25" s="39" t="str">
        <f t="shared" si="146"/>
        <v/>
      </c>
      <c r="HB25" s="39" t="str">
        <f t="shared" si="147"/>
        <v/>
      </c>
      <c r="HC25" s="39" t="str">
        <f t="shared" si="148"/>
        <v/>
      </c>
      <c r="HD25" s="39" t="str">
        <f t="shared" si="149"/>
        <v/>
      </c>
      <c r="HE25" s="39" t="str">
        <f t="shared" si="150"/>
        <v/>
      </c>
      <c r="HF25" s="39" t="str">
        <f t="shared" si="151"/>
        <v/>
      </c>
      <c r="HG25" s="39" t="str">
        <f t="shared" si="152"/>
        <v/>
      </c>
      <c r="HH25" s="39" t="str">
        <f t="shared" si="153"/>
        <v/>
      </c>
      <c r="HI25" s="39" t="str">
        <f t="shared" si="154"/>
        <v/>
      </c>
      <c r="HJ25" s="39" t="str">
        <f t="shared" si="155"/>
        <v/>
      </c>
      <c r="HK25" s="39" t="str">
        <f t="shared" si="156"/>
        <v/>
      </c>
      <c r="HL25" s="39" t="str">
        <f t="shared" si="157"/>
        <v/>
      </c>
      <c r="HM25" s="39" t="str">
        <f t="shared" si="158"/>
        <v/>
      </c>
      <c r="HN25" s="39" t="str">
        <f t="shared" si="159"/>
        <v/>
      </c>
      <c r="HO25" s="39" t="str">
        <f t="shared" si="160"/>
        <v/>
      </c>
      <c r="HP25" s="39" t="str">
        <f t="shared" si="161"/>
        <v/>
      </c>
      <c r="HQ25" s="39" t="str">
        <f t="shared" si="162"/>
        <v/>
      </c>
      <c r="HR25" s="39" t="str">
        <f t="shared" si="163"/>
        <v/>
      </c>
      <c r="HS25" s="39" t="str">
        <f t="shared" si="164"/>
        <v/>
      </c>
      <c r="HT25" s="39" t="str">
        <f t="shared" si="164"/>
        <v/>
      </c>
      <c r="HU25" s="83" t="str">
        <f t="shared" si="182"/>
        <v>-</v>
      </c>
      <c r="HV25" s="84" t="str">
        <f t="shared" si="165"/>
        <v/>
      </c>
      <c r="HW25" s="85" t="str">
        <f t="shared" si="166"/>
        <v/>
      </c>
      <c r="HX25" s="84" t="str">
        <f t="shared" si="183"/>
        <v/>
      </c>
      <c r="HY25" s="84" t="str">
        <f t="shared" si="167"/>
        <v/>
      </c>
      <c r="HZ25" s="84" t="str">
        <f t="shared" si="168"/>
        <v/>
      </c>
      <c r="IA25" s="83" t="str">
        <f t="shared" si="169"/>
        <v/>
      </c>
      <c r="IB25" s="84" t="str">
        <f t="shared" si="170"/>
        <v/>
      </c>
      <c r="IC25" s="85" t="str">
        <f t="shared" si="171"/>
        <v/>
      </c>
      <c r="ID25" s="83" t="str">
        <f t="shared" si="172"/>
        <v/>
      </c>
      <c r="IE25" s="84" t="str">
        <f t="shared" si="173"/>
        <v/>
      </c>
      <c r="IF25" s="85" t="str">
        <f t="shared" si="174"/>
        <v/>
      </c>
      <c r="IH25" s="66">
        <v>25</v>
      </c>
      <c r="II25" s="66" t="e">
        <f t="shared" ca="1" si="175"/>
        <v>#N/A</v>
      </c>
      <c r="IJ25" s="66" t="e">
        <f t="shared" ca="1" si="176"/>
        <v>#N/A</v>
      </c>
      <c r="IK25" s="66" t="e">
        <f t="shared" ca="1" si="177"/>
        <v>#N/A</v>
      </c>
      <c r="IL25" s="66" t="e">
        <f t="shared" ca="1" si="178"/>
        <v>#N/A</v>
      </c>
      <c r="IM25" s="33"/>
      <c r="IN25" s="74" t="e">
        <f t="shared" ca="1" si="184"/>
        <v>#N/A</v>
      </c>
      <c r="IO25" s="75" t="e">
        <f t="shared" ca="1" si="185"/>
        <v>#N/A</v>
      </c>
      <c r="IP25" s="75" t="e">
        <f t="shared" ca="1" si="186"/>
        <v>#N/A</v>
      </c>
      <c r="IQ25" s="74" t="e">
        <f t="shared" ca="1" si="187"/>
        <v>#N/A</v>
      </c>
      <c r="IR25" s="74" t="e">
        <f t="shared" ca="1" si="188"/>
        <v>#N/A</v>
      </c>
    </row>
    <row r="26" spans="1:252" s="1" customFormat="1" x14ac:dyDescent="0.35">
      <c r="A26" s="33">
        <v>0</v>
      </c>
      <c r="B26" s="33">
        <v>1</v>
      </c>
      <c r="C26" s="33">
        <v>1</v>
      </c>
      <c r="E26" s="4"/>
      <c r="F26" t="s">
        <v>290</v>
      </c>
      <c r="G26" s="5" t="s">
        <v>542</v>
      </c>
      <c r="H26" s="4" t="s">
        <v>533</v>
      </c>
      <c r="I26" s="7" t="s">
        <v>534</v>
      </c>
      <c r="J26" s="276" t="s">
        <v>805</v>
      </c>
      <c r="K26" s="39" t="s">
        <v>805</v>
      </c>
      <c r="L26" s="39" t="s">
        <v>805</v>
      </c>
      <c r="M26" s="39" t="s">
        <v>805</v>
      </c>
      <c r="N26" s="39" t="s">
        <v>805</v>
      </c>
      <c r="O26" s="39" t="s">
        <v>805</v>
      </c>
      <c r="P26" s="39" t="s">
        <v>805</v>
      </c>
      <c r="Q26" s="39" t="s">
        <v>805</v>
      </c>
      <c r="R26" s="39" t="s">
        <v>805</v>
      </c>
      <c r="S26" s="39" t="s">
        <v>805</v>
      </c>
      <c r="T26" s="39" t="s">
        <v>805</v>
      </c>
      <c r="U26" s="39" t="s">
        <v>805</v>
      </c>
      <c r="V26" s="39" t="s">
        <v>805</v>
      </c>
      <c r="W26" s="39" t="s">
        <v>805</v>
      </c>
      <c r="X26" s="39" t="s">
        <v>805</v>
      </c>
      <c r="Y26" s="39" t="s">
        <v>805</v>
      </c>
      <c r="Z26" s="39" t="s">
        <v>805</v>
      </c>
      <c r="AA26" s="39" t="s">
        <v>805</v>
      </c>
      <c r="AB26" s="39" t="s">
        <v>805</v>
      </c>
      <c r="AC26" s="39" t="s">
        <v>805</v>
      </c>
      <c r="AD26" s="39" t="s">
        <v>805</v>
      </c>
      <c r="AE26" s="39" t="s">
        <v>805</v>
      </c>
      <c r="AF26" s="39" t="s">
        <v>805</v>
      </c>
      <c r="AG26" s="39" t="s">
        <v>805</v>
      </c>
      <c r="AH26" s="39" t="s">
        <v>805</v>
      </c>
      <c r="AI26" s="39" t="s">
        <v>805</v>
      </c>
      <c r="AJ26" s="39" t="s">
        <v>805</v>
      </c>
      <c r="AK26" s="39" t="s">
        <v>805</v>
      </c>
      <c r="AL26" s="39" t="s">
        <v>805</v>
      </c>
      <c r="AM26" s="39" t="s">
        <v>805</v>
      </c>
      <c r="AN26" s="39" t="s">
        <v>805</v>
      </c>
      <c r="AO26" s="39" t="s">
        <v>805</v>
      </c>
      <c r="AP26" s="39" t="s">
        <v>805</v>
      </c>
      <c r="AQ26" s="39" t="s">
        <v>805</v>
      </c>
      <c r="AR26" s="39" t="s">
        <v>805</v>
      </c>
      <c r="AS26" s="39" t="s">
        <v>805</v>
      </c>
      <c r="AT26" s="39" t="s">
        <v>805</v>
      </c>
      <c r="AU26" s="39" t="s">
        <v>805</v>
      </c>
      <c r="AV26" s="39" t="s">
        <v>805</v>
      </c>
      <c r="AW26" s="39" t="s">
        <v>805</v>
      </c>
      <c r="AX26" s="39" t="s">
        <v>805</v>
      </c>
      <c r="AY26" s="39" t="s">
        <v>805</v>
      </c>
      <c r="AZ26" s="39" t="s">
        <v>805</v>
      </c>
      <c r="BA26" s="39" t="s">
        <v>805</v>
      </c>
      <c r="BB26" s="39" t="s">
        <v>805</v>
      </c>
      <c r="BC26" s="39" t="s">
        <v>805</v>
      </c>
      <c r="BD26" s="39" t="s">
        <v>805</v>
      </c>
      <c r="BE26" s="39" t="s">
        <v>805</v>
      </c>
      <c r="BF26" s="39" t="s">
        <v>805</v>
      </c>
      <c r="BG26" s="39" t="s">
        <v>805</v>
      </c>
      <c r="BH26" s="39" t="s">
        <v>805</v>
      </c>
      <c r="BI26" s="39" t="s">
        <v>805</v>
      </c>
      <c r="BJ26" s="39" t="s">
        <v>805</v>
      </c>
      <c r="BK26" s="39" t="s">
        <v>805</v>
      </c>
      <c r="BL26" s="39" t="s">
        <v>805</v>
      </c>
      <c r="BM26" s="39" t="s">
        <v>805</v>
      </c>
      <c r="BN26" s="39" t="s">
        <v>805</v>
      </c>
      <c r="BO26" s="39" t="s">
        <v>805</v>
      </c>
      <c r="BP26" s="39" t="s">
        <v>805</v>
      </c>
      <c r="BQ26" s="39" t="s">
        <v>805</v>
      </c>
      <c r="BR26" s="39" t="s">
        <v>805</v>
      </c>
      <c r="BS26" s="39" t="s">
        <v>805</v>
      </c>
      <c r="BT26" s="39" t="s">
        <v>805</v>
      </c>
      <c r="BU26" s="39" t="s">
        <v>805</v>
      </c>
      <c r="BV26" s="39" t="s">
        <v>805</v>
      </c>
      <c r="BW26" s="39" t="s">
        <v>805</v>
      </c>
      <c r="BX26" s="39" t="s">
        <v>805</v>
      </c>
      <c r="BY26" s="39" t="s">
        <v>805</v>
      </c>
      <c r="BZ26" s="39" t="s">
        <v>805</v>
      </c>
      <c r="CA26" s="39" t="s">
        <v>805</v>
      </c>
      <c r="CB26" s="39" t="s">
        <v>805</v>
      </c>
      <c r="CC26" s="39" t="s">
        <v>805</v>
      </c>
      <c r="CD26" s="39" t="s">
        <v>805</v>
      </c>
      <c r="CE26" s="39" t="s">
        <v>805</v>
      </c>
      <c r="CF26" s="39" t="s">
        <v>805</v>
      </c>
      <c r="CG26" s="39" t="s">
        <v>805</v>
      </c>
      <c r="CH26" s="39" t="s">
        <v>805</v>
      </c>
      <c r="CI26" s="39" t="s">
        <v>805</v>
      </c>
      <c r="CJ26" s="39" t="s">
        <v>805</v>
      </c>
      <c r="CK26" s="39" t="s">
        <v>805</v>
      </c>
      <c r="CL26" s="39" t="s">
        <v>805</v>
      </c>
      <c r="CM26" s="39" t="s">
        <v>805</v>
      </c>
      <c r="CN26" s="39" t="s">
        <v>805</v>
      </c>
      <c r="CO26" s="39" t="s">
        <v>805</v>
      </c>
      <c r="CP26" s="39" t="s">
        <v>805</v>
      </c>
      <c r="CQ26" s="39" t="s">
        <v>805</v>
      </c>
      <c r="CR26" s="39" t="s">
        <v>805</v>
      </c>
      <c r="CS26" s="39" t="s">
        <v>805</v>
      </c>
      <c r="CT26" s="39" t="s">
        <v>805</v>
      </c>
      <c r="CU26" s="39" t="s">
        <v>805</v>
      </c>
      <c r="CV26" s="39" t="s">
        <v>805</v>
      </c>
      <c r="CW26" s="39" t="s">
        <v>805</v>
      </c>
      <c r="CX26" s="39" t="s">
        <v>805</v>
      </c>
      <c r="CY26" s="39" t="s">
        <v>805</v>
      </c>
      <c r="CZ26" s="39" t="s">
        <v>805</v>
      </c>
      <c r="DA26" s="39" t="s">
        <v>805</v>
      </c>
      <c r="DB26" s="39" t="s">
        <v>805</v>
      </c>
      <c r="DC26" s="39" t="s">
        <v>805</v>
      </c>
      <c r="DD26" s="39" t="s">
        <v>805</v>
      </c>
      <c r="DE26" s="39" t="s">
        <v>805</v>
      </c>
      <c r="DF26" s="39" t="s">
        <v>805</v>
      </c>
      <c r="DG26" s="28">
        <f>'KPI Count-SHARE'!J21</f>
        <v>0</v>
      </c>
      <c r="DH26" s="105"/>
      <c r="DI26" s="105"/>
      <c r="DJ26" s="105"/>
      <c r="DK26" s="28">
        <f>'KPI Count-SHARE'!K21</f>
        <v>0</v>
      </c>
      <c r="DL26" s="39"/>
      <c r="DM26" s="39"/>
      <c r="DN26" s="39"/>
      <c r="DO26" s="28">
        <f>'KPI Count-SHARE'!L21</f>
        <v>0</v>
      </c>
      <c r="DP26" s="61"/>
      <c r="DQ26" s="61"/>
      <c r="DR26" s="61"/>
      <c r="DS26" s="28">
        <f>'KPI Count-SHARE'!M21</f>
        <v>0</v>
      </c>
      <c r="DT26" s="39"/>
      <c r="DU26" s="39"/>
      <c r="DV26" s="39"/>
      <c r="DW26" s="30" t="s">
        <v>533</v>
      </c>
      <c r="DX26" s="39" t="str">
        <f t="shared" si="79"/>
        <v/>
      </c>
      <c r="DY26" s="39" t="str">
        <f t="shared" si="80"/>
        <v/>
      </c>
      <c r="DZ26" s="39" t="str">
        <f t="shared" si="81"/>
        <v/>
      </c>
      <c r="EA26" s="39" t="str">
        <f t="shared" si="179"/>
        <v/>
      </c>
      <c r="EB26" s="39" t="str">
        <f t="shared" si="180"/>
        <v/>
      </c>
      <c r="EC26" s="39" t="str">
        <f t="shared" si="181"/>
        <v/>
      </c>
      <c r="ED26" s="39" t="str">
        <f t="shared" si="82"/>
        <v/>
      </c>
      <c r="EE26" s="39" t="str">
        <f t="shared" si="83"/>
        <v/>
      </c>
      <c r="EF26" s="39" t="str">
        <f t="shared" si="84"/>
        <v/>
      </c>
      <c r="EG26" s="39" t="str">
        <f t="shared" si="85"/>
        <v/>
      </c>
      <c r="EH26" s="39" t="str">
        <f t="shared" si="86"/>
        <v/>
      </c>
      <c r="EI26" s="39" t="str">
        <f t="shared" si="190"/>
        <v/>
      </c>
      <c r="EJ26" s="39" t="str">
        <f t="shared" si="190"/>
        <v/>
      </c>
      <c r="EK26" s="39" t="str">
        <f t="shared" si="190"/>
        <v/>
      </c>
      <c r="EL26" s="39" t="str">
        <f t="shared" si="190"/>
        <v/>
      </c>
      <c r="EM26" s="39" t="str">
        <f t="shared" si="190"/>
        <v/>
      </c>
      <c r="EN26" s="39" t="str">
        <f t="shared" si="190"/>
        <v/>
      </c>
      <c r="EO26" s="39" t="str">
        <f t="shared" si="190"/>
        <v/>
      </c>
      <c r="EP26" s="39" t="str">
        <f t="shared" si="190"/>
        <v/>
      </c>
      <c r="EQ26" s="39" t="str">
        <f t="shared" si="190"/>
        <v/>
      </c>
      <c r="ER26" s="39" t="str">
        <f t="shared" si="190"/>
        <v/>
      </c>
      <c r="ES26" s="39" t="str">
        <f t="shared" si="190"/>
        <v/>
      </c>
      <c r="ET26" s="39" t="str">
        <f t="shared" si="190"/>
        <v/>
      </c>
      <c r="EU26" s="39" t="str">
        <f t="shared" si="88"/>
        <v/>
      </c>
      <c r="EV26" s="39" t="str">
        <f t="shared" si="89"/>
        <v/>
      </c>
      <c r="EW26" s="39" t="str">
        <f t="shared" si="90"/>
        <v/>
      </c>
      <c r="EX26" s="39" t="str">
        <f t="shared" si="91"/>
        <v/>
      </c>
      <c r="EY26" s="39" t="str">
        <f t="shared" si="92"/>
        <v/>
      </c>
      <c r="EZ26" s="39" t="str">
        <f t="shared" si="93"/>
        <v/>
      </c>
      <c r="FA26" s="39" t="str">
        <f t="shared" si="94"/>
        <v/>
      </c>
      <c r="FB26" s="39" t="str">
        <f t="shared" si="95"/>
        <v/>
      </c>
      <c r="FC26" s="39" t="str">
        <f t="shared" si="96"/>
        <v/>
      </c>
      <c r="FD26" s="39" t="str">
        <f t="shared" si="97"/>
        <v/>
      </c>
      <c r="FE26" s="39" t="str">
        <f t="shared" si="98"/>
        <v/>
      </c>
      <c r="FF26" s="39" t="str">
        <f t="shared" si="99"/>
        <v/>
      </c>
      <c r="FG26" s="39" t="str">
        <f t="shared" si="100"/>
        <v/>
      </c>
      <c r="FH26" s="39" t="str">
        <f t="shared" si="101"/>
        <v/>
      </c>
      <c r="FI26" s="39" t="str">
        <f t="shared" si="102"/>
        <v/>
      </c>
      <c r="FJ26" s="39" t="str">
        <f t="shared" si="103"/>
        <v/>
      </c>
      <c r="FK26" s="39" t="str">
        <f t="shared" si="104"/>
        <v/>
      </c>
      <c r="FL26" s="39" t="str">
        <f t="shared" si="105"/>
        <v/>
      </c>
      <c r="FM26" s="39" t="str">
        <f t="shared" si="106"/>
        <v/>
      </c>
      <c r="FN26" s="39" t="str">
        <f t="shared" si="107"/>
        <v/>
      </c>
      <c r="FO26" s="39" t="str">
        <f t="shared" si="108"/>
        <v/>
      </c>
      <c r="FP26" s="39" t="str">
        <f t="shared" si="109"/>
        <v/>
      </c>
      <c r="FQ26" s="39" t="str">
        <f t="shared" si="110"/>
        <v/>
      </c>
      <c r="FR26" s="39" t="str">
        <f t="shared" si="111"/>
        <v/>
      </c>
      <c r="FS26" s="39" t="str">
        <f t="shared" si="112"/>
        <v/>
      </c>
      <c r="FT26" s="39" t="str">
        <f t="shared" si="113"/>
        <v/>
      </c>
      <c r="FU26" s="39" t="str">
        <f t="shared" si="114"/>
        <v/>
      </c>
      <c r="FV26" s="39" t="str">
        <f t="shared" si="115"/>
        <v/>
      </c>
      <c r="FW26" s="39" t="str">
        <f t="shared" si="116"/>
        <v/>
      </c>
      <c r="FX26" s="39" t="str">
        <f t="shared" si="117"/>
        <v/>
      </c>
      <c r="FY26" s="39" t="str">
        <f t="shared" si="118"/>
        <v/>
      </c>
      <c r="FZ26" s="39" t="str">
        <f t="shared" si="119"/>
        <v/>
      </c>
      <c r="GA26" s="39" t="str">
        <f t="shared" si="120"/>
        <v/>
      </c>
      <c r="GB26" s="39" t="str">
        <f t="shared" si="121"/>
        <v/>
      </c>
      <c r="GC26" s="39" t="str">
        <f t="shared" si="122"/>
        <v/>
      </c>
      <c r="GD26" s="39" t="str">
        <f t="shared" si="123"/>
        <v/>
      </c>
      <c r="GE26" s="39" t="str">
        <f t="shared" si="124"/>
        <v/>
      </c>
      <c r="GF26" s="39" t="str">
        <f t="shared" si="125"/>
        <v/>
      </c>
      <c r="GG26" s="39" t="str">
        <f t="shared" si="126"/>
        <v/>
      </c>
      <c r="GH26" s="39" t="str">
        <f t="shared" si="127"/>
        <v/>
      </c>
      <c r="GI26" s="39" t="str">
        <f t="shared" si="128"/>
        <v/>
      </c>
      <c r="GJ26" s="39" t="str">
        <f t="shared" si="129"/>
        <v/>
      </c>
      <c r="GK26" s="39" t="str">
        <f t="shared" si="130"/>
        <v/>
      </c>
      <c r="GL26" s="39" t="str">
        <f t="shared" si="131"/>
        <v/>
      </c>
      <c r="GM26" s="39" t="str">
        <f t="shared" si="132"/>
        <v/>
      </c>
      <c r="GN26" s="39" t="str">
        <f t="shared" si="133"/>
        <v/>
      </c>
      <c r="GO26" s="39" t="str">
        <f t="shared" si="134"/>
        <v/>
      </c>
      <c r="GP26" s="39" t="str">
        <f t="shared" si="135"/>
        <v/>
      </c>
      <c r="GQ26" s="39" t="str">
        <f t="shared" si="136"/>
        <v/>
      </c>
      <c r="GR26" s="39" t="str">
        <f t="shared" si="137"/>
        <v/>
      </c>
      <c r="GS26" s="39" t="str">
        <f t="shared" si="138"/>
        <v/>
      </c>
      <c r="GT26" s="39" t="str">
        <f t="shared" si="139"/>
        <v/>
      </c>
      <c r="GU26" s="39" t="str">
        <f t="shared" si="140"/>
        <v/>
      </c>
      <c r="GV26" s="39" t="str">
        <f t="shared" si="141"/>
        <v/>
      </c>
      <c r="GW26" s="39" t="str">
        <f t="shared" si="142"/>
        <v/>
      </c>
      <c r="GX26" s="39" t="str">
        <f t="shared" si="143"/>
        <v/>
      </c>
      <c r="GY26" s="39" t="str">
        <f t="shared" si="144"/>
        <v/>
      </c>
      <c r="GZ26" s="39" t="str">
        <f t="shared" si="145"/>
        <v/>
      </c>
      <c r="HA26" s="39" t="str">
        <f t="shared" si="146"/>
        <v/>
      </c>
      <c r="HB26" s="39" t="str">
        <f t="shared" si="147"/>
        <v/>
      </c>
      <c r="HC26" s="39" t="str">
        <f t="shared" si="148"/>
        <v/>
      </c>
      <c r="HD26" s="39" t="str">
        <f t="shared" si="149"/>
        <v/>
      </c>
      <c r="HE26" s="39" t="str">
        <f t="shared" si="150"/>
        <v/>
      </c>
      <c r="HF26" s="39" t="str">
        <f t="shared" si="151"/>
        <v/>
      </c>
      <c r="HG26" s="39" t="str">
        <f t="shared" si="152"/>
        <v/>
      </c>
      <c r="HH26" s="39" t="str">
        <f t="shared" si="153"/>
        <v/>
      </c>
      <c r="HI26" s="39" t="str">
        <f t="shared" si="154"/>
        <v/>
      </c>
      <c r="HJ26" s="39" t="str">
        <f t="shared" si="155"/>
        <v/>
      </c>
      <c r="HK26" s="39" t="str">
        <f t="shared" si="156"/>
        <v/>
      </c>
      <c r="HL26" s="39" t="str">
        <f t="shared" si="157"/>
        <v/>
      </c>
      <c r="HM26" s="39" t="str">
        <f t="shared" si="158"/>
        <v/>
      </c>
      <c r="HN26" s="39" t="str">
        <f t="shared" si="159"/>
        <v/>
      </c>
      <c r="HO26" s="39" t="str">
        <f t="shared" si="160"/>
        <v/>
      </c>
      <c r="HP26" s="39" t="str">
        <f t="shared" si="161"/>
        <v/>
      </c>
      <c r="HQ26" s="39" t="str">
        <f t="shared" si="162"/>
        <v/>
      </c>
      <c r="HR26" s="39" t="str">
        <f t="shared" si="163"/>
        <v/>
      </c>
      <c r="HS26" s="39" t="str">
        <f t="shared" si="164"/>
        <v/>
      </c>
      <c r="HT26" s="39" t="str">
        <f t="shared" si="164"/>
        <v/>
      </c>
      <c r="HU26" s="83" t="str">
        <f t="shared" si="182"/>
        <v>-</v>
      </c>
      <c r="HV26" s="84" t="str">
        <f t="shared" si="165"/>
        <v/>
      </c>
      <c r="HW26" s="85" t="str">
        <f t="shared" si="166"/>
        <v/>
      </c>
      <c r="HX26" s="84" t="str">
        <f t="shared" si="183"/>
        <v/>
      </c>
      <c r="HY26" s="84" t="str">
        <f t="shared" si="167"/>
        <v/>
      </c>
      <c r="HZ26" s="84" t="str">
        <f t="shared" si="168"/>
        <v/>
      </c>
      <c r="IA26" s="83" t="str">
        <f t="shared" si="169"/>
        <v/>
      </c>
      <c r="IB26" s="84" t="str">
        <f t="shared" si="170"/>
        <v/>
      </c>
      <c r="IC26" s="85" t="str">
        <f t="shared" si="171"/>
        <v/>
      </c>
      <c r="ID26" s="83" t="str">
        <f t="shared" si="172"/>
        <v/>
      </c>
      <c r="IE26" s="84" t="str">
        <f t="shared" si="173"/>
        <v/>
      </c>
      <c r="IF26" s="85" t="str">
        <f t="shared" si="174"/>
        <v/>
      </c>
      <c r="IH26" s="66">
        <v>26</v>
      </c>
      <c r="II26" s="66" t="e">
        <f t="shared" ca="1" si="175"/>
        <v>#N/A</v>
      </c>
      <c r="IJ26" s="66" t="e">
        <f t="shared" ca="1" si="176"/>
        <v>#N/A</v>
      </c>
      <c r="IK26" s="66" t="e">
        <f t="shared" ca="1" si="177"/>
        <v>#N/A</v>
      </c>
      <c r="IL26" s="66" t="e">
        <f t="shared" ca="1" si="178"/>
        <v>#N/A</v>
      </c>
      <c r="IM26" s="33"/>
      <c r="IN26" s="74" t="e">
        <f t="shared" ca="1" si="184"/>
        <v>#N/A</v>
      </c>
      <c r="IO26" s="75" t="e">
        <f t="shared" ca="1" si="185"/>
        <v>#N/A</v>
      </c>
      <c r="IP26" s="75" t="e">
        <f t="shared" ca="1" si="186"/>
        <v>#N/A</v>
      </c>
      <c r="IQ26" s="74" t="e">
        <f t="shared" ca="1" si="187"/>
        <v>#N/A</v>
      </c>
      <c r="IR26" s="74" t="e">
        <f t="shared" ca="1" si="188"/>
        <v>#N/A</v>
      </c>
    </row>
    <row r="27" spans="1:252" s="1" customFormat="1" x14ac:dyDescent="0.35">
      <c r="A27" s="33">
        <v>0</v>
      </c>
      <c r="B27" s="33">
        <v>1</v>
      </c>
      <c r="C27" s="33">
        <v>1</v>
      </c>
      <c r="E27" s="4"/>
      <c r="F27" t="s">
        <v>291</v>
      </c>
      <c r="G27" s="5" t="s">
        <v>542</v>
      </c>
      <c r="H27" s="4" t="s">
        <v>533</v>
      </c>
      <c r="I27" s="7" t="s">
        <v>534</v>
      </c>
      <c r="J27" s="276" t="s">
        <v>805</v>
      </c>
      <c r="K27" s="39" t="s">
        <v>805</v>
      </c>
      <c r="L27" s="39" t="s">
        <v>805</v>
      </c>
      <c r="M27" s="39" t="s">
        <v>805</v>
      </c>
      <c r="N27" s="39" t="s">
        <v>805</v>
      </c>
      <c r="O27" s="39" t="s">
        <v>805</v>
      </c>
      <c r="P27" s="39" t="s">
        <v>805</v>
      </c>
      <c r="Q27" s="39" t="s">
        <v>805</v>
      </c>
      <c r="R27" s="39" t="s">
        <v>805</v>
      </c>
      <c r="S27" s="39" t="s">
        <v>805</v>
      </c>
      <c r="T27" s="39" t="s">
        <v>805</v>
      </c>
      <c r="U27" s="39" t="s">
        <v>805</v>
      </c>
      <c r="V27" s="39" t="s">
        <v>805</v>
      </c>
      <c r="W27" s="39" t="s">
        <v>805</v>
      </c>
      <c r="X27" s="39" t="s">
        <v>805</v>
      </c>
      <c r="Y27" s="39" t="s">
        <v>805</v>
      </c>
      <c r="Z27" s="39" t="s">
        <v>805</v>
      </c>
      <c r="AA27" s="39" t="s">
        <v>805</v>
      </c>
      <c r="AB27" s="39" t="s">
        <v>805</v>
      </c>
      <c r="AC27" s="39" t="s">
        <v>805</v>
      </c>
      <c r="AD27" s="39" t="s">
        <v>805</v>
      </c>
      <c r="AE27" s="39" t="s">
        <v>805</v>
      </c>
      <c r="AF27" s="39" t="s">
        <v>805</v>
      </c>
      <c r="AG27" s="39" t="s">
        <v>805</v>
      </c>
      <c r="AH27" s="39" t="s">
        <v>805</v>
      </c>
      <c r="AI27" s="39" t="s">
        <v>805</v>
      </c>
      <c r="AJ27" s="39" t="s">
        <v>805</v>
      </c>
      <c r="AK27" s="39" t="s">
        <v>805</v>
      </c>
      <c r="AL27" s="39" t="s">
        <v>805</v>
      </c>
      <c r="AM27" s="39" t="s">
        <v>805</v>
      </c>
      <c r="AN27" s="39" t="s">
        <v>805</v>
      </c>
      <c r="AO27" s="39" t="s">
        <v>805</v>
      </c>
      <c r="AP27" s="39" t="s">
        <v>805</v>
      </c>
      <c r="AQ27" s="39" t="s">
        <v>805</v>
      </c>
      <c r="AR27" s="39" t="s">
        <v>805</v>
      </c>
      <c r="AS27" s="39" t="s">
        <v>805</v>
      </c>
      <c r="AT27" s="39" t="s">
        <v>805</v>
      </c>
      <c r="AU27" s="39" t="s">
        <v>805</v>
      </c>
      <c r="AV27" s="39" t="s">
        <v>805</v>
      </c>
      <c r="AW27" s="39" t="s">
        <v>805</v>
      </c>
      <c r="AX27" s="39" t="s">
        <v>805</v>
      </c>
      <c r="AY27" s="39" t="s">
        <v>805</v>
      </c>
      <c r="AZ27" s="39" t="s">
        <v>805</v>
      </c>
      <c r="BA27" s="39" t="s">
        <v>805</v>
      </c>
      <c r="BB27" s="39" t="s">
        <v>805</v>
      </c>
      <c r="BC27" s="39" t="s">
        <v>805</v>
      </c>
      <c r="BD27" s="39" t="s">
        <v>805</v>
      </c>
      <c r="BE27" s="39" t="s">
        <v>805</v>
      </c>
      <c r="BF27" s="39" t="s">
        <v>805</v>
      </c>
      <c r="BG27" s="39" t="s">
        <v>805</v>
      </c>
      <c r="BH27" s="39" t="s">
        <v>805</v>
      </c>
      <c r="BI27" s="39" t="s">
        <v>805</v>
      </c>
      <c r="BJ27" s="39" t="s">
        <v>805</v>
      </c>
      <c r="BK27" s="39" t="s">
        <v>805</v>
      </c>
      <c r="BL27" s="39" t="s">
        <v>805</v>
      </c>
      <c r="BM27" s="39" t="s">
        <v>805</v>
      </c>
      <c r="BN27" s="39" t="s">
        <v>805</v>
      </c>
      <c r="BO27" s="39" t="s">
        <v>805</v>
      </c>
      <c r="BP27" s="39" t="s">
        <v>805</v>
      </c>
      <c r="BQ27" s="39" t="s">
        <v>805</v>
      </c>
      <c r="BR27" s="39" t="s">
        <v>805</v>
      </c>
      <c r="BS27" s="39" t="s">
        <v>805</v>
      </c>
      <c r="BT27" s="39" t="s">
        <v>805</v>
      </c>
      <c r="BU27" s="39" t="s">
        <v>805</v>
      </c>
      <c r="BV27" s="39" t="s">
        <v>805</v>
      </c>
      <c r="BW27" s="39" t="s">
        <v>805</v>
      </c>
      <c r="BX27" s="39" t="s">
        <v>805</v>
      </c>
      <c r="BY27" s="39" t="s">
        <v>805</v>
      </c>
      <c r="BZ27" s="39" t="s">
        <v>805</v>
      </c>
      <c r="CA27" s="39" t="s">
        <v>805</v>
      </c>
      <c r="CB27" s="39" t="s">
        <v>805</v>
      </c>
      <c r="CC27" s="39" t="s">
        <v>805</v>
      </c>
      <c r="CD27" s="39" t="s">
        <v>805</v>
      </c>
      <c r="CE27" s="39" t="s">
        <v>805</v>
      </c>
      <c r="CF27" s="39" t="s">
        <v>805</v>
      </c>
      <c r="CG27" s="39" t="s">
        <v>805</v>
      </c>
      <c r="CH27" s="39" t="s">
        <v>805</v>
      </c>
      <c r="CI27" s="39" t="s">
        <v>805</v>
      </c>
      <c r="CJ27" s="39" t="s">
        <v>805</v>
      </c>
      <c r="CK27" s="39" t="s">
        <v>805</v>
      </c>
      <c r="CL27" s="39" t="s">
        <v>805</v>
      </c>
      <c r="CM27" s="39" t="s">
        <v>805</v>
      </c>
      <c r="CN27" s="39" t="s">
        <v>805</v>
      </c>
      <c r="CO27" s="39" t="s">
        <v>805</v>
      </c>
      <c r="CP27" s="39" t="s">
        <v>805</v>
      </c>
      <c r="CQ27" s="39" t="s">
        <v>805</v>
      </c>
      <c r="CR27" s="39" t="s">
        <v>805</v>
      </c>
      <c r="CS27" s="39" t="s">
        <v>805</v>
      </c>
      <c r="CT27" s="39" t="s">
        <v>805</v>
      </c>
      <c r="CU27" s="39" t="s">
        <v>805</v>
      </c>
      <c r="CV27" s="39" t="s">
        <v>805</v>
      </c>
      <c r="CW27" s="39" t="s">
        <v>805</v>
      </c>
      <c r="CX27" s="39" t="s">
        <v>805</v>
      </c>
      <c r="CY27" s="39" t="s">
        <v>805</v>
      </c>
      <c r="CZ27" s="39" t="s">
        <v>805</v>
      </c>
      <c r="DA27" s="39" t="s">
        <v>805</v>
      </c>
      <c r="DB27" s="39" t="s">
        <v>805</v>
      </c>
      <c r="DC27" s="39" t="s">
        <v>805</v>
      </c>
      <c r="DD27" s="39" t="s">
        <v>805</v>
      </c>
      <c r="DE27" s="39" t="s">
        <v>805</v>
      </c>
      <c r="DF27" s="39" t="s">
        <v>805</v>
      </c>
      <c r="DG27" s="28">
        <f>'KPI Count-SHARE'!J22</f>
        <v>0</v>
      </c>
      <c r="DH27" s="105"/>
      <c r="DI27" s="105"/>
      <c r="DJ27" s="105"/>
      <c r="DK27" s="28">
        <f>'KPI Count-SHARE'!K22</f>
        <v>0</v>
      </c>
      <c r="DL27" s="39"/>
      <c r="DM27" s="39"/>
      <c r="DN27" s="39"/>
      <c r="DO27" s="28">
        <f>'KPI Count-SHARE'!L22</f>
        <v>0</v>
      </c>
      <c r="DP27" s="61"/>
      <c r="DQ27" s="61"/>
      <c r="DR27" s="61"/>
      <c r="DS27" s="28">
        <f>'KPI Count-SHARE'!M22</f>
        <v>0</v>
      </c>
      <c r="DT27" s="39"/>
      <c r="DU27" s="39"/>
      <c r="DV27" s="39"/>
      <c r="DW27" s="30" t="s">
        <v>533</v>
      </c>
      <c r="DX27" s="39" t="str">
        <f t="shared" si="79"/>
        <v/>
      </c>
      <c r="DY27" s="39" t="str">
        <f t="shared" si="80"/>
        <v/>
      </c>
      <c r="DZ27" s="39" t="str">
        <f t="shared" si="81"/>
        <v/>
      </c>
      <c r="EA27" s="39" t="str">
        <f t="shared" si="179"/>
        <v/>
      </c>
      <c r="EB27" s="39" t="str">
        <f t="shared" si="180"/>
        <v/>
      </c>
      <c r="EC27" s="39" t="str">
        <f t="shared" si="181"/>
        <v/>
      </c>
      <c r="ED27" s="39" t="str">
        <f t="shared" si="82"/>
        <v/>
      </c>
      <c r="EE27" s="39" t="str">
        <f t="shared" si="83"/>
        <v/>
      </c>
      <c r="EF27" s="39" t="str">
        <f t="shared" si="84"/>
        <v/>
      </c>
      <c r="EG27" s="39" t="str">
        <f t="shared" si="85"/>
        <v/>
      </c>
      <c r="EH27" s="39" t="str">
        <f t="shared" si="86"/>
        <v/>
      </c>
      <c r="EI27" s="39" t="str">
        <f t="shared" si="190"/>
        <v/>
      </c>
      <c r="EJ27" s="39" t="str">
        <f t="shared" si="190"/>
        <v/>
      </c>
      <c r="EK27" s="39" t="str">
        <f t="shared" si="190"/>
        <v/>
      </c>
      <c r="EL27" s="39" t="str">
        <f t="shared" si="190"/>
        <v/>
      </c>
      <c r="EM27" s="39" t="str">
        <f t="shared" si="190"/>
        <v/>
      </c>
      <c r="EN27" s="39" t="str">
        <f t="shared" si="190"/>
        <v/>
      </c>
      <c r="EO27" s="39" t="str">
        <f t="shared" si="190"/>
        <v/>
      </c>
      <c r="EP27" s="39" t="str">
        <f t="shared" si="190"/>
        <v/>
      </c>
      <c r="EQ27" s="39" t="str">
        <f t="shared" si="190"/>
        <v/>
      </c>
      <c r="ER27" s="39" t="str">
        <f t="shared" si="190"/>
        <v/>
      </c>
      <c r="ES27" s="39" t="str">
        <f t="shared" si="190"/>
        <v/>
      </c>
      <c r="ET27" s="39" t="str">
        <f t="shared" si="190"/>
        <v/>
      </c>
      <c r="EU27" s="39" t="str">
        <f t="shared" si="88"/>
        <v/>
      </c>
      <c r="EV27" s="39" t="str">
        <f t="shared" si="89"/>
        <v/>
      </c>
      <c r="EW27" s="39" t="str">
        <f t="shared" si="90"/>
        <v/>
      </c>
      <c r="EX27" s="39" t="str">
        <f t="shared" si="91"/>
        <v/>
      </c>
      <c r="EY27" s="39" t="str">
        <f t="shared" si="92"/>
        <v/>
      </c>
      <c r="EZ27" s="39" t="str">
        <f t="shared" si="93"/>
        <v/>
      </c>
      <c r="FA27" s="39" t="str">
        <f t="shared" si="94"/>
        <v/>
      </c>
      <c r="FB27" s="39" t="str">
        <f t="shared" si="95"/>
        <v/>
      </c>
      <c r="FC27" s="39" t="str">
        <f t="shared" si="96"/>
        <v/>
      </c>
      <c r="FD27" s="39" t="str">
        <f t="shared" si="97"/>
        <v/>
      </c>
      <c r="FE27" s="39" t="str">
        <f t="shared" si="98"/>
        <v/>
      </c>
      <c r="FF27" s="39" t="str">
        <f t="shared" si="99"/>
        <v/>
      </c>
      <c r="FG27" s="39" t="str">
        <f t="shared" si="100"/>
        <v/>
      </c>
      <c r="FH27" s="39" t="str">
        <f t="shared" si="101"/>
        <v/>
      </c>
      <c r="FI27" s="39" t="str">
        <f t="shared" si="102"/>
        <v/>
      </c>
      <c r="FJ27" s="39" t="str">
        <f t="shared" si="103"/>
        <v/>
      </c>
      <c r="FK27" s="39" t="str">
        <f t="shared" si="104"/>
        <v/>
      </c>
      <c r="FL27" s="39" t="str">
        <f t="shared" si="105"/>
        <v/>
      </c>
      <c r="FM27" s="39" t="str">
        <f t="shared" si="106"/>
        <v/>
      </c>
      <c r="FN27" s="39" t="str">
        <f t="shared" si="107"/>
        <v/>
      </c>
      <c r="FO27" s="39" t="str">
        <f t="shared" si="108"/>
        <v/>
      </c>
      <c r="FP27" s="39" t="str">
        <f t="shared" si="109"/>
        <v/>
      </c>
      <c r="FQ27" s="39" t="str">
        <f t="shared" si="110"/>
        <v/>
      </c>
      <c r="FR27" s="39" t="str">
        <f t="shared" si="111"/>
        <v/>
      </c>
      <c r="FS27" s="39" t="str">
        <f t="shared" si="112"/>
        <v/>
      </c>
      <c r="FT27" s="39" t="str">
        <f t="shared" si="113"/>
        <v/>
      </c>
      <c r="FU27" s="39" t="str">
        <f t="shared" si="114"/>
        <v/>
      </c>
      <c r="FV27" s="39" t="str">
        <f t="shared" si="115"/>
        <v/>
      </c>
      <c r="FW27" s="39" t="str">
        <f t="shared" si="116"/>
        <v/>
      </c>
      <c r="FX27" s="39" t="str">
        <f t="shared" si="117"/>
        <v/>
      </c>
      <c r="FY27" s="39" t="str">
        <f t="shared" si="118"/>
        <v/>
      </c>
      <c r="FZ27" s="39" t="str">
        <f t="shared" si="119"/>
        <v/>
      </c>
      <c r="GA27" s="39" t="str">
        <f t="shared" si="120"/>
        <v/>
      </c>
      <c r="GB27" s="39" t="str">
        <f t="shared" si="121"/>
        <v/>
      </c>
      <c r="GC27" s="39" t="str">
        <f t="shared" si="122"/>
        <v/>
      </c>
      <c r="GD27" s="39" t="str">
        <f t="shared" si="123"/>
        <v/>
      </c>
      <c r="GE27" s="39" t="str">
        <f t="shared" si="124"/>
        <v/>
      </c>
      <c r="GF27" s="39" t="str">
        <f t="shared" si="125"/>
        <v/>
      </c>
      <c r="GG27" s="39" t="str">
        <f t="shared" si="126"/>
        <v/>
      </c>
      <c r="GH27" s="39" t="str">
        <f t="shared" si="127"/>
        <v/>
      </c>
      <c r="GI27" s="39" t="str">
        <f t="shared" si="128"/>
        <v/>
      </c>
      <c r="GJ27" s="39" t="str">
        <f t="shared" si="129"/>
        <v/>
      </c>
      <c r="GK27" s="39" t="str">
        <f t="shared" si="130"/>
        <v/>
      </c>
      <c r="GL27" s="39" t="str">
        <f t="shared" si="131"/>
        <v/>
      </c>
      <c r="GM27" s="39" t="str">
        <f t="shared" si="132"/>
        <v/>
      </c>
      <c r="GN27" s="39" t="str">
        <f t="shared" si="133"/>
        <v/>
      </c>
      <c r="GO27" s="39" t="str">
        <f t="shared" si="134"/>
        <v/>
      </c>
      <c r="GP27" s="39" t="str">
        <f t="shared" si="135"/>
        <v/>
      </c>
      <c r="GQ27" s="39" t="str">
        <f t="shared" si="136"/>
        <v/>
      </c>
      <c r="GR27" s="39" t="str">
        <f t="shared" si="137"/>
        <v/>
      </c>
      <c r="GS27" s="39" t="str">
        <f t="shared" si="138"/>
        <v/>
      </c>
      <c r="GT27" s="39" t="str">
        <f t="shared" si="139"/>
        <v/>
      </c>
      <c r="GU27" s="39" t="str">
        <f t="shared" si="140"/>
        <v/>
      </c>
      <c r="GV27" s="39" t="str">
        <f t="shared" si="141"/>
        <v/>
      </c>
      <c r="GW27" s="39" t="str">
        <f t="shared" si="142"/>
        <v/>
      </c>
      <c r="GX27" s="39" t="str">
        <f t="shared" si="143"/>
        <v/>
      </c>
      <c r="GY27" s="39" t="str">
        <f t="shared" si="144"/>
        <v/>
      </c>
      <c r="GZ27" s="39" t="str">
        <f t="shared" si="145"/>
        <v/>
      </c>
      <c r="HA27" s="39" t="str">
        <f t="shared" si="146"/>
        <v/>
      </c>
      <c r="HB27" s="39" t="str">
        <f t="shared" si="147"/>
        <v/>
      </c>
      <c r="HC27" s="39" t="str">
        <f t="shared" si="148"/>
        <v/>
      </c>
      <c r="HD27" s="39" t="str">
        <f t="shared" si="149"/>
        <v/>
      </c>
      <c r="HE27" s="39" t="str">
        <f t="shared" si="150"/>
        <v/>
      </c>
      <c r="HF27" s="39" t="str">
        <f t="shared" si="151"/>
        <v/>
      </c>
      <c r="HG27" s="39" t="str">
        <f t="shared" si="152"/>
        <v/>
      </c>
      <c r="HH27" s="39" t="str">
        <f t="shared" si="153"/>
        <v/>
      </c>
      <c r="HI27" s="39" t="str">
        <f t="shared" si="154"/>
        <v/>
      </c>
      <c r="HJ27" s="39" t="str">
        <f t="shared" si="155"/>
        <v/>
      </c>
      <c r="HK27" s="39" t="str">
        <f t="shared" si="156"/>
        <v/>
      </c>
      <c r="HL27" s="39" t="str">
        <f t="shared" si="157"/>
        <v/>
      </c>
      <c r="HM27" s="39" t="str">
        <f t="shared" si="158"/>
        <v/>
      </c>
      <c r="HN27" s="39" t="str">
        <f t="shared" si="159"/>
        <v/>
      </c>
      <c r="HO27" s="39" t="str">
        <f t="shared" si="160"/>
        <v/>
      </c>
      <c r="HP27" s="39" t="str">
        <f t="shared" si="161"/>
        <v/>
      </c>
      <c r="HQ27" s="39" t="str">
        <f t="shared" si="162"/>
        <v/>
      </c>
      <c r="HR27" s="39" t="str">
        <f t="shared" si="163"/>
        <v/>
      </c>
      <c r="HS27" s="39" t="str">
        <f t="shared" si="164"/>
        <v/>
      </c>
      <c r="HT27" s="39" t="str">
        <f t="shared" si="164"/>
        <v/>
      </c>
      <c r="HU27" s="83" t="str">
        <f t="shared" si="182"/>
        <v>-</v>
      </c>
      <c r="HV27" s="84" t="str">
        <f t="shared" si="165"/>
        <v/>
      </c>
      <c r="HW27" s="85" t="str">
        <f t="shared" si="166"/>
        <v/>
      </c>
      <c r="HX27" s="84" t="str">
        <f t="shared" si="183"/>
        <v/>
      </c>
      <c r="HY27" s="84" t="str">
        <f t="shared" si="167"/>
        <v/>
      </c>
      <c r="HZ27" s="84" t="str">
        <f t="shared" si="168"/>
        <v/>
      </c>
      <c r="IA27" s="83" t="str">
        <f t="shared" si="169"/>
        <v/>
      </c>
      <c r="IB27" s="84" t="str">
        <f t="shared" si="170"/>
        <v/>
      </c>
      <c r="IC27" s="85" t="str">
        <f t="shared" si="171"/>
        <v/>
      </c>
      <c r="ID27" s="83" t="str">
        <f t="shared" si="172"/>
        <v/>
      </c>
      <c r="IE27" s="84" t="str">
        <f t="shared" si="173"/>
        <v/>
      </c>
      <c r="IF27" s="85" t="str">
        <f t="shared" si="174"/>
        <v/>
      </c>
      <c r="IH27" s="66">
        <v>27</v>
      </c>
      <c r="II27" s="66" t="e">
        <f t="shared" ca="1" si="175"/>
        <v>#N/A</v>
      </c>
      <c r="IJ27" s="66" t="e">
        <f t="shared" ca="1" si="176"/>
        <v>#N/A</v>
      </c>
      <c r="IK27" s="66" t="e">
        <f t="shared" ca="1" si="177"/>
        <v>#N/A</v>
      </c>
      <c r="IL27" s="66" t="e">
        <f t="shared" ca="1" si="178"/>
        <v>#N/A</v>
      </c>
      <c r="IM27" s="33"/>
      <c r="IN27" s="74" t="e">
        <f t="shared" ca="1" si="184"/>
        <v>#N/A</v>
      </c>
      <c r="IO27" s="75" t="e">
        <f t="shared" ca="1" si="185"/>
        <v>#N/A</v>
      </c>
      <c r="IP27" s="75" t="e">
        <f t="shared" ca="1" si="186"/>
        <v>#N/A</v>
      </c>
      <c r="IQ27" s="74" t="e">
        <f t="shared" ca="1" si="187"/>
        <v>#N/A</v>
      </c>
      <c r="IR27" s="74" t="e">
        <f t="shared" ca="1" si="188"/>
        <v>#N/A</v>
      </c>
    </row>
    <row r="28" spans="1:252" s="1" customFormat="1" x14ac:dyDescent="0.35">
      <c r="A28" s="33">
        <v>0</v>
      </c>
      <c r="B28" s="33">
        <v>0</v>
      </c>
      <c r="C28" s="33">
        <v>1</v>
      </c>
      <c r="E28" s="4"/>
      <c r="F28" t="s">
        <v>292</v>
      </c>
      <c r="G28" s="5" t="s">
        <v>542</v>
      </c>
      <c r="H28" s="4" t="s">
        <v>533</v>
      </c>
      <c r="I28" s="7" t="s">
        <v>534</v>
      </c>
      <c r="J28" s="276" t="s">
        <v>805</v>
      </c>
      <c r="K28" s="39" t="s">
        <v>805</v>
      </c>
      <c r="L28" s="39" t="s">
        <v>805</v>
      </c>
      <c r="M28" s="39" t="s">
        <v>805</v>
      </c>
      <c r="N28" s="39" t="s">
        <v>805</v>
      </c>
      <c r="O28" s="39" t="s">
        <v>805</v>
      </c>
      <c r="P28" s="39" t="s">
        <v>805</v>
      </c>
      <c r="Q28" s="39" t="s">
        <v>805</v>
      </c>
      <c r="R28" s="39" t="s">
        <v>805</v>
      </c>
      <c r="S28" s="39" t="s">
        <v>805</v>
      </c>
      <c r="T28" s="39" t="s">
        <v>805</v>
      </c>
      <c r="U28" s="39" t="s">
        <v>805</v>
      </c>
      <c r="V28" s="39" t="s">
        <v>805</v>
      </c>
      <c r="W28" s="39" t="s">
        <v>805</v>
      </c>
      <c r="X28" s="39" t="s">
        <v>805</v>
      </c>
      <c r="Y28" s="39" t="s">
        <v>805</v>
      </c>
      <c r="Z28" s="39" t="s">
        <v>805</v>
      </c>
      <c r="AA28" s="39" t="s">
        <v>805</v>
      </c>
      <c r="AB28" s="39" t="s">
        <v>805</v>
      </c>
      <c r="AC28" s="39" t="s">
        <v>805</v>
      </c>
      <c r="AD28" s="39" t="s">
        <v>805</v>
      </c>
      <c r="AE28" s="39" t="s">
        <v>805</v>
      </c>
      <c r="AF28" s="39" t="s">
        <v>805</v>
      </c>
      <c r="AG28" s="39" t="s">
        <v>805</v>
      </c>
      <c r="AH28" s="39" t="s">
        <v>805</v>
      </c>
      <c r="AI28" s="39" t="s">
        <v>805</v>
      </c>
      <c r="AJ28" s="39" t="s">
        <v>805</v>
      </c>
      <c r="AK28" s="39" t="s">
        <v>805</v>
      </c>
      <c r="AL28" s="39" t="s">
        <v>805</v>
      </c>
      <c r="AM28" s="39" t="s">
        <v>805</v>
      </c>
      <c r="AN28" s="39" t="s">
        <v>805</v>
      </c>
      <c r="AO28" s="39" t="s">
        <v>805</v>
      </c>
      <c r="AP28" s="39" t="s">
        <v>805</v>
      </c>
      <c r="AQ28" s="39" t="s">
        <v>805</v>
      </c>
      <c r="AR28" s="39" t="s">
        <v>805</v>
      </c>
      <c r="AS28" s="39" t="s">
        <v>805</v>
      </c>
      <c r="AT28" s="39" t="s">
        <v>805</v>
      </c>
      <c r="AU28" s="39" t="s">
        <v>805</v>
      </c>
      <c r="AV28" s="39" t="s">
        <v>805</v>
      </c>
      <c r="AW28" s="39" t="s">
        <v>805</v>
      </c>
      <c r="AX28" s="39" t="s">
        <v>805</v>
      </c>
      <c r="AY28" s="39" t="s">
        <v>805</v>
      </c>
      <c r="AZ28" s="39" t="s">
        <v>805</v>
      </c>
      <c r="BA28" s="39" t="s">
        <v>805</v>
      </c>
      <c r="BB28" s="39" t="s">
        <v>805</v>
      </c>
      <c r="BC28" s="39" t="s">
        <v>805</v>
      </c>
      <c r="BD28" s="39" t="s">
        <v>805</v>
      </c>
      <c r="BE28" s="39" t="s">
        <v>805</v>
      </c>
      <c r="BF28" s="39" t="s">
        <v>805</v>
      </c>
      <c r="BG28" s="39" t="s">
        <v>805</v>
      </c>
      <c r="BH28" s="39" t="s">
        <v>805</v>
      </c>
      <c r="BI28" s="39" t="s">
        <v>805</v>
      </c>
      <c r="BJ28" s="39" t="s">
        <v>805</v>
      </c>
      <c r="BK28" s="39" t="s">
        <v>805</v>
      </c>
      <c r="BL28" s="39" t="s">
        <v>805</v>
      </c>
      <c r="BM28" s="39" t="s">
        <v>805</v>
      </c>
      <c r="BN28" s="39" t="s">
        <v>805</v>
      </c>
      <c r="BO28" s="39" t="s">
        <v>805</v>
      </c>
      <c r="BP28" s="39" t="s">
        <v>805</v>
      </c>
      <c r="BQ28" s="39" t="s">
        <v>805</v>
      </c>
      <c r="BR28" s="39" t="s">
        <v>805</v>
      </c>
      <c r="BS28" s="39" t="s">
        <v>805</v>
      </c>
      <c r="BT28" s="39" t="s">
        <v>805</v>
      </c>
      <c r="BU28" s="39" t="s">
        <v>805</v>
      </c>
      <c r="BV28" s="39" t="s">
        <v>805</v>
      </c>
      <c r="BW28" s="39" t="s">
        <v>805</v>
      </c>
      <c r="BX28" s="39" t="s">
        <v>805</v>
      </c>
      <c r="BY28" s="39" t="s">
        <v>805</v>
      </c>
      <c r="BZ28" s="39" t="s">
        <v>805</v>
      </c>
      <c r="CA28" s="39" t="s">
        <v>805</v>
      </c>
      <c r="CB28" s="39" t="s">
        <v>805</v>
      </c>
      <c r="CC28" s="39" t="s">
        <v>805</v>
      </c>
      <c r="CD28" s="39" t="s">
        <v>805</v>
      </c>
      <c r="CE28" s="39" t="s">
        <v>805</v>
      </c>
      <c r="CF28" s="39" t="s">
        <v>805</v>
      </c>
      <c r="CG28" s="39" t="s">
        <v>805</v>
      </c>
      <c r="CH28" s="39" t="s">
        <v>805</v>
      </c>
      <c r="CI28" s="39" t="s">
        <v>805</v>
      </c>
      <c r="CJ28" s="39" t="s">
        <v>805</v>
      </c>
      <c r="CK28" s="39" t="s">
        <v>805</v>
      </c>
      <c r="CL28" s="39" t="s">
        <v>805</v>
      </c>
      <c r="CM28" s="39" t="s">
        <v>805</v>
      </c>
      <c r="CN28" s="39" t="s">
        <v>805</v>
      </c>
      <c r="CO28" s="39" t="s">
        <v>805</v>
      </c>
      <c r="CP28" s="39" t="s">
        <v>805</v>
      </c>
      <c r="CQ28" s="39" t="s">
        <v>805</v>
      </c>
      <c r="CR28" s="39" t="s">
        <v>805</v>
      </c>
      <c r="CS28" s="39" t="s">
        <v>805</v>
      </c>
      <c r="CT28" s="39" t="s">
        <v>805</v>
      </c>
      <c r="CU28" s="39" t="s">
        <v>805</v>
      </c>
      <c r="CV28" s="39" t="s">
        <v>805</v>
      </c>
      <c r="CW28" s="39" t="s">
        <v>805</v>
      </c>
      <c r="CX28" s="39" t="s">
        <v>805</v>
      </c>
      <c r="CY28" s="39" t="s">
        <v>805</v>
      </c>
      <c r="CZ28" s="39" t="s">
        <v>805</v>
      </c>
      <c r="DA28" s="39" t="s">
        <v>805</v>
      </c>
      <c r="DB28" s="39" t="s">
        <v>805</v>
      </c>
      <c r="DC28" s="39" t="s">
        <v>805</v>
      </c>
      <c r="DD28" s="39" t="s">
        <v>805</v>
      </c>
      <c r="DE28" s="39" t="s">
        <v>805</v>
      </c>
      <c r="DF28" s="39" t="s">
        <v>805</v>
      </c>
      <c r="DG28" s="28">
        <f>'KPI Count-SHARE'!J23</f>
        <v>0</v>
      </c>
      <c r="DH28" s="105"/>
      <c r="DI28" s="105"/>
      <c r="DJ28" s="105"/>
      <c r="DK28" s="28">
        <f>'KPI Count-SHARE'!K23</f>
        <v>0</v>
      </c>
      <c r="DL28" s="39"/>
      <c r="DM28" s="39"/>
      <c r="DN28" s="39"/>
      <c r="DO28" s="28">
        <f>'KPI Count-SHARE'!L23</f>
        <v>0</v>
      </c>
      <c r="DP28" s="61"/>
      <c r="DQ28" s="61"/>
      <c r="DR28" s="61"/>
      <c r="DS28" s="28">
        <f>'KPI Count-SHARE'!M23</f>
        <v>0</v>
      </c>
      <c r="DT28" s="39"/>
      <c r="DU28" s="39"/>
      <c r="DV28" s="39"/>
      <c r="DW28" s="30" t="s">
        <v>533</v>
      </c>
      <c r="DX28" s="39" t="str">
        <f t="shared" si="79"/>
        <v/>
      </c>
      <c r="DY28" s="39" t="str">
        <f t="shared" si="80"/>
        <v/>
      </c>
      <c r="DZ28" s="39" t="str">
        <f t="shared" si="81"/>
        <v/>
      </c>
      <c r="EA28" s="39" t="str">
        <f t="shared" si="179"/>
        <v/>
      </c>
      <c r="EB28" s="39" t="str">
        <f t="shared" si="180"/>
        <v/>
      </c>
      <c r="EC28" s="39" t="str">
        <f t="shared" si="181"/>
        <v/>
      </c>
      <c r="ED28" s="39" t="str">
        <f t="shared" si="82"/>
        <v/>
      </c>
      <c r="EE28" s="39" t="str">
        <f t="shared" si="83"/>
        <v/>
      </c>
      <c r="EF28" s="39" t="str">
        <f t="shared" si="84"/>
        <v/>
      </c>
      <c r="EG28" s="39" t="str">
        <f t="shared" si="85"/>
        <v/>
      </c>
      <c r="EH28" s="39" t="str">
        <f t="shared" si="86"/>
        <v/>
      </c>
      <c r="EI28" s="39" t="str">
        <f t="shared" si="190"/>
        <v/>
      </c>
      <c r="EJ28" s="39" t="str">
        <f t="shared" si="190"/>
        <v/>
      </c>
      <c r="EK28" s="39" t="str">
        <f t="shared" si="190"/>
        <v/>
      </c>
      <c r="EL28" s="39" t="str">
        <f t="shared" si="190"/>
        <v/>
      </c>
      <c r="EM28" s="39" t="str">
        <f t="shared" si="190"/>
        <v/>
      </c>
      <c r="EN28" s="39" t="str">
        <f t="shared" si="190"/>
        <v/>
      </c>
      <c r="EO28" s="39" t="str">
        <f t="shared" si="190"/>
        <v/>
      </c>
      <c r="EP28" s="39" t="str">
        <f t="shared" si="190"/>
        <v/>
      </c>
      <c r="EQ28" s="39" t="str">
        <f t="shared" si="190"/>
        <v/>
      </c>
      <c r="ER28" s="39" t="str">
        <f t="shared" si="190"/>
        <v/>
      </c>
      <c r="ES28" s="39" t="str">
        <f t="shared" si="190"/>
        <v/>
      </c>
      <c r="ET28" s="39" t="str">
        <f t="shared" si="190"/>
        <v/>
      </c>
      <c r="EU28" s="39" t="str">
        <f t="shared" si="88"/>
        <v/>
      </c>
      <c r="EV28" s="39" t="str">
        <f t="shared" si="89"/>
        <v/>
      </c>
      <c r="EW28" s="39" t="str">
        <f t="shared" si="90"/>
        <v/>
      </c>
      <c r="EX28" s="39" t="str">
        <f t="shared" si="91"/>
        <v/>
      </c>
      <c r="EY28" s="39" t="str">
        <f t="shared" si="92"/>
        <v/>
      </c>
      <c r="EZ28" s="39" t="str">
        <f t="shared" si="93"/>
        <v/>
      </c>
      <c r="FA28" s="39" t="str">
        <f t="shared" si="94"/>
        <v/>
      </c>
      <c r="FB28" s="39" t="str">
        <f t="shared" si="95"/>
        <v/>
      </c>
      <c r="FC28" s="39" t="str">
        <f t="shared" si="96"/>
        <v/>
      </c>
      <c r="FD28" s="39" t="str">
        <f t="shared" si="97"/>
        <v/>
      </c>
      <c r="FE28" s="39" t="str">
        <f t="shared" si="98"/>
        <v/>
      </c>
      <c r="FF28" s="39" t="str">
        <f t="shared" si="99"/>
        <v/>
      </c>
      <c r="FG28" s="39" t="str">
        <f t="shared" si="100"/>
        <v/>
      </c>
      <c r="FH28" s="39" t="str">
        <f t="shared" si="101"/>
        <v/>
      </c>
      <c r="FI28" s="39" t="str">
        <f t="shared" si="102"/>
        <v/>
      </c>
      <c r="FJ28" s="39" t="str">
        <f t="shared" si="103"/>
        <v/>
      </c>
      <c r="FK28" s="39" t="str">
        <f t="shared" si="104"/>
        <v/>
      </c>
      <c r="FL28" s="39" t="str">
        <f t="shared" si="105"/>
        <v/>
      </c>
      <c r="FM28" s="39" t="str">
        <f t="shared" si="106"/>
        <v/>
      </c>
      <c r="FN28" s="39" t="str">
        <f t="shared" si="107"/>
        <v/>
      </c>
      <c r="FO28" s="39" t="str">
        <f t="shared" si="108"/>
        <v/>
      </c>
      <c r="FP28" s="39" t="str">
        <f t="shared" si="109"/>
        <v/>
      </c>
      <c r="FQ28" s="39" t="str">
        <f t="shared" si="110"/>
        <v/>
      </c>
      <c r="FR28" s="39" t="str">
        <f t="shared" si="111"/>
        <v/>
      </c>
      <c r="FS28" s="39" t="str">
        <f t="shared" si="112"/>
        <v/>
      </c>
      <c r="FT28" s="39" t="str">
        <f t="shared" si="113"/>
        <v/>
      </c>
      <c r="FU28" s="39" t="str">
        <f t="shared" si="114"/>
        <v/>
      </c>
      <c r="FV28" s="39" t="str">
        <f t="shared" si="115"/>
        <v/>
      </c>
      <c r="FW28" s="39" t="str">
        <f t="shared" si="116"/>
        <v/>
      </c>
      <c r="FX28" s="39" t="str">
        <f t="shared" si="117"/>
        <v/>
      </c>
      <c r="FY28" s="39" t="str">
        <f t="shared" si="118"/>
        <v/>
      </c>
      <c r="FZ28" s="39" t="str">
        <f t="shared" si="119"/>
        <v/>
      </c>
      <c r="GA28" s="39" t="str">
        <f t="shared" si="120"/>
        <v/>
      </c>
      <c r="GB28" s="39" t="str">
        <f t="shared" si="121"/>
        <v/>
      </c>
      <c r="GC28" s="39" t="str">
        <f t="shared" si="122"/>
        <v/>
      </c>
      <c r="GD28" s="39" t="str">
        <f t="shared" si="123"/>
        <v/>
      </c>
      <c r="GE28" s="39" t="str">
        <f t="shared" si="124"/>
        <v/>
      </c>
      <c r="GF28" s="39" t="str">
        <f t="shared" si="125"/>
        <v/>
      </c>
      <c r="GG28" s="39" t="str">
        <f t="shared" si="126"/>
        <v/>
      </c>
      <c r="GH28" s="39" t="str">
        <f t="shared" si="127"/>
        <v/>
      </c>
      <c r="GI28" s="39" t="str">
        <f t="shared" si="128"/>
        <v/>
      </c>
      <c r="GJ28" s="39" t="str">
        <f t="shared" si="129"/>
        <v/>
      </c>
      <c r="GK28" s="39" t="str">
        <f t="shared" si="130"/>
        <v/>
      </c>
      <c r="GL28" s="39" t="str">
        <f t="shared" si="131"/>
        <v/>
      </c>
      <c r="GM28" s="39" t="str">
        <f t="shared" si="132"/>
        <v/>
      </c>
      <c r="GN28" s="39" t="str">
        <f t="shared" si="133"/>
        <v/>
      </c>
      <c r="GO28" s="39" t="str">
        <f t="shared" si="134"/>
        <v/>
      </c>
      <c r="GP28" s="39" t="str">
        <f t="shared" si="135"/>
        <v/>
      </c>
      <c r="GQ28" s="39" t="str">
        <f t="shared" si="136"/>
        <v/>
      </c>
      <c r="GR28" s="39" t="str">
        <f t="shared" si="137"/>
        <v/>
      </c>
      <c r="GS28" s="39" t="str">
        <f t="shared" si="138"/>
        <v/>
      </c>
      <c r="GT28" s="39" t="str">
        <f t="shared" si="139"/>
        <v/>
      </c>
      <c r="GU28" s="39" t="str">
        <f t="shared" si="140"/>
        <v/>
      </c>
      <c r="GV28" s="39" t="str">
        <f t="shared" si="141"/>
        <v/>
      </c>
      <c r="GW28" s="39" t="str">
        <f t="shared" si="142"/>
        <v/>
      </c>
      <c r="GX28" s="39" t="str">
        <f t="shared" si="143"/>
        <v/>
      </c>
      <c r="GY28" s="39" t="str">
        <f t="shared" si="144"/>
        <v/>
      </c>
      <c r="GZ28" s="39" t="str">
        <f t="shared" si="145"/>
        <v/>
      </c>
      <c r="HA28" s="39" t="str">
        <f t="shared" si="146"/>
        <v/>
      </c>
      <c r="HB28" s="39" t="str">
        <f t="shared" si="147"/>
        <v/>
      </c>
      <c r="HC28" s="39" t="str">
        <f t="shared" si="148"/>
        <v/>
      </c>
      <c r="HD28" s="39" t="str">
        <f t="shared" si="149"/>
        <v/>
      </c>
      <c r="HE28" s="39" t="str">
        <f t="shared" si="150"/>
        <v/>
      </c>
      <c r="HF28" s="39" t="str">
        <f t="shared" si="151"/>
        <v/>
      </c>
      <c r="HG28" s="39" t="str">
        <f t="shared" si="152"/>
        <v/>
      </c>
      <c r="HH28" s="39" t="str">
        <f t="shared" si="153"/>
        <v/>
      </c>
      <c r="HI28" s="39" t="str">
        <f t="shared" si="154"/>
        <v/>
      </c>
      <c r="HJ28" s="39" t="str">
        <f t="shared" si="155"/>
        <v/>
      </c>
      <c r="HK28" s="39" t="str">
        <f t="shared" si="156"/>
        <v/>
      </c>
      <c r="HL28" s="39" t="str">
        <f t="shared" si="157"/>
        <v/>
      </c>
      <c r="HM28" s="39" t="str">
        <f t="shared" si="158"/>
        <v/>
      </c>
      <c r="HN28" s="39" t="str">
        <f t="shared" si="159"/>
        <v/>
      </c>
      <c r="HO28" s="39" t="str">
        <f t="shared" si="160"/>
        <v/>
      </c>
      <c r="HP28" s="39" t="str">
        <f t="shared" si="161"/>
        <v/>
      </c>
      <c r="HQ28" s="39" t="str">
        <f t="shared" si="162"/>
        <v/>
      </c>
      <c r="HR28" s="39" t="str">
        <f t="shared" si="163"/>
        <v/>
      </c>
      <c r="HS28" s="39" t="str">
        <f t="shared" si="164"/>
        <v/>
      </c>
      <c r="HT28" s="39" t="str">
        <f t="shared" si="164"/>
        <v/>
      </c>
      <c r="HU28" s="83" t="str">
        <f t="shared" si="182"/>
        <v>-</v>
      </c>
      <c r="HV28" s="84" t="str">
        <f t="shared" si="165"/>
        <v/>
      </c>
      <c r="HW28" s="85" t="str">
        <f t="shared" si="166"/>
        <v/>
      </c>
      <c r="HX28" s="84" t="str">
        <f t="shared" si="183"/>
        <v/>
      </c>
      <c r="HY28" s="84" t="str">
        <f t="shared" si="167"/>
        <v/>
      </c>
      <c r="HZ28" s="84" t="str">
        <f t="shared" si="168"/>
        <v/>
      </c>
      <c r="IA28" s="83" t="str">
        <f t="shared" si="169"/>
        <v/>
      </c>
      <c r="IB28" s="84" t="str">
        <f t="shared" si="170"/>
        <v/>
      </c>
      <c r="IC28" s="85" t="str">
        <f t="shared" si="171"/>
        <v/>
      </c>
      <c r="ID28" s="83" t="str">
        <f t="shared" si="172"/>
        <v/>
      </c>
      <c r="IE28" s="84" t="str">
        <f t="shared" si="173"/>
        <v/>
      </c>
      <c r="IF28" s="85" t="str">
        <f t="shared" si="174"/>
        <v/>
      </c>
      <c r="IH28" s="66">
        <v>28</v>
      </c>
      <c r="II28" s="66" t="e">
        <f t="shared" ca="1" si="175"/>
        <v>#N/A</v>
      </c>
      <c r="IJ28" s="66" t="e">
        <f t="shared" ca="1" si="176"/>
        <v>#N/A</v>
      </c>
      <c r="IK28" s="66" t="e">
        <f t="shared" ca="1" si="177"/>
        <v>#N/A</v>
      </c>
      <c r="IL28" s="66" t="e">
        <f t="shared" ca="1" si="178"/>
        <v>#N/A</v>
      </c>
      <c r="IM28" s="33"/>
      <c r="IN28" s="74" t="e">
        <f t="shared" ca="1" si="184"/>
        <v>#N/A</v>
      </c>
      <c r="IO28" s="75" t="e">
        <f t="shared" ca="1" si="185"/>
        <v>#N/A</v>
      </c>
      <c r="IP28" s="75" t="e">
        <f t="shared" ca="1" si="186"/>
        <v>#N/A</v>
      </c>
      <c r="IQ28" s="74" t="e">
        <f t="shared" ca="1" si="187"/>
        <v>#N/A</v>
      </c>
      <c r="IR28" s="74" t="e">
        <f t="shared" ca="1" si="188"/>
        <v>#N/A</v>
      </c>
    </row>
    <row r="29" spans="1:252" s="1" customFormat="1" x14ac:dyDescent="0.35">
      <c r="A29" s="33">
        <v>0</v>
      </c>
      <c r="B29" s="33">
        <v>0</v>
      </c>
      <c r="C29" s="33">
        <v>1</v>
      </c>
      <c r="E29" s="4"/>
      <c r="F29" t="s">
        <v>293</v>
      </c>
      <c r="G29" s="5" t="s">
        <v>542</v>
      </c>
      <c r="H29" s="4" t="s">
        <v>533</v>
      </c>
      <c r="I29" s="7" t="s">
        <v>534</v>
      </c>
      <c r="J29" s="276" t="s">
        <v>805</v>
      </c>
      <c r="K29" s="39" t="s">
        <v>805</v>
      </c>
      <c r="L29" s="39" t="s">
        <v>805</v>
      </c>
      <c r="M29" s="39" t="s">
        <v>805</v>
      </c>
      <c r="N29" s="39" t="s">
        <v>805</v>
      </c>
      <c r="O29" s="39" t="s">
        <v>805</v>
      </c>
      <c r="P29" s="39" t="s">
        <v>805</v>
      </c>
      <c r="Q29" s="39" t="s">
        <v>805</v>
      </c>
      <c r="R29" s="39" t="s">
        <v>805</v>
      </c>
      <c r="S29" s="39" t="s">
        <v>805</v>
      </c>
      <c r="T29" s="39" t="s">
        <v>805</v>
      </c>
      <c r="U29" s="39" t="s">
        <v>805</v>
      </c>
      <c r="V29" s="39" t="s">
        <v>805</v>
      </c>
      <c r="W29" s="39" t="s">
        <v>805</v>
      </c>
      <c r="X29" s="39" t="s">
        <v>805</v>
      </c>
      <c r="Y29" s="39" t="s">
        <v>805</v>
      </c>
      <c r="Z29" s="39" t="s">
        <v>805</v>
      </c>
      <c r="AA29" s="39" t="s">
        <v>805</v>
      </c>
      <c r="AB29" s="39" t="s">
        <v>805</v>
      </c>
      <c r="AC29" s="39" t="s">
        <v>805</v>
      </c>
      <c r="AD29" s="39" t="s">
        <v>805</v>
      </c>
      <c r="AE29" s="39" t="s">
        <v>805</v>
      </c>
      <c r="AF29" s="39" t="s">
        <v>805</v>
      </c>
      <c r="AG29" s="39" t="s">
        <v>805</v>
      </c>
      <c r="AH29" s="39" t="s">
        <v>805</v>
      </c>
      <c r="AI29" s="39" t="s">
        <v>805</v>
      </c>
      <c r="AJ29" s="39" t="s">
        <v>805</v>
      </c>
      <c r="AK29" s="39" t="s">
        <v>805</v>
      </c>
      <c r="AL29" s="39" t="s">
        <v>805</v>
      </c>
      <c r="AM29" s="39" t="s">
        <v>805</v>
      </c>
      <c r="AN29" s="39" t="s">
        <v>805</v>
      </c>
      <c r="AO29" s="39" t="s">
        <v>805</v>
      </c>
      <c r="AP29" s="39" t="s">
        <v>805</v>
      </c>
      <c r="AQ29" s="39" t="s">
        <v>805</v>
      </c>
      <c r="AR29" s="39" t="s">
        <v>805</v>
      </c>
      <c r="AS29" s="39" t="s">
        <v>805</v>
      </c>
      <c r="AT29" s="39" t="s">
        <v>805</v>
      </c>
      <c r="AU29" s="39" t="s">
        <v>805</v>
      </c>
      <c r="AV29" s="39" t="s">
        <v>805</v>
      </c>
      <c r="AW29" s="39" t="s">
        <v>805</v>
      </c>
      <c r="AX29" s="39" t="s">
        <v>805</v>
      </c>
      <c r="AY29" s="39" t="s">
        <v>805</v>
      </c>
      <c r="AZ29" s="39" t="s">
        <v>805</v>
      </c>
      <c r="BA29" s="39" t="s">
        <v>805</v>
      </c>
      <c r="BB29" s="39" t="s">
        <v>805</v>
      </c>
      <c r="BC29" s="39" t="s">
        <v>805</v>
      </c>
      <c r="BD29" s="39" t="s">
        <v>805</v>
      </c>
      <c r="BE29" s="39" t="s">
        <v>805</v>
      </c>
      <c r="BF29" s="39" t="s">
        <v>805</v>
      </c>
      <c r="BG29" s="39" t="s">
        <v>805</v>
      </c>
      <c r="BH29" s="39" t="s">
        <v>805</v>
      </c>
      <c r="BI29" s="39" t="s">
        <v>805</v>
      </c>
      <c r="BJ29" s="39" t="s">
        <v>805</v>
      </c>
      <c r="BK29" s="39" t="s">
        <v>805</v>
      </c>
      <c r="BL29" s="39" t="s">
        <v>805</v>
      </c>
      <c r="BM29" s="39" t="s">
        <v>805</v>
      </c>
      <c r="BN29" s="39" t="s">
        <v>805</v>
      </c>
      <c r="BO29" s="39" t="s">
        <v>805</v>
      </c>
      <c r="BP29" s="39" t="s">
        <v>805</v>
      </c>
      <c r="BQ29" s="39" t="s">
        <v>805</v>
      </c>
      <c r="BR29" s="39" t="s">
        <v>805</v>
      </c>
      <c r="BS29" s="39" t="s">
        <v>805</v>
      </c>
      <c r="BT29" s="39" t="s">
        <v>805</v>
      </c>
      <c r="BU29" s="39" t="s">
        <v>805</v>
      </c>
      <c r="BV29" s="39" t="s">
        <v>805</v>
      </c>
      <c r="BW29" s="39" t="s">
        <v>805</v>
      </c>
      <c r="BX29" s="39" t="s">
        <v>805</v>
      </c>
      <c r="BY29" s="39" t="s">
        <v>805</v>
      </c>
      <c r="BZ29" s="39" t="s">
        <v>805</v>
      </c>
      <c r="CA29" s="39" t="s">
        <v>805</v>
      </c>
      <c r="CB29" s="39" t="s">
        <v>805</v>
      </c>
      <c r="CC29" s="39" t="s">
        <v>805</v>
      </c>
      <c r="CD29" s="39" t="s">
        <v>805</v>
      </c>
      <c r="CE29" s="39" t="s">
        <v>805</v>
      </c>
      <c r="CF29" s="39" t="s">
        <v>805</v>
      </c>
      <c r="CG29" s="39" t="s">
        <v>805</v>
      </c>
      <c r="CH29" s="39" t="s">
        <v>805</v>
      </c>
      <c r="CI29" s="39" t="s">
        <v>805</v>
      </c>
      <c r="CJ29" s="39" t="s">
        <v>805</v>
      </c>
      <c r="CK29" s="39" t="s">
        <v>805</v>
      </c>
      <c r="CL29" s="39" t="s">
        <v>805</v>
      </c>
      <c r="CM29" s="39" t="s">
        <v>805</v>
      </c>
      <c r="CN29" s="39" t="s">
        <v>805</v>
      </c>
      <c r="CO29" s="39" t="s">
        <v>805</v>
      </c>
      <c r="CP29" s="39" t="s">
        <v>805</v>
      </c>
      <c r="CQ29" s="39" t="s">
        <v>805</v>
      </c>
      <c r="CR29" s="39" t="s">
        <v>805</v>
      </c>
      <c r="CS29" s="39" t="s">
        <v>805</v>
      </c>
      <c r="CT29" s="39" t="s">
        <v>805</v>
      </c>
      <c r="CU29" s="39" t="s">
        <v>805</v>
      </c>
      <c r="CV29" s="39" t="s">
        <v>805</v>
      </c>
      <c r="CW29" s="39" t="s">
        <v>805</v>
      </c>
      <c r="CX29" s="39" t="s">
        <v>805</v>
      </c>
      <c r="CY29" s="39" t="s">
        <v>805</v>
      </c>
      <c r="CZ29" s="39" t="s">
        <v>805</v>
      </c>
      <c r="DA29" s="39" t="s">
        <v>805</v>
      </c>
      <c r="DB29" s="39" t="s">
        <v>805</v>
      </c>
      <c r="DC29" s="39" t="s">
        <v>805</v>
      </c>
      <c r="DD29" s="39" t="s">
        <v>805</v>
      </c>
      <c r="DE29" s="39" t="s">
        <v>805</v>
      </c>
      <c r="DF29" s="39" t="s">
        <v>805</v>
      </c>
      <c r="DG29" s="28">
        <f>'KPI Count-SHARE'!J24</f>
        <v>0</v>
      </c>
      <c r="DH29" s="105"/>
      <c r="DI29" s="105"/>
      <c r="DJ29" s="105"/>
      <c r="DK29" s="28">
        <f>'KPI Count-SHARE'!K24</f>
        <v>0</v>
      </c>
      <c r="DL29" s="39"/>
      <c r="DM29" s="39"/>
      <c r="DN29" s="39"/>
      <c r="DO29" s="28">
        <f>'KPI Count-SHARE'!L24</f>
        <v>0</v>
      </c>
      <c r="DP29" s="61"/>
      <c r="DQ29" s="61"/>
      <c r="DR29" s="61"/>
      <c r="DS29" s="28">
        <f>'KPI Count-SHARE'!M24</f>
        <v>0</v>
      </c>
      <c r="DT29" s="39"/>
      <c r="DU29" s="39"/>
      <c r="DV29" s="39"/>
      <c r="DW29" s="30" t="s">
        <v>533</v>
      </c>
      <c r="DX29" s="39" t="str">
        <f t="shared" si="79"/>
        <v/>
      </c>
      <c r="DY29" s="39" t="str">
        <f t="shared" si="80"/>
        <v/>
      </c>
      <c r="DZ29" s="39" t="str">
        <f t="shared" si="81"/>
        <v/>
      </c>
      <c r="EA29" s="39" t="str">
        <f t="shared" si="179"/>
        <v/>
      </c>
      <c r="EB29" s="39" t="str">
        <f t="shared" si="180"/>
        <v/>
      </c>
      <c r="EC29" s="39" t="str">
        <f t="shared" si="181"/>
        <v/>
      </c>
      <c r="ED29" s="39" t="str">
        <f t="shared" si="82"/>
        <v/>
      </c>
      <c r="EE29" s="39" t="str">
        <f t="shared" si="83"/>
        <v/>
      </c>
      <c r="EF29" s="39" t="str">
        <f t="shared" si="84"/>
        <v/>
      </c>
      <c r="EG29" s="39" t="str">
        <f t="shared" si="85"/>
        <v/>
      </c>
      <c r="EH29" s="39" t="str">
        <f t="shared" si="86"/>
        <v/>
      </c>
      <c r="EI29" s="39" t="str">
        <f t="shared" si="190"/>
        <v/>
      </c>
      <c r="EJ29" s="39" t="str">
        <f t="shared" si="190"/>
        <v/>
      </c>
      <c r="EK29" s="39" t="str">
        <f t="shared" si="190"/>
        <v/>
      </c>
      <c r="EL29" s="39" t="str">
        <f t="shared" si="190"/>
        <v/>
      </c>
      <c r="EM29" s="39" t="str">
        <f t="shared" si="190"/>
        <v/>
      </c>
      <c r="EN29" s="39" t="str">
        <f t="shared" si="190"/>
        <v/>
      </c>
      <c r="EO29" s="39" t="str">
        <f t="shared" si="190"/>
        <v/>
      </c>
      <c r="EP29" s="39" t="str">
        <f t="shared" si="190"/>
        <v/>
      </c>
      <c r="EQ29" s="39" t="str">
        <f t="shared" si="190"/>
        <v/>
      </c>
      <c r="ER29" s="39" t="str">
        <f t="shared" si="190"/>
        <v/>
      </c>
      <c r="ES29" s="39" t="str">
        <f t="shared" si="190"/>
        <v/>
      </c>
      <c r="ET29" s="39" t="str">
        <f t="shared" si="190"/>
        <v/>
      </c>
      <c r="EU29" s="39" t="str">
        <f t="shared" si="88"/>
        <v/>
      </c>
      <c r="EV29" s="39" t="str">
        <f t="shared" si="89"/>
        <v/>
      </c>
      <c r="EW29" s="39" t="str">
        <f t="shared" si="90"/>
        <v/>
      </c>
      <c r="EX29" s="39" t="str">
        <f t="shared" si="91"/>
        <v/>
      </c>
      <c r="EY29" s="39" t="str">
        <f t="shared" si="92"/>
        <v/>
      </c>
      <c r="EZ29" s="39" t="str">
        <f t="shared" si="93"/>
        <v/>
      </c>
      <c r="FA29" s="39" t="str">
        <f t="shared" si="94"/>
        <v/>
      </c>
      <c r="FB29" s="39" t="str">
        <f t="shared" si="95"/>
        <v/>
      </c>
      <c r="FC29" s="39" t="str">
        <f t="shared" si="96"/>
        <v/>
      </c>
      <c r="FD29" s="39" t="str">
        <f t="shared" si="97"/>
        <v/>
      </c>
      <c r="FE29" s="39" t="str">
        <f t="shared" si="98"/>
        <v/>
      </c>
      <c r="FF29" s="39" t="str">
        <f t="shared" si="99"/>
        <v/>
      </c>
      <c r="FG29" s="39" t="str">
        <f t="shared" si="100"/>
        <v/>
      </c>
      <c r="FH29" s="39" t="str">
        <f t="shared" si="101"/>
        <v/>
      </c>
      <c r="FI29" s="39" t="str">
        <f t="shared" si="102"/>
        <v/>
      </c>
      <c r="FJ29" s="39" t="str">
        <f t="shared" si="103"/>
        <v/>
      </c>
      <c r="FK29" s="39" t="str">
        <f t="shared" si="104"/>
        <v/>
      </c>
      <c r="FL29" s="39" t="str">
        <f t="shared" si="105"/>
        <v/>
      </c>
      <c r="FM29" s="39" t="str">
        <f t="shared" si="106"/>
        <v/>
      </c>
      <c r="FN29" s="39" t="str">
        <f t="shared" si="107"/>
        <v/>
      </c>
      <c r="FO29" s="39" t="str">
        <f t="shared" si="108"/>
        <v/>
      </c>
      <c r="FP29" s="39" t="str">
        <f t="shared" si="109"/>
        <v/>
      </c>
      <c r="FQ29" s="39" t="str">
        <f t="shared" si="110"/>
        <v/>
      </c>
      <c r="FR29" s="39" t="str">
        <f t="shared" si="111"/>
        <v/>
      </c>
      <c r="FS29" s="39" t="str">
        <f t="shared" si="112"/>
        <v/>
      </c>
      <c r="FT29" s="39" t="str">
        <f t="shared" si="113"/>
        <v/>
      </c>
      <c r="FU29" s="39" t="str">
        <f t="shared" si="114"/>
        <v/>
      </c>
      <c r="FV29" s="39" t="str">
        <f t="shared" si="115"/>
        <v/>
      </c>
      <c r="FW29" s="39" t="str">
        <f t="shared" si="116"/>
        <v/>
      </c>
      <c r="FX29" s="39" t="str">
        <f t="shared" si="117"/>
        <v/>
      </c>
      <c r="FY29" s="39" t="str">
        <f t="shared" si="118"/>
        <v/>
      </c>
      <c r="FZ29" s="39" t="str">
        <f t="shared" si="119"/>
        <v/>
      </c>
      <c r="GA29" s="39" t="str">
        <f t="shared" si="120"/>
        <v/>
      </c>
      <c r="GB29" s="39" t="str">
        <f t="shared" si="121"/>
        <v/>
      </c>
      <c r="GC29" s="39" t="str">
        <f t="shared" si="122"/>
        <v/>
      </c>
      <c r="GD29" s="39" t="str">
        <f t="shared" si="123"/>
        <v/>
      </c>
      <c r="GE29" s="39" t="str">
        <f t="shared" si="124"/>
        <v/>
      </c>
      <c r="GF29" s="39" t="str">
        <f t="shared" si="125"/>
        <v/>
      </c>
      <c r="GG29" s="39" t="str">
        <f t="shared" si="126"/>
        <v/>
      </c>
      <c r="GH29" s="39" t="str">
        <f t="shared" si="127"/>
        <v/>
      </c>
      <c r="GI29" s="39" t="str">
        <f t="shared" si="128"/>
        <v/>
      </c>
      <c r="GJ29" s="39" t="str">
        <f t="shared" si="129"/>
        <v/>
      </c>
      <c r="GK29" s="39" t="str">
        <f t="shared" si="130"/>
        <v/>
      </c>
      <c r="GL29" s="39" t="str">
        <f t="shared" si="131"/>
        <v/>
      </c>
      <c r="GM29" s="39" t="str">
        <f t="shared" si="132"/>
        <v/>
      </c>
      <c r="GN29" s="39" t="str">
        <f t="shared" si="133"/>
        <v/>
      </c>
      <c r="GO29" s="39" t="str">
        <f t="shared" si="134"/>
        <v/>
      </c>
      <c r="GP29" s="39" t="str">
        <f t="shared" si="135"/>
        <v/>
      </c>
      <c r="GQ29" s="39" t="str">
        <f t="shared" si="136"/>
        <v/>
      </c>
      <c r="GR29" s="39" t="str">
        <f t="shared" si="137"/>
        <v/>
      </c>
      <c r="GS29" s="39" t="str">
        <f t="shared" si="138"/>
        <v/>
      </c>
      <c r="GT29" s="39" t="str">
        <f t="shared" si="139"/>
        <v/>
      </c>
      <c r="GU29" s="39" t="str">
        <f t="shared" si="140"/>
        <v/>
      </c>
      <c r="GV29" s="39" t="str">
        <f t="shared" si="141"/>
        <v/>
      </c>
      <c r="GW29" s="39" t="str">
        <f t="shared" si="142"/>
        <v/>
      </c>
      <c r="GX29" s="39" t="str">
        <f t="shared" si="143"/>
        <v/>
      </c>
      <c r="GY29" s="39" t="str">
        <f t="shared" si="144"/>
        <v/>
      </c>
      <c r="GZ29" s="39" t="str">
        <f t="shared" si="145"/>
        <v/>
      </c>
      <c r="HA29" s="39" t="str">
        <f t="shared" si="146"/>
        <v/>
      </c>
      <c r="HB29" s="39" t="str">
        <f t="shared" si="147"/>
        <v/>
      </c>
      <c r="HC29" s="39" t="str">
        <f t="shared" si="148"/>
        <v/>
      </c>
      <c r="HD29" s="39" t="str">
        <f t="shared" si="149"/>
        <v/>
      </c>
      <c r="HE29" s="39" t="str">
        <f t="shared" si="150"/>
        <v/>
      </c>
      <c r="HF29" s="39" t="str">
        <f t="shared" si="151"/>
        <v/>
      </c>
      <c r="HG29" s="39" t="str">
        <f t="shared" si="152"/>
        <v/>
      </c>
      <c r="HH29" s="39" t="str">
        <f t="shared" si="153"/>
        <v/>
      </c>
      <c r="HI29" s="39" t="str">
        <f t="shared" si="154"/>
        <v/>
      </c>
      <c r="HJ29" s="39" t="str">
        <f t="shared" si="155"/>
        <v/>
      </c>
      <c r="HK29" s="39" t="str">
        <f t="shared" si="156"/>
        <v/>
      </c>
      <c r="HL29" s="39" t="str">
        <f t="shared" si="157"/>
        <v/>
      </c>
      <c r="HM29" s="39" t="str">
        <f t="shared" si="158"/>
        <v/>
      </c>
      <c r="HN29" s="39" t="str">
        <f t="shared" si="159"/>
        <v/>
      </c>
      <c r="HO29" s="39" t="str">
        <f t="shared" si="160"/>
        <v/>
      </c>
      <c r="HP29" s="39" t="str">
        <f t="shared" si="161"/>
        <v/>
      </c>
      <c r="HQ29" s="39" t="str">
        <f t="shared" si="162"/>
        <v/>
      </c>
      <c r="HR29" s="39" t="str">
        <f t="shared" si="163"/>
        <v/>
      </c>
      <c r="HS29" s="39" t="str">
        <f t="shared" si="164"/>
        <v/>
      </c>
      <c r="HT29" s="39" t="str">
        <f t="shared" si="164"/>
        <v/>
      </c>
      <c r="HU29" s="83" t="str">
        <f t="shared" si="182"/>
        <v>-</v>
      </c>
      <c r="HV29" s="84" t="str">
        <f t="shared" si="165"/>
        <v/>
      </c>
      <c r="HW29" s="85" t="str">
        <f t="shared" si="166"/>
        <v/>
      </c>
      <c r="HX29" s="84" t="str">
        <f t="shared" si="183"/>
        <v/>
      </c>
      <c r="HY29" s="84" t="str">
        <f t="shared" si="167"/>
        <v/>
      </c>
      <c r="HZ29" s="84" t="str">
        <f t="shared" si="168"/>
        <v/>
      </c>
      <c r="IA29" s="83" t="str">
        <f t="shared" si="169"/>
        <v/>
      </c>
      <c r="IB29" s="84" t="str">
        <f t="shared" si="170"/>
        <v/>
      </c>
      <c r="IC29" s="85" t="str">
        <f t="shared" si="171"/>
        <v/>
      </c>
      <c r="ID29" s="83" t="str">
        <f t="shared" si="172"/>
        <v/>
      </c>
      <c r="IE29" s="84" t="str">
        <f t="shared" si="173"/>
        <v/>
      </c>
      <c r="IF29" s="85" t="str">
        <f t="shared" si="174"/>
        <v/>
      </c>
      <c r="IH29" s="66">
        <v>29</v>
      </c>
      <c r="II29" s="66" t="e">
        <f t="shared" ca="1" si="175"/>
        <v>#N/A</v>
      </c>
      <c r="IJ29" s="66" t="e">
        <f t="shared" ca="1" si="176"/>
        <v>#N/A</v>
      </c>
      <c r="IK29" s="66" t="e">
        <f t="shared" ca="1" si="177"/>
        <v>#N/A</v>
      </c>
      <c r="IL29" s="66" t="e">
        <f t="shared" ca="1" si="178"/>
        <v>#N/A</v>
      </c>
      <c r="IM29" s="33"/>
      <c r="IN29" s="74" t="e">
        <f t="shared" ca="1" si="184"/>
        <v>#N/A</v>
      </c>
      <c r="IO29" s="75" t="e">
        <f t="shared" ca="1" si="185"/>
        <v>#N/A</v>
      </c>
      <c r="IP29" s="75" t="e">
        <f t="shared" ca="1" si="186"/>
        <v>#N/A</v>
      </c>
      <c r="IQ29" s="74" t="e">
        <f t="shared" ca="1" si="187"/>
        <v>#N/A</v>
      </c>
      <c r="IR29" s="74" t="e">
        <f t="shared" ca="1" si="188"/>
        <v>#N/A</v>
      </c>
    </row>
    <row r="30" spans="1:252" s="1" customFormat="1" x14ac:dyDescent="0.35">
      <c r="A30" s="33">
        <v>0</v>
      </c>
      <c r="B30" s="33">
        <v>0</v>
      </c>
      <c r="C30" s="33">
        <v>1</v>
      </c>
      <c r="E30" s="4"/>
      <c r="F30" t="s">
        <v>294</v>
      </c>
      <c r="G30" s="5" t="s">
        <v>542</v>
      </c>
      <c r="H30" s="4" t="s">
        <v>531</v>
      </c>
      <c r="I30" s="7" t="s">
        <v>532</v>
      </c>
      <c r="J30" s="276" t="s">
        <v>805</v>
      </c>
      <c r="K30" s="52" t="s">
        <v>805</v>
      </c>
      <c r="L30" s="52" t="s">
        <v>805</v>
      </c>
      <c r="M30" s="52" t="s">
        <v>805</v>
      </c>
      <c r="N30" s="52" t="s">
        <v>805</v>
      </c>
      <c r="O30" s="52" t="s">
        <v>805</v>
      </c>
      <c r="P30" s="52" t="s">
        <v>805</v>
      </c>
      <c r="Q30" s="52" t="s">
        <v>805</v>
      </c>
      <c r="R30" s="52" t="s">
        <v>805</v>
      </c>
      <c r="S30" s="52" t="s">
        <v>805</v>
      </c>
      <c r="T30" s="52" t="s">
        <v>805</v>
      </c>
      <c r="U30" s="52" t="s">
        <v>805</v>
      </c>
      <c r="V30" s="52" t="s">
        <v>805</v>
      </c>
      <c r="W30" s="52" t="s">
        <v>805</v>
      </c>
      <c r="X30" s="52" t="s">
        <v>805</v>
      </c>
      <c r="Y30" s="52" t="s">
        <v>805</v>
      </c>
      <c r="Z30" s="52" t="s">
        <v>805</v>
      </c>
      <c r="AA30" s="52" t="s">
        <v>805</v>
      </c>
      <c r="AB30" s="52" t="s">
        <v>805</v>
      </c>
      <c r="AC30" s="52" t="s">
        <v>805</v>
      </c>
      <c r="AD30" s="52" t="s">
        <v>805</v>
      </c>
      <c r="AE30" s="52" t="s">
        <v>805</v>
      </c>
      <c r="AF30" s="52" t="s">
        <v>805</v>
      </c>
      <c r="AG30" s="52" t="s">
        <v>805</v>
      </c>
      <c r="AH30" s="52" t="s">
        <v>805</v>
      </c>
      <c r="AI30" s="52" t="s">
        <v>805</v>
      </c>
      <c r="AJ30" s="52" t="s">
        <v>805</v>
      </c>
      <c r="AK30" s="52" t="s">
        <v>805</v>
      </c>
      <c r="AL30" s="52" t="s">
        <v>805</v>
      </c>
      <c r="AM30" s="52" t="s">
        <v>805</v>
      </c>
      <c r="AN30" s="52" t="s">
        <v>805</v>
      </c>
      <c r="AO30" s="52" t="s">
        <v>805</v>
      </c>
      <c r="AP30" s="52" t="s">
        <v>805</v>
      </c>
      <c r="AQ30" s="52" t="s">
        <v>805</v>
      </c>
      <c r="AR30" s="52" t="s">
        <v>805</v>
      </c>
      <c r="AS30" s="52" t="s">
        <v>805</v>
      </c>
      <c r="AT30" s="52" t="s">
        <v>805</v>
      </c>
      <c r="AU30" s="52" t="s">
        <v>805</v>
      </c>
      <c r="AV30" s="52" t="s">
        <v>805</v>
      </c>
      <c r="AW30" s="52" t="s">
        <v>805</v>
      </c>
      <c r="AX30" s="52" t="s">
        <v>805</v>
      </c>
      <c r="AY30" s="52" t="s">
        <v>805</v>
      </c>
      <c r="AZ30" s="52" t="s">
        <v>805</v>
      </c>
      <c r="BA30" s="52" t="s">
        <v>805</v>
      </c>
      <c r="BB30" s="52" t="s">
        <v>805</v>
      </c>
      <c r="BC30" s="52" t="s">
        <v>805</v>
      </c>
      <c r="BD30" s="52" t="s">
        <v>805</v>
      </c>
      <c r="BE30" s="52" t="s">
        <v>805</v>
      </c>
      <c r="BF30" s="52" t="s">
        <v>805</v>
      </c>
      <c r="BG30" s="52" t="s">
        <v>805</v>
      </c>
      <c r="BH30" s="52" t="s">
        <v>805</v>
      </c>
      <c r="BI30" s="52" t="s">
        <v>805</v>
      </c>
      <c r="BJ30" s="52" t="s">
        <v>805</v>
      </c>
      <c r="BK30" s="52" t="s">
        <v>805</v>
      </c>
      <c r="BL30" s="52" t="s">
        <v>805</v>
      </c>
      <c r="BM30" s="52" t="s">
        <v>805</v>
      </c>
      <c r="BN30" s="52" t="s">
        <v>805</v>
      </c>
      <c r="BO30" s="52" t="s">
        <v>805</v>
      </c>
      <c r="BP30" s="52" t="s">
        <v>805</v>
      </c>
      <c r="BQ30" s="52" t="s">
        <v>805</v>
      </c>
      <c r="BR30" s="52" t="s">
        <v>805</v>
      </c>
      <c r="BS30" s="52" t="s">
        <v>805</v>
      </c>
      <c r="BT30" s="52" t="s">
        <v>805</v>
      </c>
      <c r="BU30" s="52" t="s">
        <v>805</v>
      </c>
      <c r="BV30" s="52" t="s">
        <v>805</v>
      </c>
      <c r="BW30" s="52" t="s">
        <v>805</v>
      </c>
      <c r="BX30" s="52" t="s">
        <v>805</v>
      </c>
      <c r="BY30" s="52" t="s">
        <v>805</v>
      </c>
      <c r="BZ30" s="52" t="s">
        <v>805</v>
      </c>
      <c r="CA30" s="52" t="s">
        <v>805</v>
      </c>
      <c r="CB30" s="52" t="s">
        <v>805</v>
      </c>
      <c r="CC30" s="52" t="s">
        <v>805</v>
      </c>
      <c r="CD30" s="52" t="s">
        <v>805</v>
      </c>
      <c r="CE30" s="52" t="s">
        <v>805</v>
      </c>
      <c r="CF30" s="52" t="s">
        <v>805</v>
      </c>
      <c r="CG30" s="52" t="s">
        <v>805</v>
      </c>
      <c r="CH30" s="52" t="s">
        <v>805</v>
      </c>
      <c r="CI30" s="52" t="s">
        <v>805</v>
      </c>
      <c r="CJ30" s="52" t="s">
        <v>805</v>
      </c>
      <c r="CK30" s="52" t="s">
        <v>805</v>
      </c>
      <c r="CL30" s="52" t="s">
        <v>805</v>
      </c>
      <c r="CM30" s="52" t="s">
        <v>805</v>
      </c>
      <c r="CN30" s="52" t="s">
        <v>805</v>
      </c>
      <c r="CO30" s="52" t="s">
        <v>805</v>
      </c>
      <c r="CP30" s="52" t="s">
        <v>805</v>
      </c>
      <c r="CQ30" s="52" t="s">
        <v>805</v>
      </c>
      <c r="CR30" s="52" t="s">
        <v>805</v>
      </c>
      <c r="CS30" s="52" t="s">
        <v>805</v>
      </c>
      <c r="CT30" s="52" t="s">
        <v>805</v>
      </c>
      <c r="CU30" s="52" t="s">
        <v>805</v>
      </c>
      <c r="CV30" s="52" t="s">
        <v>805</v>
      </c>
      <c r="CW30" s="52" t="s">
        <v>805</v>
      </c>
      <c r="CX30" s="52" t="s">
        <v>805</v>
      </c>
      <c r="CY30" s="52" t="s">
        <v>805</v>
      </c>
      <c r="CZ30" s="52" t="s">
        <v>805</v>
      </c>
      <c r="DA30" s="52" t="s">
        <v>805</v>
      </c>
      <c r="DB30" s="52" t="s">
        <v>805</v>
      </c>
      <c r="DC30" s="52" t="s">
        <v>805</v>
      </c>
      <c r="DD30" s="52" t="s">
        <v>805</v>
      </c>
      <c r="DE30" s="52" t="s">
        <v>805</v>
      </c>
      <c r="DF30" s="52" t="s">
        <v>805</v>
      </c>
      <c r="DG30" s="28">
        <f>'KPI Count-SHARE'!J25</f>
        <v>0</v>
      </c>
      <c r="DH30" s="106"/>
      <c r="DI30" s="106"/>
      <c r="DJ30" s="106"/>
      <c r="DK30" s="28">
        <f>'KPI Count-SHARE'!K25</f>
        <v>0</v>
      </c>
      <c r="DL30" s="53"/>
      <c r="DM30" s="53"/>
      <c r="DN30" s="53"/>
      <c r="DO30" s="28">
        <f>'KPI Count-SHARE'!L25</f>
        <v>0</v>
      </c>
      <c r="DP30" s="53"/>
      <c r="DQ30" s="53"/>
      <c r="DR30" s="53"/>
      <c r="DS30" s="28">
        <f>'KPI Count-SHARE'!M25</f>
        <v>0</v>
      </c>
      <c r="DT30" s="53"/>
      <c r="DU30" s="53"/>
      <c r="DV30" s="53"/>
      <c r="DW30" s="30" t="s">
        <v>531</v>
      </c>
      <c r="DX30" s="41" t="str">
        <f t="shared" si="79"/>
        <v/>
      </c>
      <c r="DY30" s="41" t="str">
        <f t="shared" si="80"/>
        <v/>
      </c>
      <c r="DZ30" s="41" t="str">
        <f t="shared" si="81"/>
        <v/>
      </c>
      <c r="EA30" s="41" t="str">
        <f t="shared" si="179"/>
        <v/>
      </c>
      <c r="EB30" s="41" t="str">
        <f t="shared" si="180"/>
        <v/>
      </c>
      <c r="EC30" s="41" t="str">
        <f t="shared" si="181"/>
        <v/>
      </c>
      <c r="ED30" s="41" t="str">
        <f t="shared" si="82"/>
        <v/>
      </c>
      <c r="EE30" s="41" t="str">
        <f t="shared" si="83"/>
        <v/>
      </c>
      <c r="EF30" s="41" t="str">
        <f t="shared" si="84"/>
        <v/>
      </c>
      <c r="EG30" s="41" t="str">
        <f t="shared" si="85"/>
        <v/>
      </c>
      <c r="EH30" s="41" t="str">
        <f t="shared" si="86"/>
        <v/>
      </c>
      <c r="EI30" s="41" t="str">
        <f t="shared" si="190"/>
        <v/>
      </c>
      <c r="EJ30" s="41" t="str">
        <f t="shared" si="190"/>
        <v/>
      </c>
      <c r="EK30" s="41" t="str">
        <f t="shared" si="190"/>
        <v/>
      </c>
      <c r="EL30" s="41" t="str">
        <f t="shared" si="190"/>
        <v/>
      </c>
      <c r="EM30" s="41" t="str">
        <f t="shared" si="190"/>
        <v/>
      </c>
      <c r="EN30" s="41" t="str">
        <f t="shared" si="190"/>
        <v/>
      </c>
      <c r="EO30" s="41" t="str">
        <f t="shared" si="190"/>
        <v/>
      </c>
      <c r="EP30" s="41" t="str">
        <f t="shared" si="190"/>
        <v/>
      </c>
      <c r="EQ30" s="41" t="str">
        <f t="shared" si="190"/>
        <v/>
      </c>
      <c r="ER30" s="41" t="str">
        <f t="shared" si="190"/>
        <v/>
      </c>
      <c r="ES30" s="41" t="str">
        <f t="shared" si="190"/>
        <v/>
      </c>
      <c r="ET30" s="41" t="str">
        <f t="shared" si="190"/>
        <v/>
      </c>
      <c r="EU30" s="41" t="str">
        <f t="shared" si="88"/>
        <v/>
      </c>
      <c r="EV30" s="41" t="str">
        <f t="shared" si="89"/>
        <v/>
      </c>
      <c r="EW30" s="41" t="str">
        <f t="shared" si="90"/>
        <v/>
      </c>
      <c r="EX30" s="41" t="str">
        <f t="shared" si="91"/>
        <v/>
      </c>
      <c r="EY30" s="41" t="str">
        <f t="shared" si="92"/>
        <v/>
      </c>
      <c r="EZ30" s="41" t="str">
        <f t="shared" si="93"/>
        <v/>
      </c>
      <c r="FA30" s="41" t="str">
        <f t="shared" si="94"/>
        <v/>
      </c>
      <c r="FB30" s="41" t="str">
        <f t="shared" si="95"/>
        <v/>
      </c>
      <c r="FC30" s="41" t="str">
        <f t="shared" si="96"/>
        <v/>
      </c>
      <c r="FD30" s="41" t="str">
        <f t="shared" si="97"/>
        <v/>
      </c>
      <c r="FE30" s="41" t="str">
        <f t="shared" si="98"/>
        <v/>
      </c>
      <c r="FF30" s="41" t="str">
        <f t="shared" si="99"/>
        <v/>
      </c>
      <c r="FG30" s="41" t="str">
        <f t="shared" si="100"/>
        <v/>
      </c>
      <c r="FH30" s="41" t="str">
        <f t="shared" si="101"/>
        <v/>
      </c>
      <c r="FI30" s="41" t="str">
        <f t="shared" si="102"/>
        <v/>
      </c>
      <c r="FJ30" s="41" t="str">
        <f t="shared" si="103"/>
        <v/>
      </c>
      <c r="FK30" s="41" t="str">
        <f t="shared" si="104"/>
        <v/>
      </c>
      <c r="FL30" s="41" t="str">
        <f t="shared" si="105"/>
        <v/>
      </c>
      <c r="FM30" s="41" t="str">
        <f t="shared" si="106"/>
        <v/>
      </c>
      <c r="FN30" s="41" t="str">
        <f t="shared" si="107"/>
        <v/>
      </c>
      <c r="FO30" s="41" t="str">
        <f t="shared" si="108"/>
        <v/>
      </c>
      <c r="FP30" s="41" t="str">
        <f t="shared" si="109"/>
        <v/>
      </c>
      <c r="FQ30" s="41" t="str">
        <f t="shared" si="110"/>
        <v/>
      </c>
      <c r="FR30" s="41" t="str">
        <f t="shared" si="111"/>
        <v/>
      </c>
      <c r="FS30" s="41" t="str">
        <f t="shared" si="112"/>
        <v/>
      </c>
      <c r="FT30" s="41" t="str">
        <f t="shared" si="113"/>
        <v/>
      </c>
      <c r="FU30" s="41" t="str">
        <f t="shared" si="114"/>
        <v/>
      </c>
      <c r="FV30" s="41" t="str">
        <f t="shared" si="115"/>
        <v/>
      </c>
      <c r="FW30" s="41" t="str">
        <f t="shared" si="116"/>
        <v/>
      </c>
      <c r="FX30" s="41" t="str">
        <f t="shared" si="117"/>
        <v/>
      </c>
      <c r="FY30" s="41" t="str">
        <f t="shared" si="118"/>
        <v/>
      </c>
      <c r="FZ30" s="41" t="str">
        <f t="shared" si="119"/>
        <v/>
      </c>
      <c r="GA30" s="41" t="str">
        <f t="shared" si="120"/>
        <v/>
      </c>
      <c r="GB30" s="41" t="str">
        <f t="shared" si="121"/>
        <v/>
      </c>
      <c r="GC30" s="41" t="str">
        <f t="shared" si="122"/>
        <v/>
      </c>
      <c r="GD30" s="41" t="str">
        <f t="shared" si="123"/>
        <v/>
      </c>
      <c r="GE30" s="41" t="str">
        <f t="shared" si="124"/>
        <v/>
      </c>
      <c r="GF30" s="41" t="str">
        <f t="shared" si="125"/>
        <v/>
      </c>
      <c r="GG30" s="41" t="str">
        <f t="shared" si="126"/>
        <v/>
      </c>
      <c r="GH30" s="41" t="str">
        <f t="shared" si="127"/>
        <v/>
      </c>
      <c r="GI30" s="41" t="str">
        <f t="shared" si="128"/>
        <v/>
      </c>
      <c r="GJ30" s="41" t="str">
        <f t="shared" si="129"/>
        <v/>
      </c>
      <c r="GK30" s="41" t="str">
        <f t="shared" si="130"/>
        <v/>
      </c>
      <c r="GL30" s="41" t="str">
        <f t="shared" si="131"/>
        <v/>
      </c>
      <c r="GM30" s="41" t="str">
        <f t="shared" si="132"/>
        <v/>
      </c>
      <c r="GN30" s="41" t="str">
        <f t="shared" si="133"/>
        <v/>
      </c>
      <c r="GO30" s="41" t="str">
        <f t="shared" si="134"/>
        <v/>
      </c>
      <c r="GP30" s="41" t="str">
        <f t="shared" si="135"/>
        <v/>
      </c>
      <c r="GQ30" s="41" t="str">
        <f t="shared" si="136"/>
        <v/>
      </c>
      <c r="GR30" s="41" t="str">
        <f t="shared" si="137"/>
        <v/>
      </c>
      <c r="GS30" s="41" t="str">
        <f t="shared" si="138"/>
        <v/>
      </c>
      <c r="GT30" s="41" t="str">
        <f t="shared" si="139"/>
        <v/>
      </c>
      <c r="GU30" s="41" t="str">
        <f t="shared" si="140"/>
        <v/>
      </c>
      <c r="GV30" s="41" t="str">
        <f t="shared" si="141"/>
        <v/>
      </c>
      <c r="GW30" s="41" t="str">
        <f t="shared" si="142"/>
        <v/>
      </c>
      <c r="GX30" s="41" t="str">
        <f t="shared" si="143"/>
        <v/>
      </c>
      <c r="GY30" s="41" t="str">
        <f t="shared" si="144"/>
        <v/>
      </c>
      <c r="GZ30" s="41" t="str">
        <f t="shared" si="145"/>
        <v/>
      </c>
      <c r="HA30" s="41" t="str">
        <f t="shared" si="146"/>
        <v/>
      </c>
      <c r="HB30" s="41" t="str">
        <f t="shared" si="147"/>
        <v/>
      </c>
      <c r="HC30" s="41" t="str">
        <f t="shared" si="148"/>
        <v/>
      </c>
      <c r="HD30" s="41" t="str">
        <f t="shared" si="149"/>
        <v/>
      </c>
      <c r="HE30" s="41" t="str">
        <f t="shared" si="150"/>
        <v/>
      </c>
      <c r="HF30" s="41" t="str">
        <f t="shared" si="151"/>
        <v/>
      </c>
      <c r="HG30" s="41" t="str">
        <f t="shared" si="152"/>
        <v/>
      </c>
      <c r="HH30" s="41" t="str">
        <f t="shared" si="153"/>
        <v/>
      </c>
      <c r="HI30" s="41" t="str">
        <f t="shared" si="154"/>
        <v/>
      </c>
      <c r="HJ30" s="41" t="str">
        <f t="shared" si="155"/>
        <v/>
      </c>
      <c r="HK30" s="41" t="str">
        <f t="shared" si="156"/>
        <v/>
      </c>
      <c r="HL30" s="41" t="str">
        <f t="shared" si="157"/>
        <v/>
      </c>
      <c r="HM30" s="41" t="str">
        <f t="shared" si="158"/>
        <v/>
      </c>
      <c r="HN30" s="41" t="str">
        <f t="shared" si="159"/>
        <v/>
      </c>
      <c r="HO30" s="41" t="str">
        <f t="shared" si="160"/>
        <v/>
      </c>
      <c r="HP30" s="41" t="str">
        <f t="shared" si="161"/>
        <v/>
      </c>
      <c r="HQ30" s="41" t="str">
        <f t="shared" si="162"/>
        <v/>
      </c>
      <c r="HR30" s="41" t="str">
        <f t="shared" si="163"/>
        <v/>
      </c>
      <c r="HS30" s="41" t="str">
        <f t="shared" si="164"/>
        <v/>
      </c>
      <c r="HT30" s="41" t="str">
        <f t="shared" si="164"/>
        <v/>
      </c>
      <c r="HU30" s="43" t="str">
        <f t="shared" si="182"/>
        <v>-</v>
      </c>
      <c r="HV30" s="44" t="str">
        <f t="shared" si="165"/>
        <v/>
      </c>
      <c r="HW30" s="45" t="str">
        <f t="shared" si="166"/>
        <v/>
      </c>
      <c r="HX30" s="44" t="str">
        <f t="shared" si="183"/>
        <v/>
      </c>
      <c r="HY30" s="44" t="str">
        <f t="shared" si="167"/>
        <v/>
      </c>
      <c r="HZ30" s="44" t="str">
        <f t="shared" si="168"/>
        <v/>
      </c>
      <c r="IA30" s="43" t="str">
        <f t="shared" si="169"/>
        <v/>
      </c>
      <c r="IB30" s="44" t="str">
        <f t="shared" si="170"/>
        <v/>
      </c>
      <c r="IC30" s="45" t="str">
        <f t="shared" si="171"/>
        <v/>
      </c>
      <c r="ID30" s="43" t="str">
        <f t="shared" si="172"/>
        <v/>
      </c>
      <c r="IE30" s="44" t="str">
        <f t="shared" si="173"/>
        <v/>
      </c>
      <c r="IF30" s="45" t="str">
        <f t="shared" si="174"/>
        <v/>
      </c>
      <c r="IH30" s="66">
        <v>30</v>
      </c>
      <c r="II30" s="66" t="e">
        <f t="shared" ca="1" si="175"/>
        <v>#N/A</v>
      </c>
      <c r="IJ30" s="66" t="e">
        <f t="shared" ca="1" si="176"/>
        <v>#N/A</v>
      </c>
      <c r="IK30" s="66" t="e">
        <f t="shared" ca="1" si="177"/>
        <v>#N/A</v>
      </c>
      <c r="IL30" s="66" t="e">
        <f t="shared" ca="1" si="178"/>
        <v>#N/A</v>
      </c>
      <c r="IM30" s="33"/>
      <c r="IN30" s="74" t="e">
        <f t="shared" ca="1" si="184"/>
        <v>#N/A</v>
      </c>
      <c r="IO30" s="75" t="e">
        <f t="shared" ca="1" si="185"/>
        <v>#N/A</v>
      </c>
      <c r="IP30" s="75" t="e">
        <f t="shared" ca="1" si="186"/>
        <v>#N/A</v>
      </c>
      <c r="IQ30" s="74" t="e">
        <f t="shared" ca="1" si="187"/>
        <v>#N/A</v>
      </c>
      <c r="IR30" s="74" t="e">
        <f t="shared" ca="1" si="188"/>
        <v>#N/A</v>
      </c>
    </row>
    <row r="31" spans="1:252" s="1" customFormat="1" x14ac:dyDescent="0.35">
      <c r="A31" s="33">
        <v>0</v>
      </c>
      <c r="B31" s="33">
        <v>0</v>
      </c>
      <c r="C31" s="33">
        <v>1</v>
      </c>
      <c r="E31" s="4"/>
      <c r="F31" t="s">
        <v>295</v>
      </c>
      <c r="G31" s="5" t="s">
        <v>542</v>
      </c>
      <c r="H31" s="4" t="s">
        <v>533</v>
      </c>
      <c r="I31" s="7" t="s">
        <v>534</v>
      </c>
      <c r="J31" s="276" t="s">
        <v>805</v>
      </c>
      <c r="K31" s="39" t="s">
        <v>805</v>
      </c>
      <c r="L31" s="39" t="s">
        <v>805</v>
      </c>
      <c r="M31" s="39" t="s">
        <v>805</v>
      </c>
      <c r="N31" s="39" t="s">
        <v>805</v>
      </c>
      <c r="O31" s="39" t="s">
        <v>805</v>
      </c>
      <c r="P31" s="39" t="s">
        <v>805</v>
      </c>
      <c r="Q31" s="39" t="s">
        <v>805</v>
      </c>
      <c r="R31" s="39" t="s">
        <v>805</v>
      </c>
      <c r="S31" s="39" t="s">
        <v>805</v>
      </c>
      <c r="T31" s="39" t="s">
        <v>805</v>
      </c>
      <c r="U31" s="39" t="s">
        <v>805</v>
      </c>
      <c r="V31" s="39" t="s">
        <v>805</v>
      </c>
      <c r="W31" s="39" t="s">
        <v>805</v>
      </c>
      <c r="X31" s="39" t="s">
        <v>805</v>
      </c>
      <c r="Y31" s="39" t="s">
        <v>805</v>
      </c>
      <c r="Z31" s="39" t="s">
        <v>805</v>
      </c>
      <c r="AA31" s="39" t="s">
        <v>805</v>
      </c>
      <c r="AB31" s="39" t="s">
        <v>805</v>
      </c>
      <c r="AC31" s="39" t="s">
        <v>805</v>
      </c>
      <c r="AD31" s="39" t="s">
        <v>805</v>
      </c>
      <c r="AE31" s="39" t="s">
        <v>805</v>
      </c>
      <c r="AF31" s="39" t="s">
        <v>805</v>
      </c>
      <c r="AG31" s="39" t="s">
        <v>805</v>
      </c>
      <c r="AH31" s="39" t="s">
        <v>805</v>
      </c>
      <c r="AI31" s="39" t="s">
        <v>805</v>
      </c>
      <c r="AJ31" s="39" t="s">
        <v>805</v>
      </c>
      <c r="AK31" s="39" t="s">
        <v>805</v>
      </c>
      <c r="AL31" s="39" t="s">
        <v>805</v>
      </c>
      <c r="AM31" s="39" t="s">
        <v>805</v>
      </c>
      <c r="AN31" s="39" t="s">
        <v>805</v>
      </c>
      <c r="AO31" s="39" t="s">
        <v>805</v>
      </c>
      <c r="AP31" s="39" t="s">
        <v>805</v>
      </c>
      <c r="AQ31" s="39" t="s">
        <v>805</v>
      </c>
      <c r="AR31" s="39" t="s">
        <v>805</v>
      </c>
      <c r="AS31" s="39" t="s">
        <v>805</v>
      </c>
      <c r="AT31" s="39" t="s">
        <v>805</v>
      </c>
      <c r="AU31" s="39" t="s">
        <v>805</v>
      </c>
      <c r="AV31" s="39" t="s">
        <v>805</v>
      </c>
      <c r="AW31" s="39" t="s">
        <v>805</v>
      </c>
      <c r="AX31" s="39" t="s">
        <v>805</v>
      </c>
      <c r="AY31" s="39" t="s">
        <v>805</v>
      </c>
      <c r="AZ31" s="39" t="s">
        <v>805</v>
      </c>
      <c r="BA31" s="39" t="s">
        <v>805</v>
      </c>
      <c r="BB31" s="39" t="s">
        <v>805</v>
      </c>
      <c r="BC31" s="39" t="s">
        <v>805</v>
      </c>
      <c r="BD31" s="39" t="s">
        <v>805</v>
      </c>
      <c r="BE31" s="39" t="s">
        <v>805</v>
      </c>
      <c r="BF31" s="39" t="s">
        <v>805</v>
      </c>
      <c r="BG31" s="39" t="s">
        <v>805</v>
      </c>
      <c r="BH31" s="39" t="s">
        <v>805</v>
      </c>
      <c r="BI31" s="39" t="s">
        <v>805</v>
      </c>
      <c r="BJ31" s="39" t="s">
        <v>805</v>
      </c>
      <c r="BK31" s="39" t="s">
        <v>805</v>
      </c>
      <c r="BL31" s="39" t="s">
        <v>805</v>
      </c>
      <c r="BM31" s="39" t="s">
        <v>805</v>
      </c>
      <c r="BN31" s="39" t="s">
        <v>805</v>
      </c>
      <c r="BO31" s="39" t="s">
        <v>805</v>
      </c>
      <c r="BP31" s="39" t="s">
        <v>805</v>
      </c>
      <c r="BQ31" s="39" t="s">
        <v>805</v>
      </c>
      <c r="BR31" s="39" t="s">
        <v>805</v>
      </c>
      <c r="BS31" s="39" t="s">
        <v>805</v>
      </c>
      <c r="BT31" s="39" t="s">
        <v>805</v>
      </c>
      <c r="BU31" s="39" t="s">
        <v>805</v>
      </c>
      <c r="BV31" s="39" t="s">
        <v>805</v>
      </c>
      <c r="BW31" s="39" t="s">
        <v>805</v>
      </c>
      <c r="BX31" s="39" t="s">
        <v>805</v>
      </c>
      <c r="BY31" s="39" t="s">
        <v>805</v>
      </c>
      <c r="BZ31" s="39" t="s">
        <v>805</v>
      </c>
      <c r="CA31" s="39" t="s">
        <v>805</v>
      </c>
      <c r="CB31" s="39" t="s">
        <v>805</v>
      </c>
      <c r="CC31" s="39" t="s">
        <v>805</v>
      </c>
      <c r="CD31" s="39" t="s">
        <v>805</v>
      </c>
      <c r="CE31" s="39" t="s">
        <v>805</v>
      </c>
      <c r="CF31" s="39" t="s">
        <v>805</v>
      </c>
      <c r="CG31" s="39" t="s">
        <v>805</v>
      </c>
      <c r="CH31" s="39" t="s">
        <v>805</v>
      </c>
      <c r="CI31" s="39" t="s">
        <v>805</v>
      </c>
      <c r="CJ31" s="39" t="s">
        <v>805</v>
      </c>
      <c r="CK31" s="39" t="s">
        <v>805</v>
      </c>
      <c r="CL31" s="39" t="s">
        <v>805</v>
      </c>
      <c r="CM31" s="39" t="s">
        <v>805</v>
      </c>
      <c r="CN31" s="39" t="s">
        <v>805</v>
      </c>
      <c r="CO31" s="39" t="s">
        <v>805</v>
      </c>
      <c r="CP31" s="39" t="s">
        <v>805</v>
      </c>
      <c r="CQ31" s="39" t="s">
        <v>805</v>
      </c>
      <c r="CR31" s="39" t="s">
        <v>805</v>
      </c>
      <c r="CS31" s="39" t="s">
        <v>805</v>
      </c>
      <c r="CT31" s="39" t="s">
        <v>805</v>
      </c>
      <c r="CU31" s="39" t="s">
        <v>805</v>
      </c>
      <c r="CV31" s="39" t="s">
        <v>805</v>
      </c>
      <c r="CW31" s="39" t="s">
        <v>805</v>
      </c>
      <c r="CX31" s="39" t="s">
        <v>805</v>
      </c>
      <c r="CY31" s="39" t="s">
        <v>805</v>
      </c>
      <c r="CZ31" s="39" t="s">
        <v>805</v>
      </c>
      <c r="DA31" s="39" t="s">
        <v>805</v>
      </c>
      <c r="DB31" s="39" t="s">
        <v>805</v>
      </c>
      <c r="DC31" s="39" t="s">
        <v>805</v>
      </c>
      <c r="DD31" s="39" t="s">
        <v>805</v>
      </c>
      <c r="DE31" s="39" t="s">
        <v>805</v>
      </c>
      <c r="DF31" s="39" t="s">
        <v>805</v>
      </c>
      <c r="DG31" s="28">
        <f>'KPI Count-SHARE'!J26</f>
        <v>0</v>
      </c>
      <c r="DH31" s="105"/>
      <c r="DI31" s="105"/>
      <c r="DJ31" s="105"/>
      <c r="DK31" s="28">
        <f>'KPI Count-SHARE'!K26</f>
        <v>0</v>
      </c>
      <c r="DL31" s="39"/>
      <c r="DM31" s="39"/>
      <c r="DN31" s="39"/>
      <c r="DO31" s="28">
        <f>'KPI Count-SHARE'!L26</f>
        <v>0</v>
      </c>
      <c r="DP31" s="61"/>
      <c r="DQ31" s="61"/>
      <c r="DR31" s="61"/>
      <c r="DS31" s="28">
        <f>'KPI Count-SHARE'!M26</f>
        <v>0</v>
      </c>
      <c r="DT31" s="39"/>
      <c r="DU31" s="39"/>
      <c r="DV31" s="39"/>
      <c r="DW31" s="30" t="s">
        <v>533</v>
      </c>
      <c r="DX31" s="39" t="str">
        <f t="shared" si="79"/>
        <v/>
      </c>
      <c r="DY31" s="39" t="str">
        <f t="shared" si="80"/>
        <v/>
      </c>
      <c r="DZ31" s="39" t="str">
        <f t="shared" si="81"/>
        <v/>
      </c>
      <c r="EA31" s="39" t="str">
        <f t="shared" si="179"/>
        <v/>
      </c>
      <c r="EB31" s="39" t="str">
        <f t="shared" si="180"/>
        <v/>
      </c>
      <c r="EC31" s="39" t="str">
        <f t="shared" si="181"/>
        <v/>
      </c>
      <c r="ED31" s="39" t="str">
        <f t="shared" si="82"/>
        <v/>
      </c>
      <c r="EE31" s="39" t="str">
        <f t="shared" si="83"/>
        <v/>
      </c>
      <c r="EF31" s="39" t="str">
        <f t="shared" si="84"/>
        <v/>
      </c>
      <c r="EG31" s="39" t="str">
        <f t="shared" si="85"/>
        <v/>
      </c>
      <c r="EH31" s="39" t="str">
        <f t="shared" si="86"/>
        <v/>
      </c>
      <c r="EI31" s="39" t="str">
        <f t="shared" si="190"/>
        <v/>
      </c>
      <c r="EJ31" s="39" t="str">
        <f t="shared" si="190"/>
        <v/>
      </c>
      <c r="EK31" s="39" t="str">
        <f t="shared" si="190"/>
        <v/>
      </c>
      <c r="EL31" s="39" t="str">
        <f t="shared" si="190"/>
        <v/>
      </c>
      <c r="EM31" s="39" t="str">
        <f t="shared" si="190"/>
        <v/>
      </c>
      <c r="EN31" s="39" t="str">
        <f t="shared" si="190"/>
        <v/>
      </c>
      <c r="EO31" s="39" t="str">
        <f t="shared" si="190"/>
        <v/>
      </c>
      <c r="EP31" s="39" t="str">
        <f t="shared" si="190"/>
        <v/>
      </c>
      <c r="EQ31" s="39" t="str">
        <f t="shared" si="190"/>
        <v/>
      </c>
      <c r="ER31" s="39" t="str">
        <f t="shared" si="190"/>
        <v/>
      </c>
      <c r="ES31" s="39" t="str">
        <f t="shared" si="190"/>
        <v/>
      </c>
      <c r="ET31" s="39" t="str">
        <f t="shared" si="190"/>
        <v/>
      </c>
      <c r="EU31" s="39" t="str">
        <f t="shared" si="88"/>
        <v/>
      </c>
      <c r="EV31" s="39" t="str">
        <f t="shared" si="89"/>
        <v/>
      </c>
      <c r="EW31" s="39" t="str">
        <f t="shared" si="90"/>
        <v/>
      </c>
      <c r="EX31" s="39" t="str">
        <f t="shared" si="91"/>
        <v/>
      </c>
      <c r="EY31" s="39" t="str">
        <f t="shared" si="92"/>
        <v/>
      </c>
      <c r="EZ31" s="39" t="str">
        <f t="shared" si="93"/>
        <v/>
      </c>
      <c r="FA31" s="39" t="str">
        <f t="shared" si="94"/>
        <v/>
      </c>
      <c r="FB31" s="39" t="str">
        <f t="shared" si="95"/>
        <v/>
      </c>
      <c r="FC31" s="39" t="str">
        <f t="shared" si="96"/>
        <v/>
      </c>
      <c r="FD31" s="39" t="str">
        <f t="shared" si="97"/>
        <v/>
      </c>
      <c r="FE31" s="39" t="str">
        <f t="shared" si="98"/>
        <v/>
      </c>
      <c r="FF31" s="39" t="str">
        <f t="shared" si="99"/>
        <v/>
      </c>
      <c r="FG31" s="39" t="str">
        <f t="shared" si="100"/>
        <v/>
      </c>
      <c r="FH31" s="39" t="str">
        <f t="shared" si="101"/>
        <v/>
      </c>
      <c r="FI31" s="39" t="str">
        <f t="shared" si="102"/>
        <v/>
      </c>
      <c r="FJ31" s="39" t="str">
        <f t="shared" si="103"/>
        <v/>
      </c>
      <c r="FK31" s="39" t="str">
        <f t="shared" si="104"/>
        <v/>
      </c>
      <c r="FL31" s="39" t="str">
        <f t="shared" si="105"/>
        <v/>
      </c>
      <c r="FM31" s="39" t="str">
        <f t="shared" si="106"/>
        <v/>
      </c>
      <c r="FN31" s="39" t="str">
        <f t="shared" si="107"/>
        <v/>
      </c>
      <c r="FO31" s="39" t="str">
        <f t="shared" si="108"/>
        <v/>
      </c>
      <c r="FP31" s="39" t="str">
        <f t="shared" si="109"/>
        <v/>
      </c>
      <c r="FQ31" s="39" t="str">
        <f t="shared" si="110"/>
        <v/>
      </c>
      <c r="FR31" s="39" t="str">
        <f t="shared" si="111"/>
        <v/>
      </c>
      <c r="FS31" s="39" t="str">
        <f t="shared" si="112"/>
        <v/>
      </c>
      <c r="FT31" s="39" t="str">
        <f t="shared" si="113"/>
        <v/>
      </c>
      <c r="FU31" s="39" t="str">
        <f t="shared" si="114"/>
        <v/>
      </c>
      <c r="FV31" s="39" t="str">
        <f t="shared" si="115"/>
        <v/>
      </c>
      <c r="FW31" s="39" t="str">
        <f t="shared" si="116"/>
        <v/>
      </c>
      <c r="FX31" s="39" t="str">
        <f t="shared" si="117"/>
        <v/>
      </c>
      <c r="FY31" s="39" t="str">
        <f t="shared" si="118"/>
        <v/>
      </c>
      <c r="FZ31" s="39" t="str">
        <f t="shared" si="119"/>
        <v/>
      </c>
      <c r="GA31" s="39" t="str">
        <f t="shared" si="120"/>
        <v/>
      </c>
      <c r="GB31" s="39" t="str">
        <f t="shared" si="121"/>
        <v/>
      </c>
      <c r="GC31" s="39" t="str">
        <f t="shared" si="122"/>
        <v/>
      </c>
      <c r="GD31" s="39" t="str">
        <f t="shared" si="123"/>
        <v/>
      </c>
      <c r="GE31" s="39" t="str">
        <f t="shared" si="124"/>
        <v/>
      </c>
      <c r="GF31" s="39" t="str">
        <f t="shared" si="125"/>
        <v/>
      </c>
      <c r="GG31" s="39" t="str">
        <f t="shared" si="126"/>
        <v/>
      </c>
      <c r="GH31" s="39" t="str">
        <f t="shared" si="127"/>
        <v/>
      </c>
      <c r="GI31" s="39" t="str">
        <f t="shared" si="128"/>
        <v/>
      </c>
      <c r="GJ31" s="39" t="str">
        <f t="shared" si="129"/>
        <v/>
      </c>
      <c r="GK31" s="39" t="str">
        <f t="shared" si="130"/>
        <v/>
      </c>
      <c r="GL31" s="39" t="str">
        <f t="shared" si="131"/>
        <v/>
      </c>
      <c r="GM31" s="39" t="str">
        <f t="shared" si="132"/>
        <v/>
      </c>
      <c r="GN31" s="39" t="str">
        <f t="shared" si="133"/>
        <v/>
      </c>
      <c r="GO31" s="39" t="str">
        <f t="shared" si="134"/>
        <v/>
      </c>
      <c r="GP31" s="39" t="str">
        <f t="shared" si="135"/>
        <v/>
      </c>
      <c r="GQ31" s="39" t="str">
        <f t="shared" si="136"/>
        <v/>
      </c>
      <c r="GR31" s="39" t="str">
        <f t="shared" si="137"/>
        <v/>
      </c>
      <c r="GS31" s="39" t="str">
        <f t="shared" si="138"/>
        <v/>
      </c>
      <c r="GT31" s="39" t="str">
        <f t="shared" si="139"/>
        <v/>
      </c>
      <c r="GU31" s="39" t="str">
        <f t="shared" si="140"/>
        <v/>
      </c>
      <c r="GV31" s="39" t="str">
        <f t="shared" si="141"/>
        <v/>
      </c>
      <c r="GW31" s="39" t="str">
        <f t="shared" si="142"/>
        <v/>
      </c>
      <c r="GX31" s="39" t="str">
        <f t="shared" si="143"/>
        <v/>
      </c>
      <c r="GY31" s="39" t="str">
        <f t="shared" si="144"/>
        <v/>
      </c>
      <c r="GZ31" s="39" t="str">
        <f t="shared" si="145"/>
        <v/>
      </c>
      <c r="HA31" s="39" t="str">
        <f t="shared" si="146"/>
        <v/>
      </c>
      <c r="HB31" s="39" t="str">
        <f t="shared" si="147"/>
        <v/>
      </c>
      <c r="HC31" s="39" t="str">
        <f t="shared" si="148"/>
        <v/>
      </c>
      <c r="HD31" s="39" t="str">
        <f t="shared" si="149"/>
        <v/>
      </c>
      <c r="HE31" s="39" t="str">
        <f t="shared" si="150"/>
        <v/>
      </c>
      <c r="HF31" s="39" t="str">
        <f t="shared" si="151"/>
        <v/>
      </c>
      <c r="HG31" s="39" t="str">
        <f t="shared" si="152"/>
        <v/>
      </c>
      <c r="HH31" s="39" t="str">
        <f t="shared" si="153"/>
        <v/>
      </c>
      <c r="HI31" s="39" t="str">
        <f t="shared" si="154"/>
        <v/>
      </c>
      <c r="HJ31" s="39" t="str">
        <f t="shared" si="155"/>
        <v/>
      </c>
      <c r="HK31" s="39" t="str">
        <f t="shared" si="156"/>
        <v/>
      </c>
      <c r="HL31" s="39" t="str">
        <f t="shared" si="157"/>
        <v/>
      </c>
      <c r="HM31" s="39" t="str">
        <f t="shared" si="158"/>
        <v/>
      </c>
      <c r="HN31" s="39" t="str">
        <f t="shared" si="159"/>
        <v/>
      </c>
      <c r="HO31" s="39" t="str">
        <f t="shared" si="160"/>
        <v/>
      </c>
      <c r="HP31" s="39" t="str">
        <f t="shared" si="161"/>
        <v/>
      </c>
      <c r="HQ31" s="39" t="str">
        <f t="shared" si="162"/>
        <v/>
      </c>
      <c r="HR31" s="39" t="str">
        <f t="shared" si="163"/>
        <v/>
      </c>
      <c r="HS31" s="39" t="str">
        <f t="shared" si="164"/>
        <v/>
      </c>
      <c r="HT31" s="39" t="str">
        <f t="shared" si="164"/>
        <v/>
      </c>
      <c r="HU31" s="83" t="str">
        <f t="shared" si="182"/>
        <v>-</v>
      </c>
      <c r="HV31" s="84" t="str">
        <f t="shared" si="165"/>
        <v/>
      </c>
      <c r="HW31" s="85" t="str">
        <f t="shared" si="166"/>
        <v/>
      </c>
      <c r="HX31" s="84" t="str">
        <f t="shared" si="183"/>
        <v/>
      </c>
      <c r="HY31" s="84" t="str">
        <f t="shared" si="167"/>
        <v/>
      </c>
      <c r="HZ31" s="84" t="str">
        <f t="shared" si="168"/>
        <v/>
      </c>
      <c r="IA31" s="83" t="str">
        <f t="shared" si="169"/>
        <v/>
      </c>
      <c r="IB31" s="84" t="str">
        <f t="shared" si="170"/>
        <v/>
      </c>
      <c r="IC31" s="85" t="str">
        <f t="shared" si="171"/>
        <v/>
      </c>
      <c r="ID31" s="83" t="str">
        <f t="shared" si="172"/>
        <v/>
      </c>
      <c r="IE31" s="84" t="str">
        <f t="shared" si="173"/>
        <v/>
      </c>
      <c r="IF31" s="85" t="str">
        <f t="shared" si="174"/>
        <v/>
      </c>
      <c r="IH31" s="66">
        <v>31</v>
      </c>
      <c r="II31" s="66" t="e">
        <f t="shared" ca="1" si="175"/>
        <v>#N/A</v>
      </c>
      <c r="IJ31" s="66" t="e">
        <f t="shared" ca="1" si="176"/>
        <v>#N/A</v>
      </c>
      <c r="IK31" s="66" t="e">
        <f t="shared" ca="1" si="177"/>
        <v>#N/A</v>
      </c>
      <c r="IL31" s="66" t="e">
        <f t="shared" ca="1" si="178"/>
        <v>#N/A</v>
      </c>
      <c r="IM31" s="33"/>
      <c r="IN31" s="74" t="e">
        <f t="shared" ca="1" si="184"/>
        <v>#N/A</v>
      </c>
      <c r="IO31" s="75" t="e">
        <f t="shared" ca="1" si="185"/>
        <v>#N/A</v>
      </c>
      <c r="IP31" s="75" t="e">
        <f t="shared" ca="1" si="186"/>
        <v>#N/A</v>
      </c>
      <c r="IQ31" s="74" t="e">
        <f t="shared" ca="1" si="187"/>
        <v>#N/A</v>
      </c>
      <c r="IR31" s="74" t="e">
        <f t="shared" ca="1" si="188"/>
        <v>#N/A</v>
      </c>
    </row>
    <row r="32" spans="1:252" s="1" customFormat="1" x14ac:dyDescent="0.35">
      <c r="A32" s="33">
        <v>0</v>
      </c>
      <c r="B32" s="33">
        <v>0</v>
      </c>
      <c r="C32" s="33">
        <v>1</v>
      </c>
      <c r="E32" s="4"/>
      <c r="F32" t="s">
        <v>296</v>
      </c>
      <c r="G32" s="5" t="s">
        <v>542</v>
      </c>
      <c r="H32" s="4" t="s">
        <v>533</v>
      </c>
      <c r="I32" s="7" t="s">
        <v>534</v>
      </c>
      <c r="J32" s="276" t="s">
        <v>805</v>
      </c>
      <c r="K32" s="39" t="s">
        <v>805</v>
      </c>
      <c r="L32" s="39" t="s">
        <v>805</v>
      </c>
      <c r="M32" s="39" t="s">
        <v>805</v>
      </c>
      <c r="N32" s="39" t="s">
        <v>805</v>
      </c>
      <c r="O32" s="39" t="s">
        <v>805</v>
      </c>
      <c r="P32" s="39" t="s">
        <v>805</v>
      </c>
      <c r="Q32" s="39" t="s">
        <v>805</v>
      </c>
      <c r="R32" s="39" t="s">
        <v>805</v>
      </c>
      <c r="S32" s="39" t="s">
        <v>805</v>
      </c>
      <c r="T32" s="39" t="s">
        <v>805</v>
      </c>
      <c r="U32" s="39" t="s">
        <v>805</v>
      </c>
      <c r="V32" s="39" t="s">
        <v>805</v>
      </c>
      <c r="W32" s="39" t="s">
        <v>805</v>
      </c>
      <c r="X32" s="39" t="s">
        <v>805</v>
      </c>
      <c r="Y32" s="39" t="s">
        <v>805</v>
      </c>
      <c r="Z32" s="39" t="s">
        <v>805</v>
      </c>
      <c r="AA32" s="39" t="s">
        <v>805</v>
      </c>
      <c r="AB32" s="39" t="s">
        <v>805</v>
      </c>
      <c r="AC32" s="39" t="s">
        <v>805</v>
      </c>
      <c r="AD32" s="39" t="s">
        <v>805</v>
      </c>
      <c r="AE32" s="39" t="s">
        <v>805</v>
      </c>
      <c r="AF32" s="39" t="s">
        <v>805</v>
      </c>
      <c r="AG32" s="39" t="s">
        <v>805</v>
      </c>
      <c r="AH32" s="39" t="s">
        <v>805</v>
      </c>
      <c r="AI32" s="39" t="s">
        <v>805</v>
      </c>
      <c r="AJ32" s="39" t="s">
        <v>805</v>
      </c>
      <c r="AK32" s="39" t="s">
        <v>805</v>
      </c>
      <c r="AL32" s="39" t="s">
        <v>805</v>
      </c>
      <c r="AM32" s="39" t="s">
        <v>805</v>
      </c>
      <c r="AN32" s="39" t="s">
        <v>805</v>
      </c>
      <c r="AO32" s="39" t="s">
        <v>805</v>
      </c>
      <c r="AP32" s="39" t="s">
        <v>805</v>
      </c>
      <c r="AQ32" s="39" t="s">
        <v>805</v>
      </c>
      <c r="AR32" s="39" t="s">
        <v>805</v>
      </c>
      <c r="AS32" s="39" t="s">
        <v>805</v>
      </c>
      <c r="AT32" s="39" t="s">
        <v>805</v>
      </c>
      <c r="AU32" s="39" t="s">
        <v>805</v>
      </c>
      <c r="AV32" s="39" t="s">
        <v>805</v>
      </c>
      <c r="AW32" s="39" t="s">
        <v>805</v>
      </c>
      <c r="AX32" s="39" t="s">
        <v>805</v>
      </c>
      <c r="AY32" s="39" t="s">
        <v>805</v>
      </c>
      <c r="AZ32" s="39" t="s">
        <v>805</v>
      </c>
      <c r="BA32" s="39" t="s">
        <v>805</v>
      </c>
      <c r="BB32" s="39" t="s">
        <v>805</v>
      </c>
      <c r="BC32" s="39" t="s">
        <v>805</v>
      </c>
      <c r="BD32" s="39" t="s">
        <v>805</v>
      </c>
      <c r="BE32" s="39" t="s">
        <v>805</v>
      </c>
      <c r="BF32" s="39" t="s">
        <v>805</v>
      </c>
      <c r="BG32" s="39" t="s">
        <v>805</v>
      </c>
      <c r="BH32" s="39" t="s">
        <v>805</v>
      </c>
      <c r="BI32" s="39" t="s">
        <v>805</v>
      </c>
      <c r="BJ32" s="39" t="s">
        <v>805</v>
      </c>
      <c r="BK32" s="39" t="s">
        <v>805</v>
      </c>
      <c r="BL32" s="39" t="s">
        <v>805</v>
      </c>
      <c r="BM32" s="39" t="s">
        <v>805</v>
      </c>
      <c r="BN32" s="39" t="s">
        <v>805</v>
      </c>
      <c r="BO32" s="39" t="s">
        <v>805</v>
      </c>
      <c r="BP32" s="39" t="s">
        <v>805</v>
      </c>
      <c r="BQ32" s="39" t="s">
        <v>805</v>
      </c>
      <c r="BR32" s="39" t="s">
        <v>805</v>
      </c>
      <c r="BS32" s="39" t="s">
        <v>805</v>
      </c>
      <c r="BT32" s="39" t="s">
        <v>805</v>
      </c>
      <c r="BU32" s="39" t="s">
        <v>805</v>
      </c>
      <c r="BV32" s="39" t="s">
        <v>805</v>
      </c>
      <c r="BW32" s="39" t="s">
        <v>805</v>
      </c>
      <c r="BX32" s="39" t="s">
        <v>805</v>
      </c>
      <c r="BY32" s="39" t="s">
        <v>805</v>
      </c>
      <c r="BZ32" s="39" t="s">
        <v>805</v>
      </c>
      <c r="CA32" s="39" t="s">
        <v>805</v>
      </c>
      <c r="CB32" s="39" t="s">
        <v>805</v>
      </c>
      <c r="CC32" s="39" t="s">
        <v>805</v>
      </c>
      <c r="CD32" s="39" t="s">
        <v>805</v>
      </c>
      <c r="CE32" s="39" t="s">
        <v>805</v>
      </c>
      <c r="CF32" s="39" t="s">
        <v>805</v>
      </c>
      <c r="CG32" s="39" t="s">
        <v>805</v>
      </c>
      <c r="CH32" s="39" t="s">
        <v>805</v>
      </c>
      <c r="CI32" s="39" t="s">
        <v>805</v>
      </c>
      <c r="CJ32" s="39" t="s">
        <v>805</v>
      </c>
      <c r="CK32" s="39" t="s">
        <v>805</v>
      </c>
      <c r="CL32" s="39" t="s">
        <v>805</v>
      </c>
      <c r="CM32" s="39" t="s">
        <v>805</v>
      </c>
      <c r="CN32" s="39" t="s">
        <v>805</v>
      </c>
      <c r="CO32" s="39" t="s">
        <v>805</v>
      </c>
      <c r="CP32" s="39" t="s">
        <v>805</v>
      </c>
      <c r="CQ32" s="39" t="s">
        <v>805</v>
      </c>
      <c r="CR32" s="39" t="s">
        <v>805</v>
      </c>
      <c r="CS32" s="39" t="s">
        <v>805</v>
      </c>
      <c r="CT32" s="39" t="s">
        <v>805</v>
      </c>
      <c r="CU32" s="39" t="s">
        <v>805</v>
      </c>
      <c r="CV32" s="39" t="s">
        <v>805</v>
      </c>
      <c r="CW32" s="39" t="s">
        <v>805</v>
      </c>
      <c r="CX32" s="39" t="s">
        <v>805</v>
      </c>
      <c r="CY32" s="39" t="s">
        <v>805</v>
      </c>
      <c r="CZ32" s="39" t="s">
        <v>805</v>
      </c>
      <c r="DA32" s="39" t="s">
        <v>805</v>
      </c>
      <c r="DB32" s="39" t="s">
        <v>805</v>
      </c>
      <c r="DC32" s="39" t="s">
        <v>805</v>
      </c>
      <c r="DD32" s="39" t="s">
        <v>805</v>
      </c>
      <c r="DE32" s="39" t="s">
        <v>805</v>
      </c>
      <c r="DF32" s="39" t="s">
        <v>805</v>
      </c>
      <c r="DG32" s="28">
        <f>'KPI Count-SHARE'!J27</f>
        <v>0</v>
      </c>
      <c r="DH32" s="105"/>
      <c r="DI32" s="105"/>
      <c r="DJ32" s="105"/>
      <c r="DK32" s="28">
        <f>'KPI Count-SHARE'!K27</f>
        <v>0</v>
      </c>
      <c r="DL32" s="39"/>
      <c r="DM32" s="39"/>
      <c r="DN32" s="39"/>
      <c r="DO32" s="28">
        <f>'KPI Count-SHARE'!L27</f>
        <v>0</v>
      </c>
      <c r="DP32" s="61"/>
      <c r="DQ32" s="61"/>
      <c r="DR32" s="61"/>
      <c r="DS32" s="28">
        <f>'KPI Count-SHARE'!M27</f>
        <v>0</v>
      </c>
      <c r="DT32" s="39"/>
      <c r="DU32" s="39"/>
      <c r="DV32" s="39"/>
      <c r="DW32" s="30" t="s">
        <v>533</v>
      </c>
      <c r="DX32" s="39" t="str">
        <f t="shared" si="79"/>
        <v/>
      </c>
      <c r="DY32" s="39" t="str">
        <f t="shared" si="80"/>
        <v/>
      </c>
      <c r="DZ32" s="39" t="str">
        <f t="shared" si="81"/>
        <v/>
      </c>
      <c r="EA32" s="39" t="str">
        <f t="shared" si="179"/>
        <v/>
      </c>
      <c r="EB32" s="39" t="str">
        <f t="shared" si="180"/>
        <v/>
      </c>
      <c r="EC32" s="39" t="str">
        <f t="shared" si="181"/>
        <v/>
      </c>
      <c r="ED32" s="39" t="str">
        <f t="shared" si="82"/>
        <v/>
      </c>
      <c r="EE32" s="39" t="str">
        <f t="shared" si="83"/>
        <v/>
      </c>
      <c r="EF32" s="39" t="str">
        <f t="shared" si="84"/>
        <v/>
      </c>
      <c r="EG32" s="39" t="str">
        <f t="shared" si="85"/>
        <v/>
      </c>
      <c r="EH32" s="39" t="str">
        <f t="shared" si="86"/>
        <v/>
      </c>
      <c r="EI32" s="39" t="str">
        <f t="shared" si="190"/>
        <v/>
      </c>
      <c r="EJ32" s="39" t="str">
        <f t="shared" si="190"/>
        <v/>
      </c>
      <c r="EK32" s="39" t="str">
        <f t="shared" si="190"/>
        <v/>
      </c>
      <c r="EL32" s="39" t="str">
        <f t="shared" si="190"/>
        <v/>
      </c>
      <c r="EM32" s="39" t="str">
        <f t="shared" si="190"/>
        <v/>
      </c>
      <c r="EN32" s="39" t="str">
        <f t="shared" si="190"/>
        <v/>
      </c>
      <c r="EO32" s="39" t="str">
        <f t="shared" si="190"/>
        <v/>
      </c>
      <c r="EP32" s="39" t="str">
        <f t="shared" si="190"/>
        <v/>
      </c>
      <c r="EQ32" s="39" t="str">
        <f t="shared" si="190"/>
        <v/>
      </c>
      <c r="ER32" s="39" t="str">
        <f t="shared" si="190"/>
        <v/>
      </c>
      <c r="ES32" s="39" t="str">
        <f t="shared" si="190"/>
        <v/>
      </c>
      <c r="ET32" s="39" t="str">
        <f t="shared" si="190"/>
        <v/>
      </c>
      <c r="EU32" s="39" t="str">
        <f t="shared" si="88"/>
        <v/>
      </c>
      <c r="EV32" s="39" t="str">
        <f t="shared" si="89"/>
        <v/>
      </c>
      <c r="EW32" s="39" t="str">
        <f t="shared" si="90"/>
        <v/>
      </c>
      <c r="EX32" s="39" t="str">
        <f t="shared" si="91"/>
        <v/>
      </c>
      <c r="EY32" s="39" t="str">
        <f t="shared" si="92"/>
        <v/>
      </c>
      <c r="EZ32" s="39" t="str">
        <f t="shared" si="93"/>
        <v/>
      </c>
      <c r="FA32" s="39" t="str">
        <f t="shared" si="94"/>
        <v/>
      </c>
      <c r="FB32" s="39" t="str">
        <f t="shared" si="95"/>
        <v/>
      </c>
      <c r="FC32" s="39" t="str">
        <f t="shared" si="96"/>
        <v/>
      </c>
      <c r="FD32" s="39" t="str">
        <f t="shared" si="97"/>
        <v/>
      </c>
      <c r="FE32" s="39" t="str">
        <f t="shared" si="98"/>
        <v/>
      </c>
      <c r="FF32" s="39" t="str">
        <f t="shared" si="99"/>
        <v/>
      </c>
      <c r="FG32" s="39" t="str">
        <f t="shared" si="100"/>
        <v/>
      </c>
      <c r="FH32" s="39" t="str">
        <f t="shared" si="101"/>
        <v/>
      </c>
      <c r="FI32" s="39" t="str">
        <f t="shared" si="102"/>
        <v/>
      </c>
      <c r="FJ32" s="39" t="str">
        <f t="shared" si="103"/>
        <v/>
      </c>
      <c r="FK32" s="39" t="str">
        <f t="shared" si="104"/>
        <v/>
      </c>
      <c r="FL32" s="39" t="str">
        <f t="shared" si="105"/>
        <v/>
      </c>
      <c r="FM32" s="39" t="str">
        <f t="shared" si="106"/>
        <v/>
      </c>
      <c r="FN32" s="39" t="str">
        <f t="shared" si="107"/>
        <v/>
      </c>
      <c r="FO32" s="39" t="str">
        <f t="shared" si="108"/>
        <v/>
      </c>
      <c r="FP32" s="39" t="str">
        <f t="shared" si="109"/>
        <v/>
      </c>
      <c r="FQ32" s="39" t="str">
        <f t="shared" si="110"/>
        <v/>
      </c>
      <c r="FR32" s="39" t="str">
        <f t="shared" si="111"/>
        <v/>
      </c>
      <c r="FS32" s="39" t="str">
        <f t="shared" si="112"/>
        <v/>
      </c>
      <c r="FT32" s="39" t="str">
        <f t="shared" si="113"/>
        <v/>
      </c>
      <c r="FU32" s="39" t="str">
        <f t="shared" si="114"/>
        <v/>
      </c>
      <c r="FV32" s="39" t="str">
        <f t="shared" si="115"/>
        <v/>
      </c>
      <c r="FW32" s="39" t="str">
        <f t="shared" si="116"/>
        <v/>
      </c>
      <c r="FX32" s="39" t="str">
        <f t="shared" si="117"/>
        <v/>
      </c>
      <c r="FY32" s="39" t="str">
        <f t="shared" si="118"/>
        <v/>
      </c>
      <c r="FZ32" s="39" t="str">
        <f t="shared" si="119"/>
        <v/>
      </c>
      <c r="GA32" s="39" t="str">
        <f t="shared" si="120"/>
        <v/>
      </c>
      <c r="GB32" s="39" t="str">
        <f t="shared" si="121"/>
        <v/>
      </c>
      <c r="GC32" s="39" t="str">
        <f t="shared" si="122"/>
        <v/>
      </c>
      <c r="GD32" s="39" t="str">
        <f t="shared" si="123"/>
        <v/>
      </c>
      <c r="GE32" s="39" t="str">
        <f t="shared" si="124"/>
        <v/>
      </c>
      <c r="GF32" s="39" t="str">
        <f t="shared" si="125"/>
        <v/>
      </c>
      <c r="GG32" s="39" t="str">
        <f t="shared" si="126"/>
        <v/>
      </c>
      <c r="GH32" s="39" t="str">
        <f t="shared" si="127"/>
        <v/>
      </c>
      <c r="GI32" s="39" t="str">
        <f t="shared" si="128"/>
        <v/>
      </c>
      <c r="GJ32" s="39" t="str">
        <f t="shared" si="129"/>
        <v/>
      </c>
      <c r="GK32" s="39" t="str">
        <f t="shared" si="130"/>
        <v/>
      </c>
      <c r="GL32" s="39" t="str">
        <f t="shared" si="131"/>
        <v/>
      </c>
      <c r="GM32" s="39" t="str">
        <f t="shared" si="132"/>
        <v/>
      </c>
      <c r="GN32" s="39" t="str">
        <f t="shared" si="133"/>
        <v/>
      </c>
      <c r="GO32" s="39" t="str">
        <f t="shared" si="134"/>
        <v/>
      </c>
      <c r="GP32" s="39" t="str">
        <f t="shared" si="135"/>
        <v/>
      </c>
      <c r="GQ32" s="39" t="str">
        <f t="shared" si="136"/>
        <v/>
      </c>
      <c r="GR32" s="39" t="str">
        <f t="shared" si="137"/>
        <v/>
      </c>
      <c r="GS32" s="39" t="str">
        <f t="shared" si="138"/>
        <v/>
      </c>
      <c r="GT32" s="39" t="str">
        <f t="shared" si="139"/>
        <v/>
      </c>
      <c r="GU32" s="39" t="str">
        <f t="shared" si="140"/>
        <v/>
      </c>
      <c r="GV32" s="39" t="str">
        <f t="shared" si="141"/>
        <v/>
      </c>
      <c r="GW32" s="39" t="str">
        <f t="shared" si="142"/>
        <v/>
      </c>
      <c r="GX32" s="39" t="str">
        <f t="shared" si="143"/>
        <v/>
      </c>
      <c r="GY32" s="39" t="str">
        <f t="shared" si="144"/>
        <v/>
      </c>
      <c r="GZ32" s="39" t="str">
        <f t="shared" si="145"/>
        <v/>
      </c>
      <c r="HA32" s="39" t="str">
        <f t="shared" si="146"/>
        <v/>
      </c>
      <c r="HB32" s="39" t="str">
        <f t="shared" si="147"/>
        <v/>
      </c>
      <c r="HC32" s="39" t="str">
        <f t="shared" si="148"/>
        <v/>
      </c>
      <c r="HD32" s="39" t="str">
        <f t="shared" si="149"/>
        <v/>
      </c>
      <c r="HE32" s="39" t="str">
        <f t="shared" si="150"/>
        <v/>
      </c>
      <c r="HF32" s="39" t="str">
        <f t="shared" si="151"/>
        <v/>
      </c>
      <c r="HG32" s="39" t="str">
        <f t="shared" si="152"/>
        <v/>
      </c>
      <c r="HH32" s="39" t="str">
        <f t="shared" si="153"/>
        <v/>
      </c>
      <c r="HI32" s="39" t="str">
        <f t="shared" si="154"/>
        <v/>
      </c>
      <c r="HJ32" s="39" t="str">
        <f t="shared" si="155"/>
        <v/>
      </c>
      <c r="HK32" s="39" t="str">
        <f t="shared" si="156"/>
        <v/>
      </c>
      <c r="HL32" s="39" t="str">
        <f t="shared" si="157"/>
        <v/>
      </c>
      <c r="HM32" s="39" t="str">
        <f t="shared" si="158"/>
        <v/>
      </c>
      <c r="HN32" s="39" t="str">
        <f t="shared" si="159"/>
        <v/>
      </c>
      <c r="HO32" s="39" t="str">
        <f t="shared" si="160"/>
        <v/>
      </c>
      <c r="HP32" s="39" t="str">
        <f t="shared" si="161"/>
        <v/>
      </c>
      <c r="HQ32" s="39" t="str">
        <f t="shared" si="162"/>
        <v/>
      </c>
      <c r="HR32" s="39" t="str">
        <f t="shared" si="163"/>
        <v/>
      </c>
      <c r="HS32" s="39" t="str">
        <f t="shared" si="164"/>
        <v/>
      </c>
      <c r="HT32" s="39" t="str">
        <f t="shared" si="164"/>
        <v/>
      </c>
      <c r="HU32" s="83" t="str">
        <f t="shared" si="182"/>
        <v>-</v>
      </c>
      <c r="HV32" s="84" t="str">
        <f t="shared" si="165"/>
        <v/>
      </c>
      <c r="HW32" s="85" t="str">
        <f t="shared" si="166"/>
        <v/>
      </c>
      <c r="HX32" s="84" t="str">
        <f t="shared" si="183"/>
        <v/>
      </c>
      <c r="HY32" s="84" t="str">
        <f t="shared" si="167"/>
        <v/>
      </c>
      <c r="HZ32" s="84" t="str">
        <f t="shared" si="168"/>
        <v/>
      </c>
      <c r="IA32" s="83" t="str">
        <f t="shared" si="169"/>
        <v/>
      </c>
      <c r="IB32" s="84" t="str">
        <f t="shared" si="170"/>
        <v/>
      </c>
      <c r="IC32" s="85" t="str">
        <f t="shared" si="171"/>
        <v/>
      </c>
      <c r="ID32" s="83" t="str">
        <f t="shared" si="172"/>
        <v/>
      </c>
      <c r="IE32" s="84" t="str">
        <f t="shared" si="173"/>
        <v/>
      </c>
      <c r="IF32" s="85" t="str">
        <f t="shared" si="174"/>
        <v/>
      </c>
      <c r="IH32" s="66">
        <v>32</v>
      </c>
      <c r="II32" s="66" t="e">
        <f t="shared" ca="1" si="175"/>
        <v>#N/A</v>
      </c>
      <c r="IJ32" s="66" t="e">
        <f t="shared" ca="1" si="176"/>
        <v>#N/A</v>
      </c>
      <c r="IK32" s="66" t="e">
        <f t="shared" ca="1" si="177"/>
        <v>#N/A</v>
      </c>
      <c r="IL32" s="66" t="e">
        <f t="shared" ca="1" si="178"/>
        <v>#N/A</v>
      </c>
      <c r="IM32" s="33"/>
      <c r="IN32" s="74" t="e">
        <f t="shared" ca="1" si="184"/>
        <v>#N/A</v>
      </c>
      <c r="IO32" s="75" t="e">
        <f t="shared" ca="1" si="185"/>
        <v>#N/A</v>
      </c>
      <c r="IP32" s="75" t="e">
        <f t="shared" ca="1" si="186"/>
        <v>#N/A</v>
      </c>
      <c r="IQ32" s="74" t="e">
        <f t="shared" ca="1" si="187"/>
        <v>#N/A</v>
      </c>
      <c r="IR32" s="74" t="e">
        <f t="shared" ca="1" si="188"/>
        <v>#N/A</v>
      </c>
    </row>
    <row r="33" spans="1:252" s="1" customFormat="1" x14ac:dyDescent="0.35">
      <c r="A33" s="33">
        <v>0</v>
      </c>
      <c r="B33" s="33">
        <v>0</v>
      </c>
      <c r="C33" s="33">
        <v>1</v>
      </c>
      <c r="E33" s="4"/>
      <c r="F33" t="s">
        <v>297</v>
      </c>
      <c r="G33" s="5" t="s">
        <v>542</v>
      </c>
      <c r="H33" s="4" t="s">
        <v>531</v>
      </c>
      <c r="I33" s="7" t="s">
        <v>532</v>
      </c>
      <c r="J33" s="276" t="s">
        <v>805</v>
      </c>
      <c r="K33" s="39" t="s">
        <v>805</v>
      </c>
      <c r="L33" s="39" t="s">
        <v>805</v>
      </c>
      <c r="M33" s="39" t="s">
        <v>805</v>
      </c>
      <c r="N33" s="39" t="s">
        <v>805</v>
      </c>
      <c r="O33" s="39" t="s">
        <v>805</v>
      </c>
      <c r="P33" s="39" t="s">
        <v>805</v>
      </c>
      <c r="Q33" s="39" t="s">
        <v>805</v>
      </c>
      <c r="R33" s="39" t="s">
        <v>805</v>
      </c>
      <c r="S33" s="39" t="s">
        <v>805</v>
      </c>
      <c r="T33" s="39" t="s">
        <v>805</v>
      </c>
      <c r="U33" s="39" t="s">
        <v>805</v>
      </c>
      <c r="V33" s="39" t="s">
        <v>805</v>
      </c>
      <c r="W33" s="39" t="s">
        <v>805</v>
      </c>
      <c r="X33" s="39" t="s">
        <v>805</v>
      </c>
      <c r="Y33" s="39" t="s">
        <v>805</v>
      </c>
      <c r="Z33" s="39" t="s">
        <v>805</v>
      </c>
      <c r="AA33" s="39" t="s">
        <v>805</v>
      </c>
      <c r="AB33" s="39" t="s">
        <v>805</v>
      </c>
      <c r="AC33" s="39" t="s">
        <v>805</v>
      </c>
      <c r="AD33" s="39" t="s">
        <v>805</v>
      </c>
      <c r="AE33" s="39" t="s">
        <v>805</v>
      </c>
      <c r="AF33" s="39" t="s">
        <v>805</v>
      </c>
      <c r="AG33" s="39" t="s">
        <v>805</v>
      </c>
      <c r="AH33" s="39" t="s">
        <v>805</v>
      </c>
      <c r="AI33" s="39" t="s">
        <v>805</v>
      </c>
      <c r="AJ33" s="39" t="s">
        <v>805</v>
      </c>
      <c r="AK33" s="39" t="s">
        <v>805</v>
      </c>
      <c r="AL33" s="39" t="s">
        <v>805</v>
      </c>
      <c r="AM33" s="39" t="s">
        <v>805</v>
      </c>
      <c r="AN33" s="39" t="s">
        <v>805</v>
      </c>
      <c r="AO33" s="39" t="s">
        <v>805</v>
      </c>
      <c r="AP33" s="39" t="s">
        <v>805</v>
      </c>
      <c r="AQ33" s="39" t="s">
        <v>805</v>
      </c>
      <c r="AR33" s="39" t="s">
        <v>805</v>
      </c>
      <c r="AS33" s="39" t="s">
        <v>805</v>
      </c>
      <c r="AT33" s="39" t="s">
        <v>805</v>
      </c>
      <c r="AU33" s="39" t="s">
        <v>805</v>
      </c>
      <c r="AV33" s="39" t="s">
        <v>805</v>
      </c>
      <c r="AW33" s="39" t="s">
        <v>805</v>
      </c>
      <c r="AX33" s="39" t="s">
        <v>805</v>
      </c>
      <c r="AY33" s="39" t="s">
        <v>805</v>
      </c>
      <c r="AZ33" s="39" t="s">
        <v>805</v>
      </c>
      <c r="BA33" s="39" t="s">
        <v>805</v>
      </c>
      <c r="BB33" s="39" t="s">
        <v>805</v>
      </c>
      <c r="BC33" s="39" t="s">
        <v>805</v>
      </c>
      <c r="BD33" s="39" t="s">
        <v>805</v>
      </c>
      <c r="BE33" s="39" t="s">
        <v>805</v>
      </c>
      <c r="BF33" s="39" t="s">
        <v>805</v>
      </c>
      <c r="BG33" s="39" t="s">
        <v>805</v>
      </c>
      <c r="BH33" s="39" t="s">
        <v>805</v>
      </c>
      <c r="BI33" s="39" t="s">
        <v>805</v>
      </c>
      <c r="BJ33" s="39" t="s">
        <v>805</v>
      </c>
      <c r="BK33" s="39" t="s">
        <v>805</v>
      </c>
      <c r="BL33" s="39" t="s">
        <v>805</v>
      </c>
      <c r="BM33" s="39" t="s">
        <v>805</v>
      </c>
      <c r="BN33" s="39" t="s">
        <v>805</v>
      </c>
      <c r="BO33" s="39" t="s">
        <v>805</v>
      </c>
      <c r="BP33" s="39" t="s">
        <v>805</v>
      </c>
      <c r="BQ33" s="39" t="s">
        <v>805</v>
      </c>
      <c r="BR33" s="39" t="s">
        <v>805</v>
      </c>
      <c r="BS33" s="39" t="s">
        <v>805</v>
      </c>
      <c r="BT33" s="39" t="s">
        <v>805</v>
      </c>
      <c r="BU33" s="39" t="s">
        <v>805</v>
      </c>
      <c r="BV33" s="39" t="s">
        <v>805</v>
      </c>
      <c r="BW33" s="39" t="s">
        <v>805</v>
      </c>
      <c r="BX33" s="39" t="s">
        <v>805</v>
      </c>
      <c r="BY33" s="39" t="s">
        <v>805</v>
      </c>
      <c r="BZ33" s="39" t="s">
        <v>805</v>
      </c>
      <c r="CA33" s="39" t="s">
        <v>805</v>
      </c>
      <c r="CB33" s="39" t="s">
        <v>805</v>
      </c>
      <c r="CC33" s="39" t="s">
        <v>805</v>
      </c>
      <c r="CD33" s="39" t="s">
        <v>805</v>
      </c>
      <c r="CE33" s="39" t="s">
        <v>805</v>
      </c>
      <c r="CF33" s="39" t="s">
        <v>805</v>
      </c>
      <c r="CG33" s="39" t="s">
        <v>805</v>
      </c>
      <c r="CH33" s="39" t="s">
        <v>805</v>
      </c>
      <c r="CI33" s="39" t="s">
        <v>805</v>
      </c>
      <c r="CJ33" s="39" t="s">
        <v>805</v>
      </c>
      <c r="CK33" s="39" t="s">
        <v>805</v>
      </c>
      <c r="CL33" s="39" t="s">
        <v>805</v>
      </c>
      <c r="CM33" s="39" t="s">
        <v>805</v>
      </c>
      <c r="CN33" s="39" t="s">
        <v>805</v>
      </c>
      <c r="CO33" s="39" t="s">
        <v>805</v>
      </c>
      <c r="CP33" s="39" t="s">
        <v>805</v>
      </c>
      <c r="CQ33" s="39" t="s">
        <v>805</v>
      </c>
      <c r="CR33" s="39" t="s">
        <v>805</v>
      </c>
      <c r="CS33" s="39" t="s">
        <v>805</v>
      </c>
      <c r="CT33" s="39" t="s">
        <v>805</v>
      </c>
      <c r="CU33" s="39" t="s">
        <v>805</v>
      </c>
      <c r="CV33" s="39" t="s">
        <v>805</v>
      </c>
      <c r="CW33" s="39" t="s">
        <v>805</v>
      </c>
      <c r="CX33" s="39" t="s">
        <v>805</v>
      </c>
      <c r="CY33" s="39" t="s">
        <v>805</v>
      </c>
      <c r="CZ33" s="39" t="s">
        <v>805</v>
      </c>
      <c r="DA33" s="39" t="s">
        <v>805</v>
      </c>
      <c r="DB33" s="39" t="s">
        <v>805</v>
      </c>
      <c r="DC33" s="39" t="s">
        <v>805</v>
      </c>
      <c r="DD33" s="39" t="s">
        <v>805</v>
      </c>
      <c r="DE33" s="39" t="s">
        <v>805</v>
      </c>
      <c r="DF33" s="39" t="s">
        <v>805</v>
      </c>
      <c r="DG33" s="28">
        <f>'KPI Count-SHARE'!J28</f>
        <v>0</v>
      </c>
      <c r="DH33" s="105"/>
      <c r="DI33" s="105"/>
      <c r="DJ33" s="105"/>
      <c r="DK33" s="28">
        <f>'KPI Count-SHARE'!K28</f>
        <v>0</v>
      </c>
      <c r="DL33" s="39"/>
      <c r="DM33" s="39"/>
      <c r="DN33" s="39"/>
      <c r="DO33" s="28">
        <f>'KPI Count-SHARE'!L28</f>
        <v>0</v>
      </c>
      <c r="DP33" s="39"/>
      <c r="DQ33" s="39"/>
      <c r="DR33" s="39"/>
      <c r="DS33" s="28">
        <f>'KPI Count-SHARE'!M28</f>
        <v>0</v>
      </c>
      <c r="DT33" s="39"/>
      <c r="DU33" s="39"/>
      <c r="DV33" s="39"/>
      <c r="DW33" s="30" t="s">
        <v>531</v>
      </c>
      <c r="DX33" s="91" t="str">
        <f t="shared" si="79"/>
        <v/>
      </c>
      <c r="DY33" s="91" t="str">
        <f t="shared" si="80"/>
        <v/>
      </c>
      <c r="DZ33" s="91" t="str">
        <f t="shared" si="81"/>
        <v/>
      </c>
      <c r="EA33" s="91" t="str">
        <f t="shared" si="179"/>
        <v/>
      </c>
      <c r="EB33" s="91" t="str">
        <f t="shared" si="180"/>
        <v/>
      </c>
      <c r="EC33" s="91" t="str">
        <f t="shared" si="181"/>
        <v/>
      </c>
      <c r="ED33" s="91" t="str">
        <f t="shared" si="82"/>
        <v/>
      </c>
      <c r="EE33" s="91" t="str">
        <f t="shared" si="83"/>
        <v/>
      </c>
      <c r="EF33" s="91" t="str">
        <f t="shared" si="84"/>
        <v/>
      </c>
      <c r="EG33" s="91" t="str">
        <f t="shared" si="85"/>
        <v/>
      </c>
      <c r="EH33" s="91" t="str">
        <f t="shared" si="86"/>
        <v/>
      </c>
      <c r="EI33" s="91" t="str">
        <f t="shared" si="190"/>
        <v/>
      </c>
      <c r="EJ33" s="91" t="str">
        <f t="shared" si="190"/>
        <v/>
      </c>
      <c r="EK33" s="91" t="str">
        <f t="shared" si="190"/>
        <v/>
      </c>
      <c r="EL33" s="91" t="str">
        <f t="shared" si="190"/>
        <v/>
      </c>
      <c r="EM33" s="91" t="str">
        <f t="shared" si="190"/>
        <v/>
      </c>
      <c r="EN33" s="91" t="str">
        <f t="shared" si="190"/>
        <v/>
      </c>
      <c r="EO33" s="91" t="str">
        <f t="shared" si="190"/>
        <v/>
      </c>
      <c r="EP33" s="91" t="str">
        <f t="shared" si="190"/>
        <v/>
      </c>
      <c r="EQ33" s="91" t="str">
        <f t="shared" si="190"/>
        <v/>
      </c>
      <c r="ER33" s="91" t="str">
        <f t="shared" si="190"/>
        <v/>
      </c>
      <c r="ES33" s="91" t="str">
        <f t="shared" si="190"/>
        <v/>
      </c>
      <c r="ET33" s="91" t="str">
        <f t="shared" si="190"/>
        <v/>
      </c>
      <c r="EU33" s="91" t="str">
        <f t="shared" si="88"/>
        <v/>
      </c>
      <c r="EV33" s="91" t="str">
        <f t="shared" si="89"/>
        <v/>
      </c>
      <c r="EW33" s="91" t="str">
        <f t="shared" si="90"/>
        <v/>
      </c>
      <c r="EX33" s="91" t="str">
        <f t="shared" si="91"/>
        <v/>
      </c>
      <c r="EY33" s="91" t="str">
        <f t="shared" si="92"/>
        <v/>
      </c>
      <c r="EZ33" s="91" t="str">
        <f t="shared" si="93"/>
        <v/>
      </c>
      <c r="FA33" s="91" t="str">
        <f t="shared" si="94"/>
        <v/>
      </c>
      <c r="FB33" s="91" t="str">
        <f t="shared" si="95"/>
        <v/>
      </c>
      <c r="FC33" s="91" t="str">
        <f t="shared" si="96"/>
        <v/>
      </c>
      <c r="FD33" s="91" t="str">
        <f t="shared" si="97"/>
        <v/>
      </c>
      <c r="FE33" s="91" t="str">
        <f t="shared" si="98"/>
        <v/>
      </c>
      <c r="FF33" s="91" t="str">
        <f t="shared" si="99"/>
        <v/>
      </c>
      <c r="FG33" s="91" t="str">
        <f t="shared" si="100"/>
        <v/>
      </c>
      <c r="FH33" s="91" t="str">
        <f t="shared" si="101"/>
        <v/>
      </c>
      <c r="FI33" s="91" t="str">
        <f t="shared" si="102"/>
        <v/>
      </c>
      <c r="FJ33" s="91" t="str">
        <f t="shared" si="103"/>
        <v/>
      </c>
      <c r="FK33" s="91" t="str">
        <f t="shared" si="104"/>
        <v/>
      </c>
      <c r="FL33" s="91" t="str">
        <f t="shared" si="105"/>
        <v/>
      </c>
      <c r="FM33" s="91" t="str">
        <f t="shared" si="106"/>
        <v/>
      </c>
      <c r="FN33" s="91" t="str">
        <f t="shared" si="107"/>
        <v/>
      </c>
      <c r="FO33" s="91" t="str">
        <f t="shared" si="108"/>
        <v/>
      </c>
      <c r="FP33" s="91" t="str">
        <f t="shared" si="109"/>
        <v/>
      </c>
      <c r="FQ33" s="91" t="str">
        <f t="shared" si="110"/>
        <v/>
      </c>
      <c r="FR33" s="91" t="str">
        <f t="shared" si="111"/>
        <v/>
      </c>
      <c r="FS33" s="91" t="str">
        <f t="shared" si="112"/>
        <v/>
      </c>
      <c r="FT33" s="91" t="str">
        <f t="shared" si="113"/>
        <v/>
      </c>
      <c r="FU33" s="91" t="str">
        <f t="shared" si="114"/>
        <v/>
      </c>
      <c r="FV33" s="91" t="str">
        <f t="shared" si="115"/>
        <v/>
      </c>
      <c r="FW33" s="91" t="str">
        <f t="shared" si="116"/>
        <v/>
      </c>
      <c r="FX33" s="91" t="str">
        <f t="shared" si="117"/>
        <v/>
      </c>
      <c r="FY33" s="91" t="str">
        <f t="shared" si="118"/>
        <v/>
      </c>
      <c r="FZ33" s="91" t="str">
        <f t="shared" si="119"/>
        <v/>
      </c>
      <c r="GA33" s="91" t="str">
        <f t="shared" si="120"/>
        <v/>
      </c>
      <c r="GB33" s="91" t="str">
        <f t="shared" si="121"/>
        <v/>
      </c>
      <c r="GC33" s="91" t="str">
        <f t="shared" si="122"/>
        <v/>
      </c>
      <c r="GD33" s="91" t="str">
        <f t="shared" si="123"/>
        <v/>
      </c>
      <c r="GE33" s="91" t="str">
        <f t="shared" si="124"/>
        <v/>
      </c>
      <c r="GF33" s="91" t="str">
        <f t="shared" si="125"/>
        <v/>
      </c>
      <c r="GG33" s="91" t="str">
        <f t="shared" si="126"/>
        <v/>
      </c>
      <c r="GH33" s="91" t="str">
        <f t="shared" si="127"/>
        <v/>
      </c>
      <c r="GI33" s="91" t="str">
        <f t="shared" si="128"/>
        <v/>
      </c>
      <c r="GJ33" s="91" t="str">
        <f t="shared" si="129"/>
        <v/>
      </c>
      <c r="GK33" s="91" t="str">
        <f t="shared" si="130"/>
        <v/>
      </c>
      <c r="GL33" s="91" t="str">
        <f t="shared" si="131"/>
        <v/>
      </c>
      <c r="GM33" s="91" t="str">
        <f t="shared" si="132"/>
        <v/>
      </c>
      <c r="GN33" s="91" t="str">
        <f t="shared" si="133"/>
        <v/>
      </c>
      <c r="GO33" s="91" t="str">
        <f t="shared" si="134"/>
        <v/>
      </c>
      <c r="GP33" s="91" t="str">
        <f t="shared" si="135"/>
        <v/>
      </c>
      <c r="GQ33" s="91" t="str">
        <f t="shared" si="136"/>
        <v/>
      </c>
      <c r="GR33" s="91" t="str">
        <f t="shared" si="137"/>
        <v/>
      </c>
      <c r="GS33" s="91" t="str">
        <f t="shared" si="138"/>
        <v/>
      </c>
      <c r="GT33" s="91" t="str">
        <f t="shared" si="139"/>
        <v/>
      </c>
      <c r="GU33" s="91" t="str">
        <f t="shared" si="140"/>
        <v/>
      </c>
      <c r="GV33" s="91" t="str">
        <f t="shared" si="141"/>
        <v/>
      </c>
      <c r="GW33" s="91" t="str">
        <f t="shared" si="142"/>
        <v/>
      </c>
      <c r="GX33" s="91" t="str">
        <f t="shared" si="143"/>
        <v/>
      </c>
      <c r="GY33" s="91" t="str">
        <f t="shared" si="144"/>
        <v/>
      </c>
      <c r="GZ33" s="91" t="str">
        <f t="shared" si="145"/>
        <v/>
      </c>
      <c r="HA33" s="91" t="str">
        <f t="shared" si="146"/>
        <v/>
      </c>
      <c r="HB33" s="91" t="str">
        <f t="shared" si="147"/>
        <v/>
      </c>
      <c r="HC33" s="91" t="str">
        <f t="shared" si="148"/>
        <v/>
      </c>
      <c r="HD33" s="91" t="str">
        <f t="shared" si="149"/>
        <v/>
      </c>
      <c r="HE33" s="91" t="str">
        <f t="shared" si="150"/>
        <v/>
      </c>
      <c r="HF33" s="91" t="str">
        <f t="shared" si="151"/>
        <v/>
      </c>
      <c r="HG33" s="91" t="str">
        <f t="shared" si="152"/>
        <v/>
      </c>
      <c r="HH33" s="91" t="str">
        <f t="shared" si="153"/>
        <v/>
      </c>
      <c r="HI33" s="91" t="str">
        <f t="shared" si="154"/>
        <v/>
      </c>
      <c r="HJ33" s="91" t="str">
        <f t="shared" si="155"/>
        <v/>
      </c>
      <c r="HK33" s="91" t="str">
        <f t="shared" si="156"/>
        <v/>
      </c>
      <c r="HL33" s="91" t="str">
        <f t="shared" si="157"/>
        <v/>
      </c>
      <c r="HM33" s="91" t="str">
        <f t="shared" si="158"/>
        <v/>
      </c>
      <c r="HN33" s="91" t="str">
        <f t="shared" si="159"/>
        <v/>
      </c>
      <c r="HO33" s="91" t="str">
        <f t="shared" si="160"/>
        <v/>
      </c>
      <c r="HP33" s="91" t="str">
        <f t="shared" si="161"/>
        <v/>
      </c>
      <c r="HQ33" s="91" t="str">
        <f t="shared" si="162"/>
        <v/>
      </c>
      <c r="HR33" s="91" t="str">
        <f t="shared" si="163"/>
        <v/>
      </c>
      <c r="HS33" s="91" t="str">
        <f t="shared" si="164"/>
        <v/>
      </c>
      <c r="HT33" s="91" t="str">
        <f t="shared" si="164"/>
        <v/>
      </c>
      <c r="HU33" s="92" t="str">
        <f t="shared" si="182"/>
        <v>-</v>
      </c>
      <c r="HV33" s="93" t="str">
        <f t="shared" si="165"/>
        <v/>
      </c>
      <c r="HW33" s="94" t="str">
        <f t="shared" si="166"/>
        <v/>
      </c>
      <c r="HX33" s="93" t="str">
        <f t="shared" si="183"/>
        <v/>
      </c>
      <c r="HY33" s="93" t="str">
        <f t="shared" si="167"/>
        <v/>
      </c>
      <c r="HZ33" s="93" t="str">
        <f t="shared" si="168"/>
        <v/>
      </c>
      <c r="IA33" s="92" t="str">
        <f t="shared" si="169"/>
        <v/>
      </c>
      <c r="IB33" s="93" t="str">
        <f t="shared" si="170"/>
        <v/>
      </c>
      <c r="IC33" s="94" t="str">
        <f t="shared" si="171"/>
        <v/>
      </c>
      <c r="ID33" s="92" t="str">
        <f t="shared" si="172"/>
        <v/>
      </c>
      <c r="IE33" s="93" t="str">
        <f t="shared" si="173"/>
        <v/>
      </c>
      <c r="IF33" s="94" t="str">
        <f t="shared" si="174"/>
        <v/>
      </c>
      <c r="IH33" s="66">
        <v>33</v>
      </c>
      <c r="II33" s="66" t="e">
        <f t="shared" ca="1" si="175"/>
        <v>#N/A</v>
      </c>
      <c r="IJ33" s="66" t="e">
        <f t="shared" ca="1" si="176"/>
        <v>#N/A</v>
      </c>
      <c r="IK33" s="66" t="e">
        <f t="shared" ca="1" si="177"/>
        <v>#N/A</v>
      </c>
      <c r="IL33" s="66" t="e">
        <f t="shared" ca="1" si="178"/>
        <v>#N/A</v>
      </c>
      <c r="IM33" s="33"/>
      <c r="IN33" s="74" t="e">
        <f t="shared" ca="1" si="184"/>
        <v>#N/A</v>
      </c>
      <c r="IO33" s="75" t="e">
        <f t="shared" ca="1" si="185"/>
        <v>#N/A</v>
      </c>
      <c r="IP33" s="75" t="e">
        <f t="shared" ca="1" si="186"/>
        <v>#N/A</v>
      </c>
      <c r="IQ33" s="74" t="e">
        <f t="shared" ca="1" si="187"/>
        <v>#N/A</v>
      </c>
      <c r="IR33" s="74" t="e">
        <f t="shared" ca="1" si="188"/>
        <v>#N/A</v>
      </c>
    </row>
    <row r="34" spans="1:252" s="1" customFormat="1" x14ac:dyDescent="0.35">
      <c r="A34" s="33">
        <v>0</v>
      </c>
      <c r="B34" s="33">
        <v>0</v>
      </c>
      <c r="C34" s="33">
        <v>1</v>
      </c>
      <c r="E34" s="4"/>
      <c r="F34" t="s">
        <v>298</v>
      </c>
      <c r="G34" s="5" t="s">
        <v>542</v>
      </c>
      <c r="H34" s="4" t="s">
        <v>533</v>
      </c>
      <c r="I34" s="7" t="s">
        <v>534</v>
      </c>
      <c r="J34" s="276" t="s">
        <v>805</v>
      </c>
      <c r="K34" s="39" t="s">
        <v>805</v>
      </c>
      <c r="L34" s="39" t="s">
        <v>805</v>
      </c>
      <c r="M34" s="39" t="s">
        <v>805</v>
      </c>
      <c r="N34" s="39" t="s">
        <v>805</v>
      </c>
      <c r="O34" s="39" t="s">
        <v>805</v>
      </c>
      <c r="P34" s="39" t="s">
        <v>805</v>
      </c>
      <c r="Q34" s="39" t="s">
        <v>805</v>
      </c>
      <c r="R34" s="39" t="s">
        <v>805</v>
      </c>
      <c r="S34" s="39" t="s">
        <v>805</v>
      </c>
      <c r="T34" s="39" t="s">
        <v>805</v>
      </c>
      <c r="U34" s="39" t="s">
        <v>805</v>
      </c>
      <c r="V34" s="39" t="s">
        <v>805</v>
      </c>
      <c r="W34" s="39" t="s">
        <v>805</v>
      </c>
      <c r="X34" s="39" t="s">
        <v>805</v>
      </c>
      <c r="Y34" s="39" t="s">
        <v>805</v>
      </c>
      <c r="Z34" s="39" t="s">
        <v>805</v>
      </c>
      <c r="AA34" s="39" t="s">
        <v>805</v>
      </c>
      <c r="AB34" s="39" t="s">
        <v>805</v>
      </c>
      <c r="AC34" s="39" t="s">
        <v>805</v>
      </c>
      <c r="AD34" s="39" t="s">
        <v>805</v>
      </c>
      <c r="AE34" s="39" t="s">
        <v>805</v>
      </c>
      <c r="AF34" s="39" t="s">
        <v>805</v>
      </c>
      <c r="AG34" s="39" t="s">
        <v>805</v>
      </c>
      <c r="AH34" s="39" t="s">
        <v>805</v>
      </c>
      <c r="AI34" s="39" t="s">
        <v>805</v>
      </c>
      <c r="AJ34" s="39" t="s">
        <v>805</v>
      </c>
      <c r="AK34" s="39" t="s">
        <v>805</v>
      </c>
      <c r="AL34" s="39" t="s">
        <v>805</v>
      </c>
      <c r="AM34" s="39" t="s">
        <v>805</v>
      </c>
      <c r="AN34" s="39" t="s">
        <v>805</v>
      </c>
      <c r="AO34" s="39" t="s">
        <v>805</v>
      </c>
      <c r="AP34" s="39" t="s">
        <v>805</v>
      </c>
      <c r="AQ34" s="39" t="s">
        <v>805</v>
      </c>
      <c r="AR34" s="39" t="s">
        <v>805</v>
      </c>
      <c r="AS34" s="39" t="s">
        <v>805</v>
      </c>
      <c r="AT34" s="39" t="s">
        <v>805</v>
      </c>
      <c r="AU34" s="39" t="s">
        <v>805</v>
      </c>
      <c r="AV34" s="39" t="s">
        <v>805</v>
      </c>
      <c r="AW34" s="39" t="s">
        <v>805</v>
      </c>
      <c r="AX34" s="39" t="s">
        <v>805</v>
      </c>
      <c r="AY34" s="39" t="s">
        <v>805</v>
      </c>
      <c r="AZ34" s="39" t="s">
        <v>805</v>
      </c>
      <c r="BA34" s="39" t="s">
        <v>805</v>
      </c>
      <c r="BB34" s="39" t="s">
        <v>805</v>
      </c>
      <c r="BC34" s="39" t="s">
        <v>805</v>
      </c>
      <c r="BD34" s="39" t="s">
        <v>805</v>
      </c>
      <c r="BE34" s="39" t="s">
        <v>805</v>
      </c>
      <c r="BF34" s="39" t="s">
        <v>805</v>
      </c>
      <c r="BG34" s="39" t="s">
        <v>805</v>
      </c>
      <c r="BH34" s="39" t="s">
        <v>805</v>
      </c>
      <c r="BI34" s="39" t="s">
        <v>805</v>
      </c>
      <c r="BJ34" s="39" t="s">
        <v>805</v>
      </c>
      <c r="BK34" s="39" t="s">
        <v>805</v>
      </c>
      <c r="BL34" s="39" t="s">
        <v>805</v>
      </c>
      <c r="BM34" s="39" t="s">
        <v>805</v>
      </c>
      <c r="BN34" s="39" t="s">
        <v>805</v>
      </c>
      <c r="BO34" s="39" t="s">
        <v>805</v>
      </c>
      <c r="BP34" s="39" t="s">
        <v>805</v>
      </c>
      <c r="BQ34" s="39" t="s">
        <v>805</v>
      </c>
      <c r="BR34" s="39" t="s">
        <v>805</v>
      </c>
      <c r="BS34" s="39" t="s">
        <v>805</v>
      </c>
      <c r="BT34" s="39" t="s">
        <v>805</v>
      </c>
      <c r="BU34" s="39" t="s">
        <v>805</v>
      </c>
      <c r="BV34" s="39" t="s">
        <v>805</v>
      </c>
      <c r="BW34" s="39" t="s">
        <v>805</v>
      </c>
      <c r="BX34" s="39" t="s">
        <v>805</v>
      </c>
      <c r="BY34" s="39" t="s">
        <v>805</v>
      </c>
      <c r="BZ34" s="39" t="s">
        <v>805</v>
      </c>
      <c r="CA34" s="39" t="s">
        <v>805</v>
      </c>
      <c r="CB34" s="39" t="s">
        <v>805</v>
      </c>
      <c r="CC34" s="39" t="s">
        <v>805</v>
      </c>
      <c r="CD34" s="39" t="s">
        <v>805</v>
      </c>
      <c r="CE34" s="39" t="s">
        <v>805</v>
      </c>
      <c r="CF34" s="39" t="s">
        <v>805</v>
      </c>
      <c r="CG34" s="39" t="s">
        <v>805</v>
      </c>
      <c r="CH34" s="39" t="s">
        <v>805</v>
      </c>
      <c r="CI34" s="39" t="s">
        <v>805</v>
      </c>
      <c r="CJ34" s="39" t="s">
        <v>805</v>
      </c>
      <c r="CK34" s="39" t="s">
        <v>805</v>
      </c>
      <c r="CL34" s="39" t="s">
        <v>805</v>
      </c>
      <c r="CM34" s="39" t="s">
        <v>805</v>
      </c>
      <c r="CN34" s="39" t="s">
        <v>805</v>
      </c>
      <c r="CO34" s="39" t="s">
        <v>805</v>
      </c>
      <c r="CP34" s="39" t="s">
        <v>805</v>
      </c>
      <c r="CQ34" s="39" t="s">
        <v>805</v>
      </c>
      <c r="CR34" s="39" t="s">
        <v>805</v>
      </c>
      <c r="CS34" s="39" t="s">
        <v>805</v>
      </c>
      <c r="CT34" s="39" t="s">
        <v>805</v>
      </c>
      <c r="CU34" s="39" t="s">
        <v>805</v>
      </c>
      <c r="CV34" s="39" t="s">
        <v>805</v>
      </c>
      <c r="CW34" s="39" t="s">
        <v>805</v>
      </c>
      <c r="CX34" s="39" t="s">
        <v>805</v>
      </c>
      <c r="CY34" s="39" t="s">
        <v>805</v>
      </c>
      <c r="CZ34" s="39" t="s">
        <v>805</v>
      </c>
      <c r="DA34" s="39" t="s">
        <v>805</v>
      </c>
      <c r="DB34" s="39" t="s">
        <v>805</v>
      </c>
      <c r="DC34" s="39" t="s">
        <v>805</v>
      </c>
      <c r="DD34" s="39" t="s">
        <v>805</v>
      </c>
      <c r="DE34" s="39" t="s">
        <v>805</v>
      </c>
      <c r="DF34" s="39" t="s">
        <v>805</v>
      </c>
      <c r="DG34" s="28">
        <f>'KPI Count-SHARE'!J29</f>
        <v>0</v>
      </c>
      <c r="DH34" s="105"/>
      <c r="DI34" s="105"/>
      <c r="DJ34" s="105"/>
      <c r="DK34" s="28">
        <f>'KPI Count-SHARE'!K29</f>
        <v>0</v>
      </c>
      <c r="DL34" s="39"/>
      <c r="DM34" s="39"/>
      <c r="DN34" s="39"/>
      <c r="DO34" s="28">
        <f>'KPI Count-SHARE'!L29</f>
        <v>0</v>
      </c>
      <c r="DP34" s="61"/>
      <c r="DQ34" s="61"/>
      <c r="DR34" s="61"/>
      <c r="DS34" s="28">
        <f>'KPI Count-SHARE'!M29</f>
        <v>0</v>
      </c>
      <c r="DT34" s="39"/>
      <c r="DU34" s="39"/>
      <c r="DV34" s="39"/>
      <c r="DW34" s="30" t="s">
        <v>533</v>
      </c>
      <c r="DX34" s="39" t="str">
        <f t="shared" si="79"/>
        <v/>
      </c>
      <c r="DY34" s="39" t="str">
        <f t="shared" si="80"/>
        <v/>
      </c>
      <c r="DZ34" s="39" t="str">
        <f t="shared" si="81"/>
        <v/>
      </c>
      <c r="EA34" s="39" t="str">
        <f t="shared" si="179"/>
        <v/>
      </c>
      <c r="EB34" s="39" t="str">
        <f t="shared" si="180"/>
        <v/>
      </c>
      <c r="EC34" s="39" t="str">
        <f t="shared" si="181"/>
        <v/>
      </c>
      <c r="ED34" s="39" t="str">
        <f t="shared" si="82"/>
        <v/>
      </c>
      <c r="EE34" s="39" t="str">
        <f t="shared" si="83"/>
        <v/>
      </c>
      <c r="EF34" s="39" t="str">
        <f t="shared" si="84"/>
        <v/>
      </c>
      <c r="EG34" s="39" t="str">
        <f t="shared" si="85"/>
        <v/>
      </c>
      <c r="EH34" s="39" t="str">
        <f t="shared" si="86"/>
        <v/>
      </c>
      <c r="EI34" s="39" t="str">
        <f t="shared" si="190"/>
        <v/>
      </c>
      <c r="EJ34" s="39" t="str">
        <f t="shared" si="190"/>
        <v/>
      </c>
      <c r="EK34" s="39" t="str">
        <f t="shared" si="190"/>
        <v/>
      </c>
      <c r="EL34" s="39" t="str">
        <f t="shared" si="190"/>
        <v/>
      </c>
      <c r="EM34" s="39" t="str">
        <f t="shared" si="190"/>
        <v/>
      </c>
      <c r="EN34" s="39" t="str">
        <f t="shared" si="190"/>
        <v/>
      </c>
      <c r="EO34" s="39" t="str">
        <f t="shared" si="190"/>
        <v/>
      </c>
      <c r="EP34" s="39" t="str">
        <f t="shared" si="190"/>
        <v/>
      </c>
      <c r="EQ34" s="39" t="str">
        <f t="shared" si="190"/>
        <v/>
      </c>
      <c r="ER34" s="39" t="str">
        <f t="shared" si="190"/>
        <v/>
      </c>
      <c r="ES34" s="39" t="str">
        <f t="shared" si="190"/>
        <v/>
      </c>
      <c r="ET34" s="39" t="str">
        <f t="shared" si="190"/>
        <v/>
      </c>
      <c r="EU34" s="39" t="str">
        <f t="shared" si="88"/>
        <v/>
      </c>
      <c r="EV34" s="39" t="str">
        <f t="shared" si="89"/>
        <v/>
      </c>
      <c r="EW34" s="39" t="str">
        <f t="shared" si="90"/>
        <v/>
      </c>
      <c r="EX34" s="39" t="str">
        <f t="shared" si="91"/>
        <v/>
      </c>
      <c r="EY34" s="39" t="str">
        <f t="shared" si="92"/>
        <v/>
      </c>
      <c r="EZ34" s="39" t="str">
        <f t="shared" si="93"/>
        <v/>
      </c>
      <c r="FA34" s="39" t="str">
        <f t="shared" si="94"/>
        <v/>
      </c>
      <c r="FB34" s="39" t="str">
        <f t="shared" si="95"/>
        <v/>
      </c>
      <c r="FC34" s="39" t="str">
        <f t="shared" si="96"/>
        <v/>
      </c>
      <c r="FD34" s="39" t="str">
        <f t="shared" si="97"/>
        <v/>
      </c>
      <c r="FE34" s="39" t="str">
        <f t="shared" si="98"/>
        <v/>
      </c>
      <c r="FF34" s="39" t="str">
        <f t="shared" si="99"/>
        <v/>
      </c>
      <c r="FG34" s="39" t="str">
        <f t="shared" si="100"/>
        <v/>
      </c>
      <c r="FH34" s="39" t="str">
        <f t="shared" si="101"/>
        <v/>
      </c>
      <c r="FI34" s="39" t="str">
        <f t="shared" si="102"/>
        <v/>
      </c>
      <c r="FJ34" s="39" t="str">
        <f t="shared" si="103"/>
        <v/>
      </c>
      <c r="FK34" s="39" t="str">
        <f t="shared" si="104"/>
        <v/>
      </c>
      <c r="FL34" s="39" t="str">
        <f t="shared" si="105"/>
        <v/>
      </c>
      <c r="FM34" s="39" t="str">
        <f t="shared" si="106"/>
        <v/>
      </c>
      <c r="FN34" s="39" t="str">
        <f t="shared" si="107"/>
        <v/>
      </c>
      <c r="FO34" s="39" t="str">
        <f t="shared" si="108"/>
        <v/>
      </c>
      <c r="FP34" s="39" t="str">
        <f t="shared" si="109"/>
        <v/>
      </c>
      <c r="FQ34" s="39" t="str">
        <f t="shared" si="110"/>
        <v/>
      </c>
      <c r="FR34" s="39" t="str">
        <f t="shared" si="111"/>
        <v/>
      </c>
      <c r="FS34" s="39" t="str">
        <f t="shared" si="112"/>
        <v/>
      </c>
      <c r="FT34" s="39" t="str">
        <f t="shared" si="113"/>
        <v/>
      </c>
      <c r="FU34" s="39" t="str">
        <f t="shared" si="114"/>
        <v/>
      </c>
      <c r="FV34" s="39" t="str">
        <f t="shared" si="115"/>
        <v/>
      </c>
      <c r="FW34" s="39" t="str">
        <f t="shared" si="116"/>
        <v/>
      </c>
      <c r="FX34" s="39" t="str">
        <f t="shared" si="117"/>
        <v/>
      </c>
      <c r="FY34" s="39" t="str">
        <f t="shared" si="118"/>
        <v/>
      </c>
      <c r="FZ34" s="39" t="str">
        <f t="shared" si="119"/>
        <v/>
      </c>
      <c r="GA34" s="39" t="str">
        <f t="shared" si="120"/>
        <v/>
      </c>
      <c r="GB34" s="39" t="str">
        <f t="shared" si="121"/>
        <v/>
      </c>
      <c r="GC34" s="39" t="str">
        <f t="shared" si="122"/>
        <v/>
      </c>
      <c r="GD34" s="39" t="str">
        <f t="shared" si="123"/>
        <v/>
      </c>
      <c r="GE34" s="39" t="str">
        <f t="shared" si="124"/>
        <v/>
      </c>
      <c r="GF34" s="39" t="str">
        <f t="shared" si="125"/>
        <v/>
      </c>
      <c r="GG34" s="39" t="str">
        <f t="shared" si="126"/>
        <v/>
      </c>
      <c r="GH34" s="39" t="str">
        <f t="shared" si="127"/>
        <v/>
      </c>
      <c r="GI34" s="39" t="str">
        <f t="shared" si="128"/>
        <v/>
      </c>
      <c r="GJ34" s="39" t="str">
        <f t="shared" si="129"/>
        <v/>
      </c>
      <c r="GK34" s="39" t="str">
        <f t="shared" si="130"/>
        <v/>
      </c>
      <c r="GL34" s="39" t="str">
        <f t="shared" si="131"/>
        <v/>
      </c>
      <c r="GM34" s="39" t="str">
        <f t="shared" si="132"/>
        <v/>
      </c>
      <c r="GN34" s="39" t="str">
        <f t="shared" si="133"/>
        <v/>
      </c>
      <c r="GO34" s="39" t="str">
        <f t="shared" si="134"/>
        <v/>
      </c>
      <c r="GP34" s="39" t="str">
        <f t="shared" si="135"/>
        <v/>
      </c>
      <c r="GQ34" s="39" t="str">
        <f t="shared" si="136"/>
        <v/>
      </c>
      <c r="GR34" s="39" t="str">
        <f t="shared" si="137"/>
        <v/>
      </c>
      <c r="GS34" s="39" t="str">
        <f t="shared" si="138"/>
        <v/>
      </c>
      <c r="GT34" s="39" t="str">
        <f t="shared" si="139"/>
        <v/>
      </c>
      <c r="GU34" s="39" t="str">
        <f t="shared" si="140"/>
        <v/>
      </c>
      <c r="GV34" s="39" t="str">
        <f t="shared" si="141"/>
        <v/>
      </c>
      <c r="GW34" s="39" t="str">
        <f t="shared" si="142"/>
        <v/>
      </c>
      <c r="GX34" s="39" t="str">
        <f t="shared" si="143"/>
        <v/>
      </c>
      <c r="GY34" s="39" t="str">
        <f t="shared" si="144"/>
        <v/>
      </c>
      <c r="GZ34" s="39" t="str">
        <f t="shared" si="145"/>
        <v/>
      </c>
      <c r="HA34" s="39" t="str">
        <f t="shared" si="146"/>
        <v/>
      </c>
      <c r="HB34" s="39" t="str">
        <f t="shared" si="147"/>
        <v/>
      </c>
      <c r="HC34" s="39" t="str">
        <f t="shared" si="148"/>
        <v/>
      </c>
      <c r="HD34" s="39" t="str">
        <f t="shared" si="149"/>
        <v/>
      </c>
      <c r="HE34" s="39" t="str">
        <f t="shared" si="150"/>
        <v/>
      </c>
      <c r="HF34" s="39" t="str">
        <f t="shared" si="151"/>
        <v/>
      </c>
      <c r="HG34" s="39" t="str">
        <f t="shared" si="152"/>
        <v/>
      </c>
      <c r="HH34" s="39" t="str">
        <f t="shared" si="153"/>
        <v/>
      </c>
      <c r="HI34" s="39" t="str">
        <f t="shared" si="154"/>
        <v/>
      </c>
      <c r="HJ34" s="39" t="str">
        <f t="shared" si="155"/>
        <v/>
      </c>
      <c r="HK34" s="39" t="str">
        <f t="shared" si="156"/>
        <v/>
      </c>
      <c r="HL34" s="39" t="str">
        <f t="shared" si="157"/>
        <v/>
      </c>
      <c r="HM34" s="39" t="str">
        <f t="shared" si="158"/>
        <v/>
      </c>
      <c r="HN34" s="39" t="str">
        <f t="shared" si="159"/>
        <v/>
      </c>
      <c r="HO34" s="39" t="str">
        <f t="shared" si="160"/>
        <v/>
      </c>
      <c r="HP34" s="39" t="str">
        <f t="shared" si="161"/>
        <v/>
      </c>
      <c r="HQ34" s="39" t="str">
        <f t="shared" si="162"/>
        <v/>
      </c>
      <c r="HR34" s="39" t="str">
        <f t="shared" si="163"/>
        <v/>
      </c>
      <c r="HS34" s="39" t="str">
        <f t="shared" si="164"/>
        <v/>
      </c>
      <c r="HT34" s="39" t="str">
        <f t="shared" si="164"/>
        <v/>
      </c>
      <c r="HU34" s="83" t="str">
        <f t="shared" si="182"/>
        <v>-</v>
      </c>
      <c r="HV34" s="84" t="str">
        <f t="shared" si="165"/>
        <v/>
      </c>
      <c r="HW34" s="85" t="str">
        <f t="shared" si="166"/>
        <v/>
      </c>
      <c r="HX34" s="84" t="str">
        <f t="shared" si="183"/>
        <v/>
      </c>
      <c r="HY34" s="84" t="str">
        <f t="shared" si="167"/>
        <v/>
      </c>
      <c r="HZ34" s="84" t="str">
        <f t="shared" si="168"/>
        <v/>
      </c>
      <c r="IA34" s="83" t="str">
        <f t="shared" si="169"/>
        <v/>
      </c>
      <c r="IB34" s="84" t="str">
        <f t="shared" si="170"/>
        <v/>
      </c>
      <c r="IC34" s="85" t="str">
        <f t="shared" si="171"/>
        <v/>
      </c>
      <c r="ID34" s="83" t="str">
        <f t="shared" si="172"/>
        <v/>
      </c>
      <c r="IE34" s="84" t="str">
        <f t="shared" si="173"/>
        <v/>
      </c>
      <c r="IF34" s="85" t="str">
        <f t="shared" si="174"/>
        <v/>
      </c>
      <c r="IH34" s="66">
        <v>34</v>
      </c>
      <c r="II34" s="66" t="e">
        <f t="shared" ca="1" si="175"/>
        <v>#N/A</v>
      </c>
      <c r="IJ34" s="66" t="e">
        <f t="shared" ca="1" si="176"/>
        <v>#N/A</v>
      </c>
      <c r="IK34" s="66" t="e">
        <f t="shared" ca="1" si="177"/>
        <v>#N/A</v>
      </c>
      <c r="IL34" s="66" t="e">
        <f t="shared" ca="1" si="178"/>
        <v>#N/A</v>
      </c>
      <c r="IM34" s="33"/>
      <c r="IN34" s="74" t="e">
        <f t="shared" ca="1" si="184"/>
        <v>#N/A</v>
      </c>
      <c r="IO34" s="75" t="e">
        <f t="shared" ca="1" si="185"/>
        <v>#N/A</v>
      </c>
      <c r="IP34" s="75" t="e">
        <f t="shared" ca="1" si="186"/>
        <v>#N/A</v>
      </c>
      <c r="IQ34" s="74" t="e">
        <f t="shared" ca="1" si="187"/>
        <v>#N/A</v>
      </c>
      <c r="IR34" s="74" t="e">
        <f t="shared" ca="1" si="188"/>
        <v>#N/A</v>
      </c>
    </row>
    <row r="35" spans="1:252" s="1" customFormat="1" x14ac:dyDescent="0.35">
      <c r="A35" s="33">
        <v>0</v>
      </c>
      <c r="B35" s="33">
        <v>0</v>
      </c>
      <c r="C35" s="33">
        <v>1</v>
      </c>
      <c r="E35" s="4"/>
      <c r="F35" t="s">
        <v>299</v>
      </c>
      <c r="G35" s="5" t="s">
        <v>542</v>
      </c>
      <c r="H35" s="4" t="s">
        <v>533</v>
      </c>
      <c r="I35" s="7" t="s">
        <v>534</v>
      </c>
      <c r="J35" s="276" t="s">
        <v>805</v>
      </c>
      <c r="K35" s="39" t="s">
        <v>805</v>
      </c>
      <c r="L35" s="39" t="s">
        <v>805</v>
      </c>
      <c r="M35" s="39" t="s">
        <v>805</v>
      </c>
      <c r="N35" s="39" t="s">
        <v>805</v>
      </c>
      <c r="O35" s="39" t="s">
        <v>805</v>
      </c>
      <c r="P35" s="39" t="s">
        <v>805</v>
      </c>
      <c r="Q35" s="39" t="s">
        <v>805</v>
      </c>
      <c r="R35" s="39" t="s">
        <v>805</v>
      </c>
      <c r="S35" s="39" t="s">
        <v>805</v>
      </c>
      <c r="T35" s="39" t="s">
        <v>805</v>
      </c>
      <c r="U35" s="39" t="s">
        <v>805</v>
      </c>
      <c r="V35" s="39" t="s">
        <v>805</v>
      </c>
      <c r="W35" s="39" t="s">
        <v>805</v>
      </c>
      <c r="X35" s="39" t="s">
        <v>805</v>
      </c>
      <c r="Y35" s="39" t="s">
        <v>805</v>
      </c>
      <c r="Z35" s="39" t="s">
        <v>805</v>
      </c>
      <c r="AA35" s="39" t="s">
        <v>805</v>
      </c>
      <c r="AB35" s="39" t="s">
        <v>805</v>
      </c>
      <c r="AC35" s="39" t="s">
        <v>805</v>
      </c>
      <c r="AD35" s="39" t="s">
        <v>805</v>
      </c>
      <c r="AE35" s="39" t="s">
        <v>805</v>
      </c>
      <c r="AF35" s="39" t="s">
        <v>805</v>
      </c>
      <c r="AG35" s="39" t="s">
        <v>805</v>
      </c>
      <c r="AH35" s="39" t="s">
        <v>805</v>
      </c>
      <c r="AI35" s="39" t="s">
        <v>805</v>
      </c>
      <c r="AJ35" s="39" t="s">
        <v>805</v>
      </c>
      <c r="AK35" s="39" t="s">
        <v>805</v>
      </c>
      <c r="AL35" s="39" t="s">
        <v>805</v>
      </c>
      <c r="AM35" s="39" t="s">
        <v>805</v>
      </c>
      <c r="AN35" s="39" t="s">
        <v>805</v>
      </c>
      <c r="AO35" s="39" t="s">
        <v>805</v>
      </c>
      <c r="AP35" s="39" t="s">
        <v>805</v>
      </c>
      <c r="AQ35" s="39" t="s">
        <v>805</v>
      </c>
      <c r="AR35" s="39" t="s">
        <v>805</v>
      </c>
      <c r="AS35" s="39" t="s">
        <v>805</v>
      </c>
      <c r="AT35" s="39" t="s">
        <v>805</v>
      </c>
      <c r="AU35" s="39" t="s">
        <v>805</v>
      </c>
      <c r="AV35" s="39" t="s">
        <v>805</v>
      </c>
      <c r="AW35" s="39" t="s">
        <v>805</v>
      </c>
      <c r="AX35" s="39" t="s">
        <v>805</v>
      </c>
      <c r="AY35" s="39" t="s">
        <v>805</v>
      </c>
      <c r="AZ35" s="39" t="s">
        <v>805</v>
      </c>
      <c r="BA35" s="39" t="s">
        <v>805</v>
      </c>
      <c r="BB35" s="39" t="s">
        <v>805</v>
      </c>
      <c r="BC35" s="39" t="s">
        <v>805</v>
      </c>
      <c r="BD35" s="39" t="s">
        <v>805</v>
      </c>
      <c r="BE35" s="39" t="s">
        <v>805</v>
      </c>
      <c r="BF35" s="39" t="s">
        <v>805</v>
      </c>
      <c r="BG35" s="39" t="s">
        <v>805</v>
      </c>
      <c r="BH35" s="39" t="s">
        <v>805</v>
      </c>
      <c r="BI35" s="39" t="s">
        <v>805</v>
      </c>
      <c r="BJ35" s="39" t="s">
        <v>805</v>
      </c>
      <c r="BK35" s="39" t="s">
        <v>805</v>
      </c>
      <c r="BL35" s="39" t="s">
        <v>805</v>
      </c>
      <c r="BM35" s="39" t="s">
        <v>805</v>
      </c>
      <c r="BN35" s="39" t="s">
        <v>805</v>
      </c>
      <c r="BO35" s="39" t="s">
        <v>805</v>
      </c>
      <c r="BP35" s="39" t="s">
        <v>805</v>
      </c>
      <c r="BQ35" s="39" t="s">
        <v>805</v>
      </c>
      <c r="BR35" s="39" t="s">
        <v>805</v>
      </c>
      <c r="BS35" s="39" t="s">
        <v>805</v>
      </c>
      <c r="BT35" s="39" t="s">
        <v>805</v>
      </c>
      <c r="BU35" s="39" t="s">
        <v>805</v>
      </c>
      <c r="BV35" s="39" t="s">
        <v>805</v>
      </c>
      <c r="BW35" s="39" t="s">
        <v>805</v>
      </c>
      <c r="BX35" s="39" t="s">
        <v>805</v>
      </c>
      <c r="BY35" s="39" t="s">
        <v>805</v>
      </c>
      <c r="BZ35" s="39" t="s">
        <v>805</v>
      </c>
      <c r="CA35" s="39" t="s">
        <v>805</v>
      </c>
      <c r="CB35" s="39" t="s">
        <v>805</v>
      </c>
      <c r="CC35" s="39" t="s">
        <v>805</v>
      </c>
      <c r="CD35" s="39" t="s">
        <v>805</v>
      </c>
      <c r="CE35" s="39" t="s">
        <v>805</v>
      </c>
      <c r="CF35" s="39" t="s">
        <v>805</v>
      </c>
      <c r="CG35" s="39" t="s">
        <v>805</v>
      </c>
      <c r="CH35" s="39" t="s">
        <v>805</v>
      </c>
      <c r="CI35" s="39" t="s">
        <v>805</v>
      </c>
      <c r="CJ35" s="39" t="s">
        <v>805</v>
      </c>
      <c r="CK35" s="39" t="s">
        <v>805</v>
      </c>
      <c r="CL35" s="39" t="s">
        <v>805</v>
      </c>
      <c r="CM35" s="39" t="s">
        <v>805</v>
      </c>
      <c r="CN35" s="39" t="s">
        <v>805</v>
      </c>
      <c r="CO35" s="39" t="s">
        <v>805</v>
      </c>
      <c r="CP35" s="39" t="s">
        <v>805</v>
      </c>
      <c r="CQ35" s="39" t="s">
        <v>805</v>
      </c>
      <c r="CR35" s="39" t="s">
        <v>805</v>
      </c>
      <c r="CS35" s="39" t="s">
        <v>805</v>
      </c>
      <c r="CT35" s="39" t="s">
        <v>805</v>
      </c>
      <c r="CU35" s="39" t="s">
        <v>805</v>
      </c>
      <c r="CV35" s="39" t="s">
        <v>805</v>
      </c>
      <c r="CW35" s="39" t="s">
        <v>805</v>
      </c>
      <c r="CX35" s="39" t="s">
        <v>805</v>
      </c>
      <c r="CY35" s="39" t="s">
        <v>805</v>
      </c>
      <c r="CZ35" s="39" t="s">
        <v>805</v>
      </c>
      <c r="DA35" s="39" t="s">
        <v>805</v>
      </c>
      <c r="DB35" s="39" t="s">
        <v>805</v>
      </c>
      <c r="DC35" s="39" t="s">
        <v>805</v>
      </c>
      <c r="DD35" s="39" t="s">
        <v>805</v>
      </c>
      <c r="DE35" s="39" t="s">
        <v>805</v>
      </c>
      <c r="DF35" s="39" t="s">
        <v>805</v>
      </c>
      <c r="DG35" s="28">
        <f>'KPI Count-SHARE'!J30</f>
        <v>0</v>
      </c>
      <c r="DH35" s="105"/>
      <c r="DI35" s="105"/>
      <c r="DJ35" s="105"/>
      <c r="DK35" s="28">
        <f>'KPI Count-SHARE'!K30</f>
        <v>0</v>
      </c>
      <c r="DL35" s="39"/>
      <c r="DM35" s="39"/>
      <c r="DN35" s="39"/>
      <c r="DO35" s="28">
        <f>'KPI Count-SHARE'!L30</f>
        <v>0</v>
      </c>
      <c r="DP35" s="61"/>
      <c r="DQ35" s="61"/>
      <c r="DR35" s="61"/>
      <c r="DS35" s="28">
        <f>'KPI Count-SHARE'!M30</f>
        <v>0</v>
      </c>
      <c r="DT35" s="39"/>
      <c r="DU35" s="39"/>
      <c r="DV35" s="39"/>
      <c r="DW35" s="30" t="s">
        <v>533</v>
      </c>
      <c r="DX35" s="39" t="str">
        <f t="shared" si="79"/>
        <v/>
      </c>
      <c r="DY35" s="39" t="str">
        <f t="shared" si="80"/>
        <v/>
      </c>
      <c r="DZ35" s="39" t="str">
        <f t="shared" si="81"/>
        <v/>
      </c>
      <c r="EA35" s="39" t="str">
        <f t="shared" si="179"/>
        <v/>
      </c>
      <c r="EB35" s="39" t="str">
        <f t="shared" si="180"/>
        <v/>
      </c>
      <c r="EC35" s="39" t="str">
        <f t="shared" si="181"/>
        <v/>
      </c>
      <c r="ED35" s="39" t="str">
        <f t="shared" si="82"/>
        <v/>
      </c>
      <c r="EE35" s="39" t="str">
        <f t="shared" si="83"/>
        <v/>
      </c>
      <c r="EF35" s="39" t="str">
        <f t="shared" si="84"/>
        <v/>
      </c>
      <c r="EG35" s="39" t="str">
        <f t="shared" si="85"/>
        <v/>
      </c>
      <c r="EH35" s="39" t="str">
        <f t="shared" si="86"/>
        <v/>
      </c>
      <c r="EI35" s="39" t="str">
        <f t="shared" si="190"/>
        <v/>
      </c>
      <c r="EJ35" s="39" t="str">
        <f t="shared" si="190"/>
        <v/>
      </c>
      <c r="EK35" s="39" t="str">
        <f t="shared" si="190"/>
        <v/>
      </c>
      <c r="EL35" s="39" t="str">
        <f t="shared" si="190"/>
        <v/>
      </c>
      <c r="EM35" s="39" t="str">
        <f t="shared" si="190"/>
        <v/>
      </c>
      <c r="EN35" s="39" t="str">
        <f t="shared" si="190"/>
        <v/>
      </c>
      <c r="EO35" s="39" t="str">
        <f t="shared" si="190"/>
        <v/>
      </c>
      <c r="EP35" s="39" t="str">
        <f t="shared" si="190"/>
        <v/>
      </c>
      <c r="EQ35" s="39" t="str">
        <f t="shared" si="190"/>
        <v/>
      </c>
      <c r="ER35" s="39" t="str">
        <f t="shared" si="190"/>
        <v/>
      </c>
      <c r="ES35" s="39" t="str">
        <f t="shared" si="190"/>
        <v/>
      </c>
      <c r="ET35" s="39" t="str">
        <f t="shared" si="190"/>
        <v/>
      </c>
      <c r="EU35" s="39" t="str">
        <f t="shared" si="88"/>
        <v/>
      </c>
      <c r="EV35" s="39" t="str">
        <f t="shared" si="89"/>
        <v/>
      </c>
      <c r="EW35" s="39" t="str">
        <f t="shared" si="90"/>
        <v/>
      </c>
      <c r="EX35" s="39" t="str">
        <f t="shared" si="91"/>
        <v/>
      </c>
      <c r="EY35" s="39" t="str">
        <f t="shared" si="92"/>
        <v/>
      </c>
      <c r="EZ35" s="39" t="str">
        <f t="shared" si="93"/>
        <v/>
      </c>
      <c r="FA35" s="39" t="str">
        <f t="shared" si="94"/>
        <v/>
      </c>
      <c r="FB35" s="39" t="str">
        <f t="shared" si="95"/>
        <v/>
      </c>
      <c r="FC35" s="39" t="str">
        <f t="shared" si="96"/>
        <v/>
      </c>
      <c r="FD35" s="39" t="str">
        <f t="shared" si="97"/>
        <v/>
      </c>
      <c r="FE35" s="39" t="str">
        <f t="shared" si="98"/>
        <v/>
      </c>
      <c r="FF35" s="39" t="str">
        <f t="shared" si="99"/>
        <v/>
      </c>
      <c r="FG35" s="39" t="str">
        <f t="shared" si="100"/>
        <v/>
      </c>
      <c r="FH35" s="39" t="str">
        <f t="shared" si="101"/>
        <v/>
      </c>
      <c r="FI35" s="39" t="str">
        <f t="shared" si="102"/>
        <v/>
      </c>
      <c r="FJ35" s="39" t="str">
        <f t="shared" si="103"/>
        <v/>
      </c>
      <c r="FK35" s="39" t="str">
        <f t="shared" si="104"/>
        <v/>
      </c>
      <c r="FL35" s="39" t="str">
        <f t="shared" si="105"/>
        <v/>
      </c>
      <c r="FM35" s="39" t="str">
        <f t="shared" si="106"/>
        <v/>
      </c>
      <c r="FN35" s="39" t="str">
        <f t="shared" si="107"/>
        <v/>
      </c>
      <c r="FO35" s="39" t="str">
        <f t="shared" si="108"/>
        <v/>
      </c>
      <c r="FP35" s="39" t="str">
        <f t="shared" si="109"/>
        <v/>
      </c>
      <c r="FQ35" s="39" t="str">
        <f t="shared" si="110"/>
        <v/>
      </c>
      <c r="FR35" s="39" t="str">
        <f t="shared" si="111"/>
        <v/>
      </c>
      <c r="FS35" s="39" t="str">
        <f t="shared" si="112"/>
        <v/>
      </c>
      <c r="FT35" s="39" t="str">
        <f t="shared" si="113"/>
        <v/>
      </c>
      <c r="FU35" s="39" t="str">
        <f t="shared" si="114"/>
        <v/>
      </c>
      <c r="FV35" s="39" t="str">
        <f t="shared" si="115"/>
        <v/>
      </c>
      <c r="FW35" s="39" t="str">
        <f t="shared" si="116"/>
        <v/>
      </c>
      <c r="FX35" s="39" t="str">
        <f t="shared" si="117"/>
        <v/>
      </c>
      <c r="FY35" s="39" t="str">
        <f t="shared" si="118"/>
        <v/>
      </c>
      <c r="FZ35" s="39" t="str">
        <f t="shared" si="119"/>
        <v/>
      </c>
      <c r="GA35" s="39" t="str">
        <f t="shared" si="120"/>
        <v/>
      </c>
      <c r="GB35" s="39" t="str">
        <f t="shared" si="121"/>
        <v/>
      </c>
      <c r="GC35" s="39" t="str">
        <f t="shared" si="122"/>
        <v/>
      </c>
      <c r="GD35" s="39" t="str">
        <f t="shared" si="123"/>
        <v/>
      </c>
      <c r="GE35" s="39" t="str">
        <f t="shared" si="124"/>
        <v/>
      </c>
      <c r="GF35" s="39" t="str">
        <f t="shared" si="125"/>
        <v/>
      </c>
      <c r="GG35" s="39" t="str">
        <f t="shared" si="126"/>
        <v/>
      </c>
      <c r="GH35" s="39" t="str">
        <f t="shared" si="127"/>
        <v/>
      </c>
      <c r="GI35" s="39" t="str">
        <f t="shared" si="128"/>
        <v/>
      </c>
      <c r="GJ35" s="39" t="str">
        <f t="shared" si="129"/>
        <v/>
      </c>
      <c r="GK35" s="39" t="str">
        <f t="shared" si="130"/>
        <v/>
      </c>
      <c r="GL35" s="39" t="str">
        <f t="shared" si="131"/>
        <v/>
      </c>
      <c r="GM35" s="39" t="str">
        <f t="shared" si="132"/>
        <v/>
      </c>
      <c r="GN35" s="39" t="str">
        <f t="shared" si="133"/>
        <v/>
      </c>
      <c r="GO35" s="39" t="str">
        <f t="shared" si="134"/>
        <v/>
      </c>
      <c r="GP35" s="39" t="str">
        <f t="shared" si="135"/>
        <v/>
      </c>
      <c r="GQ35" s="39" t="str">
        <f t="shared" si="136"/>
        <v/>
      </c>
      <c r="GR35" s="39" t="str">
        <f t="shared" si="137"/>
        <v/>
      </c>
      <c r="GS35" s="39" t="str">
        <f t="shared" si="138"/>
        <v/>
      </c>
      <c r="GT35" s="39" t="str">
        <f t="shared" si="139"/>
        <v/>
      </c>
      <c r="GU35" s="39" t="str">
        <f t="shared" si="140"/>
        <v/>
      </c>
      <c r="GV35" s="39" t="str">
        <f t="shared" si="141"/>
        <v/>
      </c>
      <c r="GW35" s="39" t="str">
        <f t="shared" si="142"/>
        <v/>
      </c>
      <c r="GX35" s="39" t="str">
        <f t="shared" si="143"/>
        <v/>
      </c>
      <c r="GY35" s="39" t="str">
        <f t="shared" si="144"/>
        <v/>
      </c>
      <c r="GZ35" s="39" t="str">
        <f t="shared" si="145"/>
        <v/>
      </c>
      <c r="HA35" s="39" t="str">
        <f t="shared" si="146"/>
        <v/>
      </c>
      <c r="HB35" s="39" t="str">
        <f t="shared" si="147"/>
        <v/>
      </c>
      <c r="HC35" s="39" t="str">
        <f t="shared" si="148"/>
        <v/>
      </c>
      <c r="HD35" s="39" t="str">
        <f t="shared" si="149"/>
        <v/>
      </c>
      <c r="HE35" s="39" t="str">
        <f t="shared" si="150"/>
        <v/>
      </c>
      <c r="HF35" s="39" t="str">
        <f t="shared" si="151"/>
        <v/>
      </c>
      <c r="HG35" s="39" t="str">
        <f t="shared" si="152"/>
        <v/>
      </c>
      <c r="HH35" s="39" t="str">
        <f t="shared" si="153"/>
        <v/>
      </c>
      <c r="HI35" s="39" t="str">
        <f t="shared" si="154"/>
        <v/>
      </c>
      <c r="HJ35" s="39" t="str">
        <f t="shared" si="155"/>
        <v/>
      </c>
      <c r="HK35" s="39" t="str">
        <f t="shared" si="156"/>
        <v/>
      </c>
      <c r="HL35" s="39" t="str">
        <f t="shared" si="157"/>
        <v/>
      </c>
      <c r="HM35" s="39" t="str">
        <f t="shared" si="158"/>
        <v/>
      </c>
      <c r="HN35" s="39" t="str">
        <f t="shared" si="159"/>
        <v/>
      </c>
      <c r="HO35" s="39" t="str">
        <f t="shared" si="160"/>
        <v/>
      </c>
      <c r="HP35" s="39" t="str">
        <f t="shared" si="161"/>
        <v/>
      </c>
      <c r="HQ35" s="39" t="str">
        <f t="shared" si="162"/>
        <v/>
      </c>
      <c r="HR35" s="39" t="str">
        <f t="shared" si="163"/>
        <v/>
      </c>
      <c r="HS35" s="39" t="str">
        <f t="shared" si="164"/>
        <v/>
      </c>
      <c r="HT35" s="39" t="str">
        <f t="shared" si="164"/>
        <v/>
      </c>
      <c r="HU35" s="83" t="str">
        <f t="shared" si="182"/>
        <v>-</v>
      </c>
      <c r="HV35" s="84" t="str">
        <f t="shared" si="165"/>
        <v/>
      </c>
      <c r="HW35" s="85" t="str">
        <f t="shared" si="166"/>
        <v/>
      </c>
      <c r="HX35" s="84" t="str">
        <f t="shared" si="183"/>
        <v/>
      </c>
      <c r="HY35" s="84" t="str">
        <f t="shared" si="167"/>
        <v/>
      </c>
      <c r="HZ35" s="84" t="str">
        <f t="shared" si="168"/>
        <v/>
      </c>
      <c r="IA35" s="83" t="str">
        <f t="shared" si="169"/>
        <v/>
      </c>
      <c r="IB35" s="84" t="str">
        <f t="shared" si="170"/>
        <v/>
      </c>
      <c r="IC35" s="85" t="str">
        <f t="shared" si="171"/>
        <v/>
      </c>
      <c r="ID35" s="83" t="str">
        <f t="shared" si="172"/>
        <v/>
      </c>
      <c r="IE35" s="84" t="str">
        <f t="shared" si="173"/>
        <v/>
      </c>
      <c r="IF35" s="85" t="str">
        <f t="shared" si="174"/>
        <v/>
      </c>
      <c r="IH35" s="66">
        <v>35</v>
      </c>
      <c r="II35" s="66" t="e">
        <f t="shared" ca="1" si="175"/>
        <v>#N/A</v>
      </c>
      <c r="IJ35" s="66" t="e">
        <f t="shared" ca="1" si="176"/>
        <v>#N/A</v>
      </c>
      <c r="IK35" s="66" t="e">
        <f t="shared" ca="1" si="177"/>
        <v>#N/A</v>
      </c>
      <c r="IL35" s="66" t="e">
        <f t="shared" ca="1" si="178"/>
        <v>#N/A</v>
      </c>
      <c r="IM35" s="33"/>
      <c r="IN35" s="74" t="e">
        <f t="shared" ca="1" si="184"/>
        <v>#N/A</v>
      </c>
      <c r="IO35" s="75" t="e">
        <f t="shared" ca="1" si="185"/>
        <v>#N/A</v>
      </c>
      <c r="IP35" s="75" t="e">
        <f t="shared" ca="1" si="186"/>
        <v>#N/A</v>
      </c>
      <c r="IQ35" s="74" t="e">
        <f t="shared" ca="1" si="187"/>
        <v>#N/A</v>
      </c>
      <c r="IR35" s="74" t="e">
        <f t="shared" ca="1" si="188"/>
        <v>#N/A</v>
      </c>
    </row>
    <row r="36" spans="1:252" s="1" customFormat="1" x14ac:dyDescent="0.35">
      <c r="A36" s="33">
        <v>0</v>
      </c>
      <c r="B36" s="33">
        <v>0</v>
      </c>
      <c r="C36" s="33">
        <v>1</v>
      </c>
      <c r="E36" s="4"/>
      <c r="F36" t="s">
        <v>300</v>
      </c>
      <c r="G36" s="5" t="s">
        <v>542</v>
      </c>
      <c r="H36" s="4" t="s">
        <v>531</v>
      </c>
      <c r="I36" s="7" t="s">
        <v>532</v>
      </c>
      <c r="J36" s="276" t="s">
        <v>805</v>
      </c>
      <c r="K36" s="39" t="s">
        <v>805</v>
      </c>
      <c r="L36" s="39" t="s">
        <v>805</v>
      </c>
      <c r="M36" s="39" t="s">
        <v>805</v>
      </c>
      <c r="N36" s="39" t="s">
        <v>805</v>
      </c>
      <c r="O36" s="39" t="s">
        <v>805</v>
      </c>
      <c r="P36" s="39" t="s">
        <v>805</v>
      </c>
      <c r="Q36" s="39" t="s">
        <v>805</v>
      </c>
      <c r="R36" s="39" t="s">
        <v>805</v>
      </c>
      <c r="S36" s="39" t="s">
        <v>805</v>
      </c>
      <c r="T36" s="39" t="s">
        <v>805</v>
      </c>
      <c r="U36" s="39" t="s">
        <v>805</v>
      </c>
      <c r="V36" s="39" t="s">
        <v>805</v>
      </c>
      <c r="W36" s="39" t="s">
        <v>805</v>
      </c>
      <c r="X36" s="39" t="s">
        <v>805</v>
      </c>
      <c r="Y36" s="39" t="s">
        <v>805</v>
      </c>
      <c r="Z36" s="39" t="s">
        <v>805</v>
      </c>
      <c r="AA36" s="39" t="s">
        <v>805</v>
      </c>
      <c r="AB36" s="39" t="s">
        <v>805</v>
      </c>
      <c r="AC36" s="39" t="s">
        <v>805</v>
      </c>
      <c r="AD36" s="39" t="s">
        <v>805</v>
      </c>
      <c r="AE36" s="39" t="s">
        <v>805</v>
      </c>
      <c r="AF36" s="39" t="s">
        <v>805</v>
      </c>
      <c r="AG36" s="39" t="s">
        <v>805</v>
      </c>
      <c r="AH36" s="39" t="s">
        <v>805</v>
      </c>
      <c r="AI36" s="39" t="s">
        <v>805</v>
      </c>
      <c r="AJ36" s="39" t="s">
        <v>805</v>
      </c>
      <c r="AK36" s="39" t="s">
        <v>805</v>
      </c>
      <c r="AL36" s="39" t="s">
        <v>805</v>
      </c>
      <c r="AM36" s="39" t="s">
        <v>805</v>
      </c>
      <c r="AN36" s="39" t="s">
        <v>805</v>
      </c>
      <c r="AO36" s="39" t="s">
        <v>805</v>
      </c>
      <c r="AP36" s="39" t="s">
        <v>805</v>
      </c>
      <c r="AQ36" s="39" t="s">
        <v>805</v>
      </c>
      <c r="AR36" s="39" t="s">
        <v>805</v>
      </c>
      <c r="AS36" s="39" t="s">
        <v>805</v>
      </c>
      <c r="AT36" s="39" t="s">
        <v>805</v>
      </c>
      <c r="AU36" s="39" t="s">
        <v>805</v>
      </c>
      <c r="AV36" s="39" t="s">
        <v>805</v>
      </c>
      <c r="AW36" s="39" t="s">
        <v>805</v>
      </c>
      <c r="AX36" s="39" t="s">
        <v>805</v>
      </c>
      <c r="AY36" s="39" t="s">
        <v>805</v>
      </c>
      <c r="AZ36" s="39" t="s">
        <v>805</v>
      </c>
      <c r="BA36" s="39" t="s">
        <v>805</v>
      </c>
      <c r="BB36" s="39" t="s">
        <v>805</v>
      </c>
      <c r="BC36" s="39" t="s">
        <v>805</v>
      </c>
      <c r="BD36" s="39" t="s">
        <v>805</v>
      </c>
      <c r="BE36" s="39" t="s">
        <v>805</v>
      </c>
      <c r="BF36" s="39" t="s">
        <v>805</v>
      </c>
      <c r="BG36" s="39" t="s">
        <v>805</v>
      </c>
      <c r="BH36" s="39" t="s">
        <v>805</v>
      </c>
      <c r="BI36" s="39" t="s">
        <v>805</v>
      </c>
      <c r="BJ36" s="39" t="s">
        <v>805</v>
      </c>
      <c r="BK36" s="39" t="s">
        <v>805</v>
      </c>
      <c r="BL36" s="39" t="s">
        <v>805</v>
      </c>
      <c r="BM36" s="39" t="s">
        <v>805</v>
      </c>
      <c r="BN36" s="39" t="s">
        <v>805</v>
      </c>
      <c r="BO36" s="39" t="s">
        <v>805</v>
      </c>
      <c r="BP36" s="39" t="s">
        <v>805</v>
      </c>
      <c r="BQ36" s="39" t="s">
        <v>805</v>
      </c>
      <c r="BR36" s="39" t="s">
        <v>805</v>
      </c>
      <c r="BS36" s="39" t="s">
        <v>805</v>
      </c>
      <c r="BT36" s="39" t="s">
        <v>805</v>
      </c>
      <c r="BU36" s="39" t="s">
        <v>805</v>
      </c>
      <c r="BV36" s="39" t="s">
        <v>805</v>
      </c>
      <c r="BW36" s="39" t="s">
        <v>805</v>
      </c>
      <c r="BX36" s="39" t="s">
        <v>805</v>
      </c>
      <c r="BY36" s="39" t="s">
        <v>805</v>
      </c>
      <c r="BZ36" s="39" t="s">
        <v>805</v>
      </c>
      <c r="CA36" s="39" t="s">
        <v>805</v>
      </c>
      <c r="CB36" s="39" t="s">
        <v>805</v>
      </c>
      <c r="CC36" s="39" t="s">
        <v>805</v>
      </c>
      <c r="CD36" s="39" t="s">
        <v>805</v>
      </c>
      <c r="CE36" s="39" t="s">
        <v>805</v>
      </c>
      <c r="CF36" s="39" t="s">
        <v>805</v>
      </c>
      <c r="CG36" s="39" t="s">
        <v>805</v>
      </c>
      <c r="CH36" s="39" t="s">
        <v>805</v>
      </c>
      <c r="CI36" s="39" t="s">
        <v>805</v>
      </c>
      <c r="CJ36" s="39" t="s">
        <v>805</v>
      </c>
      <c r="CK36" s="39" t="s">
        <v>805</v>
      </c>
      <c r="CL36" s="39" t="s">
        <v>805</v>
      </c>
      <c r="CM36" s="39" t="s">
        <v>805</v>
      </c>
      <c r="CN36" s="39" t="s">
        <v>805</v>
      </c>
      <c r="CO36" s="39" t="s">
        <v>805</v>
      </c>
      <c r="CP36" s="39" t="s">
        <v>805</v>
      </c>
      <c r="CQ36" s="39" t="s">
        <v>805</v>
      </c>
      <c r="CR36" s="39" t="s">
        <v>805</v>
      </c>
      <c r="CS36" s="39" t="s">
        <v>805</v>
      </c>
      <c r="CT36" s="39" t="s">
        <v>805</v>
      </c>
      <c r="CU36" s="39" t="s">
        <v>805</v>
      </c>
      <c r="CV36" s="39" t="s">
        <v>805</v>
      </c>
      <c r="CW36" s="39" t="s">
        <v>805</v>
      </c>
      <c r="CX36" s="39" t="s">
        <v>805</v>
      </c>
      <c r="CY36" s="39" t="s">
        <v>805</v>
      </c>
      <c r="CZ36" s="39" t="s">
        <v>805</v>
      </c>
      <c r="DA36" s="39" t="s">
        <v>805</v>
      </c>
      <c r="DB36" s="39" t="s">
        <v>805</v>
      </c>
      <c r="DC36" s="39" t="s">
        <v>805</v>
      </c>
      <c r="DD36" s="39" t="s">
        <v>805</v>
      </c>
      <c r="DE36" s="39" t="s">
        <v>805</v>
      </c>
      <c r="DF36" s="39" t="s">
        <v>805</v>
      </c>
      <c r="DG36" s="28" t="e">
        <f>'KPI Count-SHARE'!#REF!</f>
        <v>#REF!</v>
      </c>
      <c r="DH36" s="105"/>
      <c r="DI36" s="105"/>
      <c r="DJ36" s="105"/>
      <c r="DK36" s="28" t="e">
        <f>'KPI Count-SHARE'!#REF!</f>
        <v>#REF!</v>
      </c>
      <c r="DL36" s="39"/>
      <c r="DM36" s="39"/>
      <c r="DN36" s="39"/>
      <c r="DO36" s="28" t="e">
        <f>'KPI Count-SHARE'!#REF!</f>
        <v>#REF!</v>
      </c>
      <c r="DP36" s="39"/>
      <c r="DQ36" s="39"/>
      <c r="DR36" s="39"/>
      <c r="DS36" s="28" t="e">
        <f>'KPI Count-SHARE'!#REF!</f>
        <v>#REF!</v>
      </c>
      <c r="DT36" s="39"/>
      <c r="DU36" s="39"/>
      <c r="DV36" s="39"/>
      <c r="DW36" s="30" t="s">
        <v>531</v>
      </c>
      <c r="DX36" s="91" t="str">
        <f t="shared" si="79"/>
        <v/>
      </c>
      <c r="DY36" s="91" t="str">
        <f t="shared" si="80"/>
        <v/>
      </c>
      <c r="DZ36" s="91" t="str">
        <f t="shared" si="81"/>
        <v/>
      </c>
      <c r="EA36" s="91" t="str">
        <f t="shared" si="179"/>
        <v/>
      </c>
      <c r="EB36" s="91" t="str">
        <f t="shared" si="180"/>
        <v/>
      </c>
      <c r="EC36" s="91" t="str">
        <f t="shared" si="181"/>
        <v/>
      </c>
      <c r="ED36" s="91" t="str">
        <f t="shared" si="82"/>
        <v/>
      </c>
      <c r="EE36" s="91" t="str">
        <f t="shared" si="83"/>
        <v/>
      </c>
      <c r="EF36" s="91" t="str">
        <f t="shared" si="84"/>
        <v/>
      </c>
      <c r="EG36" s="91" t="str">
        <f t="shared" si="85"/>
        <v/>
      </c>
      <c r="EH36" s="91" t="str">
        <f t="shared" si="86"/>
        <v/>
      </c>
      <c r="EI36" s="91" t="str">
        <f t="shared" si="190"/>
        <v/>
      </c>
      <c r="EJ36" s="91" t="str">
        <f t="shared" si="190"/>
        <v/>
      </c>
      <c r="EK36" s="91" t="str">
        <f t="shared" si="190"/>
        <v/>
      </c>
      <c r="EL36" s="91" t="str">
        <f t="shared" si="190"/>
        <v/>
      </c>
      <c r="EM36" s="91" t="str">
        <f t="shared" si="190"/>
        <v/>
      </c>
      <c r="EN36" s="91" t="str">
        <f t="shared" si="190"/>
        <v/>
      </c>
      <c r="EO36" s="91" t="str">
        <f t="shared" si="190"/>
        <v/>
      </c>
      <c r="EP36" s="91" t="str">
        <f t="shared" si="190"/>
        <v/>
      </c>
      <c r="EQ36" s="91" t="str">
        <f t="shared" si="190"/>
        <v/>
      </c>
      <c r="ER36" s="91" t="str">
        <f t="shared" si="190"/>
        <v/>
      </c>
      <c r="ES36" s="91" t="str">
        <f t="shared" si="190"/>
        <v/>
      </c>
      <c r="ET36" s="91" t="str">
        <f t="shared" si="190"/>
        <v/>
      </c>
      <c r="EU36" s="91" t="str">
        <f t="shared" si="88"/>
        <v/>
      </c>
      <c r="EV36" s="91" t="str">
        <f t="shared" si="89"/>
        <v/>
      </c>
      <c r="EW36" s="91" t="str">
        <f t="shared" si="90"/>
        <v/>
      </c>
      <c r="EX36" s="91" t="str">
        <f t="shared" si="91"/>
        <v/>
      </c>
      <c r="EY36" s="91" t="str">
        <f t="shared" si="92"/>
        <v/>
      </c>
      <c r="EZ36" s="91" t="str">
        <f t="shared" si="93"/>
        <v/>
      </c>
      <c r="FA36" s="91" t="str">
        <f t="shared" si="94"/>
        <v/>
      </c>
      <c r="FB36" s="91" t="str">
        <f t="shared" si="95"/>
        <v/>
      </c>
      <c r="FC36" s="91" t="str">
        <f t="shared" si="96"/>
        <v/>
      </c>
      <c r="FD36" s="91" t="str">
        <f t="shared" si="97"/>
        <v/>
      </c>
      <c r="FE36" s="91" t="str">
        <f t="shared" si="98"/>
        <v/>
      </c>
      <c r="FF36" s="91" t="str">
        <f t="shared" si="99"/>
        <v/>
      </c>
      <c r="FG36" s="91" t="str">
        <f t="shared" si="100"/>
        <v/>
      </c>
      <c r="FH36" s="91" t="str">
        <f t="shared" si="101"/>
        <v/>
      </c>
      <c r="FI36" s="91" t="str">
        <f t="shared" si="102"/>
        <v/>
      </c>
      <c r="FJ36" s="91" t="str">
        <f t="shared" si="103"/>
        <v/>
      </c>
      <c r="FK36" s="91" t="str">
        <f t="shared" si="104"/>
        <v/>
      </c>
      <c r="FL36" s="91" t="str">
        <f t="shared" si="105"/>
        <v/>
      </c>
      <c r="FM36" s="91" t="str">
        <f t="shared" si="106"/>
        <v/>
      </c>
      <c r="FN36" s="91" t="str">
        <f t="shared" si="107"/>
        <v/>
      </c>
      <c r="FO36" s="91" t="str">
        <f t="shared" si="108"/>
        <v/>
      </c>
      <c r="FP36" s="91" t="str">
        <f t="shared" si="109"/>
        <v/>
      </c>
      <c r="FQ36" s="91" t="str">
        <f t="shared" si="110"/>
        <v/>
      </c>
      <c r="FR36" s="91" t="str">
        <f t="shared" si="111"/>
        <v/>
      </c>
      <c r="FS36" s="91" t="str">
        <f t="shared" si="112"/>
        <v/>
      </c>
      <c r="FT36" s="91" t="str">
        <f t="shared" si="113"/>
        <v/>
      </c>
      <c r="FU36" s="91" t="str">
        <f t="shared" si="114"/>
        <v/>
      </c>
      <c r="FV36" s="91" t="str">
        <f t="shared" si="115"/>
        <v/>
      </c>
      <c r="FW36" s="91" t="str">
        <f t="shared" si="116"/>
        <v/>
      </c>
      <c r="FX36" s="91" t="str">
        <f t="shared" si="117"/>
        <v/>
      </c>
      <c r="FY36" s="91" t="str">
        <f t="shared" si="118"/>
        <v/>
      </c>
      <c r="FZ36" s="91" t="str">
        <f t="shared" si="119"/>
        <v/>
      </c>
      <c r="GA36" s="91" t="str">
        <f t="shared" si="120"/>
        <v/>
      </c>
      <c r="GB36" s="91" t="str">
        <f t="shared" si="121"/>
        <v/>
      </c>
      <c r="GC36" s="91" t="str">
        <f t="shared" si="122"/>
        <v/>
      </c>
      <c r="GD36" s="91" t="str">
        <f t="shared" si="123"/>
        <v/>
      </c>
      <c r="GE36" s="91" t="str">
        <f t="shared" si="124"/>
        <v/>
      </c>
      <c r="GF36" s="91" t="str">
        <f t="shared" si="125"/>
        <v/>
      </c>
      <c r="GG36" s="91" t="str">
        <f t="shared" si="126"/>
        <v/>
      </c>
      <c r="GH36" s="91" t="str">
        <f t="shared" si="127"/>
        <v/>
      </c>
      <c r="GI36" s="91" t="str">
        <f t="shared" si="128"/>
        <v/>
      </c>
      <c r="GJ36" s="91" t="str">
        <f t="shared" si="129"/>
        <v/>
      </c>
      <c r="GK36" s="91" t="str">
        <f t="shared" si="130"/>
        <v/>
      </c>
      <c r="GL36" s="91" t="str">
        <f t="shared" si="131"/>
        <v/>
      </c>
      <c r="GM36" s="91" t="str">
        <f t="shared" si="132"/>
        <v/>
      </c>
      <c r="GN36" s="91" t="str">
        <f t="shared" si="133"/>
        <v/>
      </c>
      <c r="GO36" s="91" t="str">
        <f t="shared" si="134"/>
        <v/>
      </c>
      <c r="GP36" s="91" t="str">
        <f t="shared" si="135"/>
        <v/>
      </c>
      <c r="GQ36" s="91" t="str">
        <f t="shared" si="136"/>
        <v/>
      </c>
      <c r="GR36" s="91" t="str">
        <f t="shared" si="137"/>
        <v/>
      </c>
      <c r="GS36" s="91" t="str">
        <f t="shared" si="138"/>
        <v/>
      </c>
      <c r="GT36" s="91" t="str">
        <f t="shared" si="139"/>
        <v/>
      </c>
      <c r="GU36" s="91" t="str">
        <f t="shared" si="140"/>
        <v/>
      </c>
      <c r="GV36" s="91" t="str">
        <f t="shared" si="141"/>
        <v/>
      </c>
      <c r="GW36" s="91" t="str">
        <f t="shared" si="142"/>
        <v/>
      </c>
      <c r="GX36" s="91" t="str">
        <f t="shared" si="143"/>
        <v/>
      </c>
      <c r="GY36" s="91" t="str">
        <f t="shared" si="144"/>
        <v/>
      </c>
      <c r="GZ36" s="91" t="str">
        <f t="shared" si="145"/>
        <v/>
      </c>
      <c r="HA36" s="91" t="str">
        <f t="shared" si="146"/>
        <v/>
      </c>
      <c r="HB36" s="91" t="str">
        <f t="shared" si="147"/>
        <v/>
      </c>
      <c r="HC36" s="91" t="str">
        <f t="shared" si="148"/>
        <v/>
      </c>
      <c r="HD36" s="91" t="str">
        <f t="shared" si="149"/>
        <v/>
      </c>
      <c r="HE36" s="91" t="str">
        <f t="shared" si="150"/>
        <v/>
      </c>
      <c r="HF36" s="91" t="str">
        <f t="shared" si="151"/>
        <v/>
      </c>
      <c r="HG36" s="91" t="str">
        <f t="shared" si="152"/>
        <v/>
      </c>
      <c r="HH36" s="91" t="str">
        <f t="shared" si="153"/>
        <v/>
      </c>
      <c r="HI36" s="91" t="str">
        <f t="shared" si="154"/>
        <v/>
      </c>
      <c r="HJ36" s="91" t="str">
        <f t="shared" si="155"/>
        <v/>
      </c>
      <c r="HK36" s="91" t="str">
        <f t="shared" si="156"/>
        <v/>
      </c>
      <c r="HL36" s="91" t="str">
        <f t="shared" si="157"/>
        <v/>
      </c>
      <c r="HM36" s="91" t="str">
        <f t="shared" si="158"/>
        <v/>
      </c>
      <c r="HN36" s="91" t="str">
        <f t="shared" si="159"/>
        <v/>
      </c>
      <c r="HO36" s="91" t="str">
        <f t="shared" si="160"/>
        <v/>
      </c>
      <c r="HP36" s="91" t="str">
        <f t="shared" si="161"/>
        <v/>
      </c>
      <c r="HQ36" s="91" t="str">
        <f t="shared" si="162"/>
        <v/>
      </c>
      <c r="HR36" s="91" t="str">
        <f t="shared" si="163"/>
        <v/>
      </c>
      <c r="HS36" s="91" t="str">
        <f t="shared" si="164"/>
        <v/>
      </c>
      <c r="HT36" s="91" t="str">
        <f t="shared" si="164"/>
        <v/>
      </c>
      <c r="HU36" s="92" t="str">
        <f t="shared" si="182"/>
        <v>-</v>
      </c>
      <c r="HV36" s="93" t="str">
        <f t="shared" si="165"/>
        <v/>
      </c>
      <c r="HW36" s="94" t="str">
        <f t="shared" si="166"/>
        <v/>
      </c>
      <c r="HX36" s="93" t="str">
        <f t="shared" si="183"/>
        <v/>
      </c>
      <c r="HY36" s="93" t="str">
        <f t="shared" si="167"/>
        <v/>
      </c>
      <c r="HZ36" s="93" t="str">
        <f t="shared" si="168"/>
        <v/>
      </c>
      <c r="IA36" s="92" t="str">
        <f t="shared" si="169"/>
        <v/>
      </c>
      <c r="IB36" s="93" t="str">
        <f t="shared" si="170"/>
        <v/>
      </c>
      <c r="IC36" s="94" t="str">
        <f t="shared" si="171"/>
        <v/>
      </c>
      <c r="ID36" s="92" t="str">
        <f t="shared" si="172"/>
        <v/>
      </c>
      <c r="IE36" s="93" t="str">
        <f t="shared" si="173"/>
        <v/>
      </c>
      <c r="IF36" s="94" t="str">
        <f t="shared" si="174"/>
        <v/>
      </c>
      <c r="IH36" s="66">
        <v>36</v>
      </c>
      <c r="II36" s="66" t="e">
        <f t="shared" ca="1" si="175"/>
        <v>#N/A</v>
      </c>
      <c r="IJ36" s="66" t="e">
        <f t="shared" ca="1" si="176"/>
        <v>#N/A</v>
      </c>
      <c r="IK36" s="66" t="e">
        <f t="shared" ca="1" si="177"/>
        <v>#N/A</v>
      </c>
      <c r="IL36" s="66" t="e">
        <f t="shared" ca="1" si="178"/>
        <v>#N/A</v>
      </c>
      <c r="IM36" s="33"/>
      <c r="IN36" s="74" t="e">
        <f t="shared" ca="1" si="184"/>
        <v>#N/A</v>
      </c>
      <c r="IO36" s="75" t="e">
        <f t="shared" ca="1" si="185"/>
        <v>#N/A</v>
      </c>
      <c r="IP36" s="75" t="e">
        <f t="shared" ca="1" si="186"/>
        <v>#N/A</v>
      </c>
      <c r="IQ36" s="74" t="e">
        <f t="shared" ca="1" si="187"/>
        <v>#N/A</v>
      </c>
      <c r="IR36" s="74" t="e">
        <f t="shared" ca="1" si="188"/>
        <v>#N/A</v>
      </c>
    </row>
    <row r="37" spans="1:252" s="1" customFormat="1" x14ac:dyDescent="0.35">
      <c r="A37" s="33">
        <v>0</v>
      </c>
      <c r="B37" s="33">
        <v>0</v>
      </c>
      <c r="C37" s="33">
        <v>1</v>
      </c>
      <c r="E37" s="4"/>
      <c r="F37" t="s">
        <v>301</v>
      </c>
      <c r="G37" s="5" t="s">
        <v>542</v>
      </c>
      <c r="H37" s="4" t="s">
        <v>533</v>
      </c>
      <c r="I37" s="7" t="s">
        <v>534</v>
      </c>
      <c r="J37" s="276" t="s">
        <v>805</v>
      </c>
      <c r="K37" s="39" t="s">
        <v>805</v>
      </c>
      <c r="L37" s="39" t="s">
        <v>805</v>
      </c>
      <c r="M37" s="39" t="s">
        <v>805</v>
      </c>
      <c r="N37" s="39" t="s">
        <v>805</v>
      </c>
      <c r="O37" s="39" t="s">
        <v>805</v>
      </c>
      <c r="P37" s="39" t="s">
        <v>805</v>
      </c>
      <c r="Q37" s="39" t="s">
        <v>805</v>
      </c>
      <c r="R37" s="39" t="s">
        <v>805</v>
      </c>
      <c r="S37" s="39" t="s">
        <v>805</v>
      </c>
      <c r="T37" s="39" t="s">
        <v>805</v>
      </c>
      <c r="U37" s="39" t="s">
        <v>805</v>
      </c>
      <c r="V37" s="39" t="s">
        <v>805</v>
      </c>
      <c r="W37" s="39" t="s">
        <v>805</v>
      </c>
      <c r="X37" s="39" t="s">
        <v>805</v>
      </c>
      <c r="Y37" s="39" t="s">
        <v>805</v>
      </c>
      <c r="Z37" s="39" t="s">
        <v>805</v>
      </c>
      <c r="AA37" s="39" t="s">
        <v>805</v>
      </c>
      <c r="AB37" s="39" t="s">
        <v>805</v>
      </c>
      <c r="AC37" s="39" t="s">
        <v>805</v>
      </c>
      <c r="AD37" s="39" t="s">
        <v>805</v>
      </c>
      <c r="AE37" s="39" t="s">
        <v>805</v>
      </c>
      <c r="AF37" s="39" t="s">
        <v>805</v>
      </c>
      <c r="AG37" s="39" t="s">
        <v>805</v>
      </c>
      <c r="AH37" s="39" t="s">
        <v>805</v>
      </c>
      <c r="AI37" s="39" t="s">
        <v>805</v>
      </c>
      <c r="AJ37" s="39" t="s">
        <v>805</v>
      </c>
      <c r="AK37" s="39" t="s">
        <v>805</v>
      </c>
      <c r="AL37" s="39" t="s">
        <v>805</v>
      </c>
      <c r="AM37" s="39" t="s">
        <v>805</v>
      </c>
      <c r="AN37" s="39" t="s">
        <v>805</v>
      </c>
      <c r="AO37" s="39" t="s">
        <v>805</v>
      </c>
      <c r="AP37" s="39" t="s">
        <v>805</v>
      </c>
      <c r="AQ37" s="39" t="s">
        <v>805</v>
      </c>
      <c r="AR37" s="39" t="s">
        <v>805</v>
      </c>
      <c r="AS37" s="39" t="s">
        <v>805</v>
      </c>
      <c r="AT37" s="39" t="s">
        <v>805</v>
      </c>
      <c r="AU37" s="39" t="s">
        <v>805</v>
      </c>
      <c r="AV37" s="39" t="s">
        <v>805</v>
      </c>
      <c r="AW37" s="39" t="s">
        <v>805</v>
      </c>
      <c r="AX37" s="39" t="s">
        <v>805</v>
      </c>
      <c r="AY37" s="39" t="s">
        <v>805</v>
      </c>
      <c r="AZ37" s="39" t="s">
        <v>805</v>
      </c>
      <c r="BA37" s="39" t="s">
        <v>805</v>
      </c>
      <c r="BB37" s="39" t="s">
        <v>805</v>
      </c>
      <c r="BC37" s="39" t="s">
        <v>805</v>
      </c>
      <c r="BD37" s="39" t="s">
        <v>805</v>
      </c>
      <c r="BE37" s="39" t="s">
        <v>805</v>
      </c>
      <c r="BF37" s="39" t="s">
        <v>805</v>
      </c>
      <c r="BG37" s="39" t="s">
        <v>805</v>
      </c>
      <c r="BH37" s="39" t="s">
        <v>805</v>
      </c>
      <c r="BI37" s="39" t="s">
        <v>805</v>
      </c>
      <c r="BJ37" s="39" t="s">
        <v>805</v>
      </c>
      <c r="BK37" s="39" t="s">
        <v>805</v>
      </c>
      <c r="BL37" s="39" t="s">
        <v>805</v>
      </c>
      <c r="BM37" s="39" t="s">
        <v>805</v>
      </c>
      <c r="BN37" s="39" t="s">
        <v>805</v>
      </c>
      <c r="BO37" s="39" t="s">
        <v>805</v>
      </c>
      <c r="BP37" s="39" t="s">
        <v>805</v>
      </c>
      <c r="BQ37" s="39" t="s">
        <v>805</v>
      </c>
      <c r="BR37" s="39" t="s">
        <v>805</v>
      </c>
      <c r="BS37" s="39" t="s">
        <v>805</v>
      </c>
      <c r="BT37" s="39" t="s">
        <v>805</v>
      </c>
      <c r="BU37" s="39" t="s">
        <v>805</v>
      </c>
      <c r="BV37" s="39" t="s">
        <v>805</v>
      </c>
      <c r="BW37" s="39" t="s">
        <v>805</v>
      </c>
      <c r="BX37" s="39" t="s">
        <v>805</v>
      </c>
      <c r="BY37" s="39" t="s">
        <v>805</v>
      </c>
      <c r="BZ37" s="39" t="s">
        <v>805</v>
      </c>
      <c r="CA37" s="39" t="s">
        <v>805</v>
      </c>
      <c r="CB37" s="39" t="s">
        <v>805</v>
      </c>
      <c r="CC37" s="39" t="s">
        <v>805</v>
      </c>
      <c r="CD37" s="39" t="s">
        <v>805</v>
      </c>
      <c r="CE37" s="39" t="s">
        <v>805</v>
      </c>
      <c r="CF37" s="39" t="s">
        <v>805</v>
      </c>
      <c r="CG37" s="39" t="s">
        <v>805</v>
      </c>
      <c r="CH37" s="39" t="s">
        <v>805</v>
      </c>
      <c r="CI37" s="39" t="s">
        <v>805</v>
      </c>
      <c r="CJ37" s="39" t="s">
        <v>805</v>
      </c>
      <c r="CK37" s="39" t="s">
        <v>805</v>
      </c>
      <c r="CL37" s="39" t="s">
        <v>805</v>
      </c>
      <c r="CM37" s="39" t="s">
        <v>805</v>
      </c>
      <c r="CN37" s="39" t="s">
        <v>805</v>
      </c>
      <c r="CO37" s="39" t="s">
        <v>805</v>
      </c>
      <c r="CP37" s="39" t="s">
        <v>805</v>
      </c>
      <c r="CQ37" s="39" t="s">
        <v>805</v>
      </c>
      <c r="CR37" s="39" t="s">
        <v>805</v>
      </c>
      <c r="CS37" s="39" t="s">
        <v>805</v>
      </c>
      <c r="CT37" s="39" t="s">
        <v>805</v>
      </c>
      <c r="CU37" s="39" t="s">
        <v>805</v>
      </c>
      <c r="CV37" s="39" t="s">
        <v>805</v>
      </c>
      <c r="CW37" s="39" t="s">
        <v>805</v>
      </c>
      <c r="CX37" s="39" t="s">
        <v>805</v>
      </c>
      <c r="CY37" s="39" t="s">
        <v>805</v>
      </c>
      <c r="CZ37" s="39" t="s">
        <v>805</v>
      </c>
      <c r="DA37" s="39" t="s">
        <v>805</v>
      </c>
      <c r="DB37" s="39" t="s">
        <v>805</v>
      </c>
      <c r="DC37" s="39" t="s">
        <v>805</v>
      </c>
      <c r="DD37" s="39" t="s">
        <v>805</v>
      </c>
      <c r="DE37" s="39" t="s">
        <v>805</v>
      </c>
      <c r="DF37" s="39" t="s">
        <v>805</v>
      </c>
      <c r="DG37" s="28">
        <f>'KPI Count-SHARE'!J31</f>
        <v>0</v>
      </c>
      <c r="DH37" s="105"/>
      <c r="DI37" s="105"/>
      <c r="DJ37" s="105"/>
      <c r="DK37" s="28">
        <f>'KPI Count-SHARE'!K31</f>
        <v>0</v>
      </c>
      <c r="DL37" s="39"/>
      <c r="DM37" s="39"/>
      <c r="DN37" s="39"/>
      <c r="DO37" s="28">
        <f>'KPI Count-SHARE'!L31</f>
        <v>0</v>
      </c>
      <c r="DP37" s="61"/>
      <c r="DQ37" s="61"/>
      <c r="DR37" s="61"/>
      <c r="DS37" s="28">
        <f>'KPI Count-SHARE'!M31</f>
        <v>0</v>
      </c>
      <c r="DT37" s="39"/>
      <c r="DU37" s="39"/>
      <c r="DV37" s="39"/>
      <c r="DW37" s="30" t="s">
        <v>533</v>
      </c>
      <c r="DX37" s="39" t="str">
        <f t="shared" si="79"/>
        <v/>
      </c>
      <c r="DY37" s="39" t="str">
        <f t="shared" si="80"/>
        <v/>
      </c>
      <c r="DZ37" s="39" t="str">
        <f t="shared" si="81"/>
        <v/>
      </c>
      <c r="EA37" s="39" t="str">
        <f t="shared" si="179"/>
        <v/>
      </c>
      <c r="EB37" s="39" t="str">
        <f t="shared" si="180"/>
        <v/>
      </c>
      <c r="EC37" s="39" t="str">
        <f t="shared" si="181"/>
        <v/>
      </c>
      <c r="ED37" s="39" t="str">
        <f t="shared" si="82"/>
        <v/>
      </c>
      <c r="EE37" s="39" t="str">
        <f t="shared" si="83"/>
        <v/>
      </c>
      <c r="EF37" s="39" t="str">
        <f t="shared" si="84"/>
        <v/>
      </c>
      <c r="EG37" s="39" t="str">
        <f t="shared" si="85"/>
        <v/>
      </c>
      <c r="EH37" s="39" t="str">
        <f t="shared" si="86"/>
        <v/>
      </c>
      <c r="EI37" s="39" t="str">
        <f t="shared" si="190"/>
        <v/>
      </c>
      <c r="EJ37" s="39" t="str">
        <f t="shared" si="190"/>
        <v/>
      </c>
      <c r="EK37" s="39" t="str">
        <f t="shared" si="190"/>
        <v/>
      </c>
      <c r="EL37" s="39" t="str">
        <f t="shared" si="190"/>
        <v/>
      </c>
      <c r="EM37" s="39" t="str">
        <f t="shared" si="190"/>
        <v/>
      </c>
      <c r="EN37" s="39" t="str">
        <f t="shared" si="190"/>
        <v/>
      </c>
      <c r="EO37" s="39" t="str">
        <f t="shared" si="190"/>
        <v/>
      </c>
      <c r="EP37" s="39" t="str">
        <f t="shared" si="190"/>
        <v/>
      </c>
      <c r="EQ37" s="39" t="str">
        <f t="shared" si="190"/>
        <v/>
      </c>
      <c r="ER37" s="39" t="str">
        <f t="shared" si="190"/>
        <v/>
      </c>
      <c r="ES37" s="39" t="str">
        <f t="shared" si="190"/>
        <v/>
      </c>
      <c r="ET37" s="39" t="str">
        <f t="shared" si="190"/>
        <v/>
      </c>
      <c r="EU37" s="39" t="str">
        <f t="shared" si="88"/>
        <v/>
      </c>
      <c r="EV37" s="39" t="str">
        <f t="shared" si="89"/>
        <v/>
      </c>
      <c r="EW37" s="39" t="str">
        <f t="shared" si="90"/>
        <v/>
      </c>
      <c r="EX37" s="39" t="str">
        <f t="shared" si="91"/>
        <v/>
      </c>
      <c r="EY37" s="39" t="str">
        <f t="shared" si="92"/>
        <v/>
      </c>
      <c r="EZ37" s="39" t="str">
        <f t="shared" si="93"/>
        <v/>
      </c>
      <c r="FA37" s="39" t="str">
        <f t="shared" si="94"/>
        <v/>
      </c>
      <c r="FB37" s="39" t="str">
        <f t="shared" si="95"/>
        <v/>
      </c>
      <c r="FC37" s="39" t="str">
        <f t="shared" si="96"/>
        <v/>
      </c>
      <c r="FD37" s="39" t="str">
        <f t="shared" si="97"/>
        <v/>
      </c>
      <c r="FE37" s="39" t="str">
        <f t="shared" si="98"/>
        <v/>
      </c>
      <c r="FF37" s="39" t="str">
        <f t="shared" si="99"/>
        <v/>
      </c>
      <c r="FG37" s="39" t="str">
        <f t="shared" si="100"/>
        <v/>
      </c>
      <c r="FH37" s="39" t="str">
        <f t="shared" si="101"/>
        <v/>
      </c>
      <c r="FI37" s="39" t="str">
        <f t="shared" si="102"/>
        <v/>
      </c>
      <c r="FJ37" s="39" t="str">
        <f t="shared" si="103"/>
        <v/>
      </c>
      <c r="FK37" s="39" t="str">
        <f t="shared" si="104"/>
        <v/>
      </c>
      <c r="FL37" s="39" t="str">
        <f t="shared" si="105"/>
        <v/>
      </c>
      <c r="FM37" s="39" t="str">
        <f t="shared" si="106"/>
        <v/>
      </c>
      <c r="FN37" s="39" t="str">
        <f t="shared" si="107"/>
        <v/>
      </c>
      <c r="FO37" s="39" t="str">
        <f t="shared" si="108"/>
        <v/>
      </c>
      <c r="FP37" s="39" t="str">
        <f t="shared" si="109"/>
        <v/>
      </c>
      <c r="FQ37" s="39" t="str">
        <f t="shared" si="110"/>
        <v/>
      </c>
      <c r="FR37" s="39" t="str">
        <f t="shared" si="111"/>
        <v/>
      </c>
      <c r="FS37" s="39" t="str">
        <f t="shared" si="112"/>
        <v/>
      </c>
      <c r="FT37" s="39" t="str">
        <f t="shared" si="113"/>
        <v/>
      </c>
      <c r="FU37" s="39" t="str">
        <f t="shared" si="114"/>
        <v/>
      </c>
      <c r="FV37" s="39" t="str">
        <f t="shared" si="115"/>
        <v/>
      </c>
      <c r="FW37" s="39" t="str">
        <f t="shared" si="116"/>
        <v/>
      </c>
      <c r="FX37" s="39" t="str">
        <f t="shared" si="117"/>
        <v/>
      </c>
      <c r="FY37" s="39" t="str">
        <f t="shared" si="118"/>
        <v/>
      </c>
      <c r="FZ37" s="39" t="str">
        <f t="shared" si="119"/>
        <v/>
      </c>
      <c r="GA37" s="39" t="str">
        <f t="shared" si="120"/>
        <v/>
      </c>
      <c r="GB37" s="39" t="str">
        <f t="shared" si="121"/>
        <v/>
      </c>
      <c r="GC37" s="39" t="str">
        <f t="shared" si="122"/>
        <v/>
      </c>
      <c r="GD37" s="39" t="str">
        <f t="shared" si="123"/>
        <v/>
      </c>
      <c r="GE37" s="39" t="str">
        <f t="shared" si="124"/>
        <v/>
      </c>
      <c r="GF37" s="39" t="str">
        <f t="shared" si="125"/>
        <v/>
      </c>
      <c r="GG37" s="39" t="str">
        <f t="shared" si="126"/>
        <v/>
      </c>
      <c r="GH37" s="39" t="str">
        <f t="shared" si="127"/>
        <v/>
      </c>
      <c r="GI37" s="39" t="str">
        <f t="shared" si="128"/>
        <v/>
      </c>
      <c r="GJ37" s="39" t="str">
        <f t="shared" si="129"/>
        <v/>
      </c>
      <c r="GK37" s="39" t="str">
        <f t="shared" si="130"/>
        <v/>
      </c>
      <c r="GL37" s="39" t="str">
        <f t="shared" si="131"/>
        <v/>
      </c>
      <c r="GM37" s="39" t="str">
        <f t="shared" si="132"/>
        <v/>
      </c>
      <c r="GN37" s="39" t="str">
        <f t="shared" si="133"/>
        <v/>
      </c>
      <c r="GO37" s="39" t="str">
        <f t="shared" si="134"/>
        <v/>
      </c>
      <c r="GP37" s="39" t="str">
        <f t="shared" si="135"/>
        <v/>
      </c>
      <c r="GQ37" s="39" t="str">
        <f t="shared" si="136"/>
        <v/>
      </c>
      <c r="GR37" s="39" t="str">
        <f t="shared" si="137"/>
        <v/>
      </c>
      <c r="GS37" s="39" t="str">
        <f t="shared" si="138"/>
        <v/>
      </c>
      <c r="GT37" s="39" t="str">
        <f t="shared" si="139"/>
        <v/>
      </c>
      <c r="GU37" s="39" t="str">
        <f t="shared" si="140"/>
        <v/>
      </c>
      <c r="GV37" s="39" t="str">
        <f t="shared" si="141"/>
        <v/>
      </c>
      <c r="GW37" s="39" t="str">
        <f t="shared" si="142"/>
        <v/>
      </c>
      <c r="GX37" s="39" t="str">
        <f t="shared" si="143"/>
        <v/>
      </c>
      <c r="GY37" s="39" t="str">
        <f t="shared" si="144"/>
        <v/>
      </c>
      <c r="GZ37" s="39" t="str">
        <f t="shared" si="145"/>
        <v/>
      </c>
      <c r="HA37" s="39" t="str">
        <f t="shared" si="146"/>
        <v/>
      </c>
      <c r="HB37" s="39" t="str">
        <f t="shared" si="147"/>
        <v/>
      </c>
      <c r="HC37" s="39" t="str">
        <f t="shared" si="148"/>
        <v/>
      </c>
      <c r="HD37" s="39" t="str">
        <f t="shared" si="149"/>
        <v/>
      </c>
      <c r="HE37" s="39" t="str">
        <f t="shared" si="150"/>
        <v/>
      </c>
      <c r="HF37" s="39" t="str">
        <f t="shared" si="151"/>
        <v/>
      </c>
      <c r="HG37" s="39" t="str">
        <f t="shared" si="152"/>
        <v/>
      </c>
      <c r="HH37" s="39" t="str">
        <f t="shared" si="153"/>
        <v/>
      </c>
      <c r="HI37" s="39" t="str">
        <f t="shared" si="154"/>
        <v/>
      </c>
      <c r="HJ37" s="39" t="str">
        <f t="shared" si="155"/>
        <v/>
      </c>
      <c r="HK37" s="39" t="str">
        <f t="shared" si="156"/>
        <v/>
      </c>
      <c r="HL37" s="39" t="str">
        <f t="shared" si="157"/>
        <v/>
      </c>
      <c r="HM37" s="39" t="str">
        <f t="shared" si="158"/>
        <v/>
      </c>
      <c r="HN37" s="39" t="str">
        <f t="shared" si="159"/>
        <v/>
      </c>
      <c r="HO37" s="39" t="str">
        <f t="shared" si="160"/>
        <v/>
      </c>
      <c r="HP37" s="39" t="str">
        <f t="shared" si="161"/>
        <v/>
      </c>
      <c r="HQ37" s="39" t="str">
        <f t="shared" si="162"/>
        <v/>
      </c>
      <c r="HR37" s="39" t="str">
        <f t="shared" si="163"/>
        <v/>
      </c>
      <c r="HS37" s="39" t="str">
        <f t="shared" si="164"/>
        <v/>
      </c>
      <c r="HT37" s="39" t="str">
        <f t="shared" si="164"/>
        <v/>
      </c>
      <c r="HU37" s="83" t="str">
        <f t="shared" si="182"/>
        <v>-</v>
      </c>
      <c r="HV37" s="84" t="str">
        <f t="shared" si="165"/>
        <v/>
      </c>
      <c r="HW37" s="85" t="str">
        <f t="shared" si="166"/>
        <v/>
      </c>
      <c r="HX37" s="84" t="str">
        <f t="shared" si="183"/>
        <v/>
      </c>
      <c r="HY37" s="84" t="str">
        <f t="shared" si="167"/>
        <v/>
      </c>
      <c r="HZ37" s="84" t="str">
        <f t="shared" si="168"/>
        <v/>
      </c>
      <c r="IA37" s="83" t="str">
        <f t="shared" si="169"/>
        <v/>
      </c>
      <c r="IB37" s="84" t="str">
        <f t="shared" si="170"/>
        <v/>
      </c>
      <c r="IC37" s="85" t="str">
        <f t="shared" si="171"/>
        <v/>
      </c>
      <c r="ID37" s="83" t="str">
        <f t="shared" si="172"/>
        <v/>
      </c>
      <c r="IE37" s="84" t="str">
        <f t="shared" si="173"/>
        <v/>
      </c>
      <c r="IF37" s="85" t="str">
        <f t="shared" si="174"/>
        <v/>
      </c>
      <c r="IH37" s="66">
        <v>37</v>
      </c>
      <c r="II37" s="66" t="e">
        <f t="shared" ca="1" si="175"/>
        <v>#N/A</v>
      </c>
      <c r="IJ37" s="66" t="e">
        <f t="shared" ca="1" si="176"/>
        <v>#N/A</v>
      </c>
      <c r="IK37" s="66" t="e">
        <f t="shared" ca="1" si="177"/>
        <v>#N/A</v>
      </c>
      <c r="IL37" s="66" t="e">
        <f t="shared" ca="1" si="178"/>
        <v>#N/A</v>
      </c>
      <c r="IM37" s="33"/>
      <c r="IN37" s="74" t="e">
        <f t="shared" ca="1" si="184"/>
        <v>#N/A</v>
      </c>
      <c r="IO37" s="75" t="e">
        <f t="shared" ca="1" si="185"/>
        <v>#N/A</v>
      </c>
      <c r="IP37" s="75" t="e">
        <f t="shared" ca="1" si="186"/>
        <v>#N/A</v>
      </c>
      <c r="IQ37" s="74" t="e">
        <f t="shared" ca="1" si="187"/>
        <v>#N/A</v>
      </c>
      <c r="IR37" s="74" t="e">
        <f t="shared" ca="1" si="188"/>
        <v>#N/A</v>
      </c>
    </row>
    <row r="38" spans="1:252" s="1" customFormat="1" x14ac:dyDescent="0.35">
      <c r="A38" s="33">
        <v>0</v>
      </c>
      <c r="B38" s="33">
        <v>0</v>
      </c>
      <c r="C38" s="33">
        <v>1</v>
      </c>
      <c r="E38" s="4"/>
      <c r="F38" t="s">
        <v>302</v>
      </c>
      <c r="G38" s="5" t="s">
        <v>542</v>
      </c>
      <c r="H38" s="4" t="s">
        <v>531</v>
      </c>
      <c r="I38" s="7" t="s">
        <v>534</v>
      </c>
      <c r="J38" s="276" t="s">
        <v>805</v>
      </c>
      <c r="K38" s="39" t="s">
        <v>805</v>
      </c>
      <c r="L38" s="39" t="s">
        <v>805</v>
      </c>
      <c r="M38" s="39" t="s">
        <v>805</v>
      </c>
      <c r="N38" s="39" t="s">
        <v>805</v>
      </c>
      <c r="O38" s="39" t="s">
        <v>805</v>
      </c>
      <c r="P38" s="39" t="s">
        <v>805</v>
      </c>
      <c r="Q38" s="39" t="s">
        <v>805</v>
      </c>
      <c r="R38" s="39" t="s">
        <v>805</v>
      </c>
      <c r="S38" s="39" t="s">
        <v>805</v>
      </c>
      <c r="T38" s="39" t="s">
        <v>805</v>
      </c>
      <c r="U38" s="39" t="s">
        <v>805</v>
      </c>
      <c r="V38" s="39" t="s">
        <v>805</v>
      </c>
      <c r="W38" s="39" t="s">
        <v>805</v>
      </c>
      <c r="X38" s="39" t="s">
        <v>805</v>
      </c>
      <c r="Y38" s="39" t="s">
        <v>805</v>
      </c>
      <c r="Z38" s="39" t="s">
        <v>805</v>
      </c>
      <c r="AA38" s="39" t="s">
        <v>805</v>
      </c>
      <c r="AB38" s="39" t="s">
        <v>805</v>
      </c>
      <c r="AC38" s="39" t="s">
        <v>805</v>
      </c>
      <c r="AD38" s="39" t="s">
        <v>805</v>
      </c>
      <c r="AE38" s="39" t="s">
        <v>805</v>
      </c>
      <c r="AF38" s="39" t="s">
        <v>805</v>
      </c>
      <c r="AG38" s="39" t="s">
        <v>805</v>
      </c>
      <c r="AH38" s="39" t="s">
        <v>805</v>
      </c>
      <c r="AI38" s="39" t="s">
        <v>805</v>
      </c>
      <c r="AJ38" s="39" t="s">
        <v>805</v>
      </c>
      <c r="AK38" s="39" t="s">
        <v>805</v>
      </c>
      <c r="AL38" s="39" t="s">
        <v>805</v>
      </c>
      <c r="AM38" s="39" t="s">
        <v>805</v>
      </c>
      <c r="AN38" s="39" t="s">
        <v>805</v>
      </c>
      <c r="AO38" s="39" t="s">
        <v>805</v>
      </c>
      <c r="AP38" s="39" t="s">
        <v>805</v>
      </c>
      <c r="AQ38" s="39" t="s">
        <v>805</v>
      </c>
      <c r="AR38" s="39" t="s">
        <v>805</v>
      </c>
      <c r="AS38" s="39" t="s">
        <v>805</v>
      </c>
      <c r="AT38" s="39" t="s">
        <v>805</v>
      </c>
      <c r="AU38" s="39" t="s">
        <v>805</v>
      </c>
      <c r="AV38" s="39" t="s">
        <v>805</v>
      </c>
      <c r="AW38" s="39" t="s">
        <v>805</v>
      </c>
      <c r="AX38" s="39" t="s">
        <v>805</v>
      </c>
      <c r="AY38" s="39" t="s">
        <v>805</v>
      </c>
      <c r="AZ38" s="39" t="s">
        <v>805</v>
      </c>
      <c r="BA38" s="39" t="s">
        <v>805</v>
      </c>
      <c r="BB38" s="39" t="s">
        <v>805</v>
      </c>
      <c r="BC38" s="39" t="s">
        <v>805</v>
      </c>
      <c r="BD38" s="39" t="s">
        <v>805</v>
      </c>
      <c r="BE38" s="39" t="s">
        <v>805</v>
      </c>
      <c r="BF38" s="39" t="s">
        <v>805</v>
      </c>
      <c r="BG38" s="39" t="s">
        <v>805</v>
      </c>
      <c r="BH38" s="39" t="s">
        <v>805</v>
      </c>
      <c r="BI38" s="39" t="s">
        <v>805</v>
      </c>
      <c r="BJ38" s="39" t="s">
        <v>805</v>
      </c>
      <c r="BK38" s="39" t="s">
        <v>805</v>
      </c>
      <c r="BL38" s="39" t="s">
        <v>805</v>
      </c>
      <c r="BM38" s="39" t="s">
        <v>805</v>
      </c>
      <c r="BN38" s="39" t="s">
        <v>805</v>
      </c>
      <c r="BO38" s="39" t="s">
        <v>805</v>
      </c>
      <c r="BP38" s="39" t="s">
        <v>805</v>
      </c>
      <c r="BQ38" s="39" t="s">
        <v>805</v>
      </c>
      <c r="BR38" s="39" t="s">
        <v>805</v>
      </c>
      <c r="BS38" s="39" t="s">
        <v>805</v>
      </c>
      <c r="BT38" s="39" t="s">
        <v>805</v>
      </c>
      <c r="BU38" s="39" t="s">
        <v>805</v>
      </c>
      <c r="BV38" s="39" t="s">
        <v>805</v>
      </c>
      <c r="BW38" s="39" t="s">
        <v>805</v>
      </c>
      <c r="BX38" s="39" t="s">
        <v>805</v>
      </c>
      <c r="BY38" s="39" t="s">
        <v>805</v>
      </c>
      <c r="BZ38" s="39" t="s">
        <v>805</v>
      </c>
      <c r="CA38" s="39" t="s">
        <v>805</v>
      </c>
      <c r="CB38" s="39" t="s">
        <v>805</v>
      </c>
      <c r="CC38" s="39" t="s">
        <v>805</v>
      </c>
      <c r="CD38" s="39" t="s">
        <v>805</v>
      </c>
      <c r="CE38" s="39" t="s">
        <v>805</v>
      </c>
      <c r="CF38" s="39" t="s">
        <v>805</v>
      </c>
      <c r="CG38" s="39" t="s">
        <v>805</v>
      </c>
      <c r="CH38" s="39" t="s">
        <v>805</v>
      </c>
      <c r="CI38" s="39" t="s">
        <v>805</v>
      </c>
      <c r="CJ38" s="39" t="s">
        <v>805</v>
      </c>
      <c r="CK38" s="39" t="s">
        <v>805</v>
      </c>
      <c r="CL38" s="39" t="s">
        <v>805</v>
      </c>
      <c r="CM38" s="39" t="s">
        <v>805</v>
      </c>
      <c r="CN38" s="39" t="s">
        <v>805</v>
      </c>
      <c r="CO38" s="39" t="s">
        <v>805</v>
      </c>
      <c r="CP38" s="39" t="s">
        <v>805</v>
      </c>
      <c r="CQ38" s="39" t="s">
        <v>805</v>
      </c>
      <c r="CR38" s="39" t="s">
        <v>805</v>
      </c>
      <c r="CS38" s="39" t="s">
        <v>805</v>
      </c>
      <c r="CT38" s="39" t="s">
        <v>805</v>
      </c>
      <c r="CU38" s="39" t="s">
        <v>805</v>
      </c>
      <c r="CV38" s="39" t="s">
        <v>805</v>
      </c>
      <c r="CW38" s="39" t="s">
        <v>805</v>
      </c>
      <c r="CX38" s="39" t="s">
        <v>805</v>
      </c>
      <c r="CY38" s="39" t="s">
        <v>805</v>
      </c>
      <c r="CZ38" s="39" t="s">
        <v>805</v>
      </c>
      <c r="DA38" s="39" t="s">
        <v>805</v>
      </c>
      <c r="DB38" s="39" t="s">
        <v>805</v>
      </c>
      <c r="DC38" s="39" t="s">
        <v>805</v>
      </c>
      <c r="DD38" s="39" t="s">
        <v>805</v>
      </c>
      <c r="DE38" s="39" t="s">
        <v>805</v>
      </c>
      <c r="DF38" s="39" t="s">
        <v>805</v>
      </c>
      <c r="DG38" s="28">
        <f>'KPI Count-SHARE'!J32</f>
        <v>0</v>
      </c>
      <c r="DH38" s="105"/>
      <c r="DI38" s="105"/>
      <c r="DJ38" s="105"/>
      <c r="DK38" s="28">
        <f>'KPI Count-SHARE'!K32</f>
        <v>0</v>
      </c>
      <c r="DL38" s="39"/>
      <c r="DM38" s="39"/>
      <c r="DN38" s="39"/>
      <c r="DO38" s="28">
        <f>'KPI Count-SHARE'!L32</f>
        <v>0</v>
      </c>
      <c r="DP38" s="39"/>
      <c r="DQ38" s="39"/>
      <c r="DR38" s="39"/>
      <c r="DS38" s="28">
        <f>'KPI Count-SHARE'!M32</f>
        <v>0</v>
      </c>
      <c r="DT38" s="39"/>
      <c r="DU38" s="39"/>
      <c r="DV38" s="39"/>
      <c r="DW38" s="30" t="s">
        <v>531</v>
      </c>
      <c r="DX38" s="91" t="str">
        <f t="shared" si="79"/>
        <v/>
      </c>
      <c r="DY38" s="91" t="str">
        <f t="shared" si="80"/>
        <v/>
      </c>
      <c r="DZ38" s="91" t="str">
        <f t="shared" si="81"/>
        <v/>
      </c>
      <c r="EA38" s="91" t="str">
        <f t="shared" si="179"/>
        <v/>
      </c>
      <c r="EB38" s="91" t="str">
        <f t="shared" si="180"/>
        <v/>
      </c>
      <c r="EC38" s="91" t="str">
        <f t="shared" si="181"/>
        <v/>
      </c>
      <c r="ED38" s="91" t="str">
        <f t="shared" si="82"/>
        <v/>
      </c>
      <c r="EE38" s="91" t="str">
        <f t="shared" si="83"/>
        <v/>
      </c>
      <c r="EF38" s="91" t="str">
        <f t="shared" si="84"/>
        <v/>
      </c>
      <c r="EG38" s="91" t="str">
        <f t="shared" si="85"/>
        <v/>
      </c>
      <c r="EH38" s="91" t="str">
        <f t="shared" si="86"/>
        <v/>
      </c>
      <c r="EI38" s="91" t="str">
        <f t="shared" si="190"/>
        <v/>
      </c>
      <c r="EJ38" s="91" t="str">
        <f t="shared" si="190"/>
        <v/>
      </c>
      <c r="EK38" s="91" t="str">
        <f t="shared" si="190"/>
        <v/>
      </c>
      <c r="EL38" s="91" t="str">
        <f t="shared" si="190"/>
        <v/>
      </c>
      <c r="EM38" s="91" t="str">
        <f t="shared" si="190"/>
        <v/>
      </c>
      <c r="EN38" s="91" t="str">
        <f t="shared" si="190"/>
        <v/>
      </c>
      <c r="EO38" s="91" t="str">
        <f t="shared" si="190"/>
        <v/>
      </c>
      <c r="EP38" s="91" t="str">
        <f t="shared" si="190"/>
        <v/>
      </c>
      <c r="EQ38" s="91" t="str">
        <f t="shared" si="190"/>
        <v/>
      </c>
      <c r="ER38" s="91" t="str">
        <f t="shared" si="190"/>
        <v/>
      </c>
      <c r="ES38" s="91" t="str">
        <f t="shared" si="190"/>
        <v/>
      </c>
      <c r="ET38" s="91" t="str">
        <f t="shared" si="190"/>
        <v/>
      </c>
      <c r="EU38" s="91" t="str">
        <f t="shared" si="88"/>
        <v/>
      </c>
      <c r="EV38" s="91" t="str">
        <f t="shared" si="89"/>
        <v/>
      </c>
      <c r="EW38" s="91" t="str">
        <f t="shared" si="90"/>
        <v/>
      </c>
      <c r="EX38" s="91" t="str">
        <f t="shared" si="91"/>
        <v/>
      </c>
      <c r="EY38" s="91" t="str">
        <f t="shared" si="92"/>
        <v/>
      </c>
      <c r="EZ38" s="91" t="str">
        <f t="shared" si="93"/>
        <v/>
      </c>
      <c r="FA38" s="91" t="str">
        <f t="shared" si="94"/>
        <v/>
      </c>
      <c r="FB38" s="91" t="str">
        <f t="shared" si="95"/>
        <v/>
      </c>
      <c r="FC38" s="91" t="str">
        <f t="shared" si="96"/>
        <v/>
      </c>
      <c r="FD38" s="91" t="str">
        <f t="shared" si="97"/>
        <v/>
      </c>
      <c r="FE38" s="91" t="str">
        <f t="shared" si="98"/>
        <v/>
      </c>
      <c r="FF38" s="91" t="str">
        <f t="shared" si="99"/>
        <v/>
      </c>
      <c r="FG38" s="91" t="str">
        <f t="shared" si="100"/>
        <v/>
      </c>
      <c r="FH38" s="91" t="str">
        <f t="shared" si="101"/>
        <v/>
      </c>
      <c r="FI38" s="91" t="str">
        <f t="shared" si="102"/>
        <v/>
      </c>
      <c r="FJ38" s="91" t="str">
        <f t="shared" si="103"/>
        <v/>
      </c>
      <c r="FK38" s="91" t="str">
        <f t="shared" si="104"/>
        <v/>
      </c>
      <c r="FL38" s="91" t="str">
        <f t="shared" si="105"/>
        <v/>
      </c>
      <c r="FM38" s="91" t="str">
        <f t="shared" si="106"/>
        <v/>
      </c>
      <c r="FN38" s="91" t="str">
        <f t="shared" si="107"/>
        <v/>
      </c>
      <c r="FO38" s="91" t="str">
        <f t="shared" si="108"/>
        <v/>
      </c>
      <c r="FP38" s="91" t="str">
        <f t="shared" si="109"/>
        <v/>
      </c>
      <c r="FQ38" s="91" t="str">
        <f t="shared" si="110"/>
        <v/>
      </c>
      <c r="FR38" s="91" t="str">
        <f t="shared" si="111"/>
        <v/>
      </c>
      <c r="FS38" s="91" t="str">
        <f t="shared" si="112"/>
        <v/>
      </c>
      <c r="FT38" s="91" t="str">
        <f t="shared" si="113"/>
        <v/>
      </c>
      <c r="FU38" s="91" t="str">
        <f t="shared" si="114"/>
        <v/>
      </c>
      <c r="FV38" s="91" t="str">
        <f t="shared" si="115"/>
        <v/>
      </c>
      <c r="FW38" s="91" t="str">
        <f t="shared" si="116"/>
        <v/>
      </c>
      <c r="FX38" s="91" t="str">
        <f t="shared" si="117"/>
        <v/>
      </c>
      <c r="FY38" s="91" t="str">
        <f t="shared" si="118"/>
        <v/>
      </c>
      <c r="FZ38" s="91" t="str">
        <f t="shared" si="119"/>
        <v/>
      </c>
      <c r="GA38" s="91" t="str">
        <f t="shared" si="120"/>
        <v/>
      </c>
      <c r="GB38" s="91" t="str">
        <f t="shared" si="121"/>
        <v/>
      </c>
      <c r="GC38" s="91" t="str">
        <f t="shared" si="122"/>
        <v/>
      </c>
      <c r="GD38" s="91" t="str">
        <f t="shared" si="123"/>
        <v/>
      </c>
      <c r="GE38" s="91" t="str">
        <f t="shared" si="124"/>
        <v/>
      </c>
      <c r="GF38" s="91" t="str">
        <f t="shared" si="125"/>
        <v/>
      </c>
      <c r="GG38" s="91" t="str">
        <f t="shared" si="126"/>
        <v/>
      </c>
      <c r="GH38" s="91" t="str">
        <f t="shared" si="127"/>
        <v/>
      </c>
      <c r="GI38" s="91" t="str">
        <f t="shared" si="128"/>
        <v/>
      </c>
      <c r="GJ38" s="91" t="str">
        <f t="shared" si="129"/>
        <v/>
      </c>
      <c r="GK38" s="91" t="str">
        <f t="shared" si="130"/>
        <v/>
      </c>
      <c r="GL38" s="91" t="str">
        <f t="shared" si="131"/>
        <v/>
      </c>
      <c r="GM38" s="91" t="str">
        <f t="shared" si="132"/>
        <v/>
      </c>
      <c r="GN38" s="91" t="str">
        <f t="shared" si="133"/>
        <v/>
      </c>
      <c r="GO38" s="91" t="str">
        <f t="shared" si="134"/>
        <v/>
      </c>
      <c r="GP38" s="91" t="str">
        <f t="shared" si="135"/>
        <v/>
      </c>
      <c r="GQ38" s="91" t="str">
        <f t="shared" si="136"/>
        <v/>
      </c>
      <c r="GR38" s="91" t="str">
        <f t="shared" si="137"/>
        <v/>
      </c>
      <c r="GS38" s="91" t="str">
        <f t="shared" si="138"/>
        <v/>
      </c>
      <c r="GT38" s="91" t="str">
        <f t="shared" si="139"/>
        <v/>
      </c>
      <c r="GU38" s="91" t="str">
        <f t="shared" si="140"/>
        <v/>
      </c>
      <c r="GV38" s="91" t="str">
        <f t="shared" si="141"/>
        <v/>
      </c>
      <c r="GW38" s="91" t="str">
        <f t="shared" si="142"/>
        <v/>
      </c>
      <c r="GX38" s="91" t="str">
        <f t="shared" si="143"/>
        <v/>
      </c>
      <c r="GY38" s="91" t="str">
        <f t="shared" si="144"/>
        <v/>
      </c>
      <c r="GZ38" s="91" t="str">
        <f t="shared" si="145"/>
        <v/>
      </c>
      <c r="HA38" s="91" t="str">
        <f t="shared" si="146"/>
        <v/>
      </c>
      <c r="HB38" s="91" t="str">
        <f t="shared" si="147"/>
        <v/>
      </c>
      <c r="HC38" s="91" t="str">
        <f t="shared" si="148"/>
        <v/>
      </c>
      <c r="HD38" s="91" t="str">
        <f t="shared" si="149"/>
        <v/>
      </c>
      <c r="HE38" s="91" t="str">
        <f t="shared" si="150"/>
        <v/>
      </c>
      <c r="HF38" s="91" t="str">
        <f t="shared" si="151"/>
        <v/>
      </c>
      <c r="HG38" s="91" t="str">
        <f t="shared" si="152"/>
        <v/>
      </c>
      <c r="HH38" s="91" t="str">
        <f t="shared" si="153"/>
        <v/>
      </c>
      <c r="HI38" s="91" t="str">
        <f t="shared" si="154"/>
        <v/>
      </c>
      <c r="HJ38" s="91" t="str">
        <f t="shared" si="155"/>
        <v/>
      </c>
      <c r="HK38" s="91" t="str">
        <f t="shared" si="156"/>
        <v/>
      </c>
      <c r="HL38" s="91" t="str">
        <f t="shared" si="157"/>
        <v/>
      </c>
      <c r="HM38" s="91" t="str">
        <f t="shared" si="158"/>
        <v/>
      </c>
      <c r="HN38" s="91" t="str">
        <f t="shared" si="159"/>
        <v/>
      </c>
      <c r="HO38" s="91" t="str">
        <f t="shared" si="160"/>
        <v/>
      </c>
      <c r="HP38" s="91" t="str">
        <f t="shared" si="161"/>
        <v/>
      </c>
      <c r="HQ38" s="91" t="str">
        <f t="shared" si="162"/>
        <v/>
      </c>
      <c r="HR38" s="91" t="str">
        <f t="shared" si="163"/>
        <v/>
      </c>
      <c r="HS38" s="91" t="str">
        <f t="shared" si="164"/>
        <v/>
      </c>
      <c r="HT38" s="91" t="str">
        <f t="shared" si="164"/>
        <v/>
      </c>
      <c r="HU38" s="92" t="str">
        <f t="shared" si="182"/>
        <v>-</v>
      </c>
      <c r="HV38" s="93" t="str">
        <f t="shared" si="165"/>
        <v/>
      </c>
      <c r="HW38" s="94" t="str">
        <f t="shared" si="166"/>
        <v/>
      </c>
      <c r="HX38" s="93" t="str">
        <f t="shared" si="183"/>
        <v/>
      </c>
      <c r="HY38" s="93" t="str">
        <f t="shared" si="167"/>
        <v/>
      </c>
      <c r="HZ38" s="93" t="str">
        <f t="shared" si="168"/>
        <v/>
      </c>
      <c r="IA38" s="92" t="str">
        <f t="shared" si="169"/>
        <v/>
      </c>
      <c r="IB38" s="93" t="str">
        <f t="shared" si="170"/>
        <v/>
      </c>
      <c r="IC38" s="94" t="str">
        <f t="shared" si="171"/>
        <v/>
      </c>
      <c r="ID38" s="92" t="str">
        <f t="shared" si="172"/>
        <v/>
      </c>
      <c r="IE38" s="93" t="str">
        <f t="shared" si="173"/>
        <v/>
      </c>
      <c r="IF38" s="94" t="str">
        <f t="shared" si="174"/>
        <v/>
      </c>
      <c r="IH38" s="66">
        <v>38</v>
      </c>
      <c r="II38" s="66" t="e">
        <f t="shared" ca="1" si="175"/>
        <v>#N/A</v>
      </c>
      <c r="IJ38" s="66" t="e">
        <f t="shared" ca="1" si="176"/>
        <v>#N/A</v>
      </c>
      <c r="IK38" s="66" t="e">
        <f t="shared" ca="1" si="177"/>
        <v>#N/A</v>
      </c>
      <c r="IL38" s="66" t="e">
        <f t="shared" ca="1" si="178"/>
        <v>#N/A</v>
      </c>
      <c r="IM38" s="33"/>
      <c r="IN38" s="74" t="e">
        <f t="shared" ca="1" si="184"/>
        <v>#N/A</v>
      </c>
      <c r="IO38" s="75" t="e">
        <f t="shared" ca="1" si="185"/>
        <v>#N/A</v>
      </c>
      <c r="IP38" s="75" t="e">
        <f t="shared" ca="1" si="186"/>
        <v>#N/A</v>
      </c>
      <c r="IQ38" s="74" t="e">
        <f t="shared" ca="1" si="187"/>
        <v>#N/A</v>
      </c>
      <c r="IR38" s="74" t="e">
        <f t="shared" ca="1" si="188"/>
        <v>#N/A</v>
      </c>
    </row>
    <row r="39" spans="1:252" s="1" customFormat="1" x14ac:dyDescent="0.35">
      <c r="A39" s="33">
        <v>0</v>
      </c>
      <c r="B39" s="33">
        <v>0</v>
      </c>
      <c r="C39" s="33">
        <v>1</v>
      </c>
      <c r="E39" s="4"/>
      <c r="F39" t="s">
        <v>303</v>
      </c>
      <c r="G39" s="5" t="s">
        <v>542</v>
      </c>
      <c r="H39" s="4" t="s">
        <v>531</v>
      </c>
      <c r="I39" s="7" t="s">
        <v>532</v>
      </c>
      <c r="J39" s="276" t="s">
        <v>805</v>
      </c>
      <c r="K39" s="54" t="s">
        <v>805</v>
      </c>
      <c r="L39" s="54" t="s">
        <v>805</v>
      </c>
      <c r="M39" s="54" t="s">
        <v>805</v>
      </c>
      <c r="N39" s="54" t="s">
        <v>805</v>
      </c>
      <c r="O39" s="54" t="s">
        <v>805</v>
      </c>
      <c r="P39" s="54" t="s">
        <v>805</v>
      </c>
      <c r="Q39" s="54" t="s">
        <v>805</v>
      </c>
      <c r="R39" s="54" t="s">
        <v>805</v>
      </c>
      <c r="S39" s="54" t="s">
        <v>805</v>
      </c>
      <c r="T39" s="54" t="s">
        <v>805</v>
      </c>
      <c r="U39" s="54" t="s">
        <v>805</v>
      </c>
      <c r="V39" s="54" t="s">
        <v>805</v>
      </c>
      <c r="W39" s="54" t="s">
        <v>805</v>
      </c>
      <c r="X39" s="54" t="s">
        <v>805</v>
      </c>
      <c r="Y39" s="54" t="s">
        <v>805</v>
      </c>
      <c r="Z39" s="54" t="s">
        <v>805</v>
      </c>
      <c r="AA39" s="54" t="s">
        <v>805</v>
      </c>
      <c r="AB39" s="54" t="s">
        <v>805</v>
      </c>
      <c r="AC39" s="54" t="s">
        <v>805</v>
      </c>
      <c r="AD39" s="54" t="s">
        <v>805</v>
      </c>
      <c r="AE39" s="54" t="s">
        <v>805</v>
      </c>
      <c r="AF39" s="54" t="s">
        <v>805</v>
      </c>
      <c r="AG39" s="54" t="s">
        <v>805</v>
      </c>
      <c r="AH39" s="54" t="s">
        <v>805</v>
      </c>
      <c r="AI39" s="54" t="s">
        <v>805</v>
      </c>
      <c r="AJ39" s="54" t="s">
        <v>805</v>
      </c>
      <c r="AK39" s="54" t="s">
        <v>805</v>
      </c>
      <c r="AL39" s="54" t="s">
        <v>805</v>
      </c>
      <c r="AM39" s="54" t="s">
        <v>805</v>
      </c>
      <c r="AN39" s="54" t="s">
        <v>805</v>
      </c>
      <c r="AO39" s="54" t="s">
        <v>805</v>
      </c>
      <c r="AP39" s="54" t="s">
        <v>805</v>
      </c>
      <c r="AQ39" s="54" t="s">
        <v>805</v>
      </c>
      <c r="AR39" s="54" t="s">
        <v>805</v>
      </c>
      <c r="AS39" s="54" t="s">
        <v>805</v>
      </c>
      <c r="AT39" s="54" t="s">
        <v>805</v>
      </c>
      <c r="AU39" s="54" t="s">
        <v>805</v>
      </c>
      <c r="AV39" s="54" t="s">
        <v>805</v>
      </c>
      <c r="AW39" s="54" t="s">
        <v>805</v>
      </c>
      <c r="AX39" s="54" t="s">
        <v>805</v>
      </c>
      <c r="AY39" s="54" t="s">
        <v>805</v>
      </c>
      <c r="AZ39" s="54" t="s">
        <v>805</v>
      </c>
      <c r="BA39" s="54" t="s">
        <v>805</v>
      </c>
      <c r="BB39" s="54" t="s">
        <v>805</v>
      </c>
      <c r="BC39" s="54" t="s">
        <v>805</v>
      </c>
      <c r="BD39" s="54" t="s">
        <v>805</v>
      </c>
      <c r="BE39" s="54" t="s">
        <v>805</v>
      </c>
      <c r="BF39" s="54" t="s">
        <v>805</v>
      </c>
      <c r="BG39" s="54" t="s">
        <v>805</v>
      </c>
      <c r="BH39" s="54" t="s">
        <v>805</v>
      </c>
      <c r="BI39" s="54" t="s">
        <v>805</v>
      </c>
      <c r="BJ39" s="54" t="s">
        <v>805</v>
      </c>
      <c r="BK39" s="54" t="s">
        <v>805</v>
      </c>
      <c r="BL39" s="54" t="s">
        <v>805</v>
      </c>
      <c r="BM39" s="54" t="s">
        <v>805</v>
      </c>
      <c r="BN39" s="54" t="s">
        <v>805</v>
      </c>
      <c r="BO39" s="54" t="s">
        <v>805</v>
      </c>
      <c r="BP39" s="54" t="s">
        <v>805</v>
      </c>
      <c r="BQ39" s="54" t="s">
        <v>805</v>
      </c>
      <c r="BR39" s="54" t="s">
        <v>805</v>
      </c>
      <c r="BS39" s="54" t="s">
        <v>805</v>
      </c>
      <c r="BT39" s="54" t="s">
        <v>805</v>
      </c>
      <c r="BU39" s="54" t="s">
        <v>805</v>
      </c>
      <c r="BV39" s="54" t="s">
        <v>805</v>
      </c>
      <c r="BW39" s="54" t="s">
        <v>805</v>
      </c>
      <c r="BX39" s="54" t="s">
        <v>805</v>
      </c>
      <c r="BY39" s="54" t="s">
        <v>805</v>
      </c>
      <c r="BZ39" s="54" t="s">
        <v>805</v>
      </c>
      <c r="CA39" s="54" t="s">
        <v>805</v>
      </c>
      <c r="CB39" s="54" t="s">
        <v>805</v>
      </c>
      <c r="CC39" s="54" t="s">
        <v>805</v>
      </c>
      <c r="CD39" s="54" t="s">
        <v>805</v>
      </c>
      <c r="CE39" s="54" t="s">
        <v>805</v>
      </c>
      <c r="CF39" s="54" t="s">
        <v>805</v>
      </c>
      <c r="CG39" s="54" t="s">
        <v>805</v>
      </c>
      <c r="CH39" s="54" t="s">
        <v>805</v>
      </c>
      <c r="CI39" s="54" t="s">
        <v>805</v>
      </c>
      <c r="CJ39" s="54" t="s">
        <v>805</v>
      </c>
      <c r="CK39" s="54" t="s">
        <v>805</v>
      </c>
      <c r="CL39" s="54" t="s">
        <v>805</v>
      </c>
      <c r="CM39" s="54" t="s">
        <v>805</v>
      </c>
      <c r="CN39" s="54" t="s">
        <v>805</v>
      </c>
      <c r="CO39" s="54" t="s">
        <v>805</v>
      </c>
      <c r="CP39" s="54" t="s">
        <v>805</v>
      </c>
      <c r="CQ39" s="54" t="s">
        <v>805</v>
      </c>
      <c r="CR39" s="54" t="s">
        <v>805</v>
      </c>
      <c r="CS39" s="54" t="s">
        <v>805</v>
      </c>
      <c r="CT39" s="54" t="s">
        <v>805</v>
      </c>
      <c r="CU39" s="54" t="s">
        <v>805</v>
      </c>
      <c r="CV39" s="54" t="s">
        <v>805</v>
      </c>
      <c r="CW39" s="54" t="s">
        <v>805</v>
      </c>
      <c r="CX39" s="54" t="s">
        <v>805</v>
      </c>
      <c r="CY39" s="54" t="s">
        <v>805</v>
      </c>
      <c r="CZ39" s="54" t="s">
        <v>805</v>
      </c>
      <c r="DA39" s="54" t="s">
        <v>805</v>
      </c>
      <c r="DB39" s="54" t="s">
        <v>805</v>
      </c>
      <c r="DC39" s="54" t="s">
        <v>805</v>
      </c>
      <c r="DD39" s="54" t="s">
        <v>805</v>
      </c>
      <c r="DE39" s="54" t="s">
        <v>805</v>
      </c>
      <c r="DF39" s="54" t="s">
        <v>805</v>
      </c>
      <c r="DG39" s="28">
        <f>'KPI Count-SHARE'!J33</f>
        <v>0</v>
      </c>
      <c r="DH39" s="107"/>
      <c r="DI39" s="107"/>
      <c r="DJ39" s="107"/>
      <c r="DK39" s="28">
        <f>'KPI Count-SHARE'!K33</f>
        <v>0</v>
      </c>
      <c r="DL39" s="46"/>
      <c r="DM39" s="46"/>
      <c r="DN39" s="46"/>
      <c r="DO39" s="28">
        <f>'KPI Count-SHARE'!L33</f>
        <v>0</v>
      </c>
      <c r="DP39" s="46"/>
      <c r="DQ39" s="46"/>
      <c r="DR39" s="46"/>
      <c r="DS39" s="28">
        <f>'KPI Count-SHARE'!M33</f>
        <v>0</v>
      </c>
      <c r="DT39" s="46"/>
      <c r="DU39" s="46"/>
      <c r="DV39" s="46"/>
      <c r="DW39" s="30" t="s">
        <v>531</v>
      </c>
      <c r="DX39" s="41" t="str">
        <f t="shared" si="79"/>
        <v/>
      </c>
      <c r="DY39" s="41" t="str">
        <f t="shared" si="80"/>
        <v/>
      </c>
      <c r="DZ39" s="41" t="str">
        <f t="shared" si="81"/>
        <v/>
      </c>
      <c r="EA39" s="41" t="str">
        <f t="shared" si="179"/>
        <v/>
      </c>
      <c r="EB39" s="41" t="str">
        <f t="shared" si="180"/>
        <v/>
      </c>
      <c r="EC39" s="41" t="str">
        <f t="shared" si="181"/>
        <v/>
      </c>
      <c r="ED39" s="41" t="str">
        <f t="shared" si="82"/>
        <v/>
      </c>
      <c r="EE39" s="41" t="str">
        <f t="shared" si="83"/>
        <v/>
      </c>
      <c r="EF39" s="41" t="str">
        <f t="shared" si="84"/>
        <v/>
      </c>
      <c r="EG39" s="41" t="str">
        <f t="shared" si="85"/>
        <v/>
      </c>
      <c r="EH39" s="41" t="str">
        <f t="shared" si="86"/>
        <v/>
      </c>
      <c r="EI39" s="41" t="str">
        <f t="shared" ref="EI39:ET39" si="191">IFERROR(IF(ISBLANK(U39), "-", IF($I39="c", U39*$I$5, U39)),"-")</f>
        <v/>
      </c>
      <c r="EJ39" s="41" t="str">
        <f t="shared" si="191"/>
        <v/>
      </c>
      <c r="EK39" s="41" t="str">
        <f t="shared" si="191"/>
        <v/>
      </c>
      <c r="EL39" s="41" t="str">
        <f t="shared" si="191"/>
        <v/>
      </c>
      <c r="EM39" s="41" t="str">
        <f t="shared" si="191"/>
        <v/>
      </c>
      <c r="EN39" s="41" t="str">
        <f t="shared" si="191"/>
        <v/>
      </c>
      <c r="EO39" s="41" t="str">
        <f t="shared" si="191"/>
        <v/>
      </c>
      <c r="EP39" s="41" t="str">
        <f t="shared" si="191"/>
        <v/>
      </c>
      <c r="EQ39" s="41" t="str">
        <f t="shared" si="191"/>
        <v/>
      </c>
      <c r="ER39" s="41" t="str">
        <f t="shared" si="191"/>
        <v/>
      </c>
      <c r="ES39" s="41" t="str">
        <f t="shared" si="191"/>
        <v/>
      </c>
      <c r="ET39" s="41" t="str">
        <f t="shared" si="191"/>
        <v/>
      </c>
      <c r="EU39" s="41" t="str">
        <f t="shared" si="88"/>
        <v/>
      </c>
      <c r="EV39" s="41" t="str">
        <f t="shared" si="89"/>
        <v/>
      </c>
      <c r="EW39" s="41" t="str">
        <f t="shared" si="90"/>
        <v/>
      </c>
      <c r="EX39" s="41" t="str">
        <f t="shared" si="91"/>
        <v/>
      </c>
      <c r="EY39" s="41" t="str">
        <f t="shared" si="92"/>
        <v/>
      </c>
      <c r="EZ39" s="41" t="str">
        <f t="shared" si="93"/>
        <v/>
      </c>
      <c r="FA39" s="41" t="str">
        <f t="shared" si="94"/>
        <v/>
      </c>
      <c r="FB39" s="41" t="str">
        <f t="shared" si="95"/>
        <v/>
      </c>
      <c r="FC39" s="41" t="str">
        <f t="shared" si="96"/>
        <v/>
      </c>
      <c r="FD39" s="41" t="str">
        <f t="shared" si="97"/>
        <v/>
      </c>
      <c r="FE39" s="41" t="str">
        <f t="shared" si="98"/>
        <v/>
      </c>
      <c r="FF39" s="41" t="str">
        <f t="shared" si="99"/>
        <v/>
      </c>
      <c r="FG39" s="41" t="str">
        <f t="shared" si="100"/>
        <v/>
      </c>
      <c r="FH39" s="41" t="str">
        <f t="shared" si="101"/>
        <v/>
      </c>
      <c r="FI39" s="41" t="str">
        <f t="shared" si="102"/>
        <v/>
      </c>
      <c r="FJ39" s="41" t="str">
        <f t="shared" si="103"/>
        <v/>
      </c>
      <c r="FK39" s="41" t="str">
        <f t="shared" si="104"/>
        <v/>
      </c>
      <c r="FL39" s="41" t="str">
        <f t="shared" si="105"/>
        <v/>
      </c>
      <c r="FM39" s="41" t="str">
        <f t="shared" si="106"/>
        <v/>
      </c>
      <c r="FN39" s="41" t="str">
        <f t="shared" si="107"/>
        <v/>
      </c>
      <c r="FO39" s="41" t="str">
        <f t="shared" si="108"/>
        <v/>
      </c>
      <c r="FP39" s="41" t="str">
        <f t="shared" si="109"/>
        <v/>
      </c>
      <c r="FQ39" s="41" t="str">
        <f t="shared" si="110"/>
        <v/>
      </c>
      <c r="FR39" s="41" t="str">
        <f t="shared" si="111"/>
        <v/>
      </c>
      <c r="FS39" s="41" t="str">
        <f t="shared" si="112"/>
        <v/>
      </c>
      <c r="FT39" s="41" t="str">
        <f t="shared" si="113"/>
        <v/>
      </c>
      <c r="FU39" s="41" t="str">
        <f t="shared" si="114"/>
        <v/>
      </c>
      <c r="FV39" s="41" t="str">
        <f t="shared" si="115"/>
        <v/>
      </c>
      <c r="FW39" s="41" t="str">
        <f t="shared" si="116"/>
        <v/>
      </c>
      <c r="FX39" s="41" t="str">
        <f t="shared" si="117"/>
        <v/>
      </c>
      <c r="FY39" s="41" t="str">
        <f t="shared" si="118"/>
        <v/>
      </c>
      <c r="FZ39" s="41" t="str">
        <f t="shared" si="119"/>
        <v/>
      </c>
      <c r="GA39" s="41" t="str">
        <f t="shared" si="120"/>
        <v/>
      </c>
      <c r="GB39" s="41" t="str">
        <f t="shared" si="121"/>
        <v/>
      </c>
      <c r="GC39" s="41" t="str">
        <f t="shared" si="122"/>
        <v/>
      </c>
      <c r="GD39" s="41" t="str">
        <f t="shared" si="123"/>
        <v/>
      </c>
      <c r="GE39" s="41" t="str">
        <f t="shared" si="124"/>
        <v/>
      </c>
      <c r="GF39" s="41" t="str">
        <f t="shared" si="125"/>
        <v/>
      </c>
      <c r="GG39" s="41" t="str">
        <f t="shared" si="126"/>
        <v/>
      </c>
      <c r="GH39" s="41" t="str">
        <f t="shared" si="127"/>
        <v/>
      </c>
      <c r="GI39" s="41" t="str">
        <f t="shared" si="128"/>
        <v/>
      </c>
      <c r="GJ39" s="41" t="str">
        <f t="shared" si="129"/>
        <v/>
      </c>
      <c r="GK39" s="41" t="str">
        <f t="shared" si="130"/>
        <v/>
      </c>
      <c r="GL39" s="41" t="str">
        <f t="shared" si="131"/>
        <v/>
      </c>
      <c r="GM39" s="41" t="str">
        <f t="shared" si="132"/>
        <v/>
      </c>
      <c r="GN39" s="41" t="str">
        <f t="shared" si="133"/>
        <v/>
      </c>
      <c r="GO39" s="41" t="str">
        <f t="shared" si="134"/>
        <v/>
      </c>
      <c r="GP39" s="41" t="str">
        <f t="shared" si="135"/>
        <v/>
      </c>
      <c r="GQ39" s="41" t="str">
        <f t="shared" si="136"/>
        <v/>
      </c>
      <c r="GR39" s="41" t="str">
        <f t="shared" si="137"/>
        <v/>
      </c>
      <c r="GS39" s="41" t="str">
        <f t="shared" si="138"/>
        <v/>
      </c>
      <c r="GT39" s="41" t="str">
        <f t="shared" si="139"/>
        <v/>
      </c>
      <c r="GU39" s="41" t="str">
        <f t="shared" si="140"/>
        <v/>
      </c>
      <c r="GV39" s="41" t="str">
        <f t="shared" si="141"/>
        <v/>
      </c>
      <c r="GW39" s="41" t="str">
        <f t="shared" si="142"/>
        <v/>
      </c>
      <c r="GX39" s="41" t="str">
        <f t="shared" si="143"/>
        <v/>
      </c>
      <c r="GY39" s="41" t="str">
        <f t="shared" si="144"/>
        <v/>
      </c>
      <c r="GZ39" s="41" t="str">
        <f t="shared" si="145"/>
        <v/>
      </c>
      <c r="HA39" s="41" t="str">
        <f t="shared" si="146"/>
        <v/>
      </c>
      <c r="HB39" s="41" t="str">
        <f t="shared" si="147"/>
        <v/>
      </c>
      <c r="HC39" s="41" t="str">
        <f t="shared" si="148"/>
        <v/>
      </c>
      <c r="HD39" s="41" t="str">
        <f t="shared" si="149"/>
        <v/>
      </c>
      <c r="HE39" s="41" t="str">
        <f t="shared" si="150"/>
        <v/>
      </c>
      <c r="HF39" s="41" t="str">
        <f t="shared" si="151"/>
        <v/>
      </c>
      <c r="HG39" s="41" t="str">
        <f t="shared" si="152"/>
        <v/>
      </c>
      <c r="HH39" s="41" t="str">
        <f t="shared" si="153"/>
        <v/>
      </c>
      <c r="HI39" s="41" t="str">
        <f t="shared" si="154"/>
        <v/>
      </c>
      <c r="HJ39" s="41" t="str">
        <f t="shared" si="155"/>
        <v/>
      </c>
      <c r="HK39" s="41" t="str">
        <f t="shared" si="156"/>
        <v/>
      </c>
      <c r="HL39" s="41" t="str">
        <f t="shared" si="157"/>
        <v/>
      </c>
      <c r="HM39" s="41" t="str">
        <f t="shared" si="158"/>
        <v/>
      </c>
      <c r="HN39" s="41" t="str">
        <f t="shared" si="159"/>
        <v/>
      </c>
      <c r="HO39" s="41" t="str">
        <f t="shared" si="160"/>
        <v/>
      </c>
      <c r="HP39" s="41" t="str">
        <f t="shared" si="161"/>
        <v/>
      </c>
      <c r="HQ39" s="41" t="str">
        <f t="shared" si="162"/>
        <v/>
      </c>
      <c r="HR39" s="41" t="str">
        <f t="shared" si="163"/>
        <v/>
      </c>
      <c r="HS39" s="41" t="str">
        <f t="shared" si="164"/>
        <v/>
      </c>
      <c r="HT39" s="41" t="str">
        <f t="shared" si="164"/>
        <v/>
      </c>
      <c r="HU39" s="43" t="str">
        <f t="shared" si="182"/>
        <v>-</v>
      </c>
      <c r="HV39" s="44" t="str">
        <f t="shared" si="165"/>
        <v/>
      </c>
      <c r="HW39" s="45" t="str">
        <f t="shared" si="166"/>
        <v/>
      </c>
      <c r="HX39" s="44" t="str">
        <f t="shared" si="183"/>
        <v/>
      </c>
      <c r="HY39" s="44" t="str">
        <f t="shared" si="167"/>
        <v/>
      </c>
      <c r="HZ39" s="44" t="str">
        <f t="shared" si="168"/>
        <v/>
      </c>
      <c r="IA39" s="43" t="str">
        <f t="shared" si="169"/>
        <v/>
      </c>
      <c r="IB39" s="44" t="str">
        <f t="shared" si="170"/>
        <v/>
      </c>
      <c r="IC39" s="45" t="str">
        <f t="shared" si="171"/>
        <v/>
      </c>
      <c r="ID39" s="43" t="str">
        <f t="shared" si="172"/>
        <v/>
      </c>
      <c r="IE39" s="44" t="str">
        <f t="shared" si="173"/>
        <v/>
      </c>
      <c r="IF39" s="45" t="str">
        <f t="shared" si="174"/>
        <v/>
      </c>
      <c r="IH39" s="66">
        <v>39</v>
      </c>
      <c r="II39" s="66" t="e">
        <f t="shared" ref="II39:II70" ca="1" si="192">SUM(INDIRECT(VLOOKUP($IJ$4,MKTPEERCOLUMNS,2,0) &amp; IH39 &amp; ":" &amp; VLOOKUP($IJ$4,MKTPEERCOLUMNS,2,0) &amp; IH39))</f>
        <v>#N/A</v>
      </c>
      <c r="IJ39" s="66" t="e">
        <f t="shared" ref="IJ39:IJ70" ca="1" si="193">SUM(INDIRECT(VLOOKUP($IJ$4,MKTPEERCOLUMNS,3,0) &amp; IH39 &amp; ":" &amp; VLOOKUP($IJ$4,MKTPEERCOLUMNS,3,0) &amp; IH39))</f>
        <v>#N/A</v>
      </c>
      <c r="IK39" s="66" t="e">
        <f t="shared" ref="IK39:IK70" ca="1" si="194">SUM(INDIRECT(VLOOKUP($IJ$4,MKTPEERCOLUMNS,4,0) &amp; IH39 &amp; ":" &amp; VLOOKUP($IJ$4,MKTPEERCOLUMNS,4,0) &amp; IH39))</f>
        <v>#N/A</v>
      </c>
      <c r="IL39" s="66" t="e">
        <f t="shared" ref="IL39:IL70" ca="1" si="195">SUM(INDIRECT(VLOOKUP($IJ$4,MKTPEERCOLUMNS,5,0) &amp; IH39 &amp; ":" &amp; VLOOKUP($IJ$4,MKTPEERCOLUMNS,5,0) &amp; IH39))</f>
        <v>#N/A</v>
      </c>
      <c r="IM39" s="33"/>
      <c r="IN39" s="76" t="e">
        <f t="shared" ca="1" si="184"/>
        <v>#N/A</v>
      </c>
      <c r="IO39" s="75" t="e">
        <f t="shared" ca="1" si="185"/>
        <v>#N/A</v>
      </c>
      <c r="IP39" s="75" t="e">
        <f t="shared" ca="1" si="186"/>
        <v>#N/A</v>
      </c>
      <c r="IQ39" s="76" t="e">
        <f t="shared" ca="1" si="187"/>
        <v>#N/A</v>
      </c>
      <c r="IR39" s="74" t="e">
        <f t="shared" ca="1" si="188"/>
        <v>#N/A</v>
      </c>
    </row>
    <row r="40" spans="1:252" s="163" customFormat="1" x14ac:dyDescent="0.35">
      <c r="A40" s="162">
        <v>1</v>
      </c>
      <c r="B40" s="162">
        <v>1</v>
      </c>
      <c r="C40" s="162">
        <v>1</v>
      </c>
      <c r="E40" s="3"/>
      <c r="F40" s="2" t="s">
        <v>304</v>
      </c>
      <c r="G40" s="164" t="s">
        <v>540</v>
      </c>
      <c r="H40" s="3" t="s">
        <v>543</v>
      </c>
      <c r="I40" s="8" t="s">
        <v>555</v>
      </c>
      <c r="J40" s="276" t="s">
        <v>805</v>
      </c>
      <c r="K40" s="165" t="s">
        <v>805</v>
      </c>
      <c r="L40" s="165" t="s">
        <v>805</v>
      </c>
      <c r="M40" s="165" t="s">
        <v>805</v>
      </c>
      <c r="N40" s="165" t="s">
        <v>805</v>
      </c>
      <c r="O40" s="165" t="s">
        <v>805</v>
      </c>
      <c r="P40" s="165" t="s">
        <v>805</v>
      </c>
      <c r="Q40" s="165" t="s">
        <v>805</v>
      </c>
      <c r="R40" s="165" t="s">
        <v>805</v>
      </c>
      <c r="S40" s="165" t="s">
        <v>805</v>
      </c>
      <c r="T40" s="165" t="s">
        <v>805</v>
      </c>
      <c r="U40" s="165" t="s">
        <v>805</v>
      </c>
      <c r="V40" s="165" t="s">
        <v>805</v>
      </c>
      <c r="W40" s="165" t="s">
        <v>805</v>
      </c>
      <c r="X40" s="165" t="s">
        <v>805</v>
      </c>
      <c r="Y40" s="165" t="s">
        <v>805</v>
      </c>
      <c r="Z40" s="165" t="s">
        <v>805</v>
      </c>
      <c r="AA40" s="165" t="s">
        <v>805</v>
      </c>
      <c r="AB40" s="165" t="s">
        <v>805</v>
      </c>
      <c r="AC40" s="165" t="s">
        <v>805</v>
      </c>
      <c r="AD40" s="165" t="s">
        <v>805</v>
      </c>
      <c r="AE40" s="165" t="s">
        <v>805</v>
      </c>
      <c r="AF40" s="165" t="s">
        <v>805</v>
      </c>
      <c r="AG40" s="165" t="s">
        <v>805</v>
      </c>
      <c r="AH40" s="165" t="s">
        <v>805</v>
      </c>
      <c r="AI40" s="165" t="s">
        <v>805</v>
      </c>
      <c r="AJ40" s="165" t="s">
        <v>805</v>
      </c>
      <c r="AK40" s="165" t="s">
        <v>805</v>
      </c>
      <c r="AL40" s="165" t="s">
        <v>805</v>
      </c>
      <c r="AM40" s="165" t="s">
        <v>805</v>
      </c>
      <c r="AN40" s="165" t="s">
        <v>805</v>
      </c>
      <c r="AO40" s="165" t="s">
        <v>805</v>
      </c>
      <c r="AP40" s="165" t="s">
        <v>805</v>
      </c>
      <c r="AQ40" s="165" t="s">
        <v>805</v>
      </c>
      <c r="AR40" s="165" t="s">
        <v>805</v>
      </c>
      <c r="AS40" s="165" t="s">
        <v>805</v>
      </c>
      <c r="AT40" s="165" t="s">
        <v>805</v>
      </c>
      <c r="AU40" s="165" t="s">
        <v>805</v>
      </c>
      <c r="AV40" s="165" t="s">
        <v>805</v>
      </c>
      <c r="AW40" s="165" t="s">
        <v>805</v>
      </c>
      <c r="AX40" s="165" t="s">
        <v>805</v>
      </c>
      <c r="AY40" s="165" t="s">
        <v>805</v>
      </c>
      <c r="AZ40" s="165" t="s">
        <v>805</v>
      </c>
      <c r="BA40" s="165" t="s">
        <v>805</v>
      </c>
      <c r="BB40" s="165" t="s">
        <v>805</v>
      </c>
      <c r="BC40" s="165" t="s">
        <v>805</v>
      </c>
      <c r="BD40" s="165" t="s">
        <v>805</v>
      </c>
      <c r="BE40" s="165" t="s">
        <v>805</v>
      </c>
      <c r="BF40" s="165" t="s">
        <v>805</v>
      </c>
      <c r="BG40" s="165" t="s">
        <v>805</v>
      </c>
      <c r="BH40" s="165" t="s">
        <v>805</v>
      </c>
      <c r="BI40" s="165" t="s">
        <v>805</v>
      </c>
      <c r="BJ40" s="165" t="s">
        <v>805</v>
      </c>
      <c r="BK40" s="165" t="s">
        <v>805</v>
      </c>
      <c r="BL40" s="165" t="s">
        <v>805</v>
      </c>
      <c r="BM40" s="165" t="s">
        <v>805</v>
      </c>
      <c r="BN40" s="165" t="s">
        <v>805</v>
      </c>
      <c r="BO40" s="165" t="s">
        <v>805</v>
      </c>
      <c r="BP40" s="165" t="s">
        <v>805</v>
      </c>
      <c r="BQ40" s="165" t="s">
        <v>805</v>
      </c>
      <c r="BR40" s="165" t="s">
        <v>805</v>
      </c>
      <c r="BS40" s="165" t="s">
        <v>805</v>
      </c>
      <c r="BT40" s="165" t="s">
        <v>805</v>
      </c>
      <c r="BU40" s="165" t="s">
        <v>805</v>
      </c>
      <c r="BV40" s="165" t="s">
        <v>805</v>
      </c>
      <c r="BW40" s="165" t="s">
        <v>805</v>
      </c>
      <c r="BX40" s="165" t="s">
        <v>805</v>
      </c>
      <c r="BY40" s="165" t="s">
        <v>805</v>
      </c>
      <c r="BZ40" s="165" t="s">
        <v>805</v>
      </c>
      <c r="CA40" s="165" t="s">
        <v>805</v>
      </c>
      <c r="CB40" s="165" t="s">
        <v>805</v>
      </c>
      <c r="CC40" s="165" t="s">
        <v>805</v>
      </c>
      <c r="CD40" s="165" t="s">
        <v>805</v>
      </c>
      <c r="CE40" s="165" t="s">
        <v>805</v>
      </c>
      <c r="CF40" s="165" t="s">
        <v>805</v>
      </c>
      <c r="CG40" s="165" t="s">
        <v>805</v>
      </c>
      <c r="CH40" s="165" t="s">
        <v>805</v>
      </c>
      <c r="CI40" s="165" t="s">
        <v>805</v>
      </c>
      <c r="CJ40" s="165" t="s">
        <v>805</v>
      </c>
      <c r="CK40" s="165" t="s">
        <v>805</v>
      </c>
      <c r="CL40" s="165" t="s">
        <v>805</v>
      </c>
      <c r="CM40" s="165" t="s">
        <v>805</v>
      </c>
      <c r="CN40" s="165" t="s">
        <v>805</v>
      </c>
      <c r="CO40" s="165" t="s">
        <v>805</v>
      </c>
      <c r="CP40" s="165" t="s">
        <v>805</v>
      </c>
      <c r="CQ40" s="165" t="s">
        <v>805</v>
      </c>
      <c r="CR40" s="165" t="s">
        <v>805</v>
      </c>
      <c r="CS40" s="165" t="s">
        <v>805</v>
      </c>
      <c r="CT40" s="165" t="s">
        <v>805</v>
      </c>
      <c r="CU40" s="165" t="s">
        <v>805</v>
      </c>
      <c r="CV40" s="165" t="s">
        <v>805</v>
      </c>
      <c r="CW40" s="165" t="s">
        <v>805</v>
      </c>
      <c r="CX40" s="165" t="s">
        <v>805</v>
      </c>
      <c r="CY40" s="165" t="s">
        <v>805</v>
      </c>
      <c r="CZ40" s="165" t="s">
        <v>805</v>
      </c>
      <c r="DA40" s="165" t="s">
        <v>805</v>
      </c>
      <c r="DB40" s="165" t="s">
        <v>805</v>
      </c>
      <c r="DC40" s="165" t="s">
        <v>805</v>
      </c>
      <c r="DD40" s="165" t="s">
        <v>805</v>
      </c>
      <c r="DE40" s="165" t="s">
        <v>805</v>
      </c>
      <c r="DF40" s="165" t="s">
        <v>805</v>
      </c>
      <c r="DG40" s="125">
        <f>'KPI Count-SHARE'!J34</f>
        <v>0</v>
      </c>
      <c r="DH40" s="174"/>
      <c r="DI40" s="174"/>
      <c r="DJ40" s="174"/>
      <c r="DK40" s="125">
        <f>'KPI Count-SHARE'!K34</f>
        <v>0</v>
      </c>
      <c r="DL40" s="166"/>
      <c r="DM40" s="166"/>
      <c r="DN40" s="166"/>
      <c r="DO40" s="125">
        <f>'KPI Count-SHARE'!L34</f>
        <v>0</v>
      </c>
      <c r="DP40" s="166"/>
      <c r="DQ40" s="166"/>
      <c r="DR40" s="166"/>
      <c r="DS40" s="125">
        <f>'KPI Count-SHARE'!M34</f>
        <v>0</v>
      </c>
      <c r="DT40" s="166"/>
      <c r="DU40" s="166"/>
      <c r="DV40" s="166"/>
      <c r="DW40" s="167" t="str">
        <f t="shared" ref="DW40:DW54" si="196">"FTE per " &amp; XCurrency &amp; " '000"</f>
        <v>FTE per USD '000</v>
      </c>
      <c r="DX40" s="39" t="str">
        <f t="shared" ref="DX40:DX54" si="197">IFERROR(IF(ISBLANK(J40), "-", IF($I40="r", J40/$I$5, J40)),"-")</f>
        <v/>
      </c>
      <c r="DY40" s="39" t="str">
        <f t="shared" ref="DY40:DY54" si="198">IFERROR(IF(ISBLANK(K40), "-", IF($I40="r", K40/$I$5, K40)),"-")</f>
        <v/>
      </c>
      <c r="DZ40" s="39" t="str">
        <f t="shared" ref="DZ40:DZ54" si="199">IFERROR(IF(ISBLANK(L40), "-", IF($I40="r", L40/$I$5, L40)),"-")</f>
        <v/>
      </c>
      <c r="EA40" s="39" t="str">
        <f t="shared" ref="EA40:EA54" si="200">IFERROR(IF(ISBLANK(M40), "-", IF($I40="r", M40/$I$5, M40)),"-")</f>
        <v/>
      </c>
      <c r="EB40" s="39" t="str">
        <f t="shared" ref="EB40:EB54" si="201">IFERROR(IF(ISBLANK(N40), "-", IF($I40="r", N40/$I$5, N40)),"-")</f>
        <v/>
      </c>
      <c r="EC40" s="39" t="str">
        <f t="shared" ref="EC40:EC54" si="202">IFERROR(IF(ISBLANK(O40), "-", IF($I40="r", O40/$I$5, O40)),"-")</f>
        <v/>
      </c>
      <c r="ED40" s="39" t="str">
        <f t="shared" ref="ED40:ED54" si="203">IFERROR(IF(ISBLANK(P40), "-", IF($I40="r", P40/$I$5, P40)),"-")</f>
        <v/>
      </c>
      <c r="EE40" s="39" t="str">
        <f t="shared" ref="EE40:EE54" si="204">IFERROR(IF(ISBLANK(Q40), "-", IF($I40="r", Q40/$I$5, Q40)),"-")</f>
        <v/>
      </c>
      <c r="EF40" s="39" t="str">
        <f t="shared" ref="EF40:EF54" si="205">IFERROR(IF(ISBLANK(R40), "-", IF($I40="r", R40/$I$5, R40)),"-")</f>
        <v/>
      </c>
      <c r="EG40" s="39" t="str">
        <f t="shared" ref="EG40:EG54" si="206">IFERROR(IF(ISBLANK(S40), "-", IF($I40="r", S40/$I$5, S40)),"-")</f>
        <v/>
      </c>
      <c r="EH40" s="39" t="str">
        <f t="shared" ref="EH40:EH54" si="207">IFERROR(IF(ISBLANK(T40), "-", IF($I40="r", T40/$I$5, T40)),"-")</f>
        <v/>
      </c>
      <c r="EI40" s="39" t="str">
        <f t="shared" ref="EI40:EI54" si="208">IFERROR(IF(ISBLANK(U40), "-", IF($I40="r", U40/$I$5, U40)),"-")</f>
        <v/>
      </c>
      <c r="EJ40" s="39" t="str">
        <f t="shared" ref="EJ40:EJ54" si="209">IFERROR(IF(ISBLANK(V40), "-", IF($I40="r", V40/$I$5, V40)),"-")</f>
        <v/>
      </c>
      <c r="EK40" s="39" t="str">
        <f t="shared" ref="EK40:EK54" si="210">IFERROR(IF(ISBLANK(W40), "-", IF($I40="r", W40/$I$5, W40)),"-")</f>
        <v/>
      </c>
      <c r="EL40" s="39" t="str">
        <f t="shared" ref="EL40:EL54" si="211">IFERROR(IF(ISBLANK(X40), "-", IF($I40="r", X40/$I$5, X40)),"-")</f>
        <v/>
      </c>
      <c r="EM40" s="39" t="str">
        <f t="shared" ref="EM40:EM54" si="212">IFERROR(IF(ISBLANK(Y40), "-", IF($I40="r", Y40/$I$5, Y40)),"-")</f>
        <v/>
      </c>
      <c r="EN40" s="39" t="str">
        <f t="shared" ref="EN40:EN54" si="213">IFERROR(IF(ISBLANK(Z40), "-", IF($I40="r", Z40/$I$5, Z40)),"-")</f>
        <v/>
      </c>
      <c r="EO40" s="39" t="str">
        <f t="shared" ref="EO40:EO54" si="214">IFERROR(IF(ISBLANK(AA40), "-", IF($I40="r", AA40/$I$5, AA40)),"-")</f>
        <v/>
      </c>
      <c r="EP40" s="39" t="str">
        <f t="shared" ref="EP40:EP54" si="215">IFERROR(IF(ISBLANK(AB40), "-", IF($I40="r", AB40/$I$5, AB40)),"-")</f>
        <v/>
      </c>
      <c r="EQ40" s="39" t="str">
        <f t="shared" ref="EQ40:EQ54" si="216">IFERROR(IF(ISBLANK(AC40), "-", IF($I40="r", AC40/$I$5, AC40)),"-")</f>
        <v/>
      </c>
      <c r="ER40" s="39" t="str">
        <f t="shared" ref="ER40:ER54" si="217">IFERROR(IF(ISBLANK(AD40), "-", IF($I40="r", AD40/$I$5, AD40)),"-")</f>
        <v/>
      </c>
      <c r="ES40" s="39" t="str">
        <f t="shared" ref="ES40:ES54" si="218">IFERROR(IF(ISBLANK(AE40), "-", IF($I40="r", AE40/$I$5, AE40)),"-")</f>
        <v/>
      </c>
      <c r="ET40" s="39" t="str">
        <f t="shared" ref="ET40:ET54" si="219">IFERROR(IF(ISBLANK(AF40), "-", IF($I40="r", AF40/$I$5, AF40)),"-")</f>
        <v/>
      </c>
      <c r="EU40" s="39" t="str">
        <f t="shared" ref="EU40:EU54" si="220">IFERROR(IF(ISBLANK(AG40), "-", IF($I40="r", AG40/$I$5, AG40)),"-")</f>
        <v/>
      </c>
      <c r="EV40" s="39" t="str">
        <f t="shared" ref="EV40:EV54" si="221">IFERROR(IF(ISBLANK(AH40), "-", IF($I40="r", AH40/$I$5, AH40)),"-")</f>
        <v/>
      </c>
      <c r="EW40" s="39" t="str">
        <f t="shared" ref="EW40:EW54" si="222">IFERROR(IF(ISBLANK(AI40), "-", IF($I40="r", AI40/$I$5, AI40)),"-")</f>
        <v/>
      </c>
      <c r="EX40" s="39" t="str">
        <f t="shared" ref="EX40:EX54" si="223">IFERROR(IF(ISBLANK(AJ40), "-", IF($I40="r", AJ40/$I$5, AJ40)),"-")</f>
        <v/>
      </c>
      <c r="EY40" s="39" t="str">
        <f t="shared" ref="EY40:EY54" si="224">IFERROR(IF(ISBLANK(AK40), "-", IF($I40="r", AK40/$I$5, AK40)),"-")</f>
        <v/>
      </c>
      <c r="EZ40" s="39" t="str">
        <f t="shared" ref="EZ40:EZ54" si="225">IFERROR(IF(ISBLANK(AL40), "-", IF($I40="r", AL40/$I$5, AL40)),"-")</f>
        <v/>
      </c>
      <c r="FA40" s="39" t="str">
        <f t="shared" ref="FA40:FA54" si="226">IFERROR(IF(ISBLANK(AM40), "-", IF($I40="r", AM40/$I$5, AM40)),"-")</f>
        <v/>
      </c>
      <c r="FB40" s="39" t="str">
        <f t="shared" ref="FB40:FB54" si="227">IFERROR(IF(ISBLANK(AN40), "-", IF($I40="r", AN40/$I$5, AN40)),"-")</f>
        <v/>
      </c>
      <c r="FC40" s="39" t="str">
        <f t="shared" ref="FC40:FC54" si="228">IFERROR(IF(ISBLANK(AO40), "-", IF($I40="r", AO40/$I$5, AO40)),"-")</f>
        <v/>
      </c>
      <c r="FD40" s="39" t="str">
        <f t="shared" ref="FD40:FD54" si="229">IFERROR(IF(ISBLANK(AP40), "-", IF($I40="r", AP40/$I$5, AP40)),"-")</f>
        <v/>
      </c>
      <c r="FE40" s="39" t="str">
        <f t="shared" ref="FE40:FE54" si="230">IFERROR(IF(ISBLANK(AQ40), "-", IF($I40="r", AQ40/$I$5, AQ40)),"-")</f>
        <v/>
      </c>
      <c r="FF40" s="39" t="str">
        <f t="shared" ref="FF40:FF54" si="231">IFERROR(IF(ISBLANK(AR40), "-", IF($I40="r", AR40/$I$5, AR40)),"-")</f>
        <v/>
      </c>
      <c r="FG40" s="39" t="str">
        <f t="shared" ref="FG40:FG54" si="232">IFERROR(IF(ISBLANK(AS40), "-", IF($I40="r", AS40/$I$5, AS40)),"-")</f>
        <v/>
      </c>
      <c r="FH40" s="39" t="str">
        <f t="shared" ref="FH40:FH54" si="233">IFERROR(IF(ISBLANK(AT40), "-", IF($I40="r", AT40/$I$5, AT40)),"-")</f>
        <v/>
      </c>
      <c r="FI40" s="39" t="str">
        <f t="shared" ref="FI40:FI54" si="234">IFERROR(IF(ISBLANK(AU40), "-", IF($I40="r", AU40/$I$5, AU40)),"-")</f>
        <v/>
      </c>
      <c r="FJ40" s="39" t="str">
        <f t="shared" ref="FJ40:FJ54" si="235">IFERROR(IF(ISBLANK(AV40), "-", IF($I40="r", AV40/$I$5, AV40)),"-")</f>
        <v/>
      </c>
      <c r="FK40" s="39" t="str">
        <f t="shared" ref="FK40:FK54" si="236">IFERROR(IF(ISBLANK(AW40), "-", IF($I40="r", AW40/$I$5, AW40)),"-")</f>
        <v/>
      </c>
      <c r="FL40" s="39" t="str">
        <f t="shared" ref="FL40:FL54" si="237">IFERROR(IF(ISBLANK(AX40), "-", IF($I40="r", AX40/$I$5, AX40)),"-")</f>
        <v/>
      </c>
      <c r="FM40" s="39" t="str">
        <f t="shared" ref="FM40:FM54" si="238">IFERROR(IF(ISBLANK(AY40), "-", IF($I40="r", AY40/$I$5, AY40)),"-")</f>
        <v/>
      </c>
      <c r="FN40" s="39" t="str">
        <f t="shared" ref="FN40:FN54" si="239">IFERROR(IF(ISBLANK(AZ40), "-", IF($I40="r", AZ40/$I$5, AZ40)),"-")</f>
        <v/>
      </c>
      <c r="FO40" s="39" t="str">
        <f t="shared" ref="FO40:FO54" si="240">IFERROR(IF(ISBLANK(BA40), "-", IF($I40="r", BA40/$I$5, BA40)),"-")</f>
        <v/>
      </c>
      <c r="FP40" s="39" t="str">
        <f t="shared" ref="FP40:FP54" si="241">IFERROR(IF(ISBLANK(BB40), "-", IF($I40="r", BB40/$I$5, BB40)),"-")</f>
        <v/>
      </c>
      <c r="FQ40" s="39" t="str">
        <f t="shared" ref="FQ40:FQ54" si="242">IFERROR(IF(ISBLANK(BC40), "-", IF($I40="r", BC40/$I$5, BC40)),"-")</f>
        <v/>
      </c>
      <c r="FR40" s="39" t="str">
        <f t="shared" ref="FR40:FR54" si="243">IFERROR(IF(ISBLANK(BD40), "-", IF($I40="r", BD40/$I$5, BD40)),"-")</f>
        <v/>
      </c>
      <c r="FS40" s="39" t="str">
        <f t="shared" ref="FS40:FS54" si="244">IFERROR(IF(ISBLANK(BE40), "-", IF($I40="r", BE40/$I$5, BE40)),"-")</f>
        <v/>
      </c>
      <c r="FT40" s="39" t="str">
        <f t="shared" ref="FT40:FT54" si="245">IFERROR(IF(ISBLANK(BF40), "-", IF($I40="r", BF40/$I$5, BF40)),"-")</f>
        <v/>
      </c>
      <c r="FU40" s="39" t="str">
        <f t="shared" ref="FU40:FU54" si="246">IFERROR(IF(ISBLANK(BG40), "-", IF($I40="r", BG40/$I$5, BG40)),"-")</f>
        <v/>
      </c>
      <c r="FV40" s="39" t="str">
        <f t="shared" ref="FV40:FV54" si="247">IFERROR(IF(ISBLANK(BH40), "-", IF($I40="r", BH40/$I$5, BH40)),"-")</f>
        <v/>
      </c>
      <c r="FW40" s="39" t="str">
        <f t="shared" ref="FW40:FW54" si="248">IFERROR(IF(ISBLANK(BI40), "-", IF($I40="r", BI40/$I$5, BI40)),"-")</f>
        <v/>
      </c>
      <c r="FX40" s="39" t="str">
        <f t="shared" ref="FX40:FX54" si="249">IFERROR(IF(ISBLANK(BJ40), "-", IF($I40="r", BJ40/$I$5, BJ40)),"-")</f>
        <v/>
      </c>
      <c r="FY40" s="39" t="str">
        <f t="shared" ref="FY40:FY54" si="250">IFERROR(IF(ISBLANK(BK40), "-", IF($I40="r", BK40/$I$5, BK40)),"-")</f>
        <v/>
      </c>
      <c r="FZ40" s="39" t="str">
        <f t="shared" ref="FZ40:FZ54" si="251">IFERROR(IF(ISBLANK(BL40), "-", IF($I40="r", BL40/$I$5, BL40)),"-")</f>
        <v/>
      </c>
      <c r="GA40" s="39" t="str">
        <f t="shared" ref="GA40:GA54" si="252">IFERROR(IF(ISBLANK(BM40), "-", IF($I40="r", BM40/$I$5, BM40)),"-")</f>
        <v/>
      </c>
      <c r="GB40" s="39" t="str">
        <f t="shared" ref="GB40:GB54" si="253">IFERROR(IF(ISBLANK(BN40), "-", IF($I40="r", BN40/$I$5, BN40)),"-")</f>
        <v/>
      </c>
      <c r="GC40" s="39" t="str">
        <f t="shared" ref="GC40:GC54" si="254">IFERROR(IF(ISBLANK(BO40), "-", IF($I40="r", BO40/$I$5, BO40)),"-")</f>
        <v/>
      </c>
      <c r="GD40" s="39" t="str">
        <f t="shared" ref="GD40:GD54" si="255">IFERROR(IF(ISBLANK(BP40), "-", IF($I40="r", BP40/$I$5, BP40)),"-")</f>
        <v/>
      </c>
      <c r="GE40" s="39" t="str">
        <f t="shared" ref="GE40:GE54" si="256">IFERROR(IF(ISBLANK(BQ40), "-", IF($I40="r", BQ40/$I$5, BQ40)),"-")</f>
        <v/>
      </c>
      <c r="GF40" s="39" t="str">
        <f t="shared" ref="GF40:GF54" si="257">IFERROR(IF(ISBLANK(BR40), "-", IF($I40="r", BR40/$I$5, BR40)),"-")</f>
        <v/>
      </c>
      <c r="GG40" s="39" t="str">
        <f t="shared" ref="GG40:GG54" si="258">IFERROR(IF(ISBLANK(BS40), "-", IF($I40="r", BS40/$I$5, BS40)),"-")</f>
        <v/>
      </c>
      <c r="GH40" s="39" t="str">
        <f t="shared" ref="GH40:GH54" si="259">IFERROR(IF(ISBLANK(BT40), "-", IF($I40="r", BT40/$I$5, BT40)),"-")</f>
        <v/>
      </c>
      <c r="GI40" s="39" t="str">
        <f t="shared" ref="GI40:GI54" si="260">IFERROR(IF(ISBLANK(BU40), "-", IF($I40="r", BU40/$I$5, BU40)),"-")</f>
        <v/>
      </c>
      <c r="GJ40" s="39" t="str">
        <f t="shared" ref="GJ40:GJ54" si="261">IFERROR(IF(ISBLANK(BV40), "-", IF($I40="r", BV40/$I$5, BV40)),"-")</f>
        <v/>
      </c>
      <c r="GK40" s="39" t="str">
        <f t="shared" ref="GK40:GK54" si="262">IFERROR(IF(ISBLANK(BW40), "-", IF($I40="r", BW40/$I$5, BW40)),"-")</f>
        <v/>
      </c>
      <c r="GL40" s="39" t="str">
        <f t="shared" ref="GL40:GL54" si="263">IFERROR(IF(ISBLANK(BX40), "-", IF($I40="r", BX40/$I$5, BX40)),"-")</f>
        <v/>
      </c>
      <c r="GM40" s="39" t="str">
        <f t="shared" ref="GM40:GM54" si="264">IFERROR(IF(ISBLANK(BY40), "-", IF($I40="r", BY40/$I$5, BY40)),"-")</f>
        <v/>
      </c>
      <c r="GN40" s="39" t="str">
        <f t="shared" ref="GN40:GN54" si="265">IFERROR(IF(ISBLANK(BZ40), "-", IF($I40="r", BZ40/$I$5, BZ40)),"-")</f>
        <v/>
      </c>
      <c r="GO40" s="39" t="str">
        <f t="shared" ref="GO40:GO54" si="266">IFERROR(IF(ISBLANK(CA40), "-", IF($I40="r", CA40/$I$5, CA40)),"-")</f>
        <v/>
      </c>
      <c r="GP40" s="39" t="str">
        <f t="shared" ref="GP40:GP54" si="267">IFERROR(IF(ISBLANK(CB40), "-", IF($I40="r", CB40/$I$5, CB40)),"-")</f>
        <v/>
      </c>
      <c r="GQ40" s="39" t="str">
        <f t="shared" ref="GQ40:GQ54" si="268">IFERROR(IF(ISBLANK(CC40), "-", IF($I40="r", CC40/$I$5, CC40)),"-")</f>
        <v/>
      </c>
      <c r="GR40" s="39" t="str">
        <f t="shared" ref="GR40:GR54" si="269">IFERROR(IF(ISBLANK(CD40), "-", IF($I40="r", CD40/$I$5, CD40)),"-")</f>
        <v/>
      </c>
      <c r="GS40" s="39" t="str">
        <f t="shared" ref="GS40:GS54" si="270">IFERROR(IF(ISBLANK(CE40), "-", IF($I40="r", CE40/$I$5, CE40)),"-")</f>
        <v/>
      </c>
      <c r="GT40" s="39" t="str">
        <f t="shared" ref="GT40:GT54" si="271">IFERROR(IF(ISBLANK(CF40), "-", IF($I40="r", CF40/$I$5, CF40)),"-")</f>
        <v/>
      </c>
      <c r="GU40" s="39" t="str">
        <f t="shared" ref="GU40:GU54" si="272">IFERROR(IF(ISBLANK(CG40), "-", IF($I40="r", CG40/$I$5, CG40)),"-")</f>
        <v/>
      </c>
      <c r="GV40" s="39" t="str">
        <f t="shared" ref="GV40:GV54" si="273">IFERROR(IF(ISBLANK(CH40), "-", IF($I40="r", CH40/$I$5, CH40)),"-")</f>
        <v/>
      </c>
      <c r="GW40" s="39" t="str">
        <f t="shared" ref="GW40:GW54" si="274">IFERROR(IF(ISBLANK(CI40), "-", IF($I40="r", CI40/$I$5, CI40)),"-")</f>
        <v/>
      </c>
      <c r="GX40" s="39" t="str">
        <f t="shared" ref="GX40:GX54" si="275">IFERROR(IF(ISBLANK(CJ40), "-", IF($I40="r", CJ40/$I$5, CJ40)),"-")</f>
        <v/>
      </c>
      <c r="GY40" s="39" t="str">
        <f t="shared" ref="GY40:GY54" si="276">IFERROR(IF(ISBLANK(CK40), "-", IF($I40="r", CK40/$I$5, CK40)),"-")</f>
        <v/>
      </c>
      <c r="GZ40" s="39" t="str">
        <f t="shared" ref="GZ40:GZ54" si="277">IFERROR(IF(ISBLANK(CL40), "-", IF($I40="r", CL40/$I$5, CL40)),"-")</f>
        <v/>
      </c>
      <c r="HA40" s="39" t="str">
        <f t="shared" ref="HA40:HA54" si="278">IFERROR(IF(ISBLANK(CM40), "-", IF($I40="r", CM40/$I$5, CM40)),"-")</f>
        <v/>
      </c>
      <c r="HB40" s="39" t="str">
        <f t="shared" ref="HB40:HB54" si="279">IFERROR(IF(ISBLANK(CN40), "-", IF($I40="r", CN40/$I$5, CN40)),"-")</f>
        <v/>
      </c>
      <c r="HC40" s="39" t="str">
        <f t="shared" ref="HC40:HC54" si="280">IFERROR(IF(ISBLANK(CO40), "-", IF($I40="r", CO40/$I$5, CO40)),"-")</f>
        <v/>
      </c>
      <c r="HD40" s="39" t="str">
        <f t="shared" ref="HD40:HD54" si="281">IFERROR(IF(ISBLANK(CP40), "-", IF($I40="r", CP40/$I$5, CP40)),"-")</f>
        <v/>
      </c>
      <c r="HE40" s="39" t="str">
        <f t="shared" ref="HE40:HE54" si="282">IFERROR(IF(ISBLANK(CQ40), "-", IF($I40="r", CQ40/$I$5, CQ40)),"-")</f>
        <v/>
      </c>
      <c r="HF40" s="39" t="str">
        <f t="shared" ref="HF40:HF54" si="283">IFERROR(IF(ISBLANK(CR40), "-", IF($I40="r", CR40/$I$5, CR40)),"-")</f>
        <v/>
      </c>
      <c r="HG40" s="39" t="str">
        <f t="shared" ref="HG40:HG54" si="284">IFERROR(IF(ISBLANK(CS40), "-", IF($I40="r", CS40/$I$5, CS40)),"-")</f>
        <v/>
      </c>
      <c r="HH40" s="39" t="str">
        <f t="shared" ref="HH40:HH54" si="285">IFERROR(IF(ISBLANK(CT40), "-", IF($I40="r", CT40/$I$5, CT40)),"-")</f>
        <v/>
      </c>
      <c r="HI40" s="39" t="str">
        <f t="shared" ref="HI40:HI54" si="286">IFERROR(IF(ISBLANK(CU40), "-", IF($I40="r", CU40/$I$5, CU40)),"-")</f>
        <v/>
      </c>
      <c r="HJ40" s="39" t="str">
        <f t="shared" ref="HJ40:HJ54" si="287">IFERROR(IF(ISBLANK(CV40), "-", IF($I40="r", CV40/$I$5, CV40)),"-")</f>
        <v/>
      </c>
      <c r="HK40" s="39" t="str">
        <f t="shared" ref="HK40:HK54" si="288">IFERROR(IF(ISBLANK(CW40), "-", IF($I40="r", CW40/$I$5, CW40)),"-")</f>
        <v/>
      </c>
      <c r="HL40" s="39" t="str">
        <f t="shared" ref="HL40:HL54" si="289">IFERROR(IF(ISBLANK(CX40), "-", IF($I40="r", CX40/$I$5, CX40)),"-")</f>
        <v/>
      </c>
      <c r="HM40" s="39" t="str">
        <f t="shared" ref="HM40:HM54" si="290">IFERROR(IF(ISBLANK(CY40), "-", IF($I40="r", CY40/$I$5, CY40)),"-")</f>
        <v/>
      </c>
      <c r="HN40" s="39" t="str">
        <f t="shared" ref="HN40:HN54" si="291">IFERROR(IF(ISBLANK(CZ40), "-", IF($I40="r", CZ40/$I$5, CZ40)),"-")</f>
        <v/>
      </c>
      <c r="HO40" s="39" t="str">
        <f t="shared" ref="HO40:HO54" si="292">IFERROR(IF(ISBLANK(DA40), "-", IF($I40="r", DA40/$I$5, DA40)),"-")</f>
        <v/>
      </c>
      <c r="HP40" s="39" t="str">
        <f t="shared" ref="HP40:HP54" si="293">IFERROR(IF(ISBLANK(DB40), "-", IF($I40="r", DB40/$I$5, DB40)),"-")</f>
        <v/>
      </c>
      <c r="HQ40" s="39" t="str">
        <f t="shared" ref="HQ40:HQ54" si="294">IFERROR(IF(ISBLANK(DC40), "-", IF($I40="r", DC40/$I$5, DC40)),"-")</f>
        <v/>
      </c>
      <c r="HR40" s="39" t="str">
        <f t="shared" ref="HR40:HR54" si="295">IFERROR(IF(ISBLANK(DD40), "-", IF($I40="r", DD40/$I$5, DD40)),"-")</f>
        <v/>
      </c>
      <c r="HS40" s="39" t="str">
        <f t="shared" ref="HS40:HS54" si="296">IFERROR(IF(ISBLANK(DE40), "-", IF($I40="r", DE40/$I$5, DE40)),"-")</f>
        <v/>
      </c>
      <c r="HT40" s="39" t="str">
        <f t="shared" ref="HT40:HT54" si="297">IFERROR(IF(ISBLANK(DF40), "-", IF($I40="r", DF40/$I$5, DF40)),"-")</f>
        <v/>
      </c>
      <c r="HU40" s="168" t="str">
        <f t="shared" ref="HU40:HU54" si="298">IFERROR(IF(ISBLANK(DH40), "-", IF($I40="r", DH40/$I$5, DH40)),"-")</f>
        <v>-</v>
      </c>
      <c r="HV40" s="169" t="str">
        <f t="shared" ref="HV40:HV54" si="299">IFERROR(IF(ISBLANK(DI40), "", IF($I40="r", DI40/$I$5, DI40)),"-")</f>
        <v/>
      </c>
      <c r="HW40" s="170" t="str">
        <f t="shared" ref="HW40:HW54" si="300">IFERROR(IF(ISBLANK(DJ40), "", IF($I40="r", DJ40/$I$5, DJ40)),"-")</f>
        <v/>
      </c>
      <c r="HX40" s="169" t="str">
        <f t="shared" ref="HX40:HX54" si="301">IFERROR(IF(ISBLANK(DL40), "", IF($I40="r",DL40/$I$5, DL40)),"-")</f>
        <v/>
      </c>
      <c r="HY40" s="169" t="str">
        <f t="shared" ref="HY40:HY54" si="302">IFERROR(IF(ISBLANK(DM40), "", IF($I40="r",DM40/$I$5, DM40)),"-")</f>
        <v/>
      </c>
      <c r="HZ40" s="169" t="str">
        <f t="shared" ref="HZ40:HZ54" si="303">IFERROR(IF(ISBLANK(DN40), "", IF($I40="r",DN40/$I$5, DN40)),"-")</f>
        <v/>
      </c>
      <c r="IA40" s="168" t="str">
        <f t="shared" ref="IA40:IA54" si="304">IFERROR(IF(ISBLANK(DP40), "", IF($I40="r", DP40/$I$5, DP40)),"-")</f>
        <v/>
      </c>
      <c r="IB40" s="169" t="str">
        <f t="shared" ref="IB40:IB54" si="305">IFERROR(IF(ISBLANK(DQ40), "", IF($I40="r", DQ40/$I$5, DQ40)),"-")</f>
        <v/>
      </c>
      <c r="IC40" s="170" t="str">
        <f t="shared" ref="IC40:IC54" si="306">IFERROR(IF(ISBLANK(DR40), "", IF($I40="r", DR40/$I$5, DR40)),"-")</f>
        <v/>
      </c>
      <c r="ID40" s="168" t="str">
        <f t="shared" ref="ID40:ID54" si="307">IFERROR(IF(ISBLANK(DT40), "", IF($I40="r", DT40/$I$5, DT40)),"-")</f>
        <v/>
      </c>
      <c r="IE40" s="169" t="str">
        <f t="shared" ref="IE40:IE54" si="308">IFERROR(IF(ISBLANK(DU40), "", IF($I40="r", DU40/$I$5, DU40)),"-")</f>
        <v/>
      </c>
      <c r="IF40" s="170" t="str">
        <f t="shared" ref="IF40:IF54" si="309">IFERROR(IF(ISBLANK(DV40), "", IF($I40="r", DV40/$I$5, DV40)),"-")</f>
        <v/>
      </c>
      <c r="IH40" s="171">
        <v>40</v>
      </c>
      <c r="II40" s="171" t="e">
        <f t="shared" ca="1" si="192"/>
        <v>#N/A</v>
      </c>
      <c r="IJ40" s="171" t="e">
        <f t="shared" ca="1" si="193"/>
        <v>#N/A</v>
      </c>
      <c r="IK40" s="171" t="e">
        <f t="shared" ca="1" si="194"/>
        <v>#N/A</v>
      </c>
      <c r="IL40" s="171" t="e">
        <f t="shared" ca="1" si="195"/>
        <v>#N/A</v>
      </c>
      <c r="IM40" s="162"/>
      <c r="IN40" s="165" t="e">
        <f t="shared" ca="1" si="184"/>
        <v>#N/A</v>
      </c>
      <c r="IO40" s="172" t="e">
        <f t="shared" ca="1" si="185"/>
        <v>#N/A</v>
      </c>
      <c r="IP40" s="172" t="e">
        <f t="shared" ca="1" si="186"/>
        <v>#N/A</v>
      </c>
      <c r="IQ40" s="165" t="e">
        <f t="shared" ca="1" si="187"/>
        <v>#N/A</v>
      </c>
      <c r="IR40" s="173" t="e">
        <f t="shared" ca="1" si="188"/>
        <v>#N/A</v>
      </c>
    </row>
    <row r="41" spans="1:252" s="163" customFormat="1" x14ac:dyDescent="0.35">
      <c r="A41" s="162">
        <v>0</v>
      </c>
      <c r="B41" s="162">
        <v>1</v>
      </c>
      <c r="C41" s="162">
        <v>1</v>
      </c>
      <c r="E41" s="3"/>
      <c r="F41" s="2" t="s">
        <v>305</v>
      </c>
      <c r="G41" s="164" t="s">
        <v>540</v>
      </c>
      <c r="H41" s="3" t="s">
        <v>543</v>
      </c>
      <c r="I41" s="8" t="s">
        <v>555</v>
      </c>
      <c r="J41" s="276" t="s">
        <v>805</v>
      </c>
      <c r="K41" s="165" t="s">
        <v>805</v>
      </c>
      <c r="L41" s="165" t="s">
        <v>805</v>
      </c>
      <c r="M41" s="165" t="s">
        <v>805</v>
      </c>
      <c r="N41" s="165" t="s">
        <v>805</v>
      </c>
      <c r="O41" s="165" t="s">
        <v>805</v>
      </c>
      <c r="P41" s="165" t="s">
        <v>805</v>
      </c>
      <c r="Q41" s="165" t="s">
        <v>805</v>
      </c>
      <c r="R41" s="165" t="s">
        <v>805</v>
      </c>
      <c r="S41" s="165" t="s">
        <v>805</v>
      </c>
      <c r="T41" s="165" t="s">
        <v>805</v>
      </c>
      <c r="U41" s="165" t="s">
        <v>805</v>
      </c>
      <c r="V41" s="165" t="s">
        <v>805</v>
      </c>
      <c r="W41" s="165" t="s">
        <v>805</v>
      </c>
      <c r="X41" s="165" t="s">
        <v>805</v>
      </c>
      <c r="Y41" s="165" t="s">
        <v>805</v>
      </c>
      <c r="Z41" s="165" t="s">
        <v>805</v>
      </c>
      <c r="AA41" s="165" t="s">
        <v>805</v>
      </c>
      <c r="AB41" s="165" t="s">
        <v>805</v>
      </c>
      <c r="AC41" s="165" t="s">
        <v>805</v>
      </c>
      <c r="AD41" s="165" t="s">
        <v>805</v>
      </c>
      <c r="AE41" s="165" t="s">
        <v>805</v>
      </c>
      <c r="AF41" s="165" t="s">
        <v>805</v>
      </c>
      <c r="AG41" s="165" t="s">
        <v>805</v>
      </c>
      <c r="AH41" s="165" t="s">
        <v>805</v>
      </c>
      <c r="AI41" s="165" t="s">
        <v>805</v>
      </c>
      <c r="AJ41" s="165" t="s">
        <v>805</v>
      </c>
      <c r="AK41" s="165" t="s">
        <v>805</v>
      </c>
      <c r="AL41" s="165" t="s">
        <v>805</v>
      </c>
      <c r="AM41" s="165" t="s">
        <v>805</v>
      </c>
      <c r="AN41" s="165" t="s">
        <v>805</v>
      </c>
      <c r="AO41" s="165" t="s">
        <v>805</v>
      </c>
      <c r="AP41" s="165" t="s">
        <v>805</v>
      </c>
      <c r="AQ41" s="165" t="s">
        <v>805</v>
      </c>
      <c r="AR41" s="165" t="s">
        <v>805</v>
      </c>
      <c r="AS41" s="165" t="s">
        <v>805</v>
      </c>
      <c r="AT41" s="165" t="s">
        <v>805</v>
      </c>
      <c r="AU41" s="165" t="s">
        <v>805</v>
      </c>
      <c r="AV41" s="165" t="s">
        <v>805</v>
      </c>
      <c r="AW41" s="165" t="s">
        <v>805</v>
      </c>
      <c r="AX41" s="165" t="s">
        <v>805</v>
      </c>
      <c r="AY41" s="165" t="s">
        <v>805</v>
      </c>
      <c r="AZ41" s="165" t="s">
        <v>805</v>
      </c>
      <c r="BA41" s="165" t="s">
        <v>805</v>
      </c>
      <c r="BB41" s="165" t="s">
        <v>805</v>
      </c>
      <c r="BC41" s="165" t="s">
        <v>805</v>
      </c>
      <c r="BD41" s="165" t="s">
        <v>805</v>
      </c>
      <c r="BE41" s="165" t="s">
        <v>805</v>
      </c>
      <c r="BF41" s="165" t="s">
        <v>805</v>
      </c>
      <c r="BG41" s="165" t="s">
        <v>805</v>
      </c>
      <c r="BH41" s="165" t="s">
        <v>805</v>
      </c>
      <c r="BI41" s="165" t="s">
        <v>805</v>
      </c>
      <c r="BJ41" s="165" t="s">
        <v>805</v>
      </c>
      <c r="BK41" s="165" t="s">
        <v>805</v>
      </c>
      <c r="BL41" s="165" t="s">
        <v>805</v>
      </c>
      <c r="BM41" s="165" t="s">
        <v>805</v>
      </c>
      <c r="BN41" s="165" t="s">
        <v>805</v>
      </c>
      <c r="BO41" s="165" t="s">
        <v>805</v>
      </c>
      <c r="BP41" s="165" t="s">
        <v>805</v>
      </c>
      <c r="BQ41" s="165" t="s">
        <v>805</v>
      </c>
      <c r="BR41" s="165" t="s">
        <v>805</v>
      </c>
      <c r="BS41" s="165" t="s">
        <v>805</v>
      </c>
      <c r="BT41" s="165" t="s">
        <v>805</v>
      </c>
      <c r="BU41" s="165" t="s">
        <v>805</v>
      </c>
      <c r="BV41" s="165" t="s">
        <v>805</v>
      </c>
      <c r="BW41" s="165" t="s">
        <v>805</v>
      </c>
      <c r="BX41" s="165" t="s">
        <v>805</v>
      </c>
      <c r="BY41" s="165" t="s">
        <v>805</v>
      </c>
      <c r="BZ41" s="165" t="s">
        <v>805</v>
      </c>
      <c r="CA41" s="165" t="s">
        <v>805</v>
      </c>
      <c r="CB41" s="165" t="s">
        <v>805</v>
      </c>
      <c r="CC41" s="165" t="s">
        <v>805</v>
      </c>
      <c r="CD41" s="165" t="s">
        <v>805</v>
      </c>
      <c r="CE41" s="165" t="s">
        <v>805</v>
      </c>
      <c r="CF41" s="165" t="s">
        <v>805</v>
      </c>
      <c r="CG41" s="165" t="s">
        <v>805</v>
      </c>
      <c r="CH41" s="165" t="s">
        <v>805</v>
      </c>
      <c r="CI41" s="165" t="s">
        <v>805</v>
      </c>
      <c r="CJ41" s="165" t="s">
        <v>805</v>
      </c>
      <c r="CK41" s="165" t="s">
        <v>805</v>
      </c>
      <c r="CL41" s="165" t="s">
        <v>805</v>
      </c>
      <c r="CM41" s="165" t="s">
        <v>805</v>
      </c>
      <c r="CN41" s="165" t="s">
        <v>805</v>
      </c>
      <c r="CO41" s="165" t="s">
        <v>805</v>
      </c>
      <c r="CP41" s="165" t="s">
        <v>805</v>
      </c>
      <c r="CQ41" s="165" t="s">
        <v>805</v>
      </c>
      <c r="CR41" s="165" t="s">
        <v>805</v>
      </c>
      <c r="CS41" s="165" t="s">
        <v>805</v>
      </c>
      <c r="CT41" s="165" t="s">
        <v>805</v>
      </c>
      <c r="CU41" s="165" t="s">
        <v>805</v>
      </c>
      <c r="CV41" s="165" t="s">
        <v>805</v>
      </c>
      <c r="CW41" s="165" t="s">
        <v>805</v>
      </c>
      <c r="CX41" s="165" t="s">
        <v>805</v>
      </c>
      <c r="CY41" s="165" t="s">
        <v>805</v>
      </c>
      <c r="CZ41" s="165" t="s">
        <v>805</v>
      </c>
      <c r="DA41" s="165" t="s">
        <v>805</v>
      </c>
      <c r="DB41" s="165" t="s">
        <v>805</v>
      </c>
      <c r="DC41" s="165" t="s">
        <v>805</v>
      </c>
      <c r="DD41" s="165" t="s">
        <v>805</v>
      </c>
      <c r="DE41" s="165" t="s">
        <v>805</v>
      </c>
      <c r="DF41" s="165" t="s">
        <v>805</v>
      </c>
      <c r="DG41" s="125">
        <f>'KPI Count-SHARE'!J35</f>
        <v>0</v>
      </c>
      <c r="DH41" s="174"/>
      <c r="DI41" s="174"/>
      <c r="DJ41" s="174"/>
      <c r="DK41" s="125">
        <f>'KPI Count-SHARE'!K35</f>
        <v>0</v>
      </c>
      <c r="DL41" s="166"/>
      <c r="DM41" s="166"/>
      <c r="DN41" s="166"/>
      <c r="DO41" s="125">
        <f>'KPI Count-SHARE'!L35</f>
        <v>0</v>
      </c>
      <c r="DP41" s="166"/>
      <c r="DQ41" s="166"/>
      <c r="DR41" s="166"/>
      <c r="DS41" s="125">
        <f>'KPI Count-SHARE'!M35</f>
        <v>0</v>
      </c>
      <c r="DT41" s="166"/>
      <c r="DU41" s="166"/>
      <c r="DV41" s="166"/>
      <c r="DW41" s="167" t="str">
        <f t="shared" si="196"/>
        <v>FTE per USD '000</v>
      </c>
      <c r="DX41" s="39" t="str">
        <f t="shared" si="197"/>
        <v/>
      </c>
      <c r="DY41" s="39" t="str">
        <f t="shared" si="198"/>
        <v/>
      </c>
      <c r="DZ41" s="39" t="str">
        <f t="shared" si="199"/>
        <v/>
      </c>
      <c r="EA41" s="39" t="str">
        <f t="shared" si="200"/>
        <v/>
      </c>
      <c r="EB41" s="39" t="str">
        <f t="shared" si="201"/>
        <v/>
      </c>
      <c r="EC41" s="39" t="str">
        <f t="shared" si="202"/>
        <v/>
      </c>
      <c r="ED41" s="39" t="str">
        <f t="shared" si="203"/>
        <v/>
      </c>
      <c r="EE41" s="39" t="str">
        <f t="shared" si="204"/>
        <v/>
      </c>
      <c r="EF41" s="39" t="str">
        <f t="shared" si="205"/>
        <v/>
      </c>
      <c r="EG41" s="39" t="str">
        <f t="shared" si="206"/>
        <v/>
      </c>
      <c r="EH41" s="39" t="str">
        <f t="shared" si="207"/>
        <v/>
      </c>
      <c r="EI41" s="39" t="str">
        <f t="shared" si="208"/>
        <v/>
      </c>
      <c r="EJ41" s="39" t="str">
        <f t="shared" si="209"/>
        <v/>
      </c>
      <c r="EK41" s="39" t="str">
        <f t="shared" si="210"/>
        <v/>
      </c>
      <c r="EL41" s="39" t="str">
        <f t="shared" si="211"/>
        <v/>
      </c>
      <c r="EM41" s="39" t="str">
        <f t="shared" si="212"/>
        <v/>
      </c>
      <c r="EN41" s="39" t="str">
        <f t="shared" si="213"/>
        <v/>
      </c>
      <c r="EO41" s="39" t="str">
        <f t="shared" si="214"/>
        <v/>
      </c>
      <c r="EP41" s="39" t="str">
        <f t="shared" si="215"/>
        <v/>
      </c>
      <c r="EQ41" s="39" t="str">
        <f t="shared" si="216"/>
        <v/>
      </c>
      <c r="ER41" s="39" t="str">
        <f t="shared" si="217"/>
        <v/>
      </c>
      <c r="ES41" s="39" t="str">
        <f t="shared" si="218"/>
        <v/>
      </c>
      <c r="ET41" s="39" t="str">
        <f t="shared" si="219"/>
        <v/>
      </c>
      <c r="EU41" s="39" t="str">
        <f t="shared" si="220"/>
        <v/>
      </c>
      <c r="EV41" s="39" t="str">
        <f t="shared" si="221"/>
        <v/>
      </c>
      <c r="EW41" s="39" t="str">
        <f t="shared" si="222"/>
        <v/>
      </c>
      <c r="EX41" s="39" t="str">
        <f t="shared" si="223"/>
        <v/>
      </c>
      <c r="EY41" s="39" t="str">
        <f t="shared" si="224"/>
        <v/>
      </c>
      <c r="EZ41" s="39" t="str">
        <f t="shared" si="225"/>
        <v/>
      </c>
      <c r="FA41" s="39" t="str">
        <f t="shared" si="226"/>
        <v/>
      </c>
      <c r="FB41" s="39" t="str">
        <f t="shared" si="227"/>
        <v/>
      </c>
      <c r="FC41" s="39" t="str">
        <f t="shared" si="228"/>
        <v/>
      </c>
      <c r="FD41" s="39" t="str">
        <f t="shared" si="229"/>
        <v/>
      </c>
      <c r="FE41" s="39" t="str">
        <f t="shared" si="230"/>
        <v/>
      </c>
      <c r="FF41" s="39" t="str">
        <f t="shared" si="231"/>
        <v/>
      </c>
      <c r="FG41" s="39" t="str">
        <f t="shared" si="232"/>
        <v/>
      </c>
      <c r="FH41" s="39" t="str">
        <f t="shared" si="233"/>
        <v/>
      </c>
      <c r="FI41" s="39" t="str">
        <f t="shared" si="234"/>
        <v/>
      </c>
      <c r="FJ41" s="39" t="str">
        <f t="shared" si="235"/>
        <v/>
      </c>
      <c r="FK41" s="39" t="str">
        <f t="shared" si="236"/>
        <v/>
      </c>
      <c r="FL41" s="39" t="str">
        <f t="shared" si="237"/>
        <v/>
      </c>
      <c r="FM41" s="39" t="str">
        <f t="shared" si="238"/>
        <v/>
      </c>
      <c r="FN41" s="39" t="str">
        <f t="shared" si="239"/>
        <v/>
      </c>
      <c r="FO41" s="39" t="str">
        <f t="shared" si="240"/>
        <v/>
      </c>
      <c r="FP41" s="39" t="str">
        <f t="shared" si="241"/>
        <v/>
      </c>
      <c r="FQ41" s="39" t="str">
        <f t="shared" si="242"/>
        <v/>
      </c>
      <c r="FR41" s="39" t="str">
        <f t="shared" si="243"/>
        <v/>
      </c>
      <c r="FS41" s="39" t="str">
        <f t="shared" si="244"/>
        <v/>
      </c>
      <c r="FT41" s="39" t="str">
        <f t="shared" si="245"/>
        <v/>
      </c>
      <c r="FU41" s="39" t="str">
        <f t="shared" si="246"/>
        <v/>
      </c>
      <c r="FV41" s="39" t="str">
        <f t="shared" si="247"/>
        <v/>
      </c>
      <c r="FW41" s="39" t="str">
        <f t="shared" si="248"/>
        <v/>
      </c>
      <c r="FX41" s="39" t="str">
        <f t="shared" si="249"/>
        <v/>
      </c>
      <c r="FY41" s="39" t="str">
        <f t="shared" si="250"/>
        <v/>
      </c>
      <c r="FZ41" s="39" t="str">
        <f t="shared" si="251"/>
        <v/>
      </c>
      <c r="GA41" s="39" t="str">
        <f t="shared" si="252"/>
        <v/>
      </c>
      <c r="GB41" s="39" t="str">
        <f t="shared" si="253"/>
        <v/>
      </c>
      <c r="GC41" s="39" t="str">
        <f t="shared" si="254"/>
        <v/>
      </c>
      <c r="GD41" s="39" t="str">
        <f t="shared" si="255"/>
        <v/>
      </c>
      <c r="GE41" s="39" t="str">
        <f t="shared" si="256"/>
        <v/>
      </c>
      <c r="GF41" s="39" t="str">
        <f t="shared" si="257"/>
        <v/>
      </c>
      <c r="GG41" s="39" t="str">
        <f t="shared" si="258"/>
        <v/>
      </c>
      <c r="GH41" s="39" t="str">
        <f t="shared" si="259"/>
        <v/>
      </c>
      <c r="GI41" s="39" t="str">
        <f t="shared" si="260"/>
        <v/>
      </c>
      <c r="GJ41" s="39" t="str">
        <f t="shared" si="261"/>
        <v/>
      </c>
      <c r="GK41" s="39" t="str">
        <f t="shared" si="262"/>
        <v/>
      </c>
      <c r="GL41" s="39" t="str">
        <f t="shared" si="263"/>
        <v/>
      </c>
      <c r="GM41" s="39" t="str">
        <f t="shared" si="264"/>
        <v/>
      </c>
      <c r="GN41" s="39" t="str">
        <f t="shared" si="265"/>
        <v/>
      </c>
      <c r="GO41" s="39" t="str">
        <f t="shared" si="266"/>
        <v/>
      </c>
      <c r="GP41" s="39" t="str">
        <f t="shared" si="267"/>
        <v/>
      </c>
      <c r="GQ41" s="39" t="str">
        <f t="shared" si="268"/>
        <v/>
      </c>
      <c r="GR41" s="39" t="str">
        <f t="shared" si="269"/>
        <v/>
      </c>
      <c r="GS41" s="39" t="str">
        <f t="shared" si="270"/>
        <v/>
      </c>
      <c r="GT41" s="39" t="str">
        <f t="shared" si="271"/>
        <v/>
      </c>
      <c r="GU41" s="39" t="str">
        <f t="shared" si="272"/>
        <v/>
      </c>
      <c r="GV41" s="39" t="str">
        <f t="shared" si="273"/>
        <v/>
      </c>
      <c r="GW41" s="39" t="str">
        <f t="shared" si="274"/>
        <v/>
      </c>
      <c r="GX41" s="39" t="str">
        <f t="shared" si="275"/>
        <v/>
      </c>
      <c r="GY41" s="39" t="str">
        <f t="shared" si="276"/>
        <v/>
      </c>
      <c r="GZ41" s="39" t="str">
        <f t="shared" si="277"/>
        <v/>
      </c>
      <c r="HA41" s="39" t="str">
        <f t="shared" si="278"/>
        <v/>
      </c>
      <c r="HB41" s="39" t="str">
        <f t="shared" si="279"/>
        <v/>
      </c>
      <c r="HC41" s="39" t="str">
        <f t="shared" si="280"/>
        <v/>
      </c>
      <c r="HD41" s="39" t="str">
        <f t="shared" si="281"/>
        <v/>
      </c>
      <c r="HE41" s="39" t="str">
        <f t="shared" si="282"/>
        <v/>
      </c>
      <c r="HF41" s="39" t="str">
        <f t="shared" si="283"/>
        <v/>
      </c>
      <c r="HG41" s="39" t="str">
        <f t="shared" si="284"/>
        <v/>
      </c>
      <c r="HH41" s="39" t="str">
        <f t="shared" si="285"/>
        <v/>
      </c>
      <c r="HI41" s="39" t="str">
        <f t="shared" si="286"/>
        <v/>
      </c>
      <c r="HJ41" s="39" t="str">
        <f t="shared" si="287"/>
        <v/>
      </c>
      <c r="HK41" s="39" t="str">
        <f t="shared" si="288"/>
        <v/>
      </c>
      <c r="HL41" s="39" t="str">
        <f t="shared" si="289"/>
        <v/>
      </c>
      <c r="HM41" s="39" t="str">
        <f t="shared" si="290"/>
        <v/>
      </c>
      <c r="HN41" s="39" t="str">
        <f t="shared" si="291"/>
        <v/>
      </c>
      <c r="HO41" s="39" t="str">
        <f t="shared" si="292"/>
        <v/>
      </c>
      <c r="HP41" s="39" t="str">
        <f t="shared" si="293"/>
        <v/>
      </c>
      <c r="HQ41" s="39" t="str">
        <f t="shared" si="294"/>
        <v/>
      </c>
      <c r="HR41" s="39" t="str">
        <f t="shared" si="295"/>
        <v/>
      </c>
      <c r="HS41" s="39" t="str">
        <f t="shared" si="296"/>
        <v/>
      </c>
      <c r="HT41" s="39" t="str">
        <f t="shared" si="297"/>
        <v/>
      </c>
      <c r="HU41" s="168" t="str">
        <f t="shared" si="298"/>
        <v>-</v>
      </c>
      <c r="HV41" s="169" t="str">
        <f t="shared" si="299"/>
        <v/>
      </c>
      <c r="HW41" s="170" t="str">
        <f t="shared" si="300"/>
        <v/>
      </c>
      <c r="HX41" s="169" t="str">
        <f t="shared" si="301"/>
        <v/>
      </c>
      <c r="HY41" s="169" t="str">
        <f t="shared" si="302"/>
        <v/>
      </c>
      <c r="HZ41" s="169" t="str">
        <f t="shared" si="303"/>
        <v/>
      </c>
      <c r="IA41" s="168" t="str">
        <f t="shared" si="304"/>
        <v/>
      </c>
      <c r="IB41" s="169" t="str">
        <f t="shared" si="305"/>
        <v/>
      </c>
      <c r="IC41" s="170" t="str">
        <f t="shared" si="306"/>
        <v/>
      </c>
      <c r="ID41" s="168" t="str">
        <f t="shared" si="307"/>
        <v/>
      </c>
      <c r="IE41" s="169" t="str">
        <f t="shared" si="308"/>
        <v/>
      </c>
      <c r="IF41" s="170" t="str">
        <f t="shared" si="309"/>
        <v/>
      </c>
      <c r="IH41" s="171">
        <v>41</v>
      </c>
      <c r="II41" s="171" t="e">
        <f t="shared" ca="1" si="192"/>
        <v>#N/A</v>
      </c>
      <c r="IJ41" s="171" t="e">
        <f t="shared" ca="1" si="193"/>
        <v>#N/A</v>
      </c>
      <c r="IK41" s="171" t="e">
        <f t="shared" ca="1" si="194"/>
        <v>#N/A</v>
      </c>
      <c r="IL41" s="171" t="e">
        <f t="shared" ca="1" si="195"/>
        <v>#N/A</v>
      </c>
      <c r="IM41" s="162"/>
      <c r="IN41" s="165" t="e">
        <f t="shared" ca="1" si="184"/>
        <v>#N/A</v>
      </c>
      <c r="IO41" s="172" t="e">
        <f t="shared" ca="1" si="185"/>
        <v>#N/A</v>
      </c>
      <c r="IP41" s="172" t="e">
        <f t="shared" ca="1" si="186"/>
        <v>#N/A</v>
      </c>
      <c r="IQ41" s="165" t="e">
        <f t="shared" ca="1" si="187"/>
        <v>#N/A</v>
      </c>
      <c r="IR41" s="173" t="e">
        <f t="shared" ca="1" si="188"/>
        <v>#N/A</v>
      </c>
    </row>
    <row r="42" spans="1:252" s="163" customFormat="1" x14ac:dyDescent="0.35">
      <c r="A42" s="162">
        <v>0</v>
      </c>
      <c r="B42" s="162">
        <v>0</v>
      </c>
      <c r="C42" s="162">
        <v>1</v>
      </c>
      <c r="E42" s="3"/>
      <c r="F42" s="2" t="s">
        <v>306</v>
      </c>
      <c r="G42" s="164" t="s">
        <v>540</v>
      </c>
      <c r="H42" s="3" t="s">
        <v>543</v>
      </c>
      <c r="I42" s="8" t="s">
        <v>555</v>
      </c>
      <c r="J42" s="276" t="s">
        <v>805</v>
      </c>
      <c r="K42" s="165" t="s">
        <v>805</v>
      </c>
      <c r="L42" s="165" t="s">
        <v>805</v>
      </c>
      <c r="M42" s="165" t="s">
        <v>805</v>
      </c>
      <c r="N42" s="165" t="s">
        <v>805</v>
      </c>
      <c r="O42" s="165" t="s">
        <v>805</v>
      </c>
      <c r="P42" s="165" t="s">
        <v>805</v>
      </c>
      <c r="Q42" s="165" t="s">
        <v>805</v>
      </c>
      <c r="R42" s="165" t="s">
        <v>805</v>
      </c>
      <c r="S42" s="165" t="s">
        <v>805</v>
      </c>
      <c r="T42" s="165" t="s">
        <v>805</v>
      </c>
      <c r="U42" s="165" t="s">
        <v>805</v>
      </c>
      <c r="V42" s="165" t="s">
        <v>805</v>
      </c>
      <c r="W42" s="165" t="s">
        <v>805</v>
      </c>
      <c r="X42" s="165" t="s">
        <v>805</v>
      </c>
      <c r="Y42" s="165" t="s">
        <v>805</v>
      </c>
      <c r="Z42" s="165" t="s">
        <v>805</v>
      </c>
      <c r="AA42" s="165" t="s">
        <v>805</v>
      </c>
      <c r="AB42" s="165" t="s">
        <v>805</v>
      </c>
      <c r="AC42" s="165" t="s">
        <v>805</v>
      </c>
      <c r="AD42" s="165" t="s">
        <v>805</v>
      </c>
      <c r="AE42" s="165" t="s">
        <v>805</v>
      </c>
      <c r="AF42" s="165" t="s">
        <v>805</v>
      </c>
      <c r="AG42" s="165" t="s">
        <v>805</v>
      </c>
      <c r="AH42" s="165" t="s">
        <v>805</v>
      </c>
      <c r="AI42" s="165" t="s">
        <v>805</v>
      </c>
      <c r="AJ42" s="165" t="s">
        <v>805</v>
      </c>
      <c r="AK42" s="165" t="s">
        <v>805</v>
      </c>
      <c r="AL42" s="165" t="s">
        <v>805</v>
      </c>
      <c r="AM42" s="165" t="s">
        <v>805</v>
      </c>
      <c r="AN42" s="165" t="s">
        <v>805</v>
      </c>
      <c r="AO42" s="165" t="s">
        <v>805</v>
      </c>
      <c r="AP42" s="165" t="s">
        <v>805</v>
      </c>
      <c r="AQ42" s="165" t="s">
        <v>805</v>
      </c>
      <c r="AR42" s="165" t="s">
        <v>805</v>
      </c>
      <c r="AS42" s="165" t="s">
        <v>805</v>
      </c>
      <c r="AT42" s="165" t="s">
        <v>805</v>
      </c>
      <c r="AU42" s="165" t="s">
        <v>805</v>
      </c>
      <c r="AV42" s="165" t="s">
        <v>805</v>
      </c>
      <c r="AW42" s="165" t="s">
        <v>805</v>
      </c>
      <c r="AX42" s="165" t="s">
        <v>805</v>
      </c>
      <c r="AY42" s="165" t="s">
        <v>805</v>
      </c>
      <c r="AZ42" s="165" t="s">
        <v>805</v>
      </c>
      <c r="BA42" s="165" t="s">
        <v>805</v>
      </c>
      <c r="BB42" s="165" t="s">
        <v>805</v>
      </c>
      <c r="BC42" s="165" t="s">
        <v>805</v>
      </c>
      <c r="BD42" s="165" t="s">
        <v>805</v>
      </c>
      <c r="BE42" s="165" t="s">
        <v>805</v>
      </c>
      <c r="BF42" s="165" t="s">
        <v>805</v>
      </c>
      <c r="BG42" s="165" t="s">
        <v>805</v>
      </c>
      <c r="BH42" s="165" t="s">
        <v>805</v>
      </c>
      <c r="BI42" s="165" t="s">
        <v>805</v>
      </c>
      <c r="BJ42" s="165" t="s">
        <v>805</v>
      </c>
      <c r="BK42" s="165" t="s">
        <v>805</v>
      </c>
      <c r="BL42" s="165" t="s">
        <v>805</v>
      </c>
      <c r="BM42" s="165" t="s">
        <v>805</v>
      </c>
      <c r="BN42" s="165" t="s">
        <v>805</v>
      </c>
      <c r="BO42" s="165" t="s">
        <v>805</v>
      </c>
      <c r="BP42" s="165" t="s">
        <v>805</v>
      </c>
      <c r="BQ42" s="165" t="s">
        <v>805</v>
      </c>
      <c r="BR42" s="165" t="s">
        <v>805</v>
      </c>
      <c r="BS42" s="165" t="s">
        <v>805</v>
      </c>
      <c r="BT42" s="165" t="s">
        <v>805</v>
      </c>
      <c r="BU42" s="165" t="s">
        <v>805</v>
      </c>
      <c r="BV42" s="165" t="s">
        <v>805</v>
      </c>
      <c r="BW42" s="165" t="s">
        <v>805</v>
      </c>
      <c r="BX42" s="165" t="s">
        <v>805</v>
      </c>
      <c r="BY42" s="165" t="s">
        <v>805</v>
      </c>
      <c r="BZ42" s="165" t="s">
        <v>805</v>
      </c>
      <c r="CA42" s="165" t="s">
        <v>805</v>
      </c>
      <c r="CB42" s="165" t="s">
        <v>805</v>
      </c>
      <c r="CC42" s="165" t="s">
        <v>805</v>
      </c>
      <c r="CD42" s="165" t="s">
        <v>805</v>
      </c>
      <c r="CE42" s="165" t="s">
        <v>805</v>
      </c>
      <c r="CF42" s="165" t="s">
        <v>805</v>
      </c>
      <c r="CG42" s="165" t="s">
        <v>805</v>
      </c>
      <c r="CH42" s="165" t="s">
        <v>805</v>
      </c>
      <c r="CI42" s="165" t="s">
        <v>805</v>
      </c>
      <c r="CJ42" s="165" t="s">
        <v>805</v>
      </c>
      <c r="CK42" s="165" t="s">
        <v>805</v>
      </c>
      <c r="CL42" s="165" t="s">
        <v>805</v>
      </c>
      <c r="CM42" s="165" t="s">
        <v>805</v>
      </c>
      <c r="CN42" s="165" t="s">
        <v>805</v>
      </c>
      <c r="CO42" s="165" t="s">
        <v>805</v>
      </c>
      <c r="CP42" s="165" t="s">
        <v>805</v>
      </c>
      <c r="CQ42" s="165" t="s">
        <v>805</v>
      </c>
      <c r="CR42" s="165" t="s">
        <v>805</v>
      </c>
      <c r="CS42" s="165" t="s">
        <v>805</v>
      </c>
      <c r="CT42" s="165" t="s">
        <v>805</v>
      </c>
      <c r="CU42" s="165" t="s">
        <v>805</v>
      </c>
      <c r="CV42" s="165" t="s">
        <v>805</v>
      </c>
      <c r="CW42" s="165" t="s">
        <v>805</v>
      </c>
      <c r="CX42" s="165" t="s">
        <v>805</v>
      </c>
      <c r="CY42" s="165" t="s">
        <v>805</v>
      </c>
      <c r="CZ42" s="165" t="s">
        <v>805</v>
      </c>
      <c r="DA42" s="165" t="s">
        <v>805</v>
      </c>
      <c r="DB42" s="165" t="s">
        <v>805</v>
      </c>
      <c r="DC42" s="165" t="s">
        <v>805</v>
      </c>
      <c r="DD42" s="165" t="s">
        <v>805</v>
      </c>
      <c r="DE42" s="165" t="s">
        <v>805</v>
      </c>
      <c r="DF42" s="165" t="s">
        <v>805</v>
      </c>
      <c r="DG42" s="125">
        <f>'KPI Count-SHARE'!J36</f>
        <v>0</v>
      </c>
      <c r="DH42" s="174"/>
      <c r="DI42" s="174"/>
      <c r="DJ42" s="174"/>
      <c r="DK42" s="125">
        <f>'KPI Count-SHARE'!K36</f>
        <v>0</v>
      </c>
      <c r="DL42" s="166"/>
      <c r="DM42" s="166"/>
      <c r="DN42" s="166"/>
      <c r="DO42" s="125">
        <f>'KPI Count-SHARE'!L36</f>
        <v>0</v>
      </c>
      <c r="DP42" s="166"/>
      <c r="DQ42" s="166"/>
      <c r="DR42" s="166"/>
      <c r="DS42" s="125">
        <f>'KPI Count-SHARE'!M36</f>
        <v>0</v>
      </c>
      <c r="DT42" s="166"/>
      <c r="DU42" s="166"/>
      <c r="DV42" s="166"/>
      <c r="DW42" s="167" t="str">
        <f t="shared" si="196"/>
        <v>FTE per USD '000</v>
      </c>
      <c r="DX42" s="39" t="str">
        <f t="shared" si="197"/>
        <v/>
      </c>
      <c r="DY42" s="39" t="str">
        <f t="shared" si="198"/>
        <v/>
      </c>
      <c r="DZ42" s="39" t="str">
        <f t="shared" si="199"/>
        <v/>
      </c>
      <c r="EA42" s="39" t="str">
        <f t="shared" si="200"/>
        <v/>
      </c>
      <c r="EB42" s="39" t="str">
        <f t="shared" si="201"/>
        <v/>
      </c>
      <c r="EC42" s="39" t="str">
        <f t="shared" si="202"/>
        <v/>
      </c>
      <c r="ED42" s="39" t="str">
        <f t="shared" si="203"/>
        <v/>
      </c>
      <c r="EE42" s="39" t="str">
        <f t="shared" si="204"/>
        <v/>
      </c>
      <c r="EF42" s="39" t="str">
        <f t="shared" si="205"/>
        <v/>
      </c>
      <c r="EG42" s="39" t="str">
        <f t="shared" si="206"/>
        <v/>
      </c>
      <c r="EH42" s="39" t="str">
        <f t="shared" si="207"/>
        <v/>
      </c>
      <c r="EI42" s="39" t="str">
        <f t="shared" si="208"/>
        <v/>
      </c>
      <c r="EJ42" s="39" t="str">
        <f t="shared" si="209"/>
        <v/>
      </c>
      <c r="EK42" s="39" t="str">
        <f t="shared" si="210"/>
        <v/>
      </c>
      <c r="EL42" s="39" t="str">
        <f t="shared" si="211"/>
        <v/>
      </c>
      <c r="EM42" s="39" t="str">
        <f t="shared" si="212"/>
        <v/>
      </c>
      <c r="EN42" s="39" t="str">
        <f t="shared" si="213"/>
        <v/>
      </c>
      <c r="EO42" s="39" t="str">
        <f t="shared" si="214"/>
        <v/>
      </c>
      <c r="EP42" s="39" t="str">
        <f t="shared" si="215"/>
        <v/>
      </c>
      <c r="EQ42" s="39" t="str">
        <f t="shared" si="216"/>
        <v/>
      </c>
      <c r="ER42" s="39" t="str">
        <f t="shared" si="217"/>
        <v/>
      </c>
      <c r="ES42" s="39" t="str">
        <f t="shared" si="218"/>
        <v/>
      </c>
      <c r="ET42" s="39" t="str">
        <f t="shared" si="219"/>
        <v/>
      </c>
      <c r="EU42" s="39" t="str">
        <f t="shared" si="220"/>
        <v/>
      </c>
      <c r="EV42" s="39" t="str">
        <f t="shared" si="221"/>
        <v/>
      </c>
      <c r="EW42" s="39" t="str">
        <f t="shared" si="222"/>
        <v/>
      </c>
      <c r="EX42" s="39" t="str">
        <f t="shared" si="223"/>
        <v/>
      </c>
      <c r="EY42" s="39" t="str">
        <f t="shared" si="224"/>
        <v/>
      </c>
      <c r="EZ42" s="39" t="str">
        <f t="shared" si="225"/>
        <v/>
      </c>
      <c r="FA42" s="39" t="str">
        <f t="shared" si="226"/>
        <v/>
      </c>
      <c r="FB42" s="39" t="str">
        <f t="shared" si="227"/>
        <v/>
      </c>
      <c r="FC42" s="39" t="str">
        <f t="shared" si="228"/>
        <v/>
      </c>
      <c r="FD42" s="39" t="str">
        <f t="shared" si="229"/>
        <v/>
      </c>
      <c r="FE42" s="39" t="str">
        <f t="shared" si="230"/>
        <v/>
      </c>
      <c r="FF42" s="39" t="str">
        <f t="shared" si="231"/>
        <v/>
      </c>
      <c r="FG42" s="39" t="str">
        <f t="shared" si="232"/>
        <v/>
      </c>
      <c r="FH42" s="39" t="str">
        <f t="shared" si="233"/>
        <v/>
      </c>
      <c r="FI42" s="39" t="str">
        <f t="shared" si="234"/>
        <v/>
      </c>
      <c r="FJ42" s="39" t="str">
        <f t="shared" si="235"/>
        <v/>
      </c>
      <c r="FK42" s="39" t="str">
        <f t="shared" si="236"/>
        <v/>
      </c>
      <c r="FL42" s="39" t="str">
        <f t="shared" si="237"/>
        <v/>
      </c>
      <c r="FM42" s="39" t="str">
        <f t="shared" si="238"/>
        <v/>
      </c>
      <c r="FN42" s="39" t="str">
        <f t="shared" si="239"/>
        <v/>
      </c>
      <c r="FO42" s="39" t="str">
        <f t="shared" si="240"/>
        <v/>
      </c>
      <c r="FP42" s="39" t="str">
        <f t="shared" si="241"/>
        <v/>
      </c>
      <c r="FQ42" s="39" t="str">
        <f t="shared" si="242"/>
        <v/>
      </c>
      <c r="FR42" s="39" t="str">
        <f t="shared" si="243"/>
        <v/>
      </c>
      <c r="FS42" s="39" t="str">
        <f t="shared" si="244"/>
        <v/>
      </c>
      <c r="FT42" s="39" t="str">
        <f t="shared" si="245"/>
        <v/>
      </c>
      <c r="FU42" s="39" t="str">
        <f t="shared" si="246"/>
        <v/>
      </c>
      <c r="FV42" s="39" t="str">
        <f t="shared" si="247"/>
        <v/>
      </c>
      <c r="FW42" s="39" t="str">
        <f t="shared" si="248"/>
        <v/>
      </c>
      <c r="FX42" s="39" t="str">
        <f t="shared" si="249"/>
        <v/>
      </c>
      <c r="FY42" s="39" t="str">
        <f t="shared" si="250"/>
        <v/>
      </c>
      <c r="FZ42" s="39" t="str">
        <f t="shared" si="251"/>
        <v/>
      </c>
      <c r="GA42" s="39" t="str">
        <f t="shared" si="252"/>
        <v/>
      </c>
      <c r="GB42" s="39" t="str">
        <f t="shared" si="253"/>
        <v/>
      </c>
      <c r="GC42" s="39" t="str">
        <f t="shared" si="254"/>
        <v/>
      </c>
      <c r="GD42" s="39" t="str">
        <f t="shared" si="255"/>
        <v/>
      </c>
      <c r="GE42" s="39" t="str">
        <f t="shared" si="256"/>
        <v/>
      </c>
      <c r="GF42" s="39" t="str">
        <f t="shared" si="257"/>
        <v/>
      </c>
      <c r="GG42" s="39" t="str">
        <f t="shared" si="258"/>
        <v/>
      </c>
      <c r="GH42" s="39" t="str">
        <f t="shared" si="259"/>
        <v/>
      </c>
      <c r="GI42" s="39" t="str">
        <f t="shared" si="260"/>
        <v/>
      </c>
      <c r="GJ42" s="39" t="str">
        <f t="shared" si="261"/>
        <v/>
      </c>
      <c r="GK42" s="39" t="str">
        <f t="shared" si="262"/>
        <v/>
      </c>
      <c r="GL42" s="39" t="str">
        <f t="shared" si="263"/>
        <v/>
      </c>
      <c r="GM42" s="39" t="str">
        <f t="shared" si="264"/>
        <v/>
      </c>
      <c r="GN42" s="39" t="str">
        <f t="shared" si="265"/>
        <v/>
      </c>
      <c r="GO42" s="39" t="str">
        <f t="shared" si="266"/>
        <v/>
      </c>
      <c r="GP42" s="39" t="str">
        <f t="shared" si="267"/>
        <v/>
      </c>
      <c r="GQ42" s="39" t="str">
        <f t="shared" si="268"/>
        <v/>
      </c>
      <c r="GR42" s="39" t="str">
        <f t="shared" si="269"/>
        <v/>
      </c>
      <c r="GS42" s="39" t="str">
        <f t="shared" si="270"/>
        <v/>
      </c>
      <c r="GT42" s="39" t="str">
        <f t="shared" si="271"/>
        <v/>
      </c>
      <c r="GU42" s="39" t="str">
        <f t="shared" si="272"/>
        <v/>
      </c>
      <c r="GV42" s="39" t="str">
        <f t="shared" si="273"/>
        <v/>
      </c>
      <c r="GW42" s="39" t="str">
        <f t="shared" si="274"/>
        <v/>
      </c>
      <c r="GX42" s="39" t="str">
        <f t="shared" si="275"/>
        <v/>
      </c>
      <c r="GY42" s="39" t="str">
        <f t="shared" si="276"/>
        <v/>
      </c>
      <c r="GZ42" s="39" t="str">
        <f t="shared" si="277"/>
        <v/>
      </c>
      <c r="HA42" s="39" t="str">
        <f t="shared" si="278"/>
        <v/>
      </c>
      <c r="HB42" s="39" t="str">
        <f t="shared" si="279"/>
        <v/>
      </c>
      <c r="HC42" s="39" t="str">
        <f t="shared" si="280"/>
        <v/>
      </c>
      <c r="HD42" s="39" t="str">
        <f t="shared" si="281"/>
        <v/>
      </c>
      <c r="HE42" s="39" t="str">
        <f t="shared" si="282"/>
        <v/>
      </c>
      <c r="HF42" s="39" t="str">
        <f t="shared" si="283"/>
        <v/>
      </c>
      <c r="HG42" s="39" t="str">
        <f t="shared" si="284"/>
        <v/>
      </c>
      <c r="HH42" s="39" t="str">
        <f t="shared" si="285"/>
        <v/>
      </c>
      <c r="HI42" s="39" t="str">
        <f t="shared" si="286"/>
        <v/>
      </c>
      <c r="HJ42" s="39" t="str">
        <f t="shared" si="287"/>
        <v/>
      </c>
      <c r="HK42" s="39" t="str">
        <f t="shared" si="288"/>
        <v/>
      </c>
      <c r="HL42" s="39" t="str">
        <f t="shared" si="289"/>
        <v/>
      </c>
      <c r="HM42" s="39" t="str">
        <f t="shared" si="290"/>
        <v/>
      </c>
      <c r="HN42" s="39" t="str">
        <f t="shared" si="291"/>
        <v/>
      </c>
      <c r="HO42" s="39" t="str">
        <f t="shared" si="292"/>
        <v/>
      </c>
      <c r="HP42" s="39" t="str">
        <f t="shared" si="293"/>
        <v/>
      </c>
      <c r="HQ42" s="39" t="str">
        <f t="shared" si="294"/>
        <v/>
      </c>
      <c r="HR42" s="39" t="str">
        <f t="shared" si="295"/>
        <v/>
      </c>
      <c r="HS42" s="39" t="str">
        <f t="shared" si="296"/>
        <v/>
      </c>
      <c r="HT42" s="39" t="str">
        <f t="shared" si="297"/>
        <v/>
      </c>
      <c r="HU42" s="168" t="str">
        <f t="shared" si="298"/>
        <v>-</v>
      </c>
      <c r="HV42" s="169" t="str">
        <f t="shared" si="299"/>
        <v/>
      </c>
      <c r="HW42" s="170" t="str">
        <f t="shared" si="300"/>
        <v/>
      </c>
      <c r="HX42" s="169" t="str">
        <f t="shared" si="301"/>
        <v/>
      </c>
      <c r="HY42" s="169" t="str">
        <f t="shared" si="302"/>
        <v/>
      </c>
      <c r="HZ42" s="169" t="str">
        <f t="shared" si="303"/>
        <v/>
      </c>
      <c r="IA42" s="168" t="str">
        <f t="shared" si="304"/>
        <v/>
      </c>
      <c r="IB42" s="169" t="str">
        <f t="shared" si="305"/>
        <v/>
      </c>
      <c r="IC42" s="170" t="str">
        <f t="shared" si="306"/>
        <v/>
      </c>
      <c r="ID42" s="168" t="str">
        <f t="shared" si="307"/>
        <v/>
      </c>
      <c r="IE42" s="169" t="str">
        <f t="shared" si="308"/>
        <v/>
      </c>
      <c r="IF42" s="170" t="str">
        <f t="shared" si="309"/>
        <v/>
      </c>
      <c r="IH42" s="171">
        <v>42</v>
      </c>
      <c r="II42" s="171" t="e">
        <f t="shared" ca="1" si="192"/>
        <v>#N/A</v>
      </c>
      <c r="IJ42" s="171" t="e">
        <f t="shared" ca="1" si="193"/>
        <v>#N/A</v>
      </c>
      <c r="IK42" s="171" t="e">
        <f t="shared" ca="1" si="194"/>
        <v>#N/A</v>
      </c>
      <c r="IL42" s="171" t="e">
        <f t="shared" ca="1" si="195"/>
        <v>#N/A</v>
      </c>
      <c r="IM42" s="162"/>
      <c r="IN42" s="165" t="e">
        <f t="shared" ca="1" si="184"/>
        <v>#N/A</v>
      </c>
      <c r="IO42" s="172" t="e">
        <f t="shared" ca="1" si="185"/>
        <v>#N/A</v>
      </c>
      <c r="IP42" s="172" t="e">
        <f t="shared" ca="1" si="186"/>
        <v>#N/A</v>
      </c>
      <c r="IQ42" s="165" t="e">
        <f t="shared" ca="1" si="187"/>
        <v>#N/A</v>
      </c>
      <c r="IR42" s="173" t="e">
        <f t="shared" ca="1" si="188"/>
        <v>#N/A</v>
      </c>
    </row>
    <row r="43" spans="1:252" s="163" customFormat="1" x14ac:dyDescent="0.35">
      <c r="A43" s="162">
        <v>0</v>
      </c>
      <c r="B43" s="162">
        <v>0</v>
      </c>
      <c r="C43" s="162">
        <v>1</v>
      </c>
      <c r="E43" s="3"/>
      <c r="F43" s="2" t="s">
        <v>307</v>
      </c>
      <c r="G43" s="164" t="s">
        <v>540</v>
      </c>
      <c r="H43" s="3" t="s">
        <v>543</v>
      </c>
      <c r="I43" s="8" t="s">
        <v>555</v>
      </c>
      <c r="J43" s="276" t="s">
        <v>805</v>
      </c>
      <c r="K43" s="165" t="s">
        <v>805</v>
      </c>
      <c r="L43" s="165" t="s">
        <v>805</v>
      </c>
      <c r="M43" s="165" t="s">
        <v>805</v>
      </c>
      <c r="N43" s="165" t="s">
        <v>805</v>
      </c>
      <c r="O43" s="165" t="s">
        <v>805</v>
      </c>
      <c r="P43" s="165" t="s">
        <v>805</v>
      </c>
      <c r="Q43" s="165" t="s">
        <v>805</v>
      </c>
      <c r="R43" s="165" t="s">
        <v>805</v>
      </c>
      <c r="S43" s="165" t="s">
        <v>805</v>
      </c>
      <c r="T43" s="165" t="s">
        <v>805</v>
      </c>
      <c r="U43" s="165" t="s">
        <v>805</v>
      </c>
      <c r="V43" s="165" t="s">
        <v>805</v>
      </c>
      <c r="W43" s="165" t="s">
        <v>805</v>
      </c>
      <c r="X43" s="165" t="s">
        <v>805</v>
      </c>
      <c r="Y43" s="165" t="s">
        <v>805</v>
      </c>
      <c r="Z43" s="165" t="s">
        <v>805</v>
      </c>
      <c r="AA43" s="165" t="s">
        <v>805</v>
      </c>
      <c r="AB43" s="165" t="s">
        <v>805</v>
      </c>
      <c r="AC43" s="165" t="s">
        <v>805</v>
      </c>
      <c r="AD43" s="165" t="s">
        <v>805</v>
      </c>
      <c r="AE43" s="165" t="s">
        <v>805</v>
      </c>
      <c r="AF43" s="165" t="s">
        <v>805</v>
      </c>
      <c r="AG43" s="165" t="s">
        <v>805</v>
      </c>
      <c r="AH43" s="165" t="s">
        <v>805</v>
      </c>
      <c r="AI43" s="165" t="s">
        <v>805</v>
      </c>
      <c r="AJ43" s="165" t="s">
        <v>805</v>
      </c>
      <c r="AK43" s="165" t="s">
        <v>805</v>
      </c>
      <c r="AL43" s="165" t="s">
        <v>805</v>
      </c>
      <c r="AM43" s="165" t="s">
        <v>805</v>
      </c>
      <c r="AN43" s="165" t="s">
        <v>805</v>
      </c>
      <c r="AO43" s="165" t="s">
        <v>805</v>
      </c>
      <c r="AP43" s="165" t="s">
        <v>805</v>
      </c>
      <c r="AQ43" s="165" t="s">
        <v>805</v>
      </c>
      <c r="AR43" s="165" t="s">
        <v>805</v>
      </c>
      <c r="AS43" s="165" t="s">
        <v>805</v>
      </c>
      <c r="AT43" s="165" t="s">
        <v>805</v>
      </c>
      <c r="AU43" s="165" t="s">
        <v>805</v>
      </c>
      <c r="AV43" s="165" t="s">
        <v>805</v>
      </c>
      <c r="AW43" s="165" t="s">
        <v>805</v>
      </c>
      <c r="AX43" s="165" t="s">
        <v>805</v>
      </c>
      <c r="AY43" s="165" t="s">
        <v>805</v>
      </c>
      <c r="AZ43" s="165" t="s">
        <v>805</v>
      </c>
      <c r="BA43" s="165" t="s">
        <v>805</v>
      </c>
      <c r="BB43" s="165" t="s">
        <v>805</v>
      </c>
      <c r="BC43" s="165" t="s">
        <v>805</v>
      </c>
      <c r="BD43" s="165" t="s">
        <v>805</v>
      </c>
      <c r="BE43" s="165" t="s">
        <v>805</v>
      </c>
      <c r="BF43" s="165" t="s">
        <v>805</v>
      </c>
      <c r="BG43" s="165" t="s">
        <v>805</v>
      </c>
      <c r="BH43" s="165" t="s">
        <v>805</v>
      </c>
      <c r="BI43" s="165" t="s">
        <v>805</v>
      </c>
      <c r="BJ43" s="165" t="s">
        <v>805</v>
      </c>
      <c r="BK43" s="165" t="s">
        <v>805</v>
      </c>
      <c r="BL43" s="165" t="s">
        <v>805</v>
      </c>
      <c r="BM43" s="165" t="s">
        <v>805</v>
      </c>
      <c r="BN43" s="165" t="s">
        <v>805</v>
      </c>
      <c r="BO43" s="165" t="s">
        <v>805</v>
      </c>
      <c r="BP43" s="165" t="s">
        <v>805</v>
      </c>
      <c r="BQ43" s="165" t="s">
        <v>805</v>
      </c>
      <c r="BR43" s="165" t="s">
        <v>805</v>
      </c>
      <c r="BS43" s="165" t="s">
        <v>805</v>
      </c>
      <c r="BT43" s="165" t="s">
        <v>805</v>
      </c>
      <c r="BU43" s="165" t="s">
        <v>805</v>
      </c>
      <c r="BV43" s="165" t="s">
        <v>805</v>
      </c>
      <c r="BW43" s="165" t="s">
        <v>805</v>
      </c>
      <c r="BX43" s="165" t="s">
        <v>805</v>
      </c>
      <c r="BY43" s="165" t="s">
        <v>805</v>
      </c>
      <c r="BZ43" s="165" t="s">
        <v>805</v>
      </c>
      <c r="CA43" s="165" t="s">
        <v>805</v>
      </c>
      <c r="CB43" s="165" t="s">
        <v>805</v>
      </c>
      <c r="CC43" s="165" t="s">
        <v>805</v>
      </c>
      <c r="CD43" s="165" t="s">
        <v>805</v>
      </c>
      <c r="CE43" s="165" t="s">
        <v>805</v>
      </c>
      <c r="CF43" s="165" t="s">
        <v>805</v>
      </c>
      <c r="CG43" s="165" t="s">
        <v>805</v>
      </c>
      <c r="CH43" s="165" t="s">
        <v>805</v>
      </c>
      <c r="CI43" s="165" t="s">
        <v>805</v>
      </c>
      <c r="CJ43" s="165" t="s">
        <v>805</v>
      </c>
      <c r="CK43" s="165" t="s">
        <v>805</v>
      </c>
      <c r="CL43" s="165" t="s">
        <v>805</v>
      </c>
      <c r="CM43" s="165" t="s">
        <v>805</v>
      </c>
      <c r="CN43" s="165" t="s">
        <v>805</v>
      </c>
      <c r="CO43" s="165" t="s">
        <v>805</v>
      </c>
      <c r="CP43" s="165" t="s">
        <v>805</v>
      </c>
      <c r="CQ43" s="165" t="s">
        <v>805</v>
      </c>
      <c r="CR43" s="165" t="s">
        <v>805</v>
      </c>
      <c r="CS43" s="165" t="s">
        <v>805</v>
      </c>
      <c r="CT43" s="165" t="s">
        <v>805</v>
      </c>
      <c r="CU43" s="165" t="s">
        <v>805</v>
      </c>
      <c r="CV43" s="165" t="s">
        <v>805</v>
      </c>
      <c r="CW43" s="165" t="s">
        <v>805</v>
      </c>
      <c r="CX43" s="165" t="s">
        <v>805</v>
      </c>
      <c r="CY43" s="165" t="s">
        <v>805</v>
      </c>
      <c r="CZ43" s="165" t="s">
        <v>805</v>
      </c>
      <c r="DA43" s="165" t="s">
        <v>805</v>
      </c>
      <c r="DB43" s="165" t="s">
        <v>805</v>
      </c>
      <c r="DC43" s="165" t="s">
        <v>805</v>
      </c>
      <c r="DD43" s="165" t="s">
        <v>805</v>
      </c>
      <c r="DE43" s="165" t="s">
        <v>805</v>
      </c>
      <c r="DF43" s="165" t="s">
        <v>805</v>
      </c>
      <c r="DG43" s="125">
        <f>'KPI Count-SHARE'!J37</f>
        <v>0</v>
      </c>
      <c r="DH43" s="174"/>
      <c r="DI43" s="174"/>
      <c r="DJ43" s="174"/>
      <c r="DK43" s="125">
        <f>'KPI Count-SHARE'!K37</f>
        <v>0</v>
      </c>
      <c r="DL43" s="166"/>
      <c r="DM43" s="166"/>
      <c r="DN43" s="166"/>
      <c r="DO43" s="125">
        <f>'KPI Count-SHARE'!L37</f>
        <v>0</v>
      </c>
      <c r="DP43" s="166"/>
      <c r="DQ43" s="166"/>
      <c r="DR43" s="166"/>
      <c r="DS43" s="125">
        <f>'KPI Count-SHARE'!M37</f>
        <v>0</v>
      </c>
      <c r="DT43" s="166"/>
      <c r="DU43" s="166"/>
      <c r="DV43" s="166"/>
      <c r="DW43" s="167" t="str">
        <f t="shared" si="196"/>
        <v>FTE per USD '000</v>
      </c>
      <c r="DX43" s="39" t="str">
        <f t="shared" si="197"/>
        <v/>
      </c>
      <c r="DY43" s="39" t="str">
        <f t="shared" si="198"/>
        <v/>
      </c>
      <c r="DZ43" s="39" t="str">
        <f t="shared" si="199"/>
        <v/>
      </c>
      <c r="EA43" s="39" t="str">
        <f t="shared" si="200"/>
        <v/>
      </c>
      <c r="EB43" s="39" t="str">
        <f t="shared" si="201"/>
        <v/>
      </c>
      <c r="EC43" s="39" t="str">
        <f t="shared" si="202"/>
        <v/>
      </c>
      <c r="ED43" s="39" t="str">
        <f t="shared" si="203"/>
        <v/>
      </c>
      <c r="EE43" s="39" t="str">
        <f t="shared" si="204"/>
        <v/>
      </c>
      <c r="EF43" s="39" t="str">
        <f t="shared" si="205"/>
        <v/>
      </c>
      <c r="EG43" s="39" t="str">
        <f t="shared" si="206"/>
        <v/>
      </c>
      <c r="EH43" s="39" t="str">
        <f t="shared" si="207"/>
        <v/>
      </c>
      <c r="EI43" s="39" t="str">
        <f t="shared" si="208"/>
        <v/>
      </c>
      <c r="EJ43" s="39" t="str">
        <f t="shared" si="209"/>
        <v/>
      </c>
      <c r="EK43" s="39" t="str">
        <f t="shared" si="210"/>
        <v/>
      </c>
      <c r="EL43" s="39" t="str">
        <f t="shared" si="211"/>
        <v/>
      </c>
      <c r="EM43" s="39" t="str">
        <f t="shared" si="212"/>
        <v/>
      </c>
      <c r="EN43" s="39" t="str">
        <f t="shared" si="213"/>
        <v/>
      </c>
      <c r="EO43" s="39" t="str">
        <f t="shared" si="214"/>
        <v/>
      </c>
      <c r="EP43" s="39" t="str">
        <f t="shared" si="215"/>
        <v/>
      </c>
      <c r="EQ43" s="39" t="str">
        <f t="shared" si="216"/>
        <v/>
      </c>
      <c r="ER43" s="39" t="str">
        <f t="shared" si="217"/>
        <v/>
      </c>
      <c r="ES43" s="39" t="str">
        <f t="shared" si="218"/>
        <v/>
      </c>
      <c r="ET43" s="39" t="str">
        <f t="shared" si="219"/>
        <v/>
      </c>
      <c r="EU43" s="39" t="str">
        <f t="shared" si="220"/>
        <v/>
      </c>
      <c r="EV43" s="39" t="str">
        <f t="shared" si="221"/>
        <v/>
      </c>
      <c r="EW43" s="39" t="str">
        <f t="shared" si="222"/>
        <v/>
      </c>
      <c r="EX43" s="39" t="str">
        <f t="shared" si="223"/>
        <v/>
      </c>
      <c r="EY43" s="39" t="str">
        <f t="shared" si="224"/>
        <v/>
      </c>
      <c r="EZ43" s="39" t="str">
        <f t="shared" si="225"/>
        <v/>
      </c>
      <c r="FA43" s="39" t="str">
        <f t="shared" si="226"/>
        <v/>
      </c>
      <c r="FB43" s="39" t="str">
        <f t="shared" si="227"/>
        <v/>
      </c>
      <c r="FC43" s="39" t="str">
        <f t="shared" si="228"/>
        <v/>
      </c>
      <c r="FD43" s="39" t="str">
        <f t="shared" si="229"/>
        <v/>
      </c>
      <c r="FE43" s="39" t="str">
        <f t="shared" si="230"/>
        <v/>
      </c>
      <c r="FF43" s="39" t="str">
        <f t="shared" si="231"/>
        <v/>
      </c>
      <c r="FG43" s="39" t="str">
        <f t="shared" si="232"/>
        <v/>
      </c>
      <c r="FH43" s="39" t="str">
        <f t="shared" si="233"/>
        <v/>
      </c>
      <c r="FI43" s="39" t="str">
        <f t="shared" si="234"/>
        <v/>
      </c>
      <c r="FJ43" s="39" t="str">
        <f t="shared" si="235"/>
        <v/>
      </c>
      <c r="FK43" s="39" t="str">
        <f t="shared" si="236"/>
        <v/>
      </c>
      <c r="FL43" s="39" t="str">
        <f t="shared" si="237"/>
        <v/>
      </c>
      <c r="FM43" s="39" t="str">
        <f t="shared" si="238"/>
        <v/>
      </c>
      <c r="FN43" s="39" t="str">
        <f t="shared" si="239"/>
        <v/>
      </c>
      <c r="FO43" s="39" t="str">
        <f t="shared" si="240"/>
        <v/>
      </c>
      <c r="FP43" s="39" t="str">
        <f t="shared" si="241"/>
        <v/>
      </c>
      <c r="FQ43" s="39" t="str">
        <f t="shared" si="242"/>
        <v/>
      </c>
      <c r="FR43" s="39" t="str">
        <f t="shared" si="243"/>
        <v/>
      </c>
      <c r="FS43" s="39" t="str">
        <f t="shared" si="244"/>
        <v/>
      </c>
      <c r="FT43" s="39" t="str">
        <f t="shared" si="245"/>
        <v/>
      </c>
      <c r="FU43" s="39" t="str">
        <f t="shared" si="246"/>
        <v/>
      </c>
      <c r="FV43" s="39" t="str">
        <f t="shared" si="247"/>
        <v/>
      </c>
      <c r="FW43" s="39" t="str">
        <f t="shared" si="248"/>
        <v/>
      </c>
      <c r="FX43" s="39" t="str">
        <f t="shared" si="249"/>
        <v/>
      </c>
      <c r="FY43" s="39" t="str">
        <f t="shared" si="250"/>
        <v/>
      </c>
      <c r="FZ43" s="39" t="str">
        <f t="shared" si="251"/>
        <v/>
      </c>
      <c r="GA43" s="39" t="str">
        <f t="shared" si="252"/>
        <v/>
      </c>
      <c r="GB43" s="39" t="str">
        <f t="shared" si="253"/>
        <v/>
      </c>
      <c r="GC43" s="39" t="str">
        <f t="shared" si="254"/>
        <v/>
      </c>
      <c r="GD43" s="39" t="str">
        <f t="shared" si="255"/>
        <v/>
      </c>
      <c r="GE43" s="39" t="str">
        <f t="shared" si="256"/>
        <v/>
      </c>
      <c r="GF43" s="39" t="str">
        <f t="shared" si="257"/>
        <v/>
      </c>
      <c r="GG43" s="39" t="str">
        <f t="shared" si="258"/>
        <v/>
      </c>
      <c r="GH43" s="39" t="str">
        <f t="shared" si="259"/>
        <v/>
      </c>
      <c r="GI43" s="39" t="str">
        <f t="shared" si="260"/>
        <v/>
      </c>
      <c r="GJ43" s="39" t="str">
        <f t="shared" si="261"/>
        <v/>
      </c>
      <c r="GK43" s="39" t="str">
        <f t="shared" si="262"/>
        <v/>
      </c>
      <c r="GL43" s="39" t="str">
        <f t="shared" si="263"/>
        <v/>
      </c>
      <c r="GM43" s="39" t="str">
        <f t="shared" si="264"/>
        <v/>
      </c>
      <c r="GN43" s="39" t="str">
        <f t="shared" si="265"/>
        <v/>
      </c>
      <c r="GO43" s="39" t="str">
        <f t="shared" si="266"/>
        <v/>
      </c>
      <c r="GP43" s="39" t="str">
        <f t="shared" si="267"/>
        <v/>
      </c>
      <c r="GQ43" s="39" t="str">
        <f t="shared" si="268"/>
        <v/>
      </c>
      <c r="GR43" s="39" t="str">
        <f t="shared" si="269"/>
        <v/>
      </c>
      <c r="GS43" s="39" t="str">
        <f t="shared" si="270"/>
        <v/>
      </c>
      <c r="GT43" s="39" t="str">
        <f t="shared" si="271"/>
        <v/>
      </c>
      <c r="GU43" s="39" t="str">
        <f t="shared" si="272"/>
        <v/>
      </c>
      <c r="GV43" s="39" t="str">
        <f t="shared" si="273"/>
        <v/>
      </c>
      <c r="GW43" s="39" t="str">
        <f t="shared" si="274"/>
        <v/>
      </c>
      <c r="GX43" s="39" t="str">
        <f t="shared" si="275"/>
        <v/>
      </c>
      <c r="GY43" s="39" t="str">
        <f t="shared" si="276"/>
        <v/>
      </c>
      <c r="GZ43" s="39" t="str">
        <f t="shared" si="277"/>
        <v/>
      </c>
      <c r="HA43" s="39" t="str">
        <f t="shared" si="278"/>
        <v/>
      </c>
      <c r="HB43" s="39" t="str">
        <f t="shared" si="279"/>
        <v/>
      </c>
      <c r="HC43" s="39" t="str">
        <f t="shared" si="280"/>
        <v/>
      </c>
      <c r="HD43" s="39" t="str">
        <f t="shared" si="281"/>
        <v/>
      </c>
      <c r="HE43" s="39" t="str">
        <f t="shared" si="282"/>
        <v/>
      </c>
      <c r="HF43" s="39" t="str">
        <f t="shared" si="283"/>
        <v/>
      </c>
      <c r="HG43" s="39" t="str">
        <f t="shared" si="284"/>
        <v/>
      </c>
      <c r="HH43" s="39" t="str">
        <f t="shared" si="285"/>
        <v/>
      </c>
      <c r="HI43" s="39" t="str">
        <f t="shared" si="286"/>
        <v/>
      </c>
      <c r="HJ43" s="39" t="str">
        <f t="shared" si="287"/>
        <v/>
      </c>
      <c r="HK43" s="39" t="str">
        <f t="shared" si="288"/>
        <v/>
      </c>
      <c r="HL43" s="39" t="str">
        <f t="shared" si="289"/>
        <v/>
      </c>
      <c r="HM43" s="39" t="str">
        <f t="shared" si="290"/>
        <v/>
      </c>
      <c r="HN43" s="39" t="str">
        <f t="shared" si="291"/>
        <v/>
      </c>
      <c r="HO43" s="39" t="str">
        <f t="shared" si="292"/>
        <v/>
      </c>
      <c r="HP43" s="39" t="str">
        <f t="shared" si="293"/>
        <v/>
      </c>
      <c r="HQ43" s="39" t="str">
        <f t="shared" si="294"/>
        <v/>
      </c>
      <c r="HR43" s="39" t="str">
        <f t="shared" si="295"/>
        <v/>
      </c>
      <c r="HS43" s="39" t="str">
        <f t="shared" si="296"/>
        <v/>
      </c>
      <c r="HT43" s="39" t="str">
        <f t="shared" si="297"/>
        <v/>
      </c>
      <c r="HU43" s="168" t="str">
        <f t="shared" si="298"/>
        <v>-</v>
      </c>
      <c r="HV43" s="169" t="str">
        <f t="shared" si="299"/>
        <v/>
      </c>
      <c r="HW43" s="170" t="str">
        <f t="shared" si="300"/>
        <v/>
      </c>
      <c r="HX43" s="169" t="str">
        <f t="shared" si="301"/>
        <v/>
      </c>
      <c r="HY43" s="169" t="str">
        <f t="shared" si="302"/>
        <v/>
      </c>
      <c r="HZ43" s="169" t="str">
        <f t="shared" si="303"/>
        <v/>
      </c>
      <c r="IA43" s="168" t="str">
        <f t="shared" si="304"/>
        <v/>
      </c>
      <c r="IB43" s="169" t="str">
        <f t="shared" si="305"/>
        <v/>
      </c>
      <c r="IC43" s="170" t="str">
        <f t="shared" si="306"/>
        <v/>
      </c>
      <c r="ID43" s="168" t="str">
        <f t="shared" si="307"/>
        <v/>
      </c>
      <c r="IE43" s="169" t="str">
        <f t="shared" si="308"/>
        <v/>
      </c>
      <c r="IF43" s="170" t="str">
        <f t="shared" si="309"/>
        <v/>
      </c>
      <c r="IH43" s="171">
        <v>43</v>
      </c>
      <c r="II43" s="171" t="e">
        <f t="shared" ca="1" si="192"/>
        <v>#N/A</v>
      </c>
      <c r="IJ43" s="171" t="e">
        <f t="shared" ca="1" si="193"/>
        <v>#N/A</v>
      </c>
      <c r="IK43" s="171" t="e">
        <f t="shared" ca="1" si="194"/>
        <v>#N/A</v>
      </c>
      <c r="IL43" s="171" t="e">
        <f t="shared" ca="1" si="195"/>
        <v>#N/A</v>
      </c>
      <c r="IM43" s="162"/>
      <c r="IN43" s="165" t="e">
        <f t="shared" ca="1" si="184"/>
        <v>#N/A</v>
      </c>
      <c r="IO43" s="172" t="e">
        <f t="shared" ca="1" si="185"/>
        <v>#N/A</v>
      </c>
      <c r="IP43" s="172" t="e">
        <f t="shared" ca="1" si="186"/>
        <v>#N/A</v>
      </c>
      <c r="IQ43" s="165" t="e">
        <f t="shared" ca="1" si="187"/>
        <v>#N/A</v>
      </c>
      <c r="IR43" s="173" t="e">
        <f t="shared" ca="1" si="188"/>
        <v>#N/A</v>
      </c>
    </row>
    <row r="44" spans="1:252" s="163" customFormat="1" x14ac:dyDescent="0.35">
      <c r="A44" s="162">
        <v>0</v>
      </c>
      <c r="B44" s="162">
        <v>1</v>
      </c>
      <c r="C44" s="162">
        <v>1</v>
      </c>
      <c r="E44" s="3"/>
      <c r="F44" s="2" t="s">
        <v>308</v>
      </c>
      <c r="G44" s="164" t="s">
        <v>540</v>
      </c>
      <c r="H44" s="3" t="s">
        <v>543</v>
      </c>
      <c r="I44" s="8" t="s">
        <v>555</v>
      </c>
      <c r="J44" s="276" t="s">
        <v>805</v>
      </c>
      <c r="K44" s="165" t="s">
        <v>805</v>
      </c>
      <c r="L44" s="165" t="s">
        <v>805</v>
      </c>
      <c r="M44" s="165" t="s">
        <v>805</v>
      </c>
      <c r="N44" s="165" t="s">
        <v>805</v>
      </c>
      <c r="O44" s="165" t="s">
        <v>805</v>
      </c>
      <c r="P44" s="165" t="s">
        <v>805</v>
      </c>
      <c r="Q44" s="165" t="s">
        <v>805</v>
      </c>
      <c r="R44" s="165" t="s">
        <v>805</v>
      </c>
      <c r="S44" s="165" t="s">
        <v>805</v>
      </c>
      <c r="T44" s="165" t="s">
        <v>805</v>
      </c>
      <c r="U44" s="165" t="s">
        <v>805</v>
      </c>
      <c r="V44" s="165" t="s">
        <v>805</v>
      </c>
      <c r="W44" s="165" t="s">
        <v>805</v>
      </c>
      <c r="X44" s="165" t="s">
        <v>805</v>
      </c>
      <c r="Y44" s="165" t="s">
        <v>805</v>
      </c>
      <c r="Z44" s="165" t="s">
        <v>805</v>
      </c>
      <c r="AA44" s="165" t="s">
        <v>805</v>
      </c>
      <c r="AB44" s="165" t="s">
        <v>805</v>
      </c>
      <c r="AC44" s="165" t="s">
        <v>805</v>
      </c>
      <c r="AD44" s="165" t="s">
        <v>805</v>
      </c>
      <c r="AE44" s="165" t="s">
        <v>805</v>
      </c>
      <c r="AF44" s="165" t="s">
        <v>805</v>
      </c>
      <c r="AG44" s="165" t="s">
        <v>805</v>
      </c>
      <c r="AH44" s="165" t="s">
        <v>805</v>
      </c>
      <c r="AI44" s="165" t="s">
        <v>805</v>
      </c>
      <c r="AJ44" s="165" t="s">
        <v>805</v>
      </c>
      <c r="AK44" s="165" t="s">
        <v>805</v>
      </c>
      <c r="AL44" s="165" t="s">
        <v>805</v>
      </c>
      <c r="AM44" s="165" t="s">
        <v>805</v>
      </c>
      <c r="AN44" s="165" t="s">
        <v>805</v>
      </c>
      <c r="AO44" s="165" t="s">
        <v>805</v>
      </c>
      <c r="AP44" s="165" t="s">
        <v>805</v>
      </c>
      <c r="AQ44" s="165" t="s">
        <v>805</v>
      </c>
      <c r="AR44" s="165" t="s">
        <v>805</v>
      </c>
      <c r="AS44" s="165" t="s">
        <v>805</v>
      </c>
      <c r="AT44" s="165" t="s">
        <v>805</v>
      </c>
      <c r="AU44" s="165" t="s">
        <v>805</v>
      </c>
      <c r="AV44" s="165" t="s">
        <v>805</v>
      </c>
      <c r="AW44" s="165" t="s">
        <v>805</v>
      </c>
      <c r="AX44" s="165" t="s">
        <v>805</v>
      </c>
      <c r="AY44" s="165" t="s">
        <v>805</v>
      </c>
      <c r="AZ44" s="165" t="s">
        <v>805</v>
      </c>
      <c r="BA44" s="165" t="s">
        <v>805</v>
      </c>
      <c r="BB44" s="165" t="s">
        <v>805</v>
      </c>
      <c r="BC44" s="165" t="s">
        <v>805</v>
      </c>
      <c r="BD44" s="165" t="s">
        <v>805</v>
      </c>
      <c r="BE44" s="165" t="s">
        <v>805</v>
      </c>
      <c r="BF44" s="165" t="s">
        <v>805</v>
      </c>
      <c r="BG44" s="165" t="s">
        <v>805</v>
      </c>
      <c r="BH44" s="165" t="s">
        <v>805</v>
      </c>
      <c r="BI44" s="165" t="s">
        <v>805</v>
      </c>
      <c r="BJ44" s="165" t="s">
        <v>805</v>
      </c>
      <c r="BK44" s="165" t="s">
        <v>805</v>
      </c>
      <c r="BL44" s="165" t="s">
        <v>805</v>
      </c>
      <c r="BM44" s="165" t="s">
        <v>805</v>
      </c>
      <c r="BN44" s="165" t="s">
        <v>805</v>
      </c>
      <c r="BO44" s="165" t="s">
        <v>805</v>
      </c>
      <c r="BP44" s="165" t="s">
        <v>805</v>
      </c>
      <c r="BQ44" s="165" t="s">
        <v>805</v>
      </c>
      <c r="BR44" s="165" t="s">
        <v>805</v>
      </c>
      <c r="BS44" s="165" t="s">
        <v>805</v>
      </c>
      <c r="BT44" s="165" t="s">
        <v>805</v>
      </c>
      <c r="BU44" s="165" t="s">
        <v>805</v>
      </c>
      <c r="BV44" s="165" t="s">
        <v>805</v>
      </c>
      <c r="BW44" s="165" t="s">
        <v>805</v>
      </c>
      <c r="BX44" s="165" t="s">
        <v>805</v>
      </c>
      <c r="BY44" s="165" t="s">
        <v>805</v>
      </c>
      <c r="BZ44" s="165" t="s">
        <v>805</v>
      </c>
      <c r="CA44" s="165" t="s">
        <v>805</v>
      </c>
      <c r="CB44" s="165" t="s">
        <v>805</v>
      </c>
      <c r="CC44" s="165" t="s">
        <v>805</v>
      </c>
      <c r="CD44" s="165" t="s">
        <v>805</v>
      </c>
      <c r="CE44" s="165" t="s">
        <v>805</v>
      </c>
      <c r="CF44" s="165" t="s">
        <v>805</v>
      </c>
      <c r="CG44" s="165" t="s">
        <v>805</v>
      </c>
      <c r="CH44" s="165" t="s">
        <v>805</v>
      </c>
      <c r="CI44" s="165" t="s">
        <v>805</v>
      </c>
      <c r="CJ44" s="165" t="s">
        <v>805</v>
      </c>
      <c r="CK44" s="165" t="s">
        <v>805</v>
      </c>
      <c r="CL44" s="165" t="s">
        <v>805</v>
      </c>
      <c r="CM44" s="165" t="s">
        <v>805</v>
      </c>
      <c r="CN44" s="165" t="s">
        <v>805</v>
      </c>
      <c r="CO44" s="165" t="s">
        <v>805</v>
      </c>
      <c r="CP44" s="165" t="s">
        <v>805</v>
      </c>
      <c r="CQ44" s="165" t="s">
        <v>805</v>
      </c>
      <c r="CR44" s="165" t="s">
        <v>805</v>
      </c>
      <c r="CS44" s="165" t="s">
        <v>805</v>
      </c>
      <c r="CT44" s="165" t="s">
        <v>805</v>
      </c>
      <c r="CU44" s="165" t="s">
        <v>805</v>
      </c>
      <c r="CV44" s="165" t="s">
        <v>805</v>
      </c>
      <c r="CW44" s="165" t="s">
        <v>805</v>
      </c>
      <c r="CX44" s="165" t="s">
        <v>805</v>
      </c>
      <c r="CY44" s="165" t="s">
        <v>805</v>
      </c>
      <c r="CZ44" s="165" t="s">
        <v>805</v>
      </c>
      <c r="DA44" s="165" t="s">
        <v>805</v>
      </c>
      <c r="DB44" s="165" t="s">
        <v>805</v>
      </c>
      <c r="DC44" s="165" t="s">
        <v>805</v>
      </c>
      <c r="DD44" s="165" t="s">
        <v>805</v>
      </c>
      <c r="DE44" s="165" t="s">
        <v>805</v>
      </c>
      <c r="DF44" s="165" t="s">
        <v>805</v>
      </c>
      <c r="DG44" s="125">
        <f>'KPI Count-SHARE'!J38</f>
        <v>0</v>
      </c>
      <c r="DH44" s="174"/>
      <c r="DI44" s="174"/>
      <c r="DJ44" s="174"/>
      <c r="DK44" s="125">
        <f>'KPI Count-SHARE'!K38</f>
        <v>0</v>
      </c>
      <c r="DL44" s="166"/>
      <c r="DM44" s="166"/>
      <c r="DN44" s="166"/>
      <c r="DO44" s="125">
        <f>'KPI Count-SHARE'!L38</f>
        <v>0</v>
      </c>
      <c r="DP44" s="166"/>
      <c r="DQ44" s="166"/>
      <c r="DR44" s="166"/>
      <c r="DS44" s="125">
        <f>'KPI Count-SHARE'!M38</f>
        <v>0</v>
      </c>
      <c r="DT44" s="166"/>
      <c r="DU44" s="166"/>
      <c r="DV44" s="166"/>
      <c r="DW44" s="167" t="str">
        <f t="shared" si="196"/>
        <v>FTE per USD '000</v>
      </c>
      <c r="DX44" s="39" t="str">
        <f t="shared" si="197"/>
        <v/>
      </c>
      <c r="DY44" s="39" t="str">
        <f t="shared" si="198"/>
        <v/>
      </c>
      <c r="DZ44" s="39" t="str">
        <f t="shared" si="199"/>
        <v/>
      </c>
      <c r="EA44" s="39" t="str">
        <f t="shared" si="200"/>
        <v/>
      </c>
      <c r="EB44" s="39" t="str">
        <f t="shared" si="201"/>
        <v/>
      </c>
      <c r="EC44" s="39" t="str">
        <f t="shared" si="202"/>
        <v/>
      </c>
      <c r="ED44" s="39" t="str">
        <f t="shared" si="203"/>
        <v/>
      </c>
      <c r="EE44" s="39" t="str">
        <f t="shared" si="204"/>
        <v/>
      </c>
      <c r="EF44" s="39" t="str">
        <f t="shared" si="205"/>
        <v/>
      </c>
      <c r="EG44" s="39" t="str">
        <f t="shared" si="206"/>
        <v/>
      </c>
      <c r="EH44" s="39" t="str">
        <f t="shared" si="207"/>
        <v/>
      </c>
      <c r="EI44" s="39" t="str">
        <f t="shared" si="208"/>
        <v/>
      </c>
      <c r="EJ44" s="39" t="str">
        <f t="shared" si="209"/>
        <v/>
      </c>
      <c r="EK44" s="39" t="str">
        <f t="shared" si="210"/>
        <v/>
      </c>
      <c r="EL44" s="39" t="str">
        <f t="shared" si="211"/>
        <v/>
      </c>
      <c r="EM44" s="39" t="str">
        <f t="shared" si="212"/>
        <v/>
      </c>
      <c r="EN44" s="39" t="str">
        <f t="shared" si="213"/>
        <v/>
      </c>
      <c r="EO44" s="39" t="str">
        <f t="shared" si="214"/>
        <v/>
      </c>
      <c r="EP44" s="39" t="str">
        <f t="shared" si="215"/>
        <v/>
      </c>
      <c r="EQ44" s="39" t="str">
        <f t="shared" si="216"/>
        <v/>
      </c>
      <c r="ER44" s="39" t="str">
        <f t="shared" si="217"/>
        <v/>
      </c>
      <c r="ES44" s="39" t="str">
        <f t="shared" si="218"/>
        <v/>
      </c>
      <c r="ET44" s="39" t="str">
        <f t="shared" si="219"/>
        <v/>
      </c>
      <c r="EU44" s="39" t="str">
        <f t="shared" si="220"/>
        <v/>
      </c>
      <c r="EV44" s="39" t="str">
        <f t="shared" si="221"/>
        <v/>
      </c>
      <c r="EW44" s="39" t="str">
        <f t="shared" si="222"/>
        <v/>
      </c>
      <c r="EX44" s="39" t="str">
        <f t="shared" si="223"/>
        <v/>
      </c>
      <c r="EY44" s="39" t="str">
        <f t="shared" si="224"/>
        <v/>
      </c>
      <c r="EZ44" s="39" t="str">
        <f t="shared" si="225"/>
        <v/>
      </c>
      <c r="FA44" s="39" t="str">
        <f t="shared" si="226"/>
        <v/>
      </c>
      <c r="FB44" s="39" t="str">
        <f t="shared" si="227"/>
        <v/>
      </c>
      <c r="FC44" s="39" t="str">
        <f t="shared" si="228"/>
        <v/>
      </c>
      <c r="FD44" s="39" t="str">
        <f t="shared" si="229"/>
        <v/>
      </c>
      <c r="FE44" s="39" t="str">
        <f t="shared" si="230"/>
        <v/>
      </c>
      <c r="FF44" s="39" t="str">
        <f t="shared" si="231"/>
        <v/>
      </c>
      <c r="FG44" s="39" t="str">
        <f t="shared" si="232"/>
        <v/>
      </c>
      <c r="FH44" s="39" t="str">
        <f t="shared" si="233"/>
        <v/>
      </c>
      <c r="FI44" s="39" t="str">
        <f t="shared" si="234"/>
        <v/>
      </c>
      <c r="FJ44" s="39" t="str">
        <f t="shared" si="235"/>
        <v/>
      </c>
      <c r="FK44" s="39" t="str">
        <f t="shared" si="236"/>
        <v/>
      </c>
      <c r="FL44" s="39" t="str">
        <f t="shared" si="237"/>
        <v/>
      </c>
      <c r="FM44" s="39" t="str">
        <f t="shared" si="238"/>
        <v/>
      </c>
      <c r="FN44" s="39" t="str">
        <f t="shared" si="239"/>
        <v/>
      </c>
      <c r="FO44" s="39" t="str">
        <f t="shared" si="240"/>
        <v/>
      </c>
      <c r="FP44" s="39" t="str">
        <f t="shared" si="241"/>
        <v/>
      </c>
      <c r="FQ44" s="39" t="str">
        <f t="shared" si="242"/>
        <v/>
      </c>
      <c r="FR44" s="39" t="str">
        <f t="shared" si="243"/>
        <v/>
      </c>
      <c r="FS44" s="39" t="str">
        <f t="shared" si="244"/>
        <v/>
      </c>
      <c r="FT44" s="39" t="str">
        <f t="shared" si="245"/>
        <v/>
      </c>
      <c r="FU44" s="39" t="str">
        <f t="shared" si="246"/>
        <v/>
      </c>
      <c r="FV44" s="39" t="str">
        <f t="shared" si="247"/>
        <v/>
      </c>
      <c r="FW44" s="39" t="str">
        <f t="shared" si="248"/>
        <v/>
      </c>
      <c r="FX44" s="39" t="str">
        <f t="shared" si="249"/>
        <v/>
      </c>
      <c r="FY44" s="39" t="str">
        <f t="shared" si="250"/>
        <v/>
      </c>
      <c r="FZ44" s="39" t="str">
        <f t="shared" si="251"/>
        <v/>
      </c>
      <c r="GA44" s="39" t="str">
        <f t="shared" si="252"/>
        <v/>
      </c>
      <c r="GB44" s="39" t="str">
        <f t="shared" si="253"/>
        <v/>
      </c>
      <c r="GC44" s="39" t="str">
        <f t="shared" si="254"/>
        <v/>
      </c>
      <c r="GD44" s="39" t="str">
        <f t="shared" si="255"/>
        <v/>
      </c>
      <c r="GE44" s="39" t="str">
        <f t="shared" si="256"/>
        <v/>
      </c>
      <c r="GF44" s="39" t="str">
        <f t="shared" si="257"/>
        <v/>
      </c>
      <c r="GG44" s="39" t="str">
        <f t="shared" si="258"/>
        <v/>
      </c>
      <c r="GH44" s="39" t="str">
        <f t="shared" si="259"/>
        <v/>
      </c>
      <c r="GI44" s="39" t="str">
        <f t="shared" si="260"/>
        <v/>
      </c>
      <c r="GJ44" s="39" t="str">
        <f t="shared" si="261"/>
        <v/>
      </c>
      <c r="GK44" s="39" t="str">
        <f t="shared" si="262"/>
        <v/>
      </c>
      <c r="GL44" s="39" t="str">
        <f t="shared" si="263"/>
        <v/>
      </c>
      <c r="GM44" s="39" t="str">
        <f t="shared" si="264"/>
        <v/>
      </c>
      <c r="GN44" s="39" t="str">
        <f t="shared" si="265"/>
        <v/>
      </c>
      <c r="GO44" s="39" t="str">
        <f t="shared" si="266"/>
        <v/>
      </c>
      <c r="GP44" s="39" t="str">
        <f t="shared" si="267"/>
        <v/>
      </c>
      <c r="GQ44" s="39" t="str">
        <f t="shared" si="268"/>
        <v/>
      </c>
      <c r="GR44" s="39" t="str">
        <f t="shared" si="269"/>
        <v/>
      </c>
      <c r="GS44" s="39" t="str">
        <f t="shared" si="270"/>
        <v/>
      </c>
      <c r="GT44" s="39" t="str">
        <f t="shared" si="271"/>
        <v/>
      </c>
      <c r="GU44" s="39" t="str">
        <f t="shared" si="272"/>
        <v/>
      </c>
      <c r="GV44" s="39" t="str">
        <f t="shared" si="273"/>
        <v/>
      </c>
      <c r="GW44" s="39" t="str">
        <f t="shared" si="274"/>
        <v/>
      </c>
      <c r="GX44" s="39" t="str">
        <f t="shared" si="275"/>
        <v/>
      </c>
      <c r="GY44" s="39" t="str">
        <f t="shared" si="276"/>
        <v/>
      </c>
      <c r="GZ44" s="39" t="str">
        <f t="shared" si="277"/>
        <v/>
      </c>
      <c r="HA44" s="39" t="str">
        <f t="shared" si="278"/>
        <v/>
      </c>
      <c r="HB44" s="39" t="str">
        <f t="shared" si="279"/>
        <v/>
      </c>
      <c r="HC44" s="39" t="str">
        <f t="shared" si="280"/>
        <v/>
      </c>
      <c r="HD44" s="39" t="str">
        <f t="shared" si="281"/>
        <v/>
      </c>
      <c r="HE44" s="39" t="str">
        <f t="shared" si="282"/>
        <v/>
      </c>
      <c r="HF44" s="39" t="str">
        <f t="shared" si="283"/>
        <v/>
      </c>
      <c r="HG44" s="39" t="str">
        <f t="shared" si="284"/>
        <v/>
      </c>
      <c r="HH44" s="39" t="str">
        <f t="shared" si="285"/>
        <v/>
      </c>
      <c r="HI44" s="39" t="str">
        <f t="shared" si="286"/>
        <v/>
      </c>
      <c r="HJ44" s="39" t="str">
        <f t="shared" si="287"/>
        <v/>
      </c>
      <c r="HK44" s="39" t="str">
        <f t="shared" si="288"/>
        <v/>
      </c>
      <c r="HL44" s="39" t="str">
        <f t="shared" si="289"/>
        <v/>
      </c>
      <c r="HM44" s="39" t="str">
        <f t="shared" si="290"/>
        <v/>
      </c>
      <c r="HN44" s="39" t="str">
        <f t="shared" si="291"/>
        <v/>
      </c>
      <c r="HO44" s="39" t="str">
        <f t="shared" si="292"/>
        <v/>
      </c>
      <c r="HP44" s="39" t="str">
        <f t="shared" si="293"/>
        <v/>
      </c>
      <c r="HQ44" s="39" t="str">
        <f t="shared" si="294"/>
        <v/>
      </c>
      <c r="HR44" s="39" t="str">
        <f t="shared" si="295"/>
        <v/>
      </c>
      <c r="HS44" s="39" t="str">
        <f t="shared" si="296"/>
        <v/>
      </c>
      <c r="HT44" s="39" t="str">
        <f t="shared" si="297"/>
        <v/>
      </c>
      <c r="HU44" s="168" t="str">
        <f t="shared" si="298"/>
        <v>-</v>
      </c>
      <c r="HV44" s="169" t="str">
        <f t="shared" si="299"/>
        <v/>
      </c>
      <c r="HW44" s="170" t="str">
        <f t="shared" si="300"/>
        <v/>
      </c>
      <c r="HX44" s="169" t="str">
        <f t="shared" si="301"/>
        <v/>
      </c>
      <c r="HY44" s="169" t="str">
        <f t="shared" si="302"/>
        <v/>
      </c>
      <c r="HZ44" s="169" t="str">
        <f t="shared" si="303"/>
        <v/>
      </c>
      <c r="IA44" s="168" t="str">
        <f t="shared" si="304"/>
        <v/>
      </c>
      <c r="IB44" s="169" t="str">
        <f t="shared" si="305"/>
        <v/>
      </c>
      <c r="IC44" s="170" t="str">
        <f t="shared" si="306"/>
        <v/>
      </c>
      <c r="ID44" s="168" t="str">
        <f t="shared" si="307"/>
        <v/>
      </c>
      <c r="IE44" s="169" t="str">
        <f t="shared" si="308"/>
        <v/>
      </c>
      <c r="IF44" s="170" t="str">
        <f t="shared" si="309"/>
        <v/>
      </c>
      <c r="IH44" s="171">
        <v>44</v>
      </c>
      <c r="II44" s="171" t="e">
        <f t="shared" ca="1" si="192"/>
        <v>#N/A</v>
      </c>
      <c r="IJ44" s="171" t="e">
        <f t="shared" ca="1" si="193"/>
        <v>#N/A</v>
      </c>
      <c r="IK44" s="171" t="e">
        <f t="shared" ca="1" si="194"/>
        <v>#N/A</v>
      </c>
      <c r="IL44" s="171" t="e">
        <f t="shared" ca="1" si="195"/>
        <v>#N/A</v>
      </c>
      <c r="IM44" s="162"/>
      <c r="IN44" s="165" t="e">
        <f t="shared" ca="1" si="184"/>
        <v>#N/A</v>
      </c>
      <c r="IO44" s="172" t="e">
        <f t="shared" ca="1" si="185"/>
        <v>#N/A</v>
      </c>
      <c r="IP44" s="172" t="e">
        <f t="shared" ca="1" si="186"/>
        <v>#N/A</v>
      </c>
      <c r="IQ44" s="165" t="e">
        <f t="shared" ca="1" si="187"/>
        <v>#N/A</v>
      </c>
      <c r="IR44" s="173" t="e">
        <f t="shared" ca="1" si="188"/>
        <v>#N/A</v>
      </c>
    </row>
    <row r="45" spans="1:252" s="163" customFormat="1" x14ac:dyDescent="0.35">
      <c r="A45" s="162">
        <v>0</v>
      </c>
      <c r="B45" s="162">
        <v>0</v>
      </c>
      <c r="C45" s="162">
        <v>1</v>
      </c>
      <c r="E45" s="3"/>
      <c r="F45" s="2" t="s">
        <v>309</v>
      </c>
      <c r="G45" s="164" t="s">
        <v>540</v>
      </c>
      <c r="H45" s="3" t="s">
        <v>543</v>
      </c>
      <c r="I45" s="8" t="s">
        <v>555</v>
      </c>
      <c r="J45" s="276" t="s">
        <v>805</v>
      </c>
      <c r="K45" s="165" t="s">
        <v>805</v>
      </c>
      <c r="L45" s="165" t="s">
        <v>805</v>
      </c>
      <c r="M45" s="165" t="s">
        <v>805</v>
      </c>
      <c r="N45" s="165" t="s">
        <v>805</v>
      </c>
      <c r="O45" s="165" t="s">
        <v>805</v>
      </c>
      <c r="P45" s="165" t="s">
        <v>805</v>
      </c>
      <c r="Q45" s="165" t="s">
        <v>805</v>
      </c>
      <c r="R45" s="165" t="s">
        <v>805</v>
      </c>
      <c r="S45" s="165" t="s">
        <v>805</v>
      </c>
      <c r="T45" s="165" t="s">
        <v>805</v>
      </c>
      <c r="U45" s="165" t="s">
        <v>805</v>
      </c>
      <c r="V45" s="165" t="s">
        <v>805</v>
      </c>
      <c r="W45" s="165" t="s">
        <v>805</v>
      </c>
      <c r="X45" s="165" t="s">
        <v>805</v>
      </c>
      <c r="Y45" s="165" t="s">
        <v>805</v>
      </c>
      <c r="Z45" s="165" t="s">
        <v>805</v>
      </c>
      <c r="AA45" s="165" t="s">
        <v>805</v>
      </c>
      <c r="AB45" s="165" t="s">
        <v>805</v>
      </c>
      <c r="AC45" s="165" t="s">
        <v>805</v>
      </c>
      <c r="AD45" s="165" t="s">
        <v>805</v>
      </c>
      <c r="AE45" s="165" t="s">
        <v>805</v>
      </c>
      <c r="AF45" s="165" t="s">
        <v>805</v>
      </c>
      <c r="AG45" s="165" t="s">
        <v>805</v>
      </c>
      <c r="AH45" s="165" t="s">
        <v>805</v>
      </c>
      <c r="AI45" s="165" t="s">
        <v>805</v>
      </c>
      <c r="AJ45" s="165" t="s">
        <v>805</v>
      </c>
      <c r="AK45" s="165" t="s">
        <v>805</v>
      </c>
      <c r="AL45" s="165" t="s">
        <v>805</v>
      </c>
      <c r="AM45" s="165" t="s">
        <v>805</v>
      </c>
      <c r="AN45" s="165" t="s">
        <v>805</v>
      </c>
      <c r="AO45" s="165" t="s">
        <v>805</v>
      </c>
      <c r="AP45" s="165" t="s">
        <v>805</v>
      </c>
      <c r="AQ45" s="165" t="s">
        <v>805</v>
      </c>
      <c r="AR45" s="165" t="s">
        <v>805</v>
      </c>
      <c r="AS45" s="165" t="s">
        <v>805</v>
      </c>
      <c r="AT45" s="165" t="s">
        <v>805</v>
      </c>
      <c r="AU45" s="165" t="s">
        <v>805</v>
      </c>
      <c r="AV45" s="165" t="s">
        <v>805</v>
      </c>
      <c r="AW45" s="165" t="s">
        <v>805</v>
      </c>
      <c r="AX45" s="165" t="s">
        <v>805</v>
      </c>
      <c r="AY45" s="165" t="s">
        <v>805</v>
      </c>
      <c r="AZ45" s="165" t="s">
        <v>805</v>
      </c>
      <c r="BA45" s="165" t="s">
        <v>805</v>
      </c>
      <c r="BB45" s="165" t="s">
        <v>805</v>
      </c>
      <c r="BC45" s="165" t="s">
        <v>805</v>
      </c>
      <c r="BD45" s="165" t="s">
        <v>805</v>
      </c>
      <c r="BE45" s="165" t="s">
        <v>805</v>
      </c>
      <c r="BF45" s="165" t="s">
        <v>805</v>
      </c>
      <c r="BG45" s="165" t="s">
        <v>805</v>
      </c>
      <c r="BH45" s="165" t="s">
        <v>805</v>
      </c>
      <c r="BI45" s="165" t="s">
        <v>805</v>
      </c>
      <c r="BJ45" s="165" t="s">
        <v>805</v>
      </c>
      <c r="BK45" s="165" t="s">
        <v>805</v>
      </c>
      <c r="BL45" s="165" t="s">
        <v>805</v>
      </c>
      <c r="BM45" s="165" t="s">
        <v>805</v>
      </c>
      <c r="BN45" s="165" t="s">
        <v>805</v>
      </c>
      <c r="BO45" s="165" t="s">
        <v>805</v>
      </c>
      <c r="BP45" s="165" t="s">
        <v>805</v>
      </c>
      <c r="BQ45" s="165" t="s">
        <v>805</v>
      </c>
      <c r="BR45" s="165" t="s">
        <v>805</v>
      </c>
      <c r="BS45" s="165" t="s">
        <v>805</v>
      </c>
      <c r="BT45" s="165" t="s">
        <v>805</v>
      </c>
      <c r="BU45" s="165" t="s">
        <v>805</v>
      </c>
      <c r="BV45" s="165" t="s">
        <v>805</v>
      </c>
      <c r="BW45" s="165" t="s">
        <v>805</v>
      </c>
      <c r="BX45" s="165" t="s">
        <v>805</v>
      </c>
      <c r="BY45" s="165" t="s">
        <v>805</v>
      </c>
      <c r="BZ45" s="165" t="s">
        <v>805</v>
      </c>
      <c r="CA45" s="165" t="s">
        <v>805</v>
      </c>
      <c r="CB45" s="165" t="s">
        <v>805</v>
      </c>
      <c r="CC45" s="165" t="s">
        <v>805</v>
      </c>
      <c r="CD45" s="165" t="s">
        <v>805</v>
      </c>
      <c r="CE45" s="165" t="s">
        <v>805</v>
      </c>
      <c r="CF45" s="165" t="s">
        <v>805</v>
      </c>
      <c r="CG45" s="165" t="s">
        <v>805</v>
      </c>
      <c r="CH45" s="165" t="s">
        <v>805</v>
      </c>
      <c r="CI45" s="165" t="s">
        <v>805</v>
      </c>
      <c r="CJ45" s="165" t="s">
        <v>805</v>
      </c>
      <c r="CK45" s="165" t="s">
        <v>805</v>
      </c>
      <c r="CL45" s="165" t="s">
        <v>805</v>
      </c>
      <c r="CM45" s="165" t="s">
        <v>805</v>
      </c>
      <c r="CN45" s="165" t="s">
        <v>805</v>
      </c>
      <c r="CO45" s="165" t="s">
        <v>805</v>
      </c>
      <c r="CP45" s="165" t="s">
        <v>805</v>
      </c>
      <c r="CQ45" s="165" t="s">
        <v>805</v>
      </c>
      <c r="CR45" s="165" t="s">
        <v>805</v>
      </c>
      <c r="CS45" s="165" t="s">
        <v>805</v>
      </c>
      <c r="CT45" s="165" t="s">
        <v>805</v>
      </c>
      <c r="CU45" s="165" t="s">
        <v>805</v>
      </c>
      <c r="CV45" s="165" t="s">
        <v>805</v>
      </c>
      <c r="CW45" s="165" t="s">
        <v>805</v>
      </c>
      <c r="CX45" s="165" t="s">
        <v>805</v>
      </c>
      <c r="CY45" s="165" t="s">
        <v>805</v>
      </c>
      <c r="CZ45" s="165" t="s">
        <v>805</v>
      </c>
      <c r="DA45" s="165" t="s">
        <v>805</v>
      </c>
      <c r="DB45" s="165" t="s">
        <v>805</v>
      </c>
      <c r="DC45" s="165" t="s">
        <v>805</v>
      </c>
      <c r="DD45" s="165" t="s">
        <v>805</v>
      </c>
      <c r="DE45" s="165" t="s">
        <v>805</v>
      </c>
      <c r="DF45" s="165" t="s">
        <v>805</v>
      </c>
      <c r="DG45" s="125">
        <f>'KPI Count-SHARE'!J39</f>
        <v>0</v>
      </c>
      <c r="DH45" s="174"/>
      <c r="DI45" s="174"/>
      <c r="DJ45" s="174"/>
      <c r="DK45" s="125">
        <f>'KPI Count-SHARE'!K39</f>
        <v>0</v>
      </c>
      <c r="DL45" s="166"/>
      <c r="DM45" s="166"/>
      <c r="DN45" s="166"/>
      <c r="DO45" s="125">
        <f>'KPI Count-SHARE'!L39</f>
        <v>0</v>
      </c>
      <c r="DP45" s="166"/>
      <c r="DQ45" s="166"/>
      <c r="DR45" s="166"/>
      <c r="DS45" s="125">
        <f>'KPI Count-SHARE'!M39</f>
        <v>0</v>
      </c>
      <c r="DT45" s="166"/>
      <c r="DU45" s="166"/>
      <c r="DV45" s="166"/>
      <c r="DW45" s="167" t="str">
        <f t="shared" si="196"/>
        <v>FTE per USD '000</v>
      </c>
      <c r="DX45" s="39" t="str">
        <f t="shared" si="197"/>
        <v/>
      </c>
      <c r="DY45" s="39" t="str">
        <f t="shared" si="198"/>
        <v/>
      </c>
      <c r="DZ45" s="39" t="str">
        <f t="shared" si="199"/>
        <v/>
      </c>
      <c r="EA45" s="39" t="str">
        <f t="shared" si="200"/>
        <v/>
      </c>
      <c r="EB45" s="39" t="str">
        <f t="shared" si="201"/>
        <v/>
      </c>
      <c r="EC45" s="39" t="str">
        <f t="shared" si="202"/>
        <v/>
      </c>
      <c r="ED45" s="39" t="str">
        <f t="shared" si="203"/>
        <v/>
      </c>
      <c r="EE45" s="39" t="str">
        <f t="shared" si="204"/>
        <v/>
      </c>
      <c r="EF45" s="39" t="str">
        <f t="shared" si="205"/>
        <v/>
      </c>
      <c r="EG45" s="39" t="str">
        <f t="shared" si="206"/>
        <v/>
      </c>
      <c r="EH45" s="39" t="str">
        <f t="shared" si="207"/>
        <v/>
      </c>
      <c r="EI45" s="39" t="str">
        <f t="shared" si="208"/>
        <v/>
      </c>
      <c r="EJ45" s="39" t="str">
        <f t="shared" si="209"/>
        <v/>
      </c>
      <c r="EK45" s="39" t="str">
        <f t="shared" si="210"/>
        <v/>
      </c>
      <c r="EL45" s="39" t="str">
        <f t="shared" si="211"/>
        <v/>
      </c>
      <c r="EM45" s="39" t="str">
        <f t="shared" si="212"/>
        <v/>
      </c>
      <c r="EN45" s="39" t="str">
        <f t="shared" si="213"/>
        <v/>
      </c>
      <c r="EO45" s="39" t="str">
        <f t="shared" si="214"/>
        <v/>
      </c>
      <c r="EP45" s="39" t="str">
        <f t="shared" si="215"/>
        <v/>
      </c>
      <c r="EQ45" s="39" t="str">
        <f t="shared" si="216"/>
        <v/>
      </c>
      <c r="ER45" s="39" t="str">
        <f t="shared" si="217"/>
        <v/>
      </c>
      <c r="ES45" s="39" t="str">
        <f t="shared" si="218"/>
        <v/>
      </c>
      <c r="ET45" s="39" t="str">
        <f t="shared" si="219"/>
        <v/>
      </c>
      <c r="EU45" s="39" t="str">
        <f t="shared" si="220"/>
        <v/>
      </c>
      <c r="EV45" s="39" t="str">
        <f t="shared" si="221"/>
        <v/>
      </c>
      <c r="EW45" s="39" t="str">
        <f t="shared" si="222"/>
        <v/>
      </c>
      <c r="EX45" s="39" t="str">
        <f t="shared" si="223"/>
        <v/>
      </c>
      <c r="EY45" s="39" t="str">
        <f t="shared" si="224"/>
        <v/>
      </c>
      <c r="EZ45" s="39" t="str">
        <f t="shared" si="225"/>
        <v/>
      </c>
      <c r="FA45" s="39" t="str">
        <f t="shared" si="226"/>
        <v/>
      </c>
      <c r="FB45" s="39" t="str">
        <f t="shared" si="227"/>
        <v/>
      </c>
      <c r="FC45" s="39" t="str">
        <f t="shared" si="228"/>
        <v/>
      </c>
      <c r="FD45" s="39" t="str">
        <f t="shared" si="229"/>
        <v/>
      </c>
      <c r="FE45" s="39" t="str">
        <f t="shared" si="230"/>
        <v/>
      </c>
      <c r="FF45" s="39" t="str">
        <f t="shared" si="231"/>
        <v/>
      </c>
      <c r="FG45" s="39" t="str">
        <f t="shared" si="232"/>
        <v/>
      </c>
      <c r="FH45" s="39" t="str">
        <f t="shared" si="233"/>
        <v/>
      </c>
      <c r="FI45" s="39" t="str">
        <f t="shared" si="234"/>
        <v/>
      </c>
      <c r="FJ45" s="39" t="str">
        <f t="shared" si="235"/>
        <v/>
      </c>
      <c r="FK45" s="39" t="str">
        <f t="shared" si="236"/>
        <v/>
      </c>
      <c r="FL45" s="39" t="str">
        <f t="shared" si="237"/>
        <v/>
      </c>
      <c r="FM45" s="39" t="str">
        <f t="shared" si="238"/>
        <v/>
      </c>
      <c r="FN45" s="39" t="str">
        <f t="shared" si="239"/>
        <v/>
      </c>
      <c r="FO45" s="39" t="str">
        <f t="shared" si="240"/>
        <v/>
      </c>
      <c r="FP45" s="39" t="str">
        <f t="shared" si="241"/>
        <v/>
      </c>
      <c r="FQ45" s="39" t="str">
        <f t="shared" si="242"/>
        <v/>
      </c>
      <c r="FR45" s="39" t="str">
        <f t="shared" si="243"/>
        <v/>
      </c>
      <c r="FS45" s="39" t="str">
        <f t="shared" si="244"/>
        <v/>
      </c>
      <c r="FT45" s="39" t="str">
        <f t="shared" si="245"/>
        <v/>
      </c>
      <c r="FU45" s="39" t="str">
        <f t="shared" si="246"/>
        <v/>
      </c>
      <c r="FV45" s="39" t="str">
        <f t="shared" si="247"/>
        <v/>
      </c>
      <c r="FW45" s="39" t="str">
        <f t="shared" si="248"/>
        <v/>
      </c>
      <c r="FX45" s="39" t="str">
        <f t="shared" si="249"/>
        <v/>
      </c>
      <c r="FY45" s="39" t="str">
        <f t="shared" si="250"/>
        <v/>
      </c>
      <c r="FZ45" s="39" t="str">
        <f t="shared" si="251"/>
        <v/>
      </c>
      <c r="GA45" s="39" t="str">
        <f t="shared" si="252"/>
        <v/>
      </c>
      <c r="GB45" s="39" t="str">
        <f t="shared" si="253"/>
        <v/>
      </c>
      <c r="GC45" s="39" t="str">
        <f t="shared" si="254"/>
        <v/>
      </c>
      <c r="GD45" s="39" t="str">
        <f t="shared" si="255"/>
        <v/>
      </c>
      <c r="GE45" s="39" t="str">
        <f t="shared" si="256"/>
        <v/>
      </c>
      <c r="GF45" s="39" t="str">
        <f t="shared" si="257"/>
        <v/>
      </c>
      <c r="GG45" s="39" t="str">
        <f t="shared" si="258"/>
        <v/>
      </c>
      <c r="GH45" s="39" t="str">
        <f t="shared" si="259"/>
        <v/>
      </c>
      <c r="GI45" s="39" t="str">
        <f t="shared" si="260"/>
        <v/>
      </c>
      <c r="GJ45" s="39" t="str">
        <f t="shared" si="261"/>
        <v/>
      </c>
      <c r="GK45" s="39" t="str">
        <f t="shared" si="262"/>
        <v/>
      </c>
      <c r="GL45" s="39" t="str">
        <f t="shared" si="263"/>
        <v/>
      </c>
      <c r="GM45" s="39" t="str">
        <f t="shared" si="264"/>
        <v/>
      </c>
      <c r="GN45" s="39" t="str">
        <f t="shared" si="265"/>
        <v/>
      </c>
      <c r="GO45" s="39" t="str">
        <f t="shared" si="266"/>
        <v/>
      </c>
      <c r="GP45" s="39" t="str">
        <f t="shared" si="267"/>
        <v/>
      </c>
      <c r="GQ45" s="39" t="str">
        <f t="shared" si="268"/>
        <v/>
      </c>
      <c r="GR45" s="39" t="str">
        <f t="shared" si="269"/>
        <v/>
      </c>
      <c r="GS45" s="39" t="str">
        <f t="shared" si="270"/>
        <v/>
      </c>
      <c r="GT45" s="39" t="str">
        <f t="shared" si="271"/>
        <v/>
      </c>
      <c r="GU45" s="39" t="str">
        <f t="shared" si="272"/>
        <v/>
      </c>
      <c r="GV45" s="39" t="str">
        <f t="shared" si="273"/>
        <v/>
      </c>
      <c r="GW45" s="39" t="str">
        <f t="shared" si="274"/>
        <v/>
      </c>
      <c r="GX45" s="39" t="str">
        <f t="shared" si="275"/>
        <v/>
      </c>
      <c r="GY45" s="39" t="str">
        <f t="shared" si="276"/>
        <v/>
      </c>
      <c r="GZ45" s="39" t="str">
        <f t="shared" si="277"/>
        <v/>
      </c>
      <c r="HA45" s="39" t="str">
        <f t="shared" si="278"/>
        <v/>
      </c>
      <c r="HB45" s="39" t="str">
        <f t="shared" si="279"/>
        <v/>
      </c>
      <c r="HC45" s="39" t="str">
        <f t="shared" si="280"/>
        <v/>
      </c>
      <c r="HD45" s="39" t="str">
        <f t="shared" si="281"/>
        <v/>
      </c>
      <c r="HE45" s="39" t="str">
        <f t="shared" si="282"/>
        <v/>
      </c>
      <c r="HF45" s="39" t="str">
        <f t="shared" si="283"/>
        <v/>
      </c>
      <c r="HG45" s="39" t="str">
        <f t="shared" si="284"/>
        <v/>
      </c>
      <c r="HH45" s="39" t="str">
        <f t="shared" si="285"/>
        <v/>
      </c>
      <c r="HI45" s="39" t="str">
        <f t="shared" si="286"/>
        <v/>
      </c>
      <c r="HJ45" s="39" t="str">
        <f t="shared" si="287"/>
        <v/>
      </c>
      <c r="HK45" s="39" t="str">
        <f t="shared" si="288"/>
        <v/>
      </c>
      <c r="HL45" s="39" t="str">
        <f t="shared" si="289"/>
        <v/>
      </c>
      <c r="HM45" s="39" t="str">
        <f t="shared" si="290"/>
        <v/>
      </c>
      <c r="HN45" s="39" t="str">
        <f t="shared" si="291"/>
        <v/>
      </c>
      <c r="HO45" s="39" t="str">
        <f t="shared" si="292"/>
        <v/>
      </c>
      <c r="HP45" s="39" t="str">
        <f t="shared" si="293"/>
        <v/>
      </c>
      <c r="HQ45" s="39" t="str">
        <f t="shared" si="294"/>
        <v/>
      </c>
      <c r="HR45" s="39" t="str">
        <f t="shared" si="295"/>
        <v/>
      </c>
      <c r="HS45" s="39" t="str">
        <f t="shared" si="296"/>
        <v/>
      </c>
      <c r="HT45" s="39" t="str">
        <f t="shared" si="297"/>
        <v/>
      </c>
      <c r="HU45" s="168" t="str">
        <f t="shared" si="298"/>
        <v>-</v>
      </c>
      <c r="HV45" s="169" t="str">
        <f t="shared" si="299"/>
        <v/>
      </c>
      <c r="HW45" s="170" t="str">
        <f t="shared" si="300"/>
        <v/>
      </c>
      <c r="HX45" s="169" t="str">
        <f t="shared" si="301"/>
        <v/>
      </c>
      <c r="HY45" s="169" t="str">
        <f t="shared" si="302"/>
        <v/>
      </c>
      <c r="HZ45" s="169" t="str">
        <f t="shared" si="303"/>
        <v/>
      </c>
      <c r="IA45" s="168" t="str">
        <f t="shared" si="304"/>
        <v/>
      </c>
      <c r="IB45" s="169" t="str">
        <f t="shared" si="305"/>
        <v/>
      </c>
      <c r="IC45" s="170" t="str">
        <f t="shared" si="306"/>
        <v/>
      </c>
      <c r="ID45" s="168" t="str">
        <f t="shared" si="307"/>
        <v/>
      </c>
      <c r="IE45" s="169" t="str">
        <f t="shared" si="308"/>
        <v/>
      </c>
      <c r="IF45" s="170" t="str">
        <f t="shared" si="309"/>
        <v/>
      </c>
      <c r="IH45" s="171">
        <v>45</v>
      </c>
      <c r="II45" s="171" t="e">
        <f t="shared" ca="1" si="192"/>
        <v>#N/A</v>
      </c>
      <c r="IJ45" s="171" t="e">
        <f t="shared" ca="1" si="193"/>
        <v>#N/A</v>
      </c>
      <c r="IK45" s="171" t="e">
        <f t="shared" ca="1" si="194"/>
        <v>#N/A</v>
      </c>
      <c r="IL45" s="171" t="e">
        <f t="shared" ca="1" si="195"/>
        <v>#N/A</v>
      </c>
      <c r="IM45" s="162"/>
      <c r="IN45" s="165" t="e">
        <f t="shared" ca="1" si="184"/>
        <v>#N/A</v>
      </c>
      <c r="IO45" s="172" t="e">
        <f t="shared" ca="1" si="185"/>
        <v>#N/A</v>
      </c>
      <c r="IP45" s="172" t="e">
        <f t="shared" ca="1" si="186"/>
        <v>#N/A</v>
      </c>
      <c r="IQ45" s="165" t="e">
        <f t="shared" ca="1" si="187"/>
        <v>#N/A</v>
      </c>
      <c r="IR45" s="173" t="e">
        <f t="shared" ca="1" si="188"/>
        <v>#N/A</v>
      </c>
    </row>
    <row r="46" spans="1:252" s="163" customFormat="1" x14ac:dyDescent="0.35">
      <c r="A46" s="162">
        <v>0</v>
      </c>
      <c r="B46" s="162">
        <v>0</v>
      </c>
      <c r="C46" s="162">
        <v>1</v>
      </c>
      <c r="E46" s="3"/>
      <c r="F46" s="2" t="s">
        <v>310</v>
      </c>
      <c r="G46" s="164" t="s">
        <v>540</v>
      </c>
      <c r="H46" s="3" t="s">
        <v>543</v>
      </c>
      <c r="I46" s="8" t="s">
        <v>555</v>
      </c>
      <c r="J46" s="276" t="s">
        <v>805</v>
      </c>
      <c r="K46" s="165" t="s">
        <v>805</v>
      </c>
      <c r="L46" s="165" t="s">
        <v>805</v>
      </c>
      <c r="M46" s="165" t="s">
        <v>805</v>
      </c>
      <c r="N46" s="165" t="s">
        <v>805</v>
      </c>
      <c r="O46" s="165" t="s">
        <v>805</v>
      </c>
      <c r="P46" s="165" t="s">
        <v>805</v>
      </c>
      <c r="Q46" s="165" t="s">
        <v>805</v>
      </c>
      <c r="R46" s="165" t="s">
        <v>805</v>
      </c>
      <c r="S46" s="165" t="s">
        <v>805</v>
      </c>
      <c r="T46" s="165" t="s">
        <v>805</v>
      </c>
      <c r="U46" s="165" t="s">
        <v>805</v>
      </c>
      <c r="V46" s="165" t="s">
        <v>805</v>
      </c>
      <c r="W46" s="165" t="s">
        <v>805</v>
      </c>
      <c r="X46" s="165" t="s">
        <v>805</v>
      </c>
      <c r="Y46" s="165" t="s">
        <v>805</v>
      </c>
      <c r="Z46" s="165" t="s">
        <v>805</v>
      </c>
      <c r="AA46" s="165" t="s">
        <v>805</v>
      </c>
      <c r="AB46" s="165" t="s">
        <v>805</v>
      </c>
      <c r="AC46" s="165" t="s">
        <v>805</v>
      </c>
      <c r="AD46" s="165" t="s">
        <v>805</v>
      </c>
      <c r="AE46" s="165" t="s">
        <v>805</v>
      </c>
      <c r="AF46" s="165" t="s">
        <v>805</v>
      </c>
      <c r="AG46" s="165" t="s">
        <v>805</v>
      </c>
      <c r="AH46" s="165" t="s">
        <v>805</v>
      </c>
      <c r="AI46" s="165" t="s">
        <v>805</v>
      </c>
      <c r="AJ46" s="165" t="s">
        <v>805</v>
      </c>
      <c r="AK46" s="165" t="s">
        <v>805</v>
      </c>
      <c r="AL46" s="165" t="s">
        <v>805</v>
      </c>
      <c r="AM46" s="165" t="s">
        <v>805</v>
      </c>
      <c r="AN46" s="165" t="s">
        <v>805</v>
      </c>
      <c r="AO46" s="165" t="s">
        <v>805</v>
      </c>
      <c r="AP46" s="165" t="s">
        <v>805</v>
      </c>
      <c r="AQ46" s="165" t="s">
        <v>805</v>
      </c>
      <c r="AR46" s="165" t="s">
        <v>805</v>
      </c>
      <c r="AS46" s="165" t="s">
        <v>805</v>
      </c>
      <c r="AT46" s="165" t="s">
        <v>805</v>
      </c>
      <c r="AU46" s="165" t="s">
        <v>805</v>
      </c>
      <c r="AV46" s="165" t="s">
        <v>805</v>
      </c>
      <c r="AW46" s="165" t="s">
        <v>805</v>
      </c>
      <c r="AX46" s="165" t="s">
        <v>805</v>
      </c>
      <c r="AY46" s="165" t="s">
        <v>805</v>
      </c>
      <c r="AZ46" s="165" t="s">
        <v>805</v>
      </c>
      <c r="BA46" s="165" t="s">
        <v>805</v>
      </c>
      <c r="BB46" s="165" t="s">
        <v>805</v>
      </c>
      <c r="BC46" s="165" t="s">
        <v>805</v>
      </c>
      <c r="BD46" s="165" t="s">
        <v>805</v>
      </c>
      <c r="BE46" s="165" t="s">
        <v>805</v>
      </c>
      <c r="BF46" s="165" t="s">
        <v>805</v>
      </c>
      <c r="BG46" s="165" t="s">
        <v>805</v>
      </c>
      <c r="BH46" s="165" t="s">
        <v>805</v>
      </c>
      <c r="BI46" s="165" t="s">
        <v>805</v>
      </c>
      <c r="BJ46" s="165" t="s">
        <v>805</v>
      </c>
      <c r="BK46" s="165" t="s">
        <v>805</v>
      </c>
      <c r="BL46" s="165" t="s">
        <v>805</v>
      </c>
      <c r="BM46" s="165" t="s">
        <v>805</v>
      </c>
      <c r="BN46" s="165" t="s">
        <v>805</v>
      </c>
      <c r="BO46" s="165" t="s">
        <v>805</v>
      </c>
      <c r="BP46" s="165" t="s">
        <v>805</v>
      </c>
      <c r="BQ46" s="165" t="s">
        <v>805</v>
      </c>
      <c r="BR46" s="165" t="s">
        <v>805</v>
      </c>
      <c r="BS46" s="165" t="s">
        <v>805</v>
      </c>
      <c r="BT46" s="165" t="s">
        <v>805</v>
      </c>
      <c r="BU46" s="165" t="s">
        <v>805</v>
      </c>
      <c r="BV46" s="165" t="s">
        <v>805</v>
      </c>
      <c r="BW46" s="165" t="s">
        <v>805</v>
      </c>
      <c r="BX46" s="165" t="s">
        <v>805</v>
      </c>
      <c r="BY46" s="165" t="s">
        <v>805</v>
      </c>
      <c r="BZ46" s="165" t="s">
        <v>805</v>
      </c>
      <c r="CA46" s="165" t="s">
        <v>805</v>
      </c>
      <c r="CB46" s="165" t="s">
        <v>805</v>
      </c>
      <c r="CC46" s="165" t="s">
        <v>805</v>
      </c>
      <c r="CD46" s="165" t="s">
        <v>805</v>
      </c>
      <c r="CE46" s="165" t="s">
        <v>805</v>
      </c>
      <c r="CF46" s="165" t="s">
        <v>805</v>
      </c>
      <c r="CG46" s="165" t="s">
        <v>805</v>
      </c>
      <c r="CH46" s="165" t="s">
        <v>805</v>
      </c>
      <c r="CI46" s="165" t="s">
        <v>805</v>
      </c>
      <c r="CJ46" s="165" t="s">
        <v>805</v>
      </c>
      <c r="CK46" s="165" t="s">
        <v>805</v>
      </c>
      <c r="CL46" s="165" t="s">
        <v>805</v>
      </c>
      <c r="CM46" s="165" t="s">
        <v>805</v>
      </c>
      <c r="CN46" s="165" t="s">
        <v>805</v>
      </c>
      <c r="CO46" s="165" t="s">
        <v>805</v>
      </c>
      <c r="CP46" s="165" t="s">
        <v>805</v>
      </c>
      <c r="CQ46" s="165" t="s">
        <v>805</v>
      </c>
      <c r="CR46" s="165" t="s">
        <v>805</v>
      </c>
      <c r="CS46" s="165" t="s">
        <v>805</v>
      </c>
      <c r="CT46" s="165" t="s">
        <v>805</v>
      </c>
      <c r="CU46" s="165" t="s">
        <v>805</v>
      </c>
      <c r="CV46" s="165" t="s">
        <v>805</v>
      </c>
      <c r="CW46" s="165" t="s">
        <v>805</v>
      </c>
      <c r="CX46" s="165" t="s">
        <v>805</v>
      </c>
      <c r="CY46" s="165" t="s">
        <v>805</v>
      </c>
      <c r="CZ46" s="165" t="s">
        <v>805</v>
      </c>
      <c r="DA46" s="165" t="s">
        <v>805</v>
      </c>
      <c r="DB46" s="165" t="s">
        <v>805</v>
      </c>
      <c r="DC46" s="165" t="s">
        <v>805</v>
      </c>
      <c r="DD46" s="165" t="s">
        <v>805</v>
      </c>
      <c r="DE46" s="165" t="s">
        <v>805</v>
      </c>
      <c r="DF46" s="165" t="s">
        <v>805</v>
      </c>
      <c r="DG46" s="125">
        <f>'KPI Count-SHARE'!J40</f>
        <v>0</v>
      </c>
      <c r="DH46" s="174"/>
      <c r="DI46" s="174"/>
      <c r="DJ46" s="174"/>
      <c r="DK46" s="125">
        <f>'KPI Count-SHARE'!K40</f>
        <v>0</v>
      </c>
      <c r="DL46" s="166"/>
      <c r="DM46" s="166"/>
      <c r="DN46" s="166"/>
      <c r="DO46" s="125">
        <f>'KPI Count-SHARE'!L40</f>
        <v>0</v>
      </c>
      <c r="DP46" s="166"/>
      <c r="DQ46" s="166"/>
      <c r="DR46" s="166"/>
      <c r="DS46" s="125">
        <f>'KPI Count-SHARE'!M40</f>
        <v>0</v>
      </c>
      <c r="DT46" s="166"/>
      <c r="DU46" s="166"/>
      <c r="DV46" s="166"/>
      <c r="DW46" s="167" t="str">
        <f t="shared" si="196"/>
        <v>FTE per USD '000</v>
      </c>
      <c r="DX46" s="39" t="str">
        <f t="shared" si="197"/>
        <v/>
      </c>
      <c r="DY46" s="39" t="str">
        <f t="shared" si="198"/>
        <v/>
      </c>
      <c r="DZ46" s="39" t="str">
        <f t="shared" si="199"/>
        <v/>
      </c>
      <c r="EA46" s="39" t="str">
        <f t="shared" si="200"/>
        <v/>
      </c>
      <c r="EB46" s="39" t="str">
        <f t="shared" si="201"/>
        <v/>
      </c>
      <c r="EC46" s="39" t="str">
        <f t="shared" si="202"/>
        <v/>
      </c>
      <c r="ED46" s="39" t="str">
        <f t="shared" si="203"/>
        <v/>
      </c>
      <c r="EE46" s="39" t="str">
        <f t="shared" si="204"/>
        <v/>
      </c>
      <c r="EF46" s="39" t="str">
        <f t="shared" si="205"/>
        <v/>
      </c>
      <c r="EG46" s="39" t="str">
        <f t="shared" si="206"/>
        <v/>
      </c>
      <c r="EH46" s="39" t="str">
        <f t="shared" si="207"/>
        <v/>
      </c>
      <c r="EI46" s="39" t="str">
        <f t="shared" si="208"/>
        <v/>
      </c>
      <c r="EJ46" s="39" t="str">
        <f t="shared" si="209"/>
        <v/>
      </c>
      <c r="EK46" s="39" t="str">
        <f t="shared" si="210"/>
        <v/>
      </c>
      <c r="EL46" s="39" t="str">
        <f t="shared" si="211"/>
        <v/>
      </c>
      <c r="EM46" s="39" t="str">
        <f t="shared" si="212"/>
        <v/>
      </c>
      <c r="EN46" s="39" t="str">
        <f t="shared" si="213"/>
        <v/>
      </c>
      <c r="EO46" s="39" t="str">
        <f t="shared" si="214"/>
        <v/>
      </c>
      <c r="EP46" s="39" t="str">
        <f t="shared" si="215"/>
        <v/>
      </c>
      <c r="EQ46" s="39" t="str">
        <f t="shared" si="216"/>
        <v/>
      </c>
      <c r="ER46" s="39" t="str">
        <f t="shared" si="217"/>
        <v/>
      </c>
      <c r="ES46" s="39" t="str">
        <f t="shared" si="218"/>
        <v/>
      </c>
      <c r="ET46" s="39" t="str">
        <f t="shared" si="219"/>
        <v/>
      </c>
      <c r="EU46" s="39" t="str">
        <f t="shared" si="220"/>
        <v/>
      </c>
      <c r="EV46" s="39" t="str">
        <f t="shared" si="221"/>
        <v/>
      </c>
      <c r="EW46" s="39" t="str">
        <f t="shared" si="222"/>
        <v/>
      </c>
      <c r="EX46" s="39" t="str">
        <f t="shared" si="223"/>
        <v/>
      </c>
      <c r="EY46" s="39" t="str">
        <f t="shared" si="224"/>
        <v/>
      </c>
      <c r="EZ46" s="39" t="str">
        <f t="shared" si="225"/>
        <v/>
      </c>
      <c r="FA46" s="39" t="str">
        <f t="shared" si="226"/>
        <v/>
      </c>
      <c r="FB46" s="39" t="str">
        <f t="shared" si="227"/>
        <v/>
      </c>
      <c r="FC46" s="39" t="str">
        <f t="shared" si="228"/>
        <v/>
      </c>
      <c r="FD46" s="39" t="str">
        <f t="shared" si="229"/>
        <v/>
      </c>
      <c r="FE46" s="39" t="str">
        <f t="shared" si="230"/>
        <v/>
      </c>
      <c r="FF46" s="39" t="str">
        <f t="shared" si="231"/>
        <v/>
      </c>
      <c r="FG46" s="39" t="str">
        <f t="shared" si="232"/>
        <v/>
      </c>
      <c r="FH46" s="39" t="str">
        <f t="shared" si="233"/>
        <v/>
      </c>
      <c r="FI46" s="39" t="str">
        <f t="shared" si="234"/>
        <v/>
      </c>
      <c r="FJ46" s="39" t="str">
        <f t="shared" si="235"/>
        <v/>
      </c>
      <c r="FK46" s="39" t="str">
        <f t="shared" si="236"/>
        <v/>
      </c>
      <c r="FL46" s="39" t="str">
        <f t="shared" si="237"/>
        <v/>
      </c>
      <c r="FM46" s="39" t="str">
        <f t="shared" si="238"/>
        <v/>
      </c>
      <c r="FN46" s="39" t="str">
        <f t="shared" si="239"/>
        <v/>
      </c>
      <c r="FO46" s="39" t="str">
        <f t="shared" si="240"/>
        <v/>
      </c>
      <c r="FP46" s="39" t="str">
        <f t="shared" si="241"/>
        <v/>
      </c>
      <c r="FQ46" s="39" t="str">
        <f t="shared" si="242"/>
        <v/>
      </c>
      <c r="FR46" s="39" t="str">
        <f t="shared" si="243"/>
        <v/>
      </c>
      <c r="FS46" s="39" t="str">
        <f t="shared" si="244"/>
        <v/>
      </c>
      <c r="FT46" s="39" t="str">
        <f t="shared" si="245"/>
        <v/>
      </c>
      <c r="FU46" s="39" t="str">
        <f t="shared" si="246"/>
        <v/>
      </c>
      <c r="FV46" s="39" t="str">
        <f t="shared" si="247"/>
        <v/>
      </c>
      <c r="FW46" s="39" t="str">
        <f t="shared" si="248"/>
        <v/>
      </c>
      <c r="FX46" s="39" t="str">
        <f t="shared" si="249"/>
        <v/>
      </c>
      <c r="FY46" s="39" t="str">
        <f t="shared" si="250"/>
        <v/>
      </c>
      <c r="FZ46" s="39" t="str">
        <f t="shared" si="251"/>
        <v/>
      </c>
      <c r="GA46" s="39" t="str">
        <f t="shared" si="252"/>
        <v/>
      </c>
      <c r="GB46" s="39" t="str">
        <f t="shared" si="253"/>
        <v/>
      </c>
      <c r="GC46" s="39" t="str">
        <f t="shared" si="254"/>
        <v/>
      </c>
      <c r="GD46" s="39" t="str">
        <f t="shared" si="255"/>
        <v/>
      </c>
      <c r="GE46" s="39" t="str">
        <f t="shared" si="256"/>
        <v/>
      </c>
      <c r="GF46" s="39" t="str">
        <f t="shared" si="257"/>
        <v/>
      </c>
      <c r="GG46" s="39" t="str">
        <f t="shared" si="258"/>
        <v/>
      </c>
      <c r="GH46" s="39" t="str">
        <f t="shared" si="259"/>
        <v/>
      </c>
      <c r="GI46" s="39" t="str">
        <f t="shared" si="260"/>
        <v/>
      </c>
      <c r="GJ46" s="39" t="str">
        <f t="shared" si="261"/>
        <v/>
      </c>
      <c r="GK46" s="39" t="str">
        <f t="shared" si="262"/>
        <v/>
      </c>
      <c r="GL46" s="39" t="str">
        <f t="shared" si="263"/>
        <v/>
      </c>
      <c r="GM46" s="39" t="str">
        <f t="shared" si="264"/>
        <v/>
      </c>
      <c r="GN46" s="39" t="str">
        <f t="shared" si="265"/>
        <v/>
      </c>
      <c r="GO46" s="39" t="str">
        <f t="shared" si="266"/>
        <v/>
      </c>
      <c r="GP46" s="39" t="str">
        <f t="shared" si="267"/>
        <v/>
      </c>
      <c r="GQ46" s="39" t="str">
        <f t="shared" si="268"/>
        <v/>
      </c>
      <c r="GR46" s="39" t="str">
        <f t="shared" si="269"/>
        <v/>
      </c>
      <c r="GS46" s="39" t="str">
        <f t="shared" si="270"/>
        <v/>
      </c>
      <c r="GT46" s="39" t="str">
        <f t="shared" si="271"/>
        <v/>
      </c>
      <c r="GU46" s="39" t="str">
        <f t="shared" si="272"/>
        <v/>
      </c>
      <c r="GV46" s="39" t="str">
        <f t="shared" si="273"/>
        <v/>
      </c>
      <c r="GW46" s="39" t="str">
        <f t="shared" si="274"/>
        <v/>
      </c>
      <c r="GX46" s="39" t="str">
        <f t="shared" si="275"/>
        <v/>
      </c>
      <c r="GY46" s="39" t="str">
        <f t="shared" si="276"/>
        <v/>
      </c>
      <c r="GZ46" s="39" t="str">
        <f t="shared" si="277"/>
        <v/>
      </c>
      <c r="HA46" s="39" t="str">
        <f t="shared" si="278"/>
        <v/>
      </c>
      <c r="HB46" s="39" t="str">
        <f t="shared" si="279"/>
        <v/>
      </c>
      <c r="HC46" s="39" t="str">
        <f t="shared" si="280"/>
        <v/>
      </c>
      <c r="HD46" s="39" t="str">
        <f t="shared" si="281"/>
        <v/>
      </c>
      <c r="HE46" s="39" t="str">
        <f t="shared" si="282"/>
        <v/>
      </c>
      <c r="HF46" s="39" t="str">
        <f t="shared" si="283"/>
        <v/>
      </c>
      <c r="HG46" s="39" t="str">
        <f t="shared" si="284"/>
        <v/>
      </c>
      <c r="HH46" s="39" t="str">
        <f t="shared" si="285"/>
        <v/>
      </c>
      <c r="HI46" s="39" t="str">
        <f t="shared" si="286"/>
        <v/>
      </c>
      <c r="HJ46" s="39" t="str">
        <f t="shared" si="287"/>
        <v/>
      </c>
      <c r="HK46" s="39" t="str">
        <f t="shared" si="288"/>
        <v/>
      </c>
      <c r="HL46" s="39" t="str">
        <f t="shared" si="289"/>
        <v/>
      </c>
      <c r="HM46" s="39" t="str">
        <f t="shared" si="290"/>
        <v/>
      </c>
      <c r="HN46" s="39" t="str">
        <f t="shared" si="291"/>
        <v/>
      </c>
      <c r="HO46" s="39" t="str">
        <f t="shared" si="292"/>
        <v/>
      </c>
      <c r="HP46" s="39" t="str">
        <f t="shared" si="293"/>
        <v/>
      </c>
      <c r="HQ46" s="39" t="str">
        <f t="shared" si="294"/>
        <v/>
      </c>
      <c r="HR46" s="39" t="str">
        <f t="shared" si="295"/>
        <v/>
      </c>
      <c r="HS46" s="39" t="str">
        <f t="shared" si="296"/>
        <v/>
      </c>
      <c r="HT46" s="39" t="str">
        <f t="shared" si="297"/>
        <v/>
      </c>
      <c r="HU46" s="168" t="str">
        <f t="shared" si="298"/>
        <v>-</v>
      </c>
      <c r="HV46" s="169" t="str">
        <f t="shared" si="299"/>
        <v/>
      </c>
      <c r="HW46" s="170" t="str">
        <f t="shared" si="300"/>
        <v/>
      </c>
      <c r="HX46" s="169" t="str">
        <f t="shared" si="301"/>
        <v/>
      </c>
      <c r="HY46" s="169" t="str">
        <f t="shared" si="302"/>
        <v/>
      </c>
      <c r="HZ46" s="169" t="str">
        <f t="shared" si="303"/>
        <v/>
      </c>
      <c r="IA46" s="168" t="str">
        <f t="shared" si="304"/>
        <v/>
      </c>
      <c r="IB46" s="169" t="str">
        <f t="shared" si="305"/>
        <v/>
      </c>
      <c r="IC46" s="170" t="str">
        <f t="shared" si="306"/>
        <v/>
      </c>
      <c r="ID46" s="168" t="str">
        <f t="shared" si="307"/>
        <v/>
      </c>
      <c r="IE46" s="169" t="str">
        <f t="shared" si="308"/>
        <v/>
      </c>
      <c r="IF46" s="170" t="str">
        <f t="shared" si="309"/>
        <v/>
      </c>
      <c r="IH46" s="171">
        <v>46</v>
      </c>
      <c r="II46" s="171" t="e">
        <f t="shared" ca="1" si="192"/>
        <v>#N/A</v>
      </c>
      <c r="IJ46" s="171" t="e">
        <f t="shared" ca="1" si="193"/>
        <v>#N/A</v>
      </c>
      <c r="IK46" s="171" t="e">
        <f t="shared" ca="1" si="194"/>
        <v>#N/A</v>
      </c>
      <c r="IL46" s="171" t="e">
        <f t="shared" ca="1" si="195"/>
        <v>#N/A</v>
      </c>
      <c r="IM46" s="162"/>
      <c r="IN46" s="165" t="e">
        <f t="shared" ca="1" si="184"/>
        <v>#N/A</v>
      </c>
      <c r="IO46" s="172" t="e">
        <f t="shared" ca="1" si="185"/>
        <v>#N/A</v>
      </c>
      <c r="IP46" s="172" t="e">
        <f t="shared" ca="1" si="186"/>
        <v>#N/A</v>
      </c>
      <c r="IQ46" s="165" t="e">
        <f t="shared" ca="1" si="187"/>
        <v>#N/A</v>
      </c>
      <c r="IR46" s="173" t="e">
        <f t="shared" ca="1" si="188"/>
        <v>#N/A</v>
      </c>
    </row>
    <row r="47" spans="1:252" s="163" customFormat="1" x14ac:dyDescent="0.35">
      <c r="A47" s="162">
        <v>0</v>
      </c>
      <c r="B47" s="162">
        <v>1</v>
      </c>
      <c r="C47" s="162">
        <v>1</v>
      </c>
      <c r="E47" s="3"/>
      <c r="F47" s="2" t="s">
        <v>311</v>
      </c>
      <c r="G47" s="164" t="s">
        <v>540</v>
      </c>
      <c r="H47" s="3" t="s">
        <v>543</v>
      </c>
      <c r="I47" s="8" t="s">
        <v>555</v>
      </c>
      <c r="J47" s="276" t="s">
        <v>805</v>
      </c>
      <c r="K47" s="175" t="s">
        <v>805</v>
      </c>
      <c r="L47" s="175" t="s">
        <v>805</v>
      </c>
      <c r="M47" s="175" t="s">
        <v>805</v>
      </c>
      <c r="N47" s="175" t="s">
        <v>805</v>
      </c>
      <c r="O47" s="175" t="s">
        <v>805</v>
      </c>
      <c r="P47" s="175" t="s">
        <v>805</v>
      </c>
      <c r="Q47" s="175" t="s">
        <v>805</v>
      </c>
      <c r="R47" s="175" t="s">
        <v>805</v>
      </c>
      <c r="S47" s="175" t="s">
        <v>805</v>
      </c>
      <c r="T47" s="175" t="s">
        <v>805</v>
      </c>
      <c r="U47" s="175" t="s">
        <v>805</v>
      </c>
      <c r="V47" s="175" t="s">
        <v>805</v>
      </c>
      <c r="W47" s="175" t="s">
        <v>805</v>
      </c>
      <c r="X47" s="175" t="s">
        <v>805</v>
      </c>
      <c r="Y47" s="175" t="s">
        <v>805</v>
      </c>
      <c r="Z47" s="175" t="s">
        <v>805</v>
      </c>
      <c r="AA47" s="175" t="s">
        <v>805</v>
      </c>
      <c r="AB47" s="175" t="s">
        <v>805</v>
      </c>
      <c r="AC47" s="175" t="s">
        <v>805</v>
      </c>
      <c r="AD47" s="175" t="s">
        <v>805</v>
      </c>
      <c r="AE47" s="175" t="s">
        <v>805</v>
      </c>
      <c r="AF47" s="175" t="s">
        <v>805</v>
      </c>
      <c r="AG47" s="175" t="s">
        <v>805</v>
      </c>
      <c r="AH47" s="175" t="s">
        <v>805</v>
      </c>
      <c r="AI47" s="175" t="s">
        <v>805</v>
      </c>
      <c r="AJ47" s="175" t="s">
        <v>805</v>
      </c>
      <c r="AK47" s="175" t="s">
        <v>805</v>
      </c>
      <c r="AL47" s="175" t="s">
        <v>805</v>
      </c>
      <c r="AM47" s="175" t="s">
        <v>805</v>
      </c>
      <c r="AN47" s="175" t="s">
        <v>805</v>
      </c>
      <c r="AO47" s="175" t="s">
        <v>805</v>
      </c>
      <c r="AP47" s="175" t="s">
        <v>805</v>
      </c>
      <c r="AQ47" s="175" t="s">
        <v>805</v>
      </c>
      <c r="AR47" s="175" t="s">
        <v>805</v>
      </c>
      <c r="AS47" s="175" t="s">
        <v>805</v>
      </c>
      <c r="AT47" s="175" t="s">
        <v>805</v>
      </c>
      <c r="AU47" s="175" t="s">
        <v>805</v>
      </c>
      <c r="AV47" s="175" t="s">
        <v>805</v>
      </c>
      <c r="AW47" s="175" t="s">
        <v>805</v>
      </c>
      <c r="AX47" s="175" t="s">
        <v>805</v>
      </c>
      <c r="AY47" s="175" t="s">
        <v>805</v>
      </c>
      <c r="AZ47" s="175" t="s">
        <v>805</v>
      </c>
      <c r="BA47" s="175" t="s">
        <v>805</v>
      </c>
      <c r="BB47" s="175" t="s">
        <v>805</v>
      </c>
      <c r="BC47" s="175" t="s">
        <v>805</v>
      </c>
      <c r="BD47" s="175" t="s">
        <v>805</v>
      </c>
      <c r="BE47" s="175" t="s">
        <v>805</v>
      </c>
      <c r="BF47" s="175" t="s">
        <v>805</v>
      </c>
      <c r="BG47" s="175" t="s">
        <v>805</v>
      </c>
      <c r="BH47" s="175" t="s">
        <v>805</v>
      </c>
      <c r="BI47" s="175" t="s">
        <v>805</v>
      </c>
      <c r="BJ47" s="175" t="s">
        <v>805</v>
      </c>
      <c r="BK47" s="175" t="s">
        <v>805</v>
      </c>
      <c r="BL47" s="175" t="s">
        <v>805</v>
      </c>
      <c r="BM47" s="175" t="s">
        <v>805</v>
      </c>
      <c r="BN47" s="175" t="s">
        <v>805</v>
      </c>
      <c r="BO47" s="175" t="s">
        <v>805</v>
      </c>
      <c r="BP47" s="175" t="s">
        <v>805</v>
      </c>
      <c r="BQ47" s="175" t="s">
        <v>805</v>
      </c>
      <c r="BR47" s="175" t="s">
        <v>805</v>
      </c>
      <c r="BS47" s="175" t="s">
        <v>805</v>
      </c>
      <c r="BT47" s="175" t="s">
        <v>805</v>
      </c>
      <c r="BU47" s="175" t="s">
        <v>805</v>
      </c>
      <c r="BV47" s="175" t="s">
        <v>805</v>
      </c>
      <c r="BW47" s="175" t="s">
        <v>805</v>
      </c>
      <c r="BX47" s="175" t="s">
        <v>805</v>
      </c>
      <c r="BY47" s="175" t="s">
        <v>805</v>
      </c>
      <c r="BZ47" s="175" t="s">
        <v>805</v>
      </c>
      <c r="CA47" s="175" t="s">
        <v>805</v>
      </c>
      <c r="CB47" s="175" t="s">
        <v>805</v>
      </c>
      <c r="CC47" s="175" t="s">
        <v>805</v>
      </c>
      <c r="CD47" s="175" t="s">
        <v>805</v>
      </c>
      <c r="CE47" s="175" t="s">
        <v>805</v>
      </c>
      <c r="CF47" s="175" t="s">
        <v>805</v>
      </c>
      <c r="CG47" s="175" t="s">
        <v>805</v>
      </c>
      <c r="CH47" s="175" t="s">
        <v>805</v>
      </c>
      <c r="CI47" s="175" t="s">
        <v>805</v>
      </c>
      <c r="CJ47" s="175" t="s">
        <v>805</v>
      </c>
      <c r="CK47" s="175" t="s">
        <v>805</v>
      </c>
      <c r="CL47" s="175" t="s">
        <v>805</v>
      </c>
      <c r="CM47" s="175" t="s">
        <v>805</v>
      </c>
      <c r="CN47" s="175" t="s">
        <v>805</v>
      </c>
      <c r="CO47" s="175" t="s">
        <v>805</v>
      </c>
      <c r="CP47" s="175" t="s">
        <v>805</v>
      </c>
      <c r="CQ47" s="175" t="s">
        <v>805</v>
      </c>
      <c r="CR47" s="175" t="s">
        <v>805</v>
      </c>
      <c r="CS47" s="175" t="s">
        <v>805</v>
      </c>
      <c r="CT47" s="175" t="s">
        <v>805</v>
      </c>
      <c r="CU47" s="175" t="s">
        <v>805</v>
      </c>
      <c r="CV47" s="175" t="s">
        <v>805</v>
      </c>
      <c r="CW47" s="175" t="s">
        <v>805</v>
      </c>
      <c r="CX47" s="175" t="s">
        <v>805</v>
      </c>
      <c r="CY47" s="175" t="s">
        <v>805</v>
      </c>
      <c r="CZ47" s="175" t="s">
        <v>805</v>
      </c>
      <c r="DA47" s="175" t="s">
        <v>805</v>
      </c>
      <c r="DB47" s="175" t="s">
        <v>805</v>
      </c>
      <c r="DC47" s="175" t="s">
        <v>805</v>
      </c>
      <c r="DD47" s="175" t="s">
        <v>805</v>
      </c>
      <c r="DE47" s="175" t="s">
        <v>805</v>
      </c>
      <c r="DF47" s="175" t="s">
        <v>805</v>
      </c>
      <c r="DG47" s="125">
        <f>'KPI Count-SHARE'!J41</f>
        <v>0</v>
      </c>
      <c r="DH47" s="176"/>
      <c r="DI47" s="176"/>
      <c r="DJ47" s="176"/>
      <c r="DK47" s="125">
        <f>'KPI Count-SHARE'!K41</f>
        <v>0</v>
      </c>
      <c r="DL47" s="177"/>
      <c r="DM47" s="177"/>
      <c r="DN47" s="177"/>
      <c r="DO47" s="125">
        <f>'KPI Count-SHARE'!L41</f>
        <v>0</v>
      </c>
      <c r="DP47" s="177"/>
      <c r="DQ47" s="177"/>
      <c r="DR47" s="177"/>
      <c r="DS47" s="125">
        <f>'KPI Count-SHARE'!M41</f>
        <v>0</v>
      </c>
      <c r="DT47" s="177"/>
      <c r="DU47" s="177"/>
      <c r="DV47" s="177"/>
      <c r="DW47" s="167" t="str">
        <f t="shared" si="196"/>
        <v>FTE per USD '000</v>
      </c>
      <c r="DX47" s="39" t="str">
        <f t="shared" si="197"/>
        <v/>
      </c>
      <c r="DY47" s="39" t="str">
        <f t="shared" si="198"/>
        <v/>
      </c>
      <c r="DZ47" s="39" t="str">
        <f t="shared" si="199"/>
        <v/>
      </c>
      <c r="EA47" s="39" t="str">
        <f t="shared" si="200"/>
        <v/>
      </c>
      <c r="EB47" s="39" t="str">
        <f t="shared" si="201"/>
        <v/>
      </c>
      <c r="EC47" s="39" t="str">
        <f t="shared" si="202"/>
        <v/>
      </c>
      <c r="ED47" s="39" t="str">
        <f t="shared" si="203"/>
        <v/>
      </c>
      <c r="EE47" s="39" t="str">
        <f t="shared" si="204"/>
        <v/>
      </c>
      <c r="EF47" s="39" t="str">
        <f t="shared" si="205"/>
        <v/>
      </c>
      <c r="EG47" s="39" t="str">
        <f t="shared" si="206"/>
        <v/>
      </c>
      <c r="EH47" s="39" t="str">
        <f t="shared" si="207"/>
        <v/>
      </c>
      <c r="EI47" s="39" t="str">
        <f t="shared" si="208"/>
        <v/>
      </c>
      <c r="EJ47" s="39" t="str">
        <f t="shared" si="209"/>
        <v/>
      </c>
      <c r="EK47" s="39" t="str">
        <f t="shared" si="210"/>
        <v/>
      </c>
      <c r="EL47" s="39" t="str">
        <f t="shared" si="211"/>
        <v/>
      </c>
      <c r="EM47" s="39" t="str">
        <f t="shared" si="212"/>
        <v/>
      </c>
      <c r="EN47" s="39" t="str">
        <f t="shared" si="213"/>
        <v/>
      </c>
      <c r="EO47" s="39" t="str">
        <f t="shared" si="214"/>
        <v/>
      </c>
      <c r="EP47" s="39" t="str">
        <f t="shared" si="215"/>
        <v/>
      </c>
      <c r="EQ47" s="39" t="str">
        <f t="shared" si="216"/>
        <v/>
      </c>
      <c r="ER47" s="39" t="str">
        <f t="shared" si="217"/>
        <v/>
      </c>
      <c r="ES47" s="39" t="str">
        <f t="shared" si="218"/>
        <v/>
      </c>
      <c r="ET47" s="39" t="str">
        <f t="shared" si="219"/>
        <v/>
      </c>
      <c r="EU47" s="39" t="str">
        <f t="shared" si="220"/>
        <v/>
      </c>
      <c r="EV47" s="39" t="str">
        <f t="shared" si="221"/>
        <v/>
      </c>
      <c r="EW47" s="39" t="str">
        <f t="shared" si="222"/>
        <v/>
      </c>
      <c r="EX47" s="39" t="str">
        <f t="shared" si="223"/>
        <v/>
      </c>
      <c r="EY47" s="39" t="str">
        <f t="shared" si="224"/>
        <v/>
      </c>
      <c r="EZ47" s="39" t="str">
        <f t="shared" si="225"/>
        <v/>
      </c>
      <c r="FA47" s="39" t="str">
        <f t="shared" si="226"/>
        <v/>
      </c>
      <c r="FB47" s="39" t="str">
        <f t="shared" si="227"/>
        <v/>
      </c>
      <c r="FC47" s="39" t="str">
        <f t="shared" si="228"/>
        <v/>
      </c>
      <c r="FD47" s="39" t="str">
        <f t="shared" si="229"/>
        <v/>
      </c>
      <c r="FE47" s="39" t="str">
        <f t="shared" si="230"/>
        <v/>
      </c>
      <c r="FF47" s="39" t="str">
        <f t="shared" si="231"/>
        <v/>
      </c>
      <c r="FG47" s="39" t="str">
        <f t="shared" si="232"/>
        <v/>
      </c>
      <c r="FH47" s="39" t="str">
        <f t="shared" si="233"/>
        <v/>
      </c>
      <c r="FI47" s="39" t="str">
        <f t="shared" si="234"/>
        <v/>
      </c>
      <c r="FJ47" s="39" t="str">
        <f t="shared" si="235"/>
        <v/>
      </c>
      <c r="FK47" s="39" t="str">
        <f t="shared" si="236"/>
        <v/>
      </c>
      <c r="FL47" s="39" t="str">
        <f t="shared" si="237"/>
        <v/>
      </c>
      <c r="FM47" s="39" t="str">
        <f t="shared" si="238"/>
        <v/>
      </c>
      <c r="FN47" s="39" t="str">
        <f t="shared" si="239"/>
        <v/>
      </c>
      <c r="FO47" s="39" t="str">
        <f t="shared" si="240"/>
        <v/>
      </c>
      <c r="FP47" s="39" t="str">
        <f t="shared" si="241"/>
        <v/>
      </c>
      <c r="FQ47" s="39" t="str">
        <f t="shared" si="242"/>
        <v/>
      </c>
      <c r="FR47" s="39" t="str">
        <f t="shared" si="243"/>
        <v/>
      </c>
      <c r="FS47" s="39" t="str">
        <f t="shared" si="244"/>
        <v/>
      </c>
      <c r="FT47" s="39" t="str">
        <f t="shared" si="245"/>
        <v/>
      </c>
      <c r="FU47" s="39" t="str">
        <f t="shared" si="246"/>
        <v/>
      </c>
      <c r="FV47" s="39" t="str">
        <f t="shared" si="247"/>
        <v/>
      </c>
      <c r="FW47" s="39" t="str">
        <f t="shared" si="248"/>
        <v/>
      </c>
      <c r="FX47" s="39" t="str">
        <f t="shared" si="249"/>
        <v/>
      </c>
      <c r="FY47" s="39" t="str">
        <f t="shared" si="250"/>
        <v/>
      </c>
      <c r="FZ47" s="39" t="str">
        <f t="shared" si="251"/>
        <v/>
      </c>
      <c r="GA47" s="39" t="str">
        <f t="shared" si="252"/>
        <v/>
      </c>
      <c r="GB47" s="39" t="str">
        <f t="shared" si="253"/>
        <v/>
      </c>
      <c r="GC47" s="39" t="str">
        <f t="shared" si="254"/>
        <v/>
      </c>
      <c r="GD47" s="39" t="str">
        <f t="shared" si="255"/>
        <v/>
      </c>
      <c r="GE47" s="39" t="str">
        <f t="shared" si="256"/>
        <v/>
      </c>
      <c r="GF47" s="39" t="str">
        <f t="shared" si="257"/>
        <v/>
      </c>
      <c r="GG47" s="39" t="str">
        <f t="shared" si="258"/>
        <v/>
      </c>
      <c r="GH47" s="39" t="str">
        <f t="shared" si="259"/>
        <v/>
      </c>
      <c r="GI47" s="39" t="str">
        <f t="shared" si="260"/>
        <v/>
      </c>
      <c r="GJ47" s="39" t="str">
        <f t="shared" si="261"/>
        <v/>
      </c>
      <c r="GK47" s="39" t="str">
        <f t="shared" si="262"/>
        <v/>
      </c>
      <c r="GL47" s="39" t="str">
        <f t="shared" si="263"/>
        <v/>
      </c>
      <c r="GM47" s="39" t="str">
        <f t="shared" si="264"/>
        <v/>
      </c>
      <c r="GN47" s="39" t="str">
        <f t="shared" si="265"/>
        <v/>
      </c>
      <c r="GO47" s="39" t="str">
        <f t="shared" si="266"/>
        <v/>
      </c>
      <c r="GP47" s="39" t="str">
        <f t="shared" si="267"/>
        <v/>
      </c>
      <c r="GQ47" s="39" t="str">
        <f t="shared" si="268"/>
        <v/>
      </c>
      <c r="GR47" s="39" t="str">
        <f t="shared" si="269"/>
        <v/>
      </c>
      <c r="GS47" s="39" t="str">
        <f t="shared" si="270"/>
        <v/>
      </c>
      <c r="GT47" s="39" t="str">
        <f t="shared" si="271"/>
        <v/>
      </c>
      <c r="GU47" s="39" t="str">
        <f t="shared" si="272"/>
        <v/>
      </c>
      <c r="GV47" s="39" t="str">
        <f t="shared" si="273"/>
        <v/>
      </c>
      <c r="GW47" s="39" t="str">
        <f t="shared" si="274"/>
        <v/>
      </c>
      <c r="GX47" s="39" t="str">
        <f t="shared" si="275"/>
        <v/>
      </c>
      <c r="GY47" s="39" t="str">
        <f t="shared" si="276"/>
        <v/>
      </c>
      <c r="GZ47" s="39" t="str">
        <f t="shared" si="277"/>
        <v/>
      </c>
      <c r="HA47" s="39" t="str">
        <f t="shared" si="278"/>
        <v/>
      </c>
      <c r="HB47" s="39" t="str">
        <f t="shared" si="279"/>
        <v/>
      </c>
      <c r="HC47" s="39" t="str">
        <f t="shared" si="280"/>
        <v/>
      </c>
      <c r="HD47" s="39" t="str">
        <f t="shared" si="281"/>
        <v/>
      </c>
      <c r="HE47" s="39" t="str">
        <f t="shared" si="282"/>
        <v/>
      </c>
      <c r="HF47" s="39" t="str">
        <f t="shared" si="283"/>
        <v/>
      </c>
      <c r="HG47" s="39" t="str">
        <f t="shared" si="284"/>
        <v/>
      </c>
      <c r="HH47" s="39" t="str">
        <f t="shared" si="285"/>
        <v/>
      </c>
      <c r="HI47" s="39" t="str">
        <f t="shared" si="286"/>
        <v/>
      </c>
      <c r="HJ47" s="39" t="str">
        <f t="shared" si="287"/>
        <v/>
      </c>
      <c r="HK47" s="39" t="str">
        <f t="shared" si="288"/>
        <v/>
      </c>
      <c r="HL47" s="39" t="str">
        <f t="shared" si="289"/>
        <v/>
      </c>
      <c r="HM47" s="39" t="str">
        <f t="shared" si="290"/>
        <v/>
      </c>
      <c r="HN47" s="39" t="str">
        <f t="shared" si="291"/>
        <v/>
      </c>
      <c r="HO47" s="39" t="str">
        <f t="shared" si="292"/>
        <v/>
      </c>
      <c r="HP47" s="39" t="str">
        <f t="shared" si="293"/>
        <v/>
      </c>
      <c r="HQ47" s="39" t="str">
        <f t="shared" si="294"/>
        <v/>
      </c>
      <c r="HR47" s="39" t="str">
        <f t="shared" si="295"/>
        <v/>
      </c>
      <c r="HS47" s="39" t="str">
        <f t="shared" si="296"/>
        <v/>
      </c>
      <c r="HT47" s="39" t="str">
        <f t="shared" si="297"/>
        <v/>
      </c>
      <c r="HU47" s="168" t="str">
        <f t="shared" si="298"/>
        <v>-</v>
      </c>
      <c r="HV47" s="169" t="str">
        <f t="shared" si="299"/>
        <v/>
      </c>
      <c r="HW47" s="170" t="str">
        <f t="shared" si="300"/>
        <v/>
      </c>
      <c r="HX47" s="169" t="str">
        <f t="shared" si="301"/>
        <v/>
      </c>
      <c r="HY47" s="169" t="str">
        <f t="shared" si="302"/>
        <v/>
      </c>
      <c r="HZ47" s="169" t="str">
        <f t="shared" si="303"/>
        <v/>
      </c>
      <c r="IA47" s="168" t="str">
        <f t="shared" si="304"/>
        <v/>
      </c>
      <c r="IB47" s="169" t="str">
        <f t="shared" si="305"/>
        <v/>
      </c>
      <c r="IC47" s="170" t="str">
        <f t="shared" si="306"/>
        <v/>
      </c>
      <c r="ID47" s="168" t="str">
        <f t="shared" si="307"/>
        <v/>
      </c>
      <c r="IE47" s="169" t="str">
        <f t="shared" si="308"/>
        <v/>
      </c>
      <c r="IF47" s="170" t="str">
        <f t="shared" si="309"/>
        <v/>
      </c>
      <c r="IH47" s="171">
        <v>47</v>
      </c>
      <c r="II47" s="171" t="e">
        <f t="shared" ca="1" si="192"/>
        <v>#N/A</v>
      </c>
      <c r="IJ47" s="171" t="e">
        <f t="shared" ca="1" si="193"/>
        <v>#N/A</v>
      </c>
      <c r="IK47" s="171" t="e">
        <f t="shared" ca="1" si="194"/>
        <v>#N/A</v>
      </c>
      <c r="IL47" s="171" t="e">
        <f t="shared" ca="1" si="195"/>
        <v>#N/A</v>
      </c>
      <c r="IM47" s="162"/>
      <c r="IN47" s="173" t="e">
        <f t="shared" ca="1" si="184"/>
        <v>#N/A</v>
      </c>
      <c r="IO47" s="172" t="e">
        <f t="shared" ca="1" si="185"/>
        <v>#N/A</v>
      </c>
      <c r="IP47" s="172" t="e">
        <f t="shared" ca="1" si="186"/>
        <v>#N/A</v>
      </c>
      <c r="IQ47" s="173" t="e">
        <f t="shared" ca="1" si="187"/>
        <v>#N/A</v>
      </c>
      <c r="IR47" s="173" t="e">
        <f t="shared" ca="1" si="188"/>
        <v>#N/A</v>
      </c>
    </row>
    <row r="48" spans="1:252" s="163" customFormat="1" x14ac:dyDescent="0.35">
      <c r="A48" s="162">
        <v>0</v>
      </c>
      <c r="B48" s="162">
        <v>0</v>
      </c>
      <c r="C48" s="162">
        <v>1</v>
      </c>
      <c r="E48" s="3"/>
      <c r="F48" s="2" t="s">
        <v>312</v>
      </c>
      <c r="G48" s="164" t="s">
        <v>540</v>
      </c>
      <c r="H48" s="3" t="s">
        <v>543</v>
      </c>
      <c r="I48" s="8" t="s">
        <v>555</v>
      </c>
      <c r="J48" s="276" t="s">
        <v>805</v>
      </c>
      <c r="K48" s="178" t="s">
        <v>805</v>
      </c>
      <c r="L48" s="178" t="s">
        <v>805</v>
      </c>
      <c r="M48" s="178" t="s">
        <v>805</v>
      </c>
      <c r="N48" s="178" t="s">
        <v>805</v>
      </c>
      <c r="O48" s="178" t="s">
        <v>805</v>
      </c>
      <c r="P48" s="178" t="s">
        <v>805</v>
      </c>
      <c r="Q48" s="178" t="s">
        <v>805</v>
      </c>
      <c r="R48" s="178" t="s">
        <v>805</v>
      </c>
      <c r="S48" s="178" t="s">
        <v>805</v>
      </c>
      <c r="T48" s="178" t="s">
        <v>805</v>
      </c>
      <c r="U48" s="178" t="s">
        <v>805</v>
      </c>
      <c r="V48" s="178" t="s">
        <v>805</v>
      </c>
      <c r="W48" s="178" t="s">
        <v>805</v>
      </c>
      <c r="X48" s="178" t="s">
        <v>805</v>
      </c>
      <c r="Y48" s="178" t="s">
        <v>805</v>
      </c>
      <c r="Z48" s="178" t="s">
        <v>805</v>
      </c>
      <c r="AA48" s="178" t="s">
        <v>805</v>
      </c>
      <c r="AB48" s="178" t="s">
        <v>805</v>
      </c>
      <c r="AC48" s="178" t="s">
        <v>805</v>
      </c>
      <c r="AD48" s="178" t="s">
        <v>805</v>
      </c>
      <c r="AE48" s="178" t="s">
        <v>805</v>
      </c>
      <c r="AF48" s="178" t="s">
        <v>805</v>
      </c>
      <c r="AG48" s="178" t="s">
        <v>805</v>
      </c>
      <c r="AH48" s="178" t="s">
        <v>805</v>
      </c>
      <c r="AI48" s="178" t="s">
        <v>805</v>
      </c>
      <c r="AJ48" s="178" t="s">
        <v>805</v>
      </c>
      <c r="AK48" s="178" t="s">
        <v>805</v>
      </c>
      <c r="AL48" s="178" t="s">
        <v>805</v>
      </c>
      <c r="AM48" s="178" t="s">
        <v>805</v>
      </c>
      <c r="AN48" s="178" t="s">
        <v>805</v>
      </c>
      <c r="AO48" s="178" t="s">
        <v>805</v>
      </c>
      <c r="AP48" s="178" t="s">
        <v>805</v>
      </c>
      <c r="AQ48" s="178" t="s">
        <v>805</v>
      </c>
      <c r="AR48" s="178" t="s">
        <v>805</v>
      </c>
      <c r="AS48" s="178" t="s">
        <v>805</v>
      </c>
      <c r="AT48" s="178" t="s">
        <v>805</v>
      </c>
      <c r="AU48" s="178" t="s">
        <v>805</v>
      </c>
      <c r="AV48" s="178" t="s">
        <v>805</v>
      </c>
      <c r="AW48" s="178" t="s">
        <v>805</v>
      </c>
      <c r="AX48" s="178" t="s">
        <v>805</v>
      </c>
      <c r="AY48" s="178" t="s">
        <v>805</v>
      </c>
      <c r="AZ48" s="178" t="s">
        <v>805</v>
      </c>
      <c r="BA48" s="178" t="s">
        <v>805</v>
      </c>
      <c r="BB48" s="178" t="s">
        <v>805</v>
      </c>
      <c r="BC48" s="178" t="s">
        <v>805</v>
      </c>
      <c r="BD48" s="178" t="s">
        <v>805</v>
      </c>
      <c r="BE48" s="178" t="s">
        <v>805</v>
      </c>
      <c r="BF48" s="178" t="s">
        <v>805</v>
      </c>
      <c r="BG48" s="178" t="s">
        <v>805</v>
      </c>
      <c r="BH48" s="178" t="s">
        <v>805</v>
      </c>
      <c r="BI48" s="178" t="s">
        <v>805</v>
      </c>
      <c r="BJ48" s="178" t="s">
        <v>805</v>
      </c>
      <c r="BK48" s="178" t="s">
        <v>805</v>
      </c>
      <c r="BL48" s="178" t="s">
        <v>805</v>
      </c>
      <c r="BM48" s="178" t="s">
        <v>805</v>
      </c>
      <c r="BN48" s="178" t="s">
        <v>805</v>
      </c>
      <c r="BO48" s="178" t="s">
        <v>805</v>
      </c>
      <c r="BP48" s="178" t="s">
        <v>805</v>
      </c>
      <c r="BQ48" s="178" t="s">
        <v>805</v>
      </c>
      <c r="BR48" s="178" t="s">
        <v>805</v>
      </c>
      <c r="BS48" s="178" t="s">
        <v>805</v>
      </c>
      <c r="BT48" s="178" t="s">
        <v>805</v>
      </c>
      <c r="BU48" s="178" t="s">
        <v>805</v>
      </c>
      <c r="BV48" s="178" t="s">
        <v>805</v>
      </c>
      <c r="BW48" s="178" t="s">
        <v>805</v>
      </c>
      <c r="BX48" s="178" t="s">
        <v>805</v>
      </c>
      <c r="BY48" s="178" t="s">
        <v>805</v>
      </c>
      <c r="BZ48" s="178" t="s">
        <v>805</v>
      </c>
      <c r="CA48" s="178" t="s">
        <v>805</v>
      </c>
      <c r="CB48" s="178" t="s">
        <v>805</v>
      </c>
      <c r="CC48" s="178" t="s">
        <v>805</v>
      </c>
      <c r="CD48" s="178" t="s">
        <v>805</v>
      </c>
      <c r="CE48" s="178" t="s">
        <v>805</v>
      </c>
      <c r="CF48" s="178" t="s">
        <v>805</v>
      </c>
      <c r="CG48" s="178" t="s">
        <v>805</v>
      </c>
      <c r="CH48" s="178" t="s">
        <v>805</v>
      </c>
      <c r="CI48" s="178" t="s">
        <v>805</v>
      </c>
      <c r="CJ48" s="178" t="s">
        <v>805</v>
      </c>
      <c r="CK48" s="178" t="s">
        <v>805</v>
      </c>
      <c r="CL48" s="178" t="s">
        <v>805</v>
      </c>
      <c r="CM48" s="178" t="s">
        <v>805</v>
      </c>
      <c r="CN48" s="178" t="s">
        <v>805</v>
      </c>
      <c r="CO48" s="178" t="s">
        <v>805</v>
      </c>
      <c r="CP48" s="178" t="s">
        <v>805</v>
      </c>
      <c r="CQ48" s="178" t="s">
        <v>805</v>
      </c>
      <c r="CR48" s="178" t="s">
        <v>805</v>
      </c>
      <c r="CS48" s="178" t="s">
        <v>805</v>
      </c>
      <c r="CT48" s="178" t="s">
        <v>805</v>
      </c>
      <c r="CU48" s="178" t="s">
        <v>805</v>
      </c>
      <c r="CV48" s="178" t="s">
        <v>805</v>
      </c>
      <c r="CW48" s="178" t="s">
        <v>805</v>
      </c>
      <c r="CX48" s="178" t="s">
        <v>805</v>
      </c>
      <c r="CY48" s="178" t="s">
        <v>805</v>
      </c>
      <c r="CZ48" s="178" t="s">
        <v>805</v>
      </c>
      <c r="DA48" s="178" t="s">
        <v>805</v>
      </c>
      <c r="DB48" s="178" t="s">
        <v>805</v>
      </c>
      <c r="DC48" s="178" t="s">
        <v>805</v>
      </c>
      <c r="DD48" s="178" t="s">
        <v>805</v>
      </c>
      <c r="DE48" s="178" t="s">
        <v>805</v>
      </c>
      <c r="DF48" s="178" t="s">
        <v>805</v>
      </c>
      <c r="DG48" s="125">
        <f>'KPI Count-SHARE'!J42</f>
        <v>0</v>
      </c>
      <c r="DH48" s="179"/>
      <c r="DI48" s="179"/>
      <c r="DJ48" s="179"/>
      <c r="DK48" s="125">
        <f>'KPI Count-SHARE'!K42</f>
        <v>0</v>
      </c>
      <c r="DL48" s="178"/>
      <c r="DM48" s="178"/>
      <c r="DN48" s="178"/>
      <c r="DO48" s="125">
        <f>'KPI Count-SHARE'!L42</f>
        <v>0</v>
      </c>
      <c r="DP48" s="178"/>
      <c r="DQ48" s="178"/>
      <c r="DR48" s="178"/>
      <c r="DS48" s="125">
        <f>'KPI Count-SHARE'!M42</f>
        <v>0</v>
      </c>
      <c r="DT48" s="178"/>
      <c r="DU48" s="178"/>
      <c r="DV48" s="178"/>
      <c r="DW48" s="167" t="str">
        <f t="shared" si="196"/>
        <v>FTE per USD '000</v>
      </c>
      <c r="DX48" s="39" t="str">
        <f t="shared" si="197"/>
        <v/>
      </c>
      <c r="DY48" s="39" t="str">
        <f t="shared" si="198"/>
        <v/>
      </c>
      <c r="DZ48" s="39" t="str">
        <f t="shared" si="199"/>
        <v/>
      </c>
      <c r="EA48" s="39" t="str">
        <f t="shared" si="200"/>
        <v/>
      </c>
      <c r="EB48" s="39" t="str">
        <f t="shared" si="201"/>
        <v/>
      </c>
      <c r="EC48" s="39" t="str">
        <f t="shared" si="202"/>
        <v/>
      </c>
      <c r="ED48" s="39" t="str">
        <f t="shared" si="203"/>
        <v/>
      </c>
      <c r="EE48" s="39" t="str">
        <f t="shared" si="204"/>
        <v/>
      </c>
      <c r="EF48" s="39" t="str">
        <f t="shared" si="205"/>
        <v/>
      </c>
      <c r="EG48" s="39" t="str">
        <f t="shared" si="206"/>
        <v/>
      </c>
      <c r="EH48" s="39" t="str">
        <f t="shared" si="207"/>
        <v/>
      </c>
      <c r="EI48" s="39" t="str">
        <f t="shared" si="208"/>
        <v/>
      </c>
      <c r="EJ48" s="39" t="str">
        <f t="shared" si="209"/>
        <v/>
      </c>
      <c r="EK48" s="39" t="str">
        <f t="shared" si="210"/>
        <v/>
      </c>
      <c r="EL48" s="39" t="str">
        <f t="shared" si="211"/>
        <v/>
      </c>
      <c r="EM48" s="39" t="str">
        <f t="shared" si="212"/>
        <v/>
      </c>
      <c r="EN48" s="39" t="str">
        <f t="shared" si="213"/>
        <v/>
      </c>
      <c r="EO48" s="39" t="str">
        <f t="shared" si="214"/>
        <v/>
      </c>
      <c r="EP48" s="39" t="str">
        <f t="shared" si="215"/>
        <v/>
      </c>
      <c r="EQ48" s="39" t="str">
        <f t="shared" si="216"/>
        <v/>
      </c>
      <c r="ER48" s="39" t="str">
        <f t="shared" si="217"/>
        <v/>
      </c>
      <c r="ES48" s="39" t="str">
        <f t="shared" si="218"/>
        <v/>
      </c>
      <c r="ET48" s="39" t="str">
        <f t="shared" si="219"/>
        <v/>
      </c>
      <c r="EU48" s="39" t="str">
        <f t="shared" si="220"/>
        <v/>
      </c>
      <c r="EV48" s="39" t="str">
        <f t="shared" si="221"/>
        <v/>
      </c>
      <c r="EW48" s="39" t="str">
        <f t="shared" si="222"/>
        <v/>
      </c>
      <c r="EX48" s="39" t="str">
        <f t="shared" si="223"/>
        <v/>
      </c>
      <c r="EY48" s="39" t="str">
        <f t="shared" si="224"/>
        <v/>
      </c>
      <c r="EZ48" s="39" t="str">
        <f t="shared" si="225"/>
        <v/>
      </c>
      <c r="FA48" s="39" t="str">
        <f t="shared" si="226"/>
        <v/>
      </c>
      <c r="FB48" s="39" t="str">
        <f t="shared" si="227"/>
        <v/>
      </c>
      <c r="FC48" s="39" t="str">
        <f t="shared" si="228"/>
        <v/>
      </c>
      <c r="FD48" s="39" t="str">
        <f t="shared" si="229"/>
        <v/>
      </c>
      <c r="FE48" s="39" t="str">
        <f t="shared" si="230"/>
        <v/>
      </c>
      <c r="FF48" s="39" t="str">
        <f t="shared" si="231"/>
        <v/>
      </c>
      <c r="FG48" s="39" t="str">
        <f t="shared" si="232"/>
        <v/>
      </c>
      <c r="FH48" s="39" t="str">
        <f t="shared" si="233"/>
        <v/>
      </c>
      <c r="FI48" s="39" t="str">
        <f t="shared" si="234"/>
        <v/>
      </c>
      <c r="FJ48" s="39" t="str">
        <f t="shared" si="235"/>
        <v/>
      </c>
      <c r="FK48" s="39" t="str">
        <f t="shared" si="236"/>
        <v/>
      </c>
      <c r="FL48" s="39" t="str">
        <f t="shared" si="237"/>
        <v/>
      </c>
      <c r="FM48" s="39" t="str">
        <f t="shared" si="238"/>
        <v/>
      </c>
      <c r="FN48" s="39" t="str">
        <f t="shared" si="239"/>
        <v/>
      </c>
      <c r="FO48" s="39" t="str">
        <f t="shared" si="240"/>
        <v/>
      </c>
      <c r="FP48" s="39" t="str">
        <f t="shared" si="241"/>
        <v/>
      </c>
      <c r="FQ48" s="39" t="str">
        <f t="shared" si="242"/>
        <v/>
      </c>
      <c r="FR48" s="39" t="str">
        <f t="shared" si="243"/>
        <v/>
      </c>
      <c r="FS48" s="39" t="str">
        <f t="shared" si="244"/>
        <v/>
      </c>
      <c r="FT48" s="39" t="str">
        <f t="shared" si="245"/>
        <v/>
      </c>
      <c r="FU48" s="39" t="str">
        <f t="shared" si="246"/>
        <v/>
      </c>
      <c r="FV48" s="39" t="str">
        <f t="shared" si="247"/>
        <v/>
      </c>
      <c r="FW48" s="39" t="str">
        <f t="shared" si="248"/>
        <v/>
      </c>
      <c r="FX48" s="39" t="str">
        <f t="shared" si="249"/>
        <v/>
      </c>
      <c r="FY48" s="39" t="str">
        <f t="shared" si="250"/>
        <v/>
      </c>
      <c r="FZ48" s="39" t="str">
        <f t="shared" si="251"/>
        <v/>
      </c>
      <c r="GA48" s="39" t="str">
        <f t="shared" si="252"/>
        <v/>
      </c>
      <c r="GB48" s="39" t="str">
        <f t="shared" si="253"/>
        <v/>
      </c>
      <c r="GC48" s="39" t="str">
        <f t="shared" si="254"/>
        <v/>
      </c>
      <c r="GD48" s="39" t="str">
        <f t="shared" si="255"/>
        <v/>
      </c>
      <c r="GE48" s="39" t="str">
        <f t="shared" si="256"/>
        <v/>
      </c>
      <c r="GF48" s="39" t="str">
        <f t="shared" si="257"/>
        <v/>
      </c>
      <c r="GG48" s="39" t="str">
        <f t="shared" si="258"/>
        <v/>
      </c>
      <c r="GH48" s="39" t="str">
        <f t="shared" si="259"/>
        <v/>
      </c>
      <c r="GI48" s="39" t="str">
        <f t="shared" si="260"/>
        <v/>
      </c>
      <c r="GJ48" s="39" t="str">
        <f t="shared" si="261"/>
        <v/>
      </c>
      <c r="GK48" s="39" t="str">
        <f t="shared" si="262"/>
        <v/>
      </c>
      <c r="GL48" s="39" t="str">
        <f t="shared" si="263"/>
        <v/>
      </c>
      <c r="GM48" s="39" t="str">
        <f t="shared" si="264"/>
        <v/>
      </c>
      <c r="GN48" s="39" t="str">
        <f t="shared" si="265"/>
        <v/>
      </c>
      <c r="GO48" s="39" t="str">
        <f t="shared" si="266"/>
        <v/>
      </c>
      <c r="GP48" s="39" t="str">
        <f t="shared" si="267"/>
        <v/>
      </c>
      <c r="GQ48" s="39" t="str">
        <f t="shared" si="268"/>
        <v/>
      </c>
      <c r="GR48" s="39" t="str">
        <f t="shared" si="269"/>
        <v/>
      </c>
      <c r="GS48" s="39" t="str">
        <f t="shared" si="270"/>
        <v/>
      </c>
      <c r="GT48" s="39" t="str">
        <f t="shared" si="271"/>
        <v/>
      </c>
      <c r="GU48" s="39" t="str">
        <f t="shared" si="272"/>
        <v/>
      </c>
      <c r="GV48" s="39" t="str">
        <f t="shared" si="273"/>
        <v/>
      </c>
      <c r="GW48" s="39" t="str">
        <f t="shared" si="274"/>
        <v/>
      </c>
      <c r="GX48" s="39" t="str">
        <f t="shared" si="275"/>
        <v/>
      </c>
      <c r="GY48" s="39" t="str">
        <f t="shared" si="276"/>
        <v/>
      </c>
      <c r="GZ48" s="39" t="str">
        <f t="shared" si="277"/>
        <v/>
      </c>
      <c r="HA48" s="39" t="str">
        <f t="shared" si="278"/>
        <v/>
      </c>
      <c r="HB48" s="39" t="str">
        <f t="shared" si="279"/>
        <v/>
      </c>
      <c r="HC48" s="39" t="str">
        <f t="shared" si="280"/>
        <v/>
      </c>
      <c r="HD48" s="39" t="str">
        <f t="shared" si="281"/>
        <v/>
      </c>
      <c r="HE48" s="39" t="str">
        <f t="shared" si="282"/>
        <v/>
      </c>
      <c r="HF48" s="39" t="str">
        <f t="shared" si="283"/>
        <v/>
      </c>
      <c r="HG48" s="39" t="str">
        <f t="shared" si="284"/>
        <v/>
      </c>
      <c r="HH48" s="39" t="str">
        <f t="shared" si="285"/>
        <v/>
      </c>
      <c r="HI48" s="39" t="str">
        <f t="shared" si="286"/>
        <v/>
      </c>
      <c r="HJ48" s="39" t="str">
        <f t="shared" si="287"/>
        <v/>
      </c>
      <c r="HK48" s="39" t="str">
        <f t="shared" si="288"/>
        <v/>
      </c>
      <c r="HL48" s="39" t="str">
        <f t="shared" si="289"/>
        <v/>
      </c>
      <c r="HM48" s="39" t="str">
        <f t="shared" si="290"/>
        <v/>
      </c>
      <c r="HN48" s="39" t="str">
        <f t="shared" si="291"/>
        <v/>
      </c>
      <c r="HO48" s="39" t="str">
        <f t="shared" si="292"/>
        <v/>
      </c>
      <c r="HP48" s="39" t="str">
        <f t="shared" si="293"/>
        <v/>
      </c>
      <c r="HQ48" s="39" t="str">
        <f t="shared" si="294"/>
        <v/>
      </c>
      <c r="HR48" s="39" t="str">
        <f t="shared" si="295"/>
        <v/>
      </c>
      <c r="HS48" s="39" t="str">
        <f t="shared" si="296"/>
        <v/>
      </c>
      <c r="HT48" s="39" t="str">
        <f t="shared" si="297"/>
        <v/>
      </c>
      <c r="HU48" s="168" t="str">
        <f t="shared" si="298"/>
        <v>-</v>
      </c>
      <c r="HV48" s="169" t="str">
        <f t="shared" si="299"/>
        <v/>
      </c>
      <c r="HW48" s="170" t="str">
        <f t="shared" si="300"/>
        <v/>
      </c>
      <c r="HX48" s="169" t="str">
        <f t="shared" si="301"/>
        <v/>
      </c>
      <c r="HY48" s="169" t="str">
        <f t="shared" si="302"/>
        <v/>
      </c>
      <c r="HZ48" s="169" t="str">
        <f t="shared" si="303"/>
        <v/>
      </c>
      <c r="IA48" s="168" t="str">
        <f t="shared" si="304"/>
        <v/>
      </c>
      <c r="IB48" s="169" t="str">
        <f t="shared" si="305"/>
        <v/>
      </c>
      <c r="IC48" s="170" t="str">
        <f t="shared" si="306"/>
        <v/>
      </c>
      <c r="ID48" s="168" t="str">
        <f t="shared" si="307"/>
        <v/>
      </c>
      <c r="IE48" s="169" t="str">
        <f t="shared" si="308"/>
        <v/>
      </c>
      <c r="IF48" s="170" t="str">
        <f t="shared" si="309"/>
        <v/>
      </c>
      <c r="IH48" s="171">
        <v>48</v>
      </c>
      <c r="II48" s="171" t="e">
        <f t="shared" ca="1" si="192"/>
        <v>#N/A</v>
      </c>
      <c r="IJ48" s="171" t="e">
        <f t="shared" ca="1" si="193"/>
        <v>#N/A</v>
      </c>
      <c r="IK48" s="171" t="e">
        <f t="shared" ca="1" si="194"/>
        <v>#N/A</v>
      </c>
      <c r="IL48" s="171" t="e">
        <f t="shared" ca="1" si="195"/>
        <v>#N/A</v>
      </c>
      <c r="IM48" s="162"/>
      <c r="IN48" s="173" t="e">
        <f t="shared" ca="1" si="184"/>
        <v>#N/A</v>
      </c>
      <c r="IO48" s="172" t="e">
        <f t="shared" ca="1" si="185"/>
        <v>#N/A</v>
      </c>
      <c r="IP48" s="172" t="e">
        <f t="shared" ca="1" si="186"/>
        <v>#N/A</v>
      </c>
      <c r="IQ48" s="173" t="e">
        <f t="shared" ca="1" si="187"/>
        <v>#N/A</v>
      </c>
      <c r="IR48" s="173" t="e">
        <f t="shared" ca="1" si="188"/>
        <v>#N/A</v>
      </c>
    </row>
    <row r="49" spans="1:252" s="163" customFormat="1" x14ac:dyDescent="0.35">
      <c r="A49" s="162">
        <v>0</v>
      </c>
      <c r="B49" s="162">
        <v>0</v>
      </c>
      <c r="C49" s="162">
        <v>1</v>
      </c>
      <c r="E49" s="3"/>
      <c r="F49" s="2" t="s">
        <v>313</v>
      </c>
      <c r="G49" s="164" t="s">
        <v>540</v>
      </c>
      <c r="H49" s="3" t="s">
        <v>543</v>
      </c>
      <c r="I49" s="8" t="s">
        <v>555</v>
      </c>
      <c r="J49" s="276" t="s">
        <v>805</v>
      </c>
      <c r="K49" s="175" t="s">
        <v>805</v>
      </c>
      <c r="L49" s="175" t="s">
        <v>805</v>
      </c>
      <c r="M49" s="175" t="s">
        <v>805</v>
      </c>
      <c r="N49" s="175" t="s">
        <v>805</v>
      </c>
      <c r="O49" s="175" t="s">
        <v>805</v>
      </c>
      <c r="P49" s="175" t="s">
        <v>805</v>
      </c>
      <c r="Q49" s="175" t="s">
        <v>805</v>
      </c>
      <c r="R49" s="175" t="s">
        <v>805</v>
      </c>
      <c r="S49" s="175" t="s">
        <v>805</v>
      </c>
      <c r="T49" s="175" t="s">
        <v>805</v>
      </c>
      <c r="U49" s="175" t="s">
        <v>805</v>
      </c>
      <c r="V49" s="175" t="s">
        <v>805</v>
      </c>
      <c r="W49" s="175" t="s">
        <v>805</v>
      </c>
      <c r="X49" s="175" t="s">
        <v>805</v>
      </c>
      <c r="Y49" s="175" t="s">
        <v>805</v>
      </c>
      <c r="Z49" s="175" t="s">
        <v>805</v>
      </c>
      <c r="AA49" s="175" t="s">
        <v>805</v>
      </c>
      <c r="AB49" s="175" t="s">
        <v>805</v>
      </c>
      <c r="AC49" s="175" t="s">
        <v>805</v>
      </c>
      <c r="AD49" s="175" t="s">
        <v>805</v>
      </c>
      <c r="AE49" s="175" t="s">
        <v>805</v>
      </c>
      <c r="AF49" s="175" t="s">
        <v>805</v>
      </c>
      <c r="AG49" s="175" t="s">
        <v>805</v>
      </c>
      <c r="AH49" s="175" t="s">
        <v>805</v>
      </c>
      <c r="AI49" s="175" t="s">
        <v>805</v>
      </c>
      <c r="AJ49" s="175" t="s">
        <v>805</v>
      </c>
      <c r="AK49" s="175" t="s">
        <v>805</v>
      </c>
      <c r="AL49" s="175" t="s">
        <v>805</v>
      </c>
      <c r="AM49" s="175" t="s">
        <v>805</v>
      </c>
      <c r="AN49" s="175" t="s">
        <v>805</v>
      </c>
      <c r="AO49" s="175" t="s">
        <v>805</v>
      </c>
      <c r="AP49" s="175" t="s">
        <v>805</v>
      </c>
      <c r="AQ49" s="175" t="s">
        <v>805</v>
      </c>
      <c r="AR49" s="175" t="s">
        <v>805</v>
      </c>
      <c r="AS49" s="175" t="s">
        <v>805</v>
      </c>
      <c r="AT49" s="175" t="s">
        <v>805</v>
      </c>
      <c r="AU49" s="175" t="s">
        <v>805</v>
      </c>
      <c r="AV49" s="175" t="s">
        <v>805</v>
      </c>
      <c r="AW49" s="175" t="s">
        <v>805</v>
      </c>
      <c r="AX49" s="175" t="s">
        <v>805</v>
      </c>
      <c r="AY49" s="175" t="s">
        <v>805</v>
      </c>
      <c r="AZ49" s="175" t="s">
        <v>805</v>
      </c>
      <c r="BA49" s="175" t="s">
        <v>805</v>
      </c>
      <c r="BB49" s="175" t="s">
        <v>805</v>
      </c>
      <c r="BC49" s="175" t="s">
        <v>805</v>
      </c>
      <c r="BD49" s="175" t="s">
        <v>805</v>
      </c>
      <c r="BE49" s="175" t="s">
        <v>805</v>
      </c>
      <c r="BF49" s="175" t="s">
        <v>805</v>
      </c>
      <c r="BG49" s="175" t="s">
        <v>805</v>
      </c>
      <c r="BH49" s="175" t="s">
        <v>805</v>
      </c>
      <c r="BI49" s="175" t="s">
        <v>805</v>
      </c>
      <c r="BJ49" s="175" t="s">
        <v>805</v>
      </c>
      <c r="BK49" s="175" t="s">
        <v>805</v>
      </c>
      <c r="BL49" s="175" t="s">
        <v>805</v>
      </c>
      <c r="BM49" s="175" t="s">
        <v>805</v>
      </c>
      <c r="BN49" s="175" t="s">
        <v>805</v>
      </c>
      <c r="BO49" s="175" t="s">
        <v>805</v>
      </c>
      <c r="BP49" s="175" t="s">
        <v>805</v>
      </c>
      <c r="BQ49" s="175" t="s">
        <v>805</v>
      </c>
      <c r="BR49" s="175" t="s">
        <v>805</v>
      </c>
      <c r="BS49" s="175" t="s">
        <v>805</v>
      </c>
      <c r="BT49" s="175" t="s">
        <v>805</v>
      </c>
      <c r="BU49" s="175" t="s">
        <v>805</v>
      </c>
      <c r="BV49" s="175" t="s">
        <v>805</v>
      </c>
      <c r="BW49" s="175" t="s">
        <v>805</v>
      </c>
      <c r="BX49" s="175" t="s">
        <v>805</v>
      </c>
      <c r="BY49" s="175" t="s">
        <v>805</v>
      </c>
      <c r="BZ49" s="175" t="s">
        <v>805</v>
      </c>
      <c r="CA49" s="175" t="s">
        <v>805</v>
      </c>
      <c r="CB49" s="175" t="s">
        <v>805</v>
      </c>
      <c r="CC49" s="175" t="s">
        <v>805</v>
      </c>
      <c r="CD49" s="175" t="s">
        <v>805</v>
      </c>
      <c r="CE49" s="175" t="s">
        <v>805</v>
      </c>
      <c r="CF49" s="175" t="s">
        <v>805</v>
      </c>
      <c r="CG49" s="175" t="s">
        <v>805</v>
      </c>
      <c r="CH49" s="175" t="s">
        <v>805</v>
      </c>
      <c r="CI49" s="175" t="s">
        <v>805</v>
      </c>
      <c r="CJ49" s="175" t="s">
        <v>805</v>
      </c>
      <c r="CK49" s="175" t="s">
        <v>805</v>
      </c>
      <c r="CL49" s="175" t="s">
        <v>805</v>
      </c>
      <c r="CM49" s="175" t="s">
        <v>805</v>
      </c>
      <c r="CN49" s="175" t="s">
        <v>805</v>
      </c>
      <c r="CO49" s="175" t="s">
        <v>805</v>
      </c>
      <c r="CP49" s="175" t="s">
        <v>805</v>
      </c>
      <c r="CQ49" s="175" t="s">
        <v>805</v>
      </c>
      <c r="CR49" s="175" t="s">
        <v>805</v>
      </c>
      <c r="CS49" s="175" t="s">
        <v>805</v>
      </c>
      <c r="CT49" s="175" t="s">
        <v>805</v>
      </c>
      <c r="CU49" s="175" t="s">
        <v>805</v>
      </c>
      <c r="CV49" s="175" t="s">
        <v>805</v>
      </c>
      <c r="CW49" s="175" t="s">
        <v>805</v>
      </c>
      <c r="CX49" s="175" t="s">
        <v>805</v>
      </c>
      <c r="CY49" s="175" t="s">
        <v>805</v>
      </c>
      <c r="CZ49" s="175" t="s">
        <v>805</v>
      </c>
      <c r="DA49" s="175" t="s">
        <v>805</v>
      </c>
      <c r="DB49" s="175" t="s">
        <v>805</v>
      </c>
      <c r="DC49" s="175" t="s">
        <v>805</v>
      </c>
      <c r="DD49" s="175" t="s">
        <v>805</v>
      </c>
      <c r="DE49" s="175" t="s">
        <v>805</v>
      </c>
      <c r="DF49" s="175" t="s">
        <v>805</v>
      </c>
      <c r="DG49" s="125">
        <f>'KPI Count-SHARE'!J43</f>
        <v>0</v>
      </c>
      <c r="DH49" s="176"/>
      <c r="DI49" s="176"/>
      <c r="DJ49" s="176"/>
      <c r="DK49" s="125">
        <f>'KPI Count-SHARE'!K43</f>
        <v>0</v>
      </c>
      <c r="DL49" s="177"/>
      <c r="DM49" s="177"/>
      <c r="DN49" s="177"/>
      <c r="DO49" s="125">
        <f>'KPI Count-SHARE'!L43</f>
        <v>0</v>
      </c>
      <c r="DP49" s="177"/>
      <c r="DQ49" s="177"/>
      <c r="DR49" s="177"/>
      <c r="DS49" s="125">
        <f>'KPI Count-SHARE'!M43</f>
        <v>0</v>
      </c>
      <c r="DT49" s="177"/>
      <c r="DU49" s="177"/>
      <c r="DV49" s="177"/>
      <c r="DW49" s="167" t="str">
        <f t="shared" si="196"/>
        <v>FTE per USD '000</v>
      </c>
      <c r="DX49" s="39" t="str">
        <f t="shared" si="197"/>
        <v/>
      </c>
      <c r="DY49" s="39" t="str">
        <f t="shared" si="198"/>
        <v/>
      </c>
      <c r="DZ49" s="39" t="str">
        <f t="shared" si="199"/>
        <v/>
      </c>
      <c r="EA49" s="39" t="str">
        <f t="shared" si="200"/>
        <v/>
      </c>
      <c r="EB49" s="39" t="str">
        <f t="shared" si="201"/>
        <v/>
      </c>
      <c r="EC49" s="39" t="str">
        <f t="shared" si="202"/>
        <v/>
      </c>
      <c r="ED49" s="39" t="str">
        <f t="shared" si="203"/>
        <v/>
      </c>
      <c r="EE49" s="39" t="str">
        <f t="shared" si="204"/>
        <v/>
      </c>
      <c r="EF49" s="39" t="str">
        <f t="shared" si="205"/>
        <v/>
      </c>
      <c r="EG49" s="39" t="str">
        <f t="shared" si="206"/>
        <v/>
      </c>
      <c r="EH49" s="39" t="str">
        <f t="shared" si="207"/>
        <v/>
      </c>
      <c r="EI49" s="39" t="str">
        <f t="shared" si="208"/>
        <v/>
      </c>
      <c r="EJ49" s="39" t="str">
        <f t="shared" si="209"/>
        <v/>
      </c>
      <c r="EK49" s="39" t="str">
        <f t="shared" si="210"/>
        <v/>
      </c>
      <c r="EL49" s="39" t="str">
        <f t="shared" si="211"/>
        <v/>
      </c>
      <c r="EM49" s="39" t="str">
        <f t="shared" si="212"/>
        <v/>
      </c>
      <c r="EN49" s="39" t="str">
        <f t="shared" si="213"/>
        <v/>
      </c>
      <c r="EO49" s="39" t="str">
        <f t="shared" si="214"/>
        <v/>
      </c>
      <c r="EP49" s="39" t="str">
        <f t="shared" si="215"/>
        <v/>
      </c>
      <c r="EQ49" s="39" t="str">
        <f t="shared" si="216"/>
        <v/>
      </c>
      <c r="ER49" s="39" t="str">
        <f t="shared" si="217"/>
        <v/>
      </c>
      <c r="ES49" s="39" t="str">
        <f t="shared" si="218"/>
        <v/>
      </c>
      <c r="ET49" s="39" t="str">
        <f t="shared" si="219"/>
        <v/>
      </c>
      <c r="EU49" s="39" t="str">
        <f t="shared" si="220"/>
        <v/>
      </c>
      <c r="EV49" s="39" t="str">
        <f t="shared" si="221"/>
        <v/>
      </c>
      <c r="EW49" s="39" t="str">
        <f t="shared" si="222"/>
        <v/>
      </c>
      <c r="EX49" s="39" t="str">
        <f t="shared" si="223"/>
        <v/>
      </c>
      <c r="EY49" s="39" t="str">
        <f t="shared" si="224"/>
        <v/>
      </c>
      <c r="EZ49" s="39" t="str">
        <f t="shared" si="225"/>
        <v/>
      </c>
      <c r="FA49" s="39" t="str">
        <f t="shared" si="226"/>
        <v/>
      </c>
      <c r="FB49" s="39" t="str">
        <f t="shared" si="227"/>
        <v/>
      </c>
      <c r="FC49" s="39" t="str">
        <f t="shared" si="228"/>
        <v/>
      </c>
      <c r="FD49" s="39" t="str">
        <f t="shared" si="229"/>
        <v/>
      </c>
      <c r="FE49" s="39" t="str">
        <f t="shared" si="230"/>
        <v/>
      </c>
      <c r="FF49" s="39" t="str">
        <f t="shared" si="231"/>
        <v/>
      </c>
      <c r="FG49" s="39" t="str">
        <f t="shared" si="232"/>
        <v/>
      </c>
      <c r="FH49" s="39" t="str">
        <f t="shared" si="233"/>
        <v/>
      </c>
      <c r="FI49" s="39" t="str">
        <f t="shared" si="234"/>
        <v/>
      </c>
      <c r="FJ49" s="39" t="str">
        <f t="shared" si="235"/>
        <v/>
      </c>
      <c r="FK49" s="39" t="str">
        <f t="shared" si="236"/>
        <v/>
      </c>
      <c r="FL49" s="39" t="str">
        <f t="shared" si="237"/>
        <v/>
      </c>
      <c r="FM49" s="39" t="str">
        <f t="shared" si="238"/>
        <v/>
      </c>
      <c r="FN49" s="39" t="str">
        <f t="shared" si="239"/>
        <v/>
      </c>
      <c r="FO49" s="39" t="str">
        <f t="shared" si="240"/>
        <v/>
      </c>
      <c r="FP49" s="39" t="str">
        <f t="shared" si="241"/>
        <v/>
      </c>
      <c r="FQ49" s="39" t="str">
        <f t="shared" si="242"/>
        <v/>
      </c>
      <c r="FR49" s="39" t="str">
        <f t="shared" si="243"/>
        <v/>
      </c>
      <c r="FS49" s="39" t="str">
        <f t="shared" si="244"/>
        <v/>
      </c>
      <c r="FT49" s="39" t="str">
        <f t="shared" si="245"/>
        <v/>
      </c>
      <c r="FU49" s="39" t="str">
        <f t="shared" si="246"/>
        <v/>
      </c>
      <c r="FV49" s="39" t="str">
        <f t="shared" si="247"/>
        <v/>
      </c>
      <c r="FW49" s="39" t="str">
        <f t="shared" si="248"/>
        <v/>
      </c>
      <c r="FX49" s="39" t="str">
        <f t="shared" si="249"/>
        <v/>
      </c>
      <c r="FY49" s="39" t="str">
        <f t="shared" si="250"/>
        <v/>
      </c>
      <c r="FZ49" s="39" t="str">
        <f t="shared" si="251"/>
        <v/>
      </c>
      <c r="GA49" s="39" t="str">
        <f t="shared" si="252"/>
        <v/>
      </c>
      <c r="GB49" s="39" t="str">
        <f t="shared" si="253"/>
        <v/>
      </c>
      <c r="GC49" s="39" t="str">
        <f t="shared" si="254"/>
        <v/>
      </c>
      <c r="GD49" s="39" t="str">
        <f t="shared" si="255"/>
        <v/>
      </c>
      <c r="GE49" s="39" t="str">
        <f t="shared" si="256"/>
        <v/>
      </c>
      <c r="GF49" s="39" t="str">
        <f t="shared" si="257"/>
        <v/>
      </c>
      <c r="GG49" s="39" t="str">
        <f t="shared" si="258"/>
        <v/>
      </c>
      <c r="GH49" s="39" t="str">
        <f t="shared" si="259"/>
        <v/>
      </c>
      <c r="GI49" s="39" t="str">
        <f t="shared" si="260"/>
        <v/>
      </c>
      <c r="GJ49" s="39" t="str">
        <f t="shared" si="261"/>
        <v/>
      </c>
      <c r="GK49" s="39" t="str">
        <f t="shared" si="262"/>
        <v/>
      </c>
      <c r="GL49" s="39" t="str">
        <f t="shared" si="263"/>
        <v/>
      </c>
      <c r="GM49" s="39" t="str">
        <f t="shared" si="264"/>
        <v/>
      </c>
      <c r="GN49" s="39" t="str">
        <f t="shared" si="265"/>
        <v/>
      </c>
      <c r="GO49" s="39" t="str">
        <f t="shared" si="266"/>
        <v/>
      </c>
      <c r="GP49" s="39" t="str">
        <f t="shared" si="267"/>
        <v/>
      </c>
      <c r="GQ49" s="39" t="str">
        <f t="shared" si="268"/>
        <v/>
      </c>
      <c r="GR49" s="39" t="str">
        <f t="shared" si="269"/>
        <v/>
      </c>
      <c r="GS49" s="39" t="str">
        <f t="shared" si="270"/>
        <v/>
      </c>
      <c r="GT49" s="39" t="str">
        <f t="shared" si="271"/>
        <v/>
      </c>
      <c r="GU49" s="39" t="str">
        <f t="shared" si="272"/>
        <v/>
      </c>
      <c r="GV49" s="39" t="str">
        <f t="shared" si="273"/>
        <v/>
      </c>
      <c r="GW49" s="39" t="str">
        <f t="shared" si="274"/>
        <v/>
      </c>
      <c r="GX49" s="39" t="str">
        <f t="shared" si="275"/>
        <v/>
      </c>
      <c r="GY49" s="39" t="str">
        <f t="shared" si="276"/>
        <v/>
      </c>
      <c r="GZ49" s="39" t="str">
        <f t="shared" si="277"/>
        <v/>
      </c>
      <c r="HA49" s="39" t="str">
        <f t="shared" si="278"/>
        <v/>
      </c>
      <c r="HB49" s="39" t="str">
        <f t="shared" si="279"/>
        <v/>
      </c>
      <c r="HC49" s="39" t="str">
        <f t="shared" si="280"/>
        <v/>
      </c>
      <c r="HD49" s="39" t="str">
        <f t="shared" si="281"/>
        <v/>
      </c>
      <c r="HE49" s="39" t="str">
        <f t="shared" si="282"/>
        <v/>
      </c>
      <c r="HF49" s="39" t="str">
        <f t="shared" si="283"/>
        <v/>
      </c>
      <c r="HG49" s="39" t="str">
        <f t="shared" si="284"/>
        <v/>
      </c>
      <c r="HH49" s="39" t="str">
        <f t="shared" si="285"/>
        <v/>
      </c>
      <c r="HI49" s="39" t="str">
        <f t="shared" si="286"/>
        <v/>
      </c>
      <c r="HJ49" s="39" t="str">
        <f t="shared" si="287"/>
        <v/>
      </c>
      <c r="HK49" s="39" t="str">
        <f t="shared" si="288"/>
        <v/>
      </c>
      <c r="HL49" s="39" t="str">
        <f t="shared" si="289"/>
        <v/>
      </c>
      <c r="HM49" s="39" t="str">
        <f t="shared" si="290"/>
        <v/>
      </c>
      <c r="HN49" s="39" t="str">
        <f t="shared" si="291"/>
        <v/>
      </c>
      <c r="HO49" s="39" t="str">
        <f t="shared" si="292"/>
        <v/>
      </c>
      <c r="HP49" s="39" t="str">
        <f t="shared" si="293"/>
        <v/>
      </c>
      <c r="HQ49" s="39" t="str">
        <f t="shared" si="294"/>
        <v/>
      </c>
      <c r="HR49" s="39" t="str">
        <f t="shared" si="295"/>
        <v/>
      </c>
      <c r="HS49" s="39" t="str">
        <f t="shared" si="296"/>
        <v/>
      </c>
      <c r="HT49" s="39" t="str">
        <f t="shared" si="297"/>
        <v/>
      </c>
      <c r="HU49" s="168" t="str">
        <f t="shared" si="298"/>
        <v>-</v>
      </c>
      <c r="HV49" s="169" t="str">
        <f t="shared" si="299"/>
        <v/>
      </c>
      <c r="HW49" s="170" t="str">
        <f t="shared" si="300"/>
        <v/>
      </c>
      <c r="HX49" s="169" t="str">
        <f t="shared" si="301"/>
        <v/>
      </c>
      <c r="HY49" s="169" t="str">
        <f t="shared" si="302"/>
        <v/>
      </c>
      <c r="HZ49" s="169" t="str">
        <f t="shared" si="303"/>
        <v/>
      </c>
      <c r="IA49" s="168" t="str">
        <f t="shared" si="304"/>
        <v/>
      </c>
      <c r="IB49" s="169" t="str">
        <f t="shared" si="305"/>
        <v/>
      </c>
      <c r="IC49" s="170" t="str">
        <f t="shared" si="306"/>
        <v/>
      </c>
      <c r="ID49" s="168" t="str">
        <f t="shared" si="307"/>
        <v/>
      </c>
      <c r="IE49" s="169" t="str">
        <f t="shared" si="308"/>
        <v/>
      </c>
      <c r="IF49" s="170" t="str">
        <f t="shared" si="309"/>
        <v/>
      </c>
      <c r="IH49" s="171">
        <v>49</v>
      </c>
      <c r="II49" s="171" t="e">
        <f t="shared" ca="1" si="192"/>
        <v>#N/A</v>
      </c>
      <c r="IJ49" s="171" t="e">
        <f t="shared" ca="1" si="193"/>
        <v>#N/A</v>
      </c>
      <c r="IK49" s="171" t="e">
        <f t="shared" ca="1" si="194"/>
        <v>#N/A</v>
      </c>
      <c r="IL49" s="171" t="e">
        <f t="shared" ca="1" si="195"/>
        <v>#N/A</v>
      </c>
      <c r="IM49" s="162"/>
      <c r="IN49" s="173" t="e">
        <f t="shared" ca="1" si="184"/>
        <v>#N/A</v>
      </c>
      <c r="IO49" s="172" t="e">
        <f t="shared" ca="1" si="185"/>
        <v>#N/A</v>
      </c>
      <c r="IP49" s="172" t="e">
        <f t="shared" ca="1" si="186"/>
        <v>#N/A</v>
      </c>
      <c r="IQ49" s="173" t="e">
        <f t="shared" ca="1" si="187"/>
        <v>#N/A</v>
      </c>
      <c r="IR49" s="173" t="e">
        <f t="shared" ca="1" si="188"/>
        <v>#N/A</v>
      </c>
    </row>
    <row r="50" spans="1:252" s="163" customFormat="1" x14ac:dyDescent="0.35">
      <c r="A50" s="162">
        <v>0</v>
      </c>
      <c r="B50" s="162">
        <v>1</v>
      </c>
      <c r="C50" s="162">
        <v>1</v>
      </c>
      <c r="E50" s="3"/>
      <c r="F50" s="2" t="s">
        <v>314</v>
      </c>
      <c r="G50" s="164" t="s">
        <v>540</v>
      </c>
      <c r="H50" s="3" t="s">
        <v>543</v>
      </c>
      <c r="I50" s="8" t="s">
        <v>555</v>
      </c>
      <c r="J50" s="276" t="s">
        <v>805</v>
      </c>
      <c r="K50" s="175" t="s">
        <v>805</v>
      </c>
      <c r="L50" s="175" t="s">
        <v>805</v>
      </c>
      <c r="M50" s="175" t="s">
        <v>805</v>
      </c>
      <c r="N50" s="175" t="s">
        <v>805</v>
      </c>
      <c r="O50" s="175" t="s">
        <v>805</v>
      </c>
      <c r="P50" s="175" t="s">
        <v>805</v>
      </c>
      <c r="Q50" s="175" t="s">
        <v>805</v>
      </c>
      <c r="R50" s="175" t="s">
        <v>805</v>
      </c>
      <c r="S50" s="175" t="s">
        <v>805</v>
      </c>
      <c r="T50" s="175" t="s">
        <v>805</v>
      </c>
      <c r="U50" s="175" t="s">
        <v>805</v>
      </c>
      <c r="V50" s="175" t="s">
        <v>805</v>
      </c>
      <c r="W50" s="175" t="s">
        <v>805</v>
      </c>
      <c r="X50" s="175" t="s">
        <v>805</v>
      </c>
      <c r="Y50" s="175" t="s">
        <v>805</v>
      </c>
      <c r="Z50" s="175" t="s">
        <v>805</v>
      </c>
      <c r="AA50" s="175" t="s">
        <v>805</v>
      </c>
      <c r="AB50" s="175" t="s">
        <v>805</v>
      </c>
      <c r="AC50" s="175" t="s">
        <v>805</v>
      </c>
      <c r="AD50" s="175" t="s">
        <v>805</v>
      </c>
      <c r="AE50" s="175" t="s">
        <v>805</v>
      </c>
      <c r="AF50" s="175" t="s">
        <v>805</v>
      </c>
      <c r="AG50" s="175" t="s">
        <v>805</v>
      </c>
      <c r="AH50" s="175" t="s">
        <v>805</v>
      </c>
      <c r="AI50" s="175" t="s">
        <v>805</v>
      </c>
      <c r="AJ50" s="175" t="s">
        <v>805</v>
      </c>
      <c r="AK50" s="175" t="s">
        <v>805</v>
      </c>
      <c r="AL50" s="175" t="s">
        <v>805</v>
      </c>
      <c r="AM50" s="175" t="s">
        <v>805</v>
      </c>
      <c r="AN50" s="175" t="s">
        <v>805</v>
      </c>
      <c r="AO50" s="175" t="s">
        <v>805</v>
      </c>
      <c r="AP50" s="175" t="s">
        <v>805</v>
      </c>
      <c r="AQ50" s="175" t="s">
        <v>805</v>
      </c>
      <c r="AR50" s="175" t="s">
        <v>805</v>
      </c>
      <c r="AS50" s="175" t="s">
        <v>805</v>
      </c>
      <c r="AT50" s="175" t="s">
        <v>805</v>
      </c>
      <c r="AU50" s="175" t="s">
        <v>805</v>
      </c>
      <c r="AV50" s="175" t="s">
        <v>805</v>
      </c>
      <c r="AW50" s="175" t="s">
        <v>805</v>
      </c>
      <c r="AX50" s="175" t="s">
        <v>805</v>
      </c>
      <c r="AY50" s="175" t="s">
        <v>805</v>
      </c>
      <c r="AZ50" s="175" t="s">
        <v>805</v>
      </c>
      <c r="BA50" s="175" t="s">
        <v>805</v>
      </c>
      <c r="BB50" s="175" t="s">
        <v>805</v>
      </c>
      <c r="BC50" s="175" t="s">
        <v>805</v>
      </c>
      <c r="BD50" s="175" t="s">
        <v>805</v>
      </c>
      <c r="BE50" s="175" t="s">
        <v>805</v>
      </c>
      <c r="BF50" s="175" t="s">
        <v>805</v>
      </c>
      <c r="BG50" s="175" t="s">
        <v>805</v>
      </c>
      <c r="BH50" s="175" t="s">
        <v>805</v>
      </c>
      <c r="BI50" s="175" t="s">
        <v>805</v>
      </c>
      <c r="BJ50" s="175" t="s">
        <v>805</v>
      </c>
      <c r="BK50" s="175" t="s">
        <v>805</v>
      </c>
      <c r="BL50" s="175" t="s">
        <v>805</v>
      </c>
      <c r="BM50" s="175" t="s">
        <v>805</v>
      </c>
      <c r="BN50" s="175" t="s">
        <v>805</v>
      </c>
      <c r="BO50" s="175" t="s">
        <v>805</v>
      </c>
      <c r="BP50" s="175" t="s">
        <v>805</v>
      </c>
      <c r="BQ50" s="175" t="s">
        <v>805</v>
      </c>
      <c r="BR50" s="175" t="s">
        <v>805</v>
      </c>
      <c r="BS50" s="175" t="s">
        <v>805</v>
      </c>
      <c r="BT50" s="175" t="s">
        <v>805</v>
      </c>
      <c r="BU50" s="175" t="s">
        <v>805</v>
      </c>
      <c r="BV50" s="175" t="s">
        <v>805</v>
      </c>
      <c r="BW50" s="175" t="s">
        <v>805</v>
      </c>
      <c r="BX50" s="175" t="s">
        <v>805</v>
      </c>
      <c r="BY50" s="175" t="s">
        <v>805</v>
      </c>
      <c r="BZ50" s="175" t="s">
        <v>805</v>
      </c>
      <c r="CA50" s="175" t="s">
        <v>805</v>
      </c>
      <c r="CB50" s="175" t="s">
        <v>805</v>
      </c>
      <c r="CC50" s="175" t="s">
        <v>805</v>
      </c>
      <c r="CD50" s="175" t="s">
        <v>805</v>
      </c>
      <c r="CE50" s="175" t="s">
        <v>805</v>
      </c>
      <c r="CF50" s="175" t="s">
        <v>805</v>
      </c>
      <c r="CG50" s="175" t="s">
        <v>805</v>
      </c>
      <c r="CH50" s="175" t="s">
        <v>805</v>
      </c>
      <c r="CI50" s="175" t="s">
        <v>805</v>
      </c>
      <c r="CJ50" s="175" t="s">
        <v>805</v>
      </c>
      <c r="CK50" s="175" t="s">
        <v>805</v>
      </c>
      <c r="CL50" s="175" t="s">
        <v>805</v>
      </c>
      <c r="CM50" s="175" t="s">
        <v>805</v>
      </c>
      <c r="CN50" s="175" t="s">
        <v>805</v>
      </c>
      <c r="CO50" s="175" t="s">
        <v>805</v>
      </c>
      <c r="CP50" s="175" t="s">
        <v>805</v>
      </c>
      <c r="CQ50" s="175" t="s">
        <v>805</v>
      </c>
      <c r="CR50" s="175" t="s">
        <v>805</v>
      </c>
      <c r="CS50" s="175" t="s">
        <v>805</v>
      </c>
      <c r="CT50" s="175" t="s">
        <v>805</v>
      </c>
      <c r="CU50" s="175" t="s">
        <v>805</v>
      </c>
      <c r="CV50" s="175" t="s">
        <v>805</v>
      </c>
      <c r="CW50" s="175" t="s">
        <v>805</v>
      </c>
      <c r="CX50" s="175" t="s">
        <v>805</v>
      </c>
      <c r="CY50" s="175" t="s">
        <v>805</v>
      </c>
      <c r="CZ50" s="175" t="s">
        <v>805</v>
      </c>
      <c r="DA50" s="175" t="s">
        <v>805</v>
      </c>
      <c r="DB50" s="175" t="s">
        <v>805</v>
      </c>
      <c r="DC50" s="175" t="s">
        <v>805</v>
      </c>
      <c r="DD50" s="175" t="s">
        <v>805</v>
      </c>
      <c r="DE50" s="175" t="s">
        <v>805</v>
      </c>
      <c r="DF50" s="175" t="s">
        <v>805</v>
      </c>
      <c r="DG50" s="125">
        <f>'KPI Count-SHARE'!J44</f>
        <v>0</v>
      </c>
      <c r="DH50" s="176"/>
      <c r="DI50" s="176"/>
      <c r="DJ50" s="176"/>
      <c r="DK50" s="125">
        <f>'KPI Count-SHARE'!K44</f>
        <v>0</v>
      </c>
      <c r="DL50" s="177"/>
      <c r="DM50" s="177"/>
      <c r="DN50" s="177"/>
      <c r="DO50" s="125">
        <f>'KPI Count-SHARE'!L44</f>
        <v>0</v>
      </c>
      <c r="DP50" s="177"/>
      <c r="DQ50" s="177"/>
      <c r="DR50" s="177"/>
      <c r="DS50" s="125">
        <f>'KPI Count-SHARE'!M44</f>
        <v>0</v>
      </c>
      <c r="DT50" s="177"/>
      <c r="DU50" s="177"/>
      <c r="DV50" s="177"/>
      <c r="DW50" s="167" t="str">
        <f t="shared" si="196"/>
        <v>FTE per USD '000</v>
      </c>
      <c r="DX50" s="39" t="str">
        <f t="shared" si="197"/>
        <v/>
      </c>
      <c r="DY50" s="39" t="str">
        <f t="shared" si="198"/>
        <v/>
      </c>
      <c r="DZ50" s="39" t="str">
        <f t="shared" si="199"/>
        <v/>
      </c>
      <c r="EA50" s="39" t="str">
        <f t="shared" si="200"/>
        <v/>
      </c>
      <c r="EB50" s="39" t="str">
        <f t="shared" si="201"/>
        <v/>
      </c>
      <c r="EC50" s="39" t="str">
        <f t="shared" si="202"/>
        <v/>
      </c>
      <c r="ED50" s="39" t="str">
        <f t="shared" si="203"/>
        <v/>
      </c>
      <c r="EE50" s="39" t="str">
        <f t="shared" si="204"/>
        <v/>
      </c>
      <c r="EF50" s="39" t="str">
        <f t="shared" si="205"/>
        <v/>
      </c>
      <c r="EG50" s="39" t="str">
        <f t="shared" si="206"/>
        <v/>
      </c>
      <c r="EH50" s="39" t="str">
        <f t="shared" si="207"/>
        <v/>
      </c>
      <c r="EI50" s="39" t="str">
        <f t="shared" si="208"/>
        <v/>
      </c>
      <c r="EJ50" s="39" t="str">
        <f t="shared" si="209"/>
        <v/>
      </c>
      <c r="EK50" s="39" t="str">
        <f t="shared" si="210"/>
        <v/>
      </c>
      <c r="EL50" s="39" t="str">
        <f t="shared" si="211"/>
        <v/>
      </c>
      <c r="EM50" s="39" t="str">
        <f t="shared" si="212"/>
        <v/>
      </c>
      <c r="EN50" s="39" t="str">
        <f t="shared" si="213"/>
        <v/>
      </c>
      <c r="EO50" s="39" t="str">
        <f t="shared" si="214"/>
        <v/>
      </c>
      <c r="EP50" s="39" t="str">
        <f t="shared" si="215"/>
        <v/>
      </c>
      <c r="EQ50" s="39" t="str">
        <f t="shared" si="216"/>
        <v/>
      </c>
      <c r="ER50" s="39" t="str">
        <f t="shared" si="217"/>
        <v/>
      </c>
      <c r="ES50" s="39" t="str">
        <f t="shared" si="218"/>
        <v/>
      </c>
      <c r="ET50" s="39" t="str">
        <f t="shared" si="219"/>
        <v/>
      </c>
      <c r="EU50" s="39" t="str">
        <f t="shared" si="220"/>
        <v/>
      </c>
      <c r="EV50" s="39" t="str">
        <f t="shared" si="221"/>
        <v/>
      </c>
      <c r="EW50" s="39" t="str">
        <f t="shared" si="222"/>
        <v/>
      </c>
      <c r="EX50" s="39" t="str">
        <f t="shared" si="223"/>
        <v/>
      </c>
      <c r="EY50" s="39" t="str">
        <f t="shared" si="224"/>
        <v/>
      </c>
      <c r="EZ50" s="39" t="str">
        <f t="shared" si="225"/>
        <v/>
      </c>
      <c r="FA50" s="39" t="str">
        <f t="shared" si="226"/>
        <v/>
      </c>
      <c r="FB50" s="39" t="str">
        <f t="shared" si="227"/>
        <v/>
      </c>
      <c r="FC50" s="39" t="str">
        <f t="shared" si="228"/>
        <v/>
      </c>
      <c r="FD50" s="39" t="str">
        <f t="shared" si="229"/>
        <v/>
      </c>
      <c r="FE50" s="39" t="str">
        <f t="shared" si="230"/>
        <v/>
      </c>
      <c r="FF50" s="39" t="str">
        <f t="shared" si="231"/>
        <v/>
      </c>
      <c r="FG50" s="39" t="str">
        <f t="shared" si="232"/>
        <v/>
      </c>
      <c r="FH50" s="39" t="str">
        <f t="shared" si="233"/>
        <v/>
      </c>
      <c r="FI50" s="39" t="str">
        <f t="shared" si="234"/>
        <v/>
      </c>
      <c r="FJ50" s="39" t="str">
        <f t="shared" si="235"/>
        <v/>
      </c>
      <c r="FK50" s="39" t="str">
        <f t="shared" si="236"/>
        <v/>
      </c>
      <c r="FL50" s="39" t="str">
        <f t="shared" si="237"/>
        <v/>
      </c>
      <c r="FM50" s="39" t="str">
        <f t="shared" si="238"/>
        <v/>
      </c>
      <c r="FN50" s="39" t="str">
        <f t="shared" si="239"/>
        <v/>
      </c>
      <c r="FO50" s="39" t="str">
        <f t="shared" si="240"/>
        <v/>
      </c>
      <c r="FP50" s="39" t="str">
        <f t="shared" si="241"/>
        <v/>
      </c>
      <c r="FQ50" s="39" t="str">
        <f t="shared" si="242"/>
        <v/>
      </c>
      <c r="FR50" s="39" t="str">
        <f t="shared" si="243"/>
        <v/>
      </c>
      <c r="FS50" s="39" t="str">
        <f t="shared" si="244"/>
        <v/>
      </c>
      <c r="FT50" s="39" t="str">
        <f t="shared" si="245"/>
        <v/>
      </c>
      <c r="FU50" s="39" t="str">
        <f t="shared" si="246"/>
        <v/>
      </c>
      <c r="FV50" s="39" t="str">
        <f t="shared" si="247"/>
        <v/>
      </c>
      <c r="FW50" s="39" t="str">
        <f t="shared" si="248"/>
        <v/>
      </c>
      <c r="FX50" s="39" t="str">
        <f t="shared" si="249"/>
        <v/>
      </c>
      <c r="FY50" s="39" t="str">
        <f t="shared" si="250"/>
        <v/>
      </c>
      <c r="FZ50" s="39" t="str">
        <f t="shared" si="251"/>
        <v/>
      </c>
      <c r="GA50" s="39" t="str">
        <f t="shared" si="252"/>
        <v/>
      </c>
      <c r="GB50" s="39" t="str">
        <f t="shared" si="253"/>
        <v/>
      </c>
      <c r="GC50" s="39" t="str">
        <f t="shared" si="254"/>
        <v/>
      </c>
      <c r="GD50" s="39" t="str">
        <f t="shared" si="255"/>
        <v/>
      </c>
      <c r="GE50" s="39" t="str">
        <f t="shared" si="256"/>
        <v/>
      </c>
      <c r="GF50" s="39" t="str">
        <f t="shared" si="257"/>
        <v/>
      </c>
      <c r="GG50" s="39" t="str">
        <f t="shared" si="258"/>
        <v/>
      </c>
      <c r="GH50" s="39" t="str">
        <f t="shared" si="259"/>
        <v/>
      </c>
      <c r="GI50" s="39" t="str">
        <f t="shared" si="260"/>
        <v/>
      </c>
      <c r="GJ50" s="39" t="str">
        <f t="shared" si="261"/>
        <v/>
      </c>
      <c r="GK50" s="39" t="str">
        <f t="shared" si="262"/>
        <v/>
      </c>
      <c r="GL50" s="39" t="str">
        <f t="shared" si="263"/>
        <v/>
      </c>
      <c r="GM50" s="39" t="str">
        <f t="shared" si="264"/>
        <v/>
      </c>
      <c r="GN50" s="39" t="str">
        <f t="shared" si="265"/>
        <v/>
      </c>
      <c r="GO50" s="39" t="str">
        <f t="shared" si="266"/>
        <v/>
      </c>
      <c r="GP50" s="39" t="str">
        <f t="shared" si="267"/>
        <v/>
      </c>
      <c r="GQ50" s="39" t="str">
        <f t="shared" si="268"/>
        <v/>
      </c>
      <c r="GR50" s="39" t="str">
        <f t="shared" si="269"/>
        <v/>
      </c>
      <c r="GS50" s="39" t="str">
        <f t="shared" si="270"/>
        <v/>
      </c>
      <c r="GT50" s="39" t="str">
        <f t="shared" si="271"/>
        <v/>
      </c>
      <c r="GU50" s="39" t="str">
        <f t="shared" si="272"/>
        <v/>
      </c>
      <c r="GV50" s="39" t="str">
        <f t="shared" si="273"/>
        <v/>
      </c>
      <c r="GW50" s="39" t="str">
        <f t="shared" si="274"/>
        <v/>
      </c>
      <c r="GX50" s="39" t="str">
        <f t="shared" si="275"/>
        <v/>
      </c>
      <c r="GY50" s="39" t="str">
        <f t="shared" si="276"/>
        <v/>
      </c>
      <c r="GZ50" s="39" t="str">
        <f t="shared" si="277"/>
        <v/>
      </c>
      <c r="HA50" s="39" t="str">
        <f t="shared" si="278"/>
        <v/>
      </c>
      <c r="HB50" s="39" t="str">
        <f t="shared" si="279"/>
        <v/>
      </c>
      <c r="HC50" s="39" t="str">
        <f t="shared" si="280"/>
        <v/>
      </c>
      <c r="HD50" s="39" t="str">
        <f t="shared" si="281"/>
        <v/>
      </c>
      <c r="HE50" s="39" t="str">
        <f t="shared" si="282"/>
        <v/>
      </c>
      <c r="HF50" s="39" t="str">
        <f t="shared" si="283"/>
        <v/>
      </c>
      <c r="HG50" s="39" t="str">
        <f t="shared" si="284"/>
        <v/>
      </c>
      <c r="HH50" s="39" t="str">
        <f t="shared" si="285"/>
        <v/>
      </c>
      <c r="HI50" s="39" t="str">
        <f t="shared" si="286"/>
        <v/>
      </c>
      <c r="HJ50" s="39" t="str">
        <f t="shared" si="287"/>
        <v/>
      </c>
      <c r="HK50" s="39" t="str">
        <f t="shared" si="288"/>
        <v/>
      </c>
      <c r="HL50" s="39" t="str">
        <f t="shared" si="289"/>
        <v/>
      </c>
      <c r="HM50" s="39" t="str">
        <f t="shared" si="290"/>
        <v/>
      </c>
      <c r="HN50" s="39" t="str">
        <f t="shared" si="291"/>
        <v/>
      </c>
      <c r="HO50" s="39" t="str">
        <f t="shared" si="292"/>
        <v/>
      </c>
      <c r="HP50" s="39" t="str">
        <f t="shared" si="293"/>
        <v/>
      </c>
      <c r="HQ50" s="39" t="str">
        <f t="shared" si="294"/>
        <v/>
      </c>
      <c r="HR50" s="39" t="str">
        <f t="shared" si="295"/>
        <v/>
      </c>
      <c r="HS50" s="39" t="str">
        <f t="shared" si="296"/>
        <v/>
      </c>
      <c r="HT50" s="39" t="str">
        <f t="shared" si="297"/>
        <v/>
      </c>
      <c r="HU50" s="168" t="str">
        <f t="shared" si="298"/>
        <v>-</v>
      </c>
      <c r="HV50" s="169" t="str">
        <f t="shared" si="299"/>
        <v/>
      </c>
      <c r="HW50" s="170" t="str">
        <f t="shared" si="300"/>
        <v/>
      </c>
      <c r="HX50" s="169" t="str">
        <f t="shared" si="301"/>
        <v/>
      </c>
      <c r="HY50" s="169" t="str">
        <f t="shared" si="302"/>
        <v/>
      </c>
      <c r="HZ50" s="169" t="str">
        <f t="shared" si="303"/>
        <v/>
      </c>
      <c r="IA50" s="168" t="str">
        <f t="shared" si="304"/>
        <v/>
      </c>
      <c r="IB50" s="169" t="str">
        <f t="shared" si="305"/>
        <v/>
      </c>
      <c r="IC50" s="170" t="str">
        <f t="shared" si="306"/>
        <v/>
      </c>
      <c r="ID50" s="168" t="str">
        <f t="shared" si="307"/>
        <v/>
      </c>
      <c r="IE50" s="169" t="str">
        <f t="shared" si="308"/>
        <v/>
      </c>
      <c r="IF50" s="170" t="str">
        <f t="shared" si="309"/>
        <v/>
      </c>
      <c r="IH50" s="171">
        <v>50</v>
      </c>
      <c r="II50" s="171" t="e">
        <f t="shared" ca="1" si="192"/>
        <v>#N/A</v>
      </c>
      <c r="IJ50" s="171" t="e">
        <f t="shared" ca="1" si="193"/>
        <v>#N/A</v>
      </c>
      <c r="IK50" s="171" t="e">
        <f t="shared" ca="1" si="194"/>
        <v>#N/A</v>
      </c>
      <c r="IL50" s="171" t="e">
        <f t="shared" ca="1" si="195"/>
        <v>#N/A</v>
      </c>
      <c r="IM50" s="162"/>
      <c r="IN50" s="173" t="e">
        <f t="shared" ca="1" si="184"/>
        <v>#N/A</v>
      </c>
      <c r="IO50" s="172" t="e">
        <f t="shared" ca="1" si="185"/>
        <v>#N/A</v>
      </c>
      <c r="IP50" s="172" t="e">
        <f t="shared" ca="1" si="186"/>
        <v>#N/A</v>
      </c>
      <c r="IQ50" s="173" t="e">
        <f t="shared" ca="1" si="187"/>
        <v>#N/A</v>
      </c>
      <c r="IR50" s="173" t="e">
        <f t="shared" ca="1" si="188"/>
        <v>#N/A</v>
      </c>
    </row>
    <row r="51" spans="1:252" s="163" customFormat="1" x14ac:dyDescent="0.35">
      <c r="A51" s="162">
        <v>0</v>
      </c>
      <c r="B51" s="162">
        <v>0</v>
      </c>
      <c r="C51" s="162">
        <v>1</v>
      </c>
      <c r="E51" s="3"/>
      <c r="F51" s="2" t="s">
        <v>315</v>
      </c>
      <c r="G51" s="164" t="s">
        <v>540</v>
      </c>
      <c r="H51" s="3" t="s">
        <v>543</v>
      </c>
      <c r="I51" s="8" t="s">
        <v>555</v>
      </c>
      <c r="J51" s="276" t="s">
        <v>805</v>
      </c>
      <c r="K51" s="175" t="s">
        <v>805</v>
      </c>
      <c r="L51" s="175" t="s">
        <v>805</v>
      </c>
      <c r="M51" s="175" t="s">
        <v>805</v>
      </c>
      <c r="N51" s="175" t="s">
        <v>805</v>
      </c>
      <c r="O51" s="175" t="s">
        <v>805</v>
      </c>
      <c r="P51" s="175" t="s">
        <v>805</v>
      </c>
      <c r="Q51" s="175" t="s">
        <v>805</v>
      </c>
      <c r="R51" s="175" t="s">
        <v>805</v>
      </c>
      <c r="S51" s="175" t="s">
        <v>805</v>
      </c>
      <c r="T51" s="175" t="s">
        <v>805</v>
      </c>
      <c r="U51" s="175" t="s">
        <v>805</v>
      </c>
      <c r="V51" s="175" t="s">
        <v>805</v>
      </c>
      <c r="W51" s="175" t="s">
        <v>805</v>
      </c>
      <c r="X51" s="175" t="s">
        <v>805</v>
      </c>
      <c r="Y51" s="175" t="s">
        <v>805</v>
      </c>
      <c r="Z51" s="175" t="s">
        <v>805</v>
      </c>
      <c r="AA51" s="175" t="s">
        <v>805</v>
      </c>
      <c r="AB51" s="175" t="s">
        <v>805</v>
      </c>
      <c r="AC51" s="175" t="s">
        <v>805</v>
      </c>
      <c r="AD51" s="175" t="s">
        <v>805</v>
      </c>
      <c r="AE51" s="175" t="s">
        <v>805</v>
      </c>
      <c r="AF51" s="175" t="s">
        <v>805</v>
      </c>
      <c r="AG51" s="175" t="s">
        <v>805</v>
      </c>
      <c r="AH51" s="175" t="s">
        <v>805</v>
      </c>
      <c r="AI51" s="175" t="s">
        <v>805</v>
      </c>
      <c r="AJ51" s="175" t="s">
        <v>805</v>
      </c>
      <c r="AK51" s="175" t="s">
        <v>805</v>
      </c>
      <c r="AL51" s="175" t="s">
        <v>805</v>
      </c>
      <c r="AM51" s="175" t="s">
        <v>805</v>
      </c>
      <c r="AN51" s="175" t="s">
        <v>805</v>
      </c>
      <c r="AO51" s="175" t="s">
        <v>805</v>
      </c>
      <c r="AP51" s="175" t="s">
        <v>805</v>
      </c>
      <c r="AQ51" s="175" t="s">
        <v>805</v>
      </c>
      <c r="AR51" s="175" t="s">
        <v>805</v>
      </c>
      <c r="AS51" s="175" t="s">
        <v>805</v>
      </c>
      <c r="AT51" s="175" t="s">
        <v>805</v>
      </c>
      <c r="AU51" s="175" t="s">
        <v>805</v>
      </c>
      <c r="AV51" s="175" t="s">
        <v>805</v>
      </c>
      <c r="AW51" s="175" t="s">
        <v>805</v>
      </c>
      <c r="AX51" s="175" t="s">
        <v>805</v>
      </c>
      <c r="AY51" s="175" t="s">
        <v>805</v>
      </c>
      <c r="AZ51" s="175" t="s">
        <v>805</v>
      </c>
      <c r="BA51" s="175" t="s">
        <v>805</v>
      </c>
      <c r="BB51" s="175" t="s">
        <v>805</v>
      </c>
      <c r="BC51" s="175" t="s">
        <v>805</v>
      </c>
      <c r="BD51" s="175" t="s">
        <v>805</v>
      </c>
      <c r="BE51" s="175" t="s">
        <v>805</v>
      </c>
      <c r="BF51" s="175" t="s">
        <v>805</v>
      </c>
      <c r="BG51" s="175" t="s">
        <v>805</v>
      </c>
      <c r="BH51" s="175" t="s">
        <v>805</v>
      </c>
      <c r="BI51" s="175" t="s">
        <v>805</v>
      </c>
      <c r="BJ51" s="175" t="s">
        <v>805</v>
      </c>
      <c r="BK51" s="175" t="s">
        <v>805</v>
      </c>
      <c r="BL51" s="175" t="s">
        <v>805</v>
      </c>
      <c r="BM51" s="175" t="s">
        <v>805</v>
      </c>
      <c r="BN51" s="175" t="s">
        <v>805</v>
      </c>
      <c r="BO51" s="175" t="s">
        <v>805</v>
      </c>
      <c r="BP51" s="175" t="s">
        <v>805</v>
      </c>
      <c r="BQ51" s="175" t="s">
        <v>805</v>
      </c>
      <c r="BR51" s="175" t="s">
        <v>805</v>
      </c>
      <c r="BS51" s="175" t="s">
        <v>805</v>
      </c>
      <c r="BT51" s="175" t="s">
        <v>805</v>
      </c>
      <c r="BU51" s="175" t="s">
        <v>805</v>
      </c>
      <c r="BV51" s="175" t="s">
        <v>805</v>
      </c>
      <c r="BW51" s="175" t="s">
        <v>805</v>
      </c>
      <c r="BX51" s="175" t="s">
        <v>805</v>
      </c>
      <c r="BY51" s="175" t="s">
        <v>805</v>
      </c>
      <c r="BZ51" s="175" t="s">
        <v>805</v>
      </c>
      <c r="CA51" s="175" t="s">
        <v>805</v>
      </c>
      <c r="CB51" s="175" t="s">
        <v>805</v>
      </c>
      <c r="CC51" s="175" t="s">
        <v>805</v>
      </c>
      <c r="CD51" s="175" t="s">
        <v>805</v>
      </c>
      <c r="CE51" s="175" t="s">
        <v>805</v>
      </c>
      <c r="CF51" s="175" t="s">
        <v>805</v>
      </c>
      <c r="CG51" s="175" t="s">
        <v>805</v>
      </c>
      <c r="CH51" s="175" t="s">
        <v>805</v>
      </c>
      <c r="CI51" s="175" t="s">
        <v>805</v>
      </c>
      <c r="CJ51" s="175" t="s">
        <v>805</v>
      </c>
      <c r="CK51" s="175" t="s">
        <v>805</v>
      </c>
      <c r="CL51" s="175" t="s">
        <v>805</v>
      </c>
      <c r="CM51" s="175" t="s">
        <v>805</v>
      </c>
      <c r="CN51" s="175" t="s">
        <v>805</v>
      </c>
      <c r="CO51" s="175" t="s">
        <v>805</v>
      </c>
      <c r="CP51" s="175" t="s">
        <v>805</v>
      </c>
      <c r="CQ51" s="175" t="s">
        <v>805</v>
      </c>
      <c r="CR51" s="175" t="s">
        <v>805</v>
      </c>
      <c r="CS51" s="175" t="s">
        <v>805</v>
      </c>
      <c r="CT51" s="175" t="s">
        <v>805</v>
      </c>
      <c r="CU51" s="175" t="s">
        <v>805</v>
      </c>
      <c r="CV51" s="175" t="s">
        <v>805</v>
      </c>
      <c r="CW51" s="175" t="s">
        <v>805</v>
      </c>
      <c r="CX51" s="175" t="s">
        <v>805</v>
      </c>
      <c r="CY51" s="175" t="s">
        <v>805</v>
      </c>
      <c r="CZ51" s="175" t="s">
        <v>805</v>
      </c>
      <c r="DA51" s="175" t="s">
        <v>805</v>
      </c>
      <c r="DB51" s="175" t="s">
        <v>805</v>
      </c>
      <c r="DC51" s="175" t="s">
        <v>805</v>
      </c>
      <c r="DD51" s="175" t="s">
        <v>805</v>
      </c>
      <c r="DE51" s="175" t="s">
        <v>805</v>
      </c>
      <c r="DF51" s="175" t="s">
        <v>805</v>
      </c>
      <c r="DG51" s="125">
        <f>'KPI Count-SHARE'!J45</f>
        <v>0</v>
      </c>
      <c r="DH51" s="176"/>
      <c r="DI51" s="176"/>
      <c r="DJ51" s="176"/>
      <c r="DK51" s="125">
        <f>'KPI Count-SHARE'!K45</f>
        <v>0</v>
      </c>
      <c r="DL51" s="177"/>
      <c r="DM51" s="177"/>
      <c r="DN51" s="177"/>
      <c r="DO51" s="125">
        <f>'KPI Count-SHARE'!L45</f>
        <v>0</v>
      </c>
      <c r="DP51" s="177"/>
      <c r="DQ51" s="177"/>
      <c r="DR51" s="177"/>
      <c r="DS51" s="125">
        <f>'KPI Count-SHARE'!M45</f>
        <v>0</v>
      </c>
      <c r="DT51" s="177"/>
      <c r="DU51" s="177"/>
      <c r="DV51" s="177"/>
      <c r="DW51" s="167" t="str">
        <f t="shared" si="196"/>
        <v>FTE per USD '000</v>
      </c>
      <c r="DX51" s="39" t="str">
        <f t="shared" si="197"/>
        <v/>
      </c>
      <c r="DY51" s="39" t="str">
        <f t="shared" si="198"/>
        <v/>
      </c>
      <c r="DZ51" s="39" t="str">
        <f t="shared" si="199"/>
        <v/>
      </c>
      <c r="EA51" s="39" t="str">
        <f t="shared" si="200"/>
        <v/>
      </c>
      <c r="EB51" s="39" t="str">
        <f t="shared" si="201"/>
        <v/>
      </c>
      <c r="EC51" s="39" t="str">
        <f t="shared" si="202"/>
        <v/>
      </c>
      <c r="ED51" s="39" t="str">
        <f t="shared" si="203"/>
        <v/>
      </c>
      <c r="EE51" s="39" t="str">
        <f t="shared" si="204"/>
        <v/>
      </c>
      <c r="EF51" s="39" t="str">
        <f t="shared" si="205"/>
        <v/>
      </c>
      <c r="EG51" s="39" t="str">
        <f t="shared" si="206"/>
        <v/>
      </c>
      <c r="EH51" s="39" t="str">
        <f t="shared" si="207"/>
        <v/>
      </c>
      <c r="EI51" s="39" t="str">
        <f t="shared" si="208"/>
        <v/>
      </c>
      <c r="EJ51" s="39" t="str">
        <f t="shared" si="209"/>
        <v/>
      </c>
      <c r="EK51" s="39" t="str">
        <f t="shared" si="210"/>
        <v/>
      </c>
      <c r="EL51" s="39" t="str">
        <f t="shared" si="211"/>
        <v/>
      </c>
      <c r="EM51" s="39" t="str">
        <f t="shared" si="212"/>
        <v/>
      </c>
      <c r="EN51" s="39" t="str">
        <f t="shared" si="213"/>
        <v/>
      </c>
      <c r="EO51" s="39" t="str">
        <f t="shared" si="214"/>
        <v/>
      </c>
      <c r="EP51" s="39" t="str">
        <f t="shared" si="215"/>
        <v/>
      </c>
      <c r="EQ51" s="39" t="str">
        <f t="shared" si="216"/>
        <v/>
      </c>
      <c r="ER51" s="39" t="str">
        <f t="shared" si="217"/>
        <v/>
      </c>
      <c r="ES51" s="39" t="str">
        <f t="shared" si="218"/>
        <v/>
      </c>
      <c r="ET51" s="39" t="str">
        <f t="shared" si="219"/>
        <v/>
      </c>
      <c r="EU51" s="39" t="str">
        <f t="shared" si="220"/>
        <v/>
      </c>
      <c r="EV51" s="39" t="str">
        <f t="shared" si="221"/>
        <v/>
      </c>
      <c r="EW51" s="39" t="str">
        <f t="shared" si="222"/>
        <v/>
      </c>
      <c r="EX51" s="39" t="str">
        <f t="shared" si="223"/>
        <v/>
      </c>
      <c r="EY51" s="39" t="str">
        <f t="shared" si="224"/>
        <v/>
      </c>
      <c r="EZ51" s="39" t="str">
        <f t="shared" si="225"/>
        <v/>
      </c>
      <c r="FA51" s="39" t="str">
        <f t="shared" si="226"/>
        <v/>
      </c>
      <c r="FB51" s="39" t="str">
        <f t="shared" si="227"/>
        <v/>
      </c>
      <c r="FC51" s="39" t="str">
        <f t="shared" si="228"/>
        <v/>
      </c>
      <c r="FD51" s="39" t="str">
        <f t="shared" si="229"/>
        <v/>
      </c>
      <c r="FE51" s="39" t="str">
        <f t="shared" si="230"/>
        <v/>
      </c>
      <c r="FF51" s="39" t="str">
        <f t="shared" si="231"/>
        <v/>
      </c>
      <c r="FG51" s="39" t="str">
        <f t="shared" si="232"/>
        <v/>
      </c>
      <c r="FH51" s="39" t="str">
        <f t="shared" si="233"/>
        <v/>
      </c>
      <c r="FI51" s="39" t="str">
        <f t="shared" si="234"/>
        <v/>
      </c>
      <c r="FJ51" s="39" t="str">
        <f t="shared" si="235"/>
        <v/>
      </c>
      <c r="FK51" s="39" t="str">
        <f t="shared" si="236"/>
        <v/>
      </c>
      <c r="FL51" s="39" t="str">
        <f t="shared" si="237"/>
        <v/>
      </c>
      <c r="FM51" s="39" t="str">
        <f t="shared" si="238"/>
        <v/>
      </c>
      <c r="FN51" s="39" t="str">
        <f t="shared" si="239"/>
        <v/>
      </c>
      <c r="FO51" s="39" t="str">
        <f t="shared" si="240"/>
        <v/>
      </c>
      <c r="FP51" s="39" t="str">
        <f t="shared" si="241"/>
        <v/>
      </c>
      <c r="FQ51" s="39" t="str">
        <f t="shared" si="242"/>
        <v/>
      </c>
      <c r="FR51" s="39" t="str">
        <f t="shared" si="243"/>
        <v/>
      </c>
      <c r="FS51" s="39" t="str">
        <f t="shared" si="244"/>
        <v/>
      </c>
      <c r="FT51" s="39" t="str">
        <f t="shared" si="245"/>
        <v/>
      </c>
      <c r="FU51" s="39" t="str">
        <f t="shared" si="246"/>
        <v/>
      </c>
      <c r="FV51" s="39" t="str">
        <f t="shared" si="247"/>
        <v/>
      </c>
      <c r="FW51" s="39" t="str">
        <f t="shared" si="248"/>
        <v/>
      </c>
      <c r="FX51" s="39" t="str">
        <f t="shared" si="249"/>
        <v/>
      </c>
      <c r="FY51" s="39" t="str">
        <f t="shared" si="250"/>
        <v/>
      </c>
      <c r="FZ51" s="39" t="str">
        <f t="shared" si="251"/>
        <v/>
      </c>
      <c r="GA51" s="39" t="str">
        <f t="shared" si="252"/>
        <v/>
      </c>
      <c r="GB51" s="39" t="str">
        <f t="shared" si="253"/>
        <v/>
      </c>
      <c r="GC51" s="39" t="str">
        <f t="shared" si="254"/>
        <v/>
      </c>
      <c r="GD51" s="39" t="str">
        <f t="shared" si="255"/>
        <v/>
      </c>
      <c r="GE51" s="39" t="str">
        <f t="shared" si="256"/>
        <v/>
      </c>
      <c r="GF51" s="39" t="str">
        <f t="shared" si="257"/>
        <v/>
      </c>
      <c r="GG51" s="39" t="str">
        <f t="shared" si="258"/>
        <v/>
      </c>
      <c r="GH51" s="39" t="str">
        <f t="shared" si="259"/>
        <v/>
      </c>
      <c r="GI51" s="39" t="str">
        <f t="shared" si="260"/>
        <v/>
      </c>
      <c r="GJ51" s="39" t="str">
        <f t="shared" si="261"/>
        <v/>
      </c>
      <c r="GK51" s="39" t="str">
        <f t="shared" si="262"/>
        <v/>
      </c>
      <c r="GL51" s="39" t="str">
        <f t="shared" si="263"/>
        <v/>
      </c>
      <c r="GM51" s="39" t="str">
        <f t="shared" si="264"/>
        <v/>
      </c>
      <c r="GN51" s="39" t="str">
        <f t="shared" si="265"/>
        <v/>
      </c>
      <c r="GO51" s="39" t="str">
        <f t="shared" si="266"/>
        <v/>
      </c>
      <c r="GP51" s="39" t="str">
        <f t="shared" si="267"/>
        <v/>
      </c>
      <c r="GQ51" s="39" t="str">
        <f t="shared" si="268"/>
        <v/>
      </c>
      <c r="GR51" s="39" t="str">
        <f t="shared" si="269"/>
        <v/>
      </c>
      <c r="GS51" s="39" t="str">
        <f t="shared" si="270"/>
        <v/>
      </c>
      <c r="GT51" s="39" t="str">
        <f t="shared" si="271"/>
        <v/>
      </c>
      <c r="GU51" s="39" t="str">
        <f t="shared" si="272"/>
        <v/>
      </c>
      <c r="GV51" s="39" t="str">
        <f t="shared" si="273"/>
        <v/>
      </c>
      <c r="GW51" s="39" t="str">
        <f t="shared" si="274"/>
        <v/>
      </c>
      <c r="GX51" s="39" t="str">
        <f t="shared" si="275"/>
        <v/>
      </c>
      <c r="GY51" s="39" t="str">
        <f t="shared" si="276"/>
        <v/>
      </c>
      <c r="GZ51" s="39" t="str">
        <f t="shared" si="277"/>
        <v/>
      </c>
      <c r="HA51" s="39" t="str">
        <f t="shared" si="278"/>
        <v/>
      </c>
      <c r="HB51" s="39" t="str">
        <f t="shared" si="279"/>
        <v/>
      </c>
      <c r="HC51" s="39" t="str">
        <f t="shared" si="280"/>
        <v/>
      </c>
      <c r="HD51" s="39" t="str">
        <f t="shared" si="281"/>
        <v/>
      </c>
      <c r="HE51" s="39" t="str">
        <f t="shared" si="282"/>
        <v/>
      </c>
      <c r="HF51" s="39" t="str">
        <f t="shared" si="283"/>
        <v/>
      </c>
      <c r="HG51" s="39" t="str">
        <f t="shared" si="284"/>
        <v/>
      </c>
      <c r="HH51" s="39" t="str">
        <f t="shared" si="285"/>
        <v/>
      </c>
      <c r="HI51" s="39" t="str">
        <f t="shared" si="286"/>
        <v/>
      </c>
      <c r="HJ51" s="39" t="str">
        <f t="shared" si="287"/>
        <v/>
      </c>
      <c r="HK51" s="39" t="str">
        <f t="shared" si="288"/>
        <v/>
      </c>
      <c r="HL51" s="39" t="str">
        <f t="shared" si="289"/>
        <v/>
      </c>
      <c r="HM51" s="39" t="str">
        <f t="shared" si="290"/>
        <v/>
      </c>
      <c r="HN51" s="39" t="str">
        <f t="shared" si="291"/>
        <v/>
      </c>
      <c r="HO51" s="39" t="str">
        <f t="shared" si="292"/>
        <v/>
      </c>
      <c r="HP51" s="39" t="str">
        <f t="shared" si="293"/>
        <v/>
      </c>
      <c r="HQ51" s="39" t="str">
        <f t="shared" si="294"/>
        <v/>
      </c>
      <c r="HR51" s="39" t="str">
        <f t="shared" si="295"/>
        <v/>
      </c>
      <c r="HS51" s="39" t="str">
        <f t="shared" si="296"/>
        <v/>
      </c>
      <c r="HT51" s="39" t="str">
        <f t="shared" si="297"/>
        <v/>
      </c>
      <c r="HU51" s="168" t="str">
        <f t="shared" si="298"/>
        <v>-</v>
      </c>
      <c r="HV51" s="169" t="str">
        <f t="shared" si="299"/>
        <v/>
      </c>
      <c r="HW51" s="170" t="str">
        <f t="shared" si="300"/>
        <v/>
      </c>
      <c r="HX51" s="169" t="str">
        <f t="shared" si="301"/>
        <v/>
      </c>
      <c r="HY51" s="169" t="str">
        <f t="shared" si="302"/>
        <v/>
      </c>
      <c r="HZ51" s="169" t="str">
        <f t="shared" si="303"/>
        <v/>
      </c>
      <c r="IA51" s="168" t="str">
        <f t="shared" si="304"/>
        <v/>
      </c>
      <c r="IB51" s="169" t="str">
        <f t="shared" si="305"/>
        <v/>
      </c>
      <c r="IC51" s="170" t="str">
        <f t="shared" si="306"/>
        <v/>
      </c>
      <c r="ID51" s="168" t="str">
        <f t="shared" si="307"/>
        <v/>
      </c>
      <c r="IE51" s="169" t="str">
        <f t="shared" si="308"/>
        <v/>
      </c>
      <c r="IF51" s="170" t="str">
        <f t="shared" si="309"/>
        <v/>
      </c>
      <c r="IH51" s="171">
        <v>51</v>
      </c>
      <c r="II51" s="171" t="e">
        <f t="shared" ca="1" si="192"/>
        <v>#N/A</v>
      </c>
      <c r="IJ51" s="171" t="e">
        <f t="shared" ca="1" si="193"/>
        <v>#N/A</v>
      </c>
      <c r="IK51" s="171" t="e">
        <f t="shared" ca="1" si="194"/>
        <v>#N/A</v>
      </c>
      <c r="IL51" s="171" t="e">
        <f t="shared" ca="1" si="195"/>
        <v>#N/A</v>
      </c>
      <c r="IM51" s="162"/>
      <c r="IN51" s="173" t="e">
        <f t="shared" ca="1" si="184"/>
        <v>#N/A</v>
      </c>
      <c r="IO51" s="172" t="e">
        <f t="shared" ca="1" si="185"/>
        <v>#N/A</v>
      </c>
      <c r="IP51" s="172" t="e">
        <f t="shared" ca="1" si="186"/>
        <v>#N/A</v>
      </c>
      <c r="IQ51" s="173" t="e">
        <f t="shared" ca="1" si="187"/>
        <v>#N/A</v>
      </c>
      <c r="IR51" s="173" t="e">
        <f t="shared" ca="1" si="188"/>
        <v>#N/A</v>
      </c>
    </row>
    <row r="52" spans="1:252" s="163" customFormat="1" x14ac:dyDescent="0.35">
      <c r="A52" s="162">
        <v>0</v>
      </c>
      <c r="B52" s="162">
        <v>0</v>
      </c>
      <c r="C52" s="162">
        <v>1</v>
      </c>
      <c r="E52" s="3"/>
      <c r="F52" s="2" t="s">
        <v>317</v>
      </c>
      <c r="G52" s="164" t="s">
        <v>540</v>
      </c>
      <c r="H52" s="3" t="s">
        <v>543</v>
      </c>
      <c r="I52" s="8" t="s">
        <v>555</v>
      </c>
      <c r="J52" s="276" t="s">
        <v>805</v>
      </c>
      <c r="K52" s="175" t="s">
        <v>805</v>
      </c>
      <c r="L52" s="175" t="s">
        <v>805</v>
      </c>
      <c r="M52" s="175" t="s">
        <v>805</v>
      </c>
      <c r="N52" s="175" t="s">
        <v>805</v>
      </c>
      <c r="O52" s="175" t="s">
        <v>805</v>
      </c>
      <c r="P52" s="175" t="s">
        <v>805</v>
      </c>
      <c r="Q52" s="175" t="s">
        <v>805</v>
      </c>
      <c r="R52" s="175" t="s">
        <v>805</v>
      </c>
      <c r="S52" s="175" t="s">
        <v>805</v>
      </c>
      <c r="T52" s="175" t="s">
        <v>805</v>
      </c>
      <c r="U52" s="175" t="s">
        <v>805</v>
      </c>
      <c r="V52" s="175" t="s">
        <v>805</v>
      </c>
      <c r="W52" s="175" t="s">
        <v>805</v>
      </c>
      <c r="X52" s="175" t="s">
        <v>805</v>
      </c>
      <c r="Y52" s="175" t="s">
        <v>805</v>
      </c>
      <c r="Z52" s="175" t="s">
        <v>805</v>
      </c>
      <c r="AA52" s="175" t="s">
        <v>805</v>
      </c>
      <c r="AB52" s="175" t="s">
        <v>805</v>
      </c>
      <c r="AC52" s="175" t="s">
        <v>805</v>
      </c>
      <c r="AD52" s="175" t="s">
        <v>805</v>
      </c>
      <c r="AE52" s="175" t="s">
        <v>805</v>
      </c>
      <c r="AF52" s="175" t="s">
        <v>805</v>
      </c>
      <c r="AG52" s="175" t="s">
        <v>805</v>
      </c>
      <c r="AH52" s="175" t="s">
        <v>805</v>
      </c>
      <c r="AI52" s="175" t="s">
        <v>805</v>
      </c>
      <c r="AJ52" s="175" t="s">
        <v>805</v>
      </c>
      <c r="AK52" s="175" t="s">
        <v>805</v>
      </c>
      <c r="AL52" s="175" t="s">
        <v>805</v>
      </c>
      <c r="AM52" s="175" t="s">
        <v>805</v>
      </c>
      <c r="AN52" s="175" t="s">
        <v>805</v>
      </c>
      <c r="AO52" s="175" t="s">
        <v>805</v>
      </c>
      <c r="AP52" s="175" t="s">
        <v>805</v>
      </c>
      <c r="AQ52" s="175" t="s">
        <v>805</v>
      </c>
      <c r="AR52" s="175" t="s">
        <v>805</v>
      </c>
      <c r="AS52" s="175" t="s">
        <v>805</v>
      </c>
      <c r="AT52" s="175" t="s">
        <v>805</v>
      </c>
      <c r="AU52" s="175" t="s">
        <v>805</v>
      </c>
      <c r="AV52" s="175" t="s">
        <v>805</v>
      </c>
      <c r="AW52" s="175" t="s">
        <v>805</v>
      </c>
      <c r="AX52" s="175" t="s">
        <v>805</v>
      </c>
      <c r="AY52" s="175" t="s">
        <v>805</v>
      </c>
      <c r="AZ52" s="175" t="s">
        <v>805</v>
      </c>
      <c r="BA52" s="175" t="s">
        <v>805</v>
      </c>
      <c r="BB52" s="175" t="s">
        <v>805</v>
      </c>
      <c r="BC52" s="175" t="s">
        <v>805</v>
      </c>
      <c r="BD52" s="175" t="s">
        <v>805</v>
      </c>
      <c r="BE52" s="175" t="s">
        <v>805</v>
      </c>
      <c r="BF52" s="175" t="s">
        <v>805</v>
      </c>
      <c r="BG52" s="175" t="s">
        <v>805</v>
      </c>
      <c r="BH52" s="175" t="s">
        <v>805</v>
      </c>
      <c r="BI52" s="175" t="s">
        <v>805</v>
      </c>
      <c r="BJ52" s="175" t="s">
        <v>805</v>
      </c>
      <c r="BK52" s="175" t="s">
        <v>805</v>
      </c>
      <c r="BL52" s="175" t="s">
        <v>805</v>
      </c>
      <c r="BM52" s="175" t="s">
        <v>805</v>
      </c>
      <c r="BN52" s="175" t="s">
        <v>805</v>
      </c>
      <c r="BO52" s="175" t="s">
        <v>805</v>
      </c>
      <c r="BP52" s="175" t="s">
        <v>805</v>
      </c>
      <c r="BQ52" s="175" t="s">
        <v>805</v>
      </c>
      <c r="BR52" s="175" t="s">
        <v>805</v>
      </c>
      <c r="BS52" s="175" t="s">
        <v>805</v>
      </c>
      <c r="BT52" s="175" t="s">
        <v>805</v>
      </c>
      <c r="BU52" s="175" t="s">
        <v>805</v>
      </c>
      <c r="BV52" s="175" t="s">
        <v>805</v>
      </c>
      <c r="BW52" s="175" t="s">
        <v>805</v>
      </c>
      <c r="BX52" s="175" t="s">
        <v>805</v>
      </c>
      <c r="BY52" s="175" t="s">
        <v>805</v>
      </c>
      <c r="BZ52" s="175" t="s">
        <v>805</v>
      </c>
      <c r="CA52" s="175" t="s">
        <v>805</v>
      </c>
      <c r="CB52" s="175" t="s">
        <v>805</v>
      </c>
      <c r="CC52" s="175" t="s">
        <v>805</v>
      </c>
      <c r="CD52" s="175" t="s">
        <v>805</v>
      </c>
      <c r="CE52" s="175" t="s">
        <v>805</v>
      </c>
      <c r="CF52" s="175" t="s">
        <v>805</v>
      </c>
      <c r="CG52" s="175" t="s">
        <v>805</v>
      </c>
      <c r="CH52" s="175" t="s">
        <v>805</v>
      </c>
      <c r="CI52" s="175" t="s">
        <v>805</v>
      </c>
      <c r="CJ52" s="175" t="s">
        <v>805</v>
      </c>
      <c r="CK52" s="175" t="s">
        <v>805</v>
      </c>
      <c r="CL52" s="175" t="s">
        <v>805</v>
      </c>
      <c r="CM52" s="175" t="s">
        <v>805</v>
      </c>
      <c r="CN52" s="175" t="s">
        <v>805</v>
      </c>
      <c r="CO52" s="175" t="s">
        <v>805</v>
      </c>
      <c r="CP52" s="175" t="s">
        <v>805</v>
      </c>
      <c r="CQ52" s="175" t="s">
        <v>805</v>
      </c>
      <c r="CR52" s="175" t="s">
        <v>805</v>
      </c>
      <c r="CS52" s="175" t="s">
        <v>805</v>
      </c>
      <c r="CT52" s="175" t="s">
        <v>805</v>
      </c>
      <c r="CU52" s="175" t="s">
        <v>805</v>
      </c>
      <c r="CV52" s="175" t="s">
        <v>805</v>
      </c>
      <c r="CW52" s="175" t="s">
        <v>805</v>
      </c>
      <c r="CX52" s="175" t="s">
        <v>805</v>
      </c>
      <c r="CY52" s="175" t="s">
        <v>805</v>
      </c>
      <c r="CZ52" s="175" t="s">
        <v>805</v>
      </c>
      <c r="DA52" s="175" t="s">
        <v>805</v>
      </c>
      <c r="DB52" s="175" t="s">
        <v>805</v>
      </c>
      <c r="DC52" s="175" t="s">
        <v>805</v>
      </c>
      <c r="DD52" s="175" t="s">
        <v>805</v>
      </c>
      <c r="DE52" s="175" t="s">
        <v>805</v>
      </c>
      <c r="DF52" s="175" t="s">
        <v>805</v>
      </c>
      <c r="DG52" s="125">
        <f>'KPI Count-SHARE'!J46</f>
        <v>0</v>
      </c>
      <c r="DH52" s="176"/>
      <c r="DI52" s="176"/>
      <c r="DJ52" s="176"/>
      <c r="DK52" s="125">
        <f>'KPI Count-SHARE'!K46</f>
        <v>0</v>
      </c>
      <c r="DL52" s="177"/>
      <c r="DM52" s="177"/>
      <c r="DN52" s="177"/>
      <c r="DO52" s="125">
        <f>'KPI Count-SHARE'!L46</f>
        <v>0</v>
      </c>
      <c r="DP52" s="177"/>
      <c r="DQ52" s="177"/>
      <c r="DR52" s="177"/>
      <c r="DS52" s="125">
        <f>'KPI Count-SHARE'!M46</f>
        <v>0</v>
      </c>
      <c r="DT52" s="177"/>
      <c r="DU52" s="177"/>
      <c r="DV52" s="177"/>
      <c r="DW52" s="167" t="str">
        <f t="shared" si="196"/>
        <v>FTE per USD '000</v>
      </c>
      <c r="DX52" s="39" t="str">
        <f t="shared" si="197"/>
        <v/>
      </c>
      <c r="DY52" s="39" t="str">
        <f t="shared" si="198"/>
        <v/>
      </c>
      <c r="DZ52" s="39" t="str">
        <f t="shared" si="199"/>
        <v/>
      </c>
      <c r="EA52" s="39" t="str">
        <f t="shared" si="200"/>
        <v/>
      </c>
      <c r="EB52" s="39" t="str">
        <f t="shared" si="201"/>
        <v/>
      </c>
      <c r="EC52" s="39" t="str">
        <f t="shared" si="202"/>
        <v/>
      </c>
      <c r="ED52" s="39" t="str">
        <f t="shared" si="203"/>
        <v/>
      </c>
      <c r="EE52" s="39" t="str">
        <f t="shared" si="204"/>
        <v/>
      </c>
      <c r="EF52" s="39" t="str">
        <f t="shared" si="205"/>
        <v/>
      </c>
      <c r="EG52" s="39" t="str">
        <f t="shared" si="206"/>
        <v/>
      </c>
      <c r="EH52" s="39" t="str">
        <f t="shared" si="207"/>
        <v/>
      </c>
      <c r="EI52" s="39" t="str">
        <f t="shared" si="208"/>
        <v/>
      </c>
      <c r="EJ52" s="39" t="str">
        <f t="shared" si="209"/>
        <v/>
      </c>
      <c r="EK52" s="39" t="str">
        <f t="shared" si="210"/>
        <v/>
      </c>
      <c r="EL52" s="39" t="str">
        <f t="shared" si="211"/>
        <v/>
      </c>
      <c r="EM52" s="39" t="str">
        <f t="shared" si="212"/>
        <v/>
      </c>
      <c r="EN52" s="39" t="str">
        <f t="shared" si="213"/>
        <v/>
      </c>
      <c r="EO52" s="39" t="str">
        <f t="shared" si="214"/>
        <v/>
      </c>
      <c r="EP52" s="39" t="str">
        <f t="shared" si="215"/>
        <v/>
      </c>
      <c r="EQ52" s="39" t="str">
        <f t="shared" si="216"/>
        <v/>
      </c>
      <c r="ER52" s="39" t="str">
        <f t="shared" si="217"/>
        <v/>
      </c>
      <c r="ES52" s="39" t="str">
        <f t="shared" si="218"/>
        <v/>
      </c>
      <c r="ET52" s="39" t="str">
        <f t="shared" si="219"/>
        <v/>
      </c>
      <c r="EU52" s="39" t="str">
        <f t="shared" si="220"/>
        <v/>
      </c>
      <c r="EV52" s="39" t="str">
        <f t="shared" si="221"/>
        <v/>
      </c>
      <c r="EW52" s="39" t="str">
        <f t="shared" si="222"/>
        <v/>
      </c>
      <c r="EX52" s="39" t="str">
        <f t="shared" si="223"/>
        <v/>
      </c>
      <c r="EY52" s="39" t="str">
        <f t="shared" si="224"/>
        <v/>
      </c>
      <c r="EZ52" s="39" t="str">
        <f t="shared" si="225"/>
        <v/>
      </c>
      <c r="FA52" s="39" t="str">
        <f t="shared" si="226"/>
        <v/>
      </c>
      <c r="FB52" s="39" t="str">
        <f t="shared" si="227"/>
        <v/>
      </c>
      <c r="FC52" s="39" t="str">
        <f t="shared" si="228"/>
        <v/>
      </c>
      <c r="FD52" s="39" t="str">
        <f t="shared" si="229"/>
        <v/>
      </c>
      <c r="FE52" s="39" t="str">
        <f t="shared" si="230"/>
        <v/>
      </c>
      <c r="FF52" s="39" t="str">
        <f t="shared" si="231"/>
        <v/>
      </c>
      <c r="FG52" s="39" t="str">
        <f t="shared" si="232"/>
        <v/>
      </c>
      <c r="FH52" s="39" t="str">
        <f t="shared" si="233"/>
        <v/>
      </c>
      <c r="FI52" s="39" t="str">
        <f t="shared" si="234"/>
        <v/>
      </c>
      <c r="FJ52" s="39" t="str">
        <f t="shared" si="235"/>
        <v/>
      </c>
      <c r="FK52" s="39" t="str">
        <f t="shared" si="236"/>
        <v/>
      </c>
      <c r="FL52" s="39" t="str">
        <f t="shared" si="237"/>
        <v/>
      </c>
      <c r="FM52" s="39" t="str">
        <f t="shared" si="238"/>
        <v/>
      </c>
      <c r="FN52" s="39" t="str">
        <f t="shared" si="239"/>
        <v/>
      </c>
      <c r="FO52" s="39" t="str">
        <f t="shared" si="240"/>
        <v/>
      </c>
      <c r="FP52" s="39" t="str">
        <f t="shared" si="241"/>
        <v/>
      </c>
      <c r="FQ52" s="39" t="str">
        <f t="shared" si="242"/>
        <v/>
      </c>
      <c r="FR52" s="39" t="str">
        <f t="shared" si="243"/>
        <v/>
      </c>
      <c r="FS52" s="39" t="str">
        <f t="shared" si="244"/>
        <v/>
      </c>
      <c r="FT52" s="39" t="str">
        <f t="shared" si="245"/>
        <v/>
      </c>
      <c r="FU52" s="39" t="str">
        <f t="shared" si="246"/>
        <v/>
      </c>
      <c r="FV52" s="39" t="str">
        <f t="shared" si="247"/>
        <v/>
      </c>
      <c r="FW52" s="39" t="str">
        <f t="shared" si="248"/>
        <v/>
      </c>
      <c r="FX52" s="39" t="str">
        <f t="shared" si="249"/>
        <v/>
      </c>
      <c r="FY52" s="39" t="str">
        <f t="shared" si="250"/>
        <v/>
      </c>
      <c r="FZ52" s="39" t="str">
        <f t="shared" si="251"/>
        <v/>
      </c>
      <c r="GA52" s="39" t="str">
        <f t="shared" si="252"/>
        <v/>
      </c>
      <c r="GB52" s="39" t="str">
        <f t="shared" si="253"/>
        <v/>
      </c>
      <c r="GC52" s="39" t="str">
        <f t="shared" si="254"/>
        <v/>
      </c>
      <c r="GD52" s="39" t="str">
        <f t="shared" si="255"/>
        <v/>
      </c>
      <c r="GE52" s="39" t="str">
        <f t="shared" si="256"/>
        <v/>
      </c>
      <c r="GF52" s="39" t="str">
        <f t="shared" si="257"/>
        <v/>
      </c>
      <c r="GG52" s="39" t="str">
        <f t="shared" si="258"/>
        <v/>
      </c>
      <c r="GH52" s="39" t="str">
        <f t="shared" si="259"/>
        <v/>
      </c>
      <c r="GI52" s="39" t="str">
        <f t="shared" si="260"/>
        <v/>
      </c>
      <c r="GJ52" s="39" t="str">
        <f t="shared" si="261"/>
        <v/>
      </c>
      <c r="GK52" s="39" t="str">
        <f t="shared" si="262"/>
        <v/>
      </c>
      <c r="GL52" s="39" t="str">
        <f t="shared" si="263"/>
        <v/>
      </c>
      <c r="GM52" s="39" t="str">
        <f t="shared" si="264"/>
        <v/>
      </c>
      <c r="GN52" s="39" t="str">
        <f t="shared" si="265"/>
        <v/>
      </c>
      <c r="GO52" s="39" t="str">
        <f t="shared" si="266"/>
        <v/>
      </c>
      <c r="GP52" s="39" t="str">
        <f t="shared" si="267"/>
        <v/>
      </c>
      <c r="GQ52" s="39" t="str">
        <f t="shared" si="268"/>
        <v/>
      </c>
      <c r="GR52" s="39" t="str">
        <f t="shared" si="269"/>
        <v/>
      </c>
      <c r="GS52" s="39" t="str">
        <f t="shared" si="270"/>
        <v/>
      </c>
      <c r="GT52" s="39" t="str">
        <f t="shared" si="271"/>
        <v/>
      </c>
      <c r="GU52" s="39" t="str">
        <f t="shared" si="272"/>
        <v/>
      </c>
      <c r="GV52" s="39" t="str">
        <f t="shared" si="273"/>
        <v/>
      </c>
      <c r="GW52" s="39" t="str">
        <f t="shared" si="274"/>
        <v/>
      </c>
      <c r="GX52" s="39" t="str">
        <f t="shared" si="275"/>
        <v/>
      </c>
      <c r="GY52" s="39" t="str">
        <f t="shared" si="276"/>
        <v/>
      </c>
      <c r="GZ52" s="39" t="str">
        <f t="shared" si="277"/>
        <v/>
      </c>
      <c r="HA52" s="39" t="str">
        <f t="shared" si="278"/>
        <v/>
      </c>
      <c r="HB52" s="39" t="str">
        <f t="shared" si="279"/>
        <v/>
      </c>
      <c r="HC52" s="39" t="str">
        <f t="shared" si="280"/>
        <v/>
      </c>
      <c r="HD52" s="39" t="str">
        <f t="shared" si="281"/>
        <v/>
      </c>
      <c r="HE52" s="39" t="str">
        <f t="shared" si="282"/>
        <v/>
      </c>
      <c r="HF52" s="39" t="str">
        <f t="shared" si="283"/>
        <v/>
      </c>
      <c r="HG52" s="39" t="str">
        <f t="shared" si="284"/>
        <v/>
      </c>
      <c r="HH52" s="39" t="str">
        <f t="shared" si="285"/>
        <v/>
      </c>
      <c r="HI52" s="39" t="str">
        <f t="shared" si="286"/>
        <v/>
      </c>
      <c r="HJ52" s="39" t="str">
        <f t="shared" si="287"/>
        <v/>
      </c>
      <c r="HK52" s="39" t="str">
        <f t="shared" si="288"/>
        <v/>
      </c>
      <c r="HL52" s="39" t="str">
        <f t="shared" si="289"/>
        <v/>
      </c>
      <c r="HM52" s="39" t="str">
        <f t="shared" si="290"/>
        <v/>
      </c>
      <c r="HN52" s="39" t="str">
        <f t="shared" si="291"/>
        <v/>
      </c>
      <c r="HO52" s="39" t="str">
        <f t="shared" si="292"/>
        <v/>
      </c>
      <c r="HP52" s="39" t="str">
        <f t="shared" si="293"/>
        <v/>
      </c>
      <c r="HQ52" s="39" t="str">
        <f t="shared" si="294"/>
        <v/>
      </c>
      <c r="HR52" s="39" t="str">
        <f t="shared" si="295"/>
        <v/>
      </c>
      <c r="HS52" s="39" t="str">
        <f t="shared" si="296"/>
        <v/>
      </c>
      <c r="HT52" s="39" t="str">
        <f t="shared" si="297"/>
        <v/>
      </c>
      <c r="HU52" s="168" t="str">
        <f t="shared" si="298"/>
        <v>-</v>
      </c>
      <c r="HV52" s="169" t="str">
        <f t="shared" si="299"/>
        <v/>
      </c>
      <c r="HW52" s="170" t="str">
        <f t="shared" si="300"/>
        <v/>
      </c>
      <c r="HX52" s="169" t="str">
        <f t="shared" si="301"/>
        <v/>
      </c>
      <c r="HY52" s="169" t="str">
        <f t="shared" si="302"/>
        <v/>
      </c>
      <c r="HZ52" s="169" t="str">
        <f t="shared" si="303"/>
        <v/>
      </c>
      <c r="IA52" s="168" t="str">
        <f t="shared" si="304"/>
        <v/>
      </c>
      <c r="IB52" s="169" t="str">
        <f t="shared" si="305"/>
        <v/>
      </c>
      <c r="IC52" s="170" t="str">
        <f t="shared" si="306"/>
        <v/>
      </c>
      <c r="ID52" s="168" t="str">
        <f t="shared" si="307"/>
        <v/>
      </c>
      <c r="IE52" s="169" t="str">
        <f t="shared" si="308"/>
        <v/>
      </c>
      <c r="IF52" s="170" t="str">
        <f t="shared" si="309"/>
        <v/>
      </c>
      <c r="IH52" s="171">
        <v>52</v>
      </c>
      <c r="II52" s="171" t="e">
        <f t="shared" ca="1" si="192"/>
        <v>#N/A</v>
      </c>
      <c r="IJ52" s="171" t="e">
        <f t="shared" ca="1" si="193"/>
        <v>#N/A</v>
      </c>
      <c r="IK52" s="171" t="e">
        <f t="shared" ca="1" si="194"/>
        <v>#N/A</v>
      </c>
      <c r="IL52" s="171" t="e">
        <f t="shared" ca="1" si="195"/>
        <v>#N/A</v>
      </c>
      <c r="IM52" s="162"/>
      <c r="IN52" s="173" t="e">
        <f t="shared" ca="1" si="184"/>
        <v>#N/A</v>
      </c>
      <c r="IO52" s="172" t="e">
        <f t="shared" ca="1" si="185"/>
        <v>#N/A</v>
      </c>
      <c r="IP52" s="172" t="e">
        <f t="shared" ca="1" si="186"/>
        <v>#N/A</v>
      </c>
      <c r="IQ52" s="173" t="e">
        <f t="shared" ca="1" si="187"/>
        <v>#N/A</v>
      </c>
      <c r="IR52" s="173" t="e">
        <f t="shared" ca="1" si="188"/>
        <v>#N/A</v>
      </c>
    </row>
    <row r="53" spans="1:252" s="163" customFormat="1" x14ac:dyDescent="0.35">
      <c r="A53" s="162">
        <v>0</v>
      </c>
      <c r="B53" s="162">
        <v>0</v>
      </c>
      <c r="C53" s="162">
        <v>1</v>
      </c>
      <c r="E53" s="3"/>
      <c r="F53" s="2" t="s">
        <v>318</v>
      </c>
      <c r="G53" s="164" t="s">
        <v>540</v>
      </c>
      <c r="H53" s="3" t="s">
        <v>543</v>
      </c>
      <c r="I53" s="8" t="s">
        <v>555</v>
      </c>
      <c r="J53" s="276" t="s">
        <v>805</v>
      </c>
      <c r="K53" s="175" t="s">
        <v>805</v>
      </c>
      <c r="L53" s="175" t="s">
        <v>805</v>
      </c>
      <c r="M53" s="175" t="s">
        <v>805</v>
      </c>
      <c r="N53" s="175" t="s">
        <v>805</v>
      </c>
      <c r="O53" s="175" t="s">
        <v>805</v>
      </c>
      <c r="P53" s="175" t="s">
        <v>805</v>
      </c>
      <c r="Q53" s="175" t="s">
        <v>805</v>
      </c>
      <c r="R53" s="175" t="s">
        <v>805</v>
      </c>
      <c r="S53" s="175" t="s">
        <v>805</v>
      </c>
      <c r="T53" s="175" t="s">
        <v>805</v>
      </c>
      <c r="U53" s="175" t="s">
        <v>805</v>
      </c>
      <c r="V53" s="175" t="s">
        <v>805</v>
      </c>
      <c r="W53" s="175" t="s">
        <v>805</v>
      </c>
      <c r="X53" s="175" t="s">
        <v>805</v>
      </c>
      <c r="Y53" s="175" t="s">
        <v>805</v>
      </c>
      <c r="Z53" s="175" t="s">
        <v>805</v>
      </c>
      <c r="AA53" s="175" t="s">
        <v>805</v>
      </c>
      <c r="AB53" s="175" t="s">
        <v>805</v>
      </c>
      <c r="AC53" s="175" t="s">
        <v>805</v>
      </c>
      <c r="AD53" s="175" t="s">
        <v>805</v>
      </c>
      <c r="AE53" s="175" t="s">
        <v>805</v>
      </c>
      <c r="AF53" s="175" t="s">
        <v>805</v>
      </c>
      <c r="AG53" s="175" t="s">
        <v>805</v>
      </c>
      <c r="AH53" s="175" t="s">
        <v>805</v>
      </c>
      <c r="AI53" s="175" t="s">
        <v>805</v>
      </c>
      <c r="AJ53" s="175" t="s">
        <v>805</v>
      </c>
      <c r="AK53" s="175" t="s">
        <v>805</v>
      </c>
      <c r="AL53" s="175" t="s">
        <v>805</v>
      </c>
      <c r="AM53" s="175" t="s">
        <v>805</v>
      </c>
      <c r="AN53" s="175" t="s">
        <v>805</v>
      </c>
      <c r="AO53" s="175" t="s">
        <v>805</v>
      </c>
      <c r="AP53" s="175" t="s">
        <v>805</v>
      </c>
      <c r="AQ53" s="175" t="s">
        <v>805</v>
      </c>
      <c r="AR53" s="175" t="s">
        <v>805</v>
      </c>
      <c r="AS53" s="175" t="s">
        <v>805</v>
      </c>
      <c r="AT53" s="175" t="s">
        <v>805</v>
      </c>
      <c r="AU53" s="175" t="s">
        <v>805</v>
      </c>
      <c r="AV53" s="175" t="s">
        <v>805</v>
      </c>
      <c r="AW53" s="175" t="s">
        <v>805</v>
      </c>
      <c r="AX53" s="175" t="s">
        <v>805</v>
      </c>
      <c r="AY53" s="175" t="s">
        <v>805</v>
      </c>
      <c r="AZ53" s="175" t="s">
        <v>805</v>
      </c>
      <c r="BA53" s="175" t="s">
        <v>805</v>
      </c>
      <c r="BB53" s="175" t="s">
        <v>805</v>
      </c>
      <c r="BC53" s="175" t="s">
        <v>805</v>
      </c>
      <c r="BD53" s="175" t="s">
        <v>805</v>
      </c>
      <c r="BE53" s="175" t="s">
        <v>805</v>
      </c>
      <c r="BF53" s="175" t="s">
        <v>805</v>
      </c>
      <c r="BG53" s="175" t="s">
        <v>805</v>
      </c>
      <c r="BH53" s="175" t="s">
        <v>805</v>
      </c>
      <c r="BI53" s="175" t="s">
        <v>805</v>
      </c>
      <c r="BJ53" s="175" t="s">
        <v>805</v>
      </c>
      <c r="BK53" s="175" t="s">
        <v>805</v>
      </c>
      <c r="BL53" s="175" t="s">
        <v>805</v>
      </c>
      <c r="BM53" s="175" t="s">
        <v>805</v>
      </c>
      <c r="BN53" s="175" t="s">
        <v>805</v>
      </c>
      <c r="BO53" s="175" t="s">
        <v>805</v>
      </c>
      <c r="BP53" s="175" t="s">
        <v>805</v>
      </c>
      <c r="BQ53" s="175" t="s">
        <v>805</v>
      </c>
      <c r="BR53" s="175" t="s">
        <v>805</v>
      </c>
      <c r="BS53" s="175" t="s">
        <v>805</v>
      </c>
      <c r="BT53" s="175" t="s">
        <v>805</v>
      </c>
      <c r="BU53" s="175" t="s">
        <v>805</v>
      </c>
      <c r="BV53" s="175" t="s">
        <v>805</v>
      </c>
      <c r="BW53" s="175" t="s">
        <v>805</v>
      </c>
      <c r="BX53" s="175" t="s">
        <v>805</v>
      </c>
      <c r="BY53" s="175" t="s">
        <v>805</v>
      </c>
      <c r="BZ53" s="175" t="s">
        <v>805</v>
      </c>
      <c r="CA53" s="175" t="s">
        <v>805</v>
      </c>
      <c r="CB53" s="175" t="s">
        <v>805</v>
      </c>
      <c r="CC53" s="175" t="s">
        <v>805</v>
      </c>
      <c r="CD53" s="175" t="s">
        <v>805</v>
      </c>
      <c r="CE53" s="175" t="s">
        <v>805</v>
      </c>
      <c r="CF53" s="175" t="s">
        <v>805</v>
      </c>
      <c r="CG53" s="175" t="s">
        <v>805</v>
      </c>
      <c r="CH53" s="175" t="s">
        <v>805</v>
      </c>
      <c r="CI53" s="175" t="s">
        <v>805</v>
      </c>
      <c r="CJ53" s="175" t="s">
        <v>805</v>
      </c>
      <c r="CK53" s="175" t="s">
        <v>805</v>
      </c>
      <c r="CL53" s="175" t="s">
        <v>805</v>
      </c>
      <c r="CM53" s="175" t="s">
        <v>805</v>
      </c>
      <c r="CN53" s="175" t="s">
        <v>805</v>
      </c>
      <c r="CO53" s="175" t="s">
        <v>805</v>
      </c>
      <c r="CP53" s="175" t="s">
        <v>805</v>
      </c>
      <c r="CQ53" s="175" t="s">
        <v>805</v>
      </c>
      <c r="CR53" s="175" t="s">
        <v>805</v>
      </c>
      <c r="CS53" s="175" t="s">
        <v>805</v>
      </c>
      <c r="CT53" s="175" t="s">
        <v>805</v>
      </c>
      <c r="CU53" s="175" t="s">
        <v>805</v>
      </c>
      <c r="CV53" s="175" t="s">
        <v>805</v>
      </c>
      <c r="CW53" s="175" t="s">
        <v>805</v>
      </c>
      <c r="CX53" s="175" t="s">
        <v>805</v>
      </c>
      <c r="CY53" s="175" t="s">
        <v>805</v>
      </c>
      <c r="CZ53" s="175" t="s">
        <v>805</v>
      </c>
      <c r="DA53" s="175" t="s">
        <v>805</v>
      </c>
      <c r="DB53" s="175" t="s">
        <v>805</v>
      </c>
      <c r="DC53" s="175" t="s">
        <v>805</v>
      </c>
      <c r="DD53" s="175" t="s">
        <v>805</v>
      </c>
      <c r="DE53" s="175" t="s">
        <v>805</v>
      </c>
      <c r="DF53" s="175" t="s">
        <v>805</v>
      </c>
      <c r="DG53" s="125">
        <f>'KPI Count-SHARE'!J47</f>
        <v>0</v>
      </c>
      <c r="DH53" s="176"/>
      <c r="DI53" s="176"/>
      <c r="DJ53" s="176"/>
      <c r="DK53" s="125">
        <f>'KPI Count-SHARE'!K47</f>
        <v>0</v>
      </c>
      <c r="DL53" s="177"/>
      <c r="DM53" s="177"/>
      <c r="DN53" s="177"/>
      <c r="DO53" s="125">
        <f>'KPI Count-SHARE'!L47</f>
        <v>0</v>
      </c>
      <c r="DP53" s="177"/>
      <c r="DQ53" s="177"/>
      <c r="DR53" s="177"/>
      <c r="DS53" s="125">
        <f>'KPI Count-SHARE'!M47</f>
        <v>0</v>
      </c>
      <c r="DT53" s="177"/>
      <c r="DU53" s="177"/>
      <c r="DV53" s="177"/>
      <c r="DW53" s="167" t="str">
        <f t="shared" si="196"/>
        <v>FTE per USD '000</v>
      </c>
      <c r="DX53" s="39" t="str">
        <f t="shared" si="197"/>
        <v/>
      </c>
      <c r="DY53" s="39" t="str">
        <f t="shared" si="198"/>
        <v/>
      </c>
      <c r="DZ53" s="39" t="str">
        <f t="shared" si="199"/>
        <v/>
      </c>
      <c r="EA53" s="39" t="str">
        <f t="shared" si="200"/>
        <v/>
      </c>
      <c r="EB53" s="39" t="str">
        <f t="shared" si="201"/>
        <v/>
      </c>
      <c r="EC53" s="39" t="str">
        <f t="shared" si="202"/>
        <v/>
      </c>
      <c r="ED53" s="39" t="str">
        <f t="shared" si="203"/>
        <v/>
      </c>
      <c r="EE53" s="39" t="str">
        <f t="shared" si="204"/>
        <v/>
      </c>
      <c r="EF53" s="39" t="str">
        <f t="shared" si="205"/>
        <v/>
      </c>
      <c r="EG53" s="39" t="str">
        <f t="shared" si="206"/>
        <v/>
      </c>
      <c r="EH53" s="39" t="str">
        <f t="shared" si="207"/>
        <v/>
      </c>
      <c r="EI53" s="39" t="str">
        <f t="shared" si="208"/>
        <v/>
      </c>
      <c r="EJ53" s="39" t="str">
        <f t="shared" si="209"/>
        <v/>
      </c>
      <c r="EK53" s="39" t="str">
        <f t="shared" si="210"/>
        <v/>
      </c>
      <c r="EL53" s="39" t="str">
        <f t="shared" si="211"/>
        <v/>
      </c>
      <c r="EM53" s="39" t="str">
        <f t="shared" si="212"/>
        <v/>
      </c>
      <c r="EN53" s="39" t="str">
        <f t="shared" si="213"/>
        <v/>
      </c>
      <c r="EO53" s="39" t="str">
        <f t="shared" si="214"/>
        <v/>
      </c>
      <c r="EP53" s="39" t="str">
        <f t="shared" si="215"/>
        <v/>
      </c>
      <c r="EQ53" s="39" t="str">
        <f t="shared" si="216"/>
        <v/>
      </c>
      <c r="ER53" s="39" t="str">
        <f t="shared" si="217"/>
        <v/>
      </c>
      <c r="ES53" s="39" t="str">
        <f t="shared" si="218"/>
        <v/>
      </c>
      <c r="ET53" s="39" t="str">
        <f t="shared" si="219"/>
        <v/>
      </c>
      <c r="EU53" s="39" t="str">
        <f t="shared" si="220"/>
        <v/>
      </c>
      <c r="EV53" s="39" t="str">
        <f t="shared" si="221"/>
        <v/>
      </c>
      <c r="EW53" s="39" t="str">
        <f t="shared" si="222"/>
        <v/>
      </c>
      <c r="EX53" s="39" t="str">
        <f t="shared" si="223"/>
        <v/>
      </c>
      <c r="EY53" s="39" t="str">
        <f t="shared" si="224"/>
        <v/>
      </c>
      <c r="EZ53" s="39" t="str">
        <f t="shared" si="225"/>
        <v/>
      </c>
      <c r="FA53" s="39" t="str">
        <f t="shared" si="226"/>
        <v/>
      </c>
      <c r="FB53" s="39" t="str">
        <f t="shared" si="227"/>
        <v/>
      </c>
      <c r="FC53" s="39" t="str">
        <f t="shared" si="228"/>
        <v/>
      </c>
      <c r="FD53" s="39" t="str">
        <f t="shared" si="229"/>
        <v/>
      </c>
      <c r="FE53" s="39" t="str">
        <f t="shared" si="230"/>
        <v/>
      </c>
      <c r="FF53" s="39" t="str">
        <f t="shared" si="231"/>
        <v/>
      </c>
      <c r="FG53" s="39" t="str">
        <f t="shared" si="232"/>
        <v/>
      </c>
      <c r="FH53" s="39" t="str">
        <f t="shared" si="233"/>
        <v/>
      </c>
      <c r="FI53" s="39" t="str">
        <f t="shared" si="234"/>
        <v/>
      </c>
      <c r="FJ53" s="39" t="str">
        <f t="shared" si="235"/>
        <v/>
      </c>
      <c r="FK53" s="39" t="str">
        <f t="shared" si="236"/>
        <v/>
      </c>
      <c r="FL53" s="39" t="str">
        <f t="shared" si="237"/>
        <v/>
      </c>
      <c r="FM53" s="39" t="str">
        <f t="shared" si="238"/>
        <v/>
      </c>
      <c r="FN53" s="39" t="str">
        <f t="shared" si="239"/>
        <v/>
      </c>
      <c r="FO53" s="39" t="str">
        <f t="shared" si="240"/>
        <v/>
      </c>
      <c r="FP53" s="39" t="str">
        <f t="shared" si="241"/>
        <v/>
      </c>
      <c r="FQ53" s="39" t="str">
        <f t="shared" si="242"/>
        <v/>
      </c>
      <c r="FR53" s="39" t="str">
        <f t="shared" si="243"/>
        <v/>
      </c>
      <c r="FS53" s="39" t="str">
        <f t="shared" si="244"/>
        <v/>
      </c>
      <c r="FT53" s="39" t="str">
        <f t="shared" si="245"/>
        <v/>
      </c>
      <c r="FU53" s="39" t="str">
        <f t="shared" si="246"/>
        <v/>
      </c>
      <c r="FV53" s="39" t="str">
        <f t="shared" si="247"/>
        <v/>
      </c>
      <c r="FW53" s="39" t="str">
        <f t="shared" si="248"/>
        <v/>
      </c>
      <c r="FX53" s="39" t="str">
        <f t="shared" si="249"/>
        <v/>
      </c>
      <c r="FY53" s="39" t="str">
        <f t="shared" si="250"/>
        <v/>
      </c>
      <c r="FZ53" s="39" t="str">
        <f t="shared" si="251"/>
        <v/>
      </c>
      <c r="GA53" s="39" t="str">
        <f t="shared" si="252"/>
        <v/>
      </c>
      <c r="GB53" s="39" t="str">
        <f t="shared" si="253"/>
        <v/>
      </c>
      <c r="GC53" s="39" t="str">
        <f t="shared" si="254"/>
        <v/>
      </c>
      <c r="GD53" s="39" t="str">
        <f t="shared" si="255"/>
        <v/>
      </c>
      <c r="GE53" s="39" t="str">
        <f t="shared" si="256"/>
        <v/>
      </c>
      <c r="GF53" s="39" t="str">
        <f t="shared" si="257"/>
        <v/>
      </c>
      <c r="GG53" s="39" t="str">
        <f t="shared" si="258"/>
        <v/>
      </c>
      <c r="GH53" s="39" t="str">
        <f t="shared" si="259"/>
        <v/>
      </c>
      <c r="GI53" s="39" t="str">
        <f t="shared" si="260"/>
        <v/>
      </c>
      <c r="GJ53" s="39" t="str">
        <f t="shared" si="261"/>
        <v/>
      </c>
      <c r="GK53" s="39" t="str">
        <f t="shared" si="262"/>
        <v/>
      </c>
      <c r="GL53" s="39" t="str">
        <f t="shared" si="263"/>
        <v/>
      </c>
      <c r="GM53" s="39" t="str">
        <f t="shared" si="264"/>
        <v/>
      </c>
      <c r="GN53" s="39" t="str">
        <f t="shared" si="265"/>
        <v/>
      </c>
      <c r="GO53" s="39" t="str">
        <f t="shared" si="266"/>
        <v/>
      </c>
      <c r="GP53" s="39" t="str">
        <f t="shared" si="267"/>
        <v/>
      </c>
      <c r="GQ53" s="39" t="str">
        <f t="shared" si="268"/>
        <v/>
      </c>
      <c r="GR53" s="39" t="str">
        <f t="shared" si="269"/>
        <v/>
      </c>
      <c r="GS53" s="39" t="str">
        <f t="shared" si="270"/>
        <v/>
      </c>
      <c r="GT53" s="39" t="str">
        <f t="shared" si="271"/>
        <v/>
      </c>
      <c r="GU53" s="39" t="str">
        <f t="shared" si="272"/>
        <v/>
      </c>
      <c r="GV53" s="39" t="str">
        <f t="shared" si="273"/>
        <v/>
      </c>
      <c r="GW53" s="39" t="str">
        <f t="shared" si="274"/>
        <v/>
      </c>
      <c r="GX53" s="39" t="str">
        <f t="shared" si="275"/>
        <v/>
      </c>
      <c r="GY53" s="39" t="str">
        <f t="shared" si="276"/>
        <v/>
      </c>
      <c r="GZ53" s="39" t="str">
        <f t="shared" si="277"/>
        <v/>
      </c>
      <c r="HA53" s="39" t="str">
        <f t="shared" si="278"/>
        <v/>
      </c>
      <c r="HB53" s="39" t="str">
        <f t="shared" si="279"/>
        <v/>
      </c>
      <c r="HC53" s="39" t="str">
        <f t="shared" si="280"/>
        <v/>
      </c>
      <c r="HD53" s="39" t="str">
        <f t="shared" si="281"/>
        <v/>
      </c>
      <c r="HE53" s="39" t="str">
        <f t="shared" si="282"/>
        <v/>
      </c>
      <c r="HF53" s="39" t="str">
        <f t="shared" si="283"/>
        <v/>
      </c>
      <c r="HG53" s="39" t="str">
        <f t="shared" si="284"/>
        <v/>
      </c>
      <c r="HH53" s="39" t="str">
        <f t="shared" si="285"/>
        <v/>
      </c>
      <c r="HI53" s="39" t="str">
        <f t="shared" si="286"/>
        <v/>
      </c>
      <c r="HJ53" s="39" t="str">
        <f t="shared" si="287"/>
        <v/>
      </c>
      <c r="HK53" s="39" t="str">
        <f t="shared" si="288"/>
        <v/>
      </c>
      <c r="HL53" s="39" t="str">
        <f t="shared" si="289"/>
        <v/>
      </c>
      <c r="HM53" s="39" t="str">
        <f t="shared" si="290"/>
        <v/>
      </c>
      <c r="HN53" s="39" t="str">
        <f t="shared" si="291"/>
        <v/>
      </c>
      <c r="HO53" s="39" t="str">
        <f t="shared" si="292"/>
        <v/>
      </c>
      <c r="HP53" s="39" t="str">
        <f t="shared" si="293"/>
        <v/>
      </c>
      <c r="HQ53" s="39" t="str">
        <f t="shared" si="294"/>
        <v/>
      </c>
      <c r="HR53" s="39" t="str">
        <f t="shared" si="295"/>
        <v/>
      </c>
      <c r="HS53" s="39" t="str">
        <f t="shared" si="296"/>
        <v/>
      </c>
      <c r="HT53" s="39" t="str">
        <f t="shared" si="297"/>
        <v/>
      </c>
      <c r="HU53" s="168" t="str">
        <f t="shared" si="298"/>
        <v>-</v>
      </c>
      <c r="HV53" s="169" t="str">
        <f t="shared" si="299"/>
        <v/>
      </c>
      <c r="HW53" s="170" t="str">
        <f t="shared" si="300"/>
        <v/>
      </c>
      <c r="HX53" s="169" t="str">
        <f t="shared" si="301"/>
        <v/>
      </c>
      <c r="HY53" s="169" t="str">
        <f t="shared" si="302"/>
        <v/>
      </c>
      <c r="HZ53" s="169" t="str">
        <f t="shared" si="303"/>
        <v/>
      </c>
      <c r="IA53" s="168" t="str">
        <f t="shared" si="304"/>
        <v/>
      </c>
      <c r="IB53" s="169" t="str">
        <f t="shared" si="305"/>
        <v/>
      </c>
      <c r="IC53" s="170" t="str">
        <f t="shared" si="306"/>
        <v/>
      </c>
      <c r="ID53" s="168" t="str">
        <f t="shared" si="307"/>
        <v/>
      </c>
      <c r="IE53" s="169" t="str">
        <f t="shared" si="308"/>
        <v/>
      </c>
      <c r="IF53" s="170" t="str">
        <f t="shared" si="309"/>
        <v/>
      </c>
      <c r="IH53" s="171">
        <v>53</v>
      </c>
      <c r="II53" s="171" t="e">
        <f t="shared" ca="1" si="192"/>
        <v>#N/A</v>
      </c>
      <c r="IJ53" s="171" t="e">
        <f t="shared" ca="1" si="193"/>
        <v>#N/A</v>
      </c>
      <c r="IK53" s="171" t="e">
        <f t="shared" ca="1" si="194"/>
        <v>#N/A</v>
      </c>
      <c r="IL53" s="171" t="e">
        <f t="shared" ca="1" si="195"/>
        <v>#N/A</v>
      </c>
      <c r="IM53" s="162"/>
      <c r="IN53" s="173" t="e">
        <f t="shared" ca="1" si="184"/>
        <v>#N/A</v>
      </c>
      <c r="IO53" s="172" t="e">
        <f t="shared" ca="1" si="185"/>
        <v>#N/A</v>
      </c>
      <c r="IP53" s="172" t="e">
        <f t="shared" ca="1" si="186"/>
        <v>#N/A</v>
      </c>
      <c r="IQ53" s="173" t="e">
        <f t="shared" ca="1" si="187"/>
        <v>#N/A</v>
      </c>
      <c r="IR53" s="173" t="e">
        <f t="shared" ca="1" si="188"/>
        <v>#N/A</v>
      </c>
    </row>
    <row r="54" spans="1:252" s="163" customFormat="1" x14ac:dyDescent="0.35">
      <c r="A54" s="162">
        <v>0</v>
      </c>
      <c r="B54" s="162">
        <v>0</v>
      </c>
      <c r="C54" s="162">
        <v>1</v>
      </c>
      <c r="E54" s="3"/>
      <c r="F54" s="2" t="s">
        <v>319</v>
      </c>
      <c r="G54" s="164" t="s">
        <v>540</v>
      </c>
      <c r="H54" s="3" t="s">
        <v>543</v>
      </c>
      <c r="I54" s="8" t="s">
        <v>555</v>
      </c>
      <c r="J54" s="276" t="s">
        <v>805</v>
      </c>
      <c r="K54" s="175" t="s">
        <v>805</v>
      </c>
      <c r="L54" s="175" t="s">
        <v>805</v>
      </c>
      <c r="M54" s="175" t="s">
        <v>805</v>
      </c>
      <c r="N54" s="175" t="s">
        <v>805</v>
      </c>
      <c r="O54" s="175" t="s">
        <v>805</v>
      </c>
      <c r="P54" s="175" t="s">
        <v>805</v>
      </c>
      <c r="Q54" s="175" t="s">
        <v>805</v>
      </c>
      <c r="R54" s="175" t="s">
        <v>805</v>
      </c>
      <c r="S54" s="175" t="s">
        <v>805</v>
      </c>
      <c r="T54" s="175" t="s">
        <v>805</v>
      </c>
      <c r="U54" s="175" t="s">
        <v>805</v>
      </c>
      <c r="V54" s="175" t="s">
        <v>805</v>
      </c>
      <c r="W54" s="175" t="s">
        <v>805</v>
      </c>
      <c r="X54" s="175" t="s">
        <v>805</v>
      </c>
      <c r="Y54" s="175" t="s">
        <v>805</v>
      </c>
      <c r="Z54" s="175" t="s">
        <v>805</v>
      </c>
      <c r="AA54" s="175" t="s">
        <v>805</v>
      </c>
      <c r="AB54" s="175" t="s">
        <v>805</v>
      </c>
      <c r="AC54" s="175" t="s">
        <v>805</v>
      </c>
      <c r="AD54" s="175" t="s">
        <v>805</v>
      </c>
      <c r="AE54" s="175" t="s">
        <v>805</v>
      </c>
      <c r="AF54" s="175" t="s">
        <v>805</v>
      </c>
      <c r="AG54" s="175" t="s">
        <v>805</v>
      </c>
      <c r="AH54" s="175" t="s">
        <v>805</v>
      </c>
      <c r="AI54" s="175" t="s">
        <v>805</v>
      </c>
      <c r="AJ54" s="175" t="s">
        <v>805</v>
      </c>
      <c r="AK54" s="175" t="s">
        <v>805</v>
      </c>
      <c r="AL54" s="175" t="s">
        <v>805</v>
      </c>
      <c r="AM54" s="175" t="s">
        <v>805</v>
      </c>
      <c r="AN54" s="175" t="s">
        <v>805</v>
      </c>
      <c r="AO54" s="175" t="s">
        <v>805</v>
      </c>
      <c r="AP54" s="175" t="s">
        <v>805</v>
      </c>
      <c r="AQ54" s="175" t="s">
        <v>805</v>
      </c>
      <c r="AR54" s="175" t="s">
        <v>805</v>
      </c>
      <c r="AS54" s="175" t="s">
        <v>805</v>
      </c>
      <c r="AT54" s="175" t="s">
        <v>805</v>
      </c>
      <c r="AU54" s="175" t="s">
        <v>805</v>
      </c>
      <c r="AV54" s="175" t="s">
        <v>805</v>
      </c>
      <c r="AW54" s="175" t="s">
        <v>805</v>
      </c>
      <c r="AX54" s="175" t="s">
        <v>805</v>
      </c>
      <c r="AY54" s="175" t="s">
        <v>805</v>
      </c>
      <c r="AZ54" s="175" t="s">
        <v>805</v>
      </c>
      <c r="BA54" s="175" t="s">
        <v>805</v>
      </c>
      <c r="BB54" s="175" t="s">
        <v>805</v>
      </c>
      <c r="BC54" s="175" t="s">
        <v>805</v>
      </c>
      <c r="BD54" s="175" t="s">
        <v>805</v>
      </c>
      <c r="BE54" s="175" t="s">
        <v>805</v>
      </c>
      <c r="BF54" s="175" t="s">
        <v>805</v>
      </c>
      <c r="BG54" s="175" t="s">
        <v>805</v>
      </c>
      <c r="BH54" s="175" t="s">
        <v>805</v>
      </c>
      <c r="BI54" s="175" t="s">
        <v>805</v>
      </c>
      <c r="BJ54" s="175" t="s">
        <v>805</v>
      </c>
      <c r="BK54" s="175" t="s">
        <v>805</v>
      </c>
      <c r="BL54" s="175" t="s">
        <v>805</v>
      </c>
      <c r="BM54" s="175" t="s">
        <v>805</v>
      </c>
      <c r="BN54" s="175" t="s">
        <v>805</v>
      </c>
      <c r="BO54" s="175" t="s">
        <v>805</v>
      </c>
      <c r="BP54" s="175" t="s">
        <v>805</v>
      </c>
      <c r="BQ54" s="175" t="s">
        <v>805</v>
      </c>
      <c r="BR54" s="175" t="s">
        <v>805</v>
      </c>
      <c r="BS54" s="175" t="s">
        <v>805</v>
      </c>
      <c r="BT54" s="175" t="s">
        <v>805</v>
      </c>
      <c r="BU54" s="175" t="s">
        <v>805</v>
      </c>
      <c r="BV54" s="175" t="s">
        <v>805</v>
      </c>
      <c r="BW54" s="175" t="s">
        <v>805</v>
      </c>
      <c r="BX54" s="175" t="s">
        <v>805</v>
      </c>
      <c r="BY54" s="175" t="s">
        <v>805</v>
      </c>
      <c r="BZ54" s="175" t="s">
        <v>805</v>
      </c>
      <c r="CA54" s="175" t="s">
        <v>805</v>
      </c>
      <c r="CB54" s="175" t="s">
        <v>805</v>
      </c>
      <c r="CC54" s="175" t="s">
        <v>805</v>
      </c>
      <c r="CD54" s="175" t="s">
        <v>805</v>
      </c>
      <c r="CE54" s="175" t="s">
        <v>805</v>
      </c>
      <c r="CF54" s="175" t="s">
        <v>805</v>
      </c>
      <c r="CG54" s="175" t="s">
        <v>805</v>
      </c>
      <c r="CH54" s="175" t="s">
        <v>805</v>
      </c>
      <c r="CI54" s="175" t="s">
        <v>805</v>
      </c>
      <c r="CJ54" s="175" t="s">
        <v>805</v>
      </c>
      <c r="CK54" s="175" t="s">
        <v>805</v>
      </c>
      <c r="CL54" s="175" t="s">
        <v>805</v>
      </c>
      <c r="CM54" s="175" t="s">
        <v>805</v>
      </c>
      <c r="CN54" s="175" t="s">
        <v>805</v>
      </c>
      <c r="CO54" s="175" t="s">
        <v>805</v>
      </c>
      <c r="CP54" s="175" t="s">
        <v>805</v>
      </c>
      <c r="CQ54" s="175" t="s">
        <v>805</v>
      </c>
      <c r="CR54" s="175" t="s">
        <v>805</v>
      </c>
      <c r="CS54" s="175" t="s">
        <v>805</v>
      </c>
      <c r="CT54" s="175" t="s">
        <v>805</v>
      </c>
      <c r="CU54" s="175" t="s">
        <v>805</v>
      </c>
      <c r="CV54" s="175" t="s">
        <v>805</v>
      </c>
      <c r="CW54" s="175" t="s">
        <v>805</v>
      </c>
      <c r="CX54" s="175" t="s">
        <v>805</v>
      </c>
      <c r="CY54" s="175" t="s">
        <v>805</v>
      </c>
      <c r="CZ54" s="175" t="s">
        <v>805</v>
      </c>
      <c r="DA54" s="175" t="s">
        <v>805</v>
      </c>
      <c r="DB54" s="175" t="s">
        <v>805</v>
      </c>
      <c r="DC54" s="175" t="s">
        <v>805</v>
      </c>
      <c r="DD54" s="175" t="s">
        <v>805</v>
      </c>
      <c r="DE54" s="175" t="s">
        <v>805</v>
      </c>
      <c r="DF54" s="175" t="s">
        <v>805</v>
      </c>
      <c r="DG54" s="125">
        <f>'KPI Count-SHARE'!J48</f>
        <v>0</v>
      </c>
      <c r="DH54" s="176"/>
      <c r="DI54" s="176"/>
      <c r="DJ54" s="176"/>
      <c r="DK54" s="125">
        <f>'KPI Count-SHARE'!K48</f>
        <v>0</v>
      </c>
      <c r="DL54" s="177"/>
      <c r="DM54" s="177"/>
      <c r="DN54" s="177"/>
      <c r="DO54" s="125">
        <f>'KPI Count-SHARE'!L48</f>
        <v>0</v>
      </c>
      <c r="DP54" s="177"/>
      <c r="DQ54" s="177"/>
      <c r="DR54" s="177"/>
      <c r="DS54" s="125">
        <f>'KPI Count-SHARE'!M48</f>
        <v>0</v>
      </c>
      <c r="DT54" s="177"/>
      <c r="DU54" s="177"/>
      <c r="DV54" s="177"/>
      <c r="DW54" s="167" t="str">
        <f t="shared" si="196"/>
        <v>FTE per USD '000</v>
      </c>
      <c r="DX54" s="39" t="str">
        <f t="shared" si="197"/>
        <v/>
      </c>
      <c r="DY54" s="39" t="str">
        <f t="shared" si="198"/>
        <v/>
      </c>
      <c r="DZ54" s="39" t="str">
        <f t="shared" si="199"/>
        <v/>
      </c>
      <c r="EA54" s="39" t="str">
        <f t="shared" si="200"/>
        <v/>
      </c>
      <c r="EB54" s="39" t="str">
        <f t="shared" si="201"/>
        <v/>
      </c>
      <c r="EC54" s="39" t="str">
        <f t="shared" si="202"/>
        <v/>
      </c>
      <c r="ED54" s="39" t="str">
        <f t="shared" si="203"/>
        <v/>
      </c>
      <c r="EE54" s="39" t="str">
        <f t="shared" si="204"/>
        <v/>
      </c>
      <c r="EF54" s="39" t="str">
        <f t="shared" si="205"/>
        <v/>
      </c>
      <c r="EG54" s="39" t="str">
        <f t="shared" si="206"/>
        <v/>
      </c>
      <c r="EH54" s="39" t="str">
        <f t="shared" si="207"/>
        <v/>
      </c>
      <c r="EI54" s="39" t="str">
        <f t="shared" si="208"/>
        <v/>
      </c>
      <c r="EJ54" s="39" t="str">
        <f t="shared" si="209"/>
        <v/>
      </c>
      <c r="EK54" s="39" t="str">
        <f t="shared" si="210"/>
        <v/>
      </c>
      <c r="EL54" s="39" t="str">
        <f t="shared" si="211"/>
        <v/>
      </c>
      <c r="EM54" s="39" t="str">
        <f t="shared" si="212"/>
        <v/>
      </c>
      <c r="EN54" s="39" t="str">
        <f t="shared" si="213"/>
        <v/>
      </c>
      <c r="EO54" s="39" t="str">
        <f t="shared" si="214"/>
        <v/>
      </c>
      <c r="EP54" s="39" t="str">
        <f t="shared" si="215"/>
        <v/>
      </c>
      <c r="EQ54" s="39" t="str">
        <f t="shared" si="216"/>
        <v/>
      </c>
      <c r="ER54" s="39" t="str">
        <f t="shared" si="217"/>
        <v/>
      </c>
      <c r="ES54" s="39" t="str">
        <f t="shared" si="218"/>
        <v/>
      </c>
      <c r="ET54" s="39" t="str">
        <f t="shared" si="219"/>
        <v/>
      </c>
      <c r="EU54" s="39" t="str">
        <f t="shared" si="220"/>
        <v/>
      </c>
      <c r="EV54" s="39" t="str">
        <f t="shared" si="221"/>
        <v/>
      </c>
      <c r="EW54" s="39" t="str">
        <f t="shared" si="222"/>
        <v/>
      </c>
      <c r="EX54" s="39" t="str">
        <f t="shared" si="223"/>
        <v/>
      </c>
      <c r="EY54" s="39" t="str">
        <f t="shared" si="224"/>
        <v/>
      </c>
      <c r="EZ54" s="39" t="str">
        <f t="shared" si="225"/>
        <v/>
      </c>
      <c r="FA54" s="39" t="str">
        <f t="shared" si="226"/>
        <v/>
      </c>
      <c r="FB54" s="39" t="str">
        <f t="shared" si="227"/>
        <v/>
      </c>
      <c r="FC54" s="39" t="str">
        <f t="shared" si="228"/>
        <v/>
      </c>
      <c r="FD54" s="39" t="str">
        <f t="shared" si="229"/>
        <v/>
      </c>
      <c r="FE54" s="39" t="str">
        <f t="shared" si="230"/>
        <v/>
      </c>
      <c r="FF54" s="39" t="str">
        <f t="shared" si="231"/>
        <v/>
      </c>
      <c r="FG54" s="39" t="str">
        <f t="shared" si="232"/>
        <v/>
      </c>
      <c r="FH54" s="39" t="str">
        <f t="shared" si="233"/>
        <v/>
      </c>
      <c r="FI54" s="39" t="str">
        <f t="shared" si="234"/>
        <v/>
      </c>
      <c r="FJ54" s="39" t="str">
        <f t="shared" si="235"/>
        <v/>
      </c>
      <c r="FK54" s="39" t="str">
        <f t="shared" si="236"/>
        <v/>
      </c>
      <c r="FL54" s="39" t="str">
        <f t="shared" si="237"/>
        <v/>
      </c>
      <c r="FM54" s="39" t="str">
        <f t="shared" si="238"/>
        <v/>
      </c>
      <c r="FN54" s="39" t="str">
        <f t="shared" si="239"/>
        <v/>
      </c>
      <c r="FO54" s="39" t="str">
        <f t="shared" si="240"/>
        <v/>
      </c>
      <c r="FP54" s="39" t="str">
        <f t="shared" si="241"/>
        <v/>
      </c>
      <c r="FQ54" s="39" t="str">
        <f t="shared" si="242"/>
        <v/>
      </c>
      <c r="FR54" s="39" t="str">
        <f t="shared" si="243"/>
        <v/>
      </c>
      <c r="FS54" s="39" t="str">
        <f t="shared" si="244"/>
        <v/>
      </c>
      <c r="FT54" s="39" t="str">
        <f t="shared" si="245"/>
        <v/>
      </c>
      <c r="FU54" s="39" t="str">
        <f t="shared" si="246"/>
        <v/>
      </c>
      <c r="FV54" s="39" t="str">
        <f t="shared" si="247"/>
        <v/>
      </c>
      <c r="FW54" s="39" t="str">
        <f t="shared" si="248"/>
        <v/>
      </c>
      <c r="FX54" s="39" t="str">
        <f t="shared" si="249"/>
        <v/>
      </c>
      <c r="FY54" s="39" t="str">
        <f t="shared" si="250"/>
        <v/>
      </c>
      <c r="FZ54" s="39" t="str">
        <f t="shared" si="251"/>
        <v/>
      </c>
      <c r="GA54" s="39" t="str">
        <f t="shared" si="252"/>
        <v/>
      </c>
      <c r="GB54" s="39" t="str">
        <f t="shared" si="253"/>
        <v/>
      </c>
      <c r="GC54" s="39" t="str">
        <f t="shared" si="254"/>
        <v/>
      </c>
      <c r="GD54" s="39" t="str">
        <f t="shared" si="255"/>
        <v/>
      </c>
      <c r="GE54" s="39" t="str">
        <f t="shared" si="256"/>
        <v/>
      </c>
      <c r="GF54" s="39" t="str">
        <f t="shared" si="257"/>
        <v/>
      </c>
      <c r="GG54" s="39" t="str">
        <f t="shared" si="258"/>
        <v/>
      </c>
      <c r="GH54" s="39" t="str">
        <f t="shared" si="259"/>
        <v/>
      </c>
      <c r="GI54" s="39" t="str">
        <f t="shared" si="260"/>
        <v/>
      </c>
      <c r="GJ54" s="39" t="str">
        <f t="shared" si="261"/>
        <v/>
      </c>
      <c r="GK54" s="39" t="str">
        <f t="shared" si="262"/>
        <v/>
      </c>
      <c r="GL54" s="39" t="str">
        <f t="shared" si="263"/>
        <v/>
      </c>
      <c r="GM54" s="39" t="str">
        <f t="shared" si="264"/>
        <v/>
      </c>
      <c r="GN54" s="39" t="str">
        <f t="shared" si="265"/>
        <v/>
      </c>
      <c r="GO54" s="39" t="str">
        <f t="shared" si="266"/>
        <v/>
      </c>
      <c r="GP54" s="39" t="str">
        <f t="shared" si="267"/>
        <v/>
      </c>
      <c r="GQ54" s="39" t="str">
        <f t="shared" si="268"/>
        <v/>
      </c>
      <c r="GR54" s="39" t="str">
        <f t="shared" si="269"/>
        <v/>
      </c>
      <c r="GS54" s="39" t="str">
        <f t="shared" si="270"/>
        <v/>
      </c>
      <c r="GT54" s="39" t="str">
        <f t="shared" si="271"/>
        <v/>
      </c>
      <c r="GU54" s="39" t="str">
        <f t="shared" si="272"/>
        <v/>
      </c>
      <c r="GV54" s="39" t="str">
        <f t="shared" si="273"/>
        <v/>
      </c>
      <c r="GW54" s="39" t="str">
        <f t="shared" si="274"/>
        <v/>
      </c>
      <c r="GX54" s="39" t="str">
        <f t="shared" si="275"/>
        <v/>
      </c>
      <c r="GY54" s="39" t="str">
        <f t="shared" si="276"/>
        <v/>
      </c>
      <c r="GZ54" s="39" t="str">
        <f t="shared" si="277"/>
        <v/>
      </c>
      <c r="HA54" s="39" t="str">
        <f t="shared" si="278"/>
        <v/>
      </c>
      <c r="HB54" s="39" t="str">
        <f t="shared" si="279"/>
        <v/>
      </c>
      <c r="HC54" s="39" t="str">
        <f t="shared" si="280"/>
        <v/>
      </c>
      <c r="HD54" s="39" t="str">
        <f t="shared" si="281"/>
        <v/>
      </c>
      <c r="HE54" s="39" t="str">
        <f t="shared" si="282"/>
        <v/>
      </c>
      <c r="HF54" s="39" t="str">
        <f t="shared" si="283"/>
        <v/>
      </c>
      <c r="HG54" s="39" t="str">
        <f t="shared" si="284"/>
        <v/>
      </c>
      <c r="HH54" s="39" t="str">
        <f t="shared" si="285"/>
        <v/>
      </c>
      <c r="HI54" s="39" t="str">
        <f t="shared" si="286"/>
        <v/>
      </c>
      <c r="HJ54" s="39" t="str">
        <f t="shared" si="287"/>
        <v/>
      </c>
      <c r="HK54" s="39" t="str">
        <f t="shared" si="288"/>
        <v/>
      </c>
      <c r="HL54" s="39" t="str">
        <f t="shared" si="289"/>
        <v/>
      </c>
      <c r="HM54" s="39" t="str">
        <f t="shared" si="290"/>
        <v/>
      </c>
      <c r="HN54" s="39" t="str">
        <f t="shared" si="291"/>
        <v/>
      </c>
      <c r="HO54" s="39" t="str">
        <f t="shared" si="292"/>
        <v/>
      </c>
      <c r="HP54" s="39" t="str">
        <f t="shared" si="293"/>
        <v/>
      </c>
      <c r="HQ54" s="39" t="str">
        <f t="shared" si="294"/>
        <v/>
      </c>
      <c r="HR54" s="39" t="str">
        <f t="shared" si="295"/>
        <v/>
      </c>
      <c r="HS54" s="39" t="str">
        <f t="shared" si="296"/>
        <v/>
      </c>
      <c r="HT54" s="39" t="str">
        <f t="shared" si="297"/>
        <v/>
      </c>
      <c r="HU54" s="168" t="str">
        <f t="shared" si="298"/>
        <v>-</v>
      </c>
      <c r="HV54" s="169" t="str">
        <f t="shared" si="299"/>
        <v/>
      </c>
      <c r="HW54" s="170" t="str">
        <f t="shared" si="300"/>
        <v/>
      </c>
      <c r="HX54" s="169" t="str">
        <f t="shared" si="301"/>
        <v/>
      </c>
      <c r="HY54" s="169" t="str">
        <f t="shared" si="302"/>
        <v/>
      </c>
      <c r="HZ54" s="169" t="str">
        <f t="shared" si="303"/>
        <v/>
      </c>
      <c r="IA54" s="168" t="str">
        <f t="shared" si="304"/>
        <v/>
      </c>
      <c r="IB54" s="169" t="str">
        <f t="shared" si="305"/>
        <v/>
      </c>
      <c r="IC54" s="170" t="str">
        <f t="shared" si="306"/>
        <v/>
      </c>
      <c r="ID54" s="168" t="str">
        <f t="shared" si="307"/>
        <v/>
      </c>
      <c r="IE54" s="169" t="str">
        <f t="shared" si="308"/>
        <v/>
      </c>
      <c r="IF54" s="170" t="str">
        <f t="shared" si="309"/>
        <v/>
      </c>
      <c r="IH54" s="171">
        <v>54</v>
      </c>
      <c r="II54" s="171" t="e">
        <f t="shared" ca="1" si="192"/>
        <v>#N/A</v>
      </c>
      <c r="IJ54" s="171" t="e">
        <f t="shared" ca="1" si="193"/>
        <v>#N/A</v>
      </c>
      <c r="IK54" s="171" t="e">
        <f t="shared" ca="1" si="194"/>
        <v>#N/A</v>
      </c>
      <c r="IL54" s="171" t="e">
        <f t="shared" ca="1" si="195"/>
        <v>#N/A</v>
      </c>
      <c r="IM54" s="162"/>
      <c r="IN54" s="173" t="e">
        <f t="shared" ca="1" si="184"/>
        <v>#N/A</v>
      </c>
      <c r="IO54" s="172" t="e">
        <f t="shared" ca="1" si="185"/>
        <v>#N/A</v>
      </c>
      <c r="IP54" s="172" t="e">
        <f t="shared" ca="1" si="186"/>
        <v>#N/A</v>
      </c>
      <c r="IQ54" s="173" t="e">
        <f t="shared" ca="1" si="187"/>
        <v>#N/A</v>
      </c>
      <c r="IR54" s="173" t="e">
        <f t="shared" ca="1" si="188"/>
        <v>#N/A</v>
      </c>
    </row>
    <row r="55" spans="1:252" s="1" customFormat="1" x14ac:dyDescent="0.35">
      <c r="A55" s="33">
        <v>1</v>
      </c>
      <c r="B55" s="33">
        <v>1</v>
      </c>
      <c r="C55" s="33">
        <v>1</v>
      </c>
      <c r="E55" s="4"/>
      <c r="F55" t="s">
        <v>320</v>
      </c>
      <c r="G55" s="5" t="s">
        <v>540</v>
      </c>
      <c r="H55" s="4" t="s">
        <v>533</v>
      </c>
      <c r="I55" s="8" t="s">
        <v>534</v>
      </c>
      <c r="J55" s="276">
        <v>4.4504763405051734E-4</v>
      </c>
      <c r="K55" s="39" t="s">
        <v>805</v>
      </c>
      <c r="L55" s="39" t="s">
        <v>805</v>
      </c>
      <c r="M55" s="39" t="s">
        <v>805</v>
      </c>
      <c r="N55" s="39" t="s">
        <v>805</v>
      </c>
      <c r="O55" s="39" t="s">
        <v>805</v>
      </c>
      <c r="P55" s="39" t="s">
        <v>805</v>
      </c>
      <c r="Q55" s="39" t="s">
        <v>805</v>
      </c>
      <c r="R55" s="39" t="s">
        <v>805</v>
      </c>
      <c r="S55" s="39" t="s">
        <v>805</v>
      </c>
      <c r="T55" s="39" t="s">
        <v>805</v>
      </c>
      <c r="U55" s="39" t="s">
        <v>805</v>
      </c>
      <c r="V55" s="39" t="s">
        <v>805</v>
      </c>
      <c r="W55" s="39" t="s">
        <v>805</v>
      </c>
      <c r="X55" s="39" t="s">
        <v>805</v>
      </c>
      <c r="Y55" s="39" t="s">
        <v>805</v>
      </c>
      <c r="Z55" s="39" t="s">
        <v>805</v>
      </c>
      <c r="AA55" s="39" t="s">
        <v>805</v>
      </c>
      <c r="AB55" s="39" t="s">
        <v>805</v>
      </c>
      <c r="AC55" s="39" t="s">
        <v>805</v>
      </c>
      <c r="AD55" s="39" t="s">
        <v>805</v>
      </c>
      <c r="AE55" s="39" t="s">
        <v>805</v>
      </c>
      <c r="AF55" s="39" t="s">
        <v>805</v>
      </c>
      <c r="AG55" s="39" t="s">
        <v>805</v>
      </c>
      <c r="AH55" s="39" t="s">
        <v>805</v>
      </c>
      <c r="AI55" s="39" t="s">
        <v>805</v>
      </c>
      <c r="AJ55" s="39" t="s">
        <v>805</v>
      </c>
      <c r="AK55" s="39" t="s">
        <v>805</v>
      </c>
      <c r="AL55" s="39" t="s">
        <v>805</v>
      </c>
      <c r="AM55" s="39" t="s">
        <v>805</v>
      </c>
      <c r="AN55" s="39" t="s">
        <v>805</v>
      </c>
      <c r="AO55" s="39" t="s">
        <v>805</v>
      </c>
      <c r="AP55" s="39" t="s">
        <v>805</v>
      </c>
      <c r="AQ55" s="39" t="s">
        <v>805</v>
      </c>
      <c r="AR55" s="39" t="s">
        <v>805</v>
      </c>
      <c r="AS55" s="39" t="s">
        <v>805</v>
      </c>
      <c r="AT55" s="39" t="s">
        <v>805</v>
      </c>
      <c r="AU55" s="39" t="s">
        <v>805</v>
      </c>
      <c r="AV55" s="39" t="s">
        <v>805</v>
      </c>
      <c r="AW55" s="39" t="s">
        <v>805</v>
      </c>
      <c r="AX55" s="39" t="s">
        <v>805</v>
      </c>
      <c r="AY55" s="39" t="s">
        <v>805</v>
      </c>
      <c r="AZ55" s="39" t="s">
        <v>805</v>
      </c>
      <c r="BA55" s="39" t="s">
        <v>805</v>
      </c>
      <c r="BB55" s="39" t="s">
        <v>805</v>
      </c>
      <c r="BC55" s="39" t="s">
        <v>805</v>
      </c>
      <c r="BD55" s="39" t="s">
        <v>805</v>
      </c>
      <c r="BE55" s="39" t="s">
        <v>805</v>
      </c>
      <c r="BF55" s="39" t="s">
        <v>805</v>
      </c>
      <c r="BG55" s="39" t="s">
        <v>805</v>
      </c>
      <c r="BH55" s="39" t="s">
        <v>805</v>
      </c>
      <c r="BI55" s="39" t="s">
        <v>805</v>
      </c>
      <c r="BJ55" s="39" t="s">
        <v>805</v>
      </c>
      <c r="BK55" s="39" t="s">
        <v>805</v>
      </c>
      <c r="BL55" s="39" t="s">
        <v>805</v>
      </c>
      <c r="BM55" s="39" t="s">
        <v>805</v>
      </c>
      <c r="BN55" s="39" t="s">
        <v>805</v>
      </c>
      <c r="BO55" s="39" t="s">
        <v>805</v>
      </c>
      <c r="BP55" s="39" t="s">
        <v>805</v>
      </c>
      <c r="BQ55" s="39" t="s">
        <v>805</v>
      </c>
      <c r="BR55" s="39" t="s">
        <v>805</v>
      </c>
      <c r="BS55" s="39" t="s">
        <v>805</v>
      </c>
      <c r="BT55" s="39" t="s">
        <v>805</v>
      </c>
      <c r="BU55" s="39" t="s">
        <v>805</v>
      </c>
      <c r="BV55" s="39" t="s">
        <v>805</v>
      </c>
      <c r="BW55" s="39" t="s">
        <v>805</v>
      </c>
      <c r="BX55" s="39" t="s">
        <v>805</v>
      </c>
      <c r="BY55" s="39" t="s">
        <v>805</v>
      </c>
      <c r="BZ55" s="39" t="s">
        <v>805</v>
      </c>
      <c r="CA55" s="39" t="s">
        <v>805</v>
      </c>
      <c r="CB55" s="39" t="s">
        <v>805</v>
      </c>
      <c r="CC55" s="39" t="s">
        <v>805</v>
      </c>
      <c r="CD55" s="39" t="s">
        <v>805</v>
      </c>
      <c r="CE55" s="39" t="s">
        <v>805</v>
      </c>
      <c r="CF55" s="39" t="s">
        <v>805</v>
      </c>
      <c r="CG55" s="39" t="s">
        <v>805</v>
      </c>
      <c r="CH55" s="39" t="s">
        <v>805</v>
      </c>
      <c r="CI55" s="39" t="s">
        <v>805</v>
      </c>
      <c r="CJ55" s="39" t="s">
        <v>805</v>
      </c>
      <c r="CK55" s="39" t="s">
        <v>805</v>
      </c>
      <c r="CL55" s="39" t="s">
        <v>805</v>
      </c>
      <c r="CM55" s="39" t="s">
        <v>805</v>
      </c>
      <c r="CN55" s="39" t="s">
        <v>805</v>
      </c>
      <c r="CO55" s="39" t="s">
        <v>805</v>
      </c>
      <c r="CP55" s="39" t="s">
        <v>805</v>
      </c>
      <c r="CQ55" s="39" t="s">
        <v>805</v>
      </c>
      <c r="CR55" s="39" t="s">
        <v>805</v>
      </c>
      <c r="CS55" s="39" t="s">
        <v>805</v>
      </c>
      <c r="CT55" s="39" t="s">
        <v>805</v>
      </c>
      <c r="CU55" s="39" t="s">
        <v>805</v>
      </c>
      <c r="CV55" s="39" t="s">
        <v>805</v>
      </c>
      <c r="CW55" s="39" t="s">
        <v>805</v>
      </c>
      <c r="CX55" s="39" t="s">
        <v>805</v>
      </c>
      <c r="CY55" s="39" t="s">
        <v>805</v>
      </c>
      <c r="CZ55" s="39" t="s">
        <v>805</v>
      </c>
      <c r="DA55" s="39" t="s">
        <v>805</v>
      </c>
      <c r="DB55" s="39" t="s">
        <v>805</v>
      </c>
      <c r="DC55" s="39" t="s">
        <v>805</v>
      </c>
      <c r="DD55" s="39" t="s">
        <v>805</v>
      </c>
      <c r="DE55" s="39" t="s">
        <v>805</v>
      </c>
      <c r="DF55" s="39" t="s">
        <v>805</v>
      </c>
      <c r="DG55" s="28">
        <f>'KPI Count-SHARE'!J49</f>
        <v>0</v>
      </c>
      <c r="DH55" s="105"/>
      <c r="DI55" s="105"/>
      <c r="DJ55" s="105"/>
      <c r="DK55" s="28">
        <f>'KPI Count-SHARE'!K49</f>
        <v>0</v>
      </c>
      <c r="DL55" s="39"/>
      <c r="DM55" s="39"/>
      <c r="DN55" s="39"/>
      <c r="DO55" s="28">
        <f>'KPI Count-SHARE'!L49</f>
        <v>0</v>
      </c>
      <c r="DP55" s="61"/>
      <c r="DQ55" s="61"/>
      <c r="DR55" s="61"/>
      <c r="DS55" s="28">
        <f>'KPI Count-SHARE'!M49</f>
        <v>0</v>
      </c>
      <c r="DT55" s="39"/>
      <c r="DU55" s="39"/>
      <c r="DV55" s="39"/>
      <c r="DW55" s="30" t="s">
        <v>533</v>
      </c>
      <c r="DX55" s="39">
        <f t="shared" ref="DX55:DX78" si="310">IFERROR(IF(ISBLANK(J55), "-", IF($I55="c", J55*$I$5, J55)),"-")</f>
        <v>4.4504763405051734E-4</v>
      </c>
      <c r="DY55" s="39" t="str">
        <f t="shared" ref="DY55:DY78" si="311">IFERROR(IF(ISBLANK(K55), "-", IF($I55="c", K55*$I$5, K55)),"-")</f>
        <v/>
      </c>
      <c r="DZ55" s="39" t="str">
        <f t="shared" ref="DZ55:DZ78" si="312">IFERROR(IF(ISBLANK(L55), "-", IF($I55="c", L55*$I$5, L55)),"-")</f>
        <v/>
      </c>
      <c r="EA55" s="39" t="str">
        <f t="shared" si="179"/>
        <v/>
      </c>
      <c r="EB55" s="39" t="str">
        <f t="shared" si="180"/>
        <v/>
      </c>
      <c r="EC55" s="39" t="str">
        <f t="shared" si="181"/>
        <v/>
      </c>
      <c r="ED55" s="39" t="str">
        <f t="shared" ref="ED55:ED78" si="313">IFERROR(IF(ISBLANK(P55), "-", IF($I55="c", P55*$I$5, P55)),"-")</f>
        <v/>
      </c>
      <c r="EE55" s="39" t="str">
        <f t="shared" ref="EE55:EE78" si="314">IFERROR(IF(ISBLANK(Q55), "-", IF($I55="c", Q55*$I$5, Q55)),"-")</f>
        <v/>
      </c>
      <c r="EF55" s="39" t="str">
        <f t="shared" ref="EF55:EF78" si="315">IFERROR(IF(ISBLANK(R55), "-", IF($I55="c", R55*$I$5, R55)),"-")</f>
        <v/>
      </c>
      <c r="EG55" s="39" t="str">
        <f t="shared" ref="EG55:EG78" si="316">IFERROR(IF(ISBLANK(S55), "-", IF($I55="c", S55*$I$5, S55)),"-")</f>
        <v/>
      </c>
      <c r="EH55" s="39" t="str">
        <f t="shared" ref="EH55:EH78" si="317">IFERROR(IF(ISBLANK(T55), "-", IF($I55="c", T55*$I$5, T55)),"-")</f>
        <v/>
      </c>
      <c r="EI55" s="39" t="str">
        <f t="shared" ref="EI55:ET70" si="318">IFERROR(IF(ISBLANK(U55), "-", IF($I55="c", U55*$I$5, U55)),"-")</f>
        <v/>
      </c>
      <c r="EJ55" s="39" t="str">
        <f t="shared" si="318"/>
        <v/>
      </c>
      <c r="EK55" s="39" t="str">
        <f t="shared" si="318"/>
        <v/>
      </c>
      <c r="EL55" s="39" t="str">
        <f t="shared" si="318"/>
        <v/>
      </c>
      <c r="EM55" s="39" t="str">
        <f t="shared" si="318"/>
        <v/>
      </c>
      <c r="EN55" s="39" t="str">
        <f t="shared" si="318"/>
        <v/>
      </c>
      <c r="EO55" s="39" t="str">
        <f t="shared" si="318"/>
        <v/>
      </c>
      <c r="EP55" s="39" t="str">
        <f t="shared" si="318"/>
        <v/>
      </c>
      <c r="EQ55" s="39" t="str">
        <f t="shared" si="318"/>
        <v/>
      </c>
      <c r="ER55" s="39" t="str">
        <f t="shared" si="318"/>
        <v/>
      </c>
      <c r="ES55" s="39" t="str">
        <f t="shared" si="318"/>
        <v/>
      </c>
      <c r="ET55" s="39" t="str">
        <f t="shared" si="318"/>
        <v/>
      </c>
      <c r="EU55" s="39" t="str">
        <f t="shared" ref="EU55:EU118" si="319">IFERROR(IF(ISBLANK(AG55), "-", IF($I55="c", AG55*$I$5, AG55)),"-")</f>
        <v/>
      </c>
      <c r="EV55" s="39" t="str">
        <f t="shared" ref="EV55:EV118" si="320">IFERROR(IF(ISBLANK(AH55), "-", IF($I55="c", AH55*$I$5, AH55)),"-")</f>
        <v/>
      </c>
      <c r="EW55" s="39" t="str">
        <f t="shared" ref="EW55:EW118" si="321">IFERROR(IF(ISBLANK(AI55), "-", IF($I55="c", AI55*$I$5, AI55)),"-")</f>
        <v/>
      </c>
      <c r="EX55" s="39" t="str">
        <f t="shared" ref="EX55:EX118" si="322">IFERROR(IF(ISBLANK(AJ55), "-", IF($I55="c", AJ55*$I$5, AJ55)),"-")</f>
        <v/>
      </c>
      <c r="EY55" s="39" t="str">
        <f t="shared" ref="EY55:EY118" si="323">IFERROR(IF(ISBLANK(AK55), "-", IF($I55="c", AK55*$I$5, AK55)),"-")</f>
        <v/>
      </c>
      <c r="EZ55" s="39" t="str">
        <f t="shared" ref="EZ55:EZ118" si="324">IFERROR(IF(ISBLANK(AL55), "-", IF($I55="c", AL55*$I$5, AL55)),"-")</f>
        <v/>
      </c>
      <c r="FA55" s="39" t="str">
        <f t="shared" ref="FA55:FA118" si="325">IFERROR(IF(ISBLANK(AM55), "-", IF($I55="c", AM55*$I$5, AM55)),"-")</f>
        <v/>
      </c>
      <c r="FB55" s="39" t="str">
        <f t="shared" ref="FB55:FB118" si="326">IFERROR(IF(ISBLANK(AN55), "-", IF($I55="c", AN55*$I$5, AN55)),"-")</f>
        <v/>
      </c>
      <c r="FC55" s="39" t="str">
        <f t="shared" ref="FC55:FC118" si="327">IFERROR(IF(ISBLANK(AO55), "-", IF($I55="c", AO55*$I$5, AO55)),"-")</f>
        <v/>
      </c>
      <c r="FD55" s="39" t="str">
        <f t="shared" ref="FD55:FD118" si="328">IFERROR(IF(ISBLANK(AP55), "-", IF($I55="c", AP55*$I$5, AP55)),"-")</f>
        <v/>
      </c>
      <c r="FE55" s="39" t="str">
        <f t="shared" ref="FE55:FE118" si="329">IFERROR(IF(ISBLANK(AQ55), "-", IF($I55="c", AQ55*$I$5, AQ55)),"-")</f>
        <v/>
      </c>
      <c r="FF55" s="39" t="str">
        <f t="shared" ref="FF55:FF118" si="330">IFERROR(IF(ISBLANK(AR55), "-", IF($I55="c", AR55*$I$5, AR55)),"-")</f>
        <v/>
      </c>
      <c r="FG55" s="39" t="str">
        <f t="shared" ref="FG55:FG118" si="331">IFERROR(IF(ISBLANK(AS55), "-", IF($I55="c", AS55*$I$5, AS55)),"-")</f>
        <v/>
      </c>
      <c r="FH55" s="39" t="str">
        <f t="shared" ref="FH55:FH118" si="332">IFERROR(IF(ISBLANK(AT55), "-", IF($I55="c", AT55*$I$5, AT55)),"-")</f>
        <v/>
      </c>
      <c r="FI55" s="39" t="str">
        <f t="shared" ref="FI55:FI118" si="333">IFERROR(IF(ISBLANK(AU55), "-", IF($I55="c", AU55*$I$5, AU55)),"-")</f>
        <v/>
      </c>
      <c r="FJ55" s="39" t="str">
        <f t="shared" ref="FJ55:FJ118" si="334">IFERROR(IF(ISBLANK(AV55), "-", IF($I55="c", AV55*$I$5, AV55)),"-")</f>
        <v/>
      </c>
      <c r="FK55" s="39" t="str">
        <f t="shared" ref="FK55:FK118" si="335">IFERROR(IF(ISBLANK(AW55), "-", IF($I55="c", AW55*$I$5, AW55)),"-")</f>
        <v/>
      </c>
      <c r="FL55" s="39" t="str">
        <f t="shared" ref="FL55:FL118" si="336">IFERROR(IF(ISBLANK(AX55), "-", IF($I55="c", AX55*$I$5, AX55)),"-")</f>
        <v/>
      </c>
      <c r="FM55" s="39" t="str">
        <f t="shared" ref="FM55:FM118" si="337">IFERROR(IF(ISBLANK(AY55), "-", IF($I55="c", AY55*$I$5, AY55)),"-")</f>
        <v/>
      </c>
      <c r="FN55" s="39" t="str">
        <f t="shared" ref="FN55:FN118" si="338">IFERROR(IF(ISBLANK(AZ55), "-", IF($I55="c", AZ55*$I$5, AZ55)),"-")</f>
        <v/>
      </c>
      <c r="FO55" s="39" t="str">
        <f t="shared" ref="FO55:FO118" si="339">IFERROR(IF(ISBLANK(BA55), "-", IF($I55="c", BA55*$I$5, BA55)),"-")</f>
        <v/>
      </c>
      <c r="FP55" s="39" t="str">
        <f t="shared" ref="FP55:FP118" si="340">IFERROR(IF(ISBLANK(BB55), "-", IF($I55="c", BB55*$I$5, BB55)),"-")</f>
        <v/>
      </c>
      <c r="FQ55" s="39" t="str">
        <f t="shared" ref="FQ55:FQ118" si="341">IFERROR(IF(ISBLANK(BC55), "-", IF($I55="c", BC55*$I$5, BC55)),"-")</f>
        <v/>
      </c>
      <c r="FR55" s="39" t="str">
        <f t="shared" ref="FR55:FR118" si="342">IFERROR(IF(ISBLANK(BD55), "-", IF($I55="c", BD55*$I$5, BD55)),"-")</f>
        <v/>
      </c>
      <c r="FS55" s="39" t="str">
        <f t="shared" ref="FS55:FS118" si="343">IFERROR(IF(ISBLANK(BE55), "-", IF($I55="c", BE55*$I$5, BE55)),"-")</f>
        <v/>
      </c>
      <c r="FT55" s="39" t="str">
        <f t="shared" ref="FT55:FT118" si="344">IFERROR(IF(ISBLANK(BF55), "-", IF($I55="c", BF55*$I$5, BF55)),"-")</f>
        <v/>
      </c>
      <c r="FU55" s="39" t="str">
        <f t="shared" ref="FU55:FU118" si="345">IFERROR(IF(ISBLANK(BG55), "-", IF($I55="c", BG55*$I$5, BG55)),"-")</f>
        <v/>
      </c>
      <c r="FV55" s="39" t="str">
        <f t="shared" ref="FV55:FV118" si="346">IFERROR(IF(ISBLANK(BH55), "-", IF($I55="c", BH55*$I$5, BH55)),"-")</f>
        <v/>
      </c>
      <c r="FW55" s="39" t="str">
        <f t="shared" ref="FW55:FW118" si="347">IFERROR(IF(ISBLANK(BI55), "-", IF($I55="c", BI55*$I$5, BI55)),"-")</f>
        <v/>
      </c>
      <c r="FX55" s="39" t="str">
        <f t="shared" ref="FX55:FX118" si="348">IFERROR(IF(ISBLANK(BJ55), "-", IF($I55="c", BJ55*$I$5, BJ55)),"-")</f>
        <v/>
      </c>
      <c r="FY55" s="39" t="str">
        <f t="shared" ref="FY55:FY118" si="349">IFERROR(IF(ISBLANK(BK55), "-", IF($I55="c", BK55*$I$5, BK55)),"-")</f>
        <v/>
      </c>
      <c r="FZ55" s="39" t="str">
        <f t="shared" ref="FZ55:FZ118" si="350">IFERROR(IF(ISBLANK(BL55), "-", IF($I55="c", BL55*$I$5, BL55)),"-")</f>
        <v/>
      </c>
      <c r="GA55" s="39" t="str">
        <f t="shared" ref="GA55:GA118" si="351">IFERROR(IF(ISBLANK(BM55), "-", IF($I55="c", BM55*$I$5, BM55)),"-")</f>
        <v/>
      </c>
      <c r="GB55" s="39" t="str">
        <f t="shared" ref="GB55:GB118" si="352">IFERROR(IF(ISBLANK(BN55), "-", IF($I55="c", BN55*$I$5, BN55)),"-")</f>
        <v/>
      </c>
      <c r="GC55" s="39" t="str">
        <f t="shared" ref="GC55:GC118" si="353">IFERROR(IF(ISBLANK(BO55), "-", IF($I55="c", BO55*$I$5, BO55)),"-")</f>
        <v/>
      </c>
      <c r="GD55" s="39" t="str">
        <f t="shared" ref="GD55:GD118" si="354">IFERROR(IF(ISBLANK(BP55), "-", IF($I55="c", BP55*$I$5, BP55)),"-")</f>
        <v/>
      </c>
      <c r="GE55" s="39" t="str">
        <f t="shared" ref="GE55:GE118" si="355">IFERROR(IF(ISBLANK(BQ55), "-", IF($I55="c", BQ55*$I$5, BQ55)),"-")</f>
        <v/>
      </c>
      <c r="GF55" s="39" t="str">
        <f t="shared" ref="GF55:GF118" si="356">IFERROR(IF(ISBLANK(BR55), "-", IF($I55="c", BR55*$I$5, BR55)),"-")</f>
        <v/>
      </c>
      <c r="GG55" s="39" t="str">
        <f t="shared" ref="GG55:GG118" si="357">IFERROR(IF(ISBLANK(BS55), "-", IF($I55="c", BS55*$I$5, BS55)),"-")</f>
        <v/>
      </c>
      <c r="GH55" s="39" t="str">
        <f t="shared" ref="GH55:GH118" si="358">IFERROR(IF(ISBLANK(BT55), "-", IF($I55="c", BT55*$I$5, BT55)),"-")</f>
        <v/>
      </c>
      <c r="GI55" s="39" t="str">
        <f t="shared" ref="GI55:GI118" si="359">IFERROR(IF(ISBLANK(BU55), "-", IF($I55="c", BU55*$I$5, BU55)),"-")</f>
        <v/>
      </c>
      <c r="GJ55" s="39" t="str">
        <f t="shared" ref="GJ55:GJ118" si="360">IFERROR(IF(ISBLANK(BV55), "-", IF($I55="c", BV55*$I$5, BV55)),"-")</f>
        <v/>
      </c>
      <c r="GK55" s="39" t="str">
        <f t="shared" ref="GK55:GK118" si="361">IFERROR(IF(ISBLANK(BW55), "-", IF($I55="c", BW55*$I$5, BW55)),"-")</f>
        <v/>
      </c>
      <c r="GL55" s="39" t="str">
        <f t="shared" ref="GL55:GL118" si="362">IFERROR(IF(ISBLANK(BX55), "-", IF($I55="c", BX55*$I$5, BX55)),"-")</f>
        <v/>
      </c>
      <c r="GM55" s="39" t="str">
        <f t="shared" ref="GM55:GM118" si="363">IFERROR(IF(ISBLANK(BY55), "-", IF($I55="c", BY55*$I$5, BY55)),"-")</f>
        <v/>
      </c>
      <c r="GN55" s="39" t="str">
        <f t="shared" ref="GN55:GN118" si="364">IFERROR(IF(ISBLANK(BZ55), "-", IF($I55="c", BZ55*$I$5, BZ55)),"-")</f>
        <v/>
      </c>
      <c r="GO55" s="39" t="str">
        <f t="shared" ref="GO55:GO118" si="365">IFERROR(IF(ISBLANK(CA55), "-", IF($I55="c", CA55*$I$5, CA55)),"-")</f>
        <v/>
      </c>
      <c r="GP55" s="39" t="str">
        <f t="shared" ref="GP55:GP118" si="366">IFERROR(IF(ISBLANK(CB55), "-", IF($I55="c", CB55*$I$5, CB55)),"-")</f>
        <v/>
      </c>
      <c r="GQ55" s="39" t="str">
        <f t="shared" ref="GQ55:GQ118" si="367">IFERROR(IF(ISBLANK(CC55), "-", IF($I55="c", CC55*$I$5, CC55)),"-")</f>
        <v/>
      </c>
      <c r="GR55" s="39" t="str">
        <f t="shared" ref="GR55:GR118" si="368">IFERROR(IF(ISBLANK(CD55), "-", IF($I55="c", CD55*$I$5, CD55)),"-")</f>
        <v/>
      </c>
      <c r="GS55" s="39" t="str">
        <f t="shared" ref="GS55:GS118" si="369">IFERROR(IF(ISBLANK(CE55), "-", IF($I55="c", CE55*$I$5, CE55)),"-")</f>
        <v/>
      </c>
      <c r="GT55" s="39" t="str">
        <f t="shared" ref="GT55:GT118" si="370">IFERROR(IF(ISBLANK(CF55), "-", IF($I55="c", CF55*$I$5, CF55)),"-")</f>
        <v/>
      </c>
      <c r="GU55" s="39" t="str">
        <f t="shared" ref="GU55:GU118" si="371">IFERROR(IF(ISBLANK(CG55), "-", IF($I55="c", CG55*$I$5, CG55)),"-")</f>
        <v/>
      </c>
      <c r="GV55" s="39" t="str">
        <f t="shared" ref="GV55:GV118" si="372">IFERROR(IF(ISBLANK(CH55), "-", IF($I55="c", CH55*$I$5, CH55)),"-")</f>
        <v/>
      </c>
      <c r="GW55" s="39" t="str">
        <f t="shared" ref="GW55:GW118" si="373">IFERROR(IF(ISBLANK(CI55), "-", IF($I55="c", CI55*$I$5, CI55)),"-")</f>
        <v/>
      </c>
      <c r="GX55" s="39" t="str">
        <f t="shared" ref="GX55:GX118" si="374">IFERROR(IF(ISBLANK(CJ55), "-", IF($I55="c", CJ55*$I$5, CJ55)),"-")</f>
        <v/>
      </c>
      <c r="GY55" s="39" t="str">
        <f t="shared" ref="GY55:GY118" si="375">IFERROR(IF(ISBLANK(CK55), "-", IF($I55="c", CK55*$I$5, CK55)),"-")</f>
        <v/>
      </c>
      <c r="GZ55" s="39" t="str">
        <f t="shared" ref="GZ55:GZ118" si="376">IFERROR(IF(ISBLANK(CL55), "-", IF($I55="c", CL55*$I$5, CL55)),"-")</f>
        <v/>
      </c>
      <c r="HA55" s="39" t="str">
        <f t="shared" ref="HA55:HA118" si="377">IFERROR(IF(ISBLANK(CM55), "-", IF($I55="c", CM55*$I$5, CM55)),"-")</f>
        <v/>
      </c>
      <c r="HB55" s="39" t="str">
        <f t="shared" ref="HB55:HB118" si="378">IFERROR(IF(ISBLANK(CN55), "-", IF($I55="c", CN55*$I$5, CN55)),"-")</f>
        <v/>
      </c>
      <c r="HC55" s="39" t="str">
        <f t="shared" ref="HC55:HC118" si="379">IFERROR(IF(ISBLANK(CO55), "-", IF($I55="c", CO55*$I$5, CO55)),"-")</f>
        <v/>
      </c>
      <c r="HD55" s="39" t="str">
        <f t="shared" ref="HD55:HD118" si="380">IFERROR(IF(ISBLANK(CP55), "-", IF($I55="c", CP55*$I$5, CP55)),"-")</f>
        <v/>
      </c>
      <c r="HE55" s="39" t="str">
        <f t="shared" ref="HE55:HE118" si="381">IFERROR(IF(ISBLANK(CQ55), "-", IF($I55="c", CQ55*$I$5, CQ55)),"-")</f>
        <v/>
      </c>
      <c r="HF55" s="39" t="str">
        <f t="shared" ref="HF55:HF118" si="382">IFERROR(IF(ISBLANK(CR55), "-", IF($I55="c", CR55*$I$5, CR55)),"-")</f>
        <v/>
      </c>
      <c r="HG55" s="39" t="str">
        <f t="shared" ref="HG55:HG118" si="383">IFERROR(IF(ISBLANK(CS55), "-", IF($I55="c", CS55*$I$5, CS55)),"-")</f>
        <v/>
      </c>
      <c r="HH55" s="39" t="str">
        <f t="shared" ref="HH55:HH118" si="384">IFERROR(IF(ISBLANK(CT55), "-", IF($I55="c", CT55*$I$5, CT55)),"-")</f>
        <v/>
      </c>
      <c r="HI55" s="39" t="str">
        <f t="shared" ref="HI55:HI118" si="385">IFERROR(IF(ISBLANK(CU55), "-", IF($I55="c", CU55*$I$5, CU55)),"-")</f>
        <v/>
      </c>
      <c r="HJ55" s="39" t="str">
        <f t="shared" ref="HJ55:HJ118" si="386">IFERROR(IF(ISBLANK(CV55), "-", IF($I55="c", CV55*$I$5, CV55)),"-")</f>
        <v/>
      </c>
      <c r="HK55" s="39" t="str">
        <f t="shared" ref="HK55:HK118" si="387">IFERROR(IF(ISBLANK(CW55), "-", IF($I55="c", CW55*$I$5, CW55)),"-")</f>
        <v/>
      </c>
      <c r="HL55" s="39" t="str">
        <f t="shared" ref="HL55:HL118" si="388">IFERROR(IF(ISBLANK(CX55), "-", IF($I55="c", CX55*$I$5, CX55)),"-")</f>
        <v/>
      </c>
      <c r="HM55" s="39" t="str">
        <f t="shared" ref="HM55:HM118" si="389">IFERROR(IF(ISBLANK(CY55), "-", IF($I55="c", CY55*$I$5, CY55)),"-")</f>
        <v/>
      </c>
      <c r="HN55" s="39" t="str">
        <f t="shared" ref="HN55:HN118" si="390">IFERROR(IF(ISBLANK(CZ55), "-", IF($I55="c", CZ55*$I$5, CZ55)),"-")</f>
        <v/>
      </c>
      <c r="HO55" s="39" t="str">
        <f t="shared" ref="HO55:HO118" si="391">IFERROR(IF(ISBLANK(DA55), "-", IF($I55="c", DA55*$I$5, DA55)),"-")</f>
        <v/>
      </c>
      <c r="HP55" s="39" t="str">
        <f t="shared" ref="HP55:HP118" si="392">IFERROR(IF(ISBLANK(DB55), "-", IF($I55="c", DB55*$I$5, DB55)),"-")</f>
        <v/>
      </c>
      <c r="HQ55" s="39" t="str">
        <f t="shared" ref="HQ55:HQ118" si="393">IFERROR(IF(ISBLANK(DC55), "-", IF($I55="c", DC55*$I$5, DC55)),"-")</f>
        <v/>
      </c>
      <c r="HR55" s="39" t="str">
        <f t="shared" ref="HR55:HR118" si="394">IFERROR(IF(ISBLANK(DD55), "-", IF($I55="c", DD55*$I$5, DD55)),"-")</f>
        <v/>
      </c>
      <c r="HS55" s="39" t="str">
        <f t="shared" ref="HS55:HT118" si="395">IFERROR(IF(ISBLANK(DE55), "-", IF($I55="c", DE55*$I$5, DE55)),"-")</f>
        <v/>
      </c>
      <c r="HT55" s="39" t="str">
        <f t="shared" si="395"/>
        <v/>
      </c>
      <c r="HU55" s="83" t="str">
        <f t="shared" si="182"/>
        <v>-</v>
      </c>
      <c r="HV55" s="84" t="str">
        <f t="shared" ref="HV55:HV76" si="396">IFERROR(IF(ISBLANK(DI55), "", IF($I55="c", DI55*$I$5, DI55)),"-")</f>
        <v/>
      </c>
      <c r="HW55" s="85" t="str">
        <f t="shared" ref="HW55:HW76" si="397">IFERROR(IF(ISBLANK(DJ55), "", IF($I55="c", DJ55*$I$5, DJ55)),"-")</f>
        <v/>
      </c>
      <c r="HX55" s="84" t="str">
        <f t="shared" si="183"/>
        <v/>
      </c>
      <c r="HY55" s="84" t="str">
        <f t="shared" ref="HY55:HY78" si="398">IFERROR(IF(ISBLANK(DM55), "", IF($I55="c", DM55*$I$5, DM55)),"-")</f>
        <v/>
      </c>
      <c r="HZ55" s="84" t="str">
        <f t="shared" ref="HZ55:HZ78" si="399">IFERROR(IF(ISBLANK(DN55), "", IF($I55="c", DN55*$I$5, DN55)),"-")</f>
        <v/>
      </c>
      <c r="IA55" s="83" t="str">
        <f t="shared" ref="IA55:IA78" si="400">IFERROR(IF(ISBLANK(DP55), "", IF($I55="c", DP55*$I$5, DP55)),"-")</f>
        <v/>
      </c>
      <c r="IB55" s="84" t="str">
        <f t="shared" ref="IB55:IB78" si="401">IFERROR(IF(ISBLANK(DQ55), "", IF($I55="c", DQ55*$I$5, DQ55)),"-")</f>
        <v/>
      </c>
      <c r="IC55" s="85" t="str">
        <f t="shared" ref="IC55:IC78" si="402">IFERROR(IF(ISBLANK(DR55), "", IF($I55="c", DR55*$I$5, DR55)),"-")</f>
        <v/>
      </c>
      <c r="ID55" s="83" t="str">
        <f t="shared" ref="ID55:ID78" si="403">IFERROR(IF(ISBLANK(DT55), "", IF($I55="c", DT55*$I$5, DT55)),"-")</f>
        <v/>
      </c>
      <c r="IE55" s="84" t="str">
        <f t="shared" ref="IE55:IE78" si="404">IFERROR(IF(ISBLANK(DU55), "", IF($I55="c", DU55*$I$5, DU55)),"-")</f>
        <v/>
      </c>
      <c r="IF55" s="85" t="str">
        <f t="shared" ref="IF55:IF78" si="405">IFERROR(IF(ISBLANK(DV55), "", IF($I55="c", DV55*$I$5, DV55)),"-")</f>
        <v/>
      </c>
      <c r="IH55" s="66">
        <v>55</v>
      </c>
      <c r="II55" s="66" t="e">
        <f t="shared" ca="1" si="192"/>
        <v>#N/A</v>
      </c>
      <c r="IJ55" s="66" t="e">
        <f t="shared" ca="1" si="193"/>
        <v>#N/A</v>
      </c>
      <c r="IK55" s="66" t="e">
        <f t="shared" ca="1" si="194"/>
        <v>#N/A</v>
      </c>
      <c r="IL55" s="66" t="e">
        <f t="shared" ca="1" si="195"/>
        <v>#N/A</v>
      </c>
      <c r="IM55" s="33"/>
      <c r="IN55" s="74" t="e">
        <f t="shared" ca="1" si="184"/>
        <v>#N/A</v>
      </c>
      <c r="IO55" s="75" t="e">
        <f t="shared" ca="1" si="185"/>
        <v>#N/A</v>
      </c>
      <c r="IP55" s="75" t="e">
        <f t="shared" ca="1" si="186"/>
        <v>#N/A</v>
      </c>
      <c r="IQ55" s="74" t="e">
        <f t="shared" ca="1" si="187"/>
        <v>#N/A</v>
      </c>
      <c r="IR55" s="74" t="e">
        <f t="shared" ca="1" si="188"/>
        <v>#N/A</v>
      </c>
    </row>
    <row r="56" spans="1:252" s="1" customFormat="1" x14ac:dyDescent="0.35">
      <c r="A56" s="33">
        <v>1</v>
      </c>
      <c r="B56" s="33">
        <v>1</v>
      </c>
      <c r="C56" s="33">
        <v>1</v>
      </c>
      <c r="E56" s="4"/>
      <c r="F56" t="s">
        <v>321</v>
      </c>
      <c r="G56" s="5" t="s">
        <v>540</v>
      </c>
      <c r="H56" s="4" t="s">
        <v>533</v>
      </c>
      <c r="I56" s="8" t="s">
        <v>534</v>
      </c>
      <c r="J56" s="276">
        <v>1.2835271017729E-4</v>
      </c>
      <c r="K56" s="39" t="s">
        <v>805</v>
      </c>
      <c r="L56" s="39" t="s">
        <v>805</v>
      </c>
      <c r="M56" s="39" t="s">
        <v>805</v>
      </c>
      <c r="N56" s="39" t="s">
        <v>805</v>
      </c>
      <c r="O56" s="39" t="s">
        <v>805</v>
      </c>
      <c r="P56" s="39" t="s">
        <v>805</v>
      </c>
      <c r="Q56" s="39" t="s">
        <v>805</v>
      </c>
      <c r="R56" s="39" t="s">
        <v>805</v>
      </c>
      <c r="S56" s="39" t="s">
        <v>805</v>
      </c>
      <c r="T56" s="39" t="s">
        <v>805</v>
      </c>
      <c r="U56" s="39" t="s">
        <v>805</v>
      </c>
      <c r="V56" s="39" t="s">
        <v>805</v>
      </c>
      <c r="W56" s="39" t="s">
        <v>805</v>
      </c>
      <c r="X56" s="39" t="s">
        <v>805</v>
      </c>
      <c r="Y56" s="39" t="s">
        <v>805</v>
      </c>
      <c r="Z56" s="39" t="s">
        <v>805</v>
      </c>
      <c r="AA56" s="39" t="s">
        <v>805</v>
      </c>
      <c r="AB56" s="39" t="s">
        <v>805</v>
      </c>
      <c r="AC56" s="39" t="s">
        <v>805</v>
      </c>
      <c r="AD56" s="39" t="s">
        <v>805</v>
      </c>
      <c r="AE56" s="39" t="s">
        <v>805</v>
      </c>
      <c r="AF56" s="39" t="s">
        <v>805</v>
      </c>
      <c r="AG56" s="39" t="s">
        <v>805</v>
      </c>
      <c r="AH56" s="39" t="s">
        <v>805</v>
      </c>
      <c r="AI56" s="39" t="s">
        <v>805</v>
      </c>
      <c r="AJ56" s="39" t="s">
        <v>805</v>
      </c>
      <c r="AK56" s="39" t="s">
        <v>805</v>
      </c>
      <c r="AL56" s="39" t="s">
        <v>805</v>
      </c>
      <c r="AM56" s="39" t="s">
        <v>805</v>
      </c>
      <c r="AN56" s="39" t="s">
        <v>805</v>
      </c>
      <c r="AO56" s="39" t="s">
        <v>805</v>
      </c>
      <c r="AP56" s="39" t="s">
        <v>805</v>
      </c>
      <c r="AQ56" s="39" t="s">
        <v>805</v>
      </c>
      <c r="AR56" s="39" t="s">
        <v>805</v>
      </c>
      <c r="AS56" s="39" t="s">
        <v>805</v>
      </c>
      <c r="AT56" s="39" t="s">
        <v>805</v>
      </c>
      <c r="AU56" s="39" t="s">
        <v>805</v>
      </c>
      <c r="AV56" s="39" t="s">
        <v>805</v>
      </c>
      <c r="AW56" s="39" t="s">
        <v>805</v>
      </c>
      <c r="AX56" s="39" t="s">
        <v>805</v>
      </c>
      <c r="AY56" s="39" t="s">
        <v>805</v>
      </c>
      <c r="AZ56" s="39" t="s">
        <v>805</v>
      </c>
      <c r="BA56" s="39" t="s">
        <v>805</v>
      </c>
      <c r="BB56" s="39" t="s">
        <v>805</v>
      </c>
      <c r="BC56" s="39" t="s">
        <v>805</v>
      </c>
      <c r="BD56" s="39" t="s">
        <v>805</v>
      </c>
      <c r="BE56" s="39" t="s">
        <v>805</v>
      </c>
      <c r="BF56" s="39" t="s">
        <v>805</v>
      </c>
      <c r="BG56" s="39" t="s">
        <v>805</v>
      </c>
      <c r="BH56" s="39" t="s">
        <v>805</v>
      </c>
      <c r="BI56" s="39" t="s">
        <v>805</v>
      </c>
      <c r="BJ56" s="39" t="s">
        <v>805</v>
      </c>
      <c r="BK56" s="39" t="s">
        <v>805</v>
      </c>
      <c r="BL56" s="39" t="s">
        <v>805</v>
      </c>
      <c r="BM56" s="39" t="s">
        <v>805</v>
      </c>
      <c r="BN56" s="39" t="s">
        <v>805</v>
      </c>
      <c r="BO56" s="39" t="s">
        <v>805</v>
      </c>
      <c r="BP56" s="39" t="s">
        <v>805</v>
      </c>
      <c r="BQ56" s="39" t="s">
        <v>805</v>
      </c>
      <c r="BR56" s="39" t="s">
        <v>805</v>
      </c>
      <c r="BS56" s="39" t="s">
        <v>805</v>
      </c>
      <c r="BT56" s="39" t="s">
        <v>805</v>
      </c>
      <c r="BU56" s="39" t="s">
        <v>805</v>
      </c>
      <c r="BV56" s="39" t="s">
        <v>805</v>
      </c>
      <c r="BW56" s="39" t="s">
        <v>805</v>
      </c>
      <c r="BX56" s="39" t="s">
        <v>805</v>
      </c>
      <c r="BY56" s="39" t="s">
        <v>805</v>
      </c>
      <c r="BZ56" s="39" t="s">
        <v>805</v>
      </c>
      <c r="CA56" s="39" t="s">
        <v>805</v>
      </c>
      <c r="CB56" s="39" t="s">
        <v>805</v>
      </c>
      <c r="CC56" s="39" t="s">
        <v>805</v>
      </c>
      <c r="CD56" s="39" t="s">
        <v>805</v>
      </c>
      <c r="CE56" s="39" t="s">
        <v>805</v>
      </c>
      <c r="CF56" s="39" t="s">
        <v>805</v>
      </c>
      <c r="CG56" s="39" t="s">
        <v>805</v>
      </c>
      <c r="CH56" s="39" t="s">
        <v>805</v>
      </c>
      <c r="CI56" s="39" t="s">
        <v>805</v>
      </c>
      <c r="CJ56" s="39" t="s">
        <v>805</v>
      </c>
      <c r="CK56" s="39" t="s">
        <v>805</v>
      </c>
      <c r="CL56" s="39" t="s">
        <v>805</v>
      </c>
      <c r="CM56" s="39" t="s">
        <v>805</v>
      </c>
      <c r="CN56" s="39" t="s">
        <v>805</v>
      </c>
      <c r="CO56" s="39" t="s">
        <v>805</v>
      </c>
      <c r="CP56" s="39" t="s">
        <v>805</v>
      </c>
      <c r="CQ56" s="39" t="s">
        <v>805</v>
      </c>
      <c r="CR56" s="39" t="s">
        <v>805</v>
      </c>
      <c r="CS56" s="39" t="s">
        <v>805</v>
      </c>
      <c r="CT56" s="39" t="s">
        <v>805</v>
      </c>
      <c r="CU56" s="39" t="s">
        <v>805</v>
      </c>
      <c r="CV56" s="39" t="s">
        <v>805</v>
      </c>
      <c r="CW56" s="39" t="s">
        <v>805</v>
      </c>
      <c r="CX56" s="39" t="s">
        <v>805</v>
      </c>
      <c r="CY56" s="39" t="s">
        <v>805</v>
      </c>
      <c r="CZ56" s="39" t="s">
        <v>805</v>
      </c>
      <c r="DA56" s="39" t="s">
        <v>805</v>
      </c>
      <c r="DB56" s="39" t="s">
        <v>805</v>
      </c>
      <c r="DC56" s="39" t="s">
        <v>805</v>
      </c>
      <c r="DD56" s="39" t="s">
        <v>805</v>
      </c>
      <c r="DE56" s="39" t="s">
        <v>805</v>
      </c>
      <c r="DF56" s="39" t="s">
        <v>805</v>
      </c>
      <c r="DG56" s="28">
        <f>'KPI Count-SHARE'!J50</f>
        <v>0</v>
      </c>
      <c r="DH56" s="105"/>
      <c r="DI56" s="105"/>
      <c r="DJ56" s="105"/>
      <c r="DK56" s="28">
        <f>'KPI Count-SHARE'!K50</f>
        <v>0</v>
      </c>
      <c r="DL56" s="39"/>
      <c r="DM56" s="39"/>
      <c r="DN56" s="39"/>
      <c r="DO56" s="28">
        <f>'KPI Count-SHARE'!L50</f>
        <v>0</v>
      </c>
      <c r="DP56" s="61"/>
      <c r="DQ56" s="61"/>
      <c r="DR56" s="61"/>
      <c r="DS56" s="28">
        <f>'KPI Count-SHARE'!M50</f>
        <v>0</v>
      </c>
      <c r="DT56" s="39"/>
      <c r="DU56" s="39"/>
      <c r="DV56" s="39"/>
      <c r="DW56" s="30" t="s">
        <v>533</v>
      </c>
      <c r="DX56" s="39">
        <f t="shared" si="310"/>
        <v>1.2835271017729E-4</v>
      </c>
      <c r="DY56" s="39" t="str">
        <f t="shared" si="311"/>
        <v/>
      </c>
      <c r="DZ56" s="39" t="str">
        <f t="shared" si="312"/>
        <v/>
      </c>
      <c r="EA56" s="39" t="str">
        <f t="shared" si="179"/>
        <v/>
      </c>
      <c r="EB56" s="39" t="str">
        <f t="shared" si="180"/>
        <v/>
      </c>
      <c r="EC56" s="39" t="str">
        <f t="shared" si="181"/>
        <v/>
      </c>
      <c r="ED56" s="39" t="str">
        <f t="shared" si="313"/>
        <v/>
      </c>
      <c r="EE56" s="39" t="str">
        <f t="shared" si="314"/>
        <v/>
      </c>
      <c r="EF56" s="39" t="str">
        <f t="shared" si="315"/>
        <v/>
      </c>
      <c r="EG56" s="39" t="str">
        <f t="shared" si="316"/>
        <v/>
      </c>
      <c r="EH56" s="39" t="str">
        <f t="shared" si="317"/>
        <v/>
      </c>
      <c r="EI56" s="39" t="str">
        <f t="shared" si="318"/>
        <v/>
      </c>
      <c r="EJ56" s="39" t="str">
        <f t="shared" si="318"/>
        <v/>
      </c>
      <c r="EK56" s="39" t="str">
        <f t="shared" si="318"/>
        <v/>
      </c>
      <c r="EL56" s="39" t="str">
        <f t="shared" si="318"/>
        <v/>
      </c>
      <c r="EM56" s="39" t="str">
        <f t="shared" si="318"/>
        <v/>
      </c>
      <c r="EN56" s="39" t="str">
        <f t="shared" si="318"/>
        <v/>
      </c>
      <c r="EO56" s="39" t="str">
        <f t="shared" si="318"/>
        <v/>
      </c>
      <c r="EP56" s="39" t="str">
        <f t="shared" si="318"/>
        <v/>
      </c>
      <c r="EQ56" s="39" t="str">
        <f t="shared" si="318"/>
        <v/>
      </c>
      <c r="ER56" s="39" t="str">
        <f t="shared" si="318"/>
        <v/>
      </c>
      <c r="ES56" s="39" t="str">
        <f t="shared" si="318"/>
        <v/>
      </c>
      <c r="ET56" s="39" t="str">
        <f t="shared" si="318"/>
        <v/>
      </c>
      <c r="EU56" s="39" t="str">
        <f t="shared" si="319"/>
        <v/>
      </c>
      <c r="EV56" s="39" t="str">
        <f t="shared" si="320"/>
        <v/>
      </c>
      <c r="EW56" s="39" t="str">
        <f t="shared" si="321"/>
        <v/>
      </c>
      <c r="EX56" s="39" t="str">
        <f t="shared" si="322"/>
        <v/>
      </c>
      <c r="EY56" s="39" t="str">
        <f t="shared" si="323"/>
        <v/>
      </c>
      <c r="EZ56" s="39" t="str">
        <f t="shared" si="324"/>
        <v/>
      </c>
      <c r="FA56" s="39" t="str">
        <f t="shared" si="325"/>
        <v/>
      </c>
      <c r="FB56" s="39" t="str">
        <f t="shared" si="326"/>
        <v/>
      </c>
      <c r="FC56" s="39" t="str">
        <f t="shared" si="327"/>
        <v/>
      </c>
      <c r="FD56" s="39" t="str">
        <f t="shared" si="328"/>
        <v/>
      </c>
      <c r="FE56" s="39" t="str">
        <f t="shared" si="329"/>
        <v/>
      </c>
      <c r="FF56" s="39" t="str">
        <f t="shared" si="330"/>
        <v/>
      </c>
      <c r="FG56" s="39" t="str">
        <f t="shared" si="331"/>
        <v/>
      </c>
      <c r="FH56" s="39" t="str">
        <f t="shared" si="332"/>
        <v/>
      </c>
      <c r="FI56" s="39" t="str">
        <f t="shared" si="333"/>
        <v/>
      </c>
      <c r="FJ56" s="39" t="str">
        <f t="shared" si="334"/>
        <v/>
      </c>
      <c r="FK56" s="39" t="str">
        <f t="shared" si="335"/>
        <v/>
      </c>
      <c r="FL56" s="39" t="str">
        <f t="shared" si="336"/>
        <v/>
      </c>
      <c r="FM56" s="39" t="str">
        <f t="shared" si="337"/>
        <v/>
      </c>
      <c r="FN56" s="39" t="str">
        <f t="shared" si="338"/>
        <v/>
      </c>
      <c r="FO56" s="39" t="str">
        <f t="shared" si="339"/>
        <v/>
      </c>
      <c r="FP56" s="39" t="str">
        <f t="shared" si="340"/>
        <v/>
      </c>
      <c r="FQ56" s="39" t="str">
        <f t="shared" si="341"/>
        <v/>
      </c>
      <c r="FR56" s="39" t="str">
        <f t="shared" si="342"/>
        <v/>
      </c>
      <c r="FS56" s="39" t="str">
        <f t="shared" si="343"/>
        <v/>
      </c>
      <c r="FT56" s="39" t="str">
        <f t="shared" si="344"/>
        <v/>
      </c>
      <c r="FU56" s="39" t="str">
        <f t="shared" si="345"/>
        <v/>
      </c>
      <c r="FV56" s="39" t="str">
        <f t="shared" si="346"/>
        <v/>
      </c>
      <c r="FW56" s="39" t="str">
        <f t="shared" si="347"/>
        <v/>
      </c>
      <c r="FX56" s="39" t="str">
        <f t="shared" si="348"/>
        <v/>
      </c>
      <c r="FY56" s="39" t="str">
        <f t="shared" si="349"/>
        <v/>
      </c>
      <c r="FZ56" s="39" t="str">
        <f t="shared" si="350"/>
        <v/>
      </c>
      <c r="GA56" s="39" t="str">
        <f t="shared" si="351"/>
        <v/>
      </c>
      <c r="GB56" s="39" t="str">
        <f t="shared" si="352"/>
        <v/>
      </c>
      <c r="GC56" s="39" t="str">
        <f t="shared" si="353"/>
        <v/>
      </c>
      <c r="GD56" s="39" t="str">
        <f t="shared" si="354"/>
        <v/>
      </c>
      <c r="GE56" s="39" t="str">
        <f t="shared" si="355"/>
        <v/>
      </c>
      <c r="GF56" s="39" t="str">
        <f t="shared" si="356"/>
        <v/>
      </c>
      <c r="GG56" s="39" t="str">
        <f t="shared" si="357"/>
        <v/>
      </c>
      <c r="GH56" s="39" t="str">
        <f t="shared" si="358"/>
        <v/>
      </c>
      <c r="GI56" s="39" t="str">
        <f t="shared" si="359"/>
        <v/>
      </c>
      <c r="GJ56" s="39" t="str">
        <f t="shared" si="360"/>
        <v/>
      </c>
      <c r="GK56" s="39" t="str">
        <f t="shared" si="361"/>
        <v/>
      </c>
      <c r="GL56" s="39" t="str">
        <f t="shared" si="362"/>
        <v/>
      </c>
      <c r="GM56" s="39" t="str">
        <f t="shared" si="363"/>
        <v/>
      </c>
      <c r="GN56" s="39" t="str">
        <f t="shared" si="364"/>
        <v/>
      </c>
      <c r="GO56" s="39" t="str">
        <f t="shared" si="365"/>
        <v/>
      </c>
      <c r="GP56" s="39" t="str">
        <f t="shared" si="366"/>
        <v/>
      </c>
      <c r="GQ56" s="39" t="str">
        <f t="shared" si="367"/>
        <v/>
      </c>
      <c r="GR56" s="39" t="str">
        <f t="shared" si="368"/>
        <v/>
      </c>
      <c r="GS56" s="39" t="str">
        <f t="shared" si="369"/>
        <v/>
      </c>
      <c r="GT56" s="39" t="str">
        <f t="shared" si="370"/>
        <v/>
      </c>
      <c r="GU56" s="39" t="str">
        <f t="shared" si="371"/>
        <v/>
      </c>
      <c r="GV56" s="39" t="str">
        <f t="shared" si="372"/>
        <v/>
      </c>
      <c r="GW56" s="39" t="str">
        <f t="shared" si="373"/>
        <v/>
      </c>
      <c r="GX56" s="39" t="str">
        <f t="shared" si="374"/>
        <v/>
      </c>
      <c r="GY56" s="39" t="str">
        <f t="shared" si="375"/>
        <v/>
      </c>
      <c r="GZ56" s="39" t="str">
        <f t="shared" si="376"/>
        <v/>
      </c>
      <c r="HA56" s="39" t="str">
        <f t="shared" si="377"/>
        <v/>
      </c>
      <c r="HB56" s="39" t="str">
        <f t="shared" si="378"/>
        <v/>
      </c>
      <c r="HC56" s="39" t="str">
        <f t="shared" si="379"/>
        <v/>
      </c>
      <c r="HD56" s="39" t="str">
        <f t="shared" si="380"/>
        <v/>
      </c>
      <c r="HE56" s="39" t="str">
        <f t="shared" si="381"/>
        <v/>
      </c>
      <c r="HF56" s="39" t="str">
        <f t="shared" si="382"/>
        <v/>
      </c>
      <c r="HG56" s="39" t="str">
        <f t="shared" si="383"/>
        <v/>
      </c>
      <c r="HH56" s="39" t="str">
        <f t="shared" si="384"/>
        <v/>
      </c>
      <c r="HI56" s="39" t="str">
        <f t="shared" si="385"/>
        <v/>
      </c>
      <c r="HJ56" s="39" t="str">
        <f t="shared" si="386"/>
        <v/>
      </c>
      <c r="HK56" s="39" t="str">
        <f t="shared" si="387"/>
        <v/>
      </c>
      <c r="HL56" s="39" t="str">
        <f t="shared" si="388"/>
        <v/>
      </c>
      <c r="HM56" s="39" t="str">
        <f t="shared" si="389"/>
        <v/>
      </c>
      <c r="HN56" s="39" t="str">
        <f t="shared" si="390"/>
        <v/>
      </c>
      <c r="HO56" s="39" t="str">
        <f t="shared" si="391"/>
        <v/>
      </c>
      <c r="HP56" s="39" t="str">
        <f t="shared" si="392"/>
        <v/>
      </c>
      <c r="HQ56" s="39" t="str">
        <f t="shared" si="393"/>
        <v/>
      </c>
      <c r="HR56" s="39" t="str">
        <f t="shared" si="394"/>
        <v/>
      </c>
      <c r="HS56" s="39" t="str">
        <f t="shared" si="395"/>
        <v/>
      </c>
      <c r="HT56" s="39" t="str">
        <f t="shared" si="395"/>
        <v/>
      </c>
      <c r="HU56" s="83" t="str">
        <f t="shared" si="182"/>
        <v>-</v>
      </c>
      <c r="HV56" s="84" t="str">
        <f t="shared" si="396"/>
        <v/>
      </c>
      <c r="HW56" s="85" t="str">
        <f t="shared" si="397"/>
        <v/>
      </c>
      <c r="HX56" s="84" t="str">
        <f t="shared" si="183"/>
        <v/>
      </c>
      <c r="HY56" s="84" t="str">
        <f t="shared" si="398"/>
        <v/>
      </c>
      <c r="HZ56" s="84" t="str">
        <f t="shared" si="399"/>
        <v/>
      </c>
      <c r="IA56" s="83" t="str">
        <f t="shared" si="400"/>
        <v/>
      </c>
      <c r="IB56" s="84" t="str">
        <f t="shared" si="401"/>
        <v/>
      </c>
      <c r="IC56" s="85" t="str">
        <f t="shared" si="402"/>
        <v/>
      </c>
      <c r="ID56" s="83" t="str">
        <f t="shared" si="403"/>
        <v/>
      </c>
      <c r="IE56" s="84" t="str">
        <f t="shared" si="404"/>
        <v/>
      </c>
      <c r="IF56" s="85" t="str">
        <f t="shared" si="405"/>
        <v/>
      </c>
      <c r="IH56" s="66">
        <v>56</v>
      </c>
      <c r="II56" s="66" t="e">
        <f t="shared" ca="1" si="192"/>
        <v>#N/A</v>
      </c>
      <c r="IJ56" s="66" t="e">
        <f t="shared" ca="1" si="193"/>
        <v>#N/A</v>
      </c>
      <c r="IK56" s="66" t="e">
        <f t="shared" ca="1" si="194"/>
        <v>#N/A</v>
      </c>
      <c r="IL56" s="66" t="e">
        <f t="shared" ca="1" si="195"/>
        <v>#N/A</v>
      </c>
      <c r="IM56" s="33"/>
      <c r="IN56" s="74" t="e">
        <f t="shared" ca="1" si="184"/>
        <v>#N/A</v>
      </c>
      <c r="IO56" s="75" t="e">
        <f t="shared" ca="1" si="185"/>
        <v>#N/A</v>
      </c>
      <c r="IP56" s="75" t="e">
        <f t="shared" ca="1" si="186"/>
        <v>#N/A</v>
      </c>
      <c r="IQ56" s="74" t="e">
        <f t="shared" ca="1" si="187"/>
        <v>#N/A</v>
      </c>
      <c r="IR56" s="74" t="e">
        <f t="shared" ca="1" si="188"/>
        <v>#N/A</v>
      </c>
    </row>
    <row r="57" spans="1:252" s="1" customFormat="1" x14ac:dyDescent="0.35">
      <c r="A57" s="33">
        <v>0</v>
      </c>
      <c r="B57" s="33">
        <v>0</v>
      </c>
      <c r="C57" s="33">
        <v>1</v>
      </c>
      <c r="E57" s="4"/>
      <c r="F57" t="s">
        <v>322</v>
      </c>
      <c r="G57" s="5" t="s">
        <v>540</v>
      </c>
      <c r="H57" s="4" t="s">
        <v>533</v>
      </c>
      <c r="I57" s="8" t="s">
        <v>534</v>
      </c>
      <c r="J57" s="276" t="s">
        <v>805</v>
      </c>
      <c r="K57" s="39" t="s">
        <v>805</v>
      </c>
      <c r="L57" s="39" t="s">
        <v>805</v>
      </c>
      <c r="M57" s="39" t="s">
        <v>805</v>
      </c>
      <c r="N57" s="39" t="s">
        <v>805</v>
      </c>
      <c r="O57" s="39" t="s">
        <v>805</v>
      </c>
      <c r="P57" s="39" t="s">
        <v>805</v>
      </c>
      <c r="Q57" s="39" t="s">
        <v>805</v>
      </c>
      <c r="R57" s="39" t="s">
        <v>805</v>
      </c>
      <c r="S57" s="39" t="s">
        <v>805</v>
      </c>
      <c r="T57" s="39" t="s">
        <v>805</v>
      </c>
      <c r="U57" s="39" t="s">
        <v>805</v>
      </c>
      <c r="V57" s="39" t="s">
        <v>805</v>
      </c>
      <c r="W57" s="39" t="s">
        <v>805</v>
      </c>
      <c r="X57" s="39" t="s">
        <v>805</v>
      </c>
      <c r="Y57" s="39" t="s">
        <v>805</v>
      </c>
      <c r="Z57" s="39" t="s">
        <v>805</v>
      </c>
      <c r="AA57" s="39" t="s">
        <v>805</v>
      </c>
      <c r="AB57" s="39" t="s">
        <v>805</v>
      </c>
      <c r="AC57" s="39" t="s">
        <v>805</v>
      </c>
      <c r="AD57" s="39" t="s">
        <v>805</v>
      </c>
      <c r="AE57" s="39" t="s">
        <v>805</v>
      </c>
      <c r="AF57" s="39" t="s">
        <v>805</v>
      </c>
      <c r="AG57" s="39" t="s">
        <v>805</v>
      </c>
      <c r="AH57" s="39" t="s">
        <v>805</v>
      </c>
      <c r="AI57" s="39" t="s">
        <v>805</v>
      </c>
      <c r="AJ57" s="39" t="s">
        <v>805</v>
      </c>
      <c r="AK57" s="39" t="s">
        <v>805</v>
      </c>
      <c r="AL57" s="39" t="s">
        <v>805</v>
      </c>
      <c r="AM57" s="39" t="s">
        <v>805</v>
      </c>
      <c r="AN57" s="39" t="s">
        <v>805</v>
      </c>
      <c r="AO57" s="39" t="s">
        <v>805</v>
      </c>
      <c r="AP57" s="39" t="s">
        <v>805</v>
      </c>
      <c r="AQ57" s="39" t="s">
        <v>805</v>
      </c>
      <c r="AR57" s="39" t="s">
        <v>805</v>
      </c>
      <c r="AS57" s="39" t="s">
        <v>805</v>
      </c>
      <c r="AT57" s="39" t="s">
        <v>805</v>
      </c>
      <c r="AU57" s="39" t="s">
        <v>805</v>
      </c>
      <c r="AV57" s="39" t="s">
        <v>805</v>
      </c>
      <c r="AW57" s="39" t="s">
        <v>805</v>
      </c>
      <c r="AX57" s="39" t="s">
        <v>805</v>
      </c>
      <c r="AY57" s="39" t="s">
        <v>805</v>
      </c>
      <c r="AZ57" s="39" t="s">
        <v>805</v>
      </c>
      <c r="BA57" s="39" t="s">
        <v>805</v>
      </c>
      <c r="BB57" s="39" t="s">
        <v>805</v>
      </c>
      <c r="BC57" s="39" t="s">
        <v>805</v>
      </c>
      <c r="BD57" s="39" t="s">
        <v>805</v>
      </c>
      <c r="BE57" s="39" t="s">
        <v>805</v>
      </c>
      <c r="BF57" s="39" t="s">
        <v>805</v>
      </c>
      <c r="BG57" s="39" t="s">
        <v>805</v>
      </c>
      <c r="BH57" s="39" t="s">
        <v>805</v>
      </c>
      <c r="BI57" s="39" t="s">
        <v>805</v>
      </c>
      <c r="BJ57" s="39" t="s">
        <v>805</v>
      </c>
      <c r="BK57" s="39" t="s">
        <v>805</v>
      </c>
      <c r="BL57" s="39" t="s">
        <v>805</v>
      </c>
      <c r="BM57" s="39" t="s">
        <v>805</v>
      </c>
      <c r="BN57" s="39" t="s">
        <v>805</v>
      </c>
      <c r="BO57" s="39" t="s">
        <v>805</v>
      </c>
      <c r="BP57" s="39" t="s">
        <v>805</v>
      </c>
      <c r="BQ57" s="39" t="s">
        <v>805</v>
      </c>
      <c r="BR57" s="39" t="s">
        <v>805</v>
      </c>
      <c r="BS57" s="39" t="s">
        <v>805</v>
      </c>
      <c r="BT57" s="39" t="s">
        <v>805</v>
      </c>
      <c r="BU57" s="39" t="s">
        <v>805</v>
      </c>
      <c r="BV57" s="39" t="s">
        <v>805</v>
      </c>
      <c r="BW57" s="39" t="s">
        <v>805</v>
      </c>
      <c r="BX57" s="39" t="s">
        <v>805</v>
      </c>
      <c r="BY57" s="39" t="s">
        <v>805</v>
      </c>
      <c r="BZ57" s="39" t="s">
        <v>805</v>
      </c>
      <c r="CA57" s="39" t="s">
        <v>805</v>
      </c>
      <c r="CB57" s="39" t="s">
        <v>805</v>
      </c>
      <c r="CC57" s="39" t="s">
        <v>805</v>
      </c>
      <c r="CD57" s="39" t="s">
        <v>805</v>
      </c>
      <c r="CE57" s="39" t="s">
        <v>805</v>
      </c>
      <c r="CF57" s="39" t="s">
        <v>805</v>
      </c>
      <c r="CG57" s="39" t="s">
        <v>805</v>
      </c>
      <c r="CH57" s="39" t="s">
        <v>805</v>
      </c>
      <c r="CI57" s="39" t="s">
        <v>805</v>
      </c>
      <c r="CJ57" s="39" t="s">
        <v>805</v>
      </c>
      <c r="CK57" s="39" t="s">
        <v>805</v>
      </c>
      <c r="CL57" s="39" t="s">
        <v>805</v>
      </c>
      <c r="CM57" s="39" t="s">
        <v>805</v>
      </c>
      <c r="CN57" s="39" t="s">
        <v>805</v>
      </c>
      <c r="CO57" s="39" t="s">
        <v>805</v>
      </c>
      <c r="CP57" s="39" t="s">
        <v>805</v>
      </c>
      <c r="CQ57" s="39" t="s">
        <v>805</v>
      </c>
      <c r="CR57" s="39" t="s">
        <v>805</v>
      </c>
      <c r="CS57" s="39" t="s">
        <v>805</v>
      </c>
      <c r="CT57" s="39" t="s">
        <v>805</v>
      </c>
      <c r="CU57" s="39" t="s">
        <v>805</v>
      </c>
      <c r="CV57" s="39" t="s">
        <v>805</v>
      </c>
      <c r="CW57" s="39" t="s">
        <v>805</v>
      </c>
      <c r="CX57" s="39" t="s">
        <v>805</v>
      </c>
      <c r="CY57" s="39" t="s">
        <v>805</v>
      </c>
      <c r="CZ57" s="39" t="s">
        <v>805</v>
      </c>
      <c r="DA57" s="39" t="s">
        <v>805</v>
      </c>
      <c r="DB57" s="39" t="s">
        <v>805</v>
      </c>
      <c r="DC57" s="39" t="s">
        <v>805</v>
      </c>
      <c r="DD57" s="39" t="s">
        <v>805</v>
      </c>
      <c r="DE57" s="39" t="s">
        <v>805</v>
      </c>
      <c r="DF57" s="39" t="s">
        <v>805</v>
      </c>
      <c r="DG57" s="28">
        <f>'KPI Count-SHARE'!J51</f>
        <v>0</v>
      </c>
      <c r="DH57" s="105"/>
      <c r="DI57" s="105"/>
      <c r="DJ57" s="105"/>
      <c r="DK57" s="28">
        <f>'KPI Count-SHARE'!K51</f>
        <v>0</v>
      </c>
      <c r="DL57" s="39"/>
      <c r="DM57" s="39"/>
      <c r="DN57" s="39"/>
      <c r="DO57" s="28">
        <f>'KPI Count-SHARE'!L51</f>
        <v>0</v>
      </c>
      <c r="DP57" s="61"/>
      <c r="DQ57" s="61"/>
      <c r="DR57" s="61"/>
      <c r="DS57" s="28">
        <f>'KPI Count-SHARE'!M51</f>
        <v>0</v>
      </c>
      <c r="DT57" s="39"/>
      <c r="DU57" s="39"/>
      <c r="DV57" s="39"/>
      <c r="DW57" s="30" t="s">
        <v>533</v>
      </c>
      <c r="DX57" s="39" t="str">
        <f t="shared" si="310"/>
        <v/>
      </c>
      <c r="DY57" s="39" t="str">
        <f t="shared" si="311"/>
        <v/>
      </c>
      <c r="DZ57" s="39" t="str">
        <f t="shared" si="312"/>
        <v/>
      </c>
      <c r="EA57" s="39" t="str">
        <f t="shared" si="179"/>
        <v/>
      </c>
      <c r="EB57" s="39" t="str">
        <f t="shared" si="180"/>
        <v/>
      </c>
      <c r="EC57" s="39" t="str">
        <f t="shared" si="181"/>
        <v/>
      </c>
      <c r="ED57" s="39" t="str">
        <f t="shared" si="313"/>
        <v/>
      </c>
      <c r="EE57" s="39" t="str">
        <f t="shared" si="314"/>
        <v/>
      </c>
      <c r="EF57" s="39" t="str">
        <f t="shared" si="315"/>
        <v/>
      </c>
      <c r="EG57" s="39" t="str">
        <f t="shared" si="316"/>
        <v/>
      </c>
      <c r="EH57" s="39" t="str">
        <f t="shared" si="317"/>
        <v/>
      </c>
      <c r="EI57" s="39" t="str">
        <f t="shared" si="318"/>
        <v/>
      </c>
      <c r="EJ57" s="39" t="str">
        <f t="shared" si="318"/>
        <v/>
      </c>
      <c r="EK57" s="39" t="str">
        <f t="shared" si="318"/>
        <v/>
      </c>
      <c r="EL57" s="39" t="str">
        <f t="shared" si="318"/>
        <v/>
      </c>
      <c r="EM57" s="39" t="str">
        <f t="shared" si="318"/>
        <v/>
      </c>
      <c r="EN57" s="39" t="str">
        <f t="shared" si="318"/>
        <v/>
      </c>
      <c r="EO57" s="39" t="str">
        <f t="shared" si="318"/>
        <v/>
      </c>
      <c r="EP57" s="39" t="str">
        <f t="shared" si="318"/>
        <v/>
      </c>
      <c r="EQ57" s="39" t="str">
        <f t="shared" si="318"/>
        <v/>
      </c>
      <c r="ER57" s="39" t="str">
        <f t="shared" si="318"/>
        <v/>
      </c>
      <c r="ES57" s="39" t="str">
        <f t="shared" si="318"/>
        <v/>
      </c>
      <c r="ET57" s="39" t="str">
        <f t="shared" si="318"/>
        <v/>
      </c>
      <c r="EU57" s="39" t="str">
        <f t="shared" si="319"/>
        <v/>
      </c>
      <c r="EV57" s="39" t="str">
        <f t="shared" si="320"/>
        <v/>
      </c>
      <c r="EW57" s="39" t="str">
        <f t="shared" si="321"/>
        <v/>
      </c>
      <c r="EX57" s="39" t="str">
        <f t="shared" si="322"/>
        <v/>
      </c>
      <c r="EY57" s="39" t="str">
        <f t="shared" si="323"/>
        <v/>
      </c>
      <c r="EZ57" s="39" t="str">
        <f t="shared" si="324"/>
        <v/>
      </c>
      <c r="FA57" s="39" t="str">
        <f t="shared" si="325"/>
        <v/>
      </c>
      <c r="FB57" s="39" t="str">
        <f t="shared" si="326"/>
        <v/>
      </c>
      <c r="FC57" s="39" t="str">
        <f t="shared" si="327"/>
        <v/>
      </c>
      <c r="FD57" s="39" t="str">
        <f t="shared" si="328"/>
        <v/>
      </c>
      <c r="FE57" s="39" t="str">
        <f t="shared" si="329"/>
        <v/>
      </c>
      <c r="FF57" s="39" t="str">
        <f t="shared" si="330"/>
        <v/>
      </c>
      <c r="FG57" s="39" t="str">
        <f t="shared" si="331"/>
        <v/>
      </c>
      <c r="FH57" s="39" t="str">
        <f t="shared" si="332"/>
        <v/>
      </c>
      <c r="FI57" s="39" t="str">
        <f t="shared" si="333"/>
        <v/>
      </c>
      <c r="FJ57" s="39" t="str">
        <f t="shared" si="334"/>
        <v/>
      </c>
      <c r="FK57" s="39" t="str">
        <f t="shared" si="335"/>
        <v/>
      </c>
      <c r="FL57" s="39" t="str">
        <f t="shared" si="336"/>
        <v/>
      </c>
      <c r="FM57" s="39" t="str">
        <f t="shared" si="337"/>
        <v/>
      </c>
      <c r="FN57" s="39" t="str">
        <f t="shared" si="338"/>
        <v/>
      </c>
      <c r="FO57" s="39" t="str">
        <f t="shared" si="339"/>
        <v/>
      </c>
      <c r="FP57" s="39" t="str">
        <f t="shared" si="340"/>
        <v/>
      </c>
      <c r="FQ57" s="39" t="str">
        <f t="shared" si="341"/>
        <v/>
      </c>
      <c r="FR57" s="39" t="str">
        <f t="shared" si="342"/>
        <v/>
      </c>
      <c r="FS57" s="39" t="str">
        <f t="shared" si="343"/>
        <v/>
      </c>
      <c r="FT57" s="39" t="str">
        <f t="shared" si="344"/>
        <v/>
      </c>
      <c r="FU57" s="39" t="str">
        <f t="shared" si="345"/>
        <v/>
      </c>
      <c r="FV57" s="39" t="str">
        <f t="shared" si="346"/>
        <v/>
      </c>
      <c r="FW57" s="39" t="str">
        <f t="shared" si="347"/>
        <v/>
      </c>
      <c r="FX57" s="39" t="str">
        <f t="shared" si="348"/>
        <v/>
      </c>
      <c r="FY57" s="39" t="str">
        <f t="shared" si="349"/>
        <v/>
      </c>
      <c r="FZ57" s="39" t="str">
        <f t="shared" si="350"/>
        <v/>
      </c>
      <c r="GA57" s="39" t="str">
        <f t="shared" si="351"/>
        <v/>
      </c>
      <c r="GB57" s="39" t="str">
        <f t="shared" si="352"/>
        <v/>
      </c>
      <c r="GC57" s="39" t="str">
        <f t="shared" si="353"/>
        <v/>
      </c>
      <c r="GD57" s="39" t="str">
        <f t="shared" si="354"/>
        <v/>
      </c>
      <c r="GE57" s="39" t="str">
        <f t="shared" si="355"/>
        <v/>
      </c>
      <c r="GF57" s="39" t="str">
        <f t="shared" si="356"/>
        <v/>
      </c>
      <c r="GG57" s="39" t="str">
        <f t="shared" si="357"/>
        <v/>
      </c>
      <c r="GH57" s="39" t="str">
        <f t="shared" si="358"/>
        <v/>
      </c>
      <c r="GI57" s="39" t="str">
        <f t="shared" si="359"/>
        <v/>
      </c>
      <c r="GJ57" s="39" t="str">
        <f t="shared" si="360"/>
        <v/>
      </c>
      <c r="GK57" s="39" t="str">
        <f t="shared" si="361"/>
        <v/>
      </c>
      <c r="GL57" s="39" t="str">
        <f t="shared" si="362"/>
        <v/>
      </c>
      <c r="GM57" s="39" t="str">
        <f t="shared" si="363"/>
        <v/>
      </c>
      <c r="GN57" s="39" t="str">
        <f t="shared" si="364"/>
        <v/>
      </c>
      <c r="GO57" s="39" t="str">
        <f t="shared" si="365"/>
        <v/>
      </c>
      <c r="GP57" s="39" t="str">
        <f t="shared" si="366"/>
        <v/>
      </c>
      <c r="GQ57" s="39" t="str">
        <f t="shared" si="367"/>
        <v/>
      </c>
      <c r="GR57" s="39" t="str">
        <f t="shared" si="368"/>
        <v/>
      </c>
      <c r="GS57" s="39" t="str">
        <f t="shared" si="369"/>
        <v/>
      </c>
      <c r="GT57" s="39" t="str">
        <f t="shared" si="370"/>
        <v/>
      </c>
      <c r="GU57" s="39" t="str">
        <f t="shared" si="371"/>
        <v/>
      </c>
      <c r="GV57" s="39" t="str">
        <f t="shared" si="372"/>
        <v/>
      </c>
      <c r="GW57" s="39" t="str">
        <f t="shared" si="373"/>
        <v/>
      </c>
      <c r="GX57" s="39" t="str">
        <f t="shared" si="374"/>
        <v/>
      </c>
      <c r="GY57" s="39" t="str">
        <f t="shared" si="375"/>
        <v/>
      </c>
      <c r="GZ57" s="39" t="str">
        <f t="shared" si="376"/>
        <v/>
      </c>
      <c r="HA57" s="39" t="str">
        <f t="shared" si="377"/>
        <v/>
      </c>
      <c r="HB57" s="39" t="str">
        <f t="shared" si="378"/>
        <v/>
      </c>
      <c r="HC57" s="39" t="str">
        <f t="shared" si="379"/>
        <v/>
      </c>
      <c r="HD57" s="39" t="str">
        <f t="shared" si="380"/>
        <v/>
      </c>
      <c r="HE57" s="39" t="str">
        <f t="shared" si="381"/>
        <v/>
      </c>
      <c r="HF57" s="39" t="str">
        <f t="shared" si="382"/>
        <v/>
      </c>
      <c r="HG57" s="39" t="str">
        <f t="shared" si="383"/>
        <v/>
      </c>
      <c r="HH57" s="39" t="str">
        <f t="shared" si="384"/>
        <v/>
      </c>
      <c r="HI57" s="39" t="str">
        <f t="shared" si="385"/>
        <v/>
      </c>
      <c r="HJ57" s="39" t="str">
        <f t="shared" si="386"/>
        <v/>
      </c>
      <c r="HK57" s="39" t="str">
        <f t="shared" si="387"/>
        <v/>
      </c>
      <c r="HL57" s="39" t="str">
        <f t="shared" si="388"/>
        <v/>
      </c>
      <c r="HM57" s="39" t="str">
        <f t="shared" si="389"/>
        <v/>
      </c>
      <c r="HN57" s="39" t="str">
        <f t="shared" si="390"/>
        <v/>
      </c>
      <c r="HO57" s="39" t="str">
        <f t="shared" si="391"/>
        <v/>
      </c>
      <c r="HP57" s="39" t="str">
        <f t="shared" si="392"/>
        <v/>
      </c>
      <c r="HQ57" s="39" t="str">
        <f t="shared" si="393"/>
        <v/>
      </c>
      <c r="HR57" s="39" t="str">
        <f t="shared" si="394"/>
        <v/>
      </c>
      <c r="HS57" s="39" t="str">
        <f t="shared" si="395"/>
        <v/>
      </c>
      <c r="HT57" s="39" t="str">
        <f t="shared" si="395"/>
        <v/>
      </c>
      <c r="HU57" s="83" t="str">
        <f t="shared" si="182"/>
        <v>-</v>
      </c>
      <c r="HV57" s="84" t="str">
        <f t="shared" si="396"/>
        <v/>
      </c>
      <c r="HW57" s="85" t="str">
        <f t="shared" si="397"/>
        <v/>
      </c>
      <c r="HX57" s="84" t="str">
        <f t="shared" si="183"/>
        <v/>
      </c>
      <c r="HY57" s="84" t="str">
        <f t="shared" si="398"/>
        <v/>
      </c>
      <c r="HZ57" s="84" t="str">
        <f t="shared" si="399"/>
        <v/>
      </c>
      <c r="IA57" s="83" t="str">
        <f t="shared" si="400"/>
        <v/>
      </c>
      <c r="IB57" s="84" t="str">
        <f t="shared" si="401"/>
        <v/>
      </c>
      <c r="IC57" s="85" t="str">
        <f t="shared" si="402"/>
        <v/>
      </c>
      <c r="ID57" s="83" t="str">
        <f t="shared" si="403"/>
        <v/>
      </c>
      <c r="IE57" s="84" t="str">
        <f t="shared" si="404"/>
        <v/>
      </c>
      <c r="IF57" s="85" t="str">
        <f t="shared" si="405"/>
        <v/>
      </c>
      <c r="IH57" s="66">
        <v>57</v>
      </c>
      <c r="II57" s="66" t="e">
        <f t="shared" ca="1" si="192"/>
        <v>#N/A</v>
      </c>
      <c r="IJ57" s="66" t="e">
        <f t="shared" ca="1" si="193"/>
        <v>#N/A</v>
      </c>
      <c r="IK57" s="66" t="e">
        <f t="shared" ca="1" si="194"/>
        <v>#N/A</v>
      </c>
      <c r="IL57" s="66" t="e">
        <f t="shared" ca="1" si="195"/>
        <v>#N/A</v>
      </c>
      <c r="IM57" s="33"/>
      <c r="IN57" s="74" t="e">
        <f t="shared" ca="1" si="184"/>
        <v>#N/A</v>
      </c>
      <c r="IO57" s="75" t="e">
        <f t="shared" ca="1" si="185"/>
        <v>#N/A</v>
      </c>
      <c r="IP57" s="75" t="e">
        <f t="shared" ca="1" si="186"/>
        <v>#N/A</v>
      </c>
      <c r="IQ57" s="74" t="e">
        <f t="shared" ca="1" si="187"/>
        <v>#N/A</v>
      </c>
      <c r="IR57" s="74" t="e">
        <f t="shared" ca="1" si="188"/>
        <v>#N/A</v>
      </c>
    </row>
    <row r="58" spans="1:252" s="1" customFormat="1" x14ac:dyDescent="0.35">
      <c r="A58" s="33">
        <v>0</v>
      </c>
      <c r="B58" s="33">
        <v>0</v>
      </c>
      <c r="C58" s="33">
        <v>1</v>
      </c>
      <c r="E58" s="4"/>
      <c r="F58" t="s">
        <v>323</v>
      </c>
      <c r="G58" s="5" t="s">
        <v>540</v>
      </c>
      <c r="H58" s="4" t="s">
        <v>533</v>
      </c>
      <c r="I58" s="8" t="s">
        <v>534</v>
      </c>
      <c r="J58" s="276" t="s">
        <v>805</v>
      </c>
      <c r="K58" s="39" t="s">
        <v>805</v>
      </c>
      <c r="L58" s="39" t="s">
        <v>805</v>
      </c>
      <c r="M58" s="39" t="s">
        <v>805</v>
      </c>
      <c r="N58" s="39" t="s">
        <v>805</v>
      </c>
      <c r="O58" s="39" t="s">
        <v>805</v>
      </c>
      <c r="P58" s="39" t="s">
        <v>805</v>
      </c>
      <c r="Q58" s="39" t="s">
        <v>805</v>
      </c>
      <c r="R58" s="39" t="s">
        <v>805</v>
      </c>
      <c r="S58" s="39" t="s">
        <v>805</v>
      </c>
      <c r="T58" s="39" t="s">
        <v>805</v>
      </c>
      <c r="U58" s="39" t="s">
        <v>805</v>
      </c>
      <c r="V58" s="39" t="s">
        <v>805</v>
      </c>
      <c r="W58" s="39" t="s">
        <v>805</v>
      </c>
      <c r="X58" s="39" t="s">
        <v>805</v>
      </c>
      <c r="Y58" s="39" t="s">
        <v>805</v>
      </c>
      <c r="Z58" s="39" t="s">
        <v>805</v>
      </c>
      <c r="AA58" s="39" t="s">
        <v>805</v>
      </c>
      <c r="AB58" s="39" t="s">
        <v>805</v>
      </c>
      <c r="AC58" s="39" t="s">
        <v>805</v>
      </c>
      <c r="AD58" s="39" t="s">
        <v>805</v>
      </c>
      <c r="AE58" s="39" t="s">
        <v>805</v>
      </c>
      <c r="AF58" s="39" t="s">
        <v>805</v>
      </c>
      <c r="AG58" s="39" t="s">
        <v>805</v>
      </c>
      <c r="AH58" s="39" t="s">
        <v>805</v>
      </c>
      <c r="AI58" s="39" t="s">
        <v>805</v>
      </c>
      <c r="AJ58" s="39" t="s">
        <v>805</v>
      </c>
      <c r="AK58" s="39" t="s">
        <v>805</v>
      </c>
      <c r="AL58" s="39" t="s">
        <v>805</v>
      </c>
      <c r="AM58" s="39" t="s">
        <v>805</v>
      </c>
      <c r="AN58" s="39" t="s">
        <v>805</v>
      </c>
      <c r="AO58" s="39" t="s">
        <v>805</v>
      </c>
      <c r="AP58" s="39" t="s">
        <v>805</v>
      </c>
      <c r="AQ58" s="39" t="s">
        <v>805</v>
      </c>
      <c r="AR58" s="39" t="s">
        <v>805</v>
      </c>
      <c r="AS58" s="39" t="s">
        <v>805</v>
      </c>
      <c r="AT58" s="39" t="s">
        <v>805</v>
      </c>
      <c r="AU58" s="39" t="s">
        <v>805</v>
      </c>
      <c r="AV58" s="39" t="s">
        <v>805</v>
      </c>
      <c r="AW58" s="39" t="s">
        <v>805</v>
      </c>
      <c r="AX58" s="39" t="s">
        <v>805</v>
      </c>
      <c r="AY58" s="39" t="s">
        <v>805</v>
      </c>
      <c r="AZ58" s="39" t="s">
        <v>805</v>
      </c>
      <c r="BA58" s="39" t="s">
        <v>805</v>
      </c>
      <c r="BB58" s="39" t="s">
        <v>805</v>
      </c>
      <c r="BC58" s="39" t="s">
        <v>805</v>
      </c>
      <c r="BD58" s="39" t="s">
        <v>805</v>
      </c>
      <c r="BE58" s="39" t="s">
        <v>805</v>
      </c>
      <c r="BF58" s="39" t="s">
        <v>805</v>
      </c>
      <c r="BG58" s="39" t="s">
        <v>805</v>
      </c>
      <c r="BH58" s="39" t="s">
        <v>805</v>
      </c>
      <c r="BI58" s="39" t="s">
        <v>805</v>
      </c>
      <c r="BJ58" s="39" t="s">
        <v>805</v>
      </c>
      <c r="BK58" s="39" t="s">
        <v>805</v>
      </c>
      <c r="BL58" s="39" t="s">
        <v>805</v>
      </c>
      <c r="BM58" s="39" t="s">
        <v>805</v>
      </c>
      <c r="BN58" s="39" t="s">
        <v>805</v>
      </c>
      <c r="BO58" s="39" t="s">
        <v>805</v>
      </c>
      <c r="BP58" s="39" t="s">
        <v>805</v>
      </c>
      <c r="BQ58" s="39" t="s">
        <v>805</v>
      </c>
      <c r="BR58" s="39" t="s">
        <v>805</v>
      </c>
      <c r="BS58" s="39" t="s">
        <v>805</v>
      </c>
      <c r="BT58" s="39" t="s">
        <v>805</v>
      </c>
      <c r="BU58" s="39" t="s">
        <v>805</v>
      </c>
      <c r="BV58" s="39" t="s">
        <v>805</v>
      </c>
      <c r="BW58" s="39" t="s">
        <v>805</v>
      </c>
      <c r="BX58" s="39" t="s">
        <v>805</v>
      </c>
      <c r="BY58" s="39" t="s">
        <v>805</v>
      </c>
      <c r="BZ58" s="39" t="s">
        <v>805</v>
      </c>
      <c r="CA58" s="39" t="s">
        <v>805</v>
      </c>
      <c r="CB58" s="39" t="s">
        <v>805</v>
      </c>
      <c r="CC58" s="39" t="s">
        <v>805</v>
      </c>
      <c r="CD58" s="39" t="s">
        <v>805</v>
      </c>
      <c r="CE58" s="39" t="s">
        <v>805</v>
      </c>
      <c r="CF58" s="39" t="s">
        <v>805</v>
      </c>
      <c r="CG58" s="39" t="s">
        <v>805</v>
      </c>
      <c r="CH58" s="39" t="s">
        <v>805</v>
      </c>
      <c r="CI58" s="39" t="s">
        <v>805</v>
      </c>
      <c r="CJ58" s="39" t="s">
        <v>805</v>
      </c>
      <c r="CK58" s="39" t="s">
        <v>805</v>
      </c>
      <c r="CL58" s="39" t="s">
        <v>805</v>
      </c>
      <c r="CM58" s="39" t="s">
        <v>805</v>
      </c>
      <c r="CN58" s="39" t="s">
        <v>805</v>
      </c>
      <c r="CO58" s="39" t="s">
        <v>805</v>
      </c>
      <c r="CP58" s="39" t="s">
        <v>805</v>
      </c>
      <c r="CQ58" s="39" t="s">
        <v>805</v>
      </c>
      <c r="CR58" s="39" t="s">
        <v>805</v>
      </c>
      <c r="CS58" s="39" t="s">
        <v>805</v>
      </c>
      <c r="CT58" s="39" t="s">
        <v>805</v>
      </c>
      <c r="CU58" s="39" t="s">
        <v>805</v>
      </c>
      <c r="CV58" s="39" t="s">
        <v>805</v>
      </c>
      <c r="CW58" s="39" t="s">
        <v>805</v>
      </c>
      <c r="CX58" s="39" t="s">
        <v>805</v>
      </c>
      <c r="CY58" s="39" t="s">
        <v>805</v>
      </c>
      <c r="CZ58" s="39" t="s">
        <v>805</v>
      </c>
      <c r="DA58" s="39" t="s">
        <v>805</v>
      </c>
      <c r="DB58" s="39" t="s">
        <v>805</v>
      </c>
      <c r="DC58" s="39" t="s">
        <v>805</v>
      </c>
      <c r="DD58" s="39" t="s">
        <v>805</v>
      </c>
      <c r="DE58" s="39" t="s">
        <v>805</v>
      </c>
      <c r="DF58" s="39" t="s">
        <v>805</v>
      </c>
      <c r="DG58" s="28">
        <f>'KPI Count-SHARE'!J52</f>
        <v>0</v>
      </c>
      <c r="DH58" s="105"/>
      <c r="DI58" s="105"/>
      <c r="DJ58" s="105"/>
      <c r="DK58" s="28">
        <f>'KPI Count-SHARE'!K52</f>
        <v>0</v>
      </c>
      <c r="DL58" s="39"/>
      <c r="DM58" s="39"/>
      <c r="DN58" s="39"/>
      <c r="DO58" s="28">
        <f>'KPI Count-SHARE'!L52</f>
        <v>0</v>
      </c>
      <c r="DP58" s="61"/>
      <c r="DQ58" s="61"/>
      <c r="DR58" s="61"/>
      <c r="DS58" s="28">
        <f>'KPI Count-SHARE'!M52</f>
        <v>0</v>
      </c>
      <c r="DT58" s="39"/>
      <c r="DU58" s="39"/>
      <c r="DV58" s="39"/>
      <c r="DW58" s="30" t="s">
        <v>533</v>
      </c>
      <c r="DX58" s="39" t="str">
        <f t="shared" si="310"/>
        <v/>
      </c>
      <c r="DY58" s="39" t="str">
        <f t="shared" si="311"/>
        <v/>
      </c>
      <c r="DZ58" s="39" t="str">
        <f t="shared" si="312"/>
        <v/>
      </c>
      <c r="EA58" s="39" t="str">
        <f t="shared" si="179"/>
        <v/>
      </c>
      <c r="EB58" s="39" t="str">
        <f t="shared" si="180"/>
        <v/>
      </c>
      <c r="EC58" s="39" t="str">
        <f t="shared" si="181"/>
        <v/>
      </c>
      <c r="ED58" s="39" t="str">
        <f t="shared" si="313"/>
        <v/>
      </c>
      <c r="EE58" s="39" t="str">
        <f t="shared" si="314"/>
        <v/>
      </c>
      <c r="EF58" s="39" t="str">
        <f t="shared" si="315"/>
        <v/>
      </c>
      <c r="EG58" s="39" t="str">
        <f t="shared" si="316"/>
        <v/>
      </c>
      <c r="EH58" s="39" t="str">
        <f t="shared" si="317"/>
        <v/>
      </c>
      <c r="EI58" s="39" t="str">
        <f t="shared" si="318"/>
        <v/>
      </c>
      <c r="EJ58" s="39" t="str">
        <f t="shared" si="318"/>
        <v/>
      </c>
      <c r="EK58" s="39" t="str">
        <f t="shared" si="318"/>
        <v/>
      </c>
      <c r="EL58" s="39" t="str">
        <f t="shared" si="318"/>
        <v/>
      </c>
      <c r="EM58" s="39" t="str">
        <f t="shared" si="318"/>
        <v/>
      </c>
      <c r="EN58" s="39" t="str">
        <f t="shared" si="318"/>
        <v/>
      </c>
      <c r="EO58" s="39" t="str">
        <f t="shared" si="318"/>
        <v/>
      </c>
      <c r="EP58" s="39" t="str">
        <f t="shared" si="318"/>
        <v/>
      </c>
      <c r="EQ58" s="39" t="str">
        <f t="shared" si="318"/>
        <v/>
      </c>
      <c r="ER58" s="39" t="str">
        <f t="shared" si="318"/>
        <v/>
      </c>
      <c r="ES58" s="39" t="str">
        <f t="shared" si="318"/>
        <v/>
      </c>
      <c r="ET58" s="39" t="str">
        <f t="shared" si="318"/>
        <v/>
      </c>
      <c r="EU58" s="39" t="str">
        <f t="shared" si="319"/>
        <v/>
      </c>
      <c r="EV58" s="39" t="str">
        <f t="shared" si="320"/>
        <v/>
      </c>
      <c r="EW58" s="39" t="str">
        <f t="shared" si="321"/>
        <v/>
      </c>
      <c r="EX58" s="39" t="str">
        <f t="shared" si="322"/>
        <v/>
      </c>
      <c r="EY58" s="39" t="str">
        <f t="shared" si="323"/>
        <v/>
      </c>
      <c r="EZ58" s="39" t="str">
        <f t="shared" si="324"/>
        <v/>
      </c>
      <c r="FA58" s="39" t="str">
        <f t="shared" si="325"/>
        <v/>
      </c>
      <c r="FB58" s="39" t="str">
        <f t="shared" si="326"/>
        <v/>
      </c>
      <c r="FC58" s="39" t="str">
        <f t="shared" si="327"/>
        <v/>
      </c>
      <c r="FD58" s="39" t="str">
        <f t="shared" si="328"/>
        <v/>
      </c>
      <c r="FE58" s="39" t="str">
        <f t="shared" si="329"/>
        <v/>
      </c>
      <c r="FF58" s="39" t="str">
        <f t="shared" si="330"/>
        <v/>
      </c>
      <c r="FG58" s="39" t="str">
        <f t="shared" si="331"/>
        <v/>
      </c>
      <c r="FH58" s="39" t="str">
        <f t="shared" si="332"/>
        <v/>
      </c>
      <c r="FI58" s="39" t="str">
        <f t="shared" si="333"/>
        <v/>
      </c>
      <c r="FJ58" s="39" t="str">
        <f t="shared" si="334"/>
        <v/>
      </c>
      <c r="FK58" s="39" t="str">
        <f t="shared" si="335"/>
        <v/>
      </c>
      <c r="FL58" s="39" t="str">
        <f t="shared" si="336"/>
        <v/>
      </c>
      <c r="FM58" s="39" t="str">
        <f t="shared" si="337"/>
        <v/>
      </c>
      <c r="FN58" s="39" t="str">
        <f t="shared" si="338"/>
        <v/>
      </c>
      <c r="FO58" s="39" t="str">
        <f t="shared" si="339"/>
        <v/>
      </c>
      <c r="FP58" s="39" t="str">
        <f t="shared" si="340"/>
        <v/>
      </c>
      <c r="FQ58" s="39" t="str">
        <f t="shared" si="341"/>
        <v/>
      </c>
      <c r="FR58" s="39" t="str">
        <f t="shared" si="342"/>
        <v/>
      </c>
      <c r="FS58" s="39" t="str">
        <f t="shared" si="343"/>
        <v/>
      </c>
      <c r="FT58" s="39" t="str">
        <f t="shared" si="344"/>
        <v/>
      </c>
      <c r="FU58" s="39" t="str">
        <f t="shared" si="345"/>
        <v/>
      </c>
      <c r="FV58" s="39" t="str">
        <f t="shared" si="346"/>
        <v/>
      </c>
      <c r="FW58" s="39" t="str">
        <f t="shared" si="347"/>
        <v/>
      </c>
      <c r="FX58" s="39" t="str">
        <f t="shared" si="348"/>
        <v/>
      </c>
      <c r="FY58" s="39" t="str">
        <f t="shared" si="349"/>
        <v/>
      </c>
      <c r="FZ58" s="39" t="str">
        <f t="shared" si="350"/>
        <v/>
      </c>
      <c r="GA58" s="39" t="str">
        <f t="shared" si="351"/>
        <v/>
      </c>
      <c r="GB58" s="39" t="str">
        <f t="shared" si="352"/>
        <v/>
      </c>
      <c r="GC58" s="39" t="str">
        <f t="shared" si="353"/>
        <v/>
      </c>
      <c r="GD58" s="39" t="str">
        <f t="shared" si="354"/>
        <v/>
      </c>
      <c r="GE58" s="39" t="str">
        <f t="shared" si="355"/>
        <v/>
      </c>
      <c r="GF58" s="39" t="str">
        <f t="shared" si="356"/>
        <v/>
      </c>
      <c r="GG58" s="39" t="str">
        <f t="shared" si="357"/>
        <v/>
      </c>
      <c r="GH58" s="39" t="str">
        <f t="shared" si="358"/>
        <v/>
      </c>
      <c r="GI58" s="39" t="str">
        <f t="shared" si="359"/>
        <v/>
      </c>
      <c r="GJ58" s="39" t="str">
        <f t="shared" si="360"/>
        <v/>
      </c>
      <c r="GK58" s="39" t="str">
        <f t="shared" si="361"/>
        <v/>
      </c>
      <c r="GL58" s="39" t="str">
        <f t="shared" si="362"/>
        <v/>
      </c>
      <c r="GM58" s="39" t="str">
        <f t="shared" si="363"/>
        <v/>
      </c>
      <c r="GN58" s="39" t="str">
        <f t="shared" si="364"/>
        <v/>
      </c>
      <c r="GO58" s="39" t="str">
        <f t="shared" si="365"/>
        <v/>
      </c>
      <c r="GP58" s="39" t="str">
        <f t="shared" si="366"/>
        <v/>
      </c>
      <c r="GQ58" s="39" t="str">
        <f t="shared" si="367"/>
        <v/>
      </c>
      <c r="GR58" s="39" t="str">
        <f t="shared" si="368"/>
        <v/>
      </c>
      <c r="GS58" s="39" t="str">
        <f t="shared" si="369"/>
        <v/>
      </c>
      <c r="GT58" s="39" t="str">
        <f t="shared" si="370"/>
        <v/>
      </c>
      <c r="GU58" s="39" t="str">
        <f t="shared" si="371"/>
        <v/>
      </c>
      <c r="GV58" s="39" t="str">
        <f t="shared" si="372"/>
        <v/>
      </c>
      <c r="GW58" s="39" t="str">
        <f t="shared" si="373"/>
        <v/>
      </c>
      <c r="GX58" s="39" t="str">
        <f t="shared" si="374"/>
        <v/>
      </c>
      <c r="GY58" s="39" t="str">
        <f t="shared" si="375"/>
        <v/>
      </c>
      <c r="GZ58" s="39" t="str">
        <f t="shared" si="376"/>
        <v/>
      </c>
      <c r="HA58" s="39" t="str">
        <f t="shared" si="377"/>
        <v/>
      </c>
      <c r="HB58" s="39" t="str">
        <f t="shared" si="378"/>
        <v/>
      </c>
      <c r="HC58" s="39" t="str">
        <f t="shared" si="379"/>
        <v/>
      </c>
      <c r="HD58" s="39" t="str">
        <f t="shared" si="380"/>
        <v/>
      </c>
      <c r="HE58" s="39" t="str">
        <f t="shared" si="381"/>
        <v/>
      </c>
      <c r="HF58" s="39" t="str">
        <f t="shared" si="382"/>
        <v/>
      </c>
      <c r="HG58" s="39" t="str">
        <f t="shared" si="383"/>
        <v/>
      </c>
      <c r="HH58" s="39" t="str">
        <f t="shared" si="384"/>
        <v/>
      </c>
      <c r="HI58" s="39" t="str">
        <f t="shared" si="385"/>
        <v/>
      </c>
      <c r="HJ58" s="39" t="str">
        <f t="shared" si="386"/>
        <v/>
      </c>
      <c r="HK58" s="39" t="str">
        <f t="shared" si="387"/>
        <v/>
      </c>
      <c r="HL58" s="39" t="str">
        <f t="shared" si="388"/>
        <v/>
      </c>
      <c r="HM58" s="39" t="str">
        <f t="shared" si="389"/>
        <v/>
      </c>
      <c r="HN58" s="39" t="str">
        <f t="shared" si="390"/>
        <v/>
      </c>
      <c r="HO58" s="39" t="str">
        <f t="shared" si="391"/>
        <v/>
      </c>
      <c r="HP58" s="39" t="str">
        <f t="shared" si="392"/>
        <v/>
      </c>
      <c r="HQ58" s="39" t="str">
        <f t="shared" si="393"/>
        <v/>
      </c>
      <c r="HR58" s="39" t="str">
        <f t="shared" si="394"/>
        <v/>
      </c>
      <c r="HS58" s="39" t="str">
        <f t="shared" si="395"/>
        <v/>
      </c>
      <c r="HT58" s="39" t="str">
        <f t="shared" si="395"/>
        <v/>
      </c>
      <c r="HU58" s="83" t="str">
        <f t="shared" si="182"/>
        <v>-</v>
      </c>
      <c r="HV58" s="84" t="str">
        <f t="shared" si="396"/>
        <v/>
      </c>
      <c r="HW58" s="85" t="str">
        <f t="shared" si="397"/>
        <v/>
      </c>
      <c r="HX58" s="84" t="str">
        <f t="shared" si="183"/>
        <v/>
      </c>
      <c r="HY58" s="84" t="str">
        <f t="shared" si="398"/>
        <v/>
      </c>
      <c r="HZ58" s="84" t="str">
        <f t="shared" si="399"/>
        <v/>
      </c>
      <c r="IA58" s="83" t="str">
        <f t="shared" si="400"/>
        <v/>
      </c>
      <c r="IB58" s="84" t="str">
        <f t="shared" si="401"/>
        <v/>
      </c>
      <c r="IC58" s="85" t="str">
        <f t="shared" si="402"/>
        <v/>
      </c>
      <c r="ID58" s="83" t="str">
        <f t="shared" si="403"/>
        <v/>
      </c>
      <c r="IE58" s="84" t="str">
        <f t="shared" si="404"/>
        <v/>
      </c>
      <c r="IF58" s="85" t="str">
        <f t="shared" si="405"/>
        <v/>
      </c>
      <c r="IH58" s="66">
        <v>58</v>
      </c>
      <c r="II58" s="66" t="e">
        <f t="shared" ca="1" si="192"/>
        <v>#N/A</v>
      </c>
      <c r="IJ58" s="66" t="e">
        <f t="shared" ca="1" si="193"/>
        <v>#N/A</v>
      </c>
      <c r="IK58" s="66" t="e">
        <f t="shared" ca="1" si="194"/>
        <v>#N/A</v>
      </c>
      <c r="IL58" s="66" t="e">
        <f t="shared" ca="1" si="195"/>
        <v>#N/A</v>
      </c>
      <c r="IM58" s="33"/>
      <c r="IN58" s="74" t="e">
        <f t="shared" ca="1" si="184"/>
        <v>#N/A</v>
      </c>
      <c r="IO58" s="75" t="e">
        <f t="shared" ca="1" si="185"/>
        <v>#N/A</v>
      </c>
      <c r="IP58" s="75" t="e">
        <f t="shared" ca="1" si="186"/>
        <v>#N/A</v>
      </c>
      <c r="IQ58" s="74" t="e">
        <f t="shared" ca="1" si="187"/>
        <v>#N/A</v>
      </c>
      <c r="IR58" s="74" t="e">
        <f t="shared" ca="1" si="188"/>
        <v>#N/A</v>
      </c>
    </row>
    <row r="59" spans="1:252" s="1" customFormat="1" x14ac:dyDescent="0.35">
      <c r="A59" s="33">
        <v>0</v>
      </c>
      <c r="B59" s="33">
        <v>0</v>
      </c>
      <c r="C59" s="33">
        <v>1</v>
      </c>
      <c r="E59" s="4"/>
      <c r="F59" t="s">
        <v>324</v>
      </c>
      <c r="G59" s="5" t="s">
        <v>540</v>
      </c>
      <c r="H59" s="4" t="s">
        <v>533</v>
      </c>
      <c r="I59" s="8" t="s">
        <v>534</v>
      </c>
      <c r="J59" s="276" t="s">
        <v>805</v>
      </c>
      <c r="K59" s="39" t="s">
        <v>805</v>
      </c>
      <c r="L59" s="39" t="s">
        <v>805</v>
      </c>
      <c r="M59" s="39" t="s">
        <v>805</v>
      </c>
      <c r="N59" s="39" t="s">
        <v>805</v>
      </c>
      <c r="O59" s="39" t="s">
        <v>805</v>
      </c>
      <c r="P59" s="39" t="s">
        <v>805</v>
      </c>
      <c r="Q59" s="39" t="s">
        <v>805</v>
      </c>
      <c r="R59" s="39" t="s">
        <v>805</v>
      </c>
      <c r="S59" s="39" t="s">
        <v>805</v>
      </c>
      <c r="T59" s="39" t="s">
        <v>805</v>
      </c>
      <c r="U59" s="39" t="s">
        <v>805</v>
      </c>
      <c r="V59" s="39" t="s">
        <v>805</v>
      </c>
      <c r="W59" s="39" t="s">
        <v>805</v>
      </c>
      <c r="X59" s="39" t="s">
        <v>805</v>
      </c>
      <c r="Y59" s="39" t="s">
        <v>805</v>
      </c>
      <c r="Z59" s="39" t="s">
        <v>805</v>
      </c>
      <c r="AA59" s="39" t="s">
        <v>805</v>
      </c>
      <c r="AB59" s="39" t="s">
        <v>805</v>
      </c>
      <c r="AC59" s="39" t="s">
        <v>805</v>
      </c>
      <c r="AD59" s="39" t="s">
        <v>805</v>
      </c>
      <c r="AE59" s="39" t="s">
        <v>805</v>
      </c>
      <c r="AF59" s="39" t="s">
        <v>805</v>
      </c>
      <c r="AG59" s="39" t="s">
        <v>805</v>
      </c>
      <c r="AH59" s="39" t="s">
        <v>805</v>
      </c>
      <c r="AI59" s="39" t="s">
        <v>805</v>
      </c>
      <c r="AJ59" s="39" t="s">
        <v>805</v>
      </c>
      <c r="AK59" s="39" t="s">
        <v>805</v>
      </c>
      <c r="AL59" s="39" t="s">
        <v>805</v>
      </c>
      <c r="AM59" s="39" t="s">
        <v>805</v>
      </c>
      <c r="AN59" s="39" t="s">
        <v>805</v>
      </c>
      <c r="AO59" s="39" t="s">
        <v>805</v>
      </c>
      <c r="AP59" s="39" t="s">
        <v>805</v>
      </c>
      <c r="AQ59" s="39" t="s">
        <v>805</v>
      </c>
      <c r="AR59" s="39" t="s">
        <v>805</v>
      </c>
      <c r="AS59" s="39" t="s">
        <v>805</v>
      </c>
      <c r="AT59" s="39" t="s">
        <v>805</v>
      </c>
      <c r="AU59" s="39" t="s">
        <v>805</v>
      </c>
      <c r="AV59" s="39" t="s">
        <v>805</v>
      </c>
      <c r="AW59" s="39" t="s">
        <v>805</v>
      </c>
      <c r="AX59" s="39" t="s">
        <v>805</v>
      </c>
      <c r="AY59" s="39" t="s">
        <v>805</v>
      </c>
      <c r="AZ59" s="39" t="s">
        <v>805</v>
      </c>
      <c r="BA59" s="39" t="s">
        <v>805</v>
      </c>
      <c r="BB59" s="39" t="s">
        <v>805</v>
      </c>
      <c r="BC59" s="39" t="s">
        <v>805</v>
      </c>
      <c r="BD59" s="39" t="s">
        <v>805</v>
      </c>
      <c r="BE59" s="39" t="s">
        <v>805</v>
      </c>
      <c r="BF59" s="39" t="s">
        <v>805</v>
      </c>
      <c r="BG59" s="39" t="s">
        <v>805</v>
      </c>
      <c r="BH59" s="39" t="s">
        <v>805</v>
      </c>
      <c r="BI59" s="39" t="s">
        <v>805</v>
      </c>
      <c r="BJ59" s="39" t="s">
        <v>805</v>
      </c>
      <c r="BK59" s="39" t="s">
        <v>805</v>
      </c>
      <c r="BL59" s="39" t="s">
        <v>805</v>
      </c>
      <c r="BM59" s="39" t="s">
        <v>805</v>
      </c>
      <c r="BN59" s="39" t="s">
        <v>805</v>
      </c>
      <c r="BO59" s="39" t="s">
        <v>805</v>
      </c>
      <c r="BP59" s="39" t="s">
        <v>805</v>
      </c>
      <c r="BQ59" s="39" t="s">
        <v>805</v>
      </c>
      <c r="BR59" s="39" t="s">
        <v>805</v>
      </c>
      <c r="BS59" s="39" t="s">
        <v>805</v>
      </c>
      <c r="BT59" s="39" t="s">
        <v>805</v>
      </c>
      <c r="BU59" s="39" t="s">
        <v>805</v>
      </c>
      <c r="BV59" s="39" t="s">
        <v>805</v>
      </c>
      <c r="BW59" s="39" t="s">
        <v>805</v>
      </c>
      <c r="BX59" s="39" t="s">
        <v>805</v>
      </c>
      <c r="BY59" s="39" t="s">
        <v>805</v>
      </c>
      <c r="BZ59" s="39" t="s">
        <v>805</v>
      </c>
      <c r="CA59" s="39" t="s">
        <v>805</v>
      </c>
      <c r="CB59" s="39" t="s">
        <v>805</v>
      </c>
      <c r="CC59" s="39" t="s">
        <v>805</v>
      </c>
      <c r="CD59" s="39" t="s">
        <v>805</v>
      </c>
      <c r="CE59" s="39" t="s">
        <v>805</v>
      </c>
      <c r="CF59" s="39" t="s">
        <v>805</v>
      </c>
      <c r="CG59" s="39" t="s">
        <v>805</v>
      </c>
      <c r="CH59" s="39" t="s">
        <v>805</v>
      </c>
      <c r="CI59" s="39" t="s">
        <v>805</v>
      </c>
      <c r="CJ59" s="39" t="s">
        <v>805</v>
      </c>
      <c r="CK59" s="39" t="s">
        <v>805</v>
      </c>
      <c r="CL59" s="39" t="s">
        <v>805</v>
      </c>
      <c r="CM59" s="39" t="s">
        <v>805</v>
      </c>
      <c r="CN59" s="39" t="s">
        <v>805</v>
      </c>
      <c r="CO59" s="39" t="s">
        <v>805</v>
      </c>
      <c r="CP59" s="39" t="s">
        <v>805</v>
      </c>
      <c r="CQ59" s="39" t="s">
        <v>805</v>
      </c>
      <c r="CR59" s="39" t="s">
        <v>805</v>
      </c>
      <c r="CS59" s="39" t="s">
        <v>805</v>
      </c>
      <c r="CT59" s="39" t="s">
        <v>805</v>
      </c>
      <c r="CU59" s="39" t="s">
        <v>805</v>
      </c>
      <c r="CV59" s="39" t="s">
        <v>805</v>
      </c>
      <c r="CW59" s="39" t="s">
        <v>805</v>
      </c>
      <c r="CX59" s="39" t="s">
        <v>805</v>
      </c>
      <c r="CY59" s="39" t="s">
        <v>805</v>
      </c>
      <c r="CZ59" s="39" t="s">
        <v>805</v>
      </c>
      <c r="DA59" s="39" t="s">
        <v>805</v>
      </c>
      <c r="DB59" s="39" t="s">
        <v>805</v>
      </c>
      <c r="DC59" s="39" t="s">
        <v>805</v>
      </c>
      <c r="DD59" s="39" t="s">
        <v>805</v>
      </c>
      <c r="DE59" s="39" t="s">
        <v>805</v>
      </c>
      <c r="DF59" s="39" t="s">
        <v>805</v>
      </c>
      <c r="DG59" s="28">
        <f>'KPI Count-SHARE'!J53</f>
        <v>0</v>
      </c>
      <c r="DH59" s="105"/>
      <c r="DI59" s="105"/>
      <c r="DJ59" s="105"/>
      <c r="DK59" s="28">
        <f>'KPI Count-SHARE'!K53</f>
        <v>0</v>
      </c>
      <c r="DL59" s="39"/>
      <c r="DM59" s="39"/>
      <c r="DN59" s="39"/>
      <c r="DO59" s="28">
        <f>'KPI Count-SHARE'!L53</f>
        <v>0</v>
      </c>
      <c r="DP59" s="61"/>
      <c r="DQ59" s="61"/>
      <c r="DR59" s="61"/>
      <c r="DS59" s="28">
        <f>'KPI Count-SHARE'!M53</f>
        <v>0</v>
      </c>
      <c r="DT59" s="39"/>
      <c r="DU59" s="39"/>
      <c r="DV59" s="39"/>
      <c r="DW59" s="30" t="s">
        <v>533</v>
      </c>
      <c r="DX59" s="39" t="str">
        <f t="shared" si="310"/>
        <v/>
      </c>
      <c r="DY59" s="39" t="str">
        <f t="shared" si="311"/>
        <v/>
      </c>
      <c r="DZ59" s="39" t="str">
        <f t="shared" si="312"/>
        <v/>
      </c>
      <c r="EA59" s="39" t="str">
        <f t="shared" si="179"/>
        <v/>
      </c>
      <c r="EB59" s="39" t="str">
        <f t="shared" si="180"/>
        <v/>
      </c>
      <c r="EC59" s="39" t="str">
        <f t="shared" si="181"/>
        <v/>
      </c>
      <c r="ED59" s="39" t="str">
        <f t="shared" si="313"/>
        <v/>
      </c>
      <c r="EE59" s="39" t="str">
        <f t="shared" si="314"/>
        <v/>
      </c>
      <c r="EF59" s="39" t="str">
        <f t="shared" si="315"/>
        <v/>
      </c>
      <c r="EG59" s="39" t="str">
        <f t="shared" si="316"/>
        <v/>
      </c>
      <c r="EH59" s="39" t="str">
        <f t="shared" si="317"/>
        <v/>
      </c>
      <c r="EI59" s="39" t="str">
        <f t="shared" si="318"/>
        <v/>
      </c>
      <c r="EJ59" s="39" t="str">
        <f t="shared" si="318"/>
        <v/>
      </c>
      <c r="EK59" s="39" t="str">
        <f t="shared" si="318"/>
        <v/>
      </c>
      <c r="EL59" s="39" t="str">
        <f t="shared" si="318"/>
        <v/>
      </c>
      <c r="EM59" s="39" t="str">
        <f t="shared" si="318"/>
        <v/>
      </c>
      <c r="EN59" s="39" t="str">
        <f t="shared" si="318"/>
        <v/>
      </c>
      <c r="EO59" s="39" t="str">
        <f t="shared" si="318"/>
        <v/>
      </c>
      <c r="EP59" s="39" t="str">
        <f t="shared" si="318"/>
        <v/>
      </c>
      <c r="EQ59" s="39" t="str">
        <f t="shared" si="318"/>
        <v/>
      </c>
      <c r="ER59" s="39" t="str">
        <f t="shared" si="318"/>
        <v/>
      </c>
      <c r="ES59" s="39" t="str">
        <f t="shared" si="318"/>
        <v/>
      </c>
      <c r="ET59" s="39" t="str">
        <f t="shared" si="318"/>
        <v/>
      </c>
      <c r="EU59" s="39" t="str">
        <f t="shared" si="319"/>
        <v/>
      </c>
      <c r="EV59" s="39" t="str">
        <f t="shared" si="320"/>
        <v/>
      </c>
      <c r="EW59" s="39" t="str">
        <f t="shared" si="321"/>
        <v/>
      </c>
      <c r="EX59" s="39" t="str">
        <f t="shared" si="322"/>
        <v/>
      </c>
      <c r="EY59" s="39" t="str">
        <f t="shared" si="323"/>
        <v/>
      </c>
      <c r="EZ59" s="39" t="str">
        <f t="shared" si="324"/>
        <v/>
      </c>
      <c r="FA59" s="39" t="str">
        <f t="shared" si="325"/>
        <v/>
      </c>
      <c r="FB59" s="39" t="str">
        <f t="shared" si="326"/>
        <v/>
      </c>
      <c r="FC59" s="39" t="str">
        <f t="shared" si="327"/>
        <v/>
      </c>
      <c r="FD59" s="39" t="str">
        <f t="shared" si="328"/>
        <v/>
      </c>
      <c r="FE59" s="39" t="str">
        <f t="shared" si="329"/>
        <v/>
      </c>
      <c r="FF59" s="39" t="str">
        <f t="shared" si="330"/>
        <v/>
      </c>
      <c r="FG59" s="39" t="str">
        <f t="shared" si="331"/>
        <v/>
      </c>
      <c r="FH59" s="39" t="str">
        <f t="shared" si="332"/>
        <v/>
      </c>
      <c r="FI59" s="39" t="str">
        <f t="shared" si="333"/>
        <v/>
      </c>
      <c r="FJ59" s="39" t="str">
        <f t="shared" si="334"/>
        <v/>
      </c>
      <c r="FK59" s="39" t="str">
        <f t="shared" si="335"/>
        <v/>
      </c>
      <c r="FL59" s="39" t="str">
        <f t="shared" si="336"/>
        <v/>
      </c>
      <c r="FM59" s="39" t="str">
        <f t="shared" si="337"/>
        <v/>
      </c>
      <c r="FN59" s="39" t="str">
        <f t="shared" si="338"/>
        <v/>
      </c>
      <c r="FO59" s="39" t="str">
        <f t="shared" si="339"/>
        <v/>
      </c>
      <c r="FP59" s="39" t="str">
        <f t="shared" si="340"/>
        <v/>
      </c>
      <c r="FQ59" s="39" t="str">
        <f t="shared" si="341"/>
        <v/>
      </c>
      <c r="FR59" s="39" t="str">
        <f t="shared" si="342"/>
        <v/>
      </c>
      <c r="FS59" s="39" t="str">
        <f t="shared" si="343"/>
        <v/>
      </c>
      <c r="FT59" s="39" t="str">
        <f t="shared" si="344"/>
        <v/>
      </c>
      <c r="FU59" s="39" t="str">
        <f t="shared" si="345"/>
        <v/>
      </c>
      <c r="FV59" s="39" t="str">
        <f t="shared" si="346"/>
        <v/>
      </c>
      <c r="FW59" s="39" t="str">
        <f t="shared" si="347"/>
        <v/>
      </c>
      <c r="FX59" s="39" t="str">
        <f t="shared" si="348"/>
        <v/>
      </c>
      <c r="FY59" s="39" t="str">
        <f t="shared" si="349"/>
        <v/>
      </c>
      <c r="FZ59" s="39" t="str">
        <f t="shared" si="350"/>
        <v/>
      </c>
      <c r="GA59" s="39" t="str">
        <f t="shared" si="351"/>
        <v/>
      </c>
      <c r="GB59" s="39" t="str">
        <f t="shared" si="352"/>
        <v/>
      </c>
      <c r="GC59" s="39" t="str">
        <f t="shared" si="353"/>
        <v/>
      </c>
      <c r="GD59" s="39" t="str">
        <f t="shared" si="354"/>
        <v/>
      </c>
      <c r="GE59" s="39" t="str">
        <f t="shared" si="355"/>
        <v/>
      </c>
      <c r="GF59" s="39" t="str">
        <f t="shared" si="356"/>
        <v/>
      </c>
      <c r="GG59" s="39" t="str">
        <f t="shared" si="357"/>
        <v/>
      </c>
      <c r="GH59" s="39" t="str">
        <f t="shared" si="358"/>
        <v/>
      </c>
      <c r="GI59" s="39" t="str">
        <f t="shared" si="359"/>
        <v/>
      </c>
      <c r="GJ59" s="39" t="str">
        <f t="shared" si="360"/>
        <v/>
      </c>
      <c r="GK59" s="39" t="str">
        <f t="shared" si="361"/>
        <v/>
      </c>
      <c r="GL59" s="39" t="str">
        <f t="shared" si="362"/>
        <v/>
      </c>
      <c r="GM59" s="39" t="str">
        <f t="shared" si="363"/>
        <v/>
      </c>
      <c r="GN59" s="39" t="str">
        <f t="shared" si="364"/>
        <v/>
      </c>
      <c r="GO59" s="39" t="str">
        <f t="shared" si="365"/>
        <v/>
      </c>
      <c r="GP59" s="39" t="str">
        <f t="shared" si="366"/>
        <v/>
      </c>
      <c r="GQ59" s="39" t="str">
        <f t="shared" si="367"/>
        <v/>
      </c>
      <c r="GR59" s="39" t="str">
        <f t="shared" si="368"/>
        <v/>
      </c>
      <c r="GS59" s="39" t="str">
        <f t="shared" si="369"/>
        <v/>
      </c>
      <c r="GT59" s="39" t="str">
        <f t="shared" si="370"/>
        <v/>
      </c>
      <c r="GU59" s="39" t="str">
        <f t="shared" si="371"/>
        <v/>
      </c>
      <c r="GV59" s="39" t="str">
        <f t="shared" si="372"/>
        <v/>
      </c>
      <c r="GW59" s="39" t="str">
        <f t="shared" si="373"/>
        <v/>
      </c>
      <c r="GX59" s="39" t="str">
        <f t="shared" si="374"/>
        <v/>
      </c>
      <c r="GY59" s="39" t="str">
        <f t="shared" si="375"/>
        <v/>
      </c>
      <c r="GZ59" s="39" t="str">
        <f t="shared" si="376"/>
        <v/>
      </c>
      <c r="HA59" s="39" t="str">
        <f t="shared" si="377"/>
        <v/>
      </c>
      <c r="HB59" s="39" t="str">
        <f t="shared" si="378"/>
        <v/>
      </c>
      <c r="HC59" s="39" t="str">
        <f t="shared" si="379"/>
        <v/>
      </c>
      <c r="HD59" s="39" t="str">
        <f t="shared" si="380"/>
        <v/>
      </c>
      <c r="HE59" s="39" t="str">
        <f t="shared" si="381"/>
        <v/>
      </c>
      <c r="HF59" s="39" t="str">
        <f t="shared" si="382"/>
        <v/>
      </c>
      <c r="HG59" s="39" t="str">
        <f t="shared" si="383"/>
        <v/>
      </c>
      <c r="HH59" s="39" t="str">
        <f t="shared" si="384"/>
        <v/>
      </c>
      <c r="HI59" s="39" t="str">
        <f t="shared" si="385"/>
        <v/>
      </c>
      <c r="HJ59" s="39" t="str">
        <f t="shared" si="386"/>
        <v/>
      </c>
      <c r="HK59" s="39" t="str">
        <f t="shared" si="387"/>
        <v/>
      </c>
      <c r="HL59" s="39" t="str">
        <f t="shared" si="388"/>
        <v/>
      </c>
      <c r="HM59" s="39" t="str">
        <f t="shared" si="389"/>
        <v/>
      </c>
      <c r="HN59" s="39" t="str">
        <f t="shared" si="390"/>
        <v/>
      </c>
      <c r="HO59" s="39" t="str">
        <f t="shared" si="391"/>
        <v/>
      </c>
      <c r="HP59" s="39" t="str">
        <f t="shared" si="392"/>
        <v/>
      </c>
      <c r="HQ59" s="39" t="str">
        <f t="shared" si="393"/>
        <v/>
      </c>
      <c r="HR59" s="39" t="str">
        <f t="shared" si="394"/>
        <v/>
      </c>
      <c r="HS59" s="39" t="str">
        <f t="shared" si="395"/>
        <v/>
      </c>
      <c r="HT59" s="39" t="str">
        <f t="shared" si="395"/>
        <v/>
      </c>
      <c r="HU59" s="83" t="str">
        <f t="shared" si="182"/>
        <v>-</v>
      </c>
      <c r="HV59" s="84" t="str">
        <f t="shared" si="396"/>
        <v/>
      </c>
      <c r="HW59" s="85" t="str">
        <f t="shared" si="397"/>
        <v/>
      </c>
      <c r="HX59" s="84" t="str">
        <f t="shared" si="183"/>
        <v/>
      </c>
      <c r="HY59" s="84" t="str">
        <f t="shared" si="398"/>
        <v/>
      </c>
      <c r="HZ59" s="84" t="str">
        <f t="shared" si="399"/>
        <v/>
      </c>
      <c r="IA59" s="83" t="str">
        <f t="shared" si="400"/>
        <v/>
      </c>
      <c r="IB59" s="84" t="str">
        <f t="shared" si="401"/>
        <v/>
      </c>
      <c r="IC59" s="85" t="str">
        <f t="shared" si="402"/>
        <v/>
      </c>
      <c r="ID59" s="83" t="str">
        <f t="shared" si="403"/>
        <v/>
      </c>
      <c r="IE59" s="84" t="str">
        <f t="shared" si="404"/>
        <v/>
      </c>
      <c r="IF59" s="85" t="str">
        <f t="shared" si="405"/>
        <v/>
      </c>
      <c r="IH59" s="66">
        <v>59</v>
      </c>
      <c r="II59" s="66" t="e">
        <f t="shared" ca="1" si="192"/>
        <v>#N/A</v>
      </c>
      <c r="IJ59" s="66" t="e">
        <f t="shared" ca="1" si="193"/>
        <v>#N/A</v>
      </c>
      <c r="IK59" s="66" t="e">
        <f t="shared" ca="1" si="194"/>
        <v>#N/A</v>
      </c>
      <c r="IL59" s="66" t="e">
        <f t="shared" ca="1" si="195"/>
        <v>#N/A</v>
      </c>
      <c r="IM59" s="33"/>
      <c r="IN59" s="74" t="e">
        <f t="shared" ca="1" si="184"/>
        <v>#N/A</v>
      </c>
      <c r="IO59" s="75" t="e">
        <f t="shared" ca="1" si="185"/>
        <v>#N/A</v>
      </c>
      <c r="IP59" s="75" t="e">
        <f t="shared" ca="1" si="186"/>
        <v>#N/A</v>
      </c>
      <c r="IQ59" s="74" t="e">
        <f t="shared" ca="1" si="187"/>
        <v>#N/A</v>
      </c>
      <c r="IR59" s="74" t="e">
        <f t="shared" ca="1" si="188"/>
        <v>#N/A</v>
      </c>
    </row>
    <row r="60" spans="1:252" s="1" customFormat="1" x14ac:dyDescent="0.35">
      <c r="A60" s="33">
        <v>0</v>
      </c>
      <c r="B60" s="33">
        <v>0</v>
      </c>
      <c r="C60" s="33">
        <v>1</v>
      </c>
      <c r="E60" s="4"/>
      <c r="F60" t="s">
        <v>325</v>
      </c>
      <c r="G60" s="5" t="s">
        <v>540</v>
      </c>
      <c r="H60" s="4" t="s">
        <v>533</v>
      </c>
      <c r="I60" s="8" t="s">
        <v>534</v>
      </c>
      <c r="J60" s="276" t="s">
        <v>805</v>
      </c>
      <c r="K60" s="39" t="s">
        <v>805</v>
      </c>
      <c r="L60" s="39" t="s">
        <v>805</v>
      </c>
      <c r="M60" s="39" t="s">
        <v>805</v>
      </c>
      <c r="N60" s="39" t="s">
        <v>805</v>
      </c>
      <c r="O60" s="39" t="s">
        <v>805</v>
      </c>
      <c r="P60" s="39" t="s">
        <v>805</v>
      </c>
      <c r="Q60" s="39" t="s">
        <v>805</v>
      </c>
      <c r="R60" s="39" t="s">
        <v>805</v>
      </c>
      <c r="S60" s="39" t="s">
        <v>805</v>
      </c>
      <c r="T60" s="39" t="s">
        <v>805</v>
      </c>
      <c r="U60" s="39" t="s">
        <v>805</v>
      </c>
      <c r="V60" s="39" t="s">
        <v>805</v>
      </c>
      <c r="W60" s="39" t="s">
        <v>805</v>
      </c>
      <c r="X60" s="39" t="s">
        <v>805</v>
      </c>
      <c r="Y60" s="39" t="s">
        <v>805</v>
      </c>
      <c r="Z60" s="39" t="s">
        <v>805</v>
      </c>
      <c r="AA60" s="39" t="s">
        <v>805</v>
      </c>
      <c r="AB60" s="39" t="s">
        <v>805</v>
      </c>
      <c r="AC60" s="39" t="s">
        <v>805</v>
      </c>
      <c r="AD60" s="39" t="s">
        <v>805</v>
      </c>
      <c r="AE60" s="39" t="s">
        <v>805</v>
      </c>
      <c r="AF60" s="39" t="s">
        <v>805</v>
      </c>
      <c r="AG60" s="39" t="s">
        <v>805</v>
      </c>
      <c r="AH60" s="39" t="s">
        <v>805</v>
      </c>
      <c r="AI60" s="39" t="s">
        <v>805</v>
      </c>
      <c r="AJ60" s="39" t="s">
        <v>805</v>
      </c>
      <c r="AK60" s="39" t="s">
        <v>805</v>
      </c>
      <c r="AL60" s="39" t="s">
        <v>805</v>
      </c>
      <c r="AM60" s="39" t="s">
        <v>805</v>
      </c>
      <c r="AN60" s="39" t="s">
        <v>805</v>
      </c>
      <c r="AO60" s="39" t="s">
        <v>805</v>
      </c>
      <c r="AP60" s="39" t="s">
        <v>805</v>
      </c>
      <c r="AQ60" s="39" t="s">
        <v>805</v>
      </c>
      <c r="AR60" s="39" t="s">
        <v>805</v>
      </c>
      <c r="AS60" s="39" t="s">
        <v>805</v>
      </c>
      <c r="AT60" s="39" t="s">
        <v>805</v>
      </c>
      <c r="AU60" s="39" t="s">
        <v>805</v>
      </c>
      <c r="AV60" s="39" t="s">
        <v>805</v>
      </c>
      <c r="AW60" s="39" t="s">
        <v>805</v>
      </c>
      <c r="AX60" s="39" t="s">
        <v>805</v>
      </c>
      <c r="AY60" s="39" t="s">
        <v>805</v>
      </c>
      <c r="AZ60" s="39" t="s">
        <v>805</v>
      </c>
      <c r="BA60" s="39" t="s">
        <v>805</v>
      </c>
      <c r="BB60" s="39" t="s">
        <v>805</v>
      </c>
      <c r="BC60" s="39" t="s">
        <v>805</v>
      </c>
      <c r="BD60" s="39" t="s">
        <v>805</v>
      </c>
      <c r="BE60" s="39" t="s">
        <v>805</v>
      </c>
      <c r="BF60" s="39" t="s">
        <v>805</v>
      </c>
      <c r="BG60" s="39" t="s">
        <v>805</v>
      </c>
      <c r="BH60" s="39" t="s">
        <v>805</v>
      </c>
      <c r="BI60" s="39" t="s">
        <v>805</v>
      </c>
      <c r="BJ60" s="39" t="s">
        <v>805</v>
      </c>
      <c r="BK60" s="39" t="s">
        <v>805</v>
      </c>
      <c r="BL60" s="39" t="s">
        <v>805</v>
      </c>
      <c r="BM60" s="39" t="s">
        <v>805</v>
      </c>
      <c r="BN60" s="39" t="s">
        <v>805</v>
      </c>
      <c r="BO60" s="39" t="s">
        <v>805</v>
      </c>
      <c r="BP60" s="39" t="s">
        <v>805</v>
      </c>
      <c r="BQ60" s="39" t="s">
        <v>805</v>
      </c>
      <c r="BR60" s="39" t="s">
        <v>805</v>
      </c>
      <c r="BS60" s="39" t="s">
        <v>805</v>
      </c>
      <c r="BT60" s="39" t="s">
        <v>805</v>
      </c>
      <c r="BU60" s="39" t="s">
        <v>805</v>
      </c>
      <c r="BV60" s="39" t="s">
        <v>805</v>
      </c>
      <c r="BW60" s="39" t="s">
        <v>805</v>
      </c>
      <c r="BX60" s="39" t="s">
        <v>805</v>
      </c>
      <c r="BY60" s="39" t="s">
        <v>805</v>
      </c>
      <c r="BZ60" s="39" t="s">
        <v>805</v>
      </c>
      <c r="CA60" s="39" t="s">
        <v>805</v>
      </c>
      <c r="CB60" s="39" t="s">
        <v>805</v>
      </c>
      <c r="CC60" s="39" t="s">
        <v>805</v>
      </c>
      <c r="CD60" s="39" t="s">
        <v>805</v>
      </c>
      <c r="CE60" s="39" t="s">
        <v>805</v>
      </c>
      <c r="CF60" s="39" t="s">
        <v>805</v>
      </c>
      <c r="CG60" s="39" t="s">
        <v>805</v>
      </c>
      <c r="CH60" s="39" t="s">
        <v>805</v>
      </c>
      <c r="CI60" s="39" t="s">
        <v>805</v>
      </c>
      <c r="CJ60" s="39" t="s">
        <v>805</v>
      </c>
      <c r="CK60" s="39" t="s">
        <v>805</v>
      </c>
      <c r="CL60" s="39" t="s">
        <v>805</v>
      </c>
      <c r="CM60" s="39" t="s">
        <v>805</v>
      </c>
      <c r="CN60" s="39" t="s">
        <v>805</v>
      </c>
      <c r="CO60" s="39" t="s">
        <v>805</v>
      </c>
      <c r="CP60" s="39" t="s">
        <v>805</v>
      </c>
      <c r="CQ60" s="39" t="s">
        <v>805</v>
      </c>
      <c r="CR60" s="39" t="s">
        <v>805</v>
      </c>
      <c r="CS60" s="39" t="s">
        <v>805</v>
      </c>
      <c r="CT60" s="39" t="s">
        <v>805</v>
      </c>
      <c r="CU60" s="39" t="s">
        <v>805</v>
      </c>
      <c r="CV60" s="39" t="s">
        <v>805</v>
      </c>
      <c r="CW60" s="39" t="s">
        <v>805</v>
      </c>
      <c r="CX60" s="39" t="s">
        <v>805</v>
      </c>
      <c r="CY60" s="39" t="s">
        <v>805</v>
      </c>
      <c r="CZ60" s="39" t="s">
        <v>805</v>
      </c>
      <c r="DA60" s="39" t="s">
        <v>805</v>
      </c>
      <c r="DB60" s="39" t="s">
        <v>805</v>
      </c>
      <c r="DC60" s="39" t="s">
        <v>805</v>
      </c>
      <c r="DD60" s="39" t="s">
        <v>805</v>
      </c>
      <c r="DE60" s="39" t="s">
        <v>805</v>
      </c>
      <c r="DF60" s="39" t="s">
        <v>805</v>
      </c>
      <c r="DG60" s="28">
        <f>'KPI Count-SHARE'!J54</f>
        <v>0</v>
      </c>
      <c r="DH60" s="105"/>
      <c r="DI60" s="105"/>
      <c r="DJ60" s="105"/>
      <c r="DK60" s="28">
        <f>'KPI Count-SHARE'!K54</f>
        <v>0</v>
      </c>
      <c r="DL60" s="39"/>
      <c r="DM60" s="39"/>
      <c r="DN60" s="39"/>
      <c r="DO60" s="28">
        <f>'KPI Count-SHARE'!L54</f>
        <v>0</v>
      </c>
      <c r="DP60" s="61"/>
      <c r="DQ60" s="61"/>
      <c r="DR60" s="61"/>
      <c r="DS60" s="28">
        <f>'KPI Count-SHARE'!M54</f>
        <v>0</v>
      </c>
      <c r="DT60" s="39"/>
      <c r="DU60" s="39"/>
      <c r="DV60" s="39"/>
      <c r="DW60" s="30" t="s">
        <v>533</v>
      </c>
      <c r="DX60" s="39" t="str">
        <f t="shared" si="310"/>
        <v/>
      </c>
      <c r="DY60" s="39" t="str">
        <f t="shared" si="311"/>
        <v/>
      </c>
      <c r="DZ60" s="39" t="str">
        <f t="shared" si="312"/>
        <v/>
      </c>
      <c r="EA60" s="39" t="str">
        <f t="shared" si="179"/>
        <v/>
      </c>
      <c r="EB60" s="39" t="str">
        <f t="shared" si="180"/>
        <v/>
      </c>
      <c r="EC60" s="39" t="str">
        <f t="shared" si="181"/>
        <v/>
      </c>
      <c r="ED60" s="39" t="str">
        <f t="shared" si="313"/>
        <v/>
      </c>
      <c r="EE60" s="39" t="str">
        <f t="shared" si="314"/>
        <v/>
      </c>
      <c r="EF60" s="39" t="str">
        <f t="shared" si="315"/>
        <v/>
      </c>
      <c r="EG60" s="39" t="str">
        <f t="shared" si="316"/>
        <v/>
      </c>
      <c r="EH60" s="39" t="str">
        <f t="shared" si="317"/>
        <v/>
      </c>
      <c r="EI60" s="39" t="str">
        <f t="shared" si="318"/>
        <v/>
      </c>
      <c r="EJ60" s="39" t="str">
        <f t="shared" si="318"/>
        <v/>
      </c>
      <c r="EK60" s="39" t="str">
        <f t="shared" si="318"/>
        <v/>
      </c>
      <c r="EL60" s="39" t="str">
        <f t="shared" si="318"/>
        <v/>
      </c>
      <c r="EM60" s="39" t="str">
        <f t="shared" si="318"/>
        <v/>
      </c>
      <c r="EN60" s="39" t="str">
        <f t="shared" si="318"/>
        <v/>
      </c>
      <c r="EO60" s="39" t="str">
        <f t="shared" si="318"/>
        <v/>
      </c>
      <c r="EP60" s="39" t="str">
        <f t="shared" si="318"/>
        <v/>
      </c>
      <c r="EQ60" s="39" t="str">
        <f t="shared" si="318"/>
        <v/>
      </c>
      <c r="ER60" s="39" t="str">
        <f t="shared" si="318"/>
        <v/>
      </c>
      <c r="ES60" s="39" t="str">
        <f t="shared" si="318"/>
        <v/>
      </c>
      <c r="ET60" s="39" t="str">
        <f t="shared" si="318"/>
        <v/>
      </c>
      <c r="EU60" s="39" t="str">
        <f t="shared" si="319"/>
        <v/>
      </c>
      <c r="EV60" s="39" t="str">
        <f t="shared" si="320"/>
        <v/>
      </c>
      <c r="EW60" s="39" t="str">
        <f t="shared" si="321"/>
        <v/>
      </c>
      <c r="EX60" s="39" t="str">
        <f t="shared" si="322"/>
        <v/>
      </c>
      <c r="EY60" s="39" t="str">
        <f t="shared" si="323"/>
        <v/>
      </c>
      <c r="EZ60" s="39" t="str">
        <f t="shared" si="324"/>
        <v/>
      </c>
      <c r="FA60" s="39" t="str">
        <f t="shared" si="325"/>
        <v/>
      </c>
      <c r="FB60" s="39" t="str">
        <f t="shared" si="326"/>
        <v/>
      </c>
      <c r="FC60" s="39" t="str">
        <f t="shared" si="327"/>
        <v/>
      </c>
      <c r="FD60" s="39" t="str">
        <f t="shared" si="328"/>
        <v/>
      </c>
      <c r="FE60" s="39" t="str">
        <f t="shared" si="329"/>
        <v/>
      </c>
      <c r="FF60" s="39" t="str">
        <f t="shared" si="330"/>
        <v/>
      </c>
      <c r="FG60" s="39" t="str">
        <f t="shared" si="331"/>
        <v/>
      </c>
      <c r="FH60" s="39" t="str">
        <f t="shared" si="332"/>
        <v/>
      </c>
      <c r="FI60" s="39" t="str">
        <f t="shared" si="333"/>
        <v/>
      </c>
      <c r="FJ60" s="39" t="str">
        <f t="shared" si="334"/>
        <v/>
      </c>
      <c r="FK60" s="39" t="str">
        <f t="shared" si="335"/>
        <v/>
      </c>
      <c r="FL60" s="39" t="str">
        <f t="shared" si="336"/>
        <v/>
      </c>
      <c r="FM60" s="39" t="str">
        <f t="shared" si="337"/>
        <v/>
      </c>
      <c r="FN60" s="39" t="str">
        <f t="shared" si="338"/>
        <v/>
      </c>
      <c r="FO60" s="39" t="str">
        <f t="shared" si="339"/>
        <v/>
      </c>
      <c r="FP60" s="39" t="str">
        <f t="shared" si="340"/>
        <v/>
      </c>
      <c r="FQ60" s="39" t="str">
        <f t="shared" si="341"/>
        <v/>
      </c>
      <c r="FR60" s="39" t="str">
        <f t="shared" si="342"/>
        <v/>
      </c>
      <c r="FS60" s="39" t="str">
        <f t="shared" si="343"/>
        <v/>
      </c>
      <c r="FT60" s="39" t="str">
        <f t="shared" si="344"/>
        <v/>
      </c>
      <c r="FU60" s="39" t="str">
        <f t="shared" si="345"/>
        <v/>
      </c>
      <c r="FV60" s="39" t="str">
        <f t="shared" si="346"/>
        <v/>
      </c>
      <c r="FW60" s="39" t="str">
        <f t="shared" si="347"/>
        <v/>
      </c>
      <c r="FX60" s="39" t="str">
        <f t="shared" si="348"/>
        <v/>
      </c>
      <c r="FY60" s="39" t="str">
        <f t="shared" si="349"/>
        <v/>
      </c>
      <c r="FZ60" s="39" t="str">
        <f t="shared" si="350"/>
        <v/>
      </c>
      <c r="GA60" s="39" t="str">
        <f t="shared" si="351"/>
        <v/>
      </c>
      <c r="GB60" s="39" t="str">
        <f t="shared" si="352"/>
        <v/>
      </c>
      <c r="GC60" s="39" t="str">
        <f t="shared" si="353"/>
        <v/>
      </c>
      <c r="GD60" s="39" t="str">
        <f t="shared" si="354"/>
        <v/>
      </c>
      <c r="GE60" s="39" t="str">
        <f t="shared" si="355"/>
        <v/>
      </c>
      <c r="GF60" s="39" t="str">
        <f t="shared" si="356"/>
        <v/>
      </c>
      <c r="GG60" s="39" t="str">
        <f t="shared" si="357"/>
        <v/>
      </c>
      <c r="GH60" s="39" t="str">
        <f t="shared" si="358"/>
        <v/>
      </c>
      <c r="GI60" s="39" t="str">
        <f t="shared" si="359"/>
        <v/>
      </c>
      <c r="GJ60" s="39" t="str">
        <f t="shared" si="360"/>
        <v/>
      </c>
      <c r="GK60" s="39" t="str">
        <f t="shared" si="361"/>
        <v/>
      </c>
      <c r="GL60" s="39" t="str">
        <f t="shared" si="362"/>
        <v/>
      </c>
      <c r="GM60" s="39" t="str">
        <f t="shared" si="363"/>
        <v/>
      </c>
      <c r="GN60" s="39" t="str">
        <f t="shared" si="364"/>
        <v/>
      </c>
      <c r="GO60" s="39" t="str">
        <f t="shared" si="365"/>
        <v/>
      </c>
      <c r="GP60" s="39" t="str">
        <f t="shared" si="366"/>
        <v/>
      </c>
      <c r="GQ60" s="39" t="str">
        <f t="shared" si="367"/>
        <v/>
      </c>
      <c r="GR60" s="39" t="str">
        <f t="shared" si="368"/>
        <v/>
      </c>
      <c r="GS60" s="39" t="str">
        <f t="shared" si="369"/>
        <v/>
      </c>
      <c r="GT60" s="39" t="str">
        <f t="shared" si="370"/>
        <v/>
      </c>
      <c r="GU60" s="39" t="str">
        <f t="shared" si="371"/>
        <v/>
      </c>
      <c r="GV60" s="39" t="str">
        <f t="shared" si="372"/>
        <v/>
      </c>
      <c r="GW60" s="39" t="str">
        <f t="shared" si="373"/>
        <v/>
      </c>
      <c r="GX60" s="39" t="str">
        <f t="shared" si="374"/>
        <v/>
      </c>
      <c r="GY60" s="39" t="str">
        <f t="shared" si="375"/>
        <v/>
      </c>
      <c r="GZ60" s="39" t="str">
        <f t="shared" si="376"/>
        <v/>
      </c>
      <c r="HA60" s="39" t="str">
        <f t="shared" si="377"/>
        <v/>
      </c>
      <c r="HB60" s="39" t="str">
        <f t="shared" si="378"/>
        <v/>
      </c>
      <c r="HC60" s="39" t="str">
        <f t="shared" si="379"/>
        <v/>
      </c>
      <c r="HD60" s="39" t="str">
        <f t="shared" si="380"/>
        <v/>
      </c>
      <c r="HE60" s="39" t="str">
        <f t="shared" si="381"/>
        <v/>
      </c>
      <c r="HF60" s="39" t="str">
        <f t="shared" si="382"/>
        <v/>
      </c>
      <c r="HG60" s="39" t="str">
        <f t="shared" si="383"/>
        <v/>
      </c>
      <c r="HH60" s="39" t="str">
        <f t="shared" si="384"/>
        <v/>
      </c>
      <c r="HI60" s="39" t="str">
        <f t="shared" si="385"/>
        <v/>
      </c>
      <c r="HJ60" s="39" t="str">
        <f t="shared" si="386"/>
        <v/>
      </c>
      <c r="HK60" s="39" t="str">
        <f t="shared" si="387"/>
        <v/>
      </c>
      <c r="HL60" s="39" t="str">
        <f t="shared" si="388"/>
        <v/>
      </c>
      <c r="HM60" s="39" t="str">
        <f t="shared" si="389"/>
        <v/>
      </c>
      <c r="HN60" s="39" t="str">
        <f t="shared" si="390"/>
        <v/>
      </c>
      <c r="HO60" s="39" t="str">
        <f t="shared" si="391"/>
        <v/>
      </c>
      <c r="HP60" s="39" t="str">
        <f t="shared" si="392"/>
        <v/>
      </c>
      <c r="HQ60" s="39" t="str">
        <f t="shared" si="393"/>
        <v/>
      </c>
      <c r="HR60" s="39" t="str">
        <f t="shared" si="394"/>
        <v/>
      </c>
      <c r="HS60" s="39" t="str">
        <f t="shared" si="395"/>
        <v/>
      </c>
      <c r="HT60" s="39" t="str">
        <f t="shared" si="395"/>
        <v/>
      </c>
      <c r="HU60" s="83" t="str">
        <f t="shared" si="182"/>
        <v>-</v>
      </c>
      <c r="HV60" s="84" t="str">
        <f t="shared" si="396"/>
        <v/>
      </c>
      <c r="HW60" s="85" t="str">
        <f t="shared" si="397"/>
        <v/>
      </c>
      <c r="HX60" s="84" t="str">
        <f t="shared" si="183"/>
        <v/>
      </c>
      <c r="HY60" s="84" t="str">
        <f t="shared" si="398"/>
        <v/>
      </c>
      <c r="HZ60" s="84" t="str">
        <f t="shared" si="399"/>
        <v/>
      </c>
      <c r="IA60" s="83" t="str">
        <f t="shared" si="400"/>
        <v/>
      </c>
      <c r="IB60" s="84" t="str">
        <f t="shared" si="401"/>
        <v/>
      </c>
      <c r="IC60" s="85" t="str">
        <f t="shared" si="402"/>
        <v/>
      </c>
      <c r="ID60" s="83" t="str">
        <f t="shared" si="403"/>
        <v/>
      </c>
      <c r="IE60" s="84" t="str">
        <f t="shared" si="404"/>
        <v/>
      </c>
      <c r="IF60" s="85" t="str">
        <f t="shared" si="405"/>
        <v/>
      </c>
      <c r="IH60" s="66">
        <v>60</v>
      </c>
      <c r="II60" s="66" t="e">
        <f t="shared" ca="1" si="192"/>
        <v>#N/A</v>
      </c>
      <c r="IJ60" s="66" t="e">
        <f t="shared" ca="1" si="193"/>
        <v>#N/A</v>
      </c>
      <c r="IK60" s="66" t="e">
        <f t="shared" ca="1" si="194"/>
        <v>#N/A</v>
      </c>
      <c r="IL60" s="66" t="e">
        <f t="shared" ca="1" si="195"/>
        <v>#N/A</v>
      </c>
      <c r="IM60" s="33"/>
      <c r="IN60" s="74" t="e">
        <f t="shared" ca="1" si="184"/>
        <v>#N/A</v>
      </c>
      <c r="IO60" s="75" t="e">
        <f t="shared" ca="1" si="185"/>
        <v>#N/A</v>
      </c>
      <c r="IP60" s="75" t="e">
        <f t="shared" ca="1" si="186"/>
        <v>#N/A</v>
      </c>
      <c r="IQ60" s="74" t="e">
        <f t="shared" ca="1" si="187"/>
        <v>#N/A</v>
      </c>
      <c r="IR60" s="74" t="e">
        <f t="shared" ca="1" si="188"/>
        <v>#N/A</v>
      </c>
    </row>
    <row r="61" spans="1:252" s="1" customFormat="1" x14ac:dyDescent="0.35">
      <c r="A61" s="33">
        <v>0</v>
      </c>
      <c r="B61" s="33">
        <v>0</v>
      </c>
      <c r="C61" s="33">
        <v>1</v>
      </c>
      <c r="E61" s="4"/>
      <c r="F61" t="s">
        <v>326</v>
      </c>
      <c r="G61" s="5" t="s">
        <v>540</v>
      </c>
      <c r="H61" s="4" t="s">
        <v>533</v>
      </c>
      <c r="I61" s="8" t="s">
        <v>534</v>
      </c>
      <c r="J61" s="276" t="s">
        <v>805</v>
      </c>
      <c r="K61" s="39" t="s">
        <v>805</v>
      </c>
      <c r="L61" s="39" t="s">
        <v>805</v>
      </c>
      <c r="M61" s="39" t="s">
        <v>805</v>
      </c>
      <c r="N61" s="39" t="s">
        <v>805</v>
      </c>
      <c r="O61" s="39" t="s">
        <v>805</v>
      </c>
      <c r="P61" s="39" t="s">
        <v>805</v>
      </c>
      <c r="Q61" s="39" t="s">
        <v>805</v>
      </c>
      <c r="R61" s="39" t="s">
        <v>805</v>
      </c>
      <c r="S61" s="39" t="s">
        <v>805</v>
      </c>
      <c r="T61" s="39" t="s">
        <v>805</v>
      </c>
      <c r="U61" s="39" t="s">
        <v>805</v>
      </c>
      <c r="V61" s="39" t="s">
        <v>805</v>
      </c>
      <c r="W61" s="39" t="s">
        <v>805</v>
      </c>
      <c r="X61" s="39" t="s">
        <v>805</v>
      </c>
      <c r="Y61" s="39" t="s">
        <v>805</v>
      </c>
      <c r="Z61" s="39" t="s">
        <v>805</v>
      </c>
      <c r="AA61" s="39" t="s">
        <v>805</v>
      </c>
      <c r="AB61" s="39" t="s">
        <v>805</v>
      </c>
      <c r="AC61" s="39" t="s">
        <v>805</v>
      </c>
      <c r="AD61" s="39" t="s">
        <v>805</v>
      </c>
      <c r="AE61" s="39" t="s">
        <v>805</v>
      </c>
      <c r="AF61" s="39" t="s">
        <v>805</v>
      </c>
      <c r="AG61" s="39" t="s">
        <v>805</v>
      </c>
      <c r="AH61" s="39" t="s">
        <v>805</v>
      </c>
      <c r="AI61" s="39" t="s">
        <v>805</v>
      </c>
      <c r="AJ61" s="39" t="s">
        <v>805</v>
      </c>
      <c r="AK61" s="39" t="s">
        <v>805</v>
      </c>
      <c r="AL61" s="39" t="s">
        <v>805</v>
      </c>
      <c r="AM61" s="39" t="s">
        <v>805</v>
      </c>
      <c r="AN61" s="39" t="s">
        <v>805</v>
      </c>
      <c r="AO61" s="39" t="s">
        <v>805</v>
      </c>
      <c r="AP61" s="39" t="s">
        <v>805</v>
      </c>
      <c r="AQ61" s="39" t="s">
        <v>805</v>
      </c>
      <c r="AR61" s="39" t="s">
        <v>805</v>
      </c>
      <c r="AS61" s="39" t="s">
        <v>805</v>
      </c>
      <c r="AT61" s="39" t="s">
        <v>805</v>
      </c>
      <c r="AU61" s="39" t="s">
        <v>805</v>
      </c>
      <c r="AV61" s="39" t="s">
        <v>805</v>
      </c>
      <c r="AW61" s="39" t="s">
        <v>805</v>
      </c>
      <c r="AX61" s="39" t="s">
        <v>805</v>
      </c>
      <c r="AY61" s="39" t="s">
        <v>805</v>
      </c>
      <c r="AZ61" s="39" t="s">
        <v>805</v>
      </c>
      <c r="BA61" s="39" t="s">
        <v>805</v>
      </c>
      <c r="BB61" s="39" t="s">
        <v>805</v>
      </c>
      <c r="BC61" s="39" t="s">
        <v>805</v>
      </c>
      <c r="BD61" s="39" t="s">
        <v>805</v>
      </c>
      <c r="BE61" s="39" t="s">
        <v>805</v>
      </c>
      <c r="BF61" s="39" t="s">
        <v>805</v>
      </c>
      <c r="BG61" s="39" t="s">
        <v>805</v>
      </c>
      <c r="BH61" s="39" t="s">
        <v>805</v>
      </c>
      <c r="BI61" s="39" t="s">
        <v>805</v>
      </c>
      <c r="BJ61" s="39" t="s">
        <v>805</v>
      </c>
      <c r="BK61" s="39" t="s">
        <v>805</v>
      </c>
      <c r="BL61" s="39" t="s">
        <v>805</v>
      </c>
      <c r="BM61" s="39" t="s">
        <v>805</v>
      </c>
      <c r="BN61" s="39" t="s">
        <v>805</v>
      </c>
      <c r="BO61" s="39" t="s">
        <v>805</v>
      </c>
      <c r="BP61" s="39" t="s">
        <v>805</v>
      </c>
      <c r="BQ61" s="39" t="s">
        <v>805</v>
      </c>
      <c r="BR61" s="39" t="s">
        <v>805</v>
      </c>
      <c r="BS61" s="39" t="s">
        <v>805</v>
      </c>
      <c r="BT61" s="39" t="s">
        <v>805</v>
      </c>
      <c r="BU61" s="39" t="s">
        <v>805</v>
      </c>
      <c r="BV61" s="39" t="s">
        <v>805</v>
      </c>
      <c r="BW61" s="39" t="s">
        <v>805</v>
      </c>
      <c r="BX61" s="39" t="s">
        <v>805</v>
      </c>
      <c r="BY61" s="39" t="s">
        <v>805</v>
      </c>
      <c r="BZ61" s="39" t="s">
        <v>805</v>
      </c>
      <c r="CA61" s="39" t="s">
        <v>805</v>
      </c>
      <c r="CB61" s="39" t="s">
        <v>805</v>
      </c>
      <c r="CC61" s="39" t="s">
        <v>805</v>
      </c>
      <c r="CD61" s="39" t="s">
        <v>805</v>
      </c>
      <c r="CE61" s="39" t="s">
        <v>805</v>
      </c>
      <c r="CF61" s="39" t="s">
        <v>805</v>
      </c>
      <c r="CG61" s="39" t="s">
        <v>805</v>
      </c>
      <c r="CH61" s="39" t="s">
        <v>805</v>
      </c>
      <c r="CI61" s="39" t="s">
        <v>805</v>
      </c>
      <c r="CJ61" s="39" t="s">
        <v>805</v>
      </c>
      <c r="CK61" s="39" t="s">
        <v>805</v>
      </c>
      <c r="CL61" s="39" t="s">
        <v>805</v>
      </c>
      <c r="CM61" s="39" t="s">
        <v>805</v>
      </c>
      <c r="CN61" s="39" t="s">
        <v>805</v>
      </c>
      <c r="CO61" s="39" t="s">
        <v>805</v>
      </c>
      <c r="CP61" s="39" t="s">
        <v>805</v>
      </c>
      <c r="CQ61" s="39" t="s">
        <v>805</v>
      </c>
      <c r="CR61" s="39" t="s">
        <v>805</v>
      </c>
      <c r="CS61" s="39" t="s">
        <v>805</v>
      </c>
      <c r="CT61" s="39" t="s">
        <v>805</v>
      </c>
      <c r="CU61" s="39" t="s">
        <v>805</v>
      </c>
      <c r="CV61" s="39" t="s">
        <v>805</v>
      </c>
      <c r="CW61" s="39" t="s">
        <v>805</v>
      </c>
      <c r="CX61" s="39" t="s">
        <v>805</v>
      </c>
      <c r="CY61" s="39" t="s">
        <v>805</v>
      </c>
      <c r="CZ61" s="39" t="s">
        <v>805</v>
      </c>
      <c r="DA61" s="39" t="s">
        <v>805</v>
      </c>
      <c r="DB61" s="39" t="s">
        <v>805</v>
      </c>
      <c r="DC61" s="39" t="s">
        <v>805</v>
      </c>
      <c r="DD61" s="39" t="s">
        <v>805</v>
      </c>
      <c r="DE61" s="39" t="s">
        <v>805</v>
      </c>
      <c r="DF61" s="39" t="s">
        <v>805</v>
      </c>
      <c r="DG61" s="28">
        <f>'KPI Count-SHARE'!J55</f>
        <v>0</v>
      </c>
      <c r="DH61" s="105"/>
      <c r="DI61" s="105"/>
      <c r="DJ61" s="105"/>
      <c r="DK61" s="28">
        <f>'KPI Count-SHARE'!K55</f>
        <v>0</v>
      </c>
      <c r="DL61" s="39"/>
      <c r="DM61" s="39"/>
      <c r="DN61" s="39"/>
      <c r="DO61" s="28">
        <f>'KPI Count-SHARE'!L55</f>
        <v>0</v>
      </c>
      <c r="DP61" s="61"/>
      <c r="DQ61" s="61"/>
      <c r="DR61" s="61"/>
      <c r="DS61" s="28">
        <f>'KPI Count-SHARE'!M55</f>
        <v>0</v>
      </c>
      <c r="DT61" s="39"/>
      <c r="DU61" s="39"/>
      <c r="DV61" s="39"/>
      <c r="DW61" s="30" t="s">
        <v>533</v>
      </c>
      <c r="DX61" s="39" t="str">
        <f t="shared" si="310"/>
        <v/>
      </c>
      <c r="DY61" s="39" t="str">
        <f t="shared" si="311"/>
        <v/>
      </c>
      <c r="DZ61" s="39" t="str">
        <f t="shared" si="312"/>
        <v/>
      </c>
      <c r="EA61" s="39" t="str">
        <f t="shared" si="179"/>
        <v/>
      </c>
      <c r="EB61" s="39" t="str">
        <f t="shared" si="180"/>
        <v/>
      </c>
      <c r="EC61" s="39" t="str">
        <f t="shared" si="181"/>
        <v/>
      </c>
      <c r="ED61" s="39" t="str">
        <f t="shared" si="313"/>
        <v/>
      </c>
      <c r="EE61" s="39" t="str">
        <f t="shared" si="314"/>
        <v/>
      </c>
      <c r="EF61" s="39" t="str">
        <f t="shared" si="315"/>
        <v/>
      </c>
      <c r="EG61" s="39" t="str">
        <f t="shared" si="316"/>
        <v/>
      </c>
      <c r="EH61" s="39" t="str">
        <f t="shared" si="317"/>
        <v/>
      </c>
      <c r="EI61" s="39" t="str">
        <f t="shared" si="318"/>
        <v/>
      </c>
      <c r="EJ61" s="39" t="str">
        <f t="shared" si="318"/>
        <v/>
      </c>
      <c r="EK61" s="39" t="str">
        <f t="shared" si="318"/>
        <v/>
      </c>
      <c r="EL61" s="39" t="str">
        <f t="shared" si="318"/>
        <v/>
      </c>
      <c r="EM61" s="39" t="str">
        <f t="shared" si="318"/>
        <v/>
      </c>
      <c r="EN61" s="39" t="str">
        <f t="shared" si="318"/>
        <v/>
      </c>
      <c r="EO61" s="39" t="str">
        <f t="shared" si="318"/>
        <v/>
      </c>
      <c r="EP61" s="39" t="str">
        <f t="shared" si="318"/>
        <v/>
      </c>
      <c r="EQ61" s="39" t="str">
        <f t="shared" si="318"/>
        <v/>
      </c>
      <c r="ER61" s="39" t="str">
        <f t="shared" si="318"/>
        <v/>
      </c>
      <c r="ES61" s="39" t="str">
        <f t="shared" si="318"/>
        <v/>
      </c>
      <c r="ET61" s="39" t="str">
        <f t="shared" si="318"/>
        <v/>
      </c>
      <c r="EU61" s="39" t="str">
        <f t="shared" si="319"/>
        <v/>
      </c>
      <c r="EV61" s="39" t="str">
        <f t="shared" si="320"/>
        <v/>
      </c>
      <c r="EW61" s="39" t="str">
        <f t="shared" si="321"/>
        <v/>
      </c>
      <c r="EX61" s="39" t="str">
        <f t="shared" si="322"/>
        <v/>
      </c>
      <c r="EY61" s="39" t="str">
        <f t="shared" si="323"/>
        <v/>
      </c>
      <c r="EZ61" s="39" t="str">
        <f t="shared" si="324"/>
        <v/>
      </c>
      <c r="FA61" s="39" t="str">
        <f t="shared" si="325"/>
        <v/>
      </c>
      <c r="FB61" s="39" t="str">
        <f t="shared" si="326"/>
        <v/>
      </c>
      <c r="FC61" s="39" t="str">
        <f t="shared" si="327"/>
        <v/>
      </c>
      <c r="FD61" s="39" t="str">
        <f t="shared" si="328"/>
        <v/>
      </c>
      <c r="FE61" s="39" t="str">
        <f t="shared" si="329"/>
        <v/>
      </c>
      <c r="FF61" s="39" t="str">
        <f t="shared" si="330"/>
        <v/>
      </c>
      <c r="FG61" s="39" t="str">
        <f t="shared" si="331"/>
        <v/>
      </c>
      <c r="FH61" s="39" t="str">
        <f t="shared" si="332"/>
        <v/>
      </c>
      <c r="FI61" s="39" t="str">
        <f t="shared" si="333"/>
        <v/>
      </c>
      <c r="FJ61" s="39" t="str">
        <f t="shared" si="334"/>
        <v/>
      </c>
      <c r="FK61" s="39" t="str">
        <f t="shared" si="335"/>
        <v/>
      </c>
      <c r="FL61" s="39" t="str">
        <f t="shared" si="336"/>
        <v/>
      </c>
      <c r="FM61" s="39" t="str">
        <f t="shared" si="337"/>
        <v/>
      </c>
      <c r="FN61" s="39" t="str">
        <f t="shared" si="338"/>
        <v/>
      </c>
      <c r="FO61" s="39" t="str">
        <f t="shared" si="339"/>
        <v/>
      </c>
      <c r="FP61" s="39" t="str">
        <f t="shared" si="340"/>
        <v/>
      </c>
      <c r="FQ61" s="39" t="str">
        <f t="shared" si="341"/>
        <v/>
      </c>
      <c r="FR61" s="39" t="str">
        <f t="shared" si="342"/>
        <v/>
      </c>
      <c r="FS61" s="39" t="str">
        <f t="shared" si="343"/>
        <v/>
      </c>
      <c r="FT61" s="39" t="str">
        <f t="shared" si="344"/>
        <v/>
      </c>
      <c r="FU61" s="39" t="str">
        <f t="shared" si="345"/>
        <v/>
      </c>
      <c r="FV61" s="39" t="str">
        <f t="shared" si="346"/>
        <v/>
      </c>
      <c r="FW61" s="39" t="str">
        <f t="shared" si="347"/>
        <v/>
      </c>
      <c r="FX61" s="39" t="str">
        <f t="shared" si="348"/>
        <v/>
      </c>
      <c r="FY61" s="39" t="str">
        <f t="shared" si="349"/>
        <v/>
      </c>
      <c r="FZ61" s="39" t="str">
        <f t="shared" si="350"/>
        <v/>
      </c>
      <c r="GA61" s="39" t="str">
        <f t="shared" si="351"/>
        <v/>
      </c>
      <c r="GB61" s="39" t="str">
        <f t="shared" si="352"/>
        <v/>
      </c>
      <c r="GC61" s="39" t="str">
        <f t="shared" si="353"/>
        <v/>
      </c>
      <c r="GD61" s="39" t="str">
        <f t="shared" si="354"/>
        <v/>
      </c>
      <c r="GE61" s="39" t="str">
        <f t="shared" si="355"/>
        <v/>
      </c>
      <c r="GF61" s="39" t="str">
        <f t="shared" si="356"/>
        <v/>
      </c>
      <c r="GG61" s="39" t="str">
        <f t="shared" si="357"/>
        <v/>
      </c>
      <c r="GH61" s="39" t="str">
        <f t="shared" si="358"/>
        <v/>
      </c>
      <c r="GI61" s="39" t="str">
        <f t="shared" si="359"/>
        <v/>
      </c>
      <c r="GJ61" s="39" t="str">
        <f t="shared" si="360"/>
        <v/>
      </c>
      <c r="GK61" s="39" t="str">
        <f t="shared" si="361"/>
        <v/>
      </c>
      <c r="GL61" s="39" t="str">
        <f t="shared" si="362"/>
        <v/>
      </c>
      <c r="GM61" s="39" t="str">
        <f t="shared" si="363"/>
        <v/>
      </c>
      <c r="GN61" s="39" t="str">
        <f t="shared" si="364"/>
        <v/>
      </c>
      <c r="GO61" s="39" t="str">
        <f t="shared" si="365"/>
        <v/>
      </c>
      <c r="GP61" s="39" t="str">
        <f t="shared" si="366"/>
        <v/>
      </c>
      <c r="GQ61" s="39" t="str">
        <f t="shared" si="367"/>
        <v/>
      </c>
      <c r="GR61" s="39" t="str">
        <f t="shared" si="368"/>
        <v/>
      </c>
      <c r="GS61" s="39" t="str">
        <f t="shared" si="369"/>
        <v/>
      </c>
      <c r="GT61" s="39" t="str">
        <f t="shared" si="370"/>
        <v/>
      </c>
      <c r="GU61" s="39" t="str">
        <f t="shared" si="371"/>
        <v/>
      </c>
      <c r="GV61" s="39" t="str">
        <f t="shared" si="372"/>
        <v/>
      </c>
      <c r="GW61" s="39" t="str">
        <f t="shared" si="373"/>
        <v/>
      </c>
      <c r="GX61" s="39" t="str">
        <f t="shared" si="374"/>
        <v/>
      </c>
      <c r="GY61" s="39" t="str">
        <f t="shared" si="375"/>
        <v/>
      </c>
      <c r="GZ61" s="39" t="str">
        <f t="shared" si="376"/>
        <v/>
      </c>
      <c r="HA61" s="39" t="str">
        <f t="shared" si="377"/>
        <v/>
      </c>
      <c r="HB61" s="39" t="str">
        <f t="shared" si="378"/>
        <v/>
      </c>
      <c r="HC61" s="39" t="str">
        <f t="shared" si="379"/>
        <v/>
      </c>
      <c r="HD61" s="39" t="str">
        <f t="shared" si="380"/>
        <v/>
      </c>
      <c r="HE61" s="39" t="str">
        <f t="shared" si="381"/>
        <v/>
      </c>
      <c r="HF61" s="39" t="str">
        <f t="shared" si="382"/>
        <v/>
      </c>
      <c r="HG61" s="39" t="str">
        <f t="shared" si="383"/>
        <v/>
      </c>
      <c r="HH61" s="39" t="str">
        <f t="shared" si="384"/>
        <v/>
      </c>
      <c r="HI61" s="39" t="str">
        <f t="shared" si="385"/>
        <v/>
      </c>
      <c r="HJ61" s="39" t="str">
        <f t="shared" si="386"/>
        <v/>
      </c>
      <c r="HK61" s="39" t="str">
        <f t="shared" si="387"/>
        <v/>
      </c>
      <c r="HL61" s="39" t="str">
        <f t="shared" si="388"/>
        <v/>
      </c>
      <c r="HM61" s="39" t="str">
        <f t="shared" si="389"/>
        <v/>
      </c>
      <c r="HN61" s="39" t="str">
        <f t="shared" si="390"/>
        <v/>
      </c>
      <c r="HO61" s="39" t="str">
        <f t="shared" si="391"/>
        <v/>
      </c>
      <c r="HP61" s="39" t="str">
        <f t="shared" si="392"/>
        <v/>
      </c>
      <c r="HQ61" s="39" t="str">
        <f t="shared" si="393"/>
        <v/>
      </c>
      <c r="HR61" s="39" t="str">
        <f t="shared" si="394"/>
        <v/>
      </c>
      <c r="HS61" s="39" t="str">
        <f t="shared" si="395"/>
        <v/>
      </c>
      <c r="HT61" s="39" t="str">
        <f t="shared" si="395"/>
        <v/>
      </c>
      <c r="HU61" s="83" t="str">
        <f t="shared" si="182"/>
        <v>-</v>
      </c>
      <c r="HV61" s="84" t="str">
        <f t="shared" si="396"/>
        <v/>
      </c>
      <c r="HW61" s="85" t="str">
        <f t="shared" si="397"/>
        <v/>
      </c>
      <c r="HX61" s="84" t="str">
        <f t="shared" si="183"/>
        <v/>
      </c>
      <c r="HY61" s="84" t="str">
        <f t="shared" si="398"/>
        <v/>
      </c>
      <c r="HZ61" s="84" t="str">
        <f t="shared" si="399"/>
        <v/>
      </c>
      <c r="IA61" s="83" t="str">
        <f t="shared" si="400"/>
        <v/>
      </c>
      <c r="IB61" s="84" t="str">
        <f t="shared" si="401"/>
        <v/>
      </c>
      <c r="IC61" s="85" t="str">
        <f t="shared" si="402"/>
        <v/>
      </c>
      <c r="ID61" s="83" t="str">
        <f t="shared" si="403"/>
        <v/>
      </c>
      <c r="IE61" s="84" t="str">
        <f t="shared" si="404"/>
        <v/>
      </c>
      <c r="IF61" s="85" t="str">
        <f t="shared" si="405"/>
        <v/>
      </c>
      <c r="IH61" s="66">
        <v>61</v>
      </c>
      <c r="II61" s="66" t="e">
        <f t="shared" ca="1" si="192"/>
        <v>#N/A</v>
      </c>
      <c r="IJ61" s="66" t="e">
        <f t="shared" ca="1" si="193"/>
        <v>#N/A</v>
      </c>
      <c r="IK61" s="66" t="e">
        <f t="shared" ca="1" si="194"/>
        <v>#N/A</v>
      </c>
      <c r="IL61" s="66" t="e">
        <f t="shared" ca="1" si="195"/>
        <v>#N/A</v>
      </c>
      <c r="IM61" s="33"/>
      <c r="IN61" s="74" t="e">
        <f t="shared" ca="1" si="184"/>
        <v>#N/A</v>
      </c>
      <c r="IO61" s="75" t="e">
        <f t="shared" ca="1" si="185"/>
        <v>#N/A</v>
      </c>
      <c r="IP61" s="75" t="e">
        <f t="shared" ca="1" si="186"/>
        <v>#N/A</v>
      </c>
      <c r="IQ61" s="74" t="e">
        <f t="shared" ca="1" si="187"/>
        <v>#N/A</v>
      </c>
      <c r="IR61" s="74" t="e">
        <f t="shared" ca="1" si="188"/>
        <v>#N/A</v>
      </c>
    </row>
    <row r="62" spans="1:252" s="1" customFormat="1" x14ac:dyDescent="0.35">
      <c r="A62" s="33">
        <v>0</v>
      </c>
      <c r="B62" s="33">
        <v>0</v>
      </c>
      <c r="C62" s="33">
        <v>1</v>
      </c>
      <c r="E62" s="4"/>
      <c r="F62" t="s">
        <v>327</v>
      </c>
      <c r="G62" s="5" t="s">
        <v>540</v>
      </c>
      <c r="H62" s="4" t="s">
        <v>533</v>
      </c>
      <c r="I62" s="8" t="s">
        <v>534</v>
      </c>
      <c r="J62" s="276" t="s">
        <v>805</v>
      </c>
      <c r="K62" s="39" t="s">
        <v>805</v>
      </c>
      <c r="L62" s="39" t="s">
        <v>805</v>
      </c>
      <c r="M62" s="39" t="s">
        <v>805</v>
      </c>
      <c r="N62" s="39" t="s">
        <v>805</v>
      </c>
      <c r="O62" s="39" t="s">
        <v>805</v>
      </c>
      <c r="P62" s="39" t="s">
        <v>805</v>
      </c>
      <c r="Q62" s="39" t="s">
        <v>805</v>
      </c>
      <c r="R62" s="39" t="s">
        <v>805</v>
      </c>
      <c r="S62" s="39" t="s">
        <v>805</v>
      </c>
      <c r="T62" s="39" t="s">
        <v>805</v>
      </c>
      <c r="U62" s="39" t="s">
        <v>805</v>
      </c>
      <c r="V62" s="39" t="s">
        <v>805</v>
      </c>
      <c r="W62" s="39" t="s">
        <v>805</v>
      </c>
      <c r="X62" s="39" t="s">
        <v>805</v>
      </c>
      <c r="Y62" s="39" t="s">
        <v>805</v>
      </c>
      <c r="Z62" s="39" t="s">
        <v>805</v>
      </c>
      <c r="AA62" s="39" t="s">
        <v>805</v>
      </c>
      <c r="AB62" s="39" t="s">
        <v>805</v>
      </c>
      <c r="AC62" s="39" t="s">
        <v>805</v>
      </c>
      <c r="AD62" s="39" t="s">
        <v>805</v>
      </c>
      <c r="AE62" s="39" t="s">
        <v>805</v>
      </c>
      <c r="AF62" s="39" t="s">
        <v>805</v>
      </c>
      <c r="AG62" s="39" t="s">
        <v>805</v>
      </c>
      <c r="AH62" s="39" t="s">
        <v>805</v>
      </c>
      <c r="AI62" s="39" t="s">
        <v>805</v>
      </c>
      <c r="AJ62" s="39" t="s">
        <v>805</v>
      </c>
      <c r="AK62" s="39" t="s">
        <v>805</v>
      </c>
      <c r="AL62" s="39" t="s">
        <v>805</v>
      </c>
      <c r="AM62" s="39" t="s">
        <v>805</v>
      </c>
      <c r="AN62" s="39" t="s">
        <v>805</v>
      </c>
      <c r="AO62" s="39" t="s">
        <v>805</v>
      </c>
      <c r="AP62" s="39" t="s">
        <v>805</v>
      </c>
      <c r="AQ62" s="39" t="s">
        <v>805</v>
      </c>
      <c r="AR62" s="39" t="s">
        <v>805</v>
      </c>
      <c r="AS62" s="39" t="s">
        <v>805</v>
      </c>
      <c r="AT62" s="39" t="s">
        <v>805</v>
      </c>
      <c r="AU62" s="39" t="s">
        <v>805</v>
      </c>
      <c r="AV62" s="39" t="s">
        <v>805</v>
      </c>
      <c r="AW62" s="39" t="s">
        <v>805</v>
      </c>
      <c r="AX62" s="39" t="s">
        <v>805</v>
      </c>
      <c r="AY62" s="39" t="s">
        <v>805</v>
      </c>
      <c r="AZ62" s="39" t="s">
        <v>805</v>
      </c>
      <c r="BA62" s="39" t="s">
        <v>805</v>
      </c>
      <c r="BB62" s="39" t="s">
        <v>805</v>
      </c>
      <c r="BC62" s="39" t="s">
        <v>805</v>
      </c>
      <c r="BD62" s="39" t="s">
        <v>805</v>
      </c>
      <c r="BE62" s="39" t="s">
        <v>805</v>
      </c>
      <c r="BF62" s="39" t="s">
        <v>805</v>
      </c>
      <c r="BG62" s="39" t="s">
        <v>805</v>
      </c>
      <c r="BH62" s="39" t="s">
        <v>805</v>
      </c>
      <c r="BI62" s="39" t="s">
        <v>805</v>
      </c>
      <c r="BJ62" s="39" t="s">
        <v>805</v>
      </c>
      <c r="BK62" s="39" t="s">
        <v>805</v>
      </c>
      <c r="BL62" s="39" t="s">
        <v>805</v>
      </c>
      <c r="BM62" s="39" t="s">
        <v>805</v>
      </c>
      <c r="BN62" s="39" t="s">
        <v>805</v>
      </c>
      <c r="BO62" s="39" t="s">
        <v>805</v>
      </c>
      <c r="BP62" s="39" t="s">
        <v>805</v>
      </c>
      <c r="BQ62" s="39" t="s">
        <v>805</v>
      </c>
      <c r="BR62" s="39" t="s">
        <v>805</v>
      </c>
      <c r="BS62" s="39" t="s">
        <v>805</v>
      </c>
      <c r="BT62" s="39" t="s">
        <v>805</v>
      </c>
      <c r="BU62" s="39" t="s">
        <v>805</v>
      </c>
      <c r="BV62" s="39" t="s">
        <v>805</v>
      </c>
      <c r="BW62" s="39" t="s">
        <v>805</v>
      </c>
      <c r="BX62" s="39" t="s">
        <v>805</v>
      </c>
      <c r="BY62" s="39" t="s">
        <v>805</v>
      </c>
      <c r="BZ62" s="39" t="s">
        <v>805</v>
      </c>
      <c r="CA62" s="39" t="s">
        <v>805</v>
      </c>
      <c r="CB62" s="39" t="s">
        <v>805</v>
      </c>
      <c r="CC62" s="39" t="s">
        <v>805</v>
      </c>
      <c r="CD62" s="39" t="s">
        <v>805</v>
      </c>
      <c r="CE62" s="39" t="s">
        <v>805</v>
      </c>
      <c r="CF62" s="39" t="s">
        <v>805</v>
      </c>
      <c r="CG62" s="39" t="s">
        <v>805</v>
      </c>
      <c r="CH62" s="39" t="s">
        <v>805</v>
      </c>
      <c r="CI62" s="39" t="s">
        <v>805</v>
      </c>
      <c r="CJ62" s="39" t="s">
        <v>805</v>
      </c>
      <c r="CK62" s="39" t="s">
        <v>805</v>
      </c>
      <c r="CL62" s="39" t="s">
        <v>805</v>
      </c>
      <c r="CM62" s="39" t="s">
        <v>805</v>
      </c>
      <c r="CN62" s="39" t="s">
        <v>805</v>
      </c>
      <c r="CO62" s="39" t="s">
        <v>805</v>
      </c>
      <c r="CP62" s="39" t="s">
        <v>805</v>
      </c>
      <c r="CQ62" s="39" t="s">
        <v>805</v>
      </c>
      <c r="CR62" s="39" t="s">
        <v>805</v>
      </c>
      <c r="CS62" s="39" t="s">
        <v>805</v>
      </c>
      <c r="CT62" s="39" t="s">
        <v>805</v>
      </c>
      <c r="CU62" s="39" t="s">
        <v>805</v>
      </c>
      <c r="CV62" s="39" t="s">
        <v>805</v>
      </c>
      <c r="CW62" s="39" t="s">
        <v>805</v>
      </c>
      <c r="CX62" s="39" t="s">
        <v>805</v>
      </c>
      <c r="CY62" s="39" t="s">
        <v>805</v>
      </c>
      <c r="CZ62" s="39" t="s">
        <v>805</v>
      </c>
      <c r="DA62" s="39" t="s">
        <v>805</v>
      </c>
      <c r="DB62" s="39" t="s">
        <v>805</v>
      </c>
      <c r="DC62" s="39" t="s">
        <v>805</v>
      </c>
      <c r="DD62" s="39" t="s">
        <v>805</v>
      </c>
      <c r="DE62" s="39" t="s">
        <v>805</v>
      </c>
      <c r="DF62" s="39" t="s">
        <v>805</v>
      </c>
      <c r="DG62" s="28">
        <f>'KPI Count-SHARE'!J56</f>
        <v>0</v>
      </c>
      <c r="DH62" s="105"/>
      <c r="DI62" s="105"/>
      <c r="DJ62" s="105"/>
      <c r="DK62" s="28">
        <f>'KPI Count-SHARE'!K56</f>
        <v>0</v>
      </c>
      <c r="DL62" s="39"/>
      <c r="DM62" s="39"/>
      <c r="DN62" s="39"/>
      <c r="DO62" s="28">
        <f>'KPI Count-SHARE'!L56</f>
        <v>0</v>
      </c>
      <c r="DP62" s="61"/>
      <c r="DQ62" s="61"/>
      <c r="DR62" s="61"/>
      <c r="DS62" s="28">
        <f>'KPI Count-SHARE'!M56</f>
        <v>0</v>
      </c>
      <c r="DT62" s="39"/>
      <c r="DU62" s="39"/>
      <c r="DV62" s="39"/>
      <c r="DW62" s="30" t="s">
        <v>533</v>
      </c>
      <c r="DX62" s="39" t="str">
        <f t="shared" si="310"/>
        <v/>
      </c>
      <c r="DY62" s="39" t="str">
        <f t="shared" si="311"/>
        <v/>
      </c>
      <c r="DZ62" s="39" t="str">
        <f t="shared" si="312"/>
        <v/>
      </c>
      <c r="EA62" s="39" t="str">
        <f t="shared" si="179"/>
        <v/>
      </c>
      <c r="EB62" s="39" t="str">
        <f t="shared" si="180"/>
        <v/>
      </c>
      <c r="EC62" s="39" t="str">
        <f t="shared" si="181"/>
        <v/>
      </c>
      <c r="ED62" s="39" t="str">
        <f t="shared" si="313"/>
        <v/>
      </c>
      <c r="EE62" s="39" t="str">
        <f t="shared" si="314"/>
        <v/>
      </c>
      <c r="EF62" s="39" t="str">
        <f t="shared" si="315"/>
        <v/>
      </c>
      <c r="EG62" s="39" t="str">
        <f t="shared" si="316"/>
        <v/>
      </c>
      <c r="EH62" s="39" t="str">
        <f t="shared" si="317"/>
        <v/>
      </c>
      <c r="EI62" s="39" t="str">
        <f t="shared" si="318"/>
        <v/>
      </c>
      <c r="EJ62" s="39" t="str">
        <f t="shared" si="318"/>
        <v/>
      </c>
      <c r="EK62" s="39" t="str">
        <f t="shared" si="318"/>
        <v/>
      </c>
      <c r="EL62" s="39" t="str">
        <f t="shared" si="318"/>
        <v/>
      </c>
      <c r="EM62" s="39" t="str">
        <f t="shared" si="318"/>
        <v/>
      </c>
      <c r="EN62" s="39" t="str">
        <f t="shared" si="318"/>
        <v/>
      </c>
      <c r="EO62" s="39" t="str">
        <f t="shared" si="318"/>
        <v/>
      </c>
      <c r="EP62" s="39" t="str">
        <f t="shared" si="318"/>
        <v/>
      </c>
      <c r="EQ62" s="39" t="str">
        <f t="shared" si="318"/>
        <v/>
      </c>
      <c r="ER62" s="39" t="str">
        <f t="shared" si="318"/>
        <v/>
      </c>
      <c r="ES62" s="39" t="str">
        <f t="shared" si="318"/>
        <v/>
      </c>
      <c r="ET62" s="39" t="str">
        <f t="shared" si="318"/>
        <v/>
      </c>
      <c r="EU62" s="39" t="str">
        <f t="shared" si="319"/>
        <v/>
      </c>
      <c r="EV62" s="39" t="str">
        <f t="shared" si="320"/>
        <v/>
      </c>
      <c r="EW62" s="39" t="str">
        <f t="shared" si="321"/>
        <v/>
      </c>
      <c r="EX62" s="39" t="str">
        <f t="shared" si="322"/>
        <v/>
      </c>
      <c r="EY62" s="39" t="str">
        <f t="shared" si="323"/>
        <v/>
      </c>
      <c r="EZ62" s="39" t="str">
        <f t="shared" si="324"/>
        <v/>
      </c>
      <c r="FA62" s="39" t="str">
        <f t="shared" si="325"/>
        <v/>
      </c>
      <c r="FB62" s="39" t="str">
        <f t="shared" si="326"/>
        <v/>
      </c>
      <c r="FC62" s="39" t="str">
        <f t="shared" si="327"/>
        <v/>
      </c>
      <c r="FD62" s="39" t="str">
        <f t="shared" si="328"/>
        <v/>
      </c>
      <c r="FE62" s="39" t="str">
        <f t="shared" si="329"/>
        <v/>
      </c>
      <c r="FF62" s="39" t="str">
        <f t="shared" si="330"/>
        <v/>
      </c>
      <c r="FG62" s="39" t="str">
        <f t="shared" si="331"/>
        <v/>
      </c>
      <c r="FH62" s="39" t="str">
        <f t="shared" si="332"/>
        <v/>
      </c>
      <c r="FI62" s="39" t="str">
        <f t="shared" si="333"/>
        <v/>
      </c>
      <c r="FJ62" s="39" t="str">
        <f t="shared" si="334"/>
        <v/>
      </c>
      <c r="FK62" s="39" t="str">
        <f t="shared" si="335"/>
        <v/>
      </c>
      <c r="FL62" s="39" t="str">
        <f t="shared" si="336"/>
        <v/>
      </c>
      <c r="FM62" s="39" t="str">
        <f t="shared" si="337"/>
        <v/>
      </c>
      <c r="FN62" s="39" t="str">
        <f t="shared" si="338"/>
        <v/>
      </c>
      <c r="FO62" s="39" t="str">
        <f t="shared" si="339"/>
        <v/>
      </c>
      <c r="FP62" s="39" t="str">
        <f t="shared" si="340"/>
        <v/>
      </c>
      <c r="FQ62" s="39" t="str">
        <f t="shared" si="341"/>
        <v/>
      </c>
      <c r="FR62" s="39" t="str">
        <f t="shared" si="342"/>
        <v/>
      </c>
      <c r="FS62" s="39" t="str">
        <f t="shared" si="343"/>
        <v/>
      </c>
      <c r="FT62" s="39" t="str">
        <f t="shared" si="344"/>
        <v/>
      </c>
      <c r="FU62" s="39" t="str">
        <f t="shared" si="345"/>
        <v/>
      </c>
      <c r="FV62" s="39" t="str">
        <f t="shared" si="346"/>
        <v/>
      </c>
      <c r="FW62" s="39" t="str">
        <f t="shared" si="347"/>
        <v/>
      </c>
      <c r="FX62" s="39" t="str">
        <f t="shared" si="348"/>
        <v/>
      </c>
      <c r="FY62" s="39" t="str">
        <f t="shared" si="349"/>
        <v/>
      </c>
      <c r="FZ62" s="39" t="str">
        <f t="shared" si="350"/>
        <v/>
      </c>
      <c r="GA62" s="39" t="str">
        <f t="shared" si="351"/>
        <v/>
      </c>
      <c r="GB62" s="39" t="str">
        <f t="shared" si="352"/>
        <v/>
      </c>
      <c r="GC62" s="39" t="str">
        <f t="shared" si="353"/>
        <v/>
      </c>
      <c r="GD62" s="39" t="str">
        <f t="shared" si="354"/>
        <v/>
      </c>
      <c r="GE62" s="39" t="str">
        <f t="shared" si="355"/>
        <v/>
      </c>
      <c r="GF62" s="39" t="str">
        <f t="shared" si="356"/>
        <v/>
      </c>
      <c r="GG62" s="39" t="str">
        <f t="shared" si="357"/>
        <v/>
      </c>
      <c r="GH62" s="39" t="str">
        <f t="shared" si="358"/>
        <v/>
      </c>
      <c r="GI62" s="39" t="str">
        <f t="shared" si="359"/>
        <v/>
      </c>
      <c r="GJ62" s="39" t="str">
        <f t="shared" si="360"/>
        <v/>
      </c>
      <c r="GK62" s="39" t="str">
        <f t="shared" si="361"/>
        <v/>
      </c>
      <c r="GL62" s="39" t="str">
        <f t="shared" si="362"/>
        <v/>
      </c>
      <c r="GM62" s="39" t="str">
        <f t="shared" si="363"/>
        <v/>
      </c>
      <c r="GN62" s="39" t="str">
        <f t="shared" si="364"/>
        <v/>
      </c>
      <c r="GO62" s="39" t="str">
        <f t="shared" si="365"/>
        <v/>
      </c>
      <c r="GP62" s="39" t="str">
        <f t="shared" si="366"/>
        <v/>
      </c>
      <c r="GQ62" s="39" t="str">
        <f t="shared" si="367"/>
        <v/>
      </c>
      <c r="GR62" s="39" t="str">
        <f t="shared" si="368"/>
        <v/>
      </c>
      <c r="GS62" s="39" t="str">
        <f t="shared" si="369"/>
        <v/>
      </c>
      <c r="GT62" s="39" t="str">
        <f t="shared" si="370"/>
        <v/>
      </c>
      <c r="GU62" s="39" t="str">
        <f t="shared" si="371"/>
        <v/>
      </c>
      <c r="GV62" s="39" t="str">
        <f t="shared" si="372"/>
        <v/>
      </c>
      <c r="GW62" s="39" t="str">
        <f t="shared" si="373"/>
        <v/>
      </c>
      <c r="GX62" s="39" t="str">
        <f t="shared" si="374"/>
        <v/>
      </c>
      <c r="GY62" s="39" t="str">
        <f t="shared" si="375"/>
        <v/>
      </c>
      <c r="GZ62" s="39" t="str">
        <f t="shared" si="376"/>
        <v/>
      </c>
      <c r="HA62" s="39" t="str">
        <f t="shared" si="377"/>
        <v/>
      </c>
      <c r="HB62" s="39" t="str">
        <f t="shared" si="378"/>
        <v/>
      </c>
      <c r="HC62" s="39" t="str">
        <f t="shared" si="379"/>
        <v/>
      </c>
      <c r="HD62" s="39" t="str">
        <f t="shared" si="380"/>
        <v/>
      </c>
      <c r="HE62" s="39" t="str">
        <f t="shared" si="381"/>
        <v/>
      </c>
      <c r="HF62" s="39" t="str">
        <f t="shared" si="382"/>
        <v/>
      </c>
      <c r="HG62" s="39" t="str">
        <f t="shared" si="383"/>
        <v/>
      </c>
      <c r="HH62" s="39" t="str">
        <f t="shared" si="384"/>
        <v/>
      </c>
      <c r="HI62" s="39" t="str">
        <f t="shared" si="385"/>
        <v/>
      </c>
      <c r="HJ62" s="39" t="str">
        <f t="shared" si="386"/>
        <v/>
      </c>
      <c r="HK62" s="39" t="str">
        <f t="shared" si="387"/>
        <v/>
      </c>
      <c r="HL62" s="39" t="str">
        <f t="shared" si="388"/>
        <v/>
      </c>
      <c r="HM62" s="39" t="str">
        <f t="shared" si="389"/>
        <v/>
      </c>
      <c r="HN62" s="39" t="str">
        <f t="shared" si="390"/>
        <v/>
      </c>
      <c r="HO62" s="39" t="str">
        <f t="shared" si="391"/>
        <v/>
      </c>
      <c r="HP62" s="39" t="str">
        <f t="shared" si="392"/>
        <v/>
      </c>
      <c r="HQ62" s="39" t="str">
        <f t="shared" si="393"/>
        <v/>
      </c>
      <c r="HR62" s="39" t="str">
        <f t="shared" si="394"/>
        <v/>
      </c>
      <c r="HS62" s="39" t="str">
        <f t="shared" si="395"/>
        <v/>
      </c>
      <c r="HT62" s="39" t="str">
        <f t="shared" si="395"/>
        <v/>
      </c>
      <c r="HU62" s="83" t="str">
        <f t="shared" si="182"/>
        <v>-</v>
      </c>
      <c r="HV62" s="84" t="str">
        <f t="shared" si="396"/>
        <v/>
      </c>
      <c r="HW62" s="85" t="str">
        <f t="shared" si="397"/>
        <v/>
      </c>
      <c r="HX62" s="84" t="str">
        <f t="shared" si="183"/>
        <v/>
      </c>
      <c r="HY62" s="84" t="str">
        <f t="shared" si="398"/>
        <v/>
      </c>
      <c r="HZ62" s="84" t="str">
        <f t="shared" si="399"/>
        <v/>
      </c>
      <c r="IA62" s="83" t="str">
        <f t="shared" si="400"/>
        <v/>
      </c>
      <c r="IB62" s="84" t="str">
        <f t="shared" si="401"/>
        <v/>
      </c>
      <c r="IC62" s="85" t="str">
        <f t="shared" si="402"/>
        <v/>
      </c>
      <c r="ID62" s="83" t="str">
        <f t="shared" si="403"/>
        <v/>
      </c>
      <c r="IE62" s="84" t="str">
        <f t="shared" si="404"/>
        <v/>
      </c>
      <c r="IF62" s="85" t="str">
        <f t="shared" si="405"/>
        <v/>
      </c>
      <c r="IH62" s="66">
        <v>62</v>
      </c>
      <c r="II62" s="66" t="e">
        <f t="shared" ca="1" si="192"/>
        <v>#N/A</v>
      </c>
      <c r="IJ62" s="66" t="e">
        <f t="shared" ca="1" si="193"/>
        <v>#N/A</v>
      </c>
      <c r="IK62" s="66" t="e">
        <f t="shared" ca="1" si="194"/>
        <v>#N/A</v>
      </c>
      <c r="IL62" s="66" t="e">
        <f t="shared" ca="1" si="195"/>
        <v>#N/A</v>
      </c>
      <c r="IM62" s="33"/>
      <c r="IN62" s="74" t="e">
        <f t="shared" ca="1" si="184"/>
        <v>#N/A</v>
      </c>
      <c r="IO62" s="75" t="e">
        <f t="shared" ca="1" si="185"/>
        <v>#N/A</v>
      </c>
      <c r="IP62" s="75" t="e">
        <f t="shared" ca="1" si="186"/>
        <v>#N/A</v>
      </c>
      <c r="IQ62" s="74" t="e">
        <f t="shared" ca="1" si="187"/>
        <v>#N/A</v>
      </c>
      <c r="IR62" s="74" t="e">
        <f t="shared" ca="1" si="188"/>
        <v>#N/A</v>
      </c>
    </row>
    <row r="63" spans="1:252" s="1" customFormat="1" x14ac:dyDescent="0.35">
      <c r="A63" s="33">
        <v>0</v>
      </c>
      <c r="B63" s="33">
        <v>0</v>
      </c>
      <c r="C63" s="33">
        <v>1</v>
      </c>
      <c r="E63" s="4"/>
      <c r="F63" t="s">
        <v>328</v>
      </c>
      <c r="G63" s="5" t="s">
        <v>540</v>
      </c>
      <c r="H63" s="4" t="s">
        <v>533</v>
      </c>
      <c r="I63" s="8" t="s">
        <v>534</v>
      </c>
      <c r="J63" s="276">
        <v>5.7340034422780723E-4</v>
      </c>
      <c r="K63" s="39" t="s">
        <v>805</v>
      </c>
      <c r="L63" s="39" t="s">
        <v>805</v>
      </c>
      <c r="M63" s="39" t="s">
        <v>805</v>
      </c>
      <c r="N63" s="39" t="s">
        <v>805</v>
      </c>
      <c r="O63" s="39" t="s">
        <v>805</v>
      </c>
      <c r="P63" s="39" t="s">
        <v>805</v>
      </c>
      <c r="Q63" s="39" t="s">
        <v>805</v>
      </c>
      <c r="R63" s="39" t="s">
        <v>805</v>
      </c>
      <c r="S63" s="39" t="s">
        <v>805</v>
      </c>
      <c r="T63" s="39" t="s">
        <v>805</v>
      </c>
      <c r="U63" s="39" t="s">
        <v>805</v>
      </c>
      <c r="V63" s="39" t="s">
        <v>805</v>
      </c>
      <c r="W63" s="39" t="s">
        <v>805</v>
      </c>
      <c r="X63" s="39" t="s">
        <v>805</v>
      </c>
      <c r="Y63" s="39" t="s">
        <v>805</v>
      </c>
      <c r="Z63" s="39" t="s">
        <v>805</v>
      </c>
      <c r="AA63" s="39" t="s">
        <v>805</v>
      </c>
      <c r="AB63" s="39" t="s">
        <v>805</v>
      </c>
      <c r="AC63" s="39" t="s">
        <v>805</v>
      </c>
      <c r="AD63" s="39" t="s">
        <v>805</v>
      </c>
      <c r="AE63" s="39" t="s">
        <v>805</v>
      </c>
      <c r="AF63" s="39" t="s">
        <v>805</v>
      </c>
      <c r="AG63" s="39" t="s">
        <v>805</v>
      </c>
      <c r="AH63" s="39" t="s">
        <v>805</v>
      </c>
      <c r="AI63" s="39" t="s">
        <v>805</v>
      </c>
      <c r="AJ63" s="39" t="s">
        <v>805</v>
      </c>
      <c r="AK63" s="39" t="s">
        <v>805</v>
      </c>
      <c r="AL63" s="39" t="s">
        <v>805</v>
      </c>
      <c r="AM63" s="39" t="s">
        <v>805</v>
      </c>
      <c r="AN63" s="39" t="s">
        <v>805</v>
      </c>
      <c r="AO63" s="39" t="s">
        <v>805</v>
      </c>
      <c r="AP63" s="39" t="s">
        <v>805</v>
      </c>
      <c r="AQ63" s="39" t="s">
        <v>805</v>
      </c>
      <c r="AR63" s="39" t="s">
        <v>805</v>
      </c>
      <c r="AS63" s="39" t="s">
        <v>805</v>
      </c>
      <c r="AT63" s="39" t="s">
        <v>805</v>
      </c>
      <c r="AU63" s="39" t="s">
        <v>805</v>
      </c>
      <c r="AV63" s="39" t="s">
        <v>805</v>
      </c>
      <c r="AW63" s="39" t="s">
        <v>805</v>
      </c>
      <c r="AX63" s="39" t="s">
        <v>805</v>
      </c>
      <c r="AY63" s="39" t="s">
        <v>805</v>
      </c>
      <c r="AZ63" s="39" t="s">
        <v>805</v>
      </c>
      <c r="BA63" s="39" t="s">
        <v>805</v>
      </c>
      <c r="BB63" s="39" t="s">
        <v>805</v>
      </c>
      <c r="BC63" s="39" t="s">
        <v>805</v>
      </c>
      <c r="BD63" s="39" t="s">
        <v>805</v>
      </c>
      <c r="BE63" s="39" t="s">
        <v>805</v>
      </c>
      <c r="BF63" s="39" t="s">
        <v>805</v>
      </c>
      <c r="BG63" s="39" t="s">
        <v>805</v>
      </c>
      <c r="BH63" s="39" t="s">
        <v>805</v>
      </c>
      <c r="BI63" s="39" t="s">
        <v>805</v>
      </c>
      <c r="BJ63" s="39" t="s">
        <v>805</v>
      </c>
      <c r="BK63" s="39" t="s">
        <v>805</v>
      </c>
      <c r="BL63" s="39" t="s">
        <v>805</v>
      </c>
      <c r="BM63" s="39" t="s">
        <v>805</v>
      </c>
      <c r="BN63" s="39" t="s">
        <v>805</v>
      </c>
      <c r="BO63" s="39" t="s">
        <v>805</v>
      </c>
      <c r="BP63" s="39" t="s">
        <v>805</v>
      </c>
      <c r="BQ63" s="39" t="s">
        <v>805</v>
      </c>
      <c r="BR63" s="39" t="s">
        <v>805</v>
      </c>
      <c r="BS63" s="39" t="s">
        <v>805</v>
      </c>
      <c r="BT63" s="39" t="s">
        <v>805</v>
      </c>
      <c r="BU63" s="39" t="s">
        <v>805</v>
      </c>
      <c r="BV63" s="39" t="s">
        <v>805</v>
      </c>
      <c r="BW63" s="39" t="s">
        <v>805</v>
      </c>
      <c r="BX63" s="39" t="s">
        <v>805</v>
      </c>
      <c r="BY63" s="39" t="s">
        <v>805</v>
      </c>
      <c r="BZ63" s="39" t="s">
        <v>805</v>
      </c>
      <c r="CA63" s="39" t="s">
        <v>805</v>
      </c>
      <c r="CB63" s="39" t="s">
        <v>805</v>
      </c>
      <c r="CC63" s="39" t="s">
        <v>805</v>
      </c>
      <c r="CD63" s="39" t="s">
        <v>805</v>
      </c>
      <c r="CE63" s="39" t="s">
        <v>805</v>
      </c>
      <c r="CF63" s="39" t="s">
        <v>805</v>
      </c>
      <c r="CG63" s="39" t="s">
        <v>805</v>
      </c>
      <c r="CH63" s="39" t="s">
        <v>805</v>
      </c>
      <c r="CI63" s="39" t="s">
        <v>805</v>
      </c>
      <c r="CJ63" s="39" t="s">
        <v>805</v>
      </c>
      <c r="CK63" s="39" t="s">
        <v>805</v>
      </c>
      <c r="CL63" s="39" t="s">
        <v>805</v>
      </c>
      <c r="CM63" s="39" t="s">
        <v>805</v>
      </c>
      <c r="CN63" s="39" t="s">
        <v>805</v>
      </c>
      <c r="CO63" s="39" t="s">
        <v>805</v>
      </c>
      <c r="CP63" s="39" t="s">
        <v>805</v>
      </c>
      <c r="CQ63" s="39" t="s">
        <v>805</v>
      </c>
      <c r="CR63" s="39" t="s">
        <v>805</v>
      </c>
      <c r="CS63" s="39" t="s">
        <v>805</v>
      </c>
      <c r="CT63" s="39" t="s">
        <v>805</v>
      </c>
      <c r="CU63" s="39" t="s">
        <v>805</v>
      </c>
      <c r="CV63" s="39" t="s">
        <v>805</v>
      </c>
      <c r="CW63" s="39" t="s">
        <v>805</v>
      </c>
      <c r="CX63" s="39" t="s">
        <v>805</v>
      </c>
      <c r="CY63" s="39" t="s">
        <v>805</v>
      </c>
      <c r="CZ63" s="39" t="s">
        <v>805</v>
      </c>
      <c r="DA63" s="39" t="s">
        <v>805</v>
      </c>
      <c r="DB63" s="39" t="s">
        <v>805</v>
      </c>
      <c r="DC63" s="39" t="s">
        <v>805</v>
      </c>
      <c r="DD63" s="39" t="s">
        <v>805</v>
      </c>
      <c r="DE63" s="39" t="s">
        <v>805</v>
      </c>
      <c r="DF63" s="39" t="s">
        <v>805</v>
      </c>
      <c r="DG63" s="28">
        <f>'KPI Count-SHARE'!J57</f>
        <v>0</v>
      </c>
      <c r="DH63" s="105"/>
      <c r="DI63" s="105"/>
      <c r="DJ63" s="105"/>
      <c r="DK63" s="28">
        <f>'KPI Count-SHARE'!K57</f>
        <v>0</v>
      </c>
      <c r="DL63" s="39"/>
      <c r="DM63" s="39"/>
      <c r="DN63" s="39"/>
      <c r="DO63" s="28">
        <f>'KPI Count-SHARE'!L57</f>
        <v>0</v>
      </c>
      <c r="DP63" s="61"/>
      <c r="DQ63" s="61"/>
      <c r="DR63" s="61"/>
      <c r="DS63" s="28">
        <f>'KPI Count-SHARE'!M57</f>
        <v>0</v>
      </c>
      <c r="DT63" s="39"/>
      <c r="DU63" s="39"/>
      <c r="DV63" s="39"/>
      <c r="DW63" s="30" t="s">
        <v>533</v>
      </c>
      <c r="DX63" s="39">
        <f t="shared" si="310"/>
        <v>5.7340034422780723E-4</v>
      </c>
      <c r="DY63" s="39" t="str">
        <f t="shared" si="311"/>
        <v/>
      </c>
      <c r="DZ63" s="39" t="str">
        <f t="shared" si="312"/>
        <v/>
      </c>
      <c r="EA63" s="39" t="str">
        <f t="shared" si="179"/>
        <v/>
      </c>
      <c r="EB63" s="39" t="str">
        <f t="shared" si="180"/>
        <v/>
      </c>
      <c r="EC63" s="39" t="str">
        <f t="shared" si="181"/>
        <v/>
      </c>
      <c r="ED63" s="39" t="str">
        <f t="shared" si="313"/>
        <v/>
      </c>
      <c r="EE63" s="39" t="str">
        <f t="shared" si="314"/>
        <v/>
      </c>
      <c r="EF63" s="39" t="str">
        <f t="shared" si="315"/>
        <v/>
      </c>
      <c r="EG63" s="39" t="str">
        <f t="shared" si="316"/>
        <v/>
      </c>
      <c r="EH63" s="39" t="str">
        <f t="shared" si="317"/>
        <v/>
      </c>
      <c r="EI63" s="39" t="str">
        <f t="shared" si="318"/>
        <v/>
      </c>
      <c r="EJ63" s="39" t="str">
        <f t="shared" si="318"/>
        <v/>
      </c>
      <c r="EK63" s="39" t="str">
        <f t="shared" si="318"/>
        <v/>
      </c>
      <c r="EL63" s="39" t="str">
        <f t="shared" si="318"/>
        <v/>
      </c>
      <c r="EM63" s="39" t="str">
        <f t="shared" si="318"/>
        <v/>
      </c>
      <c r="EN63" s="39" t="str">
        <f t="shared" si="318"/>
        <v/>
      </c>
      <c r="EO63" s="39" t="str">
        <f t="shared" si="318"/>
        <v/>
      </c>
      <c r="EP63" s="39" t="str">
        <f t="shared" si="318"/>
        <v/>
      </c>
      <c r="EQ63" s="39" t="str">
        <f t="shared" si="318"/>
        <v/>
      </c>
      <c r="ER63" s="39" t="str">
        <f t="shared" si="318"/>
        <v/>
      </c>
      <c r="ES63" s="39" t="str">
        <f t="shared" si="318"/>
        <v/>
      </c>
      <c r="ET63" s="39" t="str">
        <f t="shared" si="318"/>
        <v/>
      </c>
      <c r="EU63" s="39" t="str">
        <f t="shared" si="319"/>
        <v/>
      </c>
      <c r="EV63" s="39" t="str">
        <f t="shared" si="320"/>
        <v/>
      </c>
      <c r="EW63" s="39" t="str">
        <f t="shared" si="321"/>
        <v/>
      </c>
      <c r="EX63" s="39" t="str">
        <f t="shared" si="322"/>
        <v/>
      </c>
      <c r="EY63" s="39" t="str">
        <f t="shared" si="323"/>
        <v/>
      </c>
      <c r="EZ63" s="39" t="str">
        <f t="shared" si="324"/>
        <v/>
      </c>
      <c r="FA63" s="39" t="str">
        <f t="shared" si="325"/>
        <v/>
      </c>
      <c r="FB63" s="39" t="str">
        <f t="shared" si="326"/>
        <v/>
      </c>
      <c r="FC63" s="39" t="str">
        <f t="shared" si="327"/>
        <v/>
      </c>
      <c r="FD63" s="39" t="str">
        <f t="shared" si="328"/>
        <v/>
      </c>
      <c r="FE63" s="39" t="str">
        <f t="shared" si="329"/>
        <v/>
      </c>
      <c r="FF63" s="39" t="str">
        <f t="shared" si="330"/>
        <v/>
      </c>
      <c r="FG63" s="39" t="str">
        <f t="shared" si="331"/>
        <v/>
      </c>
      <c r="FH63" s="39" t="str">
        <f t="shared" si="332"/>
        <v/>
      </c>
      <c r="FI63" s="39" t="str">
        <f t="shared" si="333"/>
        <v/>
      </c>
      <c r="FJ63" s="39" t="str">
        <f t="shared" si="334"/>
        <v/>
      </c>
      <c r="FK63" s="39" t="str">
        <f t="shared" si="335"/>
        <v/>
      </c>
      <c r="FL63" s="39" t="str">
        <f t="shared" si="336"/>
        <v/>
      </c>
      <c r="FM63" s="39" t="str">
        <f t="shared" si="337"/>
        <v/>
      </c>
      <c r="FN63" s="39" t="str">
        <f t="shared" si="338"/>
        <v/>
      </c>
      <c r="FO63" s="39" t="str">
        <f t="shared" si="339"/>
        <v/>
      </c>
      <c r="FP63" s="39" t="str">
        <f t="shared" si="340"/>
        <v/>
      </c>
      <c r="FQ63" s="39" t="str">
        <f t="shared" si="341"/>
        <v/>
      </c>
      <c r="FR63" s="39" t="str">
        <f t="shared" si="342"/>
        <v/>
      </c>
      <c r="FS63" s="39" t="str">
        <f t="shared" si="343"/>
        <v/>
      </c>
      <c r="FT63" s="39" t="str">
        <f t="shared" si="344"/>
        <v/>
      </c>
      <c r="FU63" s="39" t="str">
        <f t="shared" si="345"/>
        <v/>
      </c>
      <c r="FV63" s="39" t="str">
        <f t="shared" si="346"/>
        <v/>
      </c>
      <c r="FW63" s="39" t="str">
        <f t="shared" si="347"/>
        <v/>
      </c>
      <c r="FX63" s="39" t="str">
        <f t="shared" si="348"/>
        <v/>
      </c>
      <c r="FY63" s="39" t="str">
        <f t="shared" si="349"/>
        <v/>
      </c>
      <c r="FZ63" s="39" t="str">
        <f t="shared" si="350"/>
        <v/>
      </c>
      <c r="GA63" s="39" t="str">
        <f t="shared" si="351"/>
        <v/>
      </c>
      <c r="GB63" s="39" t="str">
        <f t="shared" si="352"/>
        <v/>
      </c>
      <c r="GC63" s="39" t="str">
        <f t="shared" si="353"/>
        <v/>
      </c>
      <c r="GD63" s="39" t="str">
        <f t="shared" si="354"/>
        <v/>
      </c>
      <c r="GE63" s="39" t="str">
        <f t="shared" si="355"/>
        <v/>
      </c>
      <c r="GF63" s="39" t="str">
        <f t="shared" si="356"/>
        <v/>
      </c>
      <c r="GG63" s="39" t="str">
        <f t="shared" si="357"/>
        <v/>
      </c>
      <c r="GH63" s="39" t="str">
        <f t="shared" si="358"/>
        <v/>
      </c>
      <c r="GI63" s="39" t="str">
        <f t="shared" si="359"/>
        <v/>
      </c>
      <c r="GJ63" s="39" t="str">
        <f t="shared" si="360"/>
        <v/>
      </c>
      <c r="GK63" s="39" t="str">
        <f t="shared" si="361"/>
        <v/>
      </c>
      <c r="GL63" s="39" t="str">
        <f t="shared" si="362"/>
        <v/>
      </c>
      <c r="GM63" s="39" t="str">
        <f t="shared" si="363"/>
        <v/>
      </c>
      <c r="GN63" s="39" t="str">
        <f t="shared" si="364"/>
        <v/>
      </c>
      <c r="GO63" s="39" t="str">
        <f t="shared" si="365"/>
        <v/>
      </c>
      <c r="GP63" s="39" t="str">
        <f t="shared" si="366"/>
        <v/>
      </c>
      <c r="GQ63" s="39" t="str">
        <f t="shared" si="367"/>
        <v/>
      </c>
      <c r="GR63" s="39" t="str">
        <f t="shared" si="368"/>
        <v/>
      </c>
      <c r="GS63" s="39" t="str">
        <f t="shared" si="369"/>
        <v/>
      </c>
      <c r="GT63" s="39" t="str">
        <f t="shared" si="370"/>
        <v/>
      </c>
      <c r="GU63" s="39" t="str">
        <f t="shared" si="371"/>
        <v/>
      </c>
      <c r="GV63" s="39" t="str">
        <f t="shared" si="372"/>
        <v/>
      </c>
      <c r="GW63" s="39" t="str">
        <f t="shared" si="373"/>
        <v/>
      </c>
      <c r="GX63" s="39" t="str">
        <f t="shared" si="374"/>
        <v/>
      </c>
      <c r="GY63" s="39" t="str">
        <f t="shared" si="375"/>
        <v/>
      </c>
      <c r="GZ63" s="39" t="str">
        <f t="shared" si="376"/>
        <v/>
      </c>
      <c r="HA63" s="39" t="str">
        <f t="shared" si="377"/>
        <v/>
      </c>
      <c r="HB63" s="39" t="str">
        <f t="shared" si="378"/>
        <v/>
      </c>
      <c r="HC63" s="39" t="str">
        <f t="shared" si="379"/>
        <v/>
      </c>
      <c r="HD63" s="39" t="str">
        <f t="shared" si="380"/>
        <v/>
      </c>
      <c r="HE63" s="39" t="str">
        <f t="shared" si="381"/>
        <v/>
      </c>
      <c r="HF63" s="39" t="str">
        <f t="shared" si="382"/>
        <v/>
      </c>
      <c r="HG63" s="39" t="str">
        <f t="shared" si="383"/>
        <v/>
      </c>
      <c r="HH63" s="39" t="str">
        <f t="shared" si="384"/>
        <v/>
      </c>
      <c r="HI63" s="39" t="str">
        <f t="shared" si="385"/>
        <v/>
      </c>
      <c r="HJ63" s="39" t="str">
        <f t="shared" si="386"/>
        <v/>
      </c>
      <c r="HK63" s="39" t="str">
        <f t="shared" si="387"/>
        <v/>
      </c>
      <c r="HL63" s="39" t="str">
        <f t="shared" si="388"/>
        <v/>
      </c>
      <c r="HM63" s="39" t="str">
        <f t="shared" si="389"/>
        <v/>
      </c>
      <c r="HN63" s="39" t="str">
        <f t="shared" si="390"/>
        <v/>
      </c>
      <c r="HO63" s="39" t="str">
        <f t="shared" si="391"/>
        <v/>
      </c>
      <c r="HP63" s="39" t="str">
        <f t="shared" si="392"/>
        <v/>
      </c>
      <c r="HQ63" s="39" t="str">
        <f t="shared" si="393"/>
        <v/>
      </c>
      <c r="HR63" s="39" t="str">
        <f t="shared" si="394"/>
        <v/>
      </c>
      <c r="HS63" s="39" t="str">
        <f t="shared" si="395"/>
        <v/>
      </c>
      <c r="HT63" s="39" t="str">
        <f t="shared" si="395"/>
        <v/>
      </c>
      <c r="HU63" s="83" t="str">
        <f t="shared" si="182"/>
        <v>-</v>
      </c>
      <c r="HV63" s="84" t="str">
        <f t="shared" si="396"/>
        <v/>
      </c>
      <c r="HW63" s="85" t="str">
        <f t="shared" si="397"/>
        <v/>
      </c>
      <c r="HX63" s="84" t="str">
        <f t="shared" si="183"/>
        <v/>
      </c>
      <c r="HY63" s="84" t="str">
        <f t="shared" si="398"/>
        <v/>
      </c>
      <c r="HZ63" s="84" t="str">
        <f t="shared" si="399"/>
        <v/>
      </c>
      <c r="IA63" s="83" t="str">
        <f t="shared" si="400"/>
        <v/>
      </c>
      <c r="IB63" s="84" t="str">
        <f t="shared" si="401"/>
        <v/>
      </c>
      <c r="IC63" s="85" t="str">
        <f t="shared" si="402"/>
        <v/>
      </c>
      <c r="ID63" s="83" t="str">
        <f t="shared" si="403"/>
        <v/>
      </c>
      <c r="IE63" s="84" t="str">
        <f t="shared" si="404"/>
        <v/>
      </c>
      <c r="IF63" s="85" t="str">
        <f t="shared" si="405"/>
        <v/>
      </c>
      <c r="IH63" s="66">
        <v>63</v>
      </c>
      <c r="II63" s="66" t="e">
        <f t="shared" ca="1" si="192"/>
        <v>#N/A</v>
      </c>
      <c r="IJ63" s="66" t="e">
        <f t="shared" ca="1" si="193"/>
        <v>#N/A</v>
      </c>
      <c r="IK63" s="66" t="e">
        <f t="shared" ca="1" si="194"/>
        <v>#N/A</v>
      </c>
      <c r="IL63" s="66" t="e">
        <f t="shared" ca="1" si="195"/>
        <v>#N/A</v>
      </c>
      <c r="IM63" s="33"/>
      <c r="IN63" s="74" t="e">
        <f t="shared" ca="1" si="184"/>
        <v>#N/A</v>
      </c>
      <c r="IO63" s="75" t="e">
        <f t="shared" ca="1" si="185"/>
        <v>#N/A</v>
      </c>
      <c r="IP63" s="75" t="e">
        <f t="shared" ca="1" si="186"/>
        <v>#N/A</v>
      </c>
      <c r="IQ63" s="74" t="e">
        <f t="shared" ca="1" si="187"/>
        <v>#N/A</v>
      </c>
      <c r="IR63" s="74" t="e">
        <f t="shared" ca="1" si="188"/>
        <v>#N/A</v>
      </c>
    </row>
    <row r="64" spans="1:252" s="1" customFormat="1" x14ac:dyDescent="0.35">
      <c r="A64" s="33">
        <v>0</v>
      </c>
      <c r="B64" s="33">
        <v>0</v>
      </c>
      <c r="C64" s="33">
        <v>1</v>
      </c>
      <c r="E64" s="4"/>
      <c r="F64" t="s">
        <v>329</v>
      </c>
      <c r="G64" s="5" t="s">
        <v>540</v>
      </c>
      <c r="H64" s="4" t="s">
        <v>533</v>
      </c>
      <c r="I64" s="8" t="s">
        <v>534</v>
      </c>
      <c r="J64" s="276" t="s">
        <v>805</v>
      </c>
      <c r="K64" s="39" t="s">
        <v>805</v>
      </c>
      <c r="L64" s="39" t="s">
        <v>805</v>
      </c>
      <c r="M64" s="39" t="s">
        <v>805</v>
      </c>
      <c r="N64" s="39" t="s">
        <v>805</v>
      </c>
      <c r="O64" s="39" t="s">
        <v>805</v>
      </c>
      <c r="P64" s="39" t="s">
        <v>805</v>
      </c>
      <c r="Q64" s="39" t="s">
        <v>805</v>
      </c>
      <c r="R64" s="39" t="s">
        <v>805</v>
      </c>
      <c r="S64" s="39" t="s">
        <v>805</v>
      </c>
      <c r="T64" s="39" t="s">
        <v>805</v>
      </c>
      <c r="U64" s="39" t="s">
        <v>805</v>
      </c>
      <c r="V64" s="39" t="s">
        <v>805</v>
      </c>
      <c r="W64" s="39" t="s">
        <v>805</v>
      </c>
      <c r="X64" s="39" t="s">
        <v>805</v>
      </c>
      <c r="Y64" s="39" t="s">
        <v>805</v>
      </c>
      <c r="Z64" s="39" t="s">
        <v>805</v>
      </c>
      <c r="AA64" s="39" t="s">
        <v>805</v>
      </c>
      <c r="AB64" s="39" t="s">
        <v>805</v>
      </c>
      <c r="AC64" s="39" t="s">
        <v>805</v>
      </c>
      <c r="AD64" s="39" t="s">
        <v>805</v>
      </c>
      <c r="AE64" s="39" t="s">
        <v>805</v>
      </c>
      <c r="AF64" s="39" t="s">
        <v>805</v>
      </c>
      <c r="AG64" s="39" t="s">
        <v>805</v>
      </c>
      <c r="AH64" s="39" t="s">
        <v>805</v>
      </c>
      <c r="AI64" s="39" t="s">
        <v>805</v>
      </c>
      <c r="AJ64" s="39" t="s">
        <v>805</v>
      </c>
      <c r="AK64" s="39" t="s">
        <v>805</v>
      </c>
      <c r="AL64" s="39" t="s">
        <v>805</v>
      </c>
      <c r="AM64" s="39" t="s">
        <v>805</v>
      </c>
      <c r="AN64" s="39" t="s">
        <v>805</v>
      </c>
      <c r="AO64" s="39" t="s">
        <v>805</v>
      </c>
      <c r="AP64" s="39" t="s">
        <v>805</v>
      </c>
      <c r="AQ64" s="39" t="s">
        <v>805</v>
      </c>
      <c r="AR64" s="39" t="s">
        <v>805</v>
      </c>
      <c r="AS64" s="39" t="s">
        <v>805</v>
      </c>
      <c r="AT64" s="39" t="s">
        <v>805</v>
      </c>
      <c r="AU64" s="39" t="s">
        <v>805</v>
      </c>
      <c r="AV64" s="39" t="s">
        <v>805</v>
      </c>
      <c r="AW64" s="39" t="s">
        <v>805</v>
      </c>
      <c r="AX64" s="39" t="s">
        <v>805</v>
      </c>
      <c r="AY64" s="39" t="s">
        <v>805</v>
      </c>
      <c r="AZ64" s="39" t="s">
        <v>805</v>
      </c>
      <c r="BA64" s="39" t="s">
        <v>805</v>
      </c>
      <c r="BB64" s="39" t="s">
        <v>805</v>
      </c>
      <c r="BC64" s="39" t="s">
        <v>805</v>
      </c>
      <c r="BD64" s="39" t="s">
        <v>805</v>
      </c>
      <c r="BE64" s="39" t="s">
        <v>805</v>
      </c>
      <c r="BF64" s="39" t="s">
        <v>805</v>
      </c>
      <c r="BG64" s="39" t="s">
        <v>805</v>
      </c>
      <c r="BH64" s="39" t="s">
        <v>805</v>
      </c>
      <c r="BI64" s="39" t="s">
        <v>805</v>
      </c>
      <c r="BJ64" s="39" t="s">
        <v>805</v>
      </c>
      <c r="BK64" s="39" t="s">
        <v>805</v>
      </c>
      <c r="BL64" s="39" t="s">
        <v>805</v>
      </c>
      <c r="BM64" s="39" t="s">
        <v>805</v>
      </c>
      <c r="BN64" s="39" t="s">
        <v>805</v>
      </c>
      <c r="BO64" s="39" t="s">
        <v>805</v>
      </c>
      <c r="BP64" s="39" t="s">
        <v>805</v>
      </c>
      <c r="BQ64" s="39" t="s">
        <v>805</v>
      </c>
      <c r="BR64" s="39" t="s">
        <v>805</v>
      </c>
      <c r="BS64" s="39" t="s">
        <v>805</v>
      </c>
      <c r="BT64" s="39" t="s">
        <v>805</v>
      </c>
      <c r="BU64" s="39" t="s">
        <v>805</v>
      </c>
      <c r="BV64" s="39" t="s">
        <v>805</v>
      </c>
      <c r="BW64" s="39" t="s">
        <v>805</v>
      </c>
      <c r="BX64" s="39" t="s">
        <v>805</v>
      </c>
      <c r="BY64" s="39" t="s">
        <v>805</v>
      </c>
      <c r="BZ64" s="39" t="s">
        <v>805</v>
      </c>
      <c r="CA64" s="39" t="s">
        <v>805</v>
      </c>
      <c r="CB64" s="39" t="s">
        <v>805</v>
      </c>
      <c r="CC64" s="39" t="s">
        <v>805</v>
      </c>
      <c r="CD64" s="39" t="s">
        <v>805</v>
      </c>
      <c r="CE64" s="39" t="s">
        <v>805</v>
      </c>
      <c r="CF64" s="39" t="s">
        <v>805</v>
      </c>
      <c r="CG64" s="39" t="s">
        <v>805</v>
      </c>
      <c r="CH64" s="39" t="s">
        <v>805</v>
      </c>
      <c r="CI64" s="39" t="s">
        <v>805</v>
      </c>
      <c r="CJ64" s="39" t="s">
        <v>805</v>
      </c>
      <c r="CK64" s="39" t="s">
        <v>805</v>
      </c>
      <c r="CL64" s="39" t="s">
        <v>805</v>
      </c>
      <c r="CM64" s="39" t="s">
        <v>805</v>
      </c>
      <c r="CN64" s="39" t="s">
        <v>805</v>
      </c>
      <c r="CO64" s="39" t="s">
        <v>805</v>
      </c>
      <c r="CP64" s="39" t="s">
        <v>805</v>
      </c>
      <c r="CQ64" s="39" t="s">
        <v>805</v>
      </c>
      <c r="CR64" s="39" t="s">
        <v>805</v>
      </c>
      <c r="CS64" s="39" t="s">
        <v>805</v>
      </c>
      <c r="CT64" s="39" t="s">
        <v>805</v>
      </c>
      <c r="CU64" s="39" t="s">
        <v>805</v>
      </c>
      <c r="CV64" s="39" t="s">
        <v>805</v>
      </c>
      <c r="CW64" s="39" t="s">
        <v>805</v>
      </c>
      <c r="CX64" s="39" t="s">
        <v>805</v>
      </c>
      <c r="CY64" s="39" t="s">
        <v>805</v>
      </c>
      <c r="CZ64" s="39" t="s">
        <v>805</v>
      </c>
      <c r="DA64" s="39" t="s">
        <v>805</v>
      </c>
      <c r="DB64" s="39" t="s">
        <v>805</v>
      </c>
      <c r="DC64" s="39" t="s">
        <v>805</v>
      </c>
      <c r="DD64" s="39" t="s">
        <v>805</v>
      </c>
      <c r="DE64" s="39" t="s">
        <v>805</v>
      </c>
      <c r="DF64" s="39" t="s">
        <v>805</v>
      </c>
      <c r="DG64" s="28" t="e">
        <f>'KPI Count-SHARE'!#REF!</f>
        <v>#REF!</v>
      </c>
      <c r="DH64" s="105"/>
      <c r="DI64" s="105"/>
      <c r="DJ64" s="105"/>
      <c r="DK64" s="28" t="e">
        <f>'KPI Count-SHARE'!#REF!</f>
        <v>#REF!</v>
      </c>
      <c r="DL64" s="39"/>
      <c r="DM64" s="39"/>
      <c r="DN64" s="39"/>
      <c r="DO64" s="28" t="e">
        <f>'KPI Count-SHARE'!#REF!</f>
        <v>#REF!</v>
      </c>
      <c r="DP64" s="61"/>
      <c r="DQ64" s="61"/>
      <c r="DR64" s="61"/>
      <c r="DS64" s="28" t="e">
        <f>'KPI Count-SHARE'!#REF!</f>
        <v>#REF!</v>
      </c>
      <c r="DT64" s="39"/>
      <c r="DU64" s="39"/>
      <c r="DV64" s="39"/>
      <c r="DW64" s="30" t="s">
        <v>533</v>
      </c>
      <c r="DX64" s="39" t="str">
        <f t="shared" si="310"/>
        <v/>
      </c>
      <c r="DY64" s="39" t="str">
        <f t="shared" si="311"/>
        <v/>
      </c>
      <c r="DZ64" s="39" t="str">
        <f t="shared" si="312"/>
        <v/>
      </c>
      <c r="EA64" s="39" t="str">
        <f t="shared" si="179"/>
        <v/>
      </c>
      <c r="EB64" s="39" t="str">
        <f t="shared" si="180"/>
        <v/>
      </c>
      <c r="EC64" s="39" t="str">
        <f t="shared" si="181"/>
        <v/>
      </c>
      <c r="ED64" s="39" t="str">
        <f t="shared" si="313"/>
        <v/>
      </c>
      <c r="EE64" s="39" t="str">
        <f t="shared" si="314"/>
        <v/>
      </c>
      <c r="EF64" s="39" t="str">
        <f t="shared" si="315"/>
        <v/>
      </c>
      <c r="EG64" s="39" t="str">
        <f t="shared" si="316"/>
        <v/>
      </c>
      <c r="EH64" s="39" t="str">
        <f t="shared" si="317"/>
        <v/>
      </c>
      <c r="EI64" s="39" t="str">
        <f t="shared" si="318"/>
        <v/>
      </c>
      <c r="EJ64" s="39" t="str">
        <f t="shared" si="318"/>
        <v/>
      </c>
      <c r="EK64" s="39" t="str">
        <f t="shared" si="318"/>
        <v/>
      </c>
      <c r="EL64" s="39" t="str">
        <f t="shared" si="318"/>
        <v/>
      </c>
      <c r="EM64" s="39" t="str">
        <f t="shared" si="318"/>
        <v/>
      </c>
      <c r="EN64" s="39" t="str">
        <f t="shared" si="318"/>
        <v/>
      </c>
      <c r="EO64" s="39" t="str">
        <f t="shared" si="318"/>
        <v/>
      </c>
      <c r="EP64" s="39" t="str">
        <f t="shared" si="318"/>
        <v/>
      </c>
      <c r="EQ64" s="39" t="str">
        <f t="shared" si="318"/>
        <v/>
      </c>
      <c r="ER64" s="39" t="str">
        <f t="shared" si="318"/>
        <v/>
      </c>
      <c r="ES64" s="39" t="str">
        <f t="shared" si="318"/>
        <v/>
      </c>
      <c r="ET64" s="39" t="str">
        <f t="shared" si="318"/>
        <v/>
      </c>
      <c r="EU64" s="39" t="str">
        <f t="shared" si="319"/>
        <v/>
      </c>
      <c r="EV64" s="39" t="str">
        <f t="shared" si="320"/>
        <v/>
      </c>
      <c r="EW64" s="39" t="str">
        <f t="shared" si="321"/>
        <v/>
      </c>
      <c r="EX64" s="39" t="str">
        <f t="shared" si="322"/>
        <v/>
      </c>
      <c r="EY64" s="39" t="str">
        <f t="shared" si="323"/>
        <v/>
      </c>
      <c r="EZ64" s="39" t="str">
        <f t="shared" si="324"/>
        <v/>
      </c>
      <c r="FA64" s="39" t="str">
        <f t="shared" si="325"/>
        <v/>
      </c>
      <c r="FB64" s="39" t="str">
        <f t="shared" si="326"/>
        <v/>
      </c>
      <c r="FC64" s="39" t="str">
        <f t="shared" si="327"/>
        <v/>
      </c>
      <c r="FD64" s="39" t="str">
        <f t="shared" si="328"/>
        <v/>
      </c>
      <c r="FE64" s="39" t="str">
        <f t="shared" si="329"/>
        <v/>
      </c>
      <c r="FF64" s="39" t="str">
        <f t="shared" si="330"/>
        <v/>
      </c>
      <c r="FG64" s="39" t="str">
        <f t="shared" si="331"/>
        <v/>
      </c>
      <c r="FH64" s="39" t="str">
        <f t="shared" si="332"/>
        <v/>
      </c>
      <c r="FI64" s="39" t="str">
        <f t="shared" si="333"/>
        <v/>
      </c>
      <c r="FJ64" s="39" t="str">
        <f t="shared" si="334"/>
        <v/>
      </c>
      <c r="FK64" s="39" t="str">
        <f t="shared" si="335"/>
        <v/>
      </c>
      <c r="FL64" s="39" t="str">
        <f t="shared" si="336"/>
        <v/>
      </c>
      <c r="FM64" s="39" t="str">
        <f t="shared" si="337"/>
        <v/>
      </c>
      <c r="FN64" s="39" t="str">
        <f t="shared" si="338"/>
        <v/>
      </c>
      <c r="FO64" s="39" t="str">
        <f t="shared" si="339"/>
        <v/>
      </c>
      <c r="FP64" s="39" t="str">
        <f t="shared" si="340"/>
        <v/>
      </c>
      <c r="FQ64" s="39" t="str">
        <f t="shared" si="341"/>
        <v/>
      </c>
      <c r="FR64" s="39" t="str">
        <f t="shared" si="342"/>
        <v/>
      </c>
      <c r="FS64" s="39" t="str">
        <f t="shared" si="343"/>
        <v/>
      </c>
      <c r="FT64" s="39" t="str">
        <f t="shared" si="344"/>
        <v/>
      </c>
      <c r="FU64" s="39" t="str">
        <f t="shared" si="345"/>
        <v/>
      </c>
      <c r="FV64" s="39" t="str">
        <f t="shared" si="346"/>
        <v/>
      </c>
      <c r="FW64" s="39" t="str">
        <f t="shared" si="347"/>
        <v/>
      </c>
      <c r="FX64" s="39" t="str">
        <f t="shared" si="348"/>
        <v/>
      </c>
      <c r="FY64" s="39" t="str">
        <f t="shared" si="349"/>
        <v/>
      </c>
      <c r="FZ64" s="39" t="str">
        <f t="shared" si="350"/>
        <v/>
      </c>
      <c r="GA64" s="39" t="str">
        <f t="shared" si="351"/>
        <v/>
      </c>
      <c r="GB64" s="39" t="str">
        <f t="shared" si="352"/>
        <v/>
      </c>
      <c r="GC64" s="39" t="str">
        <f t="shared" si="353"/>
        <v/>
      </c>
      <c r="GD64" s="39" t="str">
        <f t="shared" si="354"/>
        <v/>
      </c>
      <c r="GE64" s="39" t="str">
        <f t="shared" si="355"/>
        <v/>
      </c>
      <c r="GF64" s="39" t="str">
        <f t="shared" si="356"/>
        <v/>
      </c>
      <c r="GG64" s="39" t="str">
        <f t="shared" si="357"/>
        <v/>
      </c>
      <c r="GH64" s="39" t="str">
        <f t="shared" si="358"/>
        <v/>
      </c>
      <c r="GI64" s="39" t="str">
        <f t="shared" si="359"/>
        <v/>
      </c>
      <c r="GJ64" s="39" t="str">
        <f t="shared" si="360"/>
        <v/>
      </c>
      <c r="GK64" s="39" t="str">
        <f t="shared" si="361"/>
        <v/>
      </c>
      <c r="GL64" s="39" t="str">
        <f t="shared" si="362"/>
        <v/>
      </c>
      <c r="GM64" s="39" t="str">
        <f t="shared" si="363"/>
        <v/>
      </c>
      <c r="GN64" s="39" t="str">
        <f t="shared" si="364"/>
        <v/>
      </c>
      <c r="GO64" s="39" t="str">
        <f t="shared" si="365"/>
        <v/>
      </c>
      <c r="GP64" s="39" t="str">
        <f t="shared" si="366"/>
        <v/>
      </c>
      <c r="GQ64" s="39" t="str">
        <f t="shared" si="367"/>
        <v/>
      </c>
      <c r="GR64" s="39" t="str">
        <f t="shared" si="368"/>
        <v/>
      </c>
      <c r="GS64" s="39" t="str">
        <f t="shared" si="369"/>
        <v/>
      </c>
      <c r="GT64" s="39" t="str">
        <f t="shared" si="370"/>
        <v/>
      </c>
      <c r="GU64" s="39" t="str">
        <f t="shared" si="371"/>
        <v/>
      </c>
      <c r="GV64" s="39" t="str">
        <f t="shared" si="372"/>
        <v/>
      </c>
      <c r="GW64" s="39" t="str">
        <f t="shared" si="373"/>
        <v/>
      </c>
      <c r="GX64" s="39" t="str">
        <f t="shared" si="374"/>
        <v/>
      </c>
      <c r="GY64" s="39" t="str">
        <f t="shared" si="375"/>
        <v/>
      </c>
      <c r="GZ64" s="39" t="str">
        <f t="shared" si="376"/>
        <v/>
      </c>
      <c r="HA64" s="39" t="str">
        <f t="shared" si="377"/>
        <v/>
      </c>
      <c r="HB64" s="39" t="str">
        <f t="shared" si="378"/>
        <v/>
      </c>
      <c r="HC64" s="39" t="str">
        <f t="shared" si="379"/>
        <v/>
      </c>
      <c r="HD64" s="39" t="str">
        <f t="shared" si="380"/>
        <v/>
      </c>
      <c r="HE64" s="39" t="str">
        <f t="shared" si="381"/>
        <v/>
      </c>
      <c r="HF64" s="39" t="str">
        <f t="shared" si="382"/>
        <v/>
      </c>
      <c r="HG64" s="39" t="str">
        <f t="shared" si="383"/>
        <v/>
      </c>
      <c r="HH64" s="39" t="str">
        <f t="shared" si="384"/>
        <v/>
      </c>
      <c r="HI64" s="39" t="str">
        <f t="shared" si="385"/>
        <v/>
      </c>
      <c r="HJ64" s="39" t="str">
        <f t="shared" si="386"/>
        <v/>
      </c>
      <c r="HK64" s="39" t="str">
        <f t="shared" si="387"/>
        <v/>
      </c>
      <c r="HL64" s="39" t="str">
        <f t="shared" si="388"/>
        <v/>
      </c>
      <c r="HM64" s="39" t="str">
        <f t="shared" si="389"/>
        <v/>
      </c>
      <c r="HN64" s="39" t="str">
        <f t="shared" si="390"/>
        <v/>
      </c>
      <c r="HO64" s="39" t="str">
        <f t="shared" si="391"/>
        <v/>
      </c>
      <c r="HP64" s="39" t="str">
        <f t="shared" si="392"/>
        <v/>
      </c>
      <c r="HQ64" s="39" t="str">
        <f t="shared" si="393"/>
        <v/>
      </c>
      <c r="HR64" s="39" t="str">
        <f t="shared" si="394"/>
        <v/>
      </c>
      <c r="HS64" s="39" t="str">
        <f t="shared" si="395"/>
        <v/>
      </c>
      <c r="HT64" s="39" t="str">
        <f t="shared" si="395"/>
        <v/>
      </c>
      <c r="HU64" s="83" t="str">
        <f t="shared" si="182"/>
        <v>-</v>
      </c>
      <c r="HV64" s="84" t="str">
        <f t="shared" si="396"/>
        <v/>
      </c>
      <c r="HW64" s="85" t="str">
        <f t="shared" si="397"/>
        <v/>
      </c>
      <c r="HX64" s="84" t="str">
        <f t="shared" si="183"/>
        <v/>
      </c>
      <c r="HY64" s="84" t="str">
        <f t="shared" si="398"/>
        <v/>
      </c>
      <c r="HZ64" s="84" t="str">
        <f t="shared" si="399"/>
        <v/>
      </c>
      <c r="IA64" s="83" t="str">
        <f t="shared" si="400"/>
        <v/>
      </c>
      <c r="IB64" s="84" t="str">
        <f t="shared" si="401"/>
        <v/>
      </c>
      <c r="IC64" s="85" t="str">
        <f t="shared" si="402"/>
        <v/>
      </c>
      <c r="ID64" s="83" t="str">
        <f t="shared" si="403"/>
        <v/>
      </c>
      <c r="IE64" s="84" t="str">
        <f t="shared" si="404"/>
        <v/>
      </c>
      <c r="IF64" s="85" t="str">
        <f t="shared" si="405"/>
        <v/>
      </c>
      <c r="IH64" s="66">
        <v>64</v>
      </c>
      <c r="II64" s="66" t="e">
        <f t="shared" ca="1" si="192"/>
        <v>#N/A</v>
      </c>
      <c r="IJ64" s="66" t="e">
        <f t="shared" ca="1" si="193"/>
        <v>#N/A</v>
      </c>
      <c r="IK64" s="66" t="e">
        <f t="shared" ca="1" si="194"/>
        <v>#N/A</v>
      </c>
      <c r="IL64" s="66" t="e">
        <f t="shared" ca="1" si="195"/>
        <v>#N/A</v>
      </c>
      <c r="IM64" s="33"/>
      <c r="IN64" s="74" t="e">
        <f t="shared" ca="1" si="184"/>
        <v>#N/A</v>
      </c>
      <c r="IO64" s="75" t="e">
        <f t="shared" ca="1" si="185"/>
        <v>#N/A</v>
      </c>
      <c r="IP64" s="75" t="e">
        <f t="shared" ca="1" si="186"/>
        <v>#N/A</v>
      </c>
      <c r="IQ64" s="74" t="e">
        <f t="shared" ca="1" si="187"/>
        <v>#N/A</v>
      </c>
      <c r="IR64" s="74" t="e">
        <f t="shared" ca="1" si="188"/>
        <v>#N/A</v>
      </c>
    </row>
    <row r="65" spans="1:252" s="1" customFormat="1" x14ac:dyDescent="0.35">
      <c r="A65" s="33">
        <v>0</v>
      </c>
      <c r="B65" s="33">
        <v>0</v>
      </c>
      <c r="C65" s="33">
        <v>1</v>
      </c>
      <c r="E65" s="4"/>
      <c r="F65" t="s">
        <v>330</v>
      </c>
      <c r="G65" s="5" t="s">
        <v>540</v>
      </c>
      <c r="H65" s="4" t="s">
        <v>533</v>
      </c>
      <c r="I65" s="8" t="s">
        <v>534</v>
      </c>
      <c r="J65" s="276" t="s">
        <v>805</v>
      </c>
      <c r="K65" s="39" t="s">
        <v>805</v>
      </c>
      <c r="L65" s="39" t="s">
        <v>805</v>
      </c>
      <c r="M65" s="39" t="s">
        <v>805</v>
      </c>
      <c r="N65" s="39" t="s">
        <v>805</v>
      </c>
      <c r="O65" s="39" t="s">
        <v>805</v>
      </c>
      <c r="P65" s="39" t="s">
        <v>805</v>
      </c>
      <c r="Q65" s="39" t="s">
        <v>805</v>
      </c>
      <c r="R65" s="39" t="s">
        <v>805</v>
      </c>
      <c r="S65" s="39" t="s">
        <v>805</v>
      </c>
      <c r="T65" s="39" t="s">
        <v>805</v>
      </c>
      <c r="U65" s="39" t="s">
        <v>805</v>
      </c>
      <c r="V65" s="39" t="s">
        <v>805</v>
      </c>
      <c r="W65" s="39" t="s">
        <v>805</v>
      </c>
      <c r="X65" s="39" t="s">
        <v>805</v>
      </c>
      <c r="Y65" s="39" t="s">
        <v>805</v>
      </c>
      <c r="Z65" s="39" t="s">
        <v>805</v>
      </c>
      <c r="AA65" s="39" t="s">
        <v>805</v>
      </c>
      <c r="AB65" s="39" t="s">
        <v>805</v>
      </c>
      <c r="AC65" s="39" t="s">
        <v>805</v>
      </c>
      <c r="AD65" s="39" t="s">
        <v>805</v>
      </c>
      <c r="AE65" s="39" t="s">
        <v>805</v>
      </c>
      <c r="AF65" s="39" t="s">
        <v>805</v>
      </c>
      <c r="AG65" s="39" t="s">
        <v>805</v>
      </c>
      <c r="AH65" s="39" t="s">
        <v>805</v>
      </c>
      <c r="AI65" s="39" t="s">
        <v>805</v>
      </c>
      <c r="AJ65" s="39" t="s">
        <v>805</v>
      </c>
      <c r="AK65" s="39" t="s">
        <v>805</v>
      </c>
      <c r="AL65" s="39" t="s">
        <v>805</v>
      </c>
      <c r="AM65" s="39" t="s">
        <v>805</v>
      </c>
      <c r="AN65" s="39" t="s">
        <v>805</v>
      </c>
      <c r="AO65" s="39" t="s">
        <v>805</v>
      </c>
      <c r="AP65" s="39" t="s">
        <v>805</v>
      </c>
      <c r="AQ65" s="39" t="s">
        <v>805</v>
      </c>
      <c r="AR65" s="39" t="s">
        <v>805</v>
      </c>
      <c r="AS65" s="39" t="s">
        <v>805</v>
      </c>
      <c r="AT65" s="39" t="s">
        <v>805</v>
      </c>
      <c r="AU65" s="39" t="s">
        <v>805</v>
      </c>
      <c r="AV65" s="39" t="s">
        <v>805</v>
      </c>
      <c r="AW65" s="39" t="s">
        <v>805</v>
      </c>
      <c r="AX65" s="39" t="s">
        <v>805</v>
      </c>
      <c r="AY65" s="39" t="s">
        <v>805</v>
      </c>
      <c r="AZ65" s="39" t="s">
        <v>805</v>
      </c>
      <c r="BA65" s="39" t="s">
        <v>805</v>
      </c>
      <c r="BB65" s="39" t="s">
        <v>805</v>
      </c>
      <c r="BC65" s="39" t="s">
        <v>805</v>
      </c>
      <c r="BD65" s="39" t="s">
        <v>805</v>
      </c>
      <c r="BE65" s="39" t="s">
        <v>805</v>
      </c>
      <c r="BF65" s="39" t="s">
        <v>805</v>
      </c>
      <c r="BG65" s="39" t="s">
        <v>805</v>
      </c>
      <c r="BH65" s="39" t="s">
        <v>805</v>
      </c>
      <c r="BI65" s="39" t="s">
        <v>805</v>
      </c>
      <c r="BJ65" s="39" t="s">
        <v>805</v>
      </c>
      <c r="BK65" s="39" t="s">
        <v>805</v>
      </c>
      <c r="BL65" s="39" t="s">
        <v>805</v>
      </c>
      <c r="BM65" s="39" t="s">
        <v>805</v>
      </c>
      <c r="BN65" s="39" t="s">
        <v>805</v>
      </c>
      <c r="BO65" s="39" t="s">
        <v>805</v>
      </c>
      <c r="BP65" s="39" t="s">
        <v>805</v>
      </c>
      <c r="BQ65" s="39" t="s">
        <v>805</v>
      </c>
      <c r="BR65" s="39" t="s">
        <v>805</v>
      </c>
      <c r="BS65" s="39" t="s">
        <v>805</v>
      </c>
      <c r="BT65" s="39" t="s">
        <v>805</v>
      </c>
      <c r="BU65" s="39" t="s">
        <v>805</v>
      </c>
      <c r="BV65" s="39" t="s">
        <v>805</v>
      </c>
      <c r="BW65" s="39" t="s">
        <v>805</v>
      </c>
      <c r="BX65" s="39" t="s">
        <v>805</v>
      </c>
      <c r="BY65" s="39" t="s">
        <v>805</v>
      </c>
      <c r="BZ65" s="39" t="s">
        <v>805</v>
      </c>
      <c r="CA65" s="39" t="s">
        <v>805</v>
      </c>
      <c r="CB65" s="39" t="s">
        <v>805</v>
      </c>
      <c r="CC65" s="39" t="s">
        <v>805</v>
      </c>
      <c r="CD65" s="39" t="s">
        <v>805</v>
      </c>
      <c r="CE65" s="39" t="s">
        <v>805</v>
      </c>
      <c r="CF65" s="39" t="s">
        <v>805</v>
      </c>
      <c r="CG65" s="39" t="s">
        <v>805</v>
      </c>
      <c r="CH65" s="39" t="s">
        <v>805</v>
      </c>
      <c r="CI65" s="39" t="s">
        <v>805</v>
      </c>
      <c r="CJ65" s="39" t="s">
        <v>805</v>
      </c>
      <c r="CK65" s="39" t="s">
        <v>805</v>
      </c>
      <c r="CL65" s="39" t="s">
        <v>805</v>
      </c>
      <c r="CM65" s="39" t="s">
        <v>805</v>
      </c>
      <c r="CN65" s="39" t="s">
        <v>805</v>
      </c>
      <c r="CO65" s="39" t="s">
        <v>805</v>
      </c>
      <c r="CP65" s="39" t="s">
        <v>805</v>
      </c>
      <c r="CQ65" s="39" t="s">
        <v>805</v>
      </c>
      <c r="CR65" s="39" t="s">
        <v>805</v>
      </c>
      <c r="CS65" s="39" t="s">
        <v>805</v>
      </c>
      <c r="CT65" s="39" t="s">
        <v>805</v>
      </c>
      <c r="CU65" s="39" t="s">
        <v>805</v>
      </c>
      <c r="CV65" s="39" t="s">
        <v>805</v>
      </c>
      <c r="CW65" s="39" t="s">
        <v>805</v>
      </c>
      <c r="CX65" s="39" t="s">
        <v>805</v>
      </c>
      <c r="CY65" s="39" t="s">
        <v>805</v>
      </c>
      <c r="CZ65" s="39" t="s">
        <v>805</v>
      </c>
      <c r="DA65" s="39" t="s">
        <v>805</v>
      </c>
      <c r="DB65" s="39" t="s">
        <v>805</v>
      </c>
      <c r="DC65" s="39" t="s">
        <v>805</v>
      </c>
      <c r="DD65" s="39" t="s">
        <v>805</v>
      </c>
      <c r="DE65" s="39" t="s">
        <v>805</v>
      </c>
      <c r="DF65" s="39" t="s">
        <v>805</v>
      </c>
      <c r="DG65" s="28">
        <f>'KPI Count-SHARE'!J58</f>
        <v>0</v>
      </c>
      <c r="DH65" s="105"/>
      <c r="DI65" s="105"/>
      <c r="DJ65" s="105"/>
      <c r="DK65" s="28">
        <f>'KPI Count-SHARE'!K58</f>
        <v>0</v>
      </c>
      <c r="DL65" s="39"/>
      <c r="DM65" s="39"/>
      <c r="DN65" s="39"/>
      <c r="DO65" s="28">
        <f>'KPI Count-SHARE'!L58</f>
        <v>0</v>
      </c>
      <c r="DP65" s="61"/>
      <c r="DQ65" s="61"/>
      <c r="DR65" s="61"/>
      <c r="DS65" s="28">
        <f>'KPI Count-SHARE'!M58</f>
        <v>0</v>
      </c>
      <c r="DT65" s="39"/>
      <c r="DU65" s="39"/>
      <c r="DV65" s="39"/>
      <c r="DW65" s="30" t="s">
        <v>533</v>
      </c>
      <c r="DX65" s="39" t="str">
        <f t="shared" si="310"/>
        <v/>
      </c>
      <c r="DY65" s="39" t="str">
        <f t="shared" si="311"/>
        <v/>
      </c>
      <c r="DZ65" s="39" t="str">
        <f t="shared" si="312"/>
        <v/>
      </c>
      <c r="EA65" s="39" t="str">
        <f t="shared" si="179"/>
        <v/>
      </c>
      <c r="EB65" s="39" t="str">
        <f t="shared" si="180"/>
        <v/>
      </c>
      <c r="EC65" s="39" t="str">
        <f t="shared" si="181"/>
        <v/>
      </c>
      <c r="ED65" s="39" t="str">
        <f t="shared" si="313"/>
        <v/>
      </c>
      <c r="EE65" s="39" t="str">
        <f t="shared" si="314"/>
        <v/>
      </c>
      <c r="EF65" s="39" t="str">
        <f t="shared" si="315"/>
        <v/>
      </c>
      <c r="EG65" s="39" t="str">
        <f t="shared" si="316"/>
        <v/>
      </c>
      <c r="EH65" s="39" t="str">
        <f t="shared" si="317"/>
        <v/>
      </c>
      <c r="EI65" s="39" t="str">
        <f t="shared" si="318"/>
        <v/>
      </c>
      <c r="EJ65" s="39" t="str">
        <f t="shared" si="318"/>
        <v/>
      </c>
      <c r="EK65" s="39" t="str">
        <f t="shared" si="318"/>
        <v/>
      </c>
      <c r="EL65" s="39" t="str">
        <f t="shared" si="318"/>
        <v/>
      </c>
      <c r="EM65" s="39" t="str">
        <f t="shared" si="318"/>
        <v/>
      </c>
      <c r="EN65" s="39" t="str">
        <f t="shared" si="318"/>
        <v/>
      </c>
      <c r="EO65" s="39" t="str">
        <f t="shared" si="318"/>
        <v/>
      </c>
      <c r="EP65" s="39" t="str">
        <f t="shared" si="318"/>
        <v/>
      </c>
      <c r="EQ65" s="39" t="str">
        <f t="shared" si="318"/>
        <v/>
      </c>
      <c r="ER65" s="39" t="str">
        <f t="shared" si="318"/>
        <v/>
      </c>
      <c r="ES65" s="39" t="str">
        <f t="shared" si="318"/>
        <v/>
      </c>
      <c r="ET65" s="39" t="str">
        <f t="shared" si="318"/>
        <v/>
      </c>
      <c r="EU65" s="39" t="str">
        <f t="shared" si="319"/>
        <v/>
      </c>
      <c r="EV65" s="39" t="str">
        <f t="shared" si="320"/>
        <v/>
      </c>
      <c r="EW65" s="39" t="str">
        <f t="shared" si="321"/>
        <v/>
      </c>
      <c r="EX65" s="39" t="str">
        <f t="shared" si="322"/>
        <v/>
      </c>
      <c r="EY65" s="39" t="str">
        <f t="shared" si="323"/>
        <v/>
      </c>
      <c r="EZ65" s="39" t="str">
        <f t="shared" si="324"/>
        <v/>
      </c>
      <c r="FA65" s="39" t="str">
        <f t="shared" si="325"/>
        <v/>
      </c>
      <c r="FB65" s="39" t="str">
        <f t="shared" si="326"/>
        <v/>
      </c>
      <c r="FC65" s="39" t="str">
        <f t="shared" si="327"/>
        <v/>
      </c>
      <c r="FD65" s="39" t="str">
        <f t="shared" si="328"/>
        <v/>
      </c>
      <c r="FE65" s="39" t="str">
        <f t="shared" si="329"/>
        <v/>
      </c>
      <c r="FF65" s="39" t="str">
        <f t="shared" si="330"/>
        <v/>
      </c>
      <c r="FG65" s="39" t="str">
        <f t="shared" si="331"/>
        <v/>
      </c>
      <c r="FH65" s="39" t="str">
        <f t="shared" si="332"/>
        <v/>
      </c>
      <c r="FI65" s="39" t="str">
        <f t="shared" si="333"/>
        <v/>
      </c>
      <c r="FJ65" s="39" t="str">
        <f t="shared" si="334"/>
        <v/>
      </c>
      <c r="FK65" s="39" t="str">
        <f t="shared" si="335"/>
        <v/>
      </c>
      <c r="FL65" s="39" t="str">
        <f t="shared" si="336"/>
        <v/>
      </c>
      <c r="FM65" s="39" t="str">
        <f t="shared" si="337"/>
        <v/>
      </c>
      <c r="FN65" s="39" t="str">
        <f t="shared" si="338"/>
        <v/>
      </c>
      <c r="FO65" s="39" t="str">
        <f t="shared" si="339"/>
        <v/>
      </c>
      <c r="FP65" s="39" t="str">
        <f t="shared" si="340"/>
        <v/>
      </c>
      <c r="FQ65" s="39" t="str">
        <f t="shared" si="341"/>
        <v/>
      </c>
      <c r="FR65" s="39" t="str">
        <f t="shared" si="342"/>
        <v/>
      </c>
      <c r="FS65" s="39" t="str">
        <f t="shared" si="343"/>
        <v/>
      </c>
      <c r="FT65" s="39" t="str">
        <f t="shared" si="344"/>
        <v/>
      </c>
      <c r="FU65" s="39" t="str">
        <f t="shared" si="345"/>
        <v/>
      </c>
      <c r="FV65" s="39" t="str">
        <f t="shared" si="346"/>
        <v/>
      </c>
      <c r="FW65" s="39" t="str">
        <f t="shared" si="347"/>
        <v/>
      </c>
      <c r="FX65" s="39" t="str">
        <f t="shared" si="348"/>
        <v/>
      </c>
      <c r="FY65" s="39" t="str">
        <f t="shared" si="349"/>
        <v/>
      </c>
      <c r="FZ65" s="39" t="str">
        <f t="shared" si="350"/>
        <v/>
      </c>
      <c r="GA65" s="39" t="str">
        <f t="shared" si="351"/>
        <v/>
      </c>
      <c r="GB65" s="39" t="str">
        <f t="shared" si="352"/>
        <v/>
      </c>
      <c r="GC65" s="39" t="str">
        <f t="shared" si="353"/>
        <v/>
      </c>
      <c r="GD65" s="39" t="str">
        <f t="shared" si="354"/>
        <v/>
      </c>
      <c r="GE65" s="39" t="str">
        <f t="shared" si="355"/>
        <v/>
      </c>
      <c r="GF65" s="39" t="str">
        <f t="shared" si="356"/>
        <v/>
      </c>
      <c r="GG65" s="39" t="str">
        <f t="shared" si="357"/>
        <v/>
      </c>
      <c r="GH65" s="39" t="str">
        <f t="shared" si="358"/>
        <v/>
      </c>
      <c r="GI65" s="39" t="str">
        <f t="shared" si="359"/>
        <v/>
      </c>
      <c r="GJ65" s="39" t="str">
        <f t="shared" si="360"/>
        <v/>
      </c>
      <c r="GK65" s="39" t="str">
        <f t="shared" si="361"/>
        <v/>
      </c>
      <c r="GL65" s="39" t="str">
        <f t="shared" si="362"/>
        <v/>
      </c>
      <c r="GM65" s="39" t="str">
        <f t="shared" si="363"/>
        <v/>
      </c>
      <c r="GN65" s="39" t="str">
        <f t="shared" si="364"/>
        <v/>
      </c>
      <c r="GO65" s="39" t="str">
        <f t="shared" si="365"/>
        <v/>
      </c>
      <c r="GP65" s="39" t="str">
        <f t="shared" si="366"/>
        <v/>
      </c>
      <c r="GQ65" s="39" t="str">
        <f t="shared" si="367"/>
        <v/>
      </c>
      <c r="GR65" s="39" t="str">
        <f t="shared" si="368"/>
        <v/>
      </c>
      <c r="GS65" s="39" t="str">
        <f t="shared" si="369"/>
        <v/>
      </c>
      <c r="GT65" s="39" t="str">
        <f t="shared" si="370"/>
        <v/>
      </c>
      <c r="GU65" s="39" t="str">
        <f t="shared" si="371"/>
        <v/>
      </c>
      <c r="GV65" s="39" t="str">
        <f t="shared" si="372"/>
        <v/>
      </c>
      <c r="GW65" s="39" t="str">
        <f t="shared" si="373"/>
        <v/>
      </c>
      <c r="GX65" s="39" t="str">
        <f t="shared" si="374"/>
        <v/>
      </c>
      <c r="GY65" s="39" t="str">
        <f t="shared" si="375"/>
        <v/>
      </c>
      <c r="GZ65" s="39" t="str">
        <f t="shared" si="376"/>
        <v/>
      </c>
      <c r="HA65" s="39" t="str">
        <f t="shared" si="377"/>
        <v/>
      </c>
      <c r="HB65" s="39" t="str">
        <f t="shared" si="378"/>
        <v/>
      </c>
      <c r="HC65" s="39" t="str">
        <f t="shared" si="379"/>
        <v/>
      </c>
      <c r="HD65" s="39" t="str">
        <f t="shared" si="380"/>
        <v/>
      </c>
      <c r="HE65" s="39" t="str">
        <f t="shared" si="381"/>
        <v/>
      </c>
      <c r="HF65" s="39" t="str">
        <f t="shared" si="382"/>
        <v/>
      </c>
      <c r="HG65" s="39" t="str">
        <f t="shared" si="383"/>
        <v/>
      </c>
      <c r="HH65" s="39" t="str">
        <f t="shared" si="384"/>
        <v/>
      </c>
      <c r="HI65" s="39" t="str">
        <f t="shared" si="385"/>
        <v/>
      </c>
      <c r="HJ65" s="39" t="str">
        <f t="shared" si="386"/>
        <v/>
      </c>
      <c r="HK65" s="39" t="str">
        <f t="shared" si="387"/>
        <v/>
      </c>
      <c r="HL65" s="39" t="str">
        <f t="shared" si="388"/>
        <v/>
      </c>
      <c r="HM65" s="39" t="str">
        <f t="shared" si="389"/>
        <v/>
      </c>
      <c r="HN65" s="39" t="str">
        <f t="shared" si="390"/>
        <v/>
      </c>
      <c r="HO65" s="39" t="str">
        <f t="shared" si="391"/>
        <v/>
      </c>
      <c r="HP65" s="39" t="str">
        <f t="shared" si="392"/>
        <v/>
      </c>
      <c r="HQ65" s="39" t="str">
        <f t="shared" si="393"/>
        <v/>
      </c>
      <c r="HR65" s="39" t="str">
        <f t="shared" si="394"/>
        <v/>
      </c>
      <c r="HS65" s="39" t="str">
        <f t="shared" si="395"/>
        <v/>
      </c>
      <c r="HT65" s="39" t="str">
        <f t="shared" si="395"/>
        <v/>
      </c>
      <c r="HU65" s="83" t="str">
        <f t="shared" si="182"/>
        <v>-</v>
      </c>
      <c r="HV65" s="84" t="str">
        <f t="shared" si="396"/>
        <v/>
      </c>
      <c r="HW65" s="85" t="str">
        <f t="shared" si="397"/>
        <v/>
      </c>
      <c r="HX65" s="84" t="str">
        <f t="shared" si="183"/>
        <v/>
      </c>
      <c r="HY65" s="84" t="str">
        <f t="shared" si="398"/>
        <v/>
      </c>
      <c r="HZ65" s="84" t="str">
        <f t="shared" si="399"/>
        <v/>
      </c>
      <c r="IA65" s="83" t="str">
        <f t="shared" si="400"/>
        <v/>
      </c>
      <c r="IB65" s="84" t="str">
        <f t="shared" si="401"/>
        <v/>
      </c>
      <c r="IC65" s="85" t="str">
        <f t="shared" si="402"/>
        <v/>
      </c>
      <c r="ID65" s="83" t="str">
        <f t="shared" si="403"/>
        <v/>
      </c>
      <c r="IE65" s="84" t="str">
        <f t="shared" si="404"/>
        <v/>
      </c>
      <c r="IF65" s="85" t="str">
        <f t="shared" si="405"/>
        <v/>
      </c>
      <c r="IH65" s="66">
        <v>65</v>
      </c>
      <c r="II65" s="66" t="e">
        <f t="shared" ca="1" si="192"/>
        <v>#N/A</v>
      </c>
      <c r="IJ65" s="66" t="e">
        <f t="shared" ca="1" si="193"/>
        <v>#N/A</v>
      </c>
      <c r="IK65" s="66" t="e">
        <f t="shared" ca="1" si="194"/>
        <v>#N/A</v>
      </c>
      <c r="IL65" s="66" t="e">
        <f t="shared" ca="1" si="195"/>
        <v>#N/A</v>
      </c>
      <c r="IM65" s="33"/>
      <c r="IN65" s="74" t="e">
        <f t="shared" ca="1" si="184"/>
        <v>#N/A</v>
      </c>
      <c r="IO65" s="75" t="e">
        <f t="shared" ca="1" si="185"/>
        <v>#N/A</v>
      </c>
      <c r="IP65" s="75" t="e">
        <f t="shared" ca="1" si="186"/>
        <v>#N/A</v>
      </c>
      <c r="IQ65" s="74" t="e">
        <f t="shared" ca="1" si="187"/>
        <v>#N/A</v>
      </c>
      <c r="IR65" s="74" t="e">
        <f t="shared" ca="1" si="188"/>
        <v>#N/A</v>
      </c>
    </row>
    <row r="66" spans="1:252" s="1" customFormat="1" x14ac:dyDescent="0.35">
      <c r="A66" s="33">
        <v>0</v>
      </c>
      <c r="B66" s="33">
        <v>0</v>
      </c>
      <c r="C66" s="33">
        <v>1</v>
      </c>
      <c r="E66" s="4"/>
      <c r="F66" t="s">
        <v>331</v>
      </c>
      <c r="G66" s="5" t="s">
        <v>540</v>
      </c>
      <c r="H66" s="4" t="s">
        <v>533</v>
      </c>
      <c r="I66" s="8" t="s">
        <v>534</v>
      </c>
      <c r="J66" s="276" t="s">
        <v>805</v>
      </c>
      <c r="K66" s="39" t="s">
        <v>805</v>
      </c>
      <c r="L66" s="39" t="s">
        <v>805</v>
      </c>
      <c r="M66" s="39" t="s">
        <v>805</v>
      </c>
      <c r="N66" s="39" t="s">
        <v>805</v>
      </c>
      <c r="O66" s="39" t="s">
        <v>805</v>
      </c>
      <c r="P66" s="39" t="s">
        <v>805</v>
      </c>
      <c r="Q66" s="39" t="s">
        <v>805</v>
      </c>
      <c r="R66" s="39" t="s">
        <v>805</v>
      </c>
      <c r="S66" s="39" t="s">
        <v>805</v>
      </c>
      <c r="T66" s="39" t="s">
        <v>805</v>
      </c>
      <c r="U66" s="39" t="s">
        <v>805</v>
      </c>
      <c r="V66" s="39" t="s">
        <v>805</v>
      </c>
      <c r="W66" s="39" t="s">
        <v>805</v>
      </c>
      <c r="X66" s="39" t="s">
        <v>805</v>
      </c>
      <c r="Y66" s="39" t="s">
        <v>805</v>
      </c>
      <c r="Z66" s="39" t="s">
        <v>805</v>
      </c>
      <c r="AA66" s="39" t="s">
        <v>805</v>
      </c>
      <c r="AB66" s="39" t="s">
        <v>805</v>
      </c>
      <c r="AC66" s="39" t="s">
        <v>805</v>
      </c>
      <c r="AD66" s="39" t="s">
        <v>805</v>
      </c>
      <c r="AE66" s="39" t="s">
        <v>805</v>
      </c>
      <c r="AF66" s="39" t="s">
        <v>805</v>
      </c>
      <c r="AG66" s="39" t="s">
        <v>805</v>
      </c>
      <c r="AH66" s="39" t="s">
        <v>805</v>
      </c>
      <c r="AI66" s="39" t="s">
        <v>805</v>
      </c>
      <c r="AJ66" s="39" t="s">
        <v>805</v>
      </c>
      <c r="AK66" s="39" t="s">
        <v>805</v>
      </c>
      <c r="AL66" s="39" t="s">
        <v>805</v>
      </c>
      <c r="AM66" s="39" t="s">
        <v>805</v>
      </c>
      <c r="AN66" s="39" t="s">
        <v>805</v>
      </c>
      <c r="AO66" s="39" t="s">
        <v>805</v>
      </c>
      <c r="AP66" s="39" t="s">
        <v>805</v>
      </c>
      <c r="AQ66" s="39" t="s">
        <v>805</v>
      </c>
      <c r="AR66" s="39" t="s">
        <v>805</v>
      </c>
      <c r="AS66" s="39" t="s">
        <v>805</v>
      </c>
      <c r="AT66" s="39" t="s">
        <v>805</v>
      </c>
      <c r="AU66" s="39" t="s">
        <v>805</v>
      </c>
      <c r="AV66" s="39" t="s">
        <v>805</v>
      </c>
      <c r="AW66" s="39" t="s">
        <v>805</v>
      </c>
      <c r="AX66" s="39" t="s">
        <v>805</v>
      </c>
      <c r="AY66" s="39" t="s">
        <v>805</v>
      </c>
      <c r="AZ66" s="39" t="s">
        <v>805</v>
      </c>
      <c r="BA66" s="39" t="s">
        <v>805</v>
      </c>
      <c r="BB66" s="39" t="s">
        <v>805</v>
      </c>
      <c r="BC66" s="39" t="s">
        <v>805</v>
      </c>
      <c r="BD66" s="39" t="s">
        <v>805</v>
      </c>
      <c r="BE66" s="39" t="s">
        <v>805</v>
      </c>
      <c r="BF66" s="39" t="s">
        <v>805</v>
      </c>
      <c r="BG66" s="39" t="s">
        <v>805</v>
      </c>
      <c r="BH66" s="39" t="s">
        <v>805</v>
      </c>
      <c r="BI66" s="39" t="s">
        <v>805</v>
      </c>
      <c r="BJ66" s="39" t="s">
        <v>805</v>
      </c>
      <c r="BK66" s="39" t="s">
        <v>805</v>
      </c>
      <c r="BL66" s="39" t="s">
        <v>805</v>
      </c>
      <c r="BM66" s="39" t="s">
        <v>805</v>
      </c>
      <c r="BN66" s="39" t="s">
        <v>805</v>
      </c>
      <c r="BO66" s="39" t="s">
        <v>805</v>
      </c>
      <c r="BP66" s="39" t="s">
        <v>805</v>
      </c>
      <c r="BQ66" s="39" t="s">
        <v>805</v>
      </c>
      <c r="BR66" s="39" t="s">
        <v>805</v>
      </c>
      <c r="BS66" s="39" t="s">
        <v>805</v>
      </c>
      <c r="BT66" s="39" t="s">
        <v>805</v>
      </c>
      <c r="BU66" s="39" t="s">
        <v>805</v>
      </c>
      <c r="BV66" s="39" t="s">
        <v>805</v>
      </c>
      <c r="BW66" s="39" t="s">
        <v>805</v>
      </c>
      <c r="BX66" s="39" t="s">
        <v>805</v>
      </c>
      <c r="BY66" s="39" t="s">
        <v>805</v>
      </c>
      <c r="BZ66" s="39" t="s">
        <v>805</v>
      </c>
      <c r="CA66" s="39" t="s">
        <v>805</v>
      </c>
      <c r="CB66" s="39" t="s">
        <v>805</v>
      </c>
      <c r="CC66" s="39" t="s">
        <v>805</v>
      </c>
      <c r="CD66" s="39" t="s">
        <v>805</v>
      </c>
      <c r="CE66" s="39" t="s">
        <v>805</v>
      </c>
      <c r="CF66" s="39" t="s">
        <v>805</v>
      </c>
      <c r="CG66" s="39" t="s">
        <v>805</v>
      </c>
      <c r="CH66" s="39" t="s">
        <v>805</v>
      </c>
      <c r="CI66" s="39" t="s">
        <v>805</v>
      </c>
      <c r="CJ66" s="39" t="s">
        <v>805</v>
      </c>
      <c r="CK66" s="39" t="s">
        <v>805</v>
      </c>
      <c r="CL66" s="39" t="s">
        <v>805</v>
      </c>
      <c r="CM66" s="39" t="s">
        <v>805</v>
      </c>
      <c r="CN66" s="39" t="s">
        <v>805</v>
      </c>
      <c r="CO66" s="39" t="s">
        <v>805</v>
      </c>
      <c r="CP66" s="39" t="s">
        <v>805</v>
      </c>
      <c r="CQ66" s="39" t="s">
        <v>805</v>
      </c>
      <c r="CR66" s="39" t="s">
        <v>805</v>
      </c>
      <c r="CS66" s="39" t="s">
        <v>805</v>
      </c>
      <c r="CT66" s="39" t="s">
        <v>805</v>
      </c>
      <c r="CU66" s="39" t="s">
        <v>805</v>
      </c>
      <c r="CV66" s="39" t="s">
        <v>805</v>
      </c>
      <c r="CW66" s="39" t="s">
        <v>805</v>
      </c>
      <c r="CX66" s="39" t="s">
        <v>805</v>
      </c>
      <c r="CY66" s="39" t="s">
        <v>805</v>
      </c>
      <c r="CZ66" s="39" t="s">
        <v>805</v>
      </c>
      <c r="DA66" s="39" t="s">
        <v>805</v>
      </c>
      <c r="DB66" s="39" t="s">
        <v>805</v>
      </c>
      <c r="DC66" s="39" t="s">
        <v>805</v>
      </c>
      <c r="DD66" s="39" t="s">
        <v>805</v>
      </c>
      <c r="DE66" s="39" t="s">
        <v>805</v>
      </c>
      <c r="DF66" s="39" t="s">
        <v>805</v>
      </c>
      <c r="DG66" s="28">
        <f>'KPI Count-SHARE'!J59</f>
        <v>0</v>
      </c>
      <c r="DH66" s="105"/>
      <c r="DI66" s="105"/>
      <c r="DJ66" s="105"/>
      <c r="DK66" s="28">
        <f>'KPI Count-SHARE'!K59</f>
        <v>0</v>
      </c>
      <c r="DL66" s="39"/>
      <c r="DM66" s="39"/>
      <c r="DN66" s="39"/>
      <c r="DO66" s="28">
        <f>'KPI Count-SHARE'!L59</f>
        <v>0</v>
      </c>
      <c r="DP66" s="61"/>
      <c r="DQ66" s="61"/>
      <c r="DR66" s="61"/>
      <c r="DS66" s="28">
        <f>'KPI Count-SHARE'!M59</f>
        <v>0</v>
      </c>
      <c r="DT66" s="39"/>
      <c r="DU66" s="39"/>
      <c r="DV66" s="39"/>
      <c r="DW66" s="30" t="s">
        <v>533</v>
      </c>
      <c r="DX66" s="39" t="str">
        <f t="shared" si="310"/>
        <v/>
      </c>
      <c r="DY66" s="39" t="str">
        <f t="shared" si="311"/>
        <v/>
      </c>
      <c r="DZ66" s="39" t="str">
        <f t="shared" si="312"/>
        <v/>
      </c>
      <c r="EA66" s="39" t="str">
        <f t="shared" si="179"/>
        <v/>
      </c>
      <c r="EB66" s="39" t="str">
        <f t="shared" si="180"/>
        <v/>
      </c>
      <c r="EC66" s="39" t="str">
        <f t="shared" si="181"/>
        <v/>
      </c>
      <c r="ED66" s="39" t="str">
        <f t="shared" si="313"/>
        <v/>
      </c>
      <c r="EE66" s="39" t="str">
        <f t="shared" si="314"/>
        <v/>
      </c>
      <c r="EF66" s="39" t="str">
        <f t="shared" si="315"/>
        <v/>
      </c>
      <c r="EG66" s="39" t="str">
        <f t="shared" si="316"/>
        <v/>
      </c>
      <c r="EH66" s="39" t="str">
        <f t="shared" si="317"/>
        <v/>
      </c>
      <c r="EI66" s="39" t="str">
        <f t="shared" si="318"/>
        <v/>
      </c>
      <c r="EJ66" s="39" t="str">
        <f t="shared" si="318"/>
        <v/>
      </c>
      <c r="EK66" s="39" t="str">
        <f t="shared" si="318"/>
        <v/>
      </c>
      <c r="EL66" s="39" t="str">
        <f t="shared" si="318"/>
        <v/>
      </c>
      <c r="EM66" s="39" t="str">
        <f t="shared" si="318"/>
        <v/>
      </c>
      <c r="EN66" s="39" t="str">
        <f t="shared" si="318"/>
        <v/>
      </c>
      <c r="EO66" s="39" t="str">
        <f t="shared" si="318"/>
        <v/>
      </c>
      <c r="EP66" s="39" t="str">
        <f t="shared" si="318"/>
        <v/>
      </c>
      <c r="EQ66" s="39" t="str">
        <f t="shared" si="318"/>
        <v/>
      </c>
      <c r="ER66" s="39" t="str">
        <f t="shared" si="318"/>
        <v/>
      </c>
      <c r="ES66" s="39" t="str">
        <f t="shared" si="318"/>
        <v/>
      </c>
      <c r="ET66" s="39" t="str">
        <f t="shared" si="318"/>
        <v/>
      </c>
      <c r="EU66" s="39" t="str">
        <f t="shared" si="319"/>
        <v/>
      </c>
      <c r="EV66" s="39" t="str">
        <f t="shared" si="320"/>
        <v/>
      </c>
      <c r="EW66" s="39" t="str">
        <f t="shared" si="321"/>
        <v/>
      </c>
      <c r="EX66" s="39" t="str">
        <f t="shared" si="322"/>
        <v/>
      </c>
      <c r="EY66" s="39" t="str">
        <f t="shared" si="323"/>
        <v/>
      </c>
      <c r="EZ66" s="39" t="str">
        <f t="shared" si="324"/>
        <v/>
      </c>
      <c r="FA66" s="39" t="str">
        <f t="shared" si="325"/>
        <v/>
      </c>
      <c r="FB66" s="39" t="str">
        <f t="shared" si="326"/>
        <v/>
      </c>
      <c r="FC66" s="39" t="str">
        <f t="shared" si="327"/>
        <v/>
      </c>
      <c r="FD66" s="39" t="str">
        <f t="shared" si="328"/>
        <v/>
      </c>
      <c r="FE66" s="39" t="str">
        <f t="shared" si="329"/>
        <v/>
      </c>
      <c r="FF66" s="39" t="str">
        <f t="shared" si="330"/>
        <v/>
      </c>
      <c r="FG66" s="39" t="str">
        <f t="shared" si="331"/>
        <v/>
      </c>
      <c r="FH66" s="39" t="str">
        <f t="shared" si="332"/>
        <v/>
      </c>
      <c r="FI66" s="39" t="str">
        <f t="shared" si="333"/>
        <v/>
      </c>
      <c r="FJ66" s="39" t="str">
        <f t="shared" si="334"/>
        <v/>
      </c>
      <c r="FK66" s="39" t="str">
        <f t="shared" si="335"/>
        <v/>
      </c>
      <c r="FL66" s="39" t="str">
        <f t="shared" si="336"/>
        <v/>
      </c>
      <c r="FM66" s="39" t="str">
        <f t="shared" si="337"/>
        <v/>
      </c>
      <c r="FN66" s="39" t="str">
        <f t="shared" si="338"/>
        <v/>
      </c>
      <c r="FO66" s="39" t="str">
        <f t="shared" si="339"/>
        <v/>
      </c>
      <c r="FP66" s="39" t="str">
        <f t="shared" si="340"/>
        <v/>
      </c>
      <c r="FQ66" s="39" t="str">
        <f t="shared" si="341"/>
        <v/>
      </c>
      <c r="FR66" s="39" t="str">
        <f t="shared" si="342"/>
        <v/>
      </c>
      <c r="FS66" s="39" t="str">
        <f t="shared" si="343"/>
        <v/>
      </c>
      <c r="FT66" s="39" t="str">
        <f t="shared" si="344"/>
        <v/>
      </c>
      <c r="FU66" s="39" t="str">
        <f t="shared" si="345"/>
        <v/>
      </c>
      <c r="FV66" s="39" t="str">
        <f t="shared" si="346"/>
        <v/>
      </c>
      <c r="FW66" s="39" t="str">
        <f t="shared" si="347"/>
        <v/>
      </c>
      <c r="FX66" s="39" t="str">
        <f t="shared" si="348"/>
        <v/>
      </c>
      <c r="FY66" s="39" t="str">
        <f t="shared" si="349"/>
        <v/>
      </c>
      <c r="FZ66" s="39" t="str">
        <f t="shared" si="350"/>
        <v/>
      </c>
      <c r="GA66" s="39" t="str">
        <f t="shared" si="351"/>
        <v/>
      </c>
      <c r="GB66" s="39" t="str">
        <f t="shared" si="352"/>
        <v/>
      </c>
      <c r="GC66" s="39" t="str">
        <f t="shared" si="353"/>
        <v/>
      </c>
      <c r="GD66" s="39" t="str">
        <f t="shared" si="354"/>
        <v/>
      </c>
      <c r="GE66" s="39" t="str">
        <f t="shared" si="355"/>
        <v/>
      </c>
      <c r="GF66" s="39" t="str">
        <f t="shared" si="356"/>
        <v/>
      </c>
      <c r="GG66" s="39" t="str">
        <f t="shared" si="357"/>
        <v/>
      </c>
      <c r="GH66" s="39" t="str">
        <f t="shared" si="358"/>
        <v/>
      </c>
      <c r="GI66" s="39" t="str">
        <f t="shared" si="359"/>
        <v/>
      </c>
      <c r="GJ66" s="39" t="str">
        <f t="shared" si="360"/>
        <v/>
      </c>
      <c r="GK66" s="39" t="str">
        <f t="shared" si="361"/>
        <v/>
      </c>
      <c r="GL66" s="39" t="str">
        <f t="shared" si="362"/>
        <v/>
      </c>
      <c r="GM66" s="39" t="str">
        <f t="shared" si="363"/>
        <v/>
      </c>
      <c r="GN66" s="39" t="str">
        <f t="shared" si="364"/>
        <v/>
      </c>
      <c r="GO66" s="39" t="str">
        <f t="shared" si="365"/>
        <v/>
      </c>
      <c r="GP66" s="39" t="str">
        <f t="shared" si="366"/>
        <v/>
      </c>
      <c r="GQ66" s="39" t="str">
        <f t="shared" si="367"/>
        <v/>
      </c>
      <c r="GR66" s="39" t="str">
        <f t="shared" si="368"/>
        <v/>
      </c>
      <c r="GS66" s="39" t="str">
        <f t="shared" si="369"/>
        <v/>
      </c>
      <c r="GT66" s="39" t="str">
        <f t="shared" si="370"/>
        <v/>
      </c>
      <c r="GU66" s="39" t="str">
        <f t="shared" si="371"/>
        <v/>
      </c>
      <c r="GV66" s="39" t="str">
        <f t="shared" si="372"/>
        <v/>
      </c>
      <c r="GW66" s="39" t="str">
        <f t="shared" si="373"/>
        <v/>
      </c>
      <c r="GX66" s="39" t="str">
        <f t="shared" si="374"/>
        <v/>
      </c>
      <c r="GY66" s="39" t="str">
        <f t="shared" si="375"/>
        <v/>
      </c>
      <c r="GZ66" s="39" t="str">
        <f t="shared" si="376"/>
        <v/>
      </c>
      <c r="HA66" s="39" t="str">
        <f t="shared" si="377"/>
        <v/>
      </c>
      <c r="HB66" s="39" t="str">
        <f t="shared" si="378"/>
        <v/>
      </c>
      <c r="HC66" s="39" t="str">
        <f t="shared" si="379"/>
        <v/>
      </c>
      <c r="HD66" s="39" t="str">
        <f t="shared" si="380"/>
        <v/>
      </c>
      <c r="HE66" s="39" t="str">
        <f t="shared" si="381"/>
        <v/>
      </c>
      <c r="HF66" s="39" t="str">
        <f t="shared" si="382"/>
        <v/>
      </c>
      <c r="HG66" s="39" t="str">
        <f t="shared" si="383"/>
        <v/>
      </c>
      <c r="HH66" s="39" t="str">
        <f t="shared" si="384"/>
        <v/>
      </c>
      <c r="HI66" s="39" t="str">
        <f t="shared" si="385"/>
        <v/>
      </c>
      <c r="HJ66" s="39" t="str">
        <f t="shared" si="386"/>
        <v/>
      </c>
      <c r="HK66" s="39" t="str">
        <f t="shared" si="387"/>
        <v/>
      </c>
      <c r="HL66" s="39" t="str">
        <f t="shared" si="388"/>
        <v/>
      </c>
      <c r="HM66" s="39" t="str">
        <f t="shared" si="389"/>
        <v/>
      </c>
      <c r="HN66" s="39" t="str">
        <f t="shared" si="390"/>
        <v/>
      </c>
      <c r="HO66" s="39" t="str">
        <f t="shared" si="391"/>
        <v/>
      </c>
      <c r="HP66" s="39" t="str">
        <f t="shared" si="392"/>
        <v/>
      </c>
      <c r="HQ66" s="39" t="str">
        <f t="shared" si="393"/>
        <v/>
      </c>
      <c r="HR66" s="39" t="str">
        <f t="shared" si="394"/>
        <v/>
      </c>
      <c r="HS66" s="39" t="str">
        <f t="shared" si="395"/>
        <v/>
      </c>
      <c r="HT66" s="39" t="str">
        <f t="shared" si="395"/>
        <v/>
      </c>
      <c r="HU66" s="83" t="str">
        <f t="shared" si="182"/>
        <v>-</v>
      </c>
      <c r="HV66" s="84" t="str">
        <f t="shared" si="396"/>
        <v/>
      </c>
      <c r="HW66" s="85" t="str">
        <f t="shared" si="397"/>
        <v/>
      </c>
      <c r="HX66" s="84" t="str">
        <f t="shared" si="183"/>
        <v/>
      </c>
      <c r="HY66" s="84" t="str">
        <f t="shared" si="398"/>
        <v/>
      </c>
      <c r="HZ66" s="84" t="str">
        <f t="shared" si="399"/>
        <v/>
      </c>
      <c r="IA66" s="83" t="str">
        <f t="shared" si="400"/>
        <v/>
      </c>
      <c r="IB66" s="84" t="str">
        <f t="shared" si="401"/>
        <v/>
      </c>
      <c r="IC66" s="85" t="str">
        <f t="shared" si="402"/>
        <v/>
      </c>
      <c r="ID66" s="83" t="str">
        <f t="shared" si="403"/>
        <v/>
      </c>
      <c r="IE66" s="84" t="str">
        <f t="shared" si="404"/>
        <v/>
      </c>
      <c r="IF66" s="85" t="str">
        <f t="shared" si="405"/>
        <v/>
      </c>
      <c r="IH66" s="66">
        <v>66</v>
      </c>
      <c r="II66" s="66" t="e">
        <f t="shared" ca="1" si="192"/>
        <v>#N/A</v>
      </c>
      <c r="IJ66" s="66" t="e">
        <f t="shared" ca="1" si="193"/>
        <v>#N/A</v>
      </c>
      <c r="IK66" s="66" t="e">
        <f t="shared" ca="1" si="194"/>
        <v>#N/A</v>
      </c>
      <c r="IL66" s="66" t="e">
        <f t="shared" ca="1" si="195"/>
        <v>#N/A</v>
      </c>
      <c r="IM66" s="33"/>
      <c r="IN66" s="74" t="e">
        <f t="shared" ca="1" si="184"/>
        <v>#N/A</v>
      </c>
      <c r="IO66" s="75" t="e">
        <f t="shared" ca="1" si="185"/>
        <v>#N/A</v>
      </c>
      <c r="IP66" s="75" t="e">
        <f t="shared" ca="1" si="186"/>
        <v>#N/A</v>
      </c>
      <c r="IQ66" s="74" t="e">
        <f t="shared" ca="1" si="187"/>
        <v>#N/A</v>
      </c>
      <c r="IR66" s="74" t="e">
        <f t="shared" ca="1" si="188"/>
        <v>#N/A</v>
      </c>
    </row>
    <row r="67" spans="1:252" s="1" customFormat="1" x14ac:dyDescent="0.35">
      <c r="A67" s="33">
        <v>0</v>
      </c>
      <c r="B67" s="33">
        <v>0</v>
      </c>
      <c r="C67" s="33">
        <v>1</v>
      </c>
      <c r="E67" s="4"/>
      <c r="F67" t="s">
        <v>332</v>
      </c>
      <c r="G67" s="5" t="s">
        <v>540</v>
      </c>
      <c r="H67" s="4" t="s">
        <v>533</v>
      </c>
      <c r="I67" s="8" t="s">
        <v>534</v>
      </c>
      <c r="J67" s="276" t="s">
        <v>805</v>
      </c>
      <c r="K67" s="39" t="s">
        <v>805</v>
      </c>
      <c r="L67" s="39" t="s">
        <v>805</v>
      </c>
      <c r="M67" s="39" t="s">
        <v>805</v>
      </c>
      <c r="N67" s="39" t="s">
        <v>805</v>
      </c>
      <c r="O67" s="39" t="s">
        <v>805</v>
      </c>
      <c r="P67" s="39" t="s">
        <v>805</v>
      </c>
      <c r="Q67" s="39" t="s">
        <v>805</v>
      </c>
      <c r="R67" s="39" t="s">
        <v>805</v>
      </c>
      <c r="S67" s="39" t="s">
        <v>805</v>
      </c>
      <c r="T67" s="39" t="s">
        <v>805</v>
      </c>
      <c r="U67" s="39" t="s">
        <v>805</v>
      </c>
      <c r="V67" s="39" t="s">
        <v>805</v>
      </c>
      <c r="W67" s="39" t="s">
        <v>805</v>
      </c>
      <c r="X67" s="39" t="s">
        <v>805</v>
      </c>
      <c r="Y67" s="39" t="s">
        <v>805</v>
      </c>
      <c r="Z67" s="39" t="s">
        <v>805</v>
      </c>
      <c r="AA67" s="39" t="s">
        <v>805</v>
      </c>
      <c r="AB67" s="39" t="s">
        <v>805</v>
      </c>
      <c r="AC67" s="39" t="s">
        <v>805</v>
      </c>
      <c r="AD67" s="39" t="s">
        <v>805</v>
      </c>
      <c r="AE67" s="39" t="s">
        <v>805</v>
      </c>
      <c r="AF67" s="39" t="s">
        <v>805</v>
      </c>
      <c r="AG67" s="39" t="s">
        <v>805</v>
      </c>
      <c r="AH67" s="39" t="s">
        <v>805</v>
      </c>
      <c r="AI67" s="39" t="s">
        <v>805</v>
      </c>
      <c r="AJ67" s="39" t="s">
        <v>805</v>
      </c>
      <c r="AK67" s="39" t="s">
        <v>805</v>
      </c>
      <c r="AL67" s="39" t="s">
        <v>805</v>
      </c>
      <c r="AM67" s="39" t="s">
        <v>805</v>
      </c>
      <c r="AN67" s="39" t="s">
        <v>805</v>
      </c>
      <c r="AO67" s="39" t="s">
        <v>805</v>
      </c>
      <c r="AP67" s="39" t="s">
        <v>805</v>
      </c>
      <c r="AQ67" s="39" t="s">
        <v>805</v>
      </c>
      <c r="AR67" s="39" t="s">
        <v>805</v>
      </c>
      <c r="AS67" s="39" t="s">
        <v>805</v>
      </c>
      <c r="AT67" s="39" t="s">
        <v>805</v>
      </c>
      <c r="AU67" s="39" t="s">
        <v>805</v>
      </c>
      <c r="AV67" s="39" t="s">
        <v>805</v>
      </c>
      <c r="AW67" s="39" t="s">
        <v>805</v>
      </c>
      <c r="AX67" s="39" t="s">
        <v>805</v>
      </c>
      <c r="AY67" s="39" t="s">
        <v>805</v>
      </c>
      <c r="AZ67" s="39" t="s">
        <v>805</v>
      </c>
      <c r="BA67" s="39" t="s">
        <v>805</v>
      </c>
      <c r="BB67" s="39" t="s">
        <v>805</v>
      </c>
      <c r="BC67" s="39" t="s">
        <v>805</v>
      </c>
      <c r="BD67" s="39" t="s">
        <v>805</v>
      </c>
      <c r="BE67" s="39" t="s">
        <v>805</v>
      </c>
      <c r="BF67" s="39" t="s">
        <v>805</v>
      </c>
      <c r="BG67" s="39" t="s">
        <v>805</v>
      </c>
      <c r="BH67" s="39" t="s">
        <v>805</v>
      </c>
      <c r="BI67" s="39" t="s">
        <v>805</v>
      </c>
      <c r="BJ67" s="39" t="s">
        <v>805</v>
      </c>
      <c r="BK67" s="39" t="s">
        <v>805</v>
      </c>
      <c r="BL67" s="39" t="s">
        <v>805</v>
      </c>
      <c r="BM67" s="39" t="s">
        <v>805</v>
      </c>
      <c r="BN67" s="39" t="s">
        <v>805</v>
      </c>
      <c r="BO67" s="39" t="s">
        <v>805</v>
      </c>
      <c r="BP67" s="39" t="s">
        <v>805</v>
      </c>
      <c r="BQ67" s="39" t="s">
        <v>805</v>
      </c>
      <c r="BR67" s="39" t="s">
        <v>805</v>
      </c>
      <c r="BS67" s="39" t="s">
        <v>805</v>
      </c>
      <c r="BT67" s="39" t="s">
        <v>805</v>
      </c>
      <c r="BU67" s="39" t="s">
        <v>805</v>
      </c>
      <c r="BV67" s="39" t="s">
        <v>805</v>
      </c>
      <c r="BW67" s="39" t="s">
        <v>805</v>
      </c>
      <c r="BX67" s="39" t="s">
        <v>805</v>
      </c>
      <c r="BY67" s="39" t="s">
        <v>805</v>
      </c>
      <c r="BZ67" s="39" t="s">
        <v>805</v>
      </c>
      <c r="CA67" s="39" t="s">
        <v>805</v>
      </c>
      <c r="CB67" s="39" t="s">
        <v>805</v>
      </c>
      <c r="CC67" s="39" t="s">
        <v>805</v>
      </c>
      <c r="CD67" s="39" t="s">
        <v>805</v>
      </c>
      <c r="CE67" s="39" t="s">
        <v>805</v>
      </c>
      <c r="CF67" s="39" t="s">
        <v>805</v>
      </c>
      <c r="CG67" s="39" t="s">
        <v>805</v>
      </c>
      <c r="CH67" s="39" t="s">
        <v>805</v>
      </c>
      <c r="CI67" s="39" t="s">
        <v>805</v>
      </c>
      <c r="CJ67" s="39" t="s">
        <v>805</v>
      </c>
      <c r="CK67" s="39" t="s">
        <v>805</v>
      </c>
      <c r="CL67" s="39" t="s">
        <v>805</v>
      </c>
      <c r="CM67" s="39" t="s">
        <v>805</v>
      </c>
      <c r="CN67" s="39" t="s">
        <v>805</v>
      </c>
      <c r="CO67" s="39" t="s">
        <v>805</v>
      </c>
      <c r="CP67" s="39" t="s">
        <v>805</v>
      </c>
      <c r="CQ67" s="39" t="s">
        <v>805</v>
      </c>
      <c r="CR67" s="39" t="s">
        <v>805</v>
      </c>
      <c r="CS67" s="39" t="s">
        <v>805</v>
      </c>
      <c r="CT67" s="39" t="s">
        <v>805</v>
      </c>
      <c r="CU67" s="39" t="s">
        <v>805</v>
      </c>
      <c r="CV67" s="39" t="s">
        <v>805</v>
      </c>
      <c r="CW67" s="39" t="s">
        <v>805</v>
      </c>
      <c r="CX67" s="39" t="s">
        <v>805</v>
      </c>
      <c r="CY67" s="39" t="s">
        <v>805</v>
      </c>
      <c r="CZ67" s="39" t="s">
        <v>805</v>
      </c>
      <c r="DA67" s="39" t="s">
        <v>805</v>
      </c>
      <c r="DB67" s="39" t="s">
        <v>805</v>
      </c>
      <c r="DC67" s="39" t="s">
        <v>805</v>
      </c>
      <c r="DD67" s="39" t="s">
        <v>805</v>
      </c>
      <c r="DE67" s="39" t="s">
        <v>805</v>
      </c>
      <c r="DF67" s="39" t="s">
        <v>805</v>
      </c>
      <c r="DG67" s="28">
        <f>'KPI Count-SHARE'!J60</f>
        <v>0</v>
      </c>
      <c r="DH67" s="105"/>
      <c r="DI67" s="105"/>
      <c r="DJ67" s="105"/>
      <c r="DK67" s="28">
        <f>'KPI Count-SHARE'!K60</f>
        <v>0</v>
      </c>
      <c r="DL67" s="39"/>
      <c r="DM67" s="39"/>
      <c r="DN67" s="39"/>
      <c r="DO67" s="28">
        <f>'KPI Count-SHARE'!L60</f>
        <v>0</v>
      </c>
      <c r="DP67" s="61"/>
      <c r="DQ67" s="61"/>
      <c r="DR67" s="61"/>
      <c r="DS67" s="28">
        <f>'KPI Count-SHARE'!M60</f>
        <v>0</v>
      </c>
      <c r="DT67" s="39"/>
      <c r="DU67" s="39"/>
      <c r="DV67" s="39"/>
      <c r="DW67" s="30" t="s">
        <v>533</v>
      </c>
      <c r="DX67" s="39" t="str">
        <f t="shared" si="310"/>
        <v/>
      </c>
      <c r="DY67" s="39" t="str">
        <f t="shared" si="311"/>
        <v/>
      </c>
      <c r="DZ67" s="39" t="str">
        <f t="shared" si="312"/>
        <v/>
      </c>
      <c r="EA67" s="39" t="str">
        <f t="shared" si="179"/>
        <v/>
      </c>
      <c r="EB67" s="39" t="str">
        <f t="shared" si="180"/>
        <v/>
      </c>
      <c r="EC67" s="39" t="str">
        <f t="shared" si="181"/>
        <v/>
      </c>
      <c r="ED67" s="39" t="str">
        <f t="shared" si="313"/>
        <v/>
      </c>
      <c r="EE67" s="39" t="str">
        <f t="shared" si="314"/>
        <v/>
      </c>
      <c r="EF67" s="39" t="str">
        <f t="shared" si="315"/>
        <v/>
      </c>
      <c r="EG67" s="39" t="str">
        <f t="shared" si="316"/>
        <v/>
      </c>
      <c r="EH67" s="39" t="str">
        <f t="shared" si="317"/>
        <v/>
      </c>
      <c r="EI67" s="39" t="str">
        <f t="shared" si="318"/>
        <v/>
      </c>
      <c r="EJ67" s="39" t="str">
        <f t="shared" si="318"/>
        <v/>
      </c>
      <c r="EK67" s="39" t="str">
        <f t="shared" si="318"/>
        <v/>
      </c>
      <c r="EL67" s="39" t="str">
        <f t="shared" si="318"/>
        <v/>
      </c>
      <c r="EM67" s="39" t="str">
        <f t="shared" si="318"/>
        <v/>
      </c>
      <c r="EN67" s="39" t="str">
        <f t="shared" si="318"/>
        <v/>
      </c>
      <c r="EO67" s="39" t="str">
        <f t="shared" si="318"/>
        <v/>
      </c>
      <c r="EP67" s="39" t="str">
        <f t="shared" si="318"/>
        <v/>
      </c>
      <c r="EQ67" s="39" t="str">
        <f t="shared" si="318"/>
        <v/>
      </c>
      <c r="ER67" s="39" t="str">
        <f t="shared" si="318"/>
        <v/>
      </c>
      <c r="ES67" s="39" t="str">
        <f t="shared" si="318"/>
        <v/>
      </c>
      <c r="ET67" s="39" t="str">
        <f t="shared" si="318"/>
        <v/>
      </c>
      <c r="EU67" s="39" t="str">
        <f t="shared" si="319"/>
        <v/>
      </c>
      <c r="EV67" s="39" t="str">
        <f t="shared" si="320"/>
        <v/>
      </c>
      <c r="EW67" s="39" t="str">
        <f t="shared" si="321"/>
        <v/>
      </c>
      <c r="EX67" s="39" t="str">
        <f t="shared" si="322"/>
        <v/>
      </c>
      <c r="EY67" s="39" t="str">
        <f t="shared" si="323"/>
        <v/>
      </c>
      <c r="EZ67" s="39" t="str">
        <f t="shared" si="324"/>
        <v/>
      </c>
      <c r="FA67" s="39" t="str">
        <f t="shared" si="325"/>
        <v/>
      </c>
      <c r="FB67" s="39" t="str">
        <f t="shared" si="326"/>
        <v/>
      </c>
      <c r="FC67" s="39" t="str">
        <f t="shared" si="327"/>
        <v/>
      </c>
      <c r="FD67" s="39" t="str">
        <f t="shared" si="328"/>
        <v/>
      </c>
      <c r="FE67" s="39" t="str">
        <f t="shared" si="329"/>
        <v/>
      </c>
      <c r="FF67" s="39" t="str">
        <f t="shared" si="330"/>
        <v/>
      </c>
      <c r="FG67" s="39" t="str">
        <f t="shared" si="331"/>
        <v/>
      </c>
      <c r="FH67" s="39" t="str">
        <f t="shared" si="332"/>
        <v/>
      </c>
      <c r="FI67" s="39" t="str">
        <f t="shared" si="333"/>
        <v/>
      </c>
      <c r="FJ67" s="39" t="str">
        <f t="shared" si="334"/>
        <v/>
      </c>
      <c r="FK67" s="39" t="str">
        <f t="shared" si="335"/>
        <v/>
      </c>
      <c r="FL67" s="39" t="str">
        <f t="shared" si="336"/>
        <v/>
      </c>
      <c r="FM67" s="39" t="str">
        <f t="shared" si="337"/>
        <v/>
      </c>
      <c r="FN67" s="39" t="str">
        <f t="shared" si="338"/>
        <v/>
      </c>
      <c r="FO67" s="39" t="str">
        <f t="shared" si="339"/>
        <v/>
      </c>
      <c r="FP67" s="39" t="str">
        <f t="shared" si="340"/>
        <v/>
      </c>
      <c r="FQ67" s="39" t="str">
        <f t="shared" si="341"/>
        <v/>
      </c>
      <c r="FR67" s="39" t="str">
        <f t="shared" si="342"/>
        <v/>
      </c>
      <c r="FS67" s="39" t="str">
        <f t="shared" si="343"/>
        <v/>
      </c>
      <c r="FT67" s="39" t="str">
        <f t="shared" si="344"/>
        <v/>
      </c>
      <c r="FU67" s="39" t="str">
        <f t="shared" si="345"/>
        <v/>
      </c>
      <c r="FV67" s="39" t="str">
        <f t="shared" si="346"/>
        <v/>
      </c>
      <c r="FW67" s="39" t="str">
        <f t="shared" si="347"/>
        <v/>
      </c>
      <c r="FX67" s="39" t="str">
        <f t="shared" si="348"/>
        <v/>
      </c>
      <c r="FY67" s="39" t="str">
        <f t="shared" si="349"/>
        <v/>
      </c>
      <c r="FZ67" s="39" t="str">
        <f t="shared" si="350"/>
        <v/>
      </c>
      <c r="GA67" s="39" t="str">
        <f t="shared" si="351"/>
        <v/>
      </c>
      <c r="GB67" s="39" t="str">
        <f t="shared" si="352"/>
        <v/>
      </c>
      <c r="GC67" s="39" t="str">
        <f t="shared" si="353"/>
        <v/>
      </c>
      <c r="GD67" s="39" t="str">
        <f t="shared" si="354"/>
        <v/>
      </c>
      <c r="GE67" s="39" t="str">
        <f t="shared" si="355"/>
        <v/>
      </c>
      <c r="GF67" s="39" t="str">
        <f t="shared" si="356"/>
        <v/>
      </c>
      <c r="GG67" s="39" t="str">
        <f t="shared" si="357"/>
        <v/>
      </c>
      <c r="GH67" s="39" t="str">
        <f t="shared" si="358"/>
        <v/>
      </c>
      <c r="GI67" s="39" t="str">
        <f t="shared" si="359"/>
        <v/>
      </c>
      <c r="GJ67" s="39" t="str">
        <f t="shared" si="360"/>
        <v/>
      </c>
      <c r="GK67" s="39" t="str">
        <f t="shared" si="361"/>
        <v/>
      </c>
      <c r="GL67" s="39" t="str">
        <f t="shared" si="362"/>
        <v/>
      </c>
      <c r="GM67" s="39" t="str">
        <f t="shared" si="363"/>
        <v/>
      </c>
      <c r="GN67" s="39" t="str">
        <f t="shared" si="364"/>
        <v/>
      </c>
      <c r="GO67" s="39" t="str">
        <f t="shared" si="365"/>
        <v/>
      </c>
      <c r="GP67" s="39" t="str">
        <f t="shared" si="366"/>
        <v/>
      </c>
      <c r="GQ67" s="39" t="str">
        <f t="shared" si="367"/>
        <v/>
      </c>
      <c r="GR67" s="39" t="str">
        <f t="shared" si="368"/>
        <v/>
      </c>
      <c r="GS67" s="39" t="str">
        <f t="shared" si="369"/>
        <v/>
      </c>
      <c r="GT67" s="39" t="str">
        <f t="shared" si="370"/>
        <v/>
      </c>
      <c r="GU67" s="39" t="str">
        <f t="shared" si="371"/>
        <v/>
      </c>
      <c r="GV67" s="39" t="str">
        <f t="shared" si="372"/>
        <v/>
      </c>
      <c r="GW67" s="39" t="str">
        <f t="shared" si="373"/>
        <v/>
      </c>
      <c r="GX67" s="39" t="str">
        <f t="shared" si="374"/>
        <v/>
      </c>
      <c r="GY67" s="39" t="str">
        <f t="shared" si="375"/>
        <v/>
      </c>
      <c r="GZ67" s="39" t="str">
        <f t="shared" si="376"/>
        <v/>
      </c>
      <c r="HA67" s="39" t="str">
        <f t="shared" si="377"/>
        <v/>
      </c>
      <c r="HB67" s="39" t="str">
        <f t="shared" si="378"/>
        <v/>
      </c>
      <c r="HC67" s="39" t="str">
        <f t="shared" si="379"/>
        <v/>
      </c>
      <c r="HD67" s="39" t="str">
        <f t="shared" si="380"/>
        <v/>
      </c>
      <c r="HE67" s="39" t="str">
        <f t="shared" si="381"/>
        <v/>
      </c>
      <c r="HF67" s="39" t="str">
        <f t="shared" si="382"/>
        <v/>
      </c>
      <c r="HG67" s="39" t="str">
        <f t="shared" si="383"/>
        <v/>
      </c>
      <c r="HH67" s="39" t="str">
        <f t="shared" si="384"/>
        <v/>
      </c>
      <c r="HI67" s="39" t="str">
        <f t="shared" si="385"/>
        <v/>
      </c>
      <c r="HJ67" s="39" t="str">
        <f t="shared" si="386"/>
        <v/>
      </c>
      <c r="HK67" s="39" t="str">
        <f t="shared" si="387"/>
        <v/>
      </c>
      <c r="HL67" s="39" t="str">
        <f t="shared" si="388"/>
        <v/>
      </c>
      <c r="HM67" s="39" t="str">
        <f t="shared" si="389"/>
        <v/>
      </c>
      <c r="HN67" s="39" t="str">
        <f t="shared" si="390"/>
        <v/>
      </c>
      <c r="HO67" s="39" t="str">
        <f t="shared" si="391"/>
        <v/>
      </c>
      <c r="HP67" s="39" t="str">
        <f t="shared" si="392"/>
        <v/>
      </c>
      <c r="HQ67" s="39" t="str">
        <f t="shared" si="393"/>
        <v/>
      </c>
      <c r="HR67" s="39" t="str">
        <f t="shared" si="394"/>
        <v/>
      </c>
      <c r="HS67" s="39" t="str">
        <f t="shared" si="395"/>
        <v/>
      </c>
      <c r="HT67" s="39" t="str">
        <f t="shared" si="395"/>
        <v/>
      </c>
      <c r="HU67" s="83" t="str">
        <f t="shared" si="182"/>
        <v>-</v>
      </c>
      <c r="HV67" s="84" t="str">
        <f t="shared" si="396"/>
        <v/>
      </c>
      <c r="HW67" s="85" t="str">
        <f t="shared" si="397"/>
        <v/>
      </c>
      <c r="HX67" s="84" t="str">
        <f t="shared" si="183"/>
        <v/>
      </c>
      <c r="HY67" s="84" t="str">
        <f t="shared" si="398"/>
        <v/>
      </c>
      <c r="HZ67" s="84" t="str">
        <f t="shared" si="399"/>
        <v/>
      </c>
      <c r="IA67" s="83" t="str">
        <f t="shared" si="400"/>
        <v/>
      </c>
      <c r="IB67" s="84" t="str">
        <f t="shared" si="401"/>
        <v/>
      </c>
      <c r="IC67" s="85" t="str">
        <f t="shared" si="402"/>
        <v/>
      </c>
      <c r="ID67" s="83" t="str">
        <f t="shared" si="403"/>
        <v/>
      </c>
      <c r="IE67" s="84" t="str">
        <f t="shared" si="404"/>
        <v/>
      </c>
      <c r="IF67" s="85" t="str">
        <f t="shared" si="405"/>
        <v/>
      </c>
      <c r="IH67" s="66">
        <v>67</v>
      </c>
      <c r="II67" s="66" t="e">
        <f t="shared" ca="1" si="192"/>
        <v>#N/A</v>
      </c>
      <c r="IJ67" s="66" t="e">
        <f t="shared" ca="1" si="193"/>
        <v>#N/A</v>
      </c>
      <c r="IK67" s="66" t="e">
        <f t="shared" ca="1" si="194"/>
        <v>#N/A</v>
      </c>
      <c r="IL67" s="66" t="e">
        <f t="shared" ca="1" si="195"/>
        <v>#N/A</v>
      </c>
      <c r="IM67" s="33"/>
      <c r="IN67" s="74" t="e">
        <f t="shared" ca="1" si="184"/>
        <v>#N/A</v>
      </c>
      <c r="IO67" s="75" t="e">
        <f t="shared" ca="1" si="185"/>
        <v>#N/A</v>
      </c>
      <c r="IP67" s="75" t="e">
        <f t="shared" ca="1" si="186"/>
        <v>#N/A</v>
      </c>
      <c r="IQ67" s="74" t="e">
        <f t="shared" ca="1" si="187"/>
        <v>#N/A</v>
      </c>
      <c r="IR67" s="74" t="e">
        <f t="shared" ca="1" si="188"/>
        <v>#N/A</v>
      </c>
    </row>
    <row r="68" spans="1:252" s="1" customFormat="1" x14ac:dyDescent="0.35">
      <c r="A68" s="33">
        <v>0</v>
      </c>
      <c r="B68" s="33">
        <v>0</v>
      </c>
      <c r="C68" s="33">
        <v>1</v>
      </c>
      <c r="E68" s="4"/>
      <c r="F68" t="s">
        <v>333</v>
      </c>
      <c r="G68" s="5" t="s">
        <v>540</v>
      </c>
      <c r="H68" s="4" t="s">
        <v>533</v>
      </c>
      <c r="I68" s="8" t="s">
        <v>534</v>
      </c>
      <c r="J68" s="276" t="s">
        <v>805</v>
      </c>
      <c r="K68" s="39" t="s">
        <v>805</v>
      </c>
      <c r="L68" s="39" t="s">
        <v>805</v>
      </c>
      <c r="M68" s="39" t="s">
        <v>805</v>
      </c>
      <c r="N68" s="39" t="s">
        <v>805</v>
      </c>
      <c r="O68" s="39" t="s">
        <v>805</v>
      </c>
      <c r="P68" s="39" t="s">
        <v>805</v>
      </c>
      <c r="Q68" s="39" t="s">
        <v>805</v>
      </c>
      <c r="R68" s="39" t="s">
        <v>805</v>
      </c>
      <c r="S68" s="39" t="s">
        <v>805</v>
      </c>
      <c r="T68" s="39" t="s">
        <v>805</v>
      </c>
      <c r="U68" s="39" t="s">
        <v>805</v>
      </c>
      <c r="V68" s="39" t="s">
        <v>805</v>
      </c>
      <c r="W68" s="39" t="s">
        <v>805</v>
      </c>
      <c r="X68" s="39" t="s">
        <v>805</v>
      </c>
      <c r="Y68" s="39" t="s">
        <v>805</v>
      </c>
      <c r="Z68" s="39" t="s">
        <v>805</v>
      </c>
      <c r="AA68" s="39" t="s">
        <v>805</v>
      </c>
      <c r="AB68" s="39" t="s">
        <v>805</v>
      </c>
      <c r="AC68" s="39" t="s">
        <v>805</v>
      </c>
      <c r="AD68" s="39" t="s">
        <v>805</v>
      </c>
      <c r="AE68" s="39" t="s">
        <v>805</v>
      </c>
      <c r="AF68" s="39" t="s">
        <v>805</v>
      </c>
      <c r="AG68" s="39" t="s">
        <v>805</v>
      </c>
      <c r="AH68" s="39" t="s">
        <v>805</v>
      </c>
      <c r="AI68" s="39" t="s">
        <v>805</v>
      </c>
      <c r="AJ68" s="39" t="s">
        <v>805</v>
      </c>
      <c r="AK68" s="39" t="s">
        <v>805</v>
      </c>
      <c r="AL68" s="39" t="s">
        <v>805</v>
      </c>
      <c r="AM68" s="39" t="s">
        <v>805</v>
      </c>
      <c r="AN68" s="39" t="s">
        <v>805</v>
      </c>
      <c r="AO68" s="39" t="s">
        <v>805</v>
      </c>
      <c r="AP68" s="39" t="s">
        <v>805</v>
      </c>
      <c r="AQ68" s="39" t="s">
        <v>805</v>
      </c>
      <c r="AR68" s="39" t="s">
        <v>805</v>
      </c>
      <c r="AS68" s="39" t="s">
        <v>805</v>
      </c>
      <c r="AT68" s="39" t="s">
        <v>805</v>
      </c>
      <c r="AU68" s="39" t="s">
        <v>805</v>
      </c>
      <c r="AV68" s="39" t="s">
        <v>805</v>
      </c>
      <c r="AW68" s="39" t="s">
        <v>805</v>
      </c>
      <c r="AX68" s="39" t="s">
        <v>805</v>
      </c>
      <c r="AY68" s="39" t="s">
        <v>805</v>
      </c>
      <c r="AZ68" s="39" t="s">
        <v>805</v>
      </c>
      <c r="BA68" s="39" t="s">
        <v>805</v>
      </c>
      <c r="BB68" s="39" t="s">
        <v>805</v>
      </c>
      <c r="BC68" s="39" t="s">
        <v>805</v>
      </c>
      <c r="BD68" s="39" t="s">
        <v>805</v>
      </c>
      <c r="BE68" s="39" t="s">
        <v>805</v>
      </c>
      <c r="BF68" s="39" t="s">
        <v>805</v>
      </c>
      <c r="BG68" s="39" t="s">
        <v>805</v>
      </c>
      <c r="BH68" s="39" t="s">
        <v>805</v>
      </c>
      <c r="BI68" s="39" t="s">
        <v>805</v>
      </c>
      <c r="BJ68" s="39" t="s">
        <v>805</v>
      </c>
      <c r="BK68" s="39" t="s">
        <v>805</v>
      </c>
      <c r="BL68" s="39" t="s">
        <v>805</v>
      </c>
      <c r="BM68" s="39" t="s">
        <v>805</v>
      </c>
      <c r="BN68" s="39" t="s">
        <v>805</v>
      </c>
      <c r="BO68" s="39" t="s">
        <v>805</v>
      </c>
      <c r="BP68" s="39" t="s">
        <v>805</v>
      </c>
      <c r="BQ68" s="39" t="s">
        <v>805</v>
      </c>
      <c r="BR68" s="39" t="s">
        <v>805</v>
      </c>
      <c r="BS68" s="39" t="s">
        <v>805</v>
      </c>
      <c r="BT68" s="39" t="s">
        <v>805</v>
      </c>
      <c r="BU68" s="39" t="s">
        <v>805</v>
      </c>
      <c r="BV68" s="39" t="s">
        <v>805</v>
      </c>
      <c r="BW68" s="39" t="s">
        <v>805</v>
      </c>
      <c r="BX68" s="39" t="s">
        <v>805</v>
      </c>
      <c r="BY68" s="39" t="s">
        <v>805</v>
      </c>
      <c r="BZ68" s="39" t="s">
        <v>805</v>
      </c>
      <c r="CA68" s="39" t="s">
        <v>805</v>
      </c>
      <c r="CB68" s="39" t="s">
        <v>805</v>
      </c>
      <c r="CC68" s="39" t="s">
        <v>805</v>
      </c>
      <c r="CD68" s="39" t="s">
        <v>805</v>
      </c>
      <c r="CE68" s="39" t="s">
        <v>805</v>
      </c>
      <c r="CF68" s="39" t="s">
        <v>805</v>
      </c>
      <c r="CG68" s="39" t="s">
        <v>805</v>
      </c>
      <c r="CH68" s="39" t="s">
        <v>805</v>
      </c>
      <c r="CI68" s="39" t="s">
        <v>805</v>
      </c>
      <c r="CJ68" s="39" t="s">
        <v>805</v>
      </c>
      <c r="CK68" s="39" t="s">
        <v>805</v>
      </c>
      <c r="CL68" s="39" t="s">
        <v>805</v>
      </c>
      <c r="CM68" s="39" t="s">
        <v>805</v>
      </c>
      <c r="CN68" s="39" t="s">
        <v>805</v>
      </c>
      <c r="CO68" s="39" t="s">
        <v>805</v>
      </c>
      <c r="CP68" s="39" t="s">
        <v>805</v>
      </c>
      <c r="CQ68" s="39" t="s">
        <v>805</v>
      </c>
      <c r="CR68" s="39" t="s">
        <v>805</v>
      </c>
      <c r="CS68" s="39" t="s">
        <v>805</v>
      </c>
      <c r="CT68" s="39" t="s">
        <v>805</v>
      </c>
      <c r="CU68" s="39" t="s">
        <v>805</v>
      </c>
      <c r="CV68" s="39" t="s">
        <v>805</v>
      </c>
      <c r="CW68" s="39" t="s">
        <v>805</v>
      </c>
      <c r="CX68" s="39" t="s">
        <v>805</v>
      </c>
      <c r="CY68" s="39" t="s">
        <v>805</v>
      </c>
      <c r="CZ68" s="39" t="s">
        <v>805</v>
      </c>
      <c r="DA68" s="39" t="s">
        <v>805</v>
      </c>
      <c r="DB68" s="39" t="s">
        <v>805</v>
      </c>
      <c r="DC68" s="39" t="s">
        <v>805</v>
      </c>
      <c r="DD68" s="39" t="s">
        <v>805</v>
      </c>
      <c r="DE68" s="39" t="s">
        <v>805</v>
      </c>
      <c r="DF68" s="39" t="s">
        <v>805</v>
      </c>
      <c r="DG68" s="28">
        <f>'KPI Count-SHARE'!J61</f>
        <v>0</v>
      </c>
      <c r="DH68" s="105"/>
      <c r="DI68" s="105"/>
      <c r="DJ68" s="105"/>
      <c r="DK68" s="28">
        <f>'KPI Count-SHARE'!K61</f>
        <v>0</v>
      </c>
      <c r="DL68" s="39"/>
      <c r="DM68" s="39"/>
      <c r="DN68" s="39"/>
      <c r="DO68" s="28">
        <f>'KPI Count-SHARE'!L61</f>
        <v>0</v>
      </c>
      <c r="DP68" s="61"/>
      <c r="DQ68" s="61"/>
      <c r="DR68" s="61"/>
      <c r="DS68" s="28">
        <f>'KPI Count-SHARE'!M61</f>
        <v>0</v>
      </c>
      <c r="DT68" s="39"/>
      <c r="DU68" s="39"/>
      <c r="DV68" s="39"/>
      <c r="DW68" s="30" t="s">
        <v>533</v>
      </c>
      <c r="DX68" s="39" t="str">
        <f t="shared" si="310"/>
        <v/>
      </c>
      <c r="DY68" s="39" t="str">
        <f t="shared" si="311"/>
        <v/>
      </c>
      <c r="DZ68" s="39" t="str">
        <f t="shared" si="312"/>
        <v/>
      </c>
      <c r="EA68" s="39" t="str">
        <f t="shared" si="179"/>
        <v/>
      </c>
      <c r="EB68" s="39" t="str">
        <f t="shared" si="180"/>
        <v/>
      </c>
      <c r="EC68" s="39" t="str">
        <f t="shared" si="181"/>
        <v/>
      </c>
      <c r="ED68" s="39" t="str">
        <f t="shared" si="313"/>
        <v/>
      </c>
      <c r="EE68" s="39" t="str">
        <f t="shared" si="314"/>
        <v/>
      </c>
      <c r="EF68" s="39" t="str">
        <f t="shared" si="315"/>
        <v/>
      </c>
      <c r="EG68" s="39" t="str">
        <f t="shared" si="316"/>
        <v/>
      </c>
      <c r="EH68" s="39" t="str">
        <f t="shared" si="317"/>
        <v/>
      </c>
      <c r="EI68" s="39" t="str">
        <f t="shared" si="318"/>
        <v/>
      </c>
      <c r="EJ68" s="39" t="str">
        <f t="shared" si="318"/>
        <v/>
      </c>
      <c r="EK68" s="39" t="str">
        <f t="shared" si="318"/>
        <v/>
      </c>
      <c r="EL68" s="39" t="str">
        <f t="shared" si="318"/>
        <v/>
      </c>
      <c r="EM68" s="39" t="str">
        <f t="shared" si="318"/>
        <v/>
      </c>
      <c r="EN68" s="39" t="str">
        <f t="shared" si="318"/>
        <v/>
      </c>
      <c r="EO68" s="39" t="str">
        <f t="shared" si="318"/>
        <v/>
      </c>
      <c r="EP68" s="39" t="str">
        <f t="shared" si="318"/>
        <v/>
      </c>
      <c r="EQ68" s="39" t="str">
        <f t="shared" si="318"/>
        <v/>
      </c>
      <c r="ER68" s="39" t="str">
        <f t="shared" si="318"/>
        <v/>
      </c>
      <c r="ES68" s="39" t="str">
        <f t="shared" si="318"/>
        <v/>
      </c>
      <c r="ET68" s="39" t="str">
        <f t="shared" si="318"/>
        <v/>
      </c>
      <c r="EU68" s="39" t="str">
        <f t="shared" si="319"/>
        <v/>
      </c>
      <c r="EV68" s="39" t="str">
        <f t="shared" si="320"/>
        <v/>
      </c>
      <c r="EW68" s="39" t="str">
        <f t="shared" si="321"/>
        <v/>
      </c>
      <c r="EX68" s="39" t="str">
        <f t="shared" si="322"/>
        <v/>
      </c>
      <c r="EY68" s="39" t="str">
        <f t="shared" si="323"/>
        <v/>
      </c>
      <c r="EZ68" s="39" t="str">
        <f t="shared" si="324"/>
        <v/>
      </c>
      <c r="FA68" s="39" t="str">
        <f t="shared" si="325"/>
        <v/>
      </c>
      <c r="FB68" s="39" t="str">
        <f t="shared" si="326"/>
        <v/>
      </c>
      <c r="FC68" s="39" t="str">
        <f t="shared" si="327"/>
        <v/>
      </c>
      <c r="FD68" s="39" t="str">
        <f t="shared" si="328"/>
        <v/>
      </c>
      <c r="FE68" s="39" t="str">
        <f t="shared" si="329"/>
        <v/>
      </c>
      <c r="FF68" s="39" t="str">
        <f t="shared" si="330"/>
        <v/>
      </c>
      <c r="FG68" s="39" t="str">
        <f t="shared" si="331"/>
        <v/>
      </c>
      <c r="FH68" s="39" t="str">
        <f t="shared" si="332"/>
        <v/>
      </c>
      <c r="FI68" s="39" t="str">
        <f t="shared" si="333"/>
        <v/>
      </c>
      <c r="FJ68" s="39" t="str">
        <f t="shared" si="334"/>
        <v/>
      </c>
      <c r="FK68" s="39" t="str">
        <f t="shared" si="335"/>
        <v/>
      </c>
      <c r="FL68" s="39" t="str">
        <f t="shared" si="336"/>
        <v/>
      </c>
      <c r="FM68" s="39" t="str">
        <f t="shared" si="337"/>
        <v/>
      </c>
      <c r="FN68" s="39" t="str">
        <f t="shared" si="338"/>
        <v/>
      </c>
      <c r="FO68" s="39" t="str">
        <f t="shared" si="339"/>
        <v/>
      </c>
      <c r="FP68" s="39" t="str">
        <f t="shared" si="340"/>
        <v/>
      </c>
      <c r="FQ68" s="39" t="str">
        <f t="shared" si="341"/>
        <v/>
      </c>
      <c r="FR68" s="39" t="str">
        <f t="shared" si="342"/>
        <v/>
      </c>
      <c r="FS68" s="39" t="str">
        <f t="shared" si="343"/>
        <v/>
      </c>
      <c r="FT68" s="39" t="str">
        <f t="shared" si="344"/>
        <v/>
      </c>
      <c r="FU68" s="39" t="str">
        <f t="shared" si="345"/>
        <v/>
      </c>
      <c r="FV68" s="39" t="str">
        <f t="shared" si="346"/>
        <v/>
      </c>
      <c r="FW68" s="39" t="str">
        <f t="shared" si="347"/>
        <v/>
      </c>
      <c r="FX68" s="39" t="str">
        <f t="shared" si="348"/>
        <v/>
      </c>
      <c r="FY68" s="39" t="str">
        <f t="shared" si="349"/>
        <v/>
      </c>
      <c r="FZ68" s="39" t="str">
        <f t="shared" si="350"/>
        <v/>
      </c>
      <c r="GA68" s="39" t="str">
        <f t="shared" si="351"/>
        <v/>
      </c>
      <c r="GB68" s="39" t="str">
        <f t="shared" si="352"/>
        <v/>
      </c>
      <c r="GC68" s="39" t="str">
        <f t="shared" si="353"/>
        <v/>
      </c>
      <c r="GD68" s="39" t="str">
        <f t="shared" si="354"/>
        <v/>
      </c>
      <c r="GE68" s="39" t="str">
        <f t="shared" si="355"/>
        <v/>
      </c>
      <c r="GF68" s="39" t="str">
        <f t="shared" si="356"/>
        <v/>
      </c>
      <c r="GG68" s="39" t="str">
        <f t="shared" si="357"/>
        <v/>
      </c>
      <c r="GH68" s="39" t="str">
        <f t="shared" si="358"/>
        <v/>
      </c>
      <c r="GI68" s="39" t="str">
        <f t="shared" si="359"/>
        <v/>
      </c>
      <c r="GJ68" s="39" t="str">
        <f t="shared" si="360"/>
        <v/>
      </c>
      <c r="GK68" s="39" t="str">
        <f t="shared" si="361"/>
        <v/>
      </c>
      <c r="GL68" s="39" t="str">
        <f t="shared" si="362"/>
        <v/>
      </c>
      <c r="GM68" s="39" t="str">
        <f t="shared" si="363"/>
        <v/>
      </c>
      <c r="GN68" s="39" t="str">
        <f t="shared" si="364"/>
        <v/>
      </c>
      <c r="GO68" s="39" t="str">
        <f t="shared" si="365"/>
        <v/>
      </c>
      <c r="GP68" s="39" t="str">
        <f t="shared" si="366"/>
        <v/>
      </c>
      <c r="GQ68" s="39" t="str">
        <f t="shared" si="367"/>
        <v/>
      </c>
      <c r="GR68" s="39" t="str">
        <f t="shared" si="368"/>
        <v/>
      </c>
      <c r="GS68" s="39" t="str">
        <f t="shared" si="369"/>
        <v/>
      </c>
      <c r="GT68" s="39" t="str">
        <f t="shared" si="370"/>
        <v/>
      </c>
      <c r="GU68" s="39" t="str">
        <f t="shared" si="371"/>
        <v/>
      </c>
      <c r="GV68" s="39" t="str">
        <f t="shared" si="372"/>
        <v/>
      </c>
      <c r="GW68" s="39" t="str">
        <f t="shared" si="373"/>
        <v/>
      </c>
      <c r="GX68" s="39" t="str">
        <f t="shared" si="374"/>
        <v/>
      </c>
      <c r="GY68" s="39" t="str">
        <f t="shared" si="375"/>
        <v/>
      </c>
      <c r="GZ68" s="39" t="str">
        <f t="shared" si="376"/>
        <v/>
      </c>
      <c r="HA68" s="39" t="str">
        <f t="shared" si="377"/>
        <v/>
      </c>
      <c r="HB68" s="39" t="str">
        <f t="shared" si="378"/>
        <v/>
      </c>
      <c r="HC68" s="39" t="str">
        <f t="shared" si="379"/>
        <v/>
      </c>
      <c r="HD68" s="39" t="str">
        <f t="shared" si="380"/>
        <v/>
      </c>
      <c r="HE68" s="39" t="str">
        <f t="shared" si="381"/>
        <v/>
      </c>
      <c r="HF68" s="39" t="str">
        <f t="shared" si="382"/>
        <v/>
      </c>
      <c r="HG68" s="39" t="str">
        <f t="shared" si="383"/>
        <v/>
      </c>
      <c r="HH68" s="39" t="str">
        <f t="shared" si="384"/>
        <v/>
      </c>
      <c r="HI68" s="39" t="str">
        <f t="shared" si="385"/>
        <v/>
      </c>
      <c r="HJ68" s="39" t="str">
        <f t="shared" si="386"/>
        <v/>
      </c>
      <c r="HK68" s="39" t="str">
        <f t="shared" si="387"/>
        <v/>
      </c>
      <c r="HL68" s="39" t="str">
        <f t="shared" si="388"/>
        <v/>
      </c>
      <c r="HM68" s="39" t="str">
        <f t="shared" si="389"/>
        <v/>
      </c>
      <c r="HN68" s="39" t="str">
        <f t="shared" si="390"/>
        <v/>
      </c>
      <c r="HO68" s="39" t="str">
        <f t="shared" si="391"/>
        <v/>
      </c>
      <c r="HP68" s="39" t="str">
        <f t="shared" si="392"/>
        <v/>
      </c>
      <c r="HQ68" s="39" t="str">
        <f t="shared" si="393"/>
        <v/>
      </c>
      <c r="HR68" s="39" t="str">
        <f t="shared" si="394"/>
        <v/>
      </c>
      <c r="HS68" s="39" t="str">
        <f t="shared" si="395"/>
        <v/>
      </c>
      <c r="HT68" s="39" t="str">
        <f t="shared" si="395"/>
        <v/>
      </c>
      <c r="HU68" s="83" t="str">
        <f t="shared" si="182"/>
        <v>-</v>
      </c>
      <c r="HV68" s="84" t="str">
        <f t="shared" si="396"/>
        <v/>
      </c>
      <c r="HW68" s="85" t="str">
        <f t="shared" si="397"/>
        <v/>
      </c>
      <c r="HX68" s="84" t="str">
        <f t="shared" si="183"/>
        <v/>
      </c>
      <c r="HY68" s="84" t="str">
        <f t="shared" si="398"/>
        <v/>
      </c>
      <c r="HZ68" s="84" t="str">
        <f t="shared" si="399"/>
        <v/>
      </c>
      <c r="IA68" s="83" t="str">
        <f t="shared" si="400"/>
        <v/>
      </c>
      <c r="IB68" s="84" t="str">
        <f t="shared" si="401"/>
        <v/>
      </c>
      <c r="IC68" s="85" t="str">
        <f t="shared" si="402"/>
        <v/>
      </c>
      <c r="ID68" s="83" t="str">
        <f t="shared" si="403"/>
        <v/>
      </c>
      <c r="IE68" s="84" t="str">
        <f t="shared" si="404"/>
        <v/>
      </c>
      <c r="IF68" s="85" t="str">
        <f t="shared" si="405"/>
        <v/>
      </c>
      <c r="IH68" s="66">
        <v>68</v>
      </c>
      <c r="II68" s="66" t="e">
        <f t="shared" ca="1" si="192"/>
        <v>#N/A</v>
      </c>
      <c r="IJ68" s="66" t="e">
        <f t="shared" ca="1" si="193"/>
        <v>#N/A</v>
      </c>
      <c r="IK68" s="66" t="e">
        <f t="shared" ca="1" si="194"/>
        <v>#N/A</v>
      </c>
      <c r="IL68" s="66" t="e">
        <f t="shared" ca="1" si="195"/>
        <v>#N/A</v>
      </c>
      <c r="IM68" s="33"/>
      <c r="IN68" s="74" t="e">
        <f t="shared" ca="1" si="184"/>
        <v>#N/A</v>
      </c>
      <c r="IO68" s="75" t="e">
        <f t="shared" ca="1" si="185"/>
        <v>#N/A</v>
      </c>
      <c r="IP68" s="75" t="e">
        <f t="shared" ca="1" si="186"/>
        <v>#N/A</v>
      </c>
      <c r="IQ68" s="74" t="e">
        <f t="shared" ca="1" si="187"/>
        <v>#N/A</v>
      </c>
      <c r="IR68" s="74" t="e">
        <f t="shared" ca="1" si="188"/>
        <v>#N/A</v>
      </c>
    </row>
    <row r="69" spans="1:252" s="1" customFormat="1" x14ac:dyDescent="0.35">
      <c r="A69" s="33">
        <v>0</v>
      </c>
      <c r="B69" s="33">
        <v>0</v>
      </c>
      <c r="C69" s="33">
        <v>1</v>
      </c>
      <c r="E69" s="4"/>
      <c r="F69" t="s">
        <v>334</v>
      </c>
      <c r="G69" s="5" t="s">
        <v>540</v>
      </c>
      <c r="H69" s="4" t="s">
        <v>533</v>
      </c>
      <c r="I69" s="8" t="s">
        <v>534</v>
      </c>
      <c r="J69" s="276" t="s">
        <v>805</v>
      </c>
      <c r="K69" s="39" t="s">
        <v>805</v>
      </c>
      <c r="L69" s="39" t="s">
        <v>805</v>
      </c>
      <c r="M69" s="39" t="s">
        <v>805</v>
      </c>
      <c r="N69" s="39" t="s">
        <v>805</v>
      </c>
      <c r="O69" s="39" t="s">
        <v>805</v>
      </c>
      <c r="P69" s="39" t="s">
        <v>805</v>
      </c>
      <c r="Q69" s="39" t="s">
        <v>805</v>
      </c>
      <c r="R69" s="39" t="s">
        <v>805</v>
      </c>
      <c r="S69" s="39" t="s">
        <v>805</v>
      </c>
      <c r="T69" s="39" t="s">
        <v>805</v>
      </c>
      <c r="U69" s="39" t="s">
        <v>805</v>
      </c>
      <c r="V69" s="39" t="s">
        <v>805</v>
      </c>
      <c r="W69" s="39" t="s">
        <v>805</v>
      </c>
      <c r="X69" s="39" t="s">
        <v>805</v>
      </c>
      <c r="Y69" s="39" t="s">
        <v>805</v>
      </c>
      <c r="Z69" s="39" t="s">
        <v>805</v>
      </c>
      <c r="AA69" s="39" t="s">
        <v>805</v>
      </c>
      <c r="AB69" s="39" t="s">
        <v>805</v>
      </c>
      <c r="AC69" s="39" t="s">
        <v>805</v>
      </c>
      <c r="AD69" s="39" t="s">
        <v>805</v>
      </c>
      <c r="AE69" s="39" t="s">
        <v>805</v>
      </c>
      <c r="AF69" s="39" t="s">
        <v>805</v>
      </c>
      <c r="AG69" s="39" t="s">
        <v>805</v>
      </c>
      <c r="AH69" s="39" t="s">
        <v>805</v>
      </c>
      <c r="AI69" s="39" t="s">
        <v>805</v>
      </c>
      <c r="AJ69" s="39" t="s">
        <v>805</v>
      </c>
      <c r="AK69" s="39" t="s">
        <v>805</v>
      </c>
      <c r="AL69" s="39" t="s">
        <v>805</v>
      </c>
      <c r="AM69" s="39" t="s">
        <v>805</v>
      </c>
      <c r="AN69" s="39" t="s">
        <v>805</v>
      </c>
      <c r="AO69" s="39" t="s">
        <v>805</v>
      </c>
      <c r="AP69" s="39" t="s">
        <v>805</v>
      </c>
      <c r="AQ69" s="39" t="s">
        <v>805</v>
      </c>
      <c r="AR69" s="39" t="s">
        <v>805</v>
      </c>
      <c r="AS69" s="39" t="s">
        <v>805</v>
      </c>
      <c r="AT69" s="39" t="s">
        <v>805</v>
      </c>
      <c r="AU69" s="39" t="s">
        <v>805</v>
      </c>
      <c r="AV69" s="39" t="s">
        <v>805</v>
      </c>
      <c r="AW69" s="39" t="s">
        <v>805</v>
      </c>
      <c r="AX69" s="39" t="s">
        <v>805</v>
      </c>
      <c r="AY69" s="39" t="s">
        <v>805</v>
      </c>
      <c r="AZ69" s="39" t="s">
        <v>805</v>
      </c>
      <c r="BA69" s="39" t="s">
        <v>805</v>
      </c>
      <c r="BB69" s="39" t="s">
        <v>805</v>
      </c>
      <c r="BC69" s="39" t="s">
        <v>805</v>
      </c>
      <c r="BD69" s="39" t="s">
        <v>805</v>
      </c>
      <c r="BE69" s="39" t="s">
        <v>805</v>
      </c>
      <c r="BF69" s="39" t="s">
        <v>805</v>
      </c>
      <c r="BG69" s="39" t="s">
        <v>805</v>
      </c>
      <c r="BH69" s="39" t="s">
        <v>805</v>
      </c>
      <c r="BI69" s="39" t="s">
        <v>805</v>
      </c>
      <c r="BJ69" s="39" t="s">
        <v>805</v>
      </c>
      <c r="BK69" s="39" t="s">
        <v>805</v>
      </c>
      <c r="BL69" s="39" t="s">
        <v>805</v>
      </c>
      <c r="BM69" s="39" t="s">
        <v>805</v>
      </c>
      <c r="BN69" s="39" t="s">
        <v>805</v>
      </c>
      <c r="BO69" s="39" t="s">
        <v>805</v>
      </c>
      <c r="BP69" s="39" t="s">
        <v>805</v>
      </c>
      <c r="BQ69" s="39" t="s">
        <v>805</v>
      </c>
      <c r="BR69" s="39" t="s">
        <v>805</v>
      </c>
      <c r="BS69" s="39" t="s">
        <v>805</v>
      </c>
      <c r="BT69" s="39" t="s">
        <v>805</v>
      </c>
      <c r="BU69" s="39" t="s">
        <v>805</v>
      </c>
      <c r="BV69" s="39" t="s">
        <v>805</v>
      </c>
      <c r="BW69" s="39" t="s">
        <v>805</v>
      </c>
      <c r="BX69" s="39" t="s">
        <v>805</v>
      </c>
      <c r="BY69" s="39" t="s">
        <v>805</v>
      </c>
      <c r="BZ69" s="39" t="s">
        <v>805</v>
      </c>
      <c r="CA69" s="39" t="s">
        <v>805</v>
      </c>
      <c r="CB69" s="39" t="s">
        <v>805</v>
      </c>
      <c r="CC69" s="39" t="s">
        <v>805</v>
      </c>
      <c r="CD69" s="39" t="s">
        <v>805</v>
      </c>
      <c r="CE69" s="39" t="s">
        <v>805</v>
      </c>
      <c r="CF69" s="39" t="s">
        <v>805</v>
      </c>
      <c r="CG69" s="39" t="s">
        <v>805</v>
      </c>
      <c r="CH69" s="39" t="s">
        <v>805</v>
      </c>
      <c r="CI69" s="39" t="s">
        <v>805</v>
      </c>
      <c r="CJ69" s="39" t="s">
        <v>805</v>
      </c>
      <c r="CK69" s="39" t="s">
        <v>805</v>
      </c>
      <c r="CL69" s="39" t="s">
        <v>805</v>
      </c>
      <c r="CM69" s="39" t="s">
        <v>805</v>
      </c>
      <c r="CN69" s="39" t="s">
        <v>805</v>
      </c>
      <c r="CO69" s="39" t="s">
        <v>805</v>
      </c>
      <c r="CP69" s="39" t="s">
        <v>805</v>
      </c>
      <c r="CQ69" s="39" t="s">
        <v>805</v>
      </c>
      <c r="CR69" s="39" t="s">
        <v>805</v>
      </c>
      <c r="CS69" s="39" t="s">
        <v>805</v>
      </c>
      <c r="CT69" s="39" t="s">
        <v>805</v>
      </c>
      <c r="CU69" s="39" t="s">
        <v>805</v>
      </c>
      <c r="CV69" s="39" t="s">
        <v>805</v>
      </c>
      <c r="CW69" s="39" t="s">
        <v>805</v>
      </c>
      <c r="CX69" s="39" t="s">
        <v>805</v>
      </c>
      <c r="CY69" s="39" t="s">
        <v>805</v>
      </c>
      <c r="CZ69" s="39" t="s">
        <v>805</v>
      </c>
      <c r="DA69" s="39" t="s">
        <v>805</v>
      </c>
      <c r="DB69" s="39" t="s">
        <v>805</v>
      </c>
      <c r="DC69" s="39" t="s">
        <v>805</v>
      </c>
      <c r="DD69" s="39" t="s">
        <v>805</v>
      </c>
      <c r="DE69" s="39" t="s">
        <v>805</v>
      </c>
      <c r="DF69" s="39" t="s">
        <v>805</v>
      </c>
      <c r="DG69" s="28">
        <f>'KPI Count-SHARE'!J62</f>
        <v>0</v>
      </c>
      <c r="DH69" s="105"/>
      <c r="DI69" s="105"/>
      <c r="DJ69" s="105"/>
      <c r="DK69" s="28">
        <f>'KPI Count-SHARE'!K62</f>
        <v>0</v>
      </c>
      <c r="DL69" s="39"/>
      <c r="DM69" s="39"/>
      <c r="DN69" s="39"/>
      <c r="DO69" s="28">
        <f>'KPI Count-SHARE'!L62</f>
        <v>0</v>
      </c>
      <c r="DP69" s="61"/>
      <c r="DQ69" s="61"/>
      <c r="DR69" s="61"/>
      <c r="DS69" s="28">
        <f>'KPI Count-SHARE'!M62</f>
        <v>0</v>
      </c>
      <c r="DT69" s="39"/>
      <c r="DU69" s="39"/>
      <c r="DV69" s="39"/>
      <c r="DW69" s="30" t="s">
        <v>533</v>
      </c>
      <c r="DX69" s="39" t="str">
        <f t="shared" si="310"/>
        <v/>
      </c>
      <c r="DY69" s="39" t="str">
        <f t="shared" si="311"/>
        <v/>
      </c>
      <c r="DZ69" s="39" t="str">
        <f t="shared" si="312"/>
        <v/>
      </c>
      <c r="EA69" s="39" t="str">
        <f t="shared" si="179"/>
        <v/>
      </c>
      <c r="EB69" s="39" t="str">
        <f t="shared" si="180"/>
        <v/>
      </c>
      <c r="EC69" s="39" t="str">
        <f t="shared" si="181"/>
        <v/>
      </c>
      <c r="ED69" s="39" t="str">
        <f t="shared" si="313"/>
        <v/>
      </c>
      <c r="EE69" s="39" t="str">
        <f t="shared" si="314"/>
        <v/>
      </c>
      <c r="EF69" s="39" t="str">
        <f t="shared" si="315"/>
        <v/>
      </c>
      <c r="EG69" s="39" t="str">
        <f t="shared" si="316"/>
        <v/>
      </c>
      <c r="EH69" s="39" t="str">
        <f t="shared" si="317"/>
        <v/>
      </c>
      <c r="EI69" s="39" t="str">
        <f t="shared" si="318"/>
        <v/>
      </c>
      <c r="EJ69" s="39" t="str">
        <f t="shared" si="318"/>
        <v/>
      </c>
      <c r="EK69" s="39" t="str">
        <f t="shared" si="318"/>
        <v/>
      </c>
      <c r="EL69" s="39" t="str">
        <f t="shared" si="318"/>
        <v/>
      </c>
      <c r="EM69" s="39" t="str">
        <f t="shared" si="318"/>
        <v/>
      </c>
      <c r="EN69" s="39" t="str">
        <f t="shared" si="318"/>
        <v/>
      </c>
      <c r="EO69" s="39" t="str">
        <f t="shared" si="318"/>
        <v/>
      </c>
      <c r="EP69" s="39" t="str">
        <f t="shared" si="318"/>
        <v/>
      </c>
      <c r="EQ69" s="39" t="str">
        <f t="shared" si="318"/>
        <v/>
      </c>
      <c r="ER69" s="39" t="str">
        <f t="shared" si="318"/>
        <v/>
      </c>
      <c r="ES69" s="39" t="str">
        <f t="shared" si="318"/>
        <v/>
      </c>
      <c r="ET69" s="39" t="str">
        <f t="shared" si="318"/>
        <v/>
      </c>
      <c r="EU69" s="39" t="str">
        <f t="shared" si="319"/>
        <v/>
      </c>
      <c r="EV69" s="39" t="str">
        <f t="shared" si="320"/>
        <v/>
      </c>
      <c r="EW69" s="39" t="str">
        <f t="shared" si="321"/>
        <v/>
      </c>
      <c r="EX69" s="39" t="str">
        <f t="shared" si="322"/>
        <v/>
      </c>
      <c r="EY69" s="39" t="str">
        <f t="shared" si="323"/>
        <v/>
      </c>
      <c r="EZ69" s="39" t="str">
        <f t="shared" si="324"/>
        <v/>
      </c>
      <c r="FA69" s="39" t="str">
        <f t="shared" si="325"/>
        <v/>
      </c>
      <c r="FB69" s="39" t="str">
        <f t="shared" si="326"/>
        <v/>
      </c>
      <c r="FC69" s="39" t="str">
        <f t="shared" si="327"/>
        <v/>
      </c>
      <c r="FD69" s="39" t="str">
        <f t="shared" si="328"/>
        <v/>
      </c>
      <c r="FE69" s="39" t="str">
        <f t="shared" si="329"/>
        <v/>
      </c>
      <c r="FF69" s="39" t="str">
        <f t="shared" si="330"/>
        <v/>
      </c>
      <c r="FG69" s="39" t="str">
        <f t="shared" si="331"/>
        <v/>
      </c>
      <c r="FH69" s="39" t="str">
        <f t="shared" si="332"/>
        <v/>
      </c>
      <c r="FI69" s="39" t="str">
        <f t="shared" si="333"/>
        <v/>
      </c>
      <c r="FJ69" s="39" t="str">
        <f t="shared" si="334"/>
        <v/>
      </c>
      <c r="FK69" s="39" t="str">
        <f t="shared" si="335"/>
        <v/>
      </c>
      <c r="FL69" s="39" t="str">
        <f t="shared" si="336"/>
        <v/>
      </c>
      <c r="FM69" s="39" t="str">
        <f t="shared" si="337"/>
        <v/>
      </c>
      <c r="FN69" s="39" t="str">
        <f t="shared" si="338"/>
        <v/>
      </c>
      <c r="FO69" s="39" t="str">
        <f t="shared" si="339"/>
        <v/>
      </c>
      <c r="FP69" s="39" t="str">
        <f t="shared" si="340"/>
        <v/>
      </c>
      <c r="FQ69" s="39" t="str">
        <f t="shared" si="341"/>
        <v/>
      </c>
      <c r="FR69" s="39" t="str">
        <f t="shared" si="342"/>
        <v/>
      </c>
      <c r="FS69" s="39" t="str">
        <f t="shared" si="343"/>
        <v/>
      </c>
      <c r="FT69" s="39" t="str">
        <f t="shared" si="344"/>
        <v/>
      </c>
      <c r="FU69" s="39" t="str">
        <f t="shared" si="345"/>
        <v/>
      </c>
      <c r="FV69" s="39" t="str">
        <f t="shared" si="346"/>
        <v/>
      </c>
      <c r="FW69" s="39" t="str">
        <f t="shared" si="347"/>
        <v/>
      </c>
      <c r="FX69" s="39" t="str">
        <f t="shared" si="348"/>
        <v/>
      </c>
      <c r="FY69" s="39" t="str">
        <f t="shared" si="349"/>
        <v/>
      </c>
      <c r="FZ69" s="39" t="str">
        <f t="shared" si="350"/>
        <v/>
      </c>
      <c r="GA69" s="39" t="str">
        <f t="shared" si="351"/>
        <v/>
      </c>
      <c r="GB69" s="39" t="str">
        <f t="shared" si="352"/>
        <v/>
      </c>
      <c r="GC69" s="39" t="str">
        <f t="shared" si="353"/>
        <v/>
      </c>
      <c r="GD69" s="39" t="str">
        <f t="shared" si="354"/>
        <v/>
      </c>
      <c r="GE69" s="39" t="str">
        <f t="shared" si="355"/>
        <v/>
      </c>
      <c r="GF69" s="39" t="str">
        <f t="shared" si="356"/>
        <v/>
      </c>
      <c r="GG69" s="39" t="str">
        <f t="shared" si="357"/>
        <v/>
      </c>
      <c r="GH69" s="39" t="str">
        <f t="shared" si="358"/>
        <v/>
      </c>
      <c r="GI69" s="39" t="str">
        <f t="shared" si="359"/>
        <v/>
      </c>
      <c r="GJ69" s="39" t="str">
        <f t="shared" si="360"/>
        <v/>
      </c>
      <c r="GK69" s="39" t="str">
        <f t="shared" si="361"/>
        <v/>
      </c>
      <c r="GL69" s="39" t="str">
        <f t="shared" si="362"/>
        <v/>
      </c>
      <c r="GM69" s="39" t="str">
        <f t="shared" si="363"/>
        <v/>
      </c>
      <c r="GN69" s="39" t="str">
        <f t="shared" si="364"/>
        <v/>
      </c>
      <c r="GO69" s="39" t="str">
        <f t="shared" si="365"/>
        <v/>
      </c>
      <c r="GP69" s="39" t="str">
        <f t="shared" si="366"/>
        <v/>
      </c>
      <c r="GQ69" s="39" t="str">
        <f t="shared" si="367"/>
        <v/>
      </c>
      <c r="GR69" s="39" t="str">
        <f t="shared" si="368"/>
        <v/>
      </c>
      <c r="GS69" s="39" t="str">
        <f t="shared" si="369"/>
        <v/>
      </c>
      <c r="GT69" s="39" t="str">
        <f t="shared" si="370"/>
        <v/>
      </c>
      <c r="GU69" s="39" t="str">
        <f t="shared" si="371"/>
        <v/>
      </c>
      <c r="GV69" s="39" t="str">
        <f t="shared" si="372"/>
        <v/>
      </c>
      <c r="GW69" s="39" t="str">
        <f t="shared" si="373"/>
        <v/>
      </c>
      <c r="GX69" s="39" t="str">
        <f t="shared" si="374"/>
        <v/>
      </c>
      <c r="GY69" s="39" t="str">
        <f t="shared" si="375"/>
        <v/>
      </c>
      <c r="GZ69" s="39" t="str">
        <f t="shared" si="376"/>
        <v/>
      </c>
      <c r="HA69" s="39" t="str">
        <f t="shared" si="377"/>
        <v/>
      </c>
      <c r="HB69" s="39" t="str">
        <f t="shared" si="378"/>
        <v/>
      </c>
      <c r="HC69" s="39" t="str">
        <f t="shared" si="379"/>
        <v/>
      </c>
      <c r="HD69" s="39" t="str">
        <f t="shared" si="380"/>
        <v/>
      </c>
      <c r="HE69" s="39" t="str">
        <f t="shared" si="381"/>
        <v/>
      </c>
      <c r="HF69" s="39" t="str">
        <f t="shared" si="382"/>
        <v/>
      </c>
      <c r="HG69" s="39" t="str">
        <f t="shared" si="383"/>
        <v/>
      </c>
      <c r="HH69" s="39" t="str">
        <f t="shared" si="384"/>
        <v/>
      </c>
      <c r="HI69" s="39" t="str">
        <f t="shared" si="385"/>
        <v/>
      </c>
      <c r="HJ69" s="39" t="str">
        <f t="shared" si="386"/>
        <v/>
      </c>
      <c r="HK69" s="39" t="str">
        <f t="shared" si="387"/>
        <v/>
      </c>
      <c r="HL69" s="39" t="str">
        <f t="shared" si="388"/>
        <v/>
      </c>
      <c r="HM69" s="39" t="str">
        <f t="shared" si="389"/>
        <v/>
      </c>
      <c r="HN69" s="39" t="str">
        <f t="shared" si="390"/>
        <v/>
      </c>
      <c r="HO69" s="39" t="str">
        <f t="shared" si="391"/>
        <v/>
      </c>
      <c r="HP69" s="39" t="str">
        <f t="shared" si="392"/>
        <v/>
      </c>
      <c r="HQ69" s="39" t="str">
        <f t="shared" si="393"/>
        <v/>
      </c>
      <c r="HR69" s="39" t="str">
        <f t="shared" si="394"/>
        <v/>
      </c>
      <c r="HS69" s="39" t="str">
        <f t="shared" si="395"/>
        <v/>
      </c>
      <c r="HT69" s="39" t="str">
        <f t="shared" si="395"/>
        <v/>
      </c>
      <c r="HU69" s="83" t="str">
        <f t="shared" si="182"/>
        <v>-</v>
      </c>
      <c r="HV69" s="84" t="str">
        <f t="shared" si="396"/>
        <v/>
      </c>
      <c r="HW69" s="85" t="str">
        <f t="shared" si="397"/>
        <v/>
      </c>
      <c r="HX69" s="84" t="str">
        <f t="shared" si="183"/>
        <v/>
      </c>
      <c r="HY69" s="84" t="str">
        <f t="shared" si="398"/>
        <v/>
      </c>
      <c r="HZ69" s="84" t="str">
        <f t="shared" si="399"/>
        <v/>
      </c>
      <c r="IA69" s="83" t="str">
        <f t="shared" si="400"/>
        <v/>
      </c>
      <c r="IB69" s="84" t="str">
        <f t="shared" si="401"/>
        <v/>
      </c>
      <c r="IC69" s="85" t="str">
        <f t="shared" si="402"/>
        <v/>
      </c>
      <c r="ID69" s="83" t="str">
        <f t="shared" si="403"/>
        <v/>
      </c>
      <c r="IE69" s="84" t="str">
        <f t="shared" si="404"/>
        <v/>
      </c>
      <c r="IF69" s="85" t="str">
        <f t="shared" si="405"/>
        <v/>
      </c>
      <c r="IH69" s="66">
        <v>69</v>
      </c>
      <c r="II69" s="66" t="e">
        <f t="shared" ca="1" si="192"/>
        <v>#N/A</v>
      </c>
      <c r="IJ69" s="66" t="e">
        <f t="shared" ca="1" si="193"/>
        <v>#N/A</v>
      </c>
      <c r="IK69" s="66" t="e">
        <f t="shared" ca="1" si="194"/>
        <v>#N/A</v>
      </c>
      <c r="IL69" s="66" t="e">
        <f t="shared" ca="1" si="195"/>
        <v>#N/A</v>
      </c>
      <c r="IM69" s="33"/>
      <c r="IN69" s="74" t="e">
        <f t="shared" ca="1" si="184"/>
        <v>#N/A</v>
      </c>
      <c r="IO69" s="75" t="e">
        <f t="shared" ca="1" si="185"/>
        <v>#N/A</v>
      </c>
      <c r="IP69" s="75" t="e">
        <f t="shared" ca="1" si="186"/>
        <v>#N/A</v>
      </c>
      <c r="IQ69" s="74" t="e">
        <f t="shared" ca="1" si="187"/>
        <v>#N/A</v>
      </c>
      <c r="IR69" s="74" t="e">
        <f t="shared" ca="1" si="188"/>
        <v>#N/A</v>
      </c>
    </row>
    <row r="70" spans="1:252" s="1" customFormat="1" x14ac:dyDescent="0.35">
      <c r="A70" s="33">
        <v>0</v>
      </c>
      <c r="B70" s="33">
        <v>0</v>
      </c>
      <c r="C70" s="33">
        <v>1</v>
      </c>
      <c r="E70" s="4"/>
      <c r="F70" t="s">
        <v>335</v>
      </c>
      <c r="G70" s="5" t="s">
        <v>540</v>
      </c>
      <c r="H70" s="4" t="s">
        <v>533</v>
      </c>
      <c r="I70" s="8" t="s">
        <v>534</v>
      </c>
      <c r="J70" s="276" t="s">
        <v>805</v>
      </c>
      <c r="K70" s="39" t="s">
        <v>805</v>
      </c>
      <c r="L70" s="39" t="s">
        <v>805</v>
      </c>
      <c r="M70" s="39" t="s">
        <v>805</v>
      </c>
      <c r="N70" s="39" t="s">
        <v>805</v>
      </c>
      <c r="O70" s="39" t="s">
        <v>805</v>
      </c>
      <c r="P70" s="39" t="s">
        <v>805</v>
      </c>
      <c r="Q70" s="39" t="s">
        <v>805</v>
      </c>
      <c r="R70" s="39" t="s">
        <v>805</v>
      </c>
      <c r="S70" s="39" t="s">
        <v>805</v>
      </c>
      <c r="T70" s="39" t="s">
        <v>805</v>
      </c>
      <c r="U70" s="39" t="s">
        <v>805</v>
      </c>
      <c r="V70" s="39" t="s">
        <v>805</v>
      </c>
      <c r="W70" s="39" t="s">
        <v>805</v>
      </c>
      <c r="X70" s="39" t="s">
        <v>805</v>
      </c>
      <c r="Y70" s="39" t="s">
        <v>805</v>
      </c>
      <c r="Z70" s="39" t="s">
        <v>805</v>
      </c>
      <c r="AA70" s="39" t="s">
        <v>805</v>
      </c>
      <c r="AB70" s="39" t="s">
        <v>805</v>
      </c>
      <c r="AC70" s="39" t="s">
        <v>805</v>
      </c>
      <c r="AD70" s="39" t="s">
        <v>805</v>
      </c>
      <c r="AE70" s="39" t="s">
        <v>805</v>
      </c>
      <c r="AF70" s="39" t="s">
        <v>805</v>
      </c>
      <c r="AG70" s="39" t="s">
        <v>805</v>
      </c>
      <c r="AH70" s="39" t="s">
        <v>805</v>
      </c>
      <c r="AI70" s="39" t="s">
        <v>805</v>
      </c>
      <c r="AJ70" s="39" t="s">
        <v>805</v>
      </c>
      <c r="AK70" s="39" t="s">
        <v>805</v>
      </c>
      <c r="AL70" s="39" t="s">
        <v>805</v>
      </c>
      <c r="AM70" s="39" t="s">
        <v>805</v>
      </c>
      <c r="AN70" s="39" t="s">
        <v>805</v>
      </c>
      <c r="AO70" s="39" t="s">
        <v>805</v>
      </c>
      <c r="AP70" s="39" t="s">
        <v>805</v>
      </c>
      <c r="AQ70" s="39" t="s">
        <v>805</v>
      </c>
      <c r="AR70" s="39" t="s">
        <v>805</v>
      </c>
      <c r="AS70" s="39" t="s">
        <v>805</v>
      </c>
      <c r="AT70" s="39" t="s">
        <v>805</v>
      </c>
      <c r="AU70" s="39" t="s">
        <v>805</v>
      </c>
      <c r="AV70" s="39" t="s">
        <v>805</v>
      </c>
      <c r="AW70" s="39" t="s">
        <v>805</v>
      </c>
      <c r="AX70" s="39" t="s">
        <v>805</v>
      </c>
      <c r="AY70" s="39" t="s">
        <v>805</v>
      </c>
      <c r="AZ70" s="39" t="s">
        <v>805</v>
      </c>
      <c r="BA70" s="39" t="s">
        <v>805</v>
      </c>
      <c r="BB70" s="39" t="s">
        <v>805</v>
      </c>
      <c r="BC70" s="39" t="s">
        <v>805</v>
      </c>
      <c r="BD70" s="39" t="s">
        <v>805</v>
      </c>
      <c r="BE70" s="39" t="s">
        <v>805</v>
      </c>
      <c r="BF70" s="39" t="s">
        <v>805</v>
      </c>
      <c r="BG70" s="39" t="s">
        <v>805</v>
      </c>
      <c r="BH70" s="39" t="s">
        <v>805</v>
      </c>
      <c r="BI70" s="39" t="s">
        <v>805</v>
      </c>
      <c r="BJ70" s="39" t="s">
        <v>805</v>
      </c>
      <c r="BK70" s="39" t="s">
        <v>805</v>
      </c>
      <c r="BL70" s="39" t="s">
        <v>805</v>
      </c>
      <c r="BM70" s="39" t="s">
        <v>805</v>
      </c>
      <c r="BN70" s="39" t="s">
        <v>805</v>
      </c>
      <c r="BO70" s="39" t="s">
        <v>805</v>
      </c>
      <c r="BP70" s="39" t="s">
        <v>805</v>
      </c>
      <c r="BQ70" s="39" t="s">
        <v>805</v>
      </c>
      <c r="BR70" s="39" t="s">
        <v>805</v>
      </c>
      <c r="BS70" s="39" t="s">
        <v>805</v>
      </c>
      <c r="BT70" s="39" t="s">
        <v>805</v>
      </c>
      <c r="BU70" s="39" t="s">
        <v>805</v>
      </c>
      <c r="BV70" s="39" t="s">
        <v>805</v>
      </c>
      <c r="BW70" s="39" t="s">
        <v>805</v>
      </c>
      <c r="BX70" s="39" t="s">
        <v>805</v>
      </c>
      <c r="BY70" s="39" t="s">
        <v>805</v>
      </c>
      <c r="BZ70" s="39" t="s">
        <v>805</v>
      </c>
      <c r="CA70" s="39" t="s">
        <v>805</v>
      </c>
      <c r="CB70" s="39" t="s">
        <v>805</v>
      </c>
      <c r="CC70" s="39" t="s">
        <v>805</v>
      </c>
      <c r="CD70" s="39" t="s">
        <v>805</v>
      </c>
      <c r="CE70" s="39" t="s">
        <v>805</v>
      </c>
      <c r="CF70" s="39" t="s">
        <v>805</v>
      </c>
      <c r="CG70" s="39" t="s">
        <v>805</v>
      </c>
      <c r="CH70" s="39" t="s">
        <v>805</v>
      </c>
      <c r="CI70" s="39" t="s">
        <v>805</v>
      </c>
      <c r="CJ70" s="39" t="s">
        <v>805</v>
      </c>
      <c r="CK70" s="39" t="s">
        <v>805</v>
      </c>
      <c r="CL70" s="39" t="s">
        <v>805</v>
      </c>
      <c r="CM70" s="39" t="s">
        <v>805</v>
      </c>
      <c r="CN70" s="39" t="s">
        <v>805</v>
      </c>
      <c r="CO70" s="39" t="s">
        <v>805</v>
      </c>
      <c r="CP70" s="39" t="s">
        <v>805</v>
      </c>
      <c r="CQ70" s="39" t="s">
        <v>805</v>
      </c>
      <c r="CR70" s="39" t="s">
        <v>805</v>
      </c>
      <c r="CS70" s="39" t="s">
        <v>805</v>
      </c>
      <c r="CT70" s="39" t="s">
        <v>805</v>
      </c>
      <c r="CU70" s="39" t="s">
        <v>805</v>
      </c>
      <c r="CV70" s="39" t="s">
        <v>805</v>
      </c>
      <c r="CW70" s="39" t="s">
        <v>805</v>
      </c>
      <c r="CX70" s="39" t="s">
        <v>805</v>
      </c>
      <c r="CY70" s="39" t="s">
        <v>805</v>
      </c>
      <c r="CZ70" s="39" t="s">
        <v>805</v>
      </c>
      <c r="DA70" s="39" t="s">
        <v>805</v>
      </c>
      <c r="DB70" s="39" t="s">
        <v>805</v>
      </c>
      <c r="DC70" s="39" t="s">
        <v>805</v>
      </c>
      <c r="DD70" s="39" t="s">
        <v>805</v>
      </c>
      <c r="DE70" s="39" t="s">
        <v>805</v>
      </c>
      <c r="DF70" s="39" t="s">
        <v>805</v>
      </c>
      <c r="DG70" s="28">
        <f>'KPI Count-SHARE'!J63</f>
        <v>0</v>
      </c>
      <c r="DH70" s="105"/>
      <c r="DI70" s="105"/>
      <c r="DJ70" s="105"/>
      <c r="DK70" s="28">
        <f>'KPI Count-SHARE'!K63</f>
        <v>0</v>
      </c>
      <c r="DL70" s="39"/>
      <c r="DM70" s="39"/>
      <c r="DN70" s="39"/>
      <c r="DO70" s="28">
        <f>'KPI Count-SHARE'!L63</f>
        <v>0</v>
      </c>
      <c r="DP70" s="61"/>
      <c r="DQ70" s="61"/>
      <c r="DR70" s="61"/>
      <c r="DS70" s="28">
        <f>'KPI Count-SHARE'!M63</f>
        <v>0</v>
      </c>
      <c r="DT70" s="39"/>
      <c r="DU70" s="39"/>
      <c r="DV70" s="39"/>
      <c r="DW70" s="30" t="s">
        <v>533</v>
      </c>
      <c r="DX70" s="39" t="str">
        <f t="shared" si="310"/>
        <v/>
      </c>
      <c r="DY70" s="39" t="str">
        <f t="shared" si="311"/>
        <v/>
      </c>
      <c r="DZ70" s="39" t="str">
        <f t="shared" si="312"/>
        <v/>
      </c>
      <c r="EA70" s="39" t="str">
        <f t="shared" si="179"/>
        <v/>
      </c>
      <c r="EB70" s="39" t="str">
        <f t="shared" si="180"/>
        <v/>
      </c>
      <c r="EC70" s="39" t="str">
        <f t="shared" si="181"/>
        <v/>
      </c>
      <c r="ED70" s="39" t="str">
        <f t="shared" si="313"/>
        <v/>
      </c>
      <c r="EE70" s="39" t="str">
        <f t="shared" si="314"/>
        <v/>
      </c>
      <c r="EF70" s="39" t="str">
        <f t="shared" si="315"/>
        <v/>
      </c>
      <c r="EG70" s="39" t="str">
        <f t="shared" si="316"/>
        <v/>
      </c>
      <c r="EH70" s="39" t="str">
        <f t="shared" si="317"/>
        <v/>
      </c>
      <c r="EI70" s="39" t="str">
        <f t="shared" si="318"/>
        <v/>
      </c>
      <c r="EJ70" s="39" t="str">
        <f t="shared" si="318"/>
        <v/>
      </c>
      <c r="EK70" s="39" t="str">
        <f t="shared" si="318"/>
        <v/>
      </c>
      <c r="EL70" s="39" t="str">
        <f t="shared" si="318"/>
        <v/>
      </c>
      <c r="EM70" s="39" t="str">
        <f t="shared" si="318"/>
        <v/>
      </c>
      <c r="EN70" s="39" t="str">
        <f t="shared" si="318"/>
        <v/>
      </c>
      <c r="EO70" s="39" t="str">
        <f t="shared" si="318"/>
        <v/>
      </c>
      <c r="EP70" s="39" t="str">
        <f t="shared" si="318"/>
        <v/>
      </c>
      <c r="EQ70" s="39" t="str">
        <f t="shared" si="318"/>
        <v/>
      </c>
      <c r="ER70" s="39" t="str">
        <f t="shared" si="318"/>
        <v/>
      </c>
      <c r="ES70" s="39" t="str">
        <f t="shared" si="318"/>
        <v/>
      </c>
      <c r="ET70" s="39" t="str">
        <f t="shared" si="318"/>
        <v/>
      </c>
      <c r="EU70" s="39" t="str">
        <f t="shared" si="319"/>
        <v/>
      </c>
      <c r="EV70" s="39" t="str">
        <f t="shared" si="320"/>
        <v/>
      </c>
      <c r="EW70" s="39" t="str">
        <f t="shared" si="321"/>
        <v/>
      </c>
      <c r="EX70" s="39" t="str">
        <f t="shared" si="322"/>
        <v/>
      </c>
      <c r="EY70" s="39" t="str">
        <f t="shared" si="323"/>
        <v/>
      </c>
      <c r="EZ70" s="39" t="str">
        <f t="shared" si="324"/>
        <v/>
      </c>
      <c r="FA70" s="39" t="str">
        <f t="shared" si="325"/>
        <v/>
      </c>
      <c r="FB70" s="39" t="str">
        <f t="shared" si="326"/>
        <v/>
      </c>
      <c r="FC70" s="39" t="str">
        <f t="shared" si="327"/>
        <v/>
      </c>
      <c r="FD70" s="39" t="str">
        <f t="shared" si="328"/>
        <v/>
      </c>
      <c r="FE70" s="39" t="str">
        <f t="shared" si="329"/>
        <v/>
      </c>
      <c r="FF70" s="39" t="str">
        <f t="shared" si="330"/>
        <v/>
      </c>
      <c r="FG70" s="39" t="str">
        <f t="shared" si="331"/>
        <v/>
      </c>
      <c r="FH70" s="39" t="str">
        <f t="shared" si="332"/>
        <v/>
      </c>
      <c r="FI70" s="39" t="str">
        <f t="shared" si="333"/>
        <v/>
      </c>
      <c r="FJ70" s="39" t="str">
        <f t="shared" si="334"/>
        <v/>
      </c>
      <c r="FK70" s="39" t="str">
        <f t="shared" si="335"/>
        <v/>
      </c>
      <c r="FL70" s="39" t="str">
        <f t="shared" si="336"/>
        <v/>
      </c>
      <c r="FM70" s="39" t="str">
        <f t="shared" si="337"/>
        <v/>
      </c>
      <c r="FN70" s="39" t="str">
        <f t="shared" si="338"/>
        <v/>
      </c>
      <c r="FO70" s="39" t="str">
        <f t="shared" si="339"/>
        <v/>
      </c>
      <c r="FP70" s="39" t="str">
        <f t="shared" si="340"/>
        <v/>
      </c>
      <c r="FQ70" s="39" t="str">
        <f t="shared" si="341"/>
        <v/>
      </c>
      <c r="FR70" s="39" t="str">
        <f t="shared" si="342"/>
        <v/>
      </c>
      <c r="FS70" s="39" t="str">
        <f t="shared" si="343"/>
        <v/>
      </c>
      <c r="FT70" s="39" t="str">
        <f t="shared" si="344"/>
        <v/>
      </c>
      <c r="FU70" s="39" t="str">
        <f t="shared" si="345"/>
        <v/>
      </c>
      <c r="FV70" s="39" t="str">
        <f t="shared" si="346"/>
        <v/>
      </c>
      <c r="FW70" s="39" t="str">
        <f t="shared" si="347"/>
        <v/>
      </c>
      <c r="FX70" s="39" t="str">
        <f t="shared" si="348"/>
        <v/>
      </c>
      <c r="FY70" s="39" t="str">
        <f t="shared" si="349"/>
        <v/>
      </c>
      <c r="FZ70" s="39" t="str">
        <f t="shared" si="350"/>
        <v/>
      </c>
      <c r="GA70" s="39" t="str">
        <f t="shared" si="351"/>
        <v/>
      </c>
      <c r="GB70" s="39" t="str">
        <f t="shared" si="352"/>
        <v/>
      </c>
      <c r="GC70" s="39" t="str">
        <f t="shared" si="353"/>
        <v/>
      </c>
      <c r="GD70" s="39" t="str">
        <f t="shared" si="354"/>
        <v/>
      </c>
      <c r="GE70" s="39" t="str">
        <f t="shared" si="355"/>
        <v/>
      </c>
      <c r="GF70" s="39" t="str">
        <f t="shared" si="356"/>
        <v/>
      </c>
      <c r="GG70" s="39" t="str">
        <f t="shared" si="357"/>
        <v/>
      </c>
      <c r="GH70" s="39" t="str">
        <f t="shared" si="358"/>
        <v/>
      </c>
      <c r="GI70" s="39" t="str">
        <f t="shared" si="359"/>
        <v/>
      </c>
      <c r="GJ70" s="39" t="str">
        <f t="shared" si="360"/>
        <v/>
      </c>
      <c r="GK70" s="39" t="str">
        <f t="shared" si="361"/>
        <v/>
      </c>
      <c r="GL70" s="39" t="str">
        <f t="shared" si="362"/>
        <v/>
      </c>
      <c r="GM70" s="39" t="str">
        <f t="shared" si="363"/>
        <v/>
      </c>
      <c r="GN70" s="39" t="str">
        <f t="shared" si="364"/>
        <v/>
      </c>
      <c r="GO70" s="39" t="str">
        <f t="shared" si="365"/>
        <v/>
      </c>
      <c r="GP70" s="39" t="str">
        <f t="shared" si="366"/>
        <v/>
      </c>
      <c r="GQ70" s="39" t="str">
        <f t="shared" si="367"/>
        <v/>
      </c>
      <c r="GR70" s="39" t="str">
        <f t="shared" si="368"/>
        <v/>
      </c>
      <c r="GS70" s="39" t="str">
        <f t="shared" si="369"/>
        <v/>
      </c>
      <c r="GT70" s="39" t="str">
        <f t="shared" si="370"/>
        <v/>
      </c>
      <c r="GU70" s="39" t="str">
        <f t="shared" si="371"/>
        <v/>
      </c>
      <c r="GV70" s="39" t="str">
        <f t="shared" si="372"/>
        <v/>
      </c>
      <c r="GW70" s="39" t="str">
        <f t="shared" si="373"/>
        <v/>
      </c>
      <c r="GX70" s="39" t="str">
        <f t="shared" si="374"/>
        <v/>
      </c>
      <c r="GY70" s="39" t="str">
        <f t="shared" si="375"/>
        <v/>
      </c>
      <c r="GZ70" s="39" t="str">
        <f t="shared" si="376"/>
        <v/>
      </c>
      <c r="HA70" s="39" t="str">
        <f t="shared" si="377"/>
        <v/>
      </c>
      <c r="HB70" s="39" t="str">
        <f t="shared" si="378"/>
        <v/>
      </c>
      <c r="HC70" s="39" t="str">
        <f t="shared" si="379"/>
        <v/>
      </c>
      <c r="HD70" s="39" t="str">
        <f t="shared" si="380"/>
        <v/>
      </c>
      <c r="HE70" s="39" t="str">
        <f t="shared" si="381"/>
        <v/>
      </c>
      <c r="HF70" s="39" t="str">
        <f t="shared" si="382"/>
        <v/>
      </c>
      <c r="HG70" s="39" t="str">
        <f t="shared" si="383"/>
        <v/>
      </c>
      <c r="HH70" s="39" t="str">
        <f t="shared" si="384"/>
        <v/>
      </c>
      <c r="HI70" s="39" t="str">
        <f t="shared" si="385"/>
        <v/>
      </c>
      <c r="HJ70" s="39" t="str">
        <f t="shared" si="386"/>
        <v/>
      </c>
      <c r="HK70" s="39" t="str">
        <f t="shared" si="387"/>
        <v/>
      </c>
      <c r="HL70" s="39" t="str">
        <f t="shared" si="388"/>
        <v/>
      </c>
      <c r="HM70" s="39" t="str">
        <f t="shared" si="389"/>
        <v/>
      </c>
      <c r="HN70" s="39" t="str">
        <f t="shared" si="390"/>
        <v/>
      </c>
      <c r="HO70" s="39" t="str">
        <f t="shared" si="391"/>
        <v/>
      </c>
      <c r="HP70" s="39" t="str">
        <f t="shared" si="392"/>
        <v/>
      </c>
      <c r="HQ70" s="39" t="str">
        <f t="shared" si="393"/>
        <v/>
      </c>
      <c r="HR70" s="39" t="str">
        <f t="shared" si="394"/>
        <v/>
      </c>
      <c r="HS70" s="39" t="str">
        <f t="shared" si="395"/>
        <v/>
      </c>
      <c r="HT70" s="39" t="str">
        <f t="shared" si="395"/>
        <v/>
      </c>
      <c r="HU70" s="83" t="str">
        <f t="shared" si="182"/>
        <v>-</v>
      </c>
      <c r="HV70" s="84" t="str">
        <f t="shared" si="396"/>
        <v/>
      </c>
      <c r="HW70" s="85" t="str">
        <f t="shared" si="397"/>
        <v/>
      </c>
      <c r="HX70" s="84" t="str">
        <f t="shared" si="183"/>
        <v/>
      </c>
      <c r="HY70" s="84" t="str">
        <f t="shared" si="398"/>
        <v/>
      </c>
      <c r="HZ70" s="84" t="str">
        <f t="shared" si="399"/>
        <v/>
      </c>
      <c r="IA70" s="83" t="str">
        <f t="shared" si="400"/>
        <v/>
      </c>
      <c r="IB70" s="84" t="str">
        <f t="shared" si="401"/>
        <v/>
      </c>
      <c r="IC70" s="85" t="str">
        <f t="shared" si="402"/>
        <v/>
      </c>
      <c r="ID70" s="83" t="str">
        <f t="shared" si="403"/>
        <v/>
      </c>
      <c r="IE70" s="84" t="str">
        <f t="shared" si="404"/>
        <v/>
      </c>
      <c r="IF70" s="85" t="str">
        <f t="shared" si="405"/>
        <v/>
      </c>
      <c r="IH70" s="66">
        <v>70</v>
      </c>
      <c r="II70" s="66" t="e">
        <f t="shared" ca="1" si="192"/>
        <v>#N/A</v>
      </c>
      <c r="IJ70" s="66" t="e">
        <f t="shared" ca="1" si="193"/>
        <v>#N/A</v>
      </c>
      <c r="IK70" s="66" t="e">
        <f t="shared" ca="1" si="194"/>
        <v>#N/A</v>
      </c>
      <c r="IL70" s="66" t="e">
        <f t="shared" ca="1" si="195"/>
        <v>#N/A</v>
      </c>
      <c r="IM70" s="33"/>
      <c r="IN70" s="74" t="e">
        <f t="shared" ca="1" si="184"/>
        <v>#N/A</v>
      </c>
      <c r="IO70" s="75" t="e">
        <f t="shared" ca="1" si="185"/>
        <v>#N/A</v>
      </c>
      <c r="IP70" s="75" t="e">
        <f t="shared" ca="1" si="186"/>
        <v>#N/A</v>
      </c>
      <c r="IQ70" s="74" t="e">
        <f t="shared" ca="1" si="187"/>
        <v>#N/A</v>
      </c>
      <c r="IR70" s="74" t="e">
        <f t="shared" ca="1" si="188"/>
        <v>#N/A</v>
      </c>
    </row>
    <row r="71" spans="1:252" s="1" customFormat="1" x14ac:dyDescent="0.35">
      <c r="A71" s="33">
        <v>0</v>
      </c>
      <c r="B71" s="33">
        <v>0</v>
      </c>
      <c r="C71" s="33">
        <v>1</v>
      </c>
      <c r="E71" s="4"/>
      <c r="F71" t="s">
        <v>336</v>
      </c>
      <c r="G71" s="5" t="s">
        <v>540</v>
      </c>
      <c r="H71" s="4" t="s">
        <v>533</v>
      </c>
      <c r="I71" s="8" t="s">
        <v>534</v>
      </c>
      <c r="J71" s="276" t="s">
        <v>805</v>
      </c>
      <c r="K71" s="39" t="s">
        <v>805</v>
      </c>
      <c r="L71" s="39" t="s">
        <v>805</v>
      </c>
      <c r="M71" s="39" t="s">
        <v>805</v>
      </c>
      <c r="N71" s="39" t="s">
        <v>805</v>
      </c>
      <c r="O71" s="39" t="s">
        <v>805</v>
      </c>
      <c r="P71" s="39" t="s">
        <v>805</v>
      </c>
      <c r="Q71" s="39" t="s">
        <v>805</v>
      </c>
      <c r="R71" s="39" t="s">
        <v>805</v>
      </c>
      <c r="S71" s="39" t="s">
        <v>805</v>
      </c>
      <c r="T71" s="39" t="s">
        <v>805</v>
      </c>
      <c r="U71" s="39" t="s">
        <v>805</v>
      </c>
      <c r="V71" s="39" t="s">
        <v>805</v>
      </c>
      <c r="W71" s="39" t="s">
        <v>805</v>
      </c>
      <c r="X71" s="39" t="s">
        <v>805</v>
      </c>
      <c r="Y71" s="39" t="s">
        <v>805</v>
      </c>
      <c r="Z71" s="39" t="s">
        <v>805</v>
      </c>
      <c r="AA71" s="39" t="s">
        <v>805</v>
      </c>
      <c r="AB71" s="39" t="s">
        <v>805</v>
      </c>
      <c r="AC71" s="39" t="s">
        <v>805</v>
      </c>
      <c r="AD71" s="39" t="s">
        <v>805</v>
      </c>
      <c r="AE71" s="39" t="s">
        <v>805</v>
      </c>
      <c r="AF71" s="39" t="s">
        <v>805</v>
      </c>
      <c r="AG71" s="39" t="s">
        <v>805</v>
      </c>
      <c r="AH71" s="39" t="s">
        <v>805</v>
      </c>
      <c r="AI71" s="39" t="s">
        <v>805</v>
      </c>
      <c r="AJ71" s="39" t="s">
        <v>805</v>
      </c>
      <c r="AK71" s="39" t="s">
        <v>805</v>
      </c>
      <c r="AL71" s="39" t="s">
        <v>805</v>
      </c>
      <c r="AM71" s="39" t="s">
        <v>805</v>
      </c>
      <c r="AN71" s="39" t="s">
        <v>805</v>
      </c>
      <c r="AO71" s="39" t="s">
        <v>805</v>
      </c>
      <c r="AP71" s="39" t="s">
        <v>805</v>
      </c>
      <c r="AQ71" s="39" t="s">
        <v>805</v>
      </c>
      <c r="AR71" s="39" t="s">
        <v>805</v>
      </c>
      <c r="AS71" s="39" t="s">
        <v>805</v>
      </c>
      <c r="AT71" s="39" t="s">
        <v>805</v>
      </c>
      <c r="AU71" s="39" t="s">
        <v>805</v>
      </c>
      <c r="AV71" s="39" t="s">
        <v>805</v>
      </c>
      <c r="AW71" s="39" t="s">
        <v>805</v>
      </c>
      <c r="AX71" s="39" t="s">
        <v>805</v>
      </c>
      <c r="AY71" s="39" t="s">
        <v>805</v>
      </c>
      <c r="AZ71" s="39" t="s">
        <v>805</v>
      </c>
      <c r="BA71" s="39" t="s">
        <v>805</v>
      </c>
      <c r="BB71" s="39" t="s">
        <v>805</v>
      </c>
      <c r="BC71" s="39" t="s">
        <v>805</v>
      </c>
      <c r="BD71" s="39" t="s">
        <v>805</v>
      </c>
      <c r="BE71" s="39" t="s">
        <v>805</v>
      </c>
      <c r="BF71" s="39" t="s">
        <v>805</v>
      </c>
      <c r="BG71" s="39" t="s">
        <v>805</v>
      </c>
      <c r="BH71" s="39" t="s">
        <v>805</v>
      </c>
      <c r="BI71" s="39" t="s">
        <v>805</v>
      </c>
      <c r="BJ71" s="39" t="s">
        <v>805</v>
      </c>
      <c r="BK71" s="39" t="s">
        <v>805</v>
      </c>
      <c r="BL71" s="39" t="s">
        <v>805</v>
      </c>
      <c r="BM71" s="39" t="s">
        <v>805</v>
      </c>
      <c r="BN71" s="39" t="s">
        <v>805</v>
      </c>
      <c r="BO71" s="39" t="s">
        <v>805</v>
      </c>
      <c r="BP71" s="39" t="s">
        <v>805</v>
      </c>
      <c r="BQ71" s="39" t="s">
        <v>805</v>
      </c>
      <c r="BR71" s="39" t="s">
        <v>805</v>
      </c>
      <c r="BS71" s="39" t="s">
        <v>805</v>
      </c>
      <c r="BT71" s="39" t="s">
        <v>805</v>
      </c>
      <c r="BU71" s="39" t="s">
        <v>805</v>
      </c>
      <c r="BV71" s="39" t="s">
        <v>805</v>
      </c>
      <c r="BW71" s="39" t="s">
        <v>805</v>
      </c>
      <c r="BX71" s="39" t="s">
        <v>805</v>
      </c>
      <c r="BY71" s="39" t="s">
        <v>805</v>
      </c>
      <c r="BZ71" s="39" t="s">
        <v>805</v>
      </c>
      <c r="CA71" s="39" t="s">
        <v>805</v>
      </c>
      <c r="CB71" s="39" t="s">
        <v>805</v>
      </c>
      <c r="CC71" s="39" t="s">
        <v>805</v>
      </c>
      <c r="CD71" s="39" t="s">
        <v>805</v>
      </c>
      <c r="CE71" s="39" t="s">
        <v>805</v>
      </c>
      <c r="CF71" s="39" t="s">
        <v>805</v>
      </c>
      <c r="CG71" s="39" t="s">
        <v>805</v>
      </c>
      <c r="CH71" s="39" t="s">
        <v>805</v>
      </c>
      <c r="CI71" s="39" t="s">
        <v>805</v>
      </c>
      <c r="CJ71" s="39" t="s">
        <v>805</v>
      </c>
      <c r="CK71" s="39" t="s">
        <v>805</v>
      </c>
      <c r="CL71" s="39" t="s">
        <v>805</v>
      </c>
      <c r="CM71" s="39" t="s">
        <v>805</v>
      </c>
      <c r="CN71" s="39" t="s">
        <v>805</v>
      </c>
      <c r="CO71" s="39" t="s">
        <v>805</v>
      </c>
      <c r="CP71" s="39" t="s">
        <v>805</v>
      </c>
      <c r="CQ71" s="39" t="s">
        <v>805</v>
      </c>
      <c r="CR71" s="39" t="s">
        <v>805</v>
      </c>
      <c r="CS71" s="39" t="s">
        <v>805</v>
      </c>
      <c r="CT71" s="39" t="s">
        <v>805</v>
      </c>
      <c r="CU71" s="39" t="s">
        <v>805</v>
      </c>
      <c r="CV71" s="39" t="s">
        <v>805</v>
      </c>
      <c r="CW71" s="39" t="s">
        <v>805</v>
      </c>
      <c r="CX71" s="39" t="s">
        <v>805</v>
      </c>
      <c r="CY71" s="39" t="s">
        <v>805</v>
      </c>
      <c r="CZ71" s="39" t="s">
        <v>805</v>
      </c>
      <c r="DA71" s="39" t="s">
        <v>805</v>
      </c>
      <c r="DB71" s="39" t="s">
        <v>805</v>
      </c>
      <c r="DC71" s="39" t="s">
        <v>805</v>
      </c>
      <c r="DD71" s="39" t="s">
        <v>805</v>
      </c>
      <c r="DE71" s="39" t="s">
        <v>805</v>
      </c>
      <c r="DF71" s="39" t="s">
        <v>805</v>
      </c>
      <c r="DG71" s="28">
        <f>'KPI Count-SHARE'!J64</f>
        <v>0</v>
      </c>
      <c r="DH71" s="105"/>
      <c r="DI71" s="105"/>
      <c r="DJ71" s="105"/>
      <c r="DK71" s="28">
        <f>'KPI Count-SHARE'!K64</f>
        <v>0</v>
      </c>
      <c r="DL71" s="39"/>
      <c r="DM71" s="39"/>
      <c r="DN71" s="39"/>
      <c r="DO71" s="28">
        <f>'KPI Count-SHARE'!L64</f>
        <v>0</v>
      </c>
      <c r="DP71" s="61"/>
      <c r="DQ71" s="61"/>
      <c r="DR71" s="61"/>
      <c r="DS71" s="28">
        <f>'KPI Count-SHARE'!M64</f>
        <v>0</v>
      </c>
      <c r="DT71" s="39"/>
      <c r="DU71" s="39"/>
      <c r="DV71" s="39"/>
      <c r="DW71" s="30" t="s">
        <v>533</v>
      </c>
      <c r="DX71" s="39" t="str">
        <f t="shared" si="310"/>
        <v/>
      </c>
      <c r="DY71" s="39" t="str">
        <f t="shared" si="311"/>
        <v/>
      </c>
      <c r="DZ71" s="39" t="str">
        <f t="shared" si="312"/>
        <v/>
      </c>
      <c r="EA71" s="39" t="str">
        <f t="shared" si="179"/>
        <v/>
      </c>
      <c r="EB71" s="39" t="str">
        <f t="shared" si="180"/>
        <v/>
      </c>
      <c r="EC71" s="39" t="str">
        <f t="shared" si="181"/>
        <v/>
      </c>
      <c r="ED71" s="39" t="str">
        <f t="shared" si="313"/>
        <v/>
      </c>
      <c r="EE71" s="39" t="str">
        <f t="shared" si="314"/>
        <v/>
      </c>
      <c r="EF71" s="39" t="str">
        <f t="shared" si="315"/>
        <v/>
      </c>
      <c r="EG71" s="39" t="str">
        <f t="shared" si="316"/>
        <v/>
      </c>
      <c r="EH71" s="39" t="str">
        <f t="shared" si="317"/>
        <v/>
      </c>
      <c r="EI71" s="39" t="str">
        <f t="shared" ref="EI71:ET86" si="406">IFERROR(IF(ISBLANK(U71), "-", IF($I71="c", U71*$I$5, U71)),"-")</f>
        <v/>
      </c>
      <c r="EJ71" s="39" t="str">
        <f t="shared" si="406"/>
        <v/>
      </c>
      <c r="EK71" s="39" t="str">
        <f t="shared" si="406"/>
        <v/>
      </c>
      <c r="EL71" s="39" t="str">
        <f t="shared" si="406"/>
        <v/>
      </c>
      <c r="EM71" s="39" t="str">
        <f t="shared" si="406"/>
        <v/>
      </c>
      <c r="EN71" s="39" t="str">
        <f t="shared" si="406"/>
        <v/>
      </c>
      <c r="EO71" s="39" t="str">
        <f t="shared" si="406"/>
        <v/>
      </c>
      <c r="EP71" s="39" t="str">
        <f t="shared" si="406"/>
        <v/>
      </c>
      <c r="EQ71" s="39" t="str">
        <f t="shared" si="406"/>
        <v/>
      </c>
      <c r="ER71" s="39" t="str">
        <f t="shared" si="406"/>
        <v/>
      </c>
      <c r="ES71" s="39" t="str">
        <f t="shared" si="406"/>
        <v/>
      </c>
      <c r="ET71" s="39" t="str">
        <f t="shared" si="406"/>
        <v/>
      </c>
      <c r="EU71" s="39" t="str">
        <f t="shared" si="319"/>
        <v/>
      </c>
      <c r="EV71" s="39" t="str">
        <f t="shared" si="320"/>
        <v/>
      </c>
      <c r="EW71" s="39" t="str">
        <f t="shared" si="321"/>
        <v/>
      </c>
      <c r="EX71" s="39" t="str">
        <f t="shared" si="322"/>
        <v/>
      </c>
      <c r="EY71" s="39" t="str">
        <f t="shared" si="323"/>
        <v/>
      </c>
      <c r="EZ71" s="39" t="str">
        <f t="shared" si="324"/>
        <v/>
      </c>
      <c r="FA71" s="39" t="str">
        <f t="shared" si="325"/>
        <v/>
      </c>
      <c r="FB71" s="39" t="str">
        <f t="shared" si="326"/>
        <v/>
      </c>
      <c r="FC71" s="39" t="str">
        <f t="shared" si="327"/>
        <v/>
      </c>
      <c r="FD71" s="39" t="str">
        <f t="shared" si="328"/>
        <v/>
      </c>
      <c r="FE71" s="39" t="str">
        <f t="shared" si="329"/>
        <v/>
      </c>
      <c r="FF71" s="39" t="str">
        <f t="shared" si="330"/>
        <v/>
      </c>
      <c r="FG71" s="39" t="str">
        <f t="shared" si="331"/>
        <v/>
      </c>
      <c r="FH71" s="39" t="str">
        <f t="shared" si="332"/>
        <v/>
      </c>
      <c r="FI71" s="39" t="str">
        <f t="shared" si="333"/>
        <v/>
      </c>
      <c r="FJ71" s="39" t="str">
        <f t="shared" si="334"/>
        <v/>
      </c>
      <c r="FK71" s="39" t="str">
        <f t="shared" si="335"/>
        <v/>
      </c>
      <c r="FL71" s="39" t="str">
        <f t="shared" si="336"/>
        <v/>
      </c>
      <c r="FM71" s="39" t="str">
        <f t="shared" si="337"/>
        <v/>
      </c>
      <c r="FN71" s="39" t="str">
        <f t="shared" si="338"/>
        <v/>
      </c>
      <c r="FO71" s="39" t="str">
        <f t="shared" si="339"/>
        <v/>
      </c>
      <c r="FP71" s="39" t="str">
        <f t="shared" si="340"/>
        <v/>
      </c>
      <c r="FQ71" s="39" t="str">
        <f t="shared" si="341"/>
        <v/>
      </c>
      <c r="FR71" s="39" t="str">
        <f t="shared" si="342"/>
        <v/>
      </c>
      <c r="FS71" s="39" t="str">
        <f t="shared" si="343"/>
        <v/>
      </c>
      <c r="FT71" s="39" t="str">
        <f t="shared" si="344"/>
        <v/>
      </c>
      <c r="FU71" s="39" t="str">
        <f t="shared" si="345"/>
        <v/>
      </c>
      <c r="FV71" s="39" t="str">
        <f t="shared" si="346"/>
        <v/>
      </c>
      <c r="FW71" s="39" t="str">
        <f t="shared" si="347"/>
        <v/>
      </c>
      <c r="FX71" s="39" t="str">
        <f t="shared" si="348"/>
        <v/>
      </c>
      <c r="FY71" s="39" t="str">
        <f t="shared" si="349"/>
        <v/>
      </c>
      <c r="FZ71" s="39" t="str">
        <f t="shared" si="350"/>
        <v/>
      </c>
      <c r="GA71" s="39" t="str">
        <f t="shared" si="351"/>
        <v/>
      </c>
      <c r="GB71" s="39" t="str">
        <f t="shared" si="352"/>
        <v/>
      </c>
      <c r="GC71" s="39" t="str">
        <f t="shared" si="353"/>
        <v/>
      </c>
      <c r="GD71" s="39" t="str">
        <f t="shared" si="354"/>
        <v/>
      </c>
      <c r="GE71" s="39" t="str">
        <f t="shared" si="355"/>
        <v/>
      </c>
      <c r="GF71" s="39" t="str">
        <f t="shared" si="356"/>
        <v/>
      </c>
      <c r="GG71" s="39" t="str">
        <f t="shared" si="357"/>
        <v/>
      </c>
      <c r="GH71" s="39" t="str">
        <f t="shared" si="358"/>
        <v/>
      </c>
      <c r="GI71" s="39" t="str">
        <f t="shared" si="359"/>
        <v/>
      </c>
      <c r="GJ71" s="39" t="str">
        <f t="shared" si="360"/>
        <v/>
      </c>
      <c r="GK71" s="39" t="str">
        <f t="shared" si="361"/>
        <v/>
      </c>
      <c r="GL71" s="39" t="str">
        <f t="shared" si="362"/>
        <v/>
      </c>
      <c r="GM71" s="39" t="str">
        <f t="shared" si="363"/>
        <v/>
      </c>
      <c r="GN71" s="39" t="str">
        <f t="shared" si="364"/>
        <v/>
      </c>
      <c r="GO71" s="39" t="str">
        <f t="shared" si="365"/>
        <v/>
      </c>
      <c r="GP71" s="39" t="str">
        <f t="shared" si="366"/>
        <v/>
      </c>
      <c r="GQ71" s="39" t="str">
        <f t="shared" si="367"/>
        <v/>
      </c>
      <c r="GR71" s="39" t="str">
        <f t="shared" si="368"/>
        <v/>
      </c>
      <c r="GS71" s="39" t="str">
        <f t="shared" si="369"/>
        <v/>
      </c>
      <c r="GT71" s="39" t="str">
        <f t="shared" si="370"/>
        <v/>
      </c>
      <c r="GU71" s="39" t="str">
        <f t="shared" si="371"/>
        <v/>
      </c>
      <c r="GV71" s="39" t="str">
        <f t="shared" si="372"/>
        <v/>
      </c>
      <c r="GW71" s="39" t="str">
        <f t="shared" si="373"/>
        <v/>
      </c>
      <c r="GX71" s="39" t="str">
        <f t="shared" si="374"/>
        <v/>
      </c>
      <c r="GY71" s="39" t="str">
        <f t="shared" si="375"/>
        <v/>
      </c>
      <c r="GZ71" s="39" t="str">
        <f t="shared" si="376"/>
        <v/>
      </c>
      <c r="HA71" s="39" t="str">
        <f t="shared" si="377"/>
        <v/>
      </c>
      <c r="HB71" s="39" t="str">
        <f t="shared" si="378"/>
        <v/>
      </c>
      <c r="HC71" s="39" t="str">
        <f t="shared" si="379"/>
        <v/>
      </c>
      <c r="HD71" s="39" t="str">
        <f t="shared" si="380"/>
        <v/>
      </c>
      <c r="HE71" s="39" t="str">
        <f t="shared" si="381"/>
        <v/>
      </c>
      <c r="HF71" s="39" t="str">
        <f t="shared" si="382"/>
        <v/>
      </c>
      <c r="HG71" s="39" t="str">
        <f t="shared" si="383"/>
        <v/>
      </c>
      <c r="HH71" s="39" t="str">
        <f t="shared" si="384"/>
        <v/>
      </c>
      <c r="HI71" s="39" t="str">
        <f t="shared" si="385"/>
        <v/>
      </c>
      <c r="HJ71" s="39" t="str">
        <f t="shared" si="386"/>
        <v/>
      </c>
      <c r="HK71" s="39" t="str">
        <f t="shared" si="387"/>
        <v/>
      </c>
      <c r="HL71" s="39" t="str">
        <f t="shared" si="388"/>
        <v/>
      </c>
      <c r="HM71" s="39" t="str">
        <f t="shared" si="389"/>
        <v/>
      </c>
      <c r="HN71" s="39" t="str">
        <f t="shared" si="390"/>
        <v/>
      </c>
      <c r="HO71" s="39" t="str">
        <f t="shared" si="391"/>
        <v/>
      </c>
      <c r="HP71" s="39" t="str">
        <f t="shared" si="392"/>
        <v/>
      </c>
      <c r="HQ71" s="39" t="str">
        <f t="shared" si="393"/>
        <v/>
      </c>
      <c r="HR71" s="39" t="str">
        <f t="shared" si="394"/>
        <v/>
      </c>
      <c r="HS71" s="39" t="str">
        <f t="shared" si="395"/>
        <v/>
      </c>
      <c r="HT71" s="39" t="str">
        <f t="shared" si="395"/>
        <v/>
      </c>
      <c r="HU71" s="83" t="str">
        <f t="shared" si="182"/>
        <v>-</v>
      </c>
      <c r="HV71" s="84" t="str">
        <f t="shared" si="396"/>
        <v/>
      </c>
      <c r="HW71" s="85" t="str">
        <f t="shared" si="397"/>
        <v/>
      </c>
      <c r="HX71" s="84" t="str">
        <f t="shared" si="183"/>
        <v/>
      </c>
      <c r="HY71" s="84" t="str">
        <f t="shared" si="398"/>
        <v/>
      </c>
      <c r="HZ71" s="84" t="str">
        <f t="shared" si="399"/>
        <v/>
      </c>
      <c r="IA71" s="83" t="str">
        <f t="shared" si="400"/>
        <v/>
      </c>
      <c r="IB71" s="84" t="str">
        <f t="shared" si="401"/>
        <v/>
      </c>
      <c r="IC71" s="85" t="str">
        <f t="shared" si="402"/>
        <v/>
      </c>
      <c r="ID71" s="83" t="str">
        <f t="shared" si="403"/>
        <v/>
      </c>
      <c r="IE71" s="84" t="str">
        <f t="shared" si="404"/>
        <v/>
      </c>
      <c r="IF71" s="85" t="str">
        <f t="shared" si="405"/>
        <v/>
      </c>
      <c r="IH71" s="66">
        <v>71</v>
      </c>
      <c r="II71" s="66" t="e">
        <f t="shared" ref="II71:II78" ca="1" si="407">SUM(INDIRECT(VLOOKUP($IJ$4,MKTPEERCOLUMNS,2,0) &amp; IH71 &amp; ":" &amp; VLOOKUP($IJ$4,MKTPEERCOLUMNS,2,0) &amp; IH71))</f>
        <v>#N/A</v>
      </c>
      <c r="IJ71" s="66" t="e">
        <f t="shared" ref="IJ71:IJ78" ca="1" si="408">SUM(INDIRECT(VLOOKUP($IJ$4,MKTPEERCOLUMNS,3,0) &amp; IH71 &amp; ":" &amp; VLOOKUP($IJ$4,MKTPEERCOLUMNS,3,0) &amp; IH71))</f>
        <v>#N/A</v>
      </c>
      <c r="IK71" s="66" t="e">
        <f t="shared" ref="IK71:IK78" ca="1" si="409">SUM(INDIRECT(VLOOKUP($IJ$4,MKTPEERCOLUMNS,4,0) &amp; IH71 &amp; ":" &amp; VLOOKUP($IJ$4,MKTPEERCOLUMNS,4,0) &amp; IH71))</f>
        <v>#N/A</v>
      </c>
      <c r="IL71" s="66" t="e">
        <f t="shared" ref="IL71:IL78" ca="1" si="410">SUM(INDIRECT(VLOOKUP($IJ$4,MKTPEERCOLUMNS,5,0) &amp; IH71 &amp; ":" &amp; VLOOKUP($IJ$4,MKTPEERCOLUMNS,5,0) &amp; IH71))</f>
        <v>#N/A</v>
      </c>
      <c r="IM71" s="33"/>
      <c r="IN71" s="74" t="e">
        <f t="shared" ca="1" si="184"/>
        <v>#N/A</v>
      </c>
      <c r="IO71" s="75" t="e">
        <f t="shared" ca="1" si="185"/>
        <v>#N/A</v>
      </c>
      <c r="IP71" s="75" t="e">
        <f t="shared" ca="1" si="186"/>
        <v>#N/A</v>
      </c>
      <c r="IQ71" s="74" t="e">
        <f t="shared" ca="1" si="187"/>
        <v>#N/A</v>
      </c>
      <c r="IR71" s="74" t="e">
        <f t="shared" ca="1" si="188"/>
        <v>#N/A</v>
      </c>
    </row>
    <row r="72" spans="1:252" s="1" customFormat="1" x14ac:dyDescent="0.35">
      <c r="A72" s="33">
        <v>0</v>
      </c>
      <c r="B72" s="33">
        <v>0</v>
      </c>
      <c r="C72" s="33">
        <v>1</v>
      </c>
      <c r="E72" s="4"/>
      <c r="F72" t="s">
        <v>337</v>
      </c>
      <c r="G72" s="5" t="s">
        <v>540</v>
      </c>
      <c r="H72" s="4" t="s">
        <v>533</v>
      </c>
      <c r="I72" s="8" t="s">
        <v>534</v>
      </c>
      <c r="J72" s="276" t="s">
        <v>805</v>
      </c>
      <c r="K72" s="39" t="s">
        <v>805</v>
      </c>
      <c r="L72" s="39" t="s">
        <v>805</v>
      </c>
      <c r="M72" s="39" t="s">
        <v>805</v>
      </c>
      <c r="N72" s="39" t="s">
        <v>805</v>
      </c>
      <c r="O72" s="39" t="s">
        <v>805</v>
      </c>
      <c r="P72" s="39" t="s">
        <v>805</v>
      </c>
      <c r="Q72" s="39" t="s">
        <v>805</v>
      </c>
      <c r="R72" s="39" t="s">
        <v>805</v>
      </c>
      <c r="S72" s="39" t="s">
        <v>805</v>
      </c>
      <c r="T72" s="39" t="s">
        <v>805</v>
      </c>
      <c r="U72" s="39" t="s">
        <v>805</v>
      </c>
      <c r="V72" s="39" t="s">
        <v>805</v>
      </c>
      <c r="W72" s="39" t="s">
        <v>805</v>
      </c>
      <c r="X72" s="39" t="s">
        <v>805</v>
      </c>
      <c r="Y72" s="39" t="s">
        <v>805</v>
      </c>
      <c r="Z72" s="39" t="s">
        <v>805</v>
      </c>
      <c r="AA72" s="39" t="s">
        <v>805</v>
      </c>
      <c r="AB72" s="39" t="s">
        <v>805</v>
      </c>
      <c r="AC72" s="39" t="s">
        <v>805</v>
      </c>
      <c r="AD72" s="39" t="s">
        <v>805</v>
      </c>
      <c r="AE72" s="39" t="s">
        <v>805</v>
      </c>
      <c r="AF72" s="39" t="s">
        <v>805</v>
      </c>
      <c r="AG72" s="39" t="s">
        <v>805</v>
      </c>
      <c r="AH72" s="39" t="s">
        <v>805</v>
      </c>
      <c r="AI72" s="39" t="s">
        <v>805</v>
      </c>
      <c r="AJ72" s="39" t="s">
        <v>805</v>
      </c>
      <c r="AK72" s="39" t="s">
        <v>805</v>
      </c>
      <c r="AL72" s="39" t="s">
        <v>805</v>
      </c>
      <c r="AM72" s="39" t="s">
        <v>805</v>
      </c>
      <c r="AN72" s="39" t="s">
        <v>805</v>
      </c>
      <c r="AO72" s="39" t="s">
        <v>805</v>
      </c>
      <c r="AP72" s="39" t="s">
        <v>805</v>
      </c>
      <c r="AQ72" s="39" t="s">
        <v>805</v>
      </c>
      <c r="AR72" s="39" t="s">
        <v>805</v>
      </c>
      <c r="AS72" s="39" t="s">
        <v>805</v>
      </c>
      <c r="AT72" s="39" t="s">
        <v>805</v>
      </c>
      <c r="AU72" s="39" t="s">
        <v>805</v>
      </c>
      <c r="AV72" s="39" t="s">
        <v>805</v>
      </c>
      <c r="AW72" s="39" t="s">
        <v>805</v>
      </c>
      <c r="AX72" s="39" t="s">
        <v>805</v>
      </c>
      <c r="AY72" s="39" t="s">
        <v>805</v>
      </c>
      <c r="AZ72" s="39" t="s">
        <v>805</v>
      </c>
      <c r="BA72" s="39" t="s">
        <v>805</v>
      </c>
      <c r="BB72" s="39" t="s">
        <v>805</v>
      </c>
      <c r="BC72" s="39" t="s">
        <v>805</v>
      </c>
      <c r="BD72" s="39" t="s">
        <v>805</v>
      </c>
      <c r="BE72" s="39" t="s">
        <v>805</v>
      </c>
      <c r="BF72" s="39" t="s">
        <v>805</v>
      </c>
      <c r="BG72" s="39" t="s">
        <v>805</v>
      </c>
      <c r="BH72" s="39" t="s">
        <v>805</v>
      </c>
      <c r="BI72" s="39" t="s">
        <v>805</v>
      </c>
      <c r="BJ72" s="39" t="s">
        <v>805</v>
      </c>
      <c r="BK72" s="39" t="s">
        <v>805</v>
      </c>
      <c r="BL72" s="39" t="s">
        <v>805</v>
      </c>
      <c r="BM72" s="39" t="s">
        <v>805</v>
      </c>
      <c r="BN72" s="39" t="s">
        <v>805</v>
      </c>
      <c r="BO72" s="39" t="s">
        <v>805</v>
      </c>
      <c r="BP72" s="39" t="s">
        <v>805</v>
      </c>
      <c r="BQ72" s="39" t="s">
        <v>805</v>
      </c>
      <c r="BR72" s="39" t="s">
        <v>805</v>
      </c>
      <c r="BS72" s="39" t="s">
        <v>805</v>
      </c>
      <c r="BT72" s="39" t="s">
        <v>805</v>
      </c>
      <c r="BU72" s="39" t="s">
        <v>805</v>
      </c>
      <c r="BV72" s="39" t="s">
        <v>805</v>
      </c>
      <c r="BW72" s="39" t="s">
        <v>805</v>
      </c>
      <c r="BX72" s="39" t="s">
        <v>805</v>
      </c>
      <c r="BY72" s="39" t="s">
        <v>805</v>
      </c>
      <c r="BZ72" s="39" t="s">
        <v>805</v>
      </c>
      <c r="CA72" s="39" t="s">
        <v>805</v>
      </c>
      <c r="CB72" s="39" t="s">
        <v>805</v>
      </c>
      <c r="CC72" s="39" t="s">
        <v>805</v>
      </c>
      <c r="CD72" s="39" t="s">
        <v>805</v>
      </c>
      <c r="CE72" s="39" t="s">
        <v>805</v>
      </c>
      <c r="CF72" s="39" t="s">
        <v>805</v>
      </c>
      <c r="CG72" s="39" t="s">
        <v>805</v>
      </c>
      <c r="CH72" s="39" t="s">
        <v>805</v>
      </c>
      <c r="CI72" s="39" t="s">
        <v>805</v>
      </c>
      <c r="CJ72" s="39" t="s">
        <v>805</v>
      </c>
      <c r="CK72" s="39" t="s">
        <v>805</v>
      </c>
      <c r="CL72" s="39" t="s">
        <v>805</v>
      </c>
      <c r="CM72" s="39" t="s">
        <v>805</v>
      </c>
      <c r="CN72" s="39" t="s">
        <v>805</v>
      </c>
      <c r="CO72" s="39" t="s">
        <v>805</v>
      </c>
      <c r="CP72" s="39" t="s">
        <v>805</v>
      </c>
      <c r="CQ72" s="39" t="s">
        <v>805</v>
      </c>
      <c r="CR72" s="39" t="s">
        <v>805</v>
      </c>
      <c r="CS72" s="39" t="s">
        <v>805</v>
      </c>
      <c r="CT72" s="39" t="s">
        <v>805</v>
      </c>
      <c r="CU72" s="39" t="s">
        <v>805</v>
      </c>
      <c r="CV72" s="39" t="s">
        <v>805</v>
      </c>
      <c r="CW72" s="39" t="s">
        <v>805</v>
      </c>
      <c r="CX72" s="39" t="s">
        <v>805</v>
      </c>
      <c r="CY72" s="39" t="s">
        <v>805</v>
      </c>
      <c r="CZ72" s="39" t="s">
        <v>805</v>
      </c>
      <c r="DA72" s="39" t="s">
        <v>805</v>
      </c>
      <c r="DB72" s="39" t="s">
        <v>805</v>
      </c>
      <c r="DC72" s="39" t="s">
        <v>805</v>
      </c>
      <c r="DD72" s="39" t="s">
        <v>805</v>
      </c>
      <c r="DE72" s="39" t="s">
        <v>805</v>
      </c>
      <c r="DF72" s="39" t="s">
        <v>805</v>
      </c>
      <c r="DG72" s="28">
        <f>'KPI Count-SHARE'!J65</f>
        <v>0</v>
      </c>
      <c r="DH72" s="105"/>
      <c r="DI72" s="105"/>
      <c r="DJ72" s="105"/>
      <c r="DK72" s="28">
        <f>'KPI Count-SHARE'!K65</f>
        <v>0</v>
      </c>
      <c r="DL72" s="39"/>
      <c r="DM72" s="39"/>
      <c r="DN72" s="39"/>
      <c r="DO72" s="28">
        <f>'KPI Count-SHARE'!L65</f>
        <v>0</v>
      </c>
      <c r="DP72" s="61"/>
      <c r="DQ72" s="61"/>
      <c r="DR72" s="61"/>
      <c r="DS72" s="28">
        <f>'KPI Count-SHARE'!M65</f>
        <v>0</v>
      </c>
      <c r="DT72" s="39"/>
      <c r="DU72" s="39"/>
      <c r="DV72" s="39"/>
      <c r="DW72" s="30" t="s">
        <v>533</v>
      </c>
      <c r="DX72" s="39" t="str">
        <f t="shared" si="310"/>
        <v/>
      </c>
      <c r="DY72" s="39" t="str">
        <f t="shared" si="311"/>
        <v/>
      </c>
      <c r="DZ72" s="39" t="str">
        <f t="shared" si="312"/>
        <v/>
      </c>
      <c r="EA72" s="39" t="str">
        <f t="shared" ref="EA72:EA78" si="411">IFERROR(IF(ISBLANK(M72), "-", IF($I72="c", M72*$I$5,M72)),"-")</f>
        <v/>
      </c>
      <c r="EB72" s="39" t="str">
        <f t="shared" ref="EB72:EB78" si="412">IFERROR(IF(ISBLANK(N72), "-", IF($I72="c", N72*$I$5, N72)),"-")</f>
        <v/>
      </c>
      <c r="EC72" s="39" t="str">
        <f t="shared" ref="EC72:EC78" si="413">IFERROR(IF(ISBLANK(O72), "-", IF($I72="c", O72*$I$5,O72)),"-")</f>
        <v/>
      </c>
      <c r="ED72" s="39" t="str">
        <f t="shared" si="313"/>
        <v/>
      </c>
      <c r="EE72" s="39" t="str">
        <f t="shared" si="314"/>
        <v/>
      </c>
      <c r="EF72" s="39" t="str">
        <f t="shared" si="315"/>
        <v/>
      </c>
      <c r="EG72" s="39" t="str">
        <f t="shared" si="316"/>
        <v/>
      </c>
      <c r="EH72" s="39" t="str">
        <f t="shared" si="317"/>
        <v/>
      </c>
      <c r="EI72" s="39" t="str">
        <f t="shared" si="406"/>
        <v/>
      </c>
      <c r="EJ72" s="39" t="str">
        <f t="shared" si="406"/>
        <v/>
      </c>
      <c r="EK72" s="39" t="str">
        <f t="shared" si="406"/>
        <v/>
      </c>
      <c r="EL72" s="39" t="str">
        <f t="shared" si="406"/>
        <v/>
      </c>
      <c r="EM72" s="39" t="str">
        <f t="shared" si="406"/>
        <v/>
      </c>
      <c r="EN72" s="39" t="str">
        <f t="shared" si="406"/>
        <v/>
      </c>
      <c r="EO72" s="39" t="str">
        <f t="shared" si="406"/>
        <v/>
      </c>
      <c r="EP72" s="39" t="str">
        <f t="shared" si="406"/>
        <v/>
      </c>
      <c r="EQ72" s="39" t="str">
        <f t="shared" si="406"/>
        <v/>
      </c>
      <c r="ER72" s="39" t="str">
        <f t="shared" si="406"/>
        <v/>
      </c>
      <c r="ES72" s="39" t="str">
        <f t="shared" si="406"/>
        <v/>
      </c>
      <c r="ET72" s="39" t="str">
        <f t="shared" si="406"/>
        <v/>
      </c>
      <c r="EU72" s="39" t="str">
        <f t="shared" si="319"/>
        <v/>
      </c>
      <c r="EV72" s="39" t="str">
        <f t="shared" si="320"/>
        <v/>
      </c>
      <c r="EW72" s="39" t="str">
        <f t="shared" si="321"/>
        <v/>
      </c>
      <c r="EX72" s="39" t="str">
        <f t="shared" si="322"/>
        <v/>
      </c>
      <c r="EY72" s="39" t="str">
        <f t="shared" si="323"/>
        <v/>
      </c>
      <c r="EZ72" s="39" t="str">
        <f t="shared" si="324"/>
        <v/>
      </c>
      <c r="FA72" s="39" t="str">
        <f t="shared" si="325"/>
        <v/>
      </c>
      <c r="FB72" s="39" t="str">
        <f t="shared" si="326"/>
        <v/>
      </c>
      <c r="FC72" s="39" t="str">
        <f t="shared" si="327"/>
        <v/>
      </c>
      <c r="FD72" s="39" t="str">
        <f t="shared" si="328"/>
        <v/>
      </c>
      <c r="FE72" s="39" t="str">
        <f t="shared" si="329"/>
        <v/>
      </c>
      <c r="FF72" s="39" t="str">
        <f t="shared" si="330"/>
        <v/>
      </c>
      <c r="FG72" s="39" t="str">
        <f t="shared" si="331"/>
        <v/>
      </c>
      <c r="FH72" s="39" t="str">
        <f t="shared" si="332"/>
        <v/>
      </c>
      <c r="FI72" s="39" t="str">
        <f t="shared" si="333"/>
        <v/>
      </c>
      <c r="FJ72" s="39" t="str">
        <f t="shared" si="334"/>
        <v/>
      </c>
      <c r="FK72" s="39" t="str">
        <f t="shared" si="335"/>
        <v/>
      </c>
      <c r="FL72" s="39" t="str">
        <f t="shared" si="336"/>
        <v/>
      </c>
      <c r="FM72" s="39" t="str">
        <f t="shared" si="337"/>
        <v/>
      </c>
      <c r="FN72" s="39" t="str">
        <f t="shared" si="338"/>
        <v/>
      </c>
      <c r="FO72" s="39" t="str">
        <f t="shared" si="339"/>
        <v/>
      </c>
      <c r="FP72" s="39" t="str">
        <f t="shared" si="340"/>
        <v/>
      </c>
      <c r="FQ72" s="39" t="str">
        <f t="shared" si="341"/>
        <v/>
      </c>
      <c r="FR72" s="39" t="str">
        <f t="shared" si="342"/>
        <v/>
      </c>
      <c r="FS72" s="39" t="str">
        <f t="shared" si="343"/>
        <v/>
      </c>
      <c r="FT72" s="39" t="str">
        <f t="shared" si="344"/>
        <v/>
      </c>
      <c r="FU72" s="39" t="str">
        <f t="shared" si="345"/>
        <v/>
      </c>
      <c r="FV72" s="39" t="str">
        <f t="shared" si="346"/>
        <v/>
      </c>
      <c r="FW72" s="39" t="str">
        <f t="shared" si="347"/>
        <v/>
      </c>
      <c r="FX72" s="39" t="str">
        <f t="shared" si="348"/>
        <v/>
      </c>
      <c r="FY72" s="39" t="str">
        <f t="shared" si="349"/>
        <v/>
      </c>
      <c r="FZ72" s="39" t="str">
        <f t="shared" si="350"/>
        <v/>
      </c>
      <c r="GA72" s="39" t="str">
        <f t="shared" si="351"/>
        <v/>
      </c>
      <c r="GB72" s="39" t="str">
        <f t="shared" si="352"/>
        <v/>
      </c>
      <c r="GC72" s="39" t="str">
        <f t="shared" si="353"/>
        <v/>
      </c>
      <c r="GD72" s="39" t="str">
        <f t="shared" si="354"/>
        <v/>
      </c>
      <c r="GE72" s="39" t="str">
        <f t="shared" si="355"/>
        <v/>
      </c>
      <c r="GF72" s="39" t="str">
        <f t="shared" si="356"/>
        <v/>
      </c>
      <c r="GG72" s="39" t="str">
        <f t="shared" si="357"/>
        <v/>
      </c>
      <c r="GH72" s="39" t="str">
        <f t="shared" si="358"/>
        <v/>
      </c>
      <c r="GI72" s="39" t="str">
        <f t="shared" si="359"/>
        <v/>
      </c>
      <c r="GJ72" s="39" t="str">
        <f t="shared" si="360"/>
        <v/>
      </c>
      <c r="GK72" s="39" t="str">
        <f t="shared" si="361"/>
        <v/>
      </c>
      <c r="GL72" s="39" t="str">
        <f t="shared" si="362"/>
        <v/>
      </c>
      <c r="GM72" s="39" t="str">
        <f t="shared" si="363"/>
        <v/>
      </c>
      <c r="GN72" s="39" t="str">
        <f t="shared" si="364"/>
        <v/>
      </c>
      <c r="GO72" s="39" t="str">
        <f t="shared" si="365"/>
        <v/>
      </c>
      <c r="GP72" s="39" t="str">
        <f t="shared" si="366"/>
        <v/>
      </c>
      <c r="GQ72" s="39" t="str">
        <f t="shared" si="367"/>
        <v/>
      </c>
      <c r="GR72" s="39" t="str">
        <f t="shared" si="368"/>
        <v/>
      </c>
      <c r="GS72" s="39" t="str">
        <f t="shared" si="369"/>
        <v/>
      </c>
      <c r="GT72" s="39" t="str">
        <f t="shared" si="370"/>
        <v/>
      </c>
      <c r="GU72" s="39" t="str">
        <f t="shared" si="371"/>
        <v/>
      </c>
      <c r="GV72" s="39" t="str">
        <f t="shared" si="372"/>
        <v/>
      </c>
      <c r="GW72" s="39" t="str">
        <f t="shared" si="373"/>
        <v/>
      </c>
      <c r="GX72" s="39" t="str">
        <f t="shared" si="374"/>
        <v/>
      </c>
      <c r="GY72" s="39" t="str">
        <f t="shared" si="375"/>
        <v/>
      </c>
      <c r="GZ72" s="39" t="str">
        <f t="shared" si="376"/>
        <v/>
      </c>
      <c r="HA72" s="39" t="str">
        <f t="shared" si="377"/>
        <v/>
      </c>
      <c r="HB72" s="39" t="str">
        <f t="shared" si="378"/>
        <v/>
      </c>
      <c r="HC72" s="39" t="str">
        <f t="shared" si="379"/>
        <v/>
      </c>
      <c r="HD72" s="39" t="str">
        <f t="shared" si="380"/>
        <v/>
      </c>
      <c r="HE72" s="39" t="str">
        <f t="shared" si="381"/>
        <v/>
      </c>
      <c r="HF72" s="39" t="str">
        <f t="shared" si="382"/>
        <v/>
      </c>
      <c r="HG72" s="39" t="str">
        <f t="shared" si="383"/>
        <v/>
      </c>
      <c r="HH72" s="39" t="str">
        <f t="shared" si="384"/>
        <v/>
      </c>
      <c r="HI72" s="39" t="str">
        <f t="shared" si="385"/>
        <v/>
      </c>
      <c r="HJ72" s="39" t="str">
        <f t="shared" si="386"/>
        <v/>
      </c>
      <c r="HK72" s="39" t="str">
        <f t="shared" si="387"/>
        <v/>
      </c>
      <c r="HL72" s="39" t="str">
        <f t="shared" si="388"/>
        <v/>
      </c>
      <c r="HM72" s="39" t="str">
        <f t="shared" si="389"/>
        <v/>
      </c>
      <c r="HN72" s="39" t="str">
        <f t="shared" si="390"/>
        <v/>
      </c>
      <c r="HO72" s="39" t="str">
        <f t="shared" si="391"/>
        <v/>
      </c>
      <c r="HP72" s="39" t="str">
        <f t="shared" si="392"/>
        <v/>
      </c>
      <c r="HQ72" s="39" t="str">
        <f t="shared" si="393"/>
        <v/>
      </c>
      <c r="HR72" s="39" t="str">
        <f t="shared" si="394"/>
        <v/>
      </c>
      <c r="HS72" s="39" t="str">
        <f t="shared" si="395"/>
        <v/>
      </c>
      <c r="HT72" s="39" t="str">
        <f t="shared" si="395"/>
        <v/>
      </c>
      <c r="HU72" s="83" t="str">
        <f t="shared" ref="HU72:HU76" si="414">IFERROR(IF(ISBLANK(DH72), "-", IF($I72="c", DH72*$I$5, DH72)),"-")</f>
        <v>-</v>
      </c>
      <c r="HV72" s="84" t="str">
        <f t="shared" si="396"/>
        <v/>
      </c>
      <c r="HW72" s="85" t="str">
        <f t="shared" si="397"/>
        <v/>
      </c>
      <c r="HX72" s="84" t="str">
        <f t="shared" ref="HX72:HX78" si="415">IFERROR(IF(ISBLANK(DL72), "", IF($I72="c",DL72*$I$5, DL72)),"-")</f>
        <v/>
      </c>
      <c r="HY72" s="84" t="str">
        <f t="shared" si="398"/>
        <v/>
      </c>
      <c r="HZ72" s="84" t="str">
        <f t="shared" si="399"/>
        <v/>
      </c>
      <c r="IA72" s="83" t="str">
        <f t="shared" si="400"/>
        <v/>
      </c>
      <c r="IB72" s="84" t="str">
        <f t="shared" si="401"/>
        <v/>
      </c>
      <c r="IC72" s="85" t="str">
        <f t="shared" si="402"/>
        <v/>
      </c>
      <c r="ID72" s="83" t="str">
        <f t="shared" si="403"/>
        <v/>
      </c>
      <c r="IE72" s="84" t="str">
        <f t="shared" si="404"/>
        <v/>
      </c>
      <c r="IF72" s="85" t="str">
        <f t="shared" si="405"/>
        <v/>
      </c>
      <c r="IH72" s="66">
        <v>72</v>
      </c>
      <c r="II72" s="66" t="e">
        <f t="shared" ca="1" si="407"/>
        <v>#N/A</v>
      </c>
      <c r="IJ72" s="66" t="e">
        <f t="shared" ca="1" si="408"/>
        <v>#N/A</v>
      </c>
      <c r="IK72" s="66" t="e">
        <f t="shared" ca="1" si="409"/>
        <v>#N/A</v>
      </c>
      <c r="IL72" s="66" t="e">
        <f t="shared" ca="1" si="410"/>
        <v>#N/A</v>
      </c>
      <c r="IM72" s="33"/>
      <c r="IN72" s="74" t="e">
        <f t="shared" ref="IN72:IN78" ca="1" si="416">IF(II72=0,"-",II72)</f>
        <v>#N/A</v>
      </c>
      <c r="IO72" s="75" t="e">
        <f t="shared" ref="IO72:IO78" ca="1" si="417">IF(G72="Smaller better",II72-((II72-IJ72)*0.5),II72+((IJ72-II72)*0.5))</f>
        <v>#N/A</v>
      </c>
      <c r="IP72" s="75" t="e">
        <f t="shared" ref="IP72:IP78" ca="1" si="418">IF(G72="Smaller better",IJ72-((IJ72-IK72)*0.5),IJ72+((IK72-IJ72)*0.5))</f>
        <v>#N/A</v>
      </c>
      <c r="IQ72" s="74" t="e">
        <f t="shared" ref="IQ72:IQ78" ca="1" si="419">IF(IK72=0,"-",IK72)</f>
        <v>#N/A</v>
      </c>
      <c r="IR72" s="74" t="e">
        <f t="shared" ref="IR72:IR78" ca="1" si="420">SUM(IN72:IQ72)</f>
        <v>#N/A</v>
      </c>
    </row>
    <row r="73" spans="1:252" s="1" customFormat="1" x14ac:dyDescent="0.35">
      <c r="A73" s="33">
        <v>0</v>
      </c>
      <c r="B73" s="33">
        <v>0</v>
      </c>
      <c r="C73" s="33">
        <v>1</v>
      </c>
      <c r="E73" s="4"/>
      <c r="F73" t="s">
        <v>338</v>
      </c>
      <c r="G73" s="5" t="s">
        <v>540</v>
      </c>
      <c r="H73" s="4" t="s">
        <v>533</v>
      </c>
      <c r="I73" s="8" t="s">
        <v>534</v>
      </c>
      <c r="J73" s="276" t="s">
        <v>805</v>
      </c>
      <c r="K73" s="39" t="s">
        <v>805</v>
      </c>
      <c r="L73" s="39" t="s">
        <v>805</v>
      </c>
      <c r="M73" s="39" t="s">
        <v>805</v>
      </c>
      <c r="N73" s="39" t="s">
        <v>805</v>
      </c>
      <c r="O73" s="39" t="s">
        <v>805</v>
      </c>
      <c r="P73" s="39" t="s">
        <v>805</v>
      </c>
      <c r="Q73" s="39" t="s">
        <v>805</v>
      </c>
      <c r="R73" s="39" t="s">
        <v>805</v>
      </c>
      <c r="S73" s="39" t="s">
        <v>805</v>
      </c>
      <c r="T73" s="39" t="s">
        <v>805</v>
      </c>
      <c r="U73" s="39" t="s">
        <v>805</v>
      </c>
      <c r="V73" s="39" t="s">
        <v>805</v>
      </c>
      <c r="W73" s="39" t="s">
        <v>805</v>
      </c>
      <c r="X73" s="39" t="s">
        <v>805</v>
      </c>
      <c r="Y73" s="39" t="s">
        <v>805</v>
      </c>
      <c r="Z73" s="39" t="s">
        <v>805</v>
      </c>
      <c r="AA73" s="39" t="s">
        <v>805</v>
      </c>
      <c r="AB73" s="39" t="s">
        <v>805</v>
      </c>
      <c r="AC73" s="39" t="s">
        <v>805</v>
      </c>
      <c r="AD73" s="39" t="s">
        <v>805</v>
      </c>
      <c r="AE73" s="39" t="s">
        <v>805</v>
      </c>
      <c r="AF73" s="39" t="s">
        <v>805</v>
      </c>
      <c r="AG73" s="39" t="s">
        <v>805</v>
      </c>
      <c r="AH73" s="39" t="s">
        <v>805</v>
      </c>
      <c r="AI73" s="39" t="s">
        <v>805</v>
      </c>
      <c r="AJ73" s="39" t="s">
        <v>805</v>
      </c>
      <c r="AK73" s="39" t="s">
        <v>805</v>
      </c>
      <c r="AL73" s="39" t="s">
        <v>805</v>
      </c>
      <c r="AM73" s="39" t="s">
        <v>805</v>
      </c>
      <c r="AN73" s="39" t="s">
        <v>805</v>
      </c>
      <c r="AO73" s="39" t="s">
        <v>805</v>
      </c>
      <c r="AP73" s="39" t="s">
        <v>805</v>
      </c>
      <c r="AQ73" s="39" t="s">
        <v>805</v>
      </c>
      <c r="AR73" s="39" t="s">
        <v>805</v>
      </c>
      <c r="AS73" s="39" t="s">
        <v>805</v>
      </c>
      <c r="AT73" s="39" t="s">
        <v>805</v>
      </c>
      <c r="AU73" s="39" t="s">
        <v>805</v>
      </c>
      <c r="AV73" s="39" t="s">
        <v>805</v>
      </c>
      <c r="AW73" s="39" t="s">
        <v>805</v>
      </c>
      <c r="AX73" s="39" t="s">
        <v>805</v>
      </c>
      <c r="AY73" s="39" t="s">
        <v>805</v>
      </c>
      <c r="AZ73" s="39" t="s">
        <v>805</v>
      </c>
      <c r="BA73" s="39" t="s">
        <v>805</v>
      </c>
      <c r="BB73" s="39" t="s">
        <v>805</v>
      </c>
      <c r="BC73" s="39" t="s">
        <v>805</v>
      </c>
      <c r="BD73" s="39" t="s">
        <v>805</v>
      </c>
      <c r="BE73" s="39" t="s">
        <v>805</v>
      </c>
      <c r="BF73" s="39" t="s">
        <v>805</v>
      </c>
      <c r="BG73" s="39" t="s">
        <v>805</v>
      </c>
      <c r="BH73" s="39" t="s">
        <v>805</v>
      </c>
      <c r="BI73" s="39" t="s">
        <v>805</v>
      </c>
      <c r="BJ73" s="39" t="s">
        <v>805</v>
      </c>
      <c r="BK73" s="39" t="s">
        <v>805</v>
      </c>
      <c r="BL73" s="39" t="s">
        <v>805</v>
      </c>
      <c r="BM73" s="39" t="s">
        <v>805</v>
      </c>
      <c r="BN73" s="39" t="s">
        <v>805</v>
      </c>
      <c r="BO73" s="39" t="s">
        <v>805</v>
      </c>
      <c r="BP73" s="39" t="s">
        <v>805</v>
      </c>
      <c r="BQ73" s="39" t="s">
        <v>805</v>
      </c>
      <c r="BR73" s="39" t="s">
        <v>805</v>
      </c>
      <c r="BS73" s="39" t="s">
        <v>805</v>
      </c>
      <c r="BT73" s="39" t="s">
        <v>805</v>
      </c>
      <c r="BU73" s="39" t="s">
        <v>805</v>
      </c>
      <c r="BV73" s="39" t="s">
        <v>805</v>
      </c>
      <c r="BW73" s="39" t="s">
        <v>805</v>
      </c>
      <c r="BX73" s="39" t="s">
        <v>805</v>
      </c>
      <c r="BY73" s="39" t="s">
        <v>805</v>
      </c>
      <c r="BZ73" s="39" t="s">
        <v>805</v>
      </c>
      <c r="CA73" s="39" t="s">
        <v>805</v>
      </c>
      <c r="CB73" s="39" t="s">
        <v>805</v>
      </c>
      <c r="CC73" s="39" t="s">
        <v>805</v>
      </c>
      <c r="CD73" s="39" t="s">
        <v>805</v>
      </c>
      <c r="CE73" s="39" t="s">
        <v>805</v>
      </c>
      <c r="CF73" s="39" t="s">
        <v>805</v>
      </c>
      <c r="CG73" s="39" t="s">
        <v>805</v>
      </c>
      <c r="CH73" s="39" t="s">
        <v>805</v>
      </c>
      <c r="CI73" s="39" t="s">
        <v>805</v>
      </c>
      <c r="CJ73" s="39" t="s">
        <v>805</v>
      </c>
      <c r="CK73" s="39" t="s">
        <v>805</v>
      </c>
      <c r="CL73" s="39" t="s">
        <v>805</v>
      </c>
      <c r="CM73" s="39" t="s">
        <v>805</v>
      </c>
      <c r="CN73" s="39" t="s">
        <v>805</v>
      </c>
      <c r="CO73" s="39" t="s">
        <v>805</v>
      </c>
      <c r="CP73" s="39" t="s">
        <v>805</v>
      </c>
      <c r="CQ73" s="39" t="s">
        <v>805</v>
      </c>
      <c r="CR73" s="39" t="s">
        <v>805</v>
      </c>
      <c r="CS73" s="39" t="s">
        <v>805</v>
      </c>
      <c r="CT73" s="39" t="s">
        <v>805</v>
      </c>
      <c r="CU73" s="39" t="s">
        <v>805</v>
      </c>
      <c r="CV73" s="39" t="s">
        <v>805</v>
      </c>
      <c r="CW73" s="39" t="s">
        <v>805</v>
      </c>
      <c r="CX73" s="39" t="s">
        <v>805</v>
      </c>
      <c r="CY73" s="39" t="s">
        <v>805</v>
      </c>
      <c r="CZ73" s="39" t="s">
        <v>805</v>
      </c>
      <c r="DA73" s="39" t="s">
        <v>805</v>
      </c>
      <c r="DB73" s="39" t="s">
        <v>805</v>
      </c>
      <c r="DC73" s="39" t="s">
        <v>805</v>
      </c>
      <c r="DD73" s="39" t="s">
        <v>805</v>
      </c>
      <c r="DE73" s="39" t="s">
        <v>805</v>
      </c>
      <c r="DF73" s="39" t="s">
        <v>805</v>
      </c>
      <c r="DG73" s="28">
        <f>'KPI Count-SHARE'!J66</f>
        <v>0</v>
      </c>
      <c r="DH73" s="105"/>
      <c r="DI73" s="105"/>
      <c r="DJ73" s="105"/>
      <c r="DK73" s="28">
        <f>'KPI Count-SHARE'!K66</f>
        <v>0</v>
      </c>
      <c r="DL73" s="39"/>
      <c r="DM73" s="39"/>
      <c r="DN73" s="39"/>
      <c r="DO73" s="28">
        <f>'KPI Count-SHARE'!L66</f>
        <v>0</v>
      </c>
      <c r="DP73" s="61"/>
      <c r="DQ73" s="61"/>
      <c r="DR73" s="61"/>
      <c r="DS73" s="28">
        <f>'KPI Count-SHARE'!M66</f>
        <v>0</v>
      </c>
      <c r="DT73" s="39"/>
      <c r="DU73" s="39"/>
      <c r="DV73" s="39"/>
      <c r="DW73" s="30" t="s">
        <v>533</v>
      </c>
      <c r="DX73" s="39" t="str">
        <f t="shared" si="310"/>
        <v/>
      </c>
      <c r="DY73" s="39" t="str">
        <f t="shared" si="311"/>
        <v/>
      </c>
      <c r="DZ73" s="39" t="str">
        <f t="shared" si="312"/>
        <v/>
      </c>
      <c r="EA73" s="39" t="str">
        <f t="shared" si="411"/>
        <v/>
      </c>
      <c r="EB73" s="39" t="str">
        <f t="shared" si="412"/>
        <v/>
      </c>
      <c r="EC73" s="39" t="str">
        <f t="shared" si="413"/>
        <v/>
      </c>
      <c r="ED73" s="39" t="str">
        <f t="shared" si="313"/>
        <v/>
      </c>
      <c r="EE73" s="39" t="str">
        <f t="shared" si="314"/>
        <v/>
      </c>
      <c r="EF73" s="39" t="str">
        <f t="shared" si="315"/>
        <v/>
      </c>
      <c r="EG73" s="39" t="str">
        <f t="shared" si="316"/>
        <v/>
      </c>
      <c r="EH73" s="39" t="str">
        <f t="shared" si="317"/>
        <v/>
      </c>
      <c r="EI73" s="39" t="str">
        <f t="shared" si="406"/>
        <v/>
      </c>
      <c r="EJ73" s="39" t="str">
        <f t="shared" si="406"/>
        <v/>
      </c>
      <c r="EK73" s="39" t="str">
        <f t="shared" si="406"/>
        <v/>
      </c>
      <c r="EL73" s="39" t="str">
        <f t="shared" si="406"/>
        <v/>
      </c>
      <c r="EM73" s="39" t="str">
        <f t="shared" si="406"/>
        <v/>
      </c>
      <c r="EN73" s="39" t="str">
        <f t="shared" si="406"/>
        <v/>
      </c>
      <c r="EO73" s="39" t="str">
        <f t="shared" si="406"/>
        <v/>
      </c>
      <c r="EP73" s="39" t="str">
        <f t="shared" si="406"/>
        <v/>
      </c>
      <c r="EQ73" s="39" t="str">
        <f t="shared" si="406"/>
        <v/>
      </c>
      <c r="ER73" s="39" t="str">
        <f t="shared" si="406"/>
        <v/>
      </c>
      <c r="ES73" s="39" t="str">
        <f t="shared" si="406"/>
        <v/>
      </c>
      <c r="ET73" s="39" t="str">
        <f t="shared" si="406"/>
        <v/>
      </c>
      <c r="EU73" s="39" t="str">
        <f t="shared" si="319"/>
        <v/>
      </c>
      <c r="EV73" s="39" t="str">
        <f t="shared" si="320"/>
        <v/>
      </c>
      <c r="EW73" s="39" t="str">
        <f t="shared" si="321"/>
        <v/>
      </c>
      <c r="EX73" s="39" t="str">
        <f t="shared" si="322"/>
        <v/>
      </c>
      <c r="EY73" s="39" t="str">
        <f t="shared" si="323"/>
        <v/>
      </c>
      <c r="EZ73" s="39" t="str">
        <f t="shared" si="324"/>
        <v/>
      </c>
      <c r="FA73" s="39" t="str">
        <f t="shared" si="325"/>
        <v/>
      </c>
      <c r="FB73" s="39" t="str">
        <f t="shared" si="326"/>
        <v/>
      </c>
      <c r="FC73" s="39" t="str">
        <f t="shared" si="327"/>
        <v/>
      </c>
      <c r="FD73" s="39" t="str">
        <f t="shared" si="328"/>
        <v/>
      </c>
      <c r="FE73" s="39" t="str">
        <f t="shared" si="329"/>
        <v/>
      </c>
      <c r="FF73" s="39" t="str">
        <f t="shared" si="330"/>
        <v/>
      </c>
      <c r="FG73" s="39" t="str">
        <f t="shared" si="331"/>
        <v/>
      </c>
      <c r="FH73" s="39" t="str">
        <f t="shared" si="332"/>
        <v/>
      </c>
      <c r="FI73" s="39" t="str">
        <f t="shared" si="333"/>
        <v/>
      </c>
      <c r="FJ73" s="39" t="str">
        <f t="shared" si="334"/>
        <v/>
      </c>
      <c r="FK73" s="39" t="str">
        <f t="shared" si="335"/>
        <v/>
      </c>
      <c r="FL73" s="39" t="str">
        <f t="shared" si="336"/>
        <v/>
      </c>
      <c r="FM73" s="39" t="str">
        <f t="shared" si="337"/>
        <v/>
      </c>
      <c r="FN73" s="39" t="str">
        <f t="shared" si="338"/>
        <v/>
      </c>
      <c r="FO73" s="39" t="str">
        <f t="shared" si="339"/>
        <v/>
      </c>
      <c r="FP73" s="39" t="str">
        <f t="shared" si="340"/>
        <v/>
      </c>
      <c r="FQ73" s="39" t="str">
        <f t="shared" si="341"/>
        <v/>
      </c>
      <c r="FR73" s="39" t="str">
        <f t="shared" si="342"/>
        <v/>
      </c>
      <c r="FS73" s="39" t="str">
        <f t="shared" si="343"/>
        <v/>
      </c>
      <c r="FT73" s="39" t="str">
        <f t="shared" si="344"/>
        <v/>
      </c>
      <c r="FU73" s="39" t="str">
        <f t="shared" si="345"/>
        <v/>
      </c>
      <c r="FV73" s="39" t="str">
        <f t="shared" si="346"/>
        <v/>
      </c>
      <c r="FW73" s="39" t="str">
        <f t="shared" si="347"/>
        <v/>
      </c>
      <c r="FX73" s="39" t="str">
        <f t="shared" si="348"/>
        <v/>
      </c>
      <c r="FY73" s="39" t="str">
        <f t="shared" si="349"/>
        <v/>
      </c>
      <c r="FZ73" s="39" t="str">
        <f t="shared" si="350"/>
        <v/>
      </c>
      <c r="GA73" s="39" t="str">
        <f t="shared" si="351"/>
        <v/>
      </c>
      <c r="GB73" s="39" t="str">
        <f t="shared" si="352"/>
        <v/>
      </c>
      <c r="GC73" s="39" t="str">
        <f t="shared" si="353"/>
        <v/>
      </c>
      <c r="GD73" s="39" t="str">
        <f t="shared" si="354"/>
        <v/>
      </c>
      <c r="GE73" s="39" t="str">
        <f t="shared" si="355"/>
        <v/>
      </c>
      <c r="GF73" s="39" t="str">
        <f t="shared" si="356"/>
        <v/>
      </c>
      <c r="GG73" s="39" t="str">
        <f t="shared" si="357"/>
        <v/>
      </c>
      <c r="GH73" s="39" t="str">
        <f t="shared" si="358"/>
        <v/>
      </c>
      <c r="GI73" s="39" t="str">
        <f t="shared" si="359"/>
        <v/>
      </c>
      <c r="GJ73" s="39" t="str">
        <f t="shared" si="360"/>
        <v/>
      </c>
      <c r="GK73" s="39" t="str">
        <f t="shared" si="361"/>
        <v/>
      </c>
      <c r="GL73" s="39" t="str">
        <f t="shared" si="362"/>
        <v/>
      </c>
      <c r="GM73" s="39" t="str">
        <f t="shared" si="363"/>
        <v/>
      </c>
      <c r="GN73" s="39" t="str">
        <f t="shared" si="364"/>
        <v/>
      </c>
      <c r="GO73" s="39" t="str">
        <f t="shared" si="365"/>
        <v/>
      </c>
      <c r="GP73" s="39" t="str">
        <f t="shared" si="366"/>
        <v/>
      </c>
      <c r="GQ73" s="39" t="str">
        <f t="shared" si="367"/>
        <v/>
      </c>
      <c r="GR73" s="39" t="str">
        <f t="shared" si="368"/>
        <v/>
      </c>
      <c r="GS73" s="39" t="str">
        <f t="shared" si="369"/>
        <v/>
      </c>
      <c r="GT73" s="39" t="str">
        <f t="shared" si="370"/>
        <v/>
      </c>
      <c r="GU73" s="39" t="str">
        <f t="shared" si="371"/>
        <v/>
      </c>
      <c r="GV73" s="39" t="str">
        <f t="shared" si="372"/>
        <v/>
      </c>
      <c r="GW73" s="39" t="str">
        <f t="shared" si="373"/>
        <v/>
      </c>
      <c r="GX73" s="39" t="str">
        <f t="shared" si="374"/>
        <v/>
      </c>
      <c r="GY73" s="39" t="str">
        <f t="shared" si="375"/>
        <v/>
      </c>
      <c r="GZ73" s="39" t="str">
        <f t="shared" si="376"/>
        <v/>
      </c>
      <c r="HA73" s="39" t="str">
        <f t="shared" si="377"/>
        <v/>
      </c>
      <c r="HB73" s="39" t="str">
        <f t="shared" si="378"/>
        <v/>
      </c>
      <c r="HC73" s="39" t="str">
        <f t="shared" si="379"/>
        <v/>
      </c>
      <c r="HD73" s="39" t="str">
        <f t="shared" si="380"/>
        <v/>
      </c>
      <c r="HE73" s="39" t="str">
        <f t="shared" si="381"/>
        <v/>
      </c>
      <c r="HF73" s="39" t="str">
        <f t="shared" si="382"/>
        <v/>
      </c>
      <c r="HG73" s="39" t="str">
        <f t="shared" si="383"/>
        <v/>
      </c>
      <c r="HH73" s="39" t="str">
        <f t="shared" si="384"/>
        <v/>
      </c>
      <c r="HI73" s="39" t="str">
        <f t="shared" si="385"/>
        <v/>
      </c>
      <c r="HJ73" s="39" t="str">
        <f t="shared" si="386"/>
        <v/>
      </c>
      <c r="HK73" s="39" t="str">
        <f t="shared" si="387"/>
        <v/>
      </c>
      <c r="HL73" s="39" t="str">
        <f t="shared" si="388"/>
        <v/>
      </c>
      <c r="HM73" s="39" t="str">
        <f t="shared" si="389"/>
        <v/>
      </c>
      <c r="HN73" s="39" t="str">
        <f t="shared" si="390"/>
        <v/>
      </c>
      <c r="HO73" s="39" t="str">
        <f t="shared" si="391"/>
        <v/>
      </c>
      <c r="HP73" s="39" t="str">
        <f t="shared" si="392"/>
        <v/>
      </c>
      <c r="HQ73" s="39" t="str">
        <f t="shared" si="393"/>
        <v/>
      </c>
      <c r="HR73" s="39" t="str">
        <f t="shared" si="394"/>
        <v/>
      </c>
      <c r="HS73" s="39" t="str">
        <f t="shared" si="395"/>
        <v/>
      </c>
      <c r="HT73" s="39" t="str">
        <f t="shared" si="395"/>
        <v/>
      </c>
      <c r="HU73" s="83" t="str">
        <f t="shared" si="414"/>
        <v>-</v>
      </c>
      <c r="HV73" s="84" t="str">
        <f t="shared" si="396"/>
        <v/>
      </c>
      <c r="HW73" s="85" t="str">
        <f t="shared" si="397"/>
        <v/>
      </c>
      <c r="HX73" s="84" t="str">
        <f t="shared" si="415"/>
        <v/>
      </c>
      <c r="HY73" s="84" t="str">
        <f t="shared" si="398"/>
        <v/>
      </c>
      <c r="HZ73" s="84" t="str">
        <f t="shared" si="399"/>
        <v/>
      </c>
      <c r="IA73" s="83" t="str">
        <f t="shared" si="400"/>
        <v/>
      </c>
      <c r="IB73" s="84" t="str">
        <f t="shared" si="401"/>
        <v/>
      </c>
      <c r="IC73" s="85" t="str">
        <f t="shared" si="402"/>
        <v/>
      </c>
      <c r="ID73" s="83" t="str">
        <f t="shared" si="403"/>
        <v/>
      </c>
      <c r="IE73" s="84" t="str">
        <f t="shared" si="404"/>
        <v/>
      </c>
      <c r="IF73" s="85" t="str">
        <f t="shared" si="405"/>
        <v/>
      </c>
      <c r="IH73" s="66">
        <v>73</v>
      </c>
      <c r="II73" s="66" t="e">
        <f t="shared" ca="1" si="407"/>
        <v>#N/A</v>
      </c>
      <c r="IJ73" s="66" t="e">
        <f t="shared" ca="1" si="408"/>
        <v>#N/A</v>
      </c>
      <c r="IK73" s="66" t="e">
        <f t="shared" ca="1" si="409"/>
        <v>#N/A</v>
      </c>
      <c r="IL73" s="66" t="e">
        <f t="shared" ca="1" si="410"/>
        <v>#N/A</v>
      </c>
      <c r="IM73" s="33"/>
      <c r="IN73" s="74" t="e">
        <f t="shared" ca="1" si="416"/>
        <v>#N/A</v>
      </c>
      <c r="IO73" s="75" t="e">
        <f t="shared" ca="1" si="417"/>
        <v>#N/A</v>
      </c>
      <c r="IP73" s="75" t="e">
        <f t="shared" ca="1" si="418"/>
        <v>#N/A</v>
      </c>
      <c r="IQ73" s="74" t="e">
        <f t="shared" ca="1" si="419"/>
        <v>#N/A</v>
      </c>
      <c r="IR73" s="74" t="e">
        <f t="shared" ca="1" si="420"/>
        <v>#N/A</v>
      </c>
    </row>
    <row r="74" spans="1:252" s="1" customFormat="1" x14ac:dyDescent="0.35">
      <c r="A74" s="33">
        <v>1</v>
      </c>
      <c r="B74" s="33">
        <v>1</v>
      </c>
      <c r="C74" s="33">
        <v>1</v>
      </c>
      <c r="E74" s="4"/>
      <c r="F74" t="s">
        <v>339</v>
      </c>
      <c r="G74" s="5" t="s">
        <v>540</v>
      </c>
      <c r="H74" s="4" t="s">
        <v>535</v>
      </c>
      <c r="I74" s="8" t="s">
        <v>536</v>
      </c>
      <c r="J74" s="276" t="s">
        <v>805</v>
      </c>
      <c r="K74" s="110" t="s">
        <v>805</v>
      </c>
      <c r="L74" s="110" t="s">
        <v>805</v>
      </c>
      <c r="M74" s="110" t="s">
        <v>805</v>
      </c>
      <c r="N74" s="110" t="s">
        <v>805</v>
      </c>
      <c r="O74" s="110" t="s">
        <v>805</v>
      </c>
      <c r="P74" s="110" t="s">
        <v>805</v>
      </c>
      <c r="Q74" s="110" t="s">
        <v>805</v>
      </c>
      <c r="R74" s="110" t="s">
        <v>805</v>
      </c>
      <c r="S74" s="110" t="s">
        <v>805</v>
      </c>
      <c r="T74" s="110" t="s">
        <v>805</v>
      </c>
      <c r="U74" s="110" t="s">
        <v>805</v>
      </c>
      <c r="V74" s="110" t="s">
        <v>805</v>
      </c>
      <c r="W74" s="110" t="s">
        <v>805</v>
      </c>
      <c r="X74" s="110" t="s">
        <v>805</v>
      </c>
      <c r="Y74" s="110" t="s">
        <v>805</v>
      </c>
      <c r="Z74" s="110" t="s">
        <v>805</v>
      </c>
      <c r="AA74" s="110" t="s">
        <v>805</v>
      </c>
      <c r="AB74" s="110" t="s">
        <v>805</v>
      </c>
      <c r="AC74" s="110" t="s">
        <v>805</v>
      </c>
      <c r="AD74" s="110" t="s">
        <v>805</v>
      </c>
      <c r="AE74" s="110" t="s">
        <v>805</v>
      </c>
      <c r="AF74" s="110" t="s">
        <v>805</v>
      </c>
      <c r="AG74" s="110" t="s">
        <v>805</v>
      </c>
      <c r="AH74" s="110" t="s">
        <v>805</v>
      </c>
      <c r="AI74" s="110" t="s">
        <v>805</v>
      </c>
      <c r="AJ74" s="110" t="s">
        <v>805</v>
      </c>
      <c r="AK74" s="110" t="s">
        <v>805</v>
      </c>
      <c r="AL74" s="110" t="s">
        <v>805</v>
      </c>
      <c r="AM74" s="110" t="s">
        <v>805</v>
      </c>
      <c r="AN74" s="110" t="s">
        <v>805</v>
      </c>
      <c r="AO74" s="110" t="s">
        <v>805</v>
      </c>
      <c r="AP74" s="110" t="s">
        <v>805</v>
      </c>
      <c r="AQ74" s="110" t="s">
        <v>805</v>
      </c>
      <c r="AR74" s="110" t="s">
        <v>805</v>
      </c>
      <c r="AS74" s="110" t="s">
        <v>805</v>
      </c>
      <c r="AT74" s="110" t="s">
        <v>805</v>
      </c>
      <c r="AU74" s="110" t="s">
        <v>805</v>
      </c>
      <c r="AV74" s="110" t="s">
        <v>805</v>
      </c>
      <c r="AW74" s="110" t="s">
        <v>805</v>
      </c>
      <c r="AX74" s="110" t="s">
        <v>805</v>
      </c>
      <c r="AY74" s="110" t="s">
        <v>805</v>
      </c>
      <c r="AZ74" s="110" t="s">
        <v>805</v>
      </c>
      <c r="BA74" s="110" t="s">
        <v>805</v>
      </c>
      <c r="BB74" s="110" t="s">
        <v>805</v>
      </c>
      <c r="BC74" s="110" t="s">
        <v>805</v>
      </c>
      <c r="BD74" s="110" t="s">
        <v>805</v>
      </c>
      <c r="BE74" s="110" t="s">
        <v>805</v>
      </c>
      <c r="BF74" s="110" t="s">
        <v>805</v>
      </c>
      <c r="BG74" s="110" t="s">
        <v>805</v>
      </c>
      <c r="BH74" s="110" t="s">
        <v>805</v>
      </c>
      <c r="BI74" s="110" t="s">
        <v>805</v>
      </c>
      <c r="BJ74" s="110" t="s">
        <v>805</v>
      </c>
      <c r="BK74" s="110" t="s">
        <v>805</v>
      </c>
      <c r="BL74" s="110" t="s">
        <v>805</v>
      </c>
      <c r="BM74" s="110" t="s">
        <v>805</v>
      </c>
      <c r="BN74" s="110" t="s">
        <v>805</v>
      </c>
      <c r="BO74" s="110" t="s">
        <v>805</v>
      </c>
      <c r="BP74" s="110" t="s">
        <v>805</v>
      </c>
      <c r="BQ74" s="110" t="s">
        <v>805</v>
      </c>
      <c r="BR74" s="110" t="s">
        <v>805</v>
      </c>
      <c r="BS74" s="110" t="s">
        <v>805</v>
      </c>
      <c r="BT74" s="110" t="s">
        <v>805</v>
      </c>
      <c r="BU74" s="110" t="s">
        <v>805</v>
      </c>
      <c r="BV74" s="110" t="s">
        <v>805</v>
      </c>
      <c r="BW74" s="110" t="s">
        <v>805</v>
      </c>
      <c r="BX74" s="110" t="s">
        <v>805</v>
      </c>
      <c r="BY74" s="110" t="s">
        <v>805</v>
      </c>
      <c r="BZ74" s="110" t="s">
        <v>805</v>
      </c>
      <c r="CA74" s="110" t="s">
        <v>805</v>
      </c>
      <c r="CB74" s="110" t="s">
        <v>805</v>
      </c>
      <c r="CC74" s="110" t="s">
        <v>805</v>
      </c>
      <c r="CD74" s="110" t="s">
        <v>805</v>
      </c>
      <c r="CE74" s="110" t="s">
        <v>805</v>
      </c>
      <c r="CF74" s="110" t="s">
        <v>805</v>
      </c>
      <c r="CG74" s="110" t="s">
        <v>805</v>
      </c>
      <c r="CH74" s="110" t="s">
        <v>805</v>
      </c>
      <c r="CI74" s="110" t="s">
        <v>805</v>
      </c>
      <c r="CJ74" s="110" t="s">
        <v>805</v>
      </c>
      <c r="CK74" s="110" t="s">
        <v>805</v>
      </c>
      <c r="CL74" s="110" t="s">
        <v>805</v>
      </c>
      <c r="CM74" s="110" t="s">
        <v>805</v>
      </c>
      <c r="CN74" s="110" t="s">
        <v>805</v>
      </c>
      <c r="CO74" s="110" t="s">
        <v>805</v>
      </c>
      <c r="CP74" s="110" t="s">
        <v>805</v>
      </c>
      <c r="CQ74" s="110" t="s">
        <v>805</v>
      </c>
      <c r="CR74" s="110" t="s">
        <v>805</v>
      </c>
      <c r="CS74" s="110" t="s">
        <v>805</v>
      </c>
      <c r="CT74" s="110" t="s">
        <v>805</v>
      </c>
      <c r="CU74" s="110" t="s">
        <v>805</v>
      </c>
      <c r="CV74" s="110" t="s">
        <v>805</v>
      </c>
      <c r="CW74" s="110" t="s">
        <v>805</v>
      </c>
      <c r="CX74" s="110" t="s">
        <v>805</v>
      </c>
      <c r="CY74" s="110" t="s">
        <v>805</v>
      </c>
      <c r="CZ74" s="110" t="s">
        <v>805</v>
      </c>
      <c r="DA74" s="110" t="s">
        <v>805</v>
      </c>
      <c r="DB74" s="110" t="s">
        <v>805</v>
      </c>
      <c r="DC74" s="110" t="s">
        <v>805</v>
      </c>
      <c r="DD74" s="110" t="s">
        <v>805</v>
      </c>
      <c r="DE74" s="110" t="s">
        <v>805</v>
      </c>
      <c r="DF74" s="110" t="s">
        <v>805</v>
      </c>
      <c r="DG74" s="28">
        <f>'KPI Count-SHARE'!J67</f>
        <v>0</v>
      </c>
      <c r="DH74" s="114"/>
      <c r="DI74" s="114"/>
      <c r="DJ74" s="114"/>
      <c r="DK74" s="28">
        <f>'KPI Count-SHARE'!K67</f>
        <v>0</v>
      </c>
      <c r="DL74" s="118"/>
      <c r="DM74" s="118"/>
      <c r="DN74" s="118"/>
      <c r="DO74" s="28">
        <f>'KPI Count-SHARE'!L67</f>
        <v>0</v>
      </c>
      <c r="DP74" s="118"/>
      <c r="DQ74" s="118"/>
      <c r="DR74" s="118"/>
      <c r="DS74" s="28">
        <f>'KPI Count-SHARE'!M67</f>
        <v>0</v>
      </c>
      <c r="DT74" s="118"/>
      <c r="DU74" s="118"/>
      <c r="DV74" s="118"/>
      <c r="DW74" s="30" t="str">
        <f t="shared" ref="DW74:DW89" si="421">XCurrency &amp; " '000 per FTE"</f>
        <v>USD '000 per FTE</v>
      </c>
      <c r="DX74" s="39" t="str">
        <f t="shared" si="310"/>
        <v>-</v>
      </c>
      <c r="DY74" s="39" t="str">
        <f t="shared" si="311"/>
        <v>-</v>
      </c>
      <c r="DZ74" s="39" t="str">
        <f t="shared" si="312"/>
        <v>-</v>
      </c>
      <c r="EA74" s="39" t="str">
        <f t="shared" si="411"/>
        <v>-</v>
      </c>
      <c r="EB74" s="39" t="str">
        <f t="shared" si="412"/>
        <v>-</v>
      </c>
      <c r="EC74" s="39" t="str">
        <f t="shared" si="413"/>
        <v>-</v>
      </c>
      <c r="ED74" s="39" t="str">
        <f t="shared" si="313"/>
        <v>-</v>
      </c>
      <c r="EE74" s="39" t="str">
        <f t="shared" si="314"/>
        <v>-</v>
      </c>
      <c r="EF74" s="39" t="str">
        <f t="shared" si="315"/>
        <v>-</v>
      </c>
      <c r="EG74" s="39" t="str">
        <f t="shared" si="316"/>
        <v>-</v>
      </c>
      <c r="EH74" s="39" t="str">
        <f t="shared" si="317"/>
        <v>-</v>
      </c>
      <c r="EI74" s="39" t="str">
        <f t="shared" si="406"/>
        <v>-</v>
      </c>
      <c r="EJ74" s="39" t="str">
        <f t="shared" si="406"/>
        <v>-</v>
      </c>
      <c r="EK74" s="39" t="str">
        <f t="shared" si="406"/>
        <v>-</v>
      </c>
      <c r="EL74" s="39" t="str">
        <f t="shared" si="406"/>
        <v>-</v>
      </c>
      <c r="EM74" s="39" t="str">
        <f t="shared" si="406"/>
        <v>-</v>
      </c>
      <c r="EN74" s="39" t="str">
        <f t="shared" si="406"/>
        <v>-</v>
      </c>
      <c r="EO74" s="39" t="str">
        <f t="shared" si="406"/>
        <v>-</v>
      </c>
      <c r="EP74" s="39" t="str">
        <f t="shared" si="406"/>
        <v>-</v>
      </c>
      <c r="EQ74" s="39" t="str">
        <f t="shared" si="406"/>
        <v>-</v>
      </c>
      <c r="ER74" s="39" t="str">
        <f t="shared" si="406"/>
        <v>-</v>
      </c>
      <c r="ES74" s="39" t="str">
        <f t="shared" si="406"/>
        <v>-</v>
      </c>
      <c r="ET74" s="39" t="str">
        <f t="shared" si="406"/>
        <v>-</v>
      </c>
      <c r="EU74" s="39" t="str">
        <f t="shared" si="319"/>
        <v>-</v>
      </c>
      <c r="EV74" s="39" t="str">
        <f t="shared" si="320"/>
        <v>-</v>
      </c>
      <c r="EW74" s="39" t="str">
        <f t="shared" si="321"/>
        <v>-</v>
      </c>
      <c r="EX74" s="39" t="str">
        <f t="shared" si="322"/>
        <v>-</v>
      </c>
      <c r="EY74" s="39" t="str">
        <f t="shared" si="323"/>
        <v>-</v>
      </c>
      <c r="EZ74" s="39" t="str">
        <f t="shared" si="324"/>
        <v>-</v>
      </c>
      <c r="FA74" s="39" t="str">
        <f t="shared" si="325"/>
        <v>-</v>
      </c>
      <c r="FB74" s="39" t="str">
        <f t="shared" si="326"/>
        <v>-</v>
      </c>
      <c r="FC74" s="39" t="str">
        <f t="shared" si="327"/>
        <v>-</v>
      </c>
      <c r="FD74" s="39" t="str">
        <f t="shared" si="328"/>
        <v>-</v>
      </c>
      <c r="FE74" s="39" t="str">
        <f t="shared" si="329"/>
        <v>-</v>
      </c>
      <c r="FF74" s="39" t="str">
        <f t="shared" si="330"/>
        <v>-</v>
      </c>
      <c r="FG74" s="39" t="str">
        <f t="shared" si="331"/>
        <v>-</v>
      </c>
      <c r="FH74" s="39" t="str">
        <f t="shared" si="332"/>
        <v>-</v>
      </c>
      <c r="FI74" s="39" t="str">
        <f t="shared" si="333"/>
        <v>-</v>
      </c>
      <c r="FJ74" s="39" t="str">
        <f t="shared" si="334"/>
        <v>-</v>
      </c>
      <c r="FK74" s="39" t="str">
        <f t="shared" si="335"/>
        <v>-</v>
      </c>
      <c r="FL74" s="39" t="str">
        <f t="shared" si="336"/>
        <v>-</v>
      </c>
      <c r="FM74" s="39" t="str">
        <f t="shared" si="337"/>
        <v>-</v>
      </c>
      <c r="FN74" s="39" t="str">
        <f t="shared" si="338"/>
        <v>-</v>
      </c>
      <c r="FO74" s="39" t="str">
        <f t="shared" si="339"/>
        <v>-</v>
      </c>
      <c r="FP74" s="39" t="str">
        <f t="shared" si="340"/>
        <v>-</v>
      </c>
      <c r="FQ74" s="39" t="str">
        <f t="shared" si="341"/>
        <v>-</v>
      </c>
      <c r="FR74" s="39" t="str">
        <f t="shared" si="342"/>
        <v>-</v>
      </c>
      <c r="FS74" s="39" t="str">
        <f t="shared" si="343"/>
        <v>-</v>
      </c>
      <c r="FT74" s="39" t="str">
        <f t="shared" si="344"/>
        <v>-</v>
      </c>
      <c r="FU74" s="39" t="str">
        <f t="shared" si="345"/>
        <v>-</v>
      </c>
      <c r="FV74" s="39" t="str">
        <f t="shared" si="346"/>
        <v>-</v>
      </c>
      <c r="FW74" s="39" t="str">
        <f t="shared" si="347"/>
        <v>-</v>
      </c>
      <c r="FX74" s="39" t="str">
        <f t="shared" si="348"/>
        <v>-</v>
      </c>
      <c r="FY74" s="39" t="str">
        <f t="shared" si="349"/>
        <v>-</v>
      </c>
      <c r="FZ74" s="39" t="str">
        <f t="shared" si="350"/>
        <v>-</v>
      </c>
      <c r="GA74" s="39" t="str">
        <f t="shared" si="351"/>
        <v>-</v>
      </c>
      <c r="GB74" s="39" t="str">
        <f t="shared" si="352"/>
        <v>-</v>
      </c>
      <c r="GC74" s="39" t="str">
        <f t="shared" si="353"/>
        <v>-</v>
      </c>
      <c r="GD74" s="39" t="str">
        <f t="shared" si="354"/>
        <v>-</v>
      </c>
      <c r="GE74" s="39" t="str">
        <f t="shared" si="355"/>
        <v>-</v>
      </c>
      <c r="GF74" s="39" t="str">
        <f t="shared" si="356"/>
        <v>-</v>
      </c>
      <c r="GG74" s="39" t="str">
        <f t="shared" si="357"/>
        <v>-</v>
      </c>
      <c r="GH74" s="39" t="str">
        <f t="shared" si="358"/>
        <v>-</v>
      </c>
      <c r="GI74" s="39" t="str">
        <f t="shared" si="359"/>
        <v>-</v>
      </c>
      <c r="GJ74" s="39" t="str">
        <f t="shared" si="360"/>
        <v>-</v>
      </c>
      <c r="GK74" s="39" t="str">
        <f t="shared" si="361"/>
        <v>-</v>
      </c>
      <c r="GL74" s="39" t="str">
        <f t="shared" si="362"/>
        <v>-</v>
      </c>
      <c r="GM74" s="39" t="str">
        <f t="shared" si="363"/>
        <v>-</v>
      </c>
      <c r="GN74" s="39" t="str">
        <f t="shared" si="364"/>
        <v>-</v>
      </c>
      <c r="GO74" s="39" t="str">
        <f t="shared" si="365"/>
        <v>-</v>
      </c>
      <c r="GP74" s="39" t="str">
        <f t="shared" si="366"/>
        <v>-</v>
      </c>
      <c r="GQ74" s="39" t="str">
        <f t="shared" si="367"/>
        <v>-</v>
      </c>
      <c r="GR74" s="39" t="str">
        <f t="shared" si="368"/>
        <v>-</v>
      </c>
      <c r="GS74" s="39" t="str">
        <f t="shared" si="369"/>
        <v>-</v>
      </c>
      <c r="GT74" s="39" t="str">
        <f t="shared" si="370"/>
        <v>-</v>
      </c>
      <c r="GU74" s="39" t="str">
        <f t="shared" si="371"/>
        <v>-</v>
      </c>
      <c r="GV74" s="39" t="str">
        <f t="shared" si="372"/>
        <v>-</v>
      </c>
      <c r="GW74" s="39" t="str">
        <f t="shared" si="373"/>
        <v>-</v>
      </c>
      <c r="GX74" s="39" t="str">
        <f t="shared" si="374"/>
        <v>-</v>
      </c>
      <c r="GY74" s="39" t="str">
        <f t="shared" si="375"/>
        <v>-</v>
      </c>
      <c r="GZ74" s="39" t="str">
        <f t="shared" si="376"/>
        <v>-</v>
      </c>
      <c r="HA74" s="39" t="str">
        <f t="shared" si="377"/>
        <v>-</v>
      </c>
      <c r="HB74" s="39" t="str">
        <f t="shared" si="378"/>
        <v>-</v>
      </c>
      <c r="HC74" s="39" t="str">
        <f t="shared" si="379"/>
        <v>-</v>
      </c>
      <c r="HD74" s="39" t="str">
        <f t="shared" si="380"/>
        <v>-</v>
      </c>
      <c r="HE74" s="39" t="str">
        <f t="shared" si="381"/>
        <v>-</v>
      </c>
      <c r="HF74" s="39" t="str">
        <f t="shared" si="382"/>
        <v>-</v>
      </c>
      <c r="HG74" s="39" t="str">
        <f t="shared" si="383"/>
        <v>-</v>
      </c>
      <c r="HH74" s="39" t="str">
        <f t="shared" si="384"/>
        <v>-</v>
      </c>
      <c r="HI74" s="39" t="str">
        <f t="shared" si="385"/>
        <v>-</v>
      </c>
      <c r="HJ74" s="39" t="str">
        <f t="shared" si="386"/>
        <v>-</v>
      </c>
      <c r="HK74" s="39" t="str">
        <f t="shared" si="387"/>
        <v>-</v>
      </c>
      <c r="HL74" s="39" t="str">
        <f t="shared" si="388"/>
        <v>-</v>
      </c>
      <c r="HM74" s="39" t="str">
        <f t="shared" si="389"/>
        <v>-</v>
      </c>
      <c r="HN74" s="39" t="str">
        <f t="shared" si="390"/>
        <v>-</v>
      </c>
      <c r="HO74" s="39" t="str">
        <f t="shared" si="391"/>
        <v>-</v>
      </c>
      <c r="HP74" s="39" t="str">
        <f t="shared" si="392"/>
        <v>-</v>
      </c>
      <c r="HQ74" s="39" t="str">
        <f t="shared" si="393"/>
        <v>-</v>
      </c>
      <c r="HR74" s="39" t="str">
        <f t="shared" si="394"/>
        <v>-</v>
      </c>
      <c r="HS74" s="39" t="str">
        <f t="shared" si="395"/>
        <v>-</v>
      </c>
      <c r="HT74" s="39" t="str">
        <f t="shared" si="395"/>
        <v>-</v>
      </c>
      <c r="HU74" s="43" t="str">
        <f t="shared" si="414"/>
        <v>-</v>
      </c>
      <c r="HV74" s="44" t="str">
        <f t="shared" si="396"/>
        <v/>
      </c>
      <c r="HW74" s="45" t="str">
        <f t="shared" si="397"/>
        <v/>
      </c>
      <c r="HX74" s="48" t="str">
        <f t="shared" si="415"/>
        <v/>
      </c>
      <c r="HY74" s="48" t="str">
        <f t="shared" si="398"/>
        <v/>
      </c>
      <c r="HZ74" s="48" t="str">
        <f t="shared" si="399"/>
        <v/>
      </c>
      <c r="IA74" s="47" t="str">
        <f t="shared" si="400"/>
        <v/>
      </c>
      <c r="IB74" s="48" t="str">
        <f t="shared" si="401"/>
        <v/>
      </c>
      <c r="IC74" s="49" t="str">
        <f t="shared" si="402"/>
        <v/>
      </c>
      <c r="ID74" s="47" t="str">
        <f t="shared" si="403"/>
        <v/>
      </c>
      <c r="IE74" s="48" t="str">
        <f t="shared" si="404"/>
        <v/>
      </c>
      <c r="IF74" s="49" t="str">
        <f t="shared" si="405"/>
        <v/>
      </c>
      <c r="IH74" s="66">
        <v>74</v>
      </c>
      <c r="II74" s="66" t="e">
        <f t="shared" ca="1" si="407"/>
        <v>#N/A</v>
      </c>
      <c r="IJ74" s="66" t="e">
        <f t="shared" ca="1" si="408"/>
        <v>#N/A</v>
      </c>
      <c r="IK74" s="66" t="e">
        <f t="shared" ca="1" si="409"/>
        <v>#N/A</v>
      </c>
      <c r="IL74" s="66" t="e">
        <f t="shared" ca="1" si="410"/>
        <v>#N/A</v>
      </c>
      <c r="IM74" s="33"/>
      <c r="IN74" s="74" t="e">
        <f t="shared" ca="1" si="416"/>
        <v>#N/A</v>
      </c>
      <c r="IO74" s="75" t="e">
        <f t="shared" ca="1" si="417"/>
        <v>#N/A</v>
      </c>
      <c r="IP74" s="75" t="e">
        <f t="shared" ca="1" si="418"/>
        <v>#N/A</v>
      </c>
      <c r="IQ74" s="74" t="e">
        <f t="shared" ca="1" si="419"/>
        <v>#N/A</v>
      </c>
      <c r="IR74" s="74" t="e">
        <f t="shared" ca="1" si="420"/>
        <v>#N/A</v>
      </c>
    </row>
    <row r="75" spans="1:252" s="1" customFormat="1" x14ac:dyDescent="0.35">
      <c r="A75" s="33">
        <v>0</v>
      </c>
      <c r="B75" s="33">
        <v>1</v>
      </c>
      <c r="C75" s="33">
        <v>1</v>
      </c>
      <c r="E75" s="4"/>
      <c r="F75" t="s">
        <v>340</v>
      </c>
      <c r="G75" s="5" t="s">
        <v>540</v>
      </c>
      <c r="H75" s="4" t="s">
        <v>535</v>
      </c>
      <c r="I75" s="8" t="s">
        <v>536</v>
      </c>
      <c r="J75" s="276" t="s">
        <v>805</v>
      </c>
      <c r="K75" s="111" t="s">
        <v>805</v>
      </c>
      <c r="L75" s="111" t="s">
        <v>805</v>
      </c>
      <c r="M75" s="111" t="s">
        <v>805</v>
      </c>
      <c r="N75" s="111" t="s">
        <v>805</v>
      </c>
      <c r="O75" s="111" t="s">
        <v>805</v>
      </c>
      <c r="P75" s="111" t="s">
        <v>805</v>
      </c>
      <c r="Q75" s="111" t="s">
        <v>805</v>
      </c>
      <c r="R75" s="111" t="s">
        <v>805</v>
      </c>
      <c r="S75" s="111" t="s">
        <v>805</v>
      </c>
      <c r="T75" s="111" t="s">
        <v>805</v>
      </c>
      <c r="U75" s="111" t="s">
        <v>805</v>
      </c>
      <c r="V75" s="111" t="s">
        <v>805</v>
      </c>
      <c r="W75" s="111" t="s">
        <v>805</v>
      </c>
      <c r="X75" s="111" t="s">
        <v>805</v>
      </c>
      <c r="Y75" s="111" t="s">
        <v>805</v>
      </c>
      <c r="Z75" s="111" t="s">
        <v>805</v>
      </c>
      <c r="AA75" s="111" t="s">
        <v>805</v>
      </c>
      <c r="AB75" s="111" t="s">
        <v>805</v>
      </c>
      <c r="AC75" s="111" t="s">
        <v>805</v>
      </c>
      <c r="AD75" s="111" t="s">
        <v>805</v>
      </c>
      <c r="AE75" s="111" t="s">
        <v>805</v>
      </c>
      <c r="AF75" s="111" t="s">
        <v>805</v>
      </c>
      <c r="AG75" s="111" t="s">
        <v>805</v>
      </c>
      <c r="AH75" s="111" t="s">
        <v>805</v>
      </c>
      <c r="AI75" s="111" t="s">
        <v>805</v>
      </c>
      <c r="AJ75" s="111" t="s">
        <v>805</v>
      </c>
      <c r="AK75" s="111" t="s">
        <v>805</v>
      </c>
      <c r="AL75" s="111" t="s">
        <v>805</v>
      </c>
      <c r="AM75" s="111" t="s">
        <v>805</v>
      </c>
      <c r="AN75" s="111" t="s">
        <v>805</v>
      </c>
      <c r="AO75" s="111" t="s">
        <v>805</v>
      </c>
      <c r="AP75" s="111" t="s">
        <v>805</v>
      </c>
      <c r="AQ75" s="111" t="s">
        <v>805</v>
      </c>
      <c r="AR75" s="111" t="s">
        <v>805</v>
      </c>
      <c r="AS75" s="111" t="s">
        <v>805</v>
      </c>
      <c r="AT75" s="111" t="s">
        <v>805</v>
      </c>
      <c r="AU75" s="111" t="s">
        <v>805</v>
      </c>
      <c r="AV75" s="111" t="s">
        <v>805</v>
      </c>
      <c r="AW75" s="111" t="s">
        <v>805</v>
      </c>
      <c r="AX75" s="111" t="s">
        <v>805</v>
      </c>
      <c r="AY75" s="111" t="s">
        <v>805</v>
      </c>
      <c r="AZ75" s="111" t="s">
        <v>805</v>
      </c>
      <c r="BA75" s="111" t="s">
        <v>805</v>
      </c>
      <c r="BB75" s="111" t="s">
        <v>805</v>
      </c>
      <c r="BC75" s="111" t="s">
        <v>805</v>
      </c>
      <c r="BD75" s="111" t="s">
        <v>805</v>
      </c>
      <c r="BE75" s="111" t="s">
        <v>805</v>
      </c>
      <c r="BF75" s="111" t="s">
        <v>805</v>
      </c>
      <c r="BG75" s="111" t="s">
        <v>805</v>
      </c>
      <c r="BH75" s="111" t="s">
        <v>805</v>
      </c>
      <c r="BI75" s="111" t="s">
        <v>805</v>
      </c>
      <c r="BJ75" s="111" t="s">
        <v>805</v>
      </c>
      <c r="BK75" s="111" t="s">
        <v>805</v>
      </c>
      <c r="BL75" s="111" t="s">
        <v>805</v>
      </c>
      <c r="BM75" s="111" t="s">
        <v>805</v>
      </c>
      <c r="BN75" s="111" t="s">
        <v>805</v>
      </c>
      <c r="BO75" s="111" t="s">
        <v>805</v>
      </c>
      <c r="BP75" s="111" t="s">
        <v>805</v>
      </c>
      <c r="BQ75" s="111" t="s">
        <v>805</v>
      </c>
      <c r="BR75" s="111" t="s">
        <v>805</v>
      </c>
      <c r="BS75" s="111" t="s">
        <v>805</v>
      </c>
      <c r="BT75" s="111" t="s">
        <v>805</v>
      </c>
      <c r="BU75" s="111" t="s">
        <v>805</v>
      </c>
      <c r="BV75" s="111" t="s">
        <v>805</v>
      </c>
      <c r="BW75" s="111" t="s">
        <v>805</v>
      </c>
      <c r="BX75" s="111" t="s">
        <v>805</v>
      </c>
      <c r="BY75" s="111" t="s">
        <v>805</v>
      </c>
      <c r="BZ75" s="111" t="s">
        <v>805</v>
      </c>
      <c r="CA75" s="111" t="s">
        <v>805</v>
      </c>
      <c r="CB75" s="111" t="s">
        <v>805</v>
      </c>
      <c r="CC75" s="111" t="s">
        <v>805</v>
      </c>
      <c r="CD75" s="111" t="s">
        <v>805</v>
      </c>
      <c r="CE75" s="111" t="s">
        <v>805</v>
      </c>
      <c r="CF75" s="111" t="s">
        <v>805</v>
      </c>
      <c r="CG75" s="111" t="s">
        <v>805</v>
      </c>
      <c r="CH75" s="111" t="s">
        <v>805</v>
      </c>
      <c r="CI75" s="111" t="s">
        <v>805</v>
      </c>
      <c r="CJ75" s="111" t="s">
        <v>805</v>
      </c>
      <c r="CK75" s="111" t="s">
        <v>805</v>
      </c>
      <c r="CL75" s="111" t="s">
        <v>805</v>
      </c>
      <c r="CM75" s="111" t="s">
        <v>805</v>
      </c>
      <c r="CN75" s="111" t="s">
        <v>805</v>
      </c>
      <c r="CO75" s="111" t="s">
        <v>805</v>
      </c>
      <c r="CP75" s="111" t="s">
        <v>805</v>
      </c>
      <c r="CQ75" s="111" t="s">
        <v>805</v>
      </c>
      <c r="CR75" s="111" t="s">
        <v>805</v>
      </c>
      <c r="CS75" s="111" t="s">
        <v>805</v>
      </c>
      <c r="CT75" s="111" t="s">
        <v>805</v>
      </c>
      <c r="CU75" s="111" t="s">
        <v>805</v>
      </c>
      <c r="CV75" s="111" t="s">
        <v>805</v>
      </c>
      <c r="CW75" s="111" t="s">
        <v>805</v>
      </c>
      <c r="CX75" s="111" t="s">
        <v>805</v>
      </c>
      <c r="CY75" s="111" t="s">
        <v>805</v>
      </c>
      <c r="CZ75" s="111" t="s">
        <v>805</v>
      </c>
      <c r="DA75" s="111" t="s">
        <v>805</v>
      </c>
      <c r="DB75" s="111" t="s">
        <v>805</v>
      </c>
      <c r="DC75" s="111" t="s">
        <v>805</v>
      </c>
      <c r="DD75" s="111" t="s">
        <v>805</v>
      </c>
      <c r="DE75" s="111" t="s">
        <v>805</v>
      </c>
      <c r="DF75" s="111" t="s">
        <v>805</v>
      </c>
      <c r="DG75" s="28">
        <f>'KPI Count-SHARE'!J68</f>
        <v>0</v>
      </c>
      <c r="DH75" s="115"/>
      <c r="DI75" s="115"/>
      <c r="DJ75" s="115"/>
      <c r="DK75" s="28">
        <f>'KPI Count-SHARE'!K68</f>
        <v>0</v>
      </c>
      <c r="DL75" s="111"/>
      <c r="DM75" s="111"/>
      <c r="DN75" s="111"/>
      <c r="DO75" s="28">
        <f>'KPI Count-SHARE'!L68</f>
        <v>0</v>
      </c>
      <c r="DP75" s="111"/>
      <c r="DQ75" s="111"/>
      <c r="DR75" s="111"/>
      <c r="DS75" s="28">
        <f>'KPI Count-SHARE'!M68</f>
        <v>0</v>
      </c>
      <c r="DT75" s="111"/>
      <c r="DU75" s="111"/>
      <c r="DV75" s="111"/>
      <c r="DW75" s="30" t="str">
        <f t="shared" si="421"/>
        <v>USD '000 per FTE</v>
      </c>
      <c r="DX75" s="39" t="str">
        <f t="shared" si="310"/>
        <v>-</v>
      </c>
      <c r="DY75" s="39" t="str">
        <f t="shared" si="311"/>
        <v>-</v>
      </c>
      <c r="DZ75" s="39" t="str">
        <f t="shared" si="312"/>
        <v>-</v>
      </c>
      <c r="EA75" s="39" t="str">
        <f t="shared" si="411"/>
        <v>-</v>
      </c>
      <c r="EB75" s="39" t="str">
        <f t="shared" si="412"/>
        <v>-</v>
      </c>
      <c r="EC75" s="39" t="str">
        <f t="shared" si="413"/>
        <v>-</v>
      </c>
      <c r="ED75" s="39" t="str">
        <f t="shared" si="313"/>
        <v>-</v>
      </c>
      <c r="EE75" s="39" t="str">
        <f t="shared" si="314"/>
        <v>-</v>
      </c>
      <c r="EF75" s="39" t="str">
        <f t="shared" si="315"/>
        <v>-</v>
      </c>
      <c r="EG75" s="39" t="str">
        <f t="shared" si="316"/>
        <v>-</v>
      </c>
      <c r="EH75" s="39" t="str">
        <f t="shared" si="317"/>
        <v>-</v>
      </c>
      <c r="EI75" s="39" t="str">
        <f t="shared" si="406"/>
        <v>-</v>
      </c>
      <c r="EJ75" s="39" t="str">
        <f t="shared" si="406"/>
        <v>-</v>
      </c>
      <c r="EK75" s="39" t="str">
        <f t="shared" si="406"/>
        <v>-</v>
      </c>
      <c r="EL75" s="39" t="str">
        <f t="shared" si="406"/>
        <v>-</v>
      </c>
      <c r="EM75" s="39" t="str">
        <f t="shared" si="406"/>
        <v>-</v>
      </c>
      <c r="EN75" s="39" t="str">
        <f t="shared" si="406"/>
        <v>-</v>
      </c>
      <c r="EO75" s="39" t="str">
        <f t="shared" si="406"/>
        <v>-</v>
      </c>
      <c r="EP75" s="39" t="str">
        <f t="shared" si="406"/>
        <v>-</v>
      </c>
      <c r="EQ75" s="39" t="str">
        <f t="shared" si="406"/>
        <v>-</v>
      </c>
      <c r="ER75" s="39" t="str">
        <f t="shared" si="406"/>
        <v>-</v>
      </c>
      <c r="ES75" s="39" t="str">
        <f t="shared" si="406"/>
        <v>-</v>
      </c>
      <c r="ET75" s="39" t="str">
        <f t="shared" si="406"/>
        <v>-</v>
      </c>
      <c r="EU75" s="39" t="str">
        <f t="shared" si="319"/>
        <v>-</v>
      </c>
      <c r="EV75" s="39" t="str">
        <f t="shared" si="320"/>
        <v>-</v>
      </c>
      <c r="EW75" s="39" t="str">
        <f t="shared" si="321"/>
        <v>-</v>
      </c>
      <c r="EX75" s="39" t="str">
        <f t="shared" si="322"/>
        <v>-</v>
      </c>
      <c r="EY75" s="39" t="str">
        <f t="shared" si="323"/>
        <v>-</v>
      </c>
      <c r="EZ75" s="39" t="str">
        <f t="shared" si="324"/>
        <v>-</v>
      </c>
      <c r="FA75" s="39" t="str">
        <f t="shared" si="325"/>
        <v>-</v>
      </c>
      <c r="FB75" s="39" t="str">
        <f t="shared" si="326"/>
        <v>-</v>
      </c>
      <c r="FC75" s="39" t="str">
        <f t="shared" si="327"/>
        <v>-</v>
      </c>
      <c r="FD75" s="39" t="str">
        <f t="shared" si="328"/>
        <v>-</v>
      </c>
      <c r="FE75" s="39" t="str">
        <f t="shared" si="329"/>
        <v>-</v>
      </c>
      <c r="FF75" s="39" t="str">
        <f t="shared" si="330"/>
        <v>-</v>
      </c>
      <c r="FG75" s="39" t="str">
        <f t="shared" si="331"/>
        <v>-</v>
      </c>
      <c r="FH75" s="39" t="str">
        <f t="shared" si="332"/>
        <v>-</v>
      </c>
      <c r="FI75" s="39" t="str">
        <f t="shared" si="333"/>
        <v>-</v>
      </c>
      <c r="FJ75" s="39" t="str">
        <f t="shared" si="334"/>
        <v>-</v>
      </c>
      <c r="FK75" s="39" t="str">
        <f t="shared" si="335"/>
        <v>-</v>
      </c>
      <c r="FL75" s="39" t="str">
        <f t="shared" si="336"/>
        <v>-</v>
      </c>
      <c r="FM75" s="39" t="str">
        <f t="shared" si="337"/>
        <v>-</v>
      </c>
      <c r="FN75" s="39" t="str">
        <f t="shared" si="338"/>
        <v>-</v>
      </c>
      <c r="FO75" s="39" t="str">
        <f t="shared" si="339"/>
        <v>-</v>
      </c>
      <c r="FP75" s="39" t="str">
        <f t="shared" si="340"/>
        <v>-</v>
      </c>
      <c r="FQ75" s="39" t="str">
        <f t="shared" si="341"/>
        <v>-</v>
      </c>
      <c r="FR75" s="39" t="str">
        <f t="shared" si="342"/>
        <v>-</v>
      </c>
      <c r="FS75" s="39" t="str">
        <f t="shared" si="343"/>
        <v>-</v>
      </c>
      <c r="FT75" s="39" t="str">
        <f t="shared" si="344"/>
        <v>-</v>
      </c>
      <c r="FU75" s="39" t="str">
        <f t="shared" si="345"/>
        <v>-</v>
      </c>
      <c r="FV75" s="39" t="str">
        <f t="shared" si="346"/>
        <v>-</v>
      </c>
      <c r="FW75" s="39" t="str">
        <f t="shared" si="347"/>
        <v>-</v>
      </c>
      <c r="FX75" s="39" t="str">
        <f t="shared" si="348"/>
        <v>-</v>
      </c>
      <c r="FY75" s="39" t="str">
        <f t="shared" si="349"/>
        <v>-</v>
      </c>
      <c r="FZ75" s="39" t="str">
        <f t="shared" si="350"/>
        <v>-</v>
      </c>
      <c r="GA75" s="39" t="str">
        <f t="shared" si="351"/>
        <v>-</v>
      </c>
      <c r="GB75" s="39" t="str">
        <f t="shared" si="352"/>
        <v>-</v>
      </c>
      <c r="GC75" s="39" t="str">
        <f t="shared" si="353"/>
        <v>-</v>
      </c>
      <c r="GD75" s="39" t="str">
        <f t="shared" si="354"/>
        <v>-</v>
      </c>
      <c r="GE75" s="39" t="str">
        <f t="shared" si="355"/>
        <v>-</v>
      </c>
      <c r="GF75" s="39" t="str">
        <f t="shared" si="356"/>
        <v>-</v>
      </c>
      <c r="GG75" s="39" t="str">
        <f t="shared" si="357"/>
        <v>-</v>
      </c>
      <c r="GH75" s="39" t="str">
        <f t="shared" si="358"/>
        <v>-</v>
      </c>
      <c r="GI75" s="39" t="str">
        <f t="shared" si="359"/>
        <v>-</v>
      </c>
      <c r="GJ75" s="39" t="str">
        <f t="shared" si="360"/>
        <v>-</v>
      </c>
      <c r="GK75" s="39" t="str">
        <f t="shared" si="361"/>
        <v>-</v>
      </c>
      <c r="GL75" s="39" t="str">
        <f t="shared" si="362"/>
        <v>-</v>
      </c>
      <c r="GM75" s="39" t="str">
        <f t="shared" si="363"/>
        <v>-</v>
      </c>
      <c r="GN75" s="39" t="str">
        <f t="shared" si="364"/>
        <v>-</v>
      </c>
      <c r="GO75" s="39" t="str">
        <f t="shared" si="365"/>
        <v>-</v>
      </c>
      <c r="GP75" s="39" t="str">
        <f t="shared" si="366"/>
        <v>-</v>
      </c>
      <c r="GQ75" s="39" t="str">
        <f t="shared" si="367"/>
        <v>-</v>
      </c>
      <c r="GR75" s="39" t="str">
        <f t="shared" si="368"/>
        <v>-</v>
      </c>
      <c r="GS75" s="39" t="str">
        <f t="shared" si="369"/>
        <v>-</v>
      </c>
      <c r="GT75" s="39" t="str">
        <f t="shared" si="370"/>
        <v>-</v>
      </c>
      <c r="GU75" s="39" t="str">
        <f t="shared" si="371"/>
        <v>-</v>
      </c>
      <c r="GV75" s="39" t="str">
        <f t="shared" si="372"/>
        <v>-</v>
      </c>
      <c r="GW75" s="39" t="str">
        <f t="shared" si="373"/>
        <v>-</v>
      </c>
      <c r="GX75" s="39" t="str">
        <f t="shared" si="374"/>
        <v>-</v>
      </c>
      <c r="GY75" s="39" t="str">
        <f t="shared" si="375"/>
        <v>-</v>
      </c>
      <c r="GZ75" s="39" t="str">
        <f t="shared" si="376"/>
        <v>-</v>
      </c>
      <c r="HA75" s="39" t="str">
        <f t="shared" si="377"/>
        <v>-</v>
      </c>
      <c r="HB75" s="39" t="str">
        <f t="shared" si="378"/>
        <v>-</v>
      </c>
      <c r="HC75" s="39" t="str">
        <f t="shared" si="379"/>
        <v>-</v>
      </c>
      <c r="HD75" s="39" t="str">
        <f t="shared" si="380"/>
        <v>-</v>
      </c>
      <c r="HE75" s="39" t="str">
        <f t="shared" si="381"/>
        <v>-</v>
      </c>
      <c r="HF75" s="39" t="str">
        <f t="shared" si="382"/>
        <v>-</v>
      </c>
      <c r="HG75" s="39" t="str">
        <f t="shared" si="383"/>
        <v>-</v>
      </c>
      <c r="HH75" s="39" t="str">
        <f t="shared" si="384"/>
        <v>-</v>
      </c>
      <c r="HI75" s="39" t="str">
        <f t="shared" si="385"/>
        <v>-</v>
      </c>
      <c r="HJ75" s="39" t="str">
        <f t="shared" si="386"/>
        <v>-</v>
      </c>
      <c r="HK75" s="39" t="str">
        <f t="shared" si="387"/>
        <v>-</v>
      </c>
      <c r="HL75" s="39" t="str">
        <f t="shared" si="388"/>
        <v>-</v>
      </c>
      <c r="HM75" s="39" t="str">
        <f t="shared" si="389"/>
        <v>-</v>
      </c>
      <c r="HN75" s="39" t="str">
        <f t="shared" si="390"/>
        <v>-</v>
      </c>
      <c r="HO75" s="39" t="str">
        <f t="shared" si="391"/>
        <v>-</v>
      </c>
      <c r="HP75" s="39" t="str">
        <f t="shared" si="392"/>
        <v>-</v>
      </c>
      <c r="HQ75" s="39" t="str">
        <f t="shared" si="393"/>
        <v>-</v>
      </c>
      <c r="HR75" s="39" t="str">
        <f t="shared" si="394"/>
        <v>-</v>
      </c>
      <c r="HS75" s="39" t="str">
        <f t="shared" si="395"/>
        <v>-</v>
      </c>
      <c r="HT75" s="39" t="str">
        <f t="shared" si="395"/>
        <v>-</v>
      </c>
      <c r="HU75" s="43" t="str">
        <f t="shared" si="414"/>
        <v>-</v>
      </c>
      <c r="HV75" s="44" t="str">
        <f t="shared" si="396"/>
        <v/>
      </c>
      <c r="HW75" s="45" t="str">
        <f t="shared" si="397"/>
        <v/>
      </c>
      <c r="HX75" s="99" t="str">
        <f t="shared" si="415"/>
        <v/>
      </c>
      <c r="HY75" s="99" t="str">
        <f t="shared" si="398"/>
        <v/>
      </c>
      <c r="HZ75" s="99" t="str">
        <f t="shared" si="399"/>
        <v/>
      </c>
      <c r="IA75" s="98" t="str">
        <f t="shared" si="400"/>
        <v/>
      </c>
      <c r="IB75" s="99" t="str">
        <f t="shared" si="401"/>
        <v/>
      </c>
      <c r="IC75" s="100" t="str">
        <f t="shared" si="402"/>
        <v/>
      </c>
      <c r="ID75" s="98" t="str">
        <f t="shared" si="403"/>
        <v/>
      </c>
      <c r="IE75" s="99" t="str">
        <f t="shared" si="404"/>
        <v/>
      </c>
      <c r="IF75" s="100" t="str">
        <f t="shared" si="405"/>
        <v/>
      </c>
      <c r="IH75" s="66">
        <v>75</v>
      </c>
      <c r="II75" s="66" t="e">
        <f t="shared" ca="1" si="407"/>
        <v>#N/A</v>
      </c>
      <c r="IJ75" s="66" t="e">
        <f t="shared" ca="1" si="408"/>
        <v>#N/A</v>
      </c>
      <c r="IK75" s="66" t="e">
        <f t="shared" ca="1" si="409"/>
        <v>#N/A</v>
      </c>
      <c r="IL75" s="66" t="e">
        <f t="shared" ca="1" si="410"/>
        <v>#N/A</v>
      </c>
      <c r="IM75" s="33"/>
      <c r="IN75" s="74" t="e">
        <f t="shared" ca="1" si="416"/>
        <v>#N/A</v>
      </c>
      <c r="IO75" s="75" t="e">
        <f t="shared" ca="1" si="417"/>
        <v>#N/A</v>
      </c>
      <c r="IP75" s="75" t="e">
        <f t="shared" ca="1" si="418"/>
        <v>#N/A</v>
      </c>
      <c r="IQ75" s="74" t="e">
        <f t="shared" ca="1" si="419"/>
        <v>#N/A</v>
      </c>
      <c r="IR75" s="74" t="e">
        <f t="shared" ca="1" si="420"/>
        <v>#N/A</v>
      </c>
    </row>
    <row r="76" spans="1:252" s="1" customFormat="1" x14ac:dyDescent="0.35">
      <c r="A76" s="33">
        <v>0</v>
      </c>
      <c r="B76" s="33">
        <v>1</v>
      </c>
      <c r="C76" s="33">
        <v>1</v>
      </c>
      <c r="E76" s="4"/>
      <c r="F76" t="s">
        <v>341</v>
      </c>
      <c r="G76" s="5" t="s">
        <v>540</v>
      </c>
      <c r="H76" s="4" t="s">
        <v>535</v>
      </c>
      <c r="I76" s="8" t="s">
        <v>536</v>
      </c>
      <c r="J76" s="276" t="s">
        <v>805</v>
      </c>
      <c r="K76" s="111" t="s">
        <v>805</v>
      </c>
      <c r="L76" s="111" t="s">
        <v>805</v>
      </c>
      <c r="M76" s="111" t="s">
        <v>805</v>
      </c>
      <c r="N76" s="111" t="s">
        <v>805</v>
      </c>
      <c r="O76" s="111" t="s">
        <v>805</v>
      </c>
      <c r="P76" s="111" t="s">
        <v>805</v>
      </c>
      <c r="Q76" s="111" t="s">
        <v>805</v>
      </c>
      <c r="R76" s="111" t="s">
        <v>805</v>
      </c>
      <c r="S76" s="111" t="s">
        <v>805</v>
      </c>
      <c r="T76" s="111" t="s">
        <v>805</v>
      </c>
      <c r="U76" s="111" t="s">
        <v>805</v>
      </c>
      <c r="V76" s="111" t="s">
        <v>805</v>
      </c>
      <c r="W76" s="111" t="s">
        <v>805</v>
      </c>
      <c r="X76" s="111" t="s">
        <v>805</v>
      </c>
      <c r="Y76" s="111" t="s">
        <v>805</v>
      </c>
      <c r="Z76" s="111" t="s">
        <v>805</v>
      </c>
      <c r="AA76" s="111" t="s">
        <v>805</v>
      </c>
      <c r="AB76" s="111" t="s">
        <v>805</v>
      </c>
      <c r="AC76" s="111" t="s">
        <v>805</v>
      </c>
      <c r="AD76" s="111" t="s">
        <v>805</v>
      </c>
      <c r="AE76" s="111" t="s">
        <v>805</v>
      </c>
      <c r="AF76" s="111" t="s">
        <v>805</v>
      </c>
      <c r="AG76" s="111" t="s">
        <v>805</v>
      </c>
      <c r="AH76" s="111" t="s">
        <v>805</v>
      </c>
      <c r="AI76" s="111" t="s">
        <v>805</v>
      </c>
      <c r="AJ76" s="111" t="s">
        <v>805</v>
      </c>
      <c r="AK76" s="111" t="s">
        <v>805</v>
      </c>
      <c r="AL76" s="111" t="s">
        <v>805</v>
      </c>
      <c r="AM76" s="111" t="s">
        <v>805</v>
      </c>
      <c r="AN76" s="111" t="s">
        <v>805</v>
      </c>
      <c r="AO76" s="111" t="s">
        <v>805</v>
      </c>
      <c r="AP76" s="111" t="s">
        <v>805</v>
      </c>
      <c r="AQ76" s="111" t="s">
        <v>805</v>
      </c>
      <c r="AR76" s="111" t="s">
        <v>805</v>
      </c>
      <c r="AS76" s="111" t="s">
        <v>805</v>
      </c>
      <c r="AT76" s="111" t="s">
        <v>805</v>
      </c>
      <c r="AU76" s="111" t="s">
        <v>805</v>
      </c>
      <c r="AV76" s="111" t="s">
        <v>805</v>
      </c>
      <c r="AW76" s="111" t="s">
        <v>805</v>
      </c>
      <c r="AX76" s="111" t="s">
        <v>805</v>
      </c>
      <c r="AY76" s="111" t="s">
        <v>805</v>
      </c>
      <c r="AZ76" s="111" t="s">
        <v>805</v>
      </c>
      <c r="BA76" s="111" t="s">
        <v>805</v>
      </c>
      <c r="BB76" s="111" t="s">
        <v>805</v>
      </c>
      <c r="BC76" s="111" t="s">
        <v>805</v>
      </c>
      <c r="BD76" s="111" t="s">
        <v>805</v>
      </c>
      <c r="BE76" s="111" t="s">
        <v>805</v>
      </c>
      <c r="BF76" s="111" t="s">
        <v>805</v>
      </c>
      <c r="BG76" s="111" t="s">
        <v>805</v>
      </c>
      <c r="BH76" s="111" t="s">
        <v>805</v>
      </c>
      <c r="BI76" s="111" t="s">
        <v>805</v>
      </c>
      <c r="BJ76" s="111" t="s">
        <v>805</v>
      </c>
      <c r="BK76" s="111" t="s">
        <v>805</v>
      </c>
      <c r="BL76" s="111" t="s">
        <v>805</v>
      </c>
      <c r="BM76" s="111" t="s">
        <v>805</v>
      </c>
      <c r="BN76" s="111" t="s">
        <v>805</v>
      </c>
      <c r="BO76" s="111" t="s">
        <v>805</v>
      </c>
      <c r="BP76" s="111" t="s">
        <v>805</v>
      </c>
      <c r="BQ76" s="111" t="s">
        <v>805</v>
      </c>
      <c r="BR76" s="111" t="s">
        <v>805</v>
      </c>
      <c r="BS76" s="111" t="s">
        <v>805</v>
      </c>
      <c r="BT76" s="111" t="s">
        <v>805</v>
      </c>
      <c r="BU76" s="111" t="s">
        <v>805</v>
      </c>
      <c r="BV76" s="111" t="s">
        <v>805</v>
      </c>
      <c r="BW76" s="111" t="s">
        <v>805</v>
      </c>
      <c r="BX76" s="111" t="s">
        <v>805</v>
      </c>
      <c r="BY76" s="111" t="s">
        <v>805</v>
      </c>
      <c r="BZ76" s="111" t="s">
        <v>805</v>
      </c>
      <c r="CA76" s="111" t="s">
        <v>805</v>
      </c>
      <c r="CB76" s="111" t="s">
        <v>805</v>
      </c>
      <c r="CC76" s="111" t="s">
        <v>805</v>
      </c>
      <c r="CD76" s="111" t="s">
        <v>805</v>
      </c>
      <c r="CE76" s="111" t="s">
        <v>805</v>
      </c>
      <c r="CF76" s="111" t="s">
        <v>805</v>
      </c>
      <c r="CG76" s="111" t="s">
        <v>805</v>
      </c>
      <c r="CH76" s="111" t="s">
        <v>805</v>
      </c>
      <c r="CI76" s="111" t="s">
        <v>805</v>
      </c>
      <c r="CJ76" s="111" t="s">
        <v>805</v>
      </c>
      <c r="CK76" s="111" t="s">
        <v>805</v>
      </c>
      <c r="CL76" s="111" t="s">
        <v>805</v>
      </c>
      <c r="CM76" s="111" t="s">
        <v>805</v>
      </c>
      <c r="CN76" s="111" t="s">
        <v>805</v>
      </c>
      <c r="CO76" s="111" t="s">
        <v>805</v>
      </c>
      <c r="CP76" s="111" t="s">
        <v>805</v>
      </c>
      <c r="CQ76" s="111" t="s">
        <v>805</v>
      </c>
      <c r="CR76" s="111" t="s">
        <v>805</v>
      </c>
      <c r="CS76" s="111" t="s">
        <v>805</v>
      </c>
      <c r="CT76" s="111" t="s">
        <v>805</v>
      </c>
      <c r="CU76" s="111" t="s">
        <v>805</v>
      </c>
      <c r="CV76" s="111" t="s">
        <v>805</v>
      </c>
      <c r="CW76" s="111" t="s">
        <v>805</v>
      </c>
      <c r="CX76" s="111" t="s">
        <v>805</v>
      </c>
      <c r="CY76" s="111" t="s">
        <v>805</v>
      </c>
      <c r="CZ76" s="111" t="s">
        <v>805</v>
      </c>
      <c r="DA76" s="111" t="s">
        <v>805</v>
      </c>
      <c r="DB76" s="111" t="s">
        <v>805</v>
      </c>
      <c r="DC76" s="111" t="s">
        <v>805</v>
      </c>
      <c r="DD76" s="111" t="s">
        <v>805</v>
      </c>
      <c r="DE76" s="111" t="s">
        <v>805</v>
      </c>
      <c r="DF76" s="111" t="s">
        <v>805</v>
      </c>
      <c r="DG76" s="28" t="e">
        <f>'KPI Count-SHARE'!#REF!</f>
        <v>#REF!</v>
      </c>
      <c r="DH76" s="115"/>
      <c r="DI76" s="115"/>
      <c r="DJ76" s="115"/>
      <c r="DK76" s="28" t="e">
        <f>'KPI Count-SHARE'!#REF!</f>
        <v>#REF!</v>
      </c>
      <c r="DL76" s="111"/>
      <c r="DM76" s="111"/>
      <c r="DN76" s="111"/>
      <c r="DO76" s="28" t="e">
        <f>'KPI Count-SHARE'!#REF!</f>
        <v>#REF!</v>
      </c>
      <c r="DP76" s="111"/>
      <c r="DQ76" s="111"/>
      <c r="DR76" s="111"/>
      <c r="DS76" s="28" t="e">
        <f>'KPI Count-SHARE'!#REF!</f>
        <v>#REF!</v>
      </c>
      <c r="DT76" s="111"/>
      <c r="DU76" s="111"/>
      <c r="DV76" s="111"/>
      <c r="DW76" s="30" t="str">
        <f t="shared" si="421"/>
        <v>USD '000 per FTE</v>
      </c>
      <c r="DX76" s="39" t="str">
        <f t="shared" si="310"/>
        <v>-</v>
      </c>
      <c r="DY76" s="39" t="str">
        <f t="shared" si="311"/>
        <v>-</v>
      </c>
      <c r="DZ76" s="39" t="str">
        <f t="shared" si="312"/>
        <v>-</v>
      </c>
      <c r="EA76" s="39" t="str">
        <f t="shared" si="411"/>
        <v>-</v>
      </c>
      <c r="EB76" s="39" t="str">
        <f t="shared" si="412"/>
        <v>-</v>
      </c>
      <c r="EC76" s="39" t="str">
        <f t="shared" si="413"/>
        <v>-</v>
      </c>
      <c r="ED76" s="39" t="str">
        <f t="shared" si="313"/>
        <v>-</v>
      </c>
      <c r="EE76" s="39" t="str">
        <f t="shared" si="314"/>
        <v>-</v>
      </c>
      <c r="EF76" s="39" t="str">
        <f t="shared" si="315"/>
        <v>-</v>
      </c>
      <c r="EG76" s="39" t="str">
        <f t="shared" si="316"/>
        <v>-</v>
      </c>
      <c r="EH76" s="39" t="str">
        <f t="shared" si="317"/>
        <v>-</v>
      </c>
      <c r="EI76" s="39" t="str">
        <f t="shared" si="406"/>
        <v>-</v>
      </c>
      <c r="EJ76" s="39" t="str">
        <f t="shared" si="406"/>
        <v>-</v>
      </c>
      <c r="EK76" s="39" t="str">
        <f t="shared" si="406"/>
        <v>-</v>
      </c>
      <c r="EL76" s="39" t="str">
        <f t="shared" si="406"/>
        <v>-</v>
      </c>
      <c r="EM76" s="39" t="str">
        <f t="shared" si="406"/>
        <v>-</v>
      </c>
      <c r="EN76" s="39" t="str">
        <f t="shared" si="406"/>
        <v>-</v>
      </c>
      <c r="EO76" s="39" t="str">
        <f t="shared" si="406"/>
        <v>-</v>
      </c>
      <c r="EP76" s="39" t="str">
        <f t="shared" si="406"/>
        <v>-</v>
      </c>
      <c r="EQ76" s="39" t="str">
        <f t="shared" si="406"/>
        <v>-</v>
      </c>
      <c r="ER76" s="39" t="str">
        <f t="shared" si="406"/>
        <v>-</v>
      </c>
      <c r="ES76" s="39" t="str">
        <f t="shared" si="406"/>
        <v>-</v>
      </c>
      <c r="ET76" s="39" t="str">
        <f t="shared" si="406"/>
        <v>-</v>
      </c>
      <c r="EU76" s="39" t="str">
        <f t="shared" si="319"/>
        <v>-</v>
      </c>
      <c r="EV76" s="39" t="str">
        <f t="shared" si="320"/>
        <v>-</v>
      </c>
      <c r="EW76" s="39" t="str">
        <f t="shared" si="321"/>
        <v>-</v>
      </c>
      <c r="EX76" s="39" t="str">
        <f t="shared" si="322"/>
        <v>-</v>
      </c>
      <c r="EY76" s="39" t="str">
        <f t="shared" si="323"/>
        <v>-</v>
      </c>
      <c r="EZ76" s="39" t="str">
        <f t="shared" si="324"/>
        <v>-</v>
      </c>
      <c r="FA76" s="39" t="str">
        <f t="shared" si="325"/>
        <v>-</v>
      </c>
      <c r="FB76" s="39" t="str">
        <f t="shared" si="326"/>
        <v>-</v>
      </c>
      <c r="FC76" s="39" t="str">
        <f t="shared" si="327"/>
        <v>-</v>
      </c>
      <c r="FD76" s="39" t="str">
        <f t="shared" si="328"/>
        <v>-</v>
      </c>
      <c r="FE76" s="39" t="str">
        <f t="shared" si="329"/>
        <v>-</v>
      </c>
      <c r="FF76" s="39" t="str">
        <f t="shared" si="330"/>
        <v>-</v>
      </c>
      <c r="FG76" s="39" t="str">
        <f t="shared" si="331"/>
        <v>-</v>
      </c>
      <c r="FH76" s="39" t="str">
        <f t="shared" si="332"/>
        <v>-</v>
      </c>
      <c r="FI76" s="39" t="str">
        <f t="shared" si="333"/>
        <v>-</v>
      </c>
      <c r="FJ76" s="39" t="str">
        <f t="shared" si="334"/>
        <v>-</v>
      </c>
      <c r="FK76" s="39" t="str">
        <f t="shared" si="335"/>
        <v>-</v>
      </c>
      <c r="FL76" s="39" t="str">
        <f t="shared" si="336"/>
        <v>-</v>
      </c>
      <c r="FM76" s="39" t="str">
        <f t="shared" si="337"/>
        <v>-</v>
      </c>
      <c r="FN76" s="39" t="str">
        <f t="shared" si="338"/>
        <v>-</v>
      </c>
      <c r="FO76" s="39" t="str">
        <f t="shared" si="339"/>
        <v>-</v>
      </c>
      <c r="FP76" s="39" t="str">
        <f t="shared" si="340"/>
        <v>-</v>
      </c>
      <c r="FQ76" s="39" t="str">
        <f t="shared" si="341"/>
        <v>-</v>
      </c>
      <c r="FR76" s="39" t="str">
        <f t="shared" si="342"/>
        <v>-</v>
      </c>
      <c r="FS76" s="39" t="str">
        <f t="shared" si="343"/>
        <v>-</v>
      </c>
      <c r="FT76" s="39" t="str">
        <f t="shared" si="344"/>
        <v>-</v>
      </c>
      <c r="FU76" s="39" t="str">
        <f t="shared" si="345"/>
        <v>-</v>
      </c>
      <c r="FV76" s="39" t="str">
        <f t="shared" si="346"/>
        <v>-</v>
      </c>
      <c r="FW76" s="39" t="str">
        <f t="shared" si="347"/>
        <v>-</v>
      </c>
      <c r="FX76" s="39" t="str">
        <f t="shared" si="348"/>
        <v>-</v>
      </c>
      <c r="FY76" s="39" t="str">
        <f t="shared" si="349"/>
        <v>-</v>
      </c>
      <c r="FZ76" s="39" t="str">
        <f t="shared" si="350"/>
        <v>-</v>
      </c>
      <c r="GA76" s="39" t="str">
        <f t="shared" si="351"/>
        <v>-</v>
      </c>
      <c r="GB76" s="39" t="str">
        <f t="shared" si="352"/>
        <v>-</v>
      </c>
      <c r="GC76" s="39" t="str">
        <f t="shared" si="353"/>
        <v>-</v>
      </c>
      <c r="GD76" s="39" t="str">
        <f t="shared" si="354"/>
        <v>-</v>
      </c>
      <c r="GE76" s="39" t="str">
        <f t="shared" si="355"/>
        <v>-</v>
      </c>
      <c r="GF76" s="39" t="str">
        <f t="shared" si="356"/>
        <v>-</v>
      </c>
      <c r="GG76" s="39" t="str">
        <f t="shared" si="357"/>
        <v>-</v>
      </c>
      <c r="GH76" s="39" t="str">
        <f t="shared" si="358"/>
        <v>-</v>
      </c>
      <c r="GI76" s="39" t="str">
        <f t="shared" si="359"/>
        <v>-</v>
      </c>
      <c r="GJ76" s="39" t="str">
        <f t="shared" si="360"/>
        <v>-</v>
      </c>
      <c r="GK76" s="39" t="str">
        <f t="shared" si="361"/>
        <v>-</v>
      </c>
      <c r="GL76" s="39" t="str">
        <f t="shared" si="362"/>
        <v>-</v>
      </c>
      <c r="GM76" s="39" t="str">
        <f t="shared" si="363"/>
        <v>-</v>
      </c>
      <c r="GN76" s="39" t="str">
        <f t="shared" si="364"/>
        <v>-</v>
      </c>
      <c r="GO76" s="39" t="str">
        <f t="shared" si="365"/>
        <v>-</v>
      </c>
      <c r="GP76" s="39" t="str">
        <f t="shared" si="366"/>
        <v>-</v>
      </c>
      <c r="GQ76" s="39" t="str">
        <f t="shared" si="367"/>
        <v>-</v>
      </c>
      <c r="GR76" s="39" t="str">
        <f t="shared" si="368"/>
        <v>-</v>
      </c>
      <c r="GS76" s="39" t="str">
        <f t="shared" si="369"/>
        <v>-</v>
      </c>
      <c r="GT76" s="39" t="str">
        <f t="shared" si="370"/>
        <v>-</v>
      </c>
      <c r="GU76" s="39" t="str">
        <f t="shared" si="371"/>
        <v>-</v>
      </c>
      <c r="GV76" s="39" t="str">
        <f t="shared" si="372"/>
        <v>-</v>
      </c>
      <c r="GW76" s="39" t="str">
        <f t="shared" si="373"/>
        <v>-</v>
      </c>
      <c r="GX76" s="39" t="str">
        <f t="shared" si="374"/>
        <v>-</v>
      </c>
      <c r="GY76" s="39" t="str">
        <f t="shared" si="375"/>
        <v>-</v>
      </c>
      <c r="GZ76" s="39" t="str">
        <f t="shared" si="376"/>
        <v>-</v>
      </c>
      <c r="HA76" s="39" t="str">
        <f t="shared" si="377"/>
        <v>-</v>
      </c>
      <c r="HB76" s="39" t="str">
        <f t="shared" si="378"/>
        <v>-</v>
      </c>
      <c r="HC76" s="39" t="str">
        <f t="shared" si="379"/>
        <v>-</v>
      </c>
      <c r="HD76" s="39" t="str">
        <f t="shared" si="380"/>
        <v>-</v>
      </c>
      <c r="HE76" s="39" t="str">
        <f t="shared" si="381"/>
        <v>-</v>
      </c>
      <c r="HF76" s="39" t="str">
        <f t="shared" si="382"/>
        <v>-</v>
      </c>
      <c r="HG76" s="39" t="str">
        <f t="shared" si="383"/>
        <v>-</v>
      </c>
      <c r="HH76" s="39" t="str">
        <f t="shared" si="384"/>
        <v>-</v>
      </c>
      <c r="HI76" s="39" t="str">
        <f t="shared" si="385"/>
        <v>-</v>
      </c>
      <c r="HJ76" s="39" t="str">
        <f t="shared" si="386"/>
        <v>-</v>
      </c>
      <c r="HK76" s="39" t="str">
        <f t="shared" si="387"/>
        <v>-</v>
      </c>
      <c r="HL76" s="39" t="str">
        <f t="shared" si="388"/>
        <v>-</v>
      </c>
      <c r="HM76" s="39" t="str">
        <f t="shared" si="389"/>
        <v>-</v>
      </c>
      <c r="HN76" s="39" t="str">
        <f t="shared" si="390"/>
        <v>-</v>
      </c>
      <c r="HO76" s="39" t="str">
        <f t="shared" si="391"/>
        <v>-</v>
      </c>
      <c r="HP76" s="39" t="str">
        <f t="shared" si="392"/>
        <v>-</v>
      </c>
      <c r="HQ76" s="39" t="str">
        <f t="shared" si="393"/>
        <v>-</v>
      </c>
      <c r="HR76" s="39" t="str">
        <f t="shared" si="394"/>
        <v>-</v>
      </c>
      <c r="HS76" s="39" t="str">
        <f t="shared" si="395"/>
        <v>-</v>
      </c>
      <c r="HT76" s="39" t="str">
        <f t="shared" si="395"/>
        <v>-</v>
      </c>
      <c r="HU76" s="43" t="str">
        <f t="shared" si="414"/>
        <v>-</v>
      </c>
      <c r="HV76" s="44" t="str">
        <f t="shared" si="396"/>
        <v/>
      </c>
      <c r="HW76" s="45" t="str">
        <f t="shared" si="397"/>
        <v/>
      </c>
      <c r="HX76" s="99" t="str">
        <f t="shared" si="415"/>
        <v/>
      </c>
      <c r="HY76" s="99" t="str">
        <f t="shared" si="398"/>
        <v/>
      </c>
      <c r="HZ76" s="99" t="str">
        <f t="shared" si="399"/>
        <v/>
      </c>
      <c r="IA76" s="98" t="str">
        <f t="shared" si="400"/>
        <v/>
      </c>
      <c r="IB76" s="99" t="str">
        <f t="shared" si="401"/>
        <v/>
      </c>
      <c r="IC76" s="100" t="str">
        <f t="shared" si="402"/>
        <v/>
      </c>
      <c r="ID76" s="98" t="str">
        <f t="shared" si="403"/>
        <v/>
      </c>
      <c r="IE76" s="99" t="str">
        <f t="shared" si="404"/>
        <v/>
      </c>
      <c r="IF76" s="100" t="str">
        <f t="shared" si="405"/>
        <v/>
      </c>
      <c r="IH76" s="66">
        <v>76</v>
      </c>
      <c r="II76" s="66" t="e">
        <f t="shared" ca="1" si="407"/>
        <v>#N/A</v>
      </c>
      <c r="IJ76" s="66" t="e">
        <f t="shared" ca="1" si="408"/>
        <v>#N/A</v>
      </c>
      <c r="IK76" s="66" t="e">
        <f t="shared" ca="1" si="409"/>
        <v>#N/A</v>
      </c>
      <c r="IL76" s="66" t="e">
        <f t="shared" ca="1" si="410"/>
        <v>#N/A</v>
      </c>
      <c r="IM76" s="33"/>
      <c r="IN76" s="74" t="e">
        <f t="shared" ca="1" si="416"/>
        <v>#N/A</v>
      </c>
      <c r="IO76" s="75" t="e">
        <f t="shared" ca="1" si="417"/>
        <v>#N/A</v>
      </c>
      <c r="IP76" s="75" t="e">
        <f t="shared" ca="1" si="418"/>
        <v>#N/A</v>
      </c>
      <c r="IQ76" s="74" t="e">
        <f t="shared" ca="1" si="419"/>
        <v>#N/A</v>
      </c>
      <c r="IR76" s="74" t="e">
        <f t="shared" ca="1" si="420"/>
        <v>#N/A</v>
      </c>
    </row>
    <row r="77" spans="1:252" s="1" customFormat="1" x14ac:dyDescent="0.35">
      <c r="A77" s="33">
        <v>0</v>
      </c>
      <c r="B77" s="33">
        <v>0</v>
      </c>
      <c r="C77" s="33">
        <v>1</v>
      </c>
      <c r="E77" s="4"/>
      <c r="F77" t="s">
        <v>342</v>
      </c>
      <c r="G77" s="5" t="s">
        <v>540</v>
      </c>
      <c r="H77" s="4" t="s">
        <v>535</v>
      </c>
      <c r="I77" s="8" t="s">
        <v>536</v>
      </c>
      <c r="J77" s="276" t="s">
        <v>805</v>
      </c>
      <c r="K77" s="111" t="s">
        <v>805</v>
      </c>
      <c r="L77" s="111" t="s">
        <v>805</v>
      </c>
      <c r="M77" s="111" t="s">
        <v>805</v>
      </c>
      <c r="N77" s="111" t="s">
        <v>805</v>
      </c>
      <c r="O77" s="111" t="s">
        <v>805</v>
      </c>
      <c r="P77" s="111" t="s">
        <v>805</v>
      </c>
      <c r="Q77" s="111" t="s">
        <v>805</v>
      </c>
      <c r="R77" s="111" t="s">
        <v>805</v>
      </c>
      <c r="S77" s="111" t="s">
        <v>805</v>
      </c>
      <c r="T77" s="111" t="s">
        <v>805</v>
      </c>
      <c r="U77" s="111" t="s">
        <v>805</v>
      </c>
      <c r="V77" s="111" t="s">
        <v>805</v>
      </c>
      <c r="W77" s="111" t="s">
        <v>805</v>
      </c>
      <c r="X77" s="111" t="s">
        <v>805</v>
      </c>
      <c r="Y77" s="111" t="s">
        <v>805</v>
      </c>
      <c r="Z77" s="111" t="s">
        <v>805</v>
      </c>
      <c r="AA77" s="111" t="s">
        <v>805</v>
      </c>
      <c r="AB77" s="111" t="s">
        <v>805</v>
      </c>
      <c r="AC77" s="111" t="s">
        <v>805</v>
      </c>
      <c r="AD77" s="111" t="s">
        <v>805</v>
      </c>
      <c r="AE77" s="111" t="s">
        <v>805</v>
      </c>
      <c r="AF77" s="111" t="s">
        <v>805</v>
      </c>
      <c r="AG77" s="111" t="s">
        <v>805</v>
      </c>
      <c r="AH77" s="111" t="s">
        <v>805</v>
      </c>
      <c r="AI77" s="111" t="s">
        <v>805</v>
      </c>
      <c r="AJ77" s="111" t="s">
        <v>805</v>
      </c>
      <c r="AK77" s="111" t="s">
        <v>805</v>
      </c>
      <c r="AL77" s="111" t="s">
        <v>805</v>
      </c>
      <c r="AM77" s="111" t="s">
        <v>805</v>
      </c>
      <c r="AN77" s="111" t="s">
        <v>805</v>
      </c>
      <c r="AO77" s="111" t="s">
        <v>805</v>
      </c>
      <c r="AP77" s="111" t="s">
        <v>805</v>
      </c>
      <c r="AQ77" s="111" t="s">
        <v>805</v>
      </c>
      <c r="AR77" s="111" t="s">
        <v>805</v>
      </c>
      <c r="AS77" s="111" t="s">
        <v>805</v>
      </c>
      <c r="AT77" s="111" t="s">
        <v>805</v>
      </c>
      <c r="AU77" s="111" t="s">
        <v>805</v>
      </c>
      <c r="AV77" s="111" t="s">
        <v>805</v>
      </c>
      <c r="AW77" s="111" t="s">
        <v>805</v>
      </c>
      <c r="AX77" s="111" t="s">
        <v>805</v>
      </c>
      <c r="AY77" s="111" t="s">
        <v>805</v>
      </c>
      <c r="AZ77" s="111" t="s">
        <v>805</v>
      </c>
      <c r="BA77" s="111" t="s">
        <v>805</v>
      </c>
      <c r="BB77" s="111" t="s">
        <v>805</v>
      </c>
      <c r="BC77" s="111" t="s">
        <v>805</v>
      </c>
      <c r="BD77" s="111" t="s">
        <v>805</v>
      </c>
      <c r="BE77" s="111" t="s">
        <v>805</v>
      </c>
      <c r="BF77" s="111" t="s">
        <v>805</v>
      </c>
      <c r="BG77" s="111" t="s">
        <v>805</v>
      </c>
      <c r="BH77" s="111" t="s">
        <v>805</v>
      </c>
      <c r="BI77" s="111" t="s">
        <v>805</v>
      </c>
      <c r="BJ77" s="111" t="s">
        <v>805</v>
      </c>
      <c r="BK77" s="111" t="s">
        <v>805</v>
      </c>
      <c r="BL77" s="111" t="s">
        <v>805</v>
      </c>
      <c r="BM77" s="111" t="s">
        <v>805</v>
      </c>
      <c r="BN77" s="111" t="s">
        <v>805</v>
      </c>
      <c r="BO77" s="111" t="s">
        <v>805</v>
      </c>
      <c r="BP77" s="111" t="s">
        <v>805</v>
      </c>
      <c r="BQ77" s="111" t="s">
        <v>805</v>
      </c>
      <c r="BR77" s="111" t="s">
        <v>805</v>
      </c>
      <c r="BS77" s="111" t="s">
        <v>805</v>
      </c>
      <c r="BT77" s="111" t="s">
        <v>805</v>
      </c>
      <c r="BU77" s="111" t="s">
        <v>805</v>
      </c>
      <c r="BV77" s="111" t="s">
        <v>805</v>
      </c>
      <c r="BW77" s="111" t="s">
        <v>805</v>
      </c>
      <c r="BX77" s="111" t="s">
        <v>805</v>
      </c>
      <c r="BY77" s="111" t="s">
        <v>805</v>
      </c>
      <c r="BZ77" s="111" t="s">
        <v>805</v>
      </c>
      <c r="CA77" s="111" t="s">
        <v>805</v>
      </c>
      <c r="CB77" s="111" t="s">
        <v>805</v>
      </c>
      <c r="CC77" s="111" t="s">
        <v>805</v>
      </c>
      <c r="CD77" s="111" t="s">
        <v>805</v>
      </c>
      <c r="CE77" s="111" t="s">
        <v>805</v>
      </c>
      <c r="CF77" s="111" t="s">
        <v>805</v>
      </c>
      <c r="CG77" s="111" t="s">
        <v>805</v>
      </c>
      <c r="CH77" s="111" t="s">
        <v>805</v>
      </c>
      <c r="CI77" s="111" t="s">
        <v>805</v>
      </c>
      <c r="CJ77" s="111" t="s">
        <v>805</v>
      </c>
      <c r="CK77" s="111" t="s">
        <v>805</v>
      </c>
      <c r="CL77" s="111" t="s">
        <v>805</v>
      </c>
      <c r="CM77" s="111" t="s">
        <v>805</v>
      </c>
      <c r="CN77" s="111" t="s">
        <v>805</v>
      </c>
      <c r="CO77" s="111" t="s">
        <v>805</v>
      </c>
      <c r="CP77" s="111" t="s">
        <v>805</v>
      </c>
      <c r="CQ77" s="111" t="s">
        <v>805</v>
      </c>
      <c r="CR77" s="111" t="s">
        <v>805</v>
      </c>
      <c r="CS77" s="111" t="s">
        <v>805</v>
      </c>
      <c r="CT77" s="111" t="s">
        <v>805</v>
      </c>
      <c r="CU77" s="111" t="s">
        <v>805</v>
      </c>
      <c r="CV77" s="111" t="s">
        <v>805</v>
      </c>
      <c r="CW77" s="111" t="s">
        <v>805</v>
      </c>
      <c r="CX77" s="111" t="s">
        <v>805</v>
      </c>
      <c r="CY77" s="111" t="s">
        <v>805</v>
      </c>
      <c r="CZ77" s="111" t="s">
        <v>805</v>
      </c>
      <c r="DA77" s="111" t="s">
        <v>805</v>
      </c>
      <c r="DB77" s="111" t="s">
        <v>805</v>
      </c>
      <c r="DC77" s="111" t="s">
        <v>805</v>
      </c>
      <c r="DD77" s="111" t="s">
        <v>805</v>
      </c>
      <c r="DE77" s="111" t="s">
        <v>805</v>
      </c>
      <c r="DF77" s="111" t="s">
        <v>805</v>
      </c>
      <c r="DG77" s="28">
        <f>'KPI Count-SHARE'!J69</f>
        <v>0</v>
      </c>
      <c r="DH77" s="115"/>
      <c r="DI77" s="115"/>
      <c r="DJ77" s="115"/>
      <c r="DK77" s="28">
        <f>'KPI Count-SHARE'!K69</f>
        <v>0</v>
      </c>
      <c r="DL77" s="111"/>
      <c r="DM77" s="111"/>
      <c r="DN77" s="111"/>
      <c r="DO77" s="28">
        <f>'KPI Count-SHARE'!L69</f>
        <v>0</v>
      </c>
      <c r="DP77" s="111"/>
      <c r="DQ77" s="111"/>
      <c r="DR77" s="111"/>
      <c r="DS77" s="28">
        <f>'KPI Count-SHARE'!M69</f>
        <v>0</v>
      </c>
      <c r="DT77" s="111"/>
      <c r="DU77" s="111"/>
      <c r="DV77" s="111"/>
      <c r="DW77" s="30" t="str">
        <f t="shared" si="421"/>
        <v>USD '000 per FTE</v>
      </c>
      <c r="DX77" s="39" t="str">
        <f t="shared" si="310"/>
        <v>-</v>
      </c>
      <c r="DY77" s="39" t="str">
        <f t="shared" si="311"/>
        <v>-</v>
      </c>
      <c r="DZ77" s="39" t="str">
        <f t="shared" si="312"/>
        <v>-</v>
      </c>
      <c r="EA77" s="39" t="str">
        <f t="shared" si="411"/>
        <v>-</v>
      </c>
      <c r="EB77" s="39" t="str">
        <f t="shared" si="412"/>
        <v>-</v>
      </c>
      <c r="EC77" s="39" t="str">
        <f t="shared" si="413"/>
        <v>-</v>
      </c>
      <c r="ED77" s="39" t="str">
        <f t="shared" si="313"/>
        <v>-</v>
      </c>
      <c r="EE77" s="39" t="str">
        <f t="shared" si="314"/>
        <v>-</v>
      </c>
      <c r="EF77" s="39" t="str">
        <f t="shared" si="315"/>
        <v>-</v>
      </c>
      <c r="EG77" s="39" t="str">
        <f t="shared" si="316"/>
        <v>-</v>
      </c>
      <c r="EH77" s="39" t="str">
        <f t="shared" si="317"/>
        <v>-</v>
      </c>
      <c r="EI77" s="39" t="str">
        <f t="shared" si="406"/>
        <v>-</v>
      </c>
      <c r="EJ77" s="39" t="str">
        <f t="shared" si="406"/>
        <v>-</v>
      </c>
      <c r="EK77" s="39" t="str">
        <f t="shared" si="406"/>
        <v>-</v>
      </c>
      <c r="EL77" s="39" t="str">
        <f t="shared" si="406"/>
        <v>-</v>
      </c>
      <c r="EM77" s="39" t="str">
        <f t="shared" si="406"/>
        <v>-</v>
      </c>
      <c r="EN77" s="39" t="str">
        <f t="shared" si="406"/>
        <v>-</v>
      </c>
      <c r="EO77" s="39" t="str">
        <f t="shared" si="406"/>
        <v>-</v>
      </c>
      <c r="EP77" s="39" t="str">
        <f t="shared" si="406"/>
        <v>-</v>
      </c>
      <c r="EQ77" s="39" t="str">
        <f t="shared" si="406"/>
        <v>-</v>
      </c>
      <c r="ER77" s="39" t="str">
        <f t="shared" si="406"/>
        <v>-</v>
      </c>
      <c r="ES77" s="39" t="str">
        <f t="shared" si="406"/>
        <v>-</v>
      </c>
      <c r="ET77" s="39" t="str">
        <f t="shared" si="406"/>
        <v>-</v>
      </c>
      <c r="EU77" s="39" t="str">
        <f t="shared" si="319"/>
        <v>-</v>
      </c>
      <c r="EV77" s="39" t="str">
        <f t="shared" si="320"/>
        <v>-</v>
      </c>
      <c r="EW77" s="39" t="str">
        <f t="shared" si="321"/>
        <v>-</v>
      </c>
      <c r="EX77" s="39" t="str">
        <f t="shared" si="322"/>
        <v>-</v>
      </c>
      <c r="EY77" s="39" t="str">
        <f t="shared" si="323"/>
        <v>-</v>
      </c>
      <c r="EZ77" s="39" t="str">
        <f t="shared" si="324"/>
        <v>-</v>
      </c>
      <c r="FA77" s="39" t="str">
        <f t="shared" si="325"/>
        <v>-</v>
      </c>
      <c r="FB77" s="39" t="str">
        <f t="shared" si="326"/>
        <v>-</v>
      </c>
      <c r="FC77" s="39" t="str">
        <f t="shared" si="327"/>
        <v>-</v>
      </c>
      <c r="FD77" s="39" t="str">
        <f t="shared" si="328"/>
        <v>-</v>
      </c>
      <c r="FE77" s="39" t="str">
        <f t="shared" si="329"/>
        <v>-</v>
      </c>
      <c r="FF77" s="39" t="str">
        <f t="shared" si="330"/>
        <v>-</v>
      </c>
      <c r="FG77" s="39" t="str">
        <f t="shared" si="331"/>
        <v>-</v>
      </c>
      <c r="FH77" s="39" t="str">
        <f t="shared" si="332"/>
        <v>-</v>
      </c>
      <c r="FI77" s="39" t="str">
        <f t="shared" si="333"/>
        <v>-</v>
      </c>
      <c r="FJ77" s="39" t="str">
        <f t="shared" si="334"/>
        <v>-</v>
      </c>
      <c r="FK77" s="39" t="str">
        <f t="shared" si="335"/>
        <v>-</v>
      </c>
      <c r="FL77" s="39" t="str">
        <f t="shared" si="336"/>
        <v>-</v>
      </c>
      <c r="FM77" s="39" t="str">
        <f t="shared" si="337"/>
        <v>-</v>
      </c>
      <c r="FN77" s="39" t="str">
        <f t="shared" si="338"/>
        <v>-</v>
      </c>
      <c r="FO77" s="39" t="str">
        <f t="shared" si="339"/>
        <v>-</v>
      </c>
      <c r="FP77" s="39" t="str">
        <f t="shared" si="340"/>
        <v>-</v>
      </c>
      <c r="FQ77" s="39" t="str">
        <f t="shared" si="341"/>
        <v>-</v>
      </c>
      <c r="FR77" s="39" t="str">
        <f t="shared" si="342"/>
        <v>-</v>
      </c>
      <c r="FS77" s="39" t="str">
        <f t="shared" si="343"/>
        <v>-</v>
      </c>
      <c r="FT77" s="39" t="str">
        <f t="shared" si="344"/>
        <v>-</v>
      </c>
      <c r="FU77" s="39" t="str">
        <f t="shared" si="345"/>
        <v>-</v>
      </c>
      <c r="FV77" s="39" t="str">
        <f t="shared" si="346"/>
        <v>-</v>
      </c>
      <c r="FW77" s="39" t="str">
        <f t="shared" si="347"/>
        <v>-</v>
      </c>
      <c r="FX77" s="39" t="str">
        <f t="shared" si="348"/>
        <v>-</v>
      </c>
      <c r="FY77" s="39" t="str">
        <f t="shared" si="349"/>
        <v>-</v>
      </c>
      <c r="FZ77" s="39" t="str">
        <f t="shared" si="350"/>
        <v>-</v>
      </c>
      <c r="GA77" s="39" t="str">
        <f t="shared" si="351"/>
        <v>-</v>
      </c>
      <c r="GB77" s="39" t="str">
        <f t="shared" si="352"/>
        <v>-</v>
      </c>
      <c r="GC77" s="39" t="str">
        <f t="shared" si="353"/>
        <v>-</v>
      </c>
      <c r="GD77" s="39" t="str">
        <f t="shared" si="354"/>
        <v>-</v>
      </c>
      <c r="GE77" s="39" t="str">
        <f t="shared" si="355"/>
        <v>-</v>
      </c>
      <c r="GF77" s="39" t="str">
        <f t="shared" si="356"/>
        <v>-</v>
      </c>
      <c r="GG77" s="39" t="str">
        <f t="shared" si="357"/>
        <v>-</v>
      </c>
      <c r="GH77" s="39" t="str">
        <f t="shared" si="358"/>
        <v>-</v>
      </c>
      <c r="GI77" s="39" t="str">
        <f t="shared" si="359"/>
        <v>-</v>
      </c>
      <c r="GJ77" s="39" t="str">
        <f t="shared" si="360"/>
        <v>-</v>
      </c>
      <c r="GK77" s="39" t="str">
        <f t="shared" si="361"/>
        <v>-</v>
      </c>
      <c r="GL77" s="39" t="str">
        <f t="shared" si="362"/>
        <v>-</v>
      </c>
      <c r="GM77" s="39" t="str">
        <f t="shared" si="363"/>
        <v>-</v>
      </c>
      <c r="GN77" s="39" t="str">
        <f t="shared" si="364"/>
        <v>-</v>
      </c>
      <c r="GO77" s="39" t="str">
        <f t="shared" si="365"/>
        <v>-</v>
      </c>
      <c r="GP77" s="39" t="str">
        <f t="shared" si="366"/>
        <v>-</v>
      </c>
      <c r="GQ77" s="39" t="str">
        <f t="shared" si="367"/>
        <v>-</v>
      </c>
      <c r="GR77" s="39" t="str">
        <f t="shared" si="368"/>
        <v>-</v>
      </c>
      <c r="GS77" s="39" t="str">
        <f t="shared" si="369"/>
        <v>-</v>
      </c>
      <c r="GT77" s="39" t="str">
        <f t="shared" si="370"/>
        <v>-</v>
      </c>
      <c r="GU77" s="39" t="str">
        <f t="shared" si="371"/>
        <v>-</v>
      </c>
      <c r="GV77" s="39" t="str">
        <f t="shared" si="372"/>
        <v>-</v>
      </c>
      <c r="GW77" s="39" t="str">
        <f t="shared" si="373"/>
        <v>-</v>
      </c>
      <c r="GX77" s="39" t="str">
        <f t="shared" si="374"/>
        <v>-</v>
      </c>
      <c r="GY77" s="39" t="str">
        <f t="shared" si="375"/>
        <v>-</v>
      </c>
      <c r="GZ77" s="39" t="str">
        <f t="shared" si="376"/>
        <v>-</v>
      </c>
      <c r="HA77" s="39" t="str">
        <f t="shared" si="377"/>
        <v>-</v>
      </c>
      <c r="HB77" s="39" t="str">
        <f t="shared" si="378"/>
        <v>-</v>
      </c>
      <c r="HC77" s="39" t="str">
        <f t="shared" si="379"/>
        <v>-</v>
      </c>
      <c r="HD77" s="39" t="str">
        <f t="shared" si="380"/>
        <v>-</v>
      </c>
      <c r="HE77" s="39" t="str">
        <f t="shared" si="381"/>
        <v>-</v>
      </c>
      <c r="HF77" s="39" t="str">
        <f t="shared" si="382"/>
        <v>-</v>
      </c>
      <c r="HG77" s="39" t="str">
        <f t="shared" si="383"/>
        <v>-</v>
      </c>
      <c r="HH77" s="39" t="str">
        <f t="shared" si="384"/>
        <v>-</v>
      </c>
      <c r="HI77" s="39" t="str">
        <f t="shared" si="385"/>
        <v>-</v>
      </c>
      <c r="HJ77" s="39" t="str">
        <f t="shared" si="386"/>
        <v>-</v>
      </c>
      <c r="HK77" s="39" t="str">
        <f t="shared" si="387"/>
        <v>-</v>
      </c>
      <c r="HL77" s="39" t="str">
        <f t="shared" si="388"/>
        <v>-</v>
      </c>
      <c r="HM77" s="39" t="str">
        <f t="shared" si="389"/>
        <v>-</v>
      </c>
      <c r="HN77" s="39" t="str">
        <f t="shared" si="390"/>
        <v>-</v>
      </c>
      <c r="HO77" s="39" t="str">
        <f t="shared" si="391"/>
        <v>-</v>
      </c>
      <c r="HP77" s="39" t="str">
        <f t="shared" si="392"/>
        <v>-</v>
      </c>
      <c r="HQ77" s="39" t="str">
        <f t="shared" si="393"/>
        <v>-</v>
      </c>
      <c r="HR77" s="39" t="str">
        <f t="shared" si="394"/>
        <v>-</v>
      </c>
      <c r="HS77" s="39" t="str">
        <f t="shared" si="395"/>
        <v>-</v>
      </c>
      <c r="HT77" s="39" t="str">
        <f t="shared" si="395"/>
        <v>-</v>
      </c>
      <c r="HU77" s="43" t="str">
        <f t="shared" ref="HU77:HU79" si="422">IFERROR(IF(ISBLANK(DH77), "-", IF($I77="c", DH77*$I$5, DH77)),"-")</f>
        <v>-</v>
      </c>
      <c r="HV77" s="44" t="str">
        <f t="shared" ref="HV77:HV79" si="423">IFERROR(IF(ISBLANK(DI77), "", IF($I77="c", DI77*$I$5, DI77)),"-")</f>
        <v/>
      </c>
      <c r="HW77" s="45" t="str">
        <f t="shared" ref="HW77:HW79" si="424">IFERROR(IF(ISBLANK(DJ77), "", IF($I77="c", DJ77*$I$5, DJ77)),"-")</f>
        <v/>
      </c>
      <c r="HX77" s="99" t="str">
        <f t="shared" si="415"/>
        <v/>
      </c>
      <c r="HY77" s="99" t="str">
        <f t="shared" si="398"/>
        <v/>
      </c>
      <c r="HZ77" s="99" t="str">
        <f t="shared" si="399"/>
        <v/>
      </c>
      <c r="IA77" s="98" t="str">
        <f t="shared" si="400"/>
        <v/>
      </c>
      <c r="IB77" s="99" t="str">
        <f t="shared" si="401"/>
        <v/>
      </c>
      <c r="IC77" s="100" t="str">
        <f t="shared" si="402"/>
        <v/>
      </c>
      <c r="ID77" s="98" t="str">
        <f t="shared" si="403"/>
        <v/>
      </c>
      <c r="IE77" s="99" t="str">
        <f t="shared" si="404"/>
        <v/>
      </c>
      <c r="IF77" s="100" t="str">
        <f t="shared" si="405"/>
        <v/>
      </c>
      <c r="IH77" s="66">
        <v>77</v>
      </c>
      <c r="II77" s="66" t="e">
        <f t="shared" ca="1" si="407"/>
        <v>#N/A</v>
      </c>
      <c r="IJ77" s="66" t="e">
        <f t="shared" ca="1" si="408"/>
        <v>#N/A</v>
      </c>
      <c r="IK77" s="66" t="e">
        <f t="shared" ca="1" si="409"/>
        <v>#N/A</v>
      </c>
      <c r="IL77" s="66" t="e">
        <f t="shared" ca="1" si="410"/>
        <v>#N/A</v>
      </c>
      <c r="IM77" s="33"/>
      <c r="IN77" s="74" t="e">
        <f t="shared" ca="1" si="416"/>
        <v>#N/A</v>
      </c>
      <c r="IO77" s="75" t="e">
        <f t="shared" ca="1" si="417"/>
        <v>#N/A</v>
      </c>
      <c r="IP77" s="75" t="e">
        <f t="shared" ca="1" si="418"/>
        <v>#N/A</v>
      </c>
      <c r="IQ77" s="74" t="e">
        <f t="shared" ca="1" si="419"/>
        <v>#N/A</v>
      </c>
      <c r="IR77" s="74" t="e">
        <f t="shared" ca="1" si="420"/>
        <v>#N/A</v>
      </c>
    </row>
    <row r="78" spans="1:252" s="1" customFormat="1" x14ac:dyDescent="0.35">
      <c r="A78" s="33">
        <v>0</v>
      </c>
      <c r="B78" s="33">
        <v>0</v>
      </c>
      <c r="C78" s="33">
        <v>1</v>
      </c>
      <c r="E78" s="4"/>
      <c r="F78" t="s">
        <v>343</v>
      </c>
      <c r="G78" s="5" t="s">
        <v>540</v>
      </c>
      <c r="H78" s="4" t="s">
        <v>535</v>
      </c>
      <c r="I78" s="8" t="s">
        <v>536</v>
      </c>
      <c r="J78" s="276" t="s">
        <v>805</v>
      </c>
      <c r="K78" s="111" t="s">
        <v>805</v>
      </c>
      <c r="L78" s="111" t="s">
        <v>805</v>
      </c>
      <c r="M78" s="111" t="s">
        <v>805</v>
      </c>
      <c r="N78" s="111" t="s">
        <v>805</v>
      </c>
      <c r="O78" s="111" t="s">
        <v>805</v>
      </c>
      <c r="P78" s="111" t="s">
        <v>805</v>
      </c>
      <c r="Q78" s="111" t="s">
        <v>805</v>
      </c>
      <c r="R78" s="111" t="s">
        <v>805</v>
      </c>
      <c r="S78" s="111" t="s">
        <v>805</v>
      </c>
      <c r="T78" s="111" t="s">
        <v>805</v>
      </c>
      <c r="U78" s="111" t="s">
        <v>805</v>
      </c>
      <c r="V78" s="111" t="s">
        <v>805</v>
      </c>
      <c r="W78" s="111" t="s">
        <v>805</v>
      </c>
      <c r="X78" s="111" t="s">
        <v>805</v>
      </c>
      <c r="Y78" s="111" t="s">
        <v>805</v>
      </c>
      <c r="Z78" s="111" t="s">
        <v>805</v>
      </c>
      <c r="AA78" s="111" t="s">
        <v>805</v>
      </c>
      <c r="AB78" s="111" t="s">
        <v>805</v>
      </c>
      <c r="AC78" s="111" t="s">
        <v>805</v>
      </c>
      <c r="AD78" s="111" t="s">
        <v>805</v>
      </c>
      <c r="AE78" s="111" t="s">
        <v>805</v>
      </c>
      <c r="AF78" s="111" t="s">
        <v>805</v>
      </c>
      <c r="AG78" s="111" t="s">
        <v>805</v>
      </c>
      <c r="AH78" s="111" t="s">
        <v>805</v>
      </c>
      <c r="AI78" s="111" t="s">
        <v>805</v>
      </c>
      <c r="AJ78" s="111" t="s">
        <v>805</v>
      </c>
      <c r="AK78" s="111" t="s">
        <v>805</v>
      </c>
      <c r="AL78" s="111" t="s">
        <v>805</v>
      </c>
      <c r="AM78" s="111" t="s">
        <v>805</v>
      </c>
      <c r="AN78" s="111" t="s">
        <v>805</v>
      </c>
      <c r="AO78" s="111" t="s">
        <v>805</v>
      </c>
      <c r="AP78" s="111" t="s">
        <v>805</v>
      </c>
      <c r="AQ78" s="111" t="s">
        <v>805</v>
      </c>
      <c r="AR78" s="111" t="s">
        <v>805</v>
      </c>
      <c r="AS78" s="111" t="s">
        <v>805</v>
      </c>
      <c r="AT78" s="111" t="s">
        <v>805</v>
      </c>
      <c r="AU78" s="111" t="s">
        <v>805</v>
      </c>
      <c r="AV78" s="111" t="s">
        <v>805</v>
      </c>
      <c r="AW78" s="111" t="s">
        <v>805</v>
      </c>
      <c r="AX78" s="111" t="s">
        <v>805</v>
      </c>
      <c r="AY78" s="111" t="s">
        <v>805</v>
      </c>
      <c r="AZ78" s="111" t="s">
        <v>805</v>
      </c>
      <c r="BA78" s="111" t="s">
        <v>805</v>
      </c>
      <c r="BB78" s="111" t="s">
        <v>805</v>
      </c>
      <c r="BC78" s="111" t="s">
        <v>805</v>
      </c>
      <c r="BD78" s="111" t="s">
        <v>805</v>
      </c>
      <c r="BE78" s="111" t="s">
        <v>805</v>
      </c>
      <c r="BF78" s="111" t="s">
        <v>805</v>
      </c>
      <c r="BG78" s="111" t="s">
        <v>805</v>
      </c>
      <c r="BH78" s="111" t="s">
        <v>805</v>
      </c>
      <c r="BI78" s="111" t="s">
        <v>805</v>
      </c>
      <c r="BJ78" s="111" t="s">
        <v>805</v>
      </c>
      <c r="BK78" s="111" t="s">
        <v>805</v>
      </c>
      <c r="BL78" s="111" t="s">
        <v>805</v>
      </c>
      <c r="BM78" s="111" t="s">
        <v>805</v>
      </c>
      <c r="BN78" s="111" t="s">
        <v>805</v>
      </c>
      <c r="BO78" s="111" t="s">
        <v>805</v>
      </c>
      <c r="BP78" s="111" t="s">
        <v>805</v>
      </c>
      <c r="BQ78" s="111" t="s">
        <v>805</v>
      </c>
      <c r="BR78" s="111" t="s">
        <v>805</v>
      </c>
      <c r="BS78" s="111" t="s">
        <v>805</v>
      </c>
      <c r="BT78" s="111" t="s">
        <v>805</v>
      </c>
      <c r="BU78" s="111" t="s">
        <v>805</v>
      </c>
      <c r="BV78" s="111" t="s">
        <v>805</v>
      </c>
      <c r="BW78" s="111" t="s">
        <v>805</v>
      </c>
      <c r="BX78" s="111" t="s">
        <v>805</v>
      </c>
      <c r="BY78" s="111" t="s">
        <v>805</v>
      </c>
      <c r="BZ78" s="111" t="s">
        <v>805</v>
      </c>
      <c r="CA78" s="111" t="s">
        <v>805</v>
      </c>
      <c r="CB78" s="111" t="s">
        <v>805</v>
      </c>
      <c r="CC78" s="111" t="s">
        <v>805</v>
      </c>
      <c r="CD78" s="111" t="s">
        <v>805</v>
      </c>
      <c r="CE78" s="111" t="s">
        <v>805</v>
      </c>
      <c r="CF78" s="111" t="s">
        <v>805</v>
      </c>
      <c r="CG78" s="111" t="s">
        <v>805</v>
      </c>
      <c r="CH78" s="111" t="s">
        <v>805</v>
      </c>
      <c r="CI78" s="111" t="s">
        <v>805</v>
      </c>
      <c r="CJ78" s="111" t="s">
        <v>805</v>
      </c>
      <c r="CK78" s="111" t="s">
        <v>805</v>
      </c>
      <c r="CL78" s="111" t="s">
        <v>805</v>
      </c>
      <c r="CM78" s="111" t="s">
        <v>805</v>
      </c>
      <c r="CN78" s="111" t="s">
        <v>805</v>
      </c>
      <c r="CO78" s="111" t="s">
        <v>805</v>
      </c>
      <c r="CP78" s="111" t="s">
        <v>805</v>
      </c>
      <c r="CQ78" s="111" t="s">
        <v>805</v>
      </c>
      <c r="CR78" s="111" t="s">
        <v>805</v>
      </c>
      <c r="CS78" s="111" t="s">
        <v>805</v>
      </c>
      <c r="CT78" s="111" t="s">
        <v>805</v>
      </c>
      <c r="CU78" s="111" t="s">
        <v>805</v>
      </c>
      <c r="CV78" s="111" t="s">
        <v>805</v>
      </c>
      <c r="CW78" s="111" t="s">
        <v>805</v>
      </c>
      <c r="CX78" s="111" t="s">
        <v>805</v>
      </c>
      <c r="CY78" s="111" t="s">
        <v>805</v>
      </c>
      <c r="CZ78" s="111" t="s">
        <v>805</v>
      </c>
      <c r="DA78" s="111" t="s">
        <v>805</v>
      </c>
      <c r="DB78" s="111" t="s">
        <v>805</v>
      </c>
      <c r="DC78" s="111" t="s">
        <v>805</v>
      </c>
      <c r="DD78" s="111" t="s">
        <v>805</v>
      </c>
      <c r="DE78" s="111" t="s">
        <v>805</v>
      </c>
      <c r="DF78" s="111" t="s">
        <v>805</v>
      </c>
      <c r="DG78" s="28">
        <f>'KPI Count-SHARE'!J70</f>
        <v>0</v>
      </c>
      <c r="DH78" s="115"/>
      <c r="DI78" s="115"/>
      <c r="DJ78" s="115"/>
      <c r="DK78" s="28">
        <f>'KPI Count-SHARE'!K70</f>
        <v>0</v>
      </c>
      <c r="DL78" s="111"/>
      <c r="DM78" s="111"/>
      <c r="DN78" s="111"/>
      <c r="DO78" s="28">
        <f>'KPI Count-SHARE'!L70</f>
        <v>0</v>
      </c>
      <c r="DP78" s="111"/>
      <c r="DQ78" s="111"/>
      <c r="DR78" s="111"/>
      <c r="DS78" s="28">
        <f>'KPI Count-SHARE'!M70</f>
        <v>0</v>
      </c>
      <c r="DT78" s="111"/>
      <c r="DU78" s="111"/>
      <c r="DV78" s="111"/>
      <c r="DW78" s="30" t="str">
        <f t="shared" si="421"/>
        <v>USD '000 per FTE</v>
      </c>
      <c r="DX78" s="39" t="str">
        <f t="shared" si="310"/>
        <v>-</v>
      </c>
      <c r="DY78" s="39" t="str">
        <f t="shared" si="311"/>
        <v>-</v>
      </c>
      <c r="DZ78" s="39" t="str">
        <f t="shared" si="312"/>
        <v>-</v>
      </c>
      <c r="EA78" s="39" t="str">
        <f t="shared" si="411"/>
        <v>-</v>
      </c>
      <c r="EB78" s="39" t="str">
        <f t="shared" si="412"/>
        <v>-</v>
      </c>
      <c r="EC78" s="39" t="str">
        <f t="shared" si="413"/>
        <v>-</v>
      </c>
      <c r="ED78" s="39" t="str">
        <f t="shared" si="313"/>
        <v>-</v>
      </c>
      <c r="EE78" s="39" t="str">
        <f t="shared" si="314"/>
        <v>-</v>
      </c>
      <c r="EF78" s="39" t="str">
        <f t="shared" si="315"/>
        <v>-</v>
      </c>
      <c r="EG78" s="39" t="str">
        <f t="shared" si="316"/>
        <v>-</v>
      </c>
      <c r="EH78" s="39" t="str">
        <f t="shared" si="317"/>
        <v>-</v>
      </c>
      <c r="EI78" s="39" t="str">
        <f t="shared" si="406"/>
        <v>-</v>
      </c>
      <c r="EJ78" s="39" t="str">
        <f t="shared" si="406"/>
        <v>-</v>
      </c>
      <c r="EK78" s="39" t="str">
        <f t="shared" si="406"/>
        <v>-</v>
      </c>
      <c r="EL78" s="39" t="str">
        <f t="shared" si="406"/>
        <v>-</v>
      </c>
      <c r="EM78" s="39" t="str">
        <f t="shared" si="406"/>
        <v>-</v>
      </c>
      <c r="EN78" s="39" t="str">
        <f t="shared" si="406"/>
        <v>-</v>
      </c>
      <c r="EO78" s="39" t="str">
        <f t="shared" si="406"/>
        <v>-</v>
      </c>
      <c r="EP78" s="39" t="str">
        <f t="shared" si="406"/>
        <v>-</v>
      </c>
      <c r="EQ78" s="39" t="str">
        <f t="shared" si="406"/>
        <v>-</v>
      </c>
      <c r="ER78" s="39" t="str">
        <f t="shared" si="406"/>
        <v>-</v>
      </c>
      <c r="ES78" s="39" t="str">
        <f t="shared" si="406"/>
        <v>-</v>
      </c>
      <c r="ET78" s="39" t="str">
        <f t="shared" si="406"/>
        <v>-</v>
      </c>
      <c r="EU78" s="39" t="str">
        <f t="shared" si="319"/>
        <v>-</v>
      </c>
      <c r="EV78" s="39" t="str">
        <f t="shared" si="320"/>
        <v>-</v>
      </c>
      <c r="EW78" s="39" t="str">
        <f t="shared" si="321"/>
        <v>-</v>
      </c>
      <c r="EX78" s="39" t="str">
        <f t="shared" si="322"/>
        <v>-</v>
      </c>
      <c r="EY78" s="39" t="str">
        <f t="shared" si="323"/>
        <v>-</v>
      </c>
      <c r="EZ78" s="39" t="str">
        <f t="shared" si="324"/>
        <v>-</v>
      </c>
      <c r="FA78" s="39" t="str">
        <f t="shared" si="325"/>
        <v>-</v>
      </c>
      <c r="FB78" s="39" t="str">
        <f t="shared" si="326"/>
        <v>-</v>
      </c>
      <c r="FC78" s="39" t="str">
        <f t="shared" si="327"/>
        <v>-</v>
      </c>
      <c r="FD78" s="39" t="str">
        <f t="shared" si="328"/>
        <v>-</v>
      </c>
      <c r="FE78" s="39" t="str">
        <f t="shared" si="329"/>
        <v>-</v>
      </c>
      <c r="FF78" s="39" t="str">
        <f t="shared" si="330"/>
        <v>-</v>
      </c>
      <c r="FG78" s="39" t="str">
        <f t="shared" si="331"/>
        <v>-</v>
      </c>
      <c r="FH78" s="39" t="str">
        <f t="shared" si="332"/>
        <v>-</v>
      </c>
      <c r="FI78" s="39" t="str">
        <f t="shared" si="333"/>
        <v>-</v>
      </c>
      <c r="FJ78" s="39" t="str">
        <f t="shared" si="334"/>
        <v>-</v>
      </c>
      <c r="FK78" s="39" t="str">
        <f t="shared" si="335"/>
        <v>-</v>
      </c>
      <c r="FL78" s="39" t="str">
        <f t="shared" si="336"/>
        <v>-</v>
      </c>
      <c r="FM78" s="39" t="str">
        <f t="shared" si="337"/>
        <v>-</v>
      </c>
      <c r="FN78" s="39" t="str">
        <f t="shared" si="338"/>
        <v>-</v>
      </c>
      <c r="FO78" s="39" t="str">
        <f t="shared" si="339"/>
        <v>-</v>
      </c>
      <c r="FP78" s="39" t="str">
        <f t="shared" si="340"/>
        <v>-</v>
      </c>
      <c r="FQ78" s="39" t="str">
        <f t="shared" si="341"/>
        <v>-</v>
      </c>
      <c r="FR78" s="39" t="str">
        <f t="shared" si="342"/>
        <v>-</v>
      </c>
      <c r="FS78" s="39" t="str">
        <f t="shared" si="343"/>
        <v>-</v>
      </c>
      <c r="FT78" s="39" t="str">
        <f t="shared" si="344"/>
        <v>-</v>
      </c>
      <c r="FU78" s="39" t="str">
        <f t="shared" si="345"/>
        <v>-</v>
      </c>
      <c r="FV78" s="39" t="str">
        <f t="shared" si="346"/>
        <v>-</v>
      </c>
      <c r="FW78" s="39" t="str">
        <f t="shared" si="347"/>
        <v>-</v>
      </c>
      <c r="FX78" s="39" t="str">
        <f t="shared" si="348"/>
        <v>-</v>
      </c>
      <c r="FY78" s="39" t="str">
        <f t="shared" si="349"/>
        <v>-</v>
      </c>
      <c r="FZ78" s="39" t="str">
        <f t="shared" si="350"/>
        <v>-</v>
      </c>
      <c r="GA78" s="39" t="str">
        <f t="shared" si="351"/>
        <v>-</v>
      </c>
      <c r="GB78" s="39" t="str">
        <f t="shared" si="352"/>
        <v>-</v>
      </c>
      <c r="GC78" s="39" t="str">
        <f t="shared" si="353"/>
        <v>-</v>
      </c>
      <c r="GD78" s="39" t="str">
        <f t="shared" si="354"/>
        <v>-</v>
      </c>
      <c r="GE78" s="39" t="str">
        <f t="shared" si="355"/>
        <v>-</v>
      </c>
      <c r="GF78" s="39" t="str">
        <f t="shared" si="356"/>
        <v>-</v>
      </c>
      <c r="GG78" s="39" t="str">
        <f t="shared" si="357"/>
        <v>-</v>
      </c>
      <c r="GH78" s="39" t="str">
        <f t="shared" si="358"/>
        <v>-</v>
      </c>
      <c r="GI78" s="39" t="str">
        <f t="shared" si="359"/>
        <v>-</v>
      </c>
      <c r="GJ78" s="39" t="str">
        <f t="shared" si="360"/>
        <v>-</v>
      </c>
      <c r="GK78" s="39" t="str">
        <f t="shared" si="361"/>
        <v>-</v>
      </c>
      <c r="GL78" s="39" t="str">
        <f t="shared" si="362"/>
        <v>-</v>
      </c>
      <c r="GM78" s="39" t="str">
        <f t="shared" si="363"/>
        <v>-</v>
      </c>
      <c r="GN78" s="39" t="str">
        <f t="shared" si="364"/>
        <v>-</v>
      </c>
      <c r="GO78" s="39" t="str">
        <f t="shared" si="365"/>
        <v>-</v>
      </c>
      <c r="GP78" s="39" t="str">
        <f t="shared" si="366"/>
        <v>-</v>
      </c>
      <c r="GQ78" s="39" t="str">
        <f t="shared" si="367"/>
        <v>-</v>
      </c>
      <c r="GR78" s="39" t="str">
        <f t="shared" si="368"/>
        <v>-</v>
      </c>
      <c r="GS78" s="39" t="str">
        <f t="shared" si="369"/>
        <v>-</v>
      </c>
      <c r="GT78" s="39" t="str">
        <f t="shared" si="370"/>
        <v>-</v>
      </c>
      <c r="GU78" s="39" t="str">
        <f t="shared" si="371"/>
        <v>-</v>
      </c>
      <c r="GV78" s="39" t="str">
        <f t="shared" si="372"/>
        <v>-</v>
      </c>
      <c r="GW78" s="39" t="str">
        <f t="shared" si="373"/>
        <v>-</v>
      </c>
      <c r="GX78" s="39" t="str">
        <f t="shared" si="374"/>
        <v>-</v>
      </c>
      <c r="GY78" s="39" t="str">
        <f t="shared" si="375"/>
        <v>-</v>
      </c>
      <c r="GZ78" s="39" t="str">
        <f t="shared" si="376"/>
        <v>-</v>
      </c>
      <c r="HA78" s="39" t="str">
        <f t="shared" si="377"/>
        <v>-</v>
      </c>
      <c r="HB78" s="39" t="str">
        <f t="shared" si="378"/>
        <v>-</v>
      </c>
      <c r="HC78" s="39" t="str">
        <f t="shared" si="379"/>
        <v>-</v>
      </c>
      <c r="HD78" s="39" t="str">
        <f t="shared" si="380"/>
        <v>-</v>
      </c>
      <c r="HE78" s="39" t="str">
        <f t="shared" si="381"/>
        <v>-</v>
      </c>
      <c r="HF78" s="39" t="str">
        <f t="shared" si="382"/>
        <v>-</v>
      </c>
      <c r="HG78" s="39" t="str">
        <f t="shared" si="383"/>
        <v>-</v>
      </c>
      <c r="HH78" s="39" t="str">
        <f t="shared" si="384"/>
        <v>-</v>
      </c>
      <c r="HI78" s="39" t="str">
        <f t="shared" si="385"/>
        <v>-</v>
      </c>
      <c r="HJ78" s="39" t="str">
        <f t="shared" si="386"/>
        <v>-</v>
      </c>
      <c r="HK78" s="39" t="str">
        <f t="shared" si="387"/>
        <v>-</v>
      </c>
      <c r="HL78" s="39" t="str">
        <f t="shared" si="388"/>
        <v>-</v>
      </c>
      <c r="HM78" s="39" t="str">
        <f t="shared" si="389"/>
        <v>-</v>
      </c>
      <c r="HN78" s="39" t="str">
        <f t="shared" si="390"/>
        <v>-</v>
      </c>
      <c r="HO78" s="39" t="str">
        <f t="shared" si="391"/>
        <v>-</v>
      </c>
      <c r="HP78" s="39" t="str">
        <f t="shared" si="392"/>
        <v>-</v>
      </c>
      <c r="HQ78" s="39" t="str">
        <f t="shared" si="393"/>
        <v>-</v>
      </c>
      <c r="HR78" s="39" t="str">
        <f t="shared" si="394"/>
        <v>-</v>
      </c>
      <c r="HS78" s="39" t="str">
        <f t="shared" si="395"/>
        <v>-</v>
      </c>
      <c r="HT78" s="39" t="str">
        <f t="shared" si="395"/>
        <v>-</v>
      </c>
      <c r="HU78" s="43" t="str">
        <f t="shared" si="422"/>
        <v>-</v>
      </c>
      <c r="HV78" s="44" t="str">
        <f t="shared" si="423"/>
        <v/>
      </c>
      <c r="HW78" s="45" t="str">
        <f t="shared" si="424"/>
        <v/>
      </c>
      <c r="HX78" s="99" t="str">
        <f t="shared" si="415"/>
        <v/>
      </c>
      <c r="HY78" s="99" t="str">
        <f t="shared" si="398"/>
        <v/>
      </c>
      <c r="HZ78" s="99" t="str">
        <f t="shared" si="399"/>
        <v/>
      </c>
      <c r="IA78" s="98" t="str">
        <f t="shared" si="400"/>
        <v/>
      </c>
      <c r="IB78" s="99" t="str">
        <f t="shared" si="401"/>
        <v/>
      </c>
      <c r="IC78" s="100" t="str">
        <f t="shared" si="402"/>
        <v/>
      </c>
      <c r="ID78" s="98" t="str">
        <f t="shared" si="403"/>
        <v/>
      </c>
      <c r="IE78" s="99" t="str">
        <f t="shared" si="404"/>
        <v/>
      </c>
      <c r="IF78" s="100" t="str">
        <f t="shared" si="405"/>
        <v/>
      </c>
      <c r="IH78" s="66">
        <v>78</v>
      </c>
      <c r="II78" s="66" t="e">
        <f t="shared" ca="1" si="407"/>
        <v>#N/A</v>
      </c>
      <c r="IJ78" s="66" t="e">
        <f t="shared" ca="1" si="408"/>
        <v>#N/A</v>
      </c>
      <c r="IK78" s="66" t="e">
        <f t="shared" ca="1" si="409"/>
        <v>#N/A</v>
      </c>
      <c r="IL78" s="66" t="e">
        <f t="shared" ca="1" si="410"/>
        <v>#N/A</v>
      </c>
      <c r="IM78" s="33"/>
      <c r="IN78" s="74" t="e">
        <f t="shared" ca="1" si="416"/>
        <v>#N/A</v>
      </c>
      <c r="IO78" s="75" t="e">
        <f t="shared" ca="1" si="417"/>
        <v>#N/A</v>
      </c>
      <c r="IP78" s="75" t="e">
        <f t="shared" ca="1" si="418"/>
        <v>#N/A</v>
      </c>
      <c r="IQ78" s="74" t="e">
        <f t="shared" ca="1" si="419"/>
        <v>#N/A</v>
      </c>
      <c r="IR78" s="74" t="e">
        <f t="shared" ca="1" si="420"/>
        <v>#N/A</v>
      </c>
    </row>
    <row r="79" spans="1:252" x14ac:dyDescent="0.35">
      <c r="A79" s="28">
        <v>0</v>
      </c>
      <c r="B79" s="28">
        <v>0</v>
      </c>
      <c r="C79" s="28">
        <v>1</v>
      </c>
      <c r="D79" s="1"/>
      <c r="F79" t="s">
        <v>344</v>
      </c>
      <c r="G79" s="5" t="s">
        <v>540</v>
      </c>
      <c r="H79" t="s">
        <v>535</v>
      </c>
      <c r="I79" t="s">
        <v>536</v>
      </c>
      <c r="J79" s="276" t="s">
        <v>805</v>
      </c>
      <c r="K79" s="113" t="s">
        <v>805</v>
      </c>
      <c r="L79" s="113" t="s">
        <v>805</v>
      </c>
      <c r="M79" s="113" t="s">
        <v>805</v>
      </c>
      <c r="N79" s="113" t="s">
        <v>805</v>
      </c>
      <c r="O79" s="113" t="s">
        <v>805</v>
      </c>
      <c r="P79" s="113" t="s">
        <v>805</v>
      </c>
      <c r="Q79" s="113" t="s">
        <v>805</v>
      </c>
      <c r="R79" s="113" t="s">
        <v>805</v>
      </c>
      <c r="S79" s="113" t="s">
        <v>805</v>
      </c>
      <c r="T79" s="113" t="s">
        <v>805</v>
      </c>
      <c r="U79" s="113" t="s">
        <v>805</v>
      </c>
      <c r="V79" s="113" t="s">
        <v>805</v>
      </c>
      <c r="W79" s="113" t="s">
        <v>805</v>
      </c>
      <c r="X79" s="113" t="s">
        <v>805</v>
      </c>
      <c r="Y79" s="113" t="s">
        <v>805</v>
      </c>
      <c r="Z79" s="113" t="s">
        <v>805</v>
      </c>
      <c r="AA79" s="113" t="s">
        <v>805</v>
      </c>
      <c r="AB79" s="113" t="s">
        <v>805</v>
      </c>
      <c r="AC79" s="113" t="s">
        <v>805</v>
      </c>
      <c r="AD79" s="113" t="s">
        <v>805</v>
      </c>
      <c r="AE79" s="113" t="s">
        <v>805</v>
      </c>
      <c r="AF79" s="113" t="s">
        <v>805</v>
      </c>
      <c r="AG79" s="113" t="s">
        <v>805</v>
      </c>
      <c r="AH79" s="113" t="s">
        <v>805</v>
      </c>
      <c r="AI79" s="113" t="s">
        <v>805</v>
      </c>
      <c r="AJ79" s="113" t="s">
        <v>805</v>
      </c>
      <c r="AK79" s="113" t="s">
        <v>805</v>
      </c>
      <c r="AL79" s="113" t="s">
        <v>805</v>
      </c>
      <c r="AM79" s="113" t="s">
        <v>805</v>
      </c>
      <c r="AN79" s="113" t="s">
        <v>805</v>
      </c>
      <c r="AO79" s="113" t="s">
        <v>805</v>
      </c>
      <c r="AP79" s="113" t="s">
        <v>805</v>
      </c>
      <c r="AQ79" s="113" t="s">
        <v>805</v>
      </c>
      <c r="AR79" s="113" t="s">
        <v>805</v>
      </c>
      <c r="AS79" s="113" t="s">
        <v>805</v>
      </c>
      <c r="AT79" s="113" t="s">
        <v>805</v>
      </c>
      <c r="AU79" s="113" t="s">
        <v>805</v>
      </c>
      <c r="AV79" s="113" t="s">
        <v>805</v>
      </c>
      <c r="AW79" s="113" t="s">
        <v>805</v>
      </c>
      <c r="AX79" s="113" t="s">
        <v>805</v>
      </c>
      <c r="AY79" s="113" t="s">
        <v>805</v>
      </c>
      <c r="AZ79" s="113" t="s">
        <v>805</v>
      </c>
      <c r="BA79" s="113" t="s">
        <v>805</v>
      </c>
      <c r="BB79" s="113" t="s">
        <v>805</v>
      </c>
      <c r="BC79" s="113" t="s">
        <v>805</v>
      </c>
      <c r="BD79" s="113" t="s">
        <v>805</v>
      </c>
      <c r="BE79" s="113" t="s">
        <v>805</v>
      </c>
      <c r="BF79" s="113" t="s">
        <v>805</v>
      </c>
      <c r="BG79" s="113" t="s">
        <v>805</v>
      </c>
      <c r="BH79" s="113" t="s">
        <v>805</v>
      </c>
      <c r="BI79" s="113" t="s">
        <v>805</v>
      </c>
      <c r="BJ79" s="113" t="s">
        <v>805</v>
      </c>
      <c r="BK79" s="113" t="s">
        <v>805</v>
      </c>
      <c r="BL79" s="113" t="s">
        <v>805</v>
      </c>
      <c r="BM79" s="113" t="s">
        <v>805</v>
      </c>
      <c r="BN79" s="113" t="s">
        <v>805</v>
      </c>
      <c r="BO79" s="113" t="s">
        <v>805</v>
      </c>
      <c r="BP79" s="113" t="s">
        <v>805</v>
      </c>
      <c r="BQ79" s="113" t="s">
        <v>805</v>
      </c>
      <c r="BR79" s="113" t="s">
        <v>805</v>
      </c>
      <c r="BS79" s="113" t="s">
        <v>805</v>
      </c>
      <c r="BT79" s="113" t="s">
        <v>805</v>
      </c>
      <c r="BU79" s="113" t="s">
        <v>805</v>
      </c>
      <c r="BV79" s="113" t="s">
        <v>805</v>
      </c>
      <c r="BW79" s="113" t="s">
        <v>805</v>
      </c>
      <c r="BX79" s="113" t="s">
        <v>805</v>
      </c>
      <c r="BY79" s="113" t="s">
        <v>805</v>
      </c>
      <c r="BZ79" s="113" t="s">
        <v>805</v>
      </c>
      <c r="CA79" s="113" t="s">
        <v>805</v>
      </c>
      <c r="CB79" s="113" t="s">
        <v>805</v>
      </c>
      <c r="CC79" s="113" t="s">
        <v>805</v>
      </c>
      <c r="CD79" s="113" t="s">
        <v>805</v>
      </c>
      <c r="CE79" s="113" t="s">
        <v>805</v>
      </c>
      <c r="CF79" s="113" t="s">
        <v>805</v>
      </c>
      <c r="CG79" s="113" t="s">
        <v>805</v>
      </c>
      <c r="CH79" s="113" t="s">
        <v>805</v>
      </c>
      <c r="CI79" s="113" t="s">
        <v>805</v>
      </c>
      <c r="CJ79" s="113" t="s">
        <v>805</v>
      </c>
      <c r="CK79" s="113" t="s">
        <v>805</v>
      </c>
      <c r="CL79" s="113" t="s">
        <v>805</v>
      </c>
      <c r="CM79" s="113" t="s">
        <v>805</v>
      </c>
      <c r="CN79" s="113" t="s">
        <v>805</v>
      </c>
      <c r="CO79" s="113" t="s">
        <v>805</v>
      </c>
      <c r="CP79" s="113" t="s">
        <v>805</v>
      </c>
      <c r="CQ79" s="113" t="s">
        <v>805</v>
      </c>
      <c r="CR79" s="113" t="s">
        <v>805</v>
      </c>
      <c r="CS79" s="113" t="s">
        <v>805</v>
      </c>
      <c r="CT79" s="113" t="s">
        <v>805</v>
      </c>
      <c r="CU79" s="113" t="s">
        <v>805</v>
      </c>
      <c r="CV79" s="113" t="s">
        <v>805</v>
      </c>
      <c r="CW79" s="113" t="s">
        <v>805</v>
      </c>
      <c r="CX79" s="113" t="s">
        <v>805</v>
      </c>
      <c r="CY79" s="113" t="s">
        <v>805</v>
      </c>
      <c r="CZ79" s="113" t="s">
        <v>805</v>
      </c>
      <c r="DA79" s="113" t="s">
        <v>805</v>
      </c>
      <c r="DB79" s="113" t="s">
        <v>805</v>
      </c>
      <c r="DC79" s="113" t="s">
        <v>805</v>
      </c>
      <c r="DD79" s="113" t="s">
        <v>805</v>
      </c>
      <c r="DE79" s="113" t="s">
        <v>805</v>
      </c>
      <c r="DF79" s="113" t="s">
        <v>805</v>
      </c>
      <c r="DG79" s="28">
        <f>'KPI Count-SHARE'!J71</f>
        <v>0</v>
      </c>
      <c r="DH79" s="114"/>
      <c r="DI79" s="114"/>
      <c r="DJ79" s="114"/>
      <c r="DK79" s="28">
        <f>'KPI Count-SHARE'!K71</f>
        <v>0</v>
      </c>
      <c r="DL79" s="118"/>
      <c r="DM79" s="118"/>
      <c r="DN79" s="118"/>
      <c r="DO79" s="28">
        <f>'KPI Count-SHARE'!L71</f>
        <v>0</v>
      </c>
      <c r="DP79" s="118"/>
      <c r="DQ79" s="118"/>
      <c r="DR79" s="118"/>
      <c r="DS79" s="28">
        <f>'KPI Count-SHARE'!M71</f>
        <v>0</v>
      </c>
      <c r="DT79" s="118"/>
      <c r="DU79" s="118"/>
      <c r="DV79" s="118"/>
      <c r="DW79" s="30" t="str">
        <f t="shared" si="421"/>
        <v>USD '000 per FTE</v>
      </c>
      <c r="DX79" s="39" t="str">
        <f t="shared" ref="DX79:DX137" si="425">IFERROR(IF(ISBLANK(J79), "-", IF($I79="c", J79*$I$5, J79)),"-")</f>
        <v>-</v>
      </c>
      <c r="DY79" s="39" t="str">
        <f t="shared" ref="DY79:DY137" si="426">IFERROR(IF(ISBLANK(K79), "-", IF($I79="c", K79*$I$5, K79)),"-")</f>
        <v>-</v>
      </c>
      <c r="DZ79" s="39" t="str">
        <f t="shared" ref="DZ79:DZ137" si="427">IFERROR(IF(ISBLANK(L79), "-", IF($I79="c", L79*$I$5, L79)),"-")</f>
        <v>-</v>
      </c>
      <c r="EA79" s="39" t="str">
        <f t="shared" ref="EA79:EA137" si="428">IFERROR(IF(ISBLANK(M79), "-", IF($I79="c", M79*$I$5,M79)),"-")</f>
        <v>-</v>
      </c>
      <c r="EB79" s="39" t="str">
        <f t="shared" ref="EB79:EB137" si="429">IFERROR(IF(ISBLANK(N79), "-", IF($I79="c", N79*$I$5, N79)),"-")</f>
        <v>-</v>
      </c>
      <c r="EC79" s="39" t="str">
        <f t="shared" ref="EC79:EC137" si="430">IFERROR(IF(ISBLANK(O79), "-", IF($I79="c", O79*$I$5,O79)),"-")</f>
        <v>-</v>
      </c>
      <c r="ED79" s="39" t="str">
        <f t="shared" ref="ED79:ED137" si="431">IFERROR(IF(ISBLANK(P79), "-", IF($I79="c", P79*$I$5, P79)),"-")</f>
        <v>-</v>
      </c>
      <c r="EE79" s="39" t="str">
        <f t="shared" ref="EE79:EE137" si="432">IFERROR(IF(ISBLANK(Q79), "-", IF($I79="c", Q79*$I$5, Q79)),"-")</f>
        <v>-</v>
      </c>
      <c r="EF79" s="39" t="str">
        <f t="shared" ref="EF79:EF137" si="433">IFERROR(IF(ISBLANK(R79), "-", IF($I79="c", R79*$I$5, R79)),"-")</f>
        <v>-</v>
      </c>
      <c r="EG79" s="39" t="str">
        <f t="shared" ref="EG79:EG137" si="434">IFERROR(IF(ISBLANK(S79), "-", IF($I79="c", S79*$I$5, S79)),"-")</f>
        <v>-</v>
      </c>
      <c r="EH79" s="39" t="str">
        <f t="shared" ref="EH79:EH137" si="435">IFERROR(IF(ISBLANK(T79), "-", IF($I79="c", T79*$I$5, T79)),"-")</f>
        <v>-</v>
      </c>
      <c r="EI79" s="39" t="str">
        <f t="shared" si="406"/>
        <v>-</v>
      </c>
      <c r="EJ79" s="39" t="str">
        <f t="shared" si="406"/>
        <v>-</v>
      </c>
      <c r="EK79" s="39" t="str">
        <f t="shared" si="406"/>
        <v>-</v>
      </c>
      <c r="EL79" s="39" t="str">
        <f t="shared" si="406"/>
        <v>-</v>
      </c>
      <c r="EM79" s="39" t="str">
        <f t="shared" si="406"/>
        <v>-</v>
      </c>
      <c r="EN79" s="39" t="str">
        <f t="shared" si="406"/>
        <v>-</v>
      </c>
      <c r="EO79" s="39" t="str">
        <f t="shared" si="406"/>
        <v>-</v>
      </c>
      <c r="EP79" s="39" t="str">
        <f t="shared" si="406"/>
        <v>-</v>
      </c>
      <c r="EQ79" s="39" t="str">
        <f t="shared" si="406"/>
        <v>-</v>
      </c>
      <c r="ER79" s="39" t="str">
        <f t="shared" si="406"/>
        <v>-</v>
      </c>
      <c r="ES79" s="39" t="str">
        <f t="shared" si="406"/>
        <v>-</v>
      </c>
      <c r="ET79" s="39" t="str">
        <f t="shared" si="406"/>
        <v>-</v>
      </c>
      <c r="EU79" s="39" t="str">
        <f t="shared" si="319"/>
        <v>-</v>
      </c>
      <c r="EV79" s="39" t="str">
        <f t="shared" si="320"/>
        <v>-</v>
      </c>
      <c r="EW79" s="39" t="str">
        <f t="shared" si="321"/>
        <v>-</v>
      </c>
      <c r="EX79" s="39" t="str">
        <f t="shared" si="322"/>
        <v>-</v>
      </c>
      <c r="EY79" s="39" t="str">
        <f t="shared" si="323"/>
        <v>-</v>
      </c>
      <c r="EZ79" s="39" t="str">
        <f t="shared" si="324"/>
        <v>-</v>
      </c>
      <c r="FA79" s="39" t="str">
        <f t="shared" si="325"/>
        <v>-</v>
      </c>
      <c r="FB79" s="39" t="str">
        <f t="shared" si="326"/>
        <v>-</v>
      </c>
      <c r="FC79" s="39" t="str">
        <f t="shared" si="327"/>
        <v>-</v>
      </c>
      <c r="FD79" s="39" t="str">
        <f t="shared" si="328"/>
        <v>-</v>
      </c>
      <c r="FE79" s="39" t="str">
        <f t="shared" si="329"/>
        <v>-</v>
      </c>
      <c r="FF79" s="39" t="str">
        <f t="shared" si="330"/>
        <v>-</v>
      </c>
      <c r="FG79" s="39" t="str">
        <f t="shared" si="331"/>
        <v>-</v>
      </c>
      <c r="FH79" s="39" t="str">
        <f t="shared" si="332"/>
        <v>-</v>
      </c>
      <c r="FI79" s="39" t="str">
        <f t="shared" si="333"/>
        <v>-</v>
      </c>
      <c r="FJ79" s="39" t="str">
        <f t="shared" si="334"/>
        <v>-</v>
      </c>
      <c r="FK79" s="39" t="str">
        <f t="shared" si="335"/>
        <v>-</v>
      </c>
      <c r="FL79" s="39" t="str">
        <f t="shared" si="336"/>
        <v>-</v>
      </c>
      <c r="FM79" s="39" t="str">
        <f t="shared" si="337"/>
        <v>-</v>
      </c>
      <c r="FN79" s="39" t="str">
        <f t="shared" si="338"/>
        <v>-</v>
      </c>
      <c r="FO79" s="39" t="str">
        <f t="shared" si="339"/>
        <v>-</v>
      </c>
      <c r="FP79" s="39" t="str">
        <f t="shared" si="340"/>
        <v>-</v>
      </c>
      <c r="FQ79" s="39" t="str">
        <f t="shared" si="341"/>
        <v>-</v>
      </c>
      <c r="FR79" s="39" t="str">
        <f t="shared" si="342"/>
        <v>-</v>
      </c>
      <c r="FS79" s="39" t="str">
        <f t="shared" si="343"/>
        <v>-</v>
      </c>
      <c r="FT79" s="39" t="str">
        <f t="shared" si="344"/>
        <v>-</v>
      </c>
      <c r="FU79" s="39" t="str">
        <f t="shared" si="345"/>
        <v>-</v>
      </c>
      <c r="FV79" s="39" t="str">
        <f t="shared" si="346"/>
        <v>-</v>
      </c>
      <c r="FW79" s="39" t="str">
        <f t="shared" si="347"/>
        <v>-</v>
      </c>
      <c r="FX79" s="39" t="str">
        <f t="shared" si="348"/>
        <v>-</v>
      </c>
      <c r="FY79" s="39" t="str">
        <f t="shared" si="349"/>
        <v>-</v>
      </c>
      <c r="FZ79" s="39" t="str">
        <f t="shared" si="350"/>
        <v>-</v>
      </c>
      <c r="GA79" s="39" t="str">
        <f t="shared" si="351"/>
        <v>-</v>
      </c>
      <c r="GB79" s="39" t="str">
        <f t="shared" si="352"/>
        <v>-</v>
      </c>
      <c r="GC79" s="39" t="str">
        <f t="shared" si="353"/>
        <v>-</v>
      </c>
      <c r="GD79" s="39" t="str">
        <f t="shared" si="354"/>
        <v>-</v>
      </c>
      <c r="GE79" s="39" t="str">
        <f t="shared" si="355"/>
        <v>-</v>
      </c>
      <c r="GF79" s="39" t="str">
        <f t="shared" si="356"/>
        <v>-</v>
      </c>
      <c r="GG79" s="39" t="str">
        <f t="shared" si="357"/>
        <v>-</v>
      </c>
      <c r="GH79" s="39" t="str">
        <f t="shared" si="358"/>
        <v>-</v>
      </c>
      <c r="GI79" s="39" t="str">
        <f t="shared" si="359"/>
        <v>-</v>
      </c>
      <c r="GJ79" s="39" t="str">
        <f t="shared" si="360"/>
        <v>-</v>
      </c>
      <c r="GK79" s="39" t="str">
        <f t="shared" si="361"/>
        <v>-</v>
      </c>
      <c r="GL79" s="39" t="str">
        <f t="shared" si="362"/>
        <v>-</v>
      </c>
      <c r="GM79" s="39" t="str">
        <f t="shared" si="363"/>
        <v>-</v>
      </c>
      <c r="GN79" s="39" t="str">
        <f t="shared" si="364"/>
        <v>-</v>
      </c>
      <c r="GO79" s="39" t="str">
        <f t="shared" si="365"/>
        <v>-</v>
      </c>
      <c r="GP79" s="39" t="str">
        <f t="shared" si="366"/>
        <v>-</v>
      </c>
      <c r="GQ79" s="39" t="str">
        <f t="shared" si="367"/>
        <v>-</v>
      </c>
      <c r="GR79" s="39" t="str">
        <f t="shared" si="368"/>
        <v>-</v>
      </c>
      <c r="GS79" s="39" t="str">
        <f t="shared" si="369"/>
        <v>-</v>
      </c>
      <c r="GT79" s="39" t="str">
        <f t="shared" si="370"/>
        <v>-</v>
      </c>
      <c r="GU79" s="39" t="str">
        <f t="shared" si="371"/>
        <v>-</v>
      </c>
      <c r="GV79" s="39" t="str">
        <f t="shared" si="372"/>
        <v>-</v>
      </c>
      <c r="GW79" s="39" t="str">
        <f t="shared" si="373"/>
        <v>-</v>
      </c>
      <c r="GX79" s="39" t="str">
        <f t="shared" si="374"/>
        <v>-</v>
      </c>
      <c r="GY79" s="39" t="str">
        <f t="shared" si="375"/>
        <v>-</v>
      </c>
      <c r="GZ79" s="39" t="str">
        <f t="shared" si="376"/>
        <v>-</v>
      </c>
      <c r="HA79" s="39" t="str">
        <f t="shared" si="377"/>
        <v>-</v>
      </c>
      <c r="HB79" s="39" t="str">
        <f t="shared" si="378"/>
        <v>-</v>
      </c>
      <c r="HC79" s="39" t="str">
        <f t="shared" si="379"/>
        <v>-</v>
      </c>
      <c r="HD79" s="39" t="str">
        <f t="shared" si="380"/>
        <v>-</v>
      </c>
      <c r="HE79" s="39" t="str">
        <f t="shared" si="381"/>
        <v>-</v>
      </c>
      <c r="HF79" s="39" t="str">
        <f t="shared" si="382"/>
        <v>-</v>
      </c>
      <c r="HG79" s="39" t="str">
        <f t="shared" si="383"/>
        <v>-</v>
      </c>
      <c r="HH79" s="39" t="str">
        <f t="shared" si="384"/>
        <v>-</v>
      </c>
      <c r="HI79" s="39" t="str">
        <f t="shared" si="385"/>
        <v>-</v>
      </c>
      <c r="HJ79" s="39" t="str">
        <f t="shared" si="386"/>
        <v>-</v>
      </c>
      <c r="HK79" s="39" t="str">
        <f t="shared" si="387"/>
        <v>-</v>
      </c>
      <c r="HL79" s="39" t="str">
        <f t="shared" si="388"/>
        <v>-</v>
      </c>
      <c r="HM79" s="39" t="str">
        <f t="shared" si="389"/>
        <v>-</v>
      </c>
      <c r="HN79" s="39" t="str">
        <f t="shared" si="390"/>
        <v>-</v>
      </c>
      <c r="HO79" s="39" t="str">
        <f t="shared" si="391"/>
        <v>-</v>
      </c>
      <c r="HP79" s="39" t="str">
        <f t="shared" si="392"/>
        <v>-</v>
      </c>
      <c r="HQ79" s="39" t="str">
        <f t="shared" si="393"/>
        <v>-</v>
      </c>
      <c r="HR79" s="39" t="str">
        <f t="shared" si="394"/>
        <v>-</v>
      </c>
      <c r="HS79" s="39" t="str">
        <f t="shared" si="395"/>
        <v>-</v>
      </c>
      <c r="HT79" s="39" t="str">
        <f t="shared" si="395"/>
        <v>-</v>
      </c>
      <c r="HU79" s="43" t="str">
        <f t="shared" si="422"/>
        <v>-</v>
      </c>
      <c r="HV79" s="44" t="str">
        <f t="shared" si="423"/>
        <v/>
      </c>
      <c r="HW79" s="45" t="str">
        <f t="shared" si="424"/>
        <v/>
      </c>
      <c r="HX79" s="102"/>
      <c r="HY79" s="102"/>
      <c r="HZ79" s="102"/>
      <c r="IA79" s="101"/>
      <c r="IB79" s="102"/>
      <c r="IC79" s="103"/>
      <c r="ID79" s="101"/>
      <c r="IE79" s="102"/>
      <c r="IF79" s="103"/>
      <c r="IH79" s="66">
        <v>79</v>
      </c>
      <c r="II79" s="66" t="e">
        <f t="shared" ref="II79:II137" ca="1" si="436">SUM(INDIRECT(VLOOKUP($IJ$4,MKTPEERCOLUMNS,2,0) &amp; IH79 &amp; ":" &amp; VLOOKUP($IJ$4,MKTPEERCOLUMNS,2,0) &amp; IH79))</f>
        <v>#N/A</v>
      </c>
      <c r="IJ79" s="66" t="e">
        <f t="shared" ref="IJ79:IJ137" ca="1" si="437">SUM(INDIRECT(VLOOKUP($IJ$4,MKTPEERCOLUMNS,3,0) &amp; IH79 &amp; ":" &amp; VLOOKUP($IJ$4,MKTPEERCOLUMNS,3,0) &amp; IH79))</f>
        <v>#N/A</v>
      </c>
      <c r="IK79" s="66" t="e">
        <f t="shared" ref="IK79:IK137" ca="1" si="438">SUM(INDIRECT(VLOOKUP($IJ$4,MKTPEERCOLUMNS,4,0) &amp; IH79 &amp; ":" &amp; VLOOKUP($IJ$4,MKTPEERCOLUMNS,4,0) &amp; IH79))</f>
        <v>#N/A</v>
      </c>
      <c r="IL79" s="66" t="e">
        <f t="shared" ref="IL79:IL137" ca="1" si="439">SUM(INDIRECT(VLOOKUP($IJ$4,MKTPEERCOLUMNS,5,0) &amp; IH79 &amp; ":" &amp; VLOOKUP($IJ$4,MKTPEERCOLUMNS,5,0) &amp; IH79))</f>
        <v>#N/A</v>
      </c>
      <c r="IN79" s="74" t="e">
        <f t="shared" ref="IN79:IN137" ca="1" si="440">IF(II79=0,"-",II79)</f>
        <v>#N/A</v>
      </c>
      <c r="IO79" s="75" t="e">
        <f t="shared" ref="IO79:IO137" ca="1" si="441">IF(G79="Smaller better",II79-((II79-IJ79)*0.5),II79+((IJ79-II79)*0.5))</f>
        <v>#N/A</v>
      </c>
      <c r="IP79" s="75" t="e">
        <f t="shared" ref="IP79:IP137" ca="1" si="442">IF(G79="Smaller better",IJ79-((IJ79-IK79)*0.5),IJ79+((IK79-IJ79)*0.5))</f>
        <v>#N/A</v>
      </c>
      <c r="IQ79" s="74" t="e">
        <f t="shared" ref="IQ79:IQ137" ca="1" si="443">IF(IK79=0,"-",IK79)</f>
        <v>#N/A</v>
      </c>
      <c r="IR79" s="74" t="e">
        <f t="shared" ref="IR79:IR137" ca="1" si="444">SUM(IN79:IQ79)</f>
        <v>#N/A</v>
      </c>
    </row>
    <row r="80" spans="1:252" x14ac:dyDescent="0.35">
      <c r="A80" s="28">
        <v>0</v>
      </c>
      <c r="B80" s="28">
        <v>0</v>
      </c>
      <c r="C80" s="28">
        <v>1</v>
      </c>
      <c r="D80" s="1"/>
      <c r="E80" s="3"/>
      <c r="F80" t="s">
        <v>345</v>
      </c>
      <c r="G80" s="5" t="s">
        <v>540</v>
      </c>
      <c r="H80" t="s">
        <v>535</v>
      </c>
      <c r="I80" t="s">
        <v>536</v>
      </c>
      <c r="J80" s="276" t="s">
        <v>805</v>
      </c>
      <c r="K80" s="113" t="s">
        <v>805</v>
      </c>
      <c r="L80" s="113" t="s">
        <v>805</v>
      </c>
      <c r="M80" s="113" t="s">
        <v>805</v>
      </c>
      <c r="N80" s="113" t="s">
        <v>805</v>
      </c>
      <c r="O80" s="113" t="s">
        <v>805</v>
      </c>
      <c r="P80" s="113" t="s">
        <v>805</v>
      </c>
      <c r="Q80" s="113" t="s">
        <v>805</v>
      </c>
      <c r="R80" s="113" t="s">
        <v>805</v>
      </c>
      <c r="S80" s="113" t="s">
        <v>805</v>
      </c>
      <c r="T80" s="113" t="s">
        <v>805</v>
      </c>
      <c r="U80" s="113" t="s">
        <v>805</v>
      </c>
      <c r="V80" s="113" t="s">
        <v>805</v>
      </c>
      <c r="W80" s="113" t="s">
        <v>805</v>
      </c>
      <c r="X80" s="113" t="s">
        <v>805</v>
      </c>
      <c r="Y80" s="113" t="s">
        <v>805</v>
      </c>
      <c r="Z80" s="113" t="s">
        <v>805</v>
      </c>
      <c r="AA80" s="113" t="s">
        <v>805</v>
      </c>
      <c r="AB80" s="113" t="s">
        <v>805</v>
      </c>
      <c r="AC80" s="113" t="s">
        <v>805</v>
      </c>
      <c r="AD80" s="113" t="s">
        <v>805</v>
      </c>
      <c r="AE80" s="113" t="s">
        <v>805</v>
      </c>
      <c r="AF80" s="113" t="s">
        <v>805</v>
      </c>
      <c r="AG80" s="113" t="s">
        <v>805</v>
      </c>
      <c r="AH80" s="113" t="s">
        <v>805</v>
      </c>
      <c r="AI80" s="113" t="s">
        <v>805</v>
      </c>
      <c r="AJ80" s="113" t="s">
        <v>805</v>
      </c>
      <c r="AK80" s="113" t="s">
        <v>805</v>
      </c>
      <c r="AL80" s="113" t="s">
        <v>805</v>
      </c>
      <c r="AM80" s="113" t="s">
        <v>805</v>
      </c>
      <c r="AN80" s="113" t="s">
        <v>805</v>
      </c>
      <c r="AO80" s="113" t="s">
        <v>805</v>
      </c>
      <c r="AP80" s="113" t="s">
        <v>805</v>
      </c>
      <c r="AQ80" s="113" t="s">
        <v>805</v>
      </c>
      <c r="AR80" s="113" t="s">
        <v>805</v>
      </c>
      <c r="AS80" s="113" t="s">
        <v>805</v>
      </c>
      <c r="AT80" s="113" t="s">
        <v>805</v>
      </c>
      <c r="AU80" s="113" t="s">
        <v>805</v>
      </c>
      <c r="AV80" s="113" t="s">
        <v>805</v>
      </c>
      <c r="AW80" s="113" t="s">
        <v>805</v>
      </c>
      <c r="AX80" s="113" t="s">
        <v>805</v>
      </c>
      <c r="AY80" s="113" t="s">
        <v>805</v>
      </c>
      <c r="AZ80" s="113" t="s">
        <v>805</v>
      </c>
      <c r="BA80" s="113" t="s">
        <v>805</v>
      </c>
      <c r="BB80" s="113" t="s">
        <v>805</v>
      </c>
      <c r="BC80" s="113" t="s">
        <v>805</v>
      </c>
      <c r="BD80" s="113" t="s">
        <v>805</v>
      </c>
      <c r="BE80" s="113" t="s">
        <v>805</v>
      </c>
      <c r="BF80" s="113" t="s">
        <v>805</v>
      </c>
      <c r="BG80" s="113" t="s">
        <v>805</v>
      </c>
      <c r="BH80" s="113" t="s">
        <v>805</v>
      </c>
      <c r="BI80" s="113" t="s">
        <v>805</v>
      </c>
      <c r="BJ80" s="113" t="s">
        <v>805</v>
      </c>
      <c r="BK80" s="113" t="s">
        <v>805</v>
      </c>
      <c r="BL80" s="113" t="s">
        <v>805</v>
      </c>
      <c r="BM80" s="113" t="s">
        <v>805</v>
      </c>
      <c r="BN80" s="113" t="s">
        <v>805</v>
      </c>
      <c r="BO80" s="113" t="s">
        <v>805</v>
      </c>
      <c r="BP80" s="113" t="s">
        <v>805</v>
      </c>
      <c r="BQ80" s="113" t="s">
        <v>805</v>
      </c>
      <c r="BR80" s="113" t="s">
        <v>805</v>
      </c>
      <c r="BS80" s="113" t="s">
        <v>805</v>
      </c>
      <c r="BT80" s="113" t="s">
        <v>805</v>
      </c>
      <c r="BU80" s="113" t="s">
        <v>805</v>
      </c>
      <c r="BV80" s="113" t="s">
        <v>805</v>
      </c>
      <c r="BW80" s="113" t="s">
        <v>805</v>
      </c>
      <c r="BX80" s="113" t="s">
        <v>805</v>
      </c>
      <c r="BY80" s="113" t="s">
        <v>805</v>
      </c>
      <c r="BZ80" s="113" t="s">
        <v>805</v>
      </c>
      <c r="CA80" s="113" t="s">
        <v>805</v>
      </c>
      <c r="CB80" s="113" t="s">
        <v>805</v>
      </c>
      <c r="CC80" s="113" t="s">
        <v>805</v>
      </c>
      <c r="CD80" s="113" t="s">
        <v>805</v>
      </c>
      <c r="CE80" s="113" t="s">
        <v>805</v>
      </c>
      <c r="CF80" s="113" t="s">
        <v>805</v>
      </c>
      <c r="CG80" s="113" t="s">
        <v>805</v>
      </c>
      <c r="CH80" s="113" t="s">
        <v>805</v>
      </c>
      <c r="CI80" s="113" t="s">
        <v>805</v>
      </c>
      <c r="CJ80" s="113" t="s">
        <v>805</v>
      </c>
      <c r="CK80" s="113" t="s">
        <v>805</v>
      </c>
      <c r="CL80" s="113" t="s">
        <v>805</v>
      </c>
      <c r="CM80" s="113" t="s">
        <v>805</v>
      </c>
      <c r="CN80" s="113" t="s">
        <v>805</v>
      </c>
      <c r="CO80" s="113" t="s">
        <v>805</v>
      </c>
      <c r="CP80" s="113" t="s">
        <v>805</v>
      </c>
      <c r="CQ80" s="113" t="s">
        <v>805</v>
      </c>
      <c r="CR80" s="113" t="s">
        <v>805</v>
      </c>
      <c r="CS80" s="113" t="s">
        <v>805</v>
      </c>
      <c r="CT80" s="113" t="s">
        <v>805</v>
      </c>
      <c r="CU80" s="113" t="s">
        <v>805</v>
      </c>
      <c r="CV80" s="113" t="s">
        <v>805</v>
      </c>
      <c r="CW80" s="113" t="s">
        <v>805</v>
      </c>
      <c r="CX80" s="113" t="s">
        <v>805</v>
      </c>
      <c r="CY80" s="113" t="s">
        <v>805</v>
      </c>
      <c r="CZ80" s="113" t="s">
        <v>805</v>
      </c>
      <c r="DA80" s="113" t="s">
        <v>805</v>
      </c>
      <c r="DB80" s="113" t="s">
        <v>805</v>
      </c>
      <c r="DC80" s="113" t="s">
        <v>805</v>
      </c>
      <c r="DD80" s="113" t="s">
        <v>805</v>
      </c>
      <c r="DE80" s="113" t="s">
        <v>805</v>
      </c>
      <c r="DF80" s="113" t="s">
        <v>805</v>
      </c>
      <c r="DG80" s="28">
        <f>'KPI Count-SHARE'!J72</f>
        <v>0</v>
      </c>
      <c r="DH80" s="115"/>
      <c r="DI80" s="117"/>
      <c r="DJ80" s="115"/>
      <c r="DK80" s="28">
        <f>'KPI Count-SHARE'!K72</f>
        <v>0</v>
      </c>
      <c r="DL80" s="111"/>
      <c r="DM80" s="111"/>
      <c r="DN80" s="111"/>
      <c r="DO80" s="28">
        <f>'KPI Count-SHARE'!L72</f>
        <v>0</v>
      </c>
      <c r="DP80" s="111"/>
      <c r="DQ80" s="111"/>
      <c r="DR80" s="111"/>
      <c r="DS80" s="28">
        <f>'KPI Count-SHARE'!M72</f>
        <v>0</v>
      </c>
      <c r="DT80" s="111"/>
      <c r="DU80" s="111"/>
      <c r="DV80" s="111"/>
      <c r="DW80" s="30" t="str">
        <f t="shared" si="421"/>
        <v>USD '000 per FTE</v>
      </c>
      <c r="DX80" s="39" t="str">
        <f t="shared" si="425"/>
        <v>-</v>
      </c>
      <c r="DY80" s="39" t="str">
        <f t="shared" si="426"/>
        <v>-</v>
      </c>
      <c r="DZ80" s="39" t="str">
        <f t="shared" si="427"/>
        <v>-</v>
      </c>
      <c r="EA80" s="39" t="str">
        <f t="shared" si="428"/>
        <v>-</v>
      </c>
      <c r="EB80" s="39" t="str">
        <f t="shared" si="429"/>
        <v>-</v>
      </c>
      <c r="EC80" s="39" t="str">
        <f t="shared" si="430"/>
        <v>-</v>
      </c>
      <c r="ED80" s="39" t="str">
        <f t="shared" si="431"/>
        <v>-</v>
      </c>
      <c r="EE80" s="39" t="str">
        <f t="shared" si="432"/>
        <v>-</v>
      </c>
      <c r="EF80" s="39" t="str">
        <f t="shared" si="433"/>
        <v>-</v>
      </c>
      <c r="EG80" s="39" t="str">
        <f t="shared" si="434"/>
        <v>-</v>
      </c>
      <c r="EH80" s="39" t="str">
        <f t="shared" si="435"/>
        <v>-</v>
      </c>
      <c r="EI80" s="39" t="str">
        <f t="shared" si="406"/>
        <v>-</v>
      </c>
      <c r="EJ80" s="39" t="str">
        <f t="shared" si="406"/>
        <v>-</v>
      </c>
      <c r="EK80" s="39" t="str">
        <f t="shared" si="406"/>
        <v>-</v>
      </c>
      <c r="EL80" s="39" t="str">
        <f t="shared" si="406"/>
        <v>-</v>
      </c>
      <c r="EM80" s="39" t="str">
        <f t="shared" si="406"/>
        <v>-</v>
      </c>
      <c r="EN80" s="39" t="str">
        <f t="shared" si="406"/>
        <v>-</v>
      </c>
      <c r="EO80" s="39" t="str">
        <f t="shared" si="406"/>
        <v>-</v>
      </c>
      <c r="EP80" s="39" t="str">
        <f t="shared" si="406"/>
        <v>-</v>
      </c>
      <c r="EQ80" s="39" t="str">
        <f t="shared" si="406"/>
        <v>-</v>
      </c>
      <c r="ER80" s="39" t="str">
        <f t="shared" si="406"/>
        <v>-</v>
      </c>
      <c r="ES80" s="39" t="str">
        <f t="shared" si="406"/>
        <v>-</v>
      </c>
      <c r="ET80" s="39" t="str">
        <f t="shared" si="406"/>
        <v>-</v>
      </c>
      <c r="EU80" s="39" t="str">
        <f t="shared" si="319"/>
        <v>-</v>
      </c>
      <c r="EV80" s="39" t="str">
        <f t="shared" si="320"/>
        <v>-</v>
      </c>
      <c r="EW80" s="39" t="str">
        <f t="shared" si="321"/>
        <v>-</v>
      </c>
      <c r="EX80" s="39" t="str">
        <f t="shared" si="322"/>
        <v>-</v>
      </c>
      <c r="EY80" s="39" t="str">
        <f t="shared" si="323"/>
        <v>-</v>
      </c>
      <c r="EZ80" s="39" t="str">
        <f t="shared" si="324"/>
        <v>-</v>
      </c>
      <c r="FA80" s="39" t="str">
        <f t="shared" si="325"/>
        <v>-</v>
      </c>
      <c r="FB80" s="39" t="str">
        <f t="shared" si="326"/>
        <v>-</v>
      </c>
      <c r="FC80" s="39" t="str">
        <f t="shared" si="327"/>
        <v>-</v>
      </c>
      <c r="FD80" s="39" t="str">
        <f t="shared" si="328"/>
        <v>-</v>
      </c>
      <c r="FE80" s="39" t="str">
        <f t="shared" si="329"/>
        <v>-</v>
      </c>
      <c r="FF80" s="39" t="str">
        <f t="shared" si="330"/>
        <v>-</v>
      </c>
      <c r="FG80" s="39" t="str">
        <f t="shared" si="331"/>
        <v>-</v>
      </c>
      <c r="FH80" s="39" t="str">
        <f t="shared" si="332"/>
        <v>-</v>
      </c>
      <c r="FI80" s="39" t="str">
        <f t="shared" si="333"/>
        <v>-</v>
      </c>
      <c r="FJ80" s="39" t="str">
        <f t="shared" si="334"/>
        <v>-</v>
      </c>
      <c r="FK80" s="39" t="str">
        <f t="shared" si="335"/>
        <v>-</v>
      </c>
      <c r="FL80" s="39" t="str">
        <f t="shared" si="336"/>
        <v>-</v>
      </c>
      <c r="FM80" s="39" t="str">
        <f t="shared" si="337"/>
        <v>-</v>
      </c>
      <c r="FN80" s="39" t="str">
        <f t="shared" si="338"/>
        <v>-</v>
      </c>
      <c r="FO80" s="39" t="str">
        <f t="shared" si="339"/>
        <v>-</v>
      </c>
      <c r="FP80" s="39" t="str">
        <f t="shared" si="340"/>
        <v>-</v>
      </c>
      <c r="FQ80" s="39" t="str">
        <f t="shared" si="341"/>
        <v>-</v>
      </c>
      <c r="FR80" s="39" t="str">
        <f t="shared" si="342"/>
        <v>-</v>
      </c>
      <c r="FS80" s="39" t="str">
        <f t="shared" si="343"/>
        <v>-</v>
      </c>
      <c r="FT80" s="39" t="str">
        <f t="shared" si="344"/>
        <v>-</v>
      </c>
      <c r="FU80" s="39" t="str">
        <f t="shared" si="345"/>
        <v>-</v>
      </c>
      <c r="FV80" s="39" t="str">
        <f t="shared" si="346"/>
        <v>-</v>
      </c>
      <c r="FW80" s="39" t="str">
        <f t="shared" si="347"/>
        <v>-</v>
      </c>
      <c r="FX80" s="39" t="str">
        <f t="shared" si="348"/>
        <v>-</v>
      </c>
      <c r="FY80" s="39" t="str">
        <f t="shared" si="349"/>
        <v>-</v>
      </c>
      <c r="FZ80" s="39" t="str">
        <f t="shared" si="350"/>
        <v>-</v>
      </c>
      <c r="GA80" s="39" t="str">
        <f t="shared" si="351"/>
        <v>-</v>
      </c>
      <c r="GB80" s="39" t="str">
        <f t="shared" si="352"/>
        <v>-</v>
      </c>
      <c r="GC80" s="39" t="str">
        <f t="shared" si="353"/>
        <v>-</v>
      </c>
      <c r="GD80" s="39" t="str">
        <f t="shared" si="354"/>
        <v>-</v>
      </c>
      <c r="GE80" s="39" t="str">
        <f t="shared" si="355"/>
        <v>-</v>
      </c>
      <c r="GF80" s="39" t="str">
        <f t="shared" si="356"/>
        <v>-</v>
      </c>
      <c r="GG80" s="39" t="str">
        <f t="shared" si="357"/>
        <v>-</v>
      </c>
      <c r="GH80" s="39" t="str">
        <f t="shared" si="358"/>
        <v>-</v>
      </c>
      <c r="GI80" s="39" t="str">
        <f t="shared" si="359"/>
        <v>-</v>
      </c>
      <c r="GJ80" s="39" t="str">
        <f t="shared" si="360"/>
        <v>-</v>
      </c>
      <c r="GK80" s="39" t="str">
        <f t="shared" si="361"/>
        <v>-</v>
      </c>
      <c r="GL80" s="39" t="str">
        <f t="shared" si="362"/>
        <v>-</v>
      </c>
      <c r="GM80" s="39" t="str">
        <f t="shared" si="363"/>
        <v>-</v>
      </c>
      <c r="GN80" s="39" t="str">
        <f t="shared" si="364"/>
        <v>-</v>
      </c>
      <c r="GO80" s="39" t="str">
        <f t="shared" si="365"/>
        <v>-</v>
      </c>
      <c r="GP80" s="39" t="str">
        <f t="shared" si="366"/>
        <v>-</v>
      </c>
      <c r="GQ80" s="39" t="str">
        <f t="shared" si="367"/>
        <v>-</v>
      </c>
      <c r="GR80" s="39" t="str">
        <f t="shared" si="368"/>
        <v>-</v>
      </c>
      <c r="GS80" s="39" t="str">
        <f t="shared" si="369"/>
        <v>-</v>
      </c>
      <c r="GT80" s="39" t="str">
        <f t="shared" si="370"/>
        <v>-</v>
      </c>
      <c r="GU80" s="39" t="str">
        <f t="shared" si="371"/>
        <v>-</v>
      </c>
      <c r="GV80" s="39" t="str">
        <f t="shared" si="372"/>
        <v>-</v>
      </c>
      <c r="GW80" s="39" t="str">
        <f t="shared" si="373"/>
        <v>-</v>
      </c>
      <c r="GX80" s="39" t="str">
        <f t="shared" si="374"/>
        <v>-</v>
      </c>
      <c r="GY80" s="39" t="str">
        <f t="shared" si="375"/>
        <v>-</v>
      </c>
      <c r="GZ80" s="39" t="str">
        <f t="shared" si="376"/>
        <v>-</v>
      </c>
      <c r="HA80" s="39" t="str">
        <f t="shared" si="377"/>
        <v>-</v>
      </c>
      <c r="HB80" s="39" t="str">
        <f t="shared" si="378"/>
        <v>-</v>
      </c>
      <c r="HC80" s="39" t="str">
        <f t="shared" si="379"/>
        <v>-</v>
      </c>
      <c r="HD80" s="39" t="str">
        <f t="shared" si="380"/>
        <v>-</v>
      </c>
      <c r="HE80" s="39" t="str">
        <f t="shared" si="381"/>
        <v>-</v>
      </c>
      <c r="HF80" s="39" t="str">
        <f t="shared" si="382"/>
        <v>-</v>
      </c>
      <c r="HG80" s="39" t="str">
        <f t="shared" si="383"/>
        <v>-</v>
      </c>
      <c r="HH80" s="39" t="str">
        <f t="shared" si="384"/>
        <v>-</v>
      </c>
      <c r="HI80" s="39" t="str">
        <f t="shared" si="385"/>
        <v>-</v>
      </c>
      <c r="HJ80" s="39" t="str">
        <f t="shared" si="386"/>
        <v>-</v>
      </c>
      <c r="HK80" s="39" t="str">
        <f t="shared" si="387"/>
        <v>-</v>
      </c>
      <c r="HL80" s="39" t="str">
        <f t="shared" si="388"/>
        <v>-</v>
      </c>
      <c r="HM80" s="39" t="str">
        <f t="shared" si="389"/>
        <v>-</v>
      </c>
      <c r="HN80" s="39" t="str">
        <f t="shared" si="390"/>
        <v>-</v>
      </c>
      <c r="HO80" s="39" t="str">
        <f t="shared" si="391"/>
        <v>-</v>
      </c>
      <c r="HP80" s="39" t="str">
        <f t="shared" si="392"/>
        <v>-</v>
      </c>
      <c r="HQ80" s="39" t="str">
        <f t="shared" si="393"/>
        <v>-</v>
      </c>
      <c r="HR80" s="39" t="str">
        <f t="shared" si="394"/>
        <v>-</v>
      </c>
      <c r="HS80" s="39" t="str">
        <f t="shared" si="395"/>
        <v>-</v>
      </c>
      <c r="HT80" s="39" t="str">
        <f t="shared" si="395"/>
        <v>-</v>
      </c>
      <c r="HU80" s="43" t="str">
        <f t="shared" ref="HU80:HU137" si="445">IFERROR(IF(ISBLANK(DH80), "-", IF($I80="c", DH80*$I$5, DH80)),"-")</f>
        <v>-</v>
      </c>
      <c r="HV80" s="44" t="str">
        <f t="shared" ref="HV80:HV137" si="446">IFERROR(IF(ISBLANK(DI80), "", IF($I80="c", DI80*$I$5, DI80)),"-")</f>
        <v/>
      </c>
      <c r="HW80" s="45" t="str">
        <f t="shared" ref="HW80:HW137" si="447">IFERROR(IF(ISBLANK(DJ80), "", IF($I80="c", DJ80*$I$5, DJ80)),"-")</f>
        <v/>
      </c>
      <c r="HX80" s="102"/>
      <c r="HY80" s="102"/>
      <c r="HZ80" s="102"/>
      <c r="IA80" s="101"/>
      <c r="IB80" s="102"/>
      <c r="IC80" s="103"/>
      <c r="ID80" s="101"/>
      <c r="IE80" s="102"/>
      <c r="IF80" s="103"/>
      <c r="IH80" s="66">
        <v>80</v>
      </c>
      <c r="II80" s="66" t="e">
        <f t="shared" ca="1" si="436"/>
        <v>#N/A</v>
      </c>
      <c r="IJ80" s="66" t="e">
        <f t="shared" ca="1" si="437"/>
        <v>#N/A</v>
      </c>
      <c r="IK80" s="66" t="e">
        <f t="shared" ca="1" si="438"/>
        <v>#N/A</v>
      </c>
      <c r="IL80" s="66" t="e">
        <f t="shared" ca="1" si="439"/>
        <v>#N/A</v>
      </c>
      <c r="IN80" s="74" t="e">
        <f t="shared" ca="1" si="440"/>
        <v>#N/A</v>
      </c>
      <c r="IO80" s="75" t="e">
        <f t="shared" ca="1" si="441"/>
        <v>#N/A</v>
      </c>
      <c r="IP80" s="75" t="e">
        <f t="shared" ca="1" si="442"/>
        <v>#N/A</v>
      </c>
      <c r="IQ80" s="74" t="e">
        <f t="shared" ca="1" si="443"/>
        <v>#N/A</v>
      </c>
      <c r="IR80" s="74" t="e">
        <f t="shared" ca="1" si="444"/>
        <v>#N/A</v>
      </c>
    </row>
    <row r="81" spans="1:252" x14ac:dyDescent="0.35">
      <c r="A81" s="28">
        <v>0</v>
      </c>
      <c r="B81" s="28">
        <v>0</v>
      </c>
      <c r="C81" s="28">
        <v>1</v>
      </c>
      <c r="D81" s="1"/>
      <c r="E81" s="3"/>
      <c r="F81" t="s">
        <v>346</v>
      </c>
      <c r="G81" s="5" t="s">
        <v>540</v>
      </c>
      <c r="H81" t="s">
        <v>535</v>
      </c>
      <c r="I81" t="s">
        <v>536</v>
      </c>
      <c r="J81" s="276" t="s">
        <v>805</v>
      </c>
      <c r="K81" s="113" t="s">
        <v>805</v>
      </c>
      <c r="L81" s="113" t="s">
        <v>805</v>
      </c>
      <c r="M81" s="113" t="s">
        <v>805</v>
      </c>
      <c r="N81" s="113" t="s">
        <v>805</v>
      </c>
      <c r="O81" s="113" t="s">
        <v>805</v>
      </c>
      <c r="P81" s="113" t="s">
        <v>805</v>
      </c>
      <c r="Q81" s="113" t="s">
        <v>805</v>
      </c>
      <c r="R81" s="113" t="s">
        <v>805</v>
      </c>
      <c r="S81" s="113" t="s">
        <v>805</v>
      </c>
      <c r="T81" s="113" t="s">
        <v>805</v>
      </c>
      <c r="U81" s="113" t="s">
        <v>805</v>
      </c>
      <c r="V81" s="113" t="s">
        <v>805</v>
      </c>
      <c r="W81" s="113" t="s">
        <v>805</v>
      </c>
      <c r="X81" s="113" t="s">
        <v>805</v>
      </c>
      <c r="Y81" s="113" t="s">
        <v>805</v>
      </c>
      <c r="Z81" s="113" t="s">
        <v>805</v>
      </c>
      <c r="AA81" s="113" t="s">
        <v>805</v>
      </c>
      <c r="AB81" s="113" t="s">
        <v>805</v>
      </c>
      <c r="AC81" s="113" t="s">
        <v>805</v>
      </c>
      <c r="AD81" s="113" t="s">
        <v>805</v>
      </c>
      <c r="AE81" s="113" t="s">
        <v>805</v>
      </c>
      <c r="AF81" s="113" t="s">
        <v>805</v>
      </c>
      <c r="AG81" s="113" t="s">
        <v>805</v>
      </c>
      <c r="AH81" s="113" t="s">
        <v>805</v>
      </c>
      <c r="AI81" s="113" t="s">
        <v>805</v>
      </c>
      <c r="AJ81" s="113" t="s">
        <v>805</v>
      </c>
      <c r="AK81" s="113" t="s">
        <v>805</v>
      </c>
      <c r="AL81" s="113" t="s">
        <v>805</v>
      </c>
      <c r="AM81" s="113" t="s">
        <v>805</v>
      </c>
      <c r="AN81" s="113" t="s">
        <v>805</v>
      </c>
      <c r="AO81" s="113" t="s">
        <v>805</v>
      </c>
      <c r="AP81" s="113" t="s">
        <v>805</v>
      </c>
      <c r="AQ81" s="113" t="s">
        <v>805</v>
      </c>
      <c r="AR81" s="113" t="s">
        <v>805</v>
      </c>
      <c r="AS81" s="113" t="s">
        <v>805</v>
      </c>
      <c r="AT81" s="113" t="s">
        <v>805</v>
      </c>
      <c r="AU81" s="113" t="s">
        <v>805</v>
      </c>
      <c r="AV81" s="113" t="s">
        <v>805</v>
      </c>
      <c r="AW81" s="113" t="s">
        <v>805</v>
      </c>
      <c r="AX81" s="113" t="s">
        <v>805</v>
      </c>
      <c r="AY81" s="113" t="s">
        <v>805</v>
      </c>
      <c r="AZ81" s="113" t="s">
        <v>805</v>
      </c>
      <c r="BA81" s="113" t="s">
        <v>805</v>
      </c>
      <c r="BB81" s="113" t="s">
        <v>805</v>
      </c>
      <c r="BC81" s="113" t="s">
        <v>805</v>
      </c>
      <c r="BD81" s="113" t="s">
        <v>805</v>
      </c>
      <c r="BE81" s="113" t="s">
        <v>805</v>
      </c>
      <c r="BF81" s="113" t="s">
        <v>805</v>
      </c>
      <c r="BG81" s="113" t="s">
        <v>805</v>
      </c>
      <c r="BH81" s="113" t="s">
        <v>805</v>
      </c>
      <c r="BI81" s="113" t="s">
        <v>805</v>
      </c>
      <c r="BJ81" s="113" t="s">
        <v>805</v>
      </c>
      <c r="BK81" s="113" t="s">
        <v>805</v>
      </c>
      <c r="BL81" s="113" t="s">
        <v>805</v>
      </c>
      <c r="BM81" s="113" t="s">
        <v>805</v>
      </c>
      <c r="BN81" s="113" t="s">
        <v>805</v>
      </c>
      <c r="BO81" s="113" t="s">
        <v>805</v>
      </c>
      <c r="BP81" s="113" t="s">
        <v>805</v>
      </c>
      <c r="BQ81" s="113" t="s">
        <v>805</v>
      </c>
      <c r="BR81" s="113" t="s">
        <v>805</v>
      </c>
      <c r="BS81" s="113" t="s">
        <v>805</v>
      </c>
      <c r="BT81" s="113" t="s">
        <v>805</v>
      </c>
      <c r="BU81" s="113" t="s">
        <v>805</v>
      </c>
      <c r="BV81" s="113" t="s">
        <v>805</v>
      </c>
      <c r="BW81" s="113" t="s">
        <v>805</v>
      </c>
      <c r="BX81" s="113" t="s">
        <v>805</v>
      </c>
      <c r="BY81" s="113" t="s">
        <v>805</v>
      </c>
      <c r="BZ81" s="113" t="s">
        <v>805</v>
      </c>
      <c r="CA81" s="113" t="s">
        <v>805</v>
      </c>
      <c r="CB81" s="113" t="s">
        <v>805</v>
      </c>
      <c r="CC81" s="113" t="s">
        <v>805</v>
      </c>
      <c r="CD81" s="113" t="s">
        <v>805</v>
      </c>
      <c r="CE81" s="113" t="s">
        <v>805</v>
      </c>
      <c r="CF81" s="113" t="s">
        <v>805</v>
      </c>
      <c r="CG81" s="113" t="s">
        <v>805</v>
      </c>
      <c r="CH81" s="113" t="s">
        <v>805</v>
      </c>
      <c r="CI81" s="113" t="s">
        <v>805</v>
      </c>
      <c r="CJ81" s="113" t="s">
        <v>805</v>
      </c>
      <c r="CK81" s="113" t="s">
        <v>805</v>
      </c>
      <c r="CL81" s="113" t="s">
        <v>805</v>
      </c>
      <c r="CM81" s="113" t="s">
        <v>805</v>
      </c>
      <c r="CN81" s="113" t="s">
        <v>805</v>
      </c>
      <c r="CO81" s="113" t="s">
        <v>805</v>
      </c>
      <c r="CP81" s="113" t="s">
        <v>805</v>
      </c>
      <c r="CQ81" s="113" t="s">
        <v>805</v>
      </c>
      <c r="CR81" s="113" t="s">
        <v>805</v>
      </c>
      <c r="CS81" s="113" t="s">
        <v>805</v>
      </c>
      <c r="CT81" s="113" t="s">
        <v>805</v>
      </c>
      <c r="CU81" s="113" t="s">
        <v>805</v>
      </c>
      <c r="CV81" s="113" t="s">
        <v>805</v>
      </c>
      <c r="CW81" s="113" t="s">
        <v>805</v>
      </c>
      <c r="CX81" s="113" t="s">
        <v>805</v>
      </c>
      <c r="CY81" s="113" t="s">
        <v>805</v>
      </c>
      <c r="CZ81" s="113" t="s">
        <v>805</v>
      </c>
      <c r="DA81" s="113" t="s">
        <v>805</v>
      </c>
      <c r="DB81" s="113" t="s">
        <v>805</v>
      </c>
      <c r="DC81" s="113" t="s">
        <v>805</v>
      </c>
      <c r="DD81" s="113" t="s">
        <v>805</v>
      </c>
      <c r="DE81" s="113" t="s">
        <v>805</v>
      </c>
      <c r="DF81" s="113" t="s">
        <v>805</v>
      </c>
      <c r="DG81" s="28">
        <f>'KPI Count-SHARE'!J73</f>
        <v>0</v>
      </c>
      <c r="DH81" s="114"/>
      <c r="DI81" s="117"/>
      <c r="DJ81" s="114"/>
      <c r="DK81" s="28">
        <f>'KPI Count-SHARE'!K73</f>
        <v>0</v>
      </c>
      <c r="DL81" s="118"/>
      <c r="DM81" s="118"/>
      <c r="DN81" s="118"/>
      <c r="DO81" s="28">
        <f>'KPI Count-SHARE'!L73</f>
        <v>0</v>
      </c>
      <c r="DP81" s="118"/>
      <c r="DQ81" s="118"/>
      <c r="DR81" s="118"/>
      <c r="DS81" s="28">
        <f>'KPI Count-SHARE'!M73</f>
        <v>0</v>
      </c>
      <c r="DT81" s="118"/>
      <c r="DU81" s="118"/>
      <c r="DV81" s="118"/>
      <c r="DW81" s="30" t="str">
        <f t="shared" si="421"/>
        <v>USD '000 per FTE</v>
      </c>
      <c r="DX81" s="39" t="str">
        <f t="shared" si="425"/>
        <v>-</v>
      </c>
      <c r="DY81" s="39" t="str">
        <f t="shared" si="426"/>
        <v>-</v>
      </c>
      <c r="DZ81" s="39" t="str">
        <f t="shared" si="427"/>
        <v>-</v>
      </c>
      <c r="EA81" s="39" t="str">
        <f t="shared" si="428"/>
        <v>-</v>
      </c>
      <c r="EB81" s="39" t="str">
        <f t="shared" si="429"/>
        <v>-</v>
      </c>
      <c r="EC81" s="39" t="str">
        <f t="shared" si="430"/>
        <v>-</v>
      </c>
      <c r="ED81" s="39" t="str">
        <f t="shared" si="431"/>
        <v>-</v>
      </c>
      <c r="EE81" s="39" t="str">
        <f t="shared" si="432"/>
        <v>-</v>
      </c>
      <c r="EF81" s="39" t="str">
        <f t="shared" si="433"/>
        <v>-</v>
      </c>
      <c r="EG81" s="39" t="str">
        <f t="shared" si="434"/>
        <v>-</v>
      </c>
      <c r="EH81" s="39" t="str">
        <f t="shared" si="435"/>
        <v>-</v>
      </c>
      <c r="EI81" s="39" t="str">
        <f t="shared" si="406"/>
        <v>-</v>
      </c>
      <c r="EJ81" s="39" t="str">
        <f t="shared" si="406"/>
        <v>-</v>
      </c>
      <c r="EK81" s="39" t="str">
        <f t="shared" si="406"/>
        <v>-</v>
      </c>
      <c r="EL81" s="39" t="str">
        <f t="shared" si="406"/>
        <v>-</v>
      </c>
      <c r="EM81" s="39" t="str">
        <f t="shared" si="406"/>
        <v>-</v>
      </c>
      <c r="EN81" s="39" t="str">
        <f t="shared" si="406"/>
        <v>-</v>
      </c>
      <c r="EO81" s="39" t="str">
        <f t="shared" si="406"/>
        <v>-</v>
      </c>
      <c r="EP81" s="39" t="str">
        <f t="shared" si="406"/>
        <v>-</v>
      </c>
      <c r="EQ81" s="39" t="str">
        <f t="shared" si="406"/>
        <v>-</v>
      </c>
      <c r="ER81" s="39" t="str">
        <f t="shared" si="406"/>
        <v>-</v>
      </c>
      <c r="ES81" s="39" t="str">
        <f t="shared" si="406"/>
        <v>-</v>
      </c>
      <c r="ET81" s="39" t="str">
        <f t="shared" si="406"/>
        <v>-</v>
      </c>
      <c r="EU81" s="39" t="str">
        <f t="shared" si="319"/>
        <v>-</v>
      </c>
      <c r="EV81" s="39" t="str">
        <f t="shared" si="320"/>
        <v>-</v>
      </c>
      <c r="EW81" s="39" t="str">
        <f t="shared" si="321"/>
        <v>-</v>
      </c>
      <c r="EX81" s="39" t="str">
        <f t="shared" si="322"/>
        <v>-</v>
      </c>
      <c r="EY81" s="39" t="str">
        <f t="shared" si="323"/>
        <v>-</v>
      </c>
      <c r="EZ81" s="39" t="str">
        <f t="shared" si="324"/>
        <v>-</v>
      </c>
      <c r="FA81" s="39" t="str">
        <f t="shared" si="325"/>
        <v>-</v>
      </c>
      <c r="FB81" s="39" t="str">
        <f t="shared" si="326"/>
        <v>-</v>
      </c>
      <c r="FC81" s="39" t="str">
        <f t="shared" si="327"/>
        <v>-</v>
      </c>
      <c r="FD81" s="39" t="str">
        <f t="shared" si="328"/>
        <v>-</v>
      </c>
      <c r="FE81" s="39" t="str">
        <f t="shared" si="329"/>
        <v>-</v>
      </c>
      <c r="FF81" s="39" t="str">
        <f t="shared" si="330"/>
        <v>-</v>
      </c>
      <c r="FG81" s="39" t="str">
        <f t="shared" si="331"/>
        <v>-</v>
      </c>
      <c r="FH81" s="39" t="str">
        <f t="shared" si="332"/>
        <v>-</v>
      </c>
      <c r="FI81" s="39" t="str">
        <f t="shared" si="333"/>
        <v>-</v>
      </c>
      <c r="FJ81" s="39" t="str">
        <f t="shared" si="334"/>
        <v>-</v>
      </c>
      <c r="FK81" s="39" t="str">
        <f t="shared" si="335"/>
        <v>-</v>
      </c>
      <c r="FL81" s="39" t="str">
        <f t="shared" si="336"/>
        <v>-</v>
      </c>
      <c r="FM81" s="39" t="str">
        <f t="shared" si="337"/>
        <v>-</v>
      </c>
      <c r="FN81" s="39" t="str">
        <f t="shared" si="338"/>
        <v>-</v>
      </c>
      <c r="FO81" s="39" t="str">
        <f t="shared" si="339"/>
        <v>-</v>
      </c>
      <c r="FP81" s="39" t="str">
        <f t="shared" si="340"/>
        <v>-</v>
      </c>
      <c r="FQ81" s="39" t="str">
        <f t="shared" si="341"/>
        <v>-</v>
      </c>
      <c r="FR81" s="39" t="str">
        <f t="shared" si="342"/>
        <v>-</v>
      </c>
      <c r="FS81" s="39" t="str">
        <f t="shared" si="343"/>
        <v>-</v>
      </c>
      <c r="FT81" s="39" t="str">
        <f t="shared" si="344"/>
        <v>-</v>
      </c>
      <c r="FU81" s="39" t="str">
        <f t="shared" si="345"/>
        <v>-</v>
      </c>
      <c r="FV81" s="39" t="str">
        <f t="shared" si="346"/>
        <v>-</v>
      </c>
      <c r="FW81" s="39" t="str">
        <f t="shared" si="347"/>
        <v>-</v>
      </c>
      <c r="FX81" s="39" t="str">
        <f t="shared" si="348"/>
        <v>-</v>
      </c>
      <c r="FY81" s="39" t="str">
        <f t="shared" si="349"/>
        <v>-</v>
      </c>
      <c r="FZ81" s="39" t="str">
        <f t="shared" si="350"/>
        <v>-</v>
      </c>
      <c r="GA81" s="39" t="str">
        <f t="shared" si="351"/>
        <v>-</v>
      </c>
      <c r="GB81" s="39" t="str">
        <f t="shared" si="352"/>
        <v>-</v>
      </c>
      <c r="GC81" s="39" t="str">
        <f t="shared" si="353"/>
        <v>-</v>
      </c>
      <c r="GD81" s="39" t="str">
        <f t="shared" si="354"/>
        <v>-</v>
      </c>
      <c r="GE81" s="39" t="str">
        <f t="shared" si="355"/>
        <v>-</v>
      </c>
      <c r="GF81" s="39" t="str">
        <f t="shared" si="356"/>
        <v>-</v>
      </c>
      <c r="GG81" s="39" t="str">
        <f t="shared" si="357"/>
        <v>-</v>
      </c>
      <c r="GH81" s="39" t="str">
        <f t="shared" si="358"/>
        <v>-</v>
      </c>
      <c r="GI81" s="39" t="str">
        <f t="shared" si="359"/>
        <v>-</v>
      </c>
      <c r="GJ81" s="39" t="str">
        <f t="shared" si="360"/>
        <v>-</v>
      </c>
      <c r="GK81" s="39" t="str">
        <f t="shared" si="361"/>
        <v>-</v>
      </c>
      <c r="GL81" s="39" t="str">
        <f t="shared" si="362"/>
        <v>-</v>
      </c>
      <c r="GM81" s="39" t="str">
        <f t="shared" si="363"/>
        <v>-</v>
      </c>
      <c r="GN81" s="39" t="str">
        <f t="shared" si="364"/>
        <v>-</v>
      </c>
      <c r="GO81" s="39" t="str">
        <f t="shared" si="365"/>
        <v>-</v>
      </c>
      <c r="GP81" s="39" t="str">
        <f t="shared" si="366"/>
        <v>-</v>
      </c>
      <c r="GQ81" s="39" t="str">
        <f t="shared" si="367"/>
        <v>-</v>
      </c>
      <c r="GR81" s="39" t="str">
        <f t="shared" si="368"/>
        <v>-</v>
      </c>
      <c r="GS81" s="39" t="str">
        <f t="shared" si="369"/>
        <v>-</v>
      </c>
      <c r="GT81" s="39" t="str">
        <f t="shared" si="370"/>
        <v>-</v>
      </c>
      <c r="GU81" s="39" t="str">
        <f t="shared" si="371"/>
        <v>-</v>
      </c>
      <c r="GV81" s="39" t="str">
        <f t="shared" si="372"/>
        <v>-</v>
      </c>
      <c r="GW81" s="39" t="str">
        <f t="shared" si="373"/>
        <v>-</v>
      </c>
      <c r="GX81" s="39" t="str">
        <f t="shared" si="374"/>
        <v>-</v>
      </c>
      <c r="GY81" s="39" t="str">
        <f t="shared" si="375"/>
        <v>-</v>
      </c>
      <c r="GZ81" s="39" t="str">
        <f t="shared" si="376"/>
        <v>-</v>
      </c>
      <c r="HA81" s="39" t="str">
        <f t="shared" si="377"/>
        <v>-</v>
      </c>
      <c r="HB81" s="39" t="str">
        <f t="shared" si="378"/>
        <v>-</v>
      </c>
      <c r="HC81" s="39" t="str">
        <f t="shared" si="379"/>
        <v>-</v>
      </c>
      <c r="HD81" s="39" t="str">
        <f t="shared" si="380"/>
        <v>-</v>
      </c>
      <c r="HE81" s="39" t="str">
        <f t="shared" si="381"/>
        <v>-</v>
      </c>
      <c r="HF81" s="39" t="str">
        <f t="shared" si="382"/>
        <v>-</v>
      </c>
      <c r="HG81" s="39" t="str">
        <f t="shared" si="383"/>
        <v>-</v>
      </c>
      <c r="HH81" s="39" t="str">
        <f t="shared" si="384"/>
        <v>-</v>
      </c>
      <c r="HI81" s="39" t="str">
        <f t="shared" si="385"/>
        <v>-</v>
      </c>
      <c r="HJ81" s="39" t="str">
        <f t="shared" si="386"/>
        <v>-</v>
      </c>
      <c r="HK81" s="39" t="str">
        <f t="shared" si="387"/>
        <v>-</v>
      </c>
      <c r="HL81" s="39" t="str">
        <f t="shared" si="388"/>
        <v>-</v>
      </c>
      <c r="HM81" s="39" t="str">
        <f t="shared" si="389"/>
        <v>-</v>
      </c>
      <c r="HN81" s="39" t="str">
        <f t="shared" si="390"/>
        <v>-</v>
      </c>
      <c r="HO81" s="39" t="str">
        <f t="shared" si="391"/>
        <v>-</v>
      </c>
      <c r="HP81" s="39" t="str">
        <f t="shared" si="392"/>
        <v>-</v>
      </c>
      <c r="HQ81" s="39" t="str">
        <f t="shared" si="393"/>
        <v>-</v>
      </c>
      <c r="HR81" s="39" t="str">
        <f t="shared" si="394"/>
        <v>-</v>
      </c>
      <c r="HS81" s="39" t="str">
        <f t="shared" si="395"/>
        <v>-</v>
      </c>
      <c r="HT81" s="39" t="str">
        <f t="shared" si="395"/>
        <v>-</v>
      </c>
      <c r="HU81" s="43" t="str">
        <f t="shared" si="445"/>
        <v>-</v>
      </c>
      <c r="HV81" s="44" t="str">
        <f t="shared" si="446"/>
        <v/>
      </c>
      <c r="HW81" s="45" t="str">
        <f t="shared" si="447"/>
        <v/>
      </c>
      <c r="HX81" s="102"/>
      <c r="HY81" s="102"/>
      <c r="HZ81" s="102"/>
      <c r="IA81" s="101"/>
      <c r="IB81" s="102"/>
      <c r="IC81" s="103"/>
      <c r="ID81" s="101"/>
      <c r="IE81" s="102"/>
      <c r="IF81" s="103"/>
      <c r="IH81" s="66">
        <v>81</v>
      </c>
      <c r="II81" s="66" t="e">
        <f t="shared" ca="1" si="436"/>
        <v>#N/A</v>
      </c>
      <c r="IJ81" s="66" t="e">
        <f t="shared" ca="1" si="437"/>
        <v>#N/A</v>
      </c>
      <c r="IK81" s="66" t="e">
        <f t="shared" ca="1" si="438"/>
        <v>#N/A</v>
      </c>
      <c r="IL81" s="66" t="e">
        <f t="shared" ca="1" si="439"/>
        <v>#N/A</v>
      </c>
      <c r="IN81" s="74" t="e">
        <f t="shared" ca="1" si="440"/>
        <v>#N/A</v>
      </c>
      <c r="IO81" s="75" t="e">
        <f t="shared" ca="1" si="441"/>
        <v>#N/A</v>
      </c>
      <c r="IP81" s="75" t="e">
        <f t="shared" ca="1" si="442"/>
        <v>#N/A</v>
      </c>
      <c r="IQ81" s="74" t="e">
        <f t="shared" ca="1" si="443"/>
        <v>#N/A</v>
      </c>
      <c r="IR81" s="74" t="e">
        <f t="shared" ca="1" si="444"/>
        <v>#N/A</v>
      </c>
    </row>
    <row r="82" spans="1:252" x14ac:dyDescent="0.35">
      <c r="A82" s="28">
        <v>0</v>
      </c>
      <c r="B82" s="28">
        <v>0</v>
      </c>
      <c r="C82" s="28">
        <v>1</v>
      </c>
      <c r="D82" s="1"/>
      <c r="E82" s="3"/>
      <c r="F82" t="s">
        <v>347</v>
      </c>
      <c r="G82" s="5" t="s">
        <v>540</v>
      </c>
      <c r="H82" t="s">
        <v>535</v>
      </c>
      <c r="I82" t="s">
        <v>536</v>
      </c>
      <c r="J82" s="276" t="s">
        <v>805</v>
      </c>
      <c r="K82" s="113" t="s">
        <v>805</v>
      </c>
      <c r="L82" s="113" t="s">
        <v>805</v>
      </c>
      <c r="M82" s="113" t="s">
        <v>805</v>
      </c>
      <c r="N82" s="113" t="s">
        <v>805</v>
      </c>
      <c r="O82" s="113" t="s">
        <v>805</v>
      </c>
      <c r="P82" s="113" t="s">
        <v>805</v>
      </c>
      <c r="Q82" s="113" t="s">
        <v>805</v>
      </c>
      <c r="R82" s="113" t="s">
        <v>805</v>
      </c>
      <c r="S82" s="113" t="s">
        <v>805</v>
      </c>
      <c r="T82" s="113" t="s">
        <v>805</v>
      </c>
      <c r="U82" s="113" t="s">
        <v>805</v>
      </c>
      <c r="V82" s="113" t="s">
        <v>805</v>
      </c>
      <c r="W82" s="113" t="s">
        <v>805</v>
      </c>
      <c r="X82" s="113" t="s">
        <v>805</v>
      </c>
      <c r="Y82" s="113" t="s">
        <v>805</v>
      </c>
      <c r="Z82" s="113" t="s">
        <v>805</v>
      </c>
      <c r="AA82" s="113" t="s">
        <v>805</v>
      </c>
      <c r="AB82" s="113" t="s">
        <v>805</v>
      </c>
      <c r="AC82" s="113" t="s">
        <v>805</v>
      </c>
      <c r="AD82" s="113" t="s">
        <v>805</v>
      </c>
      <c r="AE82" s="113" t="s">
        <v>805</v>
      </c>
      <c r="AF82" s="113" t="s">
        <v>805</v>
      </c>
      <c r="AG82" s="113" t="s">
        <v>805</v>
      </c>
      <c r="AH82" s="113" t="s">
        <v>805</v>
      </c>
      <c r="AI82" s="113" t="s">
        <v>805</v>
      </c>
      <c r="AJ82" s="113" t="s">
        <v>805</v>
      </c>
      <c r="AK82" s="113" t="s">
        <v>805</v>
      </c>
      <c r="AL82" s="113" t="s">
        <v>805</v>
      </c>
      <c r="AM82" s="113" t="s">
        <v>805</v>
      </c>
      <c r="AN82" s="113" t="s">
        <v>805</v>
      </c>
      <c r="AO82" s="113" t="s">
        <v>805</v>
      </c>
      <c r="AP82" s="113" t="s">
        <v>805</v>
      </c>
      <c r="AQ82" s="113" t="s">
        <v>805</v>
      </c>
      <c r="AR82" s="113" t="s">
        <v>805</v>
      </c>
      <c r="AS82" s="113" t="s">
        <v>805</v>
      </c>
      <c r="AT82" s="113" t="s">
        <v>805</v>
      </c>
      <c r="AU82" s="113" t="s">
        <v>805</v>
      </c>
      <c r="AV82" s="113" t="s">
        <v>805</v>
      </c>
      <c r="AW82" s="113" t="s">
        <v>805</v>
      </c>
      <c r="AX82" s="113" t="s">
        <v>805</v>
      </c>
      <c r="AY82" s="113" t="s">
        <v>805</v>
      </c>
      <c r="AZ82" s="113" t="s">
        <v>805</v>
      </c>
      <c r="BA82" s="113" t="s">
        <v>805</v>
      </c>
      <c r="BB82" s="113" t="s">
        <v>805</v>
      </c>
      <c r="BC82" s="113" t="s">
        <v>805</v>
      </c>
      <c r="BD82" s="113" t="s">
        <v>805</v>
      </c>
      <c r="BE82" s="113" t="s">
        <v>805</v>
      </c>
      <c r="BF82" s="113" t="s">
        <v>805</v>
      </c>
      <c r="BG82" s="113" t="s">
        <v>805</v>
      </c>
      <c r="BH82" s="113" t="s">
        <v>805</v>
      </c>
      <c r="BI82" s="113" t="s">
        <v>805</v>
      </c>
      <c r="BJ82" s="113" t="s">
        <v>805</v>
      </c>
      <c r="BK82" s="113" t="s">
        <v>805</v>
      </c>
      <c r="BL82" s="113" t="s">
        <v>805</v>
      </c>
      <c r="BM82" s="113" t="s">
        <v>805</v>
      </c>
      <c r="BN82" s="113" t="s">
        <v>805</v>
      </c>
      <c r="BO82" s="113" t="s">
        <v>805</v>
      </c>
      <c r="BP82" s="113" t="s">
        <v>805</v>
      </c>
      <c r="BQ82" s="113" t="s">
        <v>805</v>
      </c>
      <c r="BR82" s="113" t="s">
        <v>805</v>
      </c>
      <c r="BS82" s="113" t="s">
        <v>805</v>
      </c>
      <c r="BT82" s="113" t="s">
        <v>805</v>
      </c>
      <c r="BU82" s="113" t="s">
        <v>805</v>
      </c>
      <c r="BV82" s="113" t="s">
        <v>805</v>
      </c>
      <c r="BW82" s="113" t="s">
        <v>805</v>
      </c>
      <c r="BX82" s="113" t="s">
        <v>805</v>
      </c>
      <c r="BY82" s="113" t="s">
        <v>805</v>
      </c>
      <c r="BZ82" s="113" t="s">
        <v>805</v>
      </c>
      <c r="CA82" s="113" t="s">
        <v>805</v>
      </c>
      <c r="CB82" s="113" t="s">
        <v>805</v>
      </c>
      <c r="CC82" s="113" t="s">
        <v>805</v>
      </c>
      <c r="CD82" s="113" t="s">
        <v>805</v>
      </c>
      <c r="CE82" s="113" t="s">
        <v>805</v>
      </c>
      <c r="CF82" s="113" t="s">
        <v>805</v>
      </c>
      <c r="CG82" s="113" t="s">
        <v>805</v>
      </c>
      <c r="CH82" s="113" t="s">
        <v>805</v>
      </c>
      <c r="CI82" s="113" t="s">
        <v>805</v>
      </c>
      <c r="CJ82" s="113" t="s">
        <v>805</v>
      </c>
      <c r="CK82" s="113" t="s">
        <v>805</v>
      </c>
      <c r="CL82" s="113" t="s">
        <v>805</v>
      </c>
      <c r="CM82" s="113" t="s">
        <v>805</v>
      </c>
      <c r="CN82" s="113" t="s">
        <v>805</v>
      </c>
      <c r="CO82" s="113" t="s">
        <v>805</v>
      </c>
      <c r="CP82" s="113" t="s">
        <v>805</v>
      </c>
      <c r="CQ82" s="113" t="s">
        <v>805</v>
      </c>
      <c r="CR82" s="113" t="s">
        <v>805</v>
      </c>
      <c r="CS82" s="113" t="s">
        <v>805</v>
      </c>
      <c r="CT82" s="113" t="s">
        <v>805</v>
      </c>
      <c r="CU82" s="113" t="s">
        <v>805</v>
      </c>
      <c r="CV82" s="113" t="s">
        <v>805</v>
      </c>
      <c r="CW82" s="113" t="s">
        <v>805</v>
      </c>
      <c r="CX82" s="113" t="s">
        <v>805</v>
      </c>
      <c r="CY82" s="113" t="s">
        <v>805</v>
      </c>
      <c r="CZ82" s="113" t="s">
        <v>805</v>
      </c>
      <c r="DA82" s="113" t="s">
        <v>805</v>
      </c>
      <c r="DB82" s="113" t="s">
        <v>805</v>
      </c>
      <c r="DC82" s="113" t="s">
        <v>805</v>
      </c>
      <c r="DD82" s="113" t="s">
        <v>805</v>
      </c>
      <c r="DE82" s="113" t="s">
        <v>805</v>
      </c>
      <c r="DF82" s="113" t="s">
        <v>805</v>
      </c>
      <c r="DG82" s="28" t="e">
        <f>'KPI Count-SHARE'!#REF!</f>
        <v>#REF!</v>
      </c>
      <c r="DH82" s="114"/>
      <c r="DI82" s="117"/>
      <c r="DJ82" s="114"/>
      <c r="DK82" s="28" t="e">
        <f>'KPI Count-SHARE'!#REF!</f>
        <v>#REF!</v>
      </c>
      <c r="DL82" s="118"/>
      <c r="DM82" s="118"/>
      <c r="DN82" s="118"/>
      <c r="DO82" s="28" t="e">
        <f>'KPI Count-SHARE'!#REF!</f>
        <v>#REF!</v>
      </c>
      <c r="DP82" s="118"/>
      <c r="DQ82" s="118"/>
      <c r="DR82" s="118"/>
      <c r="DS82" s="28" t="e">
        <f>'KPI Count-SHARE'!#REF!</f>
        <v>#REF!</v>
      </c>
      <c r="DT82" s="118"/>
      <c r="DU82" s="118"/>
      <c r="DV82" s="118"/>
      <c r="DW82" s="30" t="str">
        <f t="shared" si="421"/>
        <v>USD '000 per FTE</v>
      </c>
      <c r="DX82" s="39" t="str">
        <f t="shared" si="425"/>
        <v>-</v>
      </c>
      <c r="DY82" s="39" t="str">
        <f t="shared" si="426"/>
        <v>-</v>
      </c>
      <c r="DZ82" s="39" t="str">
        <f t="shared" si="427"/>
        <v>-</v>
      </c>
      <c r="EA82" s="39" t="str">
        <f t="shared" si="428"/>
        <v>-</v>
      </c>
      <c r="EB82" s="39" t="str">
        <f t="shared" si="429"/>
        <v>-</v>
      </c>
      <c r="EC82" s="39" t="str">
        <f t="shared" si="430"/>
        <v>-</v>
      </c>
      <c r="ED82" s="39" t="str">
        <f t="shared" si="431"/>
        <v>-</v>
      </c>
      <c r="EE82" s="39" t="str">
        <f t="shared" si="432"/>
        <v>-</v>
      </c>
      <c r="EF82" s="39" t="str">
        <f t="shared" si="433"/>
        <v>-</v>
      </c>
      <c r="EG82" s="39" t="str">
        <f t="shared" si="434"/>
        <v>-</v>
      </c>
      <c r="EH82" s="39" t="str">
        <f t="shared" si="435"/>
        <v>-</v>
      </c>
      <c r="EI82" s="39" t="str">
        <f t="shared" si="406"/>
        <v>-</v>
      </c>
      <c r="EJ82" s="39" t="str">
        <f t="shared" si="406"/>
        <v>-</v>
      </c>
      <c r="EK82" s="39" t="str">
        <f t="shared" si="406"/>
        <v>-</v>
      </c>
      <c r="EL82" s="39" t="str">
        <f t="shared" si="406"/>
        <v>-</v>
      </c>
      <c r="EM82" s="39" t="str">
        <f t="shared" si="406"/>
        <v>-</v>
      </c>
      <c r="EN82" s="39" t="str">
        <f t="shared" si="406"/>
        <v>-</v>
      </c>
      <c r="EO82" s="39" t="str">
        <f t="shared" si="406"/>
        <v>-</v>
      </c>
      <c r="EP82" s="39" t="str">
        <f t="shared" si="406"/>
        <v>-</v>
      </c>
      <c r="EQ82" s="39" t="str">
        <f t="shared" si="406"/>
        <v>-</v>
      </c>
      <c r="ER82" s="39" t="str">
        <f t="shared" si="406"/>
        <v>-</v>
      </c>
      <c r="ES82" s="39" t="str">
        <f t="shared" si="406"/>
        <v>-</v>
      </c>
      <c r="ET82" s="39" t="str">
        <f t="shared" si="406"/>
        <v>-</v>
      </c>
      <c r="EU82" s="39" t="str">
        <f t="shared" si="319"/>
        <v>-</v>
      </c>
      <c r="EV82" s="39" t="str">
        <f t="shared" si="320"/>
        <v>-</v>
      </c>
      <c r="EW82" s="39" t="str">
        <f t="shared" si="321"/>
        <v>-</v>
      </c>
      <c r="EX82" s="39" t="str">
        <f t="shared" si="322"/>
        <v>-</v>
      </c>
      <c r="EY82" s="39" t="str">
        <f t="shared" si="323"/>
        <v>-</v>
      </c>
      <c r="EZ82" s="39" t="str">
        <f t="shared" si="324"/>
        <v>-</v>
      </c>
      <c r="FA82" s="39" t="str">
        <f t="shared" si="325"/>
        <v>-</v>
      </c>
      <c r="FB82" s="39" t="str">
        <f t="shared" si="326"/>
        <v>-</v>
      </c>
      <c r="FC82" s="39" t="str">
        <f t="shared" si="327"/>
        <v>-</v>
      </c>
      <c r="FD82" s="39" t="str">
        <f t="shared" si="328"/>
        <v>-</v>
      </c>
      <c r="FE82" s="39" t="str">
        <f t="shared" si="329"/>
        <v>-</v>
      </c>
      <c r="FF82" s="39" t="str">
        <f t="shared" si="330"/>
        <v>-</v>
      </c>
      <c r="FG82" s="39" t="str">
        <f t="shared" si="331"/>
        <v>-</v>
      </c>
      <c r="FH82" s="39" t="str">
        <f t="shared" si="332"/>
        <v>-</v>
      </c>
      <c r="FI82" s="39" t="str">
        <f t="shared" si="333"/>
        <v>-</v>
      </c>
      <c r="FJ82" s="39" t="str">
        <f t="shared" si="334"/>
        <v>-</v>
      </c>
      <c r="FK82" s="39" t="str">
        <f t="shared" si="335"/>
        <v>-</v>
      </c>
      <c r="FL82" s="39" t="str">
        <f t="shared" si="336"/>
        <v>-</v>
      </c>
      <c r="FM82" s="39" t="str">
        <f t="shared" si="337"/>
        <v>-</v>
      </c>
      <c r="FN82" s="39" t="str">
        <f t="shared" si="338"/>
        <v>-</v>
      </c>
      <c r="FO82" s="39" t="str">
        <f t="shared" si="339"/>
        <v>-</v>
      </c>
      <c r="FP82" s="39" t="str">
        <f t="shared" si="340"/>
        <v>-</v>
      </c>
      <c r="FQ82" s="39" t="str">
        <f t="shared" si="341"/>
        <v>-</v>
      </c>
      <c r="FR82" s="39" t="str">
        <f t="shared" si="342"/>
        <v>-</v>
      </c>
      <c r="FS82" s="39" t="str">
        <f t="shared" si="343"/>
        <v>-</v>
      </c>
      <c r="FT82" s="39" t="str">
        <f t="shared" si="344"/>
        <v>-</v>
      </c>
      <c r="FU82" s="39" t="str">
        <f t="shared" si="345"/>
        <v>-</v>
      </c>
      <c r="FV82" s="39" t="str">
        <f t="shared" si="346"/>
        <v>-</v>
      </c>
      <c r="FW82" s="39" t="str">
        <f t="shared" si="347"/>
        <v>-</v>
      </c>
      <c r="FX82" s="39" t="str">
        <f t="shared" si="348"/>
        <v>-</v>
      </c>
      <c r="FY82" s="39" t="str">
        <f t="shared" si="349"/>
        <v>-</v>
      </c>
      <c r="FZ82" s="39" t="str">
        <f t="shared" si="350"/>
        <v>-</v>
      </c>
      <c r="GA82" s="39" t="str">
        <f t="shared" si="351"/>
        <v>-</v>
      </c>
      <c r="GB82" s="39" t="str">
        <f t="shared" si="352"/>
        <v>-</v>
      </c>
      <c r="GC82" s="39" t="str">
        <f t="shared" si="353"/>
        <v>-</v>
      </c>
      <c r="GD82" s="39" t="str">
        <f t="shared" si="354"/>
        <v>-</v>
      </c>
      <c r="GE82" s="39" t="str">
        <f t="shared" si="355"/>
        <v>-</v>
      </c>
      <c r="GF82" s="39" t="str">
        <f t="shared" si="356"/>
        <v>-</v>
      </c>
      <c r="GG82" s="39" t="str">
        <f t="shared" si="357"/>
        <v>-</v>
      </c>
      <c r="GH82" s="39" t="str">
        <f t="shared" si="358"/>
        <v>-</v>
      </c>
      <c r="GI82" s="39" t="str">
        <f t="shared" si="359"/>
        <v>-</v>
      </c>
      <c r="GJ82" s="39" t="str">
        <f t="shared" si="360"/>
        <v>-</v>
      </c>
      <c r="GK82" s="39" t="str">
        <f t="shared" si="361"/>
        <v>-</v>
      </c>
      <c r="GL82" s="39" t="str">
        <f t="shared" si="362"/>
        <v>-</v>
      </c>
      <c r="GM82" s="39" t="str">
        <f t="shared" si="363"/>
        <v>-</v>
      </c>
      <c r="GN82" s="39" t="str">
        <f t="shared" si="364"/>
        <v>-</v>
      </c>
      <c r="GO82" s="39" t="str">
        <f t="shared" si="365"/>
        <v>-</v>
      </c>
      <c r="GP82" s="39" t="str">
        <f t="shared" si="366"/>
        <v>-</v>
      </c>
      <c r="GQ82" s="39" t="str">
        <f t="shared" si="367"/>
        <v>-</v>
      </c>
      <c r="GR82" s="39" t="str">
        <f t="shared" si="368"/>
        <v>-</v>
      </c>
      <c r="GS82" s="39" t="str">
        <f t="shared" si="369"/>
        <v>-</v>
      </c>
      <c r="GT82" s="39" t="str">
        <f t="shared" si="370"/>
        <v>-</v>
      </c>
      <c r="GU82" s="39" t="str">
        <f t="shared" si="371"/>
        <v>-</v>
      </c>
      <c r="GV82" s="39" t="str">
        <f t="shared" si="372"/>
        <v>-</v>
      </c>
      <c r="GW82" s="39" t="str">
        <f t="shared" si="373"/>
        <v>-</v>
      </c>
      <c r="GX82" s="39" t="str">
        <f t="shared" si="374"/>
        <v>-</v>
      </c>
      <c r="GY82" s="39" t="str">
        <f t="shared" si="375"/>
        <v>-</v>
      </c>
      <c r="GZ82" s="39" t="str">
        <f t="shared" si="376"/>
        <v>-</v>
      </c>
      <c r="HA82" s="39" t="str">
        <f t="shared" si="377"/>
        <v>-</v>
      </c>
      <c r="HB82" s="39" t="str">
        <f t="shared" si="378"/>
        <v>-</v>
      </c>
      <c r="HC82" s="39" t="str">
        <f t="shared" si="379"/>
        <v>-</v>
      </c>
      <c r="HD82" s="39" t="str">
        <f t="shared" si="380"/>
        <v>-</v>
      </c>
      <c r="HE82" s="39" t="str">
        <f t="shared" si="381"/>
        <v>-</v>
      </c>
      <c r="HF82" s="39" t="str">
        <f t="shared" si="382"/>
        <v>-</v>
      </c>
      <c r="HG82" s="39" t="str">
        <f t="shared" si="383"/>
        <v>-</v>
      </c>
      <c r="HH82" s="39" t="str">
        <f t="shared" si="384"/>
        <v>-</v>
      </c>
      <c r="HI82" s="39" t="str">
        <f t="shared" si="385"/>
        <v>-</v>
      </c>
      <c r="HJ82" s="39" t="str">
        <f t="shared" si="386"/>
        <v>-</v>
      </c>
      <c r="HK82" s="39" t="str">
        <f t="shared" si="387"/>
        <v>-</v>
      </c>
      <c r="HL82" s="39" t="str">
        <f t="shared" si="388"/>
        <v>-</v>
      </c>
      <c r="HM82" s="39" t="str">
        <f t="shared" si="389"/>
        <v>-</v>
      </c>
      <c r="HN82" s="39" t="str">
        <f t="shared" si="390"/>
        <v>-</v>
      </c>
      <c r="HO82" s="39" t="str">
        <f t="shared" si="391"/>
        <v>-</v>
      </c>
      <c r="HP82" s="39" t="str">
        <f t="shared" si="392"/>
        <v>-</v>
      </c>
      <c r="HQ82" s="39" t="str">
        <f t="shared" si="393"/>
        <v>-</v>
      </c>
      <c r="HR82" s="39" t="str">
        <f t="shared" si="394"/>
        <v>-</v>
      </c>
      <c r="HS82" s="39" t="str">
        <f t="shared" si="395"/>
        <v>-</v>
      </c>
      <c r="HT82" s="39" t="str">
        <f t="shared" si="395"/>
        <v>-</v>
      </c>
      <c r="HU82" s="43" t="str">
        <f t="shared" si="445"/>
        <v>-</v>
      </c>
      <c r="HV82" s="44" t="str">
        <f t="shared" si="446"/>
        <v/>
      </c>
      <c r="HW82" s="45" t="str">
        <f t="shared" si="447"/>
        <v/>
      </c>
      <c r="HX82" s="102"/>
      <c r="HY82" s="102"/>
      <c r="HZ82" s="102"/>
      <c r="IA82" s="101"/>
      <c r="IB82" s="102"/>
      <c r="IC82" s="103"/>
      <c r="ID82" s="101"/>
      <c r="IE82" s="102"/>
      <c r="IF82" s="103"/>
      <c r="IH82" s="66">
        <v>82</v>
      </c>
      <c r="II82" s="66" t="e">
        <f t="shared" ca="1" si="436"/>
        <v>#N/A</v>
      </c>
      <c r="IJ82" s="66" t="e">
        <f t="shared" ca="1" si="437"/>
        <v>#N/A</v>
      </c>
      <c r="IK82" s="66" t="e">
        <f t="shared" ca="1" si="438"/>
        <v>#N/A</v>
      </c>
      <c r="IL82" s="66" t="e">
        <f t="shared" ca="1" si="439"/>
        <v>#N/A</v>
      </c>
      <c r="IN82" s="74" t="e">
        <f t="shared" ca="1" si="440"/>
        <v>#N/A</v>
      </c>
      <c r="IO82" s="75" t="e">
        <f t="shared" ca="1" si="441"/>
        <v>#N/A</v>
      </c>
      <c r="IP82" s="75" t="e">
        <f t="shared" ca="1" si="442"/>
        <v>#N/A</v>
      </c>
      <c r="IQ82" s="74" t="e">
        <f t="shared" ca="1" si="443"/>
        <v>#N/A</v>
      </c>
      <c r="IR82" s="74" t="e">
        <f t="shared" ca="1" si="444"/>
        <v>#N/A</v>
      </c>
    </row>
    <row r="83" spans="1:252" x14ac:dyDescent="0.35">
      <c r="A83" s="28">
        <v>0</v>
      </c>
      <c r="B83" s="28">
        <v>0</v>
      </c>
      <c r="C83" s="28">
        <v>1</v>
      </c>
      <c r="D83" s="1"/>
      <c r="E83" s="3"/>
      <c r="F83" t="s">
        <v>348</v>
      </c>
      <c r="G83" s="5" t="s">
        <v>540</v>
      </c>
      <c r="H83" t="s">
        <v>535</v>
      </c>
      <c r="I83" t="s">
        <v>536</v>
      </c>
      <c r="J83" s="276" t="s">
        <v>805</v>
      </c>
      <c r="K83" s="113" t="s">
        <v>805</v>
      </c>
      <c r="L83" s="113" t="s">
        <v>805</v>
      </c>
      <c r="M83" s="113" t="s">
        <v>805</v>
      </c>
      <c r="N83" s="113" t="s">
        <v>805</v>
      </c>
      <c r="O83" s="113" t="s">
        <v>805</v>
      </c>
      <c r="P83" s="113" t="s">
        <v>805</v>
      </c>
      <c r="Q83" s="113" t="s">
        <v>805</v>
      </c>
      <c r="R83" s="113" t="s">
        <v>805</v>
      </c>
      <c r="S83" s="113" t="s">
        <v>805</v>
      </c>
      <c r="T83" s="113" t="s">
        <v>805</v>
      </c>
      <c r="U83" s="113" t="s">
        <v>805</v>
      </c>
      <c r="V83" s="113" t="s">
        <v>805</v>
      </c>
      <c r="W83" s="113" t="s">
        <v>805</v>
      </c>
      <c r="X83" s="113" t="s">
        <v>805</v>
      </c>
      <c r="Y83" s="113" t="s">
        <v>805</v>
      </c>
      <c r="Z83" s="113" t="s">
        <v>805</v>
      </c>
      <c r="AA83" s="113" t="s">
        <v>805</v>
      </c>
      <c r="AB83" s="113" t="s">
        <v>805</v>
      </c>
      <c r="AC83" s="113" t="s">
        <v>805</v>
      </c>
      <c r="AD83" s="113" t="s">
        <v>805</v>
      </c>
      <c r="AE83" s="113" t="s">
        <v>805</v>
      </c>
      <c r="AF83" s="113" t="s">
        <v>805</v>
      </c>
      <c r="AG83" s="113" t="s">
        <v>805</v>
      </c>
      <c r="AH83" s="113" t="s">
        <v>805</v>
      </c>
      <c r="AI83" s="113" t="s">
        <v>805</v>
      </c>
      <c r="AJ83" s="113" t="s">
        <v>805</v>
      </c>
      <c r="AK83" s="113" t="s">
        <v>805</v>
      </c>
      <c r="AL83" s="113" t="s">
        <v>805</v>
      </c>
      <c r="AM83" s="113" t="s">
        <v>805</v>
      </c>
      <c r="AN83" s="113" t="s">
        <v>805</v>
      </c>
      <c r="AO83" s="113" t="s">
        <v>805</v>
      </c>
      <c r="AP83" s="113" t="s">
        <v>805</v>
      </c>
      <c r="AQ83" s="113" t="s">
        <v>805</v>
      </c>
      <c r="AR83" s="113" t="s">
        <v>805</v>
      </c>
      <c r="AS83" s="113" t="s">
        <v>805</v>
      </c>
      <c r="AT83" s="113" t="s">
        <v>805</v>
      </c>
      <c r="AU83" s="113" t="s">
        <v>805</v>
      </c>
      <c r="AV83" s="113" t="s">
        <v>805</v>
      </c>
      <c r="AW83" s="113" t="s">
        <v>805</v>
      </c>
      <c r="AX83" s="113" t="s">
        <v>805</v>
      </c>
      <c r="AY83" s="113" t="s">
        <v>805</v>
      </c>
      <c r="AZ83" s="113" t="s">
        <v>805</v>
      </c>
      <c r="BA83" s="113" t="s">
        <v>805</v>
      </c>
      <c r="BB83" s="113" t="s">
        <v>805</v>
      </c>
      <c r="BC83" s="113" t="s">
        <v>805</v>
      </c>
      <c r="BD83" s="113" t="s">
        <v>805</v>
      </c>
      <c r="BE83" s="113" t="s">
        <v>805</v>
      </c>
      <c r="BF83" s="113" t="s">
        <v>805</v>
      </c>
      <c r="BG83" s="113" t="s">
        <v>805</v>
      </c>
      <c r="BH83" s="113" t="s">
        <v>805</v>
      </c>
      <c r="BI83" s="113" t="s">
        <v>805</v>
      </c>
      <c r="BJ83" s="113" t="s">
        <v>805</v>
      </c>
      <c r="BK83" s="113" t="s">
        <v>805</v>
      </c>
      <c r="BL83" s="113" t="s">
        <v>805</v>
      </c>
      <c r="BM83" s="113" t="s">
        <v>805</v>
      </c>
      <c r="BN83" s="113" t="s">
        <v>805</v>
      </c>
      <c r="BO83" s="113" t="s">
        <v>805</v>
      </c>
      <c r="BP83" s="113" t="s">
        <v>805</v>
      </c>
      <c r="BQ83" s="113" t="s">
        <v>805</v>
      </c>
      <c r="BR83" s="113" t="s">
        <v>805</v>
      </c>
      <c r="BS83" s="113" t="s">
        <v>805</v>
      </c>
      <c r="BT83" s="113" t="s">
        <v>805</v>
      </c>
      <c r="BU83" s="113" t="s">
        <v>805</v>
      </c>
      <c r="BV83" s="113" t="s">
        <v>805</v>
      </c>
      <c r="BW83" s="113" t="s">
        <v>805</v>
      </c>
      <c r="BX83" s="113" t="s">
        <v>805</v>
      </c>
      <c r="BY83" s="113" t="s">
        <v>805</v>
      </c>
      <c r="BZ83" s="113" t="s">
        <v>805</v>
      </c>
      <c r="CA83" s="113" t="s">
        <v>805</v>
      </c>
      <c r="CB83" s="113" t="s">
        <v>805</v>
      </c>
      <c r="CC83" s="113" t="s">
        <v>805</v>
      </c>
      <c r="CD83" s="113" t="s">
        <v>805</v>
      </c>
      <c r="CE83" s="113" t="s">
        <v>805</v>
      </c>
      <c r="CF83" s="113" t="s">
        <v>805</v>
      </c>
      <c r="CG83" s="113" t="s">
        <v>805</v>
      </c>
      <c r="CH83" s="113" t="s">
        <v>805</v>
      </c>
      <c r="CI83" s="113" t="s">
        <v>805</v>
      </c>
      <c r="CJ83" s="113" t="s">
        <v>805</v>
      </c>
      <c r="CK83" s="113" t="s">
        <v>805</v>
      </c>
      <c r="CL83" s="113" t="s">
        <v>805</v>
      </c>
      <c r="CM83" s="113" t="s">
        <v>805</v>
      </c>
      <c r="CN83" s="113" t="s">
        <v>805</v>
      </c>
      <c r="CO83" s="113" t="s">
        <v>805</v>
      </c>
      <c r="CP83" s="113" t="s">
        <v>805</v>
      </c>
      <c r="CQ83" s="113" t="s">
        <v>805</v>
      </c>
      <c r="CR83" s="113" t="s">
        <v>805</v>
      </c>
      <c r="CS83" s="113" t="s">
        <v>805</v>
      </c>
      <c r="CT83" s="113" t="s">
        <v>805</v>
      </c>
      <c r="CU83" s="113" t="s">
        <v>805</v>
      </c>
      <c r="CV83" s="113" t="s">
        <v>805</v>
      </c>
      <c r="CW83" s="113" t="s">
        <v>805</v>
      </c>
      <c r="CX83" s="113" t="s">
        <v>805</v>
      </c>
      <c r="CY83" s="113" t="s">
        <v>805</v>
      </c>
      <c r="CZ83" s="113" t="s">
        <v>805</v>
      </c>
      <c r="DA83" s="113" t="s">
        <v>805</v>
      </c>
      <c r="DB83" s="113" t="s">
        <v>805</v>
      </c>
      <c r="DC83" s="113" t="s">
        <v>805</v>
      </c>
      <c r="DD83" s="113" t="s">
        <v>805</v>
      </c>
      <c r="DE83" s="113" t="s">
        <v>805</v>
      </c>
      <c r="DF83" s="113" t="s">
        <v>805</v>
      </c>
      <c r="DG83" s="28">
        <f>'KPI Count-SHARE'!J74</f>
        <v>0</v>
      </c>
      <c r="DH83" s="114"/>
      <c r="DI83" s="117"/>
      <c r="DJ83" s="114"/>
      <c r="DK83" s="28">
        <f>'KPI Count-SHARE'!K74</f>
        <v>0</v>
      </c>
      <c r="DL83" s="118"/>
      <c r="DM83" s="118"/>
      <c r="DN83" s="118"/>
      <c r="DO83" s="28">
        <f>'KPI Count-SHARE'!L74</f>
        <v>0</v>
      </c>
      <c r="DP83" s="118"/>
      <c r="DQ83" s="118"/>
      <c r="DR83" s="118"/>
      <c r="DS83" s="28">
        <f>'KPI Count-SHARE'!M74</f>
        <v>0</v>
      </c>
      <c r="DT83" s="118"/>
      <c r="DU83" s="118"/>
      <c r="DV83" s="118"/>
      <c r="DW83" s="30" t="str">
        <f t="shared" si="421"/>
        <v>USD '000 per FTE</v>
      </c>
      <c r="DX83" s="39" t="str">
        <f t="shared" si="425"/>
        <v>-</v>
      </c>
      <c r="DY83" s="39" t="str">
        <f t="shared" si="426"/>
        <v>-</v>
      </c>
      <c r="DZ83" s="39" t="str">
        <f t="shared" si="427"/>
        <v>-</v>
      </c>
      <c r="EA83" s="39" t="str">
        <f t="shared" si="428"/>
        <v>-</v>
      </c>
      <c r="EB83" s="39" t="str">
        <f t="shared" si="429"/>
        <v>-</v>
      </c>
      <c r="EC83" s="39" t="str">
        <f t="shared" si="430"/>
        <v>-</v>
      </c>
      <c r="ED83" s="39" t="str">
        <f t="shared" si="431"/>
        <v>-</v>
      </c>
      <c r="EE83" s="39" t="str">
        <f t="shared" si="432"/>
        <v>-</v>
      </c>
      <c r="EF83" s="39" t="str">
        <f t="shared" si="433"/>
        <v>-</v>
      </c>
      <c r="EG83" s="39" t="str">
        <f t="shared" si="434"/>
        <v>-</v>
      </c>
      <c r="EH83" s="39" t="str">
        <f t="shared" si="435"/>
        <v>-</v>
      </c>
      <c r="EI83" s="39" t="str">
        <f t="shared" si="406"/>
        <v>-</v>
      </c>
      <c r="EJ83" s="39" t="str">
        <f t="shared" si="406"/>
        <v>-</v>
      </c>
      <c r="EK83" s="39" t="str">
        <f t="shared" si="406"/>
        <v>-</v>
      </c>
      <c r="EL83" s="39" t="str">
        <f t="shared" si="406"/>
        <v>-</v>
      </c>
      <c r="EM83" s="39" t="str">
        <f t="shared" si="406"/>
        <v>-</v>
      </c>
      <c r="EN83" s="39" t="str">
        <f t="shared" si="406"/>
        <v>-</v>
      </c>
      <c r="EO83" s="39" t="str">
        <f t="shared" si="406"/>
        <v>-</v>
      </c>
      <c r="EP83" s="39" t="str">
        <f t="shared" si="406"/>
        <v>-</v>
      </c>
      <c r="EQ83" s="39" t="str">
        <f t="shared" si="406"/>
        <v>-</v>
      </c>
      <c r="ER83" s="39" t="str">
        <f t="shared" si="406"/>
        <v>-</v>
      </c>
      <c r="ES83" s="39" t="str">
        <f t="shared" si="406"/>
        <v>-</v>
      </c>
      <c r="ET83" s="39" t="str">
        <f t="shared" si="406"/>
        <v>-</v>
      </c>
      <c r="EU83" s="39" t="str">
        <f t="shared" si="319"/>
        <v>-</v>
      </c>
      <c r="EV83" s="39" t="str">
        <f t="shared" si="320"/>
        <v>-</v>
      </c>
      <c r="EW83" s="39" t="str">
        <f t="shared" si="321"/>
        <v>-</v>
      </c>
      <c r="EX83" s="39" t="str">
        <f t="shared" si="322"/>
        <v>-</v>
      </c>
      <c r="EY83" s="39" t="str">
        <f t="shared" si="323"/>
        <v>-</v>
      </c>
      <c r="EZ83" s="39" t="str">
        <f t="shared" si="324"/>
        <v>-</v>
      </c>
      <c r="FA83" s="39" t="str">
        <f t="shared" si="325"/>
        <v>-</v>
      </c>
      <c r="FB83" s="39" t="str">
        <f t="shared" si="326"/>
        <v>-</v>
      </c>
      <c r="FC83" s="39" t="str">
        <f t="shared" si="327"/>
        <v>-</v>
      </c>
      <c r="FD83" s="39" t="str">
        <f t="shared" si="328"/>
        <v>-</v>
      </c>
      <c r="FE83" s="39" t="str">
        <f t="shared" si="329"/>
        <v>-</v>
      </c>
      <c r="FF83" s="39" t="str">
        <f t="shared" si="330"/>
        <v>-</v>
      </c>
      <c r="FG83" s="39" t="str">
        <f t="shared" si="331"/>
        <v>-</v>
      </c>
      <c r="FH83" s="39" t="str">
        <f t="shared" si="332"/>
        <v>-</v>
      </c>
      <c r="FI83" s="39" t="str">
        <f t="shared" si="333"/>
        <v>-</v>
      </c>
      <c r="FJ83" s="39" t="str">
        <f t="shared" si="334"/>
        <v>-</v>
      </c>
      <c r="FK83" s="39" t="str">
        <f t="shared" si="335"/>
        <v>-</v>
      </c>
      <c r="FL83" s="39" t="str">
        <f t="shared" si="336"/>
        <v>-</v>
      </c>
      <c r="FM83" s="39" t="str">
        <f t="shared" si="337"/>
        <v>-</v>
      </c>
      <c r="FN83" s="39" t="str">
        <f t="shared" si="338"/>
        <v>-</v>
      </c>
      <c r="FO83" s="39" t="str">
        <f t="shared" si="339"/>
        <v>-</v>
      </c>
      <c r="FP83" s="39" t="str">
        <f t="shared" si="340"/>
        <v>-</v>
      </c>
      <c r="FQ83" s="39" t="str">
        <f t="shared" si="341"/>
        <v>-</v>
      </c>
      <c r="FR83" s="39" t="str">
        <f t="shared" si="342"/>
        <v>-</v>
      </c>
      <c r="FS83" s="39" t="str">
        <f t="shared" si="343"/>
        <v>-</v>
      </c>
      <c r="FT83" s="39" t="str">
        <f t="shared" si="344"/>
        <v>-</v>
      </c>
      <c r="FU83" s="39" t="str">
        <f t="shared" si="345"/>
        <v>-</v>
      </c>
      <c r="FV83" s="39" t="str">
        <f t="shared" si="346"/>
        <v>-</v>
      </c>
      <c r="FW83" s="39" t="str">
        <f t="shared" si="347"/>
        <v>-</v>
      </c>
      <c r="FX83" s="39" t="str">
        <f t="shared" si="348"/>
        <v>-</v>
      </c>
      <c r="FY83" s="39" t="str">
        <f t="shared" si="349"/>
        <v>-</v>
      </c>
      <c r="FZ83" s="39" t="str">
        <f t="shared" si="350"/>
        <v>-</v>
      </c>
      <c r="GA83" s="39" t="str">
        <f t="shared" si="351"/>
        <v>-</v>
      </c>
      <c r="GB83" s="39" t="str">
        <f t="shared" si="352"/>
        <v>-</v>
      </c>
      <c r="GC83" s="39" t="str">
        <f t="shared" si="353"/>
        <v>-</v>
      </c>
      <c r="GD83" s="39" t="str">
        <f t="shared" si="354"/>
        <v>-</v>
      </c>
      <c r="GE83" s="39" t="str">
        <f t="shared" si="355"/>
        <v>-</v>
      </c>
      <c r="GF83" s="39" t="str">
        <f t="shared" si="356"/>
        <v>-</v>
      </c>
      <c r="GG83" s="39" t="str">
        <f t="shared" si="357"/>
        <v>-</v>
      </c>
      <c r="GH83" s="39" t="str">
        <f t="shared" si="358"/>
        <v>-</v>
      </c>
      <c r="GI83" s="39" t="str">
        <f t="shared" si="359"/>
        <v>-</v>
      </c>
      <c r="GJ83" s="39" t="str">
        <f t="shared" si="360"/>
        <v>-</v>
      </c>
      <c r="GK83" s="39" t="str">
        <f t="shared" si="361"/>
        <v>-</v>
      </c>
      <c r="GL83" s="39" t="str">
        <f t="shared" si="362"/>
        <v>-</v>
      </c>
      <c r="GM83" s="39" t="str">
        <f t="shared" si="363"/>
        <v>-</v>
      </c>
      <c r="GN83" s="39" t="str">
        <f t="shared" si="364"/>
        <v>-</v>
      </c>
      <c r="GO83" s="39" t="str">
        <f t="shared" si="365"/>
        <v>-</v>
      </c>
      <c r="GP83" s="39" t="str">
        <f t="shared" si="366"/>
        <v>-</v>
      </c>
      <c r="GQ83" s="39" t="str">
        <f t="shared" si="367"/>
        <v>-</v>
      </c>
      <c r="GR83" s="39" t="str">
        <f t="shared" si="368"/>
        <v>-</v>
      </c>
      <c r="GS83" s="39" t="str">
        <f t="shared" si="369"/>
        <v>-</v>
      </c>
      <c r="GT83" s="39" t="str">
        <f t="shared" si="370"/>
        <v>-</v>
      </c>
      <c r="GU83" s="39" t="str">
        <f t="shared" si="371"/>
        <v>-</v>
      </c>
      <c r="GV83" s="39" t="str">
        <f t="shared" si="372"/>
        <v>-</v>
      </c>
      <c r="GW83" s="39" t="str">
        <f t="shared" si="373"/>
        <v>-</v>
      </c>
      <c r="GX83" s="39" t="str">
        <f t="shared" si="374"/>
        <v>-</v>
      </c>
      <c r="GY83" s="39" t="str">
        <f t="shared" si="375"/>
        <v>-</v>
      </c>
      <c r="GZ83" s="39" t="str">
        <f t="shared" si="376"/>
        <v>-</v>
      </c>
      <c r="HA83" s="39" t="str">
        <f t="shared" si="377"/>
        <v>-</v>
      </c>
      <c r="HB83" s="39" t="str">
        <f t="shared" si="378"/>
        <v>-</v>
      </c>
      <c r="HC83" s="39" t="str">
        <f t="shared" si="379"/>
        <v>-</v>
      </c>
      <c r="HD83" s="39" t="str">
        <f t="shared" si="380"/>
        <v>-</v>
      </c>
      <c r="HE83" s="39" t="str">
        <f t="shared" si="381"/>
        <v>-</v>
      </c>
      <c r="HF83" s="39" t="str">
        <f t="shared" si="382"/>
        <v>-</v>
      </c>
      <c r="HG83" s="39" t="str">
        <f t="shared" si="383"/>
        <v>-</v>
      </c>
      <c r="HH83" s="39" t="str">
        <f t="shared" si="384"/>
        <v>-</v>
      </c>
      <c r="HI83" s="39" t="str">
        <f t="shared" si="385"/>
        <v>-</v>
      </c>
      <c r="HJ83" s="39" t="str">
        <f t="shared" si="386"/>
        <v>-</v>
      </c>
      <c r="HK83" s="39" t="str">
        <f t="shared" si="387"/>
        <v>-</v>
      </c>
      <c r="HL83" s="39" t="str">
        <f t="shared" si="388"/>
        <v>-</v>
      </c>
      <c r="HM83" s="39" t="str">
        <f t="shared" si="389"/>
        <v>-</v>
      </c>
      <c r="HN83" s="39" t="str">
        <f t="shared" si="390"/>
        <v>-</v>
      </c>
      <c r="HO83" s="39" t="str">
        <f t="shared" si="391"/>
        <v>-</v>
      </c>
      <c r="HP83" s="39" t="str">
        <f t="shared" si="392"/>
        <v>-</v>
      </c>
      <c r="HQ83" s="39" t="str">
        <f t="shared" si="393"/>
        <v>-</v>
      </c>
      <c r="HR83" s="39" t="str">
        <f t="shared" si="394"/>
        <v>-</v>
      </c>
      <c r="HS83" s="39" t="str">
        <f t="shared" si="395"/>
        <v>-</v>
      </c>
      <c r="HT83" s="39" t="str">
        <f t="shared" si="395"/>
        <v>-</v>
      </c>
      <c r="HU83" s="43" t="str">
        <f t="shared" si="445"/>
        <v>-</v>
      </c>
      <c r="HV83" s="44" t="str">
        <f t="shared" si="446"/>
        <v/>
      </c>
      <c r="HW83" s="45" t="str">
        <f t="shared" si="447"/>
        <v/>
      </c>
      <c r="HX83" s="102"/>
      <c r="HY83" s="102"/>
      <c r="HZ83" s="102"/>
      <c r="IA83" s="101"/>
      <c r="IB83" s="102"/>
      <c r="IC83" s="103"/>
      <c r="ID83" s="101"/>
      <c r="IE83" s="102"/>
      <c r="IF83" s="103"/>
      <c r="IH83" s="66">
        <v>83</v>
      </c>
      <c r="II83" s="66" t="e">
        <f t="shared" ca="1" si="436"/>
        <v>#N/A</v>
      </c>
      <c r="IJ83" s="66" t="e">
        <f t="shared" ca="1" si="437"/>
        <v>#N/A</v>
      </c>
      <c r="IK83" s="66" t="e">
        <f t="shared" ca="1" si="438"/>
        <v>#N/A</v>
      </c>
      <c r="IL83" s="66" t="e">
        <f t="shared" ca="1" si="439"/>
        <v>#N/A</v>
      </c>
      <c r="IN83" s="74" t="e">
        <f t="shared" ca="1" si="440"/>
        <v>#N/A</v>
      </c>
      <c r="IO83" s="75" t="e">
        <f t="shared" ca="1" si="441"/>
        <v>#N/A</v>
      </c>
      <c r="IP83" s="75" t="e">
        <f t="shared" ca="1" si="442"/>
        <v>#N/A</v>
      </c>
      <c r="IQ83" s="74" t="e">
        <f t="shared" ca="1" si="443"/>
        <v>#N/A</v>
      </c>
      <c r="IR83" s="74" t="e">
        <f t="shared" ca="1" si="444"/>
        <v>#N/A</v>
      </c>
    </row>
    <row r="84" spans="1:252" x14ac:dyDescent="0.35">
      <c r="A84" s="28">
        <v>0</v>
      </c>
      <c r="B84" s="28">
        <v>0</v>
      </c>
      <c r="C84" s="28">
        <v>1</v>
      </c>
      <c r="D84" s="1"/>
      <c r="E84" s="3"/>
      <c r="F84" t="s">
        <v>349</v>
      </c>
      <c r="G84" s="5" t="s">
        <v>540</v>
      </c>
      <c r="H84" t="s">
        <v>535</v>
      </c>
      <c r="I84" t="s">
        <v>536</v>
      </c>
      <c r="J84" s="276" t="s">
        <v>805</v>
      </c>
      <c r="K84" s="113" t="s">
        <v>805</v>
      </c>
      <c r="L84" s="113" t="s">
        <v>805</v>
      </c>
      <c r="M84" s="113" t="s">
        <v>805</v>
      </c>
      <c r="N84" s="113" t="s">
        <v>805</v>
      </c>
      <c r="O84" s="113" t="s">
        <v>805</v>
      </c>
      <c r="P84" s="113" t="s">
        <v>805</v>
      </c>
      <c r="Q84" s="113" t="s">
        <v>805</v>
      </c>
      <c r="R84" s="113" t="s">
        <v>805</v>
      </c>
      <c r="S84" s="113" t="s">
        <v>805</v>
      </c>
      <c r="T84" s="113" t="s">
        <v>805</v>
      </c>
      <c r="U84" s="113" t="s">
        <v>805</v>
      </c>
      <c r="V84" s="113" t="s">
        <v>805</v>
      </c>
      <c r="W84" s="113" t="s">
        <v>805</v>
      </c>
      <c r="X84" s="113" t="s">
        <v>805</v>
      </c>
      <c r="Y84" s="113" t="s">
        <v>805</v>
      </c>
      <c r="Z84" s="113" t="s">
        <v>805</v>
      </c>
      <c r="AA84" s="113" t="s">
        <v>805</v>
      </c>
      <c r="AB84" s="113" t="s">
        <v>805</v>
      </c>
      <c r="AC84" s="113" t="s">
        <v>805</v>
      </c>
      <c r="AD84" s="113" t="s">
        <v>805</v>
      </c>
      <c r="AE84" s="113" t="s">
        <v>805</v>
      </c>
      <c r="AF84" s="113" t="s">
        <v>805</v>
      </c>
      <c r="AG84" s="113" t="s">
        <v>805</v>
      </c>
      <c r="AH84" s="113" t="s">
        <v>805</v>
      </c>
      <c r="AI84" s="113" t="s">
        <v>805</v>
      </c>
      <c r="AJ84" s="113" t="s">
        <v>805</v>
      </c>
      <c r="AK84" s="113" t="s">
        <v>805</v>
      </c>
      <c r="AL84" s="113" t="s">
        <v>805</v>
      </c>
      <c r="AM84" s="113" t="s">
        <v>805</v>
      </c>
      <c r="AN84" s="113" t="s">
        <v>805</v>
      </c>
      <c r="AO84" s="113" t="s">
        <v>805</v>
      </c>
      <c r="AP84" s="113" t="s">
        <v>805</v>
      </c>
      <c r="AQ84" s="113" t="s">
        <v>805</v>
      </c>
      <c r="AR84" s="113" t="s">
        <v>805</v>
      </c>
      <c r="AS84" s="113" t="s">
        <v>805</v>
      </c>
      <c r="AT84" s="113" t="s">
        <v>805</v>
      </c>
      <c r="AU84" s="113" t="s">
        <v>805</v>
      </c>
      <c r="AV84" s="113" t="s">
        <v>805</v>
      </c>
      <c r="AW84" s="113" t="s">
        <v>805</v>
      </c>
      <c r="AX84" s="113" t="s">
        <v>805</v>
      </c>
      <c r="AY84" s="113" t="s">
        <v>805</v>
      </c>
      <c r="AZ84" s="113" t="s">
        <v>805</v>
      </c>
      <c r="BA84" s="113" t="s">
        <v>805</v>
      </c>
      <c r="BB84" s="113" t="s">
        <v>805</v>
      </c>
      <c r="BC84" s="113" t="s">
        <v>805</v>
      </c>
      <c r="BD84" s="113" t="s">
        <v>805</v>
      </c>
      <c r="BE84" s="113" t="s">
        <v>805</v>
      </c>
      <c r="BF84" s="113" t="s">
        <v>805</v>
      </c>
      <c r="BG84" s="113" t="s">
        <v>805</v>
      </c>
      <c r="BH84" s="113" t="s">
        <v>805</v>
      </c>
      <c r="BI84" s="113" t="s">
        <v>805</v>
      </c>
      <c r="BJ84" s="113" t="s">
        <v>805</v>
      </c>
      <c r="BK84" s="113" t="s">
        <v>805</v>
      </c>
      <c r="BL84" s="113" t="s">
        <v>805</v>
      </c>
      <c r="BM84" s="113" t="s">
        <v>805</v>
      </c>
      <c r="BN84" s="113" t="s">
        <v>805</v>
      </c>
      <c r="BO84" s="113" t="s">
        <v>805</v>
      </c>
      <c r="BP84" s="113" t="s">
        <v>805</v>
      </c>
      <c r="BQ84" s="113" t="s">
        <v>805</v>
      </c>
      <c r="BR84" s="113" t="s">
        <v>805</v>
      </c>
      <c r="BS84" s="113" t="s">
        <v>805</v>
      </c>
      <c r="BT84" s="113" t="s">
        <v>805</v>
      </c>
      <c r="BU84" s="113" t="s">
        <v>805</v>
      </c>
      <c r="BV84" s="113" t="s">
        <v>805</v>
      </c>
      <c r="BW84" s="113" t="s">
        <v>805</v>
      </c>
      <c r="BX84" s="113" t="s">
        <v>805</v>
      </c>
      <c r="BY84" s="113" t="s">
        <v>805</v>
      </c>
      <c r="BZ84" s="113" t="s">
        <v>805</v>
      </c>
      <c r="CA84" s="113" t="s">
        <v>805</v>
      </c>
      <c r="CB84" s="113" t="s">
        <v>805</v>
      </c>
      <c r="CC84" s="113" t="s">
        <v>805</v>
      </c>
      <c r="CD84" s="113" t="s">
        <v>805</v>
      </c>
      <c r="CE84" s="113" t="s">
        <v>805</v>
      </c>
      <c r="CF84" s="113" t="s">
        <v>805</v>
      </c>
      <c r="CG84" s="113" t="s">
        <v>805</v>
      </c>
      <c r="CH84" s="113" t="s">
        <v>805</v>
      </c>
      <c r="CI84" s="113" t="s">
        <v>805</v>
      </c>
      <c r="CJ84" s="113" t="s">
        <v>805</v>
      </c>
      <c r="CK84" s="113" t="s">
        <v>805</v>
      </c>
      <c r="CL84" s="113" t="s">
        <v>805</v>
      </c>
      <c r="CM84" s="113" t="s">
        <v>805</v>
      </c>
      <c r="CN84" s="113" t="s">
        <v>805</v>
      </c>
      <c r="CO84" s="113" t="s">
        <v>805</v>
      </c>
      <c r="CP84" s="113" t="s">
        <v>805</v>
      </c>
      <c r="CQ84" s="113" t="s">
        <v>805</v>
      </c>
      <c r="CR84" s="113" t="s">
        <v>805</v>
      </c>
      <c r="CS84" s="113" t="s">
        <v>805</v>
      </c>
      <c r="CT84" s="113" t="s">
        <v>805</v>
      </c>
      <c r="CU84" s="113" t="s">
        <v>805</v>
      </c>
      <c r="CV84" s="113" t="s">
        <v>805</v>
      </c>
      <c r="CW84" s="113" t="s">
        <v>805</v>
      </c>
      <c r="CX84" s="113" t="s">
        <v>805</v>
      </c>
      <c r="CY84" s="113" t="s">
        <v>805</v>
      </c>
      <c r="CZ84" s="113" t="s">
        <v>805</v>
      </c>
      <c r="DA84" s="113" t="s">
        <v>805</v>
      </c>
      <c r="DB84" s="113" t="s">
        <v>805</v>
      </c>
      <c r="DC84" s="113" t="s">
        <v>805</v>
      </c>
      <c r="DD84" s="113" t="s">
        <v>805</v>
      </c>
      <c r="DE84" s="113" t="s">
        <v>805</v>
      </c>
      <c r="DF84" s="113" t="s">
        <v>805</v>
      </c>
      <c r="DG84" s="28">
        <f>'KPI Count-SHARE'!J75</f>
        <v>0</v>
      </c>
      <c r="DH84" s="114"/>
      <c r="DI84" s="117"/>
      <c r="DJ84" s="114"/>
      <c r="DK84" s="28">
        <f>'KPI Count-SHARE'!K75</f>
        <v>0</v>
      </c>
      <c r="DL84" s="118"/>
      <c r="DM84" s="118"/>
      <c r="DN84" s="118"/>
      <c r="DO84" s="28">
        <f>'KPI Count-SHARE'!L75</f>
        <v>0</v>
      </c>
      <c r="DP84" s="118"/>
      <c r="DQ84" s="118"/>
      <c r="DR84" s="118"/>
      <c r="DS84" s="28">
        <f>'KPI Count-SHARE'!M75</f>
        <v>0</v>
      </c>
      <c r="DT84" s="118"/>
      <c r="DU84" s="118"/>
      <c r="DV84" s="118"/>
      <c r="DW84" s="30" t="str">
        <f t="shared" si="421"/>
        <v>USD '000 per FTE</v>
      </c>
      <c r="DX84" s="39" t="str">
        <f t="shared" si="425"/>
        <v>-</v>
      </c>
      <c r="DY84" s="39" t="str">
        <f t="shared" si="426"/>
        <v>-</v>
      </c>
      <c r="DZ84" s="39" t="str">
        <f t="shared" si="427"/>
        <v>-</v>
      </c>
      <c r="EA84" s="39" t="str">
        <f t="shared" si="428"/>
        <v>-</v>
      </c>
      <c r="EB84" s="39" t="str">
        <f t="shared" si="429"/>
        <v>-</v>
      </c>
      <c r="EC84" s="39" t="str">
        <f t="shared" si="430"/>
        <v>-</v>
      </c>
      <c r="ED84" s="39" t="str">
        <f t="shared" si="431"/>
        <v>-</v>
      </c>
      <c r="EE84" s="39" t="str">
        <f t="shared" si="432"/>
        <v>-</v>
      </c>
      <c r="EF84" s="39" t="str">
        <f t="shared" si="433"/>
        <v>-</v>
      </c>
      <c r="EG84" s="39" t="str">
        <f t="shared" si="434"/>
        <v>-</v>
      </c>
      <c r="EH84" s="39" t="str">
        <f t="shared" si="435"/>
        <v>-</v>
      </c>
      <c r="EI84" s="39" t="str">
        <f t="shared" si="406"/>
        <v>-</v>
      </c>
      <c r="EJ84" s="39" t="str">
        <f t="shared" si="406"/>
        <v>-</v>
      </c>
      <c r="EK84" s="39" t="str">
        <f t="shared" si="406"/>
        <v>-</v>
      </c>
      <c r="EL84" s="39" t="str">
        <f t="shared" si="406"/>
        <v>-</v>
      </c>
      <c r="EM84" s="39" t="str">
        <f t="shared" si="406"/>
        <v>-</v>
      </c>
      <c r="EN84" s="39" t="str">
        <f t="shared" si="406"/>
        <v>-</v>
      </c>
      <c r="EO84" s="39" t="str">
        <f t="shared" si="406"/>
        <v>-</v>
      </c>
      <c r="EP84" s="39" t="str">
        <f t="shared" si="406"/>
        <v>-</v>
      </c>
      <c r="EQ84" s="39" t="str">
        <f t="shared" si="406"/>
        <v>-</v>
      </c>
      <c r="ER84" s="39" t="str">
        <f t="shared" si="406"/>
        <v>-</v>
      </c>
      <c r="ES84" s="39" t="str">
        <f t="shared" si="406"/>
        <v>-</v>
      </c>
      <c r="ET84" s="39" t="str">
        <f t="shared" si="406"/>
        <v>-</v>
      </c>
      <c r="EU84" s="39" t="str">
        <f t="shared" si="319"/>
        <v>-</v>
      </c>
      <c r="EV84" s="39" t="str">
        <f t="shared" si="320"/>
        <v>-</v>
      </c>
      <c r="EW84" s="39" t="str">
        <f t="shared" si="321"/>
        <v>-</v>
      </c>
      <c r="EX84" s="39" t="str">
        <f t="shared" si="322"/>
        <v>-</v>
      </c>
      <c r="EY84" s="39" t="str">
        <f t="shared" si="323"/>
        <v>-</v>
      </c>
      <c r="EZ84" s="39" t="str">
        <f t="shared" si="324"/>
        <v>-</v>
      </c>
      <c r="FA84" s="39" t="str">
        <f t="shared" si="325"/>
        <v>-</v>
      </c>
      <c r="FB84" s="39" t="str">
        <f t="shared" si="326"/>
        <v>-</v>
      </c>
      <c r="FC84" s="39" t="str">
        <f t="shared" si="327"/>
        <v>-</v>
      </c>
      <c r="FD84" s="39" t="str">
        <f t="shared" si="328"/>
        <v>-</v>
      </c>
      <c r="FE84" s="39" t="str">
        <f t="shared" si="329"/>
        <v>-</v>
      </c>
      <c r="FF84" s="39" t="str">
        <f t="shared" si="330"/>
        <v>-</v>
      </c>
      <c r="FG84" s="39" t="str">
        <f t="shared" si="331"/>
        <v>-</v>
      </c>
      <c r="FH84" s="39" t="str">
        <f t="shared" si="332"/>
        <v>-</v>
      </c>
      <c r="FI84" s="39" t="str">
        <f t="shared" si="333"/>
        <v>-</v>
      </c>
      <c r="FJ84" s="39" t="str">
        <f t="shared" si="334"/>
        <v>-</v>
      </c>
      <c r="FK84" s="39" t="str">
        <f t="shared" si="335"/>
        <v>-</v>
      </c>
      <c r="FL84" s="39" t="str">
        <f t="shared" si="336"/>
        <v>-</v>
      </c>
      <c r="FM84" s="39" t="str">
        <f t="shared" si="337"/>
        <v>-</v>
      </c>
      <c r="FN84" s="39" t="str">
        <f t="shared" si="338"/>
        <v>-</v>
      </c>
      <c r="FO84" s="39" t="str">
        <f t="shared" si="339"/>
        <v>-</v>
      </c>
      <c r="FP84" s="39" t="str">
        <f t="shared" si="340"/>
        <v>-</v>
      </c>
      <c r="FQ84" s="39" t="str">
        <f t="shared" si="341"/>
        <v>-</v>
      </c>
      <c r="FR84" s="39" t="str">
        <f t="shared" si="342"/>
        <v>-</v>
      </c>
      <c r="FS84" s="39" t="str">
        <f t="shared" si="343"/>
        <v>-</v>
      </c>
      <c r="FT84" s="39" t="str">
        <f t="shared" si="344"/>
        <v>-</v>
      </c>
      <c r="FU84" s="39" t="str">
        <f t="shared" si="345"/>
        <v>-</v>
      </c>
      <c r="FV84" s="39" t="str">
        <f t="shared" si="346"/>
        <v>-</v>
      </c>
      <c r="FW84" s="39" t="str">
        <f t="shared" si="347"/>
        <v>-</v>
      </c>
      <c r="FX84" s="39" t="str">
        <f t="shared" si="348"/>
        <v>-</v>
      </c>
      <c r="FY84" s="39" t="str">
        <f t="shared" si="349"/>
        <v>-</v>
      </c>
      <c r="FZ84" s="39" t="str">
        <f t="shared" si="350"/>
        <v>-</v>
      </c>
      <c r="GA84" s="39" t="str">
        <f t="shared" si="351"/>
        <v>-</v>
      </c>
      <c r="GB84" s="39" t="str">
        <f t="shared" si="352"/>
        <v>-</v>
      </c>
      <c r="GC84" s="39" t="str">
        <f t="shared" si="353"/>
        <v>-</v>
      </c>
      <c r="GD84" s="39" t="str">
        <f t="shared" si="354"/>
        <v>-</v>
      </c>
      <c r="GE84" s="39" t="str">
        <f t="shared" si="355"/>
        <v>-</v>
      </c>
      <c r="GF84" s="39" t="str">
        <f t="shared" si="356"/>
        <v>-</v>
      </c>
      <c r="GG84" s="39" t="str">
        <f t="shared" si="357"/>
        <v>-</v>
      </c>
      <c r="GH84" s="39" t="str">
        <f t="shared" si="358"/>
        <v>-</v>
      </c>
      <c r="GI84" s="39" t="str">
        <f t="shared" si="359"/>
        <v>-</v>
      </c>
      <c r="GJ84" s="39" t="str">
        <f t="shared" si="360"/>
        <v>-</v>
      </c>
      <c r="GK84" s="39" t="str">
        <f t="shared" si="361"/>
        <v>-</v>
      </c>
      <c r="GL84" s="39" t="str">
        <f t="shared" si="362"/>
        <v>-</v>
      </c>
      <c r="GM84" s="39" t="str">
        <f t="shared" si="363"/>
        <v>-</v>
      </c>
      <c r="GN84" s="39" t="str">
        <f t="shared" si="364"/>
        <v>-</v>
      </c>
      <c r="GO84" s="39" t="str">
        <f t="shared" si="365"/>
        <v>-</v>
      </c>
      <c r="GP84" s="39" t="str">
        <f t="shared" si="366"/>
        <v>-</v>
      </c>
      <c r="GQ84" s="39" t="str">
        <f t="shared" si="367"/>
        <v>-</v>
      </c>
      <c r="GR84" s="39" t="str">
        <f t="shared" si="368"/>
        <v>-</v>
      </c>
      <c r="GS84" s="39" t="str">
        <f t="shared" si="369"/>
        <v>-</v>
      </c>
      <c r="GT84" s="39" t="str">
        <f t="shared" si="370"/>
        <v>-</v>
      </c>
      <c r="GU84" s="39" t="str">
        <f t="shared" si="371"/>
        <v>-</v>
      </c>
      <c r="GV84" s="39" t="str">
        <f t="shared" si="372"/>
        <v>-</v>
      </c>
      <c r="GW84" s="39" t="str">
        <f t="shared" si="373"/>
        <v>-</v>
      </c>
      <c r="GX84" s="39" t="str">
        <f t="shared" si="374"/>
        <v>-</v>
      </c>
      <c r="GY84" s="39" t="str">
        <f t="shared" si="375"/>
        <v>-</v>
      </c>
      <c r="GZ84" s="39" t="str">
        <f t="shared" si="376"/>
        <v>-</v>
      </c>
      <c r="HA84" s="39" t="str">
        <f t="shared" si="377"/>
        <v>-</v>
      </c>
      <c r="HB84" s="39" t="str">
        <f t="shared" si="378"/>
        <v>-</v>
      </c>
      <c r="HC84" s="39" t="str">
        <f t="shared" si="379"/>
        <v>-</v>
      </c>
      <c r="HD84" s="39" t="str">
        <f t="shared" si="380"/>
        <v>-</v>
      </c>
      <c r="HE84" s="39" t="str">
        <f t="shared" si="381"/>
        <v>-</v>
      </c>
      <c r="HF84" s="39" t="str">
        <f t="shared" si="382"/>
        <v>-</v>
      </c>
      <c r="HG84" s="39" t="str">
        <f t="shared" si="383"/>
        <v>-</v>
      </c>
      <c r="HH84" s="39" t="str">
        <f t="shared" si="384"/>
        <v>-</v>
      </c>
      <c r="HI84" s="39" t="str">
        <f t="shared" si="385"/>
        <v>-</v>
      </c>
      <c r="HJ84" s="39" t="str">
        <f t="shared" si="386"/>
        <v>-</v>
      </c>
      <c r="HK84" s="39" t="str">
        <f t="shared" si="387"/>
        <v>-</v>
      </c>
      <c r="HL84" s="39" t="str">
        <f t="shared" si="388"/>
        <v>-</v>
      </c>
      <c r="HM84" s="39" t="str">
        <f t="shared" si="389"/>
        <v>-</v>
      </c>
      <c r="HN84" s="39" t="str">
        <f t="shared" si="390"/>
        <v>-</v>
      </c>
      <c r="HO84" s="39" t="str">
        <f t="shared" si="391"/>
        <v>-</v>
      </c>
      <c r="HP84" s="39" t="str">
        <f t="shared" si="392"/>
        <v>-</v>
      </c>
      <c r="HQ84" s="39" t="str">
        <f t="shared" si="393"/>
        <v>-</v>
      </c>
      <c r="HR84" s="39" t="str">
        <f t="shared" si="394"/>
        <v>-</v>
      </c>
      <c r="HS84" s="39" t="str">
        <f t="shared" si="395"/>
        <v>-</v>
      </c>
      <c r="HT84" s="39" t="str">
        <f t="shared" si="395"/>
        <v>-</v>
      </c>
      <c r="HU84" s="43" t="str">
        <f t="shared" si="445"/>
        <v>-</v>
      </c>
      <c r="HV84" s="44" t="str">
        <f t="shared" si="446"/>
        <v/>
      </c>
      <c r="HW84" s="45" t="str">
        <f t="shared" si="447"/>
        <v/>
      </c>
      <c r="HX84" s="102"/>
      <c r="HY84" s="102"/>
      <c r="HZ84" s="102"/>
      <c r="IA84" s="101"/>
      <c r="IB84" s="102"/>
      <c r="IC84" s="103"/>
      <c r="ID84" s="101"/>
      <c r="IE84" s="102"/>
      <c r="IF84" s="103"/>
      <c r="IH84" s="66">
        <v>84</v>
      </c>
      <c r="II84" s="66" t="e">
        <f t="shared" ca="1" si="436"/>
        <v>#N/A</v>
      </c>
      <c r="IJ84" s="66" t="e">
        <f t="shared" ca="1" si="437"/>
        <v>#N/A</v>
      </c>
      <c r="IK84" s="66" t="e">
        <f t="shared" ca="1" si="438"/>
        <v>#N/A</v>
      </c>
      <c r="IL84" s="66" t="e">
        <f t="shared" ca="1" si="439"/>
        <v>#N/A</v>
      </c>
      <c r="IN84" s="74" t="e">
        <f t="shared" ca="1" si="440"/>
        <v>#N/A</v>
      </c>
      <c r="IO84" s="75" t="e">
        <f t="shared" ca="1" si="441"/>
        <v>#N/A</v>
      </c>
      <c r="IP84" s="75" t="e">
        <f t="shared" ca="1" si="442"/>
        <v>#N/A</v>
      </c>
      <c r="IQ84" s="74" t="e">
        <f t="shared" ca="1" si="443"/>
        <v>#N/A</v>
      </c>
      <c r="IR84" s="74" t="e">
        <f t="shared" ca="1" si="444"/>
        <v>#N/A</v>
      </c>
    </row>
    <row r="85" spans="1:252" x14ac:dyDescent="0.35">
      <c r="A85" s="28">
        <v>0</v>
      </c>
      <c r="B85" s="28">
        <v>0</v>
      </c>
      <c r="C85" s="28">
        <v>1</v>
      </c>
      <c r="D85" s="1"/>
      <c r="E85" s="3"/>
      <c r="F85" t="s">
        <v>350</v>
      </c>
      <c r="G85" s="5" t="s">
        <v>540</v>
      </c>
      <c r="H85" t="s">
        <v>535</v>
      </c>
      <c r="I85" t="s">
        <v>536</v>
      </c>
      <c r="J85" s="276" t="s">
        <v>805</v>
      </c>
      <c r="K85" s="113" t="s">
        <v>805</v>
      </c>
      <c r="L85" s="113" t="s">
        <v>805</v>
      </c>
      <c r="M85" s="113" t="s">
        <v>805</v>
      </c>
      <c r="N85" s="113" t="s">
        <v>805</v>
      </c>
      <c r="O85" s="113" t="s">
        <v>805</v>
      </c>
      <c r="P85" s="113" t="s">
        <v>805</v>
      </c>
      <c r="Q85" s="113" t="s">
        <v>805</v>
      </c>
      <c r="R85" s="113" t="s">
        <v>805</v>
      </c>
      <c r="S85" s="113" t="s">
        <v>805</v>
      </c>
      <c r="T85" s="113" t="s">
        <v>805</v>
      </c>
      <c r="U85" s="113" t="s">
        <v>805</v>
      </c>
      <c r="V85" s="113" t="s">
        <v>805</v>
      </c>
      <c r="W85" s="113" t="s">
        <v>805</v>
      </c>
      <c r="X85" s="113" t="s">
        <v>805</v>
      </c>
      <c r="Y85" s="113" t="s">
        <v>805</v>
      </c>
      <c r="Z85" s="113" t="s">
        <v>805</v>
      </c>
      <c r="AA85" s="113" t="s">
        <v>805</v>
      </c>
      <c r="AB85" s="113" t="s">
        <v>805</v>
      </c>
      <c r="AC85" s="113" t="s">
        <v>805</v>
      </c>
      <c r="AD85" s="113" t="s">
        <v>805</v>
      </c>
      <c r="AE85" s="113" t="s">
        <v>805</v>
      </c>
      <c r="AF85" s="113" t="s">
        <v>805</v>
      </c>
      <c r="AG85" s="113" t="s">
        <v>805</v>
      </c>
      <c r="AH85" s="113" t="s">
        <v>805</v>
      </c>
      <c r="AI85" s="113" t="s">
        <v>805</v>
      </c>
      <c r="AJ85" s="113" t="s">
        <v>805</v>
      </c>
      <c r="AK85" s="113" t="s">
        <v>805</v>
      </c>
      <c r="AL85" s="113" t="s">
        <v>805</v>
      </c>
      <c r="AM85" s="113" t="s">
        <v>805</v>
      </c>
      <c r="AN85" s="113" t="s">
        <v>805</v>
      </c>
      <c r="AO85" s="113" t="s">
        <v>805</v>
      </c>
      <c r="AP85" s="113" t="s">
        <v>805</v>
      </c>
      <c r="AQ85" s="113" t="s">
        <v>805</v>
      </c>
      <c r="AR85" s="113" t="s">
        <v>805</v>
      </c>
      <c r="AS85" s="113" t="s">
        <v>805</v>
      </c>
      <c r="AT85" s="113" t="s">
        <v>805</v>
      </c>
      <c r="AU85" s="113" t="s">
        <v>805</v>
      </c>
      <c r="AV85" s="113" t="s">
        <v>805</v>
      </c>
      <c r="AW85" s="113" t="s">
        <v>805</v>
      </c>
      <c r="AX85" s="113" t="s">
        <v>805</v>
      </c>
      <c r="AY85" s="113" t="s">
        <v>805</v>
      </c>
      <c r="AZ85" s="113" t="s">
        <v>805</v>
      </c>
      <c r="BA85" s="113" t="s">
        <v>805</v>
      </c>
      <c r="BB85" s="113" t="s">
        <v>805</v>
      </c>
      <c r="BC85" s="113" t="s">
        <v>805</v>
      </c>
      <c r="BD85" s="113" t="s">
        <v>805</v>
      </c>
      <c r="BE85" s="113" t="s">
        <v>805</v>
      </c>
      <c r="BF85" s="113" t="s">
        <v>805</v>
      </c>
      <c r="BG85" s="113" t="s">
        <v>805</v>
      </c>
      <c r="BH85" s="113" t="s">
        <v>805</v>
      </c>
      <c r="BI85" s="113" t="s">
        <v>805</v>
      </c>
      <c r="BJ85" s="113" t="s">
        <v>805</v>
      </c>
      <c r="BK85" s="113" t="s">
        <v>805</v>
      </c>
      <c r="BL85" s="113" t="s">
        <v>805</v>
      </c>
      <c r="BM85" s="113" t="s">
        <v>805</v>
      </c>
      <c r="BN85" s="113" t="s">
        <v>805</v>
      </c>
      <c r="BO85" s="113" t="s">
        <v>805</v>
      </c>
      <c r="BP85" s="113" t="s">
        <v>805</v>
      </c>
      <c r="BQ85" s="113" t="s">
        <v>805</v>
      </c>
      <c r="BR85" s="113" t="s">
        <v>805</v>
      </c>
      <c r="BS85" s="113" t="s">
        <v>805</v>
      </c>
      <c r="BT85" s="113" t="s">
        <v>805</v>
      </c>
      <c r="BU85" s="113" t="s">
        <v>805</v>
      </c>
      <c r="BV85" s="113" t="s">
        <v>805</v>
      </c>
      <c r="BW85" s="113" t="s">
        <v>805</v>
      </c>
      <c r="BX85" s="113" t="s">
        <v>805</v>
      </c>
      <c r="BY85" s="113" t="s">
        <v>805</v>
      </c>
      <c r="BZ85" s="113" t="s">
        <v>805</v>
      </c>
      <c r="CA85" s="113" t="s">
        <v>805</v>
      </c>
      <c r="CB85" s="113" t="s">
        <v>805</v>
      </c>
      <c r="CC85" s="113" t="s">
        <v>805</v>
      </c>
      <c r="CD85" s="113" t="s">
        <v>805</v>
      </c>
      <c r="CE85" s="113" t="s">
        <v>805</v>
      </c>
      <c r="CF85" s="113" t="s">
        <v>805</v>
      </c>
      <c r="CG85" s="113" t="s">
        <v>805</v>
      </c>
      <c r="CH85" s="113" t="s">
        <v>805</v>
      </c>
      <c r="CI85" s="113" t="s">
        <v>805</v>
      </c>
      <c r="CJ85" s="113" t="s">
        <v>805</v>
      </c>
      <c r="CK85" s="113" t="s">
        <v>805</v>
      </c>
      <c r="CL85" s="113" t="s">
        <v>805</v>
      </c>
      <c r="CM85" s="113" t="s">
        <v>805</v>
      </c>
      <c r="CN85" s="113" t="s">
        <v>805</v>
      </c>
      <c r="CO85" s="113" t="s">
        <v>805</v>
      </c>
      <c r="CP85" s="113" t="s">
        <v>805</v>
      </c>
      <c r="CQ85" s="113" t="s">
        <v>805</v>
      </c>
      <c r="CR85" s="113" t="s">
        <v>805</v>
      </c>
      <c r="CS85" s="113" t="s">
        <v>805</v>
      </c>
      <c r="CT85" s="113" t="s">
        <v>805</v>
      </c>
      <c r="CU85" s="113" t="s">
        <v>805</v>
      </c>
      <c r="CV85" s="113" t="s">
        <v>805</v>
      </c>
      <c r="CW85" s="113" t="s">
        <v>805</v>
      </c>
      <c r="CX85" s="113" t="s">
        <v>805</v>
      </c>
      <c r="CY85" s="113" t="s">
        <v>805</v>
      </c>
      <c r="CZ85" s="113" t="s">
        <v>805</v>
      </c>
      <c r="DA85" s="113" t="s">
        <v>805</v>
      </c>
      <c r="DB85" s="113" t="s">
        <v>805</v>
      </c>
      <c r="DC85" s="113" t="s">
        <v>805</v>
      </c>
      <c r="DD85" s="113" t="s">
        <v>805</v>
      </c>
      <c r="DE85" s="113" t="s">
        <v>805</v>
      </c>
      <c r="DF85" s="113" t="s">
        <v>805</v>
      </c>
      <c r="DG85" s="28">
        <f>'KPI Count-SHARE'!J76</f>
        <v>0</v>
      </c>
      <c r="DH85" s="114"/>
      <c r="DI85" s="117"/>
      <c r="DJ85" s="114"/>
      <c r="DK85" s="28">
        <f>'KPI Count-SHARE'!K76</f>
        <v>0</v>
      </c>
      <c r="DL85" s="118"/>
      <c r="DM85" s="118"/>
      <c r="DN85" s="118"/>
      <c r="DO85" s="28">
        <f>'KPI Count-SHARE'!L76</f>
        <v>0</v>
      </c>
      <c r="DP85" s="118"/>
      <c r="DQ85" s="118"/>
      <c r="DR85" s="118"/>
      <c r="DS85" s="28">
        <f>'KPI Count-SHARE'!M76</f>
        <v>0</v>
      </c>
      <c r="DT85" s="118"/>
      <c r="DU85" s="118"/>
      <c r="DV85" s="118"/>
      <c r="DW85" s="30" t="str">
        <f t="shared" si="421"/>
        <v>USD '000 per FTE</v>
      </c>
      <c r="DX85" s="39" t="str">
        <f t="shared" si="425"/>
        <v>-</v>
      </c>
      <c r="DY85" s="39" t="str">
        <f t="shared" si="426"/>
        <v>-</v>
      </c>
      <c r="DZ85" s="39" t="str">
        <f t="shared" si="427"/>
        <v>-</v>
      </c>
      <c r="EA85" s="39" t="str">
        <f t="shared" si="428"/>
        <v>-</v>
      </c>
      <c r="EB85" s="39" t="str">
        <f t="shared" si="429"/>
        <v>-</v>
      </c>
      <c r="EC85" s="39" t="str">
        <f t="shared" si="430"/>
        <v>-</v>
      </c>
      <c r="ED85" s="39" t="str">
        <f t="shared" si="431"/>
        <v>-</v>
      </c>
      <c r="EE85" s="39" t="str">
        <f t="shared" si="432"/>
        <v>-</v>
      </c>
      <c r="EF85" s="39" t="str">
        <f t="shared" si="433"/>
        <v>-</v>
      </c>
      <c r="EG85" s="39" t="str">
        <f t="shared" si="434"/>
        <v>-</v>
      </c>
      <c r="EH85" s="39" t="str">
        <f t="shared" si="435"/>
        <v>-</v>
      </c>
      <c r="EI85" s="39" t="str">
        <f t="shared" si="406"/>
        <v>-</v>
      </c>
      <c r="EJ85" s="39" t="str">
        <f t="shared" si="406"/>
        <v>-</v>
      </c>
      <c r="EK85" s="39" t="str">
        <f t="shared" si="406"/>
        <v>-</v>
      </c>
      <c r="EL85" s="39" t="str">
        <f t="shared" si="406"/>
        <v>-</v>
      </c>
      <c r="EM85" s="39" t="str">
        <f t="shared" si="406"/>
        <v>-</v>
      </c>
      <c r="EN85" s="39" t="str">
        <f t="shared" si="406"/>
        <v>-</v>
      </c>
      <c r="EO85" s="39" t="str">
        <f t="shared" si="406"/>
        <v>-</v>
      </c>
      <c r="EP85" s="39" t="str">
        <f t="shared" si="406"/>
        <v>-</v>
      </c>
      <c r="EQ85" s="39" t="str">
        <f t="shared" si="406"/>
        <v>-</v>
      </c>
      <c r="ER85" s="39" t="str">
        <f t="shared" si="406"/>
        <v>-</v>
      </c>
      <c r="ES85" s="39" t="str">
        <f t="shared" si="406"/>
        <v>-</v>
      </c>
      <c r="ET85" s="39" t="str">
        <f t="shared" si="406"/>
        <v>-</v>
      </c>
      <c r="EU85" s="39" t="str">
        <f t="shared" si="319"/>
        <v>-</v>
      </c>
      <c r="EV85" s="39" t="str">
        <f t="shared" si="320"/>
        <v>-</v>
      </c>
      <c r="EW85" s="39" t="str">
        <f t="shared" si="321"/>
        <v>-</v>
      </c>
      <c r="EX85" s="39" t="str">
        <f t="shared" si="322"/>
        <v>-</v>
      </c>
      <c r="EY85" s="39" t="str">
        <f t="shared" si="323"/>
        <v>-</v>
      </c>
      <c r="EZ85" s="39" t="str">
        <f t="shared" si="324"/>
        <v>-</v>
      </c>
      <c r="FA85" s="39" t="str">
        <f t="shared" si="325"/>
        <v>-</v>
      </c>
      <c r="FB85" s="39" t="str">
        <f t="shared" si="326"/>
        <v>-</v>
      </c>
      <c r="FC85" s="39" t="str">
        <f t="shared" si="327"/>
        <v>-</v>
      </c>
      <c r="FD85" s="39" t="str">
        <f t="shared" si="328"/>
        <v>-</v>
      </c>
      <c r="FE85" s="39" t="str">
        <f t="shared" si="329"/>
        <v>-</v>
      </c>
      <c r="FF85" s="39" t="str">
        <f t="shared" si="330"/>
        <v>-</v>
      </c>
      <c r="FG85" s="39" t="str">
        <f t="shared" si="331"/>
        <v>-</v>
      </c>
      <c r="FH85" s="39" t="str">
        <f t="shared" si="332"/>
        <v>-</v>
      </c>
      <c r="FI85" s="39" t="str">
        <f t="shared" si="333"/>
        <v>-</v>
      </c>
      <c r="FJ85" s="39" t="str">
        <f t="shared" si="334"/>
        <v>-</v>
      </c>
      <c r="FK85" s="39" t="str">
        <f t="shared" si="335"/>
        <v>-</v>
      </c>
      <c r="FL85" s="39" t="str">
        <f t="shared" si="336"/>
        <v>-</v>
      </c>
      <c r="FM85" s="39" t="str">
        <f t="shared" si="337"/>
        <v>-</v>
      </c>
      <c r="FN85" s="39" t="str">
        <f t="shared" si="338"/>
        <v>-</v>
      </c>
      <c r="FO85" s="39" t="str">
        <f t="shared" si="339"/>
        <v>-</v>
      </c>
      <c r="FP85" s="39" t="str">
        <f t="shared" si="340"/>
        <v>-</v>
      </c>
      <c r="FQ85" s="39" t="str">
        <f t="shared" si="341"/>
        <v>-</v>
      </c>
      <c r="FR85" s="39" t="str">
        <f t="shared" si="342"/>
        <v>-</v>
      </c>
      <c r="FS85" s="39" t="str">
        <f t="shared" si="343"/>
        <v>-</v>
      </c>
      <c r="FT85" s="39" t="str">
        <f t="shared" si="344"/>
        <v>-</v>
      </c>
      <c r="FU85" s="39" t="str">
        <f t="shared" si="345"/>
        <v>-</v>
      </c>
      <c r="FV85" s="39" t="str">
        <f t="shared" si="346"/>
        <v>-</v>
      </c>
      <c r="FW85" s="39" t="str">
        <f t="shared" si="347"/>
        <v>-</v>
      </c>
      <c r="FX85" s="39" t="str">
        <f t="shared" si="348"/>
        <v>-</v>
      </c>
      <c r="FY85" s="39" t="str">
        <f t="shared" si="349"/>
        <v>-</v>
      </c>
      <c r="FZ85" s="39" t="str">
        <f t="shared" si="350"/>
        <v>-</v>
      </c>
      <c r="GA85" s="39" t="str">
        <f t="shared" si="351"/>
        <v>-</v>
      </c>
      <c r="GB85" s="39" t="str">
        <f t="shared" si="352"/>
        <v>-</v>
      </c>
      <c r="GC85" s="39" t="str">
        <f t="shared" si="353"/>
        <v>-</v>
      </c>
      <c r="GD85" s="39" t="str">
        <f t="shared" si="354"/>
        <v>-</v>
      </c>
      <c r="GE85" s="39" t="str">
        <f t="shared" si="355"/>
        <v>-</v>
      </c>
      <c r="GF85" s="39" t="str">
        <f t="shared" si="356"/>
        <v>-</v>
      </c>
      <c r="GG85" s="39" t="str">
        <f t="shared" si="357"/>
        <v>-</v>
      </c>
      <c r="GH85" s="39" t="str">
        <f t="shared" si="358"/>
        <v>-</v>
      </c>
      <c r="GI85" s="39" t="str">
        <f t="shared" si="359"/>
        <v>-</v>
      </c>
      <c r="GJ85" s="39" t="str">
        <f t="shared" si="360"/>
        <v>-</v>
      </c>
      <c r="GK85" s="39" t="str">
        <f t="shared" si="361"/>
        <v>-</v>
      </c>
      <c r="GL85" s="39" t="str">
        <f t="shared" si="362"/>
        <v>-</v>
      </c>
      <c r="GM85" s="39" t="str">
        <f t="shared" si="363"/>
        <v>-</v>
      </c>
      <c r="GN85" s="39" t="str">
        <f t="shared" si="364"/>
        <v>-</v>
      </c>
      <c r="GO85" s="39" t="str">
        <f t="shared" si="365"/>
        <v>-</v>
      </c>
      <c r="GP85" s="39" t="str">
        <f t="shared" si="366"/>
        <v>-</v>
      </c>
      <c r="GQ85" s="39" t="str">
        <f t="shared" si="367"/>
        <v>-</v>
      </c>
      <c r="GR85" s="39" t="str">
        <f t="shared" si="368"/>
        <v>-</v>
      </c>
      <c r="GS85" s="39" t="str">
        <f t="shared" si="369"/>
        <v>-</v>
      </c>
      <c r="GT85" s="39" t="str">
        <f t="shared" si="370"/>
        <v>-</v>
      </c>
      <c r="GU85" s="39" t="str">
        <f t="shared" si="371"/>
        <v>-</v>
      </c>
      <c r="GV85" s="39" t="str">
        <f t="shared" si="372"/>
        <v>-</v>
      </c>
      <c r="GW85" s="39" t="str">
        <f t="shared" si="373"/>
        <v>-</v>
      </c>
      <c r="GX85" s="39" t="str">
        <f t="shared" si="374"/>
        <v>-</v>
      </c>
      <c r="GY85" s="39" t="str">
        <f t="shared" si="375"/>
        <v>-</v>
      </c>
      <c r="GZ85" s="39" t="str">
        <f t="shared" si="376"/>
        <v>-</v>
      </c>
      <c r="HA85" s="39" t="str">
        <f t="shared" si="377"/>
        <v>-</v>
      </c>
      <c r="HB85" s="39" t="str">
        <f t="shared" si="378"/>
        <v>-</v>
      </c>
      <c r="HC85" s="39" t="str">
        <f t="shared" si="379"/>
        <v>-</v>
      </c>
      <c r="HD85" s="39" t="str">
        <f t="shared" si="380"/>
        <v>-</v>
      </c>
      <c r="HE85" s="39" t="str">
        <f t="shared" si="381"/>
        <v>-</v>
      </c>
      <c r="HF85" s="39" t="str">
        <f t="shared" si="382"/>
        <v>-</v>
      </c>
      <c r="HG85" s="39" t="str">
        <f t="shared" si="383"/>
        <v>-</v>
      </c>
      <c r="HH85" s="39" t="str">
        <f t="shared" si="384"/>
        <v>-</v>
      </c>
      <c r="HI85" s="39" t="str">
        <f t="shared" si="385"/>
        <v>-</v>
      </c>
      <c r="HJ85" s="39" t="str">
        <f t="shared" si="386"/>
        <v>-</v>
      </c>
      <c r="HK85" s="39" t="str">
        <f t="shared" si="387"/>
        <v>-</v>
      </c>
      <c r="HL85" s="39" t="str">
        <f t="shared" si="388"/>
        <v>-</v>
      </c>
      <c r="HM85" s="39" t="str">
        <f t="shared" si="389"/>
        <v>-</v>
      </c>
      <c r="HN85" s="39" t="str">
        <f t="shared" si="390"/>
        <v>-</v>
      </c>
      <c r="HO85" s="39" t="str">
        <f t="shared" si="391"/>
        <v>-</v>
      </c>
      <c r="HP85" s="39" t="str">
        <f t="shared" si="392"/>
        <v>-</v>
      </c>
      <c r="HQ85" s="39" t="str">
        <f t="shared" si="393"/>
        <v>-</v>
      </c>
      <c r="HR85" s="39" t="str">
        <f t="shared" si="394"/>
        <v>-</v>
      </c>
      <c r="HS85" s="39" t="str">
        <f t="shared" si="395"/>
        <v>-</v>
      </c>
      <c r="HT85" s="39" t="str">
        <f t="shared" si="395"/>
        <v>-</v>
      </c>
      <c r="HU85" s="43" t="str">
        <f t="shared" si="445"/>
        <v>-</v>
      </c>
      <c r="HV85" s="44" t="str">
        <f t="shared" si="446"/>
        <v/>
      </c>
      <c r="HW85" s="45" t="str">
        <f t="shared" si="447"/>
        <v/>
      </c>
      <c r="HX85" s="102"/>
      <c r="HY85" s="102"/>
      <c r="HZ85" s="102"/>
      <c r="IA85" s="101"/>
      <c r="IB85" s="102"/>
      <c r="IC85" s="103"/>
      <c r="ID85" s="101"/>
      <c r="IE85" s="102"/>
      <c r="IF85" s="103"/>
      <c r="IH85" s="66">
        <v>85</v>
      </c>
      <c r="II85" s="66" t="e">
        <f t="shared" ca="1" si="436"/>
        <v>#N/A</v>
      </c>
      <c r="IJ85" s="66" t="e">
        <f t="shared" ca="1" si="437"/>
        <v>#N/A</v>
      </c>
      <c r="IK85" s="66" t="e">
        <f t="shared" ca="1" si="438"/>
        <v>#N/A</v>
      </c>
      <c r="IL85" s="66" t="e">
        <f t="shared" ca="1" si="439"/>
        <v>#N/A</v>
      </c>
      <c r="IN85" s="74" t="e">
        <f t="shared" ca="1" si="440"/>
        <v>#N/A</v>
      </c>
      <c r="IO85" s="75" t="e">
        <f t="shared" ca="1" si="441"/>
        <v>#N/A</v>
      </c>
      <c r="IP85" s="75" t="e">
        <f t="shared" ca="1" si="442"/>
        <v>#N/A</v>
      </c>
      <c r="IQ85" s="74" t="e">
        <f t="shared" ca="1" si="443"/>
        <v>#N/A</v>
      </c>
      <c r="IR85" s="74" t="e">
        <f t="shared" ca="1" si="444"/>
        <v>#N/A</v>
      </c>
    </row>
    <row r="86" spans="1:252" x14ac:dyDescent="0.35">
      <c r="A86" s="28">
        <v>0</v>
      </c>
      <c r="B86" s="28">
        <v>0</v>
      </c>
      <c r="C86" s="28">
        <v>1</v>
      </c>
      <c r="D86" s="1"/>
      <c r="E86" s="3"/>
      <c r="F86" t="s">
        <v>351</v>
      </c>
      <c r="G86" s="5" t="s">
        <v>540</v>
      </c>
      <c r="H86" t="s">
        <v>535</v>
      </c>
      <c r="I86" t="s">
        <v>536</v>
      </c>
      <c r="J86" s="276" t="s">
        <v>805</v>
      </c>
      <c r="K86" s="113" t="s">
        <v>805</v>
      </c>
      <c r="L86" s="113" t="s">
        <v>805</v>
      </c>
      <c r="M86" s="113" t="s">
        <v>805</v>
      </c>
      <c r="N86" s="113" t="s">
        <v>805</v>
      </c>
      <c r="O86" s="113" t="s">
        <v>805</v>
      </c>
      <c r="P86" s="113" t="s">
        <v>805</v>
      </c>
      <c r="Q86" s="113" t="s">
        <v>805</v>
      </c>
      <c r="R86" s="113" t="s">
        <v>805</v>
      </c>
      <c r="S86" s="113" t="s">
        <v>805</v>
      </c>
      <c r="T86" s="113" t="s">
        <v>805</v>
      </c>
      <c r="U86" s="113" t="s">
        <v>805</v>
      </c>
      <c r="V86" s="113" t="s">
        <v>805</v>
      </c>
      <c r="W86" s="113" t="s">
        <v>805</v>
      </c>
      <c r="X86" s="113" t="s">
        <v>805</v>
      </c>
      <c r="Y86" s="113" t="s">
        <v>805</v>
      </c>
      <c r="Z86" s="113" t="s">
        <v>805</v>
      </c>
      <c r="AA86" s="113" t="s">
        <v>805</v>
      </c>
      <c r="AB86" s="113" t="s">
        <v>805</v>
      </c>
      <c r="AC86" s="113" t="s">
        <v>805</v>
      </c>
      <c r="AD86" s="113" t="s">
        <v>805</v>
      </c>
      <c r="AE86" s="113" t="s">
        <v>805</v>
      </c>
      <c r="AF86" s="113" t="s">
        <v>805</v>
      </c>
      <c r="AG86" s="113" t="s">
        <v>805</v>
      </c>
      <c r="AH86" s="113" t="s">
        <v>805</v>
      </c>
      <c r="AI86" s="113" t="s">
        <v>805</v>
      </c>
      <c r="AJ86" s="113" t="s">
        <v>805</v>
      </c>
      <c r="AK86" s="113" t="s">
        <v>805</v>
      </c>
      <c r="AL86" s="113" t="s">
        <v>805</v>
      </c>
      <c r="AM86" s="113" t="s">
        <v>805</v>
      </c>
      <c r="AN86" s="113" t="s">
        <v>805</v>
      </c>
      <c r="AO86" s="113" t="s">
        <v>805</v>
      </c>
      <c r="AP86" s="113" t="s">
        <v>805</v>
      </c>
      <c r="AQ86" s="113" t="s">
        <v>805</v>
      </c>
      <c r="AR86" s="113" t="s">
        <v>805</v>
      </c>
      <c r="AS86" s="113" t="s">
        <v>805</v>
      </c>
      <c r="AT86" s="113" t="s">
        <v>805</v>
      </c>
      <c r="AU86" s="113" t="s">
        <v>805</v>
      </c>
      <c r="AV86" s="113" t="s">
        <v>805</v>
      </c>
      <c r="AW86" s="113" t="s">
        <v>805</v>
      </c>
      <c r="AX86" s="113" t="s">
        <v>805</v>
      </c>
      <c r="AY86" s="113" t="s">
        <v>805</v>
      </c>
      <c r="AZ86" s="113" t="s">
        <v>805</v>
      </c>
      <c r="BA86" s="113" t="s">
        <v>805</v>
      </c>
      <c r="BB86" s="113" t="s">
        <v>805</v>
      </c>
      <c r="BC86" s="113" t="s">
        <v>805</v>
      </c>
      <c r="BD86" s="113" t="s">
        <v>805</v>
      </c>
      <c r="BE86" s="113" t="s">
        <v>805</v>
      </c>
      <c r="BF86" s="113" t="s">
        <v>805</v>
      </c>
      <c r="BG86" s="113" t="s">
        <v>805</v>
      </c>
      <c r="BH86" s="113" t="s">
        <v>805</v>
      </c>
      <c r="BI86" s="113" t="s">
        <v>805</v>
      </c>
      <c r="BJ86" s="113" t="s">
        <v>805</v>
      </c>
      <c r="BK86" s="113" t="s">
        <v>805</v>
      </c>
      <c r="BL86" s="113" t="s">
        <v>805</v>
      </c>
      <c r="BM86" s="113" t="s">
        <v>805</v>
      </c>
      <c r="BN86" s="113" t="s">
        <v>805</v>
      </c>
      <c r="BO86" s="113" t="s">
        <v>805</v>
      </c>
      <c r="BP86" s="113" t="s">
        <v>805</v>
      </c>
      <c r="BQ86" s="113" t="s">
        <v>805</v>
      </c>
      <c r="BR86" s="113" t="s">
        <v>805</v>
      </c>
      <c r="BS86" s="113" t="s">
        <v>805</v>
      </c>
      <c r="BT86" s="113" t="s">
        <v>805</v>
      </c>
      <c r="BU86" s="113" t="s">
        <v>805</v>
      </c>
      <c r="BV86" s="113" t="s">
        <v>805</v>
      </c>
      <c r="BW86" s="113" t="s">
        <v>805</v>
      </c>
      <c r="BX86" s="113" t="s">
        <v>805</v>
      </c>
      <c r="BY86" s="113" t="s">
        <v>805</v>
      </c>
      <c r="BZ86" s="113" t="s">
        <v>805</v>
      </c>
      <c r="CA86" s="113" t="s">
        <v>805</v>
      </c>
      <c r="CB86" s="113" t="s">
        <v>805</v>
      </c>
      <c r="CC86" s="113" t="s">
        <v>805</v>
      </c>
      <c r="CD86" s="113" t="s">
        <v>805</v>
      </c>
      <c r="CE86" s="113" t="s">
        <v>805</v>
      </c>
      <c r="CF86" s="113" t="s">
        <v>805</v>
      </c>
      <c r="CG86" s="113" t="s">
        <v>805</v>
      </c>
      <c r="CH86" s="113" t="s">
        <v>805</v>
      </c>
      <c r="CI86" s="113" t="s">
        <v>805</v>
      </c>
      <c r="CJ86" s="113" t="s">
        <v>805</v>
      </c>
      <c r="CK86" s="113" t="s">
        <v>805</v>
      </c>
      <c r="CL86" s="113" t="s">
        <v>805</v>
      </c>
      <c r="CM86" s="113" t="s">
        <v>805</v>
      </c>
      <c r="CN86" s="113" t="s">
        <v>805</v>
      </c>
      <c r="CO86" s="113" t="s">
        <v>805</v>
      </c>
      <c r="CP86" s="113" t="s">
        <v>805</v>
      </c>
      <c r="CQ86" s="113" t="s">
        <v>805</v>
      </c>
      <c r="CR86" s="113" t="s">
        <v>805</v>
      </c>
      <c r="CS86" s="113" t="s">
        <v>805</v>
      </c>
      <c r="CT86" s="113" t="s">
        <v>805</v>
      </c>
      <c r="CU86" s="113" t="s">
        <v>805</v>
      </c>
      <c r="CV86" s="113" t="s">
        <v>805</v>
      </c>
      <c r="CW86" s="113" t="s">
        <v>805</v>
      </c>
      <c r="CX86" s="113" t="s">
        <v>805</v>
      </c>
      <c r="CY86" s="113" t="s">
        <v>805</v>
      </c>
      <c r="CZ86" s="113" t="s">
        <v>805</v>
      </c>
      <c r="DA86" s="113" t="s">
        <v>805</v>
      </c>
      <c r="DB86" s="113" t="s">
        <v>805</v>
      </c>
      <c r="DC86" s="113" t="s">
        <v>805</v>
      </c>
      <c r="DD86" s="113" t="s">
        <v>805</v>
      </c>
      <c r="DE86" s="113" t="s">
        <v>805</v>
      </c>
      <c r="DF86" s="113" t="s">
        <v>805</v>
      </c>
      <c r="DG86" s="28">
        <f>'KPI Count-SHARE'!J77</f>
        <v>0</v>
      </c>
      <c r="DH86" s="114"/>
      <c r="DI86" s="114"/>
      <c r="DJ86" s="114"/>
      <c r="DK86" s="28">
        <f>'KPI Count-SHARE'!K77</f>
        <v>0</v>
      </c>
      <c r="DL86" s="118"/>
      <c r="DM86" s="118"/>
      <c r="DN86" s="118"/>
      <c r="DO86" s="28">
        <f>'KPI Count-SHARE'!L77</f>
        <v>0</v>
      </c>
      <c r="DP86" s="118"/>
      <c r="DQ86" s="118"/>
      <c r="DR86" s="118"/>
      <c r="DS86" s="28">
        <f>'KPI Count-SHARE'!M77</f>
        <v>0</v>
      </c>
      <c r="DT86" s="118"/>
      <c r="DU86" s="118"/>
      <c r="DV86" s="118"/>
      <c r="DW86" s="30" t="str">
        <f t="shared" si="421"/>
        <v>USD '000 per FTE</v>
      </c>
      <c r="DX86" s="39" t="str">
        <f t="shared" si="425"/>
        <v>-</v>
      </c>
      <c r="DY86" s="39" t="str">
        <f t="shared" si="426"/>
        <v>-</v>
      </c>
      <c r="DZ86" s="39" t="str">
        <f t="shared" si="427"/>
        <v>-</v>
      </c>
      <c r="EA86" s="39" t="str">
        <f t="shared" si="428"/>
        <v>-</v>
      </c>
      <c r="EB86" s="39" t="str">
        <f t="shared" si="429"/>
        <v>-</v>
      </c>
      <c r="EC86" s="39" t="str">
        <f t="shared" si="430"/>
        <v>-</v>
      </c>
      <c r="ED86" s="39" t="str">
        <f t="shared" si="431"/>
        <v>-</v>
      </c>
      <c r="EE86" s="39" t="str">
        <f t="shared" si="432"/>
        <v>-</v>
      </c>
      <c r="EF86" s="39" t="str">
        <f t="shared" si="433"/>
        <v>-</v>
      </c>
      <c r="EG86" s="39" t="str">
        <f t="shared" si="434"/>
        <v>-</v>
      </c>
      <c r="EH86" s="39" t="str">
        <f t="shared" si="435"/>
        <v>-</v>
      </c>
      <c r="EI86" s="39" t="str">
        <f t="shared" si="406"/>
        <v>-</v>
      </c>
      <c r="EJ86" s="39" t="str">
        <f t="shared" si="406"/>
        <v>-</v>
      </c>
      <c r="EK86" s="39" t="str">
        <f t="shared" si="406"/>
        <v>-</v>
      </c>
      <c r="EL86" s="39" t="str">
        <f t="shared" si="406"/>
        <v>-</v>
      </c>
      <c r="EM86" s="39" t="str">
        <f t="shared" si="406"/>
        <v>-</v>
      </c>
      <c r="EN86" s="39" t="str">
        <f t="shared" si="406"/>
        <v>-</v>
      </c>
      <c r="EO86" s="39" t="str">
        <f t="shared" si="406"/>
        <v>-</v>
      </c>
      <c r="EP86" s="39" t="str">
        <f t="shared" si="406"/>
        <v>-</v>
      </c>
      <c r="EQ86" s="39" t="str">
        <f t="shared" si="406"/>
        <v>-</v>
      </c>
      <c r="ER86" s="39" t="str">
        <f t="shared" si="406"/>
        <v>-</v>
      </c>
      <c r="ES86" s="39" t="str">
        <f t="shared" si="406"/>
        <v>-</v>
      </c>
      <c r="ET86" s="39" t="str">
        <f t="shared" si="406"/>
        <v>-</v>
      </c>
      <c r="EU86" s="39" t="str">
        <f t="shared" si="319"/>
        <v>-</v>
      </c>
      <c r="EV86" s="39" t="str">
        <f t="shared" si="320"/>
        <v>-</v>
      </c>
      <c r="EW86" s="39" t="str">
        <f t="shared" si="321"/>
        <v>-</v>
      </c>
      <c r="EX86" s="39" t="str">
        <f t="shared" si="322"/>
        <v>-</v>
      </c>
      <c r="EY86" s="39" t="str">
        <f t="shared" si="323"/>
        <v>-</v>
      </c>
      <c r="EZ86" s="39" t="str">
        <f t="shared" si="324"/>
        <v>-</v>
      </c>
      <c r="FA86" s="39" t="str">
        <f t="shared" si="325"/>
        <v>-</v>
      </c>
      <c r="FB86" s="39" t="str">
        <f t="shared" si="326"/>
        <v>-</v>
      </c>
      <c r="FC86" s="39" t="str">
        <f t="shared" si="327"/>
        <v>-</v>
      </c>
      <c r="FD86" s="39" t="str">
        <f t="shared" si="328"/>
        <v>-</v>
      </c>
      <c r="FE86" s="39" t="str">
        <f t="shared" si="329"/>
        <v>-</v>
      </c>
      <c r="FF86" s="39" t="str">
        <f t="shared" si="330"/>
        <v>-</v>
      </c>
      <c r="FG86" s="39" t="str">
        <f t="shared" si="331"/>
        <v>-</v>
      </c>
      <c r="FH86" s="39" t="str">
        <f t="shared" si="332"/>
        <v>-</v>
      </c>
      <c r="FI86" s="39" t="str">
        <f t="shared" si="333"/>
        <v>-</v>
      </c>
      <c r="FJ86" s="39" t="str">
        <f t="shared" si="334"/>
        <v>-</v>
      </c>
      <c r="FK86" s="39" t="str">
        <f t="shared" si="335"/>
        <v>-</v>
      </c>
      <c r="FL86" s="39" t="str">
        <f t="shared" si="336"/>
        <v>-</v>
      </c>
      <c r="FM86" s="39" t="str">
        <f t="shared" si="337"/>
        <v>-</v>
      </c>
      <c r="FN86" s="39" t="str">
        <f t="shared" si="338"/>
        <v>-</v>
      </c>
      <c r="FO86" s="39" t="str">
        <f t="shared" si="339"/>
        <v>-</v>
      </c>
      <c r="FP86" s="39" t="str">
        <f t="shared" si="340"/>
        <v>-</v>
      </c>
      <c r="FQ86" s="39" t="str">
        <f t="shared" si="341"/>
        <v>-</v>
      </c>
      <c r="FR86" s="39" t="str">
        <f t="shared" si="342"/>
        <v>-</v>
      </c>
      <c r="FS86" s="39" t="str">
        <f t="shared" si="343"/>
        <v>-</v>
      </c>
      <c r="FT86" s="39" t="str">
        <f t="shared" si="344"/>
        <v>-</v>
      </c>
      <c r="FU86" s="39" t="str">
        <f t="shared" si="345"/>
        <v>-</v>
      </c>
      <c r="FV86" s="39" t="str">
        <f t="shared" si="346"/>
        <v>-</v>
      </c>
      <c r="FW86" s="39" t="str">
        <f t="shared" si="347"/>
        <v>-</v>
      </c>
      <c r="FX86" s="39" t="str">
        <f t="shared" si="348"/>
        <v>-</v>
      </c>
      <c r="FY86" s="39" t="str">
        <f t="shared" si="349"/>
        <v>-</v>
      </c>
      <c r="FZ86" s="39" t="str">
        <f t="shared" si="350"/>
        <v>-</v>
      </c>
      <c r="GA86" s="39" t="str">
        <f t="shared" si="351"/>
        <v>-</v>
      </c>
      <c r="GB86" s="39" t="str">
        <f t="shared" si="352"/>
        <v>-</v>
      </c>
      <c r="GC86" s="39" t="str">
        <f t="shared" si="353"/>
        <v>-</v>
      </c>
      <c r="GD86" s="39" t="str">
        <f t="shared" si="354"/>
        <v>-</v>
      </c>
      <c r="GE86" s="39" t="str">
        <f t="shared" si="355"/>
        <v>-</v>
      </c>
      <c r="GF86" s="39" t="str">
        <f t="shared" si="356"/>
        <v>-</v>
      </c>
      <c r="GG86" s="39" t="str">
        <f t="shared" si="357"/>
        <v>-</v>
      </c>
      <c r="GH86" s="39" t="str">
        <f t="shared" si="358"/>
        <v>-</v>
      </c>
      <c r="GI86" s="39" t="str">
        <f t="shared" si="359"/>
        <v>-</v>
      </c>
      <c r="GJ86" s="39" t="str">
        <f t="shared" si="360"/>
        <v>-</v>
      </c>
      <c r="GK86" s="39" t="str">
        <f t="shared" si="361"/>
        <v>-</v>
      </c>
      <c r="GL86" s="39" t="str">
        <f t="shared" si="362"/>
        <v>-</v>
      </c>
      <c r="GM86" s="39" t="str">
        <f t="shared" si="363"/>
        <v>-</v>
      </c>
      <c r="GN86" s="39" t="str">
        <f t="shared" si="364"/>
        <v>-</v>
      </c>
      <c r="GO86" s="39" t="str">
        <f t="shared" si="365"/>
        <v>-</v>
      </c>
      <c r="GP86" s="39" t="str">
        <f t="shared" si="366"/>
        <v>-</v>
      </c>
      <c r="GQ86" s="39" t="str">
        <f t="shared" si="367"/>
        <v>-</v>
      </c>
      <c r="GR86" s="39" t="str">
        <f t="shared" si="368"/>
        <v>-</v>
      </c>
      <c r="GS86" s="39" t="str">
        <f t="shared" si="369"/>
        <v>-</v>
      </c>
      <c r="GT86" s="39" t="str">
        <f t="shared" si="370"/>
        <v>-</v>
      </c>
      <c r="GU86" s="39" t="str">
        <f t="shared" si="371"/>
        <v>-</v>
      </c>
      <c r="GV86" s="39" t="str">
        <f t="shared" si="372"/>
        <v>-</v>
      </c>
      <c r="GW86" s="39" t="str">
        <f t="shared" si="373"/>
        <v>-</v>
      </c>
      <c r="GX86" s="39" t="str">
        <f t="shared" si="374"/>
        <v>-</v>
      </c>
      <c r="GY86" s="39" t="str">
        <f t="shared" si="375"/>
        <v>-</v>
      </c>
      <c r="GZ86" s="39" t="str">
        <f t="shared" si="376"/>
        <v>-</v>
      </c>
      <c r="HA86" s="39" t="str">
        <f t="shared" si="377"/>
        <v>-</v>
      </c>
      <c r="HB86" s="39" t="str">
        <f t="shared" si="378"/>
        <v>-</v>
      </c>
      <c r="HC86" s="39" t="str">
        <f t="shared" si="379"/>
        <v>-</v>
      </c>
      <c r="HD86" s="39" t="str">
        <f t="shared" si="380"/>
        <v>-</v>
      </c>
      <c r="HE86" s="39" t="str">
        <f t="shared" si="381"/>
        <v>-</v>
      </c>
      <c r="HF86" s="39" t="str">
        <f t="shared" si="382"/>
        <v>-</v>
      </c>
      <c r="HG86" s="39" t="str">
        <f t="shared" si="383"/>
        <v>-</v>
      </c>
      <c r="HH86" s="39" t="str">
        <f t="shared" si="384"/>
        <v>-</v>
      </c>
      <c r="HI86" s="39" t="str">
        <f t="shared" si="385"/>
        <v>-</v>
      </c>
      <c r="HJ86" s="39" t="str">
        <f t="shared" si="386"/>
        <v>-</v>
      </c>
      <c r="HK86" s="39" t="str">
        <f t="shared" si="387"/>
        <v>-</v>
      </c>
      <c r="HL86" s="39" t="str">
        <f t="shared" si="388"/>
        <v>-</v>
      </c>
      <c r="HM86" s="39" t="str">
        <f t="shared" si="389"/>
        <v>-</v>
      </c>
      <c r="HN86" s="39" t="str">
        <f t="shared" si="390"/>
        <v>-</v>
      </c>
      <c r="HO86" s="39" t="str">
        <f t="shared" si="391"/>
        <v>-</v>
      </c>
      <c r="HP86" s="39" t="str">
        <f t="shared" si="392"/>
        <v>-</v>
      </c>
      <c r="HQ86" s="39" t="str">
        <f t="shared" si="393"/>
        <v>-</v>
      </c>
      <c r="HR86" s="39" t="str">
        <f t="shared" si="394"/>
        <v>-</v>
      </c>
      <c r="HS86" s="39" t="str">
        <f t="shared" si="395"/>
        <v>-</v>
      </c>
      <c r="HT86" s="39" t="str">
        <f t="shared" si="395"/>
        <v>-</v>
      </c>
      <c r="HU86" s="43" t="str">
        <f t="shared" si="445"/>
        <v>-</v>
      </c>
      <c r="HV86" s="44" t="str">
        <f t="shared" si="446"/>
        <v/>
      </c>
      <c r="HW86" s="45" t="str">
        <f t="shared" si="447"/>
        <v/>
      </c>
      <c r="HX86" s="102"/>
      <c r="HY86" s="102"/>
      <c r="HZ86" s="102"/>
      <c r="IA86" s="101"/>
      <c r="IB86" s="102"/>
      <c r="IC86" s="103"/>
      <c r="ID86" s="101"/>
      <c r="IE86" s="102"/>
      <c r="IF86" s="103"/>
      <c r="IH86" s="66">
        <v>86</v>
      </c>
      <c r="II86" s="66" t="e">
        <f t="shared" ca="1" si="436"/>
        <v>#N/A</v>
      </c>
      <c r="IJ86" s="66" t="e">
        <f t="shared" ca="1" si="437"/>
        <v>#N/A</v>
      </c>
      <c r="IK86" s="66" t="e">
        <f t="shared" ca="1" si="438"/>
        <v>#N/A</v>
      </c>
      <c r="IL86" s="66" t="e">
        <f t="shared" ca="1" si="439"/>
        <v>#N/A</v>
      </c>
      <c r="IN86" s="74" t="e">
        <f t="shared" ca="1" si="440"/>
        <v>#N/A</v>
      </c>
      <c r="IO86" s="75" t="e">
        <f t="shared" ca="1" si="441"/>
        <v>#N/A</v>
      </c>
      <c r="IP86" s="75" t="e">
        <f t="shared" ca="1" si="442"/>
        <v>#N/A</v>
      </c>
      <c r="IQ86" s="74" t="e">
        <f t="shared" ca="1" si="443"/>
        <v>#N/A</v>
      </c>
      <c r="IR86" s="74" t="e">
        <f t="shared" ca="1" si="444"/>
        <v>#N/A</v>
      </c>
    </row>
    <row r="87" spans="1:252" x14ac:dyDescent="0.35">
      <c r="A87" s="28">
        <v>0</v>
      </c>
      <c r="B87" s="28">
        <v>0</v>
      </c>
      <c r="C87" s="28">
        <v>1</v>
      </c>
      <c r="D87" s="1"/>
      <c r="E87" s="3"/>
      <c r="F87" t="s">
        <v>352</v>
      </c>
      <c r="G87" s="5" t="s">
        <v>540</v>
      </c>
      <c r="H87" t="s">
        <v>535</v>
      </c>
      <c r="I87" t="s">
        <v>536</v>
      </c>
      <c r="J87" s="276" t="s">
        <v>805</v>
      </c>
      <c r="K87" s="113" t="s">
        <v>805</v>
      </c>
      <c r="L87" s="113" t="s">
        <v>805</v>
      </c>
      <c r="M87" s="113" t="s">
        <v>805</v>
      </c>
      <c r="N87" s="113" t="s">
        <v>805</v>
      </c>
      <c r="O87" s="113" t="s">
        <v>805</v>
      </c>
      <c r="P87" s="113" t="s">
        <v>805</v>
      </c>
      <c r="Q87" s="113" t="s">
        <v>805</v>
      </c>
      <c r="R87" s="113" t="s">
        <v>805</v>
      </c>
      <c r="S87" s="113" t="s">
        <v>805</v>
      </c>
      <c r="T87" s="113" t="s">
        <v>805</v>
      </c>
      <c r="U87" s="113" t="s">
        <v>805</v>
      </c>
      <c r="V87" s="113" t="s">
        <v>805</v>
      </c>
      <c r="W87" s="113" t="s">
        <v>805</v>
      </c>
      <c r="X87" s="113" t="s">
        <v>805</v>
      </c>
      <c r="Y87" s="113" t="s">
        <v>805</v>
      </c>
      <c r="Z87" s="113" t="s">
        <v>805</v>
      </c>
      <c r="AA87" s="113" t="s">
        <v>805</v>
      </c>
      <c r="AB87" s="113" t="s">
        <v>805</v>
      </c>
      <c r="AC87" s="113" t="s">
        <v>805</v>
      </c>
      <c r="AD87" s="113" t="s">
        <v>805</v>
      </c>
      <c r="AE87" s="113" t="s">
        <v>805</v>
      </c>
      <c r="AF87" s="113" t="s">
        <v>805</v>
      </c>
      <c r="AG87" s="113" t="s">
        <v>805</v>
      </c>
      <c r="AH87" s="113" t="s">
        <v>805</v>
      </c>
      <c r="AI87" s="113" t="s">
        <v>805</v>
      </c>
      <c r="AJ87" s="113" t="s">
        <v>805</v>
      </c>
      <c r="AK87" s="113" t="s">
        <v>805</v>
      </c>
      <c r="AL87" s="113" t="s">
        <v>805</v>
      </c>
      <c r="AM87" s="113" t="s">
        <v>805</v>
      </c>
      <c r="AN87" s="113" t="s">
        <v>805</v>
      </c>
      <c r="AO87" s="113" t="s">
        <v>805</v>
      </c>
      <c r="AP87" s="113" t="s">
        <v>805</v>
      </c>
      <c r="AQ87" s="113" t="s">
        <v>805</v>
      </c>
      <c r="AR87" s="113" t="s">
        <v>805</v>
      </c>
      <c r="AS87" s="113" t="s">
        <v>805</v>
      </c>
      <c r="AT87" s="113" t="s">
        <v>805</v>
      </c>
      <c r="AU87" s="113" t="s">
        <v>805</v>
      </c>
      <c r="AV87" s="113" t="s">
        <v>805</v>
      </c>
      <c r="AW87" s="113" t="s">
        <v>805</v>
      </c>
      <c r="AX87" s="113" t="s">
        <v>805</v>
      </c>
      <c r="AY87" s="113" t="s">
        <v>805</v>
      </c>
      <c r="AZ87" s="113" t="s">
        <v>805</v>
      </c>
      <c r="BA87" s="113" t="s">
        <v>805</v>
      </c>
      <c r="BB87" s="113" t="s">
        <v>805</v>
      </c>
      <c r="BC87" s="113" t="s">
        <v>805</v>
      </c>
      <c r="BD87" s="113" t="s">
        <v>805</v>
      </c>
      <c r="BE87" s="113" t="s">
        <v>805</v>
      </c>
      <c r="BF87" s="113" t="s">
        <v>805</v>
      </c>
      <c r="BG87" s="113" t="s">
        <v>805</v>
      </c>
      <c r="BH87" s="113" t="s">
        <v>805</v>
      </c>
      <c r="BI87" s="113" t="s">
        <v>805</v>
      </c>
      <c r="BJ87" s="113" t="s">
        <v>805</v>
      </c>
      <c r="BK87" s="113" t="s">
        <v>805</v>
      </c>
      <c r="BL87" s="113" t="s">
        <v>805</v>
      </c>
      <c r="BM87" s="113" t="s">
        <v>805</v>
      </c>
      <c r="BN87" s="113" t="s">
        <v>805</v>
      </c>
      <c r="BO87" s="113" t="s">
        <v>805</v>
      </c>
      <c r="BP87" s="113" t="s">
        <v>805</v>
      </c>
      <c r="BQ87" s="113" t="s">
        <v>805</v>
      </c>
      <c r="BR87" s="113" t="s">
        <v>805</v>
      </c>
      <c r="BS87" s="113" t="s">
        <v>805</v>
      </c>
      <c r="BT87" s="113" t="s">
        <v>805</v>
      </c>
      <c r="BU87" s="113" t="s">
        <v>805</v>
      </c>
      <c r="BV87" s="113" t="s">
        <v>805</v>
      </c>
      <c r="BW87" s="113" t="s">
        <v>805</v>
      </c>
      <c r="BX87" s="113" t="s">
        <v>805</v>
      </c>
      <c r="BY87" s="113" t="s">
        <v>805</v>
      </c>
      <c r="BZ87" s="113" t="s">
        <v>805</v>
      </c>
      <c r="CA87" s="113" t="s">
        <v>805</v>
      </c>
      <c r="CB87" s="113" t="s">
        <v>805</v>
      </c>
      <c r="CC87" s="113" t="s">
        <v>805</v>
      </c>
      <c r="CD87" s="113" t="s">
        <v>805</v>
      </c>
      <c r="CE87" s="113" t="s">
        <v>805</v>
      </c>
      <c r="CF87" s="113" t="s">
        <v>805</v>
      </c>
      <c r="CG87" s="113" t="s">
        <v>805</v>
      </c>
      <c r="CH87" s="113" t="s">
        <v>805</v>
      </c>
      <c r="CI87" s="113" t="s">
        <v>805</v>
      </c>
      <c r="CJ87" s="113" t="s">
        <v>805</v>
      </c>
      <c r="CK87" s="113" t="s">
        <v>805</v>
      </c>
      <c r="CL87" s="113" t="s">
        <v>805</v>
      </c>
      <c r="CM87" s="113" t="s">
        <v>805</v>
      </c>
      <c r="CN87" s="113" t="s">
        <v>805</v>
      </c>
      <c r="CO87" s="113" t="s">
        <v>805</v>
      </c>
      <c r="CP87" s="113" t="s">
        <v>805</v>
      </c>
      <c r="CQ87" s="113" t="s">
        <v>805</v>
      </c>
      <c r="CR87" s="113" t="s">
        <v>805</v>
      </c>
      <c r="CS87" s="113" t="s">
        <v>805</v>
      </c>
      <c r="CT87" s="113" t="s">
        <v>805</v>
      </c>
      <c r="CU87" s="113" t="s">
        <v>805</v>
      </c>
      <c r="CV87" s="113" t="s">
        <v>805</v>
      </c>
      <c r="CW87" s="113" t="s">
        <v>805</v>
      </c>
      <c r="CX87" s="113" t="s">
        <v>805</v>
      </c>
      <c r="CY87" s="113" t="s">
        <v>805</v>
      </c>
      <c r="CZ87" s="113" t="s">
        <v>805</v>
      </c>
      <c r="DA87" s="113" t="s">
        <v>805</v>
      </c>
      <c r="DB87" s="113" t="s">
        <v>805</v>
      </c>
      <c r="DC87" s="113" t="s">
        <v>805</v>
      </c>
      <c r="DD87" s="113" t="s">
        <v>805</v>
      </c>
      <c r="DE87" s="113" t="s">
        <v>805</v>
      </c>
      <c r="DF87" s="113" t="s">
        <v>805</v>
      </c>
      <c r="DG87" s="28">
        <f>'KPI Count-SHARE'!J78</f>
        <v>0</v>
      </c>
      <c r="DH87" s="114"/>
      <c r="DI87" s="114"/>
      <c r="DJ87" s="114"/>
      <c r="DK87" s="28">
        <f>'KPI Count-SHARE'!K78</f>
        <v>0</v>
      </c>
      <c r="DL87" s="118"/>
      <c r="DM87" s="118"/>
      <c r="DN87" s="118"/>
      <c r="DO87" s="28">
        <f>'KPI Count-SHARE'!L78</f>
        <v>0</v>
      </c>
      <c r="DP87" s="118"/>
      <c r="DQ87" s="118"/>
      <c r="DR87" s="118"/>
      <c r="DS87" s="28">
        <f>'KPI Count-SHARE'!M78</f>
        <v>0</v>
      </c>
      <c r="DT87" s="118"/>
      <c r="DU87" s="118"/>
      <c r="DV87" s="118"/>
      <c r="DW87" s="30" t="str">
        <f t="shared" si="421"/>
        <v>USD '000 per FTE</v>
      </c>
      <c r="DX87" s="39" t="str">
        <f t="shared" si="425"/>
        <v>-</v>
      </c>
      <c r="DY87" s="39" t="str">
        <f t="shared" si="426"/>
        <v>-</v>
      </c>
      <c r="DZ87" s="39" t="str">
        <f t="shared" si="427"/>
        <v>-</v>
      </c>
      <c r="EA87" s="39" t="str">
        <f t="shared" si="428"/>
        <v>-</v>
      </c>
      <c r="EB87" s="39" t="str">
        <f t="shared" si="429"/>
        <v>-</v>
      </c>
      <c r="EC87" s="39" t="str">
        <f t="shared" si="430"/>
        <v>-</v>
      </c>
      <c r="ED87" s="39" t="str">
        <f t="shared" si="431"/>
        <v>-</v>
      </c>
      <c r="EE87" s="39" t="str">
        <f t="shared" si="432"/>
        <v>-</v>
      </c>
      <c r="EF87" s="39" t="str">
        <f t="shared" si="433"/>
        <v>-</v>
      </c>
      <c r="EG87" s="39" t="str">
        <f t="shared" si="434"/>
        <v>-</v>
      </c>
      <c r="EH87" s="39" t="str">
        <f t="shared" si="435"/>
        <v>-</v>
      </c>
      <c r="EI87" s="39" t="str">
        <f t="shared" ref="EI87:EI137" si="448">IFERROR(IF(ISBLANK(U87), "-", IF($I87="c", U87*$I$5, U87)),"-")</f>
        <v>-</v>
      </c>
      <c r="EJ87" s="39" t="str">
        <f t="shared" ref="EJ87:EJ137" si="449">IFERROR(IF(ISBLANK(V87), "-", IF($I87="c", V87*$I$5, V87)),"-")</f>
        <v>-</v>
      </c>
      <c r="EK87" s="39" t="str">
        <f t="shared" ref="EK87:EK137" si="450">IFERROR(IF(ISBLANK(W87), "-", IF($I87="c", W87*$I$5, W87)),"-")</f>
        <v>-</v>
      </c>
      <c r="EL87" s="39" t="str">
        <f t="shared" ref="EL87:EL137" si="451">IFERROR(IF(ISBLANK(X87), "-", IF($I87="c", X87*$I$5, X87)),"-")</f>
        <v>-</v>
      </c>
      <c r="EM87" s="39" t="str">
        <f t="shared" ref="EM87:EM137" si="452">IFERROR(IF(ISBLANK(Y87), "-", IF($I87="c", Y87*$I$5, Y87)),"-")</f>
        <v>-</v>
      </c>
      <c r="EN87" s="39" t="str">
        <f t="shared" ref="EN87:EN137" si="453">IFERROR(IF(ISBLANK(Z87), "-", IF($I87="c", Z87*$I$5, Z87)),"-")</f>
        <v>-</v>
      </c>
      <c r="EO87" s="39" t="str">
        <f t="shared" ref="EO87:EO137" si="454">IFERROR(IF(ISBLANK(AA87), "-", IF($I87="c", AA87*$I$5, AA87)),"-")</f>
        <v>-</v>
      </c>
      <c r="EP87" s="39" t="str">
        <f t="shared" ref="EP87:EP137" si="455">IFERROR(IF(ISBLANK(AB87), "-", IF($I87="c", AB87*$I$5, AB87)),"-")</f>
        <v>-</v>
      </c>
      <c r="EQ87" s="39" t="str">
        <f t="shared" ref="EQ87:EQ137" si="456">IFERROR(IF(ISBLANK(AC87), "-", IF($I87="c", AC87*$I$5, AC87)),"-")</f>
        <v>-</v>
      </c>
      <c r="ER87" s="39" t="str">
        <f t="shared" ref="ER87:ER137" si="457">IFERROR(IF(ISBLANK(AD87), "-", IF($I87="c", AD87*$I$5, AD87)),"-")</f>
        <v>-</v>
      </c>
      <c r="ES87" s="39" t="str">
        <f t="shared" ref="ES87:ES137" si="458">IFERROR(IF(ISBLANK(AE87), "-", IF($I87="c", AE87*$I$5, AE87)),"-")</f>
        <v>-</v>
      </c>
      <c r="ET87" s="39" t="str">
        <f t="shared" ref="ET87:ET137" si="459">IFERROR(IF(ISBLANK(AF87), "-", IF($I87="c", AF87*$I$5, AF87)),"-")</f>
        <v>-</v>
      </c>
      <c r="EU87" s="39" t="str">
        <f t="shared" si="319"/>
        <v>-</v>
      </c>
      <c r="EV87" s="39" t="str">
        <f t="shared" si="320"/>
        <v>-</v>
      </c>
      <c r="EW87" s="39" t="str">
        <f t="shared" si="321"/>
        <v>-</v>
      </c>
      <c r="EX87" s="39" t="str">
        <f t="shared" si="322"/>
        <v>-</v>
      </c>
      <c r="EY87" s="39" t="str">
        <f t="shared" si="323"/>
        <v>-</v>
      </c>
      <c r="EZ87" s="39" t="str">
        <f t="shared" si="324"/>
        <v>-</v>
      </c>
      <c r="FA87" s="39" t="str">
        <f t="shared" si="325"/>
        <v>-</v>
      </c>
      <c r="FB87" s="39" t="str">
        <f t="shared" si="326"/>
        <v>-</v>
      </c>
      <c r="FC87" s="39" t="str">
        <f t="shared" si="327"/>
        <v>-</v>
      </c>
      <c r="FD87" s="39" t="str">
        <f t="shared" si="328"/>
        <v>-</v>
      </c>
      <c r="FE87" s="39" t="str">
        <f t="shared" si="329"/>
        <v>-</v>
      </c>
      <c r="FF87" s="39" t="str">
        <f t="shared" si="330"/>
        <v>-</v>
      </c>
      <c r="FG87" s="39" t="str">
        <f t="shared" si="331"/>
        <v>-</v>
      </c>
      <c r="FH87" s="39" t="str">
        <f t="shared" si="332"/>
        <v>-</v>
      </c>
      <c r="FI87" s="39" t="str">
        <f t="shared" si="333"/>
        <v>-</v>
      </c>
      <c r="FJ87" s="39" t="str">
        <f t="shared" si="334"/>
        <v>-</v>
      </c>
      <c r="FK87" s="39" t="str">
        <f t="shared" si="335"/>
        <v>-</v>
      </c>
      <c r="FL87" s="39" t="str">
        <f t="shared" si="336"/>
        <v>-</v>
      </c>
      <c r="FM87" s="39" t="str">
        <f t="shared" si="337"/>
        <v>-</v>
      </c>
      <c r="FN87" s="39" t="str">
        <f t="shared" si="338"/>
        <v>-</v>
      </c>
      <c r="FO87" s="39" t="str">
        <f t="shared" si="339"/>
        <v>-</v>
      </c>
      <c r="FP87" s="39" t="str">
        <f t="shared" si="340"/>
        <v>-</v>
      </c>
      <c r="FQ87" s="39" t="str">
        <f t="shared" si="341"/>
        <v>-</v>
      </c>
      <c r="FR87" s="39" t="str">
        <f t="shared" si="342"/>
        <v>-</v>
      </c>
      <c r="FS87" s="39" t="str">
        <f t="shared" si="343"/>
        <v>-</v>
      </c>
      <c r="FT87" s="39" t="str">
        <f t="shared" si="344"/>
        <v>-</v>
      </c>
      <c r="FU87" s="39" t="str">
        <f t="shared" si="345"/>
        <v>-</v>
      </c>
      <c r="FV87" s="39" t="str">
        <f t="shared" si="346"/>
        <v>-</v>
      </c>
      <c r="FW87" s="39" t="str">
        <f t="shared" si="347"/>
        <v>-</v>
      </c>
      <c r="FX87" s="39" t="str">
        <f t="shared" si="348"/>
        <v>-</v>
      </c>
      <c r="FY87" s="39" t="str">
        <f t="shared" si="349"/>
        <v>-</v>
      </c>
      <c r="FZ87" s="39" t="str">
        <f t="shared" si="350"/>
        <v>-</v>
      </c>
      <c r="GA87" s="39" t="str">
        <f t="shared" si="351"/>
        <v>-</v>
      </c>
      <c r="GB87" s="39" t="str">
        <f t="shared" si="352"/>
        <v>-</v>
      </c>
      <c r="GC87" s="39" t="str">
        <f t="shared" si="353"/>
        <v>-</v>
      </c>
      <c r="GD87" s="39" t="str">
        <f t="shared" si="354"/>
        <v>-</v>
      </c>
      <c r="GE87" s="39" t="str">
        <f t="shared" si="355"/>
        <v>-</v>
      </c>
      <c r="GF87" s="39" t="str">
        <f t="shared" si="356"/>
        <v>-</v>
      </c>
      <c r="GG87" s="39" t="str">
        <f t="shared" si="357"/>
        <v>-</v>
      </c>
      <c r="GH87" s="39" t="str">
        <f t="shared" si="358"/>
        <v>-</v>
      </c>
      <c r="GI87" s="39" t="str">
        <f t="shared" si="359"/>
        <v>-</v>
      </c>
      <c r="GJ87" s="39" t="str">
        <f t="shared" si="360"/>
        <v>-</v>
      </c>
      <c r="GK87" s="39" t="str">
        <f t="shared" si="361"/>
        <v>-</v>
      </c>
      <c r="GL87" s="39" t="str">
        <f t="shared" si="362"/>
        <v>-</v>
      </c>
      <c r="GM87" s="39" t="str">
        <f t="shared" si="363"/>
        <v>-</v>
      </c>
      <c r="GN87" s="39" t="str">
        <f t="shared" si="364"/>
        <v>-</v>
      </c>
      <c r="GO87" s="39" t="str">
        <f t="shared" si="365"/>
        <v>-</v>
      </c>
      <c r="GP87" s="39" t="str">
        <f t="shared" si="366"/>
        <v>-</v>
      </c>
      <c r="GQ87" s="39" t="str">
        <f t="shared" si="367"/>
        <v>-</v>
      </c>
      <c r="GR87" s="39" t="str">
        <f t="shared" si="368"/>
        <v>-</v>
      </c>
      <c r="GS87" s="39" t="str">
        <f t="shared" si="369"/>
        <v>-</v>
      </c>
      <c r="GT87" s="39" t="str">
        <f t="shared" si="370"/>
        <v>-</v>
      </c>
      <c r="GU87" s="39" t="str">
        <f t="shared" si="371"/>
        <v>-</v>
      </c>
      <c r="GV87" s="39" t="str">
        <f t="shared" si="372"/>
        <v>-</v>
      </c>
      <c r="GW87" s="39" t="str">
        <f t="shared" si="373"/>
        <v>-</v>
      </c>
      <c r="GX87" s="39" t="str">
        <f t="shared" si="374"/>
        <v>-</v>
      </c>
      <c r="GY87" s="39" t="str">
        <f t="shared" si="375"/>
        <v>-</v>
      </c>
      <c r="GZ87" s="39" t="str">
        <f t="shared" si="376"/>
        <v>-</v>
      </c>
      <c r="HA87" s="39" t="str">
        <f t="shared" si="377"/>
        <v>-</v>
      </c>
      <c r="HB87" s="39" t="str">
        <f t="shared" si="378"/>
        <v>-</v>
      </c>
      <c r="HC87" s="39" t="str">
        <f t="shared" si="379"/>
        <v>-</v>
      </c>
      <c r="HD87" s="39" t="str">
        <f t="shared" si="380"/>
        <v>-</v>
      </c>
      <c r="HE87" s="39" t="str">
        <f t="shared" si="381"/>
        <v>-</v>
      </c>
      <c r="HF87" s="39" t="str">
        <f t="shared" si="382"/>
        <v>-</v>
      </c>
      <c r="HG87" s="39" t="str">
        <f t="shared" si="383"/>
        <v>-</v>
      </c>
      <c r="HH87" s="39" t="str">
        <f t="shared" si="384"/>
        <v>-</v>
      </c>
      <c r="HI87" s="39" t="str">
        <f t="shared" si="385"/>
        <v>-</v>
      </c>
      <c r="HJ87" s="39" t="str">
        <f t="shared" si="386"/>
        <v>-</v>
      </c>
      <c r="HK87" s="39" t="str">
        <f t="shared" si="387"/>
        <v>-</v>
      </c>
      <c r="HL87" s="39" t="str">
        <f t="shared" si="388"/>
        <v>-</v>
      </c>
      <c r="HM87" s="39" t="str">
        <f t="shared" si="389"/>
        <v>-</v>
      </c>
      <c r="HN87" s="39" t="str">
        <f t="shared" si="390"/>
        <v>-</v>
      </c>
      <c r="HO87" s="39" t="str">
        <f t="shared" si="391"/>
        <v>-</v>
      </c>
      <c r="HP87" s="39" t="str">
        <f t="shared" si="392"/>
        <v>-</v>
      </c>
      <c r="HQ87" s="39" t="str">
        <f t="shared" si="393"/>
        <v>-</v>
      </c>
      <c r="HR87" s="39" t="str">
        <f t="shared" si="394"/>
        <v>-</v>
      </c>
      <c r="HS87" s="39" t="str">
        <f t="shared" si="395"/>
        <v>-</v>
      </c>
      <c r="HT87" s="39" t="str">
        <f t="shared" si="395"/>
        <v>-</v>
      </c>
      <c r="HU87" s="43" t="str">
        <f t="shared" si="445"/>
        <v>-</v>
      </c>
      <c r="HV87" s="44" t="str">
        <f t="shared" si="446"/>
        <v/>
      </c>
      <c r="HW87" s="45" t="str">
        <f t="shared" si="447"/>
        <v/>
      </c>
      <c r="HX87" s="102"/>
      <c r="HY87" s="102"/>
      <c r="HZ87" s="102"/>
      <c r="IA87" s="101"/>
      <c r="IB87" s="102"/>
      <c r="IC87" s="103"/>
      <c r="ID87" s="101"/>
      <c r="IE87" s="102"/>
      <c r="IF87" s="103"/>
      <c r="IH87" s="66">
        <v>87</v>
      </c>
      <c r="II87" s="66" t="e">
        <f t="shared" ca="1" si="436"/>
        <v>#N/A</v>
      </c>
      <c r="IJ87" s="66" t="e">
        <f t="shared" ca="1" si="437"/>
        <v>#N/A</v>
      </c>
      <c r="IK87" s="66" t="e">
        <f t="shared" ca="1" si="438"/>
        <v>#N/A</v>
      </c>
      <c r="IL87" s="66" t="e">
        <f t="shared" ca="1" si="439"/>
        <v>#N/A</v>
      </c>
      <c r="IN87" s="74" t="e">
        <f t="shared" ca="1" si="440"/>
        <v>#N/A</v>
      </c>
      <c r="IO87" s="75" t="e">
        <f t="shared" ca="1" si="441"/>
        <v>#N/A</v>
      </c>
      <c r="IP87" s="75" t="e">
        <f t="shared" ca="1" si="442"/>
        <v>#N/A</v>
      </c>
      <c r="IQ87" s="74" t="e">
        <f t="shared" ca="1" si="443"/>
        <v>#N/A</v>
      </c>
      <c r="IR87" s="74" t="e">
        <f t="shared" ca="1" si="444"/>
        <v>#N/A</v>
      </c>
    </row>
    <row r="88" spans="1:252" x14ac:dyDescent="0.35">
      <c r="A88" s="28">
        <v>0</v>
      </c>
      <c r="B88" s="28">
        <v>0</v>
      </c>
      <c r="C88" s="28">
        <v>1</v>
      </c>
      <c r="D88" s="1"/>
      <c r="E88" s="3"/>
      <c r="F88" t="s">
        <v>353</v>
      </c>
      <c r="G88" s="5" t="s">
        <v>540</v>
      </c>
      <c r="H88" t="s">
        <v>535</v>
      </c>
      <c r="I88" t="s">
        <v>536</v>
      </c>
      <c r="J88" s="276" t="s">
        <v>805</v>
      </c>
      <c r="K88" s="113" t="s">
        <v>805</v>
      </c>
      <c r="L88" s="113" t="s">
        <v>805</v>
      </c>
      <c r="M88" s="113" t="s">
        <v>805</v>
      </c>
      <c r="N88" s="113" t="s">
        <v>805</v>
      </c>
      <c r="O88" s="113" t="s">
        <v>805</v>
      </c>
      <c r="P88" s="113" t="s">
        <v>805</v>
      </c>
      <c r="Q88" s="113" t="s">
        <v>805</v>
      </c>
      <c r="R88" s="113" t="s">
        <v>805</v>
      </c>
      <c r="S88" s="113" t="s">
        <v>805</v>
      </c>
      <c r="T88" s="113" t="s">
        <v>805</v>
      </c>
      <c r="U88" s="113" t="s">
        <v>805</v>
      </c>
      <c r="V88" s="113" t="s">
        <v>805</v>
      </c>
      <c r="W88" s="113" t="s">
        <v>805</v>
      </c>
      <c r="X88" s="113" t="s">
        <v>805</v>
      </c>
      <c r="Y88" s="113" t="s">
        <v>805</v>
      </c>
      <c r="Z88" s="113" t="s">
        <v>805</v>
      </c>
      <c r="AA88" s="113" t="s">
        <v>805</v>
      </c>
      <c r="AB88" s="113" t="s">
        <v>805</v>
      </c>
      <c r="AC88" s="113" t="s">
        <v>805</v>
      </c>
      <c r="AD88" s="113" t="s">
        <v>805</v>
      </c>
      <c r="AE88" s="113" t="s">
        <v>805</v>
      </c>
      <c r="AF88" s="113" t="s">
        <v>805</v>
      </c>
      <c r="AG88" s="113" t="s">
        <v>805</v>
      </c>
      <c r="AH88" s="113" t="s">
        <v>805</v>
      </c>
      <c r="AI88" s="113" t="s">
        <v>805</v>
      </c>
      <c r="AJ88" s="113" t="s">
        <v>805</v>
      </c>
      <c r="AK88" s="113" t="s">
        <v>805</v>
      </c>
      <c r="AL88" s="113" t="s">
        <v>805</v>
      </c>
      <c r="AM88" s="113" t="s">
        <v>805</v>
      </c>
      <c r="AN88" s="113" t="s">
        <v>805</v>
      </c>
      <c r="AO88" s="113" t="s">
        <v>805</v>
      </c>
      <c r="AP88" s="113" t="s">
        <v>805</v>
      </c>
      <c r="AQ88" s="113" t="s">
        <v>805</v>
      </c>
      <c r="AR88" s="113" t="s">
        <v>805</v>
      </c>
      <c r="AS88" s="113" t="s">
        <v>805</v>
      </c>
      <c r="AT88" s="113" t="s">
        <v>805</v>
      </c>
      <c r="AU88" s="113" t="s">
        <v>805</v>
      </c>
      <c r="AV88" s="113" t="s">
        <v>805</v>
      </c>
      <c r="AW88" s="113" t="s">
        <v>805</v>
      </c>
      <c r="AX88" s="113" t="s">
        <v>805</v>
      </c>
      <c r="AY88" s="113" t="s">
        <v>805</v>
      </c>
      <c r="AZ88" s="113" t="s">
        <v>805</v>
      </c>
      <c r="BA88" s="113" t="s">
        <v>805</v>
      </c>
      <c r="BB88" s="113" t="s">
        <v>805</v>
      </c>
      <c r="BC88" s="113" t="s">
        <v>805</v>
      </c>
      <c r="BD88" s="113" t="s">
        <v>805</v>
      </c>
      <c r="BE88" s="113" t="s">
        <v>805</v>
      </c>
      <c r="BF88" s="113" t="s">
        <v>805</v>
      </c>
      <c r="BG88" s="113" t="s">
        <v>805</v>
      </c>
      <c r="BH88" s="113" t="s">
        <v>805</v>
      </c>
      <c r="BI88" s="113" t="s">
        <v>805</v>
      </c>
      <c r="BJ88" s="113" t="s">
        <v>805</v>
      </c>
      <c r="BK88" s="113" t="s">
        <v>805</v>
      </c>
      <c r="BL88" s="113" t="s">
        <v>805</v>
      </c>
      <c r="BM88" s="113" t="s">
        <v>805</v>
      </c>
      <c r="BN88" s="113" t="s">
        <v>805</v>
      </c>
      <c r="BO88" s="113" t="s">
        <v>805</v>
      </c>
      <c r="BP88" s="113" t="s">
        <v>805</v>
      </c>
      <c r="BQ88" s="113" t="s">
        <v>805</v>
      </c>
      <c r="BR88" s="113" t="s">
        <v>805</v>
      </c>
      <c r="BS88" s="113" t="s">
        <v>805</v>
      </c>
      <c r="BT88" s="113" t="s">
        <v>805</v>
      </c>
      <c r="BU88" s="113" t="s">
        <v>805</v>
      </c>
      <c r="BV88" s="113" t="s">
        <v>805</v>
      </c>
      <c r="BW88" s="113" t="s">
        <v>805</v>
      </c>
      <c r="BX88" s="113" t="s">
        <v>805</v>
      </c>
      <c r="BY88" s="113" t="s">
        <v>805</v>
      </c>
      <c r="BZ88" s="113" t="s">
        <v>805</v>
      </c>
      <c r="CA88" s="113" t="s">
        <v>805</v>
      </c>
      <c r="CB88" s="113" t="s">
        <v>805</v>
      </c>
      <c r="CC88" s="113" t="s">
        <v>805</v>
      </c>
      <c r="CD88" s="113" t="s">
        <v>805</v>
      </c>
      <c r="CE88" s="113" t="s">
        <v>805</v>
      </c>
      <c r="CF88" s="113" t="s">
        <v>805</v>
      </c>
      <c r="CG88" s="113" t="s">
        <v>805</v>
      </c>
      <c r="CH88" s="113" t="s">
        <v>805</v>
      </c>
      <c r="CI88" s="113" t="s">
        <v>805</v>
      </c>
      <c r="CJ88" s="113" t="s">
        <v>805</v>
      </c>
      <c r="CK88" s="113" t="s">
        <v>805</v>
      </c>
      <c r="CL88" s="113" t="s">
        <v>805</v>
      </c>
      <c r="CM88" s="113" t="s">
        <v>805</v>
      </c>
      <c r="CN88" s="113" t="s">
        <v>805</v>
      </c>
      <c r="CO88" s="113" t="s">
        <v>805</v>
      </c>
      <c r="CP88" s="113" t="s">
        <v>805</v>
      </c>
      <c r="CQ88" s="113" t="s">
        <v>805</v>
      </c>
      <c r="CR88" s="113" t="s">
        <v>805</v>
      </c>
      <c r="CS88" s="113" t="s">
        <v>805</v>
      </c>
      <c r="CT88" s="113" t="s">
        <v>805</v>
      </c>
      <c r="CU88" s="113" t="s">
        <v>805</v>
      </c>
      <c r="CV88" s="113" t="s">
        <v>805</v>
      </c>
      <c r="CW88" s="113" t="s">
        <v>805</v>
      </c>
      <c r="CX88" s="113" t="s">
        <v>805</v>
      </c>
      <c r="CY88" s="113" t="s">
        <v>805</v>
      </c>
      <c r="CZ88" s="113" t="s">
        <v>805</v>
      </c>
      <c r="DA88" s="113" t="s">
        <v>805</v>
      </c>
      <c r="DB88" s="113" t="s">
        <v>805</v>
      </c>
      <c r="DC88" s="113" t="s">
        <v>805</v>
      </c>
      <c r="DD88" s="113" t="s">
        <v>805</v>
      </c>
      <c r="DE88" s="113" t="s">
        <v>805</v>
      </c>
      <c r="DF88" s="113" t="s">
        <v>805</v>
      </c>
      <c r="DG88" s="28">
        <f>'KPI Count-SHARE'!J79</f>
        <v>0</v>
      </c>
      <c r="DH88" s="114"/>
      <c r="DI88" s="114"/>
      <c r="DJ88" s="114"/>
      <c r="DK88" s="28">
        <f>'KPI Count-SHARE'!K79</f>
        <v>0</v>
      </c>
      <c r="DL88" s="118"/>
      <c r="DM88" s="118"/>
      <c r="DN88" s="118"/>
      <c r="DO88" s="28">
        <f>'KPI Count-SHARE'!L79</f>
        <v>0</v>
      </c>
      <c r="DP88" s="118"/>
      <c r="DQ88" s="118"/>
      <c r="DR88" s="118"/>
      <c r="DS88" s="28">
        <f>'KPI Count-SHARE'!M79</f>
        <v>0</v>
      </c>
      <c r="DT88" s="118"/>
      <c r="DU88" s="118"/>
      <c r="DV88" s="118"/>
      <c r="DW88" s="30" t="str">
        <f t="shared" si="421"/>
        <v>USD '000 per FTE</v>
      </c>
      <c r="DX88" s="39" t="str">
        <f t="shared" si="425"/>
        <v>-</v>
      </c>
      <c r="DY88" s="39" t="str">
        <f t="shared" si="426"/>
        <v>-</v>
      </c>
      <c r="DZ88" s="39" t="str">
        <f t="shared" si="427"/>
        <v>-</v>
      </c>
      <c r="EA88" s="39" t="str">
        <f t="shared" si="428"/>
        <v>-</v>
      </c>
      <c r="EB88" s="39" t="str">
        <f t="shared" si="429"/>
        <v>-</v>
      </c>
      <c r="EC88" s="39" t="str">
        <f t="shared" si="430"/>
        <v>-</v>
      </c>
      <c r="ED88" s="39" t="str">
        <f t="shared" si="431"/>
        <v>-</v>
      </c>
      <c r="EE88" s="39" t="str">
        <f t="shared" si="432"/>
        <v>-</v>
      </c>
      <c r="EF88" s="39" t="str">
        <f t="shared" si="433"/>
        <v>-</v>
      </c>
      <c r="EG88" s="39" t="str">
        <f t="shared" si="434"/>
        <v>-</v>
      </c>
      <c r="EH88" s="39" t="str">
        <f t="shared" si="435"/>
        <v>-</v>
      </c>
      <c r="EI88" s="39" t="str">
        <f t="shared" si="448"/>
        <v>-</v>
      </c>
      <c r="EJ88" s="39" t="str">
        <f t="shared" si="449"/>
        <v>-</v>
      </c>
      <c r="EK88" s="39" t="str">
        <f t="shared" si="450"/>
        <v>-</v>
      </c>
      <c r="EL88" s="39" t="str">
        <f t="shared" si="451"/>
        <v>-</v>
      </c>
      <c r="EM88" s="39" t="str">
        <f t="shared" si="452"/>
        <v>-</v>
      </c>
      <c r="EN88" s="39" t="str">
        <f t="shared" si="453"/>
        <v>-</v>
      </c>
      <c r="EO88" s="39" t="str">
        <f t="shared" si="454"/>
        <v>-</v>
      </c>
      <c r="EP88" s="39" t="str">
        <f t="shared" si="455"/>
        <v>-</v>
      </c>
      <c r="EQ88" s="39" t="str">
        <f t="shared" si="456"/>
        <v>-</v>
      </c>
      <c r="ER88" s="39" t="str">
        <f t="shared" si="457"/>
        <v>-</v>
      </c>
      <c r="ES88" s="39" t="str">
        <f t="shared" si="458"/>
        <v>-</v>
      </c>
      <c r="ET88" s="39" t="str">
        <f t="shared" si="459"/>
        <v>-</v>
      </c>
      <c r="EU88" s="39" t="str">
        <f t="shared" si="319"/>
        <v>-</v>
      </c>
      <c r="EV88" s="39" t="str">
        <f t="shared" si="320"/>
        <v>-</v>
      </c>
      <c r="EW88" s="39" t="str">
        <f t="shared" si="321"/>
        <v>-</v>
      </c>
      <c r="EX88" s="39" t="str">
        <f t="shared" si="322"/>
        <v>-</v>
      </c>
      <c r="EY88" s="39" t="str">
        <f t="shared" si="323"/>
        <v>-</v>
      </c>
      <c r="EZ88" s="39" t="str">
        <f t="shared" si="324"/>
        <v>-</v>
      </c>
      <c r="FA88" s="39" t="str">
        <f t="shared" si="325"/>
        <v>-</v>
      </c>
      <c r="FB88" s="39" t="str">
        <f t="shared" si="326"/>
        <v>-</v>
      </c>
      <c r="FC88" s="39" t="str">
        <f t="shared" si="327"/>
        <v>-</v>
      </c>
      <c r="FD88" s="39" t="str">
        <f t="shared" si="328"/>
        <v>-</v>
      </c>
      <c r="FE88" s="39" t="str">
        <f t="shared" si="329"/>
        <v>-</v>
      </c>
      <c r="FF88" s="39" t="str">
        <f t="shared" si="330"/>
        <v>-</v>
      </c>
      <c r="FG88" s="39" t="str">
        <f t="shared" si="331"/>
        <v>-</v>
      </c>
      <c r="FH88" s="39" t="str">
        <f t="shared" si="332"/>
        <v>-</v>
      </c>
      <c r="FI88" s="39" t="str">
        <f t="shared" si="333"/>
        <v>-</v>
      </c>
      <c r="FJ88" s="39" t="str">
        <f t="shared" si="334"/>
        <v>-</v>
      </c>
      <c r="FK88" s="39" t="str">
        <f t="shared" si="335"/>
        <v>-</v>
      </c>
      <c r="FL88" s="39" t="str">
        <f t="shared" si="336"/>
        <v>-</v>
      </c>
      <c r="FM88" s="39" t="str">
        <f t="shared" si="337"/>
        <v>-</v>
      </c>
      <c r="FN88" s="39" t="str">
        <f t="shared" si="338"/>
        <v>-</v>
      </c>
      <c r="FO88" s="39" t="str">
        <f t="shared" si="339"/>
        <v>-</v>
      </c>
      <c r="FP88" s="39" t="str">
        <f t="shared" si="340"/>
        <v>-</v>
      </c>
      <c r="FQ88" s="39" t="str">
        <f t="shared" si="341"/>
        <v>-</v>
      </c>
      <c r="FR88" s="39" t="str">
        <f t="shared" si="342"/>
        <v>-</v>
      </c>
      <c r="FS88" s="39" t="str">
        <f t="shared" si="343"/>
        <v>-</v>
      </c>
      <c r="FT88" s="39" t="str">
        <f t="shared" si="344"/>
        <v>-</v>
      </c>
      <c r="FU88" s="39" t="str">
        <f t="shared" si="345"/>
        <v>-</v>
      </c>
      <c r="FV88" s="39" t="str">
        <f t="shared" si="346"/>
        <v>-</v>
      </c>
      <c r="FW88" s="39" t="str">
        <f t="shared" si="347"/>
        <v>-</v>
      </c>
      <c r="FX88" s="39" t="str">
        <f t="shared" si="348"/>
        <v>-</v>
      </c>
      <c r="FY88" s="39" t="str">
        <f t="shared" si="349"/>
        <v>-</v>
      </c>
      <c r="FZ88" s="39" t="str">
        <f t="shared" si="350"/>
        <v>-</v>
      </c>
      <c r="GA88" s="39" t="str">
        <f t="shared" si="351"/>
        <v>-</v>
      </c>
      <c r="GB88" s="39" t="str">
        <f t="shared" si="352"/>
        <v>-</v>
      </c>
      <c r="GC88" s="39" t="str">
        <f t="shared" si="353"/>
        <v>-</v>
      </c>
      <c r="GD88" s="39" t="str">
        <f t="shared" si="354"/>
        <v>-</v>
      </c>
      <c r="GE88" s="39" t="str">
        <f t="shared" si="355"/>
        <v>-</v>
      </c>
      <c r="GF88" s="39" t="str">
        <f t="shared" si="356"/>
        <v>-</v>
      </c>
      <c r="GG88" s="39" t="str">
        <f t="shared" si="357"/>
        <v>-</v>
      </c>
      <c r="GH88" s="39" t="str">
        <f t="shared" si="358"/>
        <v>-</v>
      </c>
      <c r="GI88" s="39" t="str">
        <f t="shared" si="359"/>
        <v>-</v>
      </c>
      <c r="GJ88" s="39" t="str">
        <f t="shared" si="360"/>
        <v>-</v>
      </c>
      <c r="GK88" s="39" t="str">
        <f t="shared" si="361"/>
        <v>-</v>
      </c>
      <c r="GL88" s="39" t="str">
        <f t="shared" si="362"/>
        <v>-</v>
      </c>
      <c r="GM88" s="39" t="str">
        <f t="shared" si="363"/>
        <v>-</v>
      </c>
      <c r="GN88" s="39" t="str">
        <f t="shared" si="364"/>
        <v>-</v>
      </c>
      <c r="GO88" s="39" t="str">
        <f t="shared" si="365"/>
        <v>-</v>
      </c>
      <c r="GP88" s="39" t="str">
        <f t="shared" si="366"/>
        <v>-</v>
      </c>
      <c r="GQ88" s="39" t="str">
        <f t="shared" si="367"/>
        <v>-</v>
      </c>
      <c r="GR88" s="39" t="str">
        <f t="shared" si="368"/>
        <v>-</v>
      </c>
      <c r="GS88" s="39" t="str">
        <f t="shared" si="369"/>
        <v>-</v>
      </c>
      <c r="GT88" s="39" t="str">
        <f t="shared" si="370"/>
        <v>-</v>
      </c>
      <c r="GU88" s="39" t="str">
        <f t="shared" si="371"/>
        <v>-</v>
      </c>
      <c r="GV88" s="39" t="str">
        <f t="shared" si="372"/>
        <v>-</v>
      </c>
      <c r="GW88" s="39" t="str">
        <f t="shared" si="373"/>
        <v>-</v>
      </c>
      <c r="GX88" s="39" t="str">
        <f t="shared" si="374"/>
        <v>-</v>
      </c>
      <c r="GY88" s="39" t="str">
        <f t="shared" si="375"/>
        <v>-</v>
      </c>
      <c r="GZ88" s="39" t="str">
        <f t="shared" si="376"/>
        <v>-</v>
      </c>
      <c r="HA88" s="39" t="str">
        <f t="shared" si="377"/>
        <v>-</v>
      </c>
      <c r="HB88" s="39" t="str">
        <f t="shared" si="378"/>
        <v>-</v>
      </c>
      <c r="HC88" s="39" t="str">
        <f t="shared" si="379"/>
        <v>-</v>
      </c>
      <c r="HD88" s="39" t="str">
        <f t="shared" si="380"/>
        <v>-</v>
      </c>
      <c r="HE88" s="39" t="str">
        <f t="shared" si="381"/>
        <v>-</v>
      </c>
      <c r="HF88" s="39" t="str">
        <f t="shared" si="382"/>
        <v>-</v>
      </c>
      <c r="HG88" s="39" t="str">
        <f t="shared" si="383"/>
        <v>-</v>
      </c>
      <c r="HH88" s="39" t="str">
        <f t="shared" si="384"/>
        <v>-</v>
      </c>
      <c r="HI88" s="39" t="str">
        <f t="shared" si="385"/>
        <v>-</v>
      </c>
      <c r="HJ88" s="39" t="str">
        <f t="shared" si="386"/>
        <v>-</v>
      </c>
      <c r="HK88" s="39" t="str">
        <f t="shared" si="387"/>
        <v>-</v>
      </c>
      <c r="HL88" s="39" t="str">
        <f t="shared" si="388"/>
        <v>-</v>
      </c>
      <c r="HM88" s="39" t="str">
        <f t="shared" si="389"/>
        <v>-</v>
      </c>
      <c r="HN88" s="39" t="str">
        <f t="shared" si="390"/>
        <v>-</v>
      </c>
      <c r="HO88" s="39" t="str">
        <f t="shared" si="391"/>
        <v>-</v>
      </c>
      <c r="HP88" s="39" t="str">
        <f t="shared" si="392"/>
        <v>-</v>
      </c>
      <c r="HQ88" s="39" t="str">
        <f t="shared" si="393"/>
        <v>-</v>
      </c>
      <c r="HR88" s="39" t="str">
        <f t="shared" si="394"/>
        <v>-</v>
      </c>
      <c r="HS88" s="39" t="str">
        <f t="shared" si="395"/>
        <v>-</v>
      </c>
      <c r="HT88" s="39" t="str">
        <f t="shared" si="395"/>
        <v>-</v>
      </c>
      <c r="HU88" s="43" t="str">
        <f t="shared" si="445"/>
        <v>-</v>
      </c>
      <c r="HV88" s="44" t="str">
        <f t="shared" si="446"/>
        <v/>
      </c>
      <c r="HW88" s="45" t="str">
        <f t="shared" si="447"/>
        <v/>
      </c>
      <c r="HX88" s="102"/>
      <c r="HY88" s="102"/>
      <c r="HZ88" s="102"/>
      <c r="IA88" s="101"/>
      <c r="IB88" s="102"/>
      <c r="IC88" s="103"/>
      <c r="ID88" s="101"/>
      <c r="IE88" s="102"/>
      <c r="IF88" s="103"/>
      <c r="IH88" s="66">
        <v>88</v>
      </c>
      <c r="II88" s="66" t="e">
        <f t="shared" ca="1" si="436"/>
        <v>#N/A</v>
      </c>
      <c r="IJ88" s="66" t="e">
        <f t="shared" ca="1" si="437"/>
        <v>#N/A</v>
      </c>
      <c r="IK88" s="66" t="e">
        <f t="shared" ca="1" si="438"/>
        <v>#N/A</v>
      </c>
      <c r="IL88" s="66" t="e">
        <f t="shared" ca="1" si="439"/>
        <v>#N/A</v>
      </c>
      <c r="IN88" s="74" t="e">
        <f t="shared" ca="1" si="440"/>
        <v>#N/A</v>
      </c>
      <c r="IO88" s="75" t="e">
        <f t="shared" ca="1" si="441"/>
        <v>#N/A</v>
      </c>
      <c r="IP88" s="75" t="e">
        <f t="shared" ca="1" si="442"/>
        <v>#N/A</v>
      </c>
      <c r="IQ88" s="74" t="e">
        <f t="shared" ca="1" si="443"/>
        <v>#N/A</v>
      </c>
      <c r="IR88" s="74" t="e">
        <f t="shared" ca="1" si="444"/>
        <v>#N/A</v>
      </c>
    </row>
    <row r="89" spans="1:252" x14ac:dyDescent="0.35">
      <c r="A89" s="28">
        <v>0</v>
      </c>
      <c r="B89" s="28">
        <v>0</v>
      </c>
      <c r="C89" s="28">
        <v>1</v>
      </c>
      <c r="D89" s="1"/>
      <c r="E89" s="3"/>
      <c r="F89" t="s">
        <v>354</v>
      </c>
      <c r="G89" s="5" t="s">
        <v>540</v>
      </c>
      <c r="H89" t="s">
        <v>535</v>
      </c>
      <c r="I89" t="s">
        <v>536</v>
      </c>
      <c r="J89" s="276" t="s">
        <v>805</v>
      </c>
      <c r="K89" s="113" t="s">
        <v>805</v>
      </c>
      <c r="L89" s="113" t="s">
        <v>805</v>
      </c>
      <c r="M89" s="113" t="s">
        <v>805</v>
      </c>
      <c r="N89" s="113" t="s">
        <v>805</v>
      </c>
      <c r="O89" s="113" t="s">
        <v>805</v>
      </c>
      <c r="P89" s="113" t="s">
        <v>805</v>
      </c>
      <c r="Q89" s="113" t="s">
        <v>805</v>
      </c>
      <c r="R89" s="113" t="s">
        <v>805</v>
      </c>
      <c r="S89" s="113" t="s">
        <v>805</v>
      </c>
      <c r="T89" s="113" t="s">
        <v>805</v>
      </c>
      <c r="U89" s="113" t="s">
        <v>805</v>
      </c>
      <c r="V89" s="113" t="s">
        <v>805</v>
      </c>
      <c r="W89" s="113" t="s">
        <v>805</v>
      </c>
      <c r="X89" s="113" t="s">
        <v>805</v>
      </c>
      <c r="Y89" s="113" t="s">
        <v>805</v>
      </c>
      <c r="Z89" s="113" t="s">
        <v>805</v>
      </c>
      <c r="AA89" s="113" t="s">
        <v>805</v>
      </c>
      <c r="AB89" s="113" t="s">
        <v>805</v>
      </c>
      <c r="AC89" s="113" t="s">
        <v>805</v>
      </c>
      <c r="AD89" s="113" t="s">
        <v>805</v>
      </c>
      <c r="AE89" s="113" t="s">
        <v>805</v>
      </c>
      <c r="AF89" s="113" t="s">
        <v>805</v>
      </c>
      <c r="AG89" s="113" t="s">
        <v>805</v>
      </c>
      <c r="AH89" s="113" t="s">
        <v>805</v>
      </c>
      <c r="AI89" s="113" t="s">
        <v>805</v>
      </c>
      <c r="AJ89" s="113" t="s">
        <v>805</v>
      </c>
      <c r="AK89" s="113" t="s">
        <v>805</v>
      </c>
      <c r="AL89" s="113" t="s">
        <v>805</v>
      </c>
      <c r="AM89" s="113" t="s">
        <v>805</v>
      </c>
      <c r="AN89" s="113" t="s">
        <v>805</v>
      </c>
      <c r="AO89" s="113" t="s">
        <v>805</v>
      </c>
      <c r="AP89" s="113" t="s">
        <v>805</v>
      </c>
      <c r="AQ89" s="113" t="s">
        <v>805</v>
      </c>
      <c r="AR89" s="113" t="s">
        <v>805</v>
      </c>
      <c r="AS89" s="113" t="s">
        <v>805</v>
      </c>
      <c r="AT89" s="113" t="s">
        <v>805</v>
      </c>
      <c r="AU89" s="113" t="s">
        <v>805</v>
      </c>
      <c r="AV89" s="113" t="s">
        <v>805</v>
      </c>
      <c r="AW89" s="113" t="s">
        <v>805</v>
      </c>
      <c r="AX89" s="113" t="s">
        <v>805</v>
      </c>
      <c r="AY89" s="113" t="s">
        <v>805</v>
      </c>
      <c r="AZ89" s="113" t="s">
        <v>805</v>
      </c>
      <c r="BA89" s="113" t="s">
        <v>805</v>
      </c>
      <c r="BB89" s="113" t="s">
        <v>805</v>
      </c>
      <c r="BC89" s="113" t="s">
        <v>805</v>
      </c>
      <c r="BD89" s="113" t="s">
        <v>805</v>
      </c>
      <c r="BE89" s="113" t="s">
        <v>805</v>
      </c>
      <c r="BF89" s="113" t="s">
        <v>805</v>
      </c>
      <c r="BG89" s="113" t="s">
        <v>805</v>
      </c>
      <c r="BH89" s="113" t="s">
        <v>805</v>
      </c>
      <c r="BI89" s="113" t="s">
        <v>805</v>
      </c>
      <c r="BJ89" s="113" t="s">
        <v>805</v>
      </c>
      <c r="BK89" s="113" t="s">
        <v>805</v>
      </c>
      <c r="BL89" s="113" t="s">
        <v>805</v>
      </c>
      <c r="BM89" s="113" t="s">
        <v>805</v>
      </c>
      <c r="BN89" s="113" t="s">
        <v>805</v>
      </c>
      <c r="BO89" s="113" t="s">
        <v>805</v>
      </c>
      <c r="BP89" s="113" t="s">
        <v>805</v>
      </c>
      <c r="BQ89" s="113" t="s">
        <v>805</v>
      </c>
      <c r="BR89" s="113" t="s">
        <v>805</v>
      </c>
      <c r="BS89" s="113" t="s">
        <v>805</v>
      </c>
      <c r="BT89" s="113" t="s">
        <v>805</v>
      </c>
      <c r="BU89" s="113" t="s">
        <v>805</v>
      </c>
      <c r="BV89" s="113" t="s">
        <v>805</v>
      </c>
      <c r="BW89" s="113" t="s">
        <v>805</v>
      </c>
      <c r="BX89" s="113" t="s">
        <v>805</v>
      </c>
      <c r="BY89" s="113" t="s">
        <v>805</v>
      </c>
      <c r="BZ89" s="113" t="s">
        <v>805</v>
      </c>
      <c r="CA89" s="113" t="s">
        <v>805</v>
      </c>
      <c r="CB89" s="113" t="s">
        <v>805</v>
      </c>
      <c r="CC89" s="113" t="s">
        <v>805</v>
      </c>
      <c r="CD89" s="113" t="s">
        <v>805</v>
      </c>
      <c r="CE89" s="113" t="s">
        <v>805</v>
      </c>
      <c r="CF89" s="113" t="s">
        <v>805</v>
      </c>
      <c r="CG89" s="113" t="s">
        <v>805</v>
      </c>
      <c r="CH89" s="113" t="s">
        <v>805</v>
      </c>
      <c r="CI89" s="113" t="s">
        <v>805</v>
      </c>
      <c r="CJ89" s="113" t="s">
        <v>805</v>
      </c>
      <c r="CK89" s="113" t="s">
        <v>805</v>
      </c>
      <c r="CL89" s="113" t="s">
        <v>805</v>
      </c>
      <c r="CM89" s="113" t="s">
        <v>805</v>
      </c>
      <c r="CN89" s="113" t="s">
        <v>805</v>
      </c>
      <c r="CO89" s="113" t="s">
        <v>805</v>
      </c>
      <c r="CP89" s="113" t="s">
        <v>805</v>
      </c>
      <c r="CQ89" s="113" t="s">
        <v>805</v>
      </c>
      <c r="CR89" s="113" t="s">
        <v>805</v>
      </c>
      <c r="CS89" s="113" t="s">
        <v>805</v>
      </c>
      <c r="CT89" s="113" t="s">
        <v>805</v>
      </c>
      <c r="CU89" s="113" t="s">
        <v>805</v>
      </c>
      <c r="CV89" s="113" t="s">
        <v>805</v>
      </c>
      <c r="CW89" s="113" t="s">
        <v>805</v>
      </c>
      <c r="CX89" s="113" t="s">
        <v>805</v>
      </c>
      <c r="CY89" s="113" t="s">
        <v>805</v>
      </c>
      <c r="CZ89" s="113" t="s">
        <v>805</v>
      </c>
      <c r="DA89" s="113" t="s">
        <v>805</v>
      </c>
      <c r="DB89" s="113" t="s">
        <v>805</v>
      </c>
      <c r="DC89" s="113" t="s">
        <v>805</v>
      </c>
      <c r="DD89" s="113" t="s">
        <v>805</v>
      </c>
      <c r="DE89" s="113" t="s">
        <v>805</v>
      </c>
      <c r="DF89" s="113" t="s">
        <v>805</v>
      </c>
      <c r="DG89" s="28">
        <f>'KPI Count-SHARE'!J80</f>
        <v>0</v>
      </c>
      <c r="DH89" s="114"/>
      <c r="DI89" s="114"/>
      <c r="DJ89" s="114"/>
      <c r="DK89" s="28">
        <f>'KPI Count-SHARE'!K80</f>
        <v>0</v>
      </c>
      <c r="DL89" s="118"/>
      <c r="DM89" s="118"/>
      <c r="DN89" s="118"/>
      <c r="DO89" s="28">
        <f>'KPI Count-SHARE'!L80</f>
        <v>0</v>
      </c>
      <c r="DP89" s="118"/>
      <c r="DQ89" s="118"/>
      <c r="DR89" s="118"/>
      <c r="DS89" s="28">
        <f>'KPI Count-SHARE'!M80</f>
        <v>0</v>
      </c>
      <c r="DT89" s="118"/>
      <c r="DU89" s="118"/>
      <c r="DV89" s="118"/>
      <c r="DW89" s="30" t="str">
        <f t="shared" si="421"/>
        <v>USD '000 per FTE</v>
      </c>
      <c r="DX89" s="39" t="str">
        <f t="shared" si="425"/>
        <v>-</v>
      </c>
      <c r="DY89" s="39" t="str">
        <f t="shared" si="426"/>
        <v>-</v>
      </c>
      <c r="DZ89" s="39" t="str">
        <f t="shared" si="427"/>
        <v>-</v>
      </c>
      <c r="EA89" s="39" t="str">
        <f t="shared" si="428"/>
        <v>-</v>
      </c>
      <c r="EB89" s="39" t="str">
        <f t="shared" si="429"/>
        <v>-</v>
      </c>
      <c r="EC89" s="39" t="str">
        <f t="shared" si="430"/>
        <v>-</v>
      </c>
      <c r="ED89" s="39" t="str">
        <f t="shared" si="431"/>
        <v>-</v>
      </c>
      <c r="EE89" s="39" t="str">
        <f t="shared" si="432"/>
        <v>-</v>
      </c>
      <c r="EF89" s="39" t="str">
        <f t="shared" si="433"/>
        <v>-</v>
      </c>
      <c r="EG89" s="39" t="str">
        <f t="shared" si="434"/>
        <v>-</v>
      </c>
      <c r="EH89" s="39" t="str">
        <f t="shared" si="435"/>
        <v>-</v>
      </c>
      <c r="EI89" s="39" t="str">
        <f t="shared" si="448"/>
        <v>-</v>
      </c>
      <c r="EJ89" s="39" t="str">
        <f t="shared" si="449"/>
        <v>-</v>
      </c>
      <c r="EK89" s="39" t="str">
        <f t="shared" si="450"/>
        <v>-</v>
      </c>
      <c r="EL89" s="39" t="str">
        <f t="shared" si="451"/>
        <v>-</v>
      </c>
      <c r="EM89" s="39" t="str">
        <f t="shared" si="452"/>
        <v>-</v>
      </c>
      <c r="EN89" s="39" t="str">
        <f t="shared" si="453"/>
        <v>-</v>
      </c>
      <c r="EO89" s="39" t="str">
        <f t="shared" si="454"/>
        <v>-</v>
      </c>
      <c r="EP89" s="39" t="str">
        <f t="shared" si="455"/>
        <v>-</v>
      </c>
      <c r="EQ89" s="39" t="str">
        <f t="shared" si="456"/>
        <v>-</v>
      </c>
      <c r="ER89" s="39" t="str">
        <f t="shared" si="457"/>
        <v>-</v>
      </c>
      <c r="ES89" s="39" t="str">
        <f t="shared" si="458"/>
        <v>-</v>
      </c>
      <c r="ET89" s="39" t="str">
        <f t="shared" si="459"/>
        <v>-</v>
      </c>
      <c r="EU89" s="39" t="str">
        <f t="shared" si="319"/>
        <v>-</v>
      </c>
      <c r="EV89" s="39" t="str">
        <f t="shared" si="320"/>
        <v>-</v>
      </c>
      <c r="EW89" s="39" t="str">
        <f t="shared" si="321"/>
        <v>-</v>
      </c>
      <c r="EX89" s="39" t="str">
        <f t="shared" si="322"/>
        <v>-</v>
      </c>
      <c r="EY89" s="39" t="str">
        <f t="shared" si="323"/>
        <v>-</v>
      </c>
      <c r="EZ89" s="39" t="str">
        <f t="shared" si="324"/>
        <v>-</v>
      </c>
      <c r="FA89" s="39" t="str">
        <f t="shared" si="325"/>
        <v>-</v>
      </c>
      <c r="FB89" s="39" t="str">
        <f t="shared" si="326"/>
        <v>-</v>
      </c>
      <c r="FC89" s="39" t="str">
        <f t="shared" si="327"/>
        <v>-</v>
      </c>
      <c r="FD89" s="39" t="str">
        <f t="shared" si="328"/>
        <v>-</v>
      </c>
      <c r="FE89" s="39" t="str">
        <f t="shared" si="329"/>
        <v>-</v>
      </c>
      <c r="FF89" s="39" t="str">
        <f t="shared" si="330"/>
        <v>-</v>
      </c>
      <c r="FG89" s="39" t="str">
        <f t="shared" si="331"/>
        <v>-</v>
      </c>
      <c r="FH89" s="39" t="str">
        <f t="shared" si="332"/>
        <v>-</v>
      </c>
      <c r="FI89" s="39" t="str">
        <f t="shared" si="333"/>
        <v>-</v>
      </c>
      <c r="FJ89" s="39" t="str">
        <f t="shared" si="334"/>
        <v>-</v>
      </c>
      <c r="FK89" s="39" t="str">
        <f t="shared" si="335"/>
        <v>-</v>
      </c>
      <c r="FL89" s="39" t="str">
        <f t="shared" si="336"/>
        <v>-</v>
      </c>
      <c r="FM89" s="39" t="str">
        <f t="shared" si="337"/>
        <v>-</v>
      </c>
      <c r="FN89" s="39" t="str">
        <f t="shared" si="338"/>
        <v>-</v>
      </c>
      <c r="FO89" s="39" t="str">
        <f t="shared" si="339"/>
        <v>-</v>
      </c>
      <c r="FP89" s="39" t="str">
        <f t="shared" si="340"/>
        <v>-</v>
      </c>
      <c r="FQ89" s="39" t="str">
        <f t="shared" si="341"/>
        <v>-</v>
      </c>
      <c r="FR89" s="39" t="str">
        <f t="shared" si="342"/>
        <v>-</v>
      </c>
      <c r="FS89" s="39" t="str">
        <f t="shared" si="343"/>
        <v>-</v>
      </c>
      <c r="FT89" s="39" t="str">
        <f t="shared" si="344"/>
        <v>-</v>
      </c>
      <c r="FU89" s="39" t="str">
        <f t="shared" si="345"/>
        <v>-</v>
      </c>
      <c r="FV89" s="39" t="str">
        <f t="shared" si="346"/>
        <v>-</v>
      </c>
      <c r="FW89" s="39" t="str">
        <f t="shared" si="347"/>
        <v>-</v>
      </c>
      <c r="FX89" s="39" t="str">
        <f t="shared" si="348"/>
        <v>-</v>
      </c>
      <c r="FY89" s="39" t="str">
        <f t="shared" si="349"/>
        <v>-</v>
      </c>
      <c r="FZ89" s="39" t="str">
        <f t="shared" si="350"/>
        <v>-</v>
      </c>
      <c r="GA89" s="39" t="str">
        <f t="shared" si="351"/>
        <v>-</v>
      </c>
      <c r="GB89" s="39" t="str">
        <f t="shared" si="352"/>
        <v>-</v>
      </c>
      <c r="GC89" s="39" t="str">
        <f t="shared" si="353"/>
        <v>-</v>
      </c>
      <c r="GD89" s="39" t="str">
        <f t="shared" si="354"/>
        <v>-</v>
      </c>
      <c r="GE89" s="39" t="str">
        <f t="shared" si="355"/>
        <v>-</v>
      </c>
      <c r="GF89" s="39" t="str">
        <f t="shared" si="356"/>
        <v>-</v>
      </c>
      <c r="GG89" s="39" t="str">
        <f t="shared" si="357"/>
        <v>-</v>
      </c>
      <c r="GH89" s="39" t="str">
        <f t="shared" si="358"/>
        <v>-</v>
      </c>
      <c r="GI89" s="39" t="str">
        <f t="shared" si="359"/>
        <v>-</v>
      </c>
      <c r="GJ89" s="39" t="str">
        <f t="shared" si="360"/>
        <v>-</v>
      </c>
      <c r="GK89" s="39" t="str">
        <f t="shared" si="361"/>
        <v>-</v>
      </c>
      <c r="GL89" s="39" t="str">
        <f t="shared" si="362"/>
        <v>-</v>
      </c>
      <c r="GM89" s="39" t="str">
        <f t="shared" si="363"/>
        <v>-</v>
      </c>
      <c r="GN89" s="39" t="str">
        <f t="shared" si="364"/>
        <v>-</v>
      </c>
      <c r="GO89" s="39" t="str">
        <f t="shared" si="365"/>
        <v>-</v>
      </c>
      <c r="GP89" s="39" t="str">
        <f t="shared" si="366"/>
        <v>-</v>
      </c>
      <c r="GQ89" s="39" t="str">
        <f t="shared" si="367"/>
        <v>-</v>
      </c>
      <c r="GR89" s="39" t="str">
        <f t="shared" si="368"/>
        <v>-</v>
      </c>
      <c r="GS89" s="39" t="str">
        <f t="shared" si="369"/>
        <v>-</v>
      </c>
      <c r="GT89" s="39" t="str">
        <f t="shared" si="370"/>
        <v>-</v>
      </c>
      <c r="GU89" s="39" t="str">
        <f t="shared" si="371"/>
        <v>-</v>
      </c>
      <c r="GV89" s="39" t="str">
        <f t="shared" si="372"/>
        <v>-</v>
      </c>
      <c r="GW89" s="39" t="str">
        <f t="shared" si="373"/>
        <v>-</v>
      </c>
      <c r="GX89" s="39" t="str">
        <f t="shared" si="374"/>
        <v>-</v>
      </c>
      <c r="GY89" s="39" t="str">
        <f t="shared" si="375"/>
        <v>-</v>
      </c>
      <c r="GZ89" s="39" t="str">
        <f t="shared" si="376"/>
        <v>-</v>
      </c>
      <c r="HA89" s="39" t="str">
        <f t="shared" si="377"/>
        <v>-</v>
      </c>
      <c r="HB89" s="39" t="str">
        <f t="shared" si="378"/>
        <v>-</v>
      </c>
      <c r="HC89" s="39" t="str">
        <f t="shared" si="379"/>
        <v>-</v>
      </c>
      <c r="HD89" s="39" t="str">
        <f t="shared" si="380"/>
        <v>-</v>
      </c>
      <c r="HE89" s="39" t="str">
        <f t="shared" si="381"/>
        <v>-</v>
      </c>
      <c r="HF89" s="39" t="str">
        <f t="shared" si="382"/>
        <v>-</v>
      </c>
      <c r="HG89" s="39" t="str">
        <f t="shared" si="383"/>
        <v>-</v>
      </c>
      <c r="HH89" s="39" t="str">
        <f t="shared" si="384"/>
        <v>-</v>
      </c>
      <c r="HI89" s="39" t="str">
        <f t="shared" si="385"/>
        <v>-</v>
      </c>
      <c r="HJ89" s="39" t="str">
        <f t="shared" si="386"/>
        <v>-</v>
      </c>
      <c r="HK89" s="39" t="str">
        <f t="shared" si="387"/>
        <v>-</v>
      </c>
      <c r="HL89" s="39" t="str">
        <f t="shared" si="388"/>
        <v>-</v>
      </c>
      <c r="HM89" s="39" t="str">
        <f t="shared" si="389"/>
        <v>-</v>
      </c>
      <c r="HN89" s="39" t="str">
        <f t="shared" si="390"/>
        <v>-</v>
      </c>
      <c r="HO89" s="39" t="str">
        <f t="shared" si="391"/>
        <v>-</v>
      </c>
      <c r="HP89" s="39" t="str">
        <f t="shared" si="392"/>
        <v>-</v>
      </c>
      <c r="HQ89" s="39" t="str">
        <f t="shared" si="393"/>
        <v>-</v>
      </c>
      <c r="HR89" s="39" t="str">
        <f t="shared" si="394"/>
        <v>-</v>
      </c>
      <c r="HS89" s="39" t="str">
        <f t="shared" si="395"/>
        <v>-</v>
      </c>
      <c r="HT89" s="39" t="str">
        <f t="shared" si="395"/>
        <v>-</v>
      </c>
      <c r="HU89" s="43" t="str">
        <f t="shared" si="445"/>
        <v>-</v>
      </c>
      <c r="HV89" s="44" t="str">
        <f t="shared" si="446"/>
        <v/>
      </c>
      <c r="HW89" s="45" t="str">
        <f t="shared" si="447"/>
        <v/>
      </c>
      <c r="HX89" s="102"/>
      <c r="HY89" s="102"/>
      <c r="HZ89" s="102"/>
      <c r="IA89" s="101"/>
      <c r="IB89" s="102"/>
      <c r="IC89" s="103"/>
      <c r="ID89" s="101"/>
      <c r="IE89" s="102"/>
      <c r="IF89" s="103"/>
      <c r="IH89" s="66">
        <v>89</v>
      </c>
      <c r="II89" s="66" t="e">
        <f t="shared" ca="1" si="436"/>
        <v>#N/A</v>
      </c>
      <c r="IJ89" s="66" t="e">
        <f t="shared" ca="1" si="437"/>
        <v>#N/A</v>
      </c>
      <c r="IK89" s="66" t="e">
        <f t="shared" ca="1" si="438"/>
        <v>#N/A</v>
      </c>
      <c r="IL89" s="66" t="e">
        <f t="shared" ca="1" si="439"/>
        <v>#N/A</v>
      </c>
      <c r="IN89" s="74" t="e">
        <f t="shared" ca="1" si="440"/>
        <v>#N/A</v>
      </c>
      <c r="IO89" s="75" t="e">
        <f t="shared" ca="1" si="441"/>
        <v>#N/A</v>
      </c>
      <c r="IP89" s="75" t="e">
        <f t="shared" ca="1" si="442"/>
        <v>#N/A</v>
      </c>
      <c r="IQ89" s="74" t="e">
        <f t="shared" ca="1" si="443"/>
        <v>#N/A</v>
      </c>
      <c r="IR89" s="74" t="e">
        <f t="shared" ca="1" si="444"/>
        <v>#N/A</v>
      </c>
    </row>
    <row r="90" spans="1:252" x14ac:dyDescent="0.35">
      <c r="A90" s="28">
        <v>1</v>
      </c>
      <c r="B90" s="28">
        <v>1</v>
      </c>
      <c r="C90" s="28">
        <v>1</v>
      </c>
      <c r="D90" s="1"/>
      <c r="E90" s="3"/>
      <c r="F90" t="s">
        <v>355</v>
      </c>
      <c r="G90" s="5" t="s">
        <v>540</v>
      </c>
      <c r="H90" t="s">
        <v>539</v>
      </c>
      <c r="I90" t="s">
        <v>536</v>
      </c>
      <c r="J90" s="276">
        <v>0.15591846987215116</v>
      </c>
      <c r="K90" s="113" t="s">
        <v>805</v>
      </c>
      <c r="L90" s="113" t="s">
        <v>805</v>
      </c>
      <c r="M90" s="113" t="s">
        <v>805</v>
      </c>
      <c r="N90" s="113" t="s">
        <v>805</v>
      </c>
      <c r="O90" s="113" t="s">
        <v>805</v>
      </c>
      <c r="P90" s="113" t="s">
        <v>805</v>
      </c>
      <c r="Q90" s="113" t="s">
        <v>805</v>
      </c>
      <c r="R90" s="113" t="s">
        <v>805</v>
      </c>
      <c r="S90" s="113" t="s">
        <v>805</v>
      </c>
      <c r="T90" s="113" t="s">
        <v>805</v>
      </c>
      <c r="U90" s="113" t="s">
        <v>805</v>
      </c>
      <c r="V90" s="113" t="s">
        <v>805</v>
      </c>
      <c r="W90" s="113" t="s">
        <v>805</v>
      </c>
      <c r="X90" s="113" t="s">
        <v>805</v>
      </c>
      <c r="Y90" s="113" t="s">
        <v>805</v>
      </c>
      <c r="Z90" s="113" t="s">
        <v>805</v>
      </c>
      <c r="AA90" s="113" t="s">
        <v>805</v>
      </c>
      <c r="AB90" s="113" t="s">
        <v>805</v>
      </c>
      <c r="AC90" s="113" t="s">
        <v>805</v>
      </c>
      <c r="AD90" s="113" t="s">
        <v>805</v>
      </c>
      <c r="AE90" s="113" t="s">
        <v>805</v>
      </c>
      <c r="AF90" s="113" t="s">
        <v>805</v>
      </c>
      <c r="AG90" s="113" t="s">
        <v>805</v>
      </c>
      <c r="AH90" s="113" t="s">
        <v>805</v>
      </c>
      <c r="AI90" s="113" t="s">
        <v>805</v>
      </c>
      <c r="AJ90" s="113" t="s">
        <v>805</v>
      </c>
      <c r="AK90" s="113" t="s">
        <v>805</v>
      </c>
      <c r="AL90" s="113" t="s">
        <v>805</v>
      </c>
      <c r="AM90" s="113" t="s">
        <v>805</v>
      </c>
      <c r="AN90" s="113" t="s">
        <v>805</v>
      </c>
      <c r="AO90" s="113" t="s">
        <v>805</v>
      </c>
      <c r="AP90" s="113" t="s">
        <v>805</v>
      </c>
      <c r="AQ90" s="113" t="s">
        <v>805</v>
      </c>
      <c r="AR90" s="113" t="s">
        <v>805</v>
      </c>
      <c r="AS90" s="113" t="s">
        <v>805</v>
      </c>
      <c r="AT90" s="113" t="s">
        <v>805</v>
      </c>
      <c r="AU90" s="113" t="s">
        <v>805</v>
      </c>
      <c r="AV90" s="113" t="s">
        <v>805</v>
      </c>
      <c r="AW90" s="113" t="s">
        <v>805</v>
      </c>
      <c r="AX90" s="113" t="s">
        <v>805</v>
      </c>
      <c r="AY90" s="113" t="s">
        <v>805</v>
      </c>
      <c r="AZ90" s="113" t="s">
        <v>805</v>
      </c>
      <c r="BA90" s="113" t="s">
        <v>805</v>
      </c>
      <c r="BB90" s="113" t="s">
        <v>805</v>
      </c>
      <c r="BC90" s="113" t="s">
        <v>805</v>
      </c>
      <c r="BD90" s="113" t="s">
        <v>805</v>
      </c>
      <c r="BE90" s="113" t="s">
        <v>805</v>
      </c>
      <c r="BF90" s="113" t="s">
        <v>805</v>
      </c>
      <c r="BG90" s="113" t="s">
        <v>805</v>
      </c>
      <c r="BH90" s="113" t="s">
        <v>805</v>
      </c>
      <c r="BI90" s="113" t="s">
        <v>805</v>
      </c>
      <c r="BJ90" s="113" t="s">
        <v>805</v>
      </c>
      <c r="BK90" s="113" t="s">
        <v>805</v>
      </c>
      <c r="BL90" s="113" t="s">
        <v>805</v>
      </c>
      <c r="BM90" s="113" t="s">
        <v>805</v>
      </c>
      <c r="BN90" s="113" t="s">
        <v>805</v>
      </c>
      <c r="BO90" s="113" t="s">
        <v>805</v>
      </c>
      <c r="BP90" s="113" t="s">
        <v>805</v>
      </c>
      <c r="BQ90" s="113" t="s">
        <v>805</v>
      </c>
      <c r="BR90" s="113" t="s">
        <v>805</v>
      </c>
      <c r="BS90" s="113" t="s">
        <v>805</v>
      </c>
      <c r="BT90" s="113" t="s">
        <v>805</v>
      </c>
      <c r="BU90" s="113" t="s">
        <v>805</v>
      </c>
      <c r="BV90" s="113" t="s">
        <v>805</v>
      </c>
      <c r="BW90" s="113" t="s">
        <v>805</v>
      </c>
      <c r="BX90" s="113" t="s">
        <v>805</v>
      </c>
      <c r="BY90" s="113" t="s">
        <v>805</v>
      </c>
      <c r="BZ90" s="113" t="s">
        <v>805</v>
      </c>
      <c r="CA90" s="113" t="s">
        <v>805</v>
      </c>
      <c r="CB90" s="113" t="s">
        <v>805</v>
      </c>
      <c r="CC90" s="113" t="s">
        <v>805</v>
      </c>
      <c r="CD90" s="113" t="s">
        <v>805</v>
      </c>
      <c r="CE90" s="113" t="s">
        <v>805</v>
      </c>
      <c r="CF90" s="113" t="s">
        <v>805</v>
      </c>
      <c r="CG90" s="113" t="s">
        <v>805</v>
      </c>
      <c r="CH90" s="113" t="s">
        <v>805</v>
      </c>
      <c r="CI90" s="113" t="s">
        <v>805</v>
      </c>
      <c r="CJ90" s="113" t="s">
        <v>805</v>
      </c>
      <c r="CK90" s="113" t="s">
        <v>805</v>
      </c>
      <c r="CL90" s="113" t="s">
        <v>805</v>
      </c>
      <c r="CM90" s="113" t="s">
        <v>805</v>
      </c>
      <c r="CN90" s="113" t="s">
        <v>805</v>
      </c>
      <c r="CO90" s="113" t="s">
        <v>805</v>
      </c>
      <c r="CP90" s="113" t="s">
        <v>805</v>
      </c>
      <c r="CQ90" s="113" t="s">
        <v>805</v>
      </c>
      <c r="CR90" s="113" t="s">
        <v>805</v>
      </c>
      <c r="CS90" s="113" t="s">
        <v>805</v>
      </c>
      <c r="CT90" s="113" t="s">
        <v>805</v>
      </c>
      <c r="CU90" s="113" t="s">
        <v>805</v>
      </c>
      <c r="CV90" s="113" t="s">
        <v>805</v>
      </c>
      <c r="CW90" s="113" t="s">
        <v>805</v>
      </c>
      <c r="CX90" s="113" t="s">
        <v>805</v>
      </c>
      <c r="CY90" s="113" t="s">
        <v>805</v>
      </c>
      <c r="CZ90" s="113" t="s">
        <v>805</v>
      </c>
      <c r="DA90" s="113" t="s">
        <v>805</v>
      </c>
      <c r="DB90" s="113" t="s">
        <v>805</v>
      </c>
      <c r="DC90" s="113" t="s">
        <v>805</v>
      </c>
      <c r="DD90" s="113" t="s">
        <v>805</v>
      </c>
      <c r="DE90" s="113" t="s">
        <v>805</v>
      </c>
      <c r="DF90" s="113" t="s">
        <v>805</v>
      </c>
      <c r="DG90" s="28">
        <f>'KPI Count-SHARE'!J81</f>
        <v>0</v>
      </c>
      <c r="DH90" s="114"/>
      <c r="DI90" s="114"/>
      <c r="DJ90" s="114"/>
      <c r="DK90" s="28">
        <f>'KPI Count-SHARE'!K81</f>
        <v>0</v>
      </c>
      <c r="DL90" s="118"/>
      <c r="DM90" s="118"/>
      <c r="DN90" s="118"/>
      <c r="DO90" s="28">
        <f>'KPI Count-SHARE'!L81</f>
        <v>0</v>
      </c>
      <c r="DP90" s="118"/>
      <c r="DQ90" s="118"/>
      <c r="DR90" s="118"/>
      <c r="DS90" s="28">
        <f>'KPI Count-SHARE'!M81</f>
        <v>0</v>
      </c>
      <c r="DT90" s="118"/>
      <c r="DU90" s="118"/>
      <c r="DV90" s="118"/>
      <c r="DW90" t="str">
        <f t="shared" ref="DW90:DW102" si="460">XCurrency &amp; " '000 per account"</f>
        <v>USD '000 per account</v>
      </c>
      <c r="DX90" s="39">
        <f t="shared" si="425"/>
        <v>0.17518929199118108</v>
      </c>
      <c r="DY90" s="39" t="str">
        <f t="shared" si="426"/>
        <v>-</v>
      </c>
      <c r="DZ90" s="39" t="str">
        <f t="shared" si="427"/>
        <v>-</v>
      </c>
      <c r="EA90" s="39" t="str">
        <f t="shared" si="428"/>
        <v>-</v>
      </c>
      <c r="EB90" s="39" t="str">
        <f t="shared" si="429"/>
        <v>-</v>
      </c>
      <c r="EC90" s="39" t="str">
        <f t="shared" si="430"/>
        <v>-</v>
      </c>
      <c r="ED90" s="39" t="str">
        <f t="shared" si="431"/>
        <v>-</v>
      </c>
      <c r="EE90" s="39" t="str">
        <f t="shared" si="432"/>
        <v>-</v>
      </c>
      <c r="EF90" s="39" t="str">
        <f t="shared" si="433"/>
        <v>-</v>
      </c>
      <c r="EG90" s="39" t="str">
        <f t="shared" si="434"/>
        <v>-</v>
      </c>
      <c r="EH90" s="39" t="str">
        <f t="shared" si="435"/>
        <v>-</v>
      </c>
      <c r="EI90" s="39" t="str">
        <f t="shared" si="448"/>
        <v>-</v>
      </c>
      <c r="EJ90" s="39" t="str">
        <f t="shared" si="449"/>
        <v>-</v>
      </c>
      <c r="EK90" s="39" t="str">
        <f t="shared" si="450"/>
        <v>-</v>
      </c>
      <c r="EL90" s="39" t="str">
        <f t="shared" si="451"/>
        <v>-</v>
      </c>
      <c r="EM90" s="39" t="str">
        <f t="shared" si="452"/>
        <v>-</v>
      </c>
      <c r="EN90" s="39" t="str">
        <f t="shared" si="453"/>
        <v>-</v>
      </c>
      <c r="EO90" s="39" t="str">
        <f t="shared" si="454"/>
        <v>-</v>
      </c>
      <c r="EP90" s="39" t="str">
        <f t="shared" si="455"/>
        <v>-</v>
      </c>
      <c r="EQ90" s="39" t="str">
        <f t="shared" si="456"/>
        <v>-</v>
      </c>
      <c r="ER90" s="39" t="str">
        <f t="shared" si="457"/>
        <v>-</v>
      </c>
      <c r="ES90" s="39" t="str">
        <f t="shared" si="458"/>
        <v>-</v>
      </c>
      <c r="ET90" s="39" t="str">
        <f t="shared" si="459"/>
        <v>-</v>
      </c>
      <c r="EU90" s="39" t="str">
        <f t="shared" si="319"/>
        <v>-</v>
      </c>
      <c r="EV90" s="39" t="str">
        <f t="shared" si="320"/>
        <v>-</v>
      </c>
      <c r="EW90" s="39" t="str">
        <f t="shared" si="321"/>
        <v>-</v>
      </c>
      <c r="EX90" s="39" t="str">
        <f t="shared" si="322"/>
        <v>-</v>
      </c>
      <c r="EY90" s="39" t="str">
        <f t="shared" si="323"/>
        <v>-</v>
      </c>
      <c r="EZ90" s="39" t="str">
        <f t="shared" si="324"/>
        <v>-</v>
      </c>
      <c r="FA90" s="39" t="str">
        <f t="shared" si="325"/>
        <v>-</v>
      </c>
      <c r="FB90" s="39" t="str">
        <f t="shared" si="326"/>
        <v>-</v>
      </c>
      <c r="FC90" s="39" t="str">
        <f t="shared" si="327"/>
        <v>-</v>
      </c>
      <c r="FD90" s="39" t="str">
        <f t="shared" si="328"/>
        <v>-</v>
      </c>
      <c r="FE90" s="39" t="str">
        <f t="shared" si="329"/>
        <v>-</v>
      </c>
      <c r="FF90" s="39" t="str">
        <f t="shared" si="330"/>
        <v>-</v>
      </c>
      <c r="FG90" s="39" t="str">
        <f t="shared" si="331"/>
        <v>-</v>
      </c>
      <c r="FH90" s="39" t="str">
        <f t="shared" si="332"/>
        <v>-</v>
      </c>
      <c r="FI90" s="39" t="str">
        <f t="shared" si="333"/>
        <v>-</v>
      </c>
      <c r="FJ90" s="39" t="str">
        <f t="shared" si="334"/>
        <v>-</v>
      </c>
      <c r="FK90" s="39" t="str">
        <f t="shared" si="335"/>
        <v>-</v>
      </c>
      <c r="FL90" s="39" t="str">
        <f t="shared" si="336"/>
        <v>-</v>
      </c>
      <c r="FM90" s="39" t="str">
        <f t="shared" si="337"/>
        <v>-</v>
      </c>
      <c r="FN90" s="39" t="str">
        <f t="shared" si="338"/>
        <v>-</v>
      </c>
      <c r="FO90" s="39" t="str">
        <f t="shared" si="339"/>
        <v>-</v>
      </c>
      <c r="FP90" s="39" t="str">
        <f t="shared" si="340"/>
        <v>-</v>
      </c>
      <c r="FQ90" s="39" t="str">
        <f t="shared" si="341"/>
        <v>-</v>
      </c>
      <c r="FR90" s="39" t="str">
        <f t="shared" si="342"/>
        <v>-</v>
      </c>
      <c r="FS90" s="39" t="str">
        <f t="shared" si="343"/>
        <v>-</v>
      </c>
      <c r="FT90" s="39" t="str">
        <f t="shared" si="344"/>
        <v>-</v>
      </c>
      <c r="FU90" s="39" t="str">
        <f t="shared" si="345"/>
        <v>-</v>
      </c>
      <c r="FV90" s="39" t="str">
        <f t="shared" si="346"/>
        <v>-</v>
      </c>
      <c r="FW90" s="39" t="str">
        <f t="shared" si="347"/>
        <v>-</v>
      </c>
      <c r="FX90" s="39" t="str">
        <f t="shared" si="348"/>
        <v>-</v>
      </c>
      <c r="FY90" s="39" t="str">
        <f t="shared" si="349"/>
        <v>-</v>
      </c>
      <c r="FZ90" s="39" t="str">
        <f t="shared" si="350"/>
        <v>-</v>
      </c>
      <c r="GA90" s="39" t="str">
        <f t="shared" si="351"/>
        <v>-</v>
      </c>
      <c r="GB90" s="39" t="str">
        <f t="shared" si="352"/>
        <v>-</v>
      </c>
      <c r="GC90" s="39" t="str">
        <f t="shared" si="353"/>
        <v>-</v>
      </c>
      <c r="GD90" s="39" t="str">
        <f t="shared" si="354"/>
        <v>-</v>
      </c>
      <c r="GE90" s="39" t="str">
        <f t="shared" si="355"/>
        <v>-</v>
      </c>
      <c r="GF90" s="39" t="str">
        <f t="shared" si="356"/>
        <v>-</v>
      </c>
      <c r="GG90" s="39" t="str">
        <f t="shared" si="357"/>
        <v>-</v>
      </c>
      <c r="GH90" s="39" t="str">
        <f t="shared" si="358"/>
        <v>-</v>
      </c>
      <c r="GI90" s="39" t="str">
        <f t="shared" si="359"/>
        <v>-</v>
      </c>
      <c r="GJ90" s="39" t="str">
        <f t="shared" si="360"/>
        <v>-</v>
      </c>
      <c r="GK90" s="39" t="str">
        <f t="shared" si="361"/>
        <v>-</v>
      </c>
      <c r="GL90" s="39" t="str">
        <f t="shared" si="362"/>
        <v>-</v>
      </c>
      <c r="GM90" s="39" t="str">
        <f t="shared" si="363"/>
        <v>-</v>
      </c>
      <c r="GN90" s="39" t="str">
        <f t="shared" si="364"/>
        <v>-</v>
      </c>
      <c r="GO90" s="39" t="str">
        <f t="shared" si="365"/>
        <v>-</v>
      </c>
      <c r="GP90" s="39" t="str">
        <f t="shared" si="366"/>
        <v>-</v>
      </c>
      <c r="GQ90" s="39" t="str">
        <f t="shared" si="367"/>
        <v>-</v>
      </c>
      <c r="GR90" s="39" t="str">
        <f t="shared" si="368"/>
        <v>-</v>
      </c>
      <c r="GS90" s="39" t="str">
        <f t="shared" si="369"/>
        <v>-</v>
      </c>
      <c r="GT90" s="39" t="str">
        <f t="shared" si="370"/>
        <v>-</v>
      </c>
      <c r="GU90" s="39" t="str">
        <f t="shared" si="371"/>
        <v>-</v>
      </c>
      <c r="GV90" s="39" t="str">
        <f t="shared" si="372"/>
        <v>-</v>
      </c>
      <c r="GW90" s="39" t="str">
        <f t="shared" si="373"/>
        <v>-</v>
      </c>
      <c r="GX90" s="39" t="str">
        <f t="shared" si="374"/>
        <v>-</v>
      </c>
      <c r="GY90" s="39" t="str">
        <f t="shared" si="375"/>
        <v>-</v>
      </c>
      <c r="GZ90" s="39" t="str">
        <f t="shared" si="376"/>
        <v>-</v>
      </c>
      <c r="HA90" s="39" t="str">
        <f t="shared" si="377"/>
        <v>-</v>
      </c>
      <c r="HB90" s="39" t="str">
        <f t="shared" si="378"/>
        <v>-</v>
      </c>
      <c r="HC90" s="39" t="str">
        <f t="shared" si="379"/>
        <v>-</v>
      </c>
      <c r="HD90" s="39" t="str">
        <f t="shared" si="380"/>
        <v>-</v>
      </c>
      <c r="HE90" s="39" t="str">
        <f t="shared" si="381"/>
        <v>-</v>
      </c>
      <c r="HF90" s="39" t="str">
        <f t="shared" si="382"/>
        <v>-</v>
      </c>
      <c r="HG90" s="39" t="str">
        <f t="shared" si="383"/>
        <v>-</v>
      </c>
      <c r="HH90" s="39" t="str">
        <f t="shared" si="384"/>
        <v>-</v>
      </c>
      <c r="HI90" s="39" t="str">
        <f t="shared" si="385"/>
        <v>-</v>
      </c>
      <c r="HJ90" s="39" t="str">
        <f t="shared" si="386"/>
        <v>-</v>
      </c>
      <c r="HK90" s="39" t="str">
        <f t="shared" si="387"/>
        <v>-</v>
      </c>
      <c r="HL90" s="39" t="str">
        <f t="shared" si="388"/>
        <v>-</v>
      </c>
      <c r="HM90" s="39" t="str">
        <f t="shared" si="389"/>
        <v>-</v>
      </c>
      <c r="HN90" s="39" t="str">
        <f t="shared" si="390"/>
        <v>-</v>
      </c>
      <c r="HO90" s="39" t="str">
        <f t="shared" si="391"/>
        <v>-</v>
      </c>
      <c r="HP90" s="39" t="str">
        <f t="shared" si="392"/>
        <v>-</v>
      </c>
      <c r="HQ90" s="39" t="str">
        <f t="shared" si="393"/>
        <v>-</v>
      </c>
      <c r="HR90" s="39" t="str">
        <f t="shared" si="394"/>
        <v>-</v>
      </c>
      <c r="HS90" s="39" t="str">
        <f t="shared" si="395"/>
        <v>-</v>
      </c>
      <c r="HT90" s="39" t="str">
        <f t="shared" si="395"/>
        <v>-</v>
      </c>
      <c r="HU90" s="43" t="str">
        <f t="shared" si="445"/>
        <v>-</v>
      </c>
      <c r="HV90" s="44" t="str">
        <f t="shared" si="446"/>
        <v/>
      </c>
      <c r="HW90" s="45" t="str">
        <f t="shared" si="447"/>
        <v/>
      </c>
      <c r="HX90" s="102"/>
      <c r="HY90" s="102"/>
      <c r="HZ90" s="102"/>
      <c r="IA90" s="101"/>
      <c r="IB90" s="102"/>
      <c r="IC90" s="103"/>
      <c r="ID90" s="101"/>
      <c r="IE90" s="102"/>
      <c r="IF90" s="103"/>
      <c r="IH90" s="66">
        <v>90</v>
      </c>
      <c r="II90" s="66" t="e">
        <f t="shared" ca="1" si="436"/>
        <v>#N/A</v>
      </c>
      <c r="IJ90" s="66" t="e">
        <f t="shared" ca="1" si="437"/>
        <v>#N/A</v>
      </c>
      <c r="IK90" s="66" t="e">
        <f t="shared" ca="1" si="438"/>
        <v>#N/A</v>
      </c>
      <c r="IL90" s="66" t="e">
        <f t="shared" ca="1" si="439"/>
        <v>#N/A</v>
      </c>
      <c r="IN90" s="74" t="e">
        <f t="shared" ca="1" si="440"/>
        <v>#N/A</v>
      </c>
      <c r="IO90" s="75" t="e">
        <f t="shared" ca="1" si="441"/>
        <v>#N/A</v>
      </c>
      <c r="IP90" s="75" t="e">
        <f t="shared" ca="1" si="442"/>
        <v>#N/A</v>
      </c>
      <c r="IQ90" s="74" t="e">
        <f t="shared" ca="1" si="443"/>
        <v>#N/A</v>
      </c>
      <c r="IR90" s="74" t="e">
        <f t="shared" ca="1" si="444"/>
        <v>#N/A</v>
      </c>
    </row>
    <row r="91" spans="1:252" x14ac:dyDescent="0.35">
      <c r="A91" s="28">
        <v>0</v>
      </c>
      <c r="B91" s="28">
        <v>1</v>
      </c>
      <c r="C91" s="28">
        <v>1</v>
      </c>
      <c r="D91" s="1"/>
      <c r="E91" s="3"/>
      <c r="F91" t="s">
        <v>356</v>
      </c>
      <c r="G91" s="5" t="s">
        <v>540</v>
      </c>
      <c r="H91" t="s">
        <v>539</v>
      </c>
      <c r="I91" t="s">
        <v>536</v>
      </c>
      <c r="J91" s="276">
        <v>0.12101692442271923</v>
      </c>
      <c r="K91" s="113" t="s">
        <v>805</v>
      </c>
      <c r="L91" s="113" t="s">
        <v>805</v>
      </c>
      <c r="M91" s="113" t="s">
        <v>805</v>
      </c>
      <c r="N91" s="113" t="s">
        <v>805</v>
      </c>
      <c r="O91" s="113" t="s">
        <v>805</v>
      </c>
      <c r="P91" s="113" t="s">
        <v>805</v>
      </c>
      <c r="Q91" s="113" t="s">
        <v>805</v>
      </c>
      <c r="R91" s="113" t="s">
        <v>805</v>
      </c>
      <c r="S91" s="113" t="s">
        <v>805</v>
      </c>
      <c r="T91" s="113" t="s">
        <v>805</v>
      </c>
      <c r="U91" s="113" t="s">
        <v>805</v>
      </c>
      <c r="V91" s="113" t="s">
        <v>805</v>
      </c>
      <c r="W91" s="113" t="s">
        <v>805</v>
      </c>
      <c r="X91" s="113" t="s">
        <v>805</v>
      </c>
      <c r="Y91" s="113" t="s">
        <v>805</v>
      </c>
      <c r="Z91" s="113" t="s">
        <v>805</v>
      </c>
      <c r="AA91" s="113" t="s">
        <v>805</v>
      </c>
      <c r="AB91" s="113" t="s">
        <v>805</v>
      </c>
      <c r="AC91" s="113" t="s">
        <v>805</v>
      </c>
      <c r="AD91" s="113" t="s">
        <v>805</v>
      </c>
      <c r="AE91" s="113" t="s">
        <v>805</v>
      </c>
      <c r="AF91" s="113" t="s">
        <v>805</v>
      </c>
      <c r="AG91" s="113" t="s">
        <v>805</v>
      </c>
      <c r="AH91" s="113" t="s">
        <v>805</v>
      </c>
      <c r="AI91" s="113" t="s">
        <v>805</v>
      </c>
      <c r="AJ91" s="113" t="s">
        <v>805</v>
      </c>
      <c r="AK91" s="113" t="s">
        <v>805</v>
      </c>
      <c r="AL91" s="113" t="s">
        <v>805</v>
      </c>
      <c r="AM91" s="113" t="s">
        <v>805</v>
      </c>
      <c r="AN91" s="113" t="s">
        <v>805</v>
      </c>
      <c r="AO91" s="113" t="s">
        <v>805</v>
      </c>
      <c r="AP91" s="113" t="s">
        <v>805</v>
      </c>
      <c r="AQ91" s="113" t="s">
        <v>805</v>
      </c>
      <c r="AR91" s="113" t="s">
        <v>805</v>
      </c>
      <c r="AS91" s="113" t="s">
        <v>805</v>
      </c>
      <c r="AT91" s="113" t="s">
        <v>805</v>
      </c>
      <c r="AU91" s="113" t="s">
        <v>805</v>
      </c>
      <c r="AV91" s="113" t="s">
        <v>805</v>
      </c>
      <c r="AW91" s="113" t="s">
        <v>805</v>
      </c>
      <c r="AX91" s="113" t="s">
        <v>805</v>
      </c>
      <c r="AY91" s="113" t="s">
        <v>805</v>
      </c>
      <c r="AZ91" s="113" t="s">
        <v>805</v>
      </c>
      <c r="BA91" s="113" t="s">
        <v>805</v>
      </c>
      <c r="BB91" s="113" t="s">
        <v>805</v>
      </c>
      <c r="BC91" s="113" t="s">
        <v>805</v>
      </c>
      <c r="BD91" s="113" t="s">
        <v>805</v>
      </c>
      <c r="BE91" s="113" t="s">
        <v>805</v>
      </c>
      <c r="BF91" s="113" t="s">
        <v>805</v>
      </c>
      <c r="BG91" s="113" t="s">
        <v>805</v>
      </c>
      <c r="BH91" s="113" t="s">
        <v>805</v>
      </c>
      <c r="BI91" s="113" t="s">
        <v>805</v>
      </c>
      <c r="BJ91" s="113" t="s">
        <v>805</v>
      </c>
      <c r="BK91" s="113" t="s">
        <v>805</v>
      </c>
      <c r="BL91" s="113" t="s">
        <v>805</v>
      </c>
      <c r="BM91" s="113" t="s">
        <v>805</v>
      </c>
      <c r="BN91" s="113" t="s">
        <v>805</v>
      </c>
      <c r="BO91" s="113" t="s">
        <v>805</v>
      </c>
      <c r="BP91" s="113" t="s">
        <v>805</v>
      </c>
      <c r="BQ91" s="113" t="s">
        <v>805</v>
      </c>
      <c r="BR91" s="113" t="s">
        <v>805</v>
      </c>
      <c r="BS91" s="113" t="s">
        <v>805</v>
      </c>
      <c r="BT91" s="113" t="s">
        <v>805</v>
      </c>
      <c r="BU91" s="113" t="s">
        <v>805</v>
      </c>
      <c r="BV91" s="113" t="s">
        <v>805</v>
      </c>
      <c r="BW91" s="113" t="s">
        <v>805</v>
      </c>
      <c r="BX91" s="113" t="s">
        <v>805</v>
      </c>
      <c r="BY91" s="113" t="s">
        <v>805</v>
      </c>
      <c r="BZ91" s="113" t="s">
        <v>805</v>
      </c>
      <c r="CA91" s="113" t="s">
        <v>805</v>
      </c>
      <c r="CB91" s="113" t="s">
        <v>805</v>
      </c>
      <c r="CC91" s="113" t="s">
        <v>805</v>
      </c>
      <c r="CD91" s="113" t="s">
        <v>805</v>
      </c>
      <c r="CE91" s="113" t="s">
        <v>805</v>
      </c>
      <c r="CF91" s="113" t="s">
        <v>805</v>
      </c>
      <c r="CG91" s="113" t="s">
        <v>805</v>
      </c>
      <c r="CH91" s="113" t="s">
        <v>805</v>
      </c>
      <c r="CI91" s="113" t="s">
        <v>805</v>
      </c>
      <c r="CJ91" s="113" t="s">
        <v>805</v>
      </c>
      <c r="CK91" s="113" t="s">
        <v>805</v>
      </c>
      <c r="CL91" s="113" t="s">
        <v>805</v>
      </c>
      <c r="CM91" s="113" t="s">
        <v>805</v>
      </c>
      <c r="CN91" s="113" t="s">
        <v>805</v>
      </c>
      <c r="CO91" s="113" t="s">
        <v>805</v>
      </c>
      <c r="CP91" s="113" t="s">
        <v>805</v>
      </c>
      <c r="CQ91" s="113" t="s">
        <v>805</v>
      </c>
      <c r="CR91" s="113" t="s">
        <v>805</v>
      </c>
      <c r="CS91" s="113" t="s">
        <v>805</v>
      </c>
      <c r="CT91" s="113" t="s">
        <v>805</v>
      </c>
      <c r="CU91" s="113" t="s">
        <v>805</v>
      </c>
      <c r="CV91" s="113" t="s">
        <v>805</v>
      </c>
      <c r="CW91" s="113" t="s">
        <v>805</v>
      </c>
      <c r="CX91" s="113" t="s">
        <v>805</v>
      </c>
      <c r="CY91" s="113" t="s">
        <v>805</v>
      </c>
      <c r="CZ91" s="113" t="s">
        <v>805</v>
      </c>
      <c r="DA91" s="113" t="s">
        <v>805</v>
      </c>
      <c r="DB91" s="113" t="s">
        <v>805</v>
      </c>
      <c r="DC91" s="113" t="s">
        <v>805</v>
      </c>
      <c r="DD91" s="113" t="s">
        <v>805</v>
      </c>
      <c r="DE91" s="113" t="s">
        <v>805</v>
      </c>
      <c r="DF91" s="113" t="s">
        <v>805</v>
      </c>
      <c r="DG91" s="28">
        <f>'KPI Count-SHARE'!J82</f>
        <v>0</v>
      </c>
      <c r="DH91" s="114"/>
      <c r="DI91" s="114"/>
      <c r="DJ91" s="114"/>
      <c r="DK91" s="28">
        <f>'KPI Count-SHARE'!K82</f>
        <v>0</v>
      </c>
      <c r="DL91" s="118"/>
      <c r="DM91" s="118"/>
      <c r="DN91" s="118"/>
      <c r="DO91" s="28">
        <f>'KPI Count-SHARE'!L82</f>
        <v>0</v>
      </c>
      <c r="DP91" s="118"/>
      <c r="DQ91" s="118"/>
      <c r="DR91" s="118"/>
      <c r="DS91" s="28">
        <f>'KPI Count-SHARE'!M82</f>
        <v>0</v>
      </c>
      <c r="DT91" s="118"/>
      <c r="DU91" s="118"/>
      <c r="DV91" s="118"/>
      <c r="DW91" t="str">
        <f t="shared" si="460"/>
        <v>USD '000 per account</v>
      </c>
      <c r="DX91" s="39">
        <f t="shared" si="425"/>
        <v>0.1359740723850778</v>
      </c>
      <c r="DY91" s="39" t="str">
        <f t="shared" si="426"/>
        <v>-</v>
      </c>
      <c r="DZ91" s="39" t="str">
        <f t="shared" si="427"/>
        <v>-</v>
      </c>
      <c r="EA91" s="39" t="str">
        <f t="shared" si="428"/>
        <v>-</v>
      </c>
      <c r="EB91" s="39" t="str">
        <f t="shared" si="429"/>
        <v>-</v>
      </c>
      <c r="EC91" s="39" t="str">
        <f t="shared" si="430"/>
        <v>-</v>
      </c>
      <c r="ED91" s="39" t="str">
        <f t="shared" si="431"/>
        <v>-</v>
      </c>
      <c r="EE91" s="39" t="str">
        <f t="shared" si="432"/>
        <v>-</v>
      </c>
      <c r="EF91" s="39" t="str">
        <f t="shared" si="433"/>
        <v>-</v>
      </c>
      <c r="EG91" s="39" t="str">
        <f t="shared" si="434"/>
        <v>-</v>
      </c>
      <c r="EH91" s="39" t="str">
        <f t="shared" si="435"/>
        <v>-</v>
      </c>
      <c r="EI91" s="39" t="str">
        <f t="shared" si="448"/>
        <v>-</v>
      </c>
      <c r="EJ91" s="39" t="str">
        <f t="shared" si="449"/>
        <v>-</v>
      </c>
      <c r="EK91" s="39" t="str">
        <f t="shared" si="450"/>
        <v>-</v>
      </c>
      <c r="EL91" s="39" t="str">
        <f t="shared" si="451"/>
        <v>-</v>
      </c>
      <c r="EM91" s="39" t="str">
        <f t="shared" si="452"/>
        <v>-</v>
      </c>
      <c r="EN91" s="39" t="str">
        <f t="shared" si="453"/>
        <v>-</v>
      </c>
      <c r="EO91" s="39" t="str">
        <f t="shared" si="454"/>
        <v>-</v>
      </c>
      <c r="EP91" s="39" t="str">
        <f t="shared" si="455"/>
        <v>-</v>
      </c>
      <c r="EQ91" s="39" t="str">
        <f t="shared" si="456"/>
        <v>-</v>
      </c>
      <c r="ER91" s="39" t="str">
        <f t="shared" si="457"/>
        <v>-</v>
      </c>
      <c r="ES91" s="39" t="str">
        <f t="shared" si="458"/>
        <v>-</v>
      </c>
      <c r="ET91" s="39" t="str">
        <f t="shared" si="459"/>
        <v>-</v>
      </c>
      <c r="EU91" s="39" t="str">
        <f t="shared" si="319"/>
        <v>-</v>
      </c>
      <c r="EV91" s="39" t="str">
        <f t="shared" si="320"/>
        <v>-</v>
      </c>
      <c r="EW91" s="39" t="str">
        <f t="shared" si="321"/>
        <v>-</v>
      </c>
      <c r="EX91" s="39" t="str">
        <f t="shared" si="322"/>
        <v>-</v>
      </c>
      <c r="EY91" s="39" t="str">
        <f t="shared" si="323"/>
        <v>-</v>
      </c>
      <c r="EZ91" s="39" t="str">
        <f t="shared" si="324"/>
        <v>-</v>
      </c>
      <c r="FA91" s="39" t="str">
        <f t="shared" si="325"/>
        <v>-</v>
      </c>
      <c r="FB91" s="39" t="str">
        <f t="shared" si="326"/>
        <v>-</v>
      </c>
      <c r="FC91" s="39" t="str">
        <f t="shared" si="327"/>
        <v>-</v>
      </c>
      <c r="FD91" s="39" t="str">
        <f t="shared" si="328"/>
        <v>-</v>
      </c>
      <c r="FE91" s="39" t="str">
        <f t="shared" si="329"/>
        <v>-</v>
      </c>
      <c r="FF91" s="39" t="str">
        <f t="shared" si="330"/>
        <v>-</v>
      </c>
      <c r="FG91" s="39" t="str">
        <f t="shared" si="331"/>
        <v>-</v>
      </c>
      <c r="FH91" s="39" t="str">
        <f t="shared" si="332"/>
        <v>-</v>
      </c>
      <c r="FI91" s="39" t="str">
        <f t="shared" si="333"/>
        <v>-</v>
      </c>
      <c r="FJ91" s="39" t="str">
        <f t="shared" si="334"/>
        <v>-</v>
      </c>
      <c r="FK91" s="39" t="str">
        <f t="shared" si="335"/>
        <v>-</v>
      </c>
      <c r="FL91" s="39" t="str">
        <f t="shared" si="336"/>
        <v>-</v>
      </c>
      <c r="FM91" s="39" t="str">
        <f t="shared" si="337"/>
        <v>-</v>
      </c>
      <c r="FN91" s="39" t="str">
        <f t="shared" si="338"/>
        <v>-</v>
      </c>
      <c r="FO91" s="39" t="str">
        <f t="shared" si="339"/>
        <v>-</v>
      </c>
      <c r="FP91" s="39" t="str">
        <f t="shared" si="340"/>
        <v>-</v>
      </c>
      <c r="FQ91" s="39" t="str">
        <f t="shared" si="341"/>
        <v>-</v>
      </c>
      <c r="FR91" s="39" t="str">
        <f t="shared" si="342"/>
        <v>-</v>
      </c>
      <c r="FS91" s="39" t="str">
        <f t="shared" si="343"/>
        <v>-</v>
      </c>
      <c r="FT91" s="39" t="str">
        <f t="shared" si="344"/>
        <v>-</v>
      </c>
      <c r="FU91" s="39" t="str">
        <f t="shared" si="345"/>
        <v>-</v>
      </c>
      <c r="FV91" s="39" t="str">
        <f t="shared" si="346"/>
        <v>-</v>
      </c>
      <c r="FW91" s="39" t="str">
        <f t="shared" si="347"/>
        <v>-</v>
      </c>
      <c r="FX91" s="39" t="str">
        <f t="shared" si="348"/>
        <v>-</v>
      </c>
      <c r="FY91" s="39" t="str">
        <f t="shared" si="349"/>
        <v>-</v>
      </c>
      <c r="FZ91" s="39" t="str">
        <f t="shared" si="350"/>
        <v>-</v>
      </c>
      <c r="GA91" s="39" t="str">
        <f t="shared" si="351"/>
        <v>-</v>
      </c>
      <c r="GB91" s="39" t="str">
        <f t="shared" si="352"/>
        <v>-</v>
      </c>
      <c r="GC91" s="39" t="str">
        <f t="shared" si="353"/>
        <v>-</v>
      </c>
      <c r="GD91" s="39" t="str">
        <f t="shared" si="354"/>
        <v>-</v>
      </c>
      <c r="GE91" s="39" t="str">
        <f t="shared" si="355"/>
        <v>-</v>
      </c>
      <c r="GF91" s="39" t="str">
        <f t="shared" si="356"/>
        <v>-</v>
      </c>
      <c r="GG91" s="39" t="str">
        <f t="shared" si="357"/>
        <v>-</v>
      </c>
      <c r="GH91" s="39" t="str">
        <f t="shared" si="358"/>
        <v>-</v>
      </c>
      <c r="GI91" s="39" t="str">
        <f t="shared" si="359"/>
        <v>-</v>
      </c>
      <c r="GJ91" s="39" t="str">
        <f t="shared" si="360"/>
        <v>-</v>
      </c>
      <c r="GK91" s="39" t="str">
        <f t="shared" si="361"/>
        <v>-</v>
      </c>
      <c r="GL91" s="39" t="str">
        <f t="shared" si="362"/>
        <v>-</v>
      </c>
      <c r="GM91" s="39" t="str">
        <f t="shared" si="363"/>
        <v>-</v>
      </c>
      <c r="GN91" s="39" t="str">
        <f t="shared" si="364"/>
        <v>-</v>
      </c>
      <c r="GO91" s="39" t="str">
        <f t="shared" si="365"/>
        <v>-</v>
      </c>
      <c r="GP91" s="39" t="str">
        <f t="shared" si="366"/>
        <v>-</v>
      </c>
      <c r="GQ91" s="39" t="str">
        <f t="shared" si="367"/>
        <v>-</v>
      </c>
      <c r="GR91" s="39" t="str">
        <f t="shared" si="368"/>
        <v>-</v>
      </c>
      <c r="GS91" s="39" t="str">
        <f t="shared" si="369"/>
        <v>-</v>
      </c>
      <c r="GT91" s="39" t="str">
        <f t="shared" si="370"/>
        <v>-</v>
      </c>
      <c r="GU91" s="39" t="str">
        <f t="shared" si="371"/>
        <v>-</v>
      </c>
      <c r="GV91" s="39" t="str">
        <f t="shared" si="372"/>
        <v>-</v>
      </c>
      <c r="GW91" s="39" t="str">
        <f t="shared" si="373"/>
        <v>-</v>
      </c>
      <c r="GX91" s="39" t="str">
        <f t="shared" si="374"/>
        <v>-</v>
      </c>
      <c r="GY91" s="39" t="str">
        <f t="shared" si="375"/>
        <v>-</v>
      </c>
      <c r="GZ91" s="39" t="str">
        <f t="shared" si="376"/>
        <v>-</v>
      </c>
      <c r="HA91" s="39" t="str">
        <f t="shared" si="377"/>
        <v>-</v>
      </c>
      <c r="HB91" s="39" t="str">
        <f t="shared" si="378"/>
        <v>-</v>
      </c>
      <c r="HC91" s="39" t="str">
        <f t="shared" si="379"/>
        <v>-</v>
      </c>
      <c r="HD91" s="39" t="str">
        <f t="shared" si="380"/>
        <v>-</v>
      </c>
      <c r="HE91" s="39" t="str">
        <f t="shared" si="381"/>
        <v>-</v>
      </c>
      <c r="HF91" s="39" t="str">
        <f t="shared" si="382"/>
        <v>-</v>
      </c>
      <c r="HG91" s="39" t="str">
        <f t="shared" si="383"/>
        <v>-</v>
      </c>
      <c r="HH91" s="39" t="str">
        <f t="shared" si="384"/>
        <v>-</v>
      </c>
      <c r="HI91" s="39" t="str">
        <f t="shared" si="385"/>
        <v>-</v>
      </c>
      <c r="HJ91" s="39" t="str">
        <f t="shared" si="386"/>
        <v>-</v>
      </c>
      <c r="HK91" s="39" t="str">
        <f t="shared" si="387"/>
        <v>-</v>
      </c>
      <c r="HL91" s="39" t="str">
        <f t="shared" si="388"/>
        <v>-</v>
      </c>
      <c r="HM91" s="39" t="str">
        <f t="shared" si="389"/>
        <v>-</v>
      </c>
      <c r="HN91" s="39" t="str">
        <f t="shared" si="390"/>
        <v>-</v>
      </c>
      <c r="HO91" s="39" t="str">
        <f t="shared" si="391"/>
        <v>-</v>
      </c>
      <c r="HP91" s="39" t="str">
        <f t="shared" si="392"/>
        <v>-</v>
      </c>
      <c r="HQ91" s="39" t="str">
        <f t="shared" si="393"/>
        <v>-</v>
      </c>
      <c r="HR91" s="39" t="str">
        <f t="shared" si="394"/>
        <v>-</v>
      </c>
      <c r="HS91" s="39" t="str">
        <f t="shared" si="395"/>
        <v>-</v>
      </c>
      <c r="HT91" s="39" t="str">
        <f t="shared" si="395"/>
        <v>-</v>
      </c>
      <c r="HU91" s="43" t="str">
        <f t="shared" si="445"/>
        <v>-</v>
      </c>
      <c r="HV91" s="44" t="str">
        <f t="shared" si="446"/>
        <v/>
      </c>
      <c r="HW91" s="45" t="str">
        <f t="shared" si="447"/>
        <v/>
      </c>
      <c r="HX91" s="102"/>
      <c r="HY91" s="102"/>
      <c r="HZ91" s="102"/>
      <c r="IA91" s="101"/>
      <c r="IB91" s="102"/>
      <c r="IC91" s="103"/>
      <c r="ID91" s="101"/>
      <c r="IE91" s="102"/>
      <c r="IF91" s="103"/>
      <c r="IH91" s="66">
        <v>91</v>
      </c>
      <c r="II91" s="66" t="e">
        <f t="shared" ca="1" si="436"/>
        <v>#N/A</v>
      </c>
      <c r="IJ91" s="66" t="e">
        <f t="shared" ca="1" si="437"/>
        <v>#N/A</v>
      </c>
      <c r="IK91" s="66" t="e">
        <f t="shared" ca="1" si="438"/>
        <v>#N/A</v>
      </c>
      <c r="IL91" s="66" t="e">
        <f t="shared" ca="1" si="439"/>
        <v>#N/A</v>
      </c>
      <c r="IN91" s="74" t="e">
        <f t="shared" ca="1" si="440"/>
        <v>#N/A</v>
      </c>
      <c r="IO91" s="75" t="e">
        <f t="shared" ca="1" si="441"/>
        <v>#N/A</v>
      </c>
      <c r="IP91" s="75" t="e">
        <f t="shared" ca="1" si="442"/>
        <v>#N/A</v>
      </c>
      <c r="IQ91" s="74" t="e">
        <f t="shared" ca="1" si="443"/>
        <v>#N/A</v>
      </c>
      <c r="IR91" s="74" t="e">
        <f t="shared" ca="1" si="444"/>
        <v>#N/A</v>
      </c>
    </row>
    <row r="92" spans="1:252" x14ac:dyDescent="0.35">
      <c r="A92" s="28">
        <v>0</v>
      </c>
      <c r="B92" s="28">
        <v>1</v>
      </c>
      <c r="C92" s="28">
        <v>1</v>
      </c>
      <c r="D92" s="1"/>
      <c r="E92" s="3"/>
      <c r="F92" t="s">
        <v>357</v>
      </c>
      <c r="G92" s="5" t="s">
        <v>540</v>
      </c>
      <c r="H92" t="s">
        <v>539</v>
      </c>
      <c r="I92" t="s">
        <v>536</v>
      </c>
      <c r="J92" s="276">
        <v>3.4901545449431956E-2</v>
      </c>
      <c r="K92" s="113" t="s">
        <v>805</v>
      </c>
      <c r="L92" s="113" t="s">
        <v>805</v>
      </c>
      <c r="M92" s="113" t="s">
        <v>805</v>
      </c>
      <c r="N92" s="113" t="s">
        <v>805</v>
      </c>
      <c r="O92" s="113" t="s">
        <v>805</v>
      </c>
      <c r="P92" s="113" t="s">
        <v>805</v>
      </c>
      <c r="Q92" s="113" t="s">
        <v>805</v>
      </c>
      <c r="R92" s="113" t="s">
        <v>805</v>
      </c>
      <c r="S92" s="113" t="s">
        <v>805</v>
      </c>
      <c r="T92" s="113" t="s">
        <v>805</v>
      </c>
      <c r="U92" s="113" t="s">
        <v>805</v>
      </c>
      <c r="V92" s="113" t="s">
        <v>805</v>
      </c>
      <c r="W92" s="113" t="s">
        <v>805</v>
      </c>
      <c r="X92" s="113" t="s">
        <v>805</v>
      </c>
      <c r="Y92" s="113" t="s">
        <v>805</v>
      </c>
      <c r="Z92" s="113" t="s">
        <v>805</v>
      </c>
      <c r="AA92" s="113" t="s">
        <v>805</v>
      </c>
      <c r="AB92" s="113" t="s">
        <v>805</v>
      </c>
      <c r="AC92" s="113" t="s">
        <v>805</v>
      </c>
      <c r="AD92" s="113" t="s">
        <v>805</v>
      </c>
      <c r="AE92" s="113" t="s">
        <v>805</v>
      </c>
      <c r="AF92" s="113" t="s">
        <v>805</v>
      </c>
      <c r="AG92" s="113" t="s">
        <v>805</v>
      </c>
      <c r="AH92" s="113" t="s">
        <v>805</v>
      </c>
      <c r="AI92" s="113" t="s">
        <v>805</v>
      </c>
      <c r="AJ92" s="113" t="s">
        <v>805</v>
      </c>
      <c r="AK92" s="113" t="s">
        <v>805</v>
      </c>
      <c r="AL92" s="113" t="s">
        <v>805</v>
      </c>
      <c r="AM92" s="113" t="s">
        <v>805</v>
      </c>
      <c r="AN92" s="113" t="s">
        <v>805</v>
      </c>
      <c r="AO92" s="113" t="s">
        <v>805</v>
      </c>
      <c r="AP92" s="113" t="s">
        <v>805</v>
      </c>
      <c r="AQ92" s="113" t="s">
        <v>805</v>
      </c>
      <c r="AR92" s="113" t="s">
        <v>805</v>
      </c>
      <c r="AS92" s="113" t="s">
        <v>805</v>
      </c>
      <c r="AT92" s="113" t="s">
        <v>805</v>
      </c>
      <c r="AU92" s="113" t="s">
        <v>805</v>
      </c>
      <c r="AV92" s="113" t="s">
        <v>805</v>
      </c>
      <c r="AW92" s="113" t="s">
        <v>805</v>
      </c>
      <c r="AX92" s="113" t="s">
        <v>805</v>
      </c>
      <c r="AY92" s="113" t="s">
        <v>805</v>
      </c>
      <c r="AZ92" s="113" t="s">
        <v>805</v>
      </c>
      <c r="BA92" s="113" t="s">
        <v>805</v>
      </c>
      <c r="BB92" s="113" t="s">
        <v>805</v>
      </c>
      <c r="BC92" s="113" t="s">
        <v>805</v>
      </c>
      <c r="BD92" s="113" t="s">
        <v>805</v>
      </c>
      <c r="BE92" s="113" t="s">
        <v>805</v>
      </c>
      <c r="BF92" s="113" t="s">
        <v>805</v>
      </c>
      <c r="BG92" s="113" t="s">
        <v>805</v>
      </c>
      <c r="BH92" s="113" t="s">
        <v>805</v>
      </c>
      <c r="BI92" s="113" t="s">
        <v>805</v>
      </c>
      <c r="BJ92" s="113" t="s">
        <v>805</v>
      </c>
      <c r="BK92" s="113" t="s">
        <v>805</v>
      </c>
      <c r="BL92" s="113" t="s">
        <v>805</v>
      </c>
      <c r="BM92" s="113" t="s">
        <v>805</v>
      </c>
      <c r="BN92" s="113" t="s">
        <v>805</v>
      </c>
      <c r="BO92" s="113" t="s">
        <v>805</v>
      </c>
      <c r="BP92" s="113" t="s">
        <v>805</v>
      </c>
      <c r="BQ92" s="113" t="s">
        <v>805</v>
      </c>
      <c r="BR92" s="113" t="s">
        <v>805</v>
      </c>
      <c r="BS92" s="113" t="s">
        <v>805</v>
      </c>
      <c r="BT92" s="113" t="s">
        <v>805</v>
      </c>
      <c r="BU92" s="113" t="s">
        <v>805</v>
      </c>
      <c r="BV92" s="113" t="s">
        <v>805</v>
      </c>
      <c r="BW92" s="113" t="s">
        <v>805</v>
      </c>
      <c r="BX92" s="113" t="s">
        <v>805</v>
      </c>
      <c r="BY92" s="113" t="s">
        <v>805</v>
      </c>
      <c r="BZ92" s="113" t="s">
        <v>805</v>
      </c>
      <c r="CA92" s="113" t="s">
        <v>805</v>
      </c>
      <c r="CB92" s="113" t="s">
        <v>805</v>
      </c>
      <c r="CC92" s="113" t="s">
        <v>805</v>
      </c>
      <c r="CD92" s="113" t="s">
        <v>805</v>
      </c>
      <c r="CE92" s="113" t="s">
        <v>805</v>
      </c>
      <c r="CF92" s="113" t="s">
        <v>805</v>
      </c>
      <c r="CG92" s="113" t="s">
        <v>805</v>
      </c>
      <c r="CH92" s="113" t="s">
        <v>805</v>
      </c>
      <c r="CI92" s="113" t="s">
        <v>805</v>
      </c>
      <c r="CJ92" s="113" t="s">
        <v>805</v>
      </c>
      <c r="CK92" s="113" t="s">
        <v>805</v>
      </c>
      <c r="CL92" s="113" t="s">
        <v>805</v>
      </c>
      <c r="CM92" s="113" t="s">
        <v>805</v>
      </c>
      <c r="CN92" s="113" t="s">
        <v>805</v>
      </c>
      <c r="CO92" s="113" t="s">
        <v>805</v>
      </c>
      <c r="CP92" s="113" t="s">
        <v>805</v>
      </c>
      <c r="CQ92" s="113" t="s">
        <v>805</v>
      </c>
      <c r="CR92" s="113" t="s">
        <v>805</v>
      </c>
      <c r="CS92" s="113" t="s">
        <v>805</v>
      </c>
      <c r="CT92" s="113" t="s">
        <v>805</v>
      </c>
      <c r="CU92" s="113" t="s">
        <v>805</v>
      </c>
      <c r="CV92" s="113" t="s">
        <v>805</v>
      </c>
      <c r="CW92" s="113" t="s">
        <v>805</v>
      </c>
      <c r="CX92" s="113" t="s">
        <v>805</v>
      </c>
      <c r="CY92" s="113" t="s">
        <v>805</v>
      </c>
      <c r="CZ92" s="113" t="s">
        <v>805</v>
      </c>
      <c r="DA92" s="113" t="s">
        <v>805</v>
      </c>
      <c r="DB92" s="113" t="s">
        <v>805</v>
      </c>
      <c r="DC92" s="113" t="s">
        <v>805</v>
      </c>
      <c r="DD92" s="113" t="s">
        <v>805</v>
      </c>
      <c r="DE92" s="113" t="s">
        <v>805</v>
      </c>
      <c r="DF92" s="113" t="s">
        <v>805</v>
      </c>
      <c r="DG92" s="28">
        <f>'KPI Count-SHARE'!J83</f>
        <v>0</v>
      </c>
      <c r="DH92" s="114"/>
      <c r="DI92" s="114"/>
      <c r="DJ92" s="114"/>
      <c r="DK92" s="28">
        <f>'KPI Count-SHARE'!K83</f>
        <v>0</v>
      </c>
      <c r="DL92" s="118"/>
      <c r="DM92" s="118"/>
      <c r="DN92" s="118"/>
      <c r="DO92" s="28">
        <f>'KPI Count-SHARE'!L83</f>
        <v>0</v>
      </c>
      <c r="DP92" s="118"/>
      <c r="DQ92" s="118"/>
      <c r="DR92" s="118"/>
      <c r="DS92" s="28">
        <f>'KPI Count-SHARE'!M83</f>
        <v>0</v>
      </c>
      <c r="DT92" s="118"/>
      <c r="DU92" s="118"/>
      <c r="DV92" s="118"/>
      <c r="DW92" t="str">
        <f t="shared" si="460"/>
        <v>USD '000 per account</v>
      </c>
      <c r="DX92" s="39">
        <f t="shared" si="425"/>
        <v>3.9215219606103323E-2</v>
      </c>
      <c r="DY92" s="39" t="str">
        <f t="shared" si="426"/>
        <v>-</v>
      </c>
      <c r="DZ92" s="39" t="str">
        <f t="shared" si="427"/>
        <v>-</v>
      </c>
      <c r="EA92" s="39" t="str">
        <f t="shared" si="428"/>
        <v>-</v>
      </c>
      <c r="EB92" s="39" t="str">
        <f t="shared" si="429"/>
        <v>-</v>
      </c>
      <c r="EC92" s="39" t="str">
        <f t="shared" si="430"/>
        <v>-</v>
      </c>
      <c r="ED92" s="39" t="str">
        <f t="shared" si="431"/>
        <v>-</v>
      </c>
      <c r="EE92" s="39" t="str">
        <f t="shared" si="432"/>
        <v>-</v>
      </c>
      <c r="EF92" s="39" t="str">
        <f t="shared" si="433"/>
        <v>-</v>
      </c>
      <c r="EG92" s="39" t="str">
        <f t="shared" si="434"/>
        <v>-</v>
      </c>
      <c r="EH92" s="39" t="str">
        <f t="shared" si="435"/>
        <v>-</v>
      </c>
      <c r="EI92" s="39" t="str">
        <f t="shared" si="448"/>
        <v>-</v>
      </c>
      <c r="EJ92" s="39" t="str">
        <f t="shared" si="449"/>
        <v>-</v>
      </c>
      <c r="EK92" s="39" t="str">
        <f t="shared" si="450"/>
        <v>-</v>
      </c>
      <c r="EL92" s="39" t="str">
        <f t="shared" si="451"/>
        <v>-</v>
      </c>
      <c r="EM92" s="39" t="str">
        <f t="shared" si="452"/>
        <v>-</v>
      </c>
      <c r="EN92" s="39" t="str">
        <f t="shared" si="453"/>
        <v>-</v>
      </c>
      <c r="EO92" s="39" t="str">
        <f t="shared" si="454"/>
        <v>-</v>
      </c>
      <c r="EP92" s="39" t="str">
        <f t="shared" si="455"/>
        <v>-</v>
      </c>
      <c r="EQ92" s="39" t="str">
        <f t="shared" si="456"/>
        <v>-</v>
      </c>
      <c r="ER92" s="39" t="str">
        <f t="shared" si="457"/>
        <v>-</v>
      </c>
      <c r="ES92" s="39" t="str">
        <f t="shared" si="458"/>
        <v>-</v>
      </c>
      <c r="ET92" s="39" t="str">
        <f t="shared" si="459"/>
        <v>-</v>
      </c>
      <c r="EU92" s="39" t="str">
        <f t="shared" si="319"/>
        <v>-</v>
      </c>
      <c r="EV92" s="39" t="str">
        <f t="shared" si="320"/>
        <v>-</v>
      </c>
      <c r="EW92" s="39" t="str">
        <f t="shared" si="321"/>
        <v>-</v>
      </c>
      <c r="EX92" s="39" t="str">
        <f t="shared" si="322"/>
        <v>-</v>
      </c>
      <c r="EY92" s="39" t="str">
        <f t="shared" si="323"/>
        <v>-</v>
      </c>
      <c r="EZ92" s="39" t="str">
        <f t="shared" si="324"/>
        <v>-</v>
      </c>
      <c r="FA92" s="39" t="str">
        <f t="shared" si="325"/>
        <v>-</v>
      </c>
      <c r="FB92" s="39" t="str">
        <f t="shared" si="326"/>
        <v>-</v>
      </c>
      <c r="FC92" s="39" t="str">
        <f t="shared" si="327"/>
        <v>-</v>
      </c>
      <c r="FD92" s="39" t="str">
        <f t="shared" si="328"/>
        <v>-</v>
      </c>
      <c r="FE92" s="39" t="str">
        <f t="shared" si="329"/>
        <v>-</v>
      </c>
      <c r="FF92" s="39" t="str">
        <f t="shared" si="330"/>
        <v>-</v>
      </c>
      <c r="FG92" s="39" t="str">
        <f t="shared" si="331"/>
        <v>-</v>
      </c>
      <c r="FH92" s="39" t="str">
        <f t="shared" si="332"/>
        <v>-</v>
      </c>
      <c r="FI92" s="39" t="str">
        <f t="shared" si="333"/>
        <v>-</v>
      </c>
      <c r="FJ92" s="39" t="str">
        <f t="shared" si="334"/>
        <v>-</v>
      </c>
      <c r="FK92" s="39" t="str">
        <f t="shared" si="335"/>
        <v>-</v>
      </c>
      <c r="FL92" s="39" t="str">
        <f t="shared" si="336"/>
        <v>-</v>
      </c>
      <c r="FM92" s="39" t="str">
        <f t="shared" si="337"/>
        <v>-</v>
      </c>
      <c r="FN92" s="39" t="str">
        <f t="shared" si="338"/>
        <v>-</v>
      </c>
      <c r="FO92" s="39" t="str">
        <f t="shared" si="339"/>
        <v>-</v>
      </c>
      <c r="FP92" s="39" t="str">
        <f t="shared" si="340"/>
        <v>-</v>
      </c>
      <c r="FQ92" s="39" t="str">
        <f t="shared" si="341"/>
        <v>-</v>
      </c>
      <c r="FR92" s="39" t="str">
        <f t="shared" si="342"/>
        <v>-</v>
      </c>
      <c r="FS92" s="39" t="str">
        <f t="shared" si="343"/>
        <v>-</v>
      </c>
      <c r="FT92" s="39" t="str">
        <f t="shared" si="344"/>
        <v>-</v>
      </c>
      <c r="FU92" s="39" t="str">
        <f t="shared" si="345"/>
        <v>-</v>
      </c>
      <c r="FV92" s="39" t="str">
        <f t="shared" si="346"/>
        <v>-</v>
      </c>
      <c r="FW92" s="39" t="str">
        <f t="shared" si="347"/>
        <v>-</v>
      </c>
      <c r="FX92" s="39" t="str">
        <f t="shared" si="348"/>
        <v>-</v>
      </c>
      <c r="FY92" s="39" t="str">
        <f t="shared" si="349"/>
        <v>-</v>
      </c>
      <c r="FZ92" s="39" t="str">
        <f t="shared" si="350"/>
        <v>-</v>
      </c>
      <c r="GA92" s="39" t="str">
        <f t="shared" si="351"/>
        <v>-</v>
      </c>
      <c r="GB92" s="39" t="str">
        <f t="shared" si="352"/>
        <v>-</v>
      </c>
      <c r="GC92" s="39" t="str">
        <f t="shared" si="353"/>
        <v>-</v>
      </c>
      <c r="GD92" s="39" t="str">
        <f t="shared" si="354"/>
        <v>-</v>
      </c>
      <c r="GE92" s="39" t="str">
        <f t="shared" si="355"/>
        <v>-</v>
      </c>
      <c r="GF92" s="39" t="str">
        <f t="shared" si="356"/>
        <v>-</v>
      </c>
      <c r="GG92" s="39" t="str">
        <f t="shared" si="357"/>
        <v>-</v>
      </c>
      <c r="GH92" s="39" t="str">
        <f t="shared" si="358"/>
        <v>-</v>
      </c>
      <c r="GI92" s="39" t="str">
        <f t="shared" si="359"/>
        <v>-</v>
      </c>
      <c r="GJ92" s="39" t="str">
        <f t="shared" si="360"/>
        <v>-</v>
      </c>
      <c r="GK92" s="39" t="str">
        <f t="shared" si="361"/>
        <v>-</v>
      </c>
      <c r="GL92" s="39" t="str">
        <f t="shared" si="362"/>
        <v>-</v>
      </c>
      <c r="GM92" s="39" t="str">
        <f t="shared" si="363"/>
        <v>-</v>
      </c>
      <c r="GN92" s="39" t="str">
        <f t="shared" si="364"/>
        <v>-</v>
      </c>
      <c r="GO92" s="39" t="str">
        <f t="shared" si="365"/>
        <v>-</v>
      </c>
      <c r="GP92" s="39" t="str">
        <f t="shared" si="366"/>
        <v>-</v>
      </c>
      <c r="GQ92" s="39" t="str">
        <f t="shared" si="367"/>
        <v>-</v>
      </c>
      <c r="GR92" s="39" t="str">
        <f t="shared" si="368"/>
        <v>-</v>
      </c>
      <c r="GS92" s="39" t="str">
        <f t="shared" si="369"/>
        <v>-</v>
      </c>
      <c r="GT92" s="39" t="str">
        <f t="shared" si="370"/>
        <v>-</v>
      </c>
      <c r="GU92" s="39" t="str">
        <f t="shared" si="371"/>
        <v>-</v>
      </c>
      <c r="GV92" s="39" t="str">
        <f t="shared" si="372"/>
        <v>-</v>
      </c>
      <c r="GW92" s="39" t="str">
        <f t="shared" si="373"/>
        <v>-</v>
      </c>
      <c r="GX92" s="39" t="str">
        <f t="shared" si="374"/>
        <v>-</v>
      </c>
      <c r="GY92" s="39" t="str">
        <f t="shared" si="375"/>
        <v>-</v>
      </c>
      <c r="GZ92" s="39" t="str">
        <f t="shared" si="376"/>
        <v>-</v>
      </c>
      <c r="HA92" s="39" t="str">
        <f t="shared" si="377"/>
        <v>-</v>
      </c>
      <c r="HB92" s="39" t="str">
        <f t="shared" si="378"/>
        <v>-</v>
      </c>
      <c r="HC92" s="39" t="str">
        <f t="shared" si="379"/>
        <v>-</v>
      </c>
      <c r="HD92" s="39" t="str">
        <f t="shared" si="380"/>
        <v>-</v>
      </c>
      <c r="HE92" s="39" t="str">
        <f t="shared" si="381"/>
        <v>-</v>
      </c>
      <c r="HF92" s="39" t="str">
        <f t="shared" si="382"/>
        <v>-</v>
      </c>
      <c r="HG92" s="39" t="str">
        <f t="shared" si="383"/>
        <v>-</v>
      </c>
      <c r="HH92" s="39" t="str">
        <f t="shared" si="384"/>
        <v>-</v>
      </c>
      <c r="HI92" s="39" t="str">
        <f t="shared" si="385"/>
        <v>-</v>
      </c>
      <c r="HJ92" s="39" t="str">
        <f t="shared" si="386"/>
        <v>-</v>
      </c>
      <c r="HK92" s="39" t="str">
        <f t="shared" si="387"/>
        <v>-</v>
      </c>
      <c r="HL92" s="39" t="str">
        <f t="shared" si="388"/>
        <v>-</v>
      </c>
      <c r="HM92" s="39" t="str">
        <f t="shared" si="389"/>
        <v>-</v>
      </c>
      <c r="HN92" s="39" t="str">
        <f t="shared" si="390"/>
        <v>-</v>
      </c>
      <c r="HO92" s="39" t="str">
        <f t="shared" si="391"/>
        <v>-</v>
      </c>
      <c r="HP92" s="39" t="str">
        <f t="shared" si="392"/>
        <v>-</v>
      </c>
      <c r="HQ92" s="39" t="str">
        <f t="shared" si="393"/>
        <v>-</v>
      </c>
      <c r="HR92" s="39" t="str">
        <f t="shared" si="394"/>
        <v>-</v>
      </c>
      <c r="HS92" s="39" t="str">
        <f t="shared" si="395"/>
        <v>-</v>
      </c>
      <c r="HT92" s="39" t="str">
        <f t="shared" si="395"/>
        <v>-</v>
      </c>
      <c r="HU92" s="43" t="str">
        <f t="shared" si="445"/>
        <v>-</v>
      </c>
      <c r="HV92" s="44" t="str">
        <f t="shared" si="446"/>
        <v/>
      </c>
      <c r="HW92" s="45" t="str">
        <f t="shared" si="447"/>
        <v/>
      </c>
      <c r="HX92" s="102"/>
      <c r="HY92" s="102"/>
      <c r="HZ92" s="102"/>
      <c r="IA92" s="101"/>
      <c r="IB92" s="102"/>
      <c r="IC92" s="103"/>
      <c r="ID92" s="101"/>
      <c r="IE92" s="102"/>
      <c r="IF92" s="103"/>
      <c r="IH92" s="66">
        <v>92</v>
      </c>
      <c r="II92" s="66" t="e">
        <f t="shared" ca="1" si="436"/>
        <v>#N/A</v>
      </c>
      <c r="IJ92" s="66" t="e">
        <f t="shared" ca="1" si="437"/>
        <v>#N/A</v>
      </c>
      <c r="IK92" s="66" t="e">
        <f t="shared" ca="1" si="438"/>
        <v>#N/A</v>
      </c>
      <c r="IL92" s="66" t="e">
        <f t="shared" ca="1" si="439"/>
        <v>#N/A</v>
      </c>
      <c r="IN92" s="74" t="e">
        <f t="shared" ca="1" si="440"/>
        <v>#N/A</v>
      </c>
      <c r="IO92" s="75" t="e">
        <f t="shared" ca="1" si="441"/>
        <v>#N/A</v>
      </c>
      <c r="IP92" s="75" t="e">
        <f t="shared" ca="1" si="442"/>
        <v>#N/A</v>
      </c>
      <c r="IQ92" s="74" t="e">
        <f t="shared" ca="1" si="443"/>
        <v>#N/A</v>
      </c>
      <c r="IR92" s="74" t="e">
        <f t="shared" ca="1" si="444"/>
        <v>#N/A</v>
      </c>
    </row>
    <row r="93" spans="1:252" x14ac:dyDescent="0.35">
      <c r="A93" s="28">
        <v>0</v>
      </c>
      <c r="B93" s="28">
        <v>0</v>
      </c>
      <c r="C93" s="28">
        <v>1</v>
      </c>
      <c r="D93" s="1"/>
      <c r="E93" s="3"/>
      <c r="F93" t="s">
        <v>358</v>
      </c>
      <c r="G93" s="5" t="s">
        <v>540</v>
      </c>
      <c r="H93" t="s">
        <v>539</v>
      </c>
      <c r="I93" t="s">
        <v>536</v>
      </c>
      <c r="J93" s="276" t="s">
        <v>805</v>
      </c>
      <c r="K93" s="113" t="s">
        <v>805</v>
      </c>
      <c r="L93" s="113" t="s">
        <v>805</v>
      </c>
      <c r="M93" s="113" t="s">
        <v>805</v>
      </c>
      <c r="N93" s="113" t="s">
        <v>805</v>
      </c>
      <c r="O93" s="113" t="s">
        <v>805</v>
      </c>
      <c r="P93" s="113" t="s">
        <v>805</v>
      </c>
      <c r="Q93" s="113" t="s">
        <v>805</v>
      </c>
      <c r="R93" s="113" t="s">
        <v>805</v>
      </c>
      <c r="S93" s="113" t="s">
        <v>805</v>
      </c>
      <c r="T93" s="113" t="s">
        <v>805</v>
      </c>
      <c r="U93" s="113" t="s">
        <v>805</v>
      </c>
      <c r="V93" s="113" t="s">
        <v>805</v>
      </c>
      <c r="W93" s="113" t="s">
        <v>805</v>
      </c>
      <c r="X93" s="113" t="s">
        <v>805</v>
      </c>
      <c r="Y93" s="113" t="s">
        <v>805</v>
      </c>
      <c r="Z93" s="113" t="s">
        <v>805</v>
      </c>
      <c r="AA93" s="113" t="s">
        <v>805</v>
      </c>
      <c r="AB93" s="113" t="s">
        <v>805</v>
      </c>
      <c r="AC93" s="113" t="s">
        <v>805</v>
      </c>
      <c r="AD93" s="113" t="s">
        <v>805</v>
      </c>
      <c r="AE93" s="113" t="s">
        <v>805</v>
      </c>
      <c r="AF93" s="113" t="s">
        <v>805</v>
      </c>
      <c r="AG93" s="113" t="s">
        <v>805</v>
      </c>
      <c r="AH93" s="113" t="s">
        <v>805</v>
      </c>
      <c r="AI93" s="113" t="s">
        <v>805</v>
      </c>
      <c r="AJ93" s="113" t="s">
        <v>805</v>
      </c>
      <c r="AK93" s="113" t="s">
        <v>805</v>
      </c>
      <c r="AL93" s="113" t="s">
        <v>805</v>
      </c>
      <c r="AM93" s="113" t="s">
        <v>805</v>
      </c>
      <c r="AN93" s="113" t="s">
        <v>805</v>
      </c>
      <c r="AO93" s="113" t="s">
        <v>805</v>
      </c>
      <c r="AP93" s="113" t="s">
        <v>805</v>
      </c>
      <c r="AQ93" s="113" t="s">
        <v>805</v>
      </c>
      <c r="AR93" s="113" t="s">
        <v>805</v>
      </c>
      <c r="AS93" s="113" t="s">
        <v>805</v>
      </c>
      <c r="AT93" s="113" t="s">
        <v>805</v>
      </c>
      <c r="AU93" s="113" t="s">
        <v>805</v>
      </c>
      <c r="AV93" s="113" t="s">
        <v>805</v>
      </c>
      <c r="AW93" s="113" t="s">
        <v>805</v>
      </c>
      <c r="AX93" s="113" t="s">
        <v>805</v>
      </c>
      <c r="AY93" s="113" t="s">
        <v>805</v>
      </c>
      <c r="AZ93" s="113" t="s">
        <v>805</v>
      </c>
      <c r="BA93" s="113" t="s">
        <v>805</v>
      </c>
      <c r="BB93" s="113" t="s">
        <v>805</v>
      </c>
      <c r="BC93" s="113" t="s">
        <v>805</v>
      </c>
      <c r="BD93" s="113" t="s">
        <v>805</v>
      </c>
      <c r="BE93" s="113" t="s">
        <v>805</v>
      </c>
      <c r="BF93" s="113" t="s">
        <v>805</v>
      </c>
      <c r="BG93" s="113" t="s">
        <v>805</v>
      </c>
      <c r="BH93" s="113" t="s">
        <v>805</v>
      </c>
      <c r="BI93" s="113" t="s">
        <v>805</v>
      </c>
      <c r="BJ93" s="113" t="s">
        <v>805</v>
      </c>
      <c r="BK93" s="113" t="s">
        <v>805</v>
      </c>
      <c r="BL93" s="113" t="s">
        <v>805</v>
      </c>
      <c r="BM93" s="113" t="s">
        <v>805</v>
      </c>
      <c r="BN93" s="113" t="s">
        <v>805</v>
      </c>
      <c r="BO93" s="113" t="s">
        <v>805</v>
      </c>
      <c r="BP93" s="113" t="s">
        <v>805</v>
      </c>
      <c r="BQ93" s="113" t="s">
        <v>805</v>
      </c>
      <c r="BR93" s="113" t="s">
        <v>805</v>
      </c>
      <c r="BS93" s="113" t="s">
        <v>805</v>
      </c>
      <c r="BT93" s="113" t="s">
        <v>805</v>
      </c>
      <c r="BU93" s="113" t="s">
        <v>805</v>
      </c>
      <c r="BV93" s="113" t="s">
        <v>805</v>
      </c>
      <c r="BW93" s="113" t="s">
        <v>805</v>
      </c>
      <c r="BX93" s="113" t="s">
        <v>805</v>
      </c>
      <c r="BY93" s="113" t="s">
        <v>805</v>
      </c>
      <c r="BZ93" s="113" t="s">
        <v>805</v>
      </c>
      <c r="CA93" s="113" t="s">
        <v>805</v>
      </c>
      <c r="CB93" s="113" t="s">
        <v>805</v>
      </c>
      <c r="CC93" s="113" t="s">
        <v>805</v>
      </c>
      <c r="CD93" s="113" t="s">
        <v>805</v>
      </c>
      <c r="CE93" s="113" t="s">
        <v>805</v>
      </c>
      <c r="CF93" s="113" t="s">
        <v>805</v>
      </c>
      <c r="CG93" s="113" t="s">
        <v>805</v>
      </c>
      <c r="CH93" s="113" t="s">
        <v>805</v>
      </c>
      <c r="CI93" s="113" t="s">
        <v>805</v>
      </c>
      <c r="CJ93" s="113" t="s">
        <v>805</v>
      </c>
      <c r="CK93" s="113" t="s">
        <v>805</v>
      </c>
      <c r="CL93" s="113" t="s">
        <v>805</v>
      </c>
      <c r="CM93" s="113" t="s">
        <v>805</v>
      </c>
      <c r="CN93" s="113" t="s">
        <v>805</v>
      </c>
      <c r="CO93" s="113" t="s">
        <v>805</v>
      </c>
      <c r="CP93" s="113" t="s">
        <v>805</v>
      </c>
      <c r="CQ93" s="113" t="s">
        <v>805</v>
      </c>
      <c r="CR93" s="113" t="s">
        <v>805</v>
      </c>
      <c r="CS93" s="113" t="s">
        <v>805</v>
      </c>
      <c r="CT93" s="113" t="s">
        <v>805</v>
      </c>
      <c r="CU93" s="113" t="s">
        <v>805</v>
      </c>
      <c r="CV93" s="113" t="s">
        <v>805</v>
      </c>
      <c r="CW93" s="113" t="s">
        <v>805</v>
      </c>
      <c r="CX93" s="113" t="s">
        <v>805</v>
      </c>
      <c r="CY93" s="113" t="s">
        <v>805</v>
      </c>
      <c r="CZ93" s="113" t="s">
        <v>805</v>
      </c>
      <c r="DA93" s="113" t="s">
        <v>805</v>
      </c>
      <c r="DB93" s="113" t="s">
        <v>805</v>
      </c>
      <c r="DC93" s="113" t="s">
        <v>805</v>
      </c>
      <c r="DD93" s="113" t="s">
        <v>805</v>
      </c>
      <c r="DE93" s="113" t="s">
        <v>805</v>
      </c>
      <c r="DF93" s="113" t="s">
        <v>805</v>
      </c>
      <c r="DG93" s="28">
        <f>'KPI Count-SHARE'!J84</f>
        <v>0</v>
      </c>
      <c r="DH93" s="114"/>
      <c r="DI93" s="114"/>
      <c r="DJ93" s="114"/>
      <c r="DK93" s="28">
        <f>'KPI Count-SHARE'!K84</f>
        <v>0</v>
      </c>
      <c r="DL93" s="118"/>
      <c r="DM93" s="118"/>
      <c r="DN93" s="118"/>
      <c r="DO93" s="28">
        <f>'KPI Count-SHARE'!L84</f>
        <v>0</v>
      </c>
      <c r="DP93" s="118"/>
      <c r="DQ93" s="118"/>
      <c r="DR93" s="118"/>
      <c r="DS93" s="28">
        <f>'KPI Count-SHARE'!M84</f>
        <v>0</v>
      </c>
      <c r="DT93" s="118"/>
      <c r="DU93" s="118"/>
      <c r="DV93" s="118"/>
      <c r="DW93" t="str">
        <f t="shared" si="460"/>
        <v>USD '000 per account</v>
      </c>
      <c r="DX93" s="39" t="str">
        <f t="shared" si="425"/>
        <v>-</v>
      </c>
      <c r="DY93" s="39" t="str">
        <f t="shared" si="426"/>
        <v>-</v>
      </c>
      <c r="DZ93" s="39" t="str">
        <f t="shared" si="427"/>
        <v>-</v>
      </c>
      <c r="EA93" s="39" t="str">
        <f t="shared" si="428"/>
        <v>-</v>
      </c>
      <c r="EB93" s="39" t="str">
        <f t="shared" si="429"/>
        <v>-</v>
      </c>
      <c r="EC93" s="39" t="str">
        <f t="shared" si="430"/>
        <v>-</v>
      </c>
      <c r="ED93" s="39" t="str">
        <f t="shared" si="431"/>
        <v>-</v>
      </c>
      <c r="EE93" s="39" t="str">
        <f t="shared" si="432"/>
        <v>-</v>
      </c>
      <c r="EF93" s="39" t="str">
        <f t="shared" si="433"/>
        <v>-</v>
      </c>
      <c r="EG93" s="39" t="str">
        <f t="shared" si="434"/>
        <v>-</v>
      </c>
      <c r="EH93" s="39" t="str">
        <f t="shared" si="435"/>
        <v>-</v>
      </c>
      <c r="EI93" s="39" t="str">
        <f t="shared" si="448"/>
        <v>-</v>
      </c>
      <c r="EJ93" s="39" t="str">
        <f t="shared" si="449"/>
        <v>-</v>
      </c>
      <c r="EK93" s="39" t="str">
        <f t="shared" si="450"/>
        <v>-</v>
      </c>
      <c r="EL93" s="39" t="str">
        <f t="shared" si="451"/>
        <v>-</v>
      </c>
      <c r="EM93" s="39" t="str">
        <f t="shared" si="452"/>
        <v>-</v>
      </c>
      <c r="EN93" s="39" t="str">
        <f t="shared" si="453"/>
        <v>-</v>
      </c>
      <c r="EO93" s="39" t="str">
        <f t="shared" si="454"/>
        <v>-</v>
      </c>
      <c r="EP93" s="39" t="str">
        <f t="shared" si="455"/>
        <v>-</v>
      </c>
      <c r="EQ93" s="39" t="str">
        <f t="shared" si="456"/>
        <v>-</v>
      </c>
      <c r="ER93" s="39" t="str">
        <f t="shared" si="457"/>
        <v>-</v>
      </c>
      <c r="ES93" s="39" t="str">
        <f t="shared" si="458"/>
        <v>-</v>
      </c>
      <c r="ET93" s="39" t="str">
        <f t="shared" si="459"/>
        <v>-</v>
      </c>
      <c r="EU93" s="39" t="str">
        <f t="shared" si="319"/>
        <v>-</v>
      </c>
      <c r="EV93" s="39" t="str">
        <f t="shared" si="320"/>
        <v>-</v>
      </c>
      <c r="EW93" s="39" t="str">
        <f t="shared" si="321"/>
        <v>-</v>
      </c>
      <c r="EX93" s="39" t="str">
        <f t="shared" si="322"/>
        <v>-</v>
      </c>
      <c r="EY93" s="39" t="str">
        <f t="shared" si="323"/>
        <v>-</v>
      </c>
      <c r="EZ93" s="39" t="str">
        <f t="shared" si="324"/>
        <v>-</v>
      </c>
      <c r="FA93" s="39" t="str">
        <f t="shared" si="325"/>
        <v>-</v>
      </c>
      <c r="FB93" s="39" t="str">
        <f t="shared" si="326"/>
        <v>-</v>
      </c>
      <c r="FC93" s="39" t="str">
        <f t="shared" si="327"/>
        <v>-</v>
      </c>
      <c r="FD93" s="39" t="str">
        <f t="shared" si="328"/>
        <v>-</v>
      </c>
      <c r="FE93" s="39" t="str">
        <f t="shared" si="329"/>
        <v>-</v>
      </c>
      <c r="FF93" s="39" t="str">
        <f t="shared" si="330"/>
        <v>-</v>
      </c>
      <c r="FG93" s="39" t="str">
        <f t="shared" si="331"/>
        <v>-</v>
      </c>
      <c r="FH93" s="39" t="str">
        <f t="shared" si="332"/>
        <v>-</v>
      </c>
      <c r="FI93" s="39" t="str">
        <f t="shared" si="333"/>
        <v>-</v>
      </c>
      <c r="FJ93" s="39" t="str">
        <f t="shared" si="334"/>
        <v>-</v>
      </c>
      <c r="FK93" s="39" t="str">
        <f t="shared" si="335"/>
        <v>-</v>
      </c>
      <c r="FL93" s="39" t="str">
        <f t="shared" si="336"/>
        <v>-</v>
      </c>
      <c r="FM93" s="39" t="str">
        <f t="shared" si="337"/>
        <v>-</v>
      </c>
      <c r="FN93" s="39" t="str">
        <f t="shared" si="338"/>
        <v>-</v>
      </c>
      <c r="FO93" s="39" t="str">
        <f t="shared" si="339"/>
        <v>-</v>
      </c>
      <c r="FP93" s="39" t="str">
        <f t="shared" si="340"/>
        <v>-</v>
      </c>
      <c r="FQ93" s="39" t="str">
        <f t="shared" si="341"/>
        <v>-</v>
      </c>
      <c r="FR93" s="39" t="str">
        <f t="shared" si="342"/>
        <v>-</v>
      </c>
      <c r="FS93" s="39" t="str">
        <f t="shared" si="343"/>
        <v>-</v>
      </c>
      <c r="FT93" s="39" t="str">
        <f t="shared" si="344"/>
        <v>-</v>
      </c>
      <c r="FU93" s="39" t="str">
        <f t="shared" si="345"/>
        <v>-</v>
      </c>
      <c r="FV93" s="39" t="str">
        <f t="shared" si="346"/>
        <v>-</v>
      </c>
      <c r="FW93" s="39" t="str">
        <f t="shared" si="347"/>
        <v>-</v>
      </c>
      <c r="FX93" s="39" t="str">
        <f t="shared" si="348"/>
        <v>-</v>
      </c>
      <c r="FY93" s="39" t="str">
        <f t="shared" si="349"/>
        <v>-</v>
      </c>
      <c r="FZ93" s="39" t="str">
        <f t="shared" si="350"/>
        <v>-</v>
      </c>
      <c r="GA93" s="39" t="str">
        <f t="shared" si="351"/>
        <v>-</v>
      </c>
      <c r="GB93" s="39" t="str">
        <f t="shared" si="352"/>
        <v>-</v>
      </c>
      <c r="GC93" s="39" t="str">
        <f t="shared" si="353"/>
        <v>-</v>
      </c>
      <c r="GD93" s="39" t="str">
        <f t="shared" si="354"/>
        <v>-</v>
      </c>
      <c r="GE93" s="39" t="str">
        <f t="shared" si="355"/>
        <v>-</v>
      </c>
      <c r="GF93" s="39" t="str">
        <f t="shared" si="356"/>
        <v>-</v>
      </c>
      <c r="GG93" s="39" t="str">
        <f t="shared" si="357"/>
        <v>-</v>
      </c>
      <c r="GH93" s="39" t="str">
        <f t="shared" si="358"/>
        <v>-</v>
      </c>
      <c r="GI93" s="39" t="str">
        <f t="shared" si="359"/>
        <v>-</v>
      </c>
      <c r="GJ93" s="39" t="str">
        <f t="shared" si="360"/>
        <v>-</v>
      </c>
      <c r="GK93" s="39" t="str">
        <f t="shared" si="361"/>
        <v>-</v>
      </c>
      <c r="GL93" s="39" t="str">
        <f t="shared" si="362"/>
        <v>-</v>
      </c>
      <c r="GM93" s="39" t="str">
        <f t="shared" si="363"/>
        <v>-</v>
      </c>
      <c r="GN93" s="39" t="str">
        <f t="shared" si="364"/>
        <v>-</v>
      </c>
      <c r="GO93" s="39" t="str">
        <f t="shared" si="365"/>
        <v>-</v>
      </c>
      <c r="GP93" s="39" t="str">
        <f t="shared" si="366"/>
        <v>-</v>
      </c>
      <c r="GQ93" s="39" t="str">
        <f t="shared" si="367"/>
        <v>-</v>
      </c>
      <c r="GR93" s="39" t="str">
        <f t="shared" si="368"/>
        <v>-</v>
      </c>
      <c r="GS93" s="39" t="str">
        <f t="shared" si="369"/>
        <v>-</v>
      </c>
      <c r="GT93" s="39" t="str">
        <f t="shared" si="370"/>
        <v>-</v>
      </c>
      <c r="GU93" s="39" t="str">
        <f t="shared" si="371"/>
        <v>-</v>
      </c>
      <c r="GV93" s="39" t="str">
        <f t="shared" si="372"/>
        <v>-</v>
      </c>
      <c r="GW93" s="39" t="str">
        <f t="shared" si="373"/>
        <v>-</v>
      </c>
      <c r="GX93" s="39" t="str">
        <f t="shared" si="374"/>
        <v>-</v>
      </c>
      <c r="GY93" s="39" t="str">
        <f t="shared" si="375"/>
        <v>-</v>
      </c>
      <c r="GZ93" s="39" t="str">
        <f t="shared" si="376"/>
        <v>-</v>
      </c>
      <c r="HA93" s="39" t="str">
        <f t="shared" si="377"/>
        <v>-</v>
      </c>
      <c r="HB93" s="39" t="str">
        <f t="shared" si="378"/>
        <v>-</v>
      </c>
      <c r="HC93" s="39" t="str">
        <f t="shared" si="379"/>
        <v>-</v>
      </c>
      <c r="HD93" s="39" t="str">
        <f t="shared" si="380"/>
        <v>-</v>
      </c>
      <c r="HE93" s="39" t="str">
        <f t="shared" si="381"/>
        <v>-</v>
      </c>
      <c r="HF93" s="39" t="str">
        <f t="shared" si="382"/>
        <v>-</v>
      </c>
      <c r="HG93" s="39" t="str">
        <f t="shared" si="383"/>
        <v>-</v>
      </c>
      <c r="HH93" s="39" t="str">
        <f t="shared" si="384"/>
        <v>-</v>
      </c>
      <c r="HI93" s="39" t="str">
        <f t="shared" si="385"/>
        <v>-</v>
      </c>
      <c r="HJ93" s="39" t="str">
        <f t="shared" si="386"/>
        <v>-</v>
      </c>
      <c r="HK93" s="39" t="str">
        <f t="shared" si="387"/>
        <v>-</v>
      </c>
      <c r="HL93" s="39" t="str">
        <f t="shared" si="388"/>
        <v>-</v>
      </c>
      <c r="HM93" s="39" t="str">
        <f t="shared" si="389"/>
        <v>-</v>
      </c>
      <c r="HN93" s="39" t="str">
        <f t="shared" si="390"/>
        <v>-</v>
      </c>
      <c r="HO93" s="39" t="str">
        <f t="shared" si="391"/>
        <v>-</v>
      </c>
      <c r="HP93" s="39" t="str">
        <f t="shared" si="392"/>
        <v>-</v>
      </c>
      <c r="HQ93" s="39" t="str">
        <f t="shared" si="393"/>
        <v>-</v>
      </c>
      <c r="HR93" s="39" t="str">
        <f t="shared" si="394"/>
        <v>-</v>
      </c>
      <c r="HS93" s="39" t="str">
        <f t="shared" si="395"/>
        <v>-</v>
      </c>
      <c r="HT93" s="39" t="str">
        <f t="shared" si="395"/>
        <v>-</v>
      </c>
      <c r="HU93" s="43" t="str">
        <f t="shared" si="445"/>
        <v>-</v>
      </c>
      <c r="HV93" s="44" t="str">
        <f t="shared" si="446"/>
        <v/>
      </c>
      <c r="HW93" s="45" t="str">
        <f t="shared" si="447"/>
        <v/>
      </c>
      <c r="HX93" s="102"/>
      <c r="HY93" s="102"/>
      <c r="HZ93" s="102"/>
      <c r="IA93" s="101"/>
      <c r="IB93" s="102"/>
      <c r="IC93" s="103"/>
      <c r="ID93" s="101"/>
      <c r="IE93" s="102"/>
      <c r="IF93" s="103"/>
      <c r="IH93" s="66">
        <v>93</v>
      </c>
      <c r="II93" s="66" t="e">
        <f t="shared" ca="1" si="436"/>
        <v>#N/A</v>
      </c>
      <c r="IJ93" s="66" t="e">
        <f t="shared" ca="1" si="437"/>
        <v>#N/A</v>
      </c>
      <c r="IK93" s="66" t="e">
        <f t="shared" ca="1" si="438"/>
        <v>#N/A</v>
      </c>
      <c r="IL93" s="66" t="e">
        <f t="shared" ca="1" si="439"/>
        <v>#N/A</v>
      </c>
      <c r="IN93" s="74" t="e">
        <f t="shared" ca="1" si="440"/>
        <v>#N/A</v>
      </c>
      <c r="IO93" s="75" t="e">
        <f t="shared" ca="1" si="441"/>
        <v>#N/A</v>
      </c>
      <c r="IP93" s="75" t="e">
        <f t="shared" ca="1" si="442"/>
        <v>#N/A</v>
      </c>
      <c r="IQ93" s="74" t="e">
        <f t="shared" ca="1" si="443"/>
        <v>#N/A</v>
      </c>
      <c r="IR93" s="74" t="e">
        <f t="shared" ca="1" si="444"/>
        <v>#N/A</v>
      </c>
    </row>
    <row r="94" spans="1:252" x14ac:dyDescent="0.35">
      <c r="A94" s="28">
        <v>0</v>
      </c>
      <c r="B94" s="28">
        <v>0</v>
      </c>
      <c r="C94" s="28">
        <v>1</v>
      </c>
      <c r="D94" s="1"/>
      <c r="E94" s="3"/>
      <c r="F94" t="s">
        <v>359</v>
      </c>
      <c r="G94" s="5" t="s">
        <v>540</v>
      </c>
      <c r="H94" t="s">
        <v>539</v>
      </c>
      <c r="I94" t="s">
        <v>536</v>
      </c>
      <c r="J94" s="276" t="s">
        <v>805</v>
      </c>
      <c r="K94" s="113" t="s">
        <v>805</v>
      </c>
      <c r="L94" s="113" t="s">
        <v>805</v>
      </c>
      <c r="M94" s="113" t="s">
        <v>805</v>
      </c>
      <c r="N94" s="113" t="s">
        <v>805</v>
      </c>
      <c r="O94" s="113" t="s">
        <v>805</v>
      </c>
      <c r="P94" s="113" t="s">
        <v>805</v>
      </c>
      <c r="Q94" s="113" t="s">
        <v>805</v>
      </c>
      <c r="R94" s="113" t="s">
        <v>805</v>
      </c>
      <c r="S94" s="113" t="s">
        <v>805</v>
      </c>
      <c r="T94" s="113" t="s">
        <v>805</v>
      </c>
      <c r="U94" s="113" t="s">
        <v>805</v>
      </c>
      <c r="V94" s="113" t="s">
        <v>805</v>
      </c>
      <c r="W94" s="113" t="s">
        <v>805</v>
      </c>
      <c r="X94" s="113" t="s">
        <v>805</v>
      </c>
      <c r="Y94" s="113" t="s">
        <v>805</v>
      </c>
      <c r="Z94" s="113" t="s">
        <v>805</v>
      </c>
      <c r="AA94" s="113" t="s">
        <v>805</v>
      </c>
      <c r="AB94" s="113" t="s">
        <v>805</v>
      </c>
      <c r="AC94" s="113" t="s">
        <v>805</v>
      </c>
      <c r="AD94" s="113" t="s">
        <v>805</v>
      </c>
      <c r="AE94" s="113" t="s">
        <v>805</v>
      </c>
      <c r="AF94" s="113" t="s">
        <v>805</v>
      </c>
      <c r="AG94" s="113" t="s">
        <v>805</v>
      </c>
      <c r="AH94" s="113" t="s">
        <v>805</v>
      </c>
      <c r="AI94" s="113" t="s">
        <v>805</v>
      </c>
      <c r="AJ94" s="113" t="s">
        <v>805</v>
      </c>
      <c r="AK94" s="113" t="s">
        <v>805</v>
      </c>
      <c r="AL94" s="113" t="s">
        <v>805</v>
      </c>
      <c r="AM94" s="113" t="s">
        <v>805</v>
      </c>
      <c r="AN94" s="113" t="s">
        <v>805</v>
      </c>
      <c r="AO94" s="113" t="s">
        <v>805</v>
      </c>
      <c r="AP94" s="113" t="s">
        <v>805</v>
      </c>
      <c r="AQ94" s="113" t="s">
        <v>805</v>
      </c>
      <c r="AR94" s="113" t="s">
        <v>805</v>
      </c>
      <c r="AS94" s="113" t="s">
        <v>805</v>
      </c>
      <c r="AT94" s="113" t="s">
        <v>805</v>
      </c>
      <c r="AU94" s="113" t="s">
        <v>805</v>
      </c>
      <c r="AV94" s="113" t="s">
        <v>805</v>
      </c>
      <c r="AW94" s="113" t="s">
        <v>805</v>
      </c>
      <c r="AX94" s="113" t="s">
        <v>805</v>
      </c>
      <c r="AY94" s="113" t="s">
        <v>805</v>
      </c>
      <c r="AZ94" s="113" t="s">
        <v>805</v>
      </c>
      <c r="BA94" s="113" t="s">
        <v>805</v>
      </c>
      <c r="BB94" s="113" t="s">
        <v>805</v>
      </c>
      <c r="BC94" s="113" t="s">
        <v>805</v>
      </c>
      <c r="BD94" s="113" t="s">
        <v>805</v>
      </c>
      <c r="BE94" s="113" t="s">
        <v>805</v>
      </c>
      <c r="BF94" s="113" t="s">
        <v>805</v>
      </c>
      <c r="BG94" s="113" t="s">
        <v>805</v>
      </c>
      <c r="BH94" s="113" t="s">
        <v>805</v>
      </c>
      <c r="BI94" s="113" t="s">
        <v>805</v>
      </c>
      <c r="BJ94" s="113" t="s">
        <v>805</v>
      </c>
      <c r="BK94" s="113" t="s">
        <v>805</v>
      </c>
      <c r="BL94" s="113" t="s">
        <v>805</v>
      </c>
      <c r="BM94" s="113" t="s">
        <v>805</v>
      </c>
      <c r="BN94" s="113" t="s">
        <v>805</v>
      </c>
      <c r="BO94" s="113" t="s">
        <v>805</v>
      </c>
      <c r="BP94" s="113" t="s">
        <v>805</v>
      </c>
      <c r="BQ94" s="113" t="s">
        <v>805</v>
      </c>
      <c r="BR94" s="113" t="s">
        <v>805</v>
      </c>
      <c r="BS94" s="113" t="s">
        <v>805</v>
      </c>
      <c r="BT94" s="113" t="s">
        <v>805</v>
      </c>
      <c r="BU94" s="113" t="s">
        <v>805</v>
      </c>
      <c r="BV94" s="113" t="s">
        <v>805</v>
      </c>
      <c r="BW94" s="113" t="s">
        <v>805</v>
      </c>
      <c r="BX94" s="113" t="s">
        <v>805</v>
      </c>
      <c r="BY94" s="113" t="s">
        <v>805</v>
      </c>
      <c r="BZ94" s="113" t="s">
        <v>805</v>
      </c>
      <c r="CA94" s="113" t="s">
        <v>805</v>
      </c>
      <c r="CB94" s="113" t="s">
        <v>805</v>
      </c>
      <c r="CC94" s="113" t="s">
        <v>805</v>
      </c>
      <c r="CD94" s="113" t="s">
        <v>805</v>
      </c>
      <c r="CE94" s="113" t="s">
        <v>805</v>
      </c>
      <c r="CF94" s="113" t="s">
        <v>805</v>
      </c>
      <c r="CG94" s="113" t="s">
        <v>805</v>
      </c>
      <c r="CH94" s="113" t="s">
        <v>805</v>
      </c>
      <c r="CI94" s="113" t="s">
        <v>805</v>
      </c>
      <c r="CJ94" s="113" t="s">
        <v>805</v>
      </c>
      <c r="CK94" s="113" t="s">
        <v>805</v>
      </c>
      <c r="CL94" s="113" t="s">
        <v>805</v>
      </c>
      <c r="CM94" s="113" t="s">
        <v>805</v>
      </c>
      <c r="CN94" s="113" t="s">
        <v>805</v>
      </c>
      <c r="CO94" s="113" t="s">
        <v>805</v>
      </c>
      <c r="CP94" s="113" t="s">
        <v>805</v>
      </c>
      <c r="CQ94" s="113" t="s">
        <v>805</v>
      </c>
      <c r="CR94" s="113" t="s">
        <v>805</v>
      </c>
      <c r="CS94" s="113" t="s">
        <v>805</v>
      </c>
      <c r="CT94" s="113" t="s">
        <v>805</v>
      </c>
      <c r="CU94" s="113" t="s">
        <v>805</v>
      </c>
      <c r="CV94" s="113" t="s">
        <v>805</v>
      </c>
      <c r="CW94" s="113" t="s">
        <v>805</v>
      </c>
      <c r="CX94" s="113" t="s">
        <v>805</v>
      </c>
      <c r="CY94" s="113" t="s">
        <v>805</v>
      </c>
      <c r="CZ94" s="113" t="s">
        <v>805</v>
      </c>
      <c r="DA94" s="113" t="s">
        <v>805</v>
      </c>
      <c r="DB94" s="113" t="s">
        <v>805</v>
      </c>
      <c r="DC94" s="113" t="s">
        <v>805</v>
      </c>
      <c r="DD94" s="113" t="s">
        <v>805</v>
      </c>
      <c r="DE94" s="113" t="s">
        <v>805</v>
      </c>
      <c r="DF94" s="113" t="s">
        <v>805</v>
      </c>
      <c r="DG94" s="28" t="e">
        <f>'KPI Count-SHARE'!#REF!</f>
        <v>#REF!</v>
      </c>
      <c r="DH94" s="114"/>
      <c r="DI94" s="114"/>
      <c r="DJ94" s="114"/>
      <c r="DK94" s="28" t="e">
        <f>'KPI Count-SHARE'!#REF!</f>
        <v>#REF!</v>
      </c>
      <c r="DL94" s="118"/>
      <c r="DM94" s="118"/>
      <c r="DN94" s="118"/>
      <c r="DO94" s="28" t="e">
        <f>'KPI Count-SHARE'!#REF!</f>
        <v>#REF!</v>
      </c>
      <c r="DP94" s="118"/>
      <c r="DQ94" s="118"/>
      <c r="DR94" s="118"/>
      <c r="DS94" s="28" t="e">
        <f>'KPI Count-SHARE'!#REF!</f>
        <v>#REF!</v>
      </c>
      <c r="DT94" s="118"/>
      <c r="DU94" s="118"/>
      <c r="DV94" s="118"/>
      <c r="DW94" t="str">
        <f t="shared" si="460"/>
        <v>USD '000 per account</v>
      </c>
      <c r="DX94" s="39" t="str">
        <f t="shared" si="425"/>
        <v>-</v>
      </c>
      <c r="DY94" s="39" t="str">
        <f t="shared" si="426"/>
        <v>-</v>
      </c>
      <c r="DZ94" s="39" t="str">
        <f t="shared" si="427"/>
        <v>-</v>
      </c>
      <c r="EA94" s="39" t="str">
        <f t="shared" si="428"/>
        <v>-</v>
      </c>
      <c r="EB94" s="39" t="str">
        <f t="shared" si="429"/>
        <v>-</v>
      </c>
      <c r="EC94" s="39" t="str">
        <f t="shared" si="430"/>
        <v>-</v>
      </c>
      <c r="ED94" s="39" t="str">
        <f t="shared" si="431"/>
        <v>-</v>
      </c>
      <c r="EE94" s="39" t="str">
        <f t="shared" si="432"/>
        <v>-</v>
      </c>
      <c r="EF94" s="39" t="str">
        <f t="shared" si="433"/>
        <v>-</v>
      </c>
      <c r="EG94" s="39" t="str">
        <f t="shared" si="434"/>
        <v>-</v>
      </c>
      <c r="EH94" s="39" t="str">
        <f t="shared" si="435"/>
        <v>-</v>
      </c>
      <c r="EI94" s="39" t="str">
        <f t="shared" si="448"/>
        <v>-</v>
      </c>
      <c r="EJ94" s="39" t="str">
        <f t="shared" si="449"/>
        <v>-</v>
      </c>
      <c r="EK94" s="39" t="str">
        <f t="shared" si="450"/>
        <v>-</v>
      </c>
      <c r="EL94" s="39" t="str">
        <f t="shared" si="451"/>
        <v>-</v>
      </c>
      <c r="EM94" s="39" t="str">
        <f t="shared" si="452"/>
        <v>-</v>
      </c>
      <c r="EN94" s="39" t="str">
        <f t="shared" si="453"/>
        <v>-</v>
      </c>
      <c r="EO94" s="39" t="str">
        <f t="shared" si="454"/>
        <v>-</v>
      </c>
      <c r="EP94" s="39" t="str">
        <f t="shared" si="455"/>
        <v>-</v>
      </c>
      <c r="EQ94" s="39" t="str">
        <f t="shared" si="456"/>
        <v>-</v>
      </c>
      <c r="ER94" s="39" t="str">
        <f t="shared" si="457"/>
        <v>-</v>
      </c>
      <c r="ES94" s="39" t="str">
        <f t="shared" si="458"/>
        <v>-</v>
      </c>
      <c r="ET94" s="39" t="str">
        <f t="shared" si="459"/>
        <v>-</v>
      </c>
      <c r="EU94" s="39" t="str">
        <f t="shared" si="319"/>
        <v>-</v>
      </c>
      <c r="EV94" s="39" t="str">
        <f t="shared" si="320"/>
        <v>-</v>
      </c>
      <c r="EW94" s="39" t="str">
        <f t="shared" si="321"/>
        <v>-</v>
      </c>
      <c r="EX94" s="39" t="str">
        <f t="shared" si="322"/>
        <v>-</v>
      </c>
      <c r="EY94" s="39" t="str">
        <f t="shared" si="323"/>
        <v>-</v>
      </c>
      <c r="EZ94" s="39" t="str">
        <f t="shared" si="324"/>
        <v>-</v>
      </c>
      <c r="FA94" s="39" t="str">
        <f t="shared" si="325"/>
        <v>-</v>
      </c>
      <c r="FB94" s="39" t="str">
        <f t="shared" si="326"/>
        <v>-</v>
      </c>
      <c r="FC94" s="39" t="str">
        <f t="shared" si="327"/>
        <v>-</v>
      </c>
      <c r="FD94" s="39" t="str">
        <f t="shared" si="328"/>
        <v>-</v>
      </c>
      <c r="FE94" s="39" t="str">
        <f t="shared" si="329"/>
        <v>-</v>
      </c>
      <c r="FF94" s="39" t="str">
        <f t="shared" si="330"/>
        <v>-</v>
      </c>
      <c r="FG94" s="39" t="str">
        <f t="shared" si="331"/>
        <v>-</v>
      </c>
      <c r="FH94" s="39" t="str">
        <f t="shared" si="332"/>
        <v>-</v>
      </c>
      <c r="FI94" s="39" t="str">
        <f t="shared" si="333"/>
        <v>-</v>
      </c>
      <c r="FJ94" s="39" t="str">
        <f t="shared" si="334"/>
        <v>-</v>
      </c>
      <c r="FK94" s="39" t="str">
        <f t="shared" si="335"/>
        <v>-</v>
      </c>
      <c r="FL94" s="39" t="str">
        <f t="shared" si="336"/>
        <v>-</v>
      </c>
      <c r="FM94" s="39" t="str">
        <f t="shared" si="337"/>
        <v>-</v>
      </c>
      <c r="FN94" s="39" t="str">
        <f t="shared" si="338"/>
        <v>-</v>
      </c>
      <c r="FO94" s="39" t="str">
        <f t="shared" si="339"/>
        <v>-</v>
      </c>
      <c r="FP94" s="39" t="str">
        <f t="shared" si="340"/>
        <v>-</v>
      </c>
      <c r="FQ94" s="39" t="str">
        <f t="shared" si="341"/>
        <v>-</v>
      </c>
      <c r="FR94" s="39" t="str">
        <f t="shared" si="342"/>
        <v>-</v>
      </c>
      <c r="FS94" s="39" t="str">
        <f t="shared" si="343"/>
        <v>-</v>
      </c>
      <c r="FT94" s="39" t="str">
        <f t="shared" si="344"/>
        <v>-</v>
      </c>
      <c r="FU94" s="39" t="str">
        <f t="shared" si="345"/>
        <v>-</v>
      </c>
      <c r="FV94" s="39" t="str">
        <f t="shared" si="346"/>
        <v>-</v>
      </c>
      <c r="FW94" s="39" t="str">
        <f t="shared" si="347"/>
        <v>-</v>
      </c>
      <c r="FX94" s="39" t="str">
        <f t="shared" si="348"/>
        <v>-</v>
      </c>
      <c r="FY94" s="39" t="str">
        <f t="shared" si="349"/>
        <v>-</v>
      </c>
      <c r="FZ94" s="39" t="str">
        <f t="shared" si="350"/>
        <v>-</v>
      </c>
      <c r="GA94" s="39" t="str">
        <f t="shared" si="351"/>
        <v>-</v>
      </c>
      <c r="GB94" s="39" t="str">
        <f t="shared" si="352"/>
        <v>-</v>
      </c>
      <c r="GC94" s="39" t="str">
        <f t="shared" si="353"/>
        <v>-</v>
      </c>
      <c r="GD94" s="39" t="str">
        <f t="shared" si="354"/>
        <v>-</v>
      </c>
      <c r="GE94" s="39" t="str">
        <f t="shared" si="355"/>
        <v>-</v>
      </c>
      <c r="GF94" s="39" t="str">
        <f t="shared" si="356"/>
        <v>-</v>
      </c>
      <c r="GG94" s="39" t="str">
        <f t="shared" si="357"/>
        <v>-</v>
      </c>
      <c r="GH94" s="39" t="str">
        <f t="shared" si="358"/>
        <v>-</v>
      </c>
      <c r="GI94" s="39" t="str">
        <f t="shared" si="359"/>
        <v>-</v>
      </c>
      <c r="GJ94" s="39" t="str">
        <f t="shared" si="360"/>
        <v>-</v>
      </c>
      <c r="GK94" s="39" t="str">
        <f t="shared" si="361"/>
        <v>-</v>
      </c>
      <c r="GL94" s="39" t="str">
        <f t="shared" si="362"/>
        <v>-</v>
      </c>
      <c r="GM94" s="39" t="str">
        <f t="shared" si="363"/>
        <v>-</v>
      </c>
      <c r="GN94" s="39" t="str">
        <f t="shared" si="364"/>
        <v>-</v>
      </c>
      <c r="GO94" s="39" t="str">
        <f t="shared" si="365"/>
        <v>-</v>
      </c>
      <c r="GP94" s="39" t="str">
        <f t="shared" si="366"/>
        <v>-</v>
      </c>
      <c r="GQ94" s="39" t="str">
        <f t="shared" si="367"/>
        <v>-</v>
      </c>
      <c r="GR94" s="39" t="str">
        <f t="shared" si="368"/>
        <v>-</v>
      </c>
      <c r="GS94" s="39" t="str">
        <f t="shared" si="369"/>
        <v>-</v>
      </c>
      <c r="GT94" s="39" t="str">
        <f t="shared" si="370"/>
        <v>-</v>
      </c>
      <c r="GU94" s="39" t="str">
        <f t="shared" si="371"/>
        <v>-</v>
      </c>
      <c r="GV94" s="39" t="str">
        <f t="shared" si="372"/>
        <v>-</v>
      </c>
      <c r="GW94" s="39" t="str">
        <f t="shared" si="373"/>
        <v>-</v>
      </c>
      <c r="GX94" s="39" t="str">
        <f t="shared" si="374"/>
        <v>-</v>
      </c>
      <c r="GY94" s="39" t="str">
        <f t="shared" si="375"/>
        <v>-</v>
      </c>
      <c r="GZ94" s="39" t="str">
        <f t="shared" si="376"/>
        <v>-</v>
      </c>
      <c r="HA94" s="39" t="str">
        <f t="shared" si="377"/>
        <v>-</v>
      </c>
      <c r="HB94" s="39" t="str">
        <f t="shared" si="378"/>
        <v>-</v>
      </c>
      <c r="HC94" s="39" t="str">
        <f t="shared" si="379"/>
        <v>-</v>
      </c>
      <c r="HD94" s="39" t="str">
        <f t="shared" si="380"/>
        <v>-</v>
      </c>
      <c r="HE94" s="39" t="str">
        <f t="shared" si="381"/>
        <v>-</v>
      </c>
      <c r="HF94" s="39" t="str">
        <f t="shared" si="382"/>
        <v>-</v>
      </c>
      <c r="HG94" s="39" t="str">
        <f t="shared" si="383"/>
        <v>-</v>
      </c>
      <c r="HH94" s="39" t="str">
        <f t="shared" si="384"/>
        <v>-</v>
      </c>
      <c r="HI94" s="39" t="str">
        <f t="shared" si="385"/>
        <v>-</v>
      </c>
      <c r="HJ94" s="39" t="str">
        <f t="shared" si="386"/>
        <v>-</v>
      </c>
      <c r="HK94" s="39" t="str">
        <f t="shared" si="387"/>
        <v>-</v>
      </c>
      <c r="HL94" s="39" t="str">
        <f t="shared" si="388"/>
        <v>-</v>
      </c>
      <c r="HM94" s="39" t="str">
        <f t="shared" si="389"/>
        <v>-</v>
      </c>
      <c r="HN94" s="39" t="str">
        <f t="shared" si="390"/>
        <v>-</v>
      </c>
      <c r="HO94" s="39" t="str">
        <f t="shared" si="391"/>
        <v>-</v>
      </c>
      <c r="HP94" s="39" t="str">
        <f t="shared" si="392"/>
        <v>-</v>
      </c>
      <c r="HQ94" s="39" t="str">
        <f t="shared" si="393"/>
        <v>-</v>
      </c>
      <c r="HR94" s="39" t="str">
        <f t="shared" si="394"/>
        <v>-</v>
      </c>
      <c r="HS94" s="39" t="str">
        <f t="shared" si="395"/>
        <v>-</v>
      </c>
      <c r="HT94" s="39" t="str">
        <f t="shared" si="395"/>
        <v>-</v>
      </c>
      <c r="HU94" s="43" t="str">
        <f t="shared" si="445"/>
        <v>-</v>
      </c>
      <c r="HV94" s="44" t="str">
        <f t="shared" si="446"/>
        <v/>
      </c>
      <c r="HW94" s="45" t="str">
        <f t="shared" si="447"/>
        <v/>
      </c>
      <c r="HX94" s="102"/>
      <c r="HY94" s="102"/>
      <c r="HZ94" s="102"/>
      <c r="IA94" s="101"/>
      <c r="IB94" s="102"/>
      <c r="IC94" s="103"/>
      <c r="ID94" s="101"/>
      <c r="IE94" s="102"/>
      <c r="IF94" s="103"/>
      <c r="IH94" s="66">
        <v>94</v>
      </c>
      <c r="II94" s="66" t="e">
        <f t="shared" ca="1" si="436"/>
        <v>#N/A</v>
      </c>
      <c r="IJ94" s="66" t="e">
        <f t="shared" ca="1" si="437"/>
        <v>#N/A</v>
      </c>
      <c r="IK94" s="66" t="e">
        <f t="shared" ca="1" si="438"/>
        <v>#N/A</v>
      </c>
      <c r="IL94" s="66" t="e">
        <f t="shared" ca="1" si="439"/>
        <v>#N/A</v>
      </c>
      <c r="IN94" s="74" t="e">
        <f t="shared" ca="1" si="440"/>
        <v>#N/A</v>
      </c>
      <c r="IO94" s="75" t="e">
        <f t="shared" ca="1" si="441"/>
        <v>#N/A</v>
      </c>
      <c r="IP94" s="75" t="e">
        <f t="shared" ca="1" si="442"/>
        <v>#N/A</v>
      </c>
      <c r="IQ94" s="74" t="e">
        <f t="shared" ca="1" si="443"/>
        <v>#N/A</v>
      </c>
      <c r="IR94" s="74" t="e">
        <f t="shared" ca="1" si="444"/>
        <v>#N/A</v>
      </c>
    </row>
    <row r="95" spans="1:252" x14ac:dyDescent="0.35">
      <c r="A95" s="28">
        <v>0</v>
      </c>
      <c r="B95" s="28">
        <v>0</v>
      </c>
      <c r="C95" s="28">
        <v>1</v>
      </c>
      <c r="D95" s="1"/>
      <c r="E95" s="3"/>
      <c r="F95" t="s">
        <v>360</v>
      </c>
      <c r="G95" s="5" t="s">
        <v>540</v>
      </c>
      <c r="H95" t="s">
        <v>539</v>
      </c>
      <c r="I95" t="s">
        <v>536</v>
      </c>
      <c r="J95" s="276" t="s">
        <v>805</v>
      </c>
      <c r="K95" s="113" t="s">
        <v>805</v>
      </c>
      <c r="L95" s="113" t="s">
        <v>805</v>
      </c>
      <c r="M95" s="113" t="s">
        <v>805</v>
      </c>
      <c r="N95" s="113" t="s">
        <v>805</v>
      </c>
      <c r="O95" s="113" t="s">
        <v>805</v>
      </c>
      <c r="P95" s="113" t="s">
        <v>805</v>
      </c>
      <c r="Q95" s="113" t="s">
        <v>805</v>
      </c>
      <c r="R95" s="113" t="s">
        <v>805</v>
      </c>
      <c r="S95" s="113" t="s">
        <v>805</v>
      </c>
      <c r="T95" s="113" t="s">
        <v>805</v>
      </c>
      <c r="U95" s="113" t="s">
        <v>805</v>
      </c>
      <c r="V95" s="113" t="s">
        <v>805</v>
      </c>
      <c r="W95" s="113" t="s">
        <v>805</v>
      </c>
      <c r="X95" s="113" t="s">
        <v>805</v>
      </c>
      <c r="Y95" s="113" t="s">
        <v>805</v>
      </c>
      <c r="Z95" s="113" t="s">
        <v>805</v>
      </c>
      <c r="AA95" s="113" t="s">
        <v>805</v>
      </c>
      <c r="AB95" s="113" t="s">
        <v>805</v>
      </c>
      <c r="AC95" s="113" t="s">
        <v>805</v>
      </c>
      <c r="AD95" s="113" t="s">
        <v>805</v>
      </c>
      <c r="AE95" s="113" t="s">
        <v>805</v>
      </c>
      <c r="AF95" s="113" t="s">
        <v>805</v>
      </c>
      <c r="AG95" s="113" t="s">
        <v>805</v>
      </c>
      <c r="AH95" s="113" t="s">
        <v>805</v>
      </c>
      <c r="AI95" s="113" t="s">
        <v>805</v>
      </c>
      <c r="AJ95" s="113" t="s">
        <v>805</v>
      </c>
      <c r="AK95" s="113" t="s">
        <v>805</v>
      </c>
      <c r="AL95" s="113" t="s">
        <v>805</v>
      </c>
      <c r="AM95" s="113" t="s">
        <v>805</v>
      </c>
      <c r="AN95" s="113" t="s">
        <v>805</v>
      </c>
      <c r="AO95" s="113" t="s">
        <v>805</v>
      </c>
      <c r="AP95" s="113" t="s">
        <v>805</v>
      </c>
      <c r="AQ95" s="113" t="s">
        <v>805</v>
      </c>
      <c r="AR95" s="113" t="s">
        <v>805</v>
      </c>
      <c r="AS95" s="113" t="s">
        <v>805</v>
      </c>
      <c r="AT95" s="113" t="s">
        <v>805</v>
      </c>
      <c r="AU95" s="113" t="s">
        <v>805</v>
      </c>
      <c r="AV95" s="113" t="s">
        <v>805</v>
      </c>
      <c r="AW95" s="113" t="s">
        <v>805</v>
      </c>
      <c r="AX95" s="113" t="s">
        <v>805</v>
      </c>
      <c r="AY95" s="113" t="s">
        <v>805</v>
      </c>
      <c r="AZ95" s="113" t="s">
        <v>805</v>
      </c>
      <c r="BA95" s="113" t="s">
        <v>805</v>
      </c>
      <c r="BB95" s="113" t="s">
        <v>805</v>
      </c>
      <c r="BC95" s="113" t="s">
        <v>805</v>
      </c>
      <c r="BD95" s="113" t="s">
        <v>805</v>
      </c>
      <c r="BE95" s="113" t="s">
        <v>805</v>
      </c>
      <c r="BF95" s="113" t="s">
        <v>805</v>
      </c>
      <c r="BG95" s="113" t="s">
        <v>805</v>
      </c>
      <c r="BH95" s="113" t="s">
        <v>805</v>
      </c>
      <c r="BI95" s="113" t="s">
        <v>805</v>
      </c>
      <c r="BJ95" s="113" t="s">
        <v>805</v>
      </c>
      <c r="BK95" s="113" t="s">
        <v>805</v>
      </c>
      <c r="BL95" s="113" t="s">
        <v>805</v>
      </c>
      <c r="BM95" s="113" t="s">
        <v>805</v>
      </c>
      <c r="BN95" s="113" t="s">
        <v>805</v>
      </c>
      <c r="BO95" s="113" t="s">
        <v>805</v>
      </c>
      <c r="BP95" s="113" t="s">
        <v>805</v>
      </c>
      <c r="BQ95" s="113" t="s">
        <v>805</v>
      </c>
      <c r="BR95" s="113" t="s">
        <v>805</v>
      </c>
      <c r="BS95" s="113" t="s">
        <v>805</v>
      </c>
      <c r="BT95" s="113" t="s">
        <v>805</v>
      </c>
      <c r="BU95" s="113" t="s">
        <v>805</v>
      </c>
      <c r="BV95" s="113" t="s">
        <v>805</v>
      </c>
      <c r="BW95" s="113" t="s">
        <v>805</v>
      </c>
      <c r="BX95" s="113" t="s">
        <v>805</v>
      </c>
      <c r="BY95" s="113" t="s">
        <v>805</v>
      </c>
      <c r="BZ95" s="113" t="s">
        <v>805</v>
      </c>
      <c r="CA95" s="113" t="s">
        <v>805</v>
      </c>
      <c r="CB95" s="113" t="s">
        <v>805</v>
      </c>
      <c r="CC95" s="113" t="s">
        <v>805</v>
      </c>
      <c r="CD95" s="113" t="s">
        <v>805</v>
      </c>
      <c r="CE95" s="113" t="s">
        <v>805</v>
      </c>
      <c r="CF95" s="113" t="s">
        <v>805</v>
      </c>
      <c r="CG95" s="113" t="s">
        <v>805</v>
      </c>
      <c r="CH95" s="113" t="s">
        <v>805</v>
      </c>
      <c r="CI95" s="113" t="s">
        <v>805</v>
      </c>
      <c r="CJ95" s="113" t="s">
        <v>805</v>
      </c>
      <c r="CK95" s="113" t="s">
        <v>805</v>
      </c>
      <c r="CL95" s="113" t="s">
        <v>805</v>
      </c>
      <c r="CM95" s="113" t="s">
        <v>805</v>
      </c>
      <c r="CN95" s="113" t="s">
        <v>805</v>
      </c>
      <c r="CO95" s="113" t="s">
        <v>805</v>
      </c>
      <c r="CP95" s="113" t="s">
        <v>805</v>
      </c>
      <c r="CQ95" s="113" t="s">
        <v>805</v>
      </c>
      <c r="CR95" s="113" t="s">
        <v>805</v>
      </c>
      <c r="CS95" s="113" t="s">
        <v>805</v>
      </c>
      <c r="CT95" s="113" t="s">
        <v>805</v>
      </c>
      <c r="CU95" s="113" t="s">
        <v>805</v>
      </c>
      <c r="CV95" s="113" t="s">
        <v>805</v>
      </c>
      <c r="CW95" s="113" t="s">
        <v>805</v>
      </c>
      <c r="CX95" s="113" t="s">
        <v>805</v>
      </c>
      <c r="CY95" s="113" t="s">
        <v>805</v>
      </c>
      <c r="CZ95" s="113" t="s">
        <v>805</v>
      </c>
      <c r="DA95" s="113" t="s">
        <v>805</v>
      </c>
      <c r="DB95" s="113" t="s">
        <v>805</v>
      </c>
      <c r="DC95" s="113" t="s">
        <v>805</v>
      </c>
      <c r="DD95" s="113" t="s">
        <v>805</v>
      </c>
      <c r="DE95" s="113" t="s">
        <v>805</v>
      </c>
      <c r="DF95" s="113" t="s">
        <v>805</v>
      </c>
      <c r="DG95" s="28">
        <f>'KPI Count-SHARE'!J85</f>
        <v>0</v>
      </c>
      <c r="DH95" s="114"/>
      <c r="DI95" s="114"/>
      <c r="DJ95" s="114"/>
      <c r="DK95" s="28">
        <f>'KPI Count-SHARE'!K85</f>
        <v>0</v>
      </c>
      <c r="DL95" s="118"/>
      <c r="DM95" s="118"/>
      <c r="DN95" s="118"/>
      <c r="DO95" s="28">
        <f>'KPI Count-SHARE'!L85</f>
        <v>0</v>
      </c>
      <c r="DP95" s="118"/>
      <c r="DQ95" s="118"/>
      <c r="DR95" s="118"/>
      <c r="DS95" s="28">
        <f>'KPI Count-SHARE'!M85</f>
        <v>0</v>
      </c>
      <c r="DT95" s="118"/>
      <c r="DU95" s="118"/>
      <c r="DV95" s="118"/>
      <c r="DW95" t="str">
        <f t="shared" si="460"/>
        <v>USD '000 per account</v>
      </c>
      <c r="DX95" s="39" t="str">
        <f t="shared" si="425"/>
        <v>-</v>
      </c>
      <c r="DY95" s="39" t="str">
        <f t="shared" si="426"/>
        <v>-</v>
      </c>
      <c r="DZ95" s="39" t="str">
        <f t="shared" si="427"/>
        <v>-</v>
      </c>
      <c r="EA95" s="39" t="str">
        <f t="shared" si="428"/>
        <v>-</v>
      </c>
      <c r="EB95" s="39" t="str">
        <f t="shared" si="429"/>
        <v>-</v>
      </c>
      <c r="EC95" s="39" t="str">
        <f t="shared" si="430"/>
        <v>-</v>
      </c>
      <c r="ED95" s="39" t="str">
        <f t="shared" si="431"/>
        <v>-</v>
      </c>
      <c r="EE95" s="39" t="str">
        <f t="shared" si="432"/>
        <v>-</v>
      </c>
      <c r="EF95" s="39" t="str">
        <f t="shared" si="433"/>
        <v>-</v>
      </c>
      <c r="EG95" s="39" t="str">
        <f t="shared" si="434"/>
        <v>-</v>
      </c>
      <c r="EH95" s="39" t="str">
        <f t="shared" si="435"/>
        <v>-</v>
      </c>
      <c r="EI95" s="39" t="str">
        <f t="shared" si="448"/>
        <v>-</v>
      </c>
      <c r="EJ95" s="39" t="str">
        <f t="shared" si="449"/>
        <v>-</v>
      </c>
      <c r="EK95" s="39" t="str">
        <f t="shared" si="450"/>
        <v>-</v>
      </c>
      <c r="EL95" s="39" t="str">
        <f t="shared" si="451"/>
        <v>-</v>
      </c>
      <c r="EM95" s="39" t="str">
        <f t="shared" si="452"/>
        <v>-</v>
      </c>
      <c r="EN95" s="39" t="str">
        <f t="shared" si="453"/>
        <v>-</v>
      </c>
      <c r="EO95" s="39" t="str">
        <f t="shared" si="454"/>
        <v>-</v>
      </c>
      <c r="EP95" s="39" t="str">
        <f t="shared" si="455"/>
        <v>-</v>
      </c>
      <c r="EQ95" s="39" t="str">
        <f t="shared" si="456"/>
        <v>-</v>
      </c>
      <c r="ER95" s="39" t="str">
        <f t="shared" si="457"/>
        <v>-</v>
      </c>
      <c r="ES95" s="39" t="str">
        <f t="shared" si="458"/>
        <v>-</v>
      </c>
      <c r="ET95" s="39" t="str">
        <f t="shared" si="459"/>
        <v>-</v>
      </c>
      <c r="EU95" s="39" t="str">
        <f t="shared" si="319"/>
        <v>-</v>
      </c>
      <c r="EV95" s="39" t="str">
        <f t="shared" si="320"/>
        <v>-</v>
      </c>
      <c r="EW95" s="39" t="str">
        <f t="shared" si="321"/>
        <v>-</v>
      </c>
      <c r="EX95" s="39" t="str">
        <f t="shared" si="322"/>
        <v>-</v>
      </c>
      <c r="EY95" s="39" t="str">
        <f t="shared" si="323"/>
        <v>-</v>
      </c>
      <c r="EZ95" s="39" t="str">
        <f t="shared" si="324"/>
        <v>-</v>
      </c>
      <c r="FA95" s="39" t="str">
        <f t="shared" si="325"/>
        <v>-</v>
      </c>
      <c r="FB95" s="39" t="str">
        <f t="shared" si="326"/>
        <v>-</v>
      </c>
      <c r="FC95" s="39" t="str">
        <f t="shared" si="327"/>
        <v>-</v>
      </c>
      <c r="FD95" s="39" t="str">
        <f t="shared" si="328"/>
        <v>-</v>
      </c>
      <c r="FE95" s="39" t="str">
        <f t="shared" si="329"/>
        <v>-</v>
      </c>
      <c r="FF95" s="39" t="str">
        <f t="shared" si="330"/>
        <v>-</v>
      </c>
      <c r="FG95" s="39" t="str">
        <f t="shared" si="331"/>
        <v>-</v>
      </c>
      <c r="FH95" s="39" t="str">
        <f t="shared" si="332"/>
        <v>-</v>
      </c>
      <c r="FI95" s="39" t="str">
        <f t="shared" si="333"/>
        <v>-</v>
      </c>
      <c r="FJ95" s="39" t="str">
        <f t="shared" si="334"/>
        <v>-</v>
      </c>
      <c r="FK95" s="39" t="str">
        <f t="shared" si="335"/>
        <v>-</v>
      </c>
      <c r="FL95" s="39" t="str">
        <f t="shared" si="336"/>
        <v>-</v>
      </c>
      <c r="FM95" s="39" t="str">
        <f t="shared" si="337"/>
        <v>-</v>
      </c>
      <c r="FN95" s="39" t="str">
        <f t="shared" si="338"/>
        <v>-</v>
      </c>
      <c r="FO95" s="39" t="str">
        <f t="shared" si="339"/>
        <v>-</v>
      </c>
      <c r="FP95" s="39" t="str">
        <f t="shared" si="340"/>
        <v>-</v>
      </c>
      <c r="FQ95" s="39" t="str">
        <f t="shared" si="341"/>
        <v>-</v>
      </c>
      <c r="FR95" s="39" t="str">
        <f t="shared" si="342"/>
        <v>-</v>
      </c>
      <c r="FS95" s="39" t="str">
        <f t="shared" si="343"/>
        <v>-</v>
      </c>
      <c r="FT95" s="39" t="str">
        <f t="shared" si="344"/>
        <v>-</v>
      </c>
      <c r="FU95" s="39" t="str">
        <f t="shared" si="345"/>
        <v>-</v>
      </c>
      <c r="FV95" s="39" t="str">
        <f t="shared" si="346"/>
        <v>-</v>
      </c>
      <c r="FW95" s="39" t="str">
        <f t="shared" si="347"/>
        <v>-</v>
      </c>
      <c r="FX95" s="39" t="str">
        <f t="shared" si="348"/>
        <v>-</v>
      </c>
      <c r="FY95" s="39" t="str">
        <f t="shared" si="349"/>
        <v>-</v>
      </c>
      <c r="FZ95" s="39" t="str">
        <f t="shared" si="350"/>
        <v>-</v>
      </c>
      <c r="GA95" s="39" t="str">
        <f t="shared" si="351"/>
        <v>-</v>
      </c>
      <c r="GB95" s="39" t="str">
        <f t="shared" si="352"/>
        <v>-</v>
      </c>
      <c r="GC95" s="39" t="str">
        <f t="shared" si="353"/>
        <v>-</v>
      </c>
      <c r="GD95" s="39" t="str">
        <f t="shared" si="354"/>
        <v>-</v>
      </c>
      <c r="GE95" s="39" t="str">
        <f t="shared" si="355"/>
        <v>-</v>
      </c>
      <c r="GF95" s="39" t="str">
        <f t="shared" si="356"/>
        <v>-</v>
      </c>
      <c r="GG95" s="39" t="str">
        <f t="shared" si="357"/>
        <v>-</v>
      </c>
      <c r="GH95" s="39" t="str">
        <f t="shared" si="358"/>
        <v>-</v>
      </c>
      <c r="GI95" s="39" t="str">
        <f t="shared" si="359"/>
        <v>-</v>
      </c>
      <c r="GJ95" s="39" t="str">
        <f t="shared" si="360"/>
        <v>-</v>
      </c>
      <c r="GK95" s="39" t="str">
        <f t="shared" si="361"/>
        <v>-</v>
      </c>
      <c r="GL95" s="39" t="str">
        <f t="shared" si="362"/>
        <v>-</v>
      </c>
      <c r="GM95" s="39" t="str">
        <f t="shared" si="363"/>
        <v>-</v>
      </c>
      <c r="GN95" s="39" t="str">
        <f t="shared" si="364"/>
        <v>-</v>
      </c>
      <c r="GO95" s="39" t="str">
        <f t="shared" si="365"/>
        <v>-</v>
      </c>
      <c r="GP95" s="39" t="str">
        <f t="shared" si="366"/>
        <v>-</v>
      </c>
      <c r="GQ95" s="39" t="str">
        <f t="shared" si="367"/>
        <v>-</v>
      </c>
      <c r="GR95" s="39" t="str">
        <f t="shared" si="368"/>
        <v>-</v>
      </c>
      <c r="GS95" s="39" t="str">
        <f t="shared" si="369"/>
        <v>-</v>
      </c>
      <c r="GT95" s="39" t="str">
        <f t="shared" si="370"/>
        <v>-</v>
      </c>
      <c r="GU95" s="39" t="str">
        <f t="shared" si="371"/>
        <v>-</v>
      </c>
      <c r="GV95" s="39" t="str">
        <f t="shared" si="372"/>
        <v>-</v>
      </c>
      <c r="GW95" s="39" t="str">
        <f t="shared" si="373"/>
        <v>-</v>
      </c>
      <c r="GX95" s="39" t="str">
        <f t="shared" si="374"/>
        <v>-</v>
      </c>
      <c r="GY95" s="39" t="str">
        <f t="shared" si="375"/>
        <v>-</v>
      </c>
      <c r="GZ95" s="39" t="str">
        <f t="shared" si="376"/>
        <v>-</v>
      </c>
      <c r="HA95" s="39" t="str">
        <f t="shared" si="377"/>
        <v>-</v>
      </c>
      <c r="HB95" s="39" t="str">
        <f t="shared" si="378"/>
        <v>-</v>
      </c>
      <c r="HC95" s="39" t="str">
        <f t="shared" si="379"/>
        <v>-</v>
      </c>
      <c r="HD95" s="39" t="str">
        <f t="shared" si="380"/>
        <v>-</v>
      </c>
      <c r="HE95" s="39" t="str">
        <f t="shared" si="381"/>
        <v>-</v>
      </c>
      <c r="HF95" s="39" t="str">
        <f t="shared" si="382"/>
        <v>-</v>
      </c>
      <c r="HG95" s="39" t="str">
        <f t="shared" si="383"/>
        <v>-</v>
      </c>
      <c r="HH95" s="39" t="str">
        <f t="shared" si="384"/>
        <v>-</v>
      </c>
      <c r="HI95" s="39" t="str">
        <f t="shared" si="385"/>
        <v>-</v>
      </c>
      <c r="HJ95" s="39" t="str">
        <f t="shared" si="386"/>
        <v>-</v>
      </c>
      <c r="HK95" s="39" t="str">
        <f t="shared" si="387"/>
        <v>-</v>
      </c>
      <c r="HL95" s="39" t="str">
        <f t="shared" si="388"/>
        <v>-</v>
      </c>
      <c r="HM95" s="39" t="str">
        <f t="shared" si="389"/>
        <v>-</v>
      </c>
      <c r="HN95" s="39" t="str">
        <f t="shared" si="390"/>
        <v>-</v>
      </c>
      <c r="HO95" s="39" t="str">
        <f t="shared" si="391"/>
        <v>-</v>
      </c>
      <c r="HP95" s="39" t="str">
        <f t="shared" si="392"/>
        <v>-</v>
      </c>
      <c r="HQ95" s="39" t="str">
        <f t="shared" si="393"/>
        <v>-</v>
      </c>
      <c r="HR95" s="39" t="str">
        <f t="shared" si="394"/>
        <v>-</v>
      </c>
      <c r="HS95" s="39" t="str">
        <f t="shared" si="395"/>
        <v>-</v>
      </c>
      <c r="HT95" s="39" t="str">
        <f t="shared" si="395"/>
        <v>-</v>
      </c>
      <c r="HU95" s="43" t="str">
        <f t="shared" si="445"/>
        <v>-</v>
      </c>
      <c r="HV95" s="44" t="str">
        <f t="shared" si="446"/>
        <v/>
      </c>
      <c r="HW95" s="45" t="str">
        <f t="shared" si="447"/>
        <v/>
      </c>
      <c r="HX95" s="102"/>
      <c r="HY95" s="102"/>
      <c r="HZ95" s="102"/>
      <c r="IA95" s="101"/>
      <c r="IB95" s="102"/>
      <c r="IC95" s="103"/>
      <c r="ID95" s="101"/>
      <c r="IE95" s="102"/>
      <c r="IF95" s="103"/>
      <c r="IH95" s="66">
        <v>95</v>
      </c>
      <c r="II95" s="66" t="e">
        <f t="shared" ca="1" si="436"/>
        <v>#N/A</v>
      </c>
      <c r="IJ95" s="66" t="e">
        <f t="shared" ca="1" si="437"/>
        <v>#N/A</v>
      </c>
      <c r="IK95" s="66" t="e">
        <f t="shared" ca="1" si="438"/>
        <v>#N/A</v>
      </c>
      <c r="IL95" s="66" t="e">
        <f t="shared" ca="1" si="439"/>
        <v>#N/A</v>
      </c>
      <c r="IN95" s="74" t="e">
        <f t="shared" ca="1" si="440"/>
        <v>#N/A</v>
      </c>
      <c r="IO95" s="75" t="e">
        <f t="shared" ca="1" si="441"/>
        <v>#N/A</v>
      </c>
      <c r="IP95" s="75" t="e">
        <f t="shared" ca="1" si="442"/>
        <v>#N/A</v>
      </c>
      <c r="IQ95" s="74" t="e">
        <f t="shared" ca="1" si="443"/>
        <v>#N/A</v>
      </c>
      <c r="IR95" s="74" t="e">
        <f t="shared" ca="1" si="444"/>
        <v>#N/A</v>
      </c>
    </row>
    <row r="96" spans="1:252" x14ac:dyDescent="0.35">
      <c r="A96" s="28">
        <v>0</v>
      </c>
      <c r="B96" s="28">
        <v>0</v>
      </c>
      <c r="C96" s="28">
        <v>1</v>
      </c>
      <c r="D96" s="1"/>
      <c r="E96" s="3"/>
      <c r="F96" t="s">
        <v>361</v>
      </c>
      <c r="G96" s="5" t="s">
        <v>540</v>
      </c>
      <c r="H96" t="s">
        <v>539</v>
      </c>
      <c r="I96" t="s">
        <v>536</v>
      </c>
      <c r="J96" s="276" t="s">
        <v>805</v>
      </c>
      <c r="K96" s="113" t="s">
        <v>805</v>
      </c>
      <c r="L96" s="113" t="s">
        <v>805</v>
      </c>
      <c r="M96" s="113" t="s">
        <v>805</v>
      </c>
      <c r="N96" s="113" t="s">
        <v>805</v>
      </c>
      <c r="O96" s="113" t="s">
        <v>805</v>
      </c>
      <c r="P96" s="113" t="s">
        <v>805</v>
      </c>
      <c r="Q96" s="113" t="s">
        <v>805</v>
      </c>
      <c r="R96" s="113" t="s">
        <v>805</v>
      </c>
      <c r="S96" s="113" t="s">
        <v>805</v>
      </c>
      <c r="T96" s="113" t="s">
        <v>805</v>
      </c>
      <c r="U96" s="113" t="s">
        <v>805</v>
      </c>
      <c r="V96" s="113" t="s">
        <v>805</v>
      </c>
      <c r="W96" s="113" t="s">
        <v>805</v>
      </c>
      <c r="X96" s="113" t="s">
        <v>805</v>
      </c>
      <c r="Y96" s="113" t="s">
        <v>805</v>
      </c>
      <c r="Z96" s="113" t="s">
        <v>805</v>
      </c>
      <c r="AA96" s="113" t="s">
        <v>805</v>
      </c>
      <c r="AB96" s="113" t="s">
        <v>805</v>
      </c>
      <c r="AC96" s="113" t="s">
        <v>805</v>
      </c>
      <c r="AD96" s="113" t="s">
        <v>805</v>
      </c>
      <c r="AE96" s="113" t="s">
        <v>805</v>
      </c>
      <c r="AF96" s="113" t="s">
        <v>805</v>
      </c>
      <c r="AG96" s="113" t="s">
        <v>805</v>
      </c>
      <c r="AH96" s="113" t="s">
        <v>805</v>
      </c>
      <c r="AI96" s="113" t="s">
        <v>805</v>
      </c>
      <c r="AJ96" s="113" t="s">
        <v>805</v>
      </c>
      <c r="AK96" s="113" t="s">
        <v>805</v>
      </c>
      <c r="AL96" s="113" t="s">
        <v>805</v>
      </c>
      <c r="AM96" s="113" t="s">
        <v>805</v>
      </c>
      <c r="AN96" s="113" t="s">
        <v>805</v>
      </c>
      <c r="AO96" s="113" t="s">
        <v>805</v>
      </c>
      <c r="AP96" s="113" t="s">
        <v>805</v>
      </c>
      <c r="AQ96" s="113" t="s">
        <v>805</v>
      </c>
      <c r="AR96" s="113" t="s">
        <v>805</v>
      </c>
      <c r="AS96" s="113" t="s">
        <v>805</v>
      </c>
      <c r="AT96" s="113" t="s">
        <v>805</v>
      </c>
      <c r="AU96" s="113" t="s">
        <v>805</v>
      </c>
      <c r="AV96" s="113" t="s">
        <v>805</v>
      </c>
      <c r="AW96" s="113" t="s">
        <v>805</v>
      </c>
      <c r="AX96" s="113" t="s">
        <v>805</v>
      </c>
      <c r="AY96" s="113" t="s">
        <v>805</v>
      </c>
      <c r="AZ96" s="113" t="s">
        <v>805</v>
      </c>
      <c r="BA96" s="113" t="s">
        <v>805</v>
      </c>
      <c r="BB96" s="113" t="s">
        <v>805</v>
      </c>
      <c r="BC96" s="113" t="s">
        <v>805</v>
      </c>
      <c r="BD96" s="113" t="s">
        <v>805</v>
      </c>
      <c r="BE96" s="113" t="s">
        <v>805</v>
      </c>
      <c r="BF96" s="113" t="s">
        <v>805</v>
      </c>
      <c r="BG96" s="113" t="s">
        <v>805</v>
      </c>
      <c r="BH96" s="113" t="s">
        <v>805</v>
      </c>
      <c r="BI96" s="113" t="s">
        <v>805</v>
      </c>
      <c r="BJ96" s="113" t="s">
        <v>805</v>
      </c>
      <c r="BK96" s="113" t="s">
        <v>805</v>
      </c>
      <c r="BL96" s="113" t="s">
        <v>805</v>
      </c>
      <c r="BM96" s="113" t="s">
        <v>805</v>
      </c>
      <c r="BN96" s="113" t="s">
        <v>805</v>
      </c>
      <c r="BO96" s="113" t="s">
        <v>805</v>
      </c>
      <c r="BP96" s="113" t="s">
        <v>805</v>
      </c>
      <c r="BQ96" s="113" t="s">
        <v>805</v>
      </c>
      <c r="BR96" s="113" t="s">
        <v>805</v>
      </c>
      <c r="BS96" s="113" t="s">
        <v>805</v>
      </c>
      <c r="BT96" s="113" t="s">
        <v>805</v>
      </c>
      <c r="BU96" s="113" t="s">
        <v>805</v>
      </c>
      <c r="BV96" s="113" t="s">
        <v>805</v>
      </c>
      <c r="BW96" s="113" t="s">
        <v>805</v>
      </c>
      <c r="BX96" s="113" t="s">
        <v>805</v>
      </c>
      <c r="BY96" s="113" t="s">
        <v>805</v>
      </c>
      <c r="BZ96" s="113" t="s">
        <v>805</v>
      </c>
      <c r="CA96" s="113" t="s">
        <v>805</v>
      </c>
      <c r="CB96" s="113" t="s">
        <v>805</v>
      </c>
      <c r="CC96" s="113" t="s">
        <v>805</v>
      </c>
      <c r="CD96" s="113" t="s">
        <v>805</v>
      </c>
      <c r="CE96" s="113" t="s">
        <v>805</v>
      </c>
      <c r="CF96" s="113" t="s">
        <v>805</v>
      </c>
      <c r="CG96" s="113" t="s">
        <v>805</v>
      </c>
      <c r="CH96" s="113" t="s">
        <v>805</v>
      </c>
      <c r="CI96" s="113" t="s">
        <v>805</v>
      </c>
      <c r="CJ96" s="113" t="s">
        <v>805</v>
      </c>
      <c r="CK96" s="113" t="s">
        <v>805</v>
      </c>
      <c r="CL96" s="113" t="s">
        <v>805</v>
      </c>
      <c r="CM96" s="113" t="s">
        <v>805</v>
      </c>
      <c r="CN96" s="113" t="s">
        <v>805</v>
      </c>
      <c r="CO96" s="113" t="s">
        <v>805</v>
      </c>
      <c r="CP96" s="113" t="s">
        <v>805</v>
      </c>
      <c r="CQ96" s="113" t="s">
        <v>805</v>
      </c>
      <c r="CR96" s="113" t="s">
        <v>805</v>
      </c>
      <c r="CS96" s="113" t="s">
        <v>805</v>
      </c>
      <c r="CT96" s="113" t="s">
        <v>805</v>
      </c>
      <c r="CU96" s="113" t="s">
        <v>805</v>
      </c>
      <c r="CV96" s="113" t="s">
        <v>805</v>
      </c>
      <c r="CW96" s="113" t="s">
        <v>805</v>
      </c>
      <c r="CX96" s="113" t="s">
        <v>805</v>
      </c>
      <c r="CY96" s="113" t="s">
        <v>805</v>
      </c>
      <c r="CZ96" s="113" t="s">
        <v>805</v>
      </c>
      <c r="DA96" s="113" t="s">
        <v>805</v>
      </c>
      <c r="DB96" s="113" t="s">
        <v>805</v>
      </c>
      <c r="DC96" s="113" t="s">
        <v>805</v>
      </c>
      <c r="DD96" s="113" t="s">
        <v>805</v>
      </c>
      <c r="DE96" s="113" t="s">
        <v>805</v>
      </c>
      <c r="DF96" s="113" t="s">
        <v>805</v>
      </c>
      <c r="DG96" s="28">
        <f>'KPI Count-SHARE'!J86</f>
        <v>0</v>
      </c>
      <c r="DH96" s="114"/>
      <c r="DI96" s="114"/>
      <c r="DJ96" s="114"/>
      <c r="DK96" s="28">
        <f>'KPI Count-SHARE'!K86</f>
        <v>0</v>
      </c>
      <c r="DL96" s="118"/>
      <c r="DM96" s="118"/>
      <c r="DN96" s="118"/>
      <c r="DO96" s="28">
        <f>'KPI Count-SHARE'!L86</f>
        <v>0</v>
      </c>
      <c r="DP96" s="118"/>
      <c r="DQ96" s="118"/>
      <c r="DR96" s="118"/>
      <c r="DS96" s="28">
        <f>'KPI Count-SHARE'!M86</f>
        <v>0</v>
      </c>
      <c r="DT96" s="118"/>
      <c r="DU96" s="118"/>
      <c r="DV96" s="118"/>
      <c r="DW96" t="str">
        <f t="shared" si="460"/>
        <v>USD '000 per account</v>
      </c>
      <c r="DX96" s="39" t="str">
        <f t="shared" si="425"/>
        <v>-</v>
      </c>
      <c r="DY96" s="39" t="str">
        <f t="shared" si="426"/>
        <v>-</v>
      </c>
      <c r="DZ96" s="39" t="str">
        <f t="shared" si="427"/>
        <v>-</v>
      </c>
      <c r="EA96" s="39" t="str">
        <f t="shared" si="428"/>
        <v>-</v>
      </c>
      <c r="EB96" s="39" t="str">
        <f t="shared" si="429"/>
        <v>-</v>
      </c>
      <c r="EC96" s="39" t="str">
        <f t="shared" si="430"/>
        <v>-</v>
      </c>
      <c r="ED96" s="39" t="str">
        <f t="shared" si="431"/>
        <v>-</v>
      </c>
      <c r="EE96" s="39" t="str">
        <f t="shared" si="432"/>
        <v>-</v>
      </c>
      <c r="EF96" s="39" t="str">
        <f t="shared" si="433"/>
        <v>-</v>
      </c>
      <c r="EG96" s="39" t="str">
        <f t="shared" si="434"/>
        <v>-</v>
      </c>
      <c r="EH96" s="39" t="str">
        <f t="shared" si="435"/>
        <v>-</v>
      </c>
      <c r="EI96" s="39" t="str">
        <f t="shared" si="448"/>
        <v>-</v>
      </c>
      <c r="EJ96" s="39" t="str">
        <f t="shared" si="449"/>
        <v>-</v>
      </c>
      <c r="EK96" s="39" t="str">
        <f t="shared" si="450"/>
        <v>-</v>
      </c>
      <c r="EL96" s="39" t="str">
        <f t="shared" si="451"/>
        <v>-</v>
      </c>
      <c r="EM96" s="39" t="str">
        <f t="shared" si="452"/>
        <v>-</v>
      </c>
      <c r="EN96" s="39" t="str">
        <f t="shared" si="453"/>
        <v>-</v>
      </c>
      <c r="EO96" s="39" t="str">
        <f t="shared" si="454"/>
        <v>-</v>
      </c>
      <c r="EP96" s="39" t="str">
        <f t="shared" si="455"/>
        <v>-</v>
      </c>
      <c r="EQ96" s="39" t="str">
        <f t="shared" si="456"/>
        <v>-</v>
      </c>
      <c r="ER96" s="39" t="str">
        <f t="shared" si="457"/>
        <v>-</v>
      </c>
      <c r="ES96" s="39" t="str">
        <f t="shared" si="458"/>
        <v>-</v>
      </c>
      <c r="ET96" s="39" t="str">
        <f t="shared" si="459"/>
        <v>-</v>
      </c>
      <c r="EU96" s="39" t="str">
        <f t="shared" si="319"/>
        <v>-</v>
      </c>
      <c r="EV96" s="39" t="str">
        <f t="shared" si="320"/>
        <v>-</v>
      </c>
      <c r="EW96" s="39" t="str">
        <f t="shared" si="321"/>
        <v>-</v>
      </c>
      <c r="EX96" s="39" t="str">
        <f t="shared" si="322"/>
        <v>-</v>
      </c>
      <c r="EY96" s="39" t="str">
        <f t="shared" si="323"/>
        <v>-</v>
      </c>
      <c r="EZ96" s="39" t="str">
        <f t="shared" si="324"/>
        <v>-</v>
      </c>
      <c r="FA96" s="39" t="str">
        <f t="shared" si="325"/>
        <v>-</v>
      </c>
      <c r="FB96" s="39" t="str">
        <f t="shared" si="326"/>
        <v>-</v>
      </c>
      <c r="FC96" s="39" t="str">
        <f t="shared" si="327"/>
        <v>-</v>
      </c>
      <c r="FD96" s="39" t="str">
        <f t="shared" si="328"/>
        <v>-</v>
      </c>
      <c r="FE96" s="39" t="str">
        <f t="shared" si="329"/>
        <v>-</v>
      </c>
      <c r="FF96" s="39" t="str">
        <f t="shared" si="330"/>
        <v>-</v>
      </c>
      <c r="FG96" s="39" t="str">
        <f t="shared" si="331"/>
        <v>-</v>
      </c>
      <c r="FH96" s="39" t="str">
        <f t="shared" si="332"/>
        <v>-</v>
      </c>
      <c r="FI96" s="39" t="str">
        <f t="shared" si="333"/>
        <v>-</v>
      </c>
      <c r="FJ96" s="39" t="str">
        <f t="shared" si="334"/>
        <v>-</v>
      </c>
      <c r="FK96" s="39" t="str">
        <f t="shared" si="335"/>
        <v>-</v>
      </c>
      <c r="FL96" s="39" t="str">
        <f t="shared" si="336"/>
        <v>-</v>
      </c>
      <c r="FM96" s="39" t="str">
        <f t="shared" si="337"/>
        <v>-</v>
      </c>
      <c r="FN96" s="39" t="str">
        <f t="shared" si="338"/>
        <v>-</v>
      </c>
      <c r="FO96" s="39" t="str">
        <f t="shared" si="339"/>
        <v>-</v>
      </c>
      <c r="FP96" s="39" t="str">
        <f t="shared" si="340"/>
        <v>-</v>
      </c>
      <c r="FQ96" s="39" t="str">
        <f t="shared" si="341"/>
        <v>-</v>
      </c>
      <c r="FR96" s="39" t="str">
        <f t="shared" si="342"/>
        <v>-</v>
      </c>
      <c r="FS96" s="39" t="str">
        <f t="shared" si="343"/>
        <v>-</v>
      </c>
      <c r="FT96" s="39" t="str">
        <f t="shared" si="344"/>
        <v>-</v>
      </c>
      <c r="FU96" s="39" t="str">
        <f t="shared" si="345"/>
        <v>-</v>
      </c>
      <c r="FV96" s="39" t="str">
        <f t="shared" si="346"/>
        <v>-</v>
      </c>
      <c r="FW96" s="39" t="str">
        <f t="shared" si="347"/>
        <v>-</v>
      </c>
      <c r="FX96" s="39" t="str">
        <f t="shared" si="348"/>
        <v>-</v>
      </c>
      <c r="FY96" s="39" t="str">
        <f t="shared" si="349"/>
        <v>-</v>
      </c>
      <c r="FZ96" s="39" t="str">
        <f t="shared" si="350"/>
        <v>-</v>
      </c>
      <c r="GA96" s="39" t="str">
        <f t="shared" si="351"/>
        <v>-</v>
      </c>
      <c r="GB96" s="39" t="str">
        <f t="shared" si="352"/>
        <v>-</v>
      </c>
      <c r="GC96" s="39" t="str">
        <f t="shared" si="353"/>
        <v>-</v>
      </c>
      <c r="GD96" s="39" t="str">
        <f t="shared" si="354"/>
        <v>-</v>
      </c>
      <c r="GE96" s="39" t="str">
        <f t="shared" si="355"/>
        <v>-</v>
      </c>
      <c r="GF96" s="39" t="str">
        <f t="shared" si="356"/>
        <v>-</v>
      </c>
      <c r="GG96" s="39" t="str">
        <f t="shared" si="357"/>
        <v>-</v>
      </c>
      <c r="GH96" s="39" t="str">
        <f t="shared" si="358"/>
        <v>-</v>
      </c>
      <c r="GI96" s="39" t="str">
        <f t="shared" si="359"/>
        <v>-</v>
      </c>
      <c r="GJ96" s="39" t="str">
        <f t="shared" si="360"/>
        <v>-</v>
      </c>
      <c r="GK96" s="39" t="str">
        <f t="shared" si="361"/>
        <v>-</v>
      </c>
      <c r="GL96" s="39" t="str">
        <f t="shared" si="362"/>
        <v>-</v>
      </c>
      <c r="GM96" s="39" t="str">
        <f t="shared" si="363"/>
        <v>-</v>
      </c>
      <c r="GN96" s="39" t="str">
        <f t="shared" si="364"/>
        <v>-</v>
      </c>
      <c r="GO96" s="39" t="str">
        <f t="shared" si="365"/>
        <v>-</v>
      </c>
      <c r="GP96" s="39" t="str">
        <f t="shared" si="366"/>
        <v>-</v>
      </c>
      <c r="GQ96" s="39" t="str">
        <f t="shared" si="367"/>
        <v>-</v>
      </c>
      <c r="GR96" s="39" t="str">
        <f t="shared" si="368"/>
        <v>-</v>
      </c>
      <c r="GS96" s="39" t="str">
        <f t="shared" si="369"/>
        <v>-</v>
      </c>
      <c r="GT96" s="39" t="str">
        <f t="shared" si="370"/>
        <v>-</v>
      </c>
      <c r="GU96" s="39" t="str">
        <f t="shared" si="371"/>
        <v>-</v>
      </c>
      <c r="GV96" s="39" t="str">
        <f t="shared" si="372"/>
        <v>-</v>
      </c>
      <c r="GW96" s="39" t="str">
        <f t="shared" si="373"/>
        <v>-</v>
      </c>
      <c r="GX96" s="39" t="str">
        <f t="shared" si="374"/>
        <v>-</v>
      </c>
      <c r="GY96" s="39" t="str">
        <f t="shared" si="375"/>
        <v>-</v>
      </c>
      <c r="GZ96" s="39" t="str">
        <f t="shared" si="376"/>
        <v>-</v>
      </c>
      <c r="HA96" s="39" t="str">
        <f t="shared" si="377"/>
        <v>-</v>
      </c>
      <c r="HB96" s="39" t="str">
        <f t="shared" si="378"/>
        <v>-</v>
      </c>
      <c r="HC96" s="39" t="str">
        <f t="shared" si="379"/>
        <v>-</v>
      </c>
      <c r="HD96" s="39" t="str">
        <f t="shared" si="380"/>
        <v>-</v>
      </c>
      <c r="HE96" s="39" t="str">
        <f t="shared" si="381"/>
        <v>-</v>
      </c>
      <c r="HF96" s="39" t="str">
        <f t="shared" si="382"/>
        <v>-</v>
      </c>
      <c r="HG96" s="39" t="str">
        <f t="shared" si="383"/>
        <v>-</v>
      </c>
      <c r="HH96" s="39" t="str">
        <f t="shared" si="384"/>
        <v>-</v>
      </c>
      <c r="HI96" s="39" t="str">
        <f t="shared" si="385"/>
        <v>-</v>
      </c>
      <c r="HJ96" s="39" t="str">
        <f t="shared" si="386"/>
        <v>-</v>
      </c>
      <c r="HK96" s="39" t="str">
        <f t="shared" si="387"/>
        <v>-</v>
      </c>
      <c r="HL96" s="39" t="str">
        <f t="shared" si="388"/>
        <v>-</v>
      </c>
      <c r="HM96" s="39" t="str">
        <f t="shared" si="389"/>
        <v>-</v>
      </c>
      <c r="HN96" s="39" t="str">
        <f t="shared" si="390"/>
        <v>-</v>
      </c>
      <c r="HO96" s="39" t="str">
        <f t="shared" si="391"/>
        <v>-</v>
      </c>
      <c r="HP96" s="39" t="str">
        <f t="shared" si="392"/>
        <v>-</v>
      </c>
      <c r="HQ96" s="39" t="str">
        <f t="shared" si="393"/>
        <v>-</v>
      </c>
      <c r="HR96" s="39" t="str">
        <f t="shared" si="394"/>
        <v>-</v>
      </c>
      <c r="HS96" s="39" t="str">
        <f t="shared" si="395"/>
        <v>-</v>
      </c>
      <c r="HT96" s="39" t="str">
        <f t="shared" si="395"/>
        <v>-</v>
      </c>
      <c r="HU96" s="43" t="str">
        <f t="shared" si="445"/>
        <v>-</v>
      </c>
      <c r="HV96" s="44" t="str">
        <f t="shared" si="446"/>
        <v/>
      </c>
      <c r="HW96" s="45" t="str">
        <f t="shared" si="447"/>
        <v/>
      </c>
      <c r="HX96" s="102"/>
      <c r="HY96" s="102"/>
      <c r="HZ96" s="102"/>
      <c r="IA96" s="101"/>
      <c r="IB96" s="102"/>
      <c r="IC96" s="103"/>
      <c r="ID96" s="101"/>
      <c r="IE96" s="102"/>
      <c r="IF96" s="103"/>
      <c r="IH96" s="66">
        <v>96</v>
      </c>
      <c r="II96" s="66" t="e">
        <f t="shared" ca="1" si="436"/>
        <v>#N/A</v>
      </c>
      <c r="IJ96" s="66" t="e">
        <f t="shared" ca="1" si="437"/>
        <v>#N/A</v>
      </c>
      <c r="IK96" s="66" t="e">
        <f t="shared" ca="1" si="438"/>
        <v>#N/A</v>
      </c>
      <c r="IL96" s="66" t="e">
        <f t="shared" ca="1" si="439"/>
        <v>#N/A</v>
      </c>
      <c r="IN96" s="74" t="e">
        <f t="shared" ca="1" si="440"/>
        <v>#N/A</v>
      </c>
      <c r="IO96" s="75" t="e">
        <f t="shared" ca="1" si="441"/>
        <v>#N/A</v>
      </c>
      <c r="IP96" s="75" t="e">
        <f t="shared" ca="1" si="442"/>
        <v>#N/A</v>
      </c>
      <c r="IQ96" s="74" t="e">
        <f t="shared" ca="1" si="443"/>
        <v>#N/A</v>
      </c>
      <c r="IR96" s="74" t="e">
        <f t="shared" ca="1" si="444"/>
        <v>#N/A</v>
      </c>
    </row>
    <row r="97" spans="1:252" x14ac:dyDescent="0.35">
      <c r="A97" s="28">
        <v>0</v>
      </c>
      <c r="B97" s="28">
        <v>0</v>
      </c>
      <c r="C97" s="28">
        <v>1</v>
      </c>
      <c r="D97" s="1"/>
      <c r="E97" s="3"/>
      <c r="F97" t="s">
        <v>362</v>
      </c>
      <c r="G97" s="5" t="s">
        <v>540</v>
      </c>
      <c r="H97" t="s">
        <v>539</v>
      </c>
      <c r="I97" t="s">
        <v>536</v>
      </c>
      <c r="J97" s="276" t="s">
        <v>805</v>
      </c>
      <c r="K97" s="113" t="s">
        <v>805</v>
      </c>
      <c r="L97" s="113" t="s">
        <v>805</v>
      </c>
      <c r="M97" s="113" t="s">
        <v>805</v>
      </c>
      <c r="N97" s="113" t="s">
        <v>805</v>
      </c>
      <c r="O97" s="113" t="s">
        <v>805</v>
      </c>
      <c r="P97" s="113" t="s">
        <v>805</v>
      </c>
      <c r="Q97" s="113" t="s">
        <v>805</v>
      </c>
      <c r="R97" s="113" t="s">
        <v>805</v>
      </c>
      <c r="S97" s="113" t="s">
        <v>805</v>
      </c>
      <c r="T97" s="113" t="s">
        <v>805</v>
      </c>
      <c r="U97" s="113" t="s">
        <v>805</v>
      </c>
      <c r="V97" s="113" t="s">
        <v>805</v>
      </c>
      <c r="W97" s="113" t="s">
        <v>805</v>
      </c>
      <c r="X97" s="113" t="s">
        <v>805</v>
      </c>
      <c r="Y97" s="113" t="s">
        <v>805</v>
      </c>
      <c r="Z97" s="113" t="s">
        <v>805</v>
      </c>
      <c r="AA97" s="113" t="s">
        <v>805</v>
      </c>
      <c r="AB97" s="113" t="s">
        <v>805</v>
      </c>
      <c r="AC97" s="113" t="s">
        <v>805</v>
      </c>
      <c r="AD97" s="113" t="s">
        <v>805</v>
      </c>
      <c r="AE97" s="113" t="s">
        <v>805</v>
      </c>
      <c r="AF97" s="113" t="s">
        <v>805</v>
      </c>
      <c r="AG97" s="113" t="s">
        <v>805</v>
      </c>
      <c r="AH97" s="113" t="s">
        <v>805</v>
      </c>
      <c r="AI97" s="113" t="s">
        <v>805</v>
      </c>
      <c r="AJ97" s="113" t="s">
        <v>805</v>
      </c>
      <c r="AK97" s="113" t="s">
        <v>805</v>
      </c>
      <c r="AL97" s="113" t="s">
        <v>805</v>
      </c>
      <c r="AM97" s="113" t="s">
        <v>805</v>
      </c>
      <c r="AN97" s="113" t="s">
        <v>805</v>
      </c>
      <c r="AO97" s="113" t="s">
        <v>805</v>
      </c>
      <c r="AP97" s="113" t="s">
        <v>805</v>
      </c>
      <c r="AQ97" s="113" t="s">
        <v>805</v>
      </c>
      <c r="AR97" s="113" t="s">
        <v>805</v>
      </c>
      <c r="AS97" s="113" t="s">
        <v>805</v>
      </c>
      <c r="AT97" s="113" t="s">
        <v>805</v>
      </c>
      <c r="AU97" s="113" t="s">
        <v>805</v>
      </c>
      <c r="AV97" s="113" t="s">
        <v>805</v>
      </c>
      <c r="AW97" s="113" t="s">
        <v>805</v>
      </c>
      <c r="AX97" s="113" t="s">
        <v>805</v>
      </c>
      <c r="AY97" s="113" t="s">
        <v>805</v>
      </c>
      <c r="AZ97" s="113" t="s">
        <v>805</v>
      </c>
      <c r="BA97" s="113" t="s">
        <v>805</v>
      </c>
      <c r="BB97" s="113" t="s">
        <v>805</v>
      </c>
      <c r="BC97" s="113" t="s">
        <v>805</v>
      </c>
      <c r="BD97" s="113" t="s">
        <v>805</v>
      </c>
      <c r="BE97" s="113" t="s">
        <v>805</v>
      </c>
      <c r="BF97" s="113" t="s">
        <v>805</v>
      </c>
      <c r="BG97" s="113" t="s">
        <v>805</v>
      </c>
      <c r="BH97" s="113" t="s">
        <v>805</v>
      </c>
      <c r="BI97" s="113" t="s">
        <v>805</v>
      </c>
      <c r="BJ97" s="113" t="s">
        <v>805</v>
      </c>
      <c r="BK97" s="113" t="s">
        <v>805</v>
      </c>
      <c r="BL97" s="113" t="s">
        <v>805</v>
      </c>
      <c r="BM97" s="113" t="s">
        <v>805</v>
      </c>
      <c r="BN97" s="113" t="s">
        <v>805</v>
      </c>
      <c r="BO97" s="113" t="s">
        <v>805</v>
      </c>
      <c r="BP97" s="113" t="s">
        <v>805</v>
      </c>
      <c r="BQ97" s="113" t="s">
        <v>805</v>
      </c>
      <c r="BR97" s="113" t="s">
        <v>805</v>
      </c>
      <c r="BS97" s="113" t="s">
        <v>805</v>
      </c>
      <c r="BT97" s="113" t="s">
        <v>805</v>
      </c>
      <c r="BU97" s="113" t="s">
        <v>805</v>
      </c>
      <c r="BV97" s="113" t="s">
        <v>805</v>
      </c>
      <c r="BW97" s="113" t="s">
        <v>805</v>
      </c>
      <c r="BX97" s="113" t="s">
        <v>805</v>
      </c>
      <c r="BY97" s="113" t="s">
        <v>805</v>
      </c>
      <c r="BZ97" s="113" t="s">
        <v>805</v>
      </c>
      <c r="CA97" s="113" t="s">
        <v>805</v>
      </c>
      <c r="CB97" s="113" t="s">
        <v>805</v>
      </c>
      <c r="CC97" s="113" t="s">
        <v>805</v>
      </c>
      <c r="CD97" s="113" t="s">
        <v>805</v>
      </c>
      <c r="CE97" s="113" t="s">
        <v>805</v>
      </c>
      <c r="CF97" s="113" t="s">
        <v>805</v>
      </c>
      <c r="CG97" s="113" t="s">
        <v>805</v>
      </c>
      <c r="CH97" s="113" t="s">
        <v>805</v>
      </c>
      <c r="CI97" s="113" t="s">
        <v>805</v>
      </c>
      <c r="CJ97" s="113" t="s">
        <v>805</v>
      </c>
      <c r="CK97" s="113" t="s">
        <v>805</v>
      </c>
      <c r="CL97" s="113" t="s">
        <v>805</v>
      </c>
      <c r="CM97" s="113" t="s">
        <v>805</v>
      </c>
      <c r="CN97" s="113" t="s">
        <v>805</v>
      </c>
      <c r="CO97" s="113" t="s">
        <v>805</v>
      </c>
      <c r="CP97" s="113" t="s">
        <v>805</v>
      </c>
      <c r="CQ97" s="113" t="s">
        <v>805</v>
      </c>
      <c r="CR97" s="113" t="s">
        <v>805</v>
      </c>
      <c r="CS97" s="113" t="s">
        <v>805</v>
      </c>
      <c r="CT97" s="113" t="s">
        <v>805</v>
      </c>
      <c r="CU97" s="113" t="s">
        <v>805</v>
      </c>
      <c r="CV97" s="113" t="s">
        <v>805</v>
      </c>
      <c r="CW97" s="113" t="s">
        <v>805</v>
      </c>
      <c r="CX97" s="113" t="s">
        <v>805</v>
      </c>
      <c r="CY97" s="113" t="s">
        <v>805</v>
      </c>
      <c r="CZ97" s="113" t="s">
        <v>805</v>
      </c>
      <c r="DA97" s="113" t="s">
        <v>805</v>
      </c>
      <c r="DB97" s="113" t="s">
        <v>805</v>
      </c>
      <c r="DC97" s="113" t="s">
        <v>805</v>
      </c>
      <c r="DD97" s="113" t="s">
        <v>805</v>
      </c>
      <c r="DE97" s="113" t="s">
        <v>805</v>
      </c>
      <c r="DF97" s="113" t="s">
        <v>805</v>
      </c>
      <c r="DG97" s="28" t="e">
        <f>'KPI Count-SHARE'!#REF!</f>
        <v>#REF!</v>
      </c>
      <c r="DH97" s="114"/>
      <c r="DI97" s="114"/>
      <c r="DJ97" s="114"/>
      <c r="DK97" s="28" t="e">
        <f>'KPI Count-SHARE'!#REF!</f>
        <v>#REF!</v>
      </c>
      <c r="DL97" s="118"/>
      <c r="DM97" s="118"/>
      <c r="DN97" s="118"/>
      <c r="DO97" s="28" t="e">
        <f>'KPI Count-SHARE'!#REF!</f>
        <v>#REF!</v>
      </c>
      <c r="DP97" s="118"/>
      <c r="DQ97" s="118"/>
      <c r="DR97" s="118"/>
      <c r="DS97" s="28" t="e">
        <f>'KPI Count-SHARE'!#REF!</f>
        <v>#REF!</v>
      </c>
      <c r="DT97" s="118"/>
      <c r="DU97" s="118"/>
      <c r="DV97" s="118"/>
      <c r="DW97" t="str">
        <f t="shared" si="460"/>
        <v>USD '000 per account</v>
      </c>
      <c r="DX97" s="39" t="str">
        <f t="shared" si="425"/>
        <v>-</v>
      </c>
      <c r="DY97" s="39" t="str">
        <f t="shared" si="426"/>
        <v>-</v>
      </c>
      <c r="DZ97" s="39" t="str">
        <f t="shared" si="427"/>
        <v>-</v>
      </c>
      <c r="EA97" s="39" t="str">
        <f t="shared" si="428"/>
        <v>-</v>
      </c>
      <c r="EB97" s="39" t="str">
        <f t="shared" si="429"/>
        <v>-</v>
      </c>
      <c r="EC97" s="39" t="str">
        <f t="shared" si="430"/>
        <v>-</v>
      </c>
      <c r="ED97" s="39" t="str">
        <f t="shared" si="431"/>
        <v>-</v>
      </c>
      <c r="EE97" s="39" t="str">
        <f t="shared" si="432"/>
        <v>-</v>
      </c>
      <c r="EF97" s="39" t="str">
        <f t="shared" si="433"/>
        <v>-</v>
      </c>
      <c r="EG97" s="39" t="str">
        <f t="shared" si="434"/>
        <v>-</v>
      </c>
      <c r="EH97" s="39" t="str">
        <f t="shared" si="435"/>
        <v>-</v>
      </c>
      <c r="EI97" s="39" t="str">
        <f t="shared" si="448"/>
        <v>-</v>
      </c>
      <c r="EJ97" s="39" t="str">
        <f t="shared" si="449"/>
        <v>-</v>
      </c>
      <c r="EK97" s="39" t="str">
        <f t="shared" si="450"/>
        <v>-</v>
      </c>
      <c r="EL97" s="39" t="str">
        <f t="shared" si="451"/>
        <v>-</v>
      </c>
      <c r="EM97" s="39" t="str">
        <f t="shared" si="452"/>
        <v>-</v>
      </c>
      <c r="EN97" s="39" t="str">
        <f t="shared" si="453"/>
        <v>-</v>
      </c>
      <c r="EO97" s="39" t="str">
        <f t="shared" si="454"/>
        <v>-</v>
      </c>
      <c r="EP97" s="39" t="str">
        <f t="shared" si="455"/>
        <v>-</v>
      </c>
      <c r="EQ97" s="39" t="str">
        <f t="shared" si="456"/>
        <v>-</v>
      </c>
      <c r="ER97" s="39" t="str">
        <f t="shared" si="457"/>
        <v>-</v>
      </c>
      <c r="ES97" s="39" t="str">
        <f t="shared" si="458"/>
        <v>-</v>
      </c>
      <c r="ET97" s="39" t="str">
        <f t="shared" si="459"/>
        <v>-</v>
      </c>
      <c r="EU97" s="39" t="str">
        <f t="shared" si="319"/>
        <v>-</v>
      </c>
      <c r="EV97" s="39" t="str">
        <f t="shared" si="320"/>
        <v>-</v>
      </c>
      <c r="EW97" s="39" t="str">
        <f t="shared" si="321"/>
        <v>-</v>
      </c>
      <c r="EX97" s="39" t="str">
        <f t="shared" si="322"/>
        <v>-</v>
      </c>
      <c r="EY97" s="39" t="str">
        <f t="shared" si="323"/>
        <v>-</v>
      </c>
      <c r="EZ97" s="39" t="str">
        <f t="shared" si="324"/>
        <v>-</v>
      </c>
      <c r="FA97" s="39" t="str">
        <f t="shared" si="325"/>
        <v>-</v>
      </c>
      <c r="FB97" s="39" t="str">
        <f t="shared" si="326"/>
        <v>-</v>
      </c>
      <c r="FC97" s="39" t="str">
        <f t="shared" si="327"/>
        <v>-</v>
      </c>
      <c r="FD97" s="39" t="str">
        <f t="shared" si="328"/>
        <v>-</v>
      </c>
      <c r="FE97" s="39" t="str">
        <f t="shared" si="329"/>
        <v>-</v>
      </c>
      <c r="FF97" s="39" t="str">
        <f t="shared" si="330"/>
        <v>-</v>
      </c>
      <c r="FG97" s="39" t="str">
        <f t="shared" si="331"/>
        <v>-</v>
      </c>
      <c r="FH97" s="39" t="str">
        <f t="shared" si="332"/>
        <v>-</v>
      </c>
      <c r="FI97" s="39" t="str">
        <f t="shared" si="333"/>
        <v>-</v>
      </c>
      <c r="FJ97" s="39" t="str">
        <f t="shared" si="334"/>
        <v>-</v>
      </c>
      <c r="FK97" s="39" t="str">
        <f t="shared" si="335"/>
        <v>-</v>
      </c>
      <c r="FL97" s="39" t="str">
        <f t="shared" si="336"/>
        <v>-</v>
      </c>
      <c r="FM97" s="39" t="str">
        <f t="shared" si="337"/>
        <v>-</v>
      </c>
      <c r="FN97" s="39" t="str">
        <f t="shared" si="338"/>
        <v>-</v>
      </c>
      <c r="FO97" s="39" t="str">
        <f t="shared" si="339"/>
        <v>-</v>
      </c>
      <c r="FP97" s="39" t="str">
        <f t="shared" si="340"/>
        <v>-</v>
      </c>
      <c r="FQ97" s="39" t="str">
        <f t="shared" si="341"/>
        <v>-</v>
      </c>
      <c r="FR97" s="39" t="str">
        <f t="shared" si="342"/>
        <v>-</v>
      </c>
      <c r="FS97" s="39" t="str">
        <f t="shared" si="343"/>
        <v>-</v>
      </c>
      <c r="FT97" s="39" t="str">
        <f t="shared" si="344"/>
        <v>-</v>
      </c>
      <c r="FU97" s="39" t="str">
        <f t="shared" si="345"/>
        <v>-</v>
      </c>
      <c r="FV97" s="39" t="str">
        <f t="shared" si="346"/>
        <v>-</v>
      </c>
      <c r="FW97" s="39" t="str">
        <f t="shared" si="347"/>
        <v>-</v>
      </c>
      <c r="FX97" s="39" t="str">
        <f t="shared" si="348"/>
        <v>-</v>
      </c>
      <c r="FY97" s="39" t="str">
        <f t="shared" si="349"/>
        <v>-</v>
      </c>
      <c r="FZ97" s="39" t="str">
        <f t="shared" si="350"/>
        <v>-</v>
      </c>
      <c r="GA97" s="39" t="str">
        <f t="shared" si="351"/>
        <v>-</v>
      </c>
      <c r="GB97" s="39" t="str">
        <f t="shared" si="352"/>
        <v>-</v>
      </c>
      <c r="GC97" s="39" t="str">
        <f t="shared" si="353"/>
        <v>-</v>
      </c>
      <c r="GD97" s="39" t="str">
        <f t="shared" si="354"/>
        <v>-</v>
      </c>
      <c r="GE97" s="39" t="str">
        <f t="shared" si="355"/>
        <v>-</v>
      </c>
      <c r="GF97" s="39" t="str">
        <f t="shared" si="356"/>
        <v>-</v>
      </c>
      <c r="GG97" s="39" t="str">
        <f t="shared" si="357"/>
        <v>-</v>
      </c>
      <c r="GH97" s="39" t="str">
        <f t="shared" si="358"/>
        <v>-</v>
      </c>
      <c r="GI97" s="39" t="str">
        <f t="shared" si="359"/>
        <v>-</v>
      </c>
      <c r="GJ97" s="39" t="str">
        <f t="shared" si="360"/>
        <v>-</v>
      </c>
      <c r="GK97" s="39" t="str">
        <f t="shared" si="361"/>
        <v>-</v>
      </c>
      <c r="GL97" s="39" t="str">
        <f t="shared" si="362"/>
        <v>-</v>
      </c>
      <c r="GM97" s="39" t="str">
        <f t="shared" si="363"/>
        <v>-</v>
      </c>
      <c r="GN97" s="39" t="str">
        <f t="shared" si="364"/>
        <v>-</v>
      </c>
      <c r="GO97" s="39" t="str">
        <f t="shared" si="365"/>
        <v>-</v>
      </c>
      <c r="GP97" s="39" t="str">
        <f t="shared" si="366"/>
        <v>-</v>
      </c>
      <c r="GQ97" s="39" t="str">
        <f t="shared" si="367"/>
        <v>-</v>
      </c>
      <c r="GR97" s="39" t="str">
        <f t="shared" si="368"/>
        <v>-</v>
      </c>
      <c r="GS97" s="39" t="str">
        <f t="shared" si="369"/>
        <v>-</v>
      </c>
      <c r="GT97" s="39" t="str">
        <f t="shared" si="370"/>
        <v>-</v>
      </c>
      <c r="GU97" s="39" t="str">
        <f t="shared" si="371"/>
        <v>-</v>
      </c>
      <c r="GV97" s="39" t="str">
        <f t="shared" si="372"/>
        <v>-</v>
      </c>
      <c r="GW97" s="39" t="str">
        <f t="shared" si="373"/>
        <v>-</v>
      </c>
      <c r="GX97" s="39" t="str">
        <f t="shared" si="374"/>
        <v>-</v>
      </c>
      <c r="GY97" s="39" t="str">
        <f t="shared" si="375"/>
        <v>-</v>
      </c>
      <c r="GZ97" s="39" t="str">
        <f t="shared" si="376"/>
        <v>-</v>
      </c>
      <c r="HA97" s="39" t="str">
        <f t="shared" si="377"/>
        <v>-</v>
      </c>
      <c r="HB97" s="39" t="str">
        <f t="shared" si="378"/>
        <v>-</v>
      </c>
      <c r="HC97" s="39" t="str">
        <f t="shared" si="379"/>
        <v>-</v>
      </c>
      <c r="HD97" s="39" t="str">
        <f t="shared" si="380"/>
        <v>-</v>
      </c>
      <c r="HE97" s="39" t="str">
        <f t="shared" si="381"/>
        <v>-</v>
      </c>
      <c r="HF97" s="39" t="str">
        <f t="shared" si="382"/>
        <v>-</v>
      </c>
      <c r="HG97" s="39" t="str">
        <f t="shared" si="383"/>
        <v>-</v>
      </c>
      <c r="HH97" s="39" t="str">
        <f t="shared" si="384"/>
        <v>-</v>
      </c>
      <c r="HI97" s="39" t="str">
        <f t="shared" si="385"/>
        <v>-</v>
      </c>
      <c r="HJ97" s="39" t="str">
        <f t="shared" si="386"/>
        <v>-</v>
      </c>
      <c r="HK97" s="39" t="str">
        <f t="shared" si="387"/>
        <v>-</v>
      </c>
      <c r="HL97" s="39" t="str">
        <f t="shared" si="388"/>
        <v>-</v>
      </c>
      <c r="HM97" s="39" t="str">
        <f t="shared" si="389"/>
        <v>-</v>
      </c>
      <c r="HN97" s="39" t="str">
        <f t="shared" si="390"/>
        <v>-</v>
      </c>
      <c r="HO97" s="39" t="str">
        <f t="shared" si="391"/>
        <v>-</v>
      </c>
      <c r="HP97" s="39" t="str">
        <f t="shared" si="392"/>
        <v>-</v>
      </c>
      <c r="HQ97" s="39" t="str">
        <f t="shared" si="393"/>
        <v>-</v>
      </c>
      <c r="HR97" s="39" t="str">
        <f t="shared" si="394"/>
        <v>-</v>
      </c>
      <c r="HS97" s="39" t="str">
        <f t="shared" si="395"/>
        <v>-</v>
      </c>
      <c r="HT97" s="39" t="str">
        <f t="shared" si="395"/>
        <v>-</v>
      </c>
      <c r="HU97" s="43" t="str">
        <f t="shared" si="445"/>
        <v>-</v>
      </c>
      <c r="HV97" s="44" t="str">
        <f t="shared" si="446"/>
        <v/>
      </c>
      <c r="HW97" s="45" t="str">
        <f t="shared" si="447"/>
        <v/>
      </c>
      <c r="HX97" s="102"/>
      <c r="HY97" s="102"/>
      <c r="HZ97" s="102"/>
      <c r="IA97" s="101"/>
      <c r="IB97" s="102"/>
      <c r="IC97" s="103"/>
      <c r="ID97" s="101"/>
      <c r="IE97" s="102"/>
      <c r="IF97" s="103"/>
      <c r="IH97" s="66">
        <v>97</v>
      </c>
      <c r="II97" s="66" t="e">
        <f t="shared" ca="1" si="436"/>
        <v>#N/A</v>
      </c>
      <c r="IJ97" s="66" t="e">
        <f t="shared" ca="1" si="437"/>
        <v>#N/A</v>
      </c>
      <c r="IK97" s="66" t="e">
        <f t="shared" ca="1" si="438"/>
        <v>#N/A</v>
      </c>
      <c r="IL97" s="66" t="e">
        <f t="shared" ca="1" si="439"/>
        <v>#N/A</v>
      </c>
      <c r="IN97" s="74" t="e">
        <f t="shared" ca="1" si="440"/>
        <v>#N/A</v>
      </c>
      <c r="IO97" s="75" t="e">
        <f t="shared" ca="1" si="441"/>
        <v>#N/A</v>
      </c>
      <c r="IP97" s="75" t="e">
        <f t="shared" ca="1" si="442"/>
        <v>#N/A</v>
      </c>
      <c r="IQ97" s="74" t="e">
        <f t="shared" ca="1" si="443"/>
        <v>#N/A</v>
      </c>
      <c r="IR97" s="74" t="e">
        <f t="shared" ca="1" si="444"/>
        <v>#N/A</v>
      </c>
    </row>
    <row r="98" spans="1:252" x14ac:dyDescent="0.35">
      <c r="A98" s="28">
        <v>0</v>
      </c>
      <c r="B98" s="28">
        <v>0</v>
      </c>
      <c r="C98" s="28">
        <v>1</v>
      </c>
      <c r="D98" s="1"/>
      <c r="E98" s="3"/>
      <c r="F98" t="s">
        <v>363</v>
      </c>
      <c r="G98" s="5" t="s">
        <v>540</v>
      </c>
      <c r="H98" t="s">
        <v>539</v>
      </c>
      <c r="I98" t="s">
        <v>536</v>
      </c>
      <c r="J98" s="276" t="s">
        <v>805</v>
      </c>
      <c r="K98" s="113" t="s">
        <v>805</v>
      </c>
      <c r="L98" s="113" t="s">
        <v>805</v>
      </c>
      <c r="M98" s="113" t="s">
        <v>805</v>
      </c>
      <c r="N98" s="113" t="s">
        <v>805</v>
      </c>
      <c r="O98" s="113" t="s">
        <v>805</v>
      </c>
      <c r="P98" s="113" t="s">
        <v>805</v>
      </c>
      <c r="Q98" s="113" t="s">
        <v>805</v>
      </c>
      <c r="R98" s="113" t="s">
        <v>805</v>
      </c>
      <c r="S98" s="113" t="s">
        <v>805</v>
      </c>
      <c r="T98" s="113" t="s">
        <v>805</v>
      </c>
      <c r="U98" s="113" t="s">
        <v>805</v>
      </c>
      <c r="V98" s="113" t="s">
        <v>805</v>
      </c>
      <c r="W98" s="113" t="s">
        <v>805</v>
      </c>
      <c r="X98" s="113" t="s">
        <v>805</v>
      </c>
      <c r="Y98" s="113" t="s">
        <v>805</v>
      </c>
      <c r="Z98" s="113" t="s">
        <v>805</v>
      </c>
      <c r="AA98" s="113" t="s">
        <v>805</v>
      </c>
      <c r="AB98" s="113" t="s">
        <v>805</v>
      </c>
      <c r="AC98" s="113" t="s">
        <v>805</v>
      </c>
      <c r="AD98" s="113" t="s">
        <v>805</v>
      </c>
      <c r="AE98" s="113" t="s">
        <v>805</v>
      </c>
      <c r="AF98" s="113" t="s">
        <v>805</v>
      </c>
      <c r="AG98" s="113" t="s">
        <v>805</v>
      </c>
      <c r="AH98" s="113" t="s">
        <v>805</v>
      </c>
      <c r="AI98" s="113" t="s">
        <v>805</v>
      </c>
      <c r="AJ98" s="113" t="s">
        <v>805</v>
      </c>
      <c r="AK98" s="113" t="s">
        <v>805</v>
      </c>
      <c r="AL98" s="113" t="s">
        <v>805</v>
      </c>
      <c r="AM98" s="113" t="s">
        <v>805</v>
      </c>
      <c r="AN98" s="113" t="s">
        <v>805</v>
      </c>
      <c r="AO98" s="113" t="s">
        <v>805</v>
      </c>
      <c r="AP98" s="113" t="s">
        <v>805</v>
      </c>
      <c r="AQ98" s="113" t="s">
        <v>805</v>
      </c>
      <c r="AR98" s="113" t="s">
        <v>805</v>
      </c>
      <c r="AS98" s="113" t="s">
        <v>805</v>
      </c>
      <c r="AT98" s="113" t="s">
        <v>805</v>
      </c>
      <c r="AU98" s="113" t="s">
        <v>805</v>
      </c>
      <c r="AV98" s="113" t="s">
        <v>805</v>
      </c>
      <c r="AW98" s="113" t="s">
        <v>805</v>
      </c>
      <c r="AX98" s="113" t="s">
        <v>805</v>
      </c>
      <c r="AY98" s="113" t="s">
        <v>805</v>
      </c>
      <c r="AZ98" s="113" t="s">
        <v>805</v>
      </c>
      <c r="BA98" s="113" t="s">
        <v>805</v>
      </c>
      <c r="BB98" s="113" t="s">
        <v>805</v>
      </c>
      <c r="BC98" s="113" t="s">
        <v>805</v>
      </c>
      <c r="BD98" s="113" t="s">
        <v>805</v>
      </c>
      <c r="BE98" s="113" t="s">
        <v>805</v>
      </c>
      <c r="BF98" s="113" t="s">
        <v>805</v>
      </c>
      <c r="BG98" s="113" t="s">
        <v>805</v>
      </c>
      <c r="BH98" s="113" t="s">
        <v>805</v>
      </c>
      <c r="BI98" s="113" t="s">
        <v>805</v>
      </c>
      <c r="BJ98" s="113" t="s">
        <v>805</v>
      </c>
      <c r="BK98" s="113" t="s">
        <v>805</v>
      </c>
      <c r="BL98" s="113" t="s">
        <v>805</v>
      </c>
      <c r="BM98" s="113" t="s">
        <v>805</v>
      </c>
      <c r="BN98" s="113" t="s">
        <v>805</v>
      </c>
      <c r="BO98" s="113" t="s">
        <v>805</v>
      </c>
      <c r="BP98" s="113" t="s">
        <v>805</v>
      </c>
      <c r="BQ98" s="113" t="s">
        <v>805</v>
      </c>
      <c r="BR98" s="113" t="s">
        <v>805</v>
      </c>
      <c r="BS98" s="113" t="s">
        <v>805</v>
      </c>
      <c r="BT98" s="113" t="s">
        <v>805</v>
      </c>
      <c r="BU98" s="113" t="s">
        <v>805</v>
      </c>
      <c r="BV98" s="113" t="s">
        <v>805</v>
      </c>
      <c r="BW98" s="113" t="s">
        <v>805</v>
      </c>
      <c r="BX98" s="113" t="s">
        <v>805</v>
      </c>
      <c r="BY98" s="113" t="s">
        <v>805</v>
      </c>
      <c r="BZ98" s="113" t="s">
        <v>805</v>
      </c>
      <c r="CA98" s="113" t="s">
        <v>805</v>
      </c>
      <c r="CB98" s="113" t="s">
        <v>805</v>
      </c>
      <c r="CC98" s="113" t="s">
        <v>805</v>
      </c>
      <c r="CD98" s="113" t="s">
        <v>805</v>
      </c>
      <c r="CE98" s="113" t="s">
        <v>805</v>
      </c>
      <c r="CF98" s="113" t="s">
        <v>805</v>
      </c>
      <c r="CG98" s="113" t="s">
        <v>805</v>
      </c>
      <c r="CH98" s="113" t="s">
        <v>805</v>
      </c>
      <c r="CI98" s="113" t="s">
        <v>805</v>
      </c>
      <c r="CJ98" s="113" t="s">
        <v>805</v>
      </c>
      <c r="CK98" s="113" t="s">
        <v>805</v>
      </c>
      <c r="CL98" s="113" t="s">
        <v>805</v>
      </c>
      <c r="CM98" s="113" t="s">
        <v>805</v>
      </c>
      <c r="CN98" s="113" t="s">
        <v>805</v>
      </c>
      <c r="CO98" s="113" t="s">
        <v>805</v>
      </c>
      <c r="CP98" s="113" t="s">
        <v>805</v>
      </c>
      <c r="CQ98" s="113" t="s">
        <v>805</v>
      </c>
      <c r="CR98" s="113" t="s">
        <v>805</v>
      </c>
      <c r="CS98" s="113" t="s">
        <v>805</v>
      </c>
      <c r="CT98" s="113" t="s">
        <v>805</v>
      </c>
      <c r="CU98" s="113" t="s">
        <v>805</v>
      </c>
      <c r="CV98" s="113" t="s">
        <v>805</v>
      </c>
      <c r="CW98" s="113" t="s">
        <v>805</v>
      </c>
      <c r="CX98" s="113" t="s">
        <v>805</v>
      </c>
      <c r="CY98" s="113" t="s">
        <v>805</v>
      </c>
      <c r="CZ98" s="113" t="s">
        <v>805</v>
      </c>
      <c r="DA98" s="113" t="s">
        <v>805</v>
      </c>
      <c r="DB98" s="113" t="s">
        <v>805</v>
      </c>
      <c r="DC98" s="113" t="s">
        <v>805</v>
      </c>
      <c r="DD98" s="113" t="s">
        <v>805</v>
      </c>
      <c r="DE98" s="113" t="s">
        <v>805</v>
      </c>
      <c r="DF98" s="113" t="s">
        <v>805</v>
      </c>
      <c r="DG98" s="28">
        <f>'KPI Count-SHARE'!J87</f>
        <v>0</v>
      </c>
      <c r="DH98" s="114"/>
      <c r="DI98" s="114"/>
      <c r="DJ98" s="114"/>
      <c r="DK98" s="28">
        <f>'KPI Count-SHARE'!K87</f>
        <v>0</v>
      </c>
      <c r="DL98" s="118"/>
      <c r="DM98" s="118"/>
      <c r="DN98" s="118"/>
      <c r="DO98" s="28">
        <f>'KPI Count-SHARE'!L87</f>
        <v>0</v>
      </c>
      <c r="DP98" s="118"/>
      <c r="DQ98" s="118"/>
      <c r="DR98" s="118"/>
      <c r="DS98" s="28">
        <f>'KPI Count-SHARE'!M87</f>
        <v>0</v>
      </c>
      <c r="DT98" s="118"/>
      <c r="DU98" s="118"/>
      <c r="DV98" s="118"/>
      <c r="DW98" t="str">
        <f t="shared" si="460"/>
        <v>USD '000 per account</v>
      </c>
      <c r="DX98" s="39" t="str">
        <f t="shared" si="425"/>
        <v>-</v>
      </c>
      <c r="DY98" s="39" t="str">
        <f t="shared" si="426"/>
        <v>-</v>
      </c>
      <c r="DZ98" s="39" t="str">
        <f t="shared" si="427"/>
        <v>-</v>
      </c>
      <c r="EA98" s="39" t="str">
        <f t="shared" si="428"/>
        <v>-</v>
      </c>
      <c r="EB98" s="39" t="str">
        <f t="shared" si="429"/>
        <v>-</v>
      </c>
      <c r="EC98" s="39" t="str">
        <f t="shared" si="430"/>
        <v>-</v>
      </c>
      <c r="ED98" s="39" t="str">
        <f t="shared" si="431"/>
        <v>-</v>
      </c>
      <c r="EE98" s="39" t="str">
        <f t="shared" si="432"/>
        <v>-</v>
      </c>
      <c r="EF98" s="39" t="str">
        <f t="shared" si="433"/>
        <v>-</v>
      </c>
      <c r="EG98" s="39" t="str">
        <f t="shared" si="434"/>
        <v>-</v>
      </c>
      <c r="EH98" s="39" t="str">
        <f t="shared" si="435"/>
        <v>-</v>
      </c>
      <c r="EI98" s="39" t="str">
        <f t="shared" si="448"/>
        <v>-</v>
      </c>
      <c r="EJ98" s="39" t="str">
        <f t="shared" si="449"/>
        <v>-</v>
      </c>
      <c r="EK98" s="39" t="str">
        <f t="shared" si="450"/>
        <v>-</v>
      </c>
      <c r="EL98" s="39" t="str">
        <f t="shared" si="451"/>
        <v>-</v>
      </c>
      <c r="EM98" s="39" t="str">
        <f t="shared" si="452"/>
        <v>-</v>
      </c>
      <c r="EN98" s="39" t="str">
        <f t="shared" si="453"/>
        <v>-</v>
      </c>
      <c r="EO98" s="39" t="str">
        <f t="shared" si="454"/>
        <v>-</v>
      </c>
      <c r="EP98" s="39" t="str">
        <f t="shared" si="455"/>
        <v>-</v>
      </c>
      <c r="EQ98" s="39" t="str">
        <f t="shared" si="456"/>
        <v>-</v>
      </c>
      <c r="ER98" s="39" t="str">
        <f t="shared" si="457"/>
        <v>-</v>
      </c>
      <c r="ES98" s="39" t="str">
        <f t="shared" si="458"/>
        <v>-</v>
      </c>
      <c r="ET98" s="39" t="str">
        <f t="shared" si="459"/>
        <v>-</v>
      </c>
      <c r="EU98" s="39" t="str">
        <f t="shared" si="319"/>
        <v>-</v>
      </c>
      <c r="EV98" s="39" t="str">
        <f t="shared" si="320"/>
        <v>-</v>
      </c>
      <c r="EW98" s="39" t="str">
        <f t="shared" si="321"/>
        <v>-</v>
      </c>
      <c r="EX98" s="39" t="str">
        <f t="shared" si="322"/>
        <v>-</v>
      </c>
      <c r="EY98" s="39" t="str">
        <f t="shared" si="323"/>
        <v>-</v>
      </c>
      <c r="EZ98" s="39" t="str">
        <f t="shared" si="324"/>
        <v>-</v>
      </c>
      <c r="FA98" s="39" t="str">
        <f t="shared" si="325"/>
        <v>-</v>
      </c>
      <c r="FB98" s="39" t="str">
        <f t="shared" si="326"/>
        <v>-</v>
      </c>
      <c r="FC98" s="39" t="str">
        <f t="shared" si="327"/>
        <v>-</v>
      </c>
      <c r="FD98" s="39" t="str">
        <f t="shared" si="328"/>
        <v>-</v>
      </c>
      <c r="FE98" s="39" t="str">
        <f t="shared" si="329"/>
        <v>-</v>
      </c>
      <c r="FF98" s="39" t="str">
        <f t="shared" si="330"/>
        <v>-</v>
      </c>
      <c r="FG98" s="39" t="str">
        <f t="shared" si="331"/>
        <v>-</v>
      </c>
      <c r="FH98" s="39" t="str">
        <f t="shared" si="332"/>
        <v>-</v>
      </c>
      <c r="FI98" s="39" t="str">
        <f t="shared" si="333"/>
        <v>-</v>
      </c>
      <c r="FJ98" s="39" t="str">
        <f t="shared" si="334"/>
        <v>-</v>
      </c>
      <c r="FK98" s="39" t="str">
        <f t="shared" si="335"/>
        <v>-</v>
      </c>
      <c r="FL98" s="39" t="str">
        <f t="shared" si="336"/>
        <v>-</v>
      </c>
      <c r="FM98" s="39" t="str">
        <f t="shared" si="337"/>
        <v>-</v>
      </c>
      <c r="FN98" s="39" t="str">
        <f t="shared" si="338"/>
        <v>-</v>
      </c>
      <c r="FO98" s="39" t="str">
        <f t="shared" si="339"/>
        <v>-</v>
      </c>
      <c r="FP98" s="39" t="str">
        <f t="shared" si="340"/>
        <v>-</v>
      </c>
      <c r="FQ98" s="39" t="str">
        <f t="shared" si="341"/>
        <v>-</v>
      </c>
      <c r="FR98" s="39" t="str">
        <f t="shared" si="342"/>
        <v>-</v>
      </c>
      <c r="FS98" s="39" t="str">
        <f t="shared" si="343"/>
        <v>-</v>
      </c>
      <c r="FT98" s="39" t="str">
        <f t="shared" si="344"/>
        <v>-</v>
      </c>
      <c r="FU98" s="39" t="str">
        <f t="shared" si="345"/>
        <v>-</v>
      </c>
      <c r="FV98" s="39" t="str">
        <f t="shared" si="346"/>
        <v>-</v>
      </c>
      <c r="FW98" s="39" t="str">
        <f t="shared" si="347"/>
        <v>-</v>
      </c>
      <c r="FX98" s="39" t="str">
        <f t="shared" si="348"/>
        <v>-</v>
      </c>
      <c r="FY98" s="39" t="str">
        <f t="shared" si="349"/>
        <v>-</v>
      </c>
      <c r="FZ98" s="39" t="str">
        <f t="shared" si="350"/>
        <v>-</v>
      </c>
      <c r="GA98" s="39" t="str">
        <f t="shared" si="351"/>
        <v>-</v>
      </c>
      <c r="GB98" s="39" t="str">
        <f t="shared" si="352"/>
        <v>-</v>
      </c>
      <c r="GC98" s="39" t="str">
        <f t="shared" si="353"/>
        <v>-</v>
      </c>
      <c r="GD98" s="39" t="str">
        <f t="shared" si="354"/>
        <v>-</v>
      </c>
      <c r="GE98" s="39" t="str">
        <f t="shared" si="355"/>
        <v>-</v>
      </c>
      <c r="GF98" s="39" t="str">
        <f t="shared" si="356"/>
        <v>-</v>
      </c>
      <c r="GG98" s="39" t="str">
        <f t="shared" si="357"/>
        <v>-</v>
      </c>
      <c r="GH98" s="39" t="str">
        <f t="shared" si="358"/>
        <v>-</v>
      </c>
      <c r="GI98" s="39" t="str">
        <f t="shared" si="359"/>
        <v>-</v>
      </c>
      <c r="GJ98" s="39" t="str">
        <f t="shared" si="360"/>
        <v>-</v>
      </c>
      <c r="GK98" s="39" t="str">
        <f t="shared" si="361"/>
        <v>-</v>
      </c>
      <c r="GL98" s="39" t="str">
        <f t="shared" si="362"/>
        <v>-</v>
      </c>
      <c r="GM98" s="39" t="str">
        <f t="shared" si="363"/>
        <v>-</v>
      </c>
      <c r="GN98" s="39" t="str">
        <f t="shared" si="364"/>
        <v>-</v>
      </c>
      <c r="GO98" s="39" t="str">
        <f t="shared" si="365"/>
        <v>-</v>
      </c>
      <c r="GP98" s="39" t="str">
        <f t="shared" si="366"/>
        <v>-</v>
      </c>
      <c r="GQ98" s="39" t="str">
        <f t="shared" si="367"/>
        <v>-</v>
      </c>
      <c r="GR98" s="39" t="str">
        <f t="shared" si="368"/>
        <v>-</v>
      </c>
      <c r="GS98" s="39" t="str">
        <f t="shared" si="369"/>
        <v>-</v>
      </c>
      <c r="GT98" s="39" t="str">
        <f t="shared" si="370"/>
        <v>-</v>
      </c>
      <c r="GU98" s="39" t="str">
        <f t="shared" si="371"/>
        <v>-</v>
      </c>
      <c r="GV98" s="39" t="str">
        <f t="shared" si="372"/>
        <v>-</v>
      </c>
      <c r="GW98" s="39" t="str">
        <f t="shared" si="373"/>
        <v>-</v>
      </c>
      <c r="GX98" s="39" t="str">
        <f t="shared" si="374"/>
        <v>-</v>
      </c>
      <c r="GY98" s="39" t="str">
        <f t="shared" si="375"/>
        <v>-</v>
      </c>
      <c r="GZ98" s="39" t="str">
        <f t="shared" si="376"/>
        <v>-</v>
      </c>
      <c r="HA98" s="39" t="str">
        <f t="shared" si="377"/>
        <v>-</v>
      </c>
      <c r="HB98" s="39" t="str">
        <f t="shared" si="378"/>
        <v>-</v>
      </c>
      <c r="HC98" s="39" t="str">
        <f t="shared" si="379"/>
        <v>-</v>
      </c>
      <c r="HD98" s="39" t="str">
        <f t="shared" si="380"/>
        <v>-</v>
      </c>
      <c r="HE98" s="39" t="str">
        <f t="shared" si="381"/>
        <v>-</v>
      </c>
      <c r="HF98" s="39" t="str">
        <f t="shared" si="382"/>
        <v>-</v>
      </c>
      <c r="HG98" s="39" t="str">
        <f t="shared" si="383"/>
        <v>-</v>
      </c>
      <c r="HH98" s="39" t="str">
        <f t="shared" si="384"/>
        <v>-</v>
      </c>
      <c r="HI98" s="39" t="str">
        <f t="shared" si="385"/>
        <v>-</v>
      </c>
      <c r="HJ98" s="39" t="str">
        <f t="shared" si="386"/>
        <v>-</v>
      </c>
      <c r="HK98" s="39" t="str">
        <f t="shared" si="387"/>
        <v>-</v>
      </c>
      <c r="HL98" s="39" t="str">
        <f t="shared" si="388"/>
        <v>-</v>
      </c>
      <c r="HM98" s="39" t="str">
        <f t="shared" si="389"/>
        <v>-</v>
      </c>
      <c r="HN98" s="39" t="str">
        <f t="shared" si="390"/>
        <v>-</v>
      </c>
      <c r="HO98" s="39" t="str">
        <f t="shared" si="391"/>
        <v>-</v>
      </c>
      <c r="HP98" s="39" t="str">
        <f t="shared" si="392"/>
        <v>-</v>
      </c>
      <c r="HQ98" s="39" t="str">
        <f t="shared" si="393"/>
        <v>-</v>
      </c>
      <c r="HR98" s="39" t="str">
        <f t="shared" si="394"/>
        <v>-</v>
      </c>
      <c r="HS98" s="39" t="str">
        <f t="shared" si="395"/>
        <v>-</v>
      </c>
      <c r="HT98" s="39" t="str">
        <f t="shared" si="395"/>
        <v>-</v>
      </c>
      <c r="HU98" s="43" t="str">
        <f t="shared" si="445"/>
        <v>-</v>
      </c>
      <c r="HV98" s="44" t="str">
        <f t="shared" si="446"/>
        <v/>
      </c>
      <c r="HW98" s="45" t="str">
        <f t="shared" si="447"/>
        <v/>
      </c>
      <c r="HX98" s="102"/>
      <c r="HY98" s="102"/>
      <c r="HZ98" s="102"/>
      <c r="IA98" s="101"/>
      <c r="IB98" s="102"/>
      <c r="IC98" s="103"/>
      <c r="ID98" s="101"/>
      <c r="IE98" s="102"/>
      <c r="IF98" s="103"/>
      <c r="IH98" s="66">
        <v>98</v>
      </c>
      <c r="II98" s="66" t="e">
        <f t="shared" ca="1" si="436"/>
        <v>#N/A</v>
      </c>
      <c r="IJ98" s="66" t="e">
        <f t="shared" ca="1" si="437"/>
        <v>#N/A</v>
      </c>
      <c r="IK98" s="66" t="e">
        <f t="shared" ca="1" si="438"/>
        <v>#N/A</v>
      </c>
      <c r="IL98" s="66" t="e">
        <f t="shared" ca="1" si="439"/>
        <v>#N/A</v>
      </c>
      <c r="IN98" s="74" t="e">
        <f t="shared" ca="1" si="440"/>
        <v>#N/A</v>
      </c>
      <c r="IO98" s="75" t="e">
        <f t="shared" ca="1" si="441"/>
        <v>#N/A</v>
      </c>
      <c r="IP98" s="75" t="e">
        <f t="shared" ca="1" si="442"/>
        <v>#N/A</v>
      </c>
      <c r="IQ98" s="74" t="e">
        <f t="shared" ca="1" si="443"/>
        <v>#N/A</v>
      </c>
      <c r="IR98" s="74" t="e">
        <f t="shared" ca="1" si="444"/>
        <v>#N/A</v>
      </c>
    </row>
    <row r="99" spans="1:252" x14ac:dyDescent="0.35">
      <c r="A99" s="28">
        <v>0</v>
      </c>
      <c r="B99" s="28">
        <v>0</v>
      </c>
      <c r="C99" s="28">
        <v>1</v>
      </c>
      <c r="D99" s="1"/>
      <c r="E99" s="3"/>
      <c r="F99" t="s">
        <v>364</v>
      </c>
      <c r="G99" s="5" t="s">
        <v>540</v>
      </c>
      <c r="H99" t="s">
        <v>539</v>
      </c>
      <c r="I99" t="s">
        <v>536</v>
      </c>
      <c r="J99" s="276" t="s">
        <v>805</v>
      </c>
      <c r="K99" s="113" t="s">
        <v>805</v>
      </c>
      <c r="L99" s="113" t="s">
        <v>805</v>
      </c>
      <c r="M99" s="113" t="s">
        <v>805</v>
      </c>
      <c r="N99" s="113" t="s">
        <v>805</v>
      </c>
      <c r="O99" s="113" t="s">
        <v>805</v>
      </c>
      <c r="P99" s="113" t="s">
        <v>805</v>
      </c>
      <c r="Q99" s="113" t="s">
        <v>805</v>
      </c>
      <c r="R99" s="113" t="s">
        <v>805</v>
      </c>
      <c r="S99" s="113" t="s">
        <v>805</v>
      </c>
      <c r="T99" s="113" t="s">
        <v>805</v>
      </c>
      <c r="U99" s="113" t="s">
        <v>805</v>
      </c>
      <c r="V99" s="113" t="s">
        <v>805</v>
      </c>
      <c r="W99" s="113" t="s">
        <v>805</v>
      </c>
      <c r="X99" s="113" t="s">
        <v>805</v>
      </c>
      <c r="Y99" s="113" t="s">
        <v>805</v>
      </c>
      <c r="Z99" s="113" t="s">
        <v>805</v>
      </c>
      <c r="AA99" s="113" t="s">
        <v>805</v>
      </c>
      <c r="AB99" s="113" t="s">
        <v>805</v>
      </c>
      <c r="AC99" s="113" t="s">
        <v>805</v>
      </c>
      <c r="AD99" s="113" t="s">
        <v>805</v>
      </c>
      <c r="AE99" s="113" t="s">
        <v>805</v>
      </c>
      <c r="AF99" s="113" t="s">
        <v>805</v>
      </c>
      <c r="AG99" s="113" t="s">
        <v>805</v>
      </c>
      <c r="AH99" s="113" t="s">
        <v>805</v>
      </c>
      <c r="AI99" s="113" t="s">
        <v>805</v>
      </c>
      <c r="AJ99" s="113" t="s">
        <v>805</v>
      </c>
      <c r="AK99" s="113" t="s">
        <v>805</v>
      </c>
      <c r="AL99" s="113" t="s">
        <v>805</v>
      </c>
      <c r="AM99" s="113" t="s">
        <v>805</v>
      </c>
      <c r="AN99" s="113" t="s">
        <v>805</v>
      </c>
      <c r="AO99" s="113" t="s">
        <v>805</v>
      </c>
      <c r="AP99" s="113" t="s">
        <v>805</v>
      </c>
      <c r="AQ99" s="113" t="s">
        <v>805</v>
      </c>
      <c r="AR99" s="113" t="s">
        <v>805</v>
      </c>
      <c r="AS99" s="113" t="s">
        <v>805</v>
      </c>
      <c r="AT99" s="113" t="s">
        <v>805</v>
      </c>
      <c r="AU99" s="113" t="s">
        <v>805</v>
      </c>
      <c r="AV99" s="113" t="s">
        <v>805</v>
      </c>
      <c r="AW99" s="113" t="s">
        <v>805</v>
      </c>
      <c r="AX99" s="113" t="s">
        <v>805</v>
      </c>
      <c r="AY99" s="113" t="s">
        <v>805</v>
      </c>
      <c r="AZ99" s="113" t="s">
        <v>805</v>
      </c>
      <c r="BA99" s="113" t="s">
        <v>805</v>
      </c>
      <c r="BB99" s="113" t="s">
        <v>805</v>
      </c>
      <c r="BC99" s="113" t="s">
        <v>805</v>
      </c>
      <c r="BD99" s="113" t="s">
        <v>805</v>
      </c>
      <c r="BE99" s="113" t="s">
        <v>805</v>
      </c>
      <c r="BF99" s="113" t="s">
        <v>805</v>
      </c>
      <c r="BG99" s="113" t="s">
        <v>805</v>
      </c>
      <c r="BH99" s="113" t="s">
        <v>805</v>
      </c>
      <c r="BI99" s="113" t="s">
        <v>805</v>
      </c>
      <c r="BJ99" s="113" t="s">
        <v>805</v>
      </c>
      <c r="BK99" s="113" t="s">
        <v>805</v>
      </c>
      <c r="BL99" s="113" t="s">
        <v>805</v>
      </c>
      <c r="BM99" s="113" t="s">
        <v>805</v>
      </c>
      <c r="BN99" s="113" t="s">
        <v>805</v>
      </c>
      <c r="BO99" s="113" t="s">
        <v>805</v>
      </c>
      <c r="BP99" s="113" t="s">
        <v>805</v>
      </c>
      <c r="BQ99" s="113" t="s">
        <v>805</v>
      </c>
      <c r="BR99" s="113" t="s">
        <v>805</v>
      </c>
      <c r="BS99" s="113" t="s">
        <v>805</v>
      </c>
      <c r="BT99" s="113" t="s">
        <v>805</v>
      </c>
      <c r="BU99" s="113" t="s">
        <v>805</v>
      </c>
      <c r="BV99" s="113" t="s">
        <v>805</v>
      </c>
      <c r="BW99" s="113" t="s">
        <v>805</v>
      </c>
      <c r="BX99" s="113" t="s">
        <v>805</v>
      </c>
      <c r="BY99" s="113" t="s">
        <v>805</v>
      </c>
      <c r="BZ99" s="113" t="s">
        <v>805</v>
      </c>
      <c r="CA99" s="113" t="s">
        <v>805</v>
      </c>
      <c r="CB99" s="113" t="s">
        <v>805</v>
      </c>
      <c r="CC99" s="113" t="s">
        <v>805</v>
      </c>
      <c r="CD99" s="113" t="s">
        <v>805</v>
      </c>
      <c r="CE99" s="113" t="s">
        <v>805</v>
      </c>
      <c r="CF99" s="113" t="s">
        <v>805</v>
      </c>
      <c r="CG99" s="113" t="s">
        <v>805</v>
      </c>
      <c r="CH99" s="113" t="s">
        <v>805</v>
      </c>
      <c r="CI99" s="113" t="s">
        <v>805</v>
      </c>
      <c r="CJ99" s="113" t="s">
        <v>805</v>
      </c>
      <c r="CK99" s="113" t="s">
        <v>805</v>
      </c>
      <c r="CL99" s="113" t="s">
        <v>805</v>
      </c>
      <c r="CM99" s="113" t="s">
        <v>805</v>
      </c>
      <c r="CN99" s="113" t="s">
        <v>805</v>
      </c>
      <c r="CO99" s="113" t="s">
        <v>805</v>
      </c>
      <c r="CP99" s="113" t="s">
        <v>805</v>
      </c>
      <c r="CQ99" s="113" t="s">
        <v>805</v>
      </c>
      <c r="CR99" s="113" t="s">
        <v>805</v>
      </c>
      <c r="CS99" s="113" t="s">
        <v>805</v>
      </c>
      <c r="CT99" s="113" t="s">
        <v>805</v>
      </c>
      <c r="CU99" s="113" t="s">
        <v>805</v>
      </c>
      <c r="CV99" s="113" t="s">
        <v>805</v>
      </c>
      <c r="CW99" s="113" t="s">
        <v>805</v>
      </c>
      <c r="CX99" s="113" t="s">
        <v>805</v>
      </c>
      <c r="CY99" s="113" t="s">
        <v>805</v>
      </c>
      <c r="CZ99" s="113" t="s">
        <v>805</v>
      </c>
      <c r="DA99" s="113" t="s">
        <v>805</v>
      </c>
      <c r="DB99" s="113" t="s">
        <v>805</v>
      </c>
      <c r="DC99" s="113" t="s">
        <v>805</v>
      </c>
      <c r="DD99" s="113" t="s">
        <v>805</v>
      </c>
      <c r="DE99" s="113" t="s">
        <v>805</v>
      </c>
      <c r="DF99" s="113" t="s">
        <v>805</v>
      </c>
      <c r="DG99" s="28">
        <f>'KPI Count-SHARE'!J88</f>
        <v>0</v>
      </c>
      <c r="DH99" s="114"/>
      <c r="DI99" s="114"/>
      <c r="DJ99" s="114"/>
      <c r="DK99" s="28">
        <f>'KPI Count-SHARE'!K88</f>
        <v>0</v>
      </c>
      <c r="DL99" s="118"/>
      <c r="DM99" s="118"/>
      <c r="DN99" s="118"/>
      <c r="DO99" s="28">
        <f>'KPI Count-SHARE'!L88</f>
        <v>0</v>
      </c>
      <c r="DP99" s="118"/>
      <c r="DQ99" s="118"/>
      <c r="DR99" s="118"/>
      <c r="DS99" s="28">
        <f>'KPI Count-SHARE'!M88</f>
        <v>0</v>
      </c>
      <c r="DT99" s="118"/>
      <c r="DU99" s="118"/>
      <c r="DV99" s="118"/>
      <c r="DW99" t="str">
        <f t="shared" si="460"/>
        <v>USD '000 per account</v>
      </c>
      <c r="DX99" s="39" t="str">
        <f t="shared" si="425"/>
        <v>-</v>
      </c>
      <c r="DY99" s="39" t="str">
        <f t="shared" si="426"/>
        <v>-</v>
      </c>
      <c r="DZ99" s="39" t="str">
        <f t="shared" si="427"/>
        <v>-</v>
      </c>
      <c r="EA99" s="39" t="str">
        <f t="shared" si="428"/>
        <v>-</v>
      </c>
      <c r="EB99" s="39" t="str">
        <f t="shared" si="429"/>
        <v>-</v>
      </c>
      <c r="EC99" s="39" t="str">
        <f t="shared" si="430"/>
        <v>-</v>
      </c>
      <c r="ED99" s="39" t="str">
        <f t="shared" si="431"/>
        <v>-</v>
      </c>
      <c r="EE99" s="39" t="str">
        <f t="shared" si="432"/>
        <v>-</v>
      </c>
      <c r="EF99" s="39" t="str">
        <f t="shared" si="433"/>
        <v>-</v>
      </c>
      <c r="EG99" s="39" t="str">
        <f t="shared" si="434"/>
        <v>-</v>
      </c>
      <c r="EH99" s="39" t="str">
        <f t="shared" si="435"/>
        <v>-</v>
      </c>
      <c r="EI99" s="39" t="str">
        <f t="shared" si="448"/>
        <v>-</v>
      </c>
      <c r="EJ99" s="39" t="str">
        <f t="shared" si="449"/>
        <v>-</v>
      </c>
      <c r="EK99" s="39" t="str">
        <f t="shared" si="450"/>
        <v>-</v>
      </c>
      <c r="EL99" s="39" t="str">
        <f t="shared" si="451"/>
        <v>-</v>
      </c>
      <c r="EM99" s="39" t="str">
        <f t="shared" si="452"/>
        <v>-</v>
      </c>
      <c r="EN99" s="39" t="str">
        <f t="shared" si="453"/>
        <v>-</v>
      </c>
      <c r="EO99" s="39" t="str">
        <f t="shared" si="454"/>
        <v>-</v>
      </c>
      <c r="EP99" s="39" t="str">
        <f t="shared" si="455"/>
        <v>-</v>
      </c>
      <c r="EQ99" s="39" t="str">
        <f t="shared" si="456"/>
        <v>-</v>
      </c>
      <c r="ER99" s="39" t="str">
        <f t="shared" si="457"/>
        <v>-</v>
      </c>
      <c r="ES99" s="39" t="str">
        <f t="shared" si="458"/>
        <v>-</v>
      </c>
      <c r="ET99" s="39" t="str">
        <f t="shared" si="459"/>
        <v>-</v>
      </c>
      <c r="EU99" s="39" t="str">
        <f t="shared" si="319"/>
        <v>-</v>
      </c>
      <c r="EV99" s="39" t="str">
        <f t="shared" si="320"/>
        <v>-</v>
      </c>
      <c r="EW99" s="39" t="str">
        <f t="shared" si="321"/>
        <v>-</v>
      </c>
      <c r="EX99" s="39" t="str">
        <f t="shared" si="322"/>
        <v>-</v>
      </c>
      <c r="EY99" s="39" t="str">
        <f t="shared" si="323"/>
        <v>-</v>
      </c>
      <c r="EZ99" s="39" t="str">
        <f t="shared" si="324"/>
        <v>-</v>
      </c>
      <c r="FA99" s="39" t="str">
        <f t="shared" si="325"/>
        <v>-</v>
      </c>
      <c r="FB99" s="39" t="str">
        <f t="shared" si="326"/>
        <v>-</v>
      </c>
      <c r="FC99" s="39" t="str">
        <f t="shared" si="327"/>
        <v>-</v>
      </c>
      <c r="FD99" s="39" t="str">
        <f t="shared" si="328"/>
        <v>-</v>
      </c>
      <c r="FE99" s="39" t="str">
        <f t="shared" si="329"/>
        <v>-</v>
      </c>
      <c r="FF99" s="39" t="str">
        <f t="shared" si="330"/>
        <v>-</v>
      </c>
      <c r="FG99" s="39" t="str">
        <f t="shared" si="331"/>
        <v>-</v>
      </c>
      <c r="FH99" s="39" t="str">
        <f t="shared" si="332"/>
        <v>-</v>
      </c>
      <c r="FI99" s="39" t="str">
        <f t="shared" si="333"/>
        <v>-</v>
      </c>
      <c r="FJ99" s="39" t="str">
        <f t="shared" si="334"/>
        <v>-</v>
      </c>
      <c r="FK99" s="39" t="str">
        <f t="shared" si="335"/>
        <v>-</v>
      </c>
      <c r="FL99" s="39" t="str">
        <f t="shared" si="336"/>
        <v>-</v>
      </c>
      <c r="FM99" s="39" t="str">
        <f t="shared" si="337"/>
        <v>-</v>
      </c>
      <c r="FN99" s="39" t="str">
        <f t="shared" si="338"/>
        <v>-</v>
      </c>
      <c r="FO99" s="39" t="str">
        <f t="shared" si="339"/>
        <v>-</v>
      </c>
      <c r="FP99" s="39" t="str">
        <f t="shared" si="340"/>
        <v>-</v>
      </c>
      <c r="FQ99" s="39" t="str">
        <f t="shared" si="341"/>
        <v>-</v>
      </c>
      <c r="FR99" s="39" t="str">
        <f t="shared" si="342"/>
        <v>-</v>
      </c>
      <c r="FS99" s="39" t="str">
        <f t="shared" si="343"/>
        <v>-</v>
      </c>
      <c r="FT99" s="39" t="str">
        <f t="shared" si="344"/>
        <v>-</v>
      </c>
      <c r="FU99" s="39" t="str">
        <f t="shared" si="345"/>
        <v>-</v>
      </c>
      <c r="FV99" s="39" t="str">
        <f t="shared" si="346"/>
        <v>-</v>
      </c>
      <c r="FW99" s="39" t="str">
        <f t="shared" si="347"/>
        <v>-</v>
      </c>
      <c r="FX99" s="39" t="str">
        <f t="shared" si="348"/>
        <v>-</v>
      </c>
      <c r="FY99" s="39" t="str">
        <f t="shared" si="349"/>
        <v>-</v>
      </c>
      <c r="FZ99" s="39" t="str">
        <f t="shared" si="350"/>
        <v>-</v>
      </c>
      <c r="GA99" s="39" t="str">
        <f t="shared" si="351"/>
        <v>-</v>
      </c>
      <c r="GB99" s="39" t="str">
        <f t="shared" si="352"/>
        <v>-</v>
      </c>
      <c r="GC99" s="39" t="str">
        <f t="shared" si="353"/>
        <v>-</v>
      </c>
      <c r="GD99" s="39" t="str">
        <f t="shared" si="354"/>
        <v>-</v>
      </c>
      <c r="GE99" s="39" t="str">
        <f t="shared" si="355"/>
        <v>-</v>
      </c>
      <c r="GF99" s="39" t="str">
        <f t="shared" si="356"/>
        <v>-</v>
      </c>
      <c r="GG99" s="39" t="str">
        <f t="shared" si="357"/>
        <v>-</v>
      </c>
      <c r="GH99" s="39" t="str">
        <f t="shared" si="358"/>
        <v>-</v>
      </c>
      <c r="GI99" s="39" t="str">
        <f t="shared" si="359"/>
        <v>-</v>
      </c>
      <c r="GJ99" s="39" t="str">
        <f t="shared" si="360"/>
        <v>-</v>
      </c>
      <c r="GK99" s="39" t="str">
        <f t="shared" si="361"/>
        <v>-</v>
      </c>
      <c r="GL99" s="39" t="str">
        <f t="shared" si="362"/>
        <v>-</v>
      </c>
      <c r="GM99" s="39" t="str">
        <f t="shared" si="363"/>
        <v>-</v>
      </c>
      <c r="GN99" s="39" t="str">
        <f t="shared" si="364"/>
        <v>-</v>
      </c>
      <c r="GO99" s="39" t="str">
        <f t="shared" si="365"/>
        <v>-</v>
      </c>
      <c r="GP99" s="39" t="str">
        <f t="shared" si="366"/>
        <v>-</v>
      </c>
      <c r="GQ99" s="39" t="str">
        <f t="shared" si="367"/>
        <v>-</v>
      </c>
      <c r="GR99" s="39" t="str">
        <f t="shared" si="368"/>
        <v>-</v>
      </c>
      <c r="GS99" s="39" t="str">
        <f t="shared" si="369"/>
        <v>-</v>
      </c>
      <c r="GT99" s="39" t="str">
        <f t="shared" si="370"/>
        <v>-</v>
      </c>
      <c r="GU99" s="39" t="str">
        <f t="shared" si="371"/>
        <v>-</v>
      </c>
      <c r="GV99" s="39" t="str">
        <f t="shared" si="372"/>
        <v>-</v>
      </c>
      <c r="GW99" s="39" t="str">
        <f t="shared" si="373"/>
        <v>-</v>
      </c>
      <c r="GX99" s="39" t="str">
        <f t="shared" si="374"/>
        <v>-</v>
      </c>
      <c r="GY99" s="39" t="str">
        <f t="shared" si="375"/>
        <v>-</v>
      </c>
      <c r="GZ99" s="39" t="str">
        <f t="shared" si="376"/>
        <v>-</v>
      </c>
      <c r="HA99" s="39" t="str">
        <f t="shared" si="377"/>
        <v>-</v>
      </c>
      <c r="HB99" s="39" t="str">
        <f t="shared" si="378"/>
        <v>-</v>
      </c>
      <c r="HC99" s="39" t="str">
        <f t="shared" si="379"/>
        <v>-</v>
      </c>
      <c r="HD99" s="39" t="str">
        <f t="shared" si="380"/>
        <v>-</v>
      </c>
      <c r="HE99" s="39" t="str">
        <f t="shared" si="381"/>
        <v>-</v>
      </c>
      <c r="HF99" s="39" t="str">
        <f t="shared" si="382"/>
        <v>-</v>
      </c>
      <c r="HG99" s="39" t="str">
        <f t="shared" si="383"/>
        <v>-</v>
      </c>
      <c r="HH99" s="39" t="str">
        <f t="shared" si="384"/>
        <v>-</v>
      </c>
      <c r="HI99" s="39" t="str">
        <f t="shared" si="385"/>
        <v>-</v>
      </c>
      <c r="HJ99" s="39" t="str">
        <f t="shared" si="386"/>
        <v>-</v>
      </c>
      <c r="HK99" s="39" t="str">
        <f t="shared" si="387"/>
        <v>-</v>
      </c>
      <c r="HL99" s="39" t="str">
        <f t="shared" si="388"/>
        <v>-</v>
      </c>
      <c r="HM99" s="39" t="str">
        <f t="shared" si="389"/>
        <v>-</v>
      </c>
      <c r="HN99" s="39" t="str">
        <f t="shared" si="390"/>
        <v>-</v>
      </c>
      <c r="HO99" s="39" t="str">
        <f t="shared" si="391"/>
        <v>-</v>
      </c>
      <c r="HP99" s="39" t="str">
        <f t="shared" si="392"/>
        <v>-</v>
      </c>
      <c r="HQ99" s="39" t="str">
        <f t="shared" si="393"/>
        <v>-</v>
      </c>
      <c r="HR99" s="39" t="str">
        <f t="shared" si="394"/>
        <v>-</v>
      </c>
      <c r="HS99" s="39" t="str">
        <f t="shared" si="395"/>
        <v>-</v>
      </c>
      <c r="HT99" s="39" t="str">
        <f t="shared" si="395"/>
        <v>-</v>
      </c>
      <c r="HU99" s="43" t="str">
        <f t="shared" si="445"/>
        <v>-</v>
      </c>
      <c r="HV99" s="44" t="str">
        <f t="shared" si="446"/>
        <v/>
      </c>
      <c r="HW99" s="45" t="str">
        <f t="shared" si="447"/>
        <v/>
      </c>
      <c r="HX99" s="102"/>
      <c r="HY99" s="102"/>
      <c r="HZ99" s="102"/>
      <c r="IA99" s="101"/>
      <c r="IB99" s="102"/>
      <c r="IC99" s="103"/>
      <c r="ID99" s="101"/>
      <c r="IE99" s="102"/>
      <c r="IF99" s="103"/>
      <c r="IH99" s="66">
        <v>99</v>
      </c>
      <c r="II99" s="66" t="e">
        <f t="shared" ca="1" si="436"/>
        <v>#N/A</v>
      </c>
      <c r="IJ99" s="66" t="e">
        <f t="shared" ca="1" si="437"/>
        <v>#N/A</v>
      </c>
      <c r="IK99" s="66" t="e">
        <f t="shared" ca="1" si="438"/>
        <v>#N/A</v>
      </c>
      <c r="IL99" s="66" t="e">
        <f t="shared" ca="1" si="439"/>
        <v>#N/A</v>
      </c>
      <c r="IN99" s="74" t="e">
        <f t="shared" ca="1" si="440"/>
        <v>#N/A</v>
      </c>
      <c r="IO99" s="75" t="e">
        <f t="shared" ca="1" si="441"/>
        <v>#N/A</v>
      </c>
      <c r="IP99" s="75" t="e">
        <f t="shared" ca="1" si="442"/>
        <v>#N/A</v>
      </c>
      <c r="IQ99" s="74" t="e">
        <f t="shared" ca="1" si="443"/>
        <v>#N/A</v>
      </c>
      <c r="IR99" s="74" t="e">
        <f t="shared" ca="1" si="444"/>
        <v>#N/A</v>
      </c>
    </row>
    <row r="100" spans="1:252" x14ac:dyDescent="0.35">
      <c r="A100" s="28">
        <v>0</v>
      </c>
      <c r="B100" s="28">
        <v>0</v>
      </c>
      <c r="C100" s="28">
        <v>1</v>
      </c>
      <c r="D100" s="1"/>
      <c r="E100" s="3"/>
      <c r="F100" t="s">
        <v>365</v>
      </c>
      <c r="G100" s="5" t="s">
        <v>540</v>
      </c>
      <c r="H100" t="s">
        <v>539</v>
      </c>
      <c r="I100" t="s">
        <v>536</v>
      </c>
      <c r="J100" s="276" t="s">
        <v>805</v>
      </c>
      <c r="K100" s="113" t="s">
        <v>805</v>
      </c>
      <c r="L100" s="113" t="s">
        <v>805</v>
      </c>
      <c r="M100" s="113" t="s">
        <v>805</v>
      </c>
      <c r="N100" s="113" t="s">
        <v>805</v>
      </c>
      <c r="O100" s="113" t="s">
        <v>805</v>
      </c>
      <c r="P100" s="113" t="s">
        <v>805</v>
      </c>
      <c r="Q100" s="113" t="s">
        <v>805</v>
      </c>
      <c r="R100" s="113" t="s">
        <v>805</v>
      </c>
      <c r="S100" s="113" t="s">
        <v>805</v>
      </c>
      <c r="T100" s="113" t="s">
        <v>805</v>
      </c>
      <c r="U100" s="113" t="s">
        <v>805</v>
      </c>
      <c r="V100" s="113" t="s">
        <v>805</v>
      </c>
      <c r="W100" s="113" t="s">
        <v>805</v>
      </c>
      <c r="X100" s="113" t="s">
        <v>805</v>
      </c>
      <c r="Y100" s="113" t="s">
        <v>805</v>
      </c>
      <c r="Z100" s="113" t="s">
        <v>805</v>
      </c>
      <c r="AA100" s="113" t="s">
        <v>805</v>
      </c>
      <c r="AB100" s="113" t="s">
        <v>805</v>
      </c>
      <c r="AC100" s="113" t="s">
        <v>805</v>
      </c>
      <c r="AD100" s="113" t="s">
        <v>805</v>
      </c>
      <c r="AE100" s="113" t="s">
        <v>805</v>
      </c>
      <c r="AF100" s="113" t="s">
        <v>805</v>
      </c>
      <c r="AG100" s="113" t="s">
        <v>805</v>
      </c>
      <c r="AH100" s="113" t="s">
        <v>805</v>
      </c>
      <c r="AI100" s="113" t="s">
        <v>805</v>
      </c>
      <c r="AJ100" s="113" t="s">
        <v>805</v>
      </c>
      <c r="AK100" s="113" t="s">
        <v>805</v>
      </c>
      <c r="AL100" s="113" t="s">
        <v>805</v>
      </c>
      <c r="AM100" s="113" t="s">
        <v>805</v>
      </c>
      <c r="AN100" s="113" t="s">
        <v>805</v>
      </c>
      <c r="AO100" s="113" t="s">
        <v>805</v>
      </c>
      <c r="AP100" s="113" t="s">
        <v>805</v>
      </c>
      <c r="AQ100" s="113" t="s">
        <v>805</v>
      </c>
      <c r="AR100" s="113" t="s">
        <v>805</v>
      </c>
      <c r="AS100" s="113" t="s">
        <v>805</v>
      </c>
      <c r="AT100" s="113" t="s">
        <v>805</v>
      </c>
      <c r="AU100" s="113" t="s">
        <v>805</v>
      </c>
      <c r="AV100" s="113" t="s">
        <v>805</v>
      </c>
      <c r="AW100" s="113" t="s">
        <v>805</v>
      </c>
      <c r="AX100" s="113" t="s">
        <v>805</v>
      </c>
      <c r="AY100" s="113" t="s">
        <v>805</v>
      </c>
      <c r="AZ100" s="113" t="s">
        <v>805</v>
      </c>
      <c r="BA100" s="113" t="s">
        <v>805</v>
      </c>
      <c r="BB100" s="113" t="s">
        <v>805</v>
      </c>
      <c r="BC100" s="113" t="s">
        <v>805</v>
      </c>
      <c r="BD100" s="113" t="s">
        <v>805</v>
      </c>
      <c r="BE100" s="113" t="s">
        <v>805</v>
      </c>
      <c r="BF100" s="113" t="s">
        <v>805</v>
      </c>
      <c r="BG100" s="113" t="s">
        <v>805</v>
      </c>
      <c r="BH100" s="113" t="s">
        <v>805</v>
      </c>
      <c r="BI100" s="113" t="s">
        <v>805</v>
      </c>
      <c r="BJ100" s="113" t="s">
        <v>805</v>
      </c>
      <c r="BK100" s="113" t="s">
        <v>805</v>
      </c>
      <c r="BL100" s="113" t="s">
        <v>805</v>
      </c>
      <c r="BM100" s="113" t="s">
        <v>805</v>
      </c>
      <c r="BN100" s="113" t="s">
        <v>805</v>
      </c>
      <c r="BO100" s="113" t="s">
        <v>805</v>
      </c>
      <c r="BP100" s="113" t="s">
        <v>805</v>
      </c>
      <c r="BQ100" s="113" t="s">
        <v>805</v>
      </c>
      <c r="BR100" s="113" t="s">
        <v>805</v>
      </c>
      <c r="BS100" s="113" t="s">
        <v>805</v>
      </c>
      <c r="BT100" s="113" t="s">
        <v>805</v>
      </c>
      <c r="BU100" s="113" t="s">
        <v>805</v>
      </c>
      <c r="BV100" s="113" t="s">
        <v>805</v>
      </c>
      <c r="BW100" s="113" t="s">
        <v>805</v>
      </c>
      <c r="BX100" s="113" t="s">
        <v>805</v>
      </c>
      <c r="BY100" s="113" t="s">
        <v>805</v>
      </c>
      <c r="BZ100" s="113" t="s">
        <v>805</v>
      </c>
      <c r="CA100" s="113" t="s">
        <v>805</v>
      </c>
      <c r="CB100" s="113" t="s">
        <v>805</v>
      </c>
      <c r="CC100" s="113" t="s">
        <v>805</v>
      </c>
      <c r="CD100" s="113" t="s">
        <v>805</v>
      </c>
      <c r="CE100" s="113" t="s">
        <v>805</v>
      </c>
      <c r="CF100" s="113" t="s">
        <v>805</v>
      </c>
      <c r="CG100" s="113" t="s">
        <v>805</v>
      </c>
      <c r="CH100" s="113" t="s">
        <v>805</v>
      </c>
      <c r="CI100" s="113" t="s">
        <v>805</v>
      </c>
      <c r="CJ100" s="113" t="s">
        <v>805</v>
      </c>
      <c r="CK100" s="113" t="s">
        <v>805</v>
      </c>
      <c r="CL100" s="113" t="s">
        <v>805</v>
      </c>
      <c r="CM100" s="113" t="s">
        <v>805</v>
      </c>
      <c r="CN100" s="113" t="s">
        <v>805</v>
      </c>
      <c r="CO100" s="113" t="s">
        <v>805</v>
      </c>
      <c r="CP100" s="113" t="s">
        <v>805</v>
      </c>
      <c r="CQ100" s="113" t="s">
        <v>805</v>
      </c>
      <c r="CR100" s="113" t="s">
        <v>805</v>
      </c>
      <c r="CS100" s="113" t="s">
        <v>805</v>
      </c>
      <c r="CT100" s="113" t="s">
        <v>805</v>
      </c>
      <c r="CU100" s="113" t="s">
        <v>805</v>
      </c>
      <c r="CV100" s="113" t="s">
        <v>805</v>
      </c>
      <c r="CW100" s="113" t="s">
        <v>805</v>
      </c>
      <c r="CX100" s="113" t="s">
        <v>805</v>
      </c>
      <c r="CY100" s="113" t="s">
        <v>805</v>
      </c>
      <c r="CZ100" s="113" t="s">
        <v>805</v>
      </c>
      <c r="DA100" s="113" t="s">
        <v>805</v>
      </c>
      <c r="DB100" s="113" t="s">
        <v>805</v>
      </c>
      <c r="DC100" s="113" t="s">
        <v>805</v>
      </c>
      <c r="DD100" s="113" t="s">
        <v>805</v>
      </c>
      <c r="DE100" s="113" t="s">
        <v>805</v>
      </c>
      <c r="DF100" s="113" t="s">
        <v>805</v>
      </c>
      <c r="DG100" s="28">
        <f>'KPI Count-SHARE'!J89</f>
        <v>0</v>
      </c>
      <c r="DH100" s="114"/>
      <c r="DI100" s="114"/>
      <c r="DJ100" s="114"/>
      <c r="DK100" s="28">
        <f>'KPI Count-SHARE'!K89</f>
        <v>0</v>
      </c>
      <c r="DL100" s="118"/>
      <c r="DM100" s="118"/>
      <c r="DN100" s="118"/>
      <c r="DO100" s="28">
        <f>'KPI Count-SHARE'!L89</f>
        <v>0</v>
      </c>
      <c r="DP100" s="118"/>
      <c r="DQ100" s="118"/>
      <c r="DR100" s="118"/>
      <c r="DS100" s="28">
        <f>'KPI Count-SHARE'!M89</f>
        <v>0</v>
      </c>
      <c r="DT100" s="118"/>
      <c r="DU100" s="118"/>
      <c r="DV100" s="118"/>
      <c r="DW100" t="str">
        <f t="shared" si="460"/>
        <v>USD '000 per account</v>
      </c>
      <c r="DX100" s="39" t="str">
        <f t="shared" si="425"/>
        <v>-</v>
      </c>
      <c r="DY100" s="39" t="str">
        <f t="shared" si="426"/>
        <v>-</v>
      </c>
      <c r="DZ100" s="39" t="str">
        <f t="shared" si="427"/>
        <v>-</v>
      </c>
      <c r="EA100" s="39" t="str">
        <f t="shared" si="428"/>
        <v>-</v>
      </c>
      <c r="EB100" s="39" t="str">
        <f t="shared" si="429"/>
        <v>-</v>
      </c>
      <c r="EC100" s="39" t="str">
        <f t="shared" si="430"/>
        <v>-</v>
      </c>
      <c r="ED100" s="39" t="str">
        <f t="shared" si="431"/>
        <v>-</v>
      </c>
      <c r="EE100" s="39" t="str">
        <f t="shared" si="432"/>
        <v>-</v>
      </c>
      <c r="EF100" s="39" t="str">
        <f t="shared" si="433"/>
        <v>-</v>
      </c>
      <c r="EG100" s="39" t="str">
        <f t="shared" si="434"/>
        <v>-</v>
      </c>
      <c r="EH100" s="39" t="str">
        <f t="shared" si="435"/>
        <v>-</v>
      </c>
      <c r="EI100" s="39" t="str">
        <f t="shared" si="448"/>
        <v>-</v>
      </c>
      <c r="EJ100" s="39" t="str">
        <f t="shared" si="449"/>
        <v>-</v>
      </c>
      <c r="EK100" s="39" t="str">
        <f t="shared" si="450"/>
        <v>-</v>
      </c>
      <c r="EL100" s="39" t="str">
        <f t="shared" si="451"/>
        <v>-</v>
      </c>
      <c r="EM100" s="39" t="str">
        <f t="shared" si="452"/>
        <v>-</v>
      </c>
      <c r="EN100" s="39" t="str">
        <f t="shared" si="453"/>
        <v>-</v>
      </c>
      <c r="EO100" s="39" t="str">
        <f t="shared" si="454"/>
        <v>-</v>
      </c>
      <c r="EP100" s="39" t="str">
        <f t="shared" si="455"/>
        <v>-</v>
      </c>
      <c r="EQ100" s="39" t="str">
        <f t="shared" si="456"/>
        <v>-</v>
      </c>
      <c r="ER100" s="39" t="str">
        <f t="shared" si="457"/>
        <v>-</v>
      </c>
      <c r="ES100" s="39" t="str">
        <f t="shared" si="458"/>
        <v>-</v>
      </c>
      <c r="ET100" s="39" t="str">
        <f t="shared" si="459"/>
        <v>-</v>
      </c>
      <c r="EU100" s="39" t="str">
        <f t="shared" si="319"/>
        <v>-</v>
      </c>
      <c r="EV100" s="39" t="str">
        <f t="shared" si="320"/>
        <v>-</v>
      </c>
      <c r="EW100" s="39" t="str">
        <f t="shared" si="321"/>
        <v>-</v>
      </c>
      <c r="EX100" s="39" t="str">
        <f t="shared" si="322"/>
        <v>-</v>
      </c>
      <c r="EY100" s="39" t="str">
        <f t="shared" si="323"/>
        <v>-</v>
      </c>
      <c r="EZ100" s="39" t="str">
        <f t="shared" si="324"/>
        <v>-</v>
      </c>
      <c r="FA100" s="39" t="str">
        <f t="shared" si="325"/>
        <v>-</v>
      </c>
      <c r="FB100" s="39" t="str">
        <f t="shared" si="326"/>
        <v>-</v>
      </c>
      <c r="FC100" s="39" t="str">
        <f t="shared" si="327"/>
        <v>-</v>
      </c>
      <c r="FD100" s="39" t="str">
        <f t="shared" si="328"/>
        <v>-</v>
      </c>
      <c r="FE100" s="39" t="str">
        <f t="shared" si="329"/>
        <v>-</v>
      </c>
      <c r="FF100" s="39" t="str">
        <f t="shared" si="330"/>
        <v>-</v>
      </c>
      <c r="FG100" s="39" t="str">
        <f t="shared" si="331"/>
        <v>-</v>
      </c>
      <c r="FH100" s="39" t="str">
        <f t="shared" si="332"/>
        <v>-</v>
      </c>
      <c r="FI100" s="39" t="str">
        <f t="shared" si="333"/>
        <v>-</v>
      </c>
      <c r="FJ100" s="39" t="str">
        <f t="shared" si="334"/>
        <v>-</v>
      </c>
      <c r="FK100" s="39" t="str">
        <f t="shared" si="335"/>
        <v>-</v>
      </c>
      <c r="FL100" s="39" t="str">
        <f t="shared" si="336"/>
        <v>-</v>
      </c>
      <c r="FM100" s="39" t="str">
        <f t="shared" si="337"/>
        <v>-</v>
      </c>
      <c r="FN100" s="39" t="str">
        <f t="shared" si="338"/>
        <v>-</v>
      </c>
      <c r="FO100" s="39" t="str">
        <f t="shared" si="339"/>
        <v>-</v>
      </c>
      <c r="FP100" s="39" t="str">
        <f t="shared" si="340"/>
        <v>-</v>
      </c>
      <c r="FQ100" s="39" t="str">
        <f t="shared" si="341"/>
        <v>-</v>
      </c>
      <c r="FR100" s="39" t="str">
        <f t="shared" si="342"/>
        <v>-</v>
      </c>
      <c r="FS100" s="39" t="str">
        <f t="shared" si="343"/>
        <v>-</v>
      </c>
      <c r="FT100" s="39" t="str">
        <f t="shared" si="344"/>
        <v>-</v>
      </c>
      <c r="FU100" s="39" t="str">
        <f t="shared" si="345"/>
        <v>-</v>
      </c>
      <c r="FV100" s="39" t="str">
        <f t="shared" si="346"/>
        <v>-</v>
      </c>
      <c r="FW100" s="39" t="str">
        <f t="shared" si="347"/>
        <v>-</v>
      </c>
      <c r="FX100" s="39" t="str">
        <f t="shared" si="348"/>
        <v>-</v>
      </c>
      <c r="FY100" s="39" t="str">
        <f t="shared" si="349"/>
        <v>-</v>
      </c>
      <c r="FZ100" s="39" t="str">
        <f t="shared" si="350"/>
        <v>-</v>
      </c>
      <c r="GA100" s="39" t="str">
        <f t="shared" si="351"/>
        <v>-</v>
      </c>
      <c r="GB100" s="39" t="str">
        <f t="shared" si="352"/>
        <v>-</v>
      </c>
      <c r="GC100" s="39" t="str">
        <f t="shared" si="353"/>
        <v>-</v>
      </c>
      <c r="GD100" s="39" t="str">
        <f t="shared" si="354"/>
        <v>-</v>
      </c>
      <c r="GE100" s="39" t="str">
        <f t="shared" si="355"/>
        <v>-</v>
      </c>
      <c r="GF100" s="39" t="str">
        <f t="shared" si="356"/>
        <v>-</v>
      </c>
      <c r="GG100" s="39" t="str">
        <f t="shared" si="357"/>
        <v>-</v>
      </c>
      <c r="GH100" s="39" t="str">
        <f t="shared" si="358"/>
        <v>-</v>
      </c>
      <c r="GI100" s="39" t="str">
        <f t="shared" si="359"/>
        <v>-</v>
      </c>
      <c r="GJ100" s="39" t="str">
        <f t="shared" si="360"/>
        <v>-</v>
      </c>
      <c r="GK100" s="39" t="str">
        <f t="shared" si="361"/>
        <v>-</v>
      </c>
      <c r="GL100" s="39" t="str">
        <f t="shared" si="362"/>
        <v>-</v>
      </c>
      <c r="GM100" s="39" t="str">
        <f t="shared" si="363"/>
        <v>-</v>
      </c>
      <c r="GN100" s="39" t="str">
        <f t="shared" si="364"/>
        <v>-</v>
      </c>
      <c r="GO100" s="39" t="str">
        <f t="shared" si="365"/>
        <v>-</v>
      </c>
      <c r="GP100" s="39" t="str">
        <f t="shared" si="366"/>
        <v>-</v>
      </c>
      <c r="GQ100" s="39" t="str">
        <f t="shared" si="367"/>
        <v>-</v>
      </c>
      <c r="GR100" s="39" t="str">
        <f t="shared" si="368"/>
        <v>-</v>
      </c>
      <c r="GS100" s="39" t="str">
        <f t="shared" si="369"/>
        <v>-</v>
      </c>
      <c r="GT100" s="39" t="str">
        <f t="shared" si="370"/>
        <v>-</v>
      </c>
      <c r="GU100" s="39" t="str">
        <f t="shared" si="371"/>
        <v>-</v>
      </c>
      <c r="GV100" s="39" t="str">
        <f t="shared" si="372"/>
        <v>-</v>
      </c>
      <c r="GW100" s="39" t="str">
        <f t="shared" si="373"/>
        <v>-</v>
      </c>
      <c r="GX100" s="39" t="str">
        <f t="shared" si="374"/>
        <v>-</v>
      </c>
      <c r="GY100" s="39" t="str">
        <f t="shared" si="375"/>
        <v>-</v>
      </c>
      <c r="GZ100" s="39" t="str">
        <f t="shared" si="376"/>
        <v>-</v>
      </c>
      <c r="HA100" s="39" t="str">
        <f t="shared" si="377"/>
        <v>-</v>
      </c>
      <c r="HB100" s="39" t="str">
        <f t="shared" si="378"/>
        <v>-</v>
      </c>
      <c r="HC100" s="39" t="str">
        <f t="shared" si="379"/>
        <v>-</v>
      </c>
      <c r="HD100" s="39" t="str">
        <f t="shared" si="380"/>
        <v>-</v>
      </c>
      <c r="HE100" s="39" t="str">
        <f t="shared" si="381"/>
        <v>-</v>
      </c>
      <c r="HF100" s="39" t="str">
        <f t="shared" si="382"/>
        <v>-</v>
      </c>
      <c r="HG100" s="39" t="str">
        <f t="shared" si="383"/>
        <v>-</v>
      </c>
      <c r="HH100" s="39" t="str">
        <f t="shared" si="384"/>
        <v>-</v>
      </c>
      <c r="HI100" s="39" t="str">
        <f t="shared" si="385"/>
        <v>-</v>
      </c>
      <c r="HJ100" s="39" t="str">
        <f t="shared" si="386"/>
        <v>-</v>
      </c>
      <c r="HK100" s="39" t="str">
        <f t="shared" si="387"/>
        <v>-</v>
      </c>
      <c r="HL100" s="39" t="str">
        <f t="shared" si="388"/>
        <v>-</v>
      </c>
      <c r="HM100" s="39" t="str">
        <f t="shared" si="389"/>
        <v>-</v>
      </c>
      <c r="HN100" s="39" t="str">
        <f t="shared" si="390"/>
        <v>-</v>
      </c>
      <c r="HO100" s="39" t="str">
        <f t="shared" si="391"/>
        <v>-</v>
      </c>
      <c r="HP100" s="39" t="str">
        <f t="shared" si="392"/>
        <v>-</v>
      </c>
      <c r="HQ100" s="39" t="str">
        <f t="shared" si="393"/>
        <v>-</v>
      </c>
      <c r="HR100" s="39" t="str">
        <f t="shared" si="394"/>
        <v>-</v>
      </c>
      <c r="HS100" s="39" t="str">
        <f t="shared" si="395"/>
        <v>-</v>
      </c>
      <c r="HT100" s="39" t="str">
        <f t="shared" si="395"/>
        <v>-</v>
      </c>
      <c r="HU100" s="43" t="str">
        <f t="shared" si="445"/>
        <v>-</v>
      </c>
      <c r="HV100" s="44" t="str">
        <f t="shared" si="446"/>
        <v/>
      </c>
      <c r="HW100" s="45" t="str">
        <f t="shared" si="447"/>
        <v/>
      </c>
      <c r="HX100" s="102"/>
      <c r="HY100" s="102"/>
      <c r="HZ100" s="102"/>
      <c r="IA100" s="101"/>
      <c r="IB100" s="102"/>
      <c r="IC100" s="103"/>
      <c r="ID100" s="101"/>
      <c r="IE100" s="102"/>
      <c r="IF100" s="103"/>
      <c r="IH100" s="66">
        <v>100</v>
      </c>
      <c r="II100" s="66" t="e">
        <f t="shared" ca="1" si="436"/>
        <v>#N/A</v>
      </c>
      <c r="IJ100" s="66" t="e">
        <f t="shared" ca="1" si="437"/>
        <v>#N/A</v>
      </c>
      <c r="IK100" s="66" t="e">
        <f t="shared" ca="1" si="438"/>
        <v>#N/A</v>
      </c>
      <c r="IL100" s="66" t="e">
        <f t="shared" ca="1" si="439"/>
        <v>#N/A</v>
      </c>
      <c r="IN100" s="74" t="e">
        <f t="shared" ca="1" si="440"/>
        <v>#N/A</v>
      </c>
      <c r="IO100" s="75" t="e">
        <f t="shared" ca="1" si="441"/>
        <v>#N/A</v>
      </c>
      <c r="IP100" s="75" t="e">
        <f t="shared" ca="1" si="442"/>
        <v>#N/A</v>
      </c>
      <c r="IQ100" s="74" t="e">
        <f t="shared" ca="1" si="443"/>
        <v>#N/A</v>
      </c>
      <c r="IR100" s="74" t="e">
        <f t="shared" ca="1" si="444"/>
        <v>#N/A</v>
      </c>
    </row>
    <row r="101" spans="1:252" x14ac:dyDescent="0.35">
      <c r="A101" s="28">
        <v>0</v>
      </c>
      <c r="B101" s="28">
        <v>0</v>
      </c>
      <c r="C101" s="28">
        <v>1</v>
      </c>
      <c r="D101" s="1"/>
      <c r="E101" s="3"/>
      <c r="F101" t="s">
        <v>366</v>
      </c>
      <c r="G101" s="5" t="s">
        <v>540</v>
      </c>
      <c r="H101" t="s">
        <v>539</v>
      </c>
      <c r="I101" t="s">
        <v>536</v>
      </c>
      <c r="J101" s="276" t="s">
        <v>805</v>
      </c>
      <c r="K101" s="113" t="s">
        <v>805</v>
      </c>
      <c r="L101" s="113" t="s">
        <v>805</v>
      </c>
      <c r="M101" s="113" t="s">
        <v>805</v>
      </c>
      <c r="N101" s="113" t="s">
        <v>805</v>
      </c>
      <c r="O101" s="113" t="s">
        <v>805</v>
      </c>
      <c r="P101" s="113" t="s">
        <v>805</v>
      </c>
      <c r="Q101" s="113" t="s">
        <v>805</v>
      </c>
      <c r="R101" s="113" t="s">
        <v>805</v>
      </c>
      <c r="S101" s="113" t="s">
        <v>805</v>
      </c>
      <c r="T101" s="113" t="s">
        <v>805</v>
      </c>
      <c r="U101" s="113" t="s">
        <v>805</v>
      </c>
      <c r="V101" s="113" t="s">
        <v>805</v>
      </c>
      <c r="W101" s="113" t="s">
        <v>805</v>
      </c>
      <c r="X101" s="113" t="s">
        <v>805</v>
      </c>
      <c r="Y101" s="113" t="s">
        <v>805</v>
      </c>
      <c r="Z101" s="113" t="s">
        <v>805</v>
      </c>
      <c r="AA101" s="113" t="s">
        <v>805</v>
      </c>
      <c r="AB101" s="113" t="s">
        <v>805</v>
      </c>
      <c r="AC101" s="113" t="s">
        <v>805</v>
      </c>
      <c r="AD101" s="113" t="s">
        <v>805</v>
      </c>
      <c r="AE101" s="113" t="s">
        <v>805</v>
      </c>
      <c r="AF101" s="113" t="s">
        <v>805</v>
      </c>
      <c r="AG101" s="113" t="s">
        <v>805</v>
      </c>
      <c r="AH101" s="113" t="s">
        <v>805</v>
      </c>
      <c r="AI101" s="113" t="s">
        <v>805</v>
      </c>
      <c r="AJ101" s="113" t="s">
        <v>805</v>
      </c>
      <c r="AK101" s="113" t="s">
        <v>805</v>
      </c>
      <c r="AL101" s="113" t="s">
        <v>805</v>
      </c>
      <c r="AM101" s="113" t="s">
        <v>805</v>
      </c>
      <c r="AN101" s="113" t="s">
        <v>805</v>
      </c>
      <c r="AO101" s="113" t="s">
        <v>805</v>
      </c>
      <c r="AP101" s="113" t="s">
        <v>805</v>
      </c>
      <c r="AQ101" s="113" t="s">
        <v>805</v>
      </c>
      <c r="AR101" s="113" t="s">
        <v>805</v>
      </c>
      <c r="AS101" s="113" t="s">
        <v>805</v>
      </c>
      <c r="AT101" s="113" t="s">
        <v>805</v>
      </c>
      <c r="AU101" s="113" t="s">
        <v>805</v>
      </c>
      <c r="AV101" s="113" t="s">
        <v>805</v>
      </c>
      <c r="AW101" s="113" t="s">
        <v>805</v>
      </c>
      <c r="AX101" s="113" t="s">
        <v>805</v>
      </c>
      <c r="AY101" s="113" t="s">
        <v>805</v>
      </c>
      <c r="AZ101" s="113" t="s">
        <v>805</v>
      </c>
      <c r="BA101" s="113" t="s">
        <v>805</v>
      </c>
      <c r="BB101" s="113" t="s">
        <v>805</v>
      </c>
      <c r="BC101" s="113" t="s">
        <v>805</v>
      </c>
      <c r="BD101" s="113" t="s">
        <v>805</v>
      </c>
      <c r="BE101" s="113" t="s">
        <v>805</v>
      </c>
      <c r="BF101" s="113" t="s">
        <v>805</v>
      </c>
      <c r="BG101" s="113" t="s">
        <v>805</v>
      </c>
      <c r="BH101" s="113" t="s">
        <v>805</v>
      </c>
      <c r="BI101" s="113" t="s">
        <v>805</v>
      </c>
      <c r="BJ101" s="113" t="s">
        <v>805</v>
      </c>
      <c r="BK101" s="113" t="s">
        <v>805</v>
      </c>
      <c r="BL101" s="113" t="s">
        <v>805</v>
      </c>
      <c r="BM101" s="113" t="s">
        <v>805</v>
      </c>
      <c r="BN101" s="113" t="s">
        <v>805</v>
      </c>
      <c r="BO101" s="113" t="s">
        <v>805</v>
      </c>
      <c r="BP101" s="113" t="s">
        <v>805</v>
      </c>
      <c r="BQ101" s="113" t="s">
        <v>805</v>
      </c>
      <c r="BR101" s="113" t="s">
        <v>805</v>
      </c>
      <c r="BS101" s="113" t="s">
        <v>805</v>
      </c>
      <c r="BT101" s="113" t="s">
        <v>805</v>
      </c>
      <c r="BU101" s="113" t="s">
        <v>805</v>
      </c>
      <c r="BV101" s="113" t="s">
        <v>805</v>
      </c>
      <c r="BW101" s="113" t="s">
        <v>805</v>
      </c>
      <c r="BX101" s="113" t="s">
        <v>805</v>
      </c>
      <c r="BY101" s="113" t="s">
        <v>805</v>
      </c>
      <c r="BZ101" s="113" t="s">
        <v>805</v>
      </c>
      <c r="CA101" s="113" t="s">
        <v>805</v>
      </c>
      <c r="CB101" s="113" t="s">
        <v>805</v>
      </c>
      <c r="CC101" s="113" t="s">
        <v>805</v>
      </c>
      <c r="CD101" s="113" t="s">
        <v>805</v>
      </c>
      <c r="CE101" s="113" t="s">
        <v>805</v>
      </c>
      <c r="CF101" s="113" t="s">
        <v>805</v>
      </c>
      <c r="CG101" s="113" t="s">
        <v>805</v>
      </c>
      <c r="CH101" s="113" t="s">
        <v>805</v>
      </c>
      <c r="CI101" s="113" t="s">
        <v>805</v>
      </c>
      <c r="CJ101" s="113" t="s">
        <v>805</v>
      </c>
      <c r="CK101" s="113" t="s">
        <v>805</v>
      </c>
      <c r="CL101" s="113" t="s">
        <v>805</v>
      </c>
      <c r="CM101" s="113" t="s">
        <v>805</v>
      </c>
      <c r="CN101" s="113" t="s">
        <v>805</v>
      </c>
      <c r="CO101" s="113" t="s">
        <v>805</v>
      </c>
      <c r="CP101" s="113" t="s">
        <v>805</v>
      </c>
      <c r="CQ101" s="113" t="s">
        <v>805</v>
      </c>
      <c r="CR101" s="113" t="s">
        <v>805</v>
      </c>
      <c r="CS101" s="113" t="s">
        <v>805</v>
      </c>
      <c r="CT101" s="113" t="s">
        <v>805</v>
      </c>
      <c r="CU101" s="113" t="s">
        <v>805</v>
      </c>
      <c r="CV101" s="113" t="s">
        <v>805</v>
      </c>
      <c r="CW101" s="113" t="s">
        <v>805</v>
      </c>
      <c r="CX101" s="113" t="s">
        <v>805</v>
      </c>
      <c r="CY101" s="113" t="s">
        <v>805</v>
      </c>
      <c r="CZ101" s="113" t="s">
        <v>805</v>
      </c>
      <c r="DA101" s="113" t="s">
        <v>805</v>
      </c>
      <c r="DB101" s="113" t="s">
        <v>805</v>
      </c>
      <c r="DC101" s="113" t="s">
        <v>805</v>
      </c>
      <c r="DD101" s="113" t="s">
        <v>805</v>
      </c>
      <c r="DE101" s="113" t="s">
        <v>805</v>
      </c>
      <c r="DF101" s="113" t="s">
        <v>805</v>
      </c>
      <c r="DG101" s="28">
        <f>'KPI Count-SHARE'!J90</f>
        <v>0</v>
      </c>
      <c r="DH101" s="114"/>
      <c r="DI101" s="114"/>
      <c r="DJ101" s="114"/>
      <c r="DK101" s="28">
        <f>'KPI Count-SHARE'!K90</f>
        <v>0</v>
      </c>
      <c r="DL101" s="118"/>
      <c r="DM101" s="118"/>
      <c r="DN101" s="118"/>
      <c r="DO101" s="28">
        <f>'KPI Count-SHARE'!L90</f>
        <v>0</v>
      </c>
      <c r="DP101" s="118"/>
      <c r="DQ101" s="118"/>
      <c r="DR101" s="118"/>
      <c r="DS101" s="28">
        <f>'KPI Count-SHARE'!M90</f>
        <v>0</v>
      </c>
      <c r="DT101" s="118"/>
      <c r="DU101" s="118"/>
      <c r="DV101" s="118"/>
      <c r="DW101" t="str">
        <f t="shared" si="460"/>
        <v>USD '000 per account</v>
      </c>
      <c r="DX101" s="39" t="str">
        <f t="shared" si="425"/>
        <v>-</v>
      </c>
      <c r="DY101" s="39" t="str">
        <f t="shared" si="426"/>
        <v>-</v>
      </c>
      <c r="DZ101" s="39" t="str">
        <f t="shared" si="427"/>
        <v>-</v>
      </c>
      <c r="EA101" s="39" t="str">
        <f t="shared" si="428"/>
        <v>-</v>
      </c>
      <c r="EB101" s="39" t="str">
        <f t="shared" si="429"/>
        <v>-</v>
      </c>
      <c r="EC101" s="39" t="str">
        <f t="shared" si="430"/>
        <v>-</v>
      </c>
      <c r="ED101" s="39" t="str">
        <f t="shared" si="431"/>
        <v>-</v>
      </c>
      <c r="EE101" s="39" t="str">
        <f t="shared" si="432"/>
        <v>-</v>
      </c>
      <c r="EF101" s="39" t="str">
        <f t="shared" si="433"/>
        <v>-</v>
      </c>
      <c r="EG101" s="39" t="str">
        <f t="shared" si="434"/>
        <v>-</v>
      </c>
      <c r="EH101" s="39" t="str">
        <f t="shared" si="435"/>
        <v>-</v>
      </c>
      <c r="EI101" s="39" t="str">
        <f t="shared" si="448"/>
        <v>-</v>
      </c>
      <c r="EJ101" s="39" t="str">
        <f t="shared" si="449"/>
        <v>-</v>
      </c>
      <c r="EK101" s="39" t="str">
        <f t="shared" si="450"/>
        <v>-</v>
      </c>
      <c r="EL101" s="39" t="str">
        <f t="shared" si="451"/>
        <v>-</v>
      </c>
      <c r="EM101" s="39" t="str">
        <f t="shared" si="452"/>
        <v>-</v>
      </c>
      <c r="EN101" s="39" t="str">
        <f t="shared" si="453"/>
        <v>-</v>
      </c>
      <c r="EO101" s="39" t="str">
        <f t="shared" si="454"/>
        <v>-</v>
      </c>
      <c r="EP101" s="39" t="str">
        <f t="shared" si="455"/>
        <v>-</v>
      </c>
      <c r="EQ101" s="39" t="str">
        <f t="shared" si="456"/>
        <v>-</v>
      </c>
      <c r="ER101" s="39" t="str">
        <f t="shared" si="457"/>
        <v>-</v>
      </c>
      <c r="ES101" s="39" t="str">
        <f t="shared" si="458"/>
        <v>-</v>
      </c>
      <c r="ET101" s="39" t="str">
        <f t="shared" si="459"/>
        <v>-</v>
      </c>
      <c r="EU101" s="39" t="str">
        <f t="shared" si="319"/>
        <v>-</v>
      </c>
      <c r="EV101" s="39" t="str">
        <f t="shared" si="320"/>
        <v>-</v>
      </c>
      <c r="EW101" s="39" t="str">
        <f t="shared" si="321"/>
        <v>-</v>
      </c>
      <c r="EX101" s="39" t="str">
        <f t="shared" si="322"/>
        <v>-</v>
      </c>
      <c r="EY101" s="39" t="str">
        <f t="shared" si="323"/>
        <v>-</v>
      </c>
      <c r="EZ101" s="39" t="str">
        <f t="shared" si="324"/>
        <v>-</v>
      </c>
      <c r="FA101" s="39" t="str">
        <f t="shared" si="325"/>
        <v>-</v>
      </c>
      <c r="FB101" s="39" t="str">
        <f t="shared" si="326"/>
        <v>-</v>
      </c>
      <c r="FC101" s="39" t="str">
        <f t="shared" si="327"/>
        <v>-</v>
      </c>
      <c r="FD101" s="39" t="str">
        <f t="shared" si="328"/>
        <v>-</v>
      </c>
      <c r="FE101" s="39" t="str">
        <f t="shared" si="329"/>
        <v>-</v>
      </c>
      <c r="FF101" s="39" t="str">
        <f t="shared" si="330"/>
        <v>-</v>
      </c>
      <c r="FG101" s="39" t="str">
        <f t="shared" si="331"/>
        <v>-</v>
      </c>
      <c r="FH101" s="39" t="str">
        <f t="shared" si="332"/>
        <v>-</v>
      </c>
      <c r="FI101" s="39" t="str">
        <f t="shared" si="333"/>
        <v>-</v>
      </c>
      <c r="FJ101" s="39" t="str">
        <f t="shared" si="334"/>
        <v>-</v>
      </c>
      <c r="FK101" s="39" t="str">
        <f t="shared" si="335"/>
        <v>-</v>
      </c>
      <c r="FL101" s="39" t="str">
        <f t="shared" si="336"/>
        <v>-</v>
      </c>
      <c r="FM101" s="39" t="str">
        <f t="shared" si="337"/>
        <v>-</v>
      </c>
      <c r="FN101" s="39" t="str">
        <f t="shared" si="338"/>
        <v>-</v>
      </c>
      <c r="FO101" s="39" t="str">
        <f t="shared" si="339"/>
        <v>-</v>
      </c>
      <c r="FP101" s="39" t="str">
        <f t="shared" si="340"/>
        <v>-</v>
      </c>
      <c r="FQ101" s="39" t="str">
        <f t="shared" si="341"/>
        <v>-</v>
      </c>
      <c r="FR101" s="39" t="str">
        <f t="shared" si="342"/>
        <v>-</v>
      </c>
      <c r="FS101" s="39" t="str">
        <f t="shared" si="343"/>
        <v>-</v>
      </c>
      <c r="FT101" s="39" t="str">
        <f t="shared" si="344"/>
        <v>-</v>
      </c>
      <c r="FU101" s="39" t="str">
        <f t="shared" si="345"/>
        <v>-</v>
      </c>
      <c r="FV101" s="39" t="str">
        <f t="shared" si="346"/>
        <v>-</v>
      </c>
      <c r="FW101" s="39" t="str">
        <f t="shared" si="347"/>
        <v>-</v>
      </c>
      <c r="FX101" s="39" t="str">
        <f t="shared" si="348"/>
        <v>-</v>
      </c>
      <c r="FY101" s="39" t="str">
        <f t="shared" si="349"/>
        <v>-</v>
      </c>
      <c r="FZ101" s="39" t="str">
        <f t="shared" si="350"/>
        <v>-</v>
      </c>
      <c r="GA101" s="39" t="str">
        <f t="shared" si="351"/>
        <v>-</v>
      </c>
      <c r="GB101" s="39" t="str">
        <f t="shared" si="352"/>
        <v>-</v>
      </c>
      <c r="GC101" s="39" t="str">
        <f t="shared" si="353"/>
        <v>-</v>
      </c>
      <c r="GD101" s="39" t="str">
        <f t="shared" si="354"/>
        <v>-</v>
      </c>
      <c r="GE101" s="39" t="str">
        <f t="shared" si="355"/>
        <v>-</v>
      </c>
      <c r="GF101" s="39" t="str">
        <f t="shared" si="356"/>
        <v>-</v>
      </c>
      <c r="GG101" s="39" t="str">
        <f t="shared" si="357"/>
        <v>-</v>
      </c>
      <c r="GH101" s="39" t="str">
        <f t="shared" si="358"/>
        <v>-</v>
      </c>
      <c r="GI101" s="39" t="str">
        <f t="shared" si="359"/>
        <v>-</v>
      </c>
      <c r="GJ101" s="39" t="str">
        <f t="shared" si="360"/>
        <v>-</v>
      </c>
      <c r="GK101" s="39" t="str">
        <f t="shared" si="361"/>
        <v>-</v>
      </c>
      <c r="GL101" s="39" t="str">
        <f t="shared" si="362"/>
        <v>-</v>
      </c>
      <c r="GM101" s="39" t="str">
        <f t="shared" si="363"/>
        <v>-</v>
      </c>
      <c r="GN101" s="39" t="str">
        <f t="shared" si="364"/>
        <v>-</v>
      </c>
      <c r="GO101" s="39" t="str">
        <f t="shared" si="365"/>
        <v>-</v>
      </c>
      <c r="GP101" s="39" t="str">
        <f t="shared" si="366"/>
        <v>-</v>
      </c>
      <c r="GQ101" s="39" t="str">
        <f t="shared" si="367"/>
        <v>-</v>
      </c>
      <c r="GR101" s="39" t="str">
        <f t="shared" si="368"/>
        <v>-</v>
      </c>
      <c r="GS101" s="39" t="str">
        <f t="shared" si="369"/>
        <v>-</v>
      </c>
      <c r="GT101" s="39" t="str">
        <f t="shared" si="370"/>
        <v>-</v>
      </c>
      <c r="GU101" s="39" t="str">
        <f t="shared" si="371"/>
        <v>-</v>
      </c>
      <c r="GV101" s="39" t="str">
        <f t="shared" si="372"/>
        <v>-</v>
      </c>
      <c r="GW101" s="39" t="str">
        <f t="shared" si="373"/>
        <v>-</v>
      </c>
      <c r="GX101" s="39" t="str">
        <f t="shared" si="374"/>
        <v>-</v>
      </c>
      <c r="GY101" s="39" t="str">
        <f t="shared" si="375"/>
        <v>-</v>
      </c>
      <c r="GZ101" s="39" t="str">
        <f t="shared" si="376"/>
        <v>-</v>
      </c>
      <c r="HA101" s="39" t="str">
        <f t="shared" si="377"/>
        <v>-</v>
      </c>
      <c r="HB101" s="39" t="str">
        <f t="shared" si="378"/>
        <v>-</v>
      </c>
      <c r="HC101" s="39" t="str">
        <f t="shared" si="379"/>
        <v>-</v>
      </c>
      <c r="HD101" s="39" t="str">
        <f t="shared" si="380"/>
        <v>-</v>
      </c>
      <c r="HE101" s="39" t="str">
        <f t="shared" si="381"/>
        <v>-</v>
      </c>
      <c r="HF101" s="39" t="str">
        <f t="shared" si="382"/>
        <v>-</v>
      </c>
      <c r="HG101" s="39" t="str">
        <f t="shared" si="383"/>
        <v>-</v>
      </c>
      <c r="HH101" s="39" t="str">
        <f t="shared" si="384"/>
        <v>-</v>
      </c>
      <c r="HI101" s="39" t="str">
        <f t="shared" si="385"/>
        <v>-</v>
      </c>
      <c r="HJ101" s="39" t="str">
        <f t="shared" si="386"/>
        <v>-</v>
      </c>
      <c r="HK101" s="39" t="str">
        <f t="shared" si="387"/>
        <v>-</v>
      </c>
      <c r="HL101" s="39" t="str">
        <f t="shared" si="388"/>
        <v>-</v>
      </c>
      <c r="HM101" s="39" t="str">
        <f t="shared" si="389"/>
        <v>-</v>
      </c>
      <c r="HN101" s="39" t="str">
        <f t="shared" si="390"/>
        <v>-</v>
      </c>
      <c r="HO101" s="39" t="str">
        <f t="shared" si="391"/>
        <v>-</v>
      </c>
      <c r="HP101" s="39" t="str">
        <f t="shared" si="392"/>
        <v>-</v>
      </c>
      <c r="HQ101" s="39" t="str">
        <f t="shared" si="393"/>
        <v>-</v>
      </c>
      <c r="HR101" s="39" t="str">
        <f t="shared" si="394"/>
        <v>-</v>
      </c>
      <c r="HS101" s="39" t="str">
        <f t="shared" si="395"/>
        <v>-</v>
      </c>
      <c r="HT101" s="39" t="str">
        <f t="shared" si="395"/>
        <v>-</v>
      </c>
      <c r="HU101" s="43" t="str">
        <f t="shared" si="445"/>
        <v>-</v>
      </c>
      <c r="HV101" s="44" t="str">
        <f t="shared" si="446"/>
        <v/>
      </c>
      <c r="HW101" s="45" t="str">
        <f t="shared" si="447"/>
        <v/>
      </c>
      <c r="HX101" s="102"/>
      <c r="HY101" s="102"/>
      <c r="HZ101" s="102"/>
      <c r="IA101" s="101"/>
      <c r="IB101" s="102"/>
      <c r="IC101" s="103"/>
      <c r="ID101" s="101"/>
      <c r="IE101" s="102"/>
      <c r="IF101" s="103"/>
      <c r="IH101" s="66">
        <v>101</v>
      </c>
      <c r="II101" s="66" t="e">
        <f t="shared" ca="1" si="436"/>
        <v>#N/A</v>
      </c>
      <c r="IJ101" s="66" t="e">
        <f t="shared" ca="1" si="437"/>
        <v>#N/A</v>
      </c>
      <c r="IK101" s="66" t="e">
        <f t="shared" ca="1" si="438"/>
        <v>#N/A</v>
      </c>
      <c r="IL101" s="66" t="e">
        <f t="shared" ca="1" si="439"/>
        <v>#N/A</v>
      </c>
      <c r="IN101" s="74" t="e">
        <f t="shared" ca="1" si="440"/>
        <v>#N/A</v>
      </c>
      <c r="IO101" s="75" t="e">
        <f t="shared" ca="1" si="441"/>
        <v>#N/A</v>
      </c>
      <c r="IP101" s="75" t="e">
        <f t="shared" ca="1" si="442"/>
        <v>#N/A</v>
      </c>
      <c r="IQ101" s="74" t="e">
        <f t="shared" ca="1" si="443"/>
        <v>#N/A</v>
      </c>
      <c r="IR101" s="74" t="e">
        <f t="shared" ca="1" si="444"/>
        <v>#N/A</v>
      </c>
    </row>
    <row r="102" spans="1:252" x14ac:dyDescent="0.35">
      <c r="A102" s="28">
        <v>0</v>
      </c>
      <c r="B102" s="28">
        <v>0</v>
      </c>
      <c r="C102" s="28">
        <v>1</v>
      </c>
      <c r="D102" s="1"/>
      <c r="E102" s="3"/>
      <c r="F102" t="s">
        <v>367</v>
      </c>
      <c r="G102" s="5" t="s">
        <v>540</v>
      </c>
      <c r="H102" t="s">
        <v>539</v>
      </c>
      <c r="I102" t="s">
        <v>536</v>
      </c>
      <c r="J102" s="276" t="s">
        <v>805</v>
      </c>
      <c r="K102" s="113" t="s">
        <v>805</v>
      </c>
      <c r="L102" s="113" t="s">
        <v>805</v>
      </c>
      <c r="M102" s="113" t="s">
        <v>805</v>
      </c>
      <c r="N102" s="113" t="s">
        <v>805</v>
      </c>
      <c r="O102" s="113" t="s">
        <v>805</v>
      </c>
      <c r="P102" s="113" t="s">
        <v>805</v>
      </c>
      <c r="Q102" s="113" t="s">
        <v>805</v>
      </c>
      <c r="R102" s="113" t="s">
        <v>805</v>
      </c>
      <c r="S102" s="113" t="s">
        <v>805</v>
      </c>
      <c r="T102" s="113" t="s">
        <v>805</v>
      </c>
      <c r="U102" s="113" t="s">
        <v>805</v>
      </c>
      <c r="V102" s="113" t="s">
        <v>805</v>
      </c>
      <c r="W102" s="113" t="s">
        <v>805</v>
      </c>
      <c r="X102" s="113" t="s">
        <v>805</v>
      </c>
      <c r="Y102" s="113" t="s">
        <v>805</v>
      </c>
      <c r="Z102" s="113" t="s">
        <v>805</v>
      </c>
      <c r="AA102" s="113" t="s">
        <v>805</v>
      </c>
      <c r="AB102" s="113" t="s">
        <v>805</v>
      </c>
      <c r="AC102" s="113" t="s">
        <v>805</v>
      </c>
      <c r="AD102" s="113" t="s">
        <v>805</v>
      </c>
      <c r="AE102" s="113" t="s">
        <v>805</v>
      </c>
      <c r="AF102" s="113" t="s">
        <v>805</v>
      </c>
      <c r="AG102" s="113" t="s">
        <v>805</v>
      </c>
      <c r="AH102" s="113" t="s">
        <v>805</v>
      </c>
      <c r="AI102" s="113" t="s">
        <v>805</v>
      </c>
      <c r="AJ102" s="113" t="s">
        <v>805</v>
      </c>
      <c r="AK102" s="113" t="s">
        <v>805</v>
      </c>
      <c r="AL102" s="113" t="s">
        <v>805</v>
      </c>
      <c r="AM102" s="113" t="s">
        <v>805</v>
      </c>
      <c r="AN102" s="113" t="s">
        <v>805</v>
      </c>
      <c r="AO102" s="113" t="s">
        <v>805</v>
      </c>
      <c r="AP102" s="113" t="s">
        <v>805</v>
      </c>
      <c r="AQ102" s="113" t="s">
        <v>805</v>
      </c>
      <c r="AR102" s="113" t="s">
        <v>805</v>
      </c>
      <c r="AS102" s="113" t="s">
        <v>805</v>
      </c>
      <c r="AT102" s="113" t="s">
        <v>805</v>
      </c>
      <c r="AU102" s="113" t="s">
        <v>805</v>
      </c>
      <c r="AV102" s="113" t="s">
        <v>805</v>
      </c>
      <c r="AW102" s="113" t="s">
        <v>805</v>
      </c>
      <c r="AX102" s="113" t="s">
        <v>805</v>
      </c>
      <c r="AY102" s="113" t="s">
        <v>805</v>
      </c>
      <c r="AZ102" s="113" t="s">
        <v>805</v>
      </c>
      <c r="BA102" s="113" t="s">
        <v>805</v>
      </c>
      <c r="BB102" s="113" t="s">
        <v>805</v>
      </c>
      <c r="BC102" s="113" t="s">
        <v>805</v>
      </c>
      <c r="BD102" s="113" t="s">
        <v>805</v>
      </c>
      <c r="BE102" s="113" t="s">
        <v>805</v>
      </c>
      <c r="BF102" s="113" t="s">
        <v>805</v>
      </c>
      <c r="BG102" s="113" t="s">
        <v>805</v>
      </c>
      <c r="BH102" s="113" t="s">
        <v>805</v>
      </c>
      <c r="BI102" s="113" t="s">
        <v>805</v>
      </c>
      <c r="BJ102" s="113" t="s">
        <v>805</v>
      </c>
      <c r="BK102" s="113" t="s">
        <v>805</v>
      </c>
      <c r="BL102" s="113" t="s">
        <v>805</v>
      </c>
      <c r="BM102" s="113" t="s">
        <v>805</v>
      </c>
      <c r="BN102" s="113" t="s">
        <v>805</v>
      </c>
      <c r="BO102" s="113" t="s">
        <v>805</v>
      </c>
      <c r="BP102" s="113" t="s">
        <v>805</v>
      </c>
      <c r="BQ102" s="113" t="s">
        <v>805</v>
      </c>
      <c r="BR102" s="113" t="s">
        <v>805</v>
      </c>
      <c r="BS102" s="113" t="s">
        <v>805</v>
      </c>
      <c r="BT102" s="113" t="s">
        <v>805</v>
      </c>
      <c r="BU102" s="113" t="s">
        <v>805</v>
      </c>
      <c r="BV102" s="113" t="s">
        <v>805</v>
      </c>
      <c r="BW102" s="113" t="s">
        <v>805</v>
      </c>
      <c r="BX102" s="113" t="s">
        <v>805</v>
      </c>
      <c r="BY102" s="113" t="s">
        <v>805</v>
      </c>
      <c r="BZ102" s="113" t="s">
        <v>805</v>
      </c>
      <c r="CA102" s="113" t="s">
        <v>805</v>
      </c>
      <c r="CB102" s="113" t="s">
        <v>805</v>
      </c>
      <c r="CC102" s="113" t="s">
        <v>805</v>
      </c>
      <c r="CD102" s="113" t="s">
        <v>805</v>
      </c>
      <c r="CE102" s="113" t="s">
        <v>805</v>
      </c>
      <c r="CF102" s="113" t="s">
        <v>805</v>
      </c>
      <c r="CG102" s="113" t="s">
        <v>805</v>
      </c>
      <c r="CH102" s="113" t="s">
        <v>805</v>
      </c>
      <c r="CI102" s="113" t="s">
        <v>805</v>
      </c>
      <c r="CJ102" s="113" t="s">
        <v>805</v>
      </c>
      <c r="CK102" s="113" t="s">
        <v>805</v>
      </c>
      <c r="CL102" s="113" t="s">
        <v>805</v>
      </c>
      <c r="CM102" s="113" t="s">
        <v>805</v>
      </c>
      <c r="CN102" s="113" t="s">
        <v>805</v>
      </c>
      <c r="CO102" s="113" t="s">
        <v>805</v>
      </c>
      <c r="CP102" s="113" t="s">
        <v>805</v>
      </c>
      <c r="CQ102" s="113" t="s">
        <v>805</v>
      </c>
      <c r="CR102" s="113" t="s">
        <v>805</v>
      </c>
      <c r="CS102" s="113" t="s">
        <v>805</v>
      </c>
      <c r="CT102" s="113" t="s">
        <v>805</v>
      </c>
      <c r="CU102" s="113" t="s">
        <v>805</v>
      </c>
      <c r="CV102" s="113" t="s">
        <v>805</v>
      </c>
      <c r="CW102" s="113" t="s">
        <v>805</v>
      </c>
      <c r="CX102" s="113" t="s">
        <v>805</v>
      </c>
      <c r="CY102" s="113" t="s">
        <v>805</v>
      </c>
      <c r="CZ102" s="113" t="s">
        <v>805</v>
      </c>
      <c r="DA102" s="113" t="s">
        <v>805</v>
      </c>
      <c r="DB102" s="113" t="s">
        <v>805</v>
      </c>
      <c r="DC102" s="113" t="s">
        <v>805</v>
      </c>
      <c r="DD102" s="113" t="s">
        <v>805</v>
      </c>
      <c r="DE102" s="113" t="s">
        <v>805</v>
      </c>
      <c r="DF102" s="113" t="s">
        <v>805</v>
      </c>
      <c r="DG102" s="28">
        <f>'KPI Count-SHARE'!J91</f>
        <v>0</v>
      </c>
      <c r="DH102" s="114"/>
      <c r="DI102" s="114"/>
      <c r="DJ102" s="114"/>
      <c r="DK102" s="28">
        <f>'KPI Count-SHARE'!K91</f>
        <v>0</v>
      </c>
      <c r="DL102" s="118"/>
      <c r="DM102" s="118"/>
      <c r="DN102" s="118"/>
      <c r="DO102" s="28">
        <f>'KPI Count-SHARE'!L91</f>
        <v>0</v>
      </c>
      <c r="DP102" s="118"/>
      <c r="DQ102" s="118"/>
      <c r="DR102" s="118"/>
      <c r="DS102" s="28">
        <f>'KPI Count-SHARE'!M91</f>
        <v>0</v>
      </c>
      <c r="DT102" s="118"/>
      <c r="DU102" s="118"/>
      <c r="DV102" s="118"/>
      <c r="DW102" t="str">
        <f t="shared" si="460"/>
        <v>USD '000 per account</v>
      </c>
      <c r="DX102" s="39" t="str">
        <f t="shared" si="425"/>
        <v>-</v>
      </c>
      <c r="DY102" s="39" t="str">
        <f t="shared" si="426"/>
        <v>-</v>
      </c>
      <c r="DZ102" s="39" t="str">
        <f t="shared" si="427"/>
        <v>-</v>
      </c>
      <c r="EA102" s="39" t="str">
        <f t="shared" si="428"/>
        <v>-</v>
      </c>
      <c r="EB102" s="39" t="str">
        <f t="shared" si="429"/>
        <v>-</v>
      </c>
      <c r="EC102" s="39" t="str">
        <f t="shared" si="430"/>
        <v>-</v>
      </c>
      <c r="ED102" s="39" t="str">
        <f t="shared" si="431"/>
        <v>-</v>
      </c>
      <c r="EE102" s="39" t="str">
        <f t="shared" si="432"/>
        <v>-</v>
      </c>
      <c r="EF102" s="39" t="str">
        <f t="shared" si="433"/>
        <v>-</v>
      </c>
      <c r="EG102" s="39" t="str">
        <f t="shared" si="434"/>
        <v>-</v>
      </c>
      <c r="EH102" s="39" t="str">
        <f t="shared" si="435"/>
        <v>-</v>
      </c>
      <c r="EI102" s="39" t="str">
        <f t="shared" si="448"/>
        <v>-</v>
      </c>
      <c r="EJ102" s="39" t="str">
        <f t="shared" si="449"/>
        <v>-</v>
      </c>
      <c r="EK102" s="39" t="str">
        <f t="shared" si="450"/>
        <v>-</v>
      </c>
      <c r="EL102" s="39" t="str">
        <f t="shared" si="451"/>
        <v>-</v>
      </c>
      <c r="EM102" s="39" t="str">
        <f t="shared" si="452"/>
        <v>-</v>
      </c>
      <c r="EN102" s="39" t="str">
        <f t="shared" si="453"/>
        <v>-</v>
      </c>
      <c r="EO102" s="39" t="str">
        <f t="shared" si="454"/>
        <v>-</v>
      </c>
      <c r="EP102" s="39" t="str">
        <f t="shared" si="455"/>
        <v>-</v>
      </c>
      <c r="EQ102" s="39" t="str">
        <f t="shared" si="456"/>
        <v>-</v>
      </c>
      <c r="ER102" s="39" t="str">
        <f t="shared" si="457"/>
        <v>-</v>
      </c>
      <c r="ES102" s="39" t="str">
        <f t="shared" si="458"/>
        <v>-</v>
      </c>
      <c r="ET102" s="39" t="str">
        <f t="shared" si="459"/>
        <v>-</v>
      </c>
      <c r="EU102" s="39" t="str">
        <f t="shared" si="319"/>
        <v>-</v>
      </c>
      <c r="EV102" s="39" t="str">
        <f t="shared" si="320"/>
        <v>-</v>
      </c>
      <c r="EW102" s="39" t="str">
        <f t="shared" si="321"/>
        <v>-</v>
      </c>
      <c r="EX102" s="39" t="str">
        <f t="shared" si="322"/>
        <v>-</v>
      </c>
      <c r="EY102" s="39" t="str">
        <f t="shared" si="323"/>
        <v>-</v>
      </c>
      <c r="EZ102" s="39" t="str">
        <f t="shared" si="324"/>
        <v>-</v>
      </c>
      <c r="FA102" s="39" t="str">
        <f t="shared" si="325"/>
        <v>-</v>
      </c>
      <c r="FB102" s="39" t="str">
        <f t="shared" si="326"/>
        <v>-</v>
      </c>
      <c r="FC102" s="39" t="str">
        <f t="shared" si="327"/>
        <v>-</v>
      </c>
      <c r="FD102" s="39" t="str">
        <f t="shared" si="328"/>
        <v>-</v>
      </c>
      <c r="FE102" s="39" t="str">
        <f t="shared" si="329"/>
        <v>-</v>
      </c>
      <c r="FF102" s="39" t="str">
        <f t="shared" si="330"/>
        <v>-</v>
      </c>
      <c r="FG102" s="39" t="str">
        <f t="shared" si="331"/>
        <v>-</v>
      </c>
      <c r="FH102" s="39" t="str">
        <f t="shared" si="332"/>
        <v>-</v>
      </c>
      <c r="FI102" s="39" t="str">
        <f t="shared" si="333"/>
        <v>-</v>
      </c>
      <c r="FJ102" s="39" t="str">
        <f t="shared" si="334"/>
        <v>-</v>
      </c>
      <c r="FK102" s="39" t="str">
        <f t="shared" si="335"/>
        <v>-</v>
      </c>
      <c r="FL102" s="39" t="str">
        <f t="shared" si="336"/>
        <v>-</v>
      </c>
      <c r="FM102" s="39" t="str">
        <f t="shared" si="337"/>
        <v>-</v>
      </c>
      <c r="FN102" s="39" t="str">
        <f t="shared" si="338"/>
        <v>-</v>
      </c>
      <c r="FO102" s="39" t="str">
        <f t="shared" si="339"/>
        <v>-</v>
      </c>
      <c r="FP102" s="39" t="str">
        <f t="shared" si="340"/>
        <v>-</v>
      </c>
      <c r="FQ102" s="39" t="str">
        <f t="shared" si="341"/>
        <v>-</v>
      </c>
      <c r="FR102" s="39" t="str">
        <f t="shared" si="342"/>
        <v>-</v>
      </c>
      <c r="FS102" s="39" t="str">
        <f t="shared" si="343"/>
        <v>-</v>
      </c>
      <c r="FT102" s="39" t="str">
        <f t="shared" si="344"/>
        <v>-</v>
      </c>
      <c r="FU102" s="39" t="str">
        <f t="shared" si="345"/>
        <v>-</v>
      </c>
      <c r="FV102" s="39" t="str">
        <f t="shared" si="346"/>
        <v>-</v>
      </c>
      <c r="FW102" s="39" t="str">
        <f t="shared" si="347"/>
        <v>-</v>
      </c>
      <c r="FX102" s="39" t="str">
        <f t="shared" si="348"/>
        <v>-</v>
      </c>
      <c r="FY102" s="39" t="str">
        <f t="shared" si="349"/>
        <v>-</v>
      </c>
      <c r="FZ102" s="39" t="str">
        <f t="shared" si="350"/>
        <v>-</v>
      </c>
      <c r="GA102" s="39" t="str">
        <f t="shared" si="351"/>
        <v>-</v>
      </c>
      <c r="GB102" s="39" t="str">
        <f t="shared" si="352"/>
        <v>-</v>
      </c>
      <c r="GC102" s="39" t="str">
        <f t="shared" si="353"/>
        <v>-</v>
      </c>
      <c r="GD102" s="39" t="str">
        <f t="shared" si="354"/>
        <v>-</v>
      </c>
      <c r="GE102" s="39" t="str">
        <f t="shared" si="355"/>
        <v>-</v>
      </c>
      <c r="GF102" s="39" t="str">
        <f t="shared" si="356"/>
        <v>-</v>
      </c>
      <c r="GG102" s="39" t="str">
        <f t="shared" si="357"/>
        <v>-</v>
      </c>
      <c r="GH102" s="39" t="str">
        <f t="shared" si="358"/>
        <v>-</v>
      </c>
      <c r="GI102" s="39" t="str">
        <f t="shared" si="359"/>
        <v>-</v>
      </c>
      <c r="GJ102" s="39" t="str">
        <f t="shared" si="360"/>
        <v>-</v>
      </c>
      <c r="GK102" s="39" t="str">
        <f t="shared" si="361"/>
        <v>-</v>
      </c>
      <c r="GL102" s="39" t="str">
        <f t="shared" si="362"/>
        <v>-</v>
      </c>
      <c r="GM102" s="39" t="str">
        <f t="shared" si="363"/>
        <v>-</v>
      </c>
      <c r="GN102" s="39" t="str">
        <f t="shared" si="364"/>
        <v>-</v>
      </c>
      <c r="GO102" s="39" t="str">
        <f t="shared" si="365"/>
        <v>-</v>
      </c>
      <c r="GP102" s="39" t="str">
        <f t="shared" si="366"/>
        <v>-</v>
      </c>
      <c r="GQ102" s="39" t="str">
        <f t="shared" si="367"/>
        <v>-</v>
      </c>
      <c r="GR102" s="39" t="str">
        <f t="shared" si="368"/>
        <v>-</v>
      </c>
      <c r="GS102" s="39" t="str">
        <f t="shared" si="369"/>
        <v>-</v>
      </c>
      <c r="GT102" s="39" t="str">
        <f t="shared" si="370"/>
        <v>-</v>
      </c>
      <c r="GU102" s="39" t="str">
        <f t="shared" si="371"/>
        <v>-</v>
      </c>
      <c r="GV102" s="39" t="str">
        <f t="shared" si="372"/>
        <v>-</v>
      </c>
      <c r="GW102" s="39" t="str">
        <f t="shared" si="373"/>
        <v>-</v>
      </c>
      <c r="GX102" s="39" t="str">
        <f t="shared" si="374"/>
        <v>-</v>
      </c>
      <c r="GY102" s="39" t="str">
        <f t="shared" si="375"/>
        <v>-</v>
      </c>
      <c r="GZ102" s="39" t="str">
        <f t="shared" si="376"/>
        <v>-</v>
      </c>
      <c r="HA102" s="39" t="str">
        <f t="shared" si="377"/>
        <v>-</v>
      </c>
      <c r="HB102" s="39" t="str">
        <f t="shared" si="378"/>
        <v>-</v>
      </c>
      <c r="HC102" s="39" t="str">
        <f t="shared" si="379"/>
        <v>-</v>
      </c>
      <c r="HD102" s="39" t="str">
        <f t="shared" si="380"/>
        <v>-</v>
      </c>
      <c r="HE102" s="39" t="str">
        <f t="shared" si="381"/>
        <v>-</v>
      </c>
      <c r="HF102" s="39" t="str">
        <f t="shared" si="382"/>
        <v>-</v>
      </c>
      <c r="HG102" s="39" t="str">
        <f t="shared" si="383"/>
        <v>-</v>
      </c>
      <c r="HH102" s="39" t="str">
        <f t="shared" si="384"/>
        <v>-</v>
      </c>
      <c r="HI102" s="39" t="str">
        <f t="shared" si="385"/>
        <v>-</v>
      </c>
      <c r="HJ102" s="39" t="str">
        <f t="shared" si="386"/>
        <v>-</v>
      </c>
      <c r="HK102" s="39" t="str">
        <f t="shared" si="387"/>
        <v>-</v>
      </c>
      <c r="HL102" s="39" t="str">
        <f t="shared" si="388"/>
        <v>-</v>
      </c>
      <c r="HM102" s="39" t="str">
        <f t="shared" si="389"/>
        <v>-</v>
      </c>
      <c r="HN102" s="39" t="str">
        <f t="shared" si="390"/>
        <v>-</v>
      </c>
      <c r="HO102" s="39" t="str">
        <f t="shared" si="391"/>
        <v>-</v>
      </c>
      <c r="HP102" s="39" t="str">
        <f t="shared" si="392"/>
        <v>-</v>
      </c>
      <c r="HQ102" s="39" t="str">
        <f t="shared" si="393"/>
        <v>-</v>
      </c>
      <c r="HR102" s="39" t="str">
        <f t="shared" si="394"/>
        <v>-</v>
      </c>
      <c r="HS102" s="39" t="str">
        <f t="shared" si="395"/>
        <v>-</v>
      </c>
      <c r="HT102" s="39" t="str">
        <f t="shared" si="395"/>
        <v>-</v>
      </c>
      <c r="HU102" s="43" t="str">
        <f t="shared" si="445"/>
        <v>-</v>
      </c>
      <c r="HV102" s="44" t="str">
        <f t="shared" si="446"/>
        <v/>
      </c>
      <c r="HW102" s="45" t="str">
        <f t="shared" si="447"/>
        <v/>
      </c>
      <c r="HX102" s="102"/>
      <c r="HY102" s="102"/>
      <c r="HZ102" s="102"/>
      <c r="IA102" s="101"/>
      <c r="IB102" s="102"/>
      <c r="IC102" s="103"/>
      <c r="ID102" s="101"/>
      <c r="IE102" s="102"/>
      <c r="IF102" s="103"/>
      <c r="IH102" s="66">
        <v>102</v>
      </c>
      <c r="II102" s="66" t="e">
        <f t="shared" ca="1" si="436"/>
        <v>#N/A</v>
      </c>
      <c r="IJ102" s="66" t="e">
        <f t="shared" ca="1" si="437"/>
        <v>#N/A</v>
      </c>
      <c r="IK102" s="66" t="e">
        <f t="shared" ca="1" si="438"/>
        <v>#N/A</v>
      </c>
      <c r="IL102" s="66" t="e">
        <f t="shared" ca="1" si="439"/>
        <v>#N/A</v>
      </c>
      <c r="IN102" s="74" t="e">
        <f t="shared" ca="1" si="440"/>
        <v>#N/A</v>
      </c>
      <c r="IO102" s="75" t="e">
        <f t="shared" ca="1" si="441"/>
        <v>#N/A</v>
      </c>
      <c r="IP102" s="75" t="e">
        <f t="shared" ca="1" si="442"/>
        <v>#N/A</v>
      </c>
      <c r="IQ102" s="74" t="e">
        <f t="shared" ca="1" si="443"/>
        <v>#N/A</v>
      </c>
      <c r="IR102" s="74" t="e">
        <f t="shared" ca="1" si="444"/>
        <v>#N/A</v>
      </c>
    </row>
    <row r="103" spans="1:252" x14ac:dyDescent="0.35">
      <c r="A103" s="28">
        <v>1</v>
      </c>
      <c r="B103" s="28">
        <v>0</v>
      </c>
      <c r="C103" s="28">
        <v>1</v>
      </c>
      <c r="D103" s="1"/>
      <c r="E103" s="3"/>
      <c r="F103" t="s">
        <v>368</v>
      </c>
      <c r="G103" s="5" t="s">
        <v>540</v>
      </c>
      <c r="H103" t="s">
        <v>556</v>
      </c>
      <c r="I103" t="s">
        <v>536</v>
      </c>
      <c r="J103" s="276" t="s">
        <v>805</v>
      </c>
      <c r="K103" s="113" t="s">
        <v>805</v>
      </c>
      <c r="L103" s="113" t="s">
        <v>805</v>
      </c>
      <c r="M103" s="113" t="s">
        <v>805</v>
      </c>
      <c r="N103" s="113" t="s">
        <v>805</v>
      </c>
      <c r="O103" s="113" t="s">
        <v>805</v>
      </c>
      <c r="P103" s="113" t="s">
        <v>805</v>
      </c>
      <c r="Q103" s="113" t="s">
        <v>805</v>
      </c>
      <c r="R103" s="113" t="s">
        <v>805</v>
      </c>
      <c r="S103" s="113" t="s">
        <v>805</v>
      </c>
      <c r="T103" s="113" t="s">
        <v>805</v>
      </c>
      <c r="U103" s="113" t="s">
        <v>805</v>
      </c>
      <c r="V103" s="113" t="s">
        <v>805</v>
      </c>
      <c r="W103" s="113" t="s">
        <v>805</v>
      </c>
      <c r="X103" s="113" t="s">
        <v>805</v>
      </c>
      <c r="Y103" s="113" t="s">
        <v>805</v>
      </c>
      <c r="Z103" s="113" t="s">
        <v>805</v>
      </c>
      <c r="AA103" s="113" t="s">
        <v>805</v>
      </c>
      <c r="AB103" s="113" t="s">
        <v>805</v>
      </c>
      <c r="AC103" s="113" t="s">
        <v>805</v>
      </c>
      <c r="AD103" s="113" t="s">
        <v>805</v>
      </c>
      <c r="AE103" s="113" t="s">
        <v>805</v>
      </c>
      <c r="AF103" s="113" t="s">
        <v>805</v>
      </c>
      <c r="AG103" s="113" t="s">
        <v>805</v>
      </c>
      <c r="AH103" s="113" t="s">
        <v>805</v>
      </c>
      <c r="AI103" s="113" t="s">
        <v>805</v>
      </c>
      <c r="AJ103" s="113" t="s">
        <v>805</v>
      </c>
      <c r="AK103" s="113" t="s">
        <v>805</v>
      </c>
      <c r="AL103" s="113" t="s">
        <v>805</v>
      </c>
      <c r="AM103" s="113" t="s">
        <v>805</v>
      </c>
      <c r="AN103" s="113" t="s">
        <v>805</v>
      </c>
      <c r="AO103" s="113" t="s">
        <v>805</v>
      </c>
      <c r="AP103" s="113" t="s">
        <v>805</v>
      </c>
      <c r="AQ103" s="113" t="s">
        <v>805</v>
      </c>
      <c r="AR103" s="113" t="s">
        <v>805</v>
      </c>
      <c r="AS103" s="113" t="s">
        <v>805</v>
      </c>
      <c r="AT103" s="113" t="s">
        <v>805</v>
      </c>
      <c r="AU103" s="113" t="s">
        <v>805</v>
      </c>
      <c r="AV103" s="113" t="s">
        <v>805</v>
      </c>
      <c r="AW103" s="113" t="s">
        <v>805</v>
      </c>
      <c r="AX103" s="113" t="s">
        <v>805</v>
      </c>
      <c r="AY103" s="113" t="s">
        <v>805</v>
      </c>
      <c r="AZ103" s="113" t="s">
        <v>805</v>
      </c>
      <c r="BA103" s="113" t="s">
        <v>805</v>
      </c>
      <c r="BB103" s="113" t="s">
        <v>805</v>
      </c>
      <c r="BC103" s="113" t="s">
        <v>805</v>
      </c>
      <c r="BD103" s="113" t="s">
        <v>805</v>
      </c>
      <c r="BE103" s="113" t="s">
        <v>805</v>
      </c>
      <c r="BF103" s="113" t="s">
        <v>805</v>
      </c>
      <c r="BG103" s="113" t="s">
        <v>805</v>
      </c>
      <c r="BH103" s="113" t="s">
        <v>805</v>
      </c>
      <c r="BI103" s="113" t="s">
        <v>805</v>
      </c>
      <c r="BJ103" s="113" t="s">
        <v>805</v>
      </c>
      <c r="BK103" s="113" t="s">
        <v>805</v>
      </c>
      <c r="BL103" s="113" t="s">
        <v>805</v>
      </c>
      <c r="BM103" s="113" t="s">
        <v>805</v>
      </c>
      <c r="BN103" s="113" t="s">
        <v>805</v>
      </c>
      <c r="BO103" s="113" t="s">
        <v>805</v>
      </c>
      <c r="BP103" s="113" t="s">
        <v>805</v>
      </c>
      <c r="BQ103" s="113" t="s">
        <v>805</v>
      </c>
      <c r="BR103" s="113" t="s">
        <v>805</v>
      </c>
      <c r="BS103" s="113" t="s">
        <v>805</v>
      </c>
      <c r="BT103" s="113" t="s">
        <v>805</v>
      </c>
      <c r="BU103" s="113" t="s">
        <v>805</v>
      </c>
      <c r="BV103" s="113" t="s">
        <v>805</v>
      </c>
      <c r="BW103" s="113" t="s">
        <v>805</v>
      </c>
      <c r="BX103" s="113" t="s">
        <v>805</v>
      </c>
      <c r="BY103" s="113" t="s">
        <v>805</v>
      </c>
      <c r="BZ103" s="113" t="s">
        <v>805</v>
      </c>
      <c r="CA103" s="113" t="s">
        <v>805</v>
      </c>
      <c r="CB103" s="113" t="s">
        <v>805</v>
      </c>
      <c r="CC103" s="113" t="s">
        <v>805</v>
      </c>
      <c r="CD103" s="113" t="s">
        <v>805</v>
      </c>
      <c r="CE103" s="113" t="s">
        <v>805</v>
      </c>
      <c r="CF103" s="113" t="s">
        <v>805</v>
      </c>
      <c r="CG103" s="113" t="s">
        <v>805</v>
      </c>
      <c r="CH103" s="113" t="s">
        <v>805</v>
      </c>
      <c r="CI103" s="113" t="s">
        <v>805</v>
      </c>
      <c r="CJ103" s="113" t="s">
        <v>805</v>
      </c>
      <c r="CK103" s="113" t="s">
        <v>805</v>
      </c>
      <c r="CL103" s="113" t="s">
        <v>805</v>
      </c>
      <c r="CM103" s="113" t="s">
        <v>805</v>
      </c>
      <c r="CN103" s="113" t="s">
        <v>805</v>
      </c>
      <c r="CO103" s="113" t="s">
        <v>805</v>
      </c>
      <c r="CP103" s="113" t="s">
        <v>805</v>
      </c>
      <c r="CQ103" s="113" t="s">
        <v>805</v>
      </c>
      <c r="CR103" s="113" t="s">
        <v>805</v>
      </c>
      <c r="CS103" s="113" t="s">
        <v>805</v>
      </c>
      <c r="CT103" s="113" t="s">
        <v>805</v>
      </c>
      <c r="CU103" s="113" t="s">
        <v>805</v>
      </c>
      <c r="CV103" s="113" t="s">
        <v>805</v>
      </c>
      <c r="CW103" s="113" t="s">
        <v>805</v>
      </c>
      <c r="CX103" s="113" t="s">
        <v>805</v>
      </c>
      <c r="CY103" s="113" t="s">
        <v>805</v>
      </c>
      <c r="CZ103" s="113" t="s">
        <v>805</v>
      </c>
      <c r="DA103" s="113" t="s">
        <v>805</v>
      </c>
      <c r="DB103" s="113" t="s">
        <v>805</v>
      </c>
      <c r="DC103" s="113" t="s">
        <v>805</v>
      </c>
      <c r="DD103" s="113" t="s">
        <v>805</v>
      </c>
      <c r="DE103" s="113" t="s">
        <v>805</v>
      </c>
      <c r="DF103" s="113" t="s">
        <v>805</v>
      </c>
      <c r="DG103" s="28">
        <f>'KPI Count-SHARE'!J92</f>
        <v>0</v>
      </c>
      <c r="DH103" s="114"/>
      <c r="DI103" s="114"/>
      <c r="DJ103" s="114"/>
      <c r="DK103" s="28">
        <f>'KPI Count-SHARE'!K92</f>
        <v>0</v>
      </c>
      <c r="DL103" s="118"/>
      <c r="DM103" s="118"/>
      <c r="DN103" s="118"/>
      <c r="DO103" s="28">
        <f>'KPI Count-SHARE'!L92</f>
        <v>0</v>
      </c>
      <c r="DP103" s="118"/>
      <c r="DQ103" s="118"/>
      <c r="DR103" s="118"/>
      <c r="DS103" s="28">
        <f>'KPI Count-SHARE'!M92</f>
        <v>0</v>
      </c>
      <c r="DT103" s="118"/>
      <c r="DU103" s="118"/>
      <c r="DV103" s="118"/>
      <c r="DW103" t="str">
        <f t="shared" ref="DW103:DW115" si="461">XCurrency &amp; " '000 per brand"</f>
        <v>USD '000 per brand</v>
      </c>
      <c r="DX103" s="39" t="str">
        <f t="shared" si="425"/>
        <v>-</v>
      </c>
      <c r="DY103" s="39" t="str">
        <f t="shared" si="426"/>
        <v>-</v>
      </c>
      <c r="DZ103" s="39" t="str">
        <f t="shared" si="427"/>
        <v>-</v>
      </c>
      <c r="EA103" s="39" t="str">
        <f t="shared" si="428"/>
        <v>-</v>
      </c>
      <c r="EB103" s="39" t="str">
        <f t="shared" si="429"/>
        <v>-</v>
      </c>
      <c r="EC103" s="39" t="str">
        <f t="shared" si="430"/>
        <v>-</v>
      </c>
      <c r="ED103" s="39" t="str">
        <f t="shared" si="431"/>
        <v>-</v>
      </c>
      <c r="EE103" s="39" t="str">
        <f t="shared" si="432"/>
        <v>-</v>
      </c>
      <c r="EF103" s="39" t="str">
        <f t="shared" si="433"/>
        <v>-</v>
      </c>
      <c r="EG103" s="39" t="str">
        <f t="shared" si="434"/>
        <v>-</v>
      </c>
      <c r="EH103" s="39" t="str">
        <f t="shared" si="435"/>
        <v>-</v>
      </c>
      <c r="EI103" s="39" t="str">
        <f t="shared" si="448"/>
        <v>-</v>
      </c>
      <c r="EJ103" s="39" t="str">
        <f t="shared" si="449"/>
        <v>-</v>
      </c>
      <c r="EK103" s="39" t="str">
        <f t="shared" si="450"/>
        <v>-</v>
      </c>
      <c r="EL103" s="39" t="str">
        <f t="shared" si="451"/>
        <v>-</v>
      </c>
      <c r="EM103" s="39" t="str">
        <f t="shared" si="452"/>
        <v>-</v>
      </c>
      <c r="EN103" s="39" t="str">
        <f t="shared" si="453"/>
        <v>-</v>
      </c>
      <c r="EO103" s="39" t="str">
        <f t="shared" si="454"/>
        <v>-</v>
      </c>
      <c r="EP103" s="39" t="str">
        <f t="shared" si="455"/>
        <v>-</v>
      </c>
      <c r="EQ103" s="39" t="str">
        <f t="shared" si="456"/>
        <v>-</v>
      </c>
      <c r="ER103" s="39" t="str">
        <f t="shared" si="457"/>
        <v>-</v>
      </c>
      <c r="ES103" s="39" t="str">
        <f t="shared" si="458"/>
        <v>-</v>
      </c>
      <c r="ET103" s="39" t="str">
        <f t="shared" si="459"/>
        <v>-</v>
      </c>
      <c r="EU103" s="39" t="str">
        <f t="shared" si="319"/>
        <v>-</v>
      </c>
      <c r="EV103" s="39" t="str">
        <f t="shared" si="320"/>
        <v>-</v>
      </c>
      <c r="EW103" s="39" t="str">
        <f t="shared" si="321"/>
        <v>-</v>
      </c>
      <c r="EX103" s="39" t="str">
        <f t="shared" si="322"/>
        <v>-</v>
      </c>
      <c r="EY103" s="39" t="str">
        <f t="shared" si="323"/>
        <v>-</v>
      </c>
      <c r="EZ103" s="39" t="str">
        <f t="shared" si="324"/>
        <v>-</v>
      </c>
      <c r="FA103" s="39" t="str">
        <f t="shared" si="325"/>
        <v>-</v>
      </c>
      <c r="FB103" s="39" t="str">
        <f t="shared" si="326"/>
        <v>-</v>
      </c>
      <c r="FC103" s="39" t="str">
        <f t="shared" si="327"/>
        <v>-</v>
      </c>
      <c r="FD103" s="39" t="str">
        <f t="shared" si="328"/>
        <v>-</v>
      </c>
      <c r="FE103" s="39" t="str">
        <f t="shared" si="329"/>
        <v>-</v>
      </c>
      <c r="FF103" s="39" t="str">
        <f t="shared" si="330"/>
        <v>-</v>
      </c>
      <c r="FG103" s="39" t="str">
        <f t="shared" si="331"/>
        <v>-</v>
      </c>
      <c r="FH103" s="39" t="str">
        <f t="shared" si="332"/>
        <v>-</v>
      </c>
      <c r="FI103" s="39" t="str">
        <f t="shared" si="333"/>
        <v>-</v>
      </c>
      <c r="FJ103" s="39" t="str">
        <f t="shared" si="334"/>
        <v>-</v>
      </c>
      <c r="FK103" s="39" t="str">
        <f t="shared" si="335"/>
        <v>-</v>
      </c>
      <c r="FL103" s="39" t="str">
        <f t="shared" si="336"/>
        <v>-</v>
      </c>
      <c r="FM103" s="39" t="str">
        <f t="shared" si="337"/>
        <v>-</v>
      </c>
      <c r="FN103" s="39" t="str">
        <f t="shared" si="338"/>
        <v>-</v>
      </c>
      <c r="FO103" s="39" t="str">
        <f t="shared" si="339"/>
        <v>-</v>
      </c>
      <c r="FP103" s="39" t="str">
        <f t="shared" si="340"/>
        <v>-</v>
      </c>
      <c r="FQ103" s="39" t="str">
        <f t="shared" si="341"/>
        <v>-</v>
      </c>
      <c r="FR103" s="39" t="str">
        <f t="shared" si="342"/>
        <v>-</v>
      </c>
      <c r="FS103" s="39" t="str">
        <f t="shared" si="343"/>
        <v>-</v>
      </c>
      <c r="FT103" s="39" t="str">
        <f t="shared" si="344"/>
        <v>-</v>
      </c>
      <c r="FU103" s="39" t="str">
        <f t="shared" si="345"/>
        <v>-</v>
      </c>
      <c r="FV103" s="39" t="str">
        <f t="shared" si="346"/>
        <v>-</v>
      </c>
      <c r="FW103" s="39" t="str">
        <f t="shared" si="347"/>
        <v>-</v>
      </c>
      <c r="FX103" s="39" t="str">
        <f t="shared" si="348"/>
        <v>-</v>
      </c>
      <c r="FY103" s="39" t="str">
        <f t="shared" si="349"/>
        <v>-</v>
      </c>
      <c r="FZ103" s="39" t="str">
        <f t="shared" si="350"/>
        <v>-</v>
      </c>
      <c r="GA103" s="39" t="str">
        <f t="shared" si="351"/>
        <v>-</v>
      </c>
      <c r="GB103" s="39" t="str">
        <f t="shared" si="352"/>
        <v>-</v>
      </c>
      <c r="GC103" s="39" t="str">
        <f t="shared" si="353"/>
        <v>-</v>
      </c>
      <c r="GD103" s="39" t="str">
        <f t="shared" si="354"/>
        <v>-</v>
      </c>
      <c r="GE103" s="39" t="str">
        <f t="shared" si="355"/>
        <v>-</v>
      </c>
      <c r="GF103" s="39" t="str">
        <f t="shared" si="356"/>
        <v>-</v>
      </c>
      <c r="GG103" s="39" t="str">
        <f t="shared" si="357"/>
        <v>-</v>
      </c>
      <c r="GH103" s="39" t="str">
        <f t="shared" si="358"/>
        <v>-</v>
      </c>
      <c r="GI103" s="39" t="str">
        <f t="shared" si="359"/>
        <v>-</v>
      </c>
      <c r="GJ103" s="39" t="str">
        <f t="shared" si="360"/>
        <v>-</v>
      </c>
      <c r="GK103" s="39" t="str">
        <f t="shared" si="361"/>
        <v>-</v>
      </c>
      <c r="GL103" s="39" t="str">
        <f t="shared" si="362"/>
        <v>-</v>
      </c>
      <c r="GM103" s="39" t="str">
        <f t="shared" si="363"/>
        <v>-</v>
      </c>
      <c r="GN103" s="39" t="str">
        <f t="shared" si="364"/>
        <v>-</v>
      </c>
      <c r="GO103" s="39" t="str">
        <f t="shared" si="365"/>
        <v>-</v>
      </c>
      <c r="GP103" s="39" t="str">
        <f t="shared" si="366"/>
        <v>-</v>
      </c>
      <c r="GQ103" s="39" t="str">
        <f t="shared" si="367"/>
        <v>-</v>
      </c>
      <c r="GR103" s="39" t="str">
        <f t="shared" si="368"/>
        <v>-</v>
      </c>
      <c r="GS103" s="39" t="str">
        <f t="shared" si="369"/>
        <v>-</v>
      </c>
      <c r="GT103" s="39" t="str">
        <f t="shared" si="370"/>
        <v>-</v>
      </c>
      <c r="GU103" s="39" t="str">
        <f t="shared" si="371"/>
        <v>-</v>
      </c>
      <c r="GV103" s="39" t="str">
        <f t="shared" si="372"/>
        <v>-</v>
      </c>
      <c r="GW103" s="39" t="str">
        <f t="shared" si="373"/>
        <v>-</v>
      </c>
      <c r="GX103" s="39" t="str">
        <f t="shared" si="374"/>
        <v>-</v>
      </c>
      <c r="GY103" s="39" t="str">
        <f t="shared" si="375"/>
        <v>-</v>
      </c>
      <c r="GZ103" s="39" t="str">
        <f t="shared" si="376"/>
        <v>-</v>
      </c>
      <c r="HA103" s="39" t="str">
        <f t="shared" si="377"/>
        <v>-</v>
      </c>
      <c r="HB103" s="39" t="str">
        <f t="shared" si="378"/>
        <v>-</v>
      </c>
      <c r="HC103" s="39" t="str">
        <f t="shared" si="379"/>
        <v>-</v>
      </c>
      <c r="HD103" s="39" t="str">
        <f t="shared" si="380"/>
        <v>-</v>
      </c>
      <c r="HE103" s="39" t="str">
        <f t="shared" si="381"/>
        <v>-</v>
      </c>
      <c r="HF103" s="39" t="str">
        <f t="shared" si="382"/>
        <v>-</v>
      </c>
      <c r="HG103" s="39" t="str">
        <f t="shared" si="383"/>
        <v>-</v>
      </c>
      <c r="HH103" s="39" t="str">
        <f t="shared" si="384"/>
        <v>-</v>
      </c>
      <c r="HI103" s="39" t="str">
        <f t="shared" si="385"/>
        <v>-</v>
      </c>
      <c r="HJ103" s="39" t="str">
        <f t="shared" si="386"/>
        <v>-</v>
      </c>
      <c r="HK103" s="39" t="str">
        <f t="shared" si="387"/>
        <v>-</v>
      </c>
      <c r="HL103" s="39" t="str">
        <f t="shared" si="388"/>
        <v>-</v>
      </c>
      <c r="HM103" s="39" t="str">
        <f t="shared" si="389"/>
        <v>-</v>
      </c>
      <c r="HN103" s="39" t="str">
        <f t="shared" si="390"/>
        <v>-</v>
      </c>
      <c r="HO103" s="39" t="str">
        <f t="shared" si="391"/>
        <v>-</v>
      </c>
      <c r="HP103" s="39" t="str">
        <f t="shared" si="392"/>
        <v>-</v>
      </c>
      <c r="HQ103" s="39" t="str">
        <f t="shared" si="393"/>
        <v>-</v>
      </c>
      <c r="HR103" s="39" t="str">
        <f t="shared" si="394"/>
        <v>-</v>
      </c>
      <c r="HS103" s="39" t="str">
        <f t="shared" si="395"/>
        <v>-</v>
      </c>
      <c r="HT103" s="39" t="str">
        <f t="shared" si="395"/>
        <v>-</v>
      </c>
      <c r="HU103" s="43" t="str">
        <f t="shared" si="445"/>
        <v>-</v>
      </c>
      <c r="HV103" s="44" t="str">
        <f t="shared" si="446"/>
        <v/>
      </c>
      <c r="HW103" s="45" t="str">
        <f t="shared" si="447"/>
        <v/>
      </c>
      <c r="HX103" s="102"/>
      <c r="HY103" s="102"/>
      <c r="HZ103" s="102"/>
      <c r="IA103" s="101"/>
      <c r="IB103" s="102"/>
      <c r="IC103" s="103"/>
      <c r="ID103" s="101"/>
      <c r="IE103" s="102"/>
      <c r="IF103" s="103"/>
      <c r="IH103" s="66">
        <v>103</v>
      </c>
      <c r="II103" s="66" t="e">
        <f t="shared" ca="1" si="436"/>
        <v>#N/A</v>
      </c>
      <c r="IJ103" s="66" t="e">
        <f t="shared" ca="1" si="437"/>
        <v>#N/A</v>
      </c>
      <c r="IK103" s="66" t="e">
        <f t="shared" ca="1" si="438"/>
        <v>#N/A</v>
      </c>
      <c r="IL103" s="66" t="e">
        <f t="shared" ca="1" si="439"/>
        <v>#N/A</v>
      </c>
      <c r="IN103" s="74" t="e">
        <f t="shared" ca="1" si="440"/>
        <v>#N/A</v>
      </c>
      <c r="IO103" s="75" t="e">
        <f t="shared" ca="1" si="441"/>
        <v>#N/A</v>
      </c>
      <c r="IP103" s="75" t="e">
        <f t="shared" ca="1" si="442"/>
        <v>#N/A</v>
      </c>
      <c r="IQ103" s="74" t="e">
        <f t="shared" ca="1" si="443"/>
        <v>#N/A</v>
      </c>
      <c r="IR103" s="74" t="e">
        <f t="shared" ca="1" si="444"/>
        <v>#N/A</v>
      </c>
    </row>
    <row r="104" spans="1:252" x14ac:dyDescent="0.35">
      <c r="A104" s="28">
        <v>0</v>
      </c>
      <c r="B104" s="28">
        <v>1</v>
      </c>
      <c r="C104" s="28">
        <v>1</v>
      </c>
      <c r="D104" s="1"/>
      <c r="E104" s="3"/>
      <c r="F104" t="s">
        <v>369</v>
      </c>
      <c r="G104" s="5" t="s">
        <v>540</v>
      </c>
      <c r="H104" t="s">
        <v>556</v>
      </c>
      <c r="I104" t="s">
        <v>536</v>
      </c>
      <c r="J104" s="276" t="s">
        <v>805</v>
      </c>
      <c r="K104" s="113" t="s">
        <v>805</v>
      </c>
      <c r="L104" s="113" t="s">
        <v>805</v>
      </c>
      <c r="M104" s="113" t="s">
        <v>805</v>
      </c>
      <c r="N104" s="113" t="s">
        <v>805</v>
      </c>
      <c r="O104" s="113" t="s">
        <v>805</v>
      </c>
      <c r="P104" s="113" t="s">
        <v>805</v>
      </c>
      <c r="Q104" s="113" t="s">
        <v>805</v>
      </c>
      <c r="R104" s="113" t="s">
        <v>805</v>
      </c>
      <c r="S104" s="113" t="s">
        <v>805</v>
      </c>
      <c r="T104" s="113" t="s">
        <v>805</v>
      </c>
      <c r="U104" s="113" t="s">
        <v>805</v>
      </c>
      <c r="V104" s="113" t="s">
        <v>805</v>
      </c>
      <c r="W104" s="113" t="s">
        <v>805</v>
      </c>
      <c r="X104" s="113" t="s">
        <v>805</v>
      </c>
      <c r="Y104" s="113" t="s">
        <v>805</v>
      </c>
      <c r="Z104" s="113" t="s">
        <v>805</v>
      </c>
      <c r="AA104" s="113" t="s">
        <v>805</v>
      </c>
      <c r="AB104" s="113" t="s">
        <v>805</v>
      </c>
      <c r="AC104" s="113" t="s">
        <v>805</v>
      </c>
      <c r="AD104" s="113" t="s">
        <v>805</v>
      </c>
      <c r="AE104" s="113" t="s">
        <v>805</v>
      </c>
      <c r="AF104" s="113" t="s">
        <v>805</v>
      </c>
      <c r="AG104" s="113" t="s">
        <v>805</v>
      </c>
      <c r="AH104" s="113" t="s">
        <v>805</v>
      </c>
      <c r="AI104" s="113" t="s">
        <v>805</v>
      </c>
      <c r="AJ104" s="113" t="s">
        <v>805</v>
      </c>
      <c r="AK104" s="113" t="s">
        <v>805</v>
      </c>
      <c r="AL104" s="113" t="s">
        <v>805</v>
      </c>
      <c r="AM104" s="113" t="s">
        <v>805</v>
      </c>
      <c r="AN104" s="113" t="s">
        <v>805</v>
      </c>
      <c r="AO104" s="113" t="s">
        <v>805</v>
      </c>
      <c r="AP104" s="113" t="s">
        <v>805</v>
      </c>
      <c r="AQ104" s="113" t="s">
        <v>805</v>
      </c>
      <c r="AR104" s="113" t="s">
        <v>805</v>
      </c>
      <c r="AS104" s="113" t="s">
        <v>805</v>
      </c>
      <c r="AT104" s="113" t="s">
        <v>805</v>
      </c>
      <c r="AU104" s="113" t="s">
        <v>805</v>
      </c>
      <c r="AV104" s="113" t="s">
        <v>805</v>
      </c>
      <c r="AW104" s="113" t="s">
        <v>805</v>
      </c>
      <c r="AX104" s="113" t="s">
        <v>805</v>
      </c>
      <c r="AY104" s="113" t="s">
        <v>805</v>
      </c>
      <c r="AZ104" s="113" t="s">
        <v>805</v>
      </c>
      <c r="BA104" s="113" t="s">
        <v>805</v>
      </c>
      <c r="BB104" s="113" t="s">
        <v>805</v>
      </c>
      <c r="BC104" s="113" t="s">
        <v>805</v>
      </c>
      <c r="BD104" s="113" t="s">
        <v>805</v>
      </c>
      <c r="BE104" s="113" t="s">
        <v>805</v>
      </c>
      <c r="BF104" s="113" t="s">
        <v>805</v>
      </c>
      <c r="BG104" s="113" t="s">
        <v>805</v>
      </c>
      <c r="BH104" s="113" t="s">
        <v>805</v>
      </c>
      <c r="BI104" s="113" t="s">
        <v>805</v>
      </c>
      <c r="BJ104" s="113" t="s">
        <v>805</v>
      </c>
      <c r="BK104" s="113" t="s">
        <v>805</v>
      </c>
      <c r="BL104" s="113" t="s">
        <v>805</v>
      </c>
      <c r="BM104" s="113" t="s">
        <v>805</v>
      </c>
      <c r="BN104" s="113" t="s">
        <v>805</v>
      </c>
      <c r="BO104" s="113" t="s">
        <v>805</v>
      </c>
      <c r="BP104" s="113" t="s">
        <v>805</v>
      </c>
      <c r="BQ104" s="113" t="s">
        <v>805</v>
      </c>
      <c r="BR104" s="113" t="s">
        <v>805</v>
      </c>
      <c r="BS104" s="113" t="s">
        <v>805</v>
      </c>
      <c r="BT104" s="113" t="s">
        <v>805</v>
      </c>
      <c r="BU104" s="113" t="s">
        <v>805</v>
      </c>
      <c r="BV104" s="113" t="s">
        <v>805</v>
      </c>
      <c r="BW104" s="113" t="s">
        <v>805</v>
      </c>
      <c r="BX104" s="113" t="s">
        <v>805</v>
      </c>
      <c r="BY104" s="113" t="s">
        <v>805</v>
      </c>
      <c r="BZ104" s="113" t="s">
        <v>805</v>
      </c>
      <c r="CA104" s="113" t="s">
        <v>805</v>
      </c>
      <c r="CB104" s="113" t="s">
        <v>805</v>
      </c>
      <c r="CC104" s="113" t="s">
        <v>805</v>
      </c>
      <c r="CD104" s="113" t="s">
        <v>805</v>
      </c>
      <c r="CE104" s="113" t="s">
        <v>805</v>
      </c>
      <c r="CF104" s="113" t="s">
        <v>805</v>
      </c>
      <c r="CG104" s="113" t="s">
        <v>805</v>
      </c>
      <c r="CH104" s="113" t="s">
        <v>805</v>
      </c>
      <c r="CI104" s="113" t="s">
        <v>805</v>
      </c>
      <c r="CJ104" s="113" t="s">
        <v>805</v>
      </c>
      <c r="CK104" s="113" t="s">
        <v>805</v>
      </c>
      <c r="CL104" s="113" t="s">
        <v>805</v>
      </c>
      <c r="CM104" s="113" t="s">
        <v>805</v>
      </c>
      <c r="CN104" s="113" t="s">
        <v>805</v>
      </c>
      <c r="CO104" s="113" t="s">
        <v>805</v>
      </c>
      <c r="CP104" s="113" t="s">
        <v>805</v>
      </c>
      <c r="CQ104" s="113" t="s">
        <v>805</v>
      </c>
      <c r="CR104" s="113" t="s">
        <v>805</v>
      </c>
      <c r="CS104" s="113" t="s">
        <v>805</v>
      </c>
      <c r="CT104" s="113" t="s">
        <v>805</v>
      </c>
      <c r="CU104" s="113" t="s">
        <v>805</v>
      </c>
      <c r="CV104" s="113" t="s">
        <v>805</v>
      </c>
      <c r="CW104" s="113" t="s">
        <v>805</v>
      </c>
      <c r="CX104" s="113" t="s">
        <v>805</v>
      </c>
      <c r="CY104" s="113" t="s">
        <v>805</v>
      </c>
      <c r="CZ104" s="113" t="s">
        <v>805</v>
      </c>
      <c r="DA104" s="113" t="s">
        <v>805</v>
      </c>
      <c r="DB104" s="113" t="s">
        <v>805</v>
      </c>
      <c r="DC104" s="113" t="s">
        <v>805</v>
      </c>
      <c r="DD104" s="113" t="s">
        <v>805</v>
      </c>
      <c r="DE104" s="113" t="s">
        <v>805</v>
      </c>
      <c r="DF104" s="113" t="s">
        <v>805</v>
      </c>
      <c r="DG104" s="28">
        <f>'KPI Count-SHARE'!J93</f>
        <v>0</v>
      </c>
      <c r="DH104" s="115"/>
      <c r="DI104" s="115"/>
      <c r="DJ104" s="115"/>
      <c r="DK104" s="28">
        <f>'KPI Count-SHARE'!K93</f>
        <v>0</v>
      </c>
      <c r="DL104" s="111"/>
      <c r="DM104" s="111"/>
      <c r="DN104" s="111"/>
      <c r="DO104" s="28">
        <f>'KPI Count-SHARE'!L93</f>
        <v>0</v>
      </c>
      <c r="DP104" s="111"/>
      <c r="DQ104" s="111"/>
      <c r="DR104" s="111"/>
      <c r="DS104" s="28">
        <f>'KPI Count-SHARE'!M93</f>
        <v>0</v>
      </c>
      <c r="DT104" s="111"/>
      <c r="DU104" s="111"/>
      <c r="DV104" s="111"/>
      <c r="DW104" t="str">
        <f t="shared" si="461"/>
        <v>USD '000 per brand</v>
      </c>
      <c r="DX104" s="39" t="str">
        <f t="shared" si="425"/>
        <v>-</v>
      </c>
      <c r="DY104" s="39" t="str">
        <f t="shared" si="426"/>
        <v>-</v>
      </c>
      <c r="DZ104" s="39" t="str">
        <f t="shared" si="427"/>
        <v>-</v>
      </c>
      <c r="EA104" s="39" t="str">
        <f t="shared" si="428"/>
        <v>-</v>
      </c>
      <c r="EB104" s="39" t="str">
        <f t="shared" si="429"/>
        <v>-</v>
      </c>
      <c r="EC104" s="39" t="str">
        <f t="shared" si="430"/>
        <v>-</v>
      </c>
      <c r="ED104" s="39" t="str">
        <f t="shared" si="431"/>
        <v>-</v>
      </c>
      <c r="EE104" s="39" t="str">
        <f t="shared" si="432"/>
        <v>-</v>
      </c>
      <c r="EF104" s="39" t="str">
        <f t="shared" si="433"/>
        <v>-</v>
      </c>
      <c r="EG104" s="39" t="str">
        <f t="shared" si="434"/>
        <v>-</v>
      </c>
      <c r="EH104" s="39" t="str">
        <f t="shared" si="435"/>
        <v>-</v>
      </c>
      <c r="EI104" s="39" t="str">
        <f t="shared" si="448"/>
        <v>-</v>
      </c>
      <c r="EJ104" s="39" t="str">
        <f t="shared" si="449"/>
        <v>-</v>
      </c>
      <c r="EK104" s="39" t="str">
        <f t="shared" si="450"/>
        <v>-</v>
      </c>
      <c r="EL104" s="39" t="str">
        <f t="shared" si="451"/>
        <v>-</v>
      </c>
      <c r="EM104" s="39" t="str">
        <f t="shared" si="452"/>
        <v>-</v>
      </c>
      <c r="EN104" s="39" t="str">
        <f t="shared" si="453"/>
        <v>-</v>
      </c>
      <c r="EO104" s="39" t="str">
        <f t="shared" si="454"/>
        <v>-</v>
      </c>
      <c r="EP104" s="39" t="str">
        <f t="shared" si="455"/>
        <v>-</v>
      </c>
      <c r="EQ104" s="39" t="str">
        <f t="shared" si="456"/>
        <v>-</v>
      </c>
      <c r="ER104" s="39" t="str">
        <f t="shared" si="457"/>
        <v>-</v>
      </c>
      <c r="ES104" s="39" t="str">
        <f t="shared" si="458"/>
        <v>-</v>
      </c>
      <c r="ET104" s="39" t="str">
        <f t="shared" si="459"/>
        <v>-</v>
      </c>
      <c r="EU104" s="39" t="str">
        <f t="shared" si="319"/>
        <v>-</v>
      </c>
      <c r="EV104" s="39" t="str">
        <f t="shared" si="320"/>
        <v>-</v>
      </c>
      <c r="EW104" s="39" t="str">
        <f t="shared" si="321"/>
        <v>-</v>
      </c>
      <c r="EX104" s="39" t="str">
        <f t="shared" si="322"/>
        <v>-</v>
      </c>
      <c r="EY104" s="39" t="str">
        <f t="shared" si="323"/>
        <v>-</v>
      </c>
      <c r="EZ104" s="39" t="str">
        <f t="shared" si="324"/>
        <v>-</v>
      </c>
      <c r="FA104" s="39" t="str">
        <f t="shared" si="325"/>
        <v>-</v>
      </c>
      <c r="FB104" s="39" t="str">
        <f t="shared" si="326"/>
        <v>-</v>
      </c>
      <c r="FC104" s="39" t="str">
        <f t="shared" si="327"/>
        <v>-</v>
      </c>
      <c r="FD104" s="39" t="str">
        <f t="shared" si="328"/>
        <v>-</v>
      </c>
      <c r="FE104" s="39" t="str">
        <f t="shared" si="329"/>
        <v>-</v>
      </c>
      <c r="FF104" s="39" t="str">
        <f t="shared" si="330"/>
        <v>-</v>
      </c>
      <c r="FG104" s="39" t="str">
        <f t="shared" si="331"/>
        <v>-</v>
      </c>
      <c r="FH104" s="39" t="str">
        <f t="shared" si="332"/>
        <v>-</v>
      </c>
      <c r="FI104" s="39" t="str">
        <f t="shared" si="333"/>
        <v>-</v>
      </c>
      <c r="FJ104" s="39" t="str">
        <f t="shared" si="334"/>
        <v>-</v>
      </c>
      <c r="FK104" s="39" t="str">
        <f t="shared" si="335"/>
        <v>-</v>
      </c>
      <c r="FL104" s="39" t="str">
        <f t="shared" si="336"/>
        <v>-</v>
      </c>
      <c r="FM104" s="39" t="str">
        <f t="shared" si="337"/>
        <v>-</v>
      </c>
      <c r="FN104" s="39" t="str">
        <f t="shared" si="338"/>
        <v>-</v>
      </c>
      <c r="FO104" s="39" t="str">
        <f t="shared" si="339"/>
        <v>-</v>
      </c>
      <c r="FP104" s="39" t="str">
        <f t="shared" si="340"/>
        <v>-</v>
      </c>
      <c r="FQ104" s="39" t="str">
        <f t="shared" si="341"/>
        <v>-</v>
      </c>
      <c r="FR104" s="39" t="str">
        <f t="shared" si="342"/>
        <v>-</v>
      </c>
      <c r="FS104" s="39" t="str">
        <f t="shared" si="343"/>
        <v>-</v>
      </c>
      <c r="FT104" s="39" t="str">
        <f t="shared" si="344"/>
        <v>-</v>
      </c>
      <c r="FU104" s="39" t="str">
        <f t="shared" si="345"/>
        <v>-</v>
      </c>
      <c r="FV104" s="39" t="str">
        <f t="shared" si="346"/>
        <v>-</v>
      </c>
      <c r="FW104" s="39" t="str">
        <f t="shared" si="347"/>
        <v>-</v>
      </c>
      <c r="FX104" s="39" t="str">
        <f t="shared" si="348"/>
        <v>-</v>
      </c>
      <c r="FY104" s="39" t="str">
        <f t="shared" si="349"/>
        <v>-</v>
      </c>
      <c r="FZ104" s="39" t="str">
        <f t="shared" si="350"/>
        <v>-</v>
      </c>
      <c r="GA104" s="39" t="str">
        <f t="shared" si="351"/>
        <v>-</v>
      </c>
      <c r="GB104" s="39" t="str">
        <f t="shared" si="352"/>
        <v>-</v>
      </c>
      <c r="GC104" s="39" t="str">
        <f t="shared" si="353"/>
        <v>-</v>
      </c>
      <c r="GD104" s="39" t="str">
        <f t="shared" si="354"/>
        <v>-</v>
      </c>
      <c r="GE104" s="39" t="str">
        <f t="shared" si="355"/>
        <v>-</v>
      </c>
      <c r="GF104" s="39" t="str">
        <f t="shared" si="356"/>
        <v>-</v>
      </c>
      <c r="GG104" s="39" t="str">
        <f t="shared" si="357"/>
        <v>-</v>
      </c>
      <c r="GH104" s="39" t="str">
        <f t="shared" si="358"/>
        <v>-</v>
      </c>
      <c r="GI104" s="39" t="str">
        <f t="shared" si="359"/>
        <v>-</v>
      </c>
      <c r="GJ104" s="39" t="str">
        <f t="shared" si="360"/>
        <v>-</v>
      </c>
      <c r="GK104" s="39" t="str">
        <f t="shared" si="361"/>
        <v>-</v>
      </c>
      <c r="GL104" s="39" t="str">
        <f t="shared" si="362"/>
        <v>-</v>
      </c>
      <c r="GM104" s="39" t="str">
        <f t="shared" si="363"/>
        <v>-</v>
      </c>
      <c r="GN104" s="39" t="str">
        <f t="shared" si="364"/>
        <v>-</v>
      </c>
      <c r="GO104" s="39" t="str">
        <f t="shared" si="365"/>
        <v>-</v>
      </c>
      <c r="GP104" s="39" t="str">
        <f t="shared" si="366"/>
        <v>-</v>
      </c>
      <c r="GQ104" s="39" t="str">
        <f t="shared" si="367"/>
        <v>-</v>
      </c>
      <c r="GR104" s="39" t="str">
        <f t="shared" si="368"/>
        <v>-</v>
      </c>
      <c r="GS104" s="39" t="str">
        <f t="shared" si="369"/>
        <v>-</v>
      </c>
      <c r="GT104" s="39" t="str">
        <f t="shared" si="370"/>
        <v>-</v>
      </c>
      <c r="GU104" s="39" t="str">
        <f t="shared" si="371"/>
        <v>-</v>
      </c>
      <c r="GV104" s="39" t="str">
        <f t="shared" si="372"/>
        <v>-</v>
      </c>
      <c r="GW104" s="39" t="str">
        <f t="shared" si="373"/>
        <v>-</v>
      </c>
      <c r="GX104" s="39" t="str">
        <f t="shared" si="374"/>
        <v>-</v>
      </c>
      <c r="GY104" s="39" t="str">
        <f t="shared" si="375"/>
        <v>-</v>
      </c>
      <c r="GZ104" s="39" t="str">
        <f t="shared" si="376"/>
        <v>-</v>
      </c>
      <c r="HA104" s="39" t="str">
        <f t="shared" si="377"/>
        <v>-</v>
      </c>
      <c r="HB104" s="39" t="str">
        <f t="shared" si="378"/>
        <v>-</v>
      </c>
      <c r="HC104" s="39" t="str">
        <f t="shared" si="379"/>
        <v>-</v>
      </c>
      <c r="HD104" s="39" t="str">
        <f t="shared" si="380"/>
        <v>-</v>
      </c>
      <c r="HE104" s="39" t="str">
        <f t="shared" si="381"/>
        <v>-</v>
      </c>
      <c r="HF104" s="39" t="str">
        <f t="shared" si="382"/>
        <v>-</v>
      </c>
      <c r="HG104" s="39" t="str">
        <f t="shared" si="383"/>
        <v>-</v>
      </c>
      <c r="HH104" s="39" t="str">
        <f t="shared" si="384"/>
        <v>-</v>
      </c>
      <c r="HI104" s="39" t="str">
        <f t="shared" si="385"/>
        <v>-</v>
      </c>
      <c r="HJ104" s="39" t="str">
        <f t="shared" si="386"/>
        <v>-</v>
      </c>
      <c r="HK104" s="39" t="str">
        <f t="shared" si="387"/>
        <v>-</v>
      </c>
      <c r="HL104" s="39" t="str">
        <f t="shared" si="388"/>
        <v>-</v>
      </c>
      <c r="HM104" s="39" t="str">
        <f t="shared" si="389"/>
        <v>-</v>
      </c>
      <c r="HN104" s="39" t="str">
        <f t="shared" si="390"/>
        <v>-</v>
      </c>
      <c r="HO104" s="39" t="str">
        <f t="shared" si="391"/>
        <v>-</v>
      </c>
      <c r="HP104" s="39" t="str">
        <f t="shared" si="392"/>
        <v>-</v>
      </c>
      <c r="HQ104" s="39" t="str">
        <f t="shared" si="393"/>
        <v>-</v>
      </c>
      <c r="HR104" s="39" t="str">
        <f t="shared" si="394"/>
        <v>-</v>
      </c>
      <c r="HS104" s="39" t="str">
        <f t="shared" si="395"/>
        <v>-</v>
      </c>
      <c r="HT104" s="39" t="str">
        <f t="shared" si="395"/>
        <v>-</v>
      </c>
      <c r="HU104" s="43" t="str">
        <f t="shared" si="445"/>
        <v>-</v>
      </c>
      <c r="HV104" s="44" t="str">
        <f t="shared" si="446"/>
        <v/>
      </c>
      <c r="HW104" s="45" t="str">
        <f t="shared" si="447"/>
        <v/>
      </c>
      <c r="HX104" s="102"/>
      <c r="HY104" s="102"/>
      <c r="HZ104" s="102"/>
      <c r="IA104" s="101"/>
      <c r="IB104" s="102"/>
      <c r="IC104" s="103"/>
      <c r="ID104" s="101"/>
      <c r="IE104" s="102"/>
      <c r="IF104" s="103"/>
      <c r="IH104" s="66">
        <v>104</v>
      </c>
      <c r="II104" s="66" t="e">
        <f t="shared" ca="1" si="436"/>
        <v>#N/A</v>
      </c>
      <c r="IJ104" s="66" t="e">
        <f t="shared" ca="1" si="437"/>
        <v>#N/A</v>
      </c>
      <c r="IK104" s="66" t="e">
        <f t="shared" ca="1" si="438"/>
        <v>#N/A</v>
      </c>
      <c r="IL104" s="66" t="e">
        <f t="shared" ca="1" si="439"/>
        <v>#N/A</v>
      </c>
      <c r="IN104" s="74" t="e">
        <f t="shared" ca="1" si="440"/>
        <v>#N/A</v>
      </c>
      <c r="IO104" s="75" t="e">
        <f t="shared" ca="1" si="441"/>
        <v>#N/A</v>
      </c>
      <c r="IP104" s="75" t="e">
        <f t="shared" ca="1" si="442"/>
        <v>#N/A</v>
      </c>
      <c r="IQ104" s="74" t="e">
        <f t="shared" ca="1" si="443"/>
        <v>#N/A</v>
      </c>
      <c r="IR104" s="74" t="e">
        <f t="shared" ca="1" si="444"/>
        <v>#N/A</v>
      </c>
    </row>
    <row r="105" spans="1:252" x14ac:dyDescent="0.35">
      <c r="A105" s="28">
        <v>0</v>
      </c>
      <c r="B105" s="28">
        <v>1</v>
      </c>
      <c r="C105" s="28">
        <v>1</v>
      </c>
      <c r="D105" s="1"/>
      <c r="E105" s="3"/>
      <c r="F105" t="s">
        <v>370</v>
      </c>
      <c r="G105" s="5" t="s">
        <v>540</v>
      </c>
      <c r="H105" t="s">
        <v>556</v>
      </c>
      <c r="I105" t="s">
        <v>536</v>
      </c>
      <c r="J105" s="276" t="s">
        <v>805</v>
      </c>
      <c r="K105" s="113" t="s">
        <v>805</v>
      </c>
      <c r="L105" s="113" t="s">
        <v>805</v>
      </c>
      <c r="M105" s="113" t="s">
        <v>805</v>
      </c>
      <c r="N105" s="113" t="s">
        <v>805</v>
      </c>
      <c r="O105" s="113" t="s">
        <v>805</v>
      </c>
      <c r="P105" s="113" t="s">
        <v>805</v>
      </c>
      <c r="Q105" s="113" t="s">
        <v>805</v>
      </c>
      <c r="R105" s="113" t="s">
        <v>805</v>
      </c>
      <c r="S105" s="113" t="s">
        <v>805</v>
      </c>
      <c r="T105" s="113" t="s">
        <v>805</v>
      </c>
      <c r="U105" s="113" t="s">
        <v>805</v>
      </c>
      <c r="V105" s="113" t="s">
        <v>805</v>
      </c>
      <c r="W105" s="113" t="s">
        <v>805</v>
      </c>
      <c r="X105" s="113" t="s">
        <v>805</v>
      </c>
      <c r="Y105" s="113" t="s">
        <v>805</v>
      </c>
      <c r="Z105" s="113" t="s">
        <v>805</v>
      </c>
      <c r="AA105" s="113" t="s">
        <v>805</v>
      </c>
      <c r="AB105" s="113" t="s">
        <v>805</v>
      </c>
      <c r="AC105" s="113" t="s">
        <v>805</v>
      </c>
      <c r="AD105" s="113" t="s">
        <v>805</v>
      </c>
      <c r="AE105" s="113" t="s">
        <v>805</v>
      </c>
      <c r="AF105" s="113" t="s">
        <v>805</v>
      </c>
      <c r="AG105" s="113" t="s">
        <v>805</v>
      </c>
      <c r="AH105" s="113" t="s">
        <v>805</v>
      </c>
      <c r="AI105" s="113" t="s">
        <v>805</v>
      </c>
      <c r="AJ105" s="113" t="s">
        <v>805</v>
      </c>
      <c r="AK105" s="113" t="s">
        <v>805</v>
      </c>
      <c r="AL105" s="113" t="s">
        <v>805</v>
      </c>
      <c r="AM105" s="113" t="s">
        <v>805</v>
      </c>
      <c r="AN105" s="113" t="s">
        <v>805</v>
      </c>
      <c r="AO105" s="113" t="s">
        <v>805</v>
      </c>
      <c r="AP105" s="113" t="s">
        <v>805</v>
      </c>
      <c r="AQ105" s="113" t="s">
        <v>805</v>
      </c>
      <c r="AR105" s="113" t="s">
        <v>805</v>
      </c>
      <c r="AS105" s="113" t="s">
        <v>805</v>
      </c>
      <c r="AT105" s="113" t="s">
        <v>805</v>
      </c>
      <c r="AU105" s="113" t="s">
        <v>805</v>
      </c>
      <c r="AV105" s="113" t="s">
        <v>805</v>
      </c>
      <c r="AW105" s="113" t="s">
        <v>805</v>
      </c>
      <c r="AX105" s="113" t="s">
        <v>805</v>
      </c>
      <c r="AY105" s="113" t="s">
        <v>805</v>
      </c>
      <c r="AZ105" s="113" t="s">
        <v>805</v>
      </c>
      <c r="BA105" s="113" t="s">
        <v>805</v>
      </c>
      <c r="BB105" s="113" t="s">
        <v>805</v>
      </c>
      <c r="BC105" s="113" t="s">
        <v>805</v>
      </c>
      <c r="BD105" s="113" t="s">
        <v>805</v>
      </c>
      <c r="BE105" s="113" t="s">
        <v>805</v>
      </c>
      <c r="BF105" s="113" t="s">
        <v>805</v>
      </c>
      <c r="BG105" s="113" t="s">
        <v>805</v>
      </c>
      <c r="BH105" s="113" t="s">
        <v>805</v>
      </c>
      <c r="BI105" s="113" t="s">
        <v>805</v>
      </c>
      <c r="BJ105" s="113" t="s">
        <v>805</v>
      </c>
      <c r="BK105" s="113" t="s">
        <v>805</v>
      </c>
      <c r="BL105" s="113" t="s">
        <v>805</v>
      </c>
      <c r="BM105" s="113" t="s">
        <v>805</v>
      </c>
      <c r="BN105" s="113" t="s">
        <v>805</v>
      </c>
      <c r="BO105" s="113" t="s">
        <v>805</v>
      </c>
      <c r="BP105" s="113" t="s">
        <v>805</v>
      </c>
      <c r="BQ105" s="113" t="s">
        <v>805</v>
      </c>
      <c r="BR105" s="113" t="s">
        <v>805</v>
      </c>
      <c r="BS105" s="113" t="s">
        <v>805</v>
      </c>
      <c r="BT105" s="113" t="s">
        <v>805</v>
      </c>
      <c r="BU105" s="113" t="s">
        <v>805</v>
      </c>
      <c r="BV105" s="113" t="s">
        <v>805</v>
      </c>
      <c r="BW105" s="113" t="s">
        <v>805</v>
      </c>
      <c r="BX105" s="113" t="s">
        <v>805</v>
      </c>
      <c r="BY105" s="113" t="s">
        <v>805</v>
      </c>
      <c r="BZ105" s="113" t="s">
        <v>805</v>
      </c>
      <c r="CA105" s="113" t="s">
        <v>805</v>
      </c>
      <c r="CB105" s="113" t="s">
        <v>805</v>
      </c>
      <c r="CC105" s="113" t="s">
        <v>805</v>
      </c>
      <c r="CD105" s="113" t="s">
        <v>805</v>
      </c>
      <c r="CE105" s="113" t="s">
        <v>805</v>
      </c>
      <c r="CF105" s="113" t="s">
        <v>805</v>
      </c>
      <c r="CG105" s="113" t="s">
        <v>805</v>
      </c>
      <c r="CH105" s="113" t="s">
        <v>805</v>
      </c>
      <c r="CI105" s="113" t="s">
        <v>805</v>
      </c>
      <c r="CJ105" s="113" t="s">
        <v>805</v>
      </c>
      <c r="CK105" s="113" t="s">
        <v>805</v>
      </c>
      <c r="CL105" s="113" t="s">
        <v>805</v>
      </c>
      <c r="CM105" s="113" t="s">
        <v>805</v>
      </c>
      <c r="CN105" s="113" t="s">
        <v>805</v>
      </c>
      <c r="CO105" s="113" t="s">
        <v>805</v>
      </c>
      <c r="CP105" s="113" t="s">
        <v>805</v>
      </c>
      <c r="CQ105" s="113" t="s">
        <v>805</v>
      </c>
      <c r="CR105" s="113" t="s">
        <v>805</v>
      </c>
      <c r="CS105" s="113" t="s">
        <v>805</v>
      </c>
      <c r="CT105" s="113" t="s">
        <v>805</v>
      </c>
      <c r="CU105" s="113" t="s">
        <v>805</v>
      </c>
      <c r="CV105" s="113" t="s">
        <v>805</v>
      </c>
      <c r="CW105" s="113" t="s">
        <v>805</v>
      </c>
      <c r="CX105" s="113" t="s">
        <v>805</v>
      </c>
      <c r="CY105" s="113" t="s">
        <v>805</v>
      </c>
      <c r="CZ105" s="113" t="s">
        <v>805</v>
      </c>
      <c r="DA105" s="113" t="s">
        <v>805</v>
      </c>
      <c r="DB105" s="113" t="s">
        <v>805</v>
      </c>
      <c r="DC105" s="113" t="s">
        <v>805</v>
      </c>
      <c r="DD105" s="113" t="s">
        <v>805</v>
      </c>
      <c r="DE105" s="113" t="s">
        <v>805</v>
      </c>
      <c r="DF105" s="113" t="s">
        <v>805</v>
      </c>
      <c r="DG105" s="28">
        <f>'KPI Count-SHARE'!J94</f>
        <v>0</v>
      </c>
      <c r="DH105" s="115"/>
      <c r="DI105" s="115"/>
      <c r="DJ105" s="115"/>
      <c r="DK105" s="28">
        <f>'KPI Count-SHARE'!K94</f>
        <v>0</v>
      </c>
      <c r="DL105" s="111"/>
      <c r="DM105" s="111"/>
      <c r="DN105" s="111"/>
      <c r="DO105" s="28">
        <f>'KPI Count-SHARE'!L94</f>
        <v>0</v>
      </c>
      <c r="DP105" s="111"/>
      <c r="DQ105" s="111"/>
      <c r="DR105" s="111"/>
      <c r="DS105" s="28">
        <f>'KPI Count-SHARE'!M94</f>
        <v>0</v>
      </c>
      <c r="DT105" s="111"/>
      <c r="DU105" s="111"/>
      <c r="DV105" s="111"/>
      <c r="DW105" t="str">
        <f t="shared" si="461"/>
        <v>USD '000 per brand</v>
      </c>
      <c r="DX105" s="39" t="str">
        <f t="shared" si="425"/>
        <v>-</v>
      </c>
      <c r="DY105" s="39" t="str">
        <f t="shared" si="426"/>
        <v>-</v>
      </c>
      <c r="DZ105" s="39" t="str">
        <f t="shared" si="427"/>
        <v>-</v>
      </c>
      <c r="EA105" s="39" t="str">
        <f t="shared" si="428"/>
        <v>-</v>
      </c>
      <c r="EB105" s="39" t="str">
        <f t="shared" si="429"/>
        <v>-</v>
      </c>
      <c r="EC105" s="39" t="str">
        <f t="shared" si="430"/>
        <v>-</v>
      </c>
      <c r="ED105" s="39" t="str">
        <f t="shared" si="431"/>
        <v>-</v>
      </c>
      <c r="EE105" s="39" t="str">
        <f t="shared" si="432"/>
        <v>-</v>
      </c>
      <c r="EF105" s="39" t="str">
        <f t="shared" si="433"/>
        <v>-</v>
      </c>
      <c r="EG105" s="39" t="str">
        <f t="shared" si="434"/>
        <v>-</v>
      </c>
      <c r="EH105" s="39" t="str">
        <f t="shared" si="435"/>
        <v>-</v>
      </c>
      <c r="EI105" s="39" t="str">
        <f t="shared" si="448"/>
        <v>-</v>
      </c>
      <c r="EJ105" s="39" t="str">
        <f t="shared" si="449"/>
        <v>-</v>
      </c>
      <c r="EK105" s="39" t="str">
        <f t="shared" si="450"/>
        <v>-</v>
      </c>
      <c r="EL105" s="39" t="str">
        <f t="shared" si="451"/>
        <v>-</v>
      </c>
      <c r="EM105" s="39" t="str">
        <f t="shared" si="452"/>
        <v>-</v>
      </c>
      <c r="EN105" s="39" t="str">
        <f t="shared" si="453"/>
        <v>-</v>
      </c>
      <c r="EO105" s="39" t="str">
        <f t="shared" si="454"/>
        <v>-</v>
      </c>
      <c r="EP105" s="39" t="str">
        <f t="shared" si="455"/>
        <v>-</v>
      </c>
      <c r="EQ105" s="39" t="str">
        <f t="shared" si="456"/>
        <v>-</v>
      </c>
      <c r="ER105" s="39" t="str">
        <f t="shared" si="457"/>
        <v>-</v>
      </c>
      <c r="ES105" s="39" t="str">
        <f t="shared" si="458"/>
        <v>-</v>
      </c>
      <c r="ET105" s="39" t="str">
        <f t="shared" si="459"/>
        <v>-</v>
      </c>
      <c r="EU105" s="39" t="str">
        <f t="shared" si="319"/>
        <v>-</v>
      </c>
      <c r="EV105" s="39" t="str">
        <f t="shared" si="320"/>
        <v>-</v>
      </c>
      <c r="EW105" s="39" t="str">
        <f t="shared" si="321"/>
        <v>-</v>
      </c>
      <c r="EX105" s="39" t="str">
        <f t="shared" si="322"/>
        <v>-</v>
      </c>
      <c r="EY105" s="39" t="str">
        <f t="shared" si="323"/>
        <v>-</v>
      </c>
      <c r="EZ105" s="39" t="str">
        <f t="shared" si="324"/>
        <v>-</v>
      </c>
      <c r="FA105" s="39" t="str">
        <f t="shared" si="325"/>
        <v>-</v>
      </c>
      <c r="FB105" s="39" t="str">
        <f t="shared" si="326"/>
        <v>-</v>
      </c>
      <c r="FC105" s="39" t="str">
        <f t="shared" si="327"/>
        <v>-</v>
      </c>
      <c r="FD105" s="39" t="str">
        <f t="shared" si="328"/>
        <v>-</v>
      </c>
      <c r="FE105" s="39" t="str">
        <f t="shared" si="329"/>
        <v>-</v>
      </c>
      <c r="FF105" s="39" t="str">
        <f t="shared" si="330"/>
        <v>-</v>
      </c>
      <c r="FG105" s="39" t="str">
        <f t="shared" si="331"/>
        <v>-</v>
      </c>
      <c r="FH105" s="39" t="str">
        <f t="shared" si="332"/>
        <v>-</v>
      </c>
      <c r="FI105" s="39" t="str">
        <f t="shared" si="333"/>
        <v>-</v>
      </c>
      <c r="FJ105" s="39" t="str">
        <f t="shared" si="334"/>
        <v>-</v>
      </c>
      <c r="FK105" s="39" t="str">
        <f t="shared" si="335"/>
        <v>-</v>
      </c>
      <c r="FL105" s="39" t="str">
        <f t="shared" si="336"/>
        <v>-</v>
      </c>
      <c r="FM105" s="39" t="str">
        <f t="shared" si="337"/>
        <v>-</v>
      </c>
      <c r="FN105" s="39" t="str">
        <f t="shared" si="338"/>
        <v>-</v>
      </c>
      <c r="FO105" s="39" t="str">
        <f t="shared" si="339"/>
        <v>-</v>
      </c>
      <c r="FP105" s="39" t="str">
        <f t="shared" si="340"/>
        <v>-</v>
      </c>
      <c r="FQ105" s="39" t="str">
        <f t="shared" si="341"/>
        <v>-</v>
      </c>
      <c r="FR105" s="39" t="str">
        <f t="shared" si="342"/>
        <v>-</v>
      </c>
      <c r="FS105" s="39" t="str">
        <f t="shared" si="343"/>
        <v>-</v>
      </c>
      <c r="FT105" s="39" t="str">
        <f t="shared" si="344"/>
        <v>-</v>
      </c>
      <c r="FU105" s="39" t="str">
        <f t="shared" si="345"/>
        <v>-</v>
      </c>
      <c r="FV105" s="39" t="str">
        <f t="shared" si="346"/>
        <v>-</v>
      </c>
      <c r="FW105" s="39" t="str">
        <f t="shared" si="347"/>
        <v>-</v>
      </c>
      <c r="FX105" s="39" t="str">
        <f t="shared" si="348"/>
        <v>-</v>
      </c>
      <c r="FY105" s="39" t="str">
        <f t="shared" si="349"/>
        <v>-</v>
      </c>
      <c r="FZ105" s="39" t="str">
        <f t="shared" si="350"/>
        <v>-</v>
      </c>
      <c r="GA105" s="39" t="str">
        <f t="shared" si="351"/>
        <v>-</v>
      </c>
      <c r="GB105" s="39" t="str">
        <f t="shared" si="352"/>
        <v>-</v>
      </c>
      <c r="GC105" s="39" t="str">
        <f t="shared" si="353"/>
        <v>-</v>
      </c>
      <c r="GD105" s="39" t="str">
        <f t="shared" si="354"/>
        <v>-</v>
      </c>
      <c r="GE105" s="39" t="str">
        <f t="shared" si="355"/>
        <v>-</v>
      </c>
      <c r="GF105" s="39" t="str">
        <f t="shared" si="356"/>
        <v>-</v>
      </c>
      <c r="GG105" s="39" t="str">
        <f t="shared" si="357"/>
        <v>-</v>
      </c>
      <c r="GH105" s="39" t="str">
        <f t="shared" si="358"/>
        <v>-</v>
      </c>
      <c r="GI105" s="39" t="str">
        <f t="shared" si="359"/>
        <v>-</v>
      </c>
      <c r="GJ105" s="39" t="str">
        <f t="shared" si="360"/>
        <v>-</v>
      </c>
      <c r="GK105" s="39" t="str">
        <f t="shared" si="361"/>
        <v>-</v>
      </c>
      <c r="GL105" s="39" t="str">
        <f t="shared" si="362"/>
        <v>-</v>
      </c>
      <c r="GM105" s="39" t="str">
        <f t="shared" si="363"/>
        <v>-</v>
      </c>
      <c r="GN105" s="39" t="str">
        <f t="shared" si="364"/>
        <v>-</v>
      </c>
      <c r="GO105" s="39" t="str">
        <f t="shared" si="365"/>
        <v>-</v>
      </c>
      <c r="GP105" s="39" t="str">
        <f t="shared" si="366"/>
        <v>-</v>
      </c>
      <c r="GQ105" s="39" t="str">
        <f t="shared" si="367"/>
        <v>-</v>
      </c>
      <c r="GR105" s="39" t="str">
        <f t="shared" si="368"/>
        <v>-</v>
      </c>
      <c r="GS105" s="39" t="str">
        <f t="shared" si="369"/>
        <v>-</v>
      </c>
      <c r="GT105" s="39" t="str">
        <f t="shared" si="370"/>
        <v>-</v>
      </c>
      <c r="GU105" s="39" t="str">
        <f t="shared" si="371"/>
        <v>-</v>
      </c>
      <c r="GV105" s="39" t="str">
        <f t="shared" si="372"/>
        <v>-</v>
      </c>
      <c r="GW105" s="39" t="str">
        <f t="shared" si="373"/>
        <v>-</v>
      </c>
      <c r="GX105" s="39" t="str">
        <f t="shared" si="374"/>
        <v>-</v>
      </c>
      <c r="GY105" s="39" t="str">
        <f t="shared" si="375"/>
        <v>-</v>
      </c>
      <c r="GZ105" s="39" t="str">
        <f t="shared" si="376"/>
        <v>-</v>
      </c>
      <c r="HA105" s="39" t="str">
        <f t="shared" si="377"/>
        <v>-</v>
      </c>
      <c r="HB105" s="39" t="str">
        <f t="shared" si="378"/>
        <v>-</v>
      </c>
      <c r="HC105" s="39" t="str">
        <f t="shared" si="379"/>
        <v>-</v>
      </c>
      <c r="HD105" s="39" t="str">
        <f t="shared" si="380"/>
        <v>-</v>
      </c>
      <c r="HE105" s="39" t="str">
        <f t="shared" si="381"/>
        <v>-</v>
      </c>
      <c r="HF105" s="39" t="str">
        <f t="shared" si="382"/>
        <v>-</v>
      </c>
      <c r="HG105" s="39" t="str">
        <f t="shared" si="383"/>
        <v>-</v>
      </c>
      <c r="HH105" s="39" t="str">
        <f t="shared" si="384"/>
        <v>-</v>
      </c>
      <c r="HI105" s="39" t="str">
        <f t="shared" si="385"/>
        <v>-</v>
      </c>
      <c r="HJ105" s="39" t="str">
        <f t="shared" si="386"/>
        <v>-</v>
      </c>
      <c r="HK105" s="39" t="str">
        <f t="shared" si="387"/>
        <v>-</v>
      </c>
      <c r="HL105" s="39" t="str">
        <f t="shared" si="388"/>
        <v>-</v>
      </c>
      <c r="HM105" s="39" t="str">
        <f t="shared" si="389"/>
        <v>-</v>
      </c>
      <c r="HN105" s="39" t="str">
        <f t="shared" si="390"/>
        <v>-</v>
      </c>
      <c r="HO105" s="39" t="str">
        <f t="shared" si="391"/>
        <v>-</v>
      </c>
      <c r="HP105" s="39" t="str">
        <f t="shared" si="392"/>
        <v>-</v>
      </c>
      <c r="HQ105" s="39" t="str">
        <f t="shared" si="393"/>
        <v>-</v>
      </c>
      <c r="HR105" s="39" t="str">
        <f t="shared" si="394"/>
        <v>-</v>
      </c>
      <c r="HS105" s="39" t="str">
        <f t="shared" si="395"/>
        <v>-</v>
      </c>
      <c r="HT105" s="39" t="str">
        <f t="shared" si="395"/>
        <v>-</v>
      </c>
      <c r="HU105" s="43" t="str">
        <f t="shared" si="445"/>
        <v>-</v>
      </c>
      <c r="HV105" s="44" t="str">
        <f t="shared" si="446"/>
        <v/>
      </c>
      <c r="HW105" s="45" t="str">
        <f t="shared" si="447"/>
        <v/>
      </c>
      <c r="HX105" s="102"/>
      <c r="HY105" s="102"/>
      <c r="HZ105" s="102"/>
      <c r="IA105" s="101"/>
      <c r="IB105" s="102"/>
      <c r="IC105" s="103"/>
      <c r="ID105" s="101"/>
      <c r="IE105" s="102"/>
      <c r="IF105" s="103"/>
      <c r="IH105" s="66">
        <v>105</v>
      </c>
      <c r="II105" s="66" t="e">
        <f t="shared" ca="1" si="436"/>
        <v>#N/A</v>
      </c>
      <c r="IJ105" s="66" t="e">
        <f t="shared" ca="1" si="437"/>
        <v>#N/A</v>
      </c>
      <c r="IK105" s="66" t="e">
        <f t="shared" ca="1" si="438"/>
        <v>#N/A</v>
      </c>
      <c r="IL105" s="66" t="e">
        <f t="shared" ca="1" si="439"/>
        <v>#N/A</v>
      </c>
      <c r="IN105" s="74" t="e">
        <f t="shared" ca="1" si="440"/>
        <v>#N/A</v>
      </c>
      <c r="IO105" s="75" t="e">
        <f t="shared" ca="1" si="441"/>
        <v>#N/A</v>
      </c>
      <c r="IP105" s="75" t="e">
        <f t="shared" ca="1" si="442"/>
        <v>#N/A</v>
      </c>
      <c r="IQ105" s="74" t="e">
        <f t="shared" ca="1" si="443"/>
        <v>#N/A</v>
      </c>
      <c r="IR105" s="74" t="e">
        <f t="shared" ca="1" si="444"/>
        <v>#N/A</v>
      </c>
    </row>
    <row r="106" spans="1:252" x14ac:dyDescent="0.35">
      <c r="A106" s="28">
        <v>0</v>
      </c>
      <c r="B106" s="28">
        <v>0</v>
      </c>
      <c r="C106" s="28">
        <v>1</v>
      </c>
      <c r="D106" s="1"/>
      <c r="E106" s="3"/>
      <c r="F106" t="s">
        <v>371</v>
      </c>
      <c r="G106" s="5" t="s">
        <v>540</v>
      </c>
      <c r="H106" t="s">
        <v>556</v>
      </c>
      <c r="I106" t="s">
        <v>536</v>
      </c>
      <c r="J106" s="276" t="s">
        <v>805</v>
      </c>
      <c r="K106" s="113" t="s">
        <v>805</v>
      </c>
      <c r="L106" s="113" t="s">
        <v>805</v>
      </c>
      <c r="M106" s="113" t="s">
        <v>805</v>
      </c>
      <c r="N106" s="113" t="s">
        <v>805</v>
      </c>
      <c r="O106" s="113" t="s">
        <v>805</v>
      </c>
      <c r="P106" s="113" t="s">
        <v>805</v>
      </c>
      <c r="Q106" s="113" t="s">
        <v>805</v>
      </c>
      <c r="R106" s="113" t="s">
        <v>805</v>
      </c>
      <c r="S106" s="113" t="s">
        <v>805</v>
      </c>
      <c r="T106" s="113" t="s">
        <v>805</v>
      </c>
      <c r="U106" s="113" t="s">
        <v>805</v>
      </c>
      <c r="V106" s="113" t="s">
        <v>805</v>
      </c>
      <c r="W106" s="113" t="s">
        <v>805</v>
      </c>
      <c r="X106" s="113" t="s">
        <v>805</v>
      </c>
      <c r="Y106" s="113" t="s">
        <v>805</v>
      </c>
      <c r="Z106" s="113" t="s">
        <v>805</v>
      </c>
      <c r="AA106" s="113" t="s">
        <v>805</v>
      </c>
      <c r="AB106" s="113" t="s">
        <v>805</v>
      </c>
      <c r="AC106" s="113" t="s">
        <v>805</v>
      </c>
      <c r="AD106" s="113" t="s">
        <v>805</v>
      </c>
      <c r="AE106" s="113" t="s">
        <v>805</v>
      </c>
      <c r="AF106" s="113" t="s">
        <v>805</v>
      </c>
      <c r="AG106" s="113" t="s">
        <v>805</v>
      </c>
      <c r="AH106" s="113" t="s">
        <v>805</v>
      </c>
      <c r="AI106" s="113" t="s">
        <v>805</v>
      </c>
      <c r="AJ106" s="113" t="s">
        <v>805</v>
      </c>
      <c r="AK106" s="113" t="s">
        <v>805</v>
      </c>
      <c r="AL106" s="113" t="s">
        <v>805</v>
      </c>
      <c r="AM106" s="113" t="s">
        <v>805</v>
      </c>
      <c r="AN106" s="113" t="s">
        <v>805</v>
      </c>
      <c r="AO106" s="113" t="s">
        <v>805</v>
      </c>
      <c r="AP106" s="113" t="s">
        <v>805</v>
      </c>
      <c r="AQ106" s="113" t="s">
        <v>805</v>
      </c>
      <c r="AR106" s="113" t="s">
        <v>805</v>
      </c>
      <c r="AS106" s="113" t="s">
        <v>805</v>
      </c>
      <c r="AT106" s="113" t="s">
        <v>805</v>
      </c>
      <c r="AU106" s="113" t="s">
        <v>805</v>
      </c>
      <c r="AV106" s="113" t="s">
        <v>805</v>
      </c>
      <c r="AW106" s="113" t="s">
        <v>805</v>
      </c>
      <c r="AX106" s="113" t="s">
        <v>805</v>
      </c>
      <c r="AY106" s="113" t="s">
        <v>805</v>
      </c>
      <c r="AZ106" s="113" t="s">
        <v>805</v>
      </c>
      <c r="BA106" s="113" t="s">
        <v>805</v>
      </c>
      <c r="BB106" s="113" t="s">
        <v>805</v>
      </c>
      <c r="BC106" s="113" t="s">
        <v>805</v>
      </c>
      <c r="BD106" s="113" t="s">
        <v>805</v>
      </c>
      <c r="BE106" s="113" t="s">
        <v>805</v>
      </c>
      <c r="BF106" s="113" t="s">
        <v>805</v>
      </c>
      <c r="BG106" s="113" t="s">
        <v>805</v>
      </c>
      <c r="BH106" s="113" t="s">
        <v>805</v>
      </c>
      <c r="BI106" s="113" t="s">
        <v>805</v>
      </c>
      <c r="BJ106" s="113" t="s">
        <v>805</v>
      </c>
      <c r="BK106" s="113" t="s">
        <v>805</v>
      </c>
      <c r="BL106" s="113" t="s">
        <v>805</v>
      </c>
      <c r="BM106" s="113" t="s">
        <v>805</v>
      </c>
      <c r="BN106" s="113" t="s">
        <v>805</v>
      </c>
      <c r="BO106" s="113" t="s">
        <v>805</v>
      </c>
      <c r="BP106" s="113" t="s">
        <v>805</v>
      </c>
      <c r="BQ106" s="113" t="s">
        <v>805</v>
      </c>
      <c r="BR106" s="113" t="s">
        <v>805</v>
      </c>
      <c r="BS106" s="113" t="s">
        <v>805</v>
      </c>
      <c r="BT106" s="113" t="s">
        <v>805</v>
      </c>
      <c r="BU106" s="113" t="s">
        <v>805</v>
      </c>
      <c r="BV106" s="113" t="s">
        <v>805</v>
      </c>
      <c r="BW106" s="113" t="s">
        <v>805</v>
      </c>
      <c r="BX106" s="113" t="s">
        <v>805</v>
      </c>
      <c r="BY106" s="113" t="s">
        <v>805</v>
      </c>
      <c r="BZ106" s="113" t="s">
        <v>805</v>
      </c>
      <c r="CA106" s="113" t="s">
        <v>805</v>
      </c>
      <c r="CB106" s="113" t="s">
        <v>805</v>
      </c>
      <c r="CC106" s="113" t="s">
        <v>805</v>
      </c>
      <c r="CD106" s="113" t="s">
        <v>805</v>
      </c>
      <c r="CE106" s="113" t="s">
        <v>805</v>
      </c>
      <c r="CF106" s="113" t="s">
        <v>805</v>
      </c>
      <c r="CG106" s="113" t="s">
        <v>805</v>
      </c>
      <c r="CH106" s="113" t="s">
        <v>805</v>
      </c>
      <c r="CI106" s="113" t="s">
        <v>805</v>
      </c>
      <c r="CJ106" s="113" t="s">
        <v>805</v>
      </c>
      <c r="CK106" s="113" t="s">
        <v>805</v>
      </c>
      <c r="CL106" s="113" t="s">
        <v>805</v>
      </c>
      <c r="CM106" s="113" t="s">
        <v>805</v>
      </c>
      <c r="CN106" s="113" t="s">
        <v>805</v>
      </c>
      <c r="CO106" s="113" t="s">
        <v>805</v>
      </c>
      <c r="CP106" s="113" t="s">
        <v>805</v>
      </c>
      <c r="CQ106" s="113" t="s">
        <v>805</v>
      </c>
      <c r="CR106" s="113" t="s">
        <v>805</v>
      </c>
      <c r="CS106" s="113" t="s">
        <v>805</v>
      </c>
      <c r="CT106" s="113" t="s">
        <v>805</v>
      </c>
      <c r="CU106" s="113" t="s">
        <v>805</v>
      </c>
      <c r="CV106" s="113" t="s">
        <v>805</v>
      </c>
      <c r="CW106" s="113" t="s">
        <v>805</v>
      </c>
      <c r="CX106" s="113" t="s">
        <v>805</v>
      </c>
      <c r="CY106" s="113" t="s">
        <v>805</v>
      </c>
      <c r="CZ106" s="113" t="s">
        <v>805</v>
      </c>
      <c r="DA106" s="113" t="s">
        <v>805</v>
      </c>
      <c r="DB106" s="113" t="s">
        <v>805</v>
      </c>
      <c r="DC106" s="113" t="s">
        <v>805</v>
      </c>
      <c r="DD106" s="113" t="s">
        <v>805</v>
      </c>
      <c r="DE106" s="113" t="s">
        <v>805</v>
      </c>
      <c r="DF106" s="113" t="s">
        <v>805</v>
      </c>
      <c r="DG106" s="28">
        <f>'KPI Count-SHARE'!J95</f>
        <v>0</v>
      </c>
      <c r="DH106" s="114"/>
      <c r="DI106" s="114"/>
      <c r="DJ106" s="114"/>
      <c r="DK106" s="28">
        <f>'KPI Count-SHARE'!K95</f>
        <v>0</v>
      </c>
      <c r="DL106" s="118"/>
      <c r="DM106" s="118"/>
      <c r="DN106" s="118"/>
      <c r="DO106" s="28">
        <f>'KPI Count-SHARE'!L95</f>
        <v>0</v>
      </c>
      <c r="DP106" s="118"/>
      <c r="DQ106" s="118"/>
      <c r="DR106" s="118"/>
      <c r="DS106" s="28">
        <f>'KPI Count-SHARE'!M95</f>
        <v>0</v>
      </c>
      <c r="DT106" s="118"/>
      <c r="DU106" s="118"/>
      <c r="DV106" s="118"/>
      <c r="DW106" t="str">
        <f t="shared" si="461"/>
        <v>USD '000 per brand</v>
      </c>
      <c r="DX106" s="39" t="str">
        <f t="shared" si="425"/>
        <v>-</v>
      </c>
      <c r="DY106" s="39" t="str">
        <f t="shared" si="426"/>
        <v>-</v>
      </c>
      <c r="DZ106" s="39" t="str">
        <f t="shared" si="427"/>
        <v>-</v>
      </c>
      <c r="EA106" s="39" t="str">
        <f t="shared" si="428"/>
        <v>-</v>
      </c>
      <c r="EB106" s="39" t="str">
        <f t="shared" si="429"/>
        <v>-</v>
      </c>
      <c r="EC106" s="39" t="str">
        <f t="shared" si="430"/>
        <v>-</v>
      </c>
      <c r="ED106" s="39" t="str">
        <f t="shared" si="431"/>
        <v>-</v>
      </c>
      <c r="EE106" s="39" t="str">
        <f t="shared" si="432"/>
        <v>-</v>
      </c>
      <c r="EF106" s="39" t="str">
        <f t="shared" si="433"/>
        <v>-</v>
      </c>
      <c r="EG106" s="39" t="str">
        <f t="shared" si="434"/>
        <v>-</v>
      </c>
      <c r="EH106" s="39" t="str">
        <f t="shared" si="435"/>
        <v>-</v>
      </c>
      <c r="EI106" s="39" t="str">
        <f t="shared" si="448"/>
        <v>-</v>
      </c>
      <c r="EJ106" s="39" t="str">
        <f t="shared" si="449"/>
        <v>-</v>
      </c>
      <c r="EK106" s="39" t="str">
        <f t="shared" si="450"/>
        <v>-</v>
      </c>
      <c r="EL106" s="39" t="str">
        <f t="shared" si="451"/>
        <v>-</v>
      </c>
      <c r="EM106" s="39" t="str">
        <f t="shared" si="452"/>
        <v>-</v>
      </c>
      <c r="EN106" s="39" t="str">
        <f t="shared" si="453"/>
        <v>-</v>
      </c>
      <c r="EO106" s="39" t="str">
        <f t="shared" si="454"/>
        <v>-</v>
      </c>
      <c r="EP106" s="39" t="str">
        <f t="shared" si="455"/>
        <v>-</v>
      </c>
      <c r="EQ106" s="39" t="str">
        <f t="shared" si="456"/>
        <v>-</v>
      </c>
      <c r="ER106" s="39" t="str">
        <f t="shared" si="457"/>
        <v>-</v>
      </c>
      <c r="ES106" s="39" t="str">
        <f t="shared" si="458"/>
        <v>-</v>
      </c>
      <c r="ET106" s="39" t="str">
        <f t="shared" si="459"/>
        <v>-</v>
      </c>
      <c r="EU106" s="39" t="str">
        <f t="shared" si="319"/>
        <v>-</v>
      </c>
      <c r="EV106" s="39" t="str">
        <f t="shared" si="320"/>
        <v>-</v>
      </c>
      <c r="EW106" s="39" t="str">
        <f t="shared" si="321"/>
        <v>-</v>
      </c>
      <c r="EX106" s="39" t="str">
        <f t="shared" si="322"/>
        <v>-</v>
      </c>
      <c r="EY106" s="39" t="str">
        <f t="shared" si="323"/>
        <v>-</v>
      </c>
      <c r="EZ106" s="39" t="str">
        <f t="shared" si="324"/>
        <v>-</v>
      </c>
      <c r="FA106" s="39" t="str">
        <f t="shared" si="325"/>
        <v>-</v>
      </c>
      <c r="FB106" s="39" t="str">
        <f t="shared" si="326"/>
        <v>-</v>
      </c>
      <c r="FC106" s="39" t="str">
        <f t="shared" si="327"/>
        <v>-</v>
      </c>
      <c r="FD106" s="39" t="str">
        <f t="shared" si="328"/>
        <v>-</v>
      </c>
      <c r="FE106" s="39" t="str">
        <f t="shared" si="329"/>
        <v>-</v>
      </c>
      <c r="FF106" s="39" t="str">
        <f t="shared" si="330"/>
        <v>-</v>
      </c>
      <c r="FG106" s="39" t="str">
        <f t="shared" si="331"/>
        <v>-</v>
      </c>
      <c r="FH106" s="39" t="str">
        <f t="shared" si="332"/>
        <v>-</v>
      </c>
      <c r="FI106" s="39" t="str">
        <f t="shared" si="333"/>
        <v>-</v>
      </c>
      <c r="FJ106" s="39" t="str">
        <f t="shared" si="334"/>
        <v>-</v>
      </c>
      <c r="FK106" s="39" t="str">
        <f t="shared" si="335"/>
        <v>-</v>
      </c>
      <c r="FL106" s="39" t="str">
        <f t="shared" si="336"/>
        <v>-</v>
      </c>
      <c r="FM106" s="39" t="str">
        <f t="shared" si="337"/>
        <v>-</v>
      </c>
      <c r="FN106" s="39" t="str">
        <f t="shared" si="338"/>
        <v>-</v>
      </c>
      <c r="FO106" s="39" t="str">
        <f t="shared" si="339"/>
        <v>-</v>
      </c>
      <c r="FP106" s="39" t="str">
        <f t="shared" si="340"/>
        <v>-</v>
      </c>
      <c r="FQ106" s="39" t="str">
        <f t="shared" si="341"/>
        <v>-</v>
      </c>
      <c r="FR106" s="39" t="str">
        <f t="shared" si="342"/>
        <v>-</v>
      </c>
      <c r="FS106" s="39" t="str">
        <f t="shared" si="343"/>
        <v>-</v>
      </c>
      <c r="FT106" s="39" t="str">
        <f t="shared" si="344"/>
        <v>-</v>
      </c>
      <c r="FU106" s="39" t="str">
        <f t="shared" si="345"/>
        <v>-</v>
      </c>
      <c r="FV106" s="39" t="str">
        <f t="shared" si="346"/>
        <v>-</v>
      </c>
      <c r="FW106" s="39" t="str">
        <f t="shared" si="347"/>
        <v>-</v>
      </c>
      <c r="FX106" s="39" t="str">
        <f t="shared" si="348"/>
        <v>-</v>
      </c>
      <c r="FY106" s="39" t="str">
        <f t="shared" si="349"/>
        <v>-</v>
      </c>
      <c r="FZ106" s="39" t="str">
        <f t="shared" si="350"/>
        <v>-</v>
      </c>
      <c r="GA106" s="39" t="str">
        <f t="shared" si="351"/>
        <v>-</v>
      </c>
      <c r="GB106" s="39" t="str">
        <f t="shared" si="352"/>
        <v>-</v>
      </c>
      <c r="GC106" s="39" t="str">
        <f t="shared" si="353"/>
        <v>-</v>
      </c>
      <c r="GD106" s="39" t="str">
        <f t="shared" si="354"/>
        <v>-</v>
      </c>
      <c r="GE106" s="39" t="str">
        <f t="shared" si="355"/>
        <v>-</v>
      </c>
      <c r="GF106" s="39" t="str">
        <f t="shared" si="356"/>
        <v>-</v>
      </c>
      <c r="GG106" s="39" t="str">
        <f t="shared" si="357"/>
        <v>-</v>
      </c>
      <c r="GH106" s="39" t="str">
        <f t="shared" si="358"/>
        <v>-</v>
      </c>
      <c r="GI106" s="39" t="str">
        <f t="shared" si="359"/>
        <v>-</v>
      </c>
      <c r="GJ106" s="39" t="str">
        <f t="shared" si="360"/>
        <v>-</v>
      </c>
      <c r="GK106" s="39" t="str">
        <f t="shared" si="361"/>
        <v>-</v>
      </c>
      <c r="GL106" s="39" t="str">
        <f t="shared" si="362"/>
        <v>-</v>
      </c>
      <c r="GM106" s="39" t="str">
        <f t="shared" si="363"/>
        <v>-</v>
      </c>
      <c r="GN106" s="39" t="str">
        <f t="shared" si="364"/>
        <v>-</v>
      </c>
      <c r="GO106" s="39" t="str">
        <f t="shared" si="365"/>
        <v>-</v>
      </c>
      <c r="GP106" s="39" t="str">
        <f t="shared" si="366"/>
        <v>-</v>
      </c>
      <c r="GQ106" s="39" t="str">
        <f t="shared" si="367"/>
        <v>-</v>
      </c>
      <c r="GR106" s="39" t="str">
        <f t="shared" si="368"/>
        <v>-</v>
      </c>
      <c r="GS106" s="39" t="str">
        <f t="shared" si="369"/>
        <v>-</v>
      </c>
      <c r="GT106" s="39" t="str">
        <f t="shared" si="370"/>
        <v>-</v>
      </c>
      <c r="GU106" s="39" t="str">
        <f t="shared" si="371"/>
        <v>-</v>
      </c>
      <c r="GV106" s="39" t="str">
        <f t="shared" si="372"/>
        <v>-</v>
      </c>
      <c r="GW106" s="39" t="str">
        <f t="shared" si="373"/>
        <v>-</v>
      </c>
      <c r="GX106" s="39" t="str">
        <f t="shared" si="374"/>
        <v>-</v>
      </c>
      <c r="GY106" s="39" t="str">
        <f t="shared" si="375"/>
        <v>-</v>
      </c>
      <c r="GZ106" s="39" t="str">
        <f t="shared" si="376"/>
        <v>-</v>
      </c>
      <c r="HA106" s="39" t="str">
        <f t="shared" si="377"/>
        <v>-</v>
      </c>
      <c r="HB106" s="39" t="str">
        <f t="shared" si="378"/>
        <v>-</v>
      </c>
      <c r="HC106" s="39" t="str">
        <f t="shared" si="379"/>
        <v>-</v>
      </c>
      <c r="HD106" s="39" t="str">
        <f t="shared" si="380"/>
        <v>-</v>
      </c>
      <c r="HE106" s="39" t="str">
        <f t="shared" si="381"/>
        <v>-</v>
      </c>
      <c r="HF106" s="39" t="str">
        <f t="shared" si="382"/>
        <v>-</v>
      </c>
      <c r="HG106" s="39" t="str">
        <f t="shared" si="383"/>
        <v>-</v>
      </c>
      <c r="HH106" s="39" t="str">
        <f t="shared" si="384"/>
        <v>-</v>
      </c>
      <c r="HI106" s="39" t="str">
        <f t="shared" si="385"/>
        <v>-</v>
      </c>
      <c r="HJ106" s="39" t="str">
        <f t="shared" si="386"/>
        <v>-</v>
      </c>
      <c r="HK106" s="39" t="str">
        <f t="shared" si="387"/>
        <v>-</v>
      </c>
      <c r="HL106" s="39" t="str">
        <f t="shared" si="388"/>
        <v>-</v>
      </c>
      <c r="HM106" s="39" t="str">
        <f t="shared" si="389"/>
        <v>-</v>
      </c>
      <c r="HN106" s="39" t="str">
        <f t="shared" si="390"/>
        <v>-</v>
      </c>
      <c r="HO106" s="39" t="str">
        <f t="shared" si="391"/>
        <v>-</v>
      </c>
      <c r="HP106" s="39" t="str">
        <f t="shared" si="392"/>
        <v>-</v>
      </c>
      <c r="HQ106" s="39" t="str">
        <f t="shared" si="393"/>
        <v>-</v>
      </c>
      <c r="HR106" s="39" t="str">
        <f t="shared" si="394"/>
        <v>-</v>
      </c>
      <c r="HS106" s="39" t="str">
        <f t="shared" si="395"/>
        <v>-</v>
      </c>
      <c r="HT106" s="39" t="str">
        <f t="shared" si="395"/>
        <v>-</v>
      </c>
      <c r="HU106" s="43" t="str">
        <f t="shared" si="445"/>
        <v>-</v>
      </c>
      <c r="HV106" s="44" t="str">
        <f t="shared" si="446"/>
        <v/>
      </c>
      <c r="HW106" s="45" t="str">
        <f t="shared" si="447"/>
        <v/>
      </c>
      <c r="HX106" s="102"/>
      <c r="HY106" s="102"/>
      <c r="HZ106" s="102"/>
      <c r="IA106" s="101"/>
      <c r="IB106" s="102"/>
      <c r="IC106" s="103"/>
      <c r="ID106" s="101"/>
      <c r="IE106" s="102"/>
      <c r="IF106" s="103"/>
      <c r="IH106" s="66">
        <v>106</v>
      </c>
      <c r="II106" s="66" t="e">
        <f t="shared" ca="1" si="436"/>
        <v>#N/A</v>
      </c>
      <c r="IJ106" s="66" t="e">
        <f t="shared" ca="1" si="437"/>
        <v>#N/A</v>
      </c>
      <c r="IK106" s="66" t="e">
        <f t="shared" ca="1" si="438"/>
        <v>#N/A</v>
      </c>
      <c r="IL106" s="66" t="e">
        <f t="shared" ca="1" si="439"/>
        <v>#N/A</v>
      </c>
      <c r="IN106" s="74" t="e">
        <f t="shared" ca="1" si="440"/>
        <v>#N/A</v>
      </c>
      <c r="IO106" s="75" t="e">
        <f t="shared" ca="1" si="441"/>
        <v>#N/A</v>
      </c>
      <c r="IP106" s="75" t="e">
        <f t="shared" ca="1" si="442"/>
        <v>#N/A</v>
      </c>
      <c r="IQ106" s="74" t="e">
        <f t="shared" ca="1" si="443"/>
        <v>#N/A</v>
      </c>
      <c r="IR106" s="74" t="e">
        <f t="shared" ca="1" si="444"/>
        <v>#N/A</v>
      </c>
    </row>
    <row r="107" spans="1:252" x14ac:dyDescent="0.35">
      <c r="A107" s="28">
        <v>0</v>
      </c>
      <c r="B107" s="28">
        <v>0</v>
      </c>
      <c r="C107" s="28">
        <v>1</v>
      </c>
      <c r="D107" s="1"/>
      <c r="E107" s="3"/>
      <c r="F107" t="s">
        <v>372</v>
      </c>
      <c r="G107" s="5" t="s">
        <v>540</v>
      </c>
      <c r="H107" t="s">
        <v>556</v>
      </c>
      <c r="I107" t="s">
        <v>536</v>
      </c>
      <c r="J107" s="276" t="s">
        <v>805</v>
      </c>
      <c r="K107" s="113" t="s">
        <v>805</v>
      </c>
      <c r="L107" s="113" t="s">
        <v>805</v>
      </c>
      <c r="M107" s="113" t="s">
        <v>805</v>
      </c>
      <c r="N107" s="113" t="s">
        <v>805</v>
      </c>
      <c r="O107" s="113" t="s">
        <v>805</v>
      </c>
      <c r="P107" s="113" t="s">
        <v>805</v>
      </c>
      <c r="Q107" s="113" t="s">
        <v>805</v>
      </c>
      <c r="R107" s="113" t="s">
        <v>805</v>
      </c>
      <c r="S107" s="113" t="s">
        <v>805</v>
      </c>
      <c r="T107" s="113" t="s">
        <v>805</v>
      </c>
      <c r="U107" s="113" t="s">
        <v>805</v>
      </c>
      <c r="V107" s="113" t="s">
        <v>805</v>
      </c>
      <c r="W107" s="113" t="s">
        <v>805</v>
      </c>
      <c r="X107" s="113" t="s">
        <v>805</v>
      </c>
      <c r="Y107" s="113" t="s">
        <v>805</v>
      </c>
      <c r="Z107" s="113" t="s">
        <v>805</v>
      </c>
      <c r="AA107" s="113" t="s">
        <v>805</v>
      </c>
      <c r="AB107" s="113" t="s">
        <v>805</v>
      </c>
      <c r="AC107" s="113" t="s">
        <v>805</v>
      </c>
      <c r="AD107" s="113" t="s">
        <v>805</v>
      </c>
      <c r="AE107" s="113" t="s">
        <v>805</v>
      </c>
      <c r="AF107" s="113" t="s">
        <v>805</v>
      </c>
      <c r="AG107" s="113" t="s">
        <v>805</v>
      </c>
      <c r="AH107" s="113" t="s">
        <v>805</v>
      </c>
      <c r="AI107" s="113" t="s">
        <v>805</v>
      </c>
      <c r="AJ107" s="113" t="s">
        <v>805</v>
      </c>
      <c r="AK107" s="113" t="s">
        <v>805</v>
      </c>
      <c r="AL107" s="113" t="s">
        <v>805</v>
      </c>
      <c r="AM107" s="113" t="s">
        <v>805</v>
      </c>
      <c r="AN107" s="113" t="s">
        <v>805</v>
      </c>
      <c r="AO107" s="113" t="s">
        <v>805</v>
      </c>
      <c r="AP107" s="113" t="s">
        <v>805</v>
      </c>
      <c r="AQ107" s="113" t="s">
        <v>805</v>
      </c>
      <c r="AR107" s="113" t="s">
        <v>805</v>
      </c>
      <c r="AS107" s="113" t="s">
        <v>805</v>
      </c>
      <c r="AT107" s="113" t="s">
        <v>805</v>
      </c>
      <c r="AU107" s="113" t="s">
        <v>805</v>
      </c>
      <c r="AV107" s="113" t="s">
        <v>805</v>
      </c>
      <c r="AW107" s="113" t="s">
        <v>805</v>
      </c>
      <c r="AX107" s="113" t="s">
        <v>805</v>
      </c>
      <c r="AY107" s="113" t="s">
        <v>805</v>
      </c>
      <c r="AZ107" s="113" t="s">
        <v>805</v>
      </c>
      <c r="BA107" s="113" t="s">
        <v>805</v>
      </c>
      <c r="BB107" s="113" t="s">
        <v>805</v>
      </c>
      <c r="BC107" s="113" t="s">
        <v>805</v>
      </c>
      <c r="BD107" s="113" t="s">
        <v>805</v>
      </c>
      <c r="BE107" s="113" t="s">
        <v>805</v>
      </c>
      <c r="BF107" s="113" t="s">
        <v>805</v>
      </c>
      <c r="BG107" s="113" t="s">
        <v>805</v>
      </c>
      <c r="BH107" s="113" t="s">
        <v>805</v>
      </c>
      <c r="BI107" s="113" t="s">
        <v>805</v>
      </c>
      <c r="BJ107" s="113" t="s">
        <v>805</v>
      </c>
      <c r="BK107" s="113" t="s">
        <v>805</v>
      </c>
      <c r="BL107" s="113" t="s">
        <v>805</v>
      </c>
      <c r="BM107" s="113" t="s">
        <v>805</v>
      </c>
      <c r="BN107" s="113" t="s">
        <v>805</v>
      </c>
      <c r="BO107" s="113" t="s">
        <v>805</v>
      </c>
      <c r="BP107" s="113" t="s">
        <v>805</v>
      </c>
      <c r="BQ107" s="113" t="s">
        <v>805</v>
      </c>
      <c r="BR107" s="113" t="s">
        <v>805</v>
      </c>
      <c r="BS107" s="113" t="s">
        <v>805</v>
      </c>
      <c r="BT107" s="113" t="s">
        <v>805</v>
      </c>
      <c r="BU107" s="113" t="s">
        <v>805</v>
      </c>
      <c r="BV107" s="113" t="s">
        <v>805</v>
      </c>
      <c r="BW107" s="113" t="s">
        <v>805</v>
      </c>
      <c r="BX107" s="113" t="s">
        <v>805</v>
      </c>
      <c r="BY107" s="113" t="s">
        <v>805</v>
      </c>
      <c r="BZ107" s="113" t="s">
        <v>805</v>
      </c>
      <c r="CA107" s="113" t="s">
        <v>805</v>
      </c>
      <c r="CB107" s="113" t="s">
        <v>805</v>
      </c>
      <c r="CC107" s="113" t="s">
        <v>805</v>
      </c>
      <c r="CD107" s="113" t="s">
        <v>805</v>
      </c>
      <c r="CE107" s="113" t="s">
        <v>805</v>
      </c>
      <c r="CF107" s="113" t="s">
        <v>805</v>
      </c>
      <c r="CG107" s="113" t="s">
        <v>805</v>
      </c>
      <c r="CH107" s="113" t="s">
        <v>805</v>
      </c>
      <c r="CI107" s="113" t="s">
        <v>805</v>
      </c>
      <c r="CJ107" s="113" t="s">
        <v>805</v>
      </c>
      <c r="CK107" s="113" t="s">
        <v>805</v>
      </c>
      <c r="CL107" s="113" t="s">
        <v>805</v>
      </c>
      <c r="CM107" s="113" t="s">
        <v>805</v>
      </c>
      <c r="CN107" s="113" t="s">
        <v>805</v>
      </c>
      <c r="CO107" s="113" t="s">
        <v>805</v>
      </c>
      <c r="CP107" s="113" t="s">
        <v>805</v>
      </c>
      <c r="CQ107" s="113" t="s">
        <v>805</v>
      </c>
      <c r="CR107" s="113" t="s">
        <v>805</v>
      </c>
      <c r="CS107" s="113" t="s">
        <v>805</v>
      </c>
      <c r="CT107" s="113" t="s">
        <v>805</v>
      </c>
      <c r="CU107" s="113" t="s">
        <v>805</v>
      </c>
      <c r="CV107" s="113" t="s">
        <v>805</v>
      </c>
      <c r="CW107" s="113" t="s">
        <v>805</v>
      </c>
      <c r="CX107" s="113" t="s">
        <v>805</v>
      </c>
      <c r="CY107" s="113" t="s">
        <v>805</v>
      </c>
      <c r="CZ107" s="113" t="s">
        <v>805</v>
      </c>
      <c r="DA107" s="113" t="s">
        <v>805</v>
      </c>
      <c r="DB107" s="113" t="s">
        <v>805</v>
      </c>
      <c r="DC107" s="113" t="s">
        <v>805</v>
      </c>
      <c r="DD107" s="113" t="s">
        <v>805</v>
      </c>
      <c r="DE107" s="113" t="s">
        <v>805</v>
      </c>
      <c r="DF107" s="113" t="s">
        <v>805</v>
      </c>
      <c r="DG107" s="28">
        <f>'KPI Count-SHARE'!J96</f>
        <v>0</v>
      </c>
      <c r="DH107" s="115"/>
      <c r="DI107" s="115"/>
      <c r="DJ107" s="115"/>
      <c r="DK107" s="28">
        <f>'KPI Count-SHARE'!K96</f>
        <v>0</v>
      </c>
      <c r="DL107" s="111"/>
      <c r="DM107" s="111"/>
      <c r="DN107" s="111"/>
      <c r="DO107" s="28">
        <f>'KPI Count-SHARE'!L96</f>
        <v>0</v>
      </c>
      <c r="DP107" s="111"/>
      <c r="DQ107" s="111"/>
      <c r="DR107" s="111"/>
      <c r="DS107" s="28">
        <f>'KPI Count-SHARE'!M96</f>
        <v>0</v>
      </c>
      <c r="DT107" s="111"/>
      <c r="DU107" s="111"/>
      <c r="DV107" s="111"/>
      <c r="DW107" t="str">
        <f t="shared" si="461"/>
        <v>USD '000 per brand</v>
      </c>
      <c r="DX107" s="39" t="str">
        <f t="shared" si="425"/>
        <v>-</v>
      </c>
      <c r="DY107" s="39" t="str">
        <f t="shared" si="426"/>
        <v>-</v>
      </c>
      <c r="DZ107" s="39" t="str">
        <f t="shared" si="427"/>
        <v>-</v>
      </c>
      <c r="EA107" s="39" t="str">
        <f t="shared" si="428"/>
        <v>-</v>
      </c>
      <c r="EB107" s="39" t="str">
        <f t="shared" si="429"/>
        <v>-</v>
      </c>
      <c r="EC107" s="39" t="str">
        <f t="shared" si="430"/>
        <v>-</v>
      </c>
      <c r="ED107" s="39" t="str">
        <f t="shared" si="431"/>
        <v>-</v>
      </c>
      <c r="EE107" s="39" t="str">
        <f t="shared" si="432"/>
        <v>-</v>
      </c>
      <c r="EF107" s="39" t="str">
        <f t="shared" si="433"/>
        <v>-</v>
      </c>
      <c r="EG107" s="39" t="str">
        <f t="shared" si="434"/>
        <v>-</v>
      </c>
      <c r="EH107" s="39" t="str">
        <f t="shared" si="435"/>
        <v>-</v>
      </c>
      <c r="EI107" s="39" t="str">
        <f t="shared" si="448"/>
        <v>-</v>
      </c>
      <c r="EJ107" s="39" t="str">
        <f t="shared" si="449"/>
        <v>-</v>
      </c>
      <c r="EK107" s="39" t="str">
        <f t="shared" si="450"/>
        <v>-</v>
      </c>
      <c r="EL107" s="39" t="str">
        <f t="shared" si="451"/>
        <v>-</v>
      </c>
      <c r="EM107" s="39" t="str">
        <f t="shared" si="452"/>
        <v>-</v>
      </c>
      <c r="EN107" s="39" t="str">
        <f t="shared" si="453"/>
        <v>-</v>
      </c>
      <c r="EO107" s="39" t="str">
        <f t="shared" si="454"/>
        <v>-</v>
      </c>
      <c r="EP107" s="39" t="str">
        <f t="shared" si="455"/>
        <v>-</v>
      </c>
      <c r="EQ107" s="39" t="str">
        <f t="shared" si="456"/>
        <v>-</v>
      </c>
      <c r="ER107" s="39" t="str">
        <f t="shared" si="457"/>
        <v>-</v>
      </c>
      <c r="ES107" s="39" t="str">
        <f t="shared" si="458"/>
        <v>-</v>
      </c>
      <c r="ET107" s="39" t="str">
        <f t="shared" si="459"/>
        <v>-</v>
      </c>
      <c r="EU107" s="39" t="str">
        <f t="shared" si="319"/>
        <v>-</v>
      </c>
      <c r="EV107" s="39" t="str">
        <f t="shared" si="320"/>
        <v>-</v>
      </c>
      <c r="EW107" s="39" t="str">
        <f t="shared" si="321"/>
        <v>-</v>
      </c>
      <c r="EX107" s="39" t="str">
        <f t="shared" si="322"/>
        <v>-</v>
      </c>
      <c r="EY107" s="39" t="str">
        <f t="shared" si="323"/>
        <v>-</v>
      </c>
      <c r="EZ107" s="39" t="str">
        <f t="shared" si="324"/>
        <v>-</v>
      </c>
      <c r="FA107" s="39" t="str">
        <f t="shared" si="325"/>
        <v>-</v>
      </c>
      <c r="FB107" s="39" t="str">
        <f t="shared" si="326"/>
        <v>-</v>
      </c>
      <c r="FC107" s="39" t="str">
        <f t="shared" si="327"/>
        <v>-</v>
      </c>
      <c r="FD107" s="39" t="str">
        <f t="shared" si="328"/>
        <v>-</v>
      </c>
      <c r="FE107" s="39" t="str">
        <f t="shared" si="329"/>
        <v>-</v>
      </c>
      <c r="FF107" s="39" t="str">
        <f t="shared" si="330"/>
        <v>-</v>
      </c>
      <c r="FG107" s="39" t="str">
        <f t="shared" si="331"/>
        <v>-</v>
      </c>
      <c r="FH107" s="39" t="str">
        <f t="shared" si="332"/>
        <v>-</v>
      </c>
      <c r="FI107" s="39" t="str">
        <f t="shared" si="333"/>
        <v>-</v>
      </c>
      <c r="FJ107" s="39" t="str">
        <f t="shared" si="334"/>
        <v>-</v>
      </c>
      <c r="FK107" s="39" t="str">
        <f t="shared" si="335"/>
        <v>-</v>
      </c>
      <c r="FL107" s="39" t="str">
        <f t="shared" si="336"/>
        <v>-</v>
      </c>
      <c r="FM107" s="39" t="str">
        <f t="shared" si="337"/>
        <v>-</v>
      </c>
      <c r="FN107" s="39" t="str">
        <f t="shared" si="338"/>
        <v>-</v>
      </c>
      <c r="FO107" s="39" t="str">
        <f t="shared" si="339"/>
        <v>-</v>
      </c>
      <c r="FP107" s="39" t="str">
        <f t="shared" si="340"/>
        <v>-</v>
      </c>
      <c r="FQ107" s="39" t="str">
        <f t="shared" si="341"/>
        <v>-</v>
      </c>
      <c r="FR107" s="39" t="str">
        <f t="shared" si="342"/>
        <v>-</v>
      </c>
      <c r="FS107" s="39" t="str">
        <f t="shared" si="343"/>
        <v>-</v>
      </c>
      <c r="FT107" s="39" t="str">
        <f t="shared" si="344"/>
        <v>-</v>
      </c>
      <c r="FU107" s="39" t="str">
        <f t="shared" si="345"/>
        <v>-</v>
      </c>
      <c r="FV107" s="39" t="str">
        <f t="shared" si="346"/>
        <v>-</v>
      </c>
      <c r="FW107" s="39" t="str">
        <f t="shared" si="347"/>
        <v>-</v>
      </c>
      <c r="FX107" s="39" t="str">
        <f t="shared" si="348"/>
        <v>-</v>
      </c>
      <c r="FY107" s="39" t="str">
        <f t="shared" si="349"/>
        <v>-</v>
      </c>
      <c r="FZ107" s="39" t="str">
        <f t="shared" si="350"/>
        <v>-</v>
      </c>
      <c r="GA107" s="39" t="str">
        <f t="shared" si="351"/>
        <v>-</v>
      </c>
      <c r="GB107" s="39" t="str">
        <f t="shared" si="352"/>
        <v>-</v>
      </c>
      <c r="GC107" s="39" t="str">
        <f t="shared" si="353"/>
        <v>-</v>
      </c>
      <c r="GD107" s="39" t="str">
        <f t="shared" si="354"/>
        <v>-</v>
      </c>
      <c r="GE107" s="39" t="str">
        <f t="shared" si="355"/>
        <v>-</v>
      </c>
      <c r="GF107" s="39" t="str">
        <f t="shared" si="356"/>
        <v>-</v>
      </c>
      <c r="GG107" s="39" t="str">
        <f t="shared" si="357"/>
        <v>-</v>
      </c>
      <c r="GH107" s="39" t="str">
        <f t="shared" si="358"/>
        <v>-</v>
      </c>
      <c r="GI107" s="39" t="str">
        <f t="shared" si="359"/>
        <v>-</v>
      </c>
      <c r="GJ107" s="39" t="str">
        <f t="shared" si="360"/>
        <v>-</v>
      </c>
      <c r="GK107" s="39" t="str">
        <f t="shared" si="361"/>
        <v>-</v>
      </c>
      <c r="GL107" s="39" t="str">
        <f t="shared" si="362"/>
        <v>-</v>
      </c>
      <c r="GM107" s="39" t="str">
        <f t="shared" si="363"/>
        <v>-</v>
      </c>
      <c r="GN107" s="39" t="str">
        <f t="shared" si="364"/>
        <v>-</v>
      </c>
      <c r="GO107" s="39" t="str">
        <f t="shared" si="365"/>
        <v>-</v>
      </c>
      <c r="GP107" s="39" t="str">
        <f t="shared" si="366"/>
        <v>-</v>
      </c>
      <c r="GQ107" s="39" t="str">
        <f t="shared" si="367"/>
        <v>-</v>
      </c>
      <c r="GR107" s="39" t="str">
        <f t="shared" si="368"/>
        <v>-</v>
      </c>
      <c r="GS107" s="39" t="str">
        <f t="shared" si="369"/>
        <v>-</v>
      </c>
      <c r="GT107" s="39" t="str">
        <f t="shared" si="370"/>
        <v>-</v>
      </c>
      <c r="GU107" s="39" t="str">
        <f t="shared" si="371"/>
        <v>-</v>
      </c>
      <c r="GV107" s="39" t="str">
        <f t="shared" si="372"/>
        <v>-</v>
      </c>
      <c r="GW107" s="39" t="str">
        <f t="shared" si="373"/>
        <v>-</v>
      </c>
      <c r="GX107" s="39" t="str">
        <f t="shared" si="374"/>
        <v>-</v>
      </c>
      <c r="GY107" s="39" t="str">
        <f t="shared" si="375"/>
        <v>-</v>
      </c>
      <c r="GZ107" s="39" t="str">
        <f t="shared" si="376"/>
        <v>-</v>
      </c>
      <c r="HA107" s="39" t="str">
        <f t="shared" si="377"/>
        <v>-</v>
      </c>
      <c r="HB107" s="39" t="str">
        <f t="shared" si="378"/>
        <v>-</v>
      </c>
      <c r="HC107" s="39" t="str">
        <f t="shared" si="379"/>
        <v>-</v>
      </c>
      <c r="HD107" s="39" t="str">
        <f t="shared" si="380"/>
        <v>-</v>
      </c>
      <c r="HE107" s="39" t="str">
        <f t="shared" si="381"/>
        <v>-</v>
      </c>
      <c r="HF107" s="39" t="str">
        <f t="shared" si="382"/>
        <v>-</v>
      </c>
      <c r="HG107" s="39" t="str">
        <f t="shared" si="383"/>
        <v>-</v>
      </c>
      <c r="HH107" s="39" t="str">
        <f t="shared" si="384"/>
        <v>-</v>
      </c>
      <c r="HI107" s="39" t="str">
        <f t="shared" si="385"/>
        <v>-</v>
      </c>
      <c r="HJ107" s="39" t="str">
        <f t="shared" si="386"/>
        <v>-</v>
      </c>
      <c r="HK107" s="39" t="str">
        <f t="shared" si="387"/>
        <v>-</v>
      </c>
      <c r="HL107" s="39" t="str">
        <f t="shared" si="388"/>
        <v>-</v>
      </c>
      <c r="HM107" s="39" t="str">
        <f t="shared" si="389"/>
        <v>-</v>
      </c>
      <c r="HN107" s="39" t="str">
        <f t="shared" si="390"/>
        <v>-</v>
      </c>
      <c r="HO107" s="39" t="str">
        <f t="shared" si="391"/>
        <v>-</v>
      </c>
      <c r="HP107" s="39" t="str">
        <f t="shared" si="392"/>
        <v>-</v>
      </c>
      <c r="HQ107" s="39" t="str">
        <f t="shared" si="393"/>
        <v>-</v>
      </c>
      <c r="HR107" s="39" t="str">
        <f t="shared" si="394"/>
        <v>-</v>
      </c>
      <c r="HS107" s="39" t="str">
        <f t="shared" si="395"/>
        <v>-</v>
      </c>
      <c r="HT107" s="39" t="str">
        <f t="shared" si="395"/>
        <v>-</v>
      </c>
      <c r="HU107" s="43" t="str">
        <f t="shared" si="445"/>
        <v>-</v>
      </c>
      <c r="HV107" s="44" t="str">
        <f t="shared" si="446"/>
        <v/>
      </c>
      <c r="HW107" s="45" t="str">
        <f t="shared" si="447"/>
        <v/>
      </c>
      <c r="HX107" s="102"/>
      <c r="HY107" s="102"/>
      <c r="HZ107" s="102"/>
      <c r="IA107" s="101"/>
      <c r="IB107" s="102"/>
      <c r="IC107" s="103"/>
      <c r="ID107" s="101"/>
      <c r="IE107" s="102"/>
      <c r="IF107" s="103"/>
      <c r="IH107" s="66">
        <v>107</v>
      </c>
      <c r="II107" s="66" t="e">
        <f t="shared" ca="1" si="436"/>
        <v>#N/A</v>
      </c>
      <c r="IJ107" s="66" t="e">
        <f t="shared" ca="1" si="437"/>
        <v>#N/A</v>
      </c>
      <c r="IK107" s="66" t="e">
        <f t="shared" ca="1" si="438"/>
        <v>#N/A</v>
      </c>
      <c r="IL107" s="66" t="e">
        <f t="shared" ca="1" si="439"/>
        <v>#N/A</v>
      </c>
      <c r="IN107" s="74" t="e">
        <f t="shared" ca="1" si="440"/>
        <v>#N/A</v>
      </c>
      <c r="IO107" s="75" t="e">
        <f t="shared" ca="1" si="441"/>
        <v>#N/A</v>
      </c>
      <c r="IP107" s="75" t="e">
        <f t="shared" ca="1" si="442"/>
        <v>#N/A</v>
      </c>
      <c r="IQ107" s="74" t="e">
        <f t="shared" ca="1" si="443"/>
        <v>#N/A</v>
      </c>
      <c r="IR107" s="74" t="e">
        <f t="shared" ca="1" si="444"/>
        <v>#N/A</v>
      </c>
    </row>
    <row r="108" spans="1:252" x14ac:dyDescent="0.35">
      <c r="A108" s="28">
        <v>0</v>
      </c>
      <c r="B108" s="28">
        <v>0</v>
      </c>
      <c r="C108" s="28">
        <v>1</v>
      </c>
      <c r="D108" s="1"/>
      <c r="E108" s="3"/>
      <c r="F108" t="s">
        <v>373</v>
      </c>
      <c r="G108" s="5" t="s">
        <v>540</v>
      </c>
      <c r="H108" t="s">
        <v>556</v>
      </c>
      <c r="I108" t="s">
        <v>536</v>
      </c>
      <c r="J108" s="276" t="s">
        <v>805</v>
      </c>
      <c r="K108" s="113" t="s">
        <v>805</v>
      </c>
      <c r="L108" s="113" t="s">
        <v>805</v>
      </c>
      <c r="M108" s="113" t="s">
        <v>805</v>
      </c>
      <c r="N108" s="113" t="s">
        <v>805</v>
      </c>
      <c r="O108" s="113" t="s">
        <v>805</v>
      </c>
      <c r="P108" s="113" t="s">
        <v>805</v>
      </c>
      <c r="Q108" s="113" t="s">
        <v>805</v>
      </c>
      <c r="R108" s="113" t="s">
        <v>805</v>
      </c>
      <c r="S108" s="113" t="s">
        <v>805</v>
      </c>
      <c r="T108" s="113" t="s">
        <v>805</v>
      </c>
      <c r="U108" s="113" t="s">
        <v>805</v>
      </c>
      <c r="V108" s="113" t="s">
        <v>805</v>
      </c>
      <c r="W108" s="113" t="s">
        <v>805</v>
      </c>
      <c r="X108" s="113" t="s">
        <v>805</v>
      </c>
      <c r="Y108" s="113" t="s">
        <v>805</v>
      </c>
      <c r="Z108" s="113" t="s">
        <v>805</v>
      </c>
      <c r="AA108" s="113" t="s">
        <v>805</v>
      </c>
      <c r="AB108" s="113" t="s">
        <v>805</v>
      </c>
      <c r="AC108" s="113" t="s">
        <v>805</v>
      </c>
      <c r="AD108" s="113" t="s">
        <v>805</v>
      </c>
      <c r="AE108" s="113" t="s">
        <v>805</v>
      </c>
      <c r="AF108" s="113" t="s">
        <v>805</v>
      </c>
      <c r="AG108" s="113" t="s">
        <v>805</v>
      </c>
      <c r="AH108" s="113" t="s">
        <v>805</v>
      </c>
      <c r="AI108" s="113" t="s">
        <v>805</v>
      </c>
      <c r="AJ108" s="113" t="s">
        <v>805</v>
      </c>
      <c r="AK108" s="113" t="s">
        <v>805</v>
      </c>
      <c r="AL108" s="113" t="s">
        <v>805</v>
      </c>
      <c r="AM108" s="113" t="s">
        <v>805</v>
      </c>
      <c r="AN108" s="113" t="s">
        <v>805</v>
      </c>
      <c r="AO108" s="113" t="s">
        <v>805</v>
      </c>
      <c r="AP108" s="113" t="s">
        <v>805</v>
      </c>
      <c r="AQ108" s="113" t="s">
        <v>805</v>
      </c>
      <c r="AR108" s="113" t="s">
        <v>805</v>
      </c>
      <c r="AS108" s="113" t="s">
        <v>805</v>
      </c>
      <c r="AT108" s="113" t="s">
        <v>805</v>
      </c>
      <c r="AU108" s="113" t="s">
        <v>805</v>
      </c>
      <c r="AV108" s="113" t="s">
        <v>805</v>
      </c>
      <c r="AW108" s="113" t="s">
        <v>805</v>
      </c>
      <c r="AX108" s="113" t="s">
        <v>805</v>
      </c>
      <c r="AY108" s="113" t="s">
        <v>805</v>
      </c>
      <c r="AZ108" s="113" t="s">
        <v>805</v>
      </c>
      <c r="BA108" s="113" t="s">
        <v>805</v>
      </c>
      <c r="BB108" s="113" t="s">
        <v>805</v>
      </c>
      <c r="BC108" s="113" t="s">
        <v>805</v>
      </c>
      <c r="BD108" s="113" t="s">
        <v>805</v>
      </c>
      <c r="BE108" s="113" t="s">
        <v>805</v>
      </c>
      <c r="BF108" s="113" t="s">
        <v>805</v>
      </c>
      <c r="BG108" s="113" t="s">
        <v>805</v>
      </c>
      <c r="BH108" s="113" t="s">
        <v>805</v>
      </c>
      <c r="BI108" s="113" t="s">
        <v>805</v>
      </c>
      <c r="BJ108" s="113" t="s">
        <v>805</v>
      </c>
      <c r="BK108" s="113" t="s">
        <v>805</v>
      </c>
      <c r="BL108" s="113" t="s">
        <v>805</v>
      </c>
      <c r="BM108" s="113" t="s">
        <v>805</v>
      </c>
      <c r="BN108" s="113" t="s">
        <v>805</v>
      </c>
      <c r="BO108" s="113" t="s">
        <v>805</v>
      </c>
      <c r="BP108" s="113" t="s">
        <v>805</v>
      </c>
      <c r="BQ108" s="113" t="s">
        <v>805</v>
      </c>
      <c r="BR108" s="113" t="s">
        <v>805</v>
      </c>
      <c r="BS108" s="113" t="s">
        <v>805</v>
      </c>
      <c r="BT108" s="113" t="s">
        <v>805</v>
      </c>
      <c r="BU108" s="113" t="s">
        <v>805</v>
      </c>
      <c r="BV108" s="113" t="s">
        <v>805</v>
      </c>
      <c r="BW108" s="113" t="s">
        <v>805</v>
      </c>
      <c r="BX108" s="113" t="s">
        <v>805</v>
      </c>
      <c r="BY108" s="113" t="s">
        <v>805</v>
      </c>
      <c r="BZ108" s="113" t="s">
        <v>805</v>
      </c>
      <c r="CA108" s="113" t="s">
        <v>805</v>
      </c>
      <c r="CB108" s="113" t="s">
        <v>805</v>
      </c>
      <c r="CC108" s="113" t="s">
        <v>805</v>
      </c>
      <c r="CD108" s="113" t="s">
        <v>805</v>
      </c>
      <c r="CE108" s="113" t="s">
        <v>805</v>
      </c>
      <c r="CF108" s="113" t="s">
        <v>805</v>
      </c>
      <c r="CG108" s="113" t="s">
        <v>805</v>
      </c>
      <c r="CH108" s="113" t="s">
        <v>805</v>
      </c>
      <c r="CI108" s="113" t="s">
        <v>805</v>
      </c>
      <c r="CJ108" s="113" t="s">
        <v>805</v>
      </c>
      <c r="CK108" s="113" t="s">
        <v>805</v>
      </c>
      <c r="CL108" s="113" t="s">
        <v>805</v>
      </c>
      <c r="CM108" s="113" t="s">
        <v>805</v>
      </c>
      <c r="CN108" s="113" t="s">
        <v>805</v>
      </c>
      <c r="CO108" s="113" t="s">
        <v>805</v>
      </c>
      <c r="CP108" s="113" t="s">
        <v>805</v>
      </c>
      <c r="CQ108" s="113" t="s">
        <v>805</v>
      </c>
      <c r="CR108" s="113" t="s">
        <v>805</v>
      </c>
      <c r="CS108" s="113" t="s">
        <v>805</v>
      </c>
      <c r="CT108" s="113" t="s">
        <v>805</v>
      </c>
      <c r="CU108" s="113" t="s">
        <v>805</v>
      </c>
      <c r="CV108" s="113" t="s">
        <v>805</v>
      </c>
      <c r="CW108" s="113" t="s">
        <v>805</v>
      </c>
      <c r="CX108" s="113" t="s">
        <v>805</v>
      </c>
      <c r="CY108" s="113" t="s">
        <v>805</v>
      </c>
      <c r="CZ108" s="113" t="s">
        <v>805</v>
      </c>
      <c r="DA108" s="113" t="s">
        <v>805</v>
      </c>
      <c r="DB108" s="113" t="s">
        <v>805</v>
      </c>
      <c r="DC108" s="113" t="s">
        <v>805</v>
      </c>
      <c r="DD108" s="113" t="s">
        <v>805</v>
      </c>
      <c r="DE108" s="113" t="s">
        <v>805</v>
      </c>
      <c r="DF108" s="113" t="s">
        <v>805</v>
      </c>
      <c r="DG108" s="28">
        <f>'KPI Count-SHARE'!J97</f>
        <v>0</v>
      </c>
      <c r="DH108" s="115"/>
      <c r="DI108" s="115"/>
      <c r="DJ108" s="115"/>
      <c r="DK108" s="28">
        <f>'KPI Count-SHARE'!K97</f>
        <v>0</v>
      </c>
      <c r="DL108" s="111"/>
      <c r="DM108" s="111"/>
      <c r="DN108" s="111"/>
      <c r="DO108" s="28">
        <f>'KPI Count-SHARE'!L97</f>
        <v>0</v>
      </c>
      <c r="DP108" s="111"/>
      <c r="DQ108" s="111"/>
      <c r="DR108" s="111"/>
      <c r="DS108" s="28">
        <f>'KPI Count-SHARE'!M97</f>
        <v>0</v>
      </c>
      <c r="DT108" s="111"/>
      <c r="DU108" s="111"/>
      <c r="DV108" s="111"/>
      <c r="DW108" t="str">
        <f t="shared" si="461"/>
        <v>USD '000 per brand</v>
      </c>
      <c r="DX108" s="39" t="str">
        <f t="shared" si="425"/>
        <v>-</v>
      </c>
      <c r="DY108" s="39" t="str">
        <f t="shared" si="426"/>
        <v>-</v>
      </c>
      <c r="DZ108" s="39" t="str">
        <f t="shared" si="427"/>
        <v>-</v>
      </c>
      <c r="EA108" s="39" t="str">
        <f t="shared" si="428"/>
        <v>-</v>
      </c>
      <c r="EB108" s="39" t="str">
        <f t="shared" si="429"/>
        <v>-</v>
      </c>
      <c r="EC108" s="39" t="str">
        <f t="shared" si="430"/>
        <v>-</v>
      </c>
      <c r="ED108" s="39" t="str">
        <f t="shared" si="431"/>
        <v>-</v>
      </c>
      <c r="EE108" s="39" t="str">
        <f t="shared" si="432"/>
        <v>-</v>
      </c>
      <c r="EF108" s="39" t="str">
        <f t="shared" si="433"/>
        <v>-</v>
      </c>
      <c r="EG108" s="39" t="str">
        <f t="shared" si="434"/>
        <v>-</v>
      </c>
      <c r="EH108" s="39" t="str">
        <f t="shared" si="435"/>
        <v>-</v>
      </c>
      <c r="EI108" s="39" t="str">
        <f t="shared" si="448"/>
        <v>-</v>
      </c>
      <c r="EJ108" s="39" t="str">
        <f t="shared" si="449"/>
        <v>-</v>
      </c>
      <c r="EK108" s="39" t="str">
        <f t="shared" si="450"/>
        <v>-</v>
      </c>
      <c r="EL108" s="39" t="str">
        <f t="shared" si="451"/>
        <v>-</v>
      </c>
      <c r="EM108" s="39" t="str">
        <f t="shared" si="452"/>
        <v>-</v>
      </c>
      <c r="EN108" s="39" t="str">
        <f t="shared" si="453"/>
        <v>-</v>
      </c>
      <c r="EO108" s="39" t="str">
        <f t="shared" si="454"/>
        <v>-</v>
      </c>
      <c r="EP108" s="39" t="str">
        <f t="shared" si="455"/>
        <v>-</v>
      </c>
      <c r="EQ108" s="39" t="str">
        <f t="shared" si="456"/>
        <v>-</v>
      </c>
      <c r="ER108" s="39" t="str">
        <f t="shared" si="457"/>
        <v>-</v>
      </c>
      <c r="ES108" s="39" t="str">
        <f t="shared" si="458"/>
        <v>-</v>
      </c>
      <c r="ET108" s="39" t="str">
        <f t="shared" si="459"/>
        <v>-</v>
      </c>
      <c r="EU108" s="39" t="str">
        <f t="shared" si="319"/>
        <v>-</v>
      </c>
      <c r="EV108" s="39" t="str">
        <f t="shared" si="320"/>
        <v>-</v>
      </c>
      <c r="EW108" s="39" t="str">
        <f t="shared" si="321"/>
        <v>-</v>
      </c>
      <c r="EX108" s="39" t="str">
        <f t="shared" si="322"/>
        <v>-</v>
      </c>
      <c r="EY108" s="39" t="str">
        <f t="shared" si="323"/>
        <v>-</v>
      </c>
      <c r="EZ108" s="39" t="str">
        <f t="shared" si="324"/>
        <v>-</v>
      </c>
      <c r="FA108" s="39" t="str">
        <f t="shared" si="325"/>
        <v>-</v>
      </c>
      <c r="FB108" s="39" t="str">
        <f t="shared" si="326"/>
        <v>-</v>
      </c>
      <c r="FC108" s="39" t="str">
        <f t="shared" si="327"/>
        <v>-</v>
      </c>
      <c r="FD108" s="39" t="str">
        <f t="shared" si="328"/>
        <v>-</v>
      </c>
      <c r="FE108" s="39" t="str">
        <f t="shared" si="329"/>
        <v>-</v>
      </c>
      <c r="FF108" s="39" t="str">
        <f t="shared" si="330"/>
        <v>-</v>
      </c>
      <c r="FG108" s="39" t="str">
        <f t="shared" si="331"/>
        <v>-</v>
      </c>
      <c r="FH108" s="39" t="str">
        <f t="shared" si="332"/>
        <v>-</v>
      </c>
      <c r="FI108" s="39" t="str">
        <f t="shared" si="333"/>
        <v>-</v>
      </c>
      <c r="FJ108" s="39" t="str">
        <f t="shared" si="334"/>
        <v>-</v>
      </c>
      <c r="FK108" s="39" t="str">
        <f t="shared" si="335"/>
        <v>-</v>
      </c>
      <c r="FL108" s="39" t="str">
        <f t="shared" si="336"/>
        <v>-</v>
      </c>
      <c r="FM108" s="39" t="str">
        <f t="shared" si="337"/>
        <v>-</v>
      </c>
      <c r="FN108" s="39" t="str">
        <f t="shared" si="338"/>
        <v>-</v>
      </c>
      <c r="FO108" s="39" t="str">
        <f t="shared" si="339"/>
        <v>-</v>
      </c>
      <c r="FP108" s="39" t="str">
        <f t="shared" si="340"/>
        <v>-</v>
      </c>
      <c r="FQ108" s="39" t="str">
        <f t="shared" si="341"/>
        <v>-</v>
      </c>
      <c r="FR108" s="39" t="str">
        <f t="shared" si="342"/>
        <v>-</v>
      </c>
      <c r="FS108" s="39" t="str">
        <f t="shared" si="343"/>
        <v>-</v>
      </c>
      <c r="FT108" s="39" t="str">
        <f t="shared" si="344"/>
        <v>-</v>
      </c>
      <c r="FU108" s="39" t="str">
        <f t="shared" si="345"/>
        <v>-</v>
      </c>
      <c r="FV108" s="39" t="str">
        <f t="shared" si="346"/>
        <v>-</v>
      </c>
      <c r="FW108" s="39" t="str">
        <f t="shared" si="347"/>
        <v>-</v>
      </c>
      <c r="FX108" s="39" t="str">
        <f t="shared" si="348"/>
        <v>-</v>
      </c>
      <c r="FY108" s="39" t="str">
        <f t="shared" si="349"/>
        <v>-</v>
      </c>
      <c r="FZ108" s="39" t="str">
        <f t="shared" si="350"/>
        <v>-</v>
      </c>
      <c r="GA108" s="39" t="str">
        <f t="shared" si="351"/>
        <v>-</v>
      </c>
      <c r="GB108" s="39" t="str">
        <f t="shared" si="352"/>
        <v>-</v>
      </c>
      <c r="GC108" s="39" t="str">
        <f t="shared" si="353"/>
        <v>-</v>
      </c>
      <c r="GD108" s="39" t="str">
        <f t="shared" si="354"/>
        <v>-</v>
      </c>
      <c r="GE108" s="39" t="str">
        <f t="shared" si="355"/>
        <v>-</v>
      </c>
      <c r="GF108" s="39" t="str">
        <f t="shared" si="356"/>
        <v>-</v>
      </c>
      <c r="GG108" s="39" t="str">
        <f t="shared" si="357"/>
        <v>-</v>
      </c>
      <c r="GH108" s="39" t="str">
        <f t="shared" si="358"/>
        <v>-</v>
      </c>
      <c r="GI108" s="39" t="str">
        <f t="shared" si="359"/>
        <v>-</v>
      </c>
      <c r="GJ108" s="39" t="str">
        <f t="shared" si="360"/>
        <v>-</v>
      </c>
      <c r="GK108" s="39" t="str">
        <f t="shared" si="361"/>
        <v>-</v>
      </c>
      <c r="GL108" s="39" t="str">
        <f t="shared" si="362"/>
        <v>-</v>
      </c>
      <c r="GM108" s="39" t="str">
        <f t="shared" si="363"/>
        <v>-</v>
      </c>
      <c r="GN108" s="39" t="str">
        <f t="shared" si="364"/>
        <v>-</v>
      </c>
      <c r="GO108" s="39" t="str">
        <f t="shared" si="365"/>
        <v>-</v>
      </c>
      <c r="GP108" s="39" t="str">
        <f t="shared" si="366"/>
        <v>-</v>
      </c>
      <c r="GQ108" s="39" t="str">
        <f t="shared" si="367"/>
        <v>-</v>
      </c>
      <c r="GR108" s="39" t="str">
        <f t="shared" si="368"/>
        <v>-</v>
      </c>
      <c r="GS108" s="39" t="str">
        <f t="shared" si="369"/>
        <v>-</v>
      </c>
      <c r="GT108" s="39" t="str">
        <f t="shared" si="370"/>
        <v>-</v>
      </c>
      <c r="GU108" s="39" t="str">
        <f t="shared" si="371"/>
        <v>-</v>
      </c>
      <c r="GV108" s="39" t="str">
        <f t="shared" si="372"/>
        <v>-</v>
      </c>
      <c r="GW108" s="39" t="str">
        <f t="shared" si="373"/>
        <v>-</v>
      </c>
      <c r="GX108" s="39" t="str">
        <f t="shared" si="374"/>
        <v>-</v>
      </c>
      <c r="GY108" s="39" t="str">
        <f t="shared" si="375"/>
        <v>-</v>
      </c>
      <c r="GZ108" s="39" t="str">
        <f t="shared" si="376"/>
        <v>-</v>
      </c>
      <c r="HA108" s="39" t="str">
        <f t="shared" si="377"/>
        <v>-</v>
      </c>
      <c r="HB108" s="39" t="str">
        <f t="shared" si="378"/>
        <v>-</v>
      </c>
      <c r="HC108" s="39" t="str">
        <f t="shared" si="379"/>
        <v>-</v>
      </c>
      <c r="HD108" s="39" t="str">
        <f t="shared" si="380"/>
        <v>-</v>
      </c>
      <c r="HE108" s="39" t="str">
        <f t="shared" si="381"/>
        <v>-</v>
      </c>
      <c r="HF108" s="39" t="str">
        <f t="shared" si="382"/>
        <v>-</v>
      </c>
      <c r="HG108" s="39" t="str">
        <f t="shared" si="383"/>
        <v>-</v>
      </c>
      <c r="HH108" s="39" t="str">
        <f t="shared" si="384"/>
        <v>-</v>
      </c>
      <c r="HI108" s="39" t="str">
        <f t="shared" si="385"/>
        <v>-</v>
      </c>
      <c r="HJ108" s="39" t="str">
        <f t="shared" si="386"/>
        <v>-</v>
      </c>
      <c r="HK108" s="39" t="str">
        <f t="shared" si="387"/>
        <v>-</v>
      </c>
      <c r="HL108" s="39" t="str">
        <f t="shared" si="388"/>
        <v>-</v>
      </c>
      <c r="HM108" s="39" t="str">
        <f t="shared" si="389"/>
        <v>-</v>
      </c>
      <c r="HN108" s="39" t="str">
        <f t="shared" si="390"/>
        <v>-</v>
      </c>
      <c r="HO108" s="39" t="str">
        <f t="shared" si="391"/>
        <v>-</v>
      </c>
      <c r="HP108" s="39" t="str">
        <f t="shared" si="392"/>
        <v>-</v>
      </c>
      <c r="HQ108" s="39" t="str">
        <f t="shared" si="393"/>
        <v>-</v>
      </c>
      <c r="HR108" s="39" t="str">
        <f t="shared" si="394"/>
        <v>-</v>
      </c>
      <c r="HS108" s="39" t="str">
        <f t="shared" si="395"/>
        <v>-</v>
      </c>
      <c r="HT108" s="39" t="str">
        <f t="shared" si="395"/>
        <v>-</v>
      </c>
      <c r="HU108" s="43" t="str">
        <f t="shared" si="445"/>
        <v>-</v>
      </c>
      <c r="HV108" s="44" t="str">
        <f t="shared" si="446"/>
        <v/>
      </c>
      <c r="HW108" s="45" t="str">
        <f t="shared" si="447"/>
        <v/>
      </c>
      <c r="HX108" s="102"/>
      <c r="HY108" s="102"/>
      <c r="HZ108" s="102"/>
      <c r="IA108" s="101"/>
      <c r="IB108" s="102"/>
      <c r="IC108" s="103"/>
      <c r="ID108" s="101"/>
      <c r="IE108" s="102"/>
      <c r="IF108" s="103"/>
      <c r="IH108" s="66">
        <v>108</v>
      </c>
      <c r="II108" s="66" t="e">
        <f t="shared" ca="1" si="436"/>
        <v>#N/A</v>
      </c>
      <c r="IJ108" s="66" t="e">
        <f t="shared" ca="1" si="437"/>
        <v>#N/A</v>
      </c>
      <c r="IK108" s="66" t="e">
        <f t="shared" ca="1" si="438"/>
        <v>#N/A</v>
      </c>
      <c r="IL108" s="66" t="e">
        <f t="shared" ca="1" si="439"/>
        <v>#N/A</v>
      </c>
      <c r="IN108" s="74" t="e">
        <f t="shared" ca="1" si="440"/>
        <v>#N/A</v>
      </c>
      <c r="IO108" s="75" t="e">
        <f t="shared" ca="1" si="441"/>
        <v>#N/A</v>
      </c>
      <c r="IP108" s="75" t="e">
        <f t="shared" ca="1" si="442"/>
        <v>#N/A</v>
      </c>
      <c r="IQ108" s="74" t="e">
        <f t="shared" ca="1" si="443"/>
        <v>#N/A</v>
      </c>
      <c r="IR108" s="74" t="e">
        <f t="shared" ca="1" si="444"/>
        <v>#N/A</v>
      </c>
    </row>
    <row r="109" spans="1:252" x14ac:dyDescent="0.35">
      <c r="A109" s="28">
        <v>0</v>
      </c>
      <c r="B109" s="28">
        <v>0</v>
      </c>
      <c r="C109" s="28">
        <v>1</v>
      </c>
      <c r="D109" s="1"/>
      <c r="E109" s="3"/>
      <c r="F109" t="s">
        <v>374</v>
      </c>
      <c r="G109" s="5" t="s">
        <v>540</v>
      </c>
      <c r="H109" t="s">
        <v>556</v>
      </c>
      <c r="I109" t="s">
        <v>536</v>
      </c>
      <c r="J109" s="276" t="s">
        <v>805</v>
      </c>
      <c r="K109" s="113" t="s">
        <v>805</v>
      </c>
      <c r="L109" s="113" t="s">
        <v>805</v>
      </c>
      <c r="M109" s="113" t="s">
        <v>805</v>
      </c>
      <c r="N109" s="113" t="s">
        <v>805</v>
      </c>
      <c r="O109" s="113" t="s">
        <v>805</v>
      </c>
      <c r="P109" s="113" t="s">
        <v>805</v>
      </c>
      <c r="Q109" s="113" t="s">
        <v>805</v>
      </c>
      <c r="R109" s="113" t="s">
        <v>805</v>
      </c>
      <c r="S109" s="113" t="s">
        <v>805</v>
      </c>
      <c r="T109" s="113" t="s">
        <v>805</v>
      </c>
      <c r="U109" s="113" t="s">
        <v>805</v>
      </c>
      <c r="V109" s="113" t="s">
        <v>805</v>
      </c>
      <c r="W109" s="113" t="s">
        <v>805</v>
      </c>
      <c r="X109" s="113" t="s">
        <v>805</v>
      </c>
      <c r="Y109" s="113" t="s">
        <v>805</v>
      </c>
      <c r="Z109" s="113" t="s">
        <v>805</v>
      </c>
      <c r="AA109" s="113" t="s">
        <v>805</v>
      </c>
      <c r="AB109" s="113" t="s">
        <v>805</v>
      </c>
      <c r="AC109" s="113" t="s">
        <v>805</v>
      </c>
      <c r="AD109" s="113" t="s">
        <v>805</v>
      </c>
      <c r="AE109" s="113" t="s">
        <v>805</v>
      </c>
      <c r="AF109" s="113" t="s">
        <v>805</v>
      </c>
      <c r="AG109" s="113" t="s">
        <v>805</v>
      </c>
      <c r="AH109" s="113" t="s">
        <v>805</v>
      </c>
      <c r="AI109" s="113" t="s">
        <v>805</v>
      </c>
      <c r="AJ109" s="113" t="s">
        <v>805</v>
      </c>
      <c r="AK109" s="113" t="s">
        <v>805</v>
      </c>
      <c r="AL109" s="113" t="s">
        <v>805</v>
      </c>
      <c r="AM109" s="113" t="s">
        <v>805</v>
      </c>
      <c r="AN109" s="113" t="s">
        <v>805</v>
      </c>
      <c r="AO109" s="113" t="s">
        <v>805</v>
      </c>
      <c r="AP109" s="113" t="s">
        <v>805</v>
      </c>
      <c r="AQ109" s="113" t="s">
        <v>805</v>
      </c>
      <c r="AR109" s="113" t="s">
        <v>805</v>
      </c>
      <c r="AS109" s="113" t="s">
        <v>805</v>
      </c>
      <c r="AT109" s="113" t="s">
        <v>805</v>
      </c>
      <c r="AU109" s="113" t="s">
        <v>805</v>
      </c>
      <c r="AV109" s="113" t="s">
        <v>805</v>
      </c>
      <c r="AW109" s="113" t="s">
        <v>805</v>
      </c>
      <c r="AX109" s="113" t="s">
        <v>805</v>
      </c>
      <c r="AY109" s="113" t="s">
        <v>805</v>
      </c>
      <c r="AZ109" s="113" t="s">
        <v>805</v>
      </c>
      <c r="BA109" s="113" t="s">
        <v>805</v>
      </c>
      <c r="BB109" s="113" t="s">
        <v>805</v>
      </c>
      <c r="BC109" s="113" t="s">
        <v>805</v>
      </c>
      <c r="BD109" s="113" t="s">
        <v>805</v>
      </c>
      <c r="BE109" s="113" t="s">
        <v>805</v>
      </c>
      <c r="BF109" s="113" t="s">
        <v>805</v>
      </c>
      <c r="BG109" s="113" t="s">
        <v>805</v>
      </c>
      <c r="BH109" s="113" t="s">
        <v>805</v>
      </c>
      <c r="BI109" s="113" t="s">
        <v>805</v>
      </c>
      <c r="BJ109" s="113" t="s">
        <v>805</v>
      </c>
      <c r="BK109" s="113" t="s">
        <v>805</v>
      </c>
      <c r="BL109" s="113" t="s">
        <v>805</v>
      </c>
      <c r="BM109" s="113" t="s">
        <v>805</v>
      </c>
      <c r="BN109" s="113" t="s">
        <v>805</v>
      </c>
      <c r="BO109" s="113" t="s">
        <v>805</v>
      </c>
      <c r="BP109" s="113" t="s">
        <v>805</v>
      </c>
      <c r="BQ109" s="113" t="s">
        <v>805</v>
      </c>
      <c r="BR109" s="113" t="s">
        <v>805</v>
      </c>
      <c r="BS109" s="113" t="s">
        <v>805</v>
      </c>
      <c r="BT109" s="113" t="s">
        <v>805</v>
      </c>
      <c r="BU109" s="113" t="s">
        <v>805</v>
      </c>
      <c r="BV109" s="113" t="s">
        <v>805</v>
      </c>
      <c r="BW109" s="113" t="s">
        <v>805</v>
      </c>
      <c r="BX109" s="113" t="s">
        <v>805</v>
      </c>
      <c r="BY109" s="113" t="s">
        <v>805</v>
      </c>
      <c r="BZ109" s="113" t="s">
        <v>805</v>
      </c>
      <c r="CA109" s="113" t="s">
        <v>805</v>
      </c>
      <c r="CB109" s="113" t="s">
        <v>805</v>
      </c>
      <c r="CC109" s="113" t="s">
        <v>805</v>
      </c>
      <c r="CD109" s="113" t="s">
        <v>805</v>
      </c>
      <c r="CE109" s="113" t="s">
        <v>805</v>
      </c>
      <c r="CF109" s="113" t="s">
        <v>805</v>
      </c>
      <c r="CG109" s="113" t="s">
        <v>805</v>
      </c>
      <c r="CH109" s="113" t="s">
        <v>805</v>
      </c>
      <c r="CI109" s="113" t="s">
        <v>805</v>
      </c>
      <c r="CJ109" s="113" t="s">
        <v>805</v>
      </c>
      <c r="CK109" s="113" t="s">
        <v>805</v>
      </c>
      <c r="CL109" s="113" t="s">
        <v>805</v>
      </c>
      <c r="CM109" s="113" t="s">
        <v>805</v>
      </c>
      <c r="CN109" s="113" t="s">
        <v>805</v>
      </c>
      <c r="CO109" s="113" t="s">
        <v>805</v>
      </c>
      <c r="CP109" s="113" t="s">
        <v>805</v>
      </c>
      <c r="CQ109" s="113" t="s">
        <v>805</v>
      </c>
      <c r="CR109" s="113" t="s">
        <v>805</v>
      </c>
      <c r="CS109" s="113" t="s">
        <v>805</v>
      </c>
      <c r="CT109" s="113" t="s">
        <v>805</v>
      </c>
      <c r="CU109" s="113" t="s">
        <v>805</v>
      </c>
      <c r="CV109" s="113" t="s">
        <v>805</v>
      </c>
      <c r="CW109" s="113" t="s">
        <v>805</v>
      </c>
      <c r="CX109" s="113" t="s">
        <v>805</v>
      </c>
      <c r="CY109" s="113" t="s">
        <v>805</v>
      </c>
      <c r="CZ109" s="113" t="s">
        <v>805</v>
      </c>
      <c r="DA109" s="113" t="s">
        <v>805</v>
      </c>
      <c r="DB109" s="113" t="s">
        <v>805</v>
      </c>
      <c r="DC109" s="113" t="s">
        <v>805</v>
      </c>
      <c r="DD109" s="113" t="s">
        <v>805</v>
      </c>
      <c r="DE109" s="113" t="s">
        <v>805</v>
      </c>
      <c r="DF109" s="113" t="s">
        <v>805</v>
      </c>
      <c r="DG109" s="28">
        <f>'KPI Count-SHARE'!J98</f>
        <v>0</v>
      </c>
      <c r="DH109" s="114"/>
      <c r="DI109" s="114"/>
      <c r="DJ109" s="114"/>
      <c r="DK109" s="28">
        <f>'KPI Count-SHARE'!K98</f>
        <v>0</v>
      </c>
      <c r="DL109" s="118"/>
      <c r="DM109" s="118"/>
      <c r="DN109" s="118"/>
      <c r="DO109" s="28">
        <f>'KPI Count-SHARE'!L98</f>
        <v>0</v>
      </c>
      <c r="DP109" s="118"/>
      <c r="DQ109" s="118"/>
      <c r="DR109" s="118"/>
      <c r="DS109" s="28">
        <f>'KPI Count-SHARE'!M98</f>
        <v>0</v>
      </c>
      <c r="DT109" s="118"/>
      <c r="DU109" s="118"/>
      <c r="DV109" s="118"/>
      <c r="DW109" t="str">
        <f t="shared" si="461"/>
        <v>USD '000 per brand</v>
      </c>
      <c r="DX109" s="39" t="str">
        <f t="shared" si="425"/>
        <v>-</v>
      </c>
      <c r="DY109" s="39" t="str">
        <f t="shared" si="426"/>
        <v>-</v>
      </c>
      <c r="DZ109" s="39" t="str">
        <f t="shared" si="427"/>
        <v>-</v>
      </c>
      <c r="EA109" s="39" t="str">
        <f t="shared" si="428"/>
        <v>-</v>
      </c>
      <c r="EB109" s="39" t="str">
        <f t="shared" si="429"/>
        <v>-</v>
      </c>
      <c r="EC109" s="39" t="str">
        <f t="shared" si="430"/>
        <v>-</v>
      </c>
      <c r="ED109" s="39" t="str">
        <f t="shared" si="431"/>
        <v>-</v>
      </c>
      <c r="EE109" s="39" t="str">
        <f t="shared" si="432"/>
        <v>-</v>
      </c>
      <c r="EF109" s="39" t="str">
        <f t="shared" si="433"/>
        <v>-</v>
      </c>
      <c r="EG109" s="39" t="str">
        <f t="shared" si="434"/>
        <v>-</v>
      </c>
      <c r="EH109" s="39" t="str">
        <f t="shared" si="435"/>
        <v>-</v>
      </c>
      <c r="EI109" s="39" t="str">
        <f t="shared" si="448"/>
        <v>-</v>
      </c>
      <c r="EJ109" s="39" t="str">
        <f t="shared" si="449"/>
        <v>-</v>
      </c>
      <c r="EK109" s="39" t="str">
        <f t="shared" si="450"/>
        <v>-</v>
      </c>
      <c r="EL109" s="39" t="str">
        <f t="shared" si="451"/>
        <v>-</v>
      </c>
      <c r="EM109" s="39" t="str">
        <f t="shared" si="452"/>
        <v>-</v>
      </c>
      <c r="EN109" s="39" t="str">
        <f t="shared" si="453"/>
        <v>-</v>
      </c>
      <c r="EO109" s="39" t="str">
        <f t="shared" si="454"/>
        <v>-</v>
      </c>
      <c r="EP109" s="39" t="str">
        <f t="shared" si="455"/>
        <v>-</v>
      </c>
      <c r="EQ109" s="39" t="str">
        <f t="shared" si="456"/>
        <v>-</v>
      </c>
      <c r="ER109" s="39" t="str">
        <f t="shared" si="457"/>
        <v>-</v>
      </c>
      <c r="ES109" s="39" t="str">
        <f t="shared" si="458"/>
        <v>-</v>
      </c>
      <c r="ET109" s="39" t="str">
        <f t="shared" si="459"/>
        <v>-</v>
      </c>
      <c r="EU109" s="39" t="str">
        <f t="shared" si="319"/>
        <v>-</v>
      </c>
      <c r="EV109" s="39" t="str">
        <f t="shared" si="320"/>
        <v>-</v>
      </c>
      <c r="EW109" s="39" t="str">
        <f t="shared" si="321"/>
        <v>-</v>
      </c>
      <c r="EX109" s="39" t="str">
        <f t="shared" si="322"/>
        <v>-</v>
      </c>
      <c r="EY109" s="39" t="str">
        <f t="shared" si="323"/>
        <v>-</v>
      </c>
      <c r="EZ109" s="39" t="str">
        <f t="shared" si="324"/>
        <v>-</v>
      </c>
      <c r="FA109" s="39" t="str">
        <f t="shared" si="325"/>
        <v>-</v>
      </c>
      <c r="FB109" s="39" t="str">
        <f t="shared" si="326"/>
        <v>-</v>
      </c>
      <c r="FC109" s="39" t="str">
        <f t="shared" si="327"/>
        <v>-</v>
      </c>
      <c r="FD109" s="39" t="str">
        <f t="shared" si="328"/>
        <v>-</v>
      </c>
      <c r="FE109" s="39" t="str">
        <f t="shared" si="329"/>
        <v>-</v>
      </c>
      <c r="FF109" s="39" t="str">
        <f t="shared" si="330"/>
        <v>-</v>
      </c>
      <c r="FG109" s="39" t="str">
        <f t="shared" si="331"/>
        <v>-</v>
      </c>
      <c r="FH109" s="39" t="str">
        <f t="shared" si="332"/>
        <v>-</v>
      </c>
      <c r="FI109" s="39" t="str">
        <f t="shared" si="333"/>
        <v>-</v>
      </c>
      <c r="FJ109" s="39" t="str">
        <f t="shared" si="334"/>
        <v>-</v>
      </c>
      <c r="FK109" s="39" t="str">
        <f t="shared" si="335"/>
        <v>-</v>
      </c>
      <c r="FL109" s="39" t="str">
        <f t="shared" si="336"/>
        <v>-</v>
      </c>
      <c r="FM109" s="39" t="str">
        <f t="shared" si="337"/>
        <v>-</v>
      </c>
      <c r="FN109" s="39" t="str">
        <f t="shared" si="338"/>
        <v>-</v>
      </c>
      <c r="FO109" s="39" t="str">
        <f t="shared" si="339"/>
        <v>-</v>
      </c>
      <c r="FP109" s="39" t="str">
        <f t="shared" si="340"/>
        <v>-</v>
      </c>
      <c r="FQ109" s="39" t="str">
        <f t="shared" si="341"/>
        <v>-</v>
      </c>
      <c r="FR109" s="39" t="str">
        <f t="shared" si="342"/>
        <v>-</v>
      </c>
      <c r="FS109" s="39" t="str">
        <f t="shared" si="343"/>
        <v>-</v>
      </c>
      <c r="FT109" s="39" t="str">
        <f t="shared" si="344"/>
        <v>-</v>
      </c>
      <c r="FU109" s="39" t="str">
        <f t="shared" si="345"/>
        <v>-</v>
      </c>
      <c r="FV109" s="39" t="str">
        <f t="shared" si="346"/>
        <v>-</v>
      </c>
      <c r="FW109" s="39" t="str">
        <f t="shared" si="347"/>
        <v>-</v>
      </c>
      <c r="FX109" s="39" t="str">
        <f t="shared" si="348"/>
        <v>-</v>
      </c>
      <c r="FY109" s="39" t="str">
        <f t="shared" si="349"/>
        <v>-</v>
      </c>
      <c r="FZ109" s="39" t="str">
        <f t="shared" si="350"/>
        <v>-</v>
      </c>
      <c r="GA109" s="39" t="str">
        <f t="shared" si="351"/>
        <v>-</v>
      </c>
      <c r="GB109" s="39" t="str">
        <f t="shared" si="352"/>
        <v>-</v>
      </c>
      <c r="GC109" s="39" t="str">
        <f t="shared" si="353"/>
        <v>-</v>
      </c>
      <c r="GD109" s="39" t="str">
        <f t="shared" si="354"/>
        <v>-</v>
      </c>
      <c r="GE109" s="39" t="str">
        <f t="shared" si="355"/>
        <v>-</v>
      </c>
      <c r="GF109" s="39" t="str">
        <f t="shared" si="356"/>
        <v>-</v>
      </c>
      <c r="GG109" s="39" t="str">
        <f t="shared" si="357"/>
        <v>-</v>
      </c>
      <c r="GH109" s="39" t="str">
        <f t="shared" si="358"/>
        <v>-</v>
      </c>
      <c r="GI109" s="39" t="str">
        <f t="shared" si="359"/>
        <v>-</v>
      </c>
      <c r="GJ109" s="39" t="str">
        <f t="shared" si="360"/>
        <v>-</v>
      </c>
      <c r="GK109" s="39" t="str">
        <f t="shared" si="361"/>
        <v>-</v>
      </c>
      <c r="GL109" s="39" t="str">
        <f t="shared" si="362"/>
        <v>-</v>
      </c>
      <c r="GM109" s="39" t="str">
        <f t="shared" si="363"/>
        <v>-</v>
      </c>
      <c r="GN109" s="39" t="str">
        <f t="shared" si="364"/>
        <v>-</v>
      </c>
      <c r="GO109" s="39" t="str">
        <f t="shared" si="365"/>
        <v>-</v>
      </c>
      <c r="GP109" s="39" t="str">
        <f t="shared" si="366"/>
        <v>-</v>
      </c>
      <c r="GQ109" s="39" t="str">
        <f t="shared" si="367"/>
        <v>-</v>
      </c>
      <c r="GR109" s="39" t="str">
        <f t="shared" si="368"/>
        <v>-</v>
      </c>
      <c r="GS109" s="39" t="str">
        <f t="shared" si="369"/>
        <v>-</v>
      </c>
      <c r="GT109" s="39" t="str">
        <f t="shared" si="370"/>
        <v>-</v>
      </c>
      <c r="GU109" s="39" t="str">
        <f t="shared" si="371"/>
        <v>-</v>
      </c>
      <c r="GV109" s="39" t="str">
        <f t="shared" si="372"/>
        <v>-</v>
      </c>
      <c r="GW109" s="39" t="str">
        <f t="shared" si="373"/>
        <v>-</v>
      </c>
      <c r="GX109" s="39" t="str">
        <f t="shared" si="374"/>
        <v>-</v>
      </c>
      <c r="GY109" s="39" t="str">
        <f t="shared" si="375"/>
        <v>-</v>
      </c>
      <c r="GZ109" s="39" t="str">
        <f t="shared" si="376"/>
        <v>-</v>
      </c>
      <c r="HA109" s="39" t="str">
        <f t="shared" si="377"/>
        <v>-</v>
      </c>
      <c r="HB109" s="39" t="str">
        <f t="shared" si="378"/>
        <v>-</v>
      </c>
      <c r="HC109" s="39" t="str">
        <f t="shared" si="379"/>
        <v>-</v>
      </c>
      <c r="HD109" s="39" t="str">
        <f t="shared" si="380"/>
        <v>-</v>
      </c>
      <c r="HE109" s="39" t="str">
        <f t="shared" si="381"/>
        <v>-</v>
      </c>
      <c r="HF109" s="39" t="str">
        <f t="shared" si="382"/>
        <v>-</v>
      </c>
      <c r="HG109" s="39" t="str">
        <f t="shared" si="383"/>
        <v>-</v>
      </c>
      <c r="HH109" s="39" t="str">
        <f t="shared" si="384"/>
        <v>-</v>
      </c>
      <c r="HI109" s="39" t="str">
        <f t="shared" si="385"/>
        <v>-</v>
      </c>
      <c r="HJ109" s="39" t="str">
        <f t="shared" si="386"/>
        <v>-</v>
      </c>
      <c r="HK109" s="39" t="str">
        <f t="shared" si="387"/>
        <v>-</v>
      </c>
      <c r="HL109" s="39" t="str">
        <f t="shared" si="388"/>
        <v>-</v>
      </c>
      <c r="HM109" s="39" t="str">
        <f t="shared" si="389"/>
        <v>-</v>
      </c>
      <c r="HN109" s="39" t="str">
        <f t="shared" si="390"/>
        <v>-</v>
      </c>
      <c r="HO109" s="39" t="str">
        <f t="shared" si="391"/>
        <v>-</v>
      </c>
      <c r="HP109" s="39" t="str">
        <f t="shared" si="392"/>
        <v>-</v>
      </c>
      <c r="HQ109" s="39" t="str">
        <f t="shared" si="393"/>
        <v>-</v>
      </c>
      <c r="HR109" s="39" t="str">
        <f t="shared" si="394"/>
        <v>-</v>
      </c>
      <c r="HS109" s="39" t="str">
        <f t="shared" si="395"/>
        <v>-</v>
      </c>
      <c r="HT109" s="39" t="str">
        <f t="shared" si="395"/>
        <v>-</v>
      </c>
      <c r="HU109" s="43" t="str">
        <f t="shared" si="445"/>
        <v>-</v>
      </c>
      <c r="HV109" s="44" t="str">
        <f t="shared" si="446"/>
        <v/>
      </c>
      <c r="HW109" s="45" t="str">
        <f t="shared" si="447"/>
        <v/>
      </c>
      <c r="HX109" s="102"/>
      <c r="HY109" s="102"/>
      <c r="HZ109" s="102"/>
      <c r="IA109" s="101"/>
      <c r="IB109" s="102"/>
      <c r="IC109" s="103"/>
      <c r="ID109" s="101"/>
      <c r="IE109" s="102"/>
      <c r="IF109" s="103"/>
      <c r="IH109" s="66">
        <v>109</v>
      </c>
      <c r="II109" s="66" t="e">
        <f t="shared" ca="1" si="436"/>
        <v>#N/A</v>
      </c>
      <c r="IJ109" s="66" t="e">
        <f t="shared" ca="1" si="437"/>
        <v>#N/A</v>
      </c>
      <c r="IK109" s="66" t="e">
        <f t="shared" ca="1" si="438"/>
        <v>#N/A</v>
      </c>
      <c r="IL109" s="66" t="e">
        <f t="shared" ca="1" si="439"/>
        <v>#N/A</v>
      </c>
      <c r="IN109" s="74" t="e">
        <f t="shared" ca="1" si="440"/>
        <v>#N/A</v>
      </c>
      <c r="IO109" s="75" t="e">
        <f t="shared" ca="1" si="441"/>
        <v>#N/A</v>
      </c>
      <c r="IP109" s="75" t="e">
        <f t="shared" ca="1" si="442"/>
        <v>#N/A</v>
      </c>
      <c r="IQ109" s="74" t="e">
        <f t="shared" ca="1" si="443"/>
        <v>#N/A</v>
      </c>
      <c r="IR109" s="74" t="e">
        <f t="shared" ca="1" si="444"/>
        <v>#N/A</v>
      </c>
    </row>
    <row r="110" spans="1:252" x14ac:dyDescent="0.35">
      <c r="A110" s="28">
        <v>0</v>
      </c>
      <c r="B110" s="28">
        <v>0</v>
      </c>
      <c r="C110" s="28">
        <v>1</v>
      </c>
      <c r="D110" s="1"/>
      <c r="E110" s="3"/>
      <c r="F110" t="s">
        <v>375</v>
      </c>
      <c r="G110" s="5" t="s">
        <v>540</v>
      </c>
      <c r="H110" t="s">
        <v>556</v>
      </c>
      <c r="I110" t="s">
        <v>536</v>
      </c>
      <c r="J110" s="276" t="s">
        <v>805</v>
      </c>
      <c r="K110" s="113" t="s">
        <v>805</v>
      </c>
      <c r="L110" s="113" t="s">
        <v>805</v>
      </c>
      <c r="M110" s="113" t="s">
        <v>805</v>
      </c>
      <c r="N110" s="113" t="s">
        <v>805</v>
      </c>
      <c r="O110" s="113" t="s">
        <v>805</v>
      </c>
      <c r="P110" s="113" t="s">
        <v>805</v>
      </c>
      <c r="Q110" s="113" t="s">
        <v>805</v>
      </c>
      <c r="R110" s="113" t="s">
        <v>805</v>
      </c>
      <c r="S110" s="113" t="s">
        <v>805</v>
      </c>
      <c r="T110" s="113" t="s">
        <v>805</v>
      </c>
      <c r="U110" s="113" t="s">
        <v>805</v>
      </c>
      <c r="V110" s="113" t="s">
        <v>805</v>
      </c>
      <c r="W110" s="113" t="s">
        <v>805</v>
      </c>
      <c r="X110" s="113" t="s">
        <v>805</v>
      </c>
      <c r="Y110" s="113" t="s">
        <v>805</v>
      </c>
      <c r="Z110" s="113" t="s">
        <v>805</v>
      </c>
      <c r="AA110" s="113" t="s">
        <v>805</v>
      </c>
      <c r="AB110" s="113" t="s">
        <v>805</v>
      </c>
      <c r="AC110" s="113" t="s">
        <v>805</v>
      </c>
      <c r="AD110" s="113" t="s">
        <v>805</v>
      </c>
      <c r="AE110" s="113" t="s">
        <v>805</v>
      </c>
      <c r="AF110" s="113" t="s">
        <v>805</v>
      </c>
      <c r="AG110" s="113" t="s">
        <v>805</v>
      </c>
      <c r="AH110" s="113" t="s">
        <v>805</v>
      </c>
      <c r="AI110" s="113" t="s">
        <v>805</v>
      </c>
      <c r="AJ110" s="113" t="s">
        <v>805</v>
      </c>
      <c r="AK110" s="113" t="s">
        <v>805</v>
      </c>
      <c r="AL110" s="113" t="s">
        <v>805</v>
      </c>
      <c r="AM110" s="113" t="s">
        <v>805</v>
      </c>
      <c r="AN110" s="113" t="s">
        <v>805</v>
      </c>
      <c r="AO110" s="113" t="s">
        <v>805</v>
      </c>
      <c r="AP110" s="113" t="s">
        <v>805</v>
      </c>
      <c r="AQ110" s="113" t="s">
        <v>805</v>
      </c>
      <c r="AR110" s="113" t="s">
        <v>805</v>
      </c>
      <c r="AS110" s="113" t="s">
        <v>805</v>
      </c>
      <c r="AT110" s="113" t="s">
        <v>805</v>
      </c>
      <c r="AU110" s="113" t="s">
        <v>805</v>
      </c>
      <c r="AV110" s="113" t="s">
        <v>805</v>
      </c>
      <c r="AW110" s="113" t="s">
        <v>805</v>
      </c>
      <c r="AX110" s="113" t="s">
        <v>805</v>
      </c>
      <c r="AY110" s="113" t="s">
        <v>805</v>
      </c>
      <c r="AZ110" s="113" t="s">
        <v>805</v>
      </c>
      <c r="BA110" s="113" t="s">
        <v>805</v>
      </c>
      <c r="BB110" s="113" t="s">
        <v>805</v>
      </c>
      <c r="BC110" s="113" t="s">
        <v>805</v>
      </c>
      <c r="BD110" s="113" t="s">
        <v>805</v>
      </c>
      <c r="BE110" s="113" t="s">
        <v>805</v>
      </c>
      <c r="BF110" s="113" t="s">
        <v>805</v>
      </c>
      <c r="BG110" s="113" t="s">
        <v>805</v>
      </c>
      <c r="BH110" s="113" t="s">
        <v>805</v>
      </c>
      <c r="BI110" s="113" t="s">
        <v>805</v>
      </c>
      <c r="BJ110" s="113" t="s">
        <v>805</v>
      </c>
      <c r="BK110" s="113" t="s">
        <v>805</v>
      </c>
      <c r="BL110" s="113" t="s">
        <v>805</v>
      </c>
      <c r="BM110" s="113" t="s">
        <v>805</v>
      </c>
      <c r="BN110" s="113" t="s">
        <v>805</v>
      </c>
      <c r="BO110" s="113" t="s">
        <v>805</v>
      </c>
      <c r="BP110" s="113" t="s">
        <v>805</v>
      </c>
      <c r="BQ110" s="113" t="s">
        <v>805</v>
      </c>
      <c r="BR110" s="113" t="s">
        <v>805</v>
      </c>
      <c r="BS110" s="113" t="s">
        <v>805</v>
      </c>
      <c r="BT110" s="113" t="s">
        <v>805</v>
      </c>
      <c r="BU110" s="113" t="s">
        <v>805</v>
      </c>
      <c r="BV110" s="113" t="s">
        <v>805</v>
      </c>
      <c r="BW110" s="113" t="s">
        <v>805</v>
      </c>
      <c r="BX110" s="113" t="s">
        <v>805</v>
      </c>
      <c r="BY110" s="113" t="s">
        <v>805</v>
      </c>
      <c r="BZ110" s="113" t="s">
        <v>805</v>
      </c>
      <c r="CA110" s="113" t="s">
        <v>805</v>
      </c>
      <c r="CB110" s="113" t="s">
        <v>805</v>
      </c>
      <c r="CC110" s="113" t="s">
        <v>805</v>
      </c>
      <c r="CD110" s="113" t="s">
        <v>805</v>
      </c>
      <c r="CE110" s="113" t="s">
        <v>805</v>
      </c>
      <c r="CF110" s="113" t="s">
        <v>805</v>
      </c>
      <c r="CG110" s="113" t="s">
        <v>805</v>
      </c>
      <c r="CH110" s="113" t="s">
        <v>805</v>
      </c>
      <c r="CI110" s="113" t="s">
        <v>805</v>
      </c>
      <c r="CJ110" s="113" t="s">
        <v>805</v>
      </c>
      <c r="CK110" s="113" t="s">
        <v>805</v>
      </c>
      <c r="CL110" s="113" t="s">
        <v>805</v>
      </c>
      <c r="CM110" s="113" t="s">
        <v>805</v>
      </c>
      <c r="CN110" s="113" t="s">
        <v>805</v>
      </c>
      <c r="CO110" s="113" t="s">
        <v>805</v>
      </c>
      <c r="CP110" s="113" t="s">
        <v>805</v>
      </c>
      <c r="CQ110" s="113" t="s">
        <v>805</v>
      </c>
      <c r="CR110" s="113" t="s">
        <v>805</v>
      </c>
      <c r="CS110" s="113" t="s">
        <v>805</v>
      </c>
      <c r="CT110" s="113" t="s">
        <v>805</v>
      </c>
      <c r="CU110" s="113" t="s">
        <v>805</v>
      </c>
      <c r="CV110" s="113" t="s">
        <v>805</v>
      </c>
      <c r="CW110" s="113" t="s">
        <v>805</v>
      </c>
      <c r="CX110" s="113" t="s">
        <v>805</v>
      </c>
      <c r="CY110" s="113" t="s">
        <v>805</v>
      </c>
      <c r="CZ110" s="113" t="s">
        <v>805</v>
      </c>
      <c r="DA110" s="113" t="s">
        <v>805</v>
      </c>
      <c r="DB110" s="113" t="s">
        <v>805</v>
      </c>
      <c r="DC110" s="113" t="s">
        <v>805</v>
      </c>
      <c r="DD110" s="113" t="s">
        <v>805</v>
      </c>
      <c r="DE110" s="113" t="s">
        <v>805</v>
      </c>
      <c r="DF110" s="113" t="s">
        <v>805</v>
      </c>
      <c r="DG110" s="28">
        <f>'KPI Count-SHARE'!J99</f>
        <v>0</v>
      </c>
      <c r="DH110" s="115"/>
      <c r="DI110" s="115"/>
      <c r="DJ110" s="115"/>
      <c r="DK110" s="28">
        <f>'KPI Count-SHARE'!K99</f>
        <v>0</v>
      </c>
      <c r="DL110" s="111"/>
      <c r="DM110" s="111"/>
      <c r="DN110" s="111"/>
      <c r="DO110" s="28">
        <f>'KPI Count-SHARE'!L99</f>
        <v>0</v>
      </c>
      <c r="DP110" s="111"/>
      <c r="DQ110" s="111"/>
      <c r="DR110" s="111"/>
      <c r="DS110" s="28">
        <f>'KPI Count-SHARE'!M99</f>
        <v>0</v>
      </c>
      <c r="DT110" s="111"/>
      <c r="DU110" s="111"/>
      <c r="DV110" s="111"/>
      <c r="DW110" t="str">
        <f t="shared" si="461"/>
        <v>USD '000 per brand</v>
      </c>
      <c r="DX110" s="39" t="str">
        <f t="shared" si="425"/>
        <v>-</v>
      </c>
      <c r="DY110" s="39" t="str">
        <f t="shared" si="426"/>
        <v>-</v>
      </c>
      <c r="DZ110" s="39" t="str">
        <f t="shared" si="427"/>
        <v>-</v>
      </c>
      <c r="EA110" s="39" t="str">
        <f t="shared" si="428"/>
        <v>-</v>
      </c>
      <c r="EB110" s="39" t="str">
        <f t="shared" si="429"/>
        <v>-</v>
      </c>
      <c r="EC110" s="39" t="str">
        <f t="shared" si="430"/>
        <v>-</v>
      </c>
      <c r="ED110" s="39" t="str">
        <f t="shared" si="431"/>
        <v>-</v>
      </c>
      <c r="EE110" s="39" t="str">
        <f t="shared" si="432"/>
        <v>-</v>
      </c>
      <c r="EF110" s="39" t="str">
        <f t="shared" si="433"/>
        <v>-</v>
      </c>
      <c r="EG110" s="39" t="str">
        <f t="shared" si="434"/>
        <v>-</v>
      </c>
      <c r="EH110" s="39" t="str">
        <f t="shared" si="435"/>
        <v>-</v>
      </c>
      <c r="EI110" s="39" t="str">
        <f t="shared" si="448"/>
        <v>-</v>
      </c>
      <c r="EJ110" s="39" t="str">
        <f t="shared" si="449"/>
        <v>-</v>
      </c>
      <c r="EK110" s="39" t="str">
        <f t="shared" si="450"/>
        <v>-</v>
      </c>
      <c r="EL110" s="39" t="str">
        <f t="shared" si="451"/>
        <v>-</v>
      </c>
      <c r="EM110" s="39" t="str">
        <f t="shared" si="452"/>
        <v>-</v>
      </c>
      <c r="EN110" s="39" t="str">
        <f t="shared" si="453"/>
        <v>-</v>
      </c>
      <c r="EO110" s="39" t="str">
        <f t="shared" si="454"/>
        <v>-</v>
      </c>
      <c r="EP110" s="39" t="str">
        <f t="shared" si="455"/>
        <v>-</v>
      </c>
      <c r="EQ110" s="39" t="str">
        <f t="shared" si="456"/>
        <v>-</v>
      </c>
      <c r="ER110" s="39" t="str">
        <f t="shared" si="457"/>
        <v>-</v>
      </c>
      <c r="ES110" s="39" t="str">
        <f t="shared" si="458"/>
        <v>-</v>
      </c>
      <c r="ET110" s="39" t="str">
        <f t="shared" si="459"/>
        <v>-</v>
      </c>
      <c r="EU110" s="39" t="str">
        <f t="shared" si="319"/>
        <v>-</v>
      </c>
      <c r="EV110" s="39" t="str">
        <f t="shared" si="320"/>
        <v>-</v>
      </c>
      <c r="EW110" s="39" t="str">
        <f t="shared" si="321"/>
        <v>-</v>
      </c>
      <c r="EX110" s="39" t="str">
        <f t="shared" si="322"/>
        <v>-</v>
      </c>
      <c r="EY110" s="39" t="str">
        <f t="shared" si="323"/>
        <v>-</v>
      </c>
      <c r="EZ110" s="39" t="str">
        <f t="shared" si="324"/>
        <v>-</v>
      </c>
      <c r="FA110" s="39" t="str">
        <f t="shared" si="325"/>
        <v>-</v>
      </c>
      <c r="FB110" s="39" t="str">
        <f t="shared" si="326"/>
        <v>-</v>
      </c>
      <c r="FC110" s="39" t="str">
        <f t="shared" si="327"/>
        <v>-</v>
      </c>
      <c r="FD110" s="39" t="str">
        <f t="shared" si="328"/>
        <v>-</v>
      </c>
      <c r="FE110" s="39" t="str">
        <f t="shared" si="329"/>
        <v>-</v>
      </c>
      <c r="FF110" s="39" t="str">
        <f t="shared" si="330"/>
        <v>-</v>
      </c>
      <c r="FG110" s="39" t="str">
        <f t="shared" si="331"/>
        <v>-</v>
      </c>
      <c r="FH110" s="39" t="str">
        <f t="shared" si="332"/>
        <v>-</v>
      </c>
      <c r="FI110" s="39" t="str">
        <f t="shared" si="333"/>
        <v>-</v>
      </c>
      <c r="FJ110" s="39" t="str">
        <f t="shared" si="334"/>
        <v>-</v>
      </c>
      <c r="FK110" s="39" t="str">
        <f t="shared" si="335"/>
        <v>-</v>
      </c>
      <c r="FL110" s="39" t="str">
        <f t="shared" si="336"/>
        <v>-</v>
      </c>
      <c r="FM110" s="39" t="str">
        <f t="shared" si="337"/>
        <v>-</v>
      </c>
      <c r="FN110" s="39" t="str">
        <f t="shared" si="338"/>
        <v>-</v>
      </c>
      <c r="FO110" s="39" t="str">
        <f t="shared" si="339"/>
        <v>-</v>
      </c>
      <c r="FP110" s="39" t="str">
        <f t="shared" si="340"/>
        <v>-</v>
      </c>
      <c r="FQ110" s="39" t="str">
        <f t="shared" si="341"/>
        <v>-</v>
      </c>
      <c r="FR110" s="39" t="str">
        <f t="shared" si="342"/>
        <v>-</v>
      </c>
      <c r="FS110" s="39" t="str">
        <f t="shared" si="343"/>
        <v>-</v>
      </c>
      <c r="FT110" s="39" t="str">
        <f t="shared" si="344"/>
        <v>-</v>
      </c>
      <c r="FU110" s="39" t="str">
        <f t="shared" si="345"/>
        <v>-</v>
      </c>
      <c r="FV110" s="39" t="str">
        <f t="shared" si="346"/>
        <v>-</v>
      </c>
      <c r="FW110" s="39" t="str">
        <f t="shared" si="347"/>
        <v>-</v>
      </c>
      <c r="FX110" s="39" t="str">
        <f t="shared" si="348"/>
        <v>-</v>
      </c>
      <c r="FY110" s="39" t="str">
        <f t="shared" si="349"/>
        <v>-</v>
      </c>
      <c r="FZ110" s="39" t="str">
        <f t="shared" si="350"/>
        <v>-</v>
      </c>
      <c r="GA110" s="39" t="str">
        <f t="shared" si="351"/>
        <v>-</v>
      </c>
      <c r="GB110" s="39" t="str">
        <f t="shared" si="352"/>
        <v>-</v>
      </c>
      <c r="GC110" s="39" t="str">
        <f t="shared" si="353"/>
        <v>-</v>
      </c>
      <c r="GD110" s="39" t="str">
        <f t="shared" si="354"/>
        <v>-</v>
      </c>
      <c r="GE110" s="39" t="str">
        <f t="shared" si="355"/>
        <v>-</v>
      </c>
      <c r="GF110" s="39" t="str">
        <f t="shared" si="356"/>
        <v>-</v>
      </c>
      <c r="GG110" s="39" t="str">
        <f t="shared" si="357"/>
        <v>-</v>
      </c>
      <c r="GH110" s="39" t="str">
        <f t="shared" si="358"/>
        <v>-</v>
      </c>
      <c r="GI110" s="39" t="str">
        <f t="shared" si="359"/>
        <v>-</v>
      </c>
      <c r="GJ110" s="39" t="str">
        <f t="shared" si="360"/>
        <v>-</v>
      </c>
      <c r="GK110" s="39" t="str">
        <f t="shared" si="361"/>
        <v>-</v>
      </c>
      <c r="GL110" s="39" t="str">
        <f t="shared" si="362"/>
        <v>-</v>
      </c>
      <c r="GM110" s="39" t="str">
        <f t="shared" si="363"/>
        <v>-</v>
      </c>
      <c r="GN110" s="39" t="str">
        <f t="shared" si="364"/>
        <v>-</v>
      </c>
      <c r="GO110" s="39" t="str">
        <f t="shared" si="365"/>
        <v>-</v>
      </c>
      <c r="GP110" s="39" t="str">
        <f t="shared" si="366"/>
        <v>-</v>
      </c>
      <c r="GQ110" s="39" t="str">
        <f t="shared" si="367"/>
        <v>-</v>
      </c>
      <c r="GR110" s="39" t="str">
        <f t="shared" si="368"/>
        <v>-</v>
      </c>
      <c r="GS110" s="39" t="str">
        <f t="shared" si="369"/>
        <v>-</v>
      </c>
      <c r="GT110" s="39" t="str">
        <f t="shared" si="370"/>
        <v>-</v>
      </c>
      <c r="GU110" s="39" t="str">
        <f t="shared" si="371"/>
        <v>-</v>
      </c>
      <c r="GV110" s="39" t="str">
        <f t="shared" si="372"/>
        <v>-</v>
      </c>
      <c r="GW110" s="39" t="str">
        <f t="shared" si="373"/>
        <v>-</v>
      </c>
      <c r="GX110" s="39" t="str">
        <f t="shared" si="374"/>
        <v>-</v>
      </c>
      <c r="GY110" s="39" t="str">
        <f t="shared" si="375"/>
        <v>-</v>
      </c>
      <c r="GZ110" s="39" t="str">
        <f t="shared" si="376"/>
        <v>-</v>
      </c>
      <c r="HA110" s="39" t="str">
        <f t="shared" si="377"/>
        <v>-</v>
      </c>
      <c r="HB110" s="39" t="str">
        <f t="shared" si="378"/>
        <v>-</v>
      </c>
      <c r="HC110" s="39" t="str">
        <f t="shared" si="379"/>
        <v>-</v>
      </c>
      <c r="HD110" s="39" t="str">
        <f t="shared" si="380"/>
        <v>-</v>
      </c>
      <c r="HE110" s="39" t="str">
        <f t="shared" si="381"/>
        <v>-</v>
      </c>
      <c r="HF110" s="39" t="str">
        <f t="shared" si="382"/>
        <v>-</v>
      </c>
      <c r="HG110" s="39" t="str">
        <f t="shared" si="383"/>
        <v>-</v>
      </c>
      <c r="HH110" s="39" t="str">
        <f t="shared" si="384"/>
        <v>-</v>
      </c>
      <c r="HI110" s="39" t="str">
        <f t="shared" si="385"/>
        <v>-</v>
      </c>
      <c r="HJ110" s="39" t="str">
        <f t="shared" si="386"/>
        <v>-</v>
      </c>
      <c r="HK110" s="39" t="str">
        <f t="shared" si="387"/>
        <v>-</v>
      </c>
      <c r="HL110" s="39" t="str">
        <f t="shared" si="388"/>
        <v>-</v>
      </c>
      <c r="HM110" s="39" t="str">
        <f t="shared" si="389"/>
        <v>-</v>
      </c>
      <c r="HN110" s="39" t="str">
        <f t="shared" si="390"/>
        <v>-</v>
      </c>
      <c r="HO110" s="39" t="str">
        <f t="shared" si="391"/>
        <v>-</v>
      </c>
      <c r="HP110" s="39" t="str">
        <f t="shared" si="392"/>
        <v>-</v>
      </c>
      <c r="HQ110" s="39" t="str">
        <f t="shared" si="393"/>
        <v>-</v>
      </c>
      <c r="HR110" s="39" t="str">
        <f t="shared" si="394"/>
        <v>-</v>
      </c>
      <c r="HS110" s="39" t="str">
        <f t="shared" si="395"/>
        <v>-</v>
      </c>
      <c r="HT110" s="39" t="str">
        <f t="shared" si="395"/>
        <v>-</v>
      </c>
      <c r="HU110" s="43" t="str">
        <f t="shared" si="445"/>
        <v>-</v>
      </c>
      <c r="HV110" s="44" t="str">
        <f t="shared" si="446"/>
        <v/>
      </c>
      <c r="HW110" s="45" t="str">
        <f t="shared" si="447"/>
        <v/>
      </c>
      <c r="HX110" s="102"/>
      <c r="HY110" s="102"/>
      <c r="HZ110" s="102"/>
      <c r="IA110" s="101"/>
      <c r="IB110" s="102"/>
      <c r="IC110" s="103"/>
      <c r="ID110" s="101"/>
      <c r="IE110" s="102"/>
      <c r="IF110" s="103"/>
      <c r="IH110" s="66">
        <v>110</v>
      </c>
      <c r="II110" s="66" t="e">
        <f t="shared" ca="1" si="436"/>
        <v>#N/A</v>
      </c>
      <c r="IJ110" s="66" t="e">
        <f t="shared" ca="1" si="437"/>
        <v>#N/A</v>
      </c>
      <c r="IK110" s="66" t="e">
        <f t="shared" ca="1" si="438"/>
        <v>#N/A</v>
      </c>
      <c r="IL110" s="66" t="e">
        <f t="shared" ca="1" si="439"/>
        <v>#N/A</v>
      </c>
      <c r="IN110" s="74" t="e">
        <f t="shared" ca="1" si="440"/>
        <v>#N/A</v>
      </c>
      <c r="IO110" s="75" t="e">
        <f t="shared" ca="1" si="441"/>
        <v>#N/A</v>
      </c>
      <c r="IP110" s="75" t="e">
        <f t="shared" ca="1" si="442"/>
        <v>#N/A</v>
      </c>
      <c r="IQ110" s="74" t="e">
        <f t="shared" ca="1" si="443"/>
        <v>#N/A</v>
      </c>
      <c r="IR110" s="74" t="e">
        <f t="shared" ca="1" si="444"/>
        <v>#N/A</v>
      </c>
    </row>
    <row r="111" spans="1:252" x14ac:dyDescent="0.35">
      <c r="A111" s="28">
        <v>0</v>
      </c>
      <c r="B111" s="28">
        <v>0</v>
      </c>
      <c r="C111" s="28">
        <v>1</v>
      </c>
      <c r="D111" s="1"/>
      <c r="E111" s="3"/>
      <c r="F111" t="s">
        <v>376</v>
      </c>
      <c r="G111" s="5" t="s">
        <v>540</v>
      </c>
      <c r="H111" t="s">
        <v>556</v>
      </c>
      <c r="I111" t="s">
        <v>536</v>
      </c>
      <c r="J111" s="276" t="s">
        <v>805</v>
      </c>
      <c r="K111" s="113" t="s">
        <v>805</v>
      </c>
      <c r="L111" s="113" t="s">
        <v>805</v>
      </c>
      <c r="M111" s="113" t="s">
        <v>805</v>
      </c>
      <c r="N111" s="113" t="s">
        <v>805</v>
      </c>
      <c r="O111" s="113" t="s">
        <v>805</v>
      </c>
      <c r="P111" s="113" t="s">
        <v>805</v>
      </c>
      <c r="Q111" s="113" t="s">
        <v>805</v>
      </c>
      <c r="R111" s="113" t="s">
        <v>805</v>
      </c>
      <c r="S111" s="113" t="s">
        <v>805</v>
      </c>
      <c r="T111" s="113" t="s">
        <v>805</v>
      </c>
      <c r="U111" s="113" t="s">
        <v>805</v>
      </c>
      <c r="V111" s="113" t="s">
        <v>805</v>
      </c>
      <c r="W111" s="113" t="s">
        <v>805</v>
      </c>
      <c r="X111" s="113" t="s">
        <v>805</v>
      </c>
      <c r="Y111" s="113" t="s">
        <v>805</v>
      </c>
      <c r="Z111" s="113" t="s">
        <v>805</v>
      </c>
      <c r="AA111" s="113" t="s">
        <v>805</v>
      </c>
      <c r="AB111" s="113" t="s">
        <v>805</v>
      </c>
      <c r="AC111" s="113" t="s">
        <v>805</v>
      </c>
      <c r="AD111" s="113" t="s">
        <v>805</v>
      </c>
      <c r="AE111" s="113" t="s">
        <v>805</v>
      </c>
      <c r="AF111" s="113" t="s">
        <v>805</v>
      </c>
      <c r="AG111" s="113" t="s">
        <v>805</v>
      </c>
      <c r="AH111" s="113" t="s">
        <v>805</v>
      </c>
      <c r="AI111" s="113" t="s">
        <v>805</v>
      </c>
      <c r="AJ111" s="113" t="s">
        <v>805</v>
      </c>
      <c r="AK111" s="113" t="s">
        <v>805</v>
      </c>
      <c r="AL111" s="113" t="s">
        <v>805</v>
      </c>
      <c r="AM111" s="113" t="s">
        <v>805</v>
      </c>
      <c r="AN111" s="113" t="s">
        <v>805</v>
      </c>
      <c r="AO111" s="113" t="s">
        <v>805</v>
      </c>
      <c r="AP111" s="113" t="s">
        <v>805</v>
      </c>
      <c r="AQ111" s="113" t="s">
        <v>805</v>
      </c>
      <c r="AR111" s="113" t="s">
        <v>805</v>
      </c>
      <c r="AS111" s="113" t="s">
        <v>805</v>
      </c>
      <c r="AT111" s="113" t="s">
        <v>805</v>
      </c>
      <c r="AU111" s="113" t="s">
        <v>805</v>
      </c>
      <c r="AV111" s="113" t="s">
        <v>805</v>
      </c>
      <c r="AW111" s="113" t="s">
        <v>805</v>
      </c>
      <c r="AX111" s="113" t="s">
        <v>805</v>
      </c>
      <c r="AY111" s="113" t="s">
        <v>805</v>
      </c>
      <c r="AZ111" s="113" t="s">
        <v>805</v>
      </c>
      <c r="BA111" s="113" t="s">
        <v>805</v>
      </c>
      <c r="BB111" s="113" t="s">
        <v>805</v>
      </c>
      <c r="BC111" s="113" t="s">
        <v>805</v>
      </c>
      <c r="BD111" s="113" t="s">
        <v>805</v>
      </c>
      <c r="BE111" s="113" t="s">
        <v>805</v>
      </c>
      <c r="BF111" s="113" t="s">
        <v>805</v>
      </c>
      <c r="BG111" s="113" t="s">
        <v>805</v>
      </c>
      <c r="BH111" s="113" t="s">
        <v>805</v>
      </c>
      <c r="BI111" s="113" t="s">
        <v>805</v>
      </c>
      <c r="BJ111" s="113" t="s">
        <v>805</v>
      </c>
      <c r="BK111" s="113" t="s">
        <v>805</v>
      </c>
      <c r="BL111" s="113" t="s">
        <v>805</v>
      </c>
      <c r="BM111" s="113" t="s">
        <v>805</v>
      </c>
      <c r="BN111" s="113" t="s">
        <v>805</v>
      </c>
      <c r="BO111" s="113" t="s">
        <v>805</v>
      </c>
      <c r="BP111" s="113" t="s">
        <v>805</v>
      </c>
      <c r="BQ111" s="113" t="s">
        <v>805</v>
      </c>
      <c r="BR111" s="113" t="s">
        <v>805</v>
      </c>
      <c r="BS111" s="113" t="s">
        <v>805</v>
      </c>
      <c r="BT111" s="113" t="s">
        <v>805</v>
      </c>
      <c r="BU111" s="113" t="s">
        <v>805</v>
      </c>
      <c r="BV111" s="113" t="s">
        <v>805</v>
      </c>
      <c r="BW111" s="113" t="s">
        <v>805</v>
      </c>
      <c r="BX111" s="113" t="s">
        <v>805</v>
      </c>
      <c r="BY111" s="113" t="s">
        <v>805</v>
      </c>
      <c r="BZ111" s="113" t="s">
        <v>805</v>
      </c>
      <c r="CA111" s="113" t="s">
        <v>805</v>
      </c>
      <c r="CB111" s="113" t="s">
        <v>805</v>
      </c>
      <c r="CC111" s="113" t="s">
        <v>805</v>
      </c>
      <c r="CD111" s="113" t="s">
        <v>805</v>
      </c>
      <c r="CE111" s="113" t="s">
        <v>805</v>
      </c>
      <c r="CF111" s="113" t="s">
        <v>805</v>
      </c>
      <c r="CG111" s="113" t="s">
        <v>805</v>
      </c>
      <c r="CH111" s="113" t="s">
        <v>805</v>
      </c>
      <c r="CI111" s="113" t="s">
        <v>805</v>
      </c>
      <c r="CJ111" s="113" t="s">
        <v>805</v>
      </c>
      <c r="CK111" s="113" t="s">
        <v>805</v>
      </c>
      <c r="CL111" s="113" t="s">
        <v>805</v>
      </c>
      <c r="CM111" s="113" t="s">
        <v>805</v>
      </c>
      <c r="CN111" s="113" t="s">
        <v>805</v>
      </c>
      <c r="CO111" s="113" t="s">
        <v>805</v>
      </c>
      <c r="CP111" s="113" t="s">
        <v>805</v>
      </c>
      <c r="CQ111" s="113" t="s">
        <v>805</v>
      </c>
      <c r="CR111" s="113" t="s">
        <v>805</v>
      </c>
      <c r="CS111" s="113" t="s">
        <v>805</v>
      </c>
      <c r="CT111" s="113" t="s">
        <v>805</v>
      </c>
      <c r="CU111" s="113" t="s">
        <v>805</v>
      </c>
      <c r="CV111" s="113" t="s">
        <v>805</v>
      </c>
      <c r="CW111" s="113" t="s">
        <v>805</v>
      </c>
      <c r="CX111" s="113" t="s">
        <v>805</v>
      </c>
      <c r="CY111" s="113" t="s">
        <v>805</v>
      </c>
      <c r="CZ111" s="113" t="s">
        <v>805</v>
      </c>
      <c r="DA111" s="113" t="s">
        <v>805</v>
      </c>
      <c r="DB111" s="113" t="s">
        <v>805</v>
      </c>
      <c r="DC111" s="113" t="s">
        <v>805</v>
      </c>
      <c r="DD111" s="113" t="s">
        <v>805</v>
      </c>
      <c r="DE111" s="113" t="s">
        <v>805</v>
      </c>
      <c r="DF111" s="113" t="s">
        <v>805</v>
      </c>
      <c r="DG111" s="28">
        <f>'KPI Count-SHARE'!J100</f>
        <v>0</v>
      </c>
      <c r="DH111" s="115"/>
      <c r="DI111" s="115"/>
      <c r="DJ111" s="115"/>
      <c r="DK111" s="28">
        <f>'KPI Count-SHARE'!K100</f>
        <v>0</v>
      </c>
      <c r="DL111" s="111"/>
      <c r="DM111" s="111"/>
      <c r="DN111" s="111"/>
      <c r="DO111" s="28">
        <f>'KPI Count-SHARE'!L100</f>
        <v>0</v>
      </c>
      <c r="DP111" s="111"/>
      <c r="DQ111" s="111"/>
      <c r="DR111" s="111"/>
      <c r="DS111" s="28">
        <f>'KPI Count-SHARE'!M100</f>
        <v>0</v>
      </c>
      <c r="DT111" s="111"/>
      <c r="DU111" s="111"/>
      <c r="DV111" s="111"/>
      <c r="DW111" t="str">
        <f t="shared" si="461"/>
        <v>USD '000 per brand</v>
      </c>
      <c r="DX111" s="39" t="str">
        <f t="shared" si="425"/>
        <v>-</v>
      </c>
      <c r="DY111" s="39" t="str">
        <f t="shared" si="426"/>
        <v>-</v>
      </c>
      <c r="DZ111" s="39" t="str">
        <f t="shared" si="427"/>
        <v>-</v>
      </c>
      <c r="EA111" s="39" t="str">
        <f t="shared" si="428"/>
        <v>-</v>
      </c>
      <c r="EB111" s="39" t="str">
        <f t="shared" si="429"/>
        <v>-</v>
      </c>
      <c r="EC111" s="39" t="str">
        <f t="shared" si="430"/>
        <v>-</v>
      </c>
      <c r="ED111" s="39" t="str">
        <f t="shared" si="431"/>
        <v>-</v>
      </c>
      <c r="EE111" s="39" t="str">
        <f t="shared" si="432"/>
        <v>-</v>
      </c>
      <c r="EF111" s="39" t="str">
        <f t="shared" si="433"/>
        <v>-</v>
      </c>
      <c r="EG111" s="39" t="str">
        <f t="shared" si="434"/>
        <v>-</v>
      </c>
      <c r="EH111" s="39" t="str">
        <f t="shared" si="435"/>
        <v>-</v>
      </c>
      <c r="EI111" s="39" t="str">
        <f t="shared" si="448"/>
        <v>-</v>
      </c>
      <c r="EJ111" s="39" t="str">
        <f t="shared" si="449"/>
        <v>-</v>
      </c>
      <c r="EK111" s="39" t="str">
        <f t="shared" si="450"/>
        <v>-</v>
      </c>
      <c r="EL111" s="39" t="str">
        <f t="shared" si="451"/>
        <v>-</v>
      </c>
      <c r="EM111" s="39" t="str">
        <f t="shared" si="452"/>
        <v>-</v>
      </c>
      <c r="EN111" s="39" t="str">
        <f t="shared" si="453"/>
        <v>-</v>
      </c>
      <c r="EO111" s="39" t="str">
        <f t="shared" si="454"/>
        <v>-</v>
      </c>
      <c r="EP111" s="39" t="str">
        <f t="shared" si="455"/>
        <v>-</v>
      </c>
      <c r="EQ111" s="39" t="str">
        <f t="shared" si="456"/>
        <v>-</v>
      </c>
      <c r="ER111" s="39" t="str">
        <f t="shared" si="457"/>
        <v>-</v>
      </c>
      <c r="ES111" s="39" t="str">
        <f t="shared" si="458"/>
        <v>-</v>
      </c>
      <c r="ET111" s="39" t="str">
        <f t="shared" si="459"/>
        <v>-</v>
      </c>
      <c r="EU111" s="39" t="str">
        <f t="shared" si="319"/>
        <v>-</v>
      </c>
      <c r="EV111" s="39" t="str">
        <f t="shared" si="320"/>
        <v>-</v>
      </c>
      <c r="EW111" s="39" t="str">
        <f t="shared" si="321"/>
        <v>-</v>
      </c>
      <c r="EX111" s="39" t="str">
        <f t="shared" si="322"/>
        <v>-</v>
      </c>
      <c r="EY111" s="39" t="str">
        <f t="shared" si="323"/>
        <v>-</v>
      </c>
      <c r="EZ111" s="39" t="str">
        <f t="shared" si="324"/>
        <v>-</v>
      </c>
      <c r="FA111" s="39" t="str">
        <f t="shared" si="325"/>
        <v>-</v>
      </c>
      <c r="FB111" s="39" t="str">
        <f t="shared" si="326"/>
        <v>-</v>
      </c>
      <c r="FC111" s="39" t="str">
        <f t="shared" si="327"/>
        <v>-</v>
      </c>
      <c r="FD111" s="39" t="str">
        <f t="shared" si="328"/>
        <v>-</v>
      </c>
      <c r="FE111" s="39" t="str">
        <f t="shared" si="329"/>
        <v>-</v>
      </c>
      <c r="FF111" s="39" t="str">
        <f t="shared" si="330"/>
        <v>-</v>
      </c>
      <c r="FG111" s="39" t="str">
        <f t="shared" si="331"/>
        <v>-</v>
      </c>
      <c r="FH111" s="39" t="str">
        <f t="shared" si="332"/>
        <v>-</v>
      </c>
      <c r="FI111" s="39" t="str">
        <f t="shared" si="333"/>
        <v>-</v>
      </c>
      <c r="FJ111" s="39" t="str">
        <f t="shared" si="334"/>
        <v>-</v>
      </c>
      <c r="FK111" s="39" t="str">
        <f t="shared" si="335"/>
        <v>-</v>
      </c>
      <c r="FL111" s="39" t="str">
        <f t="shared" si="336"/>
        <v>-</v>
      </c>
      <c r="FM111" s="39" t="str">
        <f t="shared" si="337"/>
        <v>-</v>
      </c>
      <c r="FN111" s="39" t="str">
        <f t="shared" si="338"/>
        <v>-</v>
      </c>
      <c r="FO111" s="39" t="str">
        <f t="shared" si="339"/>
        <v>-</v>
      </c>
      <c r="FP111" s="39" t="str">
        <f t="shared" si="340"/>
        <v>-</v>
      </c>
      <c r="FQ111" s="39" t="str">
        <f t="shared" si="341"/>
        <v>-</v>
      </c>
      <c r="FR111" s="39" t="str">
        <f t="shared" si="342"/>
        <v>-</v>
      </c>
      <c r="FS111" s="39" t="str">
        <f t="shared" si="343"/>
        <v>-</v>
      </c>
      <c r="FT111" s="39" t="str">
        <f t="shared" si="344"/>
        <v>-</v>
      </c>
      <c r="FU111" s="39" t="str">
        <f t="shared" si="345"/>
        <v>-</v>
      </c>
      <c r="FV111" s="39" t="str">
        <f t="shared" si="346"/>
        <v>-</v>
      </c>
      <c r="FW111" s="39" t="str">
        <f t="shared" si="347"/>
        <v>-</v>
      </c>
      <c r="FX111" s="39" t="str">
        <f t="shared" si="348"/>
        <v>-</v>
      </c>
      <c r="FY111" s="39" t="str">
        <f t="shared" si="349"/>
        <v>-</v>
      </c>
      <c r="FZ111" s="39" t="str">
        <f t="shared" si="350"/>
        <v>-</v>
      </c>
      <c r="GA111" s="39" t="str">
        <f t="shared" si="351"/>
        <v>-</v>
      </c>
      <c r="GB111" s="39" t="str">
        <f t="shared" si="352"/>
        <v>-</v>
      </c>
      <c r="GC111" s="39" t="str">
        <f t="shared" si="353"/>
        <v>-</v>
      </c>
      <c r="GD111" s="39" t="str">
        <f t="shared" si="354"/>
        <v>-</v>
      </c>
      <c r="GE111" s="39" t="str">
        <f t="shared" si="355"/>
        <v>-</v>
      </c>
      <c r="GF111" s="39" t="str">
        <f t="shared" si="356"/>
        <v>-</v>
      </c>
      <c r="GG111" s="39" t="str">
        <f t="shared" si="357"/>
        <v>-</v>
      </c>
      <c r="GH111" s="39" t="str">
        <f t="shared" si="358"/>
        <v>-</v>
      </c>
      <c r="GI111" s="39" t="str">
        <f t="shared" si="359"/>
        <v>-</v>
      </c>
      <c r="GJ111" s="39" t="str">
        <f t="shared" si="360"/>
        <v>-</v>
      </c>
      <c r="GK111" s="39" t="str">
        <f t="shared" si="361"/>
        <v>-</v>
      </c>
      <c r="GL111" s="39" t="str">
        <f t="shared" si="362"/>
        <v>-</v>
      </c>
      <c r="GM111" s="39" t="str">
        <f t="shared" si="363"/>
        <v>-</v>
      </c>
      <c r="GN111" s="39" t="str">
        <f t="shared" si="364"/>
        <v>-</v>
      </c>
      <c r="GO111" s="39" t="str">
        <f t="shared" si="365"/>
        <v>-</v>
      </c>
      <c r="GP111" s="39" t="str">
        <f t="shared" si="366"/>
        <v>-</v>
      </c>
      <c r="GQ111" s="39" t="str">
        <f t="shared" si="367"/>
        <v>-</v>
      </c>
      <c r="GR111" s="39" t="str">
        <f t="shared" si="368"/>
        <v>-</v>
      </c>
      <c r="GS111" s="39" t="str">
        <f t="shared" si="369"/>
        <v>-</v>
      </c>
      <c r="GT111" s="39" t="str">
        <f t="shared" si="370"/>
        <v>-</v>
      </c>
      <c r="GU111" s="39" t="str">
        <f t="shared" si="371"/>
        <v>-</v>
      </c>
      <c r="GV111" s="39" t="str">
        <f t="shared" si="372"/>
        <v>-</v>
      </c>
      <c r="GW111" s="39" t="str">
        <f t="shared" si="373"/>
        <v>-</v>
      </c>
      <c r="GX111" s="39" t="str">
        <f t="shared" si="374"/>
        <v>-</v>
      </c>
      <c r="GY111" s="39" t="str">
        <f t="shared" si="375"/>
        <v>-</v>
      </c>
      <c r="GZ111" s="39" t="str">
        <f t="shared" si="376"/>
        <v>-</v>
      </c>
      <c r="HA111" s="39" t="str">
        <f t="shared" si="377"/>
        <v>-</v>
      </c>
      <c r="HB111" s="39" t="str">
        <f t="shared" si="378"/>
        <v>-</v>
      </c>
      <c r="HC111" s="39" t="str">
        <f t="shared" si="379"/>
        <v>-</v>
      </c>
      <c r="HD111" s="39" t="str">
        <f t="shared" si="380"/>
        <v>-</v>
      </c>
      <c r="HE111" s="39" t="str">
        <f t="shared" si="381"/>
        <v>-</v>
      </c>
      <c r="HF111" s="39" t="str">
        <f t="shared" si="382"/>
        <v>-</v>
      </c>
      <c r="HG111" s="39" t="str">
        <f t="shared" si="383"/>
        <v>-</v>
      </c>
      <c r="HH111" s="39" t="str">
        <f t="shared" si="384"/>
        <v>-</v>
      </c>
      <c r="HI111" s="39" t="str">
        <f t="shared" si="385"/>
        <v>-</v>
      </c>
      <c r="HJ111" s="39" t="str">
        <f t="shared" si="386"/>
        <v>-</v>
      </c>
      <c r="HK111" s="39" t="str">
        <f t="shared" si="387"/>
        <v>-</v>
      </c>
      <c r="HL111" s="39" t="str">
        <f t="shared" si="388"/>
        <v>-</v>
      </c>
      <c r="HM111" s="39" t="str">
        <f t="shared" si="389"/>
        <v>-</v>
      </c>
      <c r="HN111" s="39" t="str">
        <f t="shared" si="390"/>
        <v>-</v>
      </c>
      <c r="HO111" s="39" t="str">
        <f t="shared" si="391"/>
        <v>-</v>
      </c>
      <c r="HP111" s="39" t="str">
        <f t="shared" si="392"/>
        <v>-</v>
      </c>
      <c r="HQ111" s="39" t="str">
        <f t="shared" si="393"/>
        <v>-</v>
      </c>
      <c r="HR111" s="39" t="str">
        <f t="shared" si="394"/>
        <v>-</v>
      </c>
      <c r="HS111" s="39" t="str">
        <f t="shared" si="395"/>
        <v>-</v>
      </c>
      <c r="HT111" s="39" t="str">
        <f t="shared" si="395"/>
        <v>-</v>
      </c>
      <c r="HU111" s="43" t="str">
        <f t="shared" si="445"/>
        <v>-</v>
      </c>
      <c r="HV111" s="44" t="str">
        <f t="shared" si="446"/>
        <v/>
      </c>
      <c r="HW111" s="45" t="str">
        <f t="shared" si="447"/>
        <v/>
      </c>
      <c r="HX111" s="102"/>
      <c r="HY111" s="102"/>
      <c r="HZ111" s="102"/>
      <c r="IA111" s="101"/>
      <c r="IB111" s="102"/>
      <c r="IC111" s="103"/>
      <c r="ID111" s="101"/>
      <c r="IE111" s="102"/>
      <c r="IF111" s="103"/>
      <c r="IH111" s="66">
        <v>111</v>
      </c>
      <c r="II111" s="66" t="e">
        <f t="shared" ca="1" si="436"/>
        <v>#N/A</v>
      </c>
      <c r="IJ111" s="66" t="e">
        <f t="shared" ca="1" si="437"/>
        <v>#N/A</v>
      </c>
      <c r="IK111" s="66" t="e">
        <f t="shared" ca="1" si="438"/>
        <v>#N/A</v>
      </c>
      <c r="IL111" s="66" t="e">
        <f t="shared" ca="1" si="439"/>
        <v>#N/A</v>
      </c>
      <c r="IN111" s="74" t="e">
        <f t="shared" ca="1" si="440"/>
        <v>#N/A</v>
      </c>
      <c r="IO111" s="75" t="e">
        <f t="shared" ca="1" si="441"/>
        <v>#N/A</v>
      </c>
      <c r="IP111" s="75" t="e">
        <f t="shared" ca="1" si="442"/>
        <v>#N/A</v>
      </c>
      <c r="IQ111" s="74" t="e">
        <f t="shared" ca="1" si="443"/>
        <v>#N/A</v>
      </c>
      <c r="IR111" s="74" t="e">
        <f t="shared" ca="1" si="444"/>
        <v>#N/A</v>
      </c>
    </row>
    <row r="112" spans="1:252" x14ac:dyDescent="0.35">
      <c r="A112" s="28">
        <v>0</v>
      </c>
      <c r="B112" s="28">
        <v>0</v>
      </c>
      <c r="C112" s="28">
        <v>1</v>
      </c>
      <c r="D112" s="1"/>
      <c r="E112" s="3"/>
      <c r="F112" t="s">
        <v>377</v>
      </c>
      <c r="G112" s="5" t="s">
        <v>540</v>
      </c>
      <c r="H112" t="s">
        <v>556</v>
      </c>
      <c r="I112" t="s">
        <v>536</v>
      </c>
      <c r="J112" s="276" t="s">
        <v>805</v>
      </c>
      <c r="K112" s="113" t="s">
        <v>805</v>
      </c>
      <c r="L112" s="113" t="s">
        <v>805</v>
      </c>
      <c r="M112" s="113" t="s">
        <v>805</v>
      </c>
      <c r="N112" s="113" t="s">
        <v>805</v>
      </c>
      <c r="O112" s="113" t="s">
        <v>805</v>
      </c>
      <c r="P112" s="113" t="s">
        <v>805</v>
      </c>
      <c r="Q112" s="113" t="s">
        <v>805</v>
      </c>
      <c r="R112" s="113" t="s">
        <v>805</v>
      </c>
      <c r="S112" s="113" t="s">
        <v>805</v>
      </c>
      <c r="T112" s="113" t="s">
        <v>805</v>
      </c>
      <c r="U112" s="113" t="s">
        <v>805</v>
      </c>
      <c r="V112" s="113" t="s">
        <v>805</v>
      </c>
      <c r="W112" s="113" t="s">
        <v>805</v>
      </c>
      <c r="X112" s="113" t="s">
        <v>805</v>
      </c>
      <c r="Y112" s="113" t="s">
        <v>805</v>
      </c>
      <c r="Z112" s="113" t="s">
        <v>805</v>
      </c>
      <c r="AA112" s="113" t="s">
        <v>805</v>
      </c>
      <c r="AB112" s="113" t="s">
        <v>805</v>
      </c>
      <c r="AC112" s="113" t="s">
        <v>805</v>
      </c>
      <c r="AD112" s="113" t="s">
        <v>805</v>
      </c>
      <c r="AE112" s="113" t="s">
        <v>805</v>
      </c>
      <c r="AF112" s="113" t="s">
        <v>805</v>
      </c>
      <c r="AG112" s="113" t="s">
        <v>805</v>
      </c>
      <c r="AH112" s="113" t="s">
        <v>805</v>
      </c>
      <c r="AI112" s="113" t="s">
        <v>805</v>
      </c>
      <c r="AJ112" s="113" t="s">
        <v>805</v>
      </c>
      <c r="AK112" s="113" t="s">
        <v>805</v>
      </c>
      <c r="AL112" s="113" t="s">
        <v>805</v>
      </c>
      <c r="AM112" s="113" t="s">
        <v>805</v>
      </c>
      <c r="AN112" s="113" t="s">
        <v>805</v>
      </c>
      <c r="AO112" s="113" t="s">
        <v>805</v>
      </c>
      <c r="AP112" s="113" t="s">
        <v>805</v>
      </c>
      <c r="AQ112" s="113" t="s">
        <v>805</v>
      </c>
      <c r="AR112" s="113" t="s">
        <v>805</v>
      </c>
      <c r="AS112" s="113" t="s">
        <v>805</v>
      </c>
      <c r="AT112" s="113" t="s">
        <v>805</v>
      </c>
      <c r="AU112" s="113" t="s">
        <v>805</v>
      </c>
      <c r="AV112" s="113" t="s">
        <v>805</v>
      </c>
      <c r="AW112" s="113" t="s">
        <v>805</v>
      </c>
      <c r="AX112" s="113" t="s">
        <v>805</v>
      </c>
      <c r="AY112" s="113" t="s">
        <v>805</v>
      </c>
      <c r="AZ112" s="113" t="s">
        <v>805</v>
      </c>
      <c r="BA112" s="113" t="s">
        <v>805</v>
      </c>
      <c r="BB112" s="113" t="s">
        <v>805</v>
      </c>
      <c r="BC112" s="113" t="s">
        <v>805</v>
      </c>
      <c r="BD112" s="113" t="s">
        <v>805</v>
      </c>
      <c r="BE112" s="113" t="s">
        <v>805</v>
      </c>
      <c r="BF112" s="113" t="s">
        <v>805</v>
      </c>
      <c r="BG112" s="113" t="s">
        <v>805</v>
      </c>
      <c r="BH112" s="113" t="s">
        <v>805</v>
      </c>
      <c r="BI112" s="113" t="s">
        <v>805</v>
      </c>
      <c r="BJ112" s="113" t="s">
        <v>805</v>
      </c>
      <c r="BK112" s="113" t="s">
        <v>805</v>
      </c>
      <c r="BL112" s="113" t="s">
        <v>805</v>
      </c>
      <c r="BM112" s="113" t="s">
        <v>805</v>
      </c>
      <c r="BN112" s="113" t="s">
        <v>805</v>
      </c>
      <c r="BO112" s="113" t="s">
        <v>805</v>
      </c>
      <c r="BP112" s="113" t="s">
        <v>805</v>
      </c>
      <c r="BQ112" s="113" t="s">
        <v>805</v>
      </c>
      <c r="BR112" s="113" t="s">
        <v>805</v>
      </c>
      <c r="BS112" s="113" t="s">
        <v>805</v>
      </c>
      <c r="BT112" s="113" t="s">
        <v>805</v>
      </c>
      <c r="BU112" s="113" t="s">
        <v>805</v>
      </c>
      <c r="BV112" s="113" t="s">
        <v>805</v>
      </c>
      <c r="BW112" s="113" t="s">
        <v>805</v>
      </c>
      <c r="BX112" s="113" t="s">
        <v>805</v>
      </c>
      <c r="BY112" s="113" t="s">
        <v>805</v>
      </c>
      <c r="BZ112" s="113" t="s">
        <v>805</v>
      </c>
      <c r="CA112" s="113" t="s">
        <v>805</v>
      </c>
      <c r="CB112" s="113" t="s">
        <v>805</v>
      </c>
      <c r="CC112" s="113" t="s">
        <v>805</v>
      </c>
      <c r="CD112" s="113" t="s">
        <v>805</v>
      </c>
      <c r="CE112" s="113" t="s">
        <v>805</v>
      </c>
      <c r="CF112" s="113" t="s">
        <v>805</v>
      </c>
      <c r="CG112" s="113" t="s">
        <v>805</v>
      </c>
      <c r="CH112" s="113" t="s">
        <v>805</v>
      </c>
      <c r="CI112" s="113" t="s">
        <v>805</v>
      </c>
      <c r="CJ112" s="113" t="s">
        <v>805</v>
      </c>
      <c r="CK112" s="113" t="s">
        <v>805</v>
      </c>
      <c r="CL112" s="113" t="s">
        <v>805</v>
      </c>
      <c r="CM112" s="113" t="s">
        <v>805</v>
      </c>
      <c r="CN112" s="113" t="s">
        <v>805</v>
      </c>
      <c r="CO112" s="113" t="s">
        <v>805</v>
      </c>
      <c r="CP112" s="113" t="s">
        <v>805</v>
      </c>
      <c r="CQ112" s="113" t="s">
        <v>805</v>
      </c>
      <c r="CR112" s="113" t="s">
        <v>805</v>
      </c>
      <c r="CS112" s="113" t="s">
        <v>805</v>
      </c>
      <c r="CT112" s="113" t="s">
        <v>805</v>
      </c>
      <c r="CU112" s="113" t="s">
        <v>805</v>
      </c>
      <c r="CV112" s="113" t="s">
        <v>805</v>
      </c>
      <c r="CW112" s="113" t="s">
        <v>805</v>
      </c>
      <c r="CX112" s="113" t="s">
        <v>805</v>
      </c>
      <c r="CY112" s="113" t="s">
        <v>805</v>
      </c>
      <c r="CZ112" s="113" t="s">
        <v>805</v>
      </c>
      <c r="DA112" s="113" t="s">
        <v>805</v>
      </c>
      <c r="DB112" s="113" t="s">
        <v>805</v>
      </c>
      <c r="DC112" s="113" t="s">
        <v>805</v>
      </c>
      <c r="DD112" s="113" t="s">
        <v>805</v>
      </c>
      <c r="DE112" s="113" t="s">
        <v>805</v>
      </c>
      <c r="DF112" s="113" t="s">
        <v>805</v>
      </c>
      <c r="DG112" s="28">
        <f>'KPI Count-SHARE'!J101</f>
        <v>0</v>
      </c>
      <c r="DH112" s="114"/>
      <c r="DI112" s="114"/>
      <c r="DJ112" s="114"/>
      <c r="DK112" s="28">
        <f>'KPI Count-SHARE'!K101</f>
        <v>0</v>
      </c>
      <c r="DL112" s="118"/>
      <c r="DM112" s="118"/>
      <c r="DN112" s="118"/>
      <c r="DO112" s="28">
        <f>'KPI Count-SHARE'!L101</f>
        <v>0</v>
      </c>
      <c r="DP112" s="118"/>
      <c r="DQ112" s="118"/>
      <c r="DR112" s="118"/>
      <c r="DS112" s="28">
        <f>'KPI Count-SHARE'!M101</f>
        <v>0</v>
      </c>
      <c r="DT112" s="118"/>
      <c r="DU112" s="118"/>
      <c r="DV112" s="118"/>
      <c r="DW112" t="str">
        <f t="shared" si="461"/>
        <v>USD '000 per brand</v>
      </c>
      <c r="DX112" s="39" t="str">
        <f t="shared" si="425"/>
        <v>-</v>
      </c>
      <c r="DY112" s="39" t="str">
        <f t="shared" si="426"/>
        <v>-</v>
      </c>
      <c r="DZ112" s="39" t="str">
        <f t="shared" si="427"/>
        <v>-</v>
      </c>
      <c r="EA112" s="39" t="str">
        <f t="shared" si="428"/>
        <v>-</v>
      </c>
      <c r="EB112" s="39" t="str">
        <f t="shared" si="429"/>
        <v>-</v>
      </c>
      <c r="EC112" s="39" t="str">
        <f t="shared" si="430"/>
        <v>-</v>
      </c>
      <c r="ED112" s="39" t="str">
        <f t="shared" si="431"/>
        <v>-</v>
      </c>
      <c r="EE112" s="39" t="str">
        <f t="shared" si="432"/>
        <v>-</v>
      </c>
      <c r="EF112" s="39" t="str">
        <f t="shared" si="433"/>
        <v>-</v>
      </c>
      <c r="EG112" s="39" t="str">
        <f t="shared" si="434"/>
        <v>-</v>
      </c>
      <c r="EH112" s="39" t="str">
        <f t="shared" si="435"/>
        <v>-</v>
      </c>
      <c r="EI112" s="39" t="str">
        <f t="shared" si="448"/>
        <v>-</v>
      </c>
      <c r="EJ112" s="39" t="str">
        <f t="shared" si="449"/>
        <v>-</v>
      </c>
      <c r="EK112" s="39" t="str">
        <f t="shared" si="450"/>
        <v>-</v>
      </c>
      <c r="EL112" s="39" t="str">
        <f t="shared" si="451"/>
        <v>-</v>
      </c>
      <c r="EM112" s="39" t="str">
        <f t="shared" si="452"/>
        <v>-</v>
      </c>
      <c r="EN112" s="39" t="str">
        <f t="shared" si="453"/>
        <v>-</v>
      </c>
      <c r="EO112" s="39" t="str">
        <f t="shared" si="454"/>
        <v>-</v>
      </c>
      <c r="EP112" s="39" t="str">
        <f t="shared" si="455"/>
        <v>-</v>
      </c>
      <c r="EQ112" s="39" t="str">
        <f t="shared" si="456"/>
        <v>-</v>
      </c>
      <c r="ER112" s="39" t="str">
        <f t="shared" si="457"/>
        <v>-</v>
      </c>
      <c r="ES112" s="39" t="str">
        <f t="shared" si="458"/>
        <v>-</v>
      </c>
      <c r="ET112" s="39" t="str">
        <f t="shared" si="459"/>
        <v>-</v>
      </c>
      <c r="EU112" s="39" t="str">
        <f t="shared" si="319"/>
        <v>-</v>
      </c>
      <c r="EV112" s="39" t="str">
        <f t="shared" si="320"/>
        <v>-</v>
      </c>
      <c r="EW112" s="39" t="str">
        <f t="shared" si="321"/>
        <v>-</v>
      </c>
      <c r="EX112" s="39" t="str">
        <f t="shared" si="322"/>
        <v>-</v>
      </c>
      <c r="EY112" s="39" t="str">
        <f t="shared" si="323"/>
        <v>-</v>
      </c>
      <c r="EZ112" s="39" t="str">
        <f t="shared" si="324"/>
        <v>-</v>
      </c>
      <c r="FA112" s="39" t="str">
        <f t="shared" si="325"/>
        <v>-</v>
      </c>
      <c r="FB112" s="39" t="str">
        <f t="shared" si="326"/>
        <v>-</v>
      </c>
      <c r="FC112" s="39" t="str">
        <f t="shared" si="327"/>
        <v>-</v>
      </c>
      <c r="FD112" s="39" t="str">
        <f t="shared" si="328"/>
        <v>-</v>
      </c>
      <c r="FE112" s="39" t="str">
        <f t="shared" si="329"/>
        <v>-</v>
      </c>
      <c r="FF112" s="39" t="str">
        <f t="shared" si="330"/>
        <v>-</v>
      </c>
      <c r="FG112" s="39" t="str">
        <f t="shared" si="331"/>
        <v>-</v>
      </c>
      <c r="FH112" s="39" t="str">
        <f t="shared" si="332"/>
        <v>-</v>
      </c>
      <c r="FI112" s="39" t="str">
        <f t="shared" si="333"/>
        <v>-</v>
      </c>
      <c r="FJ112" s="39" t="str">
        <f t="shared" si="334"/>
        <v>-</v>
      </c>
      <c r="FK112" s="39" t="str">
        <f t="shared" si="335"/>
        <v>-</v>
      </c>
      <c r="FL112" s="39" t="str">
        <f t="shared" si="336"/>
        <v>-</v>
      </c>
      <c r="FM112" s="39" t="str">
        <f t="shared" si="337"/>
        <v>-</v>
      </c>
      <c r="FN112" s="39" t="str">
        <f t="shared" si="338"/>
        <v>-</v>
      </c>
      <c r="FO112" s="39" t="str">
        <f t="shared" si="339"/>
        <v>-</v>
      </c>
      <c r="FP112" s="39" t="str">
        <f t="shared" si="340"/>
        <v>-</v>
      </c>
      <c r="FQ112" s="39" t="str">
        <f t="shared" si="341"/>
        <v>-</v>
      </c>
      <c r="FR112" s="39" t="str">
        <f t="shared" si="342"/>
        <v>-</v>
      </c>
      <c r="FS112" s="39" t="str">
        <f t="shared" si="343"/>
        <v>-</v>
      </c>
      <c r="FT112" s="39" t="str">
        <f t="shared" si="344"/>
        <v>-</v>
      </c>
      <c r="FU112" s="39" t="str">
        <f t="shared" si="345"/>
        <v>-</v>
      </c>
      <c r="FV112" s="39" t="str">
        <f t="shared" si="346"/>
        <v>-</v>
      </c>
      <c r="FW112" s="39" t="str">
        <f t="shared" si="347"/>
        <v>-</v>
      </c>
      <c r="FX112" s="39" t="str">
        <f t="shared" si="348"/>
        <v>-</v>
      </c>
      <c r="FY112" s="39" t="str">
        <f t="shared" si="349"/>
        <v>-</v>
      </c>
      <c r="FZ112" s="39" t="str">
        <f t="shared" si="350"/>
        <v>-</v>
      </c>
      <c r="GA112" s="39" t="str">
        <f t="shared" si="351"/>
        <v>-</v>
      </c>
      <c r="GB112" s="39" t="str">
        <f t="shared" si="352"/>
        <v>-</v>
      </c>
      <c r="GC112" s="39" t="str">
        <f t="shared" si="353"/>
        <v>-</v>
      </c>
      <c r="GD112" s="39" t="str">
        <f t="shared" si="354"/>
        <v>-</v>
      </c>
      <c r="GE112" s="39" t="str">
        <f t="shared" si="355"/>
        <v>-</v>
      </c>
      <c r="GF112" s="39" t="str">
        <f t="shared" si="356"/>
        <v>-</v>
      </c>
      <c r="GG112" s="39" t="str">
        <f t="shared" si="357"/>
        <v>-</v>
      </c>
      <c r="GH112" s="39" t="str">
        <f t="shared" si="358"/>
        <v>-</v>
      </c>
      <c r="GI112" s="39" t="str">
        <f t="shared" si="359"/>
        <v>-</v>
      </c>
      <c r="GJ112" s="39" t="str">
        <f t="shared" si="360"/>
        <v>-</v>
      </c>
      <c r="GK112" s="39" t="str">
        <f t="shared" si="361"/>
        <v>-</v>
      </c>
      <c r="GL112" s="39" t="str">
        <f t="shared" si="362"/>
        <v>-</v>
      </c>
      <c r="GM112" s="39" t="str">
        <f t="shared" si="363"/>
        <v>-</v>
      </c>
      <c r="GN112" s="39" t="str">
        <f t="shared" si="364"/>
        <v>-</v>
      </c>
      <c r="GO112" s="39" t="str">
        <f t="shared" si="365"/>
        <v>-</v>
      </c>
      <c r="GP112" s="39" t="str">
        <f t="shared" si="366"/>
        <v>-</v>
      </c>
      <c r="GQ112" s="39" t="str">
        <f t="shared" si="367"/>
        <v>-</v>
      </c>
      <c r="GR112" s="39" t="str">
        <f t="shared" si="368"/>
        <v>-</v>
      </c>
      <c r="GS112" s="39" t="str">
        <f t="shared" si="369"/>
        <v>-</v>
      </c>
      <c r="GT112" s="39" t="str">
        <f t="shared" si="370"/>
        <v>-</v>
      </c>
      <c r="GU112" s="39" t="str">
        <f t="shared" si="371"/>
        <v>-</v>
      </c>
      <c r="GV112" s="39" t="str">
        <f t="shared" si="372"/>
        <v>-</v>
      </c>
      <c r="GW112" s="39" t="str">
        <f t="shared" si="373"/>
        <v>-</v>
      </c>
      <c r="GX112" s="39" t="str">
        <f t="shared" si="374"/>
        <v>-</v>
      </c>
      <c r="GY112" s="39" t="str">
        <f t="shared" si="375"/>
        <v>-</v>
      </c>
      <c r="GZ112" s="39" t="str">
        <f t="shared" si="376"/>
        <v>-</v>
      </c>
      <c r="HA112" s="39" t="str">
        <f t="shared" si="377"/>
        <v>-</v>
      </c>
      <c r="HB112" s="39" t="str">
        <f t="shared" si="378"/>
        <v>-</v>
      </c>
      <c r="HC112" s="39" t="str">
        <f t="shared" si="379"/>
        <v>-</v>
      </c>
      <c r="HD112" s="39" t="str">
        <f t="shared" si="380"/>
        <v>-</v>
      </c>
      <c r="HE112" s="39" t="str">
        <f t="shared" si="381"/>
        <v>-</v>
      </c>
      <c r="HF112" s="39" t="str">
        <f t="shared" si="382"/>
        <v>-</v>
      </c>
      <c r="HG112" s="39" t="str">
        <f t="shared" si="383"/>
        <v>-</v>
      </c>
      <c r="HH112" s="39" t="str">
        <f t="shared" si="384"/>
        <v>-</v>
      </c>
      <c r="HI112" s="39" t="str">
        <f t="shared" si="385"/>
        <v>-</v>
      </c>
      <c r="HJ112" s="39" t="str">
        <f t="shared" si="386"/>
        <v>-</v>
      </c>
      <c r="HK112" s="39" t="str">
        <f t="shared" si="387"/>
        <v>-</v>
      </c>
      <c r="HL112" s="39" t="str">
        <f t="shared" si="388"/>
        <v>-</v>
      </c>
      <c r="HM112" s="39" t="str">
        <f t="shared" si="389"/>
        <v>-</v>
      </c>
      <c r="HN112" s="39" t="str">
        <f t="shared" si="390"/>
        <v>-</v>
      </c>
      <c r="HO112" s="39" t="str">
        <f t="shared" si="391"/>
        <v>-</v>
      </c>
      <c r="HP112" s="39" t="str">
        <f t="shared" si="392"/>
        <v>-</v>
      </c>
      <c r="HQ112" s="39" t="str">
        <f t="shared" si="393"/>
        <v>-</v>
      </c>
      <c r="HR112" s="39" t="str">
        <f t="shared" si="394"/>
        <v>-</v>
      </c>
      <c r="HS112" s="39" t="str">
        <f t="shared" si="395"/>
        <v>-</v>
      </c>
      <c r="HT112" s="39" t="str">
        <f t="shared" si="395"/>
        <v>-</v>
      </c>
      <c r="HU112" s="43" t="str">
        <f t="shared" si="445"/>
        <v>-</v>
      </c>
      <c r="HV112" s="44" t="str">
        <f t="shared" si="446"/>
        <v/>
      </c>
      <c r="HW112" s="45" t="str">
        <f t="shared" si="447"/>
        <v/>
      </c>
      <c r="HX112" s="102"/>
      <c r="HY112" s="102"/>
      <c r="HZ112" s="102"/>
      <c r="IA112" s="101"/>
      <c r="IB112" s="102"/>
      <c r="IC112" s="103"/>
      <c r="ID112" s="101"/>
      <c r="IE112" s="102"/>
      <c r="IF112" s="103"/>
      <c r="IH112" s="66">
        <v>112</v>
      </c>
      <c r="II112" s="66" t="e">
        <f t="shared" ca="1" si="436"/>
        <v>#N/A</v>
      </c>
      <c r="IJ112" s="66" t="e">
        <f t="shared" ca="1" si="437"/>
        <v>#N/A</v>
      </c>
      <c r="IK112" s="66" t="e">
        <f t="shared" ca="1" si="438"/>
        <v>#N/A</v>
      </c>
      <c r="IL112" s="66" t="e">
        <f t="shared" ca="1" si="439"/>
        <v>#N/A</v>
      </c>
      <c r="IN112" s="74" t="e">
        <f t="shared" ca="1" si="440"/>
        <v>#N/A</v>
      </c>
      <c r="IO112" s="75" t="e">
        <f t="shared" ca="1" si="441"/>
        <v>#N/A</v>
      </c>
      <c r="IP112" s="75" t="e">
        <f t="shared" ca="1" si="442"/>
        <v>#N/A</v>
      </c>
      <c r="IQ112" s="74" t="e">
        <f t="shared" ca="1" si="443"/>
        <v>#N/A</v>
      </c>
      <c r="IR112" s="74" t="e">
        <f t="shared" ca="1" si="444"/>
        <v>#N/A</v>
      </c>
    </row>
    <row r="113" spans="1:252" x14ac:dyDescent="0.35">
      <c r="A113" s="28">
        <v>0</v>
      </c>
      <c r="B113" s="28">
        <v>0</v>
      </c>
      <c r="C113" s="28">
        <v>1</v>
      </c>
      <c r="D113" s="1"/>
      <c r="E113" s="3"/>
      <c r="F113" t="s">
        <v>378</v>
      </c>
      <c r="G113" s="5" t="s">
        <v>540</v>
      </c>
      <c r="H113" s="4" t="s">
        <v>556</v>
      </c>
      <c r="I113" t="s">
        <v>536</v>
      </c>
      <c r="J113" s="276" t="s">
        <v>805</v>
      </c>
      <c r="K113" s="113" t="s">
        <v>805</v>
      </c>
      <c r="L113" s="113" t="s">
        <v>805</v>
      </c>
      <c r="M113" s="113" t="s">
        <v>805</v>
      </c>
      <c r="N113" s="113" t="s">
        <v>805</v>
      </c>
      <c r="O113" s="113" t="s">
        <v>805</v>
      </c>
      <c r="P113" s="113" t="s">
        <v>805</v>
      </c>
      <c r="Q113" s="113" t="s">
        <v>805</v>
      </c>
      <c r="R113" s="113" t="s">
        <v>805</v>
      </c>
      <c r="S113" s="113" t="s">
        <v>805</v>
      </c>
      <c r="T113" s="113" t="s">
        <v>805</v>
      </c>
      <c r="U113" s="113" t="s">
        <v>805</v>
      </c>
      <c r="V113" s="113" t="s">
        <v>805</v>
      </c>
      <c r="W113" s="113" t="s">
        <v>805</v>
      </c>
      <c r="X113" s="113" t="s">
        <v>805</v>
      </c>
      <c r="Y113" s="113" t="s">
        <v>805</v>
      </c>
      <c r="Z113" s="113" t="s">
        <v>805</v>
      </c>
      <c r="AA113" s="113" t="s">
        <v>805</v>
      </c>
      <c r="AB113" s="113" t="s">
        <v>805</v>
      </c>
      <c r="AC113" s="113" t="s">
        <v>805</v>
      </c>
      <c r="AD113" s="113" t="s">
        <v>805</v>
      </c>
      <c r="AE113" s="113" t="s">
        <v>805</v>
      </c>
      <c r="AF113" s="113" t="s">
        <v>805</v>
      </c>
      <c r="AG113" s="113" t="s">
        <v>805</v>
      </c>
      <c r="AH113" s="113" t="s">
        <v>805</v>
      </c>
      <c r="AI113" s="113" t="s">
        <v>805</v>
      </c>
      <c r="AJ113" s="113" t="s">
        <v>805</v>
      </c>
      <c r="AK113" s="113" t="s">
        <v>805</v>
      </c>
      <c r="AL113" s="113" t="s">
        <v>805</v>
      </c>
      <c r="AM113" s="113" t="s">
        <v>805</v>
      </c>
      <c r="AN113" s="113" t="s">
        <v>805</v>
      </c>
      <c r="AO113" s="113" t="s">
        <v>805</v>
      </c>
      <c r="AP113" s="113" t="s">
        <v>805</v>
      </c>
      <c r="AQ113" s="113" t="s">
        <v>805</v>
      </c>
      <c r="AR113" s="113" t="s">
        <v>805</v>
      </c>
      <c r="AS113" s="113" t="s">
        <v>805</v>
      </c>
      <c r="AT113" s="113" t="s">
        <v>805</v>
      </c>
      <c r="AU113" s="113" t="s">
        <v>805</v>
      </c>
      <c r="AV113" s="113" t="s">
        <v>805</v>
      </c>
      <c r="AW113" s="113" t="s">
        <v>805</v>
      </c>
      <c r="AX113" s="113" t="s">
        <v>805</v>
      </c>
      <c r="AY113" s="113" t="s">
        <v>805</v>
      </c>
      <c r="AZ113" s="113" t="s">
        <v>805</v>
      </c>
      <c r="BA113" s="113" t="s">
        <v>805</v>
      </c>
      <c r="BB113" s="113" t="s">
        <v>805</v>
      </c>
      <c r="BC113" s="113" t="s">
        <v>805</v>
      </c>
      <c r="BD113" s="113" t="s">
        <v>805</v>
      </c>
      <c r="BE113" s="113" t="s">
        <v>805</v>
      </c>
      <c r="BF113" s="113" t="s">
        <v>805</v>
      </c>
      <c r="BG113" s="113" t="s">
        <v>805</v>
      </c>
      <c r="BH113" s="113" t="s">
        <v>805</v>
      </c>
      <c r="BI113" s="113" t="s">
        <v>805</v>
      </c>
      <c r="BJ113" s="113" t="s">
        <v>805</v>
      </c>
      <c r="BK113" s="113" t="s">
        <v>805</v>
      </c>
      <c r="BL113" s="113" t="s">
        <v>805</v>
      </c>
      <c r="BM113" s="113" t="s">
        <v>805</v>
      </c>
      <c r="BN113" s="113" t="s">
        <v>805</v>
      </c>
      <c r="BO113" s="113" t="s">
        <v>805</v>
      </c>
      <c r="BP113" s="113" t="s">
        <v>805</v>
      </c>
      <c r="BQ113" s="113" t="s">
        <v>805</v>
      </c>
      <c r="BR113" s="113" t="s">
        <v>805</v>
      </c>
      <c r="BS113" s="113" t="s">
        <v>805</v>
      </c>
      <c r="BT113" s="113" t="s">
        <v>805</v>
      </c>
      <c r="BU113" s="113" t="s">
        <v>805</v>
      </c>
      <c r="BV113" s="113" t="s">
        <v>805</v>
      </c>
      <c r="BW113" s="113" t="s">
        <v>805</v>
      </c>
      <c r="BX113" s="113" t="s">
        <v>805</v>
      </c>
      <c r="BY113" s="113" t="s">
        <v>805</v>
      </c>
      <c r="BZ113" s="113" t="s">
        <v>805</v>
      </c>
      <c r="CA113" s="113" t="s">
        <v>805</v>
      </c>
      <c r="CB113" s="113" t="s">
        <v>805</v>
      </c>
      <c r="CC113" s="113" t="s">
        <v>805</v>
      </c>
      <c r="CD113" s="113" t="s">
        <v>805</v>
      </c>
      <c r="CE113" s="113" t="s">
        <v>805</v>
      </c>
      <c r="CF113" s="113" t="s">
        <v>805</v>
      </c>
      <c r="CG113" s="113" t="s">
        <v>805</v>
      </c>
      <c r="CH113" s="113" t="s">
        <v>805</v>
      </c>
      <c r="CI113" s="113" t="s">
        <v>805</v>
      </c>
      <c r="CJ113" s="113" t="s">
        <v>805</v>
      </c>
      <c r="CK113" s="113" t="s">
        <v>805</v>
      </c>
      <c r="CL113" s="113" t="s">
        <v>805</v>
      </c>
      <c r="CM113" s="113" t="s">
        <v>805</v>
      </c>
      <c r="CN113" s="113" t="s">
        <v>805</v>
      </c>
      <c r="CO113" s="113" t="s">
        <v>805</v>
      </c>
      <c r="CP113" s="113" t="s">
        <v>805</v>
      </c>
      <c r="CQ113" s="113" t="s">
        <v>805</v>
      </c>
      <c r="CR113" s="113" t="s">
        <v>805</v>
      </c>
      <c r="CS113" s="113" t="s">
        <v>805</v>
      </c>
      <c r="CT113" s="113" t="s">
        <v>805</v>
      </c>
      <c r="CU113" s="113" t="s">
        <v>805</v>
      </c>
      <c r="CV113" s="113" t="s">
        <v>805</v>
      </c>
      <c r="CW113" s="113" t="s">
        <v>805</v>
      </c>
      <c r="CX113" s="113" t="s">
        <v>805</v>
      </c>
      <c r="CY113" s="113" t="s">
        <v>805</v>
      </c>
      <c r="CZ113" s="113" t="s">
        <v>805</v>
      </c>
      <c r="DA113" s="113" t="s">
        <v>805</v>
      </c>
      <c r="DB113" s="113" t="s">
        <v>805</v>
      </c>
      <c r="DC113" s="113" t="s">
        <v>805</v>
      </c>
      <c r="DD113" s="113" t="s">
        <v>805</v>
      </c>
      <c r="DE113" s="113" t="s">
        <v>805</v>
      </c>
      <c r="DF113" s="113" t="s">
        <v>805</v>
      </c>
      <c r="DG113" s="28">
        <f>'KPI Count-SHARE'!J102</f>
        <v>0</v>
      </c>
      <c r="DH113" s="114"/>
      <c r="DI113" s="114"/>
      <c r="DJ113" s="114"/>
      <c r="DK113" s="28">
        <f>'KPI Count-SHARE'!K102</f>
        <v>0</v>
      </c>
      <c r="DL113" s="118"/>
      <c r="DM113" s="118"/>
      <c r="DN113" s="118"/>
      <c r="DO113" s="28">
        <f>'KPI Count-SHARE'!L102</f>
        <v>0</v>
      </c>
      <c r="DP113" s="118"/>
      <c r="DQ113" s="118"/>
      <c r="DR113" s="118"/>
      <c r="DS113" s="28">
        <f>'KPI Count-SHARE'!M102</f>
        <v>0</v>
      </c>
      <c r="DT113" s="118"/>
      <c r="DU113" s="118"/>
      <c r="DV113" s="118"/>
      <c r="DW113" t="str">
        <f t="shared" si="461"/>
        <v>USD '000 per brand</v>
      </c>
      <c r="DX113" s="39" t="str">
        <f t="shared" si="425"/>
        <v>-</v>
      </c>
      <c r="DY113" s="39" t="str">
        <f t="shared" si="426"/>
        <v>-</v>
      </c>
      <c r="DZ113" s="39" t="str">
        <f t="shared" si="427"/>
        <v>-</v>
      </c>
      <c r="EA113" s="39" t="str">
        <f t="shared" si="428"/>
        <v>-</v>
      </c>
      <c r="EB113" s="39" t="str">
        <f t="shared" si="429"/>
        <v>-</v>
      </c>
      <c r="EC113" s="39" t="str">
        <f t="shared" si="430"/>
        <v>-</v>
      </c>
      <c r="ED113" s="39" t="str">
        <f t="shared" si="431"/>
        <v>-</v>
      </c>
      <c r="EE113" s="39" t="str">
        <f t="shared" si="432"/>
        <v>-</v>
      </c>
      <c r="EF113" s="39" t="str">
        <f t="shared" si="433"/>
        <v>-</v>
      </c>
      <c r="EG113" s="39" t="str">
        <f t="shared" si="434"/>
        <v>-</v>
      </c>
      <c r="EH113" s="39" t="str">
        <f t="shared" si="435"/>
        <v>-</v>
      </c>
      <c r="EI113" s="39" t="str">
        <f t="shared" si="448"/>
        <v>-</v>
      </c>
      <c r="EJ113" s="39" t="str">
        <f t="shared" si="449"/>
        <v>-</v>
      </c>
      <c r="EK113" s="39" t="str">
        <f t="shared" si="450"/>
        <v>-</v>
      </c>
      <c r="EL113" s="39" t="str">
        <f t="shared" si="451"/>
        <v>-</v>
      </c>
      <c r="EM113" s="39" t="str">
        <f t="shared" si="452"/>
        <v>-</v>
      </c>
      <c r="EN113" s="39" t="str">
        <f t="shared" si="453"/>
        <v>-</v>
      </c>
      <c r="EO113" s="39" t="str">
        <f t="shared" si="454"/>
        <v>-</v>
      </c>
      <c r="EP113" s="39" t="str">
        <f t="shared" si="455"/>
        <v>-</v>
      </c>
      <c r="EQ113" s="39" t="str">
        <f t="shared" si="456"/>
        <v>-</v>
      </c>
      <c r="ER113" s="39" t="str">
        <f t="shared" si="457"/>
        <v>-</v>
      </c>
      <c r="ES113" s="39" t="str">
        <f t="shared" si="458"/>
        <v>-</v>
      </c>
      <c r="ET113" s="39" t="str">
        <f t="shared" si="459"/>
        <v>-</v>
      </c>
      <c r="EU113" s="39" t="str">
        <f t="shared" si="319"/>
        <v>-</v>
      </c>
      <c r="EV113" s="39" t="str">
        <f t="shared" si="320"/>
        <v>-</v>
      </c>
      <c r="EW113" s="39" t="str">
        <f t="shared" si="321"/>
        <v>-</v>
      </c>
      <c r="EX113" s="39" t="str">
        <f t="shared" si="322"/>
        <v>-</v>
      </c>
      <c r="EY113" s="39" t="str">
        <f t="shared" si="323"/>
        <v>-</v>
      </c>
      <c r="EZ113" s="39" t="str">
        <f t="shared" si="324"/>
        <v>-</v>
      </c>
      <c r="FA113" s="39" t="str">
        <f t="shared" si="325"/>
        <v>-</v>
      </c>
      <c r="FB113" s="39" t="str">
        <f t="shared" si="326"/>
        <v>-</v>
      </c>
      <c r="FC113" s="39" t="str">
        <f t="shared" si="327"/>
        <v>-</v>
      </c>
      <c r="FD113" s="39" t="str">
        <f t="shared" si="328"/>
        <v>-</v>
      </c>
      <c r="FE113" s="39" t="str">
        <f t="shared" si="329"/>
        <v>-</v>
      </c>
      <c r="FF113" s="39" t="str">
        <f t="shared" si="330"/>
        <v>-</v>
      </c>
      <c r="FG113" s="39" t="str">
        <f t="shared" si="331"/>
        <v>-</v>
      </c>
      <c r="FH113" s="39" t="str">
        <f t="shared" si="332"/>
        <v>-</v>
      </c>
      <c r="FI113" s="39" t="str">
        <f t="shared" si="333"/>
        <v>-</v>
      </c>
      <c r="FJ113" s="39" t="str">
        <f t="shared" si="334"/>
        <v>-</v>
      </c>
      <c r="FK113" s="39" t="str">
        <f t="shared" si="335"/>
        <v>-</v>
      </c>
      <c r="FL113" s="39" t="str">
        <f t="shared" si="336"/>
        <v>-</v>
      </c>
      <c r="FM113" s="39" t="str">
        <f t="shared" si="337"/>
        <v>-</v>
      </c>
      <c r="FN113" s="39" t="str">
        <f t="shared" si="338"/>
        <v>-</v>
      </c>
      <c r="FO113" s="39" t="str">
        <f t="shared" si="339"/>
        <v>-</v>
      </c>
      <c r="FP113" s="39" t="str">
        <f t="shared" si="340"/>
        <v>-</v>
      </c>
      <c r="FQ113" s="39" t="str">
        <f t="shared" si="341"/>
        <v>-</v>
      </c>
      <c r="FR113" s="39" t="str">
        <f t="shared" si="342"/>
        <v>-</v>
      </c>
      <c r="FS113" s="39" t="str">
        <f t="shared" si="343"/>
        <v>-</v>
      </c>
      <c r="FT113" s="39" t="str">
        <f t="shared" si="344"/>
        <v>-</v>
      </c>
      <c r="FU113" s="39" t="str">
        <f t="shared" si="345"/>
        <v>-</v>
      </c>
      <c r="FV113" s="39" t="str">
        <f t="shared" si="346"/>
        <v>-</v>
      </c>
      <c r="FW113" s="39" t="str">
        <f t="shared" si="347"/>
        <v>-</v>
      </c>
      <c r="FX113" s="39" t="str">
        <f t="shared" si="348"/>
        <v>-</v>
      </c>
      <c r="FY113" s="39" t="str">
        <f t="shared" si="349"/>
        <v>-</v>
      </c>
      <c r="FZ113" s="39" t="str">
        <f t="shared" si="350"/>
        <v>-</v>
      </c>
      <c r="GA113" s="39" t="str">
        <f t="shared" si="351"/>
        <v>-</v>
      </c>
      <c r="GB113" s="39" t="str">
        <f t="shared" si="352"/>
        <v>-</v>
      </c>
      <c r="GC113" s="39" t="str">
        <f t="shared" si="353"/>
        <v>-</v>
      </c>
      <c r="GD113" s="39" t="str">
        <f t="shared" si="354"/>
        <v>-</v>
      </c>
      <c r="GE113" s="39" t="str">
        <f t="shared" si="355"/>
        <v>-</v>
      </c>
      <c r="GF113" s="39" t="str">
        <f t="shared" si="356"/>
        <v>-</v>
      </c>
      <c r="GG113" s="39" t="str">
        <f t="shared" si="357"/>
        <v>-</v>
      </c>
      <c r="GH113" s="39" t="str">
        <f t="shared" si="358"/>
        <v>-</v>
      </c>
      <c r="GI113" s="39" t="str">
        <f t="shared" si="359"/>
        <v>-</v>
      </c>
      <c r="GJ113" s="39" t="str">
        <f t="shared" si="360"/>
        <v>-</v>
      </c>
      <c r="GK113" s="39" t="str">
        <f t="shared" si="361"/>
        <v>-</v>
      </c>
      <c r="GL113" s="39" t="str">
        <f t="shared" si="362"/>
        <v>-</v>
      </c>
      <c r="GM113" s="39" t="str">
        <f t="shared" si="363"/>
        <v>-</v>
      </c>
      <c r="GN113" s="39" t="str">
        <f t="shared" si="364"/>
        <v>-</v>
      </c>
      <c r="GO113" s="39" t="str">
        <f t="shared" si="365"/>
        <v>-</v>
      </c>
      <c r="GP113" s="39" t="str">
        <f t="shared" si="366"/>
        <v>-</v>
      </c>
      <c r="GQ113" s="39" t="str">
        <f t="shared" si="367"/>
        <v>-</v>
      </c>
      <c r="GR113" s="39" t="str">
        <f t="shared" si="368"/>
        <v>-</v>
      </c>
      <c r="GS113" s="39" t="str">
        <f t="shared" si="369"/>
        <v>-</v>
      </c>
      <c r="GT113" s="39" t="str">
        <f t="shared" si="370"/>
        <v>-</v>
      </c>
      <c r="GU113" s="39" t="str">
        <f t="shared" si="371"/>
        <v>-</v>
      </c>
      <c r="GV113" s="39" t="str">
        <f t="shared" si="372"/>
        <v>-</v>
      </c>
      <c r="GW113" s="39" t="str">
        <f t="shared" si="373"/>
        <v>-</v>
      </c>
      <c r="GX113" s="39" t="str">
        <f t="shared" si="374"/>
        <v>-</v>
      </c>
      <c r="GY113" s="39" t="str">
        <f t="shared" si="375"/>
        <v>-</v>
      </c>
      <c r="GZ113" s="39" t="str">
        <f t="shared" si="376"/>
        <v>-</v>
      </c>
      <c r="HA113" s="39" t="str">
        <f t="shared" si="377"/>
        <v>-</v>
      </c>
      <c r="HB113" s="39" t="str">
        <f t="shared" si="378"/>
        <v>-</v>
      </c>
      <c r="HC113" s="39" t="str">
        <f t="shared" si="379"/>
        <v>-</v>
      </c>
      <c r="HD113" s="39" t="str">
        <f t="shared" si="380"/>
        <v>-</v>
      </c>
      <c r="HE113" s="39" t="str">
        <f t="shared" si="381"/>
        <v>-</v>
      </c>
      <c r="HF113" s="39" t="str">
        <f t="shared" si="382"/>
        <v>-</v>
      </c>
      <c r="HG113" s="39" t="str">
        <f t="shared" si="383"/>
        <v>-</v>
      </c>
      <c r="HH113" s="39" t="str">
        <f t="shared" si="384"/>
        <v>-</v>
      </c>
      <c r="HI113" s="39" t="str">
        <f t="shared" si="385"/>
        <v>-</v>
      </c>
      <c r="HJ113" s="39" t="str">
        <f t="shared" si="386"/>
        <v>-</v>
      </c>
      <c r="HK113" s="39" t="str">
        <f t="shared" si="387"/>
        <v>-</v>
      </c>
      <c r="HL113" s="39" t="str">
        <f t="shared" si="388"/>
        <v>-</v>
      </c>
      <c r="HM113" s="39" t="str">
        <f t="shared" si="389"/>
        <v>-</v>
      </c>
      <c r="HN113" s="39" t="str">
        <f t="shared" si="390"/>
        <v>-</v>
      </c>
      <c r="HO113" s="39" t="str">
        <f t="shared" si="391"/>
        <v>-</v>
      </c>
      <c r="HP113" s="39" t="str">
        <f t="shared" si="392"/>
        <v>-</v>
      </c>
      <c r="HQ113" s="39" t="str">
        <f t="shared" si="393"/>
        <v>-</v>
      </c>
      <c r="HR113" s="39" t="str">
        <f t="shared" si="394"/>
        <v>-</v>
      </c>
      <c r="HS113" s="39" t="str">
        <f t="shared" si="395"/>
        <v>-</v>
      </c>
      <c r="HT113" s="39" t="str">
        <f t="shared" si="395"/>
        <v>-</v>
      </c>
      <c r="HU113" s="43" t="str">
        <f t="shared" si="445"/>
        <v>-</v>
      </c>
      <c r="HV113" s="44" t="str">
        <f t="shared" si="446"/>
        <v/>
      </c>
      <c r="HW113" s="45" t="str">
        <f t="shared" si="447"/>
        <v/>
      </c>
      <c r="HX113" s="102"/>
      <c r="HY113" s="102"/>
      <c r="HZ113" s="102"/>
      <c r="IA113" s="101"/>
      <c r="IB113" s="102"/>
      <c r="IC113" s="103"/>
      <c r="ID113" s="101"/>
      <c r="IE113" s="102"/>
      <c r="IF113" s="103"/>
      <c r="IH113" s="66">
        <v>113</v>
      </c>
      <c r="II113" s="66" t="e">
        <f t="shared" ca="1" si="436"/>
        <v>#N/A</v>
      </c>
      <c r="IJ113" s="66" t="e">
        <f t="shared" ca="1" si="437"/>
        <v>#N/A</v>
      </c>
      <c r="IK113" s="66" t="e">
        <f t="shared" ca="1" si="438"/>
        <v>#N/A</v>
      </c>
      <c r="IL113" s="66" t="e">
        <f t="shared" ca="1" si="439"/>
        <v>#N/A</v>
      </c>
      <c r="IN113" s="74" t="e">
        <f t="shared" ca="1" si="440"/>
        <v>#N/A</v>
      </c>
      <c r="IO113" s="75" t="e">
        <f t="shared" ca="1" si="441"/>
        <v>#N/A</v>
      </c>
      <c r="IP113" s="75" t="e">
        <f t="shared" ca="1" si="442"/>
        <v>#N/A</v>
      </c>
      <c r="IQ113" s="74" t="e">
        <f t="shared" ca="1" si="443"/>
        <v>#N/A</v>
      </c>
      <c r="IR113" s="74" t="e">
        <f t="shared" ca="1" si="444"/>
        <v>#N/A</v>
      </c>
    </row>
    <row r="114" spans="1:252" x14ac:dyDescent="0.35">
      <c r="A114" s="28">
        <v>0</v>
      </c>
      <c r="B114" s="28">
        <v>0</v>
      </c>
      <c r="C114" s="28">
        <v>1</v>
      </c>
      <c r="D114" s="1"/>
      <c r="E114" s="3"/>
      <c r="F114" t="s">
        <v>379</v>
      </c>
      <c r="G114" s="5" t="s">
        <v>540</v>
      </c>
      <c r="H114" s="4" t="s">
        <v>556</v>
      </c>
      <c r="I114" t="s">
        <v>536</v>
      </c>
      <c r="J114" s="276" t="s">
        <v>805</v>
      </c>
      <c r="K114" s="113" t="s">
        <v>805</v>
      </c>
      <c r="L114" s="113" t="s">
        <v>805</v>
      </c>
      <c r="M114" s="113" t="s">
        <v>805</v>
      </c>
      <c r="N114" s="113" t="s">
        <v>805</v>
      </c>
      <c r="O114" s="113" t="s">
        <v>805</v>
      </c>
      <c r="P114" s="113" t="s">
        <v>805</v>
      </c>
      <c r="Q114" s="113" t="s">
        <v>805</v>
      </c>
      <c r="R114" s="113" t="s">
        <v>805</v>
      </c>
      <c r="S114" s="113" t="s">
        <v>805</v>
      </c>
      <c r="T114" s="113" t="s">
        <v>805</v>
      </c>
      <c r="U114" s="113" t="s">
        <v>805</v>
      </c>
      <c r="V114" s="113" t="s">
        <v>805</v>
      </c>
      <c r="W114" s="113" t="s">
        <v>805</v>
      </c>
      <c r="X114" s="113" t="s">
        <v>805</v>
      </c>
      <c r="Y114" s="113" t="s">
        <v>805</v>
      </c>
      <c r="Z114" s="113" t="s">
        <v>805</v>
      </c>
      <c r="AA114" s="113" t="s">
        <v>805</v>
      </c>
      <c r="AB114" s="113" t="s">
        <v>805</v>
      </c>
      <c r="AC114" s="113" t="s">
        <v>805</v>
      </c>
      <c r="AD114" s="113" t="s">
        <v>805</v>
      </c>
      <c r="AE114" s="113" t="s">
        <v>805</v>
      </c>
      <c r="AF114" s="113" t="s">
        <v>805</v>
      </c>
      <c r="AG114" s="113" t="s">
        <v>805</v>
      </c>
      <c r="AH114" s="113" t="s">
        <v>805</v>
      </c>
      <c r="AI114" s="113" t="s">
        <v>805</v>
      </c>
      <c r="AJ114" s="113" t="s">
        <v>805</v>
      </c>
      <c r="AK114" s="113" t="s">
        <v>805</v>
      </c>
      <c r="AL114" s="113" t="s">
        <v>805</v>
      </c>
      <c r="AM114" s="113" t="s">
        <v>805</v>
      </c>
      <c r="AN114" s="113" t="s">
        <v>805</v>
      </c>
      <c r="AO114" s="113" t="s">
        <v>805</v>
      </c>
      <c r="AP114" s="113" t="s">
        <v>805</v>
      </c>
      <c r="AQ114" s="113" t="s">
        <v>805</v>
      </c>
      <c r="AR114" s="113" t="s">
        <v>805</v>
      </c>
      <c r="AS114" s="113" t="s">
        <v>805</v>
      </c>
      <c r="AT114" s="113" t="s">
        <v>805</v>
      </c>
      <c r="AU114" s="113" t="s">
        <v>805</v>
      </c>
      <c r="AV114" s="113" t="s">
        <v>805</v>
      </c>
      <c r="AW114" s="113" t="s">
        <v>805</v>
      </c>
      <c r="AX114" s="113" t="s">
        <v>805</v>
      </c>
      <c r="AY114" s="113" t="s">
        <v>805</v>
      </c>
      <c r="AZ114" s="113" t="s">
        <v>805</v>
      </c>
      <c r="BA114" s="113" t="s">
        <v>805</v>
      </c>
      <c r="BB114" s="113" t="s">
        <v>805</v>
      </c>
      <c r="BC114" s="113" t="s">
        <v>805</v>
      </c>
      <c r="BD114" s="113" t="s">
        <v>805</v>
      </c>
      <c r="BE114" s="113" t="s">
        <v>805</v>
      </c>
      <c r="BF114" s="113" t="s">
        <v>805</v>
      </c>
      <c r="BG114" s="113" t="s">
        <v>805</v>
      </c>
      <c r="BH114" s="113" t="s">
        <v>805</v>
      </c>
      <c r="BI114" s="113" t="s">
        <v>805</v>
      </c>
      <c r="BJ114" s="113" t="s">
        <v>805</v>
      </c>
      <c r="BK114" s="113" t="s">
        <v>805</v>
      </c>
      <c r="BL114" s="113" t="s">
        <v>805</v>
      </c>
      <c r="BM114" s="113" t="s">
        <v>805</v>
      </c>
      <c r="BN114" s="113" t="s">
        <v>805</v>
      </c>
      <c r="BO114" s="113" t="s">
        <v>805</v>
      </c>
      <c r="BP114" s="113" t="s">
        <v>805</v>
      </c>
      <c r="BQ114" s="113" t="s">
        <v>805</v>
      </c>
      <c r="BR114" s="113" t="s">
        <v>805</v>
      </c>
      <c r="BS114" s="113" t="s">
        <v>805</v>
      </c>
      <c r="BT114" s="113" t="s">
        <v>805</v>
      </c>
      <c r="BU114" s="113" t="s">
        <v>805</v>
      </c>
      <c r="BV114" s="113" t="s">
        <v>805</v>
      </c>
      <c r="BW114" s="113" t="s">
        <v>805</v>
      </c>
      <c r="BX114" s="113" t="s">
        <v>805</v>
      </c>
      <c r="BY114" s="113" t="s">
        <v>805</v>
      </c>
      <c r="BZ114" s="113" t="s">
        <v>805</v>
      </c>
      <c r="CA114" s="113" t="s">
        <v>805</v>
      </c>
      <c r="CB114" s="113" t="s">
        <v>805</v>
      </c>
      <c r="CC114" s="113" t="s">
        <v>805</v>
      </c>
      <c r="CD114" s="113" t="s">
        <v>805</v>
      </c>
      <c r="CE114" s="113" t="s">
        <v>805</v>
      </c>
      <c r="CF114" s="113" t="s">
        <v>805</v>
      </c>
      <c r="CG114" s="113" t="s">
        <v>805</v>
      </c>
      <c r="CH114" s="113" t="s">
        <v>805</v>
      </c>
      <c r="CI114" s="113" t="s">
        <v>805</v>
      </c>
      <c r="CJ114" s="113" t="s">
        <v>805</v>
      </c>
      <c r="CK114" s="113" t="s">
        <v>805</v>
      </c>
      <c r="CL114" s="113" t="s">
        <v>805</v>
      </c>
      <c r="CM114" s="113" t="s">
        <v>805</v>
      </c>
      <c r="CN114" s="113" t="s">
        <v>805</v>
      </c>
      <c r="CO114" s="113" t="s">
        <v>805</v>
      </c>
      <c r="CP114" s="113" t="s">
        <v>805</v>
      </c>
      <c r="CQ114" s="113" t="s">
        <v>805</v>
      </c>
      <c r="CR114" s="113" t="s">
        <v>805</v>
      </c>
      <c r="CS114" s="113" t="s">
        <v>805</v>
      </c>
      <c r="CT114" s="113" t="s">
        <v>805</v>
      </c>
      <c r="CU114" s="113" t="s">
        <v>805</v>
      </c>
      <c r="CV114" s="113" t="s">
        <v>805</v>
      </c>
      <c r="CW114" s="113" t="s">
        <v>805</v>
      </c>
      <c r="CX114" s="113" t="s">
        <v>805</v>
      </c>
      <c r="CY114" s="113" t="s">
        <v>805</v>
      </c>
      <c r="CZ114" s="113" t="s">
        <v>805</v>
      </c>
      <c r="DA114" s="113" t="s">
        <v>805</v>
      </c>
      <c r="DB114" s="113" t="s">
        <v>805</v>
      </c>
      <c r="DC114" s="113" t="s">
        <v>805</v>
      </c>
      <c r="DD114" s="113" t="s">
        <v>805</v>
      </c>
      <c r="DE114" s="113" t="s">
        <v>805</v>
      </c>
      <c r="DF114" s="113" t="s">
        <v>805</v>
      </c>
      <c r="DG114" s="28">
        <f>'KPI Count-SHARE'!J103</f>
        <v>0</v>
      </c>
      <c r="DH114" s="114"/>
      <c r="DI114" s="114"/>
      <c r="DJ114" s="114"/>
      <c r="DK114" s="28">
        <f>'KPI Count-SHARE'!K103</f>
        <v>0</v>
      </c>
      <c r="DL114" s="118"/>
      <c r="DM114" s="118"/>
      <c r="DN114" s="118"/>
      <c r="DO114" s="28">
        <f>'KPI Count-SHARE'!L103</f>
        <v>0</v>
      </c>
      <c r="DP114" s="118"/>
      <c r="DQ114" s="118"/>
      <c r="DR114" s="118"/>
      <c r="DS114" s="28">
        <f>'KPI Count-SHARE'!M103</f>
        <v>0</v>
      </c>
      <c r="DT114" s="118"/>
      <c r="DU114" s="118"/>
      <c r="DV114" s="118"/>
      <c r="DW114" t="str">
        <f t="shared" si="461"/>
        <v>USD '000 per brand</v>
      </c>
      <c r="DX114" s="39" t="str">
        <f t="shared" si="425"/>
        <v>-</v>
      </c>
      <c r="DY114" s="39" t="str">
        <f t="shared" si="426"/>
        <v>-</v>
      </c>
      <c r="DZ114" s="39" t="str">
        <f t="shared" si="427"/>
        <v>-</v>
      </c>
      <c r="EA114" s="39" t="str">
        <f t="shared" si="428"/>
        <v>-</v>
      </c>
      <c r="EB114" s="39" t="str">
        <f t="shared" si="429"/>
        <v>-</v>
      </c>
      <c r="EC114" s="39" t="str">
        <f t="shared" si="430"/>
        <v>-</v>
      </c>
      <c r="ED114" s="39" t="str">
        <f t="shared" si="431"/>
        <v>-</v>
      </c>
      <c r="EE114" s="39" t="str">
        <f t="shared" si="432"/>
        <v>-</v>
      </c>
      <c r="EF114" s="39" t="str">
        <f t="shared" si="433"/>
        <v>-</v>
      </c>
      <c r="EG114" s="39" t="str">
        <f t="shared" si="434"/>
        <v>-</v>
      </c>
      <c r="EH114" s="39" t="str">
        <f t="shared" si="435"/>
        <v>-</v>
      </c>
      <c r="EI114" s="39" t="str">
        <f t="shared" si="448"/>
        <v>-</v>
      </c>
      <c r="EJ114" s="39" t="str">
        <f t="shared" si="449"/>
        <v>-</v>
      </c>
      <c r="EK114" s="39" t="str">
        <f t="shared" si="450"/>
        <v>-</v>
      </c>
      <c r="EL114" s="39" t="str">
        <f t="shared" si="451"/>
        <v>-</v>
      </c>
      <c r="EM114" s="39" t="str">
        <f t="shared" si="452"/>
        <v>-</v>
      </c>
      <c r="EN114" s="39" t="str">
        <f t="shared" si="453"/>
        <v>-</v>
      </c>
      <c r="EO114" s="39" t="str">
        <f t="shared" si="454"/>
        <v>-</v>
      </c>
      <c r="EP114" s="39" t="str">
        <f t="shared" si="455"/>
        <v>-</v>
      </c>
      <c r="EQ114" s="39" t="str">
        <f t="shared" si="456"/>
        <v>-</v>
      </c>
      <c r="ER114" s="39" t="str">
        <f t="shared" si="457"/>
        <v>-</v>
      </c>
      <c r="ES114" s="39" t="str">
        <f t="shared" si="458"/>
        <v>-</v>
      </c>
      <c r="ET114" s="39" t="str">
        <f t="shared" si="459"/>
        <v>-</v>
      </c>
      <c r="EU114" s="39" t="str">
        <f t="shared" si="319"/>
        <v>-</v>
      </c>
      <c r="EV114" s="39" t="str">
        <f t="shared" si="320"/>
        <v>-</v>
      </c>
      <c r="EW114" s="39" t="str">
        <f t="shared" si="321"/>
        <v>-</v>
      </c>
      <c r="EX114" s="39" t="str">
        <f t="shared" si="322"/>
        <v>-</v>
      </c>
      <c r="EY114" s="39" t="str">
        <f t="shared" si="323"/>
        <v>-</v>
      </c>
      <c r="EZ114" s="39" t="str">
        <f t="shared" si="324"/>
        <v>-</v>
      </c>
      <c r="FA114" s="39" t="str">
        <f t="shared" si="325"/>
        <v>-</v>
      </c>
      <c r="FB114" s="39" t="str">
        <f t="shared" si="326"/>
        <v>-</v>
      </c>
      <c r="FC114" s="39" t="str">
        <f t="shared" si="327"/>
        <v>-</v>
      </c>
      <c r="FD114" s="39" t="str">
        <f t="shared" si="328"/>
        <v>-</v>
      </c>
      <c r="FE114" s="39" t="str">
        <f t="shared" si="329"/>
        <v>-</v>
      </c>
      <c r="FF114" s="39" t="str">
        <f t="shared" si="330"/>
        <v>-</v>
      </c>
      <c r="FG114" s="39" t="str">
        <f t="shared" si="331"/>
        <v>-</v>
      </c>
      <c r="FH114" s="39" t="str">
        <f t="shared" si="332"/>
        <v>-</v>
      </c>
      <c r="FI114" s="39" t="str">
        <f t="shared" si="333"/>
        <v>-</v>
      </c>
      <c r="FJ114" s="39" t="str">
        <f t="shared" si="334"/>
        <v>-</v>
      </c>
      <c r="FK114" s="39" t="str">
        <f t="shared" si="335"/>
        <v>-</v>
      </c>
      <c r="FL114" s="39" t="str">
        <f t="shared" si="336"/>
        <v>-</v>
      </c>
      <c r="FM114" s="39" t="str">
        <f t="shared" si="337"/>
        <v>-</v>
      </c>
      <c r="FN114" s="39" t="str">
        <f t="shared" si="338"/>
        <v>-</v>
      </c>
      <c r="FO114" s="39" t="str">
        <f t="shared" si="339"/>
        <v>-</v>
      </c>
      <c r="FP114" s="39" t="str">
        <f t="shared" si="340"/>
        <v>-</v>
      </c>
      <c r="FQ114" s="39" t="str">
        <f t="shared" si="341"/>
        <v>-</v>
      </c>
      <c r="FR114" s="39" t="str">
        <f t="shared" si="342"/>
        <v>-</v>
      </c>
      <c r="FS114" s="39" t="str">
        <f t="shared" si="343"/>
        <v>-</v>
      </c>
      <c r="FT114" s="39" t="str">
        <f t="shared" si="344"/>
        <v>-</v>
      </c>
      <c r="FU114" s="39" t="str">
        <f t="shared" si="345"/>
        <v>-</v>
      </c>
      <c r="FV114" s="39" t="str">
        <f t="shared" si="346"/>
        <v>-</v>
      </c>
      <c r="FW114" s="39" t="str">
        <f t="shared" si="347"/>
        <v>-</v>
      </c>
      <c r="FX114" s="39" t="str">
        <f t="shared" si="348"/>
        <v>-</v>
      </c>
      <c r="FY114" s="39" t="str">
        <f t="shared" si="349"/>
        <v>-</v>
      </c>
      <c r="FZ114" s="39" t="str">
        <f t="shared" si="350"/>
        <v>-</v>
      </c>
      <c r="GA114" s="39" t="str">
        <f t="shared" si="351"/>
        <v>-</v>
      </c>
      <c r="GB114" s="39" t="str">
        <f t="shared" si="352"/>
        <v>-</v>
      </c>
      <c r="GC114" s="39" t="str">
        <f t="shared" si="353"/>
        <v>-</v>
      </c>
      <c r="GD114" s="39" t="str">
        <f t="shared" si="354"/>
        <v>-</v>
      </c>
      <c r="GE114" s="39" t="str">
        <f t="shared" si="355"/>
        <v>-</v>
      </c>
      <c r="GF114" s="39" t="str">
        <f t="shared" si="356"/>
        <v>-</v>
      </c>
      <c r="GG114" s="39" t="str">
        <f t="shared" si="357"/>
        <v>-</v>
      </c>
      <c r="GH114" s="39" t="str">
        <f t="shared" si="358"/>
        <v>-</v>
      </c>
      <c r="GI114" s="39" t="str">
        <f t="shared" si="359"/>
        <v>-</v>
      </c>
      <c r="GJ114" s="39" t="str">
        <f t="shared" si="360"/>
        <v>-</v>
      </c>
      <c r="GK114" s="39" t="str">
        <f t="shared" si="361"/>
        <v>-</v>
      </c>
      <c r="GL114" s="39" t="str">
        <f t="shared" si="362"/>
        <v>-</v>
      </c>
      <c r="GM114" s="39" t="str">
        <f t="shared" si="363"/>
        <v>-</v>
      </c>
      <c r="GN114" s="39" t="str">
        <f t="shared" si="364"/>
        <v>-</v>
      </c>
      <c r="GO114" s="39" t="str">
        <f t="shared" si="365"/>
        <v>-</v>
      </c>
      <c r="GP114" s="39" t="str">
        <f t="shared" si="366"/>
        <v>-</v>
      </c>
      <c r="GQ114" s="39" t="str">
        <f t="shared" si="367"/>
        <v>-</v>
      </c>
      <c r="GR114" s="39" t="str">
        <f t="shared" si="368"/>
        <v>-</v>
      </c>
      <c r="GS114" s="39" t="str">
        <f t="shared" si="369"/>
        <v>-</v>
      </c>
      <c r="GT114" s="39" t="str">
        <f t="shared" si="370"/>
        <v>-</v>
      </c>
      <c r="GU114" s="39" t="str">
        <f t="shared" si="371"/>
        <v>-</v>
      </c>
      <c r="GV114" s="39" t="str">
        <f t="shared" si="372"/>
        <v>-</v>
      </c>
      <c r="GW114" s="39" t="str">
        <f t="shared" si="373"/>
        <v>-</v>
      </c>
      <c r="GX114" s="39" t="str">
        <f t="shared" si="374"/>
        <v>-</v>
      </c>
      <c r="GY114" s="39" t="str">
        <f t="shared" si="375"/>
        <v>-</v>
      </c>
      <c r="GZ114" s="39" t="str">
        <f t="shared" si="376"/>
        <v>-</v>
      </c>
      <c r="HA114" s="39" t="str">
        <f t="shared" si="377"/>
        <v>-</v>
      </c>
      <c r="HB114" s="39" t="str">
        <f t="shared" si="378"/>
        <v>-</v>
      </c>
      <c r="HC114" s="39" t="str">
        <f t="shared" si="379"/>
        <v>-</v>
      </c>
      <c r="HD114" s="39" t="str">
        <f t="shared" si="380"/>
        <v>-</v>
      </c>
      <c r="HE114" s="39" t="str">
        <f t="shared" si="381"/>
        <v>-</v>
      </c>
      <c r="HF114" s="39" t="str">
        <f t="shared" si="382"/>
        <v>-</v>
      </c>
      <c r="HG114" s="39" t="str">
        <f t="shared" si="383"/>
        <v>-</v>
      </c>
      <c r="HH114" s="39" t="str">
        <f t="shared" si="384"/>
        <v>-</v>
      </c>
      <c r="HI114" s="39" t="str">
        <f t="shared" si="385"/>
        <v>-</v>
      </c>
      <c r="HJ114" s="39" t="str">
        <f t="shared" si="386"/>
        <v>-</v>
      </c>
      <c r="HK114" s="39" t="str">
        <f t="shared" si="387"/>
        <v>-</v>
      </c>
      <c r="HL114" s="39" t="str">
        <f t="shared" si="388"/>
        <v>-</v>
      </c>
      <c r="HM114" s="39" t="str">
        <f t="shared" si="389"/>
        <v>-</v>
      </c>
      <c r="HN114" s="39" t="str">
        <f t="shared" si="390"/>
        <v>-</v>
      </c>
      <c r="HO114" s="39" t="str">
        <f t="shared" si="391"/>
        <v>-</v>
      </c>
      <c r="HP114" s="39" t="str">
        <f t="shared" si="392"/>
        <v>-</v>
      </c>
      <c r="HQ114" s="39" t="str">
        <f t="shared" si="393"/>
        <v>-</v>
      </c>
      <c r="HR114" s="39" t="str">
        <f t="shared" si="394"/>
        <v>-</v>
      </c>
      <c r="HS114" s="39" t="str">
        <f t="shared" si="395"/>
        <v>-</v>
      </c>
      <c r="HT114" s="39" t="str">
        <f t="shared" si="395"/>
        <v>-</v>
      </c>
      <c r="HU114" s="43" t="str">
        <f t="shared" si="445"/>
        <v>-</v>
      </c>
      <c r="HV114" s="44" t="str">
        <f t="shared" si="446"/>
        <v/>
      </c>
      <c r="HW114" s="45" t="str">
        <f t="shared" si="447"/>
        <v/>
      </c>
      <c r="HX114" s="102"/>
      <c r="HY114" s="102"/>
      <c r="HZ114" s="102"/>
      <c r="IA114" s="101"/>
      <c r="IB114" s="102"/>
      <c r="IC114" s="103"/>
      <c r="ID114" s="101"/>
      <c r="IE114" s="102"/>
      <c r="IF114" s="103"/>
      <c r="IH114" s="66">
        <v>114</v>
      </c>
      <c r="II114" s="66" t="e">
        <f t="shared" ca="1" si="436"/>
        <v>#N/A</v>
      </c>
      <c r="IJ114" s="66" t="e">
        <f t="shared" ca="1" si="437"/>
        <v>#N/A</v>
      </c>
      <c r="IK114" s="66" t="e">
        <f t="shared" ca="1" si="438"/>
        <v>#N/A</v>
      </c>
      <c r="IL114" s="66" t="e">
        <f t="shared" ca="1" si="439"/>
        <v>#N/A</v>
      </c>
      <c r="IN114" s="74" t="e">
        <f t="shared" ca="1" si="440"/>
        <v>#N/A</v>
      </c>
      <c r="IO114" s="75" t="e">
        <f t="shared" ca="1" si="441"/>
        <v>#N/A</v>
      </c>
      <c r="IP114" s="75" t="e">
        <f t="shared" ca="1" si="442"/>
        <v>#N/A</v>
      </c>
      <c r="IQ114" s="74" t="e">
        <f t="shared" ca="1" si="443"/>
        <v>#N/A</v>
      </c>
      <c r="IR114" s="74" t="e">
        <f t="shared" ca="1" si="444"/>
        <v>#N/A</v>
      </c>
    </row>
    <row r="115" spans="1:252" x14ac:dyDescent="0.35">
      <c r="A115" s="28">
        <v>0</v>
      </c>
      <c r="B115" s="28">
        <v>0</v>
      </c>
      <c r="C115" s="28">
        <v>1</v>
      </c>
      <c r="D115" s="1"/>
      <c r="E115" s="3"/>
      <c r="F115" t="s">
        <v>380</v>
      </c>
      <c r="G115" s="5" t="s">
        <v>540</v>
      </c>
      <c r="H115" s="4" t="s">
        <v>556</v>
      </c>
      <c r="I115" t="s">
        <v>536</v>
      </c>
      <c r="J115" s="276" t="s">
        <v>805</v>
      </c>
      <c r="K115" s="113" t="s">
        <v>805</v>
      </c>
      <c r="L115" s="113" t="s">
        <v>805</v>
      </c>
      <c r="M115" s="113" t="s">
        <v>805</v>
      </c>
      <c r="N115" s="113" t="s">
        <v>805</v>
      </c>
      <c r="O115" s="113" t="s">
        <v>805</v>
      </c>
      <c r="P115" s="113" t="s">
        <v>805</v>
      </c>
      <c r="Q115" s="113" t="s">
        <v>805</v>
      </c>
      <c r="R115" s="113" t="s">
        <v>805</v>
      </c>
      <c r="S115" s="113" t="s">
        <v>805</v>
      </c>
      <c r="T115" s="113" t="s">
        <v>805</v>
      </c>
      <c r="U115" s="113" t="s">
        <v>805</v>
      </c>
      <c r="V115" s="113" t="s">
        <v>805</v>
      </c>
      <c r="W115" s="113" t="s">
        <v>805</v>
      </c>
      <c r="X115" s="113" t="s">
        <v>805</v>
      </c>
      <c r="Y115" s="113" t="s">
        <v>805</v>
      </c>
      <c r="Z115" s="113" t="s">
        <v>805</v>
      </c>
      <c r="AA115" s="113" t="s">
        <v>805</v>
      </c>
      <c r="AB115" s="113" t="s">
        <v>805</v>
      </c>
      <c r="AC115" s="113" t="s">
        <v>805</v>
      </c>
      <c r="AD115" s="113" t="s">
        <v>805</v>
      </c>
      <c r="AE115" s="113" t="s">
        <v>805</v>
      </c>
      <c r="AF115" s="113" t="s">
        <v>805</v>
      </c>
      <c r="AG115" s="113" t="s">
        <v>805</v>
      </c>
      <c r="AH115" s="113" t="s">
        <v>805</v>
      </c>
      <c r="AI115" s="113" t="s">
        <v>805</v>
      </c>
      <c r="AJ115" s="113" t="s">
        <v>805</v>
      </c>
      <c r="AK115" s="113" t="s">
        <v>805</v>
      </c>
      <c r="AL115" s="113" t="s">
        <v>805</v>
      </c>
      <c r="AM115" s="113" t="s">
        <v>805</v>
      </c>
      <c r="AN115" s="113" t="s">
        <v>805</v>
      </c>
      <c r="AO115" s="113" t="s">
        <v>805</v>
      </c>
      <c r="AP115" s="113" t="s">
        <v>805</v>
      </c>
      <c r="AQ115" s="113" t="s">
        <v>805</v>
      </c>
      <c r="AR115" s="113" t="s">
        <v>805</v>
      </c>
      <c r="AS115" s="113" t="s">
        <v>805</v>
      </c>
      <c r="AT115" s="113" t="s">
        <v>805</v>
      </c>
      <c r="AU115" s="113" t="s">
        <v>805</v>
      </c>
      <c r="AV115" s="113" t="s">
        <v>805</v>
      </c>
      <c r="AW115" s="113" t="s">
        <v>805</v>
      </c>
      <c r="AX115" s="113" t="s">
        <v>805</v>
      </c>
      <c r="AY115" s="113" t="s">
        <v>805</v>
      </c>
      <c r="AZ115" s="113" t="s">
        <v>805</v>
      </c>
      <c r="BA115" s="113" t="s">
        <v>805</v>
      </c>
      <c r="BB115" s="113" t="s">
        <v>805</v>
      </c>
      <c r="BC115" s="113" t="s">
        <v>805</v>
      </c>
      <c r="BD115" s="113" t="s">
        <v>805</v>
      </c>
      <c r="BE115" s="113" t="s">
        <v>805</v>
      </c>
      <c r="BF115" s="113" t="s">
        <v>805</v>
      </c>
      <c r="BG115" s="113" t="s">
        <v>805</v>
      </c>
      <c r="BH115" s="113" t="s">
        <v>805</v>
      </c>
      <c r="BI115" s="113" t="s">
        <v>805</v>
      </c>
      <c r="BJ115" s="113" t="s">
        <v>805</v>
      </c>
      <c r="BK115" s="113" t="s">
        <v>805</v>
      </c>
      <c r="BL115" s="113" t="s">
        <v>805</v>
      </c>
      <c r="BM115" s="113" t="s">
        <v>805</v>
      </c>
      <c r="BN115" s="113" t="s">
        <v>805</v>
      </c>
      <c r="BO115" s="113" t="s">
        <v>805</v>
      </c>
      <c r="BP115" s="113" t="s">
        <v>805</v>
      </c>
      <c r="BQ115" s="113" t="s">
        <v>805</v>
      </c>
      <c r="BR115" s="113" t="s">
        <v>805</v>
      </c>
      <c r="BS115" s="113" t="s">
        <v>805</v>
      </c>
      <c r="BT115" s="113" t="s">
        <v>805</v>
      </c>
      <c r="BU115" s="113" t="s">
        <v>805</v>
      </c>
      <c r="BV115" s="113" t="s">
        <v>805</v>
      </c>
      <c r="BW115" s="113" t="s">
        <v>805</v>
      </c>
      <c r="BX115" s="113" t="s">
        <v>805</v>
      </c>
      <c r="BY115" s="113" t="s">
        <v>805</v>
      </c>
      <c r="BZ115" s="113" t="s">
        <v>805</v>
      </c>
      <c r="CA115" s="113" t="s">
        <v>805</v>
      </c>
      <c r="CB115" s="113" t="s">
        <v>805</v>
      </c>
      <c r="CC115" s="113" t="s">
        <v>805</v>
      </c>
      <c r="CD115" s="113" t="s">
        <v>805</v>
      </c>
      <c r="CE115" s="113" t="s">
        <v>805</v>
      </c>
      <c r="CF115" s="113" t="s">
        <v>805</v>
      </c>
      <c r="CG115" s="113" t="s">
        <v>805</v>
      </c>
      <c r="CH115" s="113" t="s">
        <v>805</v>
      </c>
      <c r="CI115" s="113" t="s">
        <v>805</v>
      </c>
      <c r="CJ115" s="113" t="s">
        <v>805</v>
      </c>
      <c r="CK115" s="113" t="s">
        <v>805</v>
      </c>
      <c r="CL115" s="113" t="s">
        <v>805</v>
      </c>
      <c r="CM115" s="113" t="s">
        <v>805</v>
      </c>
      <c r="CN115" s="113" t="s">
        <v>805</v>
      </c>
      <c r="CO115" s="113" t="s">
        <v>805</v>
      </c>
      <c r="CP115" s="113" t="s">
        <v>805</v>
      </c>
      <c r="CQ115" s="113" t="s">
        <v>805</v>
      </c>
      <c r="CR115" s="113" t="s">
        <v>805</v>
      </c>
      <c r="CS115" s="113" t="s">
        <v>805</v>
      </c>
      <c r="CT115" s="113" t="s">
        <v>805</v>
      </c>
      <c r="CU115" s="113" t="s">
        <v>805</v>
      </c>
      <c r="CV115" s="113" t="s">
        <v>805</v>
      </c>
      <c r="CW115" s="113" t="s">
        <v>805</v>
      </c>
      <c r="CX115" s="113" t="s">
        <v>805</v>
      </c>
      <c r="CY115" s="113" t="s">
        <v>805</v>
      </c>
      <c r="CZ115" s="113" t="s">
        <v>805</v>
      </c>
      <c r="DA115" s="113" t="s">
        <v>805</v>
      </c>
      <c r="DB115" s="113" t="s">
        <v>805</v>
      </c>
      <c r="DC115" s="113" t="s">
        <v>805</v>
      </c>
      <c r="DD115" s="113" t="s">
        <v>805</v>
      </c>
      <c r="DE115" s="113" t="s">
        <v>805</v>
      </c>
      <c r="DF115" s="113" t="s">
        <v>805</v>
      </c>
      <c r="DG115" s="28">
        <f>'KPI Count-SHARE'!J104</f>
        <v>0</v>
      </c>
      <c r="DH115" s="114"/>
      <c r="DI115" s="114"/>
      <c r="DJ115" s="114"/>
      <c r="DK115" s="28">
        <f>'KPI Count-SHARE'!K104</f>
        <v>0</v>
      </c>
      <c r="DL115" s="118"/>
      <c r="DM115" s="118"/>
      <c r="DN115" s="118"/>
      <c r="DO115" s="28">
        <f>'KPI Count-SHARE'!L104</f>
        <v>0</v>
      </c>
      <c r="DP115" s="118"/>
      <c r="DQ115" s="118"/>
      <c r="DR115" s="118"/>
      <c r="DS115" s="28">
        <f>'KPI Count-SHARE'!M104</f>
        <v>0</v>
      </c>
      <c r="DT115" s="118"/>
      <c r="DU115" s="118"/>
      <c r="DV115" s="118"/>
      <c r="DW115" t="str">
        <f t="shared" si="461"/>
        <v>USD '000 per brand</v>
      </c>
      <c r="DX115" s="39" t="str">
        <f t="shared" si="425"/>
        <v>-</v>
      </c>
      <c r="DY115" s="39" t="str">
        <f t="shared" si="426"/>
        <v>-</v>
      </c>
      <c r="DZ115" s="39" t="str">
        <f t="shared" si="427"/>
        <v>-</v>
      </c>
      <c r="EA115" s="39" t="str">
        <f t="shared" si="428"/>
        <v>-</v>
      </c>
      <c r="EB115" s="39" t="str">
        <f t="shared" si="429"/>
        <v>-</v>
      </c>
      <c r="EC115" s="39" t="str">
        <f t="shared" si="430"/>
        <v>-</v>
      </c>
      <c r="ED115" s="39" t="str">
        <f t="shared" si="431"/>
        <v>-</v>
      </c>
      <c r="EE115" s="39" t="str">
        <f t="shared" si="432"/>
        <v>-</v>
      </c>
      <c r="EF115" s="39" t="str">
        <f t="shared" si="433"/>
        <v>-</v>
      </c>
      <c r="EG115" s="39" t="str">
        <f t="shared" si="434"/>
        <v>-</v>
      </c>
      <c r="EH115" s="39" t="str">
        <f t="shared" si="435"/>
        <v>-</v>
      </c>
      <c r="EI115" s="39" t="str">
        <f t="shared" si="448"/>
        <v>-</v>
      </c>
      <c r="EJ115" s="39" t="str">
        <f t="shared" si="449"/>
        <v>-</v>
      </c>
      <c r="EK115" s="39" t="str">
        <f t="shared" si="450"/>
        <v>-</v>
      </c>
      <c r="EL115" s="39" t="str">
        <f t="shared" si="451"/>
        <v>-</v>
      </c>
      <c r="EM115" s="39" t="str">
        <f t="shared" si="452"/>
        <v>-</v>
      </c>
      <c r="EN115" s="39" t="str">
        <f t="shared" si="453"/>
        <v>-</v>
      </c>
      <c r="EO115" s="39" t="str">
        <f t="shared" si="454"/>
        <v>-</v>
      </c>
      <c r="EP115" s="39" t="str">
        <f t="shared" si="455"/>
        <v>-</v>
      </c>
      <c r="EQ115" s="39" t="str">
        <f t="shared" si="456"/>
        <v>-</v>
      </c>
      <c r="ER115" s="39" t="str">
        <f t="shared" si="457"/>
        <v>-</v>
      </c>
      <c r="ES115" s="39" t="str">
        <f t="shared" si="458"/>
        <v>-</v>
      </c>
      <c r="ET115" s="39" t="str">
        <f t="shared" si="459"/>
        <v>-</v>
      </c>
      <c r="EU115" s="39" t="str">
        <f t="shared" si="319"/>
        <v>-</v>
      </c>
      <c r="EV115" s="39" t="str">
        <f t="shared" si="320"/>
        <v>-</v>
      </c>
      <c r="EW115" s="39" t="str">
        <f t="shared" si="321"/>
        <v>-</v>
      </c>
      <c r="EX115" s="39" t="str">
        <f t="shared" si="322"/>
        <v>-</v>
      </c>
      <c r="EY115" s="39" t="str">
        <f t="shared" si="323"/>
        <v>-</v>
      </c>
      <c r="EZ115" s="39" t="str">
        <f t="shared" si="324"/>
        <v>-</v>
      </c>
      <c r="FA115" s="39" t="str">
        <f t="shared" si="325"/>
        <v>-</v>
      </c>
      <c r="FB115" s="39" t="str">
        <f t="shared" si="326"/>
        <v>-</v>
      </c>
      <c r="FC115" s="39" t="str">
        <f t="shared" si="327"/>
        <v>-</v>
      </c>
      <c r="FD115" s="39" t="str">
        <f t="shared" si="328"/>
        <v>-</v>
      </c>
      <c r="FE115" s="39" t="str">
        <f t="shared" si="329"/>
        <v>-</v>
      </c>
      <c r="FF115" s="39" t="str">
        <f t="shared" si="330"/>
        <v>-</v>
      </c>
      <c r="FG115" s="39" t="str">
        <f t="shared" si="331"/>
        <v>-</v>
      </c>
      <c r="FH115" s="39" t="str">
        <f t="shared" si="332"/>
        <v>-</v>
      </c>
      <c r="FI115" s="39" t="str">
        <f t="shared" si="333"/>
        <v>-</v>
      </c>
      <c r="FJ115" s="39" t="str">
        <f t="shared" si="334"/>
        <v>-</v>
      </c>
      <c r="FK115" s="39" t="str">
        <f t="shared" si="335"/>
        <v>-</v>
      </c>
      <c r="FL115" s="39" t="str">
        <f t="shared" si="336"/>
        <v>-</v>
      </c>
      <c r="FM115" s="39" t="str">
        <f t="shared" si="337"/>
        <v>-</v>
      </c>
      <c r="FN115" s="39" t="str">
        <f t="shared" si="338"/>
        <v>-</v>
      </c>
      <c r="FO115" s="39" t="str">
        <f t="shared" si="339"/>
        <v>-</v>
      </c>
      <c r="FP115" s="39" t="str">
        <f t="shared" si="340"/>
        <v>-</v>
      </c>
      <c r="FQ115" s="39" t="str">
        <f t="shared" si="341"/>
        <v>-</v>
      </c>
      <c r="FR115" s="39" t="str">
        <f t="shared" si="342"/>
        <v>-</v>
      </c>
      <c r="FS115" s="39" t="str">
        <f t="shared" si="343"/>
        <v>-</v>
      </c>
      <c r="FT115" s="39" t="str">
        <f t="shared" si="344"/>
        <v>-</v>
      </c>
      <c r="FU115" s="39" t="str">
        <f t="shared" si="345"/>
        <v>-</v>
      </c>
      <c r="FV115" s="39" t="str">
        <f t="shared" si="346"/>
        <v>-</v>
      </c>
      <c r="FW115" s="39" t="str">
        <f t="shared" si="347"/>
        <v>-</v>
      </c>
      <c r="FX115" s="39" t="str">
        <f t="shared" si="348"/>
        <v>-</v>
      </c>
      <c r="FY115" s="39" t="str">
        <f t="shared" si="349"/>
        <v>-</v>
      </c>
      <c r="FZ115" s="39" t="str">
        <f t="shared" si="350"/>
        <v>-</v>
      </c>
      <c r="GA115" s="39" t="str">
        <f t="shared" si="351"/>
        <v>-</v>
      </c>
      <c r="GB115" s="39" t="str">
        <f t="shared" si="352"/>
        <v>-</v>
      </c>
      <c r="GC115" s="39" t="str">
        <f t="shared" si="353"/>
        <v>-</v>
      </c>
      <c r="GD115" s="39" t="str">
        <f t="shared" si="354"/>
        <v>-</v>
      </c>
      <c r="GE115" s="39" t="str">
        <f t="shared" si="355"/>
        <v>-</v>
      </c>
      <c r="GF115" s="39" t="str">
        <f t="shared" si="356"/>
        <v>-</v>
      </c>
      <c r="GG115" s="39" t="str">
        <f t="shared" si="357"/>
        <v>-</v>
      </c>
      <c r="GH115" s="39" t="str">
        <f t="shared" si="358"/>
        <v>-</v>
      </c>
      <c r="GI115" s="39" t="str">
        <f t="shared" si="359"/>
        <v>-</v>
      </c>
      <c r="GJ115" s="39" t="str">
        <f t="shared" si="360"/>
        <v>-</v>
      </c>
      <c r="GK115" s="39" t="str">
        <f t="shared" si="361"/>
        <v>-</v>
      </c>
      <c r="GL115" s="39" t="str">
        <f t="shared" si="362"/>
        <v>-</v>
      </c>
      <c r="GM115" s="39" t="str">
        <f t="shared" si="363"/>
        <v>-</v>
      </c>
      <c r="GN115" s="39" t="str">
        <f t="shared" si="364"/>
        <v>-</v>
      </c>
      <c r="GO115" s="39" t="str">
        <f t="shared" si="365"/>
        <v>-</v>
      </c>
      <c r="GP115" s="39" t="str">
        <f t="shared" si="366"/>
        <v>-</v>
      </c>
      <c r="GQ115" s="39" t="str">
        <f t="shared" si="367"/>
        <v>-</v>
      </c>
      <c r="GR115" s="39" t="str">
        <f t="shared" si="368"/>
        <v>-</v>
      </c>
      <c r="GS115" s="39" t="str">
        <f t="shared" si="369"/>
        <v>-</v>
      </c>
      <c r="GT115" s="39" t="str">
        <f t="shared" si="370"/>
        <v>-</v>
      </c>
      <c r="GU115" s="39" t="str">
        <f t="shared" si="371"/>
        <v>-</v>
      </c>
      <c r="GV115" s="39" t="str">
        <f t="shared" si="372"/>
        <v>-</v>
      </c>
      <c r="GW115" s="39" t="str">
        <f t="shared" si="373"/>
        <v>-</v>
      </c>
      <c r="GX115" s="39" t="str">
        <f t="shared" si="374"/>
        <v>-</v>
      </c>
      <c r="GY115" s="39" t="str">
        <f t="shared" si="375"/>
        <v>-</v>
      </c>
      <c r="GZ115" s="39" t="str">
        <f t="shared" si="376"/>
        <v>-</v>
      </c>
      <c r="HA115" s="39" t="str">
        <f t="shared" si="377"/>
        <v>-</v>
      </c>
      <c r="HB115" s="39" t="str">
        <f t="shared" si="378"/>
        <v>-</v>
      </c>
      <c r="HC115" s="39" t="str">
        <f t="shared" si="379"/>
        <v>-</v>
      </c>
      <c r="HD115" s="39" t="str">
        <f t="shared" si="380"/>
        <v>-</v>
      </c>
      <c r="HE115" s="39" t="str">
        <f t="shared" si="381"/>
        <v>-</v>
      </c>
      <c r="HF115" s="39" t="str">
        <f t="shared" si="382"/>
        <v>-</v>
      </c>
      <c r="HG115" s="39" t="str">
        <f t="shared" si="383"/>
        <v>-</v>
      </c>
      <c r="HH115" s="39" t="str">
        <f t="shared" si="384"/>
        <v>-</v>
      </c>
      <c r="HI115" s="39" t="str">
        <f t="shared" si="385"/>
        <v>-</v>
      </c>
      <c r="HJ115" s="39" t="str">
        <f t="shared" si="386"/>
        <v>-</v>
      </c>
      <c r="HK115" s="39" t="str">
        <f t="shared" si="387"/>
        <v>-</v>
      </c>
      <c r="HL115" s="39" t="str">
        <f t="shared" si="388"/>
        <v>-</v>
      </c>
      <c r="HM115" s="39" t="str">
        <f t="shared" si="389"/>
        <v>-</v>
      </c>
      <c r="HN115" s="39" t="str">
        <f t="shared" si="390"/>
        <v>-</v>
      </c>
      <c r="HO115" s="39" t="str">
        <f t="shared" si="391"/>
        <v>-</v>
      </c>
      <c r="HP115" s="39" t="str">
        <f t="shared" si="392"/>
        <v>-</v>
      </c>
      <c r="HQ115" s="39" t="str">
        <f t="shared" si="393"/>
        <v>-</v>
      </c>
      <c r="HR115" s="39" t="str">
        <f t="shared" si="394"/>
        <v>-</v>
      </c>
      <c r="HS115" s="39" t="str">
        <f t="shared" si="395"/>
        <v>-</v>
      </c>
      <c r="HT115" s="39" t="str">
        <f t="shared" si="395"/>
        <v>-</v>
      </c>
      <c r="HU115" s="43" t="str">
        <f t="shared" si="445"/>
        <v>-</v>
      </c>
      <c r="HV115" s="44" t="str">
        <f t="shared" si="446"/>
        <v/>
      </c>
      <c r="HW115" s="45" t="str">
        <f t="shared" si="447"/>
        <v/>
      </c>
      <c r="HX115" s="102"/>
      <c r="HY115" s="102"/>
      <c r="HZ115" s="102"/>
      <c r="IA115" s="101"/>
      <c r="IB115" s="102"/>
      <c r="IC115" s="103"/>
      <c r="ID115" s="101"/>
      <c r="IE115" s="102"/>
      <c r="IF115" s="103"/>
      <c r="IH115" s="66">
        <v>115</v>
      </c>
      <c r="II115" s="66" t="e">
        <f t="shared" ca="1" si="436"/>
        <v>#N/A</v>
      </c>
      <c r="IJ115" s="66" t="e">
        <f t="shared" ca="1" si="437"/>
        <v>#N/A</v>
      </c>
      <c r="IK115" s="66" t="e">
        <f t="shared" ca="1" si="438"/>
        <v>#N/A</v>
      </c>
      <c r="IL115" s="66" t="e">
        <f t="shared" ca="1" si="439"/>
        <v>#N/A</v>
      </c>
      <c r="IN115" s="74" t="e">
        <f t="shared" ca="1" si="440"/>
        <v>#N/A</v>
      </c>
      <c r="IO115" s="75" t="e">
        <f t="shared" ca="1" si="441"/>
        <v>#N/A</v>
      </c>
      <c r="IP115" s="75" t="e">
        <f t="shared" ca="1" si="442"/>
        <v>#N/A</v>
      </c>
      <c r="IQ115" s="74" t="e">
        <f t="shared" ca="1" si="443"/>
        <v>#N/A</v>
      </c>
      <c r="IR115" s="74" t="e">
        <f t="shared" ca="1" si="444"/>
        <v>#N/A</v>
      </c>
    </row>
    <row r="116" spans="1:252" x14ac:dyDescent="0.35">
      <c r="A116" s="28">
        <v>1</v>
      </c>
      <c r="B116" s="28">
        <v>1</v>
      </c>
      <c r="C116" s="28">
        <v>1</v>
      </c>
      <c r="D116" s="1"/>
      <c r="E116" s="3"/>
      <c r="F116" t="s">
        <v>381</v>
      </c>
      <c r="G116" s="5" t="s">
        <v>530</v>
      </c>
      <c r="H116" s="4" t="s">
        <v>545</v>
      </c>
      <c r="I116" t="s">
        <v>532</v>
      </c>
      <c r="J116" s="276" t="s">
        <v>805</v>
      </c>
      <c r="K116" s="21" t="s">
        <v>805</v>
      </c>
      <c r="L116" s="21" t="s">
        <v>805</v>
      </c>
      <c r="M116" s="21" t="s">
        <v>805</v>
      </c>
      <c r="N116" s="21" t="s">
        <v>805</v>
      </c>
      <c r="O116" s="21" t="s">
        <v>805</v>
      </c>
      <c r="P116" s="21" t="s">
        <v>805</v>
      </c>
      <c r="Q116" s="21" t="s">
        <v>805</v>
      </c>
      <c r="R116" s="21" t="s">
        <v>805</v>
      </c>
      <c r="S116" s="21" t="s">
        <v>805</v>
      </c>
      <c r="T116" s="21" t="s">
        <v>805</v>
      </c>
      <c r="U116" s="21" t="s">
        <v>805</v>
      </c>
      <c r="V116" s="21" t="s">
        <v>805</v>
      </c>
      <c r="W116" s="21" t="s">
        <v>805</v>
      </c>
      <c r="X116" s="21" t="s">
        <v>805</v>
      </c>
      <c r="Y116" s="21" t="s">
        <v>805</v>
      </c>
      <c r="Z116" s="21" t="s">
        <v>805</v>
      </c>
      <c r="AA116" s="21" t="s">
        <v>805</v>
      </c>
      <c r="AB116" s="21" t="s">
        <v>805</v>
      </c>
      <c r="AC116" s="21" t="s">
        <v>805</v>
      </c>
      <c r="AD116" s="21" t="s">
        <v>805</v>
      </c>
      <c r="AE116" s="21" t="s">
        <v>805</v>
      </c>
      <c r="AF116" s="21" t="s">
        <v>805</v>
      </c>
      <c r="AG116" s="21" t="s">
        <v>805</v>
      </c>
      <c r="AH116" s="21" t="s">
        <v>805</v>
      </c>
      <c r="AI116" s="21" t="s">
        <v>805</v>
      </c>
      <c r="AJ116" s="21" t="s">
        <v>805</v>
      </c>
      <c r="AK116" s="21" t="s">
        <v>805</v>
      </c>
      <c r="AL116" s="21" t="s">
        <v>805</v>
      </c>
      <c r="AM116" s="21" t="s">
        <v>805</v>
      </c>
      <c r="AN116" s="21" t="s">
        <v>805</v>
      </c>
      <c r="AO116" s="21" t="s">
        <v>805</v>
      </c>
      <c r="AP116" s="21" t="s">
        <v>805</v>
      </c>
      <c r="AQ116" s="21" t="s">
        <v>805</v>
      </c>
      <c r="AR116" s="21" t="s">
        <v>805</v>
      </c>
      <c r="AS116" s="21" t="s">
        <v>805</v>
      </c>
      <c r="AT116" s="21" t="s">
        <v>805</v>
      </c>
      <c r="AU116" s="21" t="s">
        <v>805</v>
      </c>
      <c r="AV116" s="21" t="s">
        <v>805</v>
      </c>
      <c r="AW116" s="21" t="s">
        <v>805</v>
      </c>
      <c r="AX116" s="21" t="s">
        <v>805</v>
      </c>
      <c r="AY116" s="21" t="s">
        <v>805</v>
      </c>
      <c r="AZ116" s="21" t="s">
        <v>805</v>
      </c>
      <c r="BA116" s="21" t="s">
        <v>805</v>
      </c>
      <c r="BB116" s="21" t="s">
        <v>805</v>
      </c>
      <c r="BC116" s="21" t="s">
        <v>805</v>
      </c>
      <c r="BD116" s="21" t="s">
        <v>805</v>
      </c>
      <c r="BE116" s="21" t="s">
        <v>805</v>
      </c>
      <c r="BF116" s="21" t="s">
        <v>805</v>
      </c>
      <c r="BG116" s="21" t="s">
        <v>805</v>
      </c>
      <c r="BH116" s="21" t="s">
        <v>805</v>
      </c>
      <c r="BI116" s="21" t="s">
        <v>805</v>
      </c>
      <c r="BJ116" s="21" t="s">
        <v>805</v>
      </c>
      <c r="BK116" s="21" t="s">
        <v>805</v>
      </c>
      <c r="BL116" s="21" t="s">
        <v>805</v>
      </c>
      <c r="BM116" s="21" t="s">
        <v>805</v>
      </c>
      <c r="BN116" s="21" t="s">
        <v>805</v>
      </c>
      <c r="BO116" s="21" t="s">
        <v>805</v>
      </c>
      <c r="BP116" s="21" t="s">
        <v>805</v>
      </c>
      <c r="BQ116" s="21" t="s">
        <v>805</v>
      </c>
      <c r="BR116" s="21" t="s">
        <v>805</v>
      </c>
      <c r="BS116" s="21" t="s">
        <v>805</v>
      </c>
      <c r="BT116" s="21" t="s">
        <v>805</v>
      </c>
      <c r="BU116" s="21" t="s">
        <v>805</v>
      </c>
      <c r="BV116" s="21" t="s">
        <v>805</v>
      </c>
      <c r="BW116" s="21" t="s">
        <v>805</v>
      </c>
      <c r="BX116" s="21" t="s">
        <v>805</v>
      </c>
      <c r="BY116" s="21" t="s">
        <v>805</v>
      </c>
      <c r="BZ116" s="21" t="s">
        <v>805</v>
      </c>
      <c r="CA116" s="21" t="s">
        <v>805</v>
      </c>
      <c r="CB116" s="21" t="s">
        <v>805</v>
      </c>
      <c r="CC116" s="21" t="s">
        <v>805</v>
      </c>
      <c r="CD116" s="21" t="s">
        <v>805</v>
      </c>
      <c r="CE116" s="21" t="s">
        <v>805</v>
      </c>
      <c r="CF116" s="21" t="s">
        <v>805</v>
      </c>
      <c r="CG116" s="21" t="s">
        <v>805</v>
      </c>
      <c r="CH116" s="21" t="s">
        <v>805</v>
      </c>
      <c r="CI116" s="21" t="s">
        <v>805</v>
      </c>
      <c r="CJ116" s="21" t="s">
        <v>805</v>
      </c>
      <c r="CK116" s="21" t="s">
        <v>805</v>
      </c>
      <c r="CL116" s="21" t="s">
        <v>805</v>
      </c>
      <c r="CM116" s="21" t="s">
        <v>805</v>
      </c>
      <c r="CN116" s="21" t="s">
        <v>805</v>
      </c>
      <c r="CO116" s="21" t="s">
        <v>805</v>
      </c>
      <c r="CP116" s="21" t="s">
        <v>805</v>
      </c>
      <c r="CQ116" s="21" t="s">
        <v>805</v>
      </c>
      <c r="CR116" s="21" t="s">
        <v>805</v>
      </c>
      <c r="CS116" s="21" t="s">
        <v>805</v>
      </c>
      <c r="CT116" s="21" t="s">
        <v>805</v>
      </c>
      <c r="CU116" s="21" t="s">
        <v>805</v>
      </c>
      <c r="CV116" s="21" t="s">
        <v>805</v>
      </c>
      <c r="CW116" s="21" t="s">
        <v>805</v>
      </c>
      <c r="CX116" s="21" t="s">
        <v>805</v>
      </c>
      <c r="CY116" s="21" t="s">
        <v>805</v>
      </c>
      <c r="CZ116" s="21" t="s">
        <v>805</v>
      </c>
      <c r="DA116" s="21" t="s">
        <v>805</v>
      </c>
      <c r="DB116" s="21" t="s">
        <v>805</v>
      </c>
      <c r="DC116" s="21" t="s">
        <v>805</v>
      </c>
      <c r="DD116" s="21" t="s">
        <v>805</v>
      </c>
      <c r="DE116" s="21" t="s">
        <v>805</v>
      </c>
      <c r="DF116" s="21" t="s">
        <v>805</v>
      </c>
      <c r="DG116" s="28">
        <f>'KPI Count-SHARE'!J105</f>
        <v>0</v>
      </c>
      <c r="DH116" s="108"/>
      <c r="DI116" s="108"/>
      <c r="DJ116" s="108"/>
      <c r="DK116" s="28">
        <f>'KPI Count-SHARE'!K105</f>
        <v>0</v>
      </c>
      <c r="DL116" s="58"/>
      <c r="DM116" s="58"/>
      <c r="DN116" s="58"/>
      <c r="DO116" s="28">
        <f>'KPI Count-SHARE'!L105</f>
        <v>0</v>
      </c>
      <c r="DP116" s="58"/>
      <c r="DQ116" s="58"/>
      <c r="DR116" s="58"/>
      <c r="DS116" s="28">
        <f>'KPI Count-SHARE'!M105</f>
        <v>0</v>
      </c>
      <c r="DT116" s="58"/>
      <c r="DU116" s="58"/>
      <c r="DV116" s="58"/>
      <c r="DW116" t="s">
        <v>545</v>
      </c>
      <c r="DX116" s="41" t="str">
        <f t="shared" si="425"/>
        <v/>
      </c>
      <c r="DY116" s="41" t="str">
        <f t="shared" si="426"/>
        <v/>
      </c>
      <c r="DZ116" s="41" t="str">
        <f t="shared" si="427"/>
        <v/>
      </c>
      <c r="EA116" s="41" t="str">
        <f t="shared" si="428"/>
        <v/>
      </c>
      <c r="EB116" s="41" t="str">
        <f t="shared" si="429"/>
        <v/>
      </c>
      <c r="EC116" s="41" t="str">
        <f t="shared" si="430"/>
        <v/>
      </c>
      <c r="ED116" s="41" t="str">
        <f t="shared" si="431"/>
        <v/>
      </c>
      <c r="EE116" s="41" t="str">
        <f t="shared" si="432"/>
        <v/>
      </c>
      <c r="EF116" s="41" t="str">
        <f t="shared" si="433"/>
        <v/>
      </c>
      <c r="EG116" s="41" t="str">
        <f t="shared" si="434"/>
        <v/>
      </c>
      <c r="EH116" s="41" t="str">
        <f t="shared" si="435"/>
        <v/>
      </c>
      <c r="EI116" s="41" t="str">
        <f t="shared" si="448"/>
        <v/>
      </c>
      <c r="EJ116" s="41" t="str">
        <f t="shared" si="449"/>
        <v/>
      </c>
      <c r="EK116" s="41" t="str">
        <f t="shared" si="450"/>
        <v/>
      </c>
      <c r="EL116" s="41" t="str">
        <f t="shared" si="451"/>
        <v/>
      </c>
      <c r="EM116" s="41" t="str">
        <f t="shared" si="452"/>
        <v/>
      </c>
      <c r="EN116" s="41" t="str">
        <f t="shared" si="453"/>
        <v/>
      </c>
      <c r="EO116" s="41" t="str">
        <f t="shared" si="454"/>
        <v/>
      </c>
      <c r="EP116" s="41" t="str">
        <f t="shared" si="455"/>
        <v/>
      </c>
      <c r="EQ116" s="41" t="str">
        <f t="shared" si="456"/>
        <v/>
      </c>
      <c r="ER116" s="41" t="str">
        <f t="shared" si="457"/>
        <v/>
      </c>
      <c r="ES116" s="41" t="str">
        <f t="shared" si="458"/>
        <v/>
      </c>
      <c r="ET116" s="41" t="str">
        <f t="shared" si="459"/>
        <v/>
      </c>
      <c r="EU116" s="41" t="str">
        <f t="shared" si="319"/>
        <v/>
      </c>
      <c r="EV116" s="41" t="str">
        <f t="shared" si="320"/>
        <v/>
      </c>
      <c r="EW116" s="41" t="str">
        <f t="shared" si="321"/>
        <v/>
      </c>
      <c r="EX116" s="41" t="str">
        <f t="shared" si="322"/>
        <v/>
      </c>
      <c r="EY116" s="41" t="str">
        <f t="shared" si="323"/>
        <v/>
      </c>
      <c r="EZ116" s="41" t="str">
        <f t="shared" si="324"/>
        <v/>
      </c>
      <c r="FA116" s="41" t="str">
        <f t="shared" si="325"/>
        <v/>
      </c>
      <c r="FB116" s="41" t="str">
        <f t="shared" si="326"/>
        <v/>
      </c>
      <c r="FC116" s="41" t="str">
        <f t="shared" si="327"/>
        <v/>
      </c>
      <c r="FD116" s="41" t="str">
        <f t="shared" si="328"/>
        <v/>
      </c>
      <c r="FE116" s="41" t="str">
        <f t="shared" si="329"/>
        <v/>
      </c>
      <c r="FF116" s="41" t="str">
        <f t="shared" si="330"/>
        <v/>
      </c>
      <c r="FG116" s="41" t="str">
        <f t="shared" si="331"/>
        <v/>
      </c>
      <c r="FH116" s="41" t="str">
        <f t="shared" si="332"/>
        <v/>
      </c>
      <c r="FI116" s="41" t="str">
        <f t="shared" si="333"/>
        <v/>
      </c>
      <c r="FJ116" s="41" t="str">
        <f t="shared" si="334"/>
        <v/>
      </c>
      <c r="FK116" s="41" t="str">
        <f t="shared" si="335"/>
        <v/>
      </c>
      <c r="FL116" s="41" t="str">
        <f t="shared" si="336"/>
        <v/>
      </c>
      <c r="FM116" s="41" t="str">
        <f t="shared" si="337"/>
        <v/>
      </c>
      <c r="FN116" s="41" t="str">
        <f t="shared" si="338"/>
        <v/>
      </c>
      <c r="FO116" s="41" t="str">
        <f t="shared" si="339"/>
        <v/>
      </c>
      <c r="FP116" s="41" t="str">
        <f t="shared" si="340"/>
        <v/>
      </c>
      <c r="FQ116" s="41" t="str">
        <f t="shared" si="341"/>
        <v/>
      </c>
      <c r="FR116" s="41" t="str">
        <f t="shared" si="342"/>
        <v/>
      </c>
      <c r="FS116" s="41" t="str">
        <f t="shared" si="343"/>
        <v/>
      </c>
      <c r="FT116" s="41" t="str">
        <f t="shared" si="344"/>
        <v/>
      </c>
      <c r="FU116" s="41" t="str">
        <f t="shared" si="345"/>
        <v/>
      </c>
      <c r="FV116" s="41" t="str">
        <f t="shared" si="346"/>
        <v/>
      </c>
      <c r="FW116" s="41" t="str">
        <f t="shared" si="347"/>
        <v/>
      </c>
      <c r="FX116" s="41" t="str">
        <f t="shared" si="348"/>
        <v/>
      </c>
      <c r="FY116" s="41" t="str">
        <f t="shared" si="349"/>
        <v/>
      </c>
      <c r="FZ116" s="41" t="str">
        <f t="shared" si="350"/>
        <v/>
      </c>
      <c r="GA116" s="41" t="str">
        <f t="shared" si="351"/>
        <v/>
      </c>
      <c r="GB116" s="41" t="str">
        <f t="shared" si="352"/>
        <v/>
      </c>
      <c r="GC116" s="41" t="str">
        <f t="shared" si="353"/>
        <v/>
      </c>
      <c r="GD116" s="41" t="str">
        <f t="shared" si="354"/>
        <v/>
      </c>
      <c r="GE116" s="41" t="str">
        <f t="shared" si="355"/>
        <v/>
      </c>
      <c r="GF116" s="41" t="str">
        <f t="shared" si="356"/>
        <v/>
      </c>
      <c r="GG116" s="41" t="str">
        <f t="shared" si="357"/>
        <v/>
      </c>
      <c r="GH116" s="41" t="str">
        <f t="shared" si="358"/>
        <v/>
      </c>
      <c r="GI116" s="41" t="str">
        <f t="shared" si="359"/>
        <v/>
      </c>
      <c r="GJ116" s="41" t="str">
        <f t="shared" si="360"/>
        <v/>
      </c>
      <c r="GK116" s="41" t="str">
        <f t="shared" si="361"/>
        <v/>
      </c>
      <c r="GL116" s="41" t="str">
        <f t="shared" si="362"/>
        <v/>
      </c>
      <c r="GM116" s="41" t="str">
        <f t="shared" si="363"/>
        <v/>
      </c>
      <c r="GN116" s="41" t="str">
        <f t="shared" si="364"/>
        <v/>
      </c>
      <c r="GO116" s="41" t="str">
        <f t="shared" si="365"/>
        <v/>
      </c>
      <c r="GP116" s="41" t="str">
        <f t="shared" si="366"/>
        <v/>
      </c>
      <c r="GQ116" s="41" t="str">
        <f t="shared" si="367"/>
        <v/>
      </c>
      <c r="GR116" s="41" t="str">
        <f t="shared" si="368"/>
        <v/>
      </c>
      <c r="GS116" s="41" t="str">
        <f t="shared" si="369"/>
        <v/>
      </c>
      <c r="GT116" s="41" t="str">
        <f t="shared" si="370"/>
        <v/>
      </c>
      <c r="GU116" s="41" t="str">
        <f t="shared" si="371"/>
        <v/>
      </c>
      <c r="GV116" s="41" t="str">
        <f t="shared" si="372"/>
        <v/>
      </c>
      <c r="GW116" s="41" t="str">
        <f t="shared" si="373"/>
        <v/>
      </c>
      <c r="GX116" s="41" t="str">
        <f t="shared" si="374"/>
        <v/>
      </c>
      <c r="GY116" s="41" t="str">
        <f t="shared" si="375"/>
        <v/>
      </c>
      <c r="GZ116" s="41" t="str">
        <f t="shared" si="376"/>
        <v/>
      </c>
      <c r="HA116" s="41" t="str">
        <f t="shared" si="377"/>
        <v/>
      </c>
      <c r="HB116" s="41" t="str">
        <f t="shared" si="378"/>
        <v/>
      </c>
      <c r="HC116" s="41" t="str">
        <f t="shared" si="379"/>
        <v/>
      </c>
      <c r="HD116" s="41" t="str">
        <f t="shared" si="380"/>
        <v/>
      </c>
      <c r="HE116" s="41" t="str">
        <f t="shared" si="381"/>
        <v/>
      </c>
      <c r="HF116" s="41" t="str">
        <f t="shared" si="382"/>
        <v/>
      </c>
      <c r="HG116" s="41" t="str">
        <f t="shared" si="383"/>
        <v/>
      </c>
      <c r="HH116" s="41" t="str">
        <f t="shared" si="384"/>
        <v/>
      </c>
      <c r="HI116" s="41" t="str">
        <f t="shared" si="385"/>
        <v/>
      </c>
      <c r="HJ116" s="41" t="str">
        <f t="shared" si="386"/>
        <v/>
      </c>
      <c r="HK116" s="41" t="str">
        <f t="shared" si="387"/>
        <v/>
      </c>
      <c r="HL116" s="41" t="str">
        <f t="shared" si="388"/>
        <v/>
      </c>
      <c r="HM116" s="41" t="str">
        <f t="shared" si="389"/>
        <v/>
      </c>
      <c r="HN116" s="41" t="str">
        <f t="shared" si="390"/>
        <v/>
      </c>
      <c r="HO116" s="41" t="str">
        <f t="shared" si="391"/>
        <v/>
      </c>
      <c r="HP116" s="41" t="str">
        <f t="shared" si="392"/>
        <v/>
      </c>
      <c r="HQ116" s="41" t="str">
        <f t="shared" si="393"/>
        <v/>
      </c>
      <c r="HR116" s="41" t="str">
        <f t="shared" si="394"/>
        <v/>
      </c>
      <c r="HS116" s="41" t="str">
        <f t="shared" si="395"/>
        <v/>
      </c>
      <c r="HT116" s="41" t="str">
        <f t="shared" si="395"/>
        <v/>
      </c>
      <c r="HU116" s="43" t="str">
        <f t="shared" si="445"/>
        <v>-</v>
      </c>
      <c r="HV116" s="44" t="str">
        <f t="shared" si="446"/>
        <v/>
      </c>
      <c r="HW116" s="45" t="str">
        <f t="shared" si="447"/>
        <v/>
      </c>
      <c r="HX116" s="96"/>
      <c r="HY116" s="96"/>
      <c r="HZ116" s="96"/>
      <c r="IA116" s="95"/>
      <c r="IB116" s="96"/>
      <c r="IC116" s="97"/>
      <c r="ID116" s="95"/>
      <c r="IE116" s="96"/>
      <c r="IF116" s="97"/>
      <c r="IH116" s="66">
        <v>116</v>
      </c>
      <c r="II116" s="66" t="e">
        <f t="shared" ca="1" si="436"/>
        <v>#N/A</v>
      </c>
      <c r="IJ116" s="66" t="e">
        <f t="shared" ca="1" si="437"/>
        <v>#N/A</v>
      </c>
      <c r="IK116" s="66" t="e">
        <f t="shared" ca="1" si="438"/>
        <v>#N/A</v>
      </c>
      <c r="IL116" s="66" t="e">
        <f t="shared" ca="1" si="439"/>
        <v>#N/A</v>
      </c>
      <c r="IN116" s="74" t="e">
        <f t="shared" ca="1" si="440"/>
        <v>#N/A</v>
      </c>
      <c r="IO116" s="75" t="e">
        <f t="shared" ca="1" si="441"/>
        <v>#N/A</v>
      </c>
      <c r="IP116" s="75" t="e">
        <f t="shared" ca="1" si="442"/>
        <v>#N/A</v>
      </c>
      <c r="IQ116" s="74" t="e">
        <f t="shared" ca="1" si="443"/>
        <v>#N/A</v>
      </c>
      <c r="IR116" s="74" t="e">
        <f t="shared" ca="1" si="444"/>
        <v>#N/A</v>
      </c>
    </row>
    <row r="117" spans="1:252" x14ac:dyDescent="0.35">
      <c r="A117" s="28">
        <v>0</v>
      </c>
      <c r="B117" s="28">
        <v>0</v>
      </c>
      <c r="C117" s="28">
        <v>1</v>
      </c>
      <c r="D117" s="1"/>
      <c r="E117" s="3"/>
      <c r="F117" t="s">
        <v>382</v>
      </c>
      <c r="G117" s="5" t="s">
        <v>530</v>
      </c>
      <c r="H117" s="4" t="s">
        <v>545</v>
      </c>
      <c r="I117" t="s">
        <v>532</v>
      </c>
      <c r="J117" s="276" t="s">
        <v>805</v>
      </c>
      <c r="K117" s="21" t="s">
        <v>805</v>
      </c>
      <c r="L117" s="21" t="s">
        <v>805</v>
      </c>
      <c r="M117" s="21" t="s">
        <v>805</v>
      </c>
      <c r="N117" s="21" t="s">
        <v>805</v>
      </c>
      <c r="O117" s="21" t="s">
        <v>805</v>
      </c>
      <c r="P117" s="21" t="s">
        <v>805</v>
      </c>
      <c r="Q117" s="21" t="s">
        <v>805</v>
      </c>
      <c r="R117" s="21" t="s">
        <v>805</v>
      </c>
      <c r="S117" s="21" t="s">
        <v>805</v>
      </c>
      <c r="T117" s="21" t="s">
        <v>805</v>
      </c>
      <c r="U117" s="21" t="s">
        <v>805</v>
      </c>
      <c r="V117" s="21" t="s">
        <v>805</v>
      </c>
      <c r="W117" s="21" t="s">
        <v>805</v>
      </c>
      <c r="X117" s="21" t="s">
        <v>805</v>
      </c>
      <c r="Y117" s="21" t="s">
        <v>805</v>
      </c>
      <c r="Z117" s="21" t="s">
        <v>805</v>
      </c>
      <c r="AA117" s="21" t="s">
        <v>805</v>
      </c>
      <c r="AB117" s="21" t="s">
        <v>805</v>
      </c>
      <c r="AC117" s="21" t="s">
        <v>805</v>
      </c>
      <c r="AD117" s="21" t="s">
        <v>805</v>
      </c>
      <c r="AE117" s="21" t="s">
        <v>805</v>
      </c>
      <c r="AF117" s="21" t="s">
        <v>805</v>
      </c>
      <c r="AG117" s="21" t="s">
        <v>805</v>
      </c>
      <c r="AH117" s="21" t="s">
        <v>805</v>
      </c>
      <c r="AI117" s="21" t="s">
        <v>805</v>
      </c>
      <c r="AJ117" s="21" t="s">
        <v>805</v>
      </c>
      <c r="AK117" s="21" t="s">
        <v>805</v>
      </c>
      <c r="AL117" s="21" t="s">
        <v>805</v>
      </c>
      <c r="AM117" s="21" t="s">
        <v>805</v>
      </c>
      <c r="AN117" s="21" t="s">
        <v>805</v>
      </c>
      <c r="AO117" s="21" t="s">
        <v>805</v>
      </c>
      <c r="AP117" s="21" t="s">
        <v>805</v>
      </c>
      <c r="AQ117" s="21" t="s">
        <v>805</v>
      </c>
      <c r="AR117" s="21" t="s">
        <v>805</v>
      </c>
      <c r="AS117" s="21" t="s">
        <v>805</v>
      </c>
      <c r="AT117" s="21" t="s">
        <v>805</v>
      </c>
      <c r="AU117" s="21" t="s">
        <v>805</v>
      </c>
      <c r="AV117" s="21" t="s">
        <v>805</v>
      </c>
      <c r="AW117" s="21" t="s">
        <v>805</v>
      </c>
      <c r="AX117" s="21" t="s">
        <v>805</v>
      </c>
      <c r="AY117" s="21" t="s">
        <v>805</v>
      </c>
      <c r="AZ117" s="21" t="s">
        <v>805</v>
      </c>
      <c r="BA117" s="21" t="s">
        <v>805</v>
      </c>
      <c r="BB117" s="21" t="s">
        <v>805</v>
      </c>
      <c r="BC117" s="21" t="s">
        <v>805</v>
      </c>
      <c r="BD117" s="21" t="s">
        <v>805</v>
      </c>
      <c r="BE117" s="21" t="s">
        <v>805</v>
      </c>
      <c r="BF117" s="21" t="s">
        <v>805</v>
      </c>
      <c r="BG117" s="21" t="s">
        <v>805</v>
      </c>
      <c r="BH117" s="21" t="s">
        <v>805</v>
      </c>
      <c r="BI117" s="21" t="s">
        <v>805</v>
      </c>
      <c r="BJ117" s="21" t="s">
        <v>805</v>
      </c>
      <c r="BK117" s="21" t="s">
        <v>805</v>
      </c>
      <c r="BL117" s="21" t="s">
        <v>805</v>
      </c>
      <c r="BM117" s="21" t="s">
        <v>805</v>
      </c>
      <c r="BN117" s="21" t="s">
        <v>805</v>
      </c>
      <c r="BO117" s="21" t="s">
        <v>805</v>
      </c>
      <c r="BP117" s="21" t="s">
        <v>805</v>
      </c>
      <c r="BQ117" s="21" t="s">
        <v>805</v>
      </c>
      <c r="BR117" s="21" t="s">
        <v>805</v>
      </c>
      <c r="BS117" s="21" t="s">
        <v>805</v>
      </c>
      <c r="BT117" s="21" t="s">
        <v>805</v>
      </c>
      <c r="BU117" s="21" t="s">
        <v>805</v>
      </c>
      <c r="BV117" s="21" t="s">
        <v>805</v>
      </c>
      <c r="BW117" s="21" t="s">
        <v>805</v>
      </c>
      <c r="BX117" s="21" t="s">
        <v>805</v>
      </c>
      <c r="BY117" s="21" t="s">
        <v>805</v>
      </c>
      <c r="BZ117" s="21" t="s">
        <v>805</v>
      </c>
      <c r="CA117" s="21" t="s">
        <v>805</v>
      </c>
      <c r="CB117" s="21" t="s">
        <v>805</v>
      </c>
      <c r="CC117" s="21" t="s">
        <v>805</v>
      </c>
      <c r="CD117" s="21" t="s">
        <v>805</v>
      </c>
      <c r="CE117" s="21" t="s">
        <v>805</v>
      </c>
      <c r="CF117" s="21" t="s">
        <v>805</v>
      </c>
      <c r="CG117" s="21" t="s">
        <v>805</v>
      </c>
      <c r="CH117" s="21" t="s">
        <v>805</v>
      </c>
      <c r="CI117" s="21" t="s">
        <v>805</v>
      </c>
      <c r="CJ117" s="21" t="s">
        <v>805</v>
      </c>
      <c r="CK117" s="21" t="s">
        <v>805</v>
      </c>
      <c r="CL117" s="21" t="s">
        <v>805</v>
      </c>
      <c r="CM117" s="21" t="s">
        <v>805</v>
      </c>
      <c r="CN117" s="21" t="s">
        <v>805</v>
      </c>
      <c r="CO117" s="21" t="s">
        <v>805</v>
      </c>
      <c r="CP117" s="21" t="s">
        <v>805</v>
      </c>
      <c r="CQ117" s="21" t="s">
        <v>805</v>
      </c>
      <c r="CR117" s="21" t="s">
        <v>805</v>
      </c>
      <c r="CS117" s="21" t="s">
        <v>805</v>
      </c>
      <c r="CT117" s="21" t="s">
        <v>805</v>
      </c>
      <c r="CU117" s="21" t="s">
        <v>805</v>
      </c>
      <c r="CV117" s="21" t="s">
        <v>805</v>
      </c>
      <c r="CW117" s="21" t="s">
        <v>805</v>
      </c>
      <c r="CX117" s="21" t="s">
        <v>805</v>
      </c>
      <c r="CY117" s="21" t="s">
        <v>805</v>
      </c>
      <c r="CZ117" s="21" t="s">
        <v>805</v>
      </c>
      <c r="DA117" s="21" t="s">
        <v>805</v>
      </c>
      <c r="DB117" s="21" t="s">
        <v>805</v>
      </c>
      <c r="DC117" s="21" t="s">
        <v>805</v>
      </c>
      <c r="DD117" s="21" t="s">
        <v>805</v>
      </c>
      <c r="DE117" s="21" t="s">
        <v>805</v>
      </c>
      <c r="DF117" s="21" t="s">
        <v>805</v>
      </c>
      <c r="DG117" s="28">
        <f>'KPI Count-SHARE'!J106</f>
        <v>0</v>
      </c>
      <c r="DH117" s="108"/>
      <c r="DI117" s="108"/>
      <c r="DJ117" s="108"/>
      <c r="DK117" s="28">
        <f>'KPI Count-SHARE'!K106</f>
        <v>0</v>
      </c>
      <c r="DL117" s="58"/>
      <c r="DM117" s="58"/>
      <c r="DN117" s="58"/>
      <c r="DO117" s="28">
        <f>'KPI Count-SHARE'!L106</f>
        <v>0</v>
      </c>
      <c r="DP117" s="58"/>
      <c r="DQ117" s="58"/>
      <c r="DR117" s="58"/>
      <c r="DS117" s="28">
        <f>'KPI Count-SHARE'!M106</f>
        <v>0</v>
      </c>
      <c r="DT117" s="58"/>
      <c r="DU117" s="58"/>
      <c r="DV117" s="58"/>
      <c r="DW117" t="s">
        <v>545</v>
      </c>
      <c r="DX117" s="41" t="str">
        <f t="shared" si="425"/>
        <v/>
      </c>
      <c r="DY117" s="41" t="str">
        <f t="shared" si="426"/>
        <v/>
      </c>
      <c r="DZ117" s="41" t="str">
        <f t="shared" si="427"/>
        <v/>
      </c>
      <c r="EA117" s="41" t="str">
        <f t="shared" si="428"/>
        <v/>
      </c>
      <c r="EB117" s="41" t="str">
        <f t="shared" si="429"/>
        <v/>
      </c>
      <c r="EC117" s="41" t="str">
        <f t="shared" si="430"/>
        <v/>
      </c>
      <c r="ED117" s="41" t="str">
        <f t="shared" si="431"/>
        <v/>
      </c>
      <c r="EE117" s="41" t="str">
        <f t="shared" si="432"/>
        <v/>
      </c>
      <c r="EF117" s="41" t="str">
        <f t="shared" si="433"/>
        <v/>
      </c>
      <c r="EG117" s="41" t="str">
        <f t="shared" si="434"/>
        <v/>
      </c>
      <c r="EH117" s="41" t="str">
        <f t="shared" si="435"/>
        <v/>
      </c>
      <c r="EI117" s="41" t="str">
        <f t="shared" si="448"/>
        <v/>
      </c>
      <c r="EJ117" s="41" t="str">
        <f t="shared" si="449"/>
        <v/>
      </c>
      <c r="EK117" s="41" t="str">
        <f t="shared" si="450"/>
        <v/>
      </c>
      <c r="EL117" s="41" t="str">
        <f t="shared" si="451"/>
        <v/>
      </c>
      <c r="EM117" s="41" t="str">
        <f t="shared" si="452"/>
        <v/>
      </c>
      <c r="EN117" s="41" t="str">
        <f t="shared" si="453"/>
        <v/>
      </c>
      <c r="EO117" s="41" t="str">
        <f t="shared" si="454"/>
        <v/>
      </c>
      <c r="EP117" s="41" t="str">
        <f t="shared" si="455"/>
        <v/>
      </c>
      <c r="EQ117" s="41" t="str">
        <f t="shared" si="456"/>
        <v/>
      </c>
      <c r="ER117" s="41" t="str">
        <f t="shared" si="457"/>
        <v/>
      </c>
      <c r="ES117" s="41" t="str">
        <f t="shared" si="458"/>
        <v/>
      </c>
      <c r="ET117" s="41" t="str">
        <f t="shared" si="459"/>
        <v/>
      </c>
      <c r="EU117" s="41" t="str">
        <f t="shared" si="319"/>
        <v/>
      </c>
      <c r="EV117" s="41" t="str">
        <f t="shared" si="320"/>
        <v/>
      </c>
      <c r="EW117" s="41" t="str">
        <f t="shared" si="321"/>
        <v/>
      </c>
      <c r="EX117" s="41" t="str">
        <f t="shared" si="322"/>
        <v/>
      </c>
      <c r="EY117" s="41" t="str">
        <f t="shared" si="323"/>
        <v/>
      </c>
      <c r="EZ117" s="41" t="str">
        <f t="shared" si="324"/>
        <v/>
      </c>
      <c r="FA117" s="41" t="str">
        <f t="shared" si="325"/>
        <v/>
      </c>
      <c r="FB117" s="41" t="str">
        <f t="shared" si="326"/>
        <v/>
      </c>
      <c r="FC117" s="41" t="str">
        <f t="shared" si="327"/>
        <v/>
      </c>
      <c r="FD117" s="41" t="str">
        <f t="shared" si="328"/>
        <v/>
      </c>
      <c r="FE117" s="41" t="str">
        <f t="shared" si="329"/>
        <v/>
      </c>
      <c r="FF117" s="41" t="str">
        <f t="shared" si="330"/>
        <v/>
      </c>
      <c r="FG117" s="41" t="str">
        <f t="shared" si="331"/>
        <v/>
      </c>
      <c r="FH117" s="41" t="str">
        <f t="shared" si="332"/>
        <v/>
      </c>
      <c r="FI117" s="41" t="str">
        <f t="shared" si="333"/>
        <v/>
      </c>
      <c r="FJ117" s="41" t="str">
        <f t="shared" si="334"/>
        <v/>
      </c>
      <c r="FK117" s="41" t="str">
        <f t="shared" si="335"/>
        <v/>
      </c>
      <c r="FL117" s="41" t="str">
        <f t="shared" si="336"/>
        <v/>
      </c>
      <c r="FM117" s="41" t="str">
        <f t="shared" si="337"/>
        <v/>
      </c>
      <c r="FN117" s="41" t="str">
        <f t="shared" si="338"/>
        <v/>
      </c>
      <c r="FO117" s="41" t="str">
        <f t="shared" si="339"/>
        <v/>
      </c>
      <c r="FP117" s="41" t="str">
        <f t="shared" si="340"/>
        <v/>
      </c>
      <c r="FQ117" s="41" t="str">
        <f t="shared" si="341"/>
        <v/>
      </c>
      <c r="FR117" s="41" t="str">
        <f t="shared" si="342"/>
        <v/>
      </c>
      <c r="FS117" s="41" t="str">
        <f t="shared" si="343"/>
        <v/>
      </c>
      <c r="FT117" s="41" t="str">
        <f t="shared" si="344"/>
        <v/>
      </c>
      <c r="FU117" s="41" t="str">
        <f t="shared" si="345"/>
        <v/>
      </c>
      <c r="FV117" s="41" t="str">
        <f t="shared" si="346"/>
        <v/>
      </c>
      <c r="FW117" s="41" t="str">
        <f t="shared" si="347"/>
        <v/>
      </c>
      <c r="FX117" s="41" t="str">
        <f t="shared" si="348"/>
        <v/>
      </c>
      <c r="FY117" s="41" t="str">
        <f t="shared" si="349"/>
        <v/>
      </c>
      <c r="FZ117" s="41" t="str">
        <f t="shared" si="350"/>
        <v/>
      </c>
      <c r="GA117" s="41" t="str">
        <f t="shared" si="351"/>
        <v/>
      </c>
      <c r="GB117" s="41" t="str">
        <f t="shared" si="352"/>
        <v/>
      </c>
      <c r="GC117" s="41" t="str">
        <f t="shared" si="353"/>
        <v/>
      </c>
      <c r="GD117" s="41" t="str">
        <f t="shared" si="354"/>
        <v/>
      </c>
      <c r="GE117" s="41" t="str">
        <f t="shared" si="355"/>
        <v/>
      </c>
      <c r="GF117" s="41" t="str">
        <f t="shared" si="356"/>
        <v/>
      </c>
      <c r="GG117" s="41" t="str">
        <f t="shared" si="357"/>
        <v/>
      </c>
      <c r="GH117" s="41" t="str">
        <f t="shared" si="358"/>
        <v/>
      </c>
      <c r="GI117" s="41" t="str">
        <f t="shared" si="359"/>
        <v/>
      </c>
      <c r="GJ117" s="41" t="str">
        <f t="shared" si="360"/>
        <v/>
      </c>
      <c r="GK117" s="41" t="str">
        <f t="shared" si="361"/>
        <v/>
      </c>
      <c r="GL117" s="41" t="str">
        <f t="shared" si="362"/>
        <v/>
      </c>
      <c r="GM117" s="41" t="str">
        <f t="shared" si="363"/>
        <v/>
      </c>
      <c r="GN117" s="41" t="str">
        <f t="shared" si="364"/>
        <v/>
      </c>
      <c r="GO117" s="41" t="str">
        <f t="shared" si="365"/>
        <v/>
      </c>
      <c r="GP117" s="41" t="str">
        <f t="shared" si="366"/>
        <v/>
      </c>
      <c r="GQ117" s="41" t="str">
        <f t="shared" si="367"/>
        <v/>
      </c>
      <c r="GR117" s="41" t="str">
        <f t="shared" si="368"/>
        <v/>
      </c>
      <c r="GS117" s="41" t="str">
        <f t="shared" si="369"/>
        <v/>
      </c>
      <c r="GT117" s="41" t="str">
        <f t="shared" si="370"/>
        <v/>
      </c>
      <c r="GU117" s="41" t="str">
        <f t="shared" si="371"/>
        <v/>
      </c>
      <c r="GV117" s="41" t="str">
        <f t="shared" si="372"/>
        <v/>
      </c>
      <c r="GW117" s="41" t="str">
        <f t="shared" si="373"/>
        <v/>
      </c>
      <c r="GX117" s="41" t="str">
        <f t="shared" si="374"/>
        <v/>
      </c>
      <c r="GY117" s="41" t="str">
        <f t="shared" si="375"/>
        <v/>
      </c>
      <c r="GZ117" s="41" t="str">
        <f t="shared" si="376"/>
        <v/>
      </c>
      <c r="HA117" s="41" t="str">
        <f t="shared" si="377"/>
        <v/>
      </c>
      <c r="HB117" s="41" t="str">
        <f t="shared" si="378"/>
        <v/>
      </c>
      <c r="HC117" s="41" t="str">
        <f t="shared" si="379"/>
        <v/>
      </c>
      <c r="HD117" s="41" t="str">
        <f t="shared" si="380"/>
        <v/>
      </c>
      <c r="HE117" s="41" t="str">
        <f t="shared" si="381"/>
        <v/>
      </c>
      <c r="HF117" s="41" t="str">
        <f t="shared" si="382"/>
        <v/>
      </c>
      <c r="HG117" s="41" t="str">
        <f t="shared" si="383"/>
        <v/>
      </c>
      <c r="HH117" s="41" t="str">
        <f t="shared" si="384"/>
        <v/>
      </c>
      <c r="HI117" s="41" t="str">
        <f t="shared" si="385"/>
        <v/>
      </c>
      <c r="HJ117" s="41" t="str">
        <f t="shared" si="386"/>
        <v/>
      </c>
      <c r="HK117" s="41" t="str">
        <f t="shared" si="387"/>
        <v/>
      </c>
      <c r="HL117" s="41" t="str">
        <f t="shared" si="388"/>
        <v/>
      </c>
      <c r="HM117" s="41" t="str">
        <f t="shared" si="389"/>
        <v/>
      </c>
      <c r="HN117" s="41" t="str">
        <f t="shared" si="390"/>
        <v/>
      </c>
      <c r="HO117" s="41" t="str">
        <f t="shared" si="391"/>
        <v/>
      </c>
      <c r="HP117" s="41" t="str">
        <f t="shared" si="392"/>
        <v/>
      </c>
      <c r="HQ117" s="41" t="str">
        <f t="shared" si="393"/>
        <v/>
      </c>
      <c r="HR117" s="41" t="str">
        <f t="shared" si="394"/>
        <v/>
      </c>
      <c r="HS117" s="41" t="str">
        <f t="shared" si="395"/>
        <v/>
      </c>
      <c r="HT117" s="41" t="str">
        <f t="shared" si="395"/>
        <v/>
      </c>
      <c r="HU117" s="43" t="str">
        <f t="shared" si="445"/>
        <v>-</v>
      </c>
      <c r="HV117" s="44" t="str">
        <f t="shared" si="446"/>
        <v/>
      </c>
      <c r="HW117" s="45" t="str">
        <f t="shared" si="447"/>
        <v/>
      </c>
      <c r="HX117" s="96"/>
      <c r="HY117" s="96"/>
      <c r="HZ117" s="96"/>
      <c r="IA117" s="95"/>
      <c r="IB117" s="96"/>
      <c r="IC117" s="97"/>
      <c r="ID117" s="95"/>
      <c r="IE117" s="96"/>
      <c r="IF117" s="97"/>
      <c r="IH117" s="66">
        <v>117</v>
      </c>
      <c r="II117" s="66" t="e">
        <f t="shared" ca="1" si="436"/>
        <v>#N/A</v>
      </c>
      <c r="IJ117" s="66" t="e">
        <f t="shared" ca="1" si="437"/>
        <v>#N/A</v>
      </c>
      <c r="IK117" s="66" t="e">
        <f t="shared" ca="1" si="438"/>
        <v>#N/A</v>
      </c>
      <c r="IL117" s="66" t="e">
        <f t="shared" ca="1" si="439"/>
        <v>#N/A</v>
      </c>
      <c r="IN117" s="74" t="e">
        <f t="shared" ca="1" si="440"/>
        <v>#N/A</v>
      </c>
      <c r="IO117" s="75" t="e">
        <f t="shared" ca="1" si="441"/>
        <v>#N/A</v>
      </c>
      <c r="IP117" s="75" t="e">
        <f t="shared" ca="1" si="442"/>
        <v>#N/A</v>
      </c>
      <c r="IQ117" s="74" t="e">
        <f t="shared" ca="1" si="443"/>
        <v>#N/A</v>
      </c>
      <c r="IR117" s="74" t="e">
        <f t="shared" ca="1" si="444"/>
        <v>#N/A</v>
      </c>
    </row>
    <row r="118" spans="1:252" x14ac:dyDescent="0.35">
      <c r="A118" s="28">
        <v>0</v>
      </c>
      <c r="B118" s="28">
        <v>0</v>
      </c>
      <c r="C118" s="28">
        <v>1</v>
      </c>
      <c r="D118" s="1"/>
      <c r="E118" s="3"/>
      <c r="F118" t="s">
        <v>383</v>
      </c>
      <c r="G118" s="5" t="s">
        <v>530</v>
      </c>
      <c r="H118" s="4" t="s">
        <v>545</v>
      </c>
      <c r="I118" t="s">
        <v>532</v>
      </c>
      <c r="J118" s="276" t="s">
        <v>805</v>
      </c>
      <c r="K118" s="21" t="s">
        <v>805</v>
      </c>
      <c r="L118" s="21" t="s">
        <v>805</v>
      </c>
      <c r="M118" s="21" t="s">
        <v>805</v>
      </c>
      <c r="N118" s="21" t="s">
        <v>805</v>
      </c>
      <c r="O118" s="21" t="s">
        <v>805</v>
      </c>
      <c r="P118" s="21" t="s">
        <v>805</v>
      </c>
      <c r="Q118" s="21" t="s">
        <v>805</v>
      </c>
      <c r="R118" s="21" t="s">
        <v>805</v>
      </c>
      <c r="S118" s="21" t="s">
        <v>805</v>
      </c>
      <c r="T118" s="21" t="s">
        <v>805</v>
      </c>
      <c r="U118" s="21" t="s">
        <v>805</v>
      </c>
      <c r="V118" s="21" t="s">
        <v>805</v>
      </c>
      <c r="W118" s="21" t="s">
        <v>805</v>
      </c>
      <c r="X118" s="21" t="s">
        <v>805</v>
      </c>
      <c r="Y118" s="21" t="s">
        <v>805</v>
      </c>
      <c r="Z118" s="21" t="s">
        <v>805</v>
      </c>
      <c r="AA118" s="21" t="s">
        <v>805</v>
      </c>
      <c r="AB118" s="21" t="s">
        <v>805</v>
      </c>
      <c r="AC118" s="21" t="s">
        <v>805</v>
      </c>
      <c r="AD118" s="21" t="s">
        <v>805</v>
      </c>
      <c r="AE118" s="21" t="s">
        <v>805</v>
      </c>
      <c r="AF118" s="21" t="s">
        <v>805</v>
      </c>
      <c r="AG118" s="21" t="s">
        <v>805</v>
      </c>
      <c r="AH118" s="21" t="s">
        <v>805</v>
      </c>
      <c r="AI118" s="21" t="s">
        <v>805</v>
      </c>
      <c r="AJ118" s="21" t="s">
        <v>805</v>
      </c>
      <c r="AK118" s="21" t="s">
        <v>805</v>
      </c>
      <c r="AL118" s="21" t="s">
        <v>805</v>
      </c>
      <c r="AM118" s="21" t="s">
        <v>805</v>
      </c>
      <c r="AN118" s="21" t="s">
        <v>805</v>
      </c>
      <c r="AO118" s="21" t="s">
        <v>805</v>
      </c>
      <c r="AP118" s="21" t="s">
        <v>805</v>
      </c>
      <c r="AQ118" s="21" t="s">
        <v>805</v>
      </c>
      <c r="AR118" s="21" t="s">
        <v>805</v>
      </c>
      <c r="AS118" s="21" t="s">
        <v>805</v>
      </c>
      <c r="AT118" s="21" t="s">
        <v>805</v>
      </c>
      <c r="AU118" s="21" t="s">
        <v>805</v>
      </c>
      <c r="AV118" s="21" t="s">
        <v>805</v>
      </c>
      <c r="AW118" s="21" t="s">
        <v>805</v>
      </c>
      <c r="AX118" s="21" t="s">
        <v>805</v>
      </c>
      <c r="AY118" s="21" t="s">
        <v>805</v>
      </c>
      <c r="AZ118" s="21" t="s">
        <v>805</v>
      </c>
      <c r="BA118" s="21" t="s">
        <v>805</v>
      </c>
      <c r="BB118" s="21" t="s">
        <v>805</v>
      </c>
      <c r="BC118" s="21" t="s">
        <v>805</v>
      </c>
      <c r="BD118" s="21" t="s">
        <v>805</v>
      </c>
      <c r="BE118" s="21" t="s">
        <v>805</v>
      </c>
      <c r="BF118" s="21" t="s">
        <v>805</v>
      </c>
      <c r="BG118" s="21" t="s">
        <v>805</v>
      </c>
      <c r="BH118" s="21" t="s">
        <v>805</v>
      </c>
      <c r="BI118" s="21" t="s">
        <v>805</v>
      </c>
      <c r="BJ118" s="21" t="s">
        <v>805</v>
      </c>
      <c r="BK118" s="21" t="s">
        <v>805</v>
      </c>
      <c r="BL118" s="21" t="s">
        <v>805</v>
      </c>
      <c r="BM118" s="21" t="s">
        <v>805</v>
      </c>
      <c r="BN118" s="21" t="s">
        <v>805</v>
      </c>
      <c r="BO118" s="21" t="s">
        <v>805</v>
      </c>
      <c r="BP118" s="21" t="s">
        <v>805</v>
      </c>
      <c r="BQ118" s="21" t="s">
        <v>805</v>
      </c>
      <c r="BR118" s="21" t="s">
        <v>805</v>
      </c>
      <c r="BS118" s="21" t="s">
        <v>805</v>
      </c>
      <c r="BT118" s="21" t="s">
        <v>805</v>
      </c>
      <c r="BU118" s="21" t="s">
        <v>805</v>
      </c>
      <c r="BV118" s="21" t="s">
        <v>805</v>
      </c>
      <c r="BW118" s="21" t="s">
        <v>805</v>
      </c>
      <c r="BX118" s="21" t="s">
        <v>805</v>
      </c>
      <c r="BY118" s="21" t="s">
        <v>805</v>
      </c>
      <c r="BZ118" s="21" t="s">
        <v>805</v>
      </c>
      <c r="CA118" s="21" t="s">
        <v>805</v>
      </c>
      <c r="CB118" s="21" t="s">
        <v>805</v>
      </c>
      <c r="CC118" s="21" t="s">
        <v>805</v>
      </c>
      <c r="CD118" s="21" t="s">
        <v>805</v>
      </c>
      <c r="CE118" s="21" t="s">
        <v>805</v>
      </c>
      <c r="CF118" s="21" t="s">
        <v>805</v>
      </c>
      <c r="CG118" s="21" t="s">
        <v>805</v>
      </c>
      <c r="CH118" s="21" t="s">
        <v>805</v>
      </c>
      <c r="CI118" s="21" t="s">
        <v>805</v>
      </c>
      <c r="CJ118" s="21" t="s">
        <v>805</v>
      </c>
      <c r="CK118" s="21" t="s">
        <v>805</v>
      </c>
      <c r="CL118" s="21" t="s">
        <v>805</v>
      </c>
      <c r="CM118" s="21" t="s">
        <v>805</v>
      </c>
      <c r="CN118" s="21" t="s">
        <v>805</v>
      </c>
      <c r="CO118" s="21" t="s">
        <v>805</v>
      </c>
      <c r="CP118" s="21" t="s">
        <v>805</v>
      </c>
      <c r="CQ118" s="21" t="s">
        <v>805</v>
      </c>
      <c r="CR118" s="21" t="s">
        <v>805</v>
      </c>
      <c r="CS118" s="21" t="s">
        <v>805</v>
      </c>
      <c r="CT118" s="21" t="s">
        <v>805</v>
      </c>
      <c r="CU118" s="21" t="s">
        <v>805</v>
      </c>
      <c r="CV118" s="21" t="s">
        <v>805</v>
      </c>
      <c r="CW118" s="21" t="s">
        <v>805</v>
      </c>
      <c r="CX118" s="21" t="s">
        <v>805</v>
      </c>
      <c r="CY118" s="21" t="s">
        <v>805</v>
      </c>
      <c r="CZ118" s="21" t="s">
        <v>805</v>
      </c>
      <c r="DA118" s="21" t="s">
        <v>805</v>
      </c>
      <c r="DB118" s="21" t="s">
        <v>805</v>
      </c>
      <c r="DC118" s="21" t="s">
        <v>805</v>
      </c>
      <c r="DD118" s="21" t="s">
        <v>805</v>
      </c>
      <c r="DE118" s="21" t="s">
        <v>805</v>
      </c>
      <c r="DF118" s="21" t="s">
        <v>805</v>
      </c>
      <c r="DG118" s="28">
        <f>'KPI Count-SHARE'!J107</f>
        <v>0</v>
      </c>
      <c r="DH118" s="108"/>
      <c r="DI118" s="108"/>
      <c r="DJ118" s="108"/>
      <c r="DK118" s="28">
        <f>'KPI Count-SHARE'!K107</f>
        <v>0</v>
      </c>
      <c r="DL118" s="58"/>
      <c r="DM118" s="58"/>
      <c r="DN118" s="58"/>
      <c r="DO118" s="28">
        <f>'KPI Count-SHARE'!L107</f>
        <v>0</v>
      </c>
      <c r="DP118" s="58"/>
      <c r="DQ118" s="58"/>
      <c r="DR118" s="58"/>
      <c r="DS118" s="28">
        <f>'KPI Count-SHARE'!M107</f>
        <v>0</v>
      </c>
      <c r="DT118" s="58"/>
      <c r="DU118" s="58"/>
      <c r="DV118" s="58"/>
      <c r="DW118" t="s">
        <v>545</v>
      </c>
      <c r="DX118" s="41" t="str">
        <f t="shared" si="425"/>
        <v/>
      </c>
      <c r="DY118" s="41" t="str">
        <f t="shared" si="426"/>
        <v/>
      </c>
      <c r="DZ118" s="41" t="str">
        <f t="shared" si="427"/>
        <v/>
      </c>
      <c r="EA118" s="41" t="str">
        <f t="shared" si="428"/>
        <v/>
      </c>
      <c r="EB118" s="41" t="str">
        <f t="shared" si="429"/>
        <v/>
      </c>
      <c r="EC118" s="41" t="str">
        <f t="shared" si="430"/>
        <v/>
      </c>
      <c r="ED118" s="41" t="str">
        <f t="shared" si="431"/>
        <v/>
      </c>
      <c r="EE118" s="41" t="str">
        <f t="shared" si="432"/>
        <v/>
      </c>
      <c r="EF118" s="41" t="str">
        <f t="shared" si="433"/>
        <v/>
      </c>
      <c r="EG118" s="41" t="str">
        <f t="shared" si="434"/>
        <v/>
      </c>
      <c r="EH118" s="41" t="str">
        <f t="shared" si="435"/>
        <v/>
      </c>
      <c r="EI118" s="41" t="str">
        <f t="shared" si="448"/>
        <v/>
      </c>
      <c r="EJ118" s="41" t="str">
        <f t="shared" si="449"/>
        <v/>
      </c>
      <c r="EK118" s="41" t="str">
        <f t="shared" si="450"/>
        <v/>
      </c>
      <c r="EL118" s="41" t="str">
        <f t="shared" si="451"/>
        <v/>
      </c>
      <c r="EM118" s="41" t="str">
        <f t="shared" si="452"/>
        <v/>
      </c>
      <c r="EN118" s="41" t="str">
        <f t="shared" si="453"/>
        <v/>
      </c>
      <c r="EO118" s="41" t="str">
        <f t="shared" si="454"/>
        <v/>
      </c>
      <c r="EP118" s="41" t="str">
        <f t="shared" si="455"/>
        <v/>
      </c>
      <c r="EQ118" s="41" t="str">
        <f t="shared" si="456"/>
        <v/>
      </c>
      <c r="ER118" s="41" t="str">
        <f t="shared" si="457"/>
        <v/>
      </c>
      <c r="ES118" s="41" t="str">
        <f t="shared" si="458"/>
        <v/>
      </c>
      <c r="ET118" s="41" t="str">
        <f t="shared" si="459"/>
        <v/>
      </c>
      <c r="EU118" s="41" t="str">
        <f t="shared" si="319"/>
        <v/>
      </c>
      <c r="EV118" s="41" t="str">
        <f t="shared" si="320"/>
        <v/>
      </c>
      <c r="EW118" s="41" t="str">
        <f t="shared" si="321"/>
        <v/>
      </c>
      <c r="EX118" s="41" t="str">
        <f t="shared" si="322"/>
        <v/>
      </c>
      <c r="EY118" s="41" t="str">
        <f t="shared" si="323"/>
        <v/>
      </c>
      <c r="EZ118" s="41" t="str">
        <f t="shared" si="324"/>
        <v/>
      </c>
      <c r="FA118" s="41" t="str">
        <f t="shared" si="325"/>
        <v/>
      </c>
      <c r="FB118" s="41" t="str">
        <f t="shared" si="326"/>
        <v/>
      </c>
      <c r="FC118" s="41" t="str">
        <f t="shared" si="327"/>
        <v/>
      </c>
      <c r="FD118" s="41" t="str">
        <f t="shared" si="328"/>
        <v/>
      </c>
      <c r="FE118" s="41" t="str">
        <f t="shared" si="329"/>
        <v/>
      </c>
      <c r="FF118" s="41" t="str">
        <f t="shared" si="330"/>
        <v/>
      </c>
      <c r="FG118" s="41" t="str">
        <f t="shared" si="331"/>
        <v/>
      </c>
      <c r="FH118" s="41" t="str">
        <f t="shared" si="332"/>
        <v/>
      </c>
      <c r="FI118" s="41" t="str">
        <f t="shared" si="333"/>
        <v/>
      </c>
      <c r="FJ118" s="41" t="str">
        <f t="shared" si="334"/>
        <v/>
      </c>
      <c r="FK118" s="41" t="str">
        <f t="shared" si="335"/>
        <v/>
      </c>
      <c r="FL118" s="41" t="str">
        <f t="shared" si="336"/>
        <v/>
      </c>
      <c r="FM118" s="41" t="str">
        <f t="shared" si="337"/>
        <v/>
      </c>
      <c r="FN118" s="41" t="str">
        <f t="shared" si="338"/>
        <v/>
      </c>
      <c r="FO118" s="41" t="str">
        <f t="shared" si="339"/>
        <v/>
      </c>
      <c r="FP118" s="41" t="str">
        <f t="shared" si="340"/>
        <v/>
      </c>
      <c r="FQ118" s="41" t="str">
        <f t="shared" si="341"/>
        <v/>
      </c>
      <c r="FR118" s="41" t="str">
        <f t="shared" si="342"/>
        <v/>
      </c>
      <c r="FS118" s="41" t="str">
        <f t="shared" si="343"/>
        <v/>
      </c>
      <c r="FT118" s="41" t="str">
        <f t="shared" si="344"/>
        <v/>
      </c>
      <c r="FU118" s="41" t="str">
        <f t="shared" si="345"/>
        <v/>
      </c>
      <c r="FV118" s="41" t="str">
        <f t="shared" si="346"/>
        <v/>
      </c>
      <c r="FW118" s="41" t="str">
        <f t="shared" si="347"/>
        <v/>
      </c>
      <c r="FX118" s="41" t="str">
        <f t="shared" si="348"/>
        <v/>
      </c>
      <c r="FY118" s="41" t="str">
        <f t="shared" si="349"/>
        <v/>
      </c>
      <c r="FZ118" s="41" t="str">
        <f t="shared" si="350"/>
        <v/>
      </c>
      <c r="GA118" s="41" t="str">
        <f t="shared" si="351"/>
        <v/>
      </c>
      <c r="GB118" s="41" t="str">
        <f t="shared" si="352"/>
        <v/>
      </c>
      <c r="GC118" s="41" t="str">
        <f t="shared" si="353"/>
        <v/>
      </c>
      <c r="GD118" s="41" t="str">
        <f t="shared" si="354"/>
        <v/>
      </c>
      <c r="GE118" s="41" t="str">
        <f t="shared" si="355"/>
        <v/>
      </c>
      <c r="GF118" s="41" t="str">
        <f t="shared" si="356"/>
        <v/>
      </c>
      <c r="GG118" s="41" t="str">
        <f t="shared" si="357"/>
        <v/>
      </c>
      <c r="GH118" s="41" t="str">
        <f t="shared" si="358"/>
        <v/>
      </c>
      <c r="GI118" s="41" t="str">
        <f t="shared" si="359"/>
        <v/>
      </c>
      <c r="GJ118" s="41" t="str">
        <f t="shared" si="360"/>
        <v/>
      </c>
      <c r="GK118" s="41" t="str">
        <f t="shared" si="361"/>
        <v/>
      </c>
      <c r="GL118" s="41" t="str">
        <f t="shared" si="362"/>
        <v/>
      </c>
      <c r="GM118" s="41" t="str">
        <f t="shared" si="363"/>
        <v/>
      </c>
      <c r="GN118" s="41" t="str">
        <f t="shared" si="364"/>
        <v/>
      </c>
      <c r="GO118" s="41" t="str">
        <f t="shared" si="365"/>
        <v/>
      </c>
      <c r="GP118" s="41" t="str">
        <f t="shared" si="366"/>
        <v/>
      </c>
      <c r="GQ118" s="41" t="str">
        <f t="shared" si="367"/>
        <v/>
      </c>
      <c r="GR118" s="41" t="str">
        <f t="shared" si="368"/>
        <v/>
      </c>
      <c r="GS118" s="41" t="str">
        <f t="shared" si="369"/>
        <v/>
      </c>
      <c r="GT118" s="41" t="str">
        <f t="shared" si="370"/>
        <v/>
      </c>
      <c r="GU118" s="41" t="str">
        <f t="shared" si="371"/>
        <v/>
      </c>
      <c r="GV118" s="41" t="str">
        <f t="shared" si="372"/>
        <v/>
      </c>
      <c r="GW118" s="41" t="str">
        <f t="shared" si="373"/>
        <v/>
      </c>
      <c r="GX118" s="41" t="str">
        <f t="shared" si="374"/>
        <v/>
      </c>
      <c r="GY118" s="41" t="str">
        <f t="shared" si="375"/>
        <v/>
      </c>
      <c r="GZ118" s="41" t="str">
        <f t="shared" si="376"/>
        <v/>
      </c>
      <c r="HA118" s="41" t="str">
        <f t="shared" si="377"/>
        <v/>
      </c>
      <c r="HB118" s="41" t="str">
        <f t="shared" si="378"/>
        <v/>
      </c>
      <c r="HC118" s="41" t="str">
        <f t="shared" si="379"/>
        <v/>
      </c>
      <c r="HD118" s="41" t="str">
        <f t="shared" si="380"/>
        <v/>
      </c>
      <c r="HE118" s="41" t="str">
        <f t="shared" si="381"/>
        <v/>
      </c>
      <c r="HF118" s="41" t="str">
        <f t="shared" si="382"/>
        <v/>
      </c>
      <c r="HG118" s="41" t="str">
        <f t="shared" si="383"/>
        <v/>
      </c>
      <c r="HH118" s="41" t="str">
        <f t="shared" si="384"/>
        <v/>
      </c>
      <c r="HI118" s="41" t="str">
        <f t="shared" si="385"/>
        <v/>
      </c>
      <c r="HJ118" s="41" t="str">
        <f t="shared" si="386"/>
        <v/>
      </c>
      <c r="HK118" s="41" t="str">
        <f t="shared" si="387"/>
        <v/>
      </c>
      <c r="HL118" s="41" t="str">
        <f t="shared" si="388"/>
        <v/>
      </c>
      <c r="HM118" s="41" t="str">
        <f t="shared" si="389"/>
        <v/>
      </c>
      <c r="HN118" s="41" t="str">
        <f t="shared" si="390"/>
        <v/>
      </c>
      <c r="HO118" s="41" t="str">
        <f t="shared" si="391"/>
        <v/>
      </c>
      <c r="HP118" s="41" t="str">
        <f t="shared" si="392"/>
        <v/>
      </c>
      <c r="HQ118" s="41" t="str">
        <f t="shared" si="393"/>
        <v/>
      </c>
      <c r="HR118" s="41" t="str">
        <f t="shared" si="394"/>
        <v/>
      </c>
      <c r="HS118" s="41" t="str">
        <f t="shared" si="395"/>
        <v/>
      </c>
      <c r="HT118" s="41" t="str">
        <f t="shared" si="395"/>
        <v/>
      </c>
      <c r="HU118" s="43" t="str">
        <f t="shared" si="445"/>
        <v>-</v>
      </c>
      <c r="HV118" s="44" t="str">
        <f t="shared" si="446"/>
        <v/>
      </c>
      <c r="HW118" s="45" t="str">
        <f t="shared" si="447"/>
        <v/>
      </c>
      <c r="HX118" s="96"/>
      <c r="HY118" s="96"/>
      <c r="HZ118" s="96"/>
      <c r="IA118" s="95"/>
      <c r="IB118" s="96"/>
      <c r="IC118" s="97"/>
      <c r="ID118" s="95"/>
      <c r="IE118" s="96"/>
      <c r="IF118" s="97"/>
      <c r="IH118" s="66">
        <v>118</v>
      </c>
      <c r="II118" s="66" t="e">
        <f t="shared" ca="1" si="436"/>
        <v>#N/A</v>
      </c>
      <c r="IJ118" s="66" t="e">
        <f t="shared" ca="1" si="437"/>
        <v>#N/A</v>
      </c>
      <c r="IK118" s="66" t="e">
        <f t="shared" ca="1" si="438"/>
        <v>#N/A</v>
      </c>
      <c r="IL118" s="66" t="e">
        <f t="shared" ca="1" si="439"/>
        <v>#N/A</v>
      </c>
      <c r="IN118" s="74" t="e">
        <f t="shared" ca="1" si="440"/>
        <v>#N/A</v>
      </c>
      <c r="IO118" s="75" t="e">
        <f t="shared" ca="1" si="441"/>
        <v>#N/A</v>
      </c>
      <c r="IP118" s="75" t="e">
        <f t="shared" ca="1" si="442"/>
        <v>#N/A</v>
      </c>
      <c r="IQ118" s="74" t="e">
        <f t="shared" ca="1" si="443"/>
        <v>#N/A</v>
      </c>
      <c r="IR118" s="74" t="e">
        <f t="shared" ca="1" si="444"/>
        <v>#N/A</v>
      </c>
    </row>
    <row r="119" spans="1:252" x14ac:dyDescent="0.35">
      <c r="A119" s="28">
        <v>0</v>
      </c>
      <c r="B119" s="28">
        <v>0</v>
      </c>
      <c r="C119" s="28">
        <v>1</v>
      </c>
      <c r="D119" s="1"/>
      <c r="E119" s="3"/>
      <c r="F119" t="s">
        <v>384</v>
      </c>
      <c r="G119" s="5" t="s">
        <v>530</v>
      </c>
      <c r="H119" s="4" t="s">
        <v>545</v>
      </c>
      <c r="I119" t="s">
        <v>532</v>
      </c>
      <c r="J119" s="276" t="s">
        <v>805</v>
      </c>
      <c r="K119" s="21" t="s">
        <v>805</v>
      </c>
      <c r="L119" s="21" t="s">
        <v>805</v>
      </c>
      <c r="M119" s="21" t="s">
        <v>805</v>
      </c>
      <c r="N119" s="21" t="s">
        <v>805</v>
      </c>
      <c r="O119" s="21" t="s">
        <v>805</v>
      </c>
      <c r="P119" s="21" t="s">
        <v>805</v>
      </c>
      <c r="Q119" s="21" t="s">
        <v>805</v>
      </c>
      <c r="R119" s="21" t="s">
        <v>805</v>
      </c>
      <c r="S119" s="21" t="s">
        <v>805</v>
      </c>
      <c r="T119" s="21" t="s">
        <v>805</v>
      </c>
      <c r="U119" s="21" t="s">
        <v>805</v>
      </c>
      <c r="V119" s="21" t="s">
        <v>805</v>
      </c>
      <c r="W119" s="21" t="s">
        <v>805</v>
      </c>
      <c r="X119" s="21" t="s">
        <v>805</v>
      </c>
      <c r="Y119" s="21" t="s">
        <v>805</v>
      </c>
      <c r="Z119" s="21" t="s">
        <v>805</v>
      </c>
      <c r="AA119" s="21" t="s">
        <v>805</v>
      </c>
      <c r="AB119" s="21" t="s">
        <v>805</v>
      </c>
      <c r="AC119" s="21" t="s">
        <v>805</v>
      </c>
      <c r="AD119" s="21" t="s">
        <v>805</v>
      </c>
      <c r="AE119" s="21" t="s">
        <v>805</v>
      </c>
      <c r="AF119" s="21" t="s">
        <v>805</v>
      </c>
      <c r="AG119" s="21" t="s">
        <v>805</v>
      </c>
      <c r="AH119" s="21" t="s">
        <v>805</v>
      </c>
      <c r="AI119" s="21" t="s">
        <v>805</v>
      </c>
      <c r="AJ119" s="21" t="s">
        <v>805</v>
      </c>
      <c r="AK119" s="21" t="s">
        <v>805</v>
      </c>
      <c r="AL119" s="21" t="s">
        <v>805</v>
      </c>
      <c r="AM119" s="21" t="s">
        <v>805</v>
      </c>
      <c r="AN119" s="21" t="s">
        <v>805</v>
      </c>
      <c r="AO119" s="21" t="s">
        <v>805</v>
      </c>
      <c r="AP119" s="21" t="s">
        <v>805</v>
      </c>
      <c r="AQ119" s="21" t="s">
        <v>805</v>
      </c>
      <c r="AR119" s="21" t="s">
        <v>805</v>
      </c>
      <c r="AS119" s="21" t="s">
        <v>805</v>
      </c>
      <c r="AT119" s="21" t="s">
        <v>805</v>
      </c>
      <c r="AU119" s="21" t="s">
        <v>805</v>
      </c>
      <c r="AV119" s="21" t="s">
        <v>805</v>
      </c>
      <c r="AW119" s="21" t="s">
        <v>805</v>
      </c>
      <c r="AX119" s="21" t="s">
        <v>805</v>
      </c>
      <c r="AY119" s="21" t="s">
        <v>805</v>
      </c>
      <c r="AZ119" s="21" t="s">
        <v>805</v>
      </c>
      <c r="BA119" s="21" t="s">
        <v>805</v>
      </c>
      <c r="BB119" s="21" t="s">
        <v>805</v>
      </c>
      <c r="BC119" s="21" t="s">
        <v>805</v>
      </c>
      <c r="BD119" s="21" t="s">
        <v>805</v>
      </c>
      <c r="BE119" s="21" t="s">
        <v>805</v>
      </c>
      <c r="BF119" s="21" t="s">
        <v>805</v>
      </c>
      <c r="BG119" s="21" t="s">
        <v>805</v>
      </c>
      <c r="BH119" s="21" t="s">
        <v>805</v>
      </c>
      <c r="BI119" s="21" t="s">
        <v>805</v>
      </c>
      <c r="BJ119" s="21" t="s">
        <v>805</v>
      </c>
      <c r="BK119" s="21" t="s">
        <v>805</v>
      </c>
      <c r="BL119" s="21" t="s">
        <v>805</v>
      </c>
      <c r="BM119" s="21" t="s">
        <v>805</v>
      </c>
      <c r="BN119" s="21" t="s">
        <v>805</v>
      </c>
      <c r="BO119" s="21" t="s">
        <v>805</v>
      </c>
      <c r="BP119" s="21" t="s">
        <v>805</v>
      </c>
      <c r="BQ119" s="21" t="s">
        <v>805</v>
      </c>
      <c r="BR119" s="21" t="s">
        <v>805</v>
      </c>
      <c r="BS119" s="21" t="s">
        <v>805</v>
      </c>
      <c r="BT119" s="21" t="s">
        <v>805</v>
      </c>
      <c r="BU119" s="21" t="s">
        <v>805</v>
      </c>
      <c r="BV119" s="21" t="s">
        <v>805</v>
      </c>
      <c r="BW119" s="21" t="s">
        <v>805</v>
      </c>
      <c r="BX119" s="21" t="s">
        <v>805</v>
      </c>
      <c r="BY119" s="21" t="s">
        <v>805</v>
      </c>
      <c r="BZ119" s="21" t="s">
        <v>805</v>
      </c>
      <c r="CA119" s="21" t="s">
        <v>805</v>
      </c>
      <c r="CB119" s="21" t="s">
        <v>805</v>
      </c>
      <c r="CC119" s="21" t="s">
        <v>805</v>
      </c>
      <c r="CD119" s="21" t="s">
        <v>805</v>
      </c>
      <c r="CE119" s="21" t="s">
        <v>805</v>
      </c>
      <c r="CF119" s="21" t="s">
        <v>805</v>
      </c>
      <c r="CG119" s="21" t="s">
        <v>805</v>
      </c>
      <c r="CH119" s="21" t="s">
        <v>805</v>
      </c>
      <c r="CI119" s="21" t="s">
        <v>805</v>
      </c>
      <c r="CJ119" s="21" t="s">
        <v>805</v>
      </c>
      <c r="CK119" s="21" t="s">
        <v>805</v>
      </c>
      <c r="CL119" s="21" t="s">
        <v>805</v>
      </c>
      <c r="CM119" s="21" t="s">
        <v>805</v>
      </c>
      <c r="CN119" s="21" t="s">
        <v>805</v>
      </c>
      <c r="CO119" s="21" t="s">
        <v>805</v>
      </c>
      <c r="CP119" s="21" t="s">
        <v>805</v>
      </c>
      <c r="CQ119" s="21" t="s">
        <v>805</v>
      </c>
      <c r="CR119" s="21" t="s">
        <v>805</v>
      </c>
      <c r="CS119" s="21" t="s">
        <v>805</v>
      </c>
      <c r="CT119" s="21" t="s">
        <v>805</v>
      </c>
      <c r="CU119" s="21" t="s">
        <v>805</v>
      </c>
      <c r="CV119" s="21" t="s">
        <v>805</v>
      </c>
      <c r="CW119" s="21" t="s">
        <v>805</v>
      </c>
      <c r="CX119" s="21" t="s">
        <v>805</v>
      </c>
      <c r="CY119" s="21" t="s">
        <v>805</v>
      </c>
      <c r="CZ119" s="21" t="s">
        <v>805</v>
      </c>
      <c r="DA119" s="21" t="s">
        <v>805</v>
      </c>
      <c r="DB119" s="21" t="s">
        <v>805</v>
      </c>
      <c r="DC119" s="21" t="s">
        <v>805</v>
      </c>
      <c r="DD119" s="21" t="s">
        <v>805</v>
      </c>
      <c r="DE119" s="21" t="s">
        <v>805</v>
      </c>
      <c r="DF119" s="21" t="s">
        <v>805</v>
      </c>
      <c r="DG119" s="28">
        <f>'KPI Count-SHARE'!J108</f>
        <v>0</v>
      </c>
      <c r="DH119" s="108"/>
      <c r="DI119" s="108"/>
      <c r="DJ119" s="108"/>
      <c r="DK119" s="28">
        <f>'KPI Count-SHARE'!K108</f>
        <v>0</v>
      </c>
      <c r="DL119" s="58"/>
      <c r="DM119" s="58"/>
      <c r="DN119" s="58"/>
      <c r="DO119" s="28">
        <f>'KPI Count-SHARE'!L108</f>
        <v>0</v>
      </c>
      <c r="DP119" s="58"/>
      <c r="DQ119" s="58"/>
      <c r="DR119" s="58"/>
      <c r="DS119" s="28">
        <f>'KPI Count-SHARE'!M108</f>
        <v>0</v>
      </c>
      <c r="DT119" s="58"/>
      <c r="DU119" s="58"/>
      <c r="DV119" s="58"/>
      <c r="DW119" t="s">
        <v>545</v>
      </c>
      <c r="DX119" s="41" t="str">
        <f t="shared" si="425"/>
        <v/>
      </c>
      <c r="DY119" s="41" t="str">
        <f t="shared" si="426"/>
        <v/>
      </c>
      <c r="DZ119" s="41" t="str">
        <f t="shared" si="427"/>
        <v/>
      </c>
      <c r="EA119" s="41" t="str">
        <f t="shared" si="428"/>
        <v/>
      </c>
      <c r="EB119" s="41" t="str">
        <f t="shared" si="429"/>
        <v/>
      </c>
      <c r="EC119" s="41" t="str">
        <f t="shared" si="430"/>
        <v/>
      </c>
      <c r="ED119" s="41" t="str">
        <f t="shared" si="431"/>
        <v/>
      </c>
      <c r="EE119" s="41" t="str">
        <f t="shared" si="432"/>
        <v/>
      </c>
      <c r="EF119" s="41" t="str">
        <f t="shared" si="433"/>
        <v/>
      </c>
      <c r="EG119" s="41" t="str">
        <f t="shared" si="434"/>
        <v/>
      </c>
      <c r="EH119" s="41" t="str">
        <f t="shared" si="435"/>
        <v/>
      </c>
      <c r="EI119" s="41" t="str">
        <f t="shared" si="448"/>
        <v/>
      </c>
      <c r="EJ119" s="41" t="str">
        <f t="shared" si="449"/>
        <v/>
      </c>
      <c r="EK119" s="41" t="str">
        <f t="shared" si="450"/>
        <v/>
      </c>
      <c r="EL119" s="41" t="str">
        <f t="shared" si="451"/>
        <v/>
      </c>
      <c r="EM119" s="41" t="str">
        <f t="shared" si="452"/>
        <v/>
      </c>
      <c r="EN119" s="41" t="str">
        <f t="shared" si="453"/>
        <v/>
      </c>
      <c r="EO119" s="41" t="str">
        <f t="shared" si="454"/>
        <v/>
      </c>
      <c r="EP119" s="41" t="str">
        <f t="shared" si="455"/>
        <v/>
      </c>
      <c r="EQ119" s="41" t="str">
        <f t="shared" si="456"/>
        <v/>
      </c>
      <c r="ER119" s="41" t="str">
        <f t="shared" si="457"/>
        <v/>
      </c>
      <c r="ES119" s="41" t="str">
        <f t="shared" si="458"/>
        <v/>
      </c>
      <c r="ET119" s="41" t="str">
        <f t="shared" si="459"/>
        <v/>
      </c>
      <c r="EU119" s="41" t="str">
        <f t="shared" ref="EU119:EU137" si="462">IFERROR(IF(ISBLANK(AG119), "-", IF($I119="c", AG119*$I$5, AG119)),"-")</f>
        <v/>
      </c>
      <c r="EV119" s="41" t="str">
        <f t="shared" ref="EV119:EV137" si="463">IFERROR(IF(ISBLANK(AH119), "-", IF($I119="c", AH119*$I$5, AH119)),"-")</f>
        <v/>
      </c>
      <c r="EW119" s="41" t="str">
        <f t="shared" ref="EW119:EW137" si="464">IFERROR(IF(ISBLANK(AI119), "-", IF($I119="c", AI119*$I$5, AI119)),"-")</f>
        <v/>
      </c>
      <c r="EX119" s="41" t="str">
        <f t="shared" ref="EX119:EX137" si="465">IFERROR(IF(ISBLANK(AJ119), "-", IF($I119="c", AJ119*$I$5, AJ119)),"-")</f>
        <v/>
      </c>
      <c r="EY119" s="41" t="str">
        <f t="shared" ref="EY119:EY137" si="466">IFERROR(IF(ISBLANK(AK119), "-", IF($I119="c", AK119*$I$5, AK119)),"-")</f>
        <v/>
      </c>
      <c r="EZ119" s="41" t="str">
        <f t="shared" ref="EZ119:EZ137" si="467">IFERROR(IF(ISBLANK(AL119), "-", IF($I119="c", AL119*$I$5, AL119)),"-")</f>
        <v/>
      </c>
      <c r="FA119" s="41" t="str">
        <f t="shared" ref="FA119:FA137" si="468">IFERROR(IF(ISBLANK(AM119), "-", IF($I119="c", AM119*$I$5, AM119)),"-")</f>
        <v/>
      </c>
      <c r="FB119" s="41" t="str">
        <f t="shared" ref="FB119:FB137" si="469">IFERROR(IF(ISBLANK(AN119), "-", IF($I119="c", AN119*$I$5, AN119)),"-")</f>
        <v/>
      </c>
      <c r="FC119" s="41" t="str">
        <f t="shared" ref="FC119:FC137" si="470">IFERROR(IF(ISBLANK(AO119), "-", IF($I119="c", AO119*$I$5, AO119)),"-")</f>
        <v/>
      </c>
      <c r="FD119" s="41" t="str">
        <f t="shared" ref="FD119:FD137" si="471">IFERROR(IF(ISBLANK(AP119), "-", IF($I119="c", AP119*$I$5, AP119)),"-")</f>
        <v/>
      </c>
      <c r="FE119" s="41" t="str">
        <f t="shared" ref="FE119:FE137" si="472">IFERROR(IF(ISBLANK(AQ119), "-", IF($I119="c", AQ119*$I$5, AQ119)),"-")</f>
        <v/>
      </c>
      <c r="FF119" s="41" t="str">
        <f t="shared" ref="FF119:FF137" si="473">IFERROR(IF(ISBLANK(AR119), "-", IF($I119="c", AR119*$I$5, AR119)),"-")</f>
        <v/>
      </c>
      <c r="FG119" s="41" t="str">
        <f t="shared" ref="FG119:FG137" si="474">IFERROR(IF(ISBLANK(AS119), "-", IF($I119="c", AS119*$I$5, AS119)),"-")</f>
        <v/>
      </c>
      <c r="FH119" s="41" t="str">
        <f t="shared" ref="FH119:FH137" si="475">IFERROR(IF(ISBLANK(AT119), "-", IF($I119="c", AT119*$I$5, AT119)),"-")</f>
        <v/>
      </c>
      <c r="FI119" s="41" t="str">
        <f t="shared" ref="FI119:FI137" si="476">IFERROR(IF(ISBLANK(AU119), "-", IF($I119="c", AU119*$I$5, AU119)),"-")</f>
        <v/>
      </c>
      <c r="FJ119" s="41" t="str">
        <f t="shared" ref="FJ119:FJ137" si="477">IFERROR(IF(ISBLANK(AV119), "-", IF($I119="c", AV119*$I$5, AV119)),"-")</f>
        <v/>
      </c>
      <c r="FK119" s="41" t="str">
        <f t="shared" ref="FK119:FK137" si="478">IFERROR(IF(ISBLANK(AW119), "-", IF($I119="c", AW119*$I$5, AW119)),"-")</f>
        <v/>
      </c>
      <c r="FL119" s="41" t="str">
        <f t="shared" ref="FL119:FL137" si="479">IFERROR(IF(ISBLANK(AX119), "-", IF($I119="c", AX119*$I$5, AX119)),"-")</f>
        <v/>
      </c>
      <c r="FM119" s="41" t="str">
        <f t="shared" ref="FM119:FM137" si="480">IFERROR(IF(ISBLANK(AY119), "-", IF($I119="c", AY119*$I$5, AY119)),"-")</f>
        <v/>
      </c>
      <c r="FN119" s="41" t="str">
        <f t="shared" ref="FN119:FN137" si="481">IFERROR(IF(ISBLANK(AZ119), "-", IF($I119="c", AZ119*$I$5, AZ119)),"-")</f>
        <v/>
      </c>
      <c r="FO119" s="41" t="str">
        <f t="shared" ref="FO119:FO137" si="482">IFERROR(IF(ISBLANK(BA119), "-", IF($I119="c", BA119*$I$5, BA119)),"-")</f>
        <v/>
      </c>
      <c r="FP119" s="41" t="str">
        <f t="shared" ref="FP119:FP137" si="483">IFERROR(IF(ISBLANK(BB119), "-", IF($I119="c", BB119*$I$5, BB119)),"-")</f>
        <v/>
      </c>
      <c r="FQ119" s="41" t="str">
        <f t="shared" ref="FQ119:FQ137" si="484">IFERROR(IF(ISBLANK(BC119), "-", IF($I119="c", BC119*$I$5, BC119)),"-")</f>
        <v/>
      </c>
      <c r="FR119" s="41" t="str">
        <f t="shared" ref="FR119:FR137" si="485">IFERROR(IF(ISBLANK(BD119), "-", IF($I119="c", BD119*$I$5, BD119)),"-")</f>
        <v/>
      </c>
      <c r="FS119" s="41" t="str">
        <f t="shared" ref="FS119:FS137" si="486">IFERROR(IF(ISBLANK(BE119), "-", IF($I119="c", BE119*$I$5, BE119)),"-")</f>
        <v/>
      </c>
      <c r="FT119" s="41" t="str">
        <f t="shared" ref="FT119:FT137" si="487">IFERROR(IF(ISBLANK(BF119), "-", IF($I119="c", BF119*$I$5, BF119)),"-")</f>
        <v/>
      </c>
      <c r="FU119" s="41" t="str">
        <f t="shared" ref="FU119:FU137" si="488">IFERROR(IF(ISBLANK(BG119), "-", IF($I119="c", BG119*$I$5, BG119)),"-")</f>
        <v/>
      </c>
      <c r="FV119" s="41" t="str">
        <f t="shared" ref="FV119:FV137" si="489">IFERROR(IF(ISBLANK(BH119), "-", IF($I119="c", BH119*$I$5, BH119)),"-")</f>
        <v/>
      </c>
      <c r="FW119" s="41" t="str">
        <f t="shared" ref="FW119:FW137" si="490">IFERROR(IF(ISBLANK(BI119), "-", IF($I119="c", BI119*$I$5, BI119)),"-")</f>
        <v/>
      </c>
      <c r="FX119" s="41" t="str">
        <f t="shared" ref="FX119:FX137" si="491">IFERROR(IF(ISBLANK(BJ119), "-", IF($I119="c", BJ119*$I$5, BJ119)),"-")</f>
        <v/>
      </c>
      <c r="FY119" s="41" t="str">
        <f t="shared" ref="FY119:FY137" si="492">IFERROR(IF(ISBLANK(BK119), "-", IF($I119="c", BK119*$I$5, BK119)),"-")</f>
        <v/>
      </c>
      <c r="FZ119" s="41" t="str">
        <f t="shared" ref="FZ119:FZ137" si="493">IFERROR(IF(ISBLANK(BL119), "-", IF($I119="c", BL119*$I$5, BL119)),"-")</f>
        <v/>
      </c>
      <c r="GA119" s="41" t="str">
        <f t="shared" ref="GA119:GA137" si="494">IFERROR(IF(ISBLANK(BM119), "-", IF($I119="c", BM119*$I$5, BM119)),"-")</f>
        <v/>
      </c>
      <c r="GB119" s="41" t="str">
        <f t="shared" ref="GB119:GB137" si="495">IFERROR(IF(ISBLANK(BN119), "-", IF($I119="c", BN119*$I$5, BN119)),"-")</f>
        <v/>
      </c>
      <c r="GC119" s="41" t="str">
        <f t="shared" ref="GC119:GC137" si="496">IFERROR(IF(ISBLANK(BO119), "-", IF($I119="c", BO119*$I$5, BO119)),"-")</f>
        <v/>
      </c>
      <c r="GD119" s="41" t="str">
        <f t="shared" ref="GD119:GD137" si="497">IFERROR(IF(ISBLANK(BP119), "-", IF($I119="c", BP119*$I$5, BP119)),"-")</f>
        <v/>
      </c>
      <c r="GE119" s="41" t="str">
        <f t="shared" ref="GE119:GE137" si="498">IFERROR(IF(ISBLANK(BQ119), "-", IF($I119="c", BQ119*$I$5, BQ119)),"-")</f>
        <v/>
      </c>
      <c r="GF119" s="41" t="str">
        <f t="shared" ref="GF119:GF137" si="499">IFERROR(IF(ISBLANK(BR119), "-", IF($I119="c", BR119*$I$5, BR119)),"-")</f>
        <v/>
      </c>
      <c r="GG119" s="41" t="str">
        <f t="shared" ref="GG119:GG137" si="500">IFERROR(IF(ISBLANK(BS119), "-", IF($I119="c", BS119*$I$5, BS119)),"-")</f>
        <v/>
      </c>
      <c r="GH119" s="41" t="str">
        <f t="shared" ref="GH119:GH137" si="501">IFERROR(IF(ISBLANK(BT119), "-", IF($I119="c", BT119*$I$5, BT119)),"-")</f>
        <v/>
      </c>
      <c r="GI119" s="41" t="str">
        <f t="shared" ref="GI119:GI137" si="502">IFERROR(IF(ISBLANK(BU119), "-", IF($I119="c", BU119*$I$5, BU119)),"-")</f>
        <v/>
      </c>
      <c r="GJ119" s="41" t="str">
        <f t="shared" ref="GJ119:GJ137" si="503">IFERROR(IF(ISBLANK(BV119), "-", IF($I119="c", BV119*$I$5, BV119)),"-")</f>
        <v/>
      </c>
      <c r="GK119" s="41" t="str">
        <f t="shared" ref="GK119:GK137" si="504">IFERROR(IF(ISBLANK(BW119), "-", IF($I119="c", BW119*$I$5, BW119)),"-")</f>
        <v/>
      </c>
      <c r="GL119" s="41" t="str">
        <f t="shared" ref="GL119:GL137" si="505">IFERROR(IF(ISBLANK(BX119), "-", IF($I119="c", BX119*$I$5, BX119)),"-")</f>
        <v/>
      </c>
      <c r="GM119" s="41" t="str">
        <f t="shared" ref="GM119:GM137" si="506">IFERROR(IF(ISBLANK(BY119), "-", IF($I119="c", BY119*$I$5, BY119)),"-")</f>
        <v/>
      </c>
      <c r="GN119" s="41" t="str">
        <f t="shared" ref="GN119:GN137" si="507">IFERROR(IF(ISBLANK(BZ119), "-", IF($I119="c", BZ119*$I$5, BZ119)),"-")</f>
        <v/>
      </c>
      <c r="GO119" s="41" t="str">
        <f t="shared" ref="GO119:GO137" si="508">IFERROR(IF(ISBLANK(CA119), "-", IF($I119="c", CA119*$I$5, CA119)),"-")</f>
        <v/>
      </c>
      <c r="GP119" s="41" t="str">
        <f t="shared" ref="GP119:GP137" si="509">IFERROR(IF(ISBLANK(CB119), "-", IF($I119="c", CB119*$I$5, CB119)),"-")</f>
        <v/>
      </c>
      <c r="GQ119" s="41" t="str">
        <f t="shared" ref="GQ119:GQ137" si="510">IFERROR(IF(ISBLANK(CC119), "-", IF($I119="c", CC119*$I$5, CC119)),"-")</f>
        <v/>
      </c>
      <c r="GR119" s="41" t="str">
        <f t="shared" ref="GR119:GR137" si="511">IFERROR(IF(ISBLANK(CD119), "-", IF($I119="c", CD119*$I$5, CD119)),"-")</f>
        <v/>
      </c>
      <c r="GS119" s="41" t="str">
        <f t="shared" ref="GS119:GS137" si="512">IFERROR(IF(ISBLANK(CE119), "-", IF($I119="c", CE119*$I$5, CE119)),"-")</f>
        <v/>
      </c>
      <c r="GT119" s="41" t="str">
        <f t="shared" ref="GT119:GT137" si="513">IFERROR(IF(ISBLANK(CF119), "-", IF($I119="c", CF119*$I$5, CF119)),"-")</f>
        <v/>
      </c>
      <c r="GU119" s="41" t="str">
        <f t="shared" ref="GU119:GU137" si="514">IFERROR(IF(ISBLANK(CG119), "-", IF($I119="c", CG119*$I$5, CG119)),"-")</f>
        <v/>
      </c>
      <c r="GV119" s="41" t="str">
        <f t="shared" ref="GV119:GV137" si="515">IFERROR(IF(ISBLANK(CH119), "-", IF($I119="c", CH119*$I$5, CH119)),"-")</f>
        <v/>
      </c>
      <c r="GW119" s="41" t="str">
        <f t="shared" ref="GW119:GW137" si="516">IFERROR(IF(ISBLANK(CI119), "-", IF($I119="c", CI119*$I$5, CI119)),"-")</f>
        <v/>
      </c>
      <c r="GX119" s="41" t="str">
        <f t="shared" ref="GX119:GX137" si="517">IFERROR(IF(ISBLANK(CJ119), "-", IF($I119="c", CJ119*$I$5, CJ119)),"-")</f>
        <v/>
      </c>
      <c r="GY119" s="41" t="str">
        <f t="shared" ref="GY119:GY137" si="518">IFERROR(IF(ISBLANK(CK119), "-", IF($I119="c", CK119*$I$5, CK119)),"-")</f>
        <v/>
      </c>
      <c r="GZ119" s="41" t="str">
        <f t="shared" ref="GZ119:GZ137" si="519">IFERROR(IF(ISBLANK(CL119), "-", IF($I119="c", CL119*$I$5, CL119)),"-")</f>
        <v/>
      </c>
      <c r="HA119" s="41" t="str">
        <f t="shared" ref="HA119:HA137" si="520">IFERROR(IF(ISBLANK(CM119), "-", IF($I119="c", CM119*$I$5, CM119)),"-")</f>
        <v/>
      </c>
      <c r="HB119" s="41" t="str">
        <f t="shared" ref="HB119:HB137" si="521">IFERROR(IF(ISBLANK(CN119), "-", IF($I119="c", CN119*$I$5, CN119)),"-")</f>
        <v/>
      </c>
      <c r="HC119" s="41" t="str">
        <f t="shared" ref="HC119:HC137" si="522">IFERROR(IF(ISBLANK(CO119), "-", IF($I119="c", CO119*$I$5, CO119)),"-")</f>
        <v/>
      </c>
      <c r="HD119" s="41" t="str">
        <f t="shared" ref="HD119:HD137" si="523">IFERROR(IF(ISBLANK(CP119), "-", IF($I119="c", CP119*$I$5, CP119)),"-")</f>
        <v/>
      </c>
      <c r="HE119" s="41" t="str">
        <f t="shared" ref="HE119:HE137" si="524">IFERROR(IF(ISBLANK(CQ119), "-", IF($I119="c", CQ119*$I$5, CQ119)),"-")</f>
        <v/>
      </c>
      <c r="HF119" s="41" t="str">
        <f t="shared" ref="HF119:HF137" si="525">IFERROR(IF(ISBLANK(CR119), "-", IF($I119="c", CR119*$I$5, CR119)),"-")</f>
        <v/>
      </c>
      <c r="HG119" s="41" t="str">
        <f t="shared" ref="HG119:HG137" si="526">IFERROR(IF(ISBLANK(CS119), "-", IF($I119="c", CS119*$I$5, CS119)),"-")</f>
        <v/>
      </c>
      <c r="HH119" s="41" t="str">
        <f t="shared" ref="HH119:HH137" si="527">IFERROR(IF(ISBLANK(CT119), "-", IF($I119="c", CT119*$I$5, CT119)),"-")</f>
        <v/>
      </c>
      <c r="HI119" s="41" t="str">
        <f t="shared" ref="HI119:HI137" si="528">IFERROR(IF(ISBLANK(CU119), "-", IF($I119="c", CU119*$I$5, CU119)),"-")</f>
        <v/>
      </c>
      <c r="HJ119" s="41" t="str">
        <f t="shared" ref="HJ119:HJ137" si="529">IFERROR(IF(ISBLANK(CV119), "-", IF($I119="c", CV119*$I$5, CV119)),"-")</f>
        <v/>
      </c>
      <c r="HK119" s="41" t="str">
        <f t="shared" ref="HK119:HK137" si="530">IFERROR(IF(ISBLANK(CW119), "-", IF($I119="c", CW119*$I$5, CW119)),"-")</f>
        <v/>
      </c>
      <c r="HL119" s="41" t="str">
        <f t="shared" ref="HL119:HL137" si="531">IFERROR(IF(ISBLANK(CX119), "-", IF($I119="c", CX119*$I$5, CX119)),"-")</f>
        <v/>
      </c>
      <c r="HM119" s="41" t="str">
        <f t="shared" ref="HM119:HM137" si="532">IFERROR(IF(ISBLANK(CY119), "-", IF($I119="c", CY119*$I$5, CY119)),"-")</f>
        <v/>
      </c>
      <c r="HN119" s="41" t="str">
        <f t="shared" ref="HN119:HN137" si="533">IFERROR(IF(ISBLANK(CZ119), "-", IF($I119="c", CZ119*$I$5, CZ119)),"-")</f>
        <v/>
      </c>
      <c r="HO119" s="41" t="str">
        <f t="shared" ref="HO119:HO137" si="534">IFERROR(IF(ISBLANK(DA119), "-", IF($I119="c", DA119*$I$5, DA119)),"-")</f>
        <v/>
      </c>
      <c r="HP119" s="41" t="str">
        <f t="shared" ref="HP119:HP137" si="535">IFERROR(IF(ISBLANK(DB119), "-", IF($I119="c", DB119*$I$5, DB119)),"-")</f>
        <v/>
      </c>
      <c r="HQ119" s="41" t="str">
        <f t="shared" ref="HQ119:HQ137" si="536">IFERROR(IF(ISBLANK(DC119), "-", IF($I119="c", DC119*$I$5, DC119)),"-")</f>
        <v/>
      </c>
      <c r="HR119" s="41" t="str">
        <f t="shared" ref="HR119:HR137" si="537">IFERROR(IF(ISBLANK(DD119), "-", IF($I119="c", DD119*$I$5, DD119)),"-")</f>
        <v/>
      </c>
      <c r="HS119" s="41" t="str">
        <f t="shared" ref="HS119:HT137" si="538">IFERROR(IF(ISBLANK(DE119), "-", IF($I119="c", DE119*$I$5, DE119)),"-")</f>
        <v/>
      </c>
      <c r="HT119" s="41" t="str">
        <f t="shared" si="538"/>
        <v/>
      </c>
      <c r="HU119" s="43" t="str">
        <f t="shared" si="445"/>
        <v>-</v>
      </c>
      <c r="HV119" s="44" t="str">
        <f t="shared" si="446"/>
        <v/>
      </c>
      <c r="HW119" s="45" t="str">
        <f t="shared" si="447"/>
        <v/>
      </c>
      <c r="HX119" s="96"/>
      <c r="HY119" s="96"/>
      <c r="HZ119" s="96"/>
      <c r="IA119" s="95"/>
      <c r="IB119" s="96"/>
      <c r="IC119" s="97"/>
      <c r="ID119" s="95"/>
      <c r="IE119" s="96"/>
      <c r="IF119" s="97"/>
      <c r="IH119" s="66">
        <v>119</v>
      </c>
      <c r="II119" s="66" t="e">
        <f t="shared" ca="1" si="436"/>
        <v>#N/A</v>
      </c>
      <c r="IJ119" s="66" t="e">
        <f t="shared" ca="1" si="437"/>
        <v>#N/A</v>
      </c>
      <c r="IK119" s="66" t="e">
        <f t="shared" ca="1" si="438"/>
        <v>#N/A</v>
      </c>
      <c r="IL119" s="66" t="e">
        <f t="shared" ca="1" si="439"/>
        <v>#N/A</v>
      </c>
      <c r="IN119" s="74" t="e">
        <f t="shared" ca="1" si="440"/>
        <v>#N/A</v>
      </c>
      <c r="IO119" s="75" t="e">
        <f t="shared" ca="1" si="441"/>
        <v>#N/A</v>
      </c>
      <c r="IP119" s="75" t="e">
        <f t="shared" ca="1" si="442"/>
        <v>#N/A</v>
      </c>
      <c r="IQ119" s="74" t="e">
        <f t="shared" ca="1" si="443"/>
        <v>#N/A</v>
      </c>
      <c r="IR119" s="74" t="e">
        <f t="shared" ca="1" si="444"/>
        <v>#N/A</v>
      </c>
    </row>
    <row r="120" spans="1:252" x14ac:dyDescent="0.35">
      <c r="A120" s="28">
        <v>0</v>
      </c>
      <c r="B120" s="28">
        <v>0</v>
      </c>
      <c r="C120" s="28">
        <v>1</v>
      </c>
      <c r="D120" s="1"/>
      <c r="E120" s="3"/>
      <c r="F120" t="s">
        <v>385</v>
      </c>
      <c r="G120" s="5" t="s">
        <v>530</v>
      </c>
      <c r="H120" s="4" t="s">
        <v>545</v>
      </c>
      <c r="I120" t="s">
        <v>532</v>
      </c>
      <c r="J120" s="276" t="s">
        <v>805</v>
      </c>
      <c r="K120" s="21" t="s">
        <v>805</v>
      </c>
      <c r="L120" s="21" t="s">
        <v>805</v>
      </c>
      <c r="M120" s="21" t="s">
        <v>805</v>
      </c>
      <c r="N120" s="21" t="s">
        <v>805</v>
      </c>
      <c r="O120" s="21" t="s">
        <v>805</v>
      </c>
      <c r="P120" s="21" t="s">
        <v>805</v>
      </c>
      <c r="Q120" s="21" t="s">
        <v>805</v>
      </c>
      <c r="R120" s="21" t="s">
        <v>805</v>
      </c>
      <c r="S120" s="21" t="s">
        <v>805</v>
      </c>
      <c r="T120" s="21" t="s">
        <v>805</v>
      </c>
      <c r="U120" s="21" t="s">
        <v>805</v>
      </c>
      <c r="V120" s="21" t="s">
        <v>805</v>
      </c>
      <c r="W120" s="21" t="s">
        <v>805</v>
      </c>
      <c r="X120" s="21" t="s">
        <v>805</v>
      </c>
      <c r="Y120" s="21" t="s">
        <v>805</v>
      </c>
      <c r="Z120" s="21" t="s">
        <v>805</v>
      </c>
      <c r="AA120" s="21" t="s">
        <v>805</v>
      </c>
      <c r="AB120" s="21" t="s">
        <v>805</v>
      </c>
      <c r="AC120" s="21" t="s">
        <v>805</v>
      </c>
      <c r="AD120" s="21" t="s">
        <v>805</v>
      </c>
      <c r="AE120" s="21" t="s">
        <v>805</v>
      </c>
      <c r="AF120" s="21" t="s">
        <v>805</v>
      </c>
      <c r="AG120" s="21" t="s">
        <v>805</v>
      </c>
      <c r="AH120" s="21" t="s">
        <v>805</v>
      </c>
      <c r="AI120" s="21" t="s">
        <v>805</v>
      </c>
      <c r="AJ120" s="21" t="s">
        <v>805</v>
      </c>
      <c r="AK120" s="21" t="s">
        <v>805</v>
      </c>
      <c r="AL120" s="21" t="s">
        <v>805</v>
      </c>
      <c r="AM120" s="21" t="s">
        <v>805</v>
      </c>
      <c r="AN120" s="21" t="s">
        <v>805</v>
      </c>
      <c r="AO120" s="21" t="s">
        <v>805</v>
      </c>
      <c r="AP120" s="21" t="s">
        <v>805</v>
      </c>
      <c r="AQ120" s="21" t="s">
        <v>805</v>
      </c>
      <c r="AR120" s="21" t="s">
        <v>805</v>
      </c>
      <c r="AS120" s="21" t="s">
        <v>805</v>
      </c>
      <c r="AT120" s="21" t="s">
        <v>805</v>
      </c>
      <c r="AU120" s="21" t="s">
        <v>805</v>
      </c>
      <c r="AV120" s="21" t="s">
        <v>805</v>
      </c>
      <c r="AW120" s="21" t="s">
        <v>805</v>
      </c>
      <c r="AX120" s="21" t="s">
        <v>805</v>
      </c>
      <c r="AY120" s="21" t="s">
        <v>805</v>
      </c>
      <c r="AZ120" s="21" t="s">
        <v>805</v>
      </c>
      <c r="BA120" s="21" t="s">
        <v>805</v>
      </c>
      <c r="BB120" s="21" t="s">
        <v>805</v>
      </c>
      <c r="BC120" s="21" t="s">
        <v>805</v>
      </c>
      <c r="BD120" s="21" t="s">
        <v>805</v>
      </c>
      <c r="BE120" s="21" t="s">
        <v>805</v>
      </c>
      <c r="BF120" s="21" t="s">
        <v>805</v>
      </c>
      <c r="BG120" s="21" t="s">
        <v>805</v>
      </c>
      <c r="BH120" s="21" t="s">
        <v>805</v>
      </c>
      <c r="BI120" s="21" t="s">
        <v>805</v>
      </c>
      <c r="BJ120" s="21" t="s">
        <v>805</v>
      </c>
      <c r="BK120" s="21" t="s">
        <v>805</v>
      </c>
      <c r="BL120" s="21" t="s">
        <v>805</v>
      </c>
      <c r="BM120" s="21" t="s">
        <v>805</v>
      </c>
      <c r="BN120" s="21" t="s">
        <v>805</v>
      </c>
      <c r="BO120" s="21" t="s">
        <v>805</v>
      </c>
      <c r="BP120" s="21" t="s">
        <v>805</v>
      </c>
      <c r="BQ120" s="21" t="s">
        <v>805</v>
      </c>
      <c r="BR120" s="21" t="s">
        <v>805</v>
      </c>
      <c r="BS120" s="21" t="s">
        <v>805</v>
      </c>
      <c r="BT120" s="21" t="s">
        <v>805</v>
      </c>
      <c r="BU120" s="21" t="s">
        <v>805</v>
      </c>
      <c r="BV120" s="21" t="s">
        <v>805</v>
      </c>
      <c r="BW120" s="21" t="s">
        <v>805</v>
      </c>
      <c r="BX120" s="21" t="s">
        <v>805</v>
      </c>
      <c r="BY120" s="21" t="s">
        <v>805</v>
      </c>
      <c r="BZ120" s="21" t="s">
        <v>805</v>
      </c>
      <c r="CA120" s="21" t="s">
        <v>805</v>
      </c>
      <c r="CB120" s="21" t="s">
        <v>805</v>
      </c>
      <c r="CC120" s="21" t="s">
        <v>805</v>
      </c>
      <c r="CD120" s="21" t="s">
        <v>805</v>
      </c>
      <c r="CE120" s="21" t="s">
        <v>805</v>
      </c>
      <c r="CF120" s="21" t="s">
        <v>805</v>
      </c>
      <c r="CG120" s="21" t="s">
        <v>805</v>
      </c>
      <c r="CH120" s="21" t="s">
        <v>805</v>
      </c>
      <c r="CI120" s="21" t="s">
        <v>805</v>
      </c>
      <c r="CJ120" s="21" t="s">
        <v>805</v>
      </c>
      <c r="CK120" s="21" t="s">
        <v>805</v>
      </c>
      <c r="CL120" s="21" t="s">
        <v>805</v>
      </c>
      <c r="CM120" s="21" t="s">
        <v>805</v>
      </c>
      <c r="CN120" s="21" t="s">
        <v>805</v>
      </c>
      <c r="CO120" s="21" t="s">
        <v>805</v>
      </c>
      <c r="CP120" s="21" t="s">
        <v>805</v>
      </c>
      <c r="CQ120" s="21" t="s">
        <v>805</v>
      </c>
      <c r="CR120" s="21" t="s">
        <v>805</v>
      </c>
      <c r="CS120" s="21" t="s">
        <v>805</v>
      </c>
      <c r="CT120" s="21" t="s">
        <v>805</v>
      </c>
      <c r="CU120" s="21" t="s">
        <v>805</v>
      </c>
      <c r="CV120" s="21" t="s">
        <v>805</v>
      </c>
      <c r="CW120" s="21" t="s">
        <v>805</v>
      </c>
      <c r="CX120" s="21" t="s">
        <v>805</v>
      </c>
      <c r="CY120" s="21" t="s">
        <v>805</v>
      </c>
      <c r="CZ120" s="21" t="s">
        <v>805</v>
      </c>
      <c r="DA120" s="21" t="s">
        <v>805</v>
      </c>
      <c r="DB120" s="21" t="s">
        <v>805</v>
      </c>
      <c r="DC120" s="21" t="s">
        <v>805</v>
      </c>
      <c r="DD120" s="21" t="s">
        <v>805</v>
      </c>
      <c r="DE120" s="21" t="s">
        <v>805</v>
      </c>
      <c r="DF120" s="21" t="s">
        <v>805</v>
      </c>
      <c r="DG120" s="28">
        <f>'KPI Count-SHARE'!J109</f>
        <v>0</v>
      </c>
      <c r="DH120" s="108"/>
      <c r="DI120" s="108"/>
      <c r="DJ120" s="108"/>
      <c r="DK120" s="28">
        <f>'KPI Count-SHARE'!K109</f>
        <v>0</v>
      </c>
      <c r="DL120" s="58"/>
      <c r="DM120" s="58"/>
      <c r="DN120" s="58"/>
      <c r="DO120" s="28">
        <f>'KPI Count-SHARE'!L109</f>
        <v>0</v>
      </c>
      <c r="DP120" s="58"/>
      <c r="DQ120" s="58"/>
      <c r="DR120" s="58"/>
      <c r="DS120" s="28">
        <f>'KPI Count-SHARE'!M109</f>
        <v>0</v>
      </c>
      <c r="DT120" s="58"/>
      <c r="DU120" s="58"/>
      <c r="DV120" s="58"/>
      <c r="DW120" t="s">
        <v>545</v>
      </c>
      <c r="DX120" s="41" t="str">
        <f t="shared" si="425"/>
        <v/>
      </c>
      <c r="DY120" s="41" t="str">
        <f t="shared" si="426"/>
        <v/>
      </c>
      <c r="DZ120" s="41" t="str">
        <f t="shared" si="427"/>
        <v/>
      </c>
      <c r="EA120" s="41" t="str">
        <f t="shared" si="428"/>
        <v/>
      </c>
      <c r="EB120" s="41" t="str">
        <f t="shared" si="429"/>
        <v/>
      </c>
      <c r="EC120" s="41" t="str">
        <f t="shared" si="430"/>
        <v/>
      </c>
      <c r="ED120" s="41" t="str">
        <f t="shared" si="431"/>
        <v/>
      </c>
      <c r="EE120" s="41" t="str">
        <f t="shared" si="432"/>
        <v/>
      </c>
      <c r="EF120" s="41" t="str">
        <f t="shared" si="433"/>
        <v/>
      </c>
      <c r="EG120" s="41" t="str">
        <f t="shared" si="434"/>
        <v/>
      </c>
      <c r="EH120" s="41" t="str">
        <f t="shared" si="435"/>
        <v/>
      </c>
      <c r="EI120" s="41" t="str">
        <f t="shared" si="448"/>
        <v/>
      </c>
      <c r="EJ120" s="41" t="str">
        <f t="shared" si="449"/>
        <v/>
      </c>
      <c r="EK120" s="41" t="str">
        <f t="shared" si="450"/>
        <v/>
      </c>
      <c r="EL120" s="41" t="str">
        <f t="shared" si="451"/>
        <v/>
      </c>
      <c r="EM120" s="41" t="str">
        <f t="shared" si="452"/>
        <v/>
      </c>
      <c r="EN120" s="41" t="str">
        <f t="shared" si="453"/>
        <v/>
      </c>
      <c r="EO120" s="41" t="str">
        <f t="shared" si="454"/>
        <v/>
      </c>
      <c r="EP120" s="41" t="str">
        <f t="shared" si="455"/>
        <v/>
      </c>
      <c r="EQ120" s="41" t="str">
        <f t="shared" si="456"/>
        <v/>
      </c>
      <c r="ER120" s="41" t="str">
        <f t="shared" si="457"/>
        <v/>
      </c>
      <c r="ES120" s="41" t="str">
        <f t="shared" si="458"/>
        <v/>
      </c>
      <c r="ET120" s="41" t="str">
        <f t="shared" si="459"/>
        <v/>
      </c>
      <c r="EU120" s="41" t="str">
        <f t="shared" si="462"/>
        <v/>
      </c>
      <c r="EV120" s="41" t="str">
        <f t="shared" si="463"/>
        <v/>
      </c>
      <c r="EW120" s="41" t="str">
        <f t="shared" si="464"/>
        <v/>
      </c>
      <c r="EX120" s="41" t="str">
        <f t="shared" si="465"/>
        <v/>
      </c>
      <c r="EY120" s="41" t="str">
        <f t="shared" si="466"/>
        <v/>
      </c>
      <c r="EZ120" s="41" t="str">
        <f t="shared" si="467"/>
        <v/>
      </c>
      <c r="FA120" s="41" t="str">
        <f t="shared" si="468"/>
        <v/>
      </c>
      <c r="FB120" s="41" t="str">
        <f t="shared" si="469"/>
        <v/>
      </c>
      <c r="FC120" s="41" t="str">
        <f t="shared" si="470"/>
        <v/>
      </c>
      <c r="FD120" s="41" t="str">
        <f t="shared" si="471"/>
        <v/>
      </c>
      <c r="FE120" s="41" t="str">
        <f t="shared" si="472"/>
        <v/>
      </c>
      <c r="FF120" s="41" t="str">
        <f t="shared" si="473"/>
        <v/>
      </c>
      <c r="FG120" s="41" t="str">
        <f t="shared" si="474"/>
        <v/>
      </c>
      <c r="FH120" s="41" t="str">
        <f t="shared" si="475"/>
        <v/>
      </c>
      <c r="FI120" s="41" t="str">
        <f t="shared" si="476"/>
        <v/>
      </c>
      <c r="FJ120" s="41" t="str">
        <f t="shared" si="477"/>
        <v/>
      </c>
      <c r="FK120" s="41" t="str">
        <f t="shared" si="478"/>
        <v/>
      </c>
      <c r="FL120" s="41" t="str">
        <f t="shared" si="479"/>
        <v/>
      </c>
      <c r="FM120" s="41" t="str">
        <f t="shared" si="480"/>
        <v/>
      </c>
      <c r="FN120" s="41" t="str">
        <f t="shared" si="481"/>
        <v/>
      </c>
      <c r="FO120" s="41" t="str">
        <f t="shared" si="482"/>
        <v/>
      </c>
      <c r="FP120" s="41" t="str">
        <f t="shared" si="483"/>
        <v/>
      </c>
      <c r="FQ120" s="41" t="str">
        <f t="shared" si="484"/>
        <v/>
      </c>
      <c r="FR120" s="41" t="str">
        <f t="shared" si="485"/>
        <v/>
      </c>
      <c r="FS120" s="41" t="str">
        <f t="shared" si="486"/>
        <v/>
      </c>
      <c r="FT120" s="41" t="str">
        <f t="shared" si="487"/>
        <v/>
      </c>
      <c r="FU120" s="41" t="str">
        <f t="shared" si="488"/>
        <v/>
      </c>
      <c r="FV120" s="41" t="str">
        <f t="shared" si="489"/>
        <v/>
      </c>
      <c r="FW120" s="41" t="str">
        <f t="shared" si="490"/>
        <v/>
      </c>
      <c r="FX120" s="41" t="str">
        <f t="shared" si="491"/>
        <v/>
      </c>
      <c r="FY120" s="41" t="str">
        <f t="shared" si="492"/>
        <v/>
      </c>
      <c r="FZ120" s="41" t="str">
        <f t="shared" si="493"/>
        <v/>
      </c>
      <c r="GA120" s="41" t="str">
        <f t="shared" si="494"/>
        <v/>
      </c>
      <c r="GB120" s="41" t="str">
        <f t="shared" si="495"/>
        <v/>
      </c>
      <c r="GC120" s="41" t="str">
        <f t="shared" si="496"/>
        <v/>
      </c>
      <c r="GD120" s="41" t="str">
        <f t="shared" si="497"/>
        <v/>
      </c>
      <c r="GE120" s="41" t="str">
        <f t="shared" si="498"/>
        <v/>
      </c>
      <c r="GF120" s="41" t="str">
        <f t="shared" si="499"/>
        <v/>
      </c>
      <c r="GG120" s="41" t="str">
        <f t="shared" si="500"/>
        <v/>
      </c>
      <c r="GH120" s="41" t="str">
        <f t="shared" si="501"/>
        <v/>
      </c>
      <c r="GI120" s="41" t="str">
        <f t="shared" si="502"/>
        <v/>
      </c>
      <c r="GJ120" s="41" t="str">
        <f t="shared" si="503"/>
        <v/>
      </c>
      <c r="GK120" s="41" t="str">
        <f t="shared" si="504"/>
        <v/>
      </c>
      <c r="GL120" s="41" t="str">
        <f t="shared" si="505"/>
        <v/>
      </c>
      <c r="GM120" s="41" t="str">
        <f t="shared" si="506"/>
        <v/>
      </c>
      <c r="GN120" s="41" t="str">
        <f t="shared" si="507"/>
        <v/>
      </c>
      <c r="GO120" s="41" t="str">
        <f t="shared" si="508"/>
        <v/>
      </c>
      <c r="GP120" s="41" t="str">
        <f t="shared" si="509"/>
        <v/>
      </c>
      <c r="GQ120" s="41" t="str">
        <f t="shared" si="510"/>
        <v/>
      </c>
      <c r="GR120" s="41" t="str">
        <f t="shared" si="511"/>
        <v/>
      </c>
      <c r="GS120" s="41" t="str">
        <f t="shared" si="512"/>
        <v/>
      </c>
      <c r="GT120" s="41" t="str">
        <f t="shared" si="513"/>
        <v/>
      </c>
      <c r="GU120" s="41" t="str">
        <f t="shared" si="514"/>
        <v/>
      </c>
      <c r="GV120" s="41" t="str">
        <f t="shared" si="515"/>
        <v/>
      </c>
      <c r="GW120" s="41" t="str">
        <f t="shared" si="516"/>
        <v/>
      </c>
      <c r="GX120" s="41" t="str">
        <f t="shared" si="517"/>
        <v/>
      </c>
      <c r="GY120" s="41" t="str">
        <f t="shared" si="518"/>
        <v/>
      </c>
      <c r="GZ120" s="41" t="str">
        <f t="shared" si="519"/>
        <v/>
      </c>
      <c r="HA120" s="41" t="str">
        <f t="shared" si="520"/>
        <v/>
      </c>
      <c r="HB120" s="41" t="str">
        <f t="shared" si="521"/>
        <v/>
      </c>
      <c r="HC120" s="41" t="str">
        <f t="shared" si="522"/>
        <v/>
      </c>
      <c r="HD120" s="41" t="str">
        <f t="shared" si="523"/>
        <v/>
      </c>
      <c r="HE120" s="41" t="str">
        <f t="shared" si="524"/>
        <v/>
      </c>
      <c r="HF120" s="41" t="str">
        <f t="shared" si="525"/>
        <v/>
      </c>
      <c r="HG120" s="41" t="str">
        <f t="shared" si="526"/>
        <v/>
      </c>
      <c r="HH120" s="41" t="str">
        <f t="shared" si="527"/>
        <v/>
      </c>
      <c r="HI120" s="41" t="str">
        <f t="shared" si="528"/>
        <v/>
      </c>
      <c r="HJ120" s="41" t="str">
        <f t="shared" si="529"/>
        <v/>
      </c>
      <c r="HK120" s="41" t="str">
        <f t="shared" si="530"/>
        <v/>
      </c>
      <c r="HL120" s="41" t="str">
        <f t="shared" si="531"/>
        <v/>
      </c>
      <c r="HM120" s="41" t="str">
        <f t="shared" si="532"/>
        <v/>
      </c>
      <c r="HN120" s="41" t="str">
        <f t="shared" si="533"/>
        <v/>
      </c>
      <c r="HO120" s="41" t="str">
        <f t="shared" si="534"/>
        <v/>
      </c>
      <c r="HP120" s="41" t="str">
        <f t="shared" si="535"/>
        <v/>
      </c>
      <c r="HQ120" s="41" t="str">
        <f t="shared" si="536"/>
        <v/>
      </c>
      <c r="HR120" s="41" t="str">
        <f t="shared" si="537"/>
        <v/>
      </c>
      <c r="HS120" s="41" t="str">
        <f t="shared" si="538"/>
        <v/>
      </c>
      <c r="HT120" s="41" t="str">
        <f t="shared" si="538"/>
        <v/>
      </c>
      <c r="HU120" s="43" t="str">
        <f t="shared" si="445"/>
        <v>-</v>
      </c>
      <c r="HV120" s="44" t="str">
        <f t="shared" si="446"/>
        <v/>
      </c>
      <c r="HW120" s="45" t="str">
        <f t="shared" si="447"/>
        <v/>
      </c>
      <c r="HX120" s="96"/>
      <c r="HY120" s="96"/>
      <c r="HZ120" s="96"/>
      <c r="IA120" s="95"/>
      <c r="IB120" s="96"/>
      <c r="IC120" s="97"/>
      <c r="ID120" s="95"/>
      <c r="IE120" s="96"/>
      <c r="IF120" s="97"/>
      <c r="IH120" s="66">
        <v>120</v>
      </c>
      <c r="II120" s="66" t="e">
        <f t="shared" ca="1" si="436"/>
        <v>#N/A</v>
      </c>
      <c r="IJ120" s="66" t="e">
        <f t="shared" ca="1" si="437"/>
        <v>#N/A</v>
      </c>
      <c r="IK120" s="66" t="e">
        <f t="shared" ca="1" si="438"/>
        <v>#N/A</v>
      </c>
      <c r="IL120" s="66" t="e">
        <f t="shared" ca="1" si="439"/>
        <v>#N/A</v>
      </c>
      <c r="IN120" s="74" t="e">
        <f t="shared" ca="1" si="440"/>
        <v>#N/A</v>
      </c>
      <c r="IO120" s="75" t="e">
        <f t="shared" ca="1" si="441"/>
        <v>#N/A</v>
      </c>
      <c r="IP120" s="75" t="e">
        <f t="shared" ca="1" si="442"/>
        <v>#N/A</v>
      </c>
      <c r="IQ120" s="74" t="e">
        <f t="shared" ca="1" si="443"/>
        <v>#N/A</v>
      </c>
      <c r="IR120" s="74" t="e">
        <f t="shared" ca="1" si="444"/>
        <v>#N/A</v>
      </c>
    </row>
    <row r="121" spans="1:252" x14ac:dyDescent="0.35">
      <c r="A121" s="28">
        <v>0</v>
      </c>
      <c r="B121" s="28">
        <v>0</v>
      </c>
      <c r="C121" s="28">
        <v>1</v>
      </c>
      <c r="D121" s="1"/>
      <c r="E121" s="3"/>
      <c r="F121" t="s">
        <v>386</v>
      </c>
      <c r="G121" s="5" t="s">
        <v>530</v>
      </c>
      <c r="H121" s="4" t="s">
        <v>545</v>
      </c>
      <c r="I121" t="s">
        <v>532</v>
      </c>
      <c r="J121" s="276" t="s">
        <v>805</v>
      </c>
      <c r="K121" s="21" t="s">
        <v>805</v>
      </c>
      <c r="L121" s="21" t="s">
        <v>805</v>
      </c>
      <c r="M121" s="21" t="s">
        <v>805</v>
      </c>
      <c r="N121" s="21" t="s">
        <v>805</v>
      </c>
      <c r="O121" s="21" t="s">
        <v>805</v>
      </c>
      <c r="P121" s="21" t="s">
        <v>805</v>
      </c>
      <c r="Q121" s="21" t="s">
        <v>805</v>
      </c>
      <c r="R121" s="21" t="s">
        <v>805</v>
      </c>
      <c r="S121" s="21" t="s">
        <v>805</v>
      </c>
      <c r="T121" s="21" t="s">
        <v>805</v>
      </c>
      <c r="U121" s="21" t="s">
        <v>805</v>
      </c>
      <c r="V121" s="21" t="s">
        <v>805</v>
      </c>
      <c r="W121" s="21" t="s">
        <v>805</v>
      </c>
      <c r="X121" s="21" t="s">
        <v>805</v>
      </c>
      <c r="Y121" s="21" t="s">
        <v>805</v>
      </c>
      <c r="Z121" s="21" t="s">
        <v>805</v>
      </c>
      <c r="AA121" s="21" t="s">
        <v>805</v>
      </c>
      <c r="AB121" s="21" t="s">
        <v>805</v>
      </c>
      <c r="AC121" s="21" t="s">
        <v>805</v>
      </c>
      <c r="AD121" s="21" t="s">
        <v>805</v>
      </c>
      <c r="AE121" s="21" t="s">
        <v>805</v>
      </c>
      <c r="AF121" s="21" t="s">
        <v>805</v>
      </c>
      <c r="AG121" s="21" t="s">
        <v>805</v>
      </c>
      <c r="AH121" s="21" t="s">
        <v>805</v>
      </c>
      <c r="AI121" s="21" t="s">
        <v>805</v>
      </c>
      <c r="AJ121" s="21" t="s">
        <v>805</v>
      </c>
      <c r="AK121" s="21" t="s">
        <v>805</v>
      </c>
      <c r="AL121" s="21" t="s">
        <v>805</v>
      </c>
      <c r="AM121" s="21" t="s">
        <v>805</v>
      </c>
      <c r="AN121" s="21" t="s">
        <v>805</v>
      </c>
      <c r="AO121" s="21" t="s">
        <v>805</v>
      </c>
      <c r="AP121" s="21" t="s">
        <v>805</v>
      </c>
      <c r="AQ121" s="21" t="s">
        <v>805</v>
      </c>
      <c r="AR121" s="21" t="s">
        <v>805</v>
      </c>
      <c r="AS121" s="21" t="s">
        <v>805</v>
      </c>
      <c r="AT121" s="21" t="s">
        <v>805</v>
      </c>
      <c r="AU121" s="21" t="s">
        <v>805</v>
      </c>
      <c r="AV121" s="21" t="s">
        <v>805</v>
      </c>
      <c r="AW121" s="21" t="s">
        <v>805</v>
      </c>
      <c r="AX121" s="21" t="s">
        <v>805</v>
      </c>
      <c r="AY121" s="21" t="s">
        <v>805</v>
      </c>
      <c r="AZ121" s="21" t="s">
        <v>805</v>
      </c>
      <c r="BA121" s="21" t="s">
        <v>805</v>
      </c>
      <c r="BB121" s="21" t="s">
        <v>805</v>
      </c>
      <c r="BC121" s="21" t="s">
        <v>805</v>
      </c>
      <c r="BD121" s="21" t="s">
        <v>805</v>
      </c>
      <c r="BE121" s="21" t="s">
        <v>805</v>
      </c>
      <c r="BF121" s="21" t="s">
        <v>805</v>
      </c>
      <c r="BG121" s="21" t="s">
        <v>805</v>
      </c>
      <c r="BH121" s="21" t="s">
        <v>805</v>
      </c>
      <c r="BI121" s="21" t="s">
        <v>805</v>
      </c>
      <c r="BJ121" s="21" t="s">
        <v>805</v>
      </c>
      <c r="BK121" s="21" t="s">
        <v>805</v>
      </c>
      <c r="BL121" s="21" t="s">
        <v>805</v>
      </c>
      <c r="BM121" s="21" t="s">
        <v>805</v>
      </c>
      <c r="BN121" s="21" t="s">
        <v>805</v>
      </c>
      <c r="BO121" s="21" t="s">
        <v>805</v>
      </c>
      <c r="BP121" s="21" t="s">
        <v>805</v>
      </c>
      <c r="BQ121" s="21" t="s">
        <v>805</v>
      </c>
      <c r="BR121" s="21" t="s">
        <v>805</v>
      </c>
      <c r="BS121" s="21" t="s">
        <v>805</v>
      </c>
      <c r="BT121" s="21" t="s">
        <v>805</v>
      </c>
      <c r="BU121" s="21" t="s">
        <v>805</v>
      </c>
      <c r="BV121" s="21" t="s">
        <v>805</v>
      </c>
      <c r="BW121" s="21" t="s">
        <v>805</v>
      </c>
      <c r="BX121" s="21" t="s">
        <v>805</v>
      </c>
      <c r="BY121" s="21" t="s">
        <v>805</v>
      </c>
      <c r="BZ121" s="21" t="s">
        <v>805</v>
      </c>
      <c r="CA121" s="21" t="s">
        <v>805</v>
      </c>
      <c r="CB121" s="21" t="s">
        <v>805</v>
      </c>
      <c r="CC121" s="21" t="s">
        <v>805</v>
      </c>
      <c r="CD121" s="21" t="s">
        <v>805</v>
      </c>
      <c r="CE121" s="21" t="s">
        <v>805</v>
      </c>
      <c r="CF121" s="21" t="s">
        <v>805</v>
      </c>
      <c r="CG121" s="21" t="s">
        <v>805</v>
      </c>
      <c r="CH121" s="21" t="s">
        <v>805</v>
      </c>
      <c r="CI121" s="21" t="s">
        <v>805</v>
      </c>
      <c r="CJ121" s="21" t="s">
        <v>805</v>
      </c>
      <c r="CK121" s="21" t="s">
        <v>805</v>
      </c>
      <c r="CL121" s="21" t="s">
        <v>805</v>
      </c>
      <c r="CM121" s="21" t="s">
        <v>805</v>
      </c>
      <c r="CN121" s="21" t="s">
        <v>805</v>
      </c>
      <c r="CO121" s="21" t="s">
        <v>805</v>
      </c>
      <c r="CP121" s="21" t="s">
        <v>805</v>
      </c>
      <c r="CQ121" s="21" t="s">
        <v>805</v>
      </c>
      <c r="CR121" s="21" t="s">
        <v>805</v>
      </c>
      <c r="CS121" s="21" t="s">
        <v>805</v>
      </c>
      <c r="CT121" s="21" t="s">
        <v>805</v>
      </c>
      <c r="CU121" s="21" t="s">
        <v>805</v>
      </c>
      <c r="CV121" s="21" t="s">
        <v>805</v>
      </c>
      <c r="CW121" s="21" t="s">
        <v>805</v>
      </c>
      <c r="CX121" s="21" t="s">
        <v>805</v>
      </c>
      <c r="CY121" s="21" t="s">
        <v>805</v>
      </c>
      <c r="CZ121" s="21" t="s">
        <v>805</v>
      </c>
      <c r="DA121" s="21" t="s">
        <v>805</v>
      </c>
      <c r="DB121" s="21" t="s">
        <v>805</v>
      </c>
      <c r="DC121" s="21" t="s">
        <v>805</v>
      </c>
      <c r="DD121" s="21" t="s">
        <v>805</v>
      </c>
      <c r="DE121" s="21" t="s">
        <v>805</v>
      </c>
      <c r="DF121" s="21" t="s">
        <v>805</v>
      </c>
      <c r="DG121" s="28">
        <f>'KPI Count-SHARE'!J110</f>
        <v>0</v>
      </c>
      <c r="DH121" s="108"/>
      <c r="DI121" s="108"/>
      <c r="DJ121" s="108"/>
      <c r="DK121" s="28">
        <f>'KPI Count-SHARE'!K110</f>
        <v>0</v>
      </c>
      <c r="DL121" s="58"/>
      <c r="DM121" s="58"/>
      <c r="DN121" s="58"/>
      <c r="DO121" s="28">
        <f>'KPI Count-SHARE'!L110</f>
        <v>0</v>
      </c>
      <c r="DP121" s="58"/>
      <c r="DQ121" s="58"/>
      <c r="DR121" s="58"/>
      <c r="DS121" s="28">
        <f>'KPI Count-SHARE'!M110</f>
        <v>0</v>
      </c>
      <c r="DT121" s="58"/>
      <c r="DU121" s="58"/>
      <c r="DV121" s="58"/>
      <c r="DW121" t="s">
        <v>545</v>
      </c>
      <c r="DX121" s="41" t="str">
        <f t="shared" si="425"/>
        <v/>
      </c>
      <c r="DY121" s="41" t="str">
        <f t="shared" si="426"/>
        <v/>
      </c>
      <c r="DZ121" s="41" t="str">
        <f t="shared" si="427"/>
        <v/>
      </c>
      <c r="EA121" s="41" t="str">
        <f t="shared" si="428"/>
        <v/>
      </c>
      <c r="EB121" s="41" t="str">
        <f t="shared" si="429"/>
        <v/>
      </c>
      <c r="EC121" s="41" t="str">
        <f t="shared" si="430"/>
        <v/>
      </c>
      <c r="ED121" s="41" t="str">
        <f t="shared" si="431"/>
        <v/>
      </c>
      <c r="EE121" s="41" t="str">
        <f t="shared" si="432"/>
        <v/>
      </c>
      <c r="EF121" s="41" t="str">
        <f t="shared" si="433"/>
        <v/>
      </c>
      <c r="EG121" s="41" t="str">
        <f t="shared" si="434"/>
        <v/>
      </c>
      <c r="EH121" s="41" t="str">
        <f t="shared" si="435"/>
        <v/>
      </c>
      <c r="EI121" s="41" t="str">
        <f t="shared" si="448"/>
        <v/>
      </c>
      <c r="EJ121" s="41" t="str">
        <f t="shared" si="449"/>
        <v/>
      </c>
      <c r="EK121" s="41" t="str">
        <f t="shared" si="450"/>
        <v/>
      </c>
      <c r="EL121" s="41" t="str">
        <f t="shared" si="451"/>
        <v/>
      </c>
      <c r="EM121" s="41" t="str">
        <f t="shared" si="452"/>
        <v/>
      </c>
      <c r="EN121" s="41" t="str">
        <f t="shared" si="453"/>
        <v/>
      </c>
      <c r="EO121" s="41" t="str">
        <f t="shared" si="454"/>
        <v/>
      </c>
      <c r="EP121" s="41" t="str">
        <f t="shared" si="455"/>
        <v/>
      </c>
      <c r="EQ121" s="41" t="str">
        <f t="shared" si="456"/>
        <v/>
      </c>
      <c r="ER121" s="41" t="str">
        <f t="shared" si="457"/>
        <v/>
      </c>
      <c r="ES121" s="41" t="str">
        <f t="shared" si="458"/>
        <v/>
      </c>
      <c r="ET121" s="41" t="str">
        <f t="shared" si="459"/>
        <v/>
      </c>
      <c r="EU121" s="41" t="str">
        <f t="shared" si="462"/>
        <v/>
      </c>
      <c r="EV121" s="41" t="str">
        <f t="shared" si="463"/>
        <v/>
      </c>
      <c r="EW121" s="41" t="str">
        <f t="shared" si="464"/>
        <v/>
      </c>
      <c r="EX121" s="41" t="str">
        <f t="shared" si="465"/>
        <v/>
      </c>
      <c r="EY121" s="41" t="str">
        <f t="shared" si="466"/>
        <v/>
      </c>
      <c r="EZ121" s="41" t="str">
        <f t="shared" si="467"/>
        <v/>
      </c>
      <c r="FA121" s="41" t="str">
        <f t="shared" si="468"/>
        <v/>
      </c>
      <c r="FB121" s="41" t="str">
        <f t="shared" si="469"/>
        <v/>
      </c>
      <c r="FC121" s="41" t="str">
        <f t="shared" si="470"/>
        <v/>
      </c>
      <c r="FD121" s="41" t="str">
        <f t="shared" si="471"/>
        <v/>
      </c>
      <c r="FE121" s="41" t="str">
        <f t="shared" si="472"/>
        <v/>
      </c>
      <c r="FF121" s="41" t="str">
        <f t="shared" si="473"/>
        <v/>
      </c>
      <c r="FG121" s="41" t="str">
        <f t="shared" si="474"/>
        <v/>
      </c>
      <c r="FH121" s="41" t="str">
        <f t="shared" si="475"/>
        <v/>
      </c>
      <c r="FI121" s="41" t="str">
        <f t="shared" si="476"/>
        <v/>
      </c>
      <c r="FJ121" s="41" t="str">
        <f t="shared" si="477"/>
        <v/>
      </c>
      <c r="FK121" s="41" t="str">
        <f t="shared" si="478"/>
        <v/>
      </c>
      <c r="FL121" s="41" t="str">
        <f t="shared" si="479"/>
        <v/>
      </c>
      <c r="FM121" s="41" t="str">
        <f t="shared" si="480"/>
        <v/>
      </c>
      <c r="FN121" s="41" t="str">
        <f t="shared" si="481"/>
        <v/>
      </c>
      <c r="FO121" s="41" t="str">
        <f t="shared" si="482"/>
        <v/>
      </c>
      <c r="FP121" s="41" t="str">
        <f t="shared" si="483"/>
        <v/>
      </c>
      <c r="FQ121" s="41" t="str">
        <f t="shared" si="484"/>
        <v/>
      </c>
      <c r="FR121" s="41" t="str">
        <f t="shared" si="485"/>
        <v/>
      </c>
      <c r="FS121" s="41" t="str">
        <f t="shared" si="486"/>
        <v/>
      </c>
      <c r="FT121" s="41" t="str">
        <f t="shared" si="487"/>
        <v/>
      </c>
      <c r="FU121" s="41" t="str">
        <f t="shared" si="488"/>
        <v/>
      </c>
      <c r="FV121" s="41" t="str">
        <f t="shared" si="489"/>
        <v/>
      </c>
      <c r="FW121" s="41" t="str">
        <f t="shared" si="490"/>
        <v/>
      </c>
      <c r="FX121" s="41" t="str">
        <f t="shared" si="491"/>
        <v/>
      </c>
      <c r="FY121" s="41" t="str">
        <f t="shared" si="492"/>
        <v/>
      </c>
      <c r="FZ121" s="41" t="str">
        <f t="shared" si="493"/>
        <v/>
      </c>
      <c r="GA121" s="41" t="str">
        <f t="shared" si="494"/>
        <v/>
      </c>
      <c r="GB121" s="41" t="str">
        <f t="shared" si="495"/>
        <v/>
      </c>
      <c r="GC121" s="41" t="str">
        <f t="shared" si="496"/>
        <v/>
      </c>
      <c r="GD121" s="41" t="str">
        <f t="shared" si="497"/>
        <v/>
      </c>
      <c r="GE121" s="41" t="str">
        <f t="shared" si="498"/>
        <v/>
      </c>
      <c r="GF121" s="41" t="str">
        <f t="shared" si="499"/>
        <v/>
      </c>
      <c r="GG121" s="41" t="str">
        <f t="shared" si="500"/>
        <v/>
      </c>
      <c r="GH121" s="41" t="str">
        <f t="shared" si="501"/>
        <v/>
      </c>
      <c r="GI121" s="41" t="str">
        <f t="shared" si="502"/>
        <v/>
      </c>
      <c r="GJ121" s="41" t="str">
        <f t="shared" si="503"/>
        <v/>
      </c>
      <c r="GK121" s="41" t="str">
        <f t="shared" si="504"/>
        <v/>
      </c>
      <c r="GL121" s="41" t="str">
        <f t="shared" si="505"/>
        <v/>
      </c>
      <c r="GM121" s="41" t="str">
        <f t="shared" si="506"/>
        <v/>
      </c>
      <c r="GN121" s="41" t="str">
        <f t="shared" si="507"/>
        <v/>
      </c>
      <c r="GO121" s="41" t="str">
        <f t="shared" si="508"/>
        <v/>
      </c>
      <c r="GP121" s="41" t="str">
        <f t="shared" si="509"/>
        <v/>
      </c>
      <c r="GQ121" s="41" t="str">
        <f t="shared" si="510"/>
        <v/>
      </c>
      <c r="GR121" s="41" t="str">
        <f t="shared" si="511"/>
        <v/>
      </c>
      <c r="GS121" s="41" t="str">
        <f t="shared" si="512"/>
        <v/>
      </c>
      <c r="GT121" s="41" t="str">
        <f t="shared" si="513"/>
        <v/>
      </c>
      <c r="GU121" s="41" t="str">
        <f t="shared" si="514"/>
        <v/>
      </c>
      <c r="GV121" s="41" t="str">
        <f t="shared" si="515"/>
        <v/>
      </c>
      <c r="GW121" s="41" t="str">
        <f t="shared" si="516"/>
        <v/>
      </c>
      <c r="GX121" s="41" t="str">
        <f t="shared" si="517"/>
        <v/>
      </c>
      <c r="GY121" s="41" t="str">
        <f t="shared" si="518"/>
        <v/>
      </c>
      <c r="GZ121" s="41" t="str">
        <f t="shared" si="519"/>
        <v/>
      </c>
      <c r="HA121" s="41" t="str">
        <f t="shared" si="520"/>
        <v/>
      </c>
      <c r="HB121" s="41" t="str">
        <f t="shared" si="521"/>
        <v/>
      </c>
      <c r="HC121" s="41" t="str">
        <f t="shared" si="522"/>
        <v/>
      </c>
      <c r="HD121" s="41" t="str">
        <f t="shared" si="523"/>
        <v/>
      </c>
      <c r="HE121" s="41" t="str">
        <f t="shared" si="524"/>
        <v/>
      </c>
      <c r="HF121" s="41" t="str">
        <f t="shared" si="525"/>
        <v/>
      </c>
      <c r="HG121" s="41" t="str">
        <f t="shared" si="526"/>
        <v/>
      </c>
      <c r="HH121" s="41" t="str">
        <f t="shared" si="527"/>
        <v/>
      </c>
      <c r="HI121" s="41" t="str">
        <f t="shared" si="528"/>
        <v/>
      </c>
      <c r="HJ121" s="41" t="str">
        <f t="shared" si="529"/>
        <v/>
      </c>
      <c r="HK121" s="41" t="str">
        <f t="shared" si="530"/>
        <v/>
      </c>
      <c r="HL121" s="41" t="str">
        <f t="shared" si="531"/>
        <v/>
      </c>
      <c r="HM121" s="41" t="str">
        <f t="shared" si="532"/>
        <v/>
      </c>
      <c r="HN121" s="41" t="str">
        <f t="shared" si="533"/>
        <v/>
      </c>
      <c r="HO121" s="41" t="str">
        <f t="shared" si="534"/>
        <v/>
      </c>
      <c r="HP121" s="41" t="str">
        <f t="shared" si="535"/>
        <v/>
      </c>
      <c r="HQ121" s="41" t="str">
        <f t="shared" si="536"/>
        <v/>
      </c>
      <c r="HR121" s="41" t="str">
        <f t="shared" si="537"/>
        <v/>
      </c>
      <c r="HS121" s="41" t="str">
        <f t="shared" si="538"/>
        <v/>
      </c>
      <c r="HT121" s="41" t="str">
        <f t="shared" si="538"/>
        <v/>
      </c>
      <c r="HU121" s="43" t="str">
        <f t="shared" si="445"/>
        <v>-</v>
      </c>
      <c r="HV121" s="44" t="str">
        <f t="shared" si="446"/>
        <v/>
      </c>
      <c r="HW121" s="45" t="str">
        <f t="shared" si="447"/>
        <v/>
      </c>
      <c r="HX121" s="96"/>
      <c r="HY121" s="96"/>
      <c r="HZ121" s="96"/>
      <c r="IA121" s="95"/>
      <c r="IB121" s="96"/>
      <c r="IC121" s="97"/>
      <c r="ID121" s="95"/>
      <c r="IE121" s="96"/>
      <c r="IF121" s="97"/>
      <c r="IH121" s="66">
        <v>121</v>
      </c>
      <c r="II121" s="66" t="e">
        <f t="shared" ca="1" si="436"/>
        <v>#N/A</v>
      </c>
      <c r="IJ121" s="66" t="e">
        <f t="shared" ca="1" si="437"/>
        <v>#N/A</v>
      </c>
      <c r="IK121" s="66" t="e">
        <f t="shared" ca="1" si="438"/>
        <v>#N/A</v>
      </c>
      <c r="IL121" s="66" t="e">
        <f t="shared" ca="1" si="439"/>
        <v>#N/A</v>
      </c>
      <c r="IN121" s="74" t="e">
        <f t="shared" ca="1" si="440"/>
        <v>#N/A</v>
      </c>
      <c r="IO121" s="75" t="e">
        <f t="shared" ca="1" si="441"/>
        <v>#N/A</v>
      </c>
      <c r="IP121" s="75" t="e">
        <f t="shared" ca="1" si="442"/>
        <v>#N/A</v>
      </c>
      <c r="IQ121" s="74" t="e">
        <f t="shared" ca="1" si="443"/>
        <v>#N/A</v>
      </c>
      <c r="IR121" s="74" t="e">
        <f t="shared" ca="1" si="444"/>
        <v>#N/A</v>
      </c>
    </row>
    <row r="122" spans="1:252" x14ac:dyDescent="0.35">
      <c r="A122" s="28">
        <v>0</v>
      </c>
      <c r="B122" s="28">
        <v>0</v>
      </c>
      <c r="C122" s="28">
        <v>1</v>
      </c>
      <c r="D122" s="1"/>
      <c r="E122" s="3"/>
      <c r="F122" t="s">
        <v>387</v>
      </c>
      <c r="G122" s="5" t="s">
        <v>530</v>
      </c>
      <c r="H122" s="4" t="s">
        <v>545</v>
      </c>
      <c r="I122" t="s">
        <v>532</v>
      </c>
      <c r="J122" s="276" t="s">
        <v>805</v>
      </c>
      <c r="K122" s="21" t="s">
        <v>805</v>
      </c>
      <c r="L122" s="21" t="s">
        <v>805</v>
      </c>
      <c r="M122" s="21" t="s">
        <v>805</v>
      </c>
      <c r="N122" s="21" t="s">
        <v>805</v>
      </c>
      <c r="O122" s="21" t="s">
        <v>805</v>
      </c>
      <c r="P122" s="21" t="s">
        <v>805</v>
      </c>
      <c r="Q122" s="21" t="s">
        <v>805</v>
      </c>
      <c r="R122" s="21" t="s">
        <v>805</v>
      </c>
      <c r="S122" s="21" t="s">
        <v>805</v>
      </c>
      <c r="T122" s="21" t="s">
        <v>805</v>
      </c>
      <c r="U122" s="21" t="s">
        <v>805</v>
      </c>
      <c r="V122" s="21" t="s">
        <v>805</v>
      </c>
      <c r="W122" s="21" t="s">
        <v>805</v>
      </c>
      <c r="X122" s="21" t="s">
        <v>805</v>
      </c>
      <c r="Y122" s="21" t="s">
        <v>805</v>
      </c>
      <c r="Z122" s="21" t="s">
        <v>805</v>
      </c>
      <c r="AA122" s="21" t="s">
        <v>805</v>
      </c>
      <c r="AB122" s="21" t="s">
        <v>805</v>
      </c>
      <c r="AC122" s="21" t="s">
        <v>805</v>
      </c>
      <c r="AD122" s="21" t="s">
        <v>805</v>
      </c>
      <c r="AE122" s="21" t="s">
        <v>805</v>
      </c>
      <c r="AF122" s="21" t="s">
        <v>805</v>
      </c>
      <c r="AG122" s="21" t="s">
        <v>805</v>
      </c>
      <c r="AH122" s="21" t="s">
        <v>805</v>
      </c>
      <c r="AI122" s="21" t="s">
        <v>805</v>
      </c>
      <c r="AJ122" s="21" t="s">
        <v>805</v>
      </c>
      <c r="AK122" s="21" t="s">
        <v>805</v>
      </c>
      <c r="AL122" s="21" t="s">
        <v>805</v>
      </c>
      <c r="AM122" s="21" t="s">
        <v>805</v>
      </c>
      <c r="AN122" s="21" t="s">
        <v>805</v>
      </c>
      <c r="AO122" s="21" t="s">
        <v>805</v>
      </c>
      <c r="AP122" s="21" t="s">
        <v>805</v>
      </c>
      <c r="AQ122" s="21" t="s">
        <v>805</v>
      </c>
      <c r="AR122" s="21" t="s">
        <v>805</v>
      </c>
      <c r="AS122" s="21" t="s">
        <v>805</v>
      </c>
      <c r="AT122" s="21" t="s">
        <v>805</v>
      </c>
      <c r="AU122" s="21" t="s">
        <v>805</v>
      </c>
      <c r="AV122" s="21" t="s">
        <v>805</v>
      </c>
      <c r="AW122" s="21" t="s">
        <v>805</v>
      </c>
      <c r="AX122" s="21" t="s">
        <v>805</v>
      </c>
      <c r="AY122" s="21" t="s">
        <v>805</v>
      </c>
      <c r="AZ122" s="21" t="s">
        <v>805</v>
      </c>
      <c r="BA122" s="21" t="s">
        <v>805</v>
      </c>
      <c r="BB122" s="21" t="s">
        <v>805</v>
      </c>
      <c r="BC122" s="21" t="s">
        <v>805</v>
      </c>
      <c r="BD122" s="21" t="s">
        <v>805</v>
      </c>
      <c r="BE122" s="21" t="s">
        <v>805</v>
      </c>
      <c r="BF122" s="21" t="s">
        <v>805</v>
      </c>
      <c r="BG122" s="21" t="s">
        <v>805</v>
      </c>
      <c r="BH122" s="21" t="s">
        <v>805</v>
      </c>
      <c r="BI122" s="21" t="s">
        <v>805</v>
      </c>
      <c r="BJ122" s="21" t="s">
        <v>805</v>
      </c>
      <c r="BK122" s="21" t="s">
        <v>805</v>
      </c>
      <c r="BL122" s="21" t="s">
        <v>805</v>
      </c>
      <c r="BM122" s="21" t="s">
        <v>805</v>
      </c>
      <c r="BN122" s="21" t="s">
        <v>805</v>
      </c>
      <c r="BO122" s="21" t="s">
        <v>805</v>
      </c>
      <c r="BP122" s="21" t="s">
        <v>805</v>
      </c>
      <c r="BQ122" s="21" t="s">
        <v>805</v>
      </c>
      <c r="BR122" s="21" t="s">
        <v>805</v>
      </c>
      <c r="BS122" s="21" t="s">
        <v>805</v>
      </c>
      <c r="BT122" s="21" t="s">
        <v>805</v>
      </c>
      <c r="BU122" s="21" t="s">
        <v>805</v>
      </c>
      <c r="BV122" s="21" t="s">
        <v>805</v>
      </c>
      <c r="BW122" s="21" t="s">
        <v>805</v>
      </c>
      <c r="BX122" s="21" t="s">
        <v>805</v>
      </c>
      <c r="BY122" s="21" t="s">
        <v>805</v>
      </c>
      <c r="BZ122" s="21" t="s">
        <v>805</v>
      </c>
      <c r="CA122" s="21" t="s">
        <v>805</v>
      </c>
      <c r="CB122" s="21" t="s">
        <v>805</v>
      </c>
      <c r="CC122" s="21" t="s">
        <v>805</v>
      </c>
      <c r="CD122" s="21" t="s">
        <v>805</v>
      </c>
      <c r="CE122" s="21" t="s">
        <v>805</v>
      </c>
      <c r="CF122" s="21" t="s">
        <v>805</v>
      </c>
      <c r="CG122" s="21" t="s">
        <v>805</v>
      </c>
      <c r="CH122" s="21" t="s">
        <v>805</v>
      </c>
      <c r="CI122" s="21" t="s">
        <v>805</v>
      </c>
      <c r="CJ122" s="21" t="s">
        <v>805</v>
      </c>
      <c r="CK122" s="21" t="s">
        <v>805</v>
      </c>
      <c r="CL122" s="21" t="s">
        <v>805</v>
      </c>
      <c r="CM122" s="21" t="s">
        <v>805</v>
      </c>
      <c r="CN122" s="21" t="s">
        <v>805</v>
      </c>
      <c r="CO122" s="21" t="s">
        <v>805</v>
      </c>
      <c r="CP122" s="21" t="s">
        <v>805</v>
      </c>
      <c r="CQ122" s="21" t="s">
        <v>805</v>
      </c>
      <c r="CR122" s="21" t="s">
        <v>805</v>
      </c>
      <c r="CS122" s="21" t="s">
        <v>805</v>
      </c>
      <c r="CT122" s="21" t="s">
        <v>805</v>
      </c>
      <c r="CU122" s="21" t="s">
        <v>805</v>
      </c>
      <c r="CV122" s="21" t="s">
        <v>805</v>
      </c>
      <c r="CW122" s="21" t="s">
        <v>805</v>
      </c>
      <c r="CX122" s="21" t="s">
        <v>805</v>
      </c>
      <c r="CY122" s="21" t="s">
        <v>805</v>
      </c>
      <c r="CZ122" s="21" t="s">
        <v>805</v>
      </c>
      <c r="DA122" s="21" t="s">
        <v>805</v>
      </c>
      <c r="DB122" s="21" t="s">
        <v>805</v>
      </c>
      <c r="DC122" s="21" t="s">
        <v>805</v>
      </c>
      <c r="DD122" s="21" t="s">
        <v>805</v>
      </c>
      <c r="DE122" s="21" t="s">
        <v>805</v>
      </c>
      <c r="DF122" s="21" t="s">
        <v>805</v>
      </c>
      <c r="DG122" s="28">
        <f>'KPI Count-SHARE'!J111</f>
        <v>0</v>
      </c>
      <c r="DH122" s="108"/>
      <c r="DI122" s="108"/>
      <c r="DJ122" s="108"/>
      <c r="DK122" s="28">
        <f>'KPI Count-SHARE'!K111</f>
        <v>0</v>
      </c>
      <c r="DL122" s="58"/>
      <c r="DM122" s="58"/>
      <c r="DN122" s="58"/>
      <c r="DO122" s="28">
        <f>'KPI Count-SHARE'!L111</f>
        <v>0</v>
      </c>
      <c r="DP122" s="58"/>
      <c r="DQ122" s="58"/>
      <c r="DR122" s="58"/>
      <c r="DS122" s="28">
        <f>'KPI Count-SHARE'!M111</f>
        <v>0</v>
      </c>
      <c r="DT122" s="58"/>
      <c r="DU122" s="58"/>
      <c r="DV122" s="58"/>
      <c r="DW122" t="s">
        <v>545</v>
      </c>
      <c r="DX122" s="41" t="str">
        <f t="shared" si="425"/>
        <v/>
      </c>
      <c r="DY122" s="41" t="str">
        <f t="shared" si="426"/>
        <v/>
      </c>
      <c r="DZ122" s="41" t="str">
        <f t="shared" si="427"/>
        <v/>
      </c>
      <c r="EA122" s="41" t="str">
        <f t="shared" si="428"/>
        <v/>
      </c>
      <c r="EB122" s="41" t="str">
        <f t="shared" si="429"/>
        <v/>
      </c>
      <c r="EC122" s="41" t="str">
        <f t="shared" si="430"/>
        <v/>
      </c>
      <c r="ED122" s="41" t="str">
        <f t="shared" si="431"/>
        <v/>
      </c>
      <c r="EE122" s="41" t="str">
        <f t="shared" si="432"/>
        <v/>
      </c>
      <c r="EF122" s="41" t="str">
        <f t="shared" si="433"/>
        <v/>
      </c>
      <c r="EG122" s="41" t="str">
        <f t="shared" si="434"/>
        <v/>
      </c>
      <c r="EH122" s="41" t="str">
        <f t="shared" si="435"/>
        <v/>
      </c>
      <c r="EI122" s="41" t="str">
        <f t="shared" si="448"/>
        <v/>
      </c>
      <c r="EJ122" s="41" t="str">
        <f t="shared" si="449"/>
        <v/>
      </c>
      <c r="EK122" s="41" t="str">
        <f t="shared" si="450"/>
        <v/>
      </c>
      <c r="EL122" s="41" t="str">
        <f t="shared" si="451"/>
        <v/>
      </c>
      <c r="EM122" s="41" t="str">
        <f t="shared" si="452"/>
        <v/>
      </c>
      <c r="EN122" s="41" t="str">
        <f t="shared" si="453"/>
        <v/>
      </c>
      <c r="EO122" s="41" t="str">
        <f t="shared" si="454"/>
        <v/>
      </c>
      <c r="EP122" s="41" t="str">
        <f t="shared" si="455"/>
        <v/>
      </c>
      <c r="EQ122" s="41" t="str">
        <f t="shared" si="456"/>
        <v/>
      </c>
      <c r="ER122" s="41" t="str">
        <f t="shared" si="457"/>
        <v/>
      </c>
      <c r="ES122" s="41" t="str">
        <f t="shared" si="458"/>
        <v/>
      </c>
      <c r="ET122" s="41" t="str">
        <f t="shared" si="459"/>
        <v/>
      </c>
      <c r="EU122" s="41" t="str">
        <f t="shared" si="462"/>
        <v/>
      </c>
      <c r="EV122" s="41" t="str">
        <f t="shared" si="463"/>
        <v/>
      </c>
      <c r="EW122" s="41" t="str">
        <f t="shared" si="464"/>
        <v/>
      </c>
      <c r="EX122" s="41" t="str">
        <f t="shared" si="465"/>
        <v/>
      </c>
      <c r="EY122" s="41" t="str">
        <f t="shared" si="466"/>
        <v/>
      </c>
      <c r="EZ122" s="41" t="str">
        <f t="shared" si="467"/>
        <v/>
      </c>
      <c r="FA122" s="41" t="str">
        <f t="shared" si="468"/>
        <v/>
      </c>
      <c r="FB122" s="41" t="str">
        <f t="shared" si="469"/>
        <v/>
      </c>
      <c r="FC122" s="41" t="str">
        <f t="shared" si="470"/>
        <v/>
      </c>
      <c r="FD122" s="41" t="str">
        <f t="shared" si="471"/>
        <v/>
      </c>
      <c r="FE122" s="41" t="str">
        <f t="shared" si="472"/>
        <v/>
      </c>
      <c r="FF122" s="41" t="str">
        <f t="shared" si="473"/>
        <v/>
      </c>
      <c r="FG122" s="41" t="str">
        <f t="shared" si="474"/>
        <v/>
      </c>
      <c r="FH122" s="41" t="str">
        <f t="shared" si="475"/>
        <v/>
      </c>
      <c r="FI122" s="41" t="str">
        <f t="shared" si="476"/>
        <v/>
      </c>
      <c r="FJ122" s="41" t="str">
        <f t="shared" si="477"/>
        <v/>
      </c>
      <c r="FK122" s="41" t="str">
        <f t="shared" si="478"/>
        <v/>
      </c>
      <c r="FL122" s="41" t="str">
        <f t="shared" si="479"/>
        <v/>
      </c>
      <c r="FM122" s="41" t="str">
        <f t="shared" si="480"/>
        <v/>
      </c>
      <c r="FN122" s="41" t="str">
        <f t="shared" si="481"/>
        <v/>
      </c>
      <c r="FO122" s="41" t="str">
        <f t="shared" si="482"/>
        <v/>
      </c>
      <c r="FP122" s="41" t="str">
        <f t="shared" si="483"/>
        <v/>
      </c>
      <c r="FQ122" s="41" t="str">
        <f t="shared" si="484"/>
        <v/>
      </c>
      <c r="FR122" s="41" t="str">
        <f t="shared" si="485"/>
        <v/>
      </c>
      <c r="FS122" s="41" t="str">
        <f t="shared" si="486"/>
        <v/>
      </c>
      <c r="FT122" s="41" t="str">
        <f t="shared" si="487"/>
        <v/>
      </c>
      <c r="FU122" s="41" t="str">
        <f t="shared" si="488"/>
        <v/>
      </c>
      <c r="FV122" s="41" t="str">
        <f t="shared" si="489"/>
        <v/>
      </c>
      <c r="FW122" s="41" t="str">
        <f t="shared" si="490"/>
        <v/>
      </c>
      <c r="FX122" s="41" t="str">
        <f t="shared" si="491"/>
        <v/>
      </c>
      <c r="FY122" s="41" t="str">
        <f t="shared" si="492"/>
        <v/>
      </c>
      <c r="FZ122" s="41" t="str">
        <f t="shared" si="493"/>
        <v/>
      </c>
      <c r="GA122" s="41" t="str">
        <f t="shared" si="494"/>
        <v/>
      </c>
      <c r="GB122" s="41" t="str">
        <f t="shared" si="495"/>
        <v/>
      </c>
      <c r="GC122" s="41" t="str">
        <f t="shared" si="496"/>
        <v/>
      </c>
      <c r="GD122" s="41" t="str">
        <f t="shared" si="497"/>
        <v/>
      </c>
      <c r="GE122" s="41" t="str">
        <f t="shared" si="498"/>
        <v/>
      </c>
      <c r="GF122" s="41" t="str">
        <f t="shared" si="499"/>
        <v/>
      </c>
      <c r="GG122" s="41" t="str">
        <f t="shared" si="500"/>
        <v/>
      </c>
      <c r="GH122" s="41" t="str">
        <f t="shared" si="501"/>
        <v/>
      </c>
      <c r="GI122" s="41" t="str">
        <f t="shared" si="502"/>
        <v/>
      </c>
      <c r="GJ122" s="41" t="str">
        <f t="shared" si="503"/>
        <v/>
      </c>
      <c r="GK122" s="41" t="str">
        <f t="shared" si="504"/>
        <v/>
      </c>
      <c r="GL122" s="41" t="str">
        <f t="shared" si="505"/>
        <v/>
      </c>
      <c r="GM122" s="41" t="str">
        <f t="shared" si="506"/>
        <v/>
      </c>
      <c r="GN122" s="41" t="str">
        <f t="shared" si="507"/>
        <v/>
      </c>
      <c r="GO122" s="41" t="str">
        <f t="shared" si="508"/>
        <v/>
      </c>
      <c r="GP122" s="41" t="str">
        <f t="shared" si="509"/>
        <v/>
      </c>
      <c r="GQ122" s="41" t="str">
        <f t="shared" si="510"/>
        <v/>
      </c>
      <c r="GR122" s="41" t="str">
        <f t="shared" si="511"/>
        <v/>
      </c>
      <c r="GS122" s="41" t="str">
        <f t="shared" si="512"/>
        <v/>
      </c>
      <c r="GT122" s="41" t="str">
        <f t="shared" si="513"/>
        <v/>
      </c>
      <c r="GU122" s="41" t="str">
        <f t="shared" si="514"/>
        <v/>
      </c>
      <c r="GV122" s="41" t="str">
        <f t="shared" si="515"/>
        <v/>
      </c>
      <c r="GW122" s="41" t="str">
        <f t="shared" si="516"/>
        <v/>
      </c>
      <c r="GX122" s="41" t="str">
        <f t="shared" si="517"/>
        <v/>
      </c>
      <c r="GY122" s="41" t="str">
        <f t="shared" si="518"/>
        <v/>
      </c>
      <c r="GZ122" s="41" t="str">
        <f t="shared" si="519"/>
        <v/>
      </c>
      <c r="HA122" s="41" t="str">
        <f t="shared" si="520"/>
        <v/>
      </c>
      <c r="HB122" s="41" t="str">
        <f t="shared" si="521"/>
        <v/>
      </c>
      <c r="HC122" s="41" t="str">
        <f t="shared" si="522"/>
        <v/>
      </c>
      <c r="HD122" s="41" t="str">
        <f t="shared" si="523"/>
        <v/>
      </c>
      <c r="HE122" s="41" t="str">
        <f t="shared" si="524"/>
        <v/>
      </c>
      <c r="HF122" s="41" t="str">
        <f t="shared" si="525"/>
        <v/>
      </c>
      <c r="HG122" s="41" t="str">
        <f t="shared" si="526"/>
        <v/>
      </c>
      <c r="HH122" s="41" t="str">
        <f t="shared" si="527"/>
        <v/>
      </c>
      <c r="HI122" s="41" t="str">
        <f t="shared" si="528"/>
        <v/>
      </c>
      <c r="HJ122" s="41" t="str">
        <f t="shared" si="529"/>
        <v/>
      </c>
      <c r="HK122" s="41" t="str">
        <f t="shared" si="530"/>
        <v/>
      </c>
      <c r="HL122" s="41" t="str">
        <f t="shared" si="531"/>
        <v/>
      </c>
      <c r="HM122" s="41" t="str">
        <f t="shared" si="532"/>
        <v/>
      </c>
      <c r="HN122" s="41" t="str">
        <f t="shared" si="533"/>
        <v/>
      </c>
      <c r="HO122" s="41" t="str">
        <f t="shared" si="534"/>
        <v/>
      </c>
      <c r="HP122" s="41" t="str">
        <f t="shared" si="535"/>
        <v/>
      </c>
      <c r="HQ122" s="41" t="str">
        <f t="shared" si="536"/>
        <v/>
      </c>
      <c r="HR122" s="41" t="str">
        <f t="shared" si="537"/>
        <v/>
      </c>
      <c r="HS122" s="41" t="str">
        <f t="shared" si="538"/>
        <v/>
      </c>
      <c r="HT122" s="41" t="str">
        <f t="shared" si="538"/>
        <v/>
      </c>
      <c r="HU122" s="43" t="str">
        <f t="shared" si="445"/>
        <v>-</v>
      </c>
      <c r="HV122" s="44" t="str">
        <f t="shared" si="446"/>
        <v/>
      </c>
      <c r="HW122" s="45" t="str">
        <f t="shared" si="447"/>
        <v/>
      </c>
      <c r="HX122" s="96"/>
      <c r="HY122" s="96"/>
      <c r="HZ122" s="96"/>
      <c r="IA122" s="95"/>
      <c r="IB122" s="96"/>
      <c r="IC122" s="97"/>
      <c r="ID122" s="95"/>
      <c r="IE122" s="96"/>
      <c r="IF122" s="97"/>
      <c r="IH122" s="66">
        <v>122</v>
      </c>
      <c r="II122" s="66" t="e">
        <f t="shared" ca="1" si="436"/>
        <v>#N/A</v>
      </c>
      <c r="IJ122" s="66" t="e">
        <f t="shared" ca="1" si="437"/>
        <v>#N/A</v>
      </c>
      <c r="IK122" s="66" t="e">
        <f t="shared" ca="1" si="438"/>
        <v>#N/A</v>
      </c>
      <c r="IL122" s="66" t="e">
        <f t="shared" ca="1" si="439"/>
        <v>#N/A</v>
      </c>
      <c r="IN122" s="74" t="e">
        <f t="shared" ca="1" si="440"/>
        <v>#N/A</v>
      </c>
      <c r="IO122" s="75" t="e">
        <f t="shared" ca="1" si="441"/>
        <v>#N/A</v>
      </c>
      <c r="IP122" s="75" t="e">
        <f t="shared" ca="1" si="442"/>
        <v>#N/A</v>
      </c>
      <c r="IQ122" s="74" t="e">
        <f t="shared" ca="1" si="443"/>
        <v>#N/A</v>
      </c>
      <c r="IR122" s="74" t="e">
        <f t="shared" ca="1" si="444"/>
        <v>#N/A</v>
      </c>
    </row>
    <row r="123" spans="1:252" x14ac:dyDescent="0.35">
      <c r="A123" s="28">
        <v>1</v>
      </c>
      <c r="B123" s="28">
        <v>1</v>
      </c>
      <c r="C123" s="28">
        <v>1</v>
      </c>
      <c r="D123" s="1"/>
      <c r="E123" s="3"/>
      <c r="F123" t="s">
        <v>388</v>
      </c>
      <c r="G123" s="5" t="s">
        <v>540</v>
      </c>
      <c r="H123" s="4" t="s">
        <v>557</v>
      </c>
      <c r="I123" t="s">
        <v>532</v>
      </c>
      <c r="J123" s="276" t="s">
        <v>805</v>
      </c>
      <c r="K123" s="21" t="s">
        <v>805</v>
      </c>
      <c r="L123" s="21" t="s">
        <v>805</v>
      </c>
      <c r="M123" s="21" t="s">
        <v>805</v>
      </c>
      <c r="N123" s="21" t="s">
        <v>805</v>
      </c>
      <c r="O123" s="21" t="s">
        <v>805</v>
      </c>
      <c r="P123" s="21" t="s">
        <v>805</v>
      </c>
      <c r="Q123" s="21" t="s">
        <v>805</v>
      </c>
      <c r="R123" s="21" t="s">
        <v>805</v>
      </c>
      <c r="S123" s="21" t="s">
        <v>805</v>
      </c>
      <c r="T123" s="21" t="s">
        <v>805</v>
      </c>
      <c r="U123" s="21" t="s">
        <v>805</v>
      </c>
      <c r="V123" s="21" t="s">
        <v>805</v>
      </c>
      <c r="W123" s="21" t="s">
        <v>805</v>
      </c>
      <c r="X123" s="21" t="s">
        <v>805</v>
      </c>
      <c r="Y123" s="21" t="s">
        <v>805</v>
      </c>
      <c r="Z123" s="21" t="s">
        <v>805</v>
      </c>
      <c r="AA123" s="21" t="s">
        <v>805</v>
      </c>
      <c r="AB123" s="21" t="s">
        <v>805</v>
      </c>
      <c r="AC123" s="21" t="s">
        <v>805</v>
      </c>
      <c r="AD123" s="21" t="s">
        <v>805</v>
      </c>
      <c r="AE123" s="21" t="s">
        <v>805</v>
      </c>
      <c r="AF123" s="21" t="s">
        <v>805</v>
      </c>
      <c r="AG123" s="21" t="s">
        <v>805</v>
      </c>
      <c r="AH123" s="21" t="s">
        <v>805</v>
      </c>
      <c r="AI123" s="21" t="s">
        <v>805</v>
      </c>
      <c r="AJ123" s="21" t="s">
        <v>805</v>
      </c>
      <c r="AK123" s="21" t="s">
        <v>805</v>
      </c>
      <c r="AL123" s="21" t="s">
        <v>805</v>
      </c>
      <c r="AM123" s="21" t="s">
        <v>805</v>
      </c>
      <c r="AN123" s="21" t="s">
        <v>805</v>
      </c>
      <c r="AO123" s="21" t="s">
        <v>805</v>
      </c>
      <c r="AP123" s="21" t="s">
        <v>805</v>
      </c>
      <c r="AQ123" s="21" t="s">
        <v>805</v>
      </c>
      <c r="AR123" s="21" t="s">
        <v>805</v>
      </c>
      <c r="AS123" s="21" t="s">
        <v>805</v>
      </c>
      <c r="AT123" s="21" t="s">
        <v>805</v>
      </c>
      <c r="AU123" s="21" t="s">
        <v>805</v>
      </c>
      <c r="AV123" s="21" t="s">
        <v>805</v>
      </c>
      <c r="AW123" s="21" t="s">
        <v>805</v>
      </c>
      <c r="AX123" s="21" t="s">
        <v>805</v>
      </c>
      <c r="AY123" s="21" t="s">
        <v>805</v>
      </c>
      <c r="AZ123" s="21" t="s">
        <v>805</v>
      </c>
      <c r="BA123" s="21" t="s">
        <v>805</v>
      </c>
      <c r="BB123" s="21" t="s">
        <v>805</v>
      </c>
      <c r="BC123" s="21" t="s">
        <v>805</v>
      </c>
      <c r="BD123" s="21" t="s">
        <v>805</v>
      </c>
      <c r="BE123" s="21" t="s">
        <v>805</v>
      </c>
      <c r="BF123" s="21" t="s">
        <v>805</v>
      </c>
      <c r="BG123" s="21" t="s">
        <v>805</v>
      </c>
      <c r="BH123" s="21" t="s">
        <v>805</v>
      </c>
      <c r="BI123" s="21" t="s">
        <v>805</v>
      </c>
      <c r="BJ123" s="21" t="s">
        <v>805</v>
      </c>
      <c r="BK123" s="21" t="s">
        <v>805</v>
      </c>
      <c r="BL123" s="21" t="s">
        <v>805</v>
      </c>
      <c r="BM123" s="21" t="s">
        <v>805</v>
      </c>
      <c r="BN123" s="21" t="s">
        <v>805</v>
      </c>
      <c r="BO123" s="21" t="s">
        <v>805</v>
      </c>
      <c r="BP123" s="21" t="s">
        <v>805</v>
      </c>
      <c r="BQ123" s="21" t="s">
        <v>805</v>
      </c>
      <c r="BR123" s="21" t="s">
        <v>805</v>
      </c>
      <c r="BS123" s="21" t="s">
        <v>805</v>
      </c>
      <c r="BT123" s="21" t="s">
        <v>805</v>
      </c>
      <c r="BU123" s="21" t="s">
        <v>805</v>
      </c>
      <c r="BV123" s="21" t="s">
        <v>805</v>
      </c>
      <c r="BW123" s="21" t="s">
        <v>805</v>
      </c>
      <c r="BX123" s="21" t="s">
        <v>805</v>
      </c>
      <c r="BY123" s="21" t="s">
        <v>805</v>
      </c>
      <c r="BZ123" s="21" t="s">
        <v>805</v>
      </c>
      <c r="CA123" s="21" t="s">
        <v>805</v>
      </c>
      <c r="CB123" s="21" t="s">
        <v>805</v>
      </c>
      <c r="CC123" s="21" t="s">
        <v>805</v>
      </c>
      <c r="CD123" s="21" t="s">
        <v>805</v>
      </c>
      <c r="CE123" s="21" t="s">
        <v>805</v>
      </c>
      <c r="CF123" s="21" t="s">
        <v>805</v>
      </c>
      <c r="CG123" s="21" t="s">
        <v>805</v>
      </c>
      <c r="CH123" s="21" t="s">
        <v>805</v>
      </c>
      <c r="CI123" s="21" t="s">
        <v>805</v>
      </c>
      <c r="CJ123" s="21" t="s">
        <v>805</v>
      </c>
      <c r="CK123" s="21" t="s">
        <v>805</v>
      </c>
      <c r="CL123" s="21" t="s">
        <v>805</v>
      </c>
      <c r="CM123" s="21" t="s">
        <v>805</v>
      </c>
      <c r="CN123" s="21" t="s">
        <v>805</v>
      </c>
      <c r="CO123" s="21" t="s">
        <v>805</v>
      </c>
      <c r="CP123" s="21" t="s">
        <v>805</v>
      </c>
      <c r="CQ123" s="21" t="s">
        <v>805</v>
      </c>
      <c r="CR123" s="21" t="s">
        <v>805</v>
      </c>
      <c r="CS123" s="21" t="s">
        <v>805</v>
      </c>
      <c r="CT123" s="21" t="s">
        <v>805</v>
      </c>
      <c r="CU123" s="21" t="s">
        <v>805</v>
      </c>
      <c r="CV123" s="21" t="s">
        <v>805</v>
      </c>
      <c r="CW123" s="21" t="s">
        <v>805</v>
      </c>
      <c r="CX123" s="21" t="s">
        <v>805</v>
      </c>
      <c r="CY123" s="21" t="s">
        <v>805</v>
      </c>
      <c r="CZ123" s="21" t="s">
        <v>805</v>
      </c>
      <c r="DA123" s="21" t="s">
        <v>805</v>
      </c>
      <c r="DB123" s="21" t="s">
        <v>805</v>
      </c>
      <c r="DC123" s="21" t="s">
        <v>805</v>
      </c>
      <c r="DD123" s="21" t="s">
        <v>805</v>
      </c>
      <c r="DE123" s="21" t="s">
        <v>805</v>
      </c>
      <c r="DF123" s="21" t="s">
        <v>805</v>
      </c>
      <c r="DG123" s="28">
        <f>'KPI Count-SHARE'!J112</f>
        <v>0</v>
      </c>
      <c r="DH123" s="108"/>
      <c r="DI123" s="108"/>
      <c r="DJ123" s="108"/>
      <c r="DK123" s="28">
        <f>'KPI Count-SHARE'!K112</f>
        <v>0</v>
      </c>
      <c r="DL123" s="58"/>
      <c r="DM123" s="58"/>
      <c r="DN123" s="58"/>
      <c r="DO123" s="28">
        <f>'KPI Count-SHARE'!L112</f>
        <v>0</v>
      </c>
      <c r="DP123" s="58"/>
      <c r="DQ123" s="58"/>
      <c r="DR123" s="58"/>
      <c r="DS123" s="28">
        <f>'KPI Count-SHARE'!M112</f>
        <v>0</v>
      </c>
      <c r="DT123" s="58"/>
      <c r="DU123" s="58"/>
      <c r="DV123" s="58"/>
      <c r="DW123" t="s">
        <v>557</v>
      </c>
      <c r="DX123" s="39" t="str">
        <f t="shared" si="425"/>
        <v/>
      </c>
      <c r="DY123" s="39" t="str">
        <f t="shared" si="426"/>
        <v/>
      </c>
      <c r="DZ123" s="39" t="str">
        <f t="shared" si="427"/>
        <v/>
      </c>
      <c r="EA123" s="39" t="str">
        <f t="shared" si="428"/>
        <v/>
      </c>
      <c r="EB123" s="39" t="str">
        <f t="shared" si="429"/>
        <v/>
      </c>
      <c r="EC123" s="39" t="str">
        <f t="shared" si="430"/>
        <v/>
      </c>
      <c r="ED123" s="39" t="str">
        <f t="shared" si="431"/>
        <v/>
      </c>
      <c r="EE123" s="39" t="str">
        <f t="shared" si="432"/>
        <v/>
      </c>
      <c r="EF123" s="39" t="str">
        <f t="shared" si="433"/>
        <v/>
      </c>
      <c r="EG123" s="39" t="str">
        <f t="shared" si="434"/>
        <v/>
      </c>
      <c r="EH123" s="39" t="str">
        <f t="shared" si="435"/>
        <v/>
      </c>
      <c r="EI123" s="39" t="str">
        <f t="shared" si="448"/>
        <v/>
      </c>
      <c r="EJ123" s="39" t="str">
        <f t="shared" si="449"/>
        <v/>
      </c>
      <c r="EK123" s="39" t="str">
        <f t="shared" si="450"/>
        <v/>
      </c>
      <c r="EL123" s="39" t="str">
        <f t="shared" si="451"/>
        <v/>
      </c>
      <c r="EM123" s="39" t="str">
        <f t="shared" si="452"/>
        <v/>
      </c>
      <c r="EN123" s="39" t="str">
        <f t="shared" si="453"/>
        <v/>
      </c>
      <c r="EO123" s="39" t="str">
        <f t="shared" si="454"/>
        <v/>
      </c>
      <c r="EP123" s="39" t="str">
        <f t="shared" si="455"/>
        <v/>
      </c>
      <c r="EQ123" s="39" t="str">
        <f t="shared" si="456"/>
        <v/>
      </c>
      <c r="ER123" s="39" t="str">
        <f t="shared" si="457"/>
        <v/>
      </c>
      <c r="ES123" s="39" t="str">
        <f t="shared" si="458"/>
        <v/>
      </c>
      <c r="ET123" s="39" t="str">
        <f t="shared" si="459"/>
        <v/>
      </c>
      <c r="EU123" s="39" t="str">
        <f t="shared" si="462"/>
        <v/>
      </c>
      <c r="EV123" s="39" t="str">
        <f t="shared" si="463"/>
        <v/>
      </c>
      <c r="EW123" s="39" t="str">
        <f t="shared" si="464"/>
        <v/>
      </c>
      <c r="EX123" s="39" t="str">
        <f t="shared" si="465"/>
        <v/>
      </c>
      <c r="EY123" s="39" t="str">
        <f t="shared" si="466"/>
        <v/>
      </c>
      <c r="EZ123" s="39" t="str">
        <f t="shared" si="467"/>
        <v/>
      </c>
      <c r="FA123" s="39" t="str">
        <f t="shared" si="468"/>
        <v/>
      </c>
      <c r="FB123" s="39" t="str">
        <f t="shared" si="469"/>
        <v/>
      </c>
      <c r="FC123" s="39" t="str">
        <f t="shared" si="470"/>
        <v/>
      </c>
      <c r="FD123" s="39" t="str">
        <f t="shared" si="471"/>
        <v/>
      </c>
      <c r="FE123" s="39" t="str">
        <f t="shared" si="472"/>
        <v/>
      </c>
      <c r="FF123" s="39" t="str">
        <f t="shared" si="473"/>
        <v/>
      </c>
      <c r="FG123" s="39" t="str">
        <f t="shared" si="474"/>
        <v/>
      </c>
      <c r="FH123" s="39" t="str">
        <f t="shared" si="475"/>
        <v/>
      </c>
      <c r="FI123" s="39" t="str">
        <f t="shared" si="476"/>
        <v/>
      </c>
      <c r="FJ123" s="39" t="str">
        <f t="shared" si="477"/>
        <v/>
      </c>
      <c r="FK123" s="39" t="str">
        <f t="shared" si="478"/>
        <v/>
      </c>
      <c r="FL123" s="39" t="str">
        <f t="shared" si="479"/>
        <v/>
      </c>
      <c r="FM123" s="39" t="str">
        <f t="shared" si="480"/>
        <v/>
      </c>
      <c r="FN123" s="39" t="str">
        <f t="shared" si="481"/>
        <v/>
      </c>
      <c r="FO123" s="39" t="str">
        <f t="shared" si="482"/>
        <v/>
      </c>
      <c r="FP123" s="39" t="str">
        <f t="shared" si="483"/>
        <v/>
      </c>
      <c r="FQ123" s="39" t="str">
        <f t="shared" si="484"/>
        <v/>
      </c>
      <c r="FR123" s="39" t="str">
        <f t="shared" si="485"/>
        <v/>
      </c>
      <c r="FS123" s="39" t="str">
        <f t="shared" si="486"/>
        <v/>
      </c>
      <c r="FT123" s="39" t="str">
        <f t="shared" si="487"/>
        <v/>
      </c>
      <c r="FU123" s="39" t="str">
        <f t="shared" si="488"/>
        <v/>
      </c>
      <c r="FV123" s="39" t="str">
        <f t="shared" si="489"/>
        <v/>
      </c>
      <c r="FW123" s="39" t="str">
        <f t="shared" si="490"/>
        <v/>
      </c>
      <c r="FX123" s="39" t="str">
        <f t="shared" si="491"/>
        <v/>
      </c>
      <c r="FY123" s="39" t="str">
        <f t="shared" si="492"/>
        <v/>
      </c>
      <c r="FZ123" s="39" t="str">
        <f t="shared" si="493"/>
        <v/>
      </c>
      <c r="GA123" s="39" t="str">
        <f t="shared" si="494"/>
        <v/>
      </c>
      <c r="GB123" s="39" t="str">
        <f t="shared" si="495"/>
        <v/>
      </c>
      <c r="GC123" s="39" t="str">
        <f t="shared" si="496"/>
        <v/>
      </c>
      <c r="GD123" s="39" t="str">
        <f t="shared" si="497"/>
        <v/>
      </c>
      <c r="GE123" s="39" t="str">
        <f t="shared" si="498"/>
        <v/>
      </c>
      <c r="GF123" s="39" t="str">
        <f t="shared" si="499"/>
        <v/>
      </c>
      <c r="GG123" s="39" t="str">
        <f t="shared" si="500"/>
        <v/>
      </c>
      <c r="GH123" s="39" t="str">
        <f t="shared" si="501"/>
        <v/>
      </c>
      <c r="GI123" s="39" t="str">
        <f t="shared" si="502"/>
        <v/>
      </c>
      <c r="GJ123" s="39" t="str">
        <f t="shared" si="503"/>
        <v/>
      </c>
      <c r="GK123" s="39" t="str">
        <f t="shared" si="504"/>
        <v/>
      </c>
      <c r="GL123" s="39" t="str">
        <f t="shared" si="505"/>
        <v/>
      </c>
      <c r="GM123" s="39" t="str">
        <f t="shared" si="506"/>
        <v/>
      </c>
      <c r="GN123" s="39" t="str">
        <f t="shared" si="507"/>
        <v/>
      </c>
      <c r="GO123" s="39" t="str">
        <f t="shared" si="508"/>
        <v/>
      </c>
      <c r="GP123" s="39" t="str">
        <f t="shared" si="509"/>
        <v/>
      </c>
      <c r="GQ123" s="39" t="str">
        <f t="shared" si="510"/>
        <v/>
      </c>
      <c r="GR123" s="39" t="str">
        <f t="shared" si="511"/>
        <v/>
      </c>
      <c r="GS123" s="39" t="str">
        <f t="shared" si="512"/>
        <v/>
      </c>
      <c r="GT123" s="39" t="str">
        <f t="shared" si="513"/>
        <v/>
      </c>
      <c r="GU123" s="39" t="str">
        <f t="shared" si="514"/>
        <v/>
      </c>
      <c r="GV123" s="39" t="str">
        <f t="shared" si="515"/>
        <v/>
      </c>
      <c r="GW123" s="39" t="str">
        <f t="shared" si="516"/>
        <v/>
      </c>
      <c r="GX123" s="39" t="str">
        <f t="shared" si="517"/>
        <v/>
      </c>
      <c r="GY123" s="39" t="str">
        <f t="shared" si="518"/>
        <v/>
      </c>
      <c r="GZ123" s="39" t="str">
        <f t="shared" si="519"/>
        <v/>
      </c>
      <c r="HA123" s="39" t="str">
        <f t="shared" si="520"/>
        <v/>
      </c>
      <c r="HB123" s="39" t="str">
        <f t="shared" si="521"/>
        <v/>
      </c>
      <c r="HC123" s="39" t="str">
        <f t="shared" si="522"/>
        <v/>
      </c>
      <c r="HD123" s="39" t="str">
        <f t="shared" si="523"/>
        <v/>
      </c>
      <c r="HE123" s="39" t="str">
        <f t="shared" si="524"/>
        <v/>
      </c>
      <c r="HF123" s="39" t="str">
        <f t="shared" si="525"/>
        <v/>
      </c>
      <c r="HG123" s="39" t="str">
        <f t="shared" si="526"/>
        <v/>
      </c>
      <c r="HH123" s="39" t="str">
        <f t="shared" si="527"/>
        <v/>
      </c>
      <c r="HI123" s="39" t="str">
        <f t="shared" si="528"/>
        <v/>
      </c>
      <c r="HJ123" s="39" t="str">
        <f t="shared" si="529"/>
        <v/>
      </c>
      <c r="HK123" s="39" t="str">
        <f t="shared" si="530"/>
        <v/>
      </c>
      <c r="HL123" s="39" t="str">
        <f t="shared" si="531"/>
        <v/>
      </c>
      <c r="HM123" s="39" t="str">
        <f t="shared" si="532"/>
        <v/>
      </c>
      <c r="HN123" s="39" t="str">
        <f t="shared" si="533"/>
        <v/>
      </c>
      <c r="HO123" s="39" t="str">
        <f t="shared" si="534"/>
        <v/>
      </c>
      <c r="HP123" s="39" t="str">
        <f t="shared" si="535"/>
        <v/>
      </c>
      <c r="HQ123" s="39" t="str">
        <f t="shared" si="536"/>
        <v/>
      </c>
      <c r="HR123" s="39" t="str">
        <f t="shared" si="537"/>
        <v/>
      </c>
      <c r="HS123" s="39" t="str">
        <f t="shared" si="538"/>
        <v/>
      </c>
      <c r="HT123" s="39" t="str">
        <f t="shared" si="538"/>
        <v/>
      </c>
      <c r="HU123" s="43" t="str">
        <f t="shared" si="445"/>
        <v>-</v>
      </c>
      <c r="HV123" s="44" t="str">
        <f t="shared" si="446"/>
        <v/>
      </c>
      <c r="HW123" s="45" t="str">
        <f t="shared" si="447"/>
        <v/>
      </c>
      <c r="HX123" s="96"/>
      <c r="HY123" s="96"/>
      <c r="HZ123" s="96"/>
      <c r="IA123" s="95"/>
      <c r="IB123" s="96"/>
      <c r="IC123" s="97"/>
      <c r="ID123" s="95"/>
      <c r="IE123" s="96"/>
      <c r="IF123" s="97"/>
      <c r="IH123" s="66">
        <v>123</v>
      </c>
      <c r="II123" s="66" t="e">
        <f t="shared" ca="1" si="436"/>
        <v>#N/A</v>
      </c>
      <c r="IJ123" s="66" t="e">
        <f t="shared" ca="1" si="437"/>
        <v>#N/A</v>
      </c>
      <c r="IK123" s="66" t="e">
        <f t="shared" ca="1" si="438"/>
        <v>#N/A</v>
      </c>
      <c r="IL123" s="66" t="e">
        <f t="shared" ca="1" si="439"/>
        <v>#N/A</v>
      </c>
      <c r="IN123" s="74" t="e">
        <f t="shared" ca="1" si="440"/>
        <v>#N/A</v>
      </c>
      <c r="IO123" s="75" t="e">
        <f t="shared" ca="1" si="441"/>
        <v>#N/A</v>
      </c>
      <c r="IP123" s="75" t="e">
        <f t="shared" ca="1" si="442"/>
        <v>#N/A</v>
      </c>
      <c r="IQ123" s="74" t="e">
        <f t="shared" ca="1" si="443"/>
        <v>#N/A</v>
      </c>
      <c r="IR123" s="74" t="e">
        <f t="shared" ca="1" si="444"/>
        <v>#N/A</v>
      </c>
    </row>
    <row r="124" spans="1:252" x14ac:dyDescent="0.35">
      <c r="A124" s="28">
        <v>0</v>
      </c>
      <c r="B124" s="28">
        <v>0</v>
      </c>
      <c r="C124" s="28">
        <v>1</v>
      </c>
      <c r="D124" s="1"/>
      <c r="E124" s="3"/>
      <c r="F124" t="s">
        <v>389</v>
      </c>
      <c r="G124" s="5" t="s">
        <v>540</v>
      </c>
      <c r="H124" s="4" t="s">
        <v>557</v>
      </c>
      <c r="I124" t="s">
        <v>532</v>
      </c>
      <c r="J124" s="276" t="s">
        <v>805</v>
      </c>
      <c r="K124" s="21" t="s">
        <v>805</v>
      </c>
      <c r="L124" s="21" t="s">
        <v>805</v>
      </c>
      <c r="M124" s="21" t="s">
        <v>805</v>
      </c>
      <c r="N124" s="21" t="s">
        <v>805</v>
      </c>
      <c r="O124" s="21" t="s">
        <v>805</v>
      </c>
      <c r="P124" s="21" t="s">
        <v>805</v>
      </c>
      <c r="Q124" s="21" t="s">
        <v>805</v>
      </c>
      <c r="R124" s="21" t="s">
        <v>805</v>
      </c>
      <c r="S124" s="21" t="s">
        <v>805</v>
      </c>
      <c r="T124" s="21" t="s">
        <v>805</v>
      </c>
      <c r="U124" s="21" t="s">
        <v>805</v>
      </c>
      <c r="V124" s="21" t="s">
        <v>805</v>
      </c>
      <c r="W124" s="21" t="s">
        <v>805</v>
      </c>
      <c r="X124" s="21" t="s">
        <v>805</v>
      </c>
      <c r="Y124" s="21" t="s">
        <v>805</v>
      </c>
      <c r="Z124" s="21" t="s">
        <v>805</v>
      </c>
      <c r="AA124" s="21" t="s">
        <v>805</v>
      </c>
      <c r="AB124" s="21" t="s">
        <v>805</v>
      </c>
      <c r="AC124" s="21" t="s">
        <v>805</v>
      </c>
      <c r="AD124" s="21" t="s">
        <v>805</v>
      </c>
      <c r="AE124" s="21" t="s">
        <v>805</v>
      </c>
      <c r="AF124" s="21" t="s">
        <v>805</v>
      </c>
      <c r="AG124" s="21" t="s">
        <v>805</v>
      </c>
      <c r="AH124" s="21" t="s">
        <v>805</v>
      </c>
      <c r="AI124" s="21" t="s">
        <v>805</v>
      </c>
      <c r="AJ124" s="21" t="s">
        <v>805</v>
      </c>
      <c r="AK124" s="21" t="s">
        <v>805</v>
      </c>
      <c r="AL124" s="21" t="s">
        <v>805</v>
      </c>
      <c r="AM124" s="21" t="s">
        <v>805</v>
      </c>
      <c r="AN124" s="21" t="s">
        <v>805</v>
      </c>
      <c r="AO124" s="21" t="s">
        <v>805</v>
      </c>
      <c r="AP124" s="21" t="s">
        <v>805</v>
      </c>
      <c r="AQ124" s="21" t="s">
        <v>805</v>
      </c>
      <c r="AR124" s="21" t="s">
        <v>805</v>
      </c>
      <c r="AS124" s="21" t="s">
        <v>805</v>
      </c>
      <c r="AT124" s="21" t="s">
        <v>805</v>
      </c>
      <c r="AU124" s="21" t="s">
        <v>805</v>
      </c>
      <c r="AV124" s="21" t="s">
        <v>805</v>
      </c>
      <c r="AW124" s="21" t="s">
        <v>805</v>
      </c>
      <c r="AX124" s="21" t="s">
        <v>805</v>
      </c>
      <c r="AY124" s="21" t="s">
        <v>805</v>
      </c>
      <c r="AZ124" s="21" t="s">
        <v>805</v>
      </c>
      <c r="BA124" s="21" t="s">
        <v>805</v>
      </c>
      <c r="BB124" s="21" t="s">
        <v>805</v>
      </c>
      <c r="BC124" s="21" t="s">
        <v>805</v>
      </c>
      <c r="BD124" s="21" t="s">
        <v>805</v>
      </c>
      <c r="BE124" s="21" t="s">
        <v>805</v>
      </c>
      <c r="BF124" s="21" t="s">
        <v>805</v>
      </c>
      <c r="BG124" s="21" t="s">
        <v>805</v>
      </c>
      <c r="BH124" s="21" t="s">
        <v>805</v>
      </c>
      <c r="BI124" s="21" t="s">
        <v>805</v>
      </c>
      <c r="BJ124" s="21" t="s">
        <v>805</v>
      </c>
      <c r="BK124" s="21" t="s">
        <v>805</v>
      </c>
      <c r="BL124" s="21" t="s">
        <v>805</v>
      </c>
      <c r="BM124" s="21" t="s">
        <v>805</v>
      </c>
      <c r="BN124" s="21" t="s">
        <v>805</v>
      </c>
      <c r="BO124" s="21" t="s">
        <v>805</v>
      </c>
      <c r="BP124" s="21" t="s">
        <v>805</v>
      </c>
      <c r="BQ124" s="21" t="s">
        <v>805</v>
      </c>
      <c r="BR124" s="21" t="s">
        <v>805</v>
      </c>
      <c r="BS124" s="21" t="s">
        <v>805</v>
      </c>
      <c r="BT124" s="21" t="s">
        <v>805</v>
      </c>
      <c r="BU124" s="21" t="s">
        <v>805</v>
      </c>
      <c r="BV124" s="21" t="s">
        <v>805</v>
      </c>
      <c r="BW124" s="21" t="s">
        <v>805</v>
      </c>
      <c r="BX124" s="21" t="s">
        <v>805</v>
      </c>
      <c r="BY124" s="21" t="s">
        <v>805</v>
      </c>
      <c r="BZ124" s="21" t="s">
        <v>805</v>
      </c>
      <c r="CA124" s="21" t="s">
        <v>805</v>
      </c>
      <c r="CB124" s="21" t="s">
        <v>805</v>
      </c>
      <c r="CC124" s="21" t="s">
        <v>805</v>
      </c>
      <c r="CD124" s="21" t="s">
        <v>805</v>
      </c>
      <c r="CE124" s="21" t="s">
        <v>805</v>
      </c>
      <c r="CF124" s="21" t="s">
        <v>805</v>
      </c>
      <c r="CG124" s="21" t="s">
        <v>805</v>
      </c>
      <c r="CH124" s="21" t="s">
        <v>805</v>
      </c>
      <c r="CI124" s="21" t="s">
        <v>805</v>
      </c>
      <c r="CJ124" s="21" t="s">
        <v>805</v>
      </c>
      <c r="CK124" s="21" t="s">
        <v>805</v>
      </c>
      <c r="CL124" s="21" t="s">
        <v>805</v>
      </c>
      <c r="CM124" s="21" t="s">
        <v>805</v>
      </c>
      <c r="CN124" s="21" t="s">
        <v>805</v>
      </c>
      <c r="CO124" s="21" t="s">
        <v>805</v>
      </c>
      <c r="CP124" s="21" t="s">
        <v>805</v>
      </c>
      <c r="CQ124" s="21" t="s">
        <v>805</v>
      </c>
      <c r="CR124" s="21" t="s">
        <v>805</v>
      </c>
      <c r="CS124" s="21" t="s">
        <v>805</v>
      </c>
      <c r="CT124" s="21" t="s">
        <v>805</v>
      </c>
      <c r="CU124" s="21" t="s">
        <v>805</v>
      </c>
      <c r="CV124" s="21" t="s">
        <v>805</v>
      </c>
      <c r="CW124" s="21" t="s">
        <v>805</v>
      </c>
      <c r="CX124" s="21" t="s">
        <v>805</v>
      </c>
      <c r="CY124" s="21" t="s">
        <v>805</v>
      </c>
      <c r="CZ124" s="21" t="s">
        <v>805</v>
      </c>
      <c r="DA124" s="21" t="s">
        <v>805</v>
      </c>
      <c r="DB124" s="21" t="s">
        <v>805</v>
      </c>
      <c r="DC124" s="21" t="s">
        <v>805</v>
      </c>
      <c r="DD124" s="21" t="s">
        <v>805</v>
      </c>
      <c r="DE124" s="21" t="s">
        <v>805</v>
      </c>
      <c r="DF124" s="21" t="s">
        <v>805</v>
      </c>
      <c r="DG124" s="28">
        <f>'KPI Count-SHARE'!J113</f>
        <v>0</v>
      </c>
      <c r="DH124" s="108"/>
      <c r="DI124" s="108"/>
      <c r="DJ124" s="108"/>
      <c r="DK124" s="28">
        <f>'KPI Count-SHARE'!K113</f>
        <v>0</v>
      </c>
      <c r="DL124" s="58"/>
      <c r="DM124" s="58"/>
      <c r="DN124" s="58"/>
      <c r="DO124" s="28">
        <f>'KPI Count-SHARE'!L113</f>
        <v>0</v>
      </c>
      <c r="DP124" s="58"/>
      <c r="DQ124" s="58"/>
      <c r="DR124" s="58"/>
      <c r="DS124" s="28">
        <f>'KPI Count-SHARE'!M113</f>
        <v>0</v>
      </c>
      <c r="DT124" s="58"/>
      <c r="DU124" s="58"/>
      <c r="DV124" s="58"/>
      <c r="DW124" t="s">
        <v>557</v>
      </c>
      <c r="DX124" s="39" t="str">
        <f t="shared" si="425"/>
        <v/>
      </c>
      <c r="DY124" s="39" t="str">
        <f t="shared" si="426"/>
        <v/>
      </c>
      <c r="DZ124" s="39" t="str">
        <f t="shared" si="427"/>
        <v/>
      </c>
      <c r="EA124" s="39" t="str">
        <f t="shared" si="428"/>
        <v/>
      </c>
      <c r="EB124" s="39" t="str">
        <f t="shared" si="429"/>
        <v/>
      </c>
      <c r="EC124" s="39" t="str">
        <f t="shared" si="430"/>
        <v/>
      </c>
      <c r="ED124" s="39" t="str">
        <f t="shared" si="431"/>
        <v/>
      </c>
      <c r="EE124" s="39" t="str">
        <f t="shared" si="432"/>
        <v/>
      </c>
      <c r="EF124" s="39" t="str">
        <f t="shared" si="433"/>
        <v/>
      </c>
      <c r="EG124" s="39" t="str">
        <f t="shared" si="434"/>
        <v/>
      </c>
      <c r="EH124" s="39" t="str">
        <f t="shared" si="435"/>
        <v/>
      </c>
      <c r="EI124" s="39" t="str">
        <f t="shared" si="448"/>
        <v/>
      </c>
      <c r="EJ124" s="39" t="str">
        <f t="shared" si="449"/>
        <v/>
      </c>
      <c r="EK124" s="39" t="str">
        <f t="shared" si="450"/>
        <v/>
      </c>
      <c r="EL124" s="39" t="str">
        <f t="shared" si="451"/>
        <v/>
      </c>
      <c r="EM124" s="39" t="str">
        <f t="shared" si="452"/>
        <v/>
      </c>
      <c r="EN124" s="39" t="str">
        <f t="shared" si="453"/>
        <v/>
      </c>
      <c r="EO124" s="39" t="str">
        <f t="shared" si="454"/>
        <v/>
      </c>
      <c r="EP124" s="39" t="str">
        <f t="shared" si="455"/>
        <v/>
      </c>
      <c r="EQ124" s="39" t="str">
        <f t="shared" si="456"/>
        <v/>
      </c>
      <c r="ER124" s="39" t="str">
        <f t="shared" si="457"/>
        <v/>
      </c>
      <c r="ES124" s="39" t="str">
        <f t="shared" si="458"/>
        <v/>
      </c>
      <c r="ET124" s="39" t="str">
        <f t="shared" si="459"/>
        <v/>
      </c>
      <c r="EU124" s="39" t="str">
        <f t="shared" si="462"/>
        <v/>
      </c>
      <c r="EV124" s="39" t="str">
        <f t="shared" si="463"/>
        <v/>
      </c>
      <c r="EW124" s="39" t="str">
        <f t="shared" si="464"/>
        <v/>
      </c>
      <c r="EX124" s="39" t="str">
        <f t="shared" si="465"/>
        <v/>
      </c>
      <c r="EY124" s="39" t="str">
        <f t="shared" si="466"/>
        <v/>
      </c>
      <c r="EZ124" s="39" t="str">
        <f t="shared" si="467"/>
        <v/>
      </c>
      <c r="FA124" s="39" t="str">
        <f t="shared" si="468"/>
        <v/>
      </c>
      <c r="FB124" s="39" t="str">
        <f t="shared" si="469"/>
        <v/>
      </c>
      <c r="FC124" s="39" t="str">
        <f t="shared" si="470"/>
        <v/>
      </c>
      <c r="FD124" s="39" t="str">
        <f t="shared" si="471"/>
        <v/>
      </c>
      <c r="FE124" s="39" t="str">
        <f t="shared" si="472"/>
        <v/>
      </c>
      <c r="FF124" s="39" t="str">
        <f t="shared" si="473"/>
        <v/>
      </c>
      <c r="FG124" s="39" t="str">
        <f t="shared" si="474"/>
        <v/>
      </c>
      <c r="FH124" s="39" t="str">
        <f t="shared" si="475"/>
        <v/>
      </c>
      <c r="FI124" s="39" t="str">
        <f t="shared" si="476"/>
        <v/>
      </c>
      <c r="FJ124" s="39" t="str">
        <f t="shared" si="477"/>
        <v/>
      </c>
      <c r="FK124" s="39" t="str">
        <f t="shared" si="478"/>
        <v/>
      </c>
      <c r="FL124" s="39" t="str">
        <f t="shared" si="479"/>
        <v/>
      </c>
      <c r="FM124" s="39" t="str">
        <f t="shared" si="480"/>
        <v/>
      </c>
      <c r="FN124" s="39" t="str">
        <f t="shared" si="481"/>
        <v/>
      </c>
      <c r="FO124" s="39" t="str">
        <f t="shared" si="482"/>
        <v/>
      </c>
      <c r="FP124" s="39" t="str">
        <f t="shared" si="483"/>
        <v/>
      </c>
      <c r="FQ124" s="39" t="str">
        <f t="shared" si="484"/>
        <v/>
      </c>
      <c r="FR124" s="39" t="str">
        <f t="shared" si="485"/>
        <v/>
      </c>
      <c r="FS124" s="39" t="str">
        <f t="shared" si="486"/>
        <v/>
      </c>
      <c r="FT124" s="39" t="str">
        <f t="shared" si="487"/>
        <v/>
      </c>
      <c r="FU124" s="39" t="str">
        <f t="shared" si="488"/>
        <v/>
      </c>
      <c r="FV124" s="39" t="str">
        <f t="shared" si="489"/>
        <v/>
      </c>
      <c r="FW124" s="39" t="str">
        <f t="shared" si="490"/>
        <v/>
      </c>
      <c r="FX124" s="39" t="str">
        <f t="shared" si="491"/>
        <v/>
      </c>
      <c r="FY124" s="39" t="str">
        <f t="shared" si="492"/>
        <v/>
      </c>
      <c r="FZ124" s="39" t="str">
        <f t="shared" si="493"/>
        <v/>
      </c>
      <c r="GA124" s="39" t="str">
        <f t="shared" si="494"/>
        <v/>
      </c>
      <c r="GB124" s="39" t="str">
        <f t="shared" si="495"/>
        <v/>
      </c>
      <c r="GC124" s="39" t="str">
        <f t="shared" si="496"/>
        <v/>
      </c>
      <c r="GD124" s="39" t="str">
        <f t="shared" si="497"/>
        <v/>
      </c>
      <c r="GE124" s="39" t="str">
        <f t="shared" si="498"/>
        <v/>
      </c>
      <c r="GF124" s="39" t="str">
        <f t="shared" si="499"/>
        <v/>
      </c>
      <c r="GG124" s="39" t="str">
        <f t="shared" si="500"/>
        <v/>
      </c>
      <c r="GH124" s="39" t="str">
        <f t="shared" si="501"/>
        <v/>
      </c>
      <c r="GI124" s="39" t="str">
        <f t="shared" si="502"/>
        <v/>
      </c>
      <c r="GJ124" s="39" t="str">
        <f t="shared" si="503"/>
        <v/>
      </c>
      <c r="GK124" s="39" t="str">
        <f t="shared" si="504"/>
        <v/>
      </c>
      <c r="GL124" s="39" t="str">
        <f t="shared" si="505"/>
        <v/>
      </c>
      <c r="GM124" s="39" t="str">
        <f t="shared" si="506"/>
        <v/>
      </c>
      <c r="GN124" s="39" t="str">
        <f t="shared" si="507"/>
        <v/>
      </c>
      <c r="GO124" s="39" t="str">
        <f t="shared" si="508"/>
        <v/>
      </c>
      <c r="GP124" s="39" t="str">
        <f t="shared" si="509"/>
        <v/>
      </c>
      <c r="GQ124" s="39" t="str">
        <f t="shared" si="510"/>
        <v/>
      </c>
      <c r="GR124" s="39" t="str">
        <f t="shared" si="511"/>
        <v/>
      </c>
      <c r="GS124" s="39" t="str">
        <f t="shared" si="512"/>
        <v/>
      </c>
      <c r="GT124" s="39" t="str">
        <f t="shared" si="513"/>
        <v/>
      </c>
      <c r="GU124" s="39" t="str">
        <f t="shared" si="514"/>
        <v/>
      </c>
      <c r="GV124" s="39" t="str">
        <f t="shared" si="515"/>
        <v/>
      </c>
      <c r="GW124" s="39" t="str">
        <f t="shared" si="516"/>
        <v/>
      </c>
      <c r="GX124" s="39" t="str">
        <f t="shared" si="517"/>
        <v/>
      </c>
      <c r="GY124" s="39" t="str">
        <f t="shared" si="518"/>
        <v/>
      </c>
      <c r="GZ124" s="39" t="str">
        <f t="shared" si="519"/>
        <v/>
      </c>
      <c r="HA124" s="39" t="str">
        <f t="shared" si="520"/>
        <v/>
      </c>
      <c r="HB124" s="39" t="str">
        <f t="shared" si="521"/>
        <v/>
      </c>
      <c r="HC124" s="39" t="str">
        <f t="shared" si="522"/>
        <v/>
      </c>
      <c r="HD124" s="39" t="str">
        <f t="shared" si="523"/>
        <v/>
      </c>
      <c r="HE124" s="39" t="str">
        <f t="shared" si="524"/>
        <v/>
      </c>
      <c r="HF124" s="39" t="str">
        <f t="shared" si="525"/>
        <v/>
      </c>
      <c r="HG124" s="39" t="str">
        <f t="shared" si="526"/>
        <v/>
      </c>
      <c r="HH124" s="39" t="str">
        <f t="shared" si="527"/>
        <v/>
      </c>
      <c r="HI124" s="39" t="str">
        <f t="shared" si="528"/>
        <v/>
      </c>
      <c r="HJ124" s="39" t="str">
        <f t="shared" si="529"/>
        <v/>
      </c>
      <c r="HK124" s="39" t="str">
        <f t="shared" si="530"/>
        <v/>
      </c>
      <c r="HL124" s="39" t="str">
        <f t="shared" si="531"/>
        <v/>
      </c>
      <c r="HM124" s="39" t="str">
        <f t="shared" si="532"/>
        <v/>
      </c>
      <c r="HN124" s="39" t="str">
        <f t="shared" si="533"/>
        <v/>
      </c>
      <c r="HO124" s="39" t="str">
        <f t="shared" si="534"/>
        <v/>
      </c>
      <c r="HP124" s="39" t="str">
        <f t="shared" si="535"/>
        <v/>
      </c>
      <c r="HQ124" s="39" t="str">
        <f t="shared" si="536"/>
        <v/>
      </c>
      <c r="HR124" s="39" t="str">
        <f t="shared" si="537"/>
        <v/>
      </c>
      <c r="HS124" s="39" t="str">
        <f t="shared" si="538"/>
        <v/>
      </c>
      <c r="HT124" s="39" t="str">
        <f t="shared" si="538"/>
        <v/>
      </c>
      <c r="HU124" s="43" t="str">
        <f t="shared" si="445"/>
        <v>-</v>
      </c>
      <c r="HV124" s="44" t="str">
        <f t="shared" si="446"/>
        <v/>
      </c>
      <c r="HW124" s="45" t="str">
        <f t="shared" si="447"/>
        <v/>
      </c>
      <c r="HX124" s="96"/>
      <c r="HY124" s="96"/>
      <c r="HZ124" s="96"/>
      <c r="IA124" s="95"/>
      <c r="IB124" s="96"/>
      <c r="IC124" s="97"/>
      <c r="ID124" s="95"/>
      <c r="IE124" s="96"/>
      <c r="IF124" s="97"/>
      <c r="IH124" s="66">
        <v>124</v>
      </c>
      <c r="II124" s="66" t="e">
        <f t="shared" ca="1" si="436"/>
        <v>#N/A</v>
      </c>
      <c r="IJ124" s="66" t="e">
        <f t="shared" ca="1" si="437"/>
        <v>#N/A</v>
      </c>
      <c r="IK124" s="66" t="e">
        <f t="shared" ca="1" si="438"/>
        <v>#N/A</v>
      </c>
      <c r="IL124" s="66" t="e">
        <f t="shared" ca="1" si="439"/>
        <v>#N/A</v>
      </c>
      <c r="IN124" s="74" t="e">
        <f t="shared" ca="1" si="440"/>
        <v>#N/A</v>
      </c>
      <c r="IO124" s="75" t="e">
        <f t="shared" ca="1" si="441"/>
        <v>#N/A</v>
      </c>
      <c r="IP124" s="75" t="e">
        <f t="shared" ca="1" si="442"/>
        <v>#N/A</v>
      </c>
      <c r="IQ124" s="74" t="e">
        <f t="shared" ca="1" si="443"/>
        <v>#N/A</v>
      </c>
      <c r="IR124" s="74" t="e">
        <f t="shared" ca="1" si="444"/>
        <v>#N/A</v>
      </c>
    </row>
    <row r="125" spans="1:252" x14ac:dyDescent="0.35">
      <c r="A125" s="28">
        <v>0</v>
      </c>
      <c r="B125" s="28">
        <v>0</v>
      </c>
      <c r="C125" s="28">
        <v>1</v>
      </c>
      <c r="D125" s="1"/>
      <c r="E125" s="3"/>
      <c r="F125" t="s">
        <v>390</v>
      </c>
      <c r="G125" s="5" t="s">
        <v>540</v>
      </c>
      <c r="H125" s="4" t="s">
        <v>557</v>
      </c>
      <c r="I125" t="s">
        <v>532</v>
      </c>
      <c r="J125" s="276" t="s">
        <v>805</v>
      </c>
      <c r="K125" s="21" t="s">
        <v>805</v>
      </c>
      <c r="L125" s="21" t="s">
        <v>805</v>
      </c>
      <c r="M125" s="21" t="s">
        <v>805</v>
      </c>
      <c r="N125" s="21" t="s">
        <v>805</v>
      </c>
      <c r="O125" s="21" t="s">
        <v>805</v>
      </c>
      <c r="P125" s="21" t="s">
        <v>805</v>
      </c>
      <c r="Q125" s="21" t="s">
        <v>805</v>
      </c>
      <c r="R125" s="21" t="s">
        <v>805</v>
      </c>
      <c r="S125" s="21" t="s">
        <v>805</v>
      </c>
      <c r="T125" s="21" t="s">
        <v>805</v>
      </c>
      <c r="U125" s="21" t="s">
        <v>805</v>
      </c>
      <c r="V125" s="21" t="s">
        <v>805</v>
      </c>
      <c r="W125" s="21" t="s">
        <v>805</v>
      </c>
      <c r="X125" s="21" t="s">
        <v>805</v>
      </c>
      <c r="Y125" s="21" t="s">
        <v>805</v>
      </c>
      <c r="Z125" s="21" t="s">
        <v>805</v>
      </c>
      <c r="AA125" s="21" t="s">
        <v>805</v>
      </c>
      <c r="AB125" s="21" t="s">
        <v>805</v>
      </c>
      <c r="AC125" s="21" t="s">
        <v>805</v>
      </c>
      <c r="AD125" s="21" t="s">
        <v>805</v>
      </c>
      <c r="AE125" s="21" t="s">
        <v>805</v>
      </c>
      <c r="AF125" s="21" t="s">
        <v>805</v>
      </c>
      <c r="AG125" s="21" t="s">
        <v>805</v>
      </c>
      <c r="AH125" s="21" t="s">
        <v>805</v>
      </c>
      <c r="AI125" s="21" t="s">
        <v>805</v>
      </c>
      <c r="AJ125" s="21" t="s">
        <v>805</v>
      </c>
      <c r="AK125" s="21" t="s">
        <v>805</v>
      </c>
      <c r="AL125" s="21" t="s">
        <v>805</v>
      </c>
      <c r="AM125" s="21" t="s">
        <v>805</v>
      </c>
      <c r="AN125" s="21" t="s">
        <v>805</v>
      </c>
      <c r="AO125" s="21" t="s">
        <v>805</v>
      </c>
      <c r="AP125" s="21" t="s">
        <v>805</v>
      </c>
      <c r="AQ125" s="21" t="s">
        <v>805</v>
      </c>
      <c r="AR125" s="21" t="s">
        <v>805</v>
      </c>
      <c r="AS125" s="21" t="s">
        <v>805</v>
      </c>
      <c r="AT125" s="21" t="s">
        <v>805</v>
      </c>
      <c r="AU125" s="21" t="s">
        <v>805</v>
      </c>
      <c r="AV125" s="21" t="s">
        <v>805</v>
      </c>
      <c r="AW125" s="21" t="s">
        <v>805</v>
      </c>
      <c r="AX125" s="21" t="s">
        <v>805</v>
      </c>
      <c r="AY125" s="21" t="s">
        <v>805</v>
      </c>
      <c r="AZ125" s="21" t="s">
        <v>805</v>
      </c>
      <c r="BA125" s="21" t="s">
        <v>805</v>
      </c>
      <c r="BB125" s="21" t="s">
        <v>805</v>
      </c>
      <c r="BC125" s="21" t="s">
        <v>805</v>
      </c>
      <c r="BD125" s="21" t="s">
        <v>805</v>
      </c>
      <c r="BE125" s="21" t="s">
        <v>805</v>
      </c>
      <c r="BF125" s="21" t="s">
        <v>805</v>
      </c>
      <c r="BG125" s="21" t="s">
        <v>805</v>
      </c>
      <c r="BH125" s="21" t="s">
        <v>805</v>
      </c>
      <c r="BI125" s="21" t="s">
        <v>805</v>
      </c>
      <c r="BJ125" s="21" t="s">
        <v>805</v>
      </c>
      <c r="BK125" s="21" t="s">
        <v>805</v>
      </c>
      <c r="BL125" s="21" t="s">
        <v>805</v>
      </c>
      <c r="BM125" s="21" t="s">
        <v>805</v>
      </c>
      <c r="BN125" s="21" t="s">
        <v>805</v>
      </c>
      <c r="BO125" s="21" t="s">
        <v>805</v>
      </c>
      <c r="BP125" s="21" t="s">
        <v>805</v>
      </c>
      <c r="BQ125" s="21" t="s">
        <v>805</v>
      </c>
      <c r="BR125" s="21" t="s">
        <v>805</v>
      </c>
      <c r="BS125" s="21" t="s">
        <v>805</v>
      </c>
      <c r="BT125" s="21" t="s">
        <v>805</v>
      </c>
      <c r="BU125" s="21" t="s">
        <v>805</v>
      </c>
      <c r="BV125" s="21" t="s">
        <v>805</v>
      </c>
      <c r="BW125" s="21" t="s">
        <v>805</v>
      </c>
      <c r="BX125" s="21" t="s">
        <v>805</v>
      </c>
      <c r="BY125" s="21" t="s">
        <v>805</v>
      </c>
      <c r="BZ125" s="21" t="s">
        <v>805</v>
      </c>
      <c r="CA125" s="21" t="s">
        <v>805</v>
      </c>
      <c r="CB125" s="21" t="s">
        <v>805</v>
      </c>
      <c r="CC125" s="21" t="s">
        <v>805</v>
      </c>
      <c r="CD125" s="21" t="s">
        <v>805</v>
      </c>
      <c r="CE125" s="21" t="s">
        <v>805</v>
      </c>
      <c r="CF125" s="21" t="s">
        <v>805</v>
      </c>
      <c r="CG125" s="21" t="s">
        <v>805</v>
      </c>
      <c r="CH125" s="21" t="s">
        <v>805</v>
      </c>
      <c r="CI125" s="21" t="s">
        <v>805</v>
      </c>
      <c r="CJ125" s="21" t="s">
        <v>805</v>
      </c>
      <c r="CK125" s="21" t="s">
        <v>805</v>
      </c>
      <c r="CL125" s="21" t="s">
        <v>805</v>
      </c>
      <c r="CM125" s="21" t="s">
        <v>805</v>
      </c>
      <c r="CN125" s="21" t="s">
        <v>805</v>
      </c>
      <c r="CO125" s="21" t="s">
        <v>805</v>
      </c>
      <c r="CP125" s="21" t="s">
        <v>805</v>
      </c>
      <c r="CQ125" s="21" t="s">
        <v>805</v>
      </c>
      <c r="CR125" s="21" t="s">
        <v>805</v>
      </c>
      <c r="CS125" s="21" t="s">
        <v>805</v>
      </c>
      <c r="CT125" s="21" t="s">
        <v>805</v>
      </c>
      <c r="CU125" s="21" t="s">
        <v>805</v>
      </c>
      <c r="CV125" s="21" t="s">
        <v>805</v>
      </c>
      <c r="CW125" s="21" t="s">
        <v>805</v>
      </c>
      <c r="CX125" s="21" t="s">
        <v>805</v>
      </c>
      <c r="CY125" s="21" t="s">
        <v>805</v>
      </c>
      <c r="CZ125" s="21" t="s">
        <v>805</v>
      </c>
      <c r="DA125" s="21" t="s">
        <v>805</v>
      </c>
      <c r="DB125" s="21" t="s">
        <v>805</v>
      </c>
      <c r="DC125" s="21" t="s">
        <v>805</v>
      </c>
      <c r="DD125" s="21" t="s">
        <v>805</v>
      </c>
      <c r="DE125" s="21" t="s">
        <v>805</v>
      </c>
      <c r="DF125" s="21" t="s">
        <v>805</v>
      </c>
      <c r="DG125" s="28">
        <f>'KPI Count-SHARE'!J114</f>
        <v>0</v>
      </c>
      <c r="DH125" s="108"/>
      <c r="DI125" s="108"/>
      <c r="DJ125" s="108"/>
      <c r="DK125" s="28">
        <f>'KPI Count-SHARE'!K114</f>
        <v>0</v>
      </c>
      <c r="DL125" s="58"/>
      <c r="DM125" s="58"/>
      <c r="DN125" s="58"/>
      <c r="DO125" s="28">
        <f>'KPI Count-SHARE'!L114</f>
        <v>0</v>
      </c>
      <c r="DP125" s="58"/>
      <c r="DQ125" s="58"/>
      <c r="DR125" s="58"/>
      <c r="DS125" s="28">
        <f>'KPI Count-SHARE'!M114</f>
        <v>0</v>
      </c>
      <c r="DT125" s="58"/>
      <c r="DU125" s="58"/>
      <c r="DV125" s="58"/>
      <c r="DW125" t="s">
        <v>557</v>
      </c>
      <c r="DX125" s="39" t="str">
        <f t="shared" si="425"/>
        <v/>
      </c>
      <c r="DY125" s="39" t="str">
        <f t="shared" si="426"/>
        <v/>
      </c>
      <c r="DZ125" s="39" t="str">
        <f t="shared" si="427"/>
        <v/>
      </c>
      <c r="EA125" s="39" t="str">
        <f t="shared" si="428"/>
        <v/>
      </c>
      <c r="EB125" s="39" t="str">
        <f t="shared" si="429"/>
        <v/>
      </c>
      <c r="EC125" s="39" t="str">
        <f t="shared" si="430"/>
        <v/>
      </c>
      <c r="ED125" s="39" t="str">
        <f t="shared" si="431"/>
        <v/>
      </c>
      <c r="EE125" s="39" t="str">
        <f t="shared" si="432"/>
        <v/>
      </c>
      <c r="EF125" s="39" t="str">
        <f t="shared" si="433"/>
        <v/>
      </c>
      <c r="EG125" s="39" t="str">
        <f t="shared" si="434"/>
        <v/>
      </c>
      <c r="EH125" s="39" t="str">
        <f t="shared" si="435"/>
        <v/>
      </c>
      <c r="EI125" s="39" t="str">
        <f t="shared" si="448"/>
        <v/>
      </c>
      <c r="EJ125" s="39" t="str">
        <f t="shared" si="449"/>
        <v/>
      </c>
      <c r="EK125" s="39" t="str">
        <f t="shared" si="450"/>
        <v/>
      </c>
      <c r="EL125" s="39" t="str">
        <f t="shared" si="451"/>
        <v/>
      </c>
      <c r="EM125" s="39" t="str">
        <f t="shared" si="452"/>
        <v/>
      </c>
      <c r="EN125" s="39" t="str">
        <f t="shared" si="453"/>
        <v/>
      </c>
      <c r="EO125" s="39" t="str">
        <f t="shared" si="454"/>
        <v/>
      </c>
      <c r="EP125" s="39" t="str">
        <f t="shared" si="455"/>
        <v/>
      </c>
      <c r="EQ125" s="39" t="str">
        <f t="shared" si="456"/>
        <v/>
      </c>
      <c r="ER125" s="39" t="str">
        <f t="shared" si="457"/>
        <v/>
      </c>
      <c r="ES125" s="39" t="str">
        <f t="shared" si="458"/>
        <v/>
      </c>
      <c r="ET125" s="39" t="str">
        <f t="shared" si="459"/>
        <v/>
      </c>
      <c r="EU125" s="39" t="str">
        <f t="shared" si="462"/>
        <v/>
      </c>
      <c r="EV125" s="39" t="str">
        <f t="shared" si="463"/>
        <v/>
      </c>
      <c r="EW125" s="39" t="str">
        <f t="shared" si="464"/>
        <v/>
      </c>
      <c r="EX125" s="39" t="str">
        <f t="shared" si="465"/>
        <v/>
      </c>
      <c r="EY125" s="39" t="str">
        <f t="shared" si="466"/>
        <v/>
      </c>
      <c r="EZ125" s="39" t="str">
        <f t="shared" si="467"/>
        <v/>
      </c>
      <c r="FA125" s="39" t="str">
        <f t="shared" si="468"/>
        <v/>
      </c>
      <c r="FB125" s="39" t="str">
        <f t="shared" si="469"/>
        <v/>
      </c>
      <c r="FC125" s="39" t="str">
        <f t="shared" si="470"/>
        <v/>
      </c>
      <c r="FD125" s="39" t="str">
        <f t="shared" si="471"/>
        <v/>
      </c>
      <c r="FE125" s="39" t="str">
        <f t="shared" si="472"/>
        <v/>
      </c>
      <c r="FF125" s="39" t="str">
        <f t="shared" si="473"/>
        <v/>
      </c>
      <c r="FG125" s="39" t="str">
        <f t="shared" si="474"/>
        <v/>
      </c>
      <c r="FH125" s="39" t="str">
        <f t="shared" si="475"/>
        <v/>
      </c>
      <c r="FI125" s="39" t="str">
        <f t="shared" si="476"/>
        <v/>
      </c>
      <c r="FJ125" s="39" t="str">
        <f t="shared" si="477"/>
        <v/>
      </c>
      <c r="FK125" s="39" t="str">
        <f t="shared" si="478"/>
        <v/>
      </c>
      <c r="FL125" s="39" t="str">
        <f t="shared" si="479"/>
        <v/>
      </c>
      <c r="FM125" s="39" t="str">
        <f t="shared" si="480"/>
        <v/>
      </c>
      <c r="FN125" s="39" t="str">
        <f t="shared" si="481"/>
        <v/>
      </c>
      <c r="FO125" s="39" t="str">
        <f t="shared" si="482"/>
        <v/>
      </c>
      <c r="FP125" s="39" t="str">
        <f t="shared" si="483"/>
        <v/>
      </c>
      <c r="FQ125" s="39" t="str">
        <f t="shared" si="484"/>
        <v/>
      </c>
      <c r="FR125" s="39" t="str">
        <f t="shared" si="485"/>
        <v/>
      </c>
      <c r="FS125" s="39" t="str">
        <f t="shared" si="486"/>
        <v/>
      </c>
      <c r="FT125" s="39" t="str">
        <f t="shared" si="487"/>
        <v/>
      </c>
      <c r="FU125" s="39" t="str">
        <f t="shared" si="488"/>
        <v/>
      </c>
      <c r="FV125" s="39" t="str">
        <f t="shared" si="489"/>
        <v/>
      </c>
      <c r="FW125" s="39" t="str">
        <f t="shared" si="490"/>
        <v/>
      </c>
      <c r="FX125" s="39" t="str">
        <f t="shared" si="491"/>
        <v/>
      </c>
      <c r="FY125" s="39" t="str">
        <f t="shared" si="492"/>
        <v/>
      </c>
      <c r="FZ125" s="39" t="str">
        <f t="shared" si="493"/>
        <v/>
      </c>
      <c r="GA125" s="39" t="str">
        <f t="shared" si="494"/>
        <v/>
      </c>
      <c r="GB125" s="39" t="str">
        <f t="shared" si="495"/>
        <v/>
      </c>
      <c r="GC125" s="39" t="str">
        <f t="shared" si="496"/>
        <v/>
      </c>
      <c r="GD125" s="39" t="str">
        <f t="shared" si="497"/>
        <v/>
      </c>
      <c r="GE125" s="39" t="str">
        <f t="shared" si="498"/>
        <v/>
      </c>
      <c r="GF125" s="39" t="str">
        <f t="shared" si="499"/>
        <v/>
      </c>
      <c r="GG125" s="39" t="str">
        <f t="shared" si="500"/>
        <v/>
      </c>
      <c r="GH125" s="39" t="str">
        <f t="shared" si="501"/>
        <v/>
      </c>
      <c r="GI125" s="39" t="str">
        <f t="shared" si="502"/>
        <v/>
      </c>
      <c r="GJ125" s="39" t="str">
        <f t="shared" si="503"/>
        <v/>
      </c>
      <c r="GK125" s="39" t="str">
        <f t="shared" si="504"/>
        <v/>
      </c>
      <c r="GL125" s="39" t="str">
        <f t="shared" si="505"/>
        <v/>
      </c>
      <c r="GM125" s="39" t="str">
        <f t="shared" si="506"/>
        <v/>
      </c>
      <c r="GN125" s="39" t="str">
        <f t="shared" si="507"/>
        <v/>
      </c>
      <c r="GO125" s="39" t="str">
        <f t="shared" si="508"/>
        <v/>
      </c>
      <c r="GP125" s="39" t="str">
        <f t="shared" si="509"/>
        <v/>
      </c>
      <c r="GQ125" s="39" t="str">
        <f t="shared" si="510"/>
        <v/>
      </c>
      <c r="GR125" s="39" t="str">
        <f t="shared" si="511"/>
        <v/>
      </c>
      <c r="GS125" s="39" t="str">
        <f t="shared" si="512"/>
        <v/>
      </c>
      <c r="GT125" s="39" t="str">
        <f t="shared" si="513"/>
        <v/>
      </c>
      <c r="GU125" s="39" t="str">
        <f t="shared" si="514"/>
        <v/>
      </c>
      <c r="GV125" s="39" t="str">
        <f t="shared" si="515"/>
        <v/>
      </c>
      <c r="GW125" s="39" t="str">
        <f t="shared" si="516"/>
        <v/>
      </c>
      <c r="GX125" s="39" t="str">
        <f t="shared" si="517"/>
        <v/>
      </c>
      <c r="GY125" s="39" t="str">
        <f t="shared" si="518"/>
        <v/>
      </c>
      <c r="GZ125" s="39" t="str">
        <f t="shared" si="519"/>
        <v/>
      </c>
      <c r="HA125" s="39" t="str">
        <f t="shared" si="520"/>
        <v/>
      </c>
      <c r="HB125" s="39" t="str">
        <f t="shared" si="521"/>
        <v/>
      </c>
      <c r="HC125" s="39" t="str">
        <f t="shared" si="522"/>
        <v/>
      </c>
      <c r="HD125" s="39" t="str">
        <f t="shared" si="523"/>
        <v/>
      </c>
      <c r="HE125" s="39" t="str">
        <f t="shared" si="524"/>
        <v/>
      </c>
      <c r="HF125" s="39" t="str">
        <f t="shared" si="525"/>
        <v/>
      </c>
      <c r="HG125" s="39" t="str">
        <f t="shared" si="526"/>
        <v/>
      </c>
      <c r="HH125" s="39" t="str">
        <f t="shared" si="527"/>
        <v/>
      </c>
      <c r="HI125" s="39" t="str">
        <f t="shared" si="528"/>
        <v/>
      </c>
      <c r="HJ125" s="39" t="str">
        <f t="shared" si="529"/>
        <v/>
      </c>
      <c r="HK125" s="39" t="str">
        <f t="shared" si="530"/>
        <v/>
      </c>
      <c r="HL125" s="39" t="str">
        <f t="shared" si="531"/>
        <v/>
      </c>
      <c r="HM125" s="39" t="str">
        <f t="shared" si="532"/>
        <v/>
      </c>
      <c r="HN125" s="39" t="str">
        <f t="shared" si="533"/>
        <v/>
      </c>
      <c r="HO125" s="39" t="str">
        <f t="shared" si="534"/>
        <v/>
      </c>
      <c r="HP125" s="39" t="str">
        <f t="shared" si="535"/>
        <v/>
      </c>
      <c r="HQ125" s="39" t="str">
        <f t="shared" si="536"/>
        <v/>
      </c>
      <c r="HR125" s="39" t="str">
        <f t="shared" si="537"/>
        <v/>
      </c>
      <c r="HS125" s="39" t="str">
        <f t="shared" si="538"/>
        <v/>
      </c>
      <c r="HT125" s="39" t="str">
        <f t="shared" si="538"/>
        <v/>
      </c>
      <c r="HU125" s="43" t="str">
        <f t="shared" si="445"/>
        <v>-</v>
      </c>
      <c r="HV125" s="44" t="str">
        <f t="shared" si="446"/>
        <v/>
      </c>
      <c r="HW125" s="45" t="str">
        <f t="shared" si="447"/>
        <v/>
      </c>
      <c r="HX125" s="96"/>
      <c r="HY125" s="96"/>
      <c r="HZ125" s="96"/>
      <c r="IA125" s="95"/>
      <c r="IB125" s="96"/>
      <c r="IC125" s="97"/>
      <c r="ID125" s="95"/>
      <c r="IE125" s="96"/>
      <c r="IF125" s="97"/>
      <c r="IH125" s="66">
        <v>125</v>
      </c>
      <c r="II125" s="66" t="e">
        <f t="shared" ca="1" si="436"/>
        <v>#N/A</v>
      </c>
      <c r="IJ125" s="66" t="e">
        <f t="shared" ca="1" si="437"/>
        <v>#N/A</v>
      </c>
      <c r="IK125" s="66" t="e">
        <f t="shared" ca="1" si="438"/>
        <v>#N/A</v>
      </c>
      <c r="IL125" s="66" t="e">
        <f t="shared" ca="1" si="439"/>
        <v>#N/A</v>
      </c>
      <c r="IN125" s="74" t="e">
        <f t="shared" ca="1" si="440"/>
        <v>#N/A</v>
      </c>
      <c r="IO125" s="75" t="e">
        <f t="shared" ca="1" si="441"/>
        <v>#N/A</v>
      </c>
      <c r="IP125" s="75" t="e">
        <f t="shared" ca="1" si="442"/>
        <v>#N/A</v>
      </c>
      <c r="IQ125" s="74" t="e">
        <f t="shared" ca="1" si="443"/>
        <v>#N/A</v>
      </c>
      <c r="IR125" s="74" t="e">
        <f t="shared" ca="1" si="444"/>
        <v>#N/A</v>
      </c>
    </row>
    <row r="126" spans="1:252" x14ac:dyDescent="0.35">
      <c r="A126" s="28">
        <v>0</v>
      </c>
      <c r="B126" s="28">
        <v>0</v>
      </c>
      <c r="C126" s="28">
        <v>1</v>
      </c>
      <c r="D126" s="1"/>
      <c r="E126" s="3"/>
      <c r="F126" t="s">
        <v>391</v>
      </c>
      <c r="G126" s="5" t="s">
        <v>540</v>
      </c>
      <c r="H126" s="4" t="s">
        <v>557</v>
      </c>
      <c r="I126" t="s">
        <v>532</v>
      </c>
      <c r="J126" s="276" t="s">
        <v>805</v>
      </c>
      <c r="K126" s="21" t="s">
        <v>805</v>
      </c>
      <c r="L126" s="21" t="s">
        <v>805</v>
      </c>
      <c r="M126" s="21" t="s">
        <v>805</v>
      </c>
      <c r="N126" s="21" t="s">
        <v>805</v>
      </c>
      <c r="O126" s="21" t="s">
        <v>805</v>
      </c>
      <c r="P126" s="21" t="s">
        <v>805</v>
      </c>
      <c r="Q126" s="21" t="s">
        <v>805</v>
      </c>
      <c r="R126" s="21" t="s">
        <v>805</v>
      </c>
      <c r="S126" s="21" t="s">
        <v>805</v>
      </c>
      <c r="T126" s="21" t="s">
        <v>805</v>
      </c>
      <c r="U126" s="21" t="s">
        <v>805</v>
      </c>
      <c r="V126" s="21" t="s">
        <v>805</v>
      </c>
      <c r="W126" s="21" t="s">
        <v>805</v>
      </c>
      <c r="X126" s="21" t="s">
        <v>805</v>
      </c>
      <c r="Y126" s="21" t="s">
        <v>805</v>
      </c>
      <c r="Z126" s="21" t="s">
        <v>805</v>
      </c>
      <c r="AA126" s="21" t="s">
        <v>805</v>
      </c>
      <c r="AB126" s="21" t="s">
        <v>805</v>
      </c>
      <c r="AC126" s="21" t="s">
        <v>805</v>
      </c>
      <c r="AD126" s="21" t="s">
        <v>805</v>
      </c>
      <c r="AE126" s="21" t="s">
        <v>805</v>
      </c>
      <c r="AF126" s="21" t="s">
        <v>805</v>
      </c>
      <c r="AG126" s="21" t="s">
        <v>805</v>
      </c>
      <c r="AH126" s="21" t="s">
        <v>805</v>
      </c>
      <c r="AI126" s="21" t="s">
        <v>805</v>
      </c>
      <c r="AJ126" s="21" t="s">
        <v>805</v>
      </c>
      <c r="AK126" s="21" t="s">
        <v>805</v>
      </c>
      <c r="AL126" s="21" t="s">
        <v>805</v>
      </c>
      <c r="AM126" s="21" t="s">
        <v>805</v>
      </c>
      <c r="AN126" s="21" t="s">
        <v>805</v>
      </c>
      <c r="AO126" s="21" t="s">
        <v>805</v>
      </c>
      <c r="AP126" s="21" t="s">
        <v>805</v>
      </c>
      <c r="AQ126" s="21" t="s">
        <v>805</v>
      </c>
      <c r="AR126" s="21" t="s">
        <v>805</v>
      </c>
      <c r="AS126" s="21" t="s">
        <v>805</v>
      </c>
      <c r="AT126" s="21" t="s">
        <v>805</v>
      </c>
      <c r="AU126" s="21" t="s">
        <v>805</v>
      </c>
      <c r="AV126" s="21" t="s">
        <v>805</v>
      </c>
      <c r="AW126" s="21" t="s">
        <v>805</v>
      </c>
      <c r="AX126" s="21" t="s">
        <v>805</v>
      </c>
      <c r="AY126" s="21" t="s">
        <v>805</v>
      </c>
      <c r="AZ126" s="21" t="s">
        <v>805</v>
      </c>
      <c r="BA126" s="21" t="s">
        <v>805</v>
      </c>
      <c r="BB126" s="21" t="s">
        <v>805</v>
      </c>
      <c r="BC126" s="21" t="s">
        <v>805</v>
      </c>
      <c r="BD126" s="21" t="s">
        <v>805</v>
      </c>
      <c r="BE126" s="21" t="s">
        <v>805</v>
      </c>
      <c r="BF126" s="21" t="s">
        <v>805</v>
      </c>
      <c r="BG126" s="21" t="s">
        <v>805</v>
      </c>
      <c r="BH126" s="21" t="s">
        <v>805</v>
      </c>
      <c r="BI126" s="21" t="s">
        <v>805</v>
      </c>
      <c r="BJ126" s="21" t="s">
        <v>805</v>
      </c>
      <c r="BK126" s="21" t="s">
        <v>805</v>
      </c>
      <c r="BL126" s="21" t="s">
        <v>805</v>
      </c>
      <c r="BM126" s="21" t="s">
        <v>805</v>
      </c>
      <c r="BN126" s="21" t="s">
        <v>805</v>
      </c>
      <c r="BO126" s="21" t="s">
        <v>805</v>
      </c>
      <c r="BP126" s="21" t="s">
        <v>805</v>
      </c>
      <c r="BQ126" s="21" t="s">
        <v>805</v>
      </c>
      <c r="BR126" s="21" t="s">
        <v>805</v>
      </c>
      <c r="BS126" s="21" t="s">
        <v>805</v>
      </c>
      <c r="BT126" s="21" t="s">
        <v>805</v>
      </c>
      <c r="BU126" s="21" t="s">
        <v>805</v>
      </c>
      <c r="BV126" s="21" t="s">
        <v>805</v>
      </c>
      <c r="BW126" s="21" t="s">
        <v>805</v>
      </c>
      <c r="BX126" s="21" t="s">
        <v>805</v>
      </c>
      <c r="BY126" s="21" t="s">
        <v>805</v>
      </c>
      <c r="BZ126" s="21" t="s">
        <v>805</v>
      </c>
      <c r="CA126" s="21" t="s">
        <v>805</v>
      </c>
      <c r="CB126" s="21" t="s">
        <v>805</v>
      </c>
      <c r="CC126" s="21" t="s">
        <v>805</v>
      </c>
      <c r="CD126" s="21" t="s">
        <v>805</v>
      </c>
      <c r="CE126" s="21" t="s">
        <v>805</v>
      </c>
      <c r="CF126" s="21" t="s">
        <v>805</v>
      </c>
      <c r="CG126" s="21" t="s">
        <v>805</v>
      </c>
      <c r="CH126" s="21" t="s">
        <v>805</v>
      </c>
      <c r="CI126" s="21" t="s">
        <v>805</v>
      </c>
      <c r="CJ126" s="21" t="s">
        <v>805</v>
      </c>
      <c r="CK126" s="21" t="s">
        <v>805</v>
      </c>
      <c r="CL126" s="21" t="s">
        <v>805</v>
      </c>
      <c r="CM126" s="21" t="s">
        <v>805</v>
      </c>
      <c r="CN126" s="21" t="s">
        <v>805</v>
      </c>
      <c r="CO126" s="21" t="s">
        <v>805</v>
      </c>
      <c r="CP126" s="21" t="s">
        <v>805</v>
      </c>
      <c r="CQ126" s="21" t="s">
        <v>805</v>
      </c>
      <c r="CR126" s="21" t="s">
        <v>805</v>
      </c>
      <c r="CS126" s="21" t="s">
        <v>805</v>
      </c>
      <c r="CT126" s="21" t="s">
        <v>805</v>
      </c>
      <c r="CU126" s="21" t="s">
        <v>805</v>
      </c>
      <c r="CV126" s="21" t="s">
        <v>805</v>
      </c>
      <c r="CW126" s="21" t="s">
        <v>805</v>
      </c>
      <c r="CX126" s="21" t="s">
        <v>805</v>
      </c>
      <c r="CY126" s="21" t="s">
        <v>805</v>
      </c>
      <c r="CZ126" s="21" t="s">
        <v>805</v>
      </c>
      <c r="DA126" s="21" t="s">
        <v>805</v>
      </c>
      <c r="DB126" s="21" t="s">
        <v>805</v>
      </c>
      <c r="DC126" s="21" t="s">
        <v>805</v>
      </c>
      <c r="DD126" s="21" t="s">
        <v>805</v>
      </c>
      <c r="DE126" s="21" t="s">
        <v>805</v>
      </c>
      <c r="DF126" s="21" t="s">
        <v>805</v>
      </c>
      <c r="DG126" s="28">
        <f>'KPI Count-SHARE'!J115</f>
        <v>0</v>
      </c>
      <c r="DH126" s="108"/>
      <c r="DI126" s="108"/>
      <c r="DJ126" s="108"/>
      <c r="DK126" s="28">
        <f>'KPI Count-SHARE'!K115</f>
        <v>0</v>
      </c>
      <c r="DL126" s="58"/>
      <c r="DM126" s="58"/>
      <c r="DN126" s="58"/>
      <c r="DO126" s="28">
        <f>'KPI Count-SHARE'!L115</f>
        <v>0</v>
      </c>
      <c r="DP126" s="58"/>
      <c r="DQ126" s="58"/>
      <c r="DR126" s="58"/>
      <c r="DS126" s="28">
        <f>'KPI Count-SHARE'!M115</f>
        <v>0</v>
      </c>
      <c r="DT126" s="58"/>
      <c r="DU126" s="58"/>
      <c r="DV126" s="58"/>
      <c r="DW126" t="s">
        <v>557</v>
      </c>
      <c r="DX126" s="39" t="str">
        <f t="shared" si="425"/>
        <v/>
      </c>
      <c r="DY126" s="39" t="str">
        <f t="shared" si="426"/>
        <v/>
      </c>
      <c r="DZ126" s="39" t="str">
        <f t="shared" si="427"/>
        <v/>
      </c>
      <c r="EA126" s="39" t="str">
        <f t="shared" si="428"/>
        <v/>
      </c>
      <c r="EB126" s="39" t="str">
        <f t="shared" si="429"/>
        <v/>
      </c>
      <c r="EC126" s="39" t="str">
        <f t="shared" si="430"/>
        <v/>
      </c>
      <c r="ED126" s="39" t="str">
        <f t="shared" si="431"/>
        <v/>
      </c>
      <c r="EE126" s="39" t="str">
        <f t="shared" si="432"/>
        <v/>
      </c>
      <c r="EF126" s="39" t="str">
        <f t="shared" si="433"/>
        <v/>
      </c>
      <c r="EG126" s="39" t="str">
        <f t="shared" si="434"/>
        <v/>
      </c>
      <c r="EH126" s="39" t="str">
        <f t="shared" si="435"/>
        <v/>
      </c>
      <c r="EI126" s="39" t="str">
        <f t="shared" si="448"/>
        <v/>
      </c>
      <c r="EJ126" s="39" t="str">
        <f t="shared" si="449"/>
        <v/>
      </c>
      <c r="EK126" s="39" t="str">
        <f t="shared" si="450"/>
        <v/>
      </c>
      <c r="EL126" s="39" t="str">
        <f t="shared" si="451"/>
        <v/>
      </c>
      <c r="EM126" s="39" t="str">
        <f t="shared" si="452"/>
        <v/>
      </c>
      <c r="EN126" s="39" t="str">
        <f t="shared" si="453"/>
        <v/>
      </c>
      <c r="EO126" s="39" t="str">
        <f t="shared" si="454"/>
        <v/>
      </c>
      <c r="EP126" s="39" t="str">
        <f t="shared" si="455"/>
        <v/>
      </c>
      <c r="EQ126" s="39" t="str">
        <f t="shared" si="456"/>
        <v/>
      </c>
      <c r="ER126" s="39" t="str">
        <f t="shared" si="457"/>
        <v/>
      </c>
      <c r="ES126" s="39" t="str">
        <f t="shared" si="458"/>
        <v/>
      </c>
      <c r="ET126" s="39" t="str">
        <f t="shared" si="459"/>
        <v/>
      </c>
      <c r="EU126" s="39" t="str">
        <f t="shared" si="462"/>
        <v/>
      </c>
      <c r="EV126" s="39" t="str">
        <f t="shared" si="463"/>
        <v/>
      </c>
      <c r="EW126" s="39" t="str">
        <f t="shared" si="464"/>
        <v/>
      </c>
      <c r="EX126" s="39" t="str">
        <f t="shared" si="465"/>
        <v/>
      </c>
      <c r="EY126" s="39" t="str">
        <f t="shared" si="466"/>
        <v/>
      </c>
      <c r="EZ126" s="39" t="str">
        <f t="shared" si="467"/>
        <v/>
      </c>
      <c r="FA126" s="39" t="str">
        <f t="shared" si="468"/>
        <v/>
      </c>
      <c r="FB126" s="39" t="str">
        <f t="shared" si="469"/>
        <v/>
      </c>
      <c r="FC126" s="39" t="str">
        <f t="shared" si="470"/>
        <v/>
      </c>
      <c r="FD126" s="39" t="str">
        <f t="shared" si="471"/>
        <v/>
      </c>
      <c r="FE126" s="39" t="str">
        <f t="shared" si="472"/>
        <v/>
      </c>
      <c r="FF126" s="39" t="str">
        <f t="shared" si="473"/>
        <v/>
      </c>
      <c r="FG126" s="39" t="str">
        <f t="shared" si="474"/>
        <v/>
      </c>
      <c r="FH126" s="39" t="str">
        <f t="shared" si="475"/>
        <v/>
      </c>
      <c r="FI126" s="39" t="str">
        <f t="shared" si="476"/>
        <v/>
      </c>
      <c r="FJ126" s="39" t="str">
        <f t="shared" si="477"/>
        <v/>
      </c>
      <c r="FK126" s="39" t="str">
        <f t="shared" si="478"/>
        <v/>
      </c>
      <c r="FL126" s="39" t="str">
        <f t="shared" si="479"/>
        <v/>
      </c>
      <c r="FM126" s="39" t="str">
        <f t="shared" si="480"/>
        <v/>
      </c>
      <c r="FN126" s="39" t="str">
        <f t="shared" si="481"/>
        <v/>
      </c>
      <c r="FO126" s="39" t="str">
        <f t="shared" si="482"/>
        <v/>
      </c>
      <c r="FP126" s="39" t="str">
        <f t="shared" si="483"/>
        <v/>
      </c>
      <c r="FQ126" s="39" t="str">
        <f t="shared" si="484"/>
        <v/>
      </c>
      <c r="FR126" s="39" t="str">
        <f t="shared" si="485"/>
        <v/>
      </c>
      <c r="FS126" s="39" t="str">
        <f t="shared" si="486"/>
        <v/>
      </c>
      <c r="FT126" s="39" t="str">
        <f t="shared" si="487"/>
        <v/>
      </c>
      <c r="FU126" s="39" t="str">
        <f t="shared" si="488"/>
        <v/>
      </c>
      <c r="FV126" s="39" t="str">
        <f t="shared" si="489"/>
        <v/>
      </c>
      <c r="FW126" s="39" t="str">
        <f t="shared" si="490"/>
        <v/>
      </c>
      <c r="FX126" s="39" t="str">
        <f t="shared" si="491"/>
        <v/>
      </c>
      <c r="FY126" s="39" t="str">
        <f t="shared" si="492"/>
        <v/>
      </c>
      <c r="FZ126" s="39" t="str">
        <f t="shared" si="493"/>
        <v/>
      </c>
      <c r="GA126" s="39" t="str">
        <f t="shared" si="494"/>
        <v/>
      </c>
      <c r="GB126" s="39" t="str">
        <f t="shared" si="495"/>
        <v/>
      </c>
      <c r="GC126" s="39" t="str">
        <f t="shared" si="496"/>
        <v/>
      </c>
      <c r="GD126" s="39" t="str">
        <f t="shared" si="497"/>
        <v/>
      </c>
      <c r="GE126" s="39" t="str">
        <f t="shared" si="498"/>
        <v/>
      </c>
      <c r="GF126" s="39" t="str">
        <f t="shared" si="499"/>
        <v/>
      </c>
      <c r="GG126" s="39" t="str">
        <f t="shared" si="500"/>
        <v/>
      </c>
      <c r="GH126" s="39" t="str">
        <f t="shared" si="501"/>
        <v/>
      </c>
      <c r="GI126" s="39" t="str">
        <f t="shared" si="502"/>
        <v/>
      </c>
      <c r="GJ126" s="39" t="str">
        <f t="shared" si="503"/>
        <v/>
      </c>
      <c r="GK126" s="39" t="str">
        <f t="shared" si="504"/>
        <v/>
      </c>
      <c r="GL126" s="39" t="str">
        <f t="shared" si="505"/>
        <v/>
      </c>
      <c r="GM126" s="39" t="str">
        <f t="shared" si="506"/>
        <v/>
      </c>
      <c r="GN126" s="39" t="str">
        <f t="shared" si="507"/>
        <v/>
      </c>
      <c r="GO126" s="39" t="str">
        <f t="shared" si="508"/>
        <v/>
      </c>
      <c r="GP126" s="39" t="str">
        <f t="shared" si="509"/>
        <v/>
      </c>
      <c r="GQ126" s="39" t="str">
        <f t="shared" si="510"/>
        <v/>
      </c>
      <c r="GR126" s="39" t="str">
        <f t="shared" si="511"/>
        <v/>
      </c>
      <c r="GS126" s="39" t="str">
        <f t="shared" si="512"/>
        <v/>
      </c>
      <c r="GT126" s="39" t="str">
        <f t="shared" si="513"/>
        <v/>
      </c>
      <c r="GU126" s="39" t="str">
        <f t="shared" si="514"/>
        <v/>
      </c>
      <c r="GV126" s="39" t="str">
        <f t="shared" si="515"/>
        <v/>
      </c>
      <c r="GW126" s="39" t="str">
        <f t="shared" si="516"/>
        <v/>
      </c>
      <c r="GX126" s="39" t="str">
        <f t="shared" si="517"/>
        <v/>
      </c>
      <c r="GY126" s="39" t="str">
        <f t="shared" si="518"/>
        <v/>
      </c>
      <c r="GZ126" s="39" t="str">
        <f t="shared" si="519"/>
        <v/>
      </c>
      <c r="HA126" s="39" t="str">
        <f t="shared" si="520"/>
        <v/>
      </c>
      <c r="HB126" s="39" t="str">
        <f t="shared" si="521"/>
        <v/>
      </c>
      <c r="HC126" s="39" t="str">
        <f t="shared" si="522"/>
        <v/>
      </c>
      <c r="HD126" s="39" t="str">
        <f t="shared" si="523"/>
        <v/>
      </c>
      <c r="HE126" s="39" t="str">
        <f t="shared" si="524"/>
        <v/>
      </c>
      <c r="HF126" s="39" t="str">
        <f t="shared" si="525"/>
        <v/>
      </c>
      <c r="HG126" s="39" t="str">
        <f t="shared" si="526"/>
        <v/>
      </c>
      <c r="HH126" s="39" t="str">
        <f t="shared" si="527"/>
        <v/>
      </c>
      <c r="HI126" s="39" t="str">
        <f t="shared" si="528"/>
        <v/>
      </c>
      <c r="HJ126" s="39" t="str">
        <f t="shared" si="529"/>
        <v/>
      </c>
      <c r="HK126" s="39" t="str">
        <f t="shared" si="530"/>
        <v/>
      </c>
      <c r="HL126" s="39" t="str">
        <f t="shared" si="531"/>
        <v/>
      </c>
      <c r="HM126" s="39" t="str">
        <f t="shared" si="532"/>
        <v/>
      </c>
      <c r="HN126" s="39" t="str">
        <f t="shared" si="533"/>
        <v/>
      </c>
      <c r="HO126" s="39" t="str">
        <f t="shared" si="534"/>
        <v/>
      </c>
      <c r="HP126" s="39" t="str">
        <f t="shared" si="535"/>
        <v/>
      </c>
      <c r="HQ126" s="39" t="str">
        <f t="shared" si="536"/>
        <v/>
      </c>
      <c r="HR126" s="39" t="str">
        <f t="shared" si="537"/>
        <v/>
      </c>
      <c r="HS126" s="39" t="str">
        <f t="shared" si="538"/>
        <v/>
      </c>
      <c r="HT126" s="39" t="str">
        <f t="shared" si="538"/>
        <v/>
      </c>
      <c r="HU126" s="43" t="str">
        <f t="shared" si="445"/>
        <v>-</v>
      </c>
      <c r="HV126" s="44" t="str">
        <f t="shared" si="446"/>
        <v/>
      </c>
      <c r="HW126" s="45" t="str">
        <f t="shared" si="447"/>
        <v/>
      </c>
      <c r="HX126" s="96"/>
      <c r="HY126" s="96"/>
      <c r="HZ126" s="96"/>
      <c r="IA126" s="95"/>
      <c r="IB126" s="96"/>
      <c r="IC126" s="97"/>
      <c r="ID126" s="95"/>
      <c r="IE126" s="96"/>
      <c r="IF126" s="97"/>
      <c r="IH126" s="66">
        <v>126</v>
      </c>
      <c r="II126" s="66" t="e">
        <f t="shared" ca="1" si="436"/>
        <v>#N/A</v>
      </c>
      <c r="IJ126" s="66" t="e">
        <f t="shared" ca="1" si="437"/>
        <v>#N/A</v>
      </c>
      <c r="IK126" s="66" t="e">
        <f t="shared" ca="1" si="438"/>
        <v>#N/A</v>
      </c>
      <c r="IL126" s="66" t="e">
        <f t="shared" ca="1" si="439"/>
        <v>#N/A</v>
      </c>
      <c r="IN126" s="74" t="e">
        <f t="shared" ca="1" si="440"/>
        <v>#N/A</v>
      </c>
      <c r="IO126" s="75" t="e">
        <f t="shared" ca="1" si="441"/>
        <v>#N/A</v>
      </c>
      <c r="IP126" s="75" t="e">
        <f t="shared" ca="1" si="442"/>
        <v>#N/A</v>
      </c>
      <c r="IQ126" s="74" t="e">
        <f t="shared" ca="1" si="443"/>
        <v>#N/A</v>
      </c>
      <c r="IR126" s="74" t="e">
        <f t="shared" ca="1" si="444"/>
        <v>#N/A</v>
      </c>
    </row>
    <row r="127" spans="1:252" x14ac:dyDescent="0.35">
      <c r="A127" s="28">
        <v>0</v>
      </c>
      <c r="B127" s="28">
        <v>0</v>
      </c>
      <c r="C127" s="28">
        <v>1</v>
      </c>
      <c r="D127" s="1"/>
      <c r="E127" s="3"/>
      <c r="F127" t="s">
        <v>392</v>
      </c>
      <c r="G127" s="5" t="s">
        <v>540</v>
      </c>
      <c r="H127" s="4" t="s">
        <v>557</v>
      </c>
      <c r="I127" t="s">
        <v>532</v>
      </c>
      <c r="J127" s="276" t="s">
        <v>805</v>
      </c>
      <c r="K127" s="21" t="s">
        <v>805</v>
      </c>
      <c r="L127" s="21" t="s">
        <v>805</v>
      </c>
      <c r="M127" s="21" t="s">
        <v>805</v>
      </c>
      <c r="N127" s="21" t="s">
        <v>805</v>
      </c>
      <c r="O127" s="21" t="s">
        <v>805</v>
      </c>
      <c r="P127" s="21" t="s">
        <v>805</v>
      </c>
      <c r="Q127" s="21" t="s">
        <v>805</v>
      </c>
      <c r="R127" s="21" t="s">
        <v>805</v>
      </c>
      <c r="S127" s="21" t="s">
        <v>805</v>
      </c>
      <c r="T127" s="21" t="s">
        <v>805</v>
      </c>
      <c r="U127" s="21" t="s">
        <v>805</v>
      </c>
      <c r="V127" s="21" t="s">
        <v>805</v>
      </c>
      <c r="W127" s="21" t="s">
        <v>805</v>
      </c>
      <c r="X127" s="21" t="s">
        <v>805</v>
      </c>
      <c r="Y127" s="21" t="s">
        <v>805</v>
      </c>
      <c r="Z127" s="21" t="s">
        <v>805</v>
      </c>
      <c r="AA127" s="21" t="s">
        <v>805</v>
      </c>
      <c r="AB127" s="21" t="s">
        <v>805</v>
      </c>
      <c r="AC127" s="21" t="s">
        <v>805</v>
      </c>
      <c r="AD127" s="21" t="s">
        <v>805</v>
      </c>
      <c r="AE127" s="21" t="s">
        <v>805</v>
      </c>
      <c r="AF127" s="21" t="s">
        <v>805</v>
      </c>
      <c r="AG127" s="21" t="s">
        <v>805</v>
      </c>
      <c r="AH127" s="21" t="s">
        <v>805</v>
      </c>
      <c r="AI127" s="21" t="s">
        <v>805</v>
      </c>
      <c r="AJ127" s="21" t="s">
        <v>805</v>
      </c>
      <c r="AK127" s="21" t="s">
        <v>805</v>
      </c>
      <c r="AL127" s="21" t="s">
        <v>805</v>
      </c>
      <c r="AM127" s="21" t="s">
        <v>805</v>
      </c>
      <c r="AN127" s="21" t="s">
        <v>805</v>
      </c>
      <c r="AO127" s="21" t="s">
        <v>805</v>
      </c>
      <c r="AP127" s="21" t="s">
        <v>805</v>
      </c>
      <c r="AQ127" s="21" t="s">
        <v>805</v>
      </c>
      <c r="AR127" s="21" t="s">
        <v>805</v>
      </c>
      <c r="AS127" s="21" t="s">
        <v>805</v>
      </c>
      <c r="AT127" s="21" t="s">
        <v>805</v>
      </c>
      <c r="AU127" s="21" t="s">
        <v>805</v>
      </c>
      <c r="AV127" s="21" t="s">
        <v>805</v>
      </c>
      <c r="AW127" s="21" t="s">
        <v>805</v>
      </c>
      <c r="AX127" s="21" t="s">
        <v>805</v>
      </c>
      <c r="AY127" s="21" t="s">
        <v>805</v>
      </c>
      <c r="AZ127" s="21" t="s">
        <v>805</v>
      </c>
      <c r="BA127" s="21" t="s">
        <v>805</v>
      </c>
      <c r="BB127" s="21" t="s">
        <v>805</v>
      </c>
      <c r="BC127" s="21" t="s">
        <v>805</v>
      </c>
      <c r="BD127" s="21" t="s">
        <v>805</v>
      </c>
      <c r="BE127" s="21" t="s">
        <v>805</v>
      </c>
      <c r="BF127" s="21" t="s">
        <v>805</v>
      </c>
      <c r="BG127" s="21" t="s">
        <v>805</v>
      </c>
      <c r="BH127" s="21" t="s">
        <v>805</v>
      </c>
      <c r="BI127" s="21" t="s">
        <v>805</v>
      </c>
      <c r="BJ127" s="21" t="s">
        <v>805</v>
      </c>
      <c r="BK127" s="21" t="s">
        <v>805</v>
      </c>
      <c r="BL127" s="21" t="s">
        <v>805</v>
      </c>
      <c r="BM127" s="21" t="s">
        <v>805</v>
      </c>
      <c r="BN127" s="21" t="s">
        <v>805</v>
      </c>
      <c r="BO127" s="21" t="s">
        <v>805</v>
      </c>
      <c r="BP127" s="21" t="s">
        <v>805</v>
      </c>
      <c r="BQ127" s="21" t="s">
        <v>805</v>
      </c>
      <c r="BR127" s="21" t="s">
        <v>805</v>
      </c>
      <c r="BS127" s="21" t="s">
        <v>805</v>
      </c>
      <c r="BT127" s="21" t="s">
        <v>805</v>
      </c>
      <c r="BU127" s="21" t="s">
        <v>805</v>
      </c>
      <c r="BV127" s="21" t="s">
        <v>805</v>
      </c>
      <c r="BW127" s="21" t="s">
        <v>805</v>
      </c>
      <c r="BX127" s="21" t="s">
        <v>805</v>
      </c>
      <c r="BY127" s="21" t="s">
        <v>805</v>
      </c>
      <c r="BZ127" s="21" t="s">
        <v>805</v>
      </c>
      <c r="CA127" s="21" t="s">
        <v>805</v>
      </c>
      <c r="CB127" s="21" t="s">
        <v>805</v>
      </c>
      <c r="CC127" s="21" t="s">
        <v>805</v>
      </c>
      <c r="CD127" s="21" t="s">
        <v>805</v>
      </c>
      <c r="CE127" s="21" t="s">
        <v>805</v>
      </c>
      <c r="CF127" s="21" t="s">
        <v>805</v>
      </c>
      <c r="CG127" s="21" t="s">
        <v>805</v>
      </c>
      <c r="CH127" s="21" t="s">
        <v>805</v>
      </c>
      <c r="CI127" s="21" t="s">
        <v>805</v>
      </c>
      <c r="CJ127" s="21" t="s">
        <v>805</v>
      </c>
      <c r="CK127" s="21" t="s">
        <v>805</v>
      </c>
      <c r="CL127" s="21" t="s">
        <v>805</v>
      </c>
      <c r="CM127" s="21" t="s">
        <v>805</v>
      </c>
      <c r="CN127" s="21" t="s">
        <v>805</v>
      </c>
      <c r="CO127" s="21" t="s">
        <v>805</v>
      </c>
      <c r="CP127" s="21" t="s">
        <v>805</v>
      </c>
      <c r="CQ127" s="21" t="s">
        <v>805</v>
      </c>
      <c r="CR127" s="21" t="s">
        <v>805</v>
      </c>
      <c r="CS127" s="21" t="s">
        <v>805</v>
      </c>
      <c r="CT127" s="21" t="s">
        <v>805</v>
      </c>
      <c r="CU127" s="21" t="s">
        <v>805</v>
      </c>
      <c r="CV127" s="21" t="s">
        <v>805</v>
      </c>
      <c r="CW127" s="21" t="s">
        <v>805</v>
      </c>
      <c r="CX127" s="21" t="s">
        <v>805</v>
      </c>
      <c r="CY127" s="21" t="s">
        <v>805</v>
      </c>
      <c r="CZ127" s="21" t="s">
        <v>805</v>
      </c>
      <c r="DA127" s="21" t="s">
        <v>805</v>
      </c>
      <c r="DB127" s="21" t="s">
        <v>805</v>
      </c>
      <c r="DC127" s="21" t="s">
        <v>805</v>
      </c>
      <c r="DD127" s="21" t="s">
        <v>805</v>
      </c>
      <c r="DE127" s="21" t="s">
        <v>805</v>
      </c>
      <c r="DF127" s="21" t="s">
        <v>805</v>
      </c>
      <c r="DG127" s="28">
        <f>'KPI Count-SHARE'!J116</f>
        <v>0</v>
      </c>
      <c r="DH127" s="108"/>
      <c r="DI127" s="108"/>
      <c r="DJ127" s="108"/>
      <c r="DK127" s="28">
        <f>'KPI Count-SHARE'!K116</f>
        <v>0</v>
      </c>
      <c r="DL127" s="58"/>
      <c r="DM127" s="58"/>
      <c r="DN127" s="58"/>
      <c r="DO127" s="28">
        <f>'KPI Count-SHARE'!L116</f>
        <v>0</v>
      </c>
      <c r="DP127" s="58"/>
      <c r="DQ127" s="58"/>
      <c r="DR127" s="58"/>
      <c r="DS127" s="28">
        <f>'KPI Count-SHARE'!M116</f>
        <v>0</v>
      </c>
      <c r="DT127" s="58"/>
      <c r="DU127" s="58"/>
      <c r="DV127" s="58"/>
      <c r="DW127" t="s">
        <v>557</v>
      </c>
      <c r="DX127" s="39" t="str">
        <f t="shared" si="425"/>
        <v/>
      </c>
      <c r="DY127" s="39" t="str">
        <f t="shared" si="426"/>
        <v/>
      </c>
      <c r="DZ127" s="39" t="str">
        <f t="shared" si="427"/>
        <v/>
      </c>
      <c r="EA127" s="39" t="str">
        <f t="shared" si="428"/>
        <v/>
      </c>
      <c r="EB127" s="39" t="str">
        <f t="shared" si="429"/>
        <v/>
      </c>
      <c r="EC127" s="39" t="str">
        <f t="shared" si="430"/>
        <v/>
      </c>
      <c r="ED127" s="39" t="str">
        <f t="shared" si="431"/>
        <v/>
      </c>
      <c r="EE127" s="39" t="str">
        <f t="shared" si="432"/>
        <v/>
      </c>
      <c r="EF127" s="39" t="str">
        <f t="shared" si="433"/>
        <v/>
      </c>
      <c r="EG127" s="39" t="str">
        <f t="shared" si="434"/>
        <v/>
      </c>
      <c r="EH127" s="39" t="str">
        <f t="shared" si="435"/>
        <v/>
      </c>
      <c r="EI127" s="39" t="str">
        <f t="shared" si="448"/>
        <v/>
      </c>
      <c r="EJ127" s="39" t="str">
        <f t="shared" si="449"/>
        <v/>
      </c>
      <c r="EK127" s="39" t="str">
        <f t="shared" si="450"/>
        <v/>
      </c>
      <c r="EL127" s="39" t="str">
        <f t="shared" si="451"/>
        <v/>
      </c>
      <c r="EM127" s="39" t="str">
        <f t="shared" si="452"/>
        <v/>
      </c>
      <c r="EN127" s="39" t="str">
        <f t="shared" si="453"/>
        <v/>
      </c>
      <c r="EO127" s="39" t="str">
        <f t="shared" si="454"/>
        <v/>
      </c>
      <c r="EP127" s="39" t="str">
        <f t="shared" si="455"/>
        <v/>
      </c>
      <c r="EQ127" s="39" t="str">
        <f t="shared" si="456"/>
        <v/>
      </c>
      <c r="ER127" s="39" t="str">
        <f t="shared" si="457"/>
        <v/>
      </c>
      <c r="ES127" s="39" t="str">
        <f t="shared" si="458"/>
        <v/>
      </c>
      <c r="ET127" s="39" t="str">
        <f t="shared" si="459"/>
        <v/>
      </c>
      <c r="EU127" s="39" t="str">
        <f t="shared" si="462"/>
        <v/>
      </c>
      <c r="EV127" s="39" t="str">
        <f t="shared" si="463"/>
        <v/>
      </c>
      <c r="EW127" s="39" t="str">
        <f t="shared" si="464"/>
        <v/>
      </c>
      <c r="EX127" s="39" t="str">
        <f t="shared" si="465"/>
        <v/>
      </c>
      <c r="EY127" s="39" t="str">
        <f t="shared" si="466"/>
        <v/>
      </c>
      <c r="EZ127" s="39" t="str">
        <f t="shared" si="467"/>
        <v/>
      </c>
      <c r="FA127" s="39" t="str">
        <f t="shared" si="468"/>
        <v/>
      </c>
      <c r="FB127" s="39" t="str">
        <f t="shared" si="469"/>
        <v/>
      </c>
      <c r="FC127" s="39" t="str">
        <f t="shared" si="470"/>
        <v/>
      </c>
      <c r="FD127" s="39" t="str">
        <f t="shared" si="471"/>
        <v/>
      </c>
      <c r="FE127" s="39" t="str">
        <f t="shared" si="472"/>
        <v/>
      </c>
      <c r="FF127" s="39" t="str">
        <f t="shared" si="473"/>
        <v/>
      </c>
      <c r="FG127" s="39" t="str">
        <f t="shared" si="474"/>
        <v/>
      </c>
      <c r="FH127" s="39" t="str">
        <f t="shared" si="475"/>
        <v/>
      </c>
      <c r="FI127" s="39" t="str">
        <f t="shared" si="476"/>
        <v/>
      </c>
      <c r="FJ127" s="39" t="str">
        <f t="shared" si="477"/>
        <v/>
      </c>
      <c r="FK127" s="39" t="str">
        <f t="shared" si="478"/>
        <v/>
      </c>
      <c r="FL127" s="39" t="str">
        <f t="shared" si="479"/>
        <v/>
      </c>
      <c r="FM127" s="39" t="str">
        <f t="shared" si="480"/>
        <v/>
      </c>
      <c r="FN127" s="39" t="str">
        <f t="shared" si="481"/>
        <v/>
      </c>
      <c r="FO127" s="39" t="str">
        <f t="shared" si="482"/>
        <v/>
      </c>
      <c r="FP127" s="39" t="str">
        <f t="shared" si="483"/>
        <v/>
      </c>
      <c r="FQ127" s="39" t="str">
        <f t="shared" si="484"/>
        <v/>
      </c>
      <c r="FR127" s="39" t="str">
        <f t="shared" si="485"/>
        <v/>
      </c>
      <c r="FS127" s="39" t="str">
        <f t="shared" si="486"/>
        <v/>
      </c>
      <c r="FT127" s="39" t="str">
        <f t="shared" si="487"/>
        <v/>
      </c>
      <c r="FU127" s="39" t="str">
        <f t="shared" si="488"/>
        <v/>
      </c>
      <c r="FV127" s="39" t="str">
        <f t="shared" si="489"/>
        <v/>
      </c>
      <c r="FW127" s="39" t="str">
        <f t="shared" si="490"/>
        <v/>
      </c>
      <c r="FX127" s="39" t="str">
        <f t="shared" si="491"/>
        <v/>
      </c>
      <c r="FY127" s="39" t="str">
        <f t="shared" si="492"/>
        <v/>
      </c>
      <c r="FZ127" s="39" t="str">
        <f t="shared" si="493"/>
        <v/>
      </c>
      <c r="GA127" s="39" t="str">
        <f t="shared" si="494"/>
        <v/>
      </c>
      <c r="GB127" s="39" t="str">
        <f t="shared" si="495"/>
        <v/>
      </c>
      <c r="GC127" s="39" t="str">
        <f t="shared" si="496"/>
        <v/>
      </c>
      <c r="GD127" s="39" t="str">
        <f t="shared" si="497"/>
        <v/>
      </c>
      <c r="GE127" s="39" t="str">
        <f t="shared" si="498"/>
        <v/>
      </c>
      <c r="GF127" s="39" t="str">
        <f t="shared" si="499"/>
        <v/>
      </c>
      <c r="GG127" s="39" t="str">
        <f t="shared" si="500"/>
        <v/>
      </c>
      <c r="GH127" s="39" t="str">
        <f t="shared" si="501"/>
        <v/>
      </c>
      <c r="GI127" s="39" t="str">
        <f t="shared" si="502"/>
        <v/>
      </c>
      <c r="GJ127" s="39" t="str">
        <f t="shared" si="503"/>
        <v/>
      </c>
      <c r="GK127" s="39" t="str">
        <f t="shared" si="504"/>
        <v/>
      </c>
      <c r="GL127" s="39" t="str">
        <f t="shared" si="505"/>
        <v/>
      </c>
      <c r="GM127" s="39" t="str">
        <f t="shared" si="506"/>
        <v/>
      </c>
      <c r="GN127" s="39" t="str">
        <f t="shared" si="507"/>
        <v/>
      </c>
      <c r="GO127" s="39" t="str">
        <f t="shared" si="508"/>
        <v/>
      </c>
      <c r="GP127" s="39" t="str">
        <f t="shared" si="509"/>
        <v/>
      </c>
      <c r="GQ127" s="39" t="str">
        <f t="shared" si="510"/>
        <v/>
      </c>
      <c r="GR127" s="39" t="str">
        <f t="shared" si="511"/>
        <v/>
      </c>
      <c r="GS127" s="39" t="str">
        <f t="shared" si="512"/>
        <v/>
      </c>
      <c r="GT127" s="39" t="str">
        <f t="shared" si="513"/>
        <v/>
      </c>
      <c r="GU127" s="39" t="str">
        <f t="shared" si="514"/>
        <v/>
      </c>
      <c r="GV127" s="39" t="str">
        <f t="shared" si="515"/>
        <v/>
      </c>
      <c r="GW127" s="39" t="str">
        <f t="shared" si="516"/>
        <v/>
      </c>
      <c r="GX127" s="39" t="str">
        <f t="shared" si="517"/>
        <v/>
      </c>
      <c r="GY127" s="39" t="str">
        <f t="shared" si="518"/>
        <v/>
      </c>
      <c r="GZ127" s="39" t="str">
        <f t="shared" si="519"/>
        <v/>
      </c>
      <c r="HA127" s="39" t="str">
        <f t="shared" si="520"/>
        <v/>
      </c>
      <c r="HB127" s="39" t="str">
        <f t="shared" si="521"/>
        <v/>
      </c>
      <c r="HC127" s="39" t="str">
        <f t="shared" si="522"/>
        <v/>
      </c>
      <c r="HD127" s="39" t="str">
        <f t="shared" si="523"/>
        <v/>
      </c>
      <c r="HE127" s="39" t="str">
        <f t="shared" si="524"/>
        <v/>
      </c>
      <c r="HF127" s="39" t="str">
        <f t="shared" si="525"/>
        <v/>
      </c>
      <c r="HG127" s="39" t="str">
        <f t="shared" si="526"/>
        <v/>
      </c>
      <c r="HH127" s="39" t="str">
        <f t="shared" si="527"/>
        <v/>
      </c>
      <c r="HI127" s="39" t="str">
        <f t="shared" si="528"/>
        <v/>
      </c>
      <c r="HJ127" s="39" t="str">
        <f t="shared" si="529"/>
        <v/>
      </c>
      <c r="HK127" s="39" t="str">
        <f t="shared" si="530"/>
        <v/>
      </c>
      <c r="HL127" s="39" t="str">
        <f t="shared" si="531"/>
        <v/>
      </c>
      <c r="HM127" s="39" t="str">
        <f t="shared" si="532"/>
        <v/>
      </c>
      <c r="HN127" s="39" t="str">
        <f t="shared" si="533"/>
        <v/>
      </c>
      <c r="HO127" s="39" t="str">
        <f t="shared" si="534"/>
        <v/>
      </c>
      <c r="HP127" s="39" t="str">
        <f t="shared" si="535"/>
        <v/>
      </c>
      <c r="HQ127" s="39" t="str">
        <f t="shared" si="536"/>
        <v/>
      </c>
      <c r="HR127" s="39" t="str">
        <f t="shared" si="537"/>
        <v/>
      </c>
      <c r="HS127" s="39" t="str">
        <f t="shared" si="538"/>
        <v/>
      </c>
      <c r="HT127" s="39" t="str">
        <f t="shared" si="538"/>
        <v/>
      </c>
      <c r="HU127" s="43" t="str">
        <f t="shared" si="445"/>
        <v>-</v>
      </c>
      <c r="HV127" s="44" t="str">
        <f t="shared" si="446"/>
        <v/>
      </c>
      <c r="HW127" s="45" t="str">
        <f t="shared" si="447"/>
        <v/>
      </c>
      <c r="HX127" s="96"/>
      <c r="HY127" s="96"/>
      <c r="HZ127" s="96"/>
      <c r="IA127" s="95"/>
      <c r="IB127" s="96"/>
      <c r="IC127" s="97"/>
      <c r="ID127" s="95"/>
      <c r="IE127" s="96"/>
      <c r="IF127" s="97"/>
      <c r="IH127" s="66">
        <v>127</v>
      </c>
      <c r="II127" s="66" t="e">
        <f t="shared" ca="1" si="436"/>
        <v>#N/A</v>
      </c>
      <c r="IJ127" s="66" t="e">
        <f t="shared" ca="1" si="437"/>
        <v>#N/A</v>
      </c>
      <c r="IK127" s="66" t="e">
        <f t="shared" ca="1" si="438"/>
        <v>#N/A</v>
      </c>
      <c r="IL127" s="66" t="e">
        <f t="shared" ca="1" si="439"/>
        <v>#N/A</v>
      </c>
      <c r="IN127" s="74" t="e">
        <f t="shared" ca="1" si="440"/>
        <v>#N/A</v>
      </c>
      <c r="IO127" s="75" t="e">
        <f t="shared" ca="1" si="441"/>
        <v>#N/A</v>
      </c>
      <c r="IP127" s="75" t="e">
        <f t="shared" ca="1" si="442"/>
        <v>#N/A</v>
      </c>
      <c r="IQ127" s="74" t="e">
        <f t="shared" ca="1" si="443"/>
        <v>#N/A</v>
      </c>
      <c r="IR127" s="74" t="e">
        <f t="shared" ca="1" si="444"/>
        <v>#N/A</v>
      </c>
    </row>
    <row r="128" spans="1:252" x14ac:dyDescent="0.35">
      <c r="A128" s="28">
        <v>1</v>
      </c>
      <c r="B128" s="28">
        <v>1</v>
      </c>
      <c r="C128" s="28">
        <v>1</v>
      </c>
      <c r="D128" s="1"/>
      <c r="E128" s="3"/>
      <c r="F128" t="s">
        <v>393</v>
      </c>
      <c r="G128" s="5" t="s">
        <v>530</v>
      </c>
      <c r="H128" t="s">
        <v>558</v>
      </c>
      <c r="I128" t="s">
        <v>532</v>
      </c>
      <c r="J128" s="276" t="s">
        <v>805</v>
      </c>
      <c r="K128" s="21" t="s">
        <v>805</v>
      </c>
      <c r="L128" s="21" t="s">
        <v>805</v>
      </c>
      <c r="M128" s="21" t="s">
        <v>805</v>
      </c>
      <c r="N128" s="21" t="s">
        <v>805</v>
      </c>
      <c r="O128" s="21" t="s">
        <v>805</v>
      </c>
      <c r="P128" s="21" t="s">
        <v>805</v>
      </c>
      <c r="Q128" s="21" t="s">
        <v>805</v>
      </c>
      <c r="R128" s="21" t="s">
        <v>805</v>
      </c>
      <c r="S128" s="21" t="s">
        <v>805</v>
      </c>
      <c r="T128" s="21" t="s">
        <v>805</v>
      </c>
      <c r="U128" s="21" t="s">
        <v>805</v>
      </c>
      <c r="V128" s="21" t="s">
        <v>805</v>
      </c>
      <c r="W128" s="21" t="s">
        <v>805</v>
      </c>
      <c r="X128" s="21" t="s">
        <v>805</v>
      </c>
      <c r="Y128" s="21" t="s">
        <v>805</v>
      </c>
      <c r="Z128" s="21" t="s">
        <v>805</v>
      </c>
      <c r="AA128" s="21" t="s">
        <v>805</v>
      </c>
      <c r="AB128" s="21" t="s">
        <v>805</v>
      </c>
      <c r="AC128" s="21" t="s">
        <v>805</v>
      </c>
      <c r="AD128" s="21" t="s">
        <v>805</v>
      </c>
      <c r="AE128" s="21" t="s">
        <v>805</v>
      </c>
      <c r="AF128" s="21" t="s">
        <v>805</v>
      </c>
      <c r="AG128" s="21" t="s">
        <v>805</v>
      </c>
      <c r="AH128" s="21" t="s">
        <v>805</v>
      </c>
      <c r="AI128" s="21" t="s">
        <v>805</v>
      </c>
      <c r="AJ128" s="21" t="s">
        <v>805</v>
      </c>
      <c r="AK128" s="21" t="s">
        <v>805</v>
      </c>
      <c r="AL128" s="21" t="s">
        <v>805</v>
      </c>
      <c r="AM128" s="21" t="s">
        <v>805</v>
      </c>
      <c r="AN128" s="21" t="s">
        <v>805</v>
      </c>
      <c r="AO128" s="21" t="s">
        <v>805</v>
      </c>
      <c r="AP128" s="21" t="s">
        <v>805</v>
      </c>
      <c r="AQ128" s="21" t="s">
        <v>805</v>
      </c>
      <c r="AR128" s="21" t="s">
        <v>805</v>
      </c>
      <c r="AS128" s="21" t="s">
        <v>805</v>
      </c>
      <c r="AT128" s="21" t="s">
        <v>805</v>
      </c>
      <c r="AU128" s="21" t="s">
        <v>805</v>
      </c>
      <c r="AV128" s="21" t="s">
        <v>805</v>
      </c>
      <c r="AW128" s="21" t="s">
        <v>805</v>
      </c>
      <c r="AX128" s="21" t="s">
        <v>805</v>
      </c>
      <c r="AY128" s="21" t="s">
        <v>805</v>
      </c>
      <c r="AZ128" s="21" t="s">
        <v>805</v>
      </c>
      <c r="BA128" s="21" t="s">
        <v>805</v>
      </c>
      <c r="BB128" s="21" t="s">
        <v>805</v>
      </c>
      <c r="BC128" s="21" t="s">
        <v>805</v>
      </c>
      <c r="BD128" s="21" t="s">
        <v>805</v>
      </c>
      <c r="BE128" s="21" t="s">
        <v>805</v>
      </c>
      <c r="BF128" s="21" t="s">
        <v>805</v>
      </c>
      <c r="BG128" s="21" t="s">
        <v>805</v>
      </c>
      <c r="BH128" s="21" t="s">
        <v>805</v>
      </c>
      <c r="BI128" s="21" t="s">
        <v>805</v>
      </c>
      <c r="BJ128" s="21" t="s">
        <v>805</v>
      </c>
      <c r="BK128" s="21" t="s">
        <v>805</v>
      </c>
      <c r="BL128" s="21" t="s">
        <v>805</v>
      </c>
      <c r="BM128" s="21" t="s">
        <v>805</v>
      </c>
      <c r="BN128" s="21" t="s">
        <v>805</v>
      </c>
      <c r="BO128" s="21" t="s">
        <v>805</v>
      </c>
      <c r="BP128" s="21" t="s">
        <v>805</v>
      </c>
      <c r="BQ128" s="21" t="s">
        <v>805</v>
      </c>
      <c r="BR128" s="21" t="s">
        <v>805</v>
      </c>
      <c r="BS128" s="21" t="s">
        <v>805</v>
      </c>
      <c r="BT128" s="21" t="s">
        <v>805</v>
      </c>
      <c r="BU128" s="21" t="s">
        <v>805</v>
      </c>
      <c r="BV128" s="21" t="s">
        <v>805</v>
      </c>
      <c r="BW128" s="21" t="s">
        <v>805</v>
      </c>
      <c r="BX128" s="21" t="s">
        <v>805</v>
      </c>
      <c r="BY128" s="21" t="s">
        <v>805</v>
      </c>
      <c r="BZ128" s="21" t="s">
        <v>805</v>
      </c>
      <c r="CA128" s="21" t="s">
        <v>805</v>
      </c>
      <c r="CB128" s="21" t="s">
        <v>805</v>
      </c>
      <c r="CC128" s="21" t="s">
        <v>805</v>
      </c>
      <c r="CD128" s="21" t="s">
        <v>805</v>
      </c>
      <c r="CE128" s="21" t="s">
        <v>805</v>
      </c>
      <c r="CF128" s="21" t="s">
        <v>805</v>
      </c>
      <c r="CG128" s="21" t="s">
        <v>805</v>
      </c>
      <c r="CH128" s="21" t="s">
        <v>805</v>
      </c>
      <c r="CI128" s="21" t="s">
        <v>805</v>
      </c>
      <c r="CJ128" s="21" t="s">
        <v>805</v>
      </c>
      <c r="CK128" s="21" t="s">
        <v>805</v>
      </c>
      <c r="CL128" s="21" t="s">
        <v>805</v>
      </c>
      <c r="CM128" s="21" t="s">
        <v>805</v>
      </c>
      <c r="CN128" s="21" t="s">
        <v>805</v>
      </c>
      <c r="CO128" s="21" t="s">
        <v>805</v>
      </c>
      <c r="CP128" s="21" t="s">
        <v>805</v>
      </c>
      <c r="CQ128" s="21" t="s">
        <v>805</v>
      </c>
      <c r="CR128" s="21" t="s">
        <v>805</v>
      </c>
      <c r="CS128" s="21" t="s">
        <v>805</v>
      </c>
      <c r="CT128" s="21" t="s">
        <v>805</v>
      </c>
      <c r="CU128" s="21" t="s">
        <v>805</v>
      </c>
      <c r="CV128" s="21" t="s">
        <v>805</v>
      </c>
      <c r="CW128" s="21" t="s">
        <v>805</v>
      </c>
      <c r="CX128" s="21" t="s">
        <v>805</v>
      </c>
      <c r="CY128" s="21" t="s">
        <v>805</v>
      </c>
      <c r="CZ128" s="21" t="s">
        <v>805</v>
      </c>
      <c r="DA128" s="21" t="s">
        <v>805</v>
      </c>
      <c r="DB128" s="21" t="s">
        <v>805</v>
      </c>
      <c r="DC128" s="21" t="s">
        <v>805</v>
      </c>
      <c r="DD128" s="21" t="s">
        <v>805</v>
      </c>
      <c r="DE128" s="21" t="s">
        <v>805</v>
      </c>
      <c r="DF128" s="21" t="s">
        <v>805</v>
      </c>
      <c r="DG128" s="28">
        <f>'KPI Count-SHARE'!J117</f>
        <v>0</v>
      </c>
      <c r="DH128" s="109"/>
      <c r="DI128" s="109"/>
      <c r="DJ128" s="109"/>
      <c r="DK128" s="28">
        <f>'KPI Count-SHARE'!K117</f>
        <v>0</v>
      </c>
      <c r="DL128" s="61"/>
      <c r="DM128" s="61"/>
      <c r="DN128" s="61"/>
      <c r="DO128" s="28">
        <f>'KPI Count-SHARE'!L117</f>
        <v>0</v>
      </c>
      <c r="DP128" s="61"/>
      <c r="DQ128" s="61"/>
      <c r="DR128" s="61"/>
      <c r="DS128" s="28">
        <f>'KPI Count-SHARE'!M117</f>
        <v>0</v>
      </c>
      <c r="DT128" s="61"/>
      <c r="DU128" s="61"/>
      <c r="DV128" s="61"/>
      <c r="DW128" t="s">
        <v>558</v>
      </c>
      <c r="DX128" s="41" t="str">
        <f t="shared" si="425"/>
        <v/>
      </c>
      <c r="DY128" s="41" t="str">
        <f t="shared" si="426"/>
        <v/>
      </c>
      <c r="DZ128" s="41" t="str">
        <f t="shared" si="427"/>
        <v/>
      </c>
      <c r="EA128" s="41" t="str">
        <f t="shared" si="428"/>
        <v/>
      </c>
      <c r="EB128" s="41" t="str">
        <f t="shared" si="429"/>
        <v/>
      </c>
      <c r="EC128" s="41" t="str">
        <f t="shared" si="430"/>
        <v/>
      </c>
      <c r="ED128" s="41" t="str">
        <f t="shared" si="431"/>
        <v/>
      </c>
      <c r="EE128" s="41" t="str">
        <f t="shared" si="432"/>
        <v/>
      </c>
      <c r="EF128" s="41" t="str">
        <f t="shared" si="433"/>
        <v/>
      </c>
      <c r="EG128" s="41" t="str">
        <f t="shared" si="434"/>
        <v/>
      </c>
      <c r="EH128" s="41" t="str">
        <f t="shared" si="435"/>
        <v/>
      </c>
      <c r="EI128" s="41" t="str">
        <f t="shared" si="448"/>
        <v/>
      </c>
      <c r="EJ128" s="41" t="str">
        <f t="shared" si="449"/>
        <v/>
      </c>
      <c r="EK128" s="41" t="str">
        <f t="shared" si="450"/>
        <v/>
      </c>
      <c r="EL128" s="41" t="str">
        <f t="shared" si="451"/>
        <v/>
      </c>
      <c r="EM128" s="41" t="str">
        <f t="shared" si="452"/>
        <v/>
      </c>
      <c r="EN128" s="41" t="str">
        <f t="shared" si="453"/>
        <v/>
      </c>
      <c r="EO128" s="41" t="str">
        <f t="shared" si="454"/>
        <v/>
      </c>
      <c r="EP128" s="41" t="str">
        <f t="shared" si="455"/>
        <v/>
      </c>
      <c r="EQ128" s="41" t="str">
        <f t="shared" si="456"/>
        <v/>
      </c>
      <c r="ER128" s="41" t="str">
        <f t="shared" si="457"/>
        <v/>
      </c>
      <c r="ES128" s="41" t="str">
        <f t="shared" si="458"/>
        <v/>
      </c>
      <c r="ET128" s="41" t="str">
        <f t="shared" si="459"/>
        <v/>
      </c>
      <c r="EU128" s="41" t="str">
        <f t="shared" si="462"/>
        <v/>
      </c>
      <c r="EV128" s="41" t="str">
        <f t="shared" si="463"/>
        <v/>
      </c>
      <c r="EW128" s="41" t="str">
        <f t="shared" si="464"/>
        <v/>
      </c>
      <c r="EX128" s="41" t="str">
        <f t="shared" si="465"/>
        <v/>
      </c>
      <c r="EY128" s="41" t="str">
        <f t="shared" si="466"/>
        <v/>
      </c>
      <c r="EZ128" s="41" t="str">
        <f t="shared" si="467"/>
        <v/>
      </c>
      <c r="FA128" s="41" t="str">
        <f t="shared" si="468"/>
        <v/>
      </c>
      <c r="FB128" s="41" t="str">
        <f t="shared" si="469"/>
        <v/>
      </c>
      <c r="FC128" s="41" t="str">
        <f t="shared" si="470"/>
        <v/>
      </c>
      <c r="FD128" s="41" t="str">
        <f t="shared" si="471"/>
        <v/>
      </c>
      <c r="FE128" s="41" t="str">
        <f t="shared" si="472"/>
        <v/>
      </c>
      <c r="FF128" s="41" t="str">
        <f t="shared" si="473"/>
        <v/>
      </c>
      <c r="FG128" s="41" t="str">
        <f t="shared" si="474"/>
        <v/>
      </c>
      <c r="FH128" s="41" t="str">
        <f t="shared" si="475"/>
        <v/>
      </c>
      <c r="FI128" s="41" t="str">
        <f t="shared" si="476"/>
        <v/>
      </c>
      <c r="FJ128" s="41" t="str">
        <f t="shared" si="477"/>
        <v/>
      </c>
      <c r="FK128" s="41" t="str">
        <f t="shared" si="478"/>
        <v/>
      </c>
      <c r="FL128" s="41" t="str">
        <f t="shared" si="479"/>
        <v/>
      </c>
      <c r="FM128" s="41" t="str">
        <f t="shared" si="480"/>
        <v/>
      </c>
      <c r="FN128" s="41" t="str">
        <f t="shared" si="481"/>
        <v/>
      </c>
      <c r="FO128" s="41" t="str">
        <f t="shared" si="482"/>
        <v/>
      </c>
      <c r="FP128" s="41" t="str">
        <f t="shared" si="483"/>
        <v/>
      </c>
      <c r="FQ128" s="41" t="str">
        <f t="shared" si="484"/>
        <v/>
      </c>
      <c r="FR128" s="41" t="str">
        <f t="shared" si="485"/>
        <v/>
      </c>
      <c r="FS128" s="41" t="str">
        <f t="shared" si="486"/>
        <v/>
      </c>
      <c r="FT128" s="41" t="str">
        <f t="shared" si="487"/>
        <v/>
      </c>
      <c r="FU128" s="41" t="str">
        <f t="shared" si="488"/>
        <v/>
      </c>
      <c r="FV128" s="41" t="str">
        <f t="shared" si="489"/>
        <v/>
      </c>
      <c r="FW128" s="41" t="str">
        <f t="shared" si="490"/>
        <v/>
      </c>
      <c r="FX128" s="41" t="str">
        <f t="shared" si="491"/>
        <v/>
      </c>
      <c r="FY128" s="41" t="str">
        <f t="shared" si="492"/>
        <v/>
      </c>
      <c r="FZ128" s="41" t="str">
        <f t="shared" si="493"/>
        <v/>
      </c>
      <c r="GA128" s="41" t="str">
        <f t="shared" si="494"/>
        <v/>
      </c>
      <c r="GB128" s="41" t="str">
        <f t="shared" si="495"/>
        <v/>
      </c>
      <c r="GC128" s="41" t="str">
        <f t="shared" si="496"/>
        <v/>
      </c>
      <c r="GD128" s="41" t="str">
        <f t="shared" si="497"/>
        <v/>
      </c>
      <c r="GE128" s="41" t="str">
        <f t="shared" si="498"/>
        <v/>
      </c>
      <c r="GF128" s="41" t="str">
        <f t="shared" si="499"/>
        <v/>
      </c>
      <c r="GG128" s="41" t="str">
        <f t="shared" si="500"/>
        <v/>
      </c>
      <c r="GH128" s="41" t="str">
        <f t="shared" si="501"/>
        <v/>
      </c>
      <c r="GI128" s="41" t="str">
        <f t="shared" si="502"/>
        <v/>
      </c>
      <c r="GJ128" s="41" t="str">
        <f t="shared" si="503"/>
        <v/>
      </c>
      <c r="GK128" s="41" t="str">
        <f t="shared" si="504"/>
        <v/>
      </c>
      <c r="GL128" s="41" t="str">
        <f t="shared" si="505"/>
        <v/>
      </c>
      <c r="GM128" s="41" t="str">
        <f t="shared" si="506"/>
        <v/>
      </c>
      <c r="GN128" s="41" t="str">
        <f t="shared" si="507"/>
        <v/>
      </c>
      <c r="GO128" s="41" t="str">
        <f t="shared" si="508"/>
        <v/>
      </c>
      <c r="GP128" s="41" t="str">
        <f t="shared" si="509"/>
        <v/>
      </c>
      <c r="GQ128" s="41" t="str">
        <f t="shared" si="510"/>
        <v/>
      </c>
      <c r="GR128" s="41" t="str">
        <f t="shared" si="511"/>
        <v/>
      </c>
      <c r="GS128" s="41" t="str">
        <f t="shared" si="512"/>
        <v/>
      </c>
      <c r="GT128" s="41" t="str">
        <f t="shared" si="513"/>
        <v/>
      </c>
      <c r="GU128" s="41" t="str">
        <f t="shared" si="514"/>
        <v/>
      </c>
      <c r="GV128" s="41" t="str">
        <f t="shared" si="515"/>
        <v/>
      </c>
      <c r="GW128" s="41" t="str">
        <f t="shared" si="516"/>
        <v/>
      </c>
      <c r="GX128" s="41" t="str">
        <f t="shared" si="517"/>
        <v/>
      </c>
      <c r="GY128" s="41" t="str">
        <f t="shared" si="518"/>
        <v/>
      </c>
      <c r="GZ128" s="41" t="str">
        <f t="shared" si="519"/>
        <v/>
      </c>
      <c r="HA128" s="41" t="str">
        <f t="shared" si="520"/>
        <v/>
      </c>
      <c r="HB128" s="41" t="str">
        <f t="shared" si="521"/>
        <v/>
      </c>
      <c r="HC128" s="41" t="str">
        <f t="shared" si="522"/>
        <v/>
      </c>
      <c r="HD128" s="41" t="str">
        <f t="shared" si="523"/>
        <v/>
      </c>
      <c r="HE128" s="41" t="str">
        <f t="shared" si="524"/>
        <v/>
      </c>
      <c r="HF128" s="41" t="str">
        <f t="shared" si="525"/>
        <v/>
      </c>
      <c r="HG128" s="41" t="str">
        <f t="shared" si="526"/>
        <v/>
      </c>
      <c r="HH128" s="41" t="str">
        <f t="shared" si="527"/>
        <v/>
      </c>
      <c r="HI128" s="41" t="str">
        <f t="shared" si="528"/>
        <v/>
      </c>
      <c r="HJ128" s="41" t="str">
        <f t="shared" si="529"/>
        <v/>
      </c>
      <c r="HK128" s="41" t="str">
        <f t="shared" si="530"/>
        <v/>
      </c>
      <c r="HL128" s="41" t="str">
        <f t="shared" si="531"/>
        <v/>
      </c>
      <c r="HM128" s="41" t="str">
        <f t="shared" si="532"/>
        <v/>
      </c>
      <c r="HN128" s="41" t="str">
        <f t="shared" si="533"/>
        <v/>
      </c>
      <c r="HO128" s="41" t="str">
        <f t="shared" si="534"/>
        <v/>
      </c>
      <c r="HP128" s="41" t="str">
        <f t="shared" si="535"/>
        <v/>
      </c>
      <c r="HQ128" s="41" t="str">
        <f t="shared" si="536"/>
        <v/>
      </c>
      <c r="HR128" s="41" t="str">
        <f t="shared" si="537"/>
        <v/>
      </c>
      <c r="HS128" s="41" t="str">
        <f t="shared" si="538"/>
        <v/>
      </c>
      <c r="HT128" s="41" t="str">
        <f t="shared" si="538"/>
        <v/>
      </c>
      <c r="HU128" s="43" t="str">
        <f t="shared" si="445"/>
        <v>-</v>
      </c>
      <c r="HV128" s="44" t="str">
        <f t="shared" si="446"/>
        <v/>
      </c>
      <c r="HW128" s="45" t="str">
        <f t="shared" si="447"/>
        <v/>
      </c>
      <c r="HX128" s="96"/>
      <c r="HY128" s="96"/>
      <c r="HZ128" s="96"/>
      <c r="IA128" s="95"/>
      <c r="IB128" s="96"/>
      <c r="IC128" s="97"/>
      <c r="ID128" s="95"/>
      <c r="IE128" s="96"/>
      <c r="IF128" s="97"/>
      <c r="IH128" s="66">
        <v>128</v>
      </c>
      <c r="II128" s="66" t="e">
        <f t="shared" ca="1" si="436"/>
        <v>#N/A</v>
      </c>
      <c r="IJ128" s="66" t="e">
        <f t="shared" ca="1" si="437"/>
        <v>#N/A</v>
      </c>
      <c r="IK128" s="66" t="e">
        <f t="shared" ca="1" si="438"/>
        <v>#N/A</v>
      </c>
      <c r="IL128" s="66" t="e">
        <f t="shared" ca="1" si="439"/>
        <v>#N/A</v>
      </c>
      <c r="IN128" s="74" t="e">
        <f t="shared" ca="1" si="440"/>
        <v>#N/A</v>
      </c>
      <c r="IO128" s="75" t="e">
        <f t="shared" ca="1" si="441"/>
        <v>#N/A</v>
      </c>
      <c r="IP128" s="75" t="e">
        <f t="shared" ca="1" si="442"/>
        <v>#N/A</v>
      </c>
      <c r="IQ128" s="74" t="e">
        <f t="shared" ca="1" si="443"/>
        <v>#N/A</v>
      </c>
      <c r="IR128" s="74" t="e">
        <f t="shared" ca="1" si="444"/>
        <v>#N/A</v>
      </c>
    </row>
    <row r="129" spans="1:252" x14ac:dyDescent="0.35">
      <c r="A129" s="28">
        <v>0</v>
      </c>
      <c r="B129" s="28">
        <v>0</v>
      </c>
      <c r="C129" s="28">
        <v>1</v>
      </c>
      <c r="D129" s="1"/>
      <c r="E129" s="3"/>
      <c r="F129" t="s">
        <v>394</v>
      </c>
      <c r="G129" s="5" t="s">
        <v>530</v>
      </c>
      <c r="H129" t="s">
        <v>558</v>
      </c>
      <c r="I129" t="s">
        <v>532</v>
      </c>
      <c r="J129" s="276" t="s">
        <v>805</v>
      </c>
      <c r="K129" s="21" t="s">
        <v>805</v>
      </c>
      <c r="L129" s="21" t="s">
        <v>805</v>
      </c>
      <c r="M129" s="21" t="s">
        <v>805</v>
      </c>
      <c r="N129" s="21" t="s">
        <v>805</v>
      </c>
      <c r="O129" s="21" t="s">
        <v>805</v>
      </c>
      <c r="P129" s="21" t="s">
        <v>805</v>
      </c>
      <c r="Q129" s="21" t="s">
        <v>805</v>
      </c>
      <c r="R129" s="21" t="s">
        <v>805</v>
      </c>
      <c r="S129" s="21" t="s">
        <v>805</v>
      </c>
      <c r="T129" s="21" t="s">
        <v>805</v>
      </c>
      <c r="U129" s="21" t="s">
        <v>805</v>
      </c>
      <c r="V129" s="21" t="s">
        <v>805</v>
      </c>
      <c r="W129" s="21" t="s">
        <v>805</v>
      </c>
      <c r="X129" s="21" t="s">
        <v>805</v>
      </c>
      <c r="Y129" s="21" t="s">
        <v>805</v>
      </c>
      <c r="Z129" s="21" t="s">
        <v>805</v>
      </c>
      <c r="AA129" s="21" t="s">
        <v>805</v>
      </c>
      <c r="AB129" s="21" t="s">
        <v>805</v>
      </c>
      <c r="AC129" s="21" t="s">
        <v>805</v>
      </c>
      <c r="AD129" s="21" t="s">
        <v>805</v>
      </c>
      <c r="AE129" s="21" t="s">
        <v>805</v>
      </c>
      <c r="AF129" s="21" t="s">
        <v>805</v>
      </c>
      <c r="AG129" s="21" t="s">
        <v>805</v>
      </c>
      <c r="AH129" s="21" t="s">
        <v>805</v>
      </c>
      <c r="AI129" s="21" t="s">
        <v>805</v>
      </c>
      <c r="AJ129" s="21" t="s">
        <v>805</v>
      </c>
      <c r="AK129" s="21" t="s">
        <v>805</v>
      </c>
      <c r="AL129" s="21" t="s">
        <v>805</v>
      </c>
      <c r="AM129" s="21" t="s">
        <v>805</v>
      </c>
      <c r="AN129" s="21" t="s">
        <v>805</v>
      </c>
      <c r="AO129" s="21" t="s">
        <v>805</v>
      </c>
      <c r="AP129" s="21" t="s">
        <v>805</v>
      </c>
      <c r="AQ129" s="21" t="s">
        <v>805</v>
      </c>
      <c r="AR129" s="21" t="s">
        <v>805</v>
      </c>
      <c r="AS129" s="21" t="s">
        <v>805</v>
      </c>
      <c r="AT129" s="21" t="s">
        <v>805</v>
      </c>
      <c r="AU129" s="21" t="s">
        <v>805</v>
      </c>
      <c r="AV129" s="21" t="s">
        <v>805</v>
      </c>
      <c r="AW129" s="21" t="s">
        <v>805</v>
      </c>
      <c r="AX129" s="21" t="s">
        <v>805</v>
      </c>
      <c r="AY129" s="21" t="s">
        <v>805</v>
      </c>
      <c r="AZ129" s="21" t="s">
        <v>805</v>
      </c>
      <c r="BA129" s="21" t="s">
        <v>805</v>
      </c>
      <c r="BB129" s="21" t="s">
        <v>805</v>
      </c>
      <c r="BC129" s="21" t="s">
        <v>805</v>
      </c>
      <c r="BD129" s="21" t="s">
        <v>805</v>
      </c>
      <c r="BE129" s="21" t="s">
        <v>805</v>
      </c>
      <c r="BF129" s="21" t="s">
        <v>805</v>
      </c>
      <c r="BG129" s="21" t="s">
        <v>805</v>
      </c>
      <c r="BH129" s="21" t="s">
        <v>805</v>
      </c>
      <c r="BI129" s="21" t="s">
        <v>805</v>
      </c>
      <c r="BJ129" s="21" t="s">
        <v>805</v>
      </c>
      <c r="BK129" s="21" t="s">
        <v>805</v>
      </c>
      <c r="BL129" s="21" t="s">
        <v>805</v>
      </c>
      <c r="BM129" s="21" t="s">
        <v>805</v>
      </c>
      <c r="BN129" s="21" t="s">
        <v>805</v>
      </c>
      <c r="BO129" s="21" t="s">
        <v>805</v>
      </c>
      <c r="BP129" s="21" t="s">
        <v>805</v>
      </c>
      <c r="BQ129" s="21" t="s">
        <v>805</v>
      </c>
      <c r="BR129" s="21" t="s">
        <v>805</v>
      </c>
      <c r="BS129" s="21" t="s">
        <v>805</v>
      </c>
      <c r="BT129" s="21" t="s">
        <v>805</v>
      </c>
      <c r="BU129" s="21" t="s">
        <v>805</v>
      </c>
      <c r="BV129" s="21" t="s">
        <v>805</v>
      </c>
      <c r="BW129" s="21" t="s">
        <v>805</v>
      </c>
      <c r="BX129" s="21" t="s">
        <v>805</v>
      </c>
      <c r="BY129" s="21" t="s">
        <v>805</v>
      </c>
      <c r="BZ129" s="21" t="s">
        <v>805</v>
      </c>
      <c r="CA129" s="21" t="s">
        <v>805</v>
      </c>
      <c r="CB129" s="21" t="s">
        <v>805</v>
      </c>
      <c r="CC129" s="21" t="s">
        <v>805</v>
      </c>
      <c r="CD129" s="21" t="s">
        <v>805</v>
      </c>
      <c r="CE129" s="21" t="s">
        <v>805</v>
      </c>
      <c r="CF129" s="21" t="s">
        <v>805</v>
      </c>
      <c r="CG129" s="21" t="s">
        <v>805</v>
      </c>
      <c r="CH129" s="21" t="s">
        <v>805</v>
      </c>
      <c r="CI129" s="21" t="s">
        <v>805</v>
      </c>
      <c r="CJ129" s="21" t="s">
        <v>805</v>
      </c>
      <c r="CK129" s="21" t="s">
        <v>805</v>
      </c>
      <c r="CL129" s="21" t="s">
        <v>805</v>
      </c>
      <c r="CM129" s="21" t="s">
        <v>805</v>
      </c>
      <c r="CN129" s="21" t="s">
        <v>805</v>
      </c>
      <c r="CO129" s="21" t="s">
        <v>805</v>
      </c>
      <c r="CP129" s="21" t="s">
        <v>805</v>
      </c>
      <c r="CQ129" s="21" t="s">
        <v>805</v>
      </c>
      <c r="CR129" s="21" t="s">
        <v>805</v>
      </c>
      <c r="CS129" s="21" t="s">
        <v>805</v>
      </c>
      <c r="CT129" s="21" t="s">
        <v>805</v>
      </c>
      <c r="CU129" s="21" t="s">
        <v>805</v>
      </c>
      <c r="CV129" s="21" t="s">
        <v>805</v>
      </c>
      <c r="CW129" s="21" t="s">
        <v>805</v>
      </c>
      <c r="CX129" s="21" t="s">
        <v>805</v>
      </c>
      <c r="CY129" s="21" t="s">
        <v>805</v>
      </c>
      <c r="CZ129" s="21" t="s">
        <v>805</v>
      </c>
      <c r="DA129" s="21" t="s">
        <v>805</v>
      </c>
      <c r="DB129" s="21" t="s">
        <v>805</v>
      </c>
      <c r="DC129" s="21" t="s">
        <v>805</v>
      </c>
      <c r="DD129" s="21" t="s">
        <v>805</v>
      </c>
      <c r="DE129" s="21" t="s">
        <v>805</v>
      </c>
      <c r="DF129" s="21" t="s">
        <v>805</v>
      </c>
      <c r="DG129" s="28">
        <f>'KPI Count-SHARE'!J118</f>
        <v>0</v>
      </c>
      <c r="DH129" s="109"/>
      <c r="DI129" s="109"/>
      <c r="DJ129" s="109"/>
      <c r="DK129" s="28">
        <f>'KPI Count-SHARE'!K118</f>
        <v>0</v>
      </c>
      <c r="DL129" s="61"/>
      <c r="DM129" s="61"/>
      <c r="DN129" s="61"/>
      <c r="DO129" s="28">
        <f>'KPI Count-SHARE'!L118</f>
        <v>0</v>
      </c>
      <c r="DP129" s="61"/>
      <c r="DQ129" s="61"/>
      <c r="DR129" s="61"/>
      <c r="DS129" s="28">
        <f>'KPI Count-SHARE'!M118</f>
        <v>0</v>
      </c>
      <c r="DT129" s="61"/>
      <c r="DU129" s="61"/>
      <c r="DV129" s="61"/>
      <c r="DW129" t="s">
        <v>558</v>
      </c>
      <c r="DX129" s="41" t="str">
        <f t="shared" si="425"/>
        <v/>
      </c>
      <c r="DY129" s="41" t="str">
        <f t="shared" si="426"/>
        <v/>
      </c>
      <c r="DZ129" s="41" t="str">
        <f t="shared" si="427"/>
        <v/>
      </c>
      <c r="EA129" s="41" t="str">
        <f t="shared" si="428"/>
        <v/>
      </c>
      <c r="EB129" s="41" t="str">
        <f t="shared" si="429"/>
        <v/>
      </c>
      <c r="EC129" s="41" t="str">
        <f t="shared" si="430"/>
        <v/>
      </c>
      <c r="ED129" s="41" t="str">
        <f t="shared" si="431"/>
        <v/>
      </c>
      <c r="EE129" s="41" t="str">
        <f t="shared" si="432"/>
        <v/>
      </c>
      <c r="EF129" s="41" t="str">
        <f t="shared" si="433"/>
        <v/>
      </c>
      <c r="EG129" s="41" t="str">
        <f t="shared" si="434"/>
        <v/>
      </c>
      <c r="EH129" s="41" t="str">
        <f t="shared" si="435"/>
        <v/>
      </c>
      <c r="EI129" s="41" t="str">
        <f t="shared" si="448"/>
        <v/>
      </c>
      <c r="EJ129" s="41" t="str">
        <f t="shared" si="449"/>
        <v/>
      </c>
      <c r="EK129" s="41" t="str">
        <f t="shared" si="450"/>
        <v/>
      </c>
      <c r="EL129" s="41" t="str">
        <f t="shared" si="451"/>
        <v/>
      </c>
      <c r="EM129" s="41" t="str">
        <f t="shared" si="452"/>
        <v/>
      </c>
      <c r="EN129" s="41" t="str">
        <f t="shared" si="453"/>
        <v/>
      </c>
      <c r="EO129" s="41" t="str">
        <f t="shared" si="454"/>
        <v/>
      </c>
      <c r="EP129" s="41" t="str">
        <f t="shared" si="455"/>
        <v/>
      </c>
      <c r="EQ129" s="41" t="str">
        <f t="shared" si="456"/>
        <v/>
      </c>
      <c r="ER129" s="41" t="str">
        <f t="shared" si="457"/>
        <v/>
      </c>
      <c r="ES129" s="41" t="str">
        <f t="shared" si="458"/>
        <v/>
      </c>
      <c r="ET129" s="41" t="str">
        <f t="shared" si="459"/>
        <v/>
      </c>
      <c r="EU129" s="41" t="str">
        <f t="shared" si="462"/>
        <v/>
      </c>
      <c r="EV129" s="41" t="str">
        <f t="shared" si="463"/>
        <v/>
      </c>
      <c r="EW129" s="41" t="str">
        <f t="shared" si="464"/>
        <v/>
      </c>
      <c r="EX129" s="41" t="str">
        <f t="shared" si="465"/>
        <v/>
      </c>
      <c r="EY129" s="41" t="str">
        <f t="shared" si="466"/>
        <v/>
      </c>
      <c r="EZ129" s="41" t="str">
        <f t="shared" si="467"/>
        <v/>
      </c>
      <c r="FA129" s="41" t="str">
        <f t="shared" si="468"/>
        <v/>
      </c>
      <c r="FB129" s="41" t="str">
        <f t="shared" si="469"/>
        <v/>
      </c>
      <c r="FC129" s="41" t="str">
        <f t="shared" si="470"/>
        <v/>
      </c>
      <c r="FD129" s="41" t="str">
        <f t="shared" si="471"/>
        <v/>
      </c>
      <c r="FE129" s="41" t="str">
        <f t="shared" si="472"/>
        <v/>
      </c>
      <c r="FF129" s="41" t="str">
        <f t="shared" si="473"/>
        <v/>
      </c>
      <c r="FG129" s="41" t="str">
        <f t="shared" si="474"/>
        <v/>
      </c>
      <c r="FH129" s="41" t="str">
        <f t="shared" si="475"/>
        <v/>
      </c>
      <c r="FI129" s="41" t="str">
        <f t="shared" si="476"/>
        <v/>
      </c>
      <c r="FJ129" s="41" t="str">
        <f t="shared" si="477"/>
        <v/>
      </c>
      <c r="FK129" s="41" t="str">
        <f t="shared" si="478"/>
        <v/>
      </c>
      <c r="FL129" s="41" t="str">
        <f t="shared" si="479"/>
        <v/>
      </c>
      <c r="FM129" s="41" t="str">
        <f t="shared" si="480"/>
        <v/>
      </c>
      <c r="FN129" s="41" t="str">
        <f t="shared" si="481"/>
        <v/>
      </c>
      <c r="FO129" s="41" t="str">
        <f t="shared" si="482"/>
        <v/>
      </c>
      <c r="FP129" s="41" t="str">
        <f t="shared" si="483"/>
        <v/>
      </c>
      <c r="FQ129" s="41" t="str">
        <f t="shared" si="484"/>
        <v/>
      </c>
      <c r="FR129" s="41" t="str">
        <f t="shared" si="485"/>
        <v/>
      </c>
      <c r="FS129" s="41" t="str">
        <f t="shared" si="486"/>
        <v/>
      </c>
      <c r="FT129" s="41" t="str">
        <f t="shared" si="487"/>
        <v/>
      </c>
      <c r="FU129" s="41" t="str">
        <f t="shared" si="488"/>
        <v/>
      </c>
      <c r="FV129" s="41" t="str">
        <f t="shared" si="489"/>
        <v/>
      </c>
      <c r="FW129" s="41" t="str">
        <f t="shared" si="490"/>
        <v/>
      </c>
      <c r="FX129" s="41" t="str">
        <f t="shared" si="491"/>
        <v/>
      </c>
      <c r="FY129" s="41" t="str">
        <f t="shared" si="492"/>
        <v/>
      </c>
      <c r="FZ129" s="41" t="str">
        <f t="shared" si="493"/>
        <v/>
      </c>
      <c r="GA129" s="41" t="str">
        <f t="shared" si="494"/>
        <v/>
      </c>
      <c r="GB129" s="41" t="str">
        <f t="shared" si="495"/>
        <v/>
      </c>
      <c r="GC129" s="41" t="str">
        <f t="shared" si="496"/>
        <v/>
      </c>
      <c r="GD129" s="41" t="str">
        <f t="shared" si="497"/>
        <v/>
      </c>
      <c r="GE129" s="41" t="str">
        <f t="shared" si="498"/>
        <v/>
      </c>
      <c r="GF129" s="41" t="str">
        <f t="shared" si="499"/>
        <v/>
      </c>
      <c r="GG129" s="41" t="str">
        <f t="shared" si="500"/>
        <v/>
      </c>
      <c r="GH129" s="41" t="str">
        <f t="shared" si="501"/>
        <v/>
      </c>
      <c r="GI129" s="41" t="str">
        <f t="shared" si="502"/>
        <v/>
      </c>
      <c r="GJ129" s="41" t="str">
        <f t="shared" si="503"/>
        <v/>
      </c>
      <c r="GK129" s="41" t="str">
        <f t="shared" si="504"/>
        <v/>
      </c>
      <c r="GL129" s="41" t="str">
        <f t="shared" si="505"/>
        <v/>
      </c>
      <c r="GM129" s="41" t="str">
        <f t="shared" si="506"/>
        <v/>
      </c>
      <c r="GN129" s="41" t="str">
        <f t="shared" si="507"/>
        <v/>
      </c>
      <c r="GO129" s="41" t="str">
        <f t="shared" si="508"/>
        <v/>
      </c>
      <c r="GP129" s="41" t="str">
        <f t="shared" si="509"/>
        <v/>
      </c>
      <c r="GQ129" s="41" t="str">
        <f t="shared" si="510"/>
        <v/>
      </c>
      <c r="GR129" s="41" t="str">
        <f t="shared" si="511"/>
        <v/>
      </c>
      <c r="GS129" s="41" t="str">
        <f t="shared" si="512"/>
        <v/>
      </c>
      <c r="GT129" s="41" t="str">
        <f t="shared" si="513"/>
        <v/>
      </c>
      <c r="GU129" s="41" t="str">
        <f t="shared" si="514"/>
        <v/>
      </c>
      <c r="GV129" s="41" t="str">
        <f t="shared" si="515"/>
        <v/>
      </c>
      <c r="GW129" s="41" t="str">
        <f t="shared" si="516"/>
        <v/>
      </c>
      <c r="GX129" s="41" t="str">
        <f t="shared" si="517"/>
        <v/>
      </c>
      <c r="GY129" s="41" t="str">
        <f t="shared" si="518"/>
        <v/>
      </c>
      <c r="GZ129" s="41" t="str">
        <f t="shared" si="519"/>
        <v/>
      </c>
      <c r="HA129" s="41" t="str">
        <f t="shared" si="520"/>
        <v/>
      </c>
      <c r="HB129" s="41" t="str">
        <f t="shared" si="521"/>
        <v/>
      </c>
      <c r="HC129" s="41" t="str">
        <f t="shared" si="522"/>
        <v/>
      </c>
      <c r="HD129" s="41" t="str">
        <f t="shared" si="523"/>
        <v/>
      </c>
      <c r="HE129" s="41" t="str">
        <f t="shared" si="524"/>
        <v/>
      </c>
      <c r="HF129" s="41" t="str">
        <f t="shared" si="525"/>
        <v/>
      </c>
      <c r="HG129" s="41" t="str">
        <f t="shared" si="526"/>
        <v/>
      </c>
      <c r="HH129" s="41" t="str">
        <f t="shared" si="527"/>
        <v/>
      </c>
      <c r="HI129" s="41" t="str">
        <f t="shared" si="528"/>
        <v/>
      </c>
      <c r="HJ129" s="41" t="str">
        <f t="shared" si="529"/>
        <v/>
      </c>
      <c r="HK129" s="41" t="str">
        <f t="shared" si="530"/>
        <v/>
      </c>
      <c r="HL129" s="41" t="str">
        <f t="shared" si="531"/>
        <v/>
      </c>
      <c r="HM129" s="41" t="str">
        <f t="shared" si="532"/>
        <v/>
      </c>
      <c r="HN129" s="41" t="str">
        <f t="shared" si="533"/>
        <v/>
      </c>
      <c r="HO129" s="41" t="str">
        <f t="shared" si="534"/>
        <v/>
      </c>
      <c r="HP129" s="41" t="str">
        <f t="shared" si="535"/>
        <v/>
      </c>
      <c r="HQ129" s="41" t="str">
        <f t="shared" si="536"/>
        <v/>
      </c>
      <c r="HR129" s="41" t="str">
        <f t="shared" si="537"/>
        <v/>
      </c>
      <c r="HS129" s="41" t="str">
        <f t="shared" si="538"/>
        <v/>
      </c>
      <c r="HT129" s="41" t="str">
        <f t="shared" si="538"/>
        <v/>
      </c>
      <c r="HU129" s="43" t="str">
        <f t="shared" si="445"/>
        <v>-</v>
      </c>
      <c r="HV129" s="44" t="str">
        <f t="shared" si="446"/>
        <v/>
      </c>
      <c r="HW129" s="45" t="str">
        <f t="shared" si="447"/>
        <v/>
      </c>
      <c r="HX129" s="96"/>
      <c r="HY129" s="96"/>
      <c r="HZ129" s="96"/>
      <c r="IA129" s="95"/>
      <c r="IB129" s="96"/>
      <c r="IC129" s="97"/>
      <c r="ID129" s="95"/>
      <c r="IE129" s="96"/>
      <c r="IF129" s="97"/>
      <c r="IH129" s="66">
        <v>129</v>
      </c>
      <c r="II129" s="66" t="e">
        <f t="shared" ca="1" si="436"/>
        <v>#N/A</v>
      </c>
      <c r="IJ129" s="66" t="e">
        <f t="shared" ca="1" si="437"/>
        <v>#N/A</v>
      </c>
      <c r="IK129" s="66" t="e">
        <f t="shared" ca="1" si="438"/>
        <v>#N/A</v>
      </c>
      <c r="IL129" s="66" t="e">
        <f t="shared" ca="1" si="439"/>
        <v>#N/A</v>
      </c>
      <c r="IN129" s="74" t="e">
        <f t="shared" ca="1" si="440"/>
        <v>#N/A</v>
      </c>
      <c r="IO129" s="75" t="e">
        <f t="shared" ca="1" si="441"/>
        <v>#N/A</v>
      </c>
      <c r="IP129" s="75" t="e">
        <f t="shared" ca="1" si="442"/>
        <v>#N/A</v>
      </c>
      <c r="IQ129" s="74" t="e">
        <f t="shared" ca="1" si="443"/>
        <v>#N/A</v>
      </c>
      <c r="IR129" s="74" t="e">
        <f t="shared" ca="1" si="444"/>
        <v>#N/A</v>
      </c>
    </row>
    <row r="130" spans="1:252" x14ac:dyDescent="0.35">
      <c r="A130" s="28">
        <v>0</v>
      </c>
      <c r="B130" s="28">
        <v>0</v>
      </c>
      <c r="C130" s="28">
        <v>1</v>
      </c>
      <c r="D130" s="1"/>
      <c r="E130" s="3"/>
      <c r="F130" t="s">
        <v>395</v>
      </c>
      <c r="G130" s="5" t="s">
        <v>530</v>
      </c>
      <c r="H130" t="s">
        <v>558</v>
      </c>
      <c r="I130" t="s">
        <v>532</v>
      </c>
      <c r="J130" s="276" t="s">
        <v>805</v>
      </c>
      <c r="K130" s="21" t="s">
        <v>805</v>
      </c>
      <c r="L130" s="21" t="s">
        <v>805</v>
      </c>
      <c r="M130" s="21" t="s">
        <v>805</v>
      </c>
      <c r="N130" s="21" t="s">
        <v>805</v>
      </c>
      <c r="O130" s="21" t="s">
        <v>805</v>
      </c>
      <c r="P130" s="21" t="s">
        <v>805</v>
      </c>
      <c r="Q130" s="21" t="s">
        <v>805</v>
      </c>
      <c r="R130" s="21" t="s">
        <v>805</v>
      </c>
      <c r="S130" s="21" t="s">
        <v>805</v>
      </c>
      <c r="T130" s="21" t="s">
        <v>805</v>
      </c>
      <c r="U130" s="21" t="s">
        <v>805</v>
      </c>
      <c r="V130" s="21" t="s">
        <v>805</v>
      </c>
      <c r="W130" s="21" t="s">
        <v>805</v>
      </c>
      <c r="X130" s="21" t="s">
        <v>805</v>
      </c>
      <c r="Y130" s="21" t="s">
        <v>805</v>
      </c>
      <c r="Z130" s="21" t="s">
        <v>805</v>
      </c>
      <c r="AA130" s="21" t="s">
        <v>805</v>
      </c>
      <c r="AB130" s="21" t="s">
        <v>805</v>
      </c>
      <c r="AC130" s="21" t="s">
        <v>805</v>
      </c>
      <c r="AD130" s="21" t="s">
        <v>805</v>
      </c>
      <c r="AE130" s="21" t="s">
        <v>805</v>
      </c>
      <c r="AF130" s="21" t="s">
        <v>805</v>
      </c>
      <c r="AG130" s="21" t="s">
        <v>805</v>
      </c>
      <c r="AH130" s="21" t="s">
        <v>805</v>
      </c>
      <c r="AI130" s="21" t="s">
        <v>805</v>
      </c>
      <c r="AJ130" s="21" t="s">
        <v>805</v>
      </c>
      <c r="AK130" s="21" t="s">
        <v>805</v>
      </c>
      <c r="AL130" s="21" t="s">
        <v>805</v>
      </c>
      <c r="AM130" s="21" t="s">
        <v>805</v>
      </c>
      <c r="AN130" s="21" t="s">
        <v>805</v>
      </c>
      <c r="AO130" s="21" t="s">
        <v>805</v>
      </c>
      <c r="AP130" s="21" t="s">
        <v>805</v>
      </c>
      <c r="AQ130" s="21" t="s">
        <v>805</v>
      </c>
      <c r="AR130" s="21" t="s">
        <v>805</v>
      </c>
      <c r="AS130" s="21" t="s">
        <v>805</v>
      </c>
      <c r="AT130" s="21" t="s">
        <v>805</v>
      </c>
      <c r="AU130" s="21" t="s">
        <v>805</v>
      </c>
      <c r="AV130" s="21" t="s">
        <v>805</v>
      </c>
      <c r="AW130" s="21" t="s">
        <v>805</v>
      </c>
      <c r="AX130" s="21" t="s">
        <v>805</v>
      </c>
      <c r="AY130" s="21" t="s">
        <v>805</v>
      </c>
      <c r="AZ130" s="21" t="s">
        <v>805</v>
      </c>
      <c r="BA130" s="21" t="s">
        <v>805</v>
      </c>
      <c r="BB130" s="21" t="s">
        <v>805</v>
      </c>
      <c r="BC130" s="21" t="s">
        <v>805</v>
      </c>
      <c r="BD130" s="21" t="s">
        <v>805</v>
      </c>
      <c r="BE130" s="21" t="s">
        <v>805</v>
      </c>
      <c r="BF130" s="21" t="s">
        <v>805</v>
      </c>
      <c r="BG130" s="21" t="s">
        <v>805</v>
      </c>
      <c r="BH130" s="21" t="s">
        <v>805</v>
      </c>
      <c r="BI130" s="21" t="s">
        <v>805</v>
      </c>
      <c r="BJ130" s="21" t="s">
        <v>805</v>
      </c>
      <c r="BK130" s="21" t="s">
        <v>805</v>
      </c>
      <c r="BL130" s="21" t="s">
        <v>805</v>
      </c>
      <c r="BM130" s="21" t="s">
        <v>805</v>
      </c>
      <c r="BN130" s="21" t="s">
        <v>805</v>
      </c>
      <c r="BO130" s="21" t="s">
        <v>805</v>
      </c>
      <c r="BP130" s="21" t="s">
        <v>805</v>
      </c>
      <c r="BQ130" s="21" t="s">
        <v>805</v>
      </c>
      <c r="BR130" s="21" t="s">
        <v>805</v>
      </c>
      <c r="BS130" s="21" t="s">
        <v>805</v>
      </c>
      <c r="BT130" s="21" t="s">
        <v>805</v>
      </c>
      <c r="BU130" s="21" t="s">
        <v>805</v>
      </c>
      <c r="BV130" s="21" t="s">
        <v>805</v>
      </c>
      <c r="BW130" s="21" t="s">
        <v>805</v>
      </c>
      <c r="BX130" s="21" t="s">
        <v>805</v>
      </c>
      <c r="BY130" s="21" t="s">
        <v>805</v>
      </c>
      <c r="BZ130" s="21" t="s">
        <v>805</v>
      </c>
      <c r="CA130" s="21" t="s">
        <v>805</v>
      </c>
      <c r="CB130" s="21" t="s">
        <v>805</v>
      </c>
      <c r="CC130" s="21" t="s">
        <v>805</v>
      </c>
      <c r="CD130" s="21" t="s">
        <v>805</v>
      </c>
      <c r="CE130" s="21" t="s">
        <v>805</v>
      </c>
      <c r="CF130" s="21" t="s">
        <v>805</v>
      </c>
      <c r="CG130" s="21" t="s">
        <v>805</v>
      </c>
      <c r="CH130" s="21" t="s">
        <v>805</v>
      </c>
      <c r="CI130" s="21" t="s">
        <v>805</v>
      </c>
      <c r="CJ130" s="21" t="s">
        <v>805</v>
      </c>
      <c r="CK130" s="21" t="s">
        <v>805</v>
      </c>
      <c r="CL130" s="21" t="s">
        <v>805</v>
      </c>
      <c r="CM130" s="21" t="s">
        <v>805</v>
      </c>
      <c r="CN130" s="21" t="s">
        <v>805</v>
      </c>
      <c r="CO130" s="21" t="s">
        <v>805</v>
      </c>
      <c r="CP130" s="21" t="s">
        <v>805</v>
      </c>
      <c r="CQ130" s="21" t="s">
        <v>805</v>
      </c>
      <c r="CR130" s="21" t="s">
        <v>805</v>
      </c>
      <c r="CS130" s="21" t="s">
        <v>805</v>
      </c>
      <c r="CT130" s="21" t="s">
        <v>805</v>
      </c>
      <c r="CU130" s="21" t="s">
        <v>805</v>
      </c>
      <c r="CV130" s="21" t="s">
        <v>805</v>
      </c>
      <c r="CW130" s="21" t="s">
        <v>805</v>
      </c>
      <c r="CX130" s="21" t="s">
        <v>805</v>
      </c>
      <c r="CY130" s="21" t="s">
        <v>805</v>
      </c>
      <c r="CZ130" s="21" t="s">
        <v>805</v>
      </c>
      <c r="DA130" s="21" t="s">
        <v>805</v>
      </c>
      <c r="DB130" s="21" t="s">
        <v>805</v>
      </c>
      <c r="DC130" s="21" t="s">
        <v>805</v>
      </c>
      <c r="DD130" s="21" t="s">
        <v>805</v>
      </c>
      <c r="DE130" s="21" t="s">
        <v>805</v>
      </c>
      <c r="DF130" s="21" t="s">
        <v>805</v>
      </c>
      <c r="DG130" s="28">
        <f>'KPI Count-SHARE'!J119</f>
        <v>0</v>
      </c>
      <c r="DH130" s="109"/>
      <c r="DI130" s="109"/>
      <c r="DJ130" s="109"/>
      <c r="DK130" s="28">
        <f>'KPI Count-SHARE'!K119</f>
        <v>0</v>
      </c>
      <c r="DL130" s="61"/>
      <c r="DM130" s="61"/>
      <c r="DN130" s="61"/>
      <c r="DO130" s="28">
        <f>'KPI Count-SHARE'!L119</f>
        <v>0</v>
      </c>
      <c r="DP130" s="61"/>
      <c r="DQ130" s="61"/>
      <c r="DR130" s="61"/>
      <c r="DS130" s="28">
        <f>'KPI Count-SHARE'!M119</f>
        <v>0</v>
      </c>
      <c r="DT130" s="61"/>
      <c r="DU130" s="61"/>
      <c r="DV130" s="61"/>
      <c r="DW130" t="s">
        <v>558</v>
      </c>
      <c r="DX130" s="41" t="str">
        <f t="shared" si="425"/>
        <v/>
      </c>
      <c r="DY130" s="41" t="str">
        <f t="shared" si="426"/>
        <v/>
      </c>
      <c r="DZ130" s="41" t="str">
        <f t="shared" si="427"/>
        <v/>
      </c>
      <c r="EA130" s="41" t="str">
        <f t="shared" si="428"/>
        <v/>
      </c>
      <c r="EB130" s="41" t="str">
        <f t="shared" si="429"/>
        <v/>
      </c>
      <c r="EC130" s="41" t="str">
        <f t="shared" si="430"/>
        <v/>
      </c>
      <c r="ED130" s="41" t="str">
        <f t="shared" si="431"/>
        <v/>
      </c>
      <c r="EE130" s="41" t="str">
        <f t="shared" si="432"/>
        <v/>
      </c>
      <c r="EF130" s="41" t="str">
        <f t="shared" si="433"/>
        <v/>
      </c>
      <c r="EG130" s="41" t="str">
        <f t="shared" si="434"/>
        <v/>
      </c>
      <c r="EH130" s="41" t="str">
        <f t="shared" si="435"/>
        <v/>
      </c>
      <c r="EI130" s="41" t="str">
        <f t="shared" si="448"/>
        <v/>
      </c>
      <c r="EJ130" s="41" t="str">
        <f t="shared" si="449"/>
        <v/>
      </c>
      <c r="EK130" s="41" t="str">
        <f t="shared" si="450"/>
        <v/>
      </c>
      <c r="EL130" s="41" t="str">
        <f t="shared" si="451"/>
        <v/>
      </c>
      <c r="EM130" s="41" t="str">
        <f t="shared" si="452"/>
        <v/>
      </c>
      <c r="EN130" s="41" t="str">
        <f t="shared" si="453"/>
        <v/>
      </c>
      <c r="EO130" s="41" t="str">
        <f t="shared" si="454"/>
        <v/>
      </c>
      <c r="EP130" s="41" t="str">
        <f t="shared" si="455"/>
        <v/>
      </c>
      <c r="EQ130" s="41" t="str">
        <f t="shared" si="456"/>
        <v/>
      </c>
      <c r="ER130" s="41" t="str">
        <f t="shared" si="457"/>
        <v/>
      </c>
      <c r="ES130" s="41" t="str">
        <f t="shared" si="458"/>
        <v/>
      </c>
      <c r="ET130" s="41" t="str">
        <f t="shared" si="459"/>
        <v/>
      </c>
      <c r="EU130" s="41" t="str">
        <f t="shared" si="462"/>
        <v/>
      </c>
      <c r="EV130" s="41" t="str">
        <f t="shared" si="463"/>
        <v/>
      </c>
      <c r="EW130" s="41" t="str">
        <f t="shared" si="464"/>
        <v/>
      </c>
      <c r="EX130" s="41" t="str">
        <f t="shared" si="465"/>
        <v/>
      </c>
      <c r="EY130" s="41" t="str">
        <f t="shared" si="466"/>
        <v/>
      </c>
      <c r="EZ130" s="41" t="str">
        <f t="shared" si="467"/>
        <v/>
      </c>
      <c r="FA130" s="41" t="str">
        <f t="shared" si="468"/>
        <v/>
      </c>
      <c r="FB130" s="41" t="str">
        <f t="shared" si="469"/>
        <v/>
      </c>
      <c r="FC130" s="41" t="str">
        <f t="shared" si="470"/>
        <v/>
      </c>
      <c r="FD130" s="41" t="str">
        <f t="shared" si="471"/>
        <v/>
      </c>
      <c r="FE130" s="41" t="str">
        <f t="shared" si="472"/>
        <v/>
      </c>
      <c r="FF130" s="41" t="str">
        <f t="shared" si="473"/>
        <v/>
      </c>
      <c r="FG130" s="41" t="str">
        <f t="shared" si="474"/>
        <v/>
      </c>
      <c r="FH130" s="41" t="str">
        <f t="shared" si="475"/>
        <v/>
      </c>
      <c r="FI130" s="41" t="str">
        <f t="shared" si="476"/>
        <v/>
      </c>
      <c r="FJ130" s="41" t="str">
        <f t="shared" si="477"/>
        <v/>
      </c>
      <c r="FK130" s="41" t="str">
        <f t="shared" si="478"/>
        <v/>
      </c>
      <c r="FL130" s="41" t="str">
        <f t="shared" si="479"/>
        <v/>
      </c>
      <c r="FM130" s="41" t="str">
        <f t="shared" si="480"/>
        <v/>
      </c>
      <c r="FN130" s="41" t="str">
        <f t="shared" si="481"/>
        <v/>
      </c>
      <c r="FO130" s="41" t="str">
        <f t="shared" si="482"/>
        <v/>
      </c>
      <c r="FP130" s="41" t="str">
        <f t="shared" si="483"/>
        <v/>
      </c>
      <c r="FQ130" s="41" t="str">
        <f t="shared" si="484"/>
        <v/>
      </c>
      <c r="FR130" s="41" t="str">
        <f t="shared" si="485"/>
        <v/>
      </c>
      <c r="FS130" s="41" t="str">
        <f t="shared" si="486"/>
        <v/>
      </c>
      <c r="FT130" s="41" t="str">
        <f t="shared" si="487"/>
        <v/>
      </c>
      <c r="FU130" s="41" t="str">
        <f t="shared" si="488"/>
        <v/>
      </c>
      <c r="FV130" s="41" t="str">
        <f t="shared" si="489"/>
        <v/>
      </c>
      <c r="FW130" s="41" t="str">
        <f t="shared" si="490"/>
        <v/>
      </c>
      <c r="FX130" s="41" t="str">
        <f t="shared" si="491"/>
        <v/>
      </c>
      <c r="FY130" s="41" t="str">
        <f t="shared" si="492"/>
        <v/>
      </c>
      <c r="FZ130" s="41" t="str">
        <f t="shared" si="493"/>
        <v/>
      </c>
      <c r="GA130" s="41" t="str">
        <f t="shared" si="494"/>
        <v/>
      </c>
      <c r="GB130" s="41" t="str">
        <f t="shared" si="495"/>
        <v/>
      </c>
      <c r="GC130" s="41" t="str">
        <f t="shared" si="496"/>
        <v/>
      </c>
      <c r="GD130" s="41" t="str">
        <f t="shared" si="497"/>
        <v/>
      </c>
      <c r="GE130" s="41" t="str">
        <f t="shared" si="498"/>
        <v/>
      </c>
      <c r="GF130" s="41" t="str">
        <f t="shared" si="499"/>
        <v/>
      </c>
      <c r="GG130" s="41" t="str">
        <f t="shared" si="500"/>
        <v/>
      </c>
      <c r="GH130" s="41" t="str">
        <f t="shared" si="501"/>
        <v/>
      </c>
      <c r="GI130" s="41" t="str">
        <f t="shared" si="502"/>
        <v/>
      </c>
      <c r="GJ130" s="41" t="str">
        <f t="shared" si="503"/>
        <v/>
      </c>
      <c r="GK130" s="41" t="str">
        <f t="shared" si="504"/>
        <v/>
      </c>
      <c r="GL130" s="41" t="str">
        <f t="shared" si="505"/>
        <v/>
      </c>
      <c r="GM130" s="41" t="str">
        <f t="shared" si="506"/>
        <v/>
      </c>
      <c r="GN130" s="41" t="str">
        <f t="shared" si="507"/>
        <v/>
      </c>
      <c r="GO130" s="41" t="str">
        <f t="shared" si="508"/>
        <v/>
      </c>
      <c r="GP130" s="41" t="str">
        <f t="shared" si="509"/>
        <v/>
      </c>
      <c r="GQ130" s="41" t="str">
        <f t="shared" si="510"/>
        <v/>
      </c>
      <c r="GR130" s="41" t="str">
        <f t="shared" si="511"/>
        <v/>
      </c>
      <c r="GS130" s="41" t="str">
        <f t="shared" si="512"/>
        <v/>
      </c>
      <c r="GT130" s="41" t="str">
        <f t="shared" si="513"/>
        <v/>
      </c>
      <c r="GU130" s="41" t="str">
        <f t="shared" si="514"/>
        <v/>
      </c>
      <c r="GV130" s="41" t="str">
        <f t="shared" si="515"/>
        <v/>
      </c>
      <c r="GW130" s="41" t="str">
        <f t="shared" si="516"/>
        <v/>
      </c>
      <c r="GX130" s="41" t="str">
        <f t="shared" si="517"/>
        <v/>
      </c>
      <c r="GY130" s="41" t="str">
        <f t="shared" si="518"/>
        <v/>
      </c>
      <c r="GZ130" s="41" t="str">
        <f t="shared" si="519"/>
        <v/>
      </c>
      <c r="HA130" s="41" t="str">
        <f t="shared" si="520"/>
        <v/>
      </c>
      <c r="HB130" s="41" t="str">
        <f t="shared" si="521"/>
        <v/>
      </c>
      <c r="HC130" s="41" t="str">
        <f t="shared" si="522"/>
        <v/>
      </c>
      <c r="HD130" s="41" t="str">
        <f t="shared" si="523"/>
        <v/>
      </c>
      <c r="HE130" s="41" t="str">
        <f t="shared" si="524"/>
        <v/>
      </c>
      <c r="HF130" s="41" t="str">
        <f t="shared" si="525"/>
        <v/>
      </c>
      <c r="HG130" s="41" t="str">
        <f t="shared" si="526"/>
        <v/>
      </c>
      <c r="HH130" s="41" t="str">
        <f t="shared" si="527"/>
        <v/>
      </c>
      <c r="HI130" s="41" t="str">
        <f t="shared" si="528"/>
        <v/>
      </c>
      <c r="HJ130" s="41" t="str">
        <f t="shared" si="529"/>
        <v/>
      </c>
      <c r="HK130" s="41" t="str">
        <f t="shared" si="530"/>
        <v/>
      </c>
      <c r="HL130" s="41" t="str">
        <f t="shared" si="531"/>
        <v/>
      </c>
      <c r="HM130" s="41" t="str">
        <f t="shared" si="532"/>
        <v/>
      </c>
      <c r="HN130" s="41" t="str">
        <f t="shared" si="533"/>
        <v/>
      </c>
      <c r="HO130" s="41" t="str">
        <f t="shared" si="534"/>
        <v/>
      </c>
      <c r="HP130" s="41" t="str">
        <f t="shared" si="535"/>
        <v/>
      </c>
      <c r="HQ130" s="41" t="str">
        <f t="shared" si="536"/>
        <v/>
      </c>
      <c r="HR130" s="41" t="str">
        <f t="shared" si="537"/>
        <v/>
      </c>
      <c r="HS130" s="41" t="str">
        <f t="shared" si="538"/>
        <v/>
      </c>
      <c r="HT130" s="41" t="str">
        <f t="shared" si="538"/>
        <v/>
      </c>
      <c r="HU130" s="43" t="str">
        <f t="shared" si="445"/>
        <v>-</v>
      </c>
      <c r="HV130" s="44" t="str">
        <f t="shared" si="446"/>
        <v/>
      </c>
      <c r="HW130" s="45" t="str">
        <f t="shared" si="447"/>
        <v/>
      </c>
      <c r="HX130" s="96"/>
      <c r="HY130" s="96"/>
      <c r="HZ130" s="96"/>
      <c r="IA130" s="95"/>
      <c r="IB130" s="96"/>
      <c r="IC130" s="97"/>
      <c r="ID130" s="95"/>
      <c r="IE130" s="96"/>
      <c r="IF130" s="97"/>
      <c r="IH130" s="66">
        <v>130</v>
      </c>
      <c r="II130" s="66" t="e">
        <f t="shared" ca="1" si="436"/>
        <v>#N/A</v>
      </c>
      <c r="IJ130" s="66" t="e">
        <f t="shared" ca="1" si="437"/>
        <v>#N/A</v>
      </c>
      <c r="IK130" s="66" t="e">
        <f t="shared" ca="1" si="438"/>
        <v>#N/A</v>
      </c>
      <c r="IL130" s="66" t="e">
        <f t="shared" ca="1" si="439"/>
        <v>#N/A</v>
      </c>
      <c r="IN130" s="74" t="e">
        <f t="shared" ca="1" si="440"/>
        <v>#N/A</v>
      </c>
      <c r="IO130" s="75" t="e">
        <f t="shared" ca="1" si="441"/>
        <v>#N/A</v>
      </c>
      <c r="IP130" s="75" t="e">
        <f t="shared" ca="1" si="442"/>
        <v>#N/A</v>
      </c>
      <c r="IQ130" s="74" t="e">
        <f t="shared" ca="1" si="443"/>
        <v>#N/A</v>
      </c>
      <c r="IR130" s="74" t="e">
        <f t="shared" ca="1" si="444"/>
        <v>#N/A</v>
      </c>
    </row>
    <row r="131" spans="1:252" x14ac:dyDescent="0.35">
      <c r="A131" s="28">
        <v>0</v>
      </c>
      <c r="B131" s="28">
        <v>0</v>
      </c>
      <c r="C131" s="28">
        <v>1</v>
      </c>
      <c r="D131" s="1"/>
      <c r="E131" s="3"/>
      <c r="F131" t="s">
        <v>396</v>
      </c>
      <c r="G131" s="5" t="s">
        <v>530</v>
      </c>
      <c r="H131" t="s">
        <v>558</v>
      </c>
      <c r="I131" t="s">
        <v>532</v>
      </c>
      <c r="J131" s="276" t="s">
        <v>805</v>
      </c>
      <c r="K131" s="21" t="s">
        <v>805</v>
      </c>
      <c r="L131" s="21" t="s">
        <v>805</v>
      </c>
      <c r="M131" s="21" t="s">
        <v>805</v>
      </c>
      <c r="N131" s="21" t="s">
        <v>805</v>
      </c>
      <c r="O131" s="21" t="s">
        <v>805</v>
      </c>
      <c r="P131" s="21" t="s">
        <v>805</v>
      </c>
      <c r="Q131" s="21" t="s">
        <v>805</v>
      </c>
      <c r="R131" s="21" t="s">
        <v>805</v>
      </c>
      <c r="S131" s="21" t="s">
        <v>805</v>
      </c>
      <c r="T131" s="21" t="s">
        <v>805</v>
      </c>
      <c r="U131" s="21" t="s">
        <v>805</v>
      </c>
      <c r="V131" s="21" t="s">
        <v>805</v>
      </c>
      <c r="W131" s="21" t="s">
        <v>805</v>
      </c>
      <c r="X131" s="21" t="s">
        <v>805</v>
      </c>
      <c r="Y131" s="21" t="s">
        <v>805</v>
      </c>
      <c r="Z131" s="21" t="s">
        <v>805</v>
      </c>
      <c r="AA131" s="21" t="s">
        <v>805</v>
      </c>
      <c r="AB131" s="21" t="s">
        <v>805</v>
      </c>
      <c r="AC131" s="21" t="s">
        <v>805</v>
      </c>
      <c r="AD131" s="21" t="s">
        <v>805</v>
      </c>
      <c r="AE131" s="21" t="s">
        <v>805</v>
      </c>
      <c r="AF131" s="21" t="s">
        <v>805</v>
      </c>
      <c r="AG131" s="21" t="s">
        <v>805</v>
      </c>
      <c r="AH131" s="21" t="s">
        <v>805</v>
      </c>
      <c r="AI131" s="21" t="s">
        <v>805</v>
      </c>
      <c r="AJ131" s="21" t="s">
        <v>805</v>
      </c>
      <c r="AK131" s="21" t="s">
        <v>805</v>
      </c>
      <c r="AL131" s="21" t="s">
        <v>805</v>
      </c>
      <c r="AM131" s="21" t="s">
        <v>805</v>
      </c>
      <c r="AN131" s="21" t="s">
        <v>805</v>
      </c>
      <c r="AO131" s="21" t="s">
        <v>805</v>
      </c>
      <c r="AP131" s="21" t="s">
        <v>805</v>
      </c>
      <c r="AQ131" s="21" t="s">
        <v>805</v>
      </c>
      <c r="AR131" s="21" t="s">
        <v>805</v>
      </c>
      <c r="AS131" s="21" t="s">
        <v>805</v>
      </c>
      <c r="AT131" s="21" t="s">
        <v>805</v>
      </c>
      <c r="AU131" s="21" t="s">
        <v>805</v>
      </c>
      <c r="AV131" s="21" t="s">
        <v>805</v>
      </c>
      <c r="AW131" s="21" t="s">
        <v>805</v>
      </c>
      <c r="AX131" s="21" t="s">
        <v>805</v>
      </c>
      <c r="AY131" s="21" t="s">
        <v>805</v>
      </c>
      <c r="AZ131" s="21" t="s">
        <v>805</v>
      </c>
      <c r="BA131" s="21" t="s">
        <v>805</v>
      </c>
      <c r="BB131" s="21" t="s">
        <v>805</v>
      </c>
      <c r="BC131" s="21" t="s">
        <v>805</v>
      </c>
      <c r="BD131" s="21" t="s">
        <v>805</v>
      </c>
      <c r="BE131" s="21" t="s">
        <v>805</v>
      </c>
      <c r="BF131" s="21" t="s">
        <v>805</v>
      </c>
      <c r="BG131" s="21" t="s">
        <v>805</v>
      </c>
      <c r="BH131" s="21" t="s">
        <v>805</v>
      </c>
      <c r="BI131" s="21" t="s">
        <v>805</v>
      </c>
      <c r="BJ131" s="21" t="s">
        <v>805</v>
      </c>
      <c r="BK131" s="21" t="s">
        <v>805</v>
      </c>
      <c r="BL131" s="21" t="s">
        <v>805</v>
      </c>
      <c r="BM131" s="21" t="s">
        <v>805</v>
      </c>
      <c r="BN131" s="21" t="s">
        <v>805</v>
      </c>
      <c r="BO131" s="21" t="s">
        <v>805</v>
      </c>
      <c r="BP131" s="21" t="s">
        <v>805</v>
      </c>
      <c r="BQ131" s="21" t="s">
        <v>805</v>
      </c>
      <c r="BR131" s="21" t="s">
        <v>805</v>
      </c>
      <c r="BS131" s="21" t="s">
        <v>805</v>
      </c>
      <c r="BT131" s="21" t="s">
        <v>805</v>
      </c>
      <c r="BU131" s="21" t="s">
        <v>805</v>
      </c>
      <c r="BV131" s="21" t="s">
        <v>805</v>
      </c>
      <c r="BW131" s="21" t="s">
        <v>805</v>
      </c>
      <c r="BX131" s="21" t="s">
        <v>805</v>
      </c>
      <c r="BY131" s="21" t="s">
        <v>805</v>
      </c>
      <c r="BZ131" s="21" t="s">
        <v>805</v>
      </c>
      <c r="CA131" s="21" t="s">
        <v>805</v>
      </c>
      <c r="CB131" s="21" t="s">
        <v>805</v>
      </c>
      <c r="CC131" s="21" t="s">
        <v>805</v>
      </c>
      <c r="CD131" s="21" t="s">
        <v>805</v>
      </c>
      <c r="CE131" s="21" t="s">
        <v>805</v>
      </c>
      <c r="CF131" s="21" t="s">
        <v>805</v>
      </c>
      <c r="CG131" s="21" t="s">
        <v>805</v>
      </c>
      <c r="CH131" s="21" t="s">
        <v>805</v>
      </c>
      <c r="CI131" s="21" t="s">
        <v>805</v>
      </c>
      <c r="CJ131" s="21" t="s">
        <v>805</v>
      </c>
      <c r="CK131" s="21" t="s">
        <v>805</v>
      </c>
      <c r="CL131" s="21" t="s">
        <v>805</v>
      </c>
      <c r="CM131" s="21" t="s">
        <v>805</v>
      </c>
      <c r="CN131" s="21" t="s">
        <v>805</v>
      </c>
      <c r="CO131" s="21" t="s">
        <v>805</v>
      </c>
      <c r="CP131" s="21" t="s">
        <v>805</v>
      </c>
      <c r="CQ131" s="21" t="s">
        <v>805</v>
      </c>
      <c r="CR131" s="21" t="s">
        <v>805</v>
      </c>
      <c r="CS131" s="21" t="s">
        <v>805</v>
      </c>
      <c r="CT131" s="21" t="s">
        <v>805</v>
      </c>
      <c r="CU131" s="21" t="s">
        <v>805</v>
      </c>
      <c r="CV131" s="21" t="s">
        <v>805</v>
      </c>
      <c r="CW131" s="21" t="s">
        <v>805</v>
      </c>
      <c r="CX131" s="21" t="s">
        <v>805</v>
      </c>
      <c r="CY131" s="21" t="s">
        <v>805</v>
      </c>
      <c r="CZ131" s="21" t="s">
        <v>805</v>
      </c>
      <c r="DA131" s="21" t="s">
        <v>805</v>
      </c>
      <c r="DB131" s="21" t="s">
        <v>805</v>
      </c>
      <c r="DC131" s="21" t="s">
        <v>805</v>
      </c>
      <c r="DD131" s="21" t="s">
        <v>805</v>
      </c>
      <c r="DE131" s="21" t="s">
        <v>805</v>
      </c>
      <c r="DF131" s="21" t="s">
        <v>805</v>
      </c>
      <c r="DG131" s="28">
        <f>'KPI Count-SHARE'!J120</f>
        <v>0</v>
      </c>
      <c r="DH131" s="109"/>
      <c r="DI131" s="109"/>
      <c r="DJ131" s="109"/>
      <c r="DK131" s="28">
        <f>'KPI Count-SHARE'!K120</f>
        <v>0</v>
      </c>
      <c r="DL131" s="61"/>
      <c r="DM131" s="61"/>
      <c r="DN131" s="61"/>
      <c r="DO131" s="28">
        <f>'KPI Count-SHARE'!L120</f>
        <v>0</v>
      </c>
      <c r="DP131" s="61"/>
      <c r="DQ131" s="61"/>
      <c r="DR131" s="61"/>
      <c r="DS131" s="28">
        <f>'KPI Count-SHARE'!M120</f>
        <v>0</v>
      </c>
      <c r="DT131" s="61"/>
      <c r="DU131" s="61"/>
      <c r="DV131" s="61"/>
      <c r="DW131" t="s">
        <v>558</v>
      </c>
      <c r="DX131" s="41" t="str">
        <f t="shared" si="425"/>
        <v/>
      </c>
      <c r="DY131" s="41" t="str">
        <f t="shared" si="426"/>
        <v/>
      </c>
      <c r="DZ131" s="41" t="str">
        <f t="shared" si="427"/>
        <v/>
      </c>
      <c r="EA131" s="41" t="str">
        <f t="shared" si="428"/>
        <v/>
      </c>
      <c r="EB131" s="41" t="str">
        <f t="shared" si="429"/>
        <v/>
      </c>
      <c r="EC131" s="41" t="str">
        <f t="shared" si="430"/>
        <v/>
      </c>
      <c r="ED131" s="41" t="str">
        <f t="shared" si="431"/>
        <v/>
      </c>
      <c r="EE131" s="41" t="str">
        <f t="shared" si="432"/>
        <v/>
      </c>
      <c r="EF131" s="41" t="str">
        <f t="shared" si="433"/>
        <v/>
      </c>
      <c r="EG131" s="41" t="str">
        <f t="shared" si="434"/>
        <v/>
      </c>
      <c r="EH131" s="41" t="str">
        <f t="shared" si="435"/>
        <v/>
      </c>
      <c r="EI131" s="41" t="str">
        <f t="shared" si="448"/>
        <v/>
      </c>
      <c r="EJ131" s="41" t="str">
        <f t="shared" si="449"/>
        <v/>
      </c>
      <c r="EK131" s="41" t="str">
        <f t="shared" si="450"/>
        <v/>
      </c>
      <c r="EL131" s="41" t="str">
        <f t="shared" si="451"/>
        <v/>
      </c>
      <c r="EM131" s="41" t="str">
        <f t="shared" si="452"/>
        <v/>
      </c>
      <c r="EN131" s="41" t="str">
        <f t="shared" si="453"/>
        <v/>
      </c>
      <c r="EO131" s="41" t="str">
        <f t="shared" si="454"/>
        <v/>
      </c>
      <c r="EP131" s="41" t="str">
        <f t="shared" si="455"/>
        <v/>
      </c>
      <c r="EQ131" s="41" t="str">
        <f t="shared" si="456"/>
        <v/>
      </c>
      <c r="ER131" s="41" t="str">
        <f t="shared" si="457"/>
        <v/>
      </c>
      <c r="ES131" s="41" t="str">
        <f t="shared" si="458"/>
        <v/>
      </c>
      <c r="ET131" s="41" t="str">
        <f t="shared" si="459"/>
        <v/>
      </c>
      <c r="EU131" s="41" t="str">
        <f t="shared" si="462"/>
        <v/>
      </c>
      <c r="EV131" s="41" t="str">
        <f t="shared" si="463"/>
        <v/>
      </c>
      <c r="EW131" s="41" t="str">
        <f t="shared" si="464"/>
        <v/>
      </c>
      <c r="EX131" s="41" t="str">
        <f t="shared" si="465"/>
        <v/>
      </c>
      <c r="EY131" s="41" t="str">
        <f t="shared" si="466"/>
        <v/>
      </c>
      <c r="EZ131" s="41" t="str">
        <f t="shared" si="467"/>
        <v/>
      </c>
      <c r="FA131" s="41" t="str">
        <f t="shared" si="468"/>
        <v/>
      </c>
      <c r="FB131" s="41" t="str">
        <f t="shared" si="469"/>
        <v/>
      </c>
      <c r="FC131" s="41" t="str">
        <f t="shared" si="470"/>
        <v/>
      </c>
      <c r="FD131" s="41" t="str">
        <f t="shared" si="471"/>
        <v/>
      </c>
      <c r="FE131" s="41" t="str">
        <f t="shared" si="472"/>
        <v/>
      </c>
      <c r="FF131" s="41" t="str">
        <f t="shared" si="473"/>
        <v/>
      </c>
      <c r="FG131" s="41" t="str">
        <f t="shared" si="474"/>
        <v/>
      </c>
      <c r="FH131" s="41" t="str">
        <f t="shared" si="475"/>
        <v/>
      </c>
      <c r="FI131" s="41" t="str">
        <f t="shared" si="476"/>
        <v/>
      </c>
      <c r="FJ131" s="41" t="str">
        <f t="shared" si="477"/>
        <v/>
      </c>
      <c r="FK131" s="41" t="str">
        <f t="shared" si="478"/>
        <v/>
      </c>
      <c r="FL131" s="41" t="str">
        <f t="shared" si="479"/>
        <v/>
      </c>
      <c r="FM131" s="41" t="str">
        <f t="shared" si="480"/>
        <v/>
      </c>
      <c r="FN131" s="41" t="str">
        <f t="shared" si="481"/>
        <v/>
      </c>
      <c r="FO131" s="41" t="str">
        <f t="shared" si="482"/>
        <v/>
      </c>
      <c r="FP131" s="41" t="str">
        <f t="shared" si="483"/>
        <v/>
      </c>
      <c r="FQ131" s="41" t="str">
        <f t="shared" si="484"/>
        <v/>
      </c>
      <c r="FR131" s="41" t="str">
        <f t="shared" si="485"/>
        <v/>
      </c>
      <c r="FS131" s="41" t="str">
        <f t="shared" si="486"/>
        <v/>
      </c>
      <c r="FT131" s="41" t="str">
        <f t="shared" si="487"/>
        <v/>
      </c>
      <c r="FU131" s="41" t="str">
        <f t="shared" si="488"/>
        <v/>
      </c>
      <c r="FV131" s="41" t="str">
        <f t="shared" si="489"/>
        <v/>
      </c>
      <c r="FW131" s="41" t="str">
        <f t="shared" si="490"/>
        <v/>
      </c>
      <c r="FX131" s="41" t="str">
        <f t="shared" si="491"/>
        <v/>
      </c>
      <c r="FY131" s="41" t="str">
        <f t="shared" si="492"/>
        <v/>
      </c>
      <c r="FZ131" s="41" t="str">
        <f t="shared" si="493"/>
        <v/>
      </c>
      <c r="GA131" s="41" t="str">
        <f t="shared" si="494"/>
        <v/>
      </c>
      <c r="GB131" s="41" t="str">
        <f t="shared" si="495"/>
        <v/>
      </c>
      <c r="GC131" s="41" t="str">
        <f t="shared" si="496"/>
        <v/>
      </c>
      <c r="GD131" s="41" t="str">
        <f t="shared" si="497"/>
        <v/>
      </c>
      <c r="GE131" s="41" t="str">
        <f t="shared" si="498"/>
        <v/>
      </c>
      <c r="GF131" s="41" t="str">
        <f t="shared" si="499"/>
        <v/>
      </c>
      <c r="GG131" s="41" t="str">
        <f t="shared" si="500"/>
        <v/>
      </c>
      <c r="GH131" s="41" t="str">
        <f t="shared" si="501"/>
        <v/>
      </c>
      <c r="GI131" s="41" t="str">
        <f t="shared" si="502"/>
        <v/>
      </c>
      <c r="GJ131" s="41" t="str">
        <f t="shared" si="503"/>
        <v/>
      </c>
      <c r="GK131" s="41" t="str">
        <f t="shared" si="504"/>
        <v/>
      </c>
      <c r="GL131" s="41" t="str">
        <f t="shared" si="505"/>
        <v/>
      </c>
      <c r="GM131" s="41" t="str">
        <f t="shared" si="506"/>
        <v/>
      </c>
      <c r="GN131" s="41" t="str">
        <f t="shared" si="507"/>
        <v/>
      </c>
      <c r="GO131" s="41" t="str">
        <f t="shared" si="508"/>
        <v/>
      </c>
      <c r="GP131" s="41" t="str">
        <f t="shared" si="509"/>
        <v/>
      </c>
      <c r="GQ131" s="41" t="str">
        <f t="shared" si="510"/>
        <v/>
      </c>
      <c r="GR131" s="41" t="str">
        <f t="shared" si="511"/>
        <v/>
      </c>
      <c r="GS131" s="41" t="str">
        <f t="shared" si="512"/>
        <v/>
      </c>
      <c r="GT131" s="41" t="str">
        <f t="shared" si="513"/>
        <v/>
      </c>
      <c r="GU131" s="41" t="str">
        <f t="shared" si="514"/>
        <v/>
      </c>
      <c r="GV131" s="41" t="str">
        <f t="shared" si="515"/>
        <v/>
      </c>
      <c r="GW131" s="41" t="str">
        <f t="shared" si="516"/>
        <v/>
      </c>
      <c r="GX131" s="41" t="str">
        <f t="shared" si="517"/>
        <v/>
      </c>
      <c r="GY131" s="41" t="str">
        <f t="shared" si="518"/>
        <v/>
      </c>
      <c r="GZ131" s="41" t="str">
        <f t="shared" si="519"/>
        <v/>
      </c>
      <c r="HA131" s="41" t="str">
        <f t="shared" si="520"/>
        <v/>
      </c>
      <c r="HB131" s="41" t="str">
        <f t="shared" si="521"/>
        <v/>
      </c>
      <c r="HC131" s="41" t="str">
        <f t="shared" si="522"/>
        <v/>
      </c>
      <c r="HD131" s="41" t="str">
        <f t="shared" si="523"/>
        <v/>
      </c>
      <c r="HE131" s="41" t="str">
        <f t="shared" si="524"/>
        <v/>
      </c>
      <c r="HF131" s="41" t="str">
        <f t="shared" si="525"/>
        <v/>
      </c>
      <c r="HG131" s="41" t="str">
        <f t="shared" si="526"/>
        <v/>
      </c>
      <c r="HH131" s="41" t="str">
        <f t="shared" si="527"/>
        <v/>
      </c>
      <c r="HI131" s="41" t="str">
        <f t="shared" si="528"/>
        <v/>
      </c>
      <c r="HJ131" s="41" t="str">
        <f t="shared" si="529"/>
        <v/>
      </c>
      <c r="HK131" s="41" t="str">
        <f t="shared" si="530"/>
        <v/>
      </c>
      <c r="HL131" s="41" t="str">
        <f t="shared" si="531"/>
        <v/>
      </c>
      <c r="HM131" s="41" t="str">
        <f t="shared" si="532"/>
        <v/>
      </c>
      <c r="HN131" s="41" t="str">
        <f t="shared" si="533"/>
        <v/>
      </c>
      <c r="HO131" s="41" t="str">
        <f t="shared" si="534"/>
        <v/>
      </c>
      <c r="HP131" s="41" t="str">
        <f t="shared" si="535"/>
        <v/>
      </c>
      <c r="HQ131" s="41" t="str">
        <f t="shared" si="536"/>
        <v/>
      </c>
      <c r="HR131" s="41" t="str">
        <f t="shared" si="537"/>
        <v/>
      </c>
      <c r="HS131" s="41" t="str">
        <f t="shared" si="538"/>
        <v/>
      </c>
      <c r="HT131" s="41" t="str">
        <f t="shared" si="538"/>
        <v/>
      </c>
      <c r="HU131" s="43" t="str">
        <f t="shared" si="445"/>
        <v>-</v>
      </c>
      <c r="HV131" s="44" t="str">
        <f t="shared" si="446"/>
        <v/>
      </c>
      <c r="HW131" s="45" t="str">
        <f t="shared" si="447"/>
        <v/>
      </c>
      <c r="HX131" s="96"/>
      <c r="HY131" s="96"/>
      <c r="HZ131" s="96"/>
      <c r="IA131" s="95"/>
      <c r="IB131" s="96"/>
      <c r="IC131" s="97"/>
      <c r="ID131" s="95"/>
      <c r="IE131" s="96"/>
      <c r="IF131" s="97"/>
      <c r="IH131" s="66">
        <v>131</v>
      </c>
      <c r="II131" s="66" t="e">
        <f t="shared" ca="1" si="436"/>
        <v>#N/A</v>
      </c>
      <c r="IJ131" s="66" t="e">
        <f t="shared" ca="1" si="437"/>
        <v>#N/A</v>
      </c>
      <c r="IK131" s="66" t="e">
        <f t="shared" ca="1" si="438"/>
        <v>#N/A</v>
      </c>
      <c r="IL131" s="66" t="e">
        <f t="shared" ca="1" si="439"/>
        <v>#N/A</v>
      </c>
      <c r="IN131" s="74" t="e">
        <f t="shared" ca="1" si="440"/>
        <v>#N/A</v>
      </c>
      <c r="IO131" s="75" t="e">
        <f t="shared" ca="1" si="441"/>
        <v>#N/A</v>
      </c>
      <c r="IP131" s="75" t="e">
        <f t="shared" ca="1" si="442"/>
        <v>#N/A</v>
      </c>
      <c r="IQ131" s="74" t="e">
        <f t="shared" ca="1" si="443"/>
        <v>#N/A</v>
      </c>
      <c r="IR131" s="74" t="e">
        <f t="shared" ca="1" si="444"/>
        <v>#N/A</v>
      </c>
    </row>
    <row r="132" spans="1:252" x14ac:dyDescent="0.35">
      <c r="A132" s="28">
        <v>0</v>
      </c>
      <c r="B132" s="28">
        <v>0</v>
      </c>
      <c r="C132" s="28">
        <v>1</v>
      </c>
      <c r="D132" s="1"/>
      <c r="E132" s="3"/>
      <c r="F132" t="s">
        <v>397</v>
      </c>
      <c r="G132" s="5" t="s">
        <v>530</v>
      </c>
      <c r="H132" t="s">
        <v>558</v>
      </c>
      <c r="I132" t="s">
        <v>532</v>
      </c>
      <c r="J132" s="276" t="s">
        <v>805</v>
      </c>
      <c r="K132" s="21" t="s">
        <v>805</v>
      </c>
      <c r="L132" s="21" t="s">
        <v>805</v>
      </c>
      <c r="M132" s="21" t="s">
        <v>805</v>
      </c>
      <c r="N132" s="21" t="s">
        <v>805</v>
      </c>
      <c r="O132" s="21" t="s">
        <v>805</v>
      </c>
      <c r="P132" s="21" t="s">
        <v>805</v>
      </c>
      <c r="Q132" s="21" t="s">
        <v>805</v>
      </c>
      <c r="R132" s="21" t="s">
        <v>805</v>
      </c>
      <c r="S132" s="21" t="s">
        <v>805</v>
      </c>
      <c r="T132" s="21" t="s">
        <v>805</v>
      </c>
      <c r="U132" s="21" t="s">
        <v>805</v>
      </c>
      <c r="V132" s="21" t="s">
        <v>805</v>
      </c>
      <c r="W132" s="21" t="s">
        <v>805</v>
      </c>
      <c r="X132" s="21" t="s">
        <v>805</v>
      </c>
      <c r="Y132" s="21" t="s">
        <v>805</v>
      </c>
      <c r="Z132" s="21" t="s">
        <v>805</v>
      </c>
      <c r="AA132" s="21" t="s">
        <v>805</v>
      </c>
      <c r="AB132" s="21" t="s">
        <v>805</v>
      </c>
      <c r="AC132" s="21" t="s">
        <v>805</v>
      </c>
      <c r="AD132" s="21" t="s">
        <v>805</v>
      </c>
      <c r="AE132" s="21" t="s">
        <v>805</v>
      </c>
      <c r="AF132" s="21" t="s">
        <v>805</v>
      </c>
      <c r="AG132" s="21" t="s">
        <v>805</v>
      </c>
      <c r="AH132" s="21" t="s">
        <v>805</v>
      </c>
      <c r="AI132" s="21" t="s">
        <v>805</v>
      </c>
      <c r="AJ132" s="21" t="s">
        <v>805</v>
      </c>
      <c r="AK132" s="21" t="s">
        <v>805</v>
      </c>
      <c r="AL132" s="21" t="s">
        <v>805</v>
      </c>
      <c r="AM132" s="21" t="s">
        <v>805</v>
      </c>
      <c r="AN132" s="21" t="s">
        <v>805</v>
      </c>
      <c r="AO132" s="21" t="s">
        <v>805</v>
      </c>
      <c r="AP132" s="21" t="s">
        <v>805</v>
      </c>
      <c r="AQ132" s="21" t="s">
        <v>805</v>
      </c>
      <c r="AR132" s="21" t="s">
        <v>805</v>
      </c>
      <c r="AS132" s="21" t="s">
        <v>805</v>
      </c>
      <c r="AT132" s="21" t="s">
        <v>805</v>
      </c>
      <c r="AU132" s="21" t="s">
        <v>805</v>
      </c>
      <c r="AV132" s="21" t="s">
        <v>805</v>
      </c>
      <c r="AW132" s="21" t="s">
        <v>805</v>
      </c>
      <c r="AX132" s="21" t="s">
        <v>805</v>
      </c>
      <c r="AY132" s="21" t="s">
        <v>805</v>
      </c>
      <c r="AZ132" s="21" t="s">
        <v>805</v>
      </c>
      <c r="BA132" s="21" t="s">
        <v>805</v>
      </c>
      <c r="BB132" s="21" t="s">
        <v>805</v>
      </c>
      <c r="BC132" s="21" t="s">
        <v>805</v>
      </c>
      <c r="BD132" s="21" t="s">
        <v>805</v>
      </c>
      <c r="BE132" s="21" t="s">
        <v>805</v>
      </c>
      <c r="BF132" s="21" t="s">
        <v>805</v>
      </c>
      <c r="BG132" s="21" t="s">
        <v>805</v>
      </c>
      <c r="BH132" s="21" t="s">
        <v>805</v>
      </c>
      <c r="BI132" s="21" t="s">
        <v>805</v>
      </c>
      <c r="BJ132" s="21" t="s">
        <v>805</v>
      </c>
      <c r="BK132" s="21" t="s">
        <v>805</v>
      </c>
      <c r="BL132" s="21" t="s">
        <v>805</v>
      </c>
      <c r="BM132" s="21" t="s">
        <v>805</v>
      </c>
      <c r="BN132" s="21" t="s">
        <v>805</v>
      </c>
      <c r="BO132" s="21" t="s">
        <v>805</v>
      </c>
      <c r="BP132" s="21" t="s">
        <v>805</v>
      </c>
      <c r="BQ132" s="21" t="s">
        <v>805</v>
      </c>
      <c r="BR132" s="21" t="s">
        <v>805</v>
      </c>
      <c r="BS132" s="21" t="s">
        <v>805</v>
      </c>
      <c r="BT132" s="21" t="s">
        <v>805</v>
      </c>
      <c r="BU132" s="21" t="s">
        <v>805</v>
      </c>
      <c r="BV132" s="21" t="s">
        <v>805</v>
      </c>
      <c r="BW132" s="21" t="s">
        <v>805</v>
      </c>
      <c r="BX132" s="21" t="s">
        <v>805</v>
      </c>
      <c r="BY132" s="21" t="s">
        <v>805</v>
      </c>
      <c r="BZ132" s="21" t="s">
        <v>805</v>
      </c>
      <c r="CA132" s="21" t="s">
        <v>805</v>
      </c>
      <c r="CB132" s="21" t="s">
        <v>805</v>
      </c>
      <c r="CC132" s="21" t="s">
        <v>805</v>
      </c>
      <c r="CD132" s="21" t="s">
        <v>805</v>
      </c>
      <c r="CE132" s="21" t="s">
        <v>805</v>
      </c>
      <c r="CF132" s="21" t="s">
        <v>805</v>
      </c>
      <c r="CG132" s="21" t="s">
        <v>805</v>
      </c>
      <c r="CH132" s="21" t="s">
        <v>805</v>
      </c>
      <c r="CI132" s="21" t="s">
        <v>805</v>
      </c>
      <c r="CJ132" s="21" t="s">
        <v>805</v>
      </c>
      <c r="CK132" s="21" t="s">
        <v>805</v>
      </c>
      <c r="CL132" s="21" t="s">
        <v>805</v>
      </c>
      <c r="CM132" s="21" t="s">
        <v>805</v>
      </c>
      <c r="CN132" s="21" t="s">
        <v>805</v>
      </c>
      <c r="CO132" s="21" t="s">
        <v>805</v>
      </c>
      <c r="CP132" s="21" t="s">
        <v>805</v>
      </c>
      <c r="CQ132" s="21" t="s">
        <v>805</v>
      </c>
      <c r="CR132" s="21" t="s">
        <v>805</v>
      </c>
      <c r="CS132" s="21" t="s">
        <v>805</v>
      </c>
      <c r="CT132" s="21" t="s">
        <v>805</v>
      </c>
      <c r="CU132" s="21" t="s">
        <v>805</v>
      </c>
      <c r="CV132" s="21" t="s">
        <v>805</v>
      </c>
      <c r="CW132" s="21" t="s">
        <v>805</v>
      </c>
      <c r="CX132" s="21" t="s">
        <v>805</v>
      </c>
      <c r="CY132" s="21" t="s">
        <v>805</v>
      </c>
      <c r="CZ132" s="21" t="s">
        <v>805</v>
      </c>
      <c r="DA132" s="21" t="s">
        <v>805</v>
      </c>
      <c r="DB132" s="21" t="s">
        <v>805</v>
      </c>
      <c r="DC132" s="21" t="s">
        <v>805</v>
      </c>
      <c r="DD132" s="21" t="s">
        <v>805</v>
      </c>
      <c r="DE132" s="21" t="s">
        <v>805</v>
      </c>
      <c r="DF132" s="21" t="s">
        <v>805</v>
      </c>
      <c r="DG132" s="28">
        <f>'KPI Count-SHARE'!J121</f>
        <v>0</v>
      </c>
      <c r="DH132" s="109"/>
      <c r="DI132" s="109"/>
      <c r="DJ132" s="109"/>
      <c r="DK132" s="28">
        <f>'KPI Count-SHARE'!K121</f>
        <v>0</v>
      </c>
      <c r="DL132" s="61"/>
      <c r="DM132" s="61"/>
      <c r="DN132" s="61"/>
      <c r="DO132" s="28">
        <f>'KPI Count-SHARE'!L121</f>
        <v>0</v>
      </c>
      <c r="DP132" s="61"/>
      <c r="DQ132" s="61"/>
      <c r="DR132" s="61"/>
      <c r="DS132" s="28">
        <f>'KPI Count-SHARE'!M121</f>
        <v>0</v>
      </c>
      <c r="DT132" s="61"/>
      <c r="DU132" s="61"/>
      <c r="DV132" s="61"/>
      <c r="DW132" t="s">
        <v>558</v>
      </c>
      <c r="DX132" s="41" t="str">
        <f t="shared" si="425"/>
        <v/>
      </c>
      <c r="DY132" s="41" t="str">
        <f t="shared" si="426"/>
        <v/>
      </c>
      <c r="DZ132" s="41" t="str">
        <f t="shared" si="427"/>
        <v/>
      </c>
      <c r="EA132" s="41" t="str">
        <f t="shared" si="428"/>
        <v/>
      </c>
      <c r="EB132" s="41" t="str">
        <f t="shared" si="429"/>
        <v/>
      </c>
      <c r="EC132" s="41" t="str">
        <f t="shared" si="430"/>
        <v/>
      </c>
      <c r="ED132" s="41" t="str">
        <f t="shared" si="431"/>
        <v/>
      </c>
      <c r="EE132" s="41" t="str">
        <f t="shared" si="432"/>
        <v/>
      </c>
      <c r="EF132" s="41" t="str">
        <f t="shared" si="433"/>
        <v/>
      </c>
      <c r="EG132" s="41" t="str">
        <f t="shared" si="434"/>
        <v/>
      </c>
      <c r="EH132" s="41" t="str">
        <f t="shared" si="435"/>
        <v/>
      </c>
      <c r="EI132" s="41" t="str">
        <f t="shared" si="448"/>
        <v/>
      </c>
      <c r="EJ132" s="41" t="str">
        <f t="shared" si="449"/>
        <v/>
      </c>
      <c r="EK132" s="41" t="str">
        <f t="shared" si="450"/>
        <v/>
      </c>
      <c r="EL132" s="41" t="str">
        <f t="shared" si="451"/>
        <v/>
      </c>
      <c r="EM132" s="41" t="str">
        <f t="shared" si="452"/>
        <v/>
      </c>
      <c r="EN132" s="41" t="str">
        <f t="shared" si="453"/>
        <v/>
      </c>
      <c r="EO132" s="41" t="str">
        <f t="shared" si="454"/>
        <v/>
      </c>
      <c r="EP132" s="41" t="str">
        <f t="shared" si="455"/>
        <v/>
      </c>
      <c r="EQ132" s="41" t="str">
        <f t="shared" si="456"/>
        <v/>
      </c>
      <c r="ER132" s="41" t="str">
        <f t="shared" si="457"/>
        <v/>
      </c>
      <c r="ES132" s="41" t="str">
        <f t="shared" si="458"/>
        <v/>
      </c>
      <c r="ET132" s="41" t="str">
        <f t="shared" si="459"/>
        <v/>
      </c>
      <c r="EU132" s="41" t="str">
        <f t="shared" si="462"/>
        <v/>
      </c>
      <c r="EV132" s="41" t="str">
        <f t="shared" si="463"/>
        <v/>
      </c>
      <c r="EW132" s="41" t="str">
        <f t="shared" si="464"/>
        <v/>
      </c>
      <c r="EX132" s="41" t="str">
        <f t="shared" si="465"/>
        <v/>
      </c>
      <c r="EY132" s="41" t="str">
        <f t="shared" si="466"/>
        <v/>
      </c>
      <c r="EZ132" s="41" t="str">
        <f t="shared" si="467"/>
        <v/>
      </c>
      <c r="FA132" s="41" t="str">
        <f t="shared" si="468"/>
        <v/>
      </c>
      <c r="FB132" s="41" t="str">
        <f t="shared" si="469"/>
        <v/>
      </c>
      <c r="FC132" s="41" t="str">
        <f t="shared" si="470"/>
        <v/>
      </c>
      <c r="FD132" s="41" t="str">
        <f t="shared" si="471"/>
        <v/>
      </c>
      <c r="FE132" s="41" t="str">
        <f t="shared" si="472"/>
        <v/>
      </c>
      <c r="FF132" s="41" t="str">
        <f t="shared" si="473"/>
        <v/>
      </c>
      <c r="FG132" s="41" t="str">
        <f t="shared" si="474"/>
        <v/>
      </c>
      <c r="FH132" s="41" t="str">
        <f t="shared" si="475"/>
        <v/>
      </c>
      <c r="FI132" s="41" t="str">
        <f t="shared" si="476"/>
        <v/>
      </c>
      <c r="FJ132" s="41" t="str">
        <f t="shared" si="477"/>
        <v/>
      </c>
      <c r="FK132" s="41" t="str">
        <f t="shared" si="478"/>
        <v/>
      </c>
      <c r="FL132" s="41" t="str">
        <f t="shared" si="479"/>
        <v/>
      </c>
      <c r="FM132" s="41" t="str">
        <f t="shared" si="480"/>
        <v/>
      </c>
      <c r="FN132" s="41" t="str">
        <f t="shared" si="481"/>
        <v/>
      </c>
      <c r="FO132" s="41" t="str">
        <f t="shared" si="482"/>
        <v/>
      </c>
      <c r="FP132" s="41" t="str">
        <f t="shared" si="483"/>
        <v/>
      </c>
      <c r="FQ132" s="41" t="str">
        <f t="shared" si="484"/>
        <v/>
      </c>
      <c r="FR132" s="41" t="str">
        <f t="shared" si="485"/>
        <v/>
      </c>
      <c r="FS132" s="41" t="str">
        <f t="shared" si="486"/>
        <v/>
      </c>
      <c r="FT132" s="41" t="str">
        <f t="shared" si="487"/>
        <v/>
      </c>
      <c r="FU132" s="41" t="str">
        <f t="shared" si="488"/>
        <v/>
      </c>
      <c r="FV132" s="41" t="str">
        <f t="shared" si="489"/>
        <v/>
      </c>
      <c r="FW132" s="41" t="str">
        <f t="shared" si="490"/>
        <v/>
      </c>
      <c r="FX132" s="41" t="str">
        <f t="shared" si="491"/>
        <v/>
      </c>
      <c r="FY132" s="41" t="str">
        <f t="shared" si="492"/>
        <v/>
      </c>
      <c r="FZ132" s="41" t="str">
        <f t="shared" si="493"/>
        <v/>
      </c>
      <c r="GA132" s="41" t="str">
        <f t="shared" si="494"/>
        <v/>
      </c>
      <c r="GB132" s="41" t="str">
        <f t="shared" si="495"/>
        <v/>
      </c>
      <c r="GC132" s="41" t="str">
        <f t="shared" si="496"/>
        <v/>
      </c>
      <c r="GD132" s="41" t="str">
        <f t="shared" si="497"/>
        <v/>
      </c>
      <c r="GE132" s="41" t="str">
        <f t="shared" si="498"/>
        <v/>
      </c>
      <c r="GF132" s="41" t="str">
        <f t="shared" si="499"/>
        <v/>
      </c>
      <c r="GG132" s="41" t="str">
        <f t="shared" si="500"/>
        <v/>
      </c>
      <c r="GH132" s="41" t="str">
        <f t="shared" si="501"/>
        <v/>
      </c>
      <c r="GI132" s="41" t="str">
        <f t="shared" si="502"/>
        <v/>
      </c>
      <c r="GJ132" s="41" t="str">
        <f t="shared" si="503"/>
        <v/>
      </c>
      <c r="GK132" s="41" t="str">
        <f t="shared" si="504"/>
        <v/>
      </c>
      <c r="GL132" s="41" t="str">
        <f t="shared" si="505"/>
        <v/>
      </c>
      <c r="GM132" s="41" t="str">
        <f t="shared" si="506"/>
        <v/>
      </c>
      <c r="GN132" s="41" t="str">
        <f t="shared" si="507"/>
        <v/>
      </c>
      <c r="GO132" s="41" t="str">
        <f t="shared" si="508"/>
        <v/>
      </c>
      <c r="GP132" s="41" t="str">
        <f t="shared" si="509"/>
        <v/>
      </c>
      <c r="GQ132" s="41" t="str">
        <f t="shared" si="510"/>
        <v/>
      </c>
      <c r="GR132" s="41" t="str">
        <f t="shared" si="511"/>
        <v/>
      </c>
      <c r="GS132" s="41" t="str">
        <f t="shared" si="512"/>
        <v/>
      </c>
      <c r="GT132" s="41" t="str">
        <f t="shared" si="513"/>
        <v/>
      </c>
      <c r="GU132" s="41" t="str">
        <f t="shared" si="514"/>
        <v/>
      </c>
      <c r="GV132" s="41" t="str">
        <f t="shared" si="515"/>
        <v/>
      </c>
      <c r="GW132" s="41" t="str">
        <f t="shared" si="516"/>
        <v/>
      </c>
      <c r="GX132" s="41" t="str">
        <f t="shared" si="517"/>
        <v/>
      </c>
      <c r="GY132" s="41" t="str">
        <f t="shared" si="518"/>
        <v/>
      </c>
      <c r="GZ132" s="41" t="str">
        <f t="shared" si="519"/>
        <v/>
      </c>
      <c r="HA132" s="41" t="str">
        <f t="shared" si="520"/>
        <v/>
      </c>
      <c r="HB132" s="41" t="str">
        <f t="shared" si="521"/>
        <v/>
      </c>
      <c r="HC132" s="41" t="str">
        <f t="shared" si="522"/>
        <v/>
      </c>
      <c r="HD132" s="41" t="str">
        <f t="shared" si="523"/>
        <v/>
      </c>
      <c r="HE132" s="41" t="str">
        <f t="shared" si="524"/>
        <v/>
      </c>
      <c r="HF132" s="41" t="str">
        <f t="shared" si="525"/>
        <v/>
      </c>
      <c r="HG132" s="41" t="str">
        <f t="shared" si="526"/>
        <v/>
      </c>
      <c r="HH132" s="41" t="str">
        <f t="shared" si="527"/>
        <v/>
      </c>
      <c r="HI132" s="41" t="str">
        <f t="shared" si="528"/>
        <v/>
      </c>
      <c r="HJ132" s="41" t="str">
        <f t="shared" si="529"/>
        <v/>
      </c>
      <c r="HK132" s="41" t="str">
        <f t="shared" si="530"/>
        <v/>
      </c>
      <c r="HL132" s="41" t="str">
        <f t="shared" si="531"/>
        <v/>
      </c>
      <c r="HM132" s="41" t="str">
        <f t="shared" si="532"/>
        <v/>
      </c>
      <c r="HN132" s="41" t="str">
        <f t="shared" si="533"/>
        <v/>
      </c>
      <c r="HO132" s="41" t="str">
        <f t="shared" si="534"/>
        <v/>
      </c>
      <c r="HP132" s="41" t="str">
        <f t="shared" si="535"/>
        <v/>
      </c>
      <c r="HQ132" s="41" t="str">
        <f t="shared" si="536"/>
        <v/>
      </c>
      <c r="HR132" s="41" t="str">
        <f t="shared" si="537"/>
        <v/>
      </c>
      <c r="HS132" s="41" t="str">
        <f t="shared" si="538"/>
        <v/>
      </c>
      <c r="HT132" s="41" t="str">
        <f t="shared" si="538"/>
        <v/>
      </c>
      <c r="HU132" s="43" t="str">
        <f t="shared" si="445"/>
        <v>-</v>
      </c>
      <c r="HV132" s="44" t="str">
        <f t="shared" si="446"/>
        <v/>
      </c>
      <c r="HW132" s="45" t="str">
        <f t="shared" si="447"/>
        <v/>
      </c>
      <c r="HX132" s="96"/>
      <c r="HY132" s="96"/>
      <c r="HZ132" s="96"/>
      <c r="IA132" s="95"/>
      <c r="IB132" s="96"/>
      <c r="IC132" s="97"/>
      <c r="ID132" s="95"/>
      <c r="IE132" s="96"/>
      <c r="IF132" s="97"/>
      <c r="IH132" s="66">
        <v>132</v>
      </c>
      <c r="II132" s="66" t="e">
        <f t="shared" ca="1" si="436"/>
        <v>#N/A</v>
      </c>
      <c r="IJ132" s="66" t="e">
        <f t="shared" ca="1" si="437"/>
        <v>#N/A</v>
      </c>
      <c r="IK132" s="66" t="e">
        <f t="shared" ca="1" si="438"/>
        <v>#N/A</v>
      </c>
      <c r="IL132" s="66" t="e">
        <f t="shared" ca="1" si="439"/>
        <v>#N/A</v>
      </c>
      <c r="IN132" s="74" t="e">
        <f t="shared" ca="1" si="440"/>
        <v>#N/A</v>
      </c>
      <c r="IO132" s="75" t="e">
        <f t="shared" ca="1" si="441"/>
        <v>#N/A</v>
      </c>
      <c r="IP132" s="75" t="e">
        <f t="shared" ca="1" si="442"/>
        <v>#N/A</v>
      </c>
      <c r="IQ132" s="74" t="e">
        <f t="shared" ca="1" si="443"/>
        <v>#N/A</v>
      </c>
      <c r="IR132" s="74" t="e">
        <f t="shared" ca="1" si="444"/>
        <v>#N/A</v>
      </c>
    </row>
    <row r="133" spans="1:252" x14ac:dyDescent="0.35">
      <c r="A133" s="28">
        <v>1</v>
      </c>
      <c r="B133" s="28">
        <v>1</v>
      </c>
      <c r="C133" s="28">
        <v>1</v>
      </c>
      <c r="D133" s="1"/>
      <c r="E133" s="3"/>
      <c r="F133" t="s">
        <v>398</v>
      </c>
      <c r="G133" s="5" t="s">
        <v>540</v>
      </c>
      <c r="H133" t="s">
        <v>559</v>
      </c>
      <c r="I133" t="s">
        <v>532</v>
      </c>
      <c r="J133" s="276" t="s">
        <v>805</v>
      </c>
      <c r="K133" s="21" t="s">
        <v>805</v>
      </c>
      <c r="L133" s="21" t="s">
        <v>805</v>
      </c>
      <c r="M133" s="21" t="s">
        <v>805</v>
      </c>
      <c r="N133" s="21" t="s">
        <v>805</v>
      </c>
      <c r="O133" s="21" t="s">
        <v>805</v>
      </c>
      <c r="P133" s="21" t="s">
        <v>805</v>
      </c>
      <c r="Q133" s="21" t="s">
        <v>805</v>
      </c>
      <c r="R133" s="21" t="s">
        <v>805</v>
      </c>
      <c r="S133" s="21" t="s">
        <v>805</v>
      </c>
      <c r="T133" s="21" t="s">
        <v>805</v>
      </c>
      <c r="U133" s="21" t="s">
        <v>805</v>
      </c>
      <c r="V133" s="21" t="s">
        <v>805</v>
      </c>
      <c r="W133" s="21" t="s">
        <v>805</v>
      </c>
      <c r="X133" s="21" t="s">
        <v>805</v>
      </c>
      <c r="Y133" s="21" t="s">
        <v>805</v>
      </c>
      <c r="Z133" s="21" t="s">
        <v>805</v>
      </c>
      <c r="AA133" s="21" t="s">
        <v>805</v>
      </c>
      <c r="AB133" s="21" t="s">
        <v>805</v>
      </c>
      <c r="AC133" s="21" t="s">
        <v>805</v>
      </c>
      <c r="AD133" s="21" t="s">
        <v>805</v>
      </c>
      <c r="AE133" s="21" t="s">
        <v>805</v>
      </c>
      <c r="AF133" s="21" t="s">
        <v>805</v>
      </c>
      <c r="AG133" s="21" t="s">
        <v>805</v>
      </c>
      <c r="AH133" s="21" t="s">
        <v>805</v>
      </c>
      <c r="AI133" s="21" t="s">
        <v>805</v>
      </c>
      <c r="AJ133" s="21" t="s">
        <v>805</v>
      </c>
      <c r="AK133" s="21" t="s">
        <v>805</v>
      </c>
      <c r="AL133" s="21" t="s">
        <v>805</v>
      </c>
      <c r="AM133" s="21" t="s">
        <v>805</v>
      </c>
      <c r="AN133" s="21" t="s">
        <v>805</v>
      </c>
      <c r="AO133" s="21" t="s">
        <v>805</v>
      </c>
      <c r="AP133" s="21" t="s">
        <v>805</v>
      </c>
      <c r="AQ133" s="21" t="s">
        <v>805</v>
      </c>
      <c r="AR133" s="21" t="s">
        <v>805</v>
      </c>
      <c r="AS133" s="21" t="s">
        <v>805</v>
      </c>
      <c r="AT133" s="21" t="s">
        <v>805</v>
      </c>
      <c r="AU133" s="21" t="s">
        <v>805</v>
      </c>
      <c r="AV133" s="21" t="s">
        <v>805</v>
      </c>
      <c r="AW133" s="21" t="s">
        <v>805</v>
      </c>
      <c r="AX133" s="21" t="s">
        <v>805</v>
      </c>
      <c r="AY133" s="21" t="s">
        <v>805</v>
      </c>
      <c r="AZ133" s="21" t="s">
        <v>805</v>
      </c>
      <c r="BA133" s="21" t="s">
        <v>805</v>
      </c>
      <c r="BB133" s="21" t="s">
        <v>805</v>
      </c>
      <c r="BC133" s="21" t="s">
        <v>805</v>
      </c>
      <c r="BD133" s="21" t="s">
        <v>805</v>
      </c>
      <c r="BE133" s="21" t="s">
        <v>805</v>
      </c>
      <c r="BF133" s="21" t="s">
        <v>805</v>
      </c>
      <c r="BG133" s="21" t="s">
        <v>805</v>
      </c>
      <c r="BH133" s="21" t="s">
        <v>805</v>
      </c>
      <c r="BI133" s="21" t="s">
        <v>805</v>
      </c>
      <c r="BJ133" s="21" t="s">
        <v>805</v>
      </c>
      <c r="BK133" s="21" t="s">
        <v>805</v>
      </c>
      <c r="BL133" s="21" t="s">
        <v>805</v>
      </c>
      <c r="BM133" s="21" t="s">
        <v>805</v>
      </c>
      <c r="BN133" s="21" t="s">
        <v>805</v>
      </c>
      <c r="BO133" s="21" t="s">
        <v>805</v>
      </c>
      <c r="BP133" s="21" t="s">
        <v>805</v>
      </c>
      <c r="BQ133" s="21" t="s">
        <v>805</v>
      </c>
      <c r="BR133" s="21" t="s">
        <v>805</v>
      </c>
      <c r="BS133" s="21" t="s">
        <v>805</v>
      </c>
      <c r="BT133" s="21" t="s">
        <v>805</v>
      </c>
      <c r="BU133" s="21" t="s">
        <v>805</v>
      </c>
      <c r="BV133" s="21" t="s">
        <v>805</v>
      </c>
      <c r="BW133" s="21" t="s">
        <v>805</v>
      </c>
      <c r="BX133" s="21" t="s">
        <v>805</v>
      </c>
      <c r="BY133" s="21" t="s">
        <v>805</v>
      </c>
      <c r="BZ133" s="21" t="s">
        <v>805</v>
      </c>
      <c r="CA133" s="21" t="s">
        <v>805</v>
      </c>
      <c r="CB133" s="21" t="s">
        <v>805</v>
      </c>
      <c r="CC133" s="21" t="s">
        <v>805</v>
      </c>
      <c r="CD133" s="21" t="s">
        <v>805</v>
      </c>
      <c r="CE133" s="21" t="s">
        <v>805</v>
      </c>
      <c r="CF133" s="21" t="s">
        <v>805</v>
      </c>
      <c r="CG133" s="21" t="s">
        <v>805</v>
      </c>
      <c r="CH133" s="21" t="s">
        <v>805</v>
      </c>
      <c r="CI133" s="21" t="s">
        <v>805</v>
      </c>
      <c r="CJ133" s="21" t="s">
        <v>805</v>
      </c>
      <c r="CK133" s="21" t="s">
        <v>805</v>
      </c>
      <c r="CL133" s="21" t="s">
        <v>805</v>
      </c>
      <c r="CM133" s="21" t="s">
        <v>805</v>
      </c>
      <c r="CN133" s="21" t="s">
        <v>805</v>
      </c>
      <c r="CO133" s="21" t="s">
        <v>805</v>
      </c>
      <c r="CP133" s="21" t="s">
        <v>805</v>
      </c>
      <c r="CQ133" s="21" t="s">
        <v>805</v>
      </c>
      <c r="CR133" s="21" t="s">
        <v>805</v>
      </c>
      <c r="CS133" s="21" t="s">
        <v>805</v>
      </c>
      <c r="CT133" s="21" t="s">
        <v>805</v>
      </c>
      <c r="CU133" s="21" t="s">
        <v>805</v>
      </c>
      <c r="CV133" s="21" t="s">
        <v>805</v>
      </c>
      <c r="CW133" s="21" t="s">
        <v>805</v>
      </c>
      <c r="CX133" s="21" t="s">
        <v>805</v>
      </c>
      <c r="CY133" s="21" t="s">
        <v>805</v>
      </c>
      <c r="CZ133" s="21" t="s">
        <v>805</v>
      </c>
      <c r="DA133" s="21" t="s">
        <v>805</v>
      </c>
      <c r="DB133" s="21" t="s">
        <v>805</v>
      </c>
      <c r="DC133" s="21" t="s">
        <v>805</v>
      </c>
      <c r="DD133" s="21" t="s">
        <v>805</v>
      </c>
      <c r="DE133" s="21" t="s">
        <v>805</v>
      </c>
      <c r="DF133" s="21" t="s">
        <v>805</v>
      </c>
      <c r="DG133" s="28">
        <f>'KPI Count-SHARE'!J122</f>
        <v>0</v>
      </c>
      <c r="DH133" s="109"/>
      <c r="DI133" s="109"/>
      <c r="DJ133" s="109"/>
      <c r="DK133" s="28">
        <f>'KPI Count-SHARE'!K122</f>
        <v>0</v>
      </c>
      <c r="DL133" s="61"/>
      <c r="DM133" s="61"/>
      <c r="DN133" s="61"/>
      <c r="DO133" s="28">
        <f>'KPI Count-SHARE'!L122</f>
        <v>0</v>
      </c>
      <c r="DP133" s="61"/>
      <c r="DQ133" s="61"/>
      <c r="DR133" s="61"/>
      <c r="DS133" s="28">
        <f>'KPI Count-SHARE'!M122</f>
        <v>0</v>
      </c>
      <c r="DT133" s="61"/>
      <c r="DU133" s="61"/>
      <c r="DV133" s="61"/>
      <c r="DW133" t="s">
        <v>559</v>
      </c>
      <c r="DX133" s="39" t="str">
        <f t="shared" si="425"/>
        <v/>
      </c>
      <c r="DY133" s="39" t="str">
        <f t="shared" si="426"/>
        <v/>
      </c>
      <c r="DZ133" s="39" t="str">
        <f t="shared" si="427"/>
        <v/>
      </c>
      <c r="EA133" s="39" t="str">
        <f t="shared" si="428"/>
        <v/>
      </c>
      <c r="EB133" s="39" t="str">
        <f t="shared" si="429"/>
        <v/>
      </c>
      <c r="EC133" s="39" t="str">
        <f t="shared" si="430"/>
        <v/>
      </c>
      <c r="ED133" s="39" t="str">
        <f t="shared" si="431"/>
        <v/>
      </c>
      <c r="EE133" s="39" t="str">
        <f t="shared" si="432"/>
        <v/>
      </c>
      <c r="EF133" s="39" t="str">
        <f t="shared" si="433"/>
        <v/>
      </c>
      <c r="EG133" s="39" t="str">
        <f t="shared" si="434"/>
        <v/>
      </c>
      <c r="EH133" s="39" t="str">
        <f t="shared" si="435"/>
        <v/>
      </c>
      <c r="EI133" s="39" t="str">
        <f t="shared" si="448"/>
        <v/>
      </c>
      <c r="EJ133" s="39" t="str">
        <f t="shared" si="449"/>
        <v/>
      </c>
      <c r="EK133" s="39" t="str">
        <f t="shared" si="450"/>
        <v/>
      </c>
      <c r="EL133" s="39" t="str">
        <f t="shared" si="451"/>
        <v/>
      </c>
      <c r="EM133" s="39" t="str">
        <f t="shared" si="452"/>
        <v/>
      </c>
      <c r="EN133" s="39" t="str">
        <f t="shared" si="453"/>
        <v/>
      </c>
      <c r="EO133" s="39" t="str">
        <f t="shared" si="454"/>
        <v/>
      </c>
      <c r="EP133" s="39" t="str">
        <f t="shared" si="455"/>
        <v/>
      </c>
      <c r="EQ133" s="39" t="str">
        <f t="shared" si="456"/>
        <v/>
      </c>
      <c r="ER133" s="39" t="str">
        <f t="shared" si="457"/>
        <v/>
      </c>
      <c r="ES133" s="39" t="str">
        <f t="shared" si="458"/>
        <v/>
      </c>
      <c r="ET133" s="39" t="str">
        <f t="shared" si="459"/>
        <v/>
      </c>
      <c r="EU133" s="39" t="str">
        <f t="shared" si="462"/>
        <v/>
      </c>
      <c r="EV133" s="39" t="str">
        <f t="shared" si="463"/>
        <v/>
      </c>
      <c r="EW133" s="39" t="str">
        <f t="shared" si="464"/>
        <v/>
      </c>
      <c r="EX133" s="39" t="str">
        <f t="shared" si="465"/>
        <v/>
      </c>
      <c r="EY133" s="39" t="str">
        <f t="shared" si="466"/>
        <v/>
      </c>
      <c r="EZ133" s="39" t="str">
        <f t="shared" si="467"/>
        <v/>
      </c>
      <c r="FA133" s="39" t="str">
        <f t="shared" si="468"/>
        <v/>
      </c>
      <c r="FB133" s="39" t="str">
        <f t="shared" si="469"/>
        <v/>
      </c>
      <c r="FC133" s="39" t="str">
        <f t="shared" si="470"/>
        <v/>
      </c>
      <c r="FD133" s="39" t="str">
        <f t="shared" si="471"/>
        <v/>
      </c>
      <c r="FE133" s="39" t="str">
        <f t="shared" si="472"/>
        <v/>
      </c>
      <c r="FF133" s="39" t="str">
        <f t="shared" si="473"/>
        <v/>
      </c>
      <c r="FG133" s="39" t="str">
        <f t="shared" si="474"/>
        <v/>
      </c>
      <c r="FH133" s="39" t="str">
        <f t="shared" si="475"/>
        <v/>
      </c>
      <c r="FI133" s="39" t="str">
        <f t="shared" si="476"/>
        <v/>
      </c>
      <c r="FJ133" s="39" t="str">
        <f t="shared" si="477"/>
        <v/>
      </c>
      <c r="FK133" s="39" t="str">
        <f t="shared" si="478"/>
        <v/>
      </c>
      <c r="FL133" s="39" t="str">
        <f t="shared" si="479"/>
        <v/>
      </c>
      <c r="FM133" s="39" t="str">
        <f t="shared" si="480"/>
        <v/>
      </c>
      <c r="FN133" s="39" t="str">
        <f t="shared" si="481"/>
        <v/>
      </c>
      <c r="FO133" s="39" t="str">
        <f t="shared" si="482"/>
        <v/>
      </c>
      <c r="FP133" s="39" t="str">
        <f t="shared" si="483"/>
        <v/>
      </c>
      <c r="FQ133" s="39" t="str">
        <f t="shared" si="484"/>
        <v/>
      </c>
      <c r="FR133" s="39" t="str">
        <f t="shared" si="485"/>
        <v/>
      </c>
      <c r="FS133" s="39" t="str">
        <f t="shared" si="486"/>
        <v/>
      </c>
      <c r="FT133" s="39" t="str">
        <f t="shared" si="487"/>
        <v/>
      </c>
      <c r="FU133" s="39" t="str">
        <f t="shared" si="488"/>
        <v/>
      </c>
      <c r="FV133" s="39" t="str">
        <f t="shared" si="489"/>
        <v/>
      </c>
      <c r="FW133" s="39" t="str">
        <f t="shared" si="490"/>
        <v/>
      </c>
      <c r="FX133" s="39" t="str">
        <f t="shared" si="491"/>
        <v/>
      </c>
      <c r="FY133" s="39" t="str">
        <f t="shared" si="492"/>
        <v/>
      </c>
      <c r="FZ133" s="39" t="str">
        <f t="shared" si="493"/>
        <v/>
      </c>
      <c r="GA133" s="39" t="str">
        <f t="shared" si="494"/>
        <v/>
      </c>
      <c r="GB133" s="39" t="str">
        <f t="shared" si="495"/>
        <v/>
      </c>
      <c r="GC133" s="39" t="str">
        <f t="shared" si="496"/>
        <v/>
      </c>
      <c r="GD133" s="39" t="str">
        <f t="shared" si="497"/>
        <v/>
      </c>
      <c r="GE133" s="39" t="str">
        <f t="shared" si="498"/>
        <v/>
      </c>
      <c r="GF133" s="39" t="str">
        <f t="shared" si="499"/>
        <v/>
      </c>
      <c r="GG133" s="39" t="str">
        <f t="shared" si="500"/>
        <v/>
      </c>
      <c r="GH133" s="39" t="str">
        <f t="shared" si="501"/>
        <v/>
      </c>
      <c r="GI133" s="39" t="str">
        <f t="shared" si="502"/>
        <v/>
      </c>
      <c r="GJ133" s="39" t="str">
        <f t="shared" si="503"/>
        <v/>
      </c>
      <c r="GK133" s="39" t="str">
        <f t="shared" si="504"/>
        <v/>
      </c>
      <c r="GL133" s="39" t="str">
        <f t="shared" si="505"/>
        <v/>
      </c>
      <c r="GM133" s="39" t="str">
        <f t="shared" si="506"/>
        <v/>
      </c>
      <c r="GN133" s="39" t="str">
        <f t="shared" si="507"/>
        <v/>
      </c>
      <c r="GO133" s="39" t="str">
        <f t="shared" si="508"/>
        <v/>
      </c>
      <c r="GP133" s="39" t="str">
        <f t="shared" si="509"/>
        <v/>
      </c>
      <c r="GQ133" s="39" t="str">
        <f t="shared" si="510"/>
        <v/>
      </c>
      <c r="GR133" s="39" t="str">
        <f t="shared" si="511"/>
        <v/>
      </c>
      <c r="GS133" s="39" t="str">
        <f t="shared" si="512"/>
        <v/>
      </c>
      <c r="GT133" s="39" t="str">
        <f t="shared" si="513"/>
        <v/>
      </c>
      <c r="GU133" s="39" t="str">
        <f t="shared" si="514"/>
        <v/>
      </c>
      <c r="GV133" s="39" t="str">
        <f t="shared" si="515"/>
        <v/>
      </c>
      <c r="GW133" s="39" t="str">
        <f t="shared" si="516"/>
        <v/>
      </c>
      <c r="GX133" s="39" t="str">
        <f t="shared" si="517"/>
        <v/>
      </c>
      <c r="GY133" s="39" t="str">
        <f t="shared" si="518"/>
        <v/>
      </c>
      <c r="GZ133" s="39" t="str">
        <f t="shared" si="519"/>
        <v/>
      </c>
      <c r="HA133" s="39" t="str">
        <f t="shared" si="520"/>
        <v/>
      </c>
      <c r="HB133" s="39" t="str">
        <f t="shared" si="521"/>
        <v/>
      </c>
      <c r="HC133" s="39" t="str">
        <f t="shared" si="522"/>
        <v/>
      </c>
      <c r="HD133" s="39" t="str">
        <f t="shared" si="523"/>
        <v/>
      </c>
      <c r="HE133" s="39" t="str">
        <f t="shared" si="524"/>
        <v/>
      </c>
      <c r="HF133" s="39" t="str">
        <f t="shared" si="525"/>
        <v/>
      </c>
      <c r="HG133" s="39" t="str">
        <f t="shared" si="526"/>
        <v/>
      </c>
      <c r="HH133" s="39" t="str">
        <f t="shared" si="527"/>
        <v/>
      </c>
      <c r="HI133" s="39" t="str">
        <f t="shared" si="528"/>
        <v/>
      </c>
      <c r="HJ133" s="39" t="str">
        <f t="shared" si="529"/>
        <v/>
      </c>
      <c r="HK133" s="39" t="str">
        <f t="shared" si="530"/>
        <v/>
      </c>
      <c r="HL133" s="39" t="str">
        <f t="shared" si="531"/>
        <v/>
      </c>
      <c r="HM133" s="39" t="str">
        <f t="shared" si="532"/>
        <v/>
      </c>
      <c r="HN133" s="39" t="str">
        <f t="shared" si="533"/>
        <v/>
      </c>
      <c r="HO133" s="39" t="str">
        <f t="shared" si="534"/>
        <v/>
      </c>
      <c r="HP133" s="39" t="str">
        <f t="shared" si="535"/>
        <v/>
      </c>
      <c r="HQ133" s="39" t="str">
        <f t="shared" si="536"/>
        <v/>
      </c>
      <c r="HR133" s="39" t="str">
        <f t="shared" si="537"/>
        <v/>
      </c>
      <c r="HS133" s="39" t="str">
        <f t="shared" si="538"/>
        <v/>
      </c>
      <c r="HT133" s="39" t="str">
        <f t="shared" si="538"/>
        <v/>
      </c>
      <c r="HU133" s="43" t="str">
        <f t="shared" si="445"/>
        <v>-</v>
      </c>
      <c r="HV133" s="44" t="str">
        <f t="shared" si="446"/>
        <v/>
      </c>
      <c r="HW133" s="45" t="str">
        <f t="shared" si="447"/>
        <v/>
      </c>
      <c r="HX133" s="96"/>
      <c r="HY133" s="96"/>
      <c r="HZ133" s="96"/>
      <c r="IA133" s="95"/>
      <c r="IB133" s="96"/>
      <c r="IC133" s="97"/>
      <c r="ID133" s="95"/>
      <c r="IE133" s="96"/>
      <c r="IF133" s="97"/>
      <c r="IH133" s="66">
        <v>133</v>
      </c>
      <c r="II133" s="66" t="e">
        <f t="shared" ca="1" si="436"/>
        <v>#N/A</v>
      </c>
      <c r="IJ133" s="66" t="e">
        <f t="shared" ca="1" si="437"/>
        <v>#N/A</v>
      </c>
      <c r="IK133" s="66" t="e">
        <f t="shared" ca="1" si="438"/>
        <v>#N/A</v>
      </c>
      <c r="IL133" s="66" t="e">
        <f t="shared" ca="1" si="439"/>
        <v>#N/A</v>
      </c>
      <c r="IN133" s="74" t="e">
        <f t="shared" ca="1" si="440"/>
        <v>#N/A</v>
      </c>
      <c r="IO133" s="75" t="e">
        <f t="shared" ca="1" si="441"/>
        <v>#N/A</v>
      </c>
      <c r="IP133" s="75" t="e">
        <f t="shared" ca="1" si="442"/>
        <v>#N/A</v>
      </c>
      <c r="IQ133" s="74" t="e">
        <f t="shared" ca="1" si="443"/>
        <v>#N/A</v>
      </c>
      <c r="IR133" s="74" t="e">
        <f t="shared" ca="1" si="444"/>
        <v>#N/A</v>
      </c>
    </row>
    <row r="134" spans="1:252" x14ac:dyDescent="0.35">
      <c r="A134" s="28">
        <v>0</v>
      </c>
      <c r="B134" s="28">
        <v>0</v>
      </c>
      <c r="C134" s="28">
        <v>1</v>
      </c>
      <c r="D134" s="1"/>
      <c r="E134" s="3"/>
      <c r="F134" t="s">
        <v>399</v>
      </c>
      <c r="G134" s="5" t="s">
        <v>540</v>
      </c>
      <c r="H134" t="s">
        <v>559</v>
      </c>
      <c r="I134" t="s">
        <v>532</v>
      </c>
      <c r="J134" s="276" t="s">
        <v>805</v>
      </c>
      <c r="K134" s="21" t="s">
        <v>805</v>
      </c>
      <c r="L134" s="21" t="s">
        <v>805</v>
      </c>
      <c r="M134" s="21" t="s">
        <v>805</v>
      </c>
      <c r="N134" s="21" t="s">
        <v>805</v>
      </c>
      <c r="O134" s="21" t="s">
        <v>805</v>
      </c>
      <c r="P134" s="21" t="s">
        <v>805</v>
      </c>
      <c r="Q134" s="21" t="s">
        <v>805</v>
      </c>
      <c r="R134" s="21" t="s">
        <v>805</v>
      </c>
      <c r="S134" s="21" t="s">
        <v>805</v>
      </c>
      <c r="T134" s="21" t="s">
        <v>805</v>
      </c>
      <c r="U134" s="21" t="s">
        <v>805</v>
      </c>
      <c r="V134" s="21" t="s">
        <v>805</v>
      </c>
      <c r="W134" s="21" t="s">
        <v>805</v>
      </c>
      <c r="X134" s="21" t="s">
        <v>805</v>
      </c>
      <c r="Y134" s="21" t="s">
        <v>805</v>
      </c>
      <c r="Z134" s="21" t="s">
        <v>805</v>
      </c>
      <c r="AA134" s="21" t="s">
        <v>805</v>
      </c>
      <c r="AB134" s="21" t="s">
        <v>805</v>
      </c>
      <c r="AC134" s="21" t="s">
        <v>805</v>
      </c>
      <c r="AD134" s="21" t="s">
        <v>805</v>
      </c>
      <c r="AE134" s="21" t="s">
        <v>805</v>
      </c>
      <c r="AF134" s="21" t="s">
        <v>805</v>
      </c>
      <c r="AG134" s="21" t="s">
        <v>805</v>
      </c>
      <c r="AH134" s="21" t="s">
        <v>805</v>
      </c>
      <c r="AI134" s="21" t="s">
        <v>805</v>
      </c>
      <c r="AJ134" s="21" t="s">
        <v>805</v>
      </c>
      <c r="AK134" s="21" t="s">
        <v>805</v>
      </c>
      <c r="AL134" s="21" t="s">
        <v>805</v>
      </c>
      <c r="AM134" s="21" t="s">
        <v>805</v>
      </c>
      <c r="AN134" s="21" t="s">
        <v>805</v>
      </c>
      <c r="AO134" s="21" t="s">
        <v>805</v>
      </c>
      <c r="AP134" s="21" t="s">
        <v>805</v>
      </c>
      <c r="AQ134" s="21" t="s">
        <v>805</v>
      </c>
      <c r="AR134" s="21" t="s">
        <v>805</v>
      </c>
      <c r="AS134" s="21" t="s">
        <v>805</v>
      </c>
      <c r="AT134" s="21" t="s">
        <v>805</v>
      </c>
      <c r="AU134" s="21" t="s">
        <v>805</v>
      </c>
      <c r="AV134" s="21" t="s">
        <v>805</v>
      </c>
      <c r="AW134" s="21" t="s">
        <v>805</v>
      </c>
      <c r="AX134" s="21" t="s">
        <v>805</v>
      </c>
      <c r="AY134" s="21" t="s">
        <v>805</v>
      </c>
      <c r="AZ134" s="21" t="s">
        <v>805</v>
      </c>
      <c r="BA134" s="21" t="s">
        <v>805</v>
      </c>
      <c r="BB134" s="21" t="s">
        <v>805</v>
      </c>
      <c r="BC134" s="21" t="s">
        <v>805</v>
      </c>
      <c r="BD134" s="21" t="s">
        <v>805</v>
      </c>
      <c r="BE134" s="21" t="s">
        <v>805</v>
      </c>
      <c r="BF134" s="21" t="s">
        <v>805</v>
      </c>
      <c r="BG134" s="21" t="s">
        <v>805</v>
      </c>
      <c r="BH134" s="21" t="s">
        <v>805</v>
      </c>
      <c r="BI134" s="21" t="s">
        <v>805</v>
      </c>
      <c r="BJ134" s="21" t="s">
        <v>805</v>
      </c>
      <c r="BK134" s="21" t="s">
        <v>805</v>
      </c>
      <c r="BL134" s="21" t="s">
        <v>805</v>
      </c>
      <c r="BM134" s="21" t="s">
        <v>805</v>
      </c>
      <c r="BN134" s="21" t="s">
        <v>805</v>
      </c>
      <c r="BO134" s="21" t="s">
        <v>805</v>
      </c>
      <c r="BP134" s="21" t="s">
        <v>805</v>
      </c>
      <c r="BQ134" s="21" t="s">
        <v>805</v>
      </c>
      <c r="BR134" s="21" t="s">
        <v>805</v>
      </c>
      <c r="BS134" s="21" t="s">
        <v>805</v>
      </c>
      <c r="BT134" s="21" t="s">
        <v>805</v>
      </c>
      <c r="BU134" s="21" t="s">
        <v>805</v>
      </c>
      <c r="BV134" s="21" t="s">
        <v>805</v>
      </c>
      <c r="BW134" s="21" t="s">
        <v>805</v>
      </c>
      <c r="BX134" s="21" t="s">
        <v>805</v>
      </c>
      <c r="BY134" s="21" t="s">
        <v>805</v>
      </c>
      <c r="BZ134" s="21" t="s">
        <v>805</v>
      </c>
      <c r="CA134" s="21" t="s">
        <v>805</v>
      </c>
      <c r="CB134" s="21" t="s">
        <v>805</v>
      </c>
      <c r="CC134" s="21" t="s">
        <v>805</v>
      </c>
      <c r="CD134" s="21" t="s">
        <v>805</v>
      </c>
      <c r="CE134" s="21" t="s">
        <v>805</v>
      </c>
      <c r="CF134" s="21" t="s">
        <v>805</v>
      </c>
      <c r="CG134" s="21" t="s">
        <v>805</v>
      </c>
      <c r="CH134" s="21" t="s">
        <v>805</v>
      </c>
      <c r="CI134" s="21" t="s">
        <v>805</v>
      </c>
      <c r="CJ134" s="21" t="s">
        <v>805</v>
      </c>
      <c r="CK134" s="21" t="s">
        <v>805</v>
      </c>
      <c r="CL134" s="21" t="s">
        <v>805</v>
      </c>
      <c r="CM134" s="21" t="s">
        <v>805</v>
      </c>
      <c r="CN134" s="21" t="s">
        <v>805</v>
      </c>
      <c r="CO134" s="21" t="s">
        <v>805</v>
      </c>
      <c r="CP134" s="21" t="s">
        <v>805</v>
      </c>
      <c r="CQ134" s="21" t="s">
        <v>805</v>
      </c>
      <c r="CR134" s="21" t="s">
        <v>805</v>
      </c>
      <c r="CS134" s="21" t="s">
        <v>805</v>
      </c>
      <c r="CT134" s="21" t="s">
        <v>805</v>
      </c>
      <c r="CU134" s="21" t="s">
        <v>805</v>
      </c>
      <c r="CV134" s="21" t="s">
        <v>805</v>
      </c>
      <c r="CW134" s="21" t="s">
        <v>805</v>
      </c>
      <c r="CX134" s="21" t="s">
        <v>805</v>
      </c>
      <c r="CY134" s="21" t="s">
        <v>805</v>
      </c>
      <c r="CZ134" s="21" t="s">
        <v>805</v>
      </c>
      <c r="DA134" s="21" t="s">
        <v>805</v>
      </c>
      <c r="DB134" s="21" t="s">
        <v>805</v>
      </c>
      <c r="DC134" s="21" t="s">
        <v>805</v>
      </c>
      <c r="DD134" s="21" t="s">
        <v>805</v>
      </c>
      <c r="DE134" s="21" t="s">
        <v>805</v>
      </c>
      <c r="DF134" s="21" t="s">
        <v>805</v>
      </c>
      <c r="DG134" s="28">
        <f>'KPI Count-SHARE'!J123</f>
        <v>0</v>
      </c>
      <c r="DH134" s="109"/>
      <c r="DI134" s="109"/>
      <c r="DJ134" s="109"/>
      <c r="DK134" s="28">
        <f>'KPI Count-SHARE'!K123</f>
        <v>0</v>
      </c>
      <c r="DL134" s="61"/>
      <c r="DM134" s="61"/>
      <c r="DN134" s="61"/>
      <c r="DO134" s="28">
        <f>'KPI Count-SHARE'!L123</f>
        <v>0</v>
      </c>
      <c r="DP134" s="61"/>
      <c r="DQ134" s="61"/>
      <c r="DR134" s="61"/>
      <c r="DS134" s="28">
        <f>'KPI Count-SHARE'!M123</f>
        <v>0</v>
      </c>
      <c r="DT134" s="61"/>
      <c r="DU134" s="61"/>
      <c r="DV134" s="61"/>
      <c r="DW134" t="s">
        <v>559</v>
      </c>
      <c r="DX134" s="39" t="str">
        <f t="shared" si="425"/>
        <v/>
      </c>
      <c r="DY134" s="39" t="str">
        <f t="shared" si="426"/>
        <v/>
      </c>
      <c r="DZ134" s="39" t="str">
        <f t="shared" si="427"/>
        <v/>
      </c>
      <c r="EA134" s="39" t="str">
        <f t="shared" si="428"/>
        <v/>
      </c>
      <c r="EB134" s="39" t="str">
        <f t="shared" si="429"/>
        <v/>
      </c>
      <c r="EC134" s="39" t="str">
        <f t="shared" si="430"/>
        <v/>
      </c>
      <c r="ED134" s="39" t="str">
        <f t="shared" si="431"/>
        <v/>
      </c>
      <c r="EE134" s="39" t="str">
        <f t="shared" si="432"/>
        <v/>
      </c>
      <c r="EF134" s="39" t="str">
        <f t="shared" si="433"/>
        <v/>
      </c>
      <c r="EG134" s="39" t="str">
        <f t="shared" si="434"/>
        <v/>
      </c>
      <c r="EH134" s="39" t="str">
        <f t="shared" si="435"/>
        <v/>
      </c>
      <c r="EI134" s="39" t="str">
        <f t="shared" si="448"/>
        <v/>
      </c>
      <c r="EJ134" s="39" t="str">
        <f t="shared" si="449"/>
        <v/>
      </c>
      <c r="EK134" s="39" t="str">
        <f t="shared" si="450"/>
        <v/>
      </c>
      <c r="EL134" s="39" t="str">
        <f t="shared" si="451"/>
        <v/>
      </c>
      <c r="EM134" s="39" t="str">
        <f t="shared" si="452"/>
        <v/>
      </c>
      <c r="EN134" s="39" t="str">
        <f t="shared" si="453"/>
        <v/>
      </c>
      <c r="EO134" s="39" t="str">
        <f t="shared" si="454"/>
        <v/>
      </c>
      <c r="EP134" s="39" t="str">
        <f t="shared" si="455"/>
        <v/>
      </c>
      <c r="EQ134" s="39" t="str">
        <f t="shared" si="456"/>
        <v/>
      </c>
      <c r="ER134" s="39" t="str">
        <f t="shared" si="457"/>
        <v/>
      </c>
      <c r="ES134" s="39" t="str">
        <f t="shared" si="458"/>
        <v/>
      </c>
      <c r="ET134" s="39" t="str">
        <f t="shared" si="459"/>
        <v/>
      </c>
      <c r="EU134" s="39" t="str">
        <f t="shared" si="462"/>
        <v/>
      </c>
      <c r="EV134" s="39" t="str">
        <f t="shared" si="463"/>
        <v/>
      </c>
      <c r="EW134" s="39" t="str">
        <f t="shared" si="464"/>
        <v/>
      </c>
      <c r="EX134" s="39" t="str">
        <f t="shared" si="465"/>
        <v/>
      </c>
      <c r="EY134" s="39" t="str">
        <f t="shared" si="466"/>
        <v/>
      </c>
      <c r="EZ134" s="39" t="str">
        <f t="shared" si="467"/>
        <v/>
      </c>
      <c r="FA134" s="39" t="str">
        <f t="shared" si="468"/>
        <v/>
      </c>
      <c r="FB134" s="39" t="str">
        <f t="shared" si="469"/>
        <v/>
      </c>
      <c r="FC134" s="39" t="str">
        <f t="shared" si="470"/>
        <v/>
      </c>
      <c r="FD134" s="39" t="str">
        <f t="shared" si="471"/>
        <v/>
      </c>
      <c r="FE134" s="39" t="str">
        <f t="shared" si="472"/>
        <v/>
      </c>
      <c r="FF134" s="39" t="str">
        <f t="shared" si="473"/>
        <v/>
      </c>
      <c r="FG134" s="39" t="str">
        <f t="shared" si="474"/>
        <v/>
      </c>
      <c r="FH134" s="39" t="str">
        <f t="shared" si="475"/>
        <v/>
      </c>
      <c r="FI134" s="39" t="str">
        <f t="shared" si="476"/>
        <v/>
      </c>
      <c r="FJ134" s="39" t="str">
        <f t="shared" si="477"/>
        <v/>
      </c>
      <c r="FK134" s="39" t="str">
        <f t="shared" si="478"/>
        <v/>
      </c>
      <c r="FL134" s="39" t="str">
        <f t="shared" si="479"/>
        <v/>
      </c>
      <c r="FM134" s="39" t="str">
        <f t="shared" si="480"/>
        <v/>
      </c>
      <c r="FN134" s="39" t="str">
        <f t="shared" si="481"/>
        <v/>
      </c>
      <c r="FO134" s="39" t="str">
        <f t="shared" si="482"/>
        <v/>
      </c>
      <c r="FP134" s="39" t="str">
        <f t="shared" si="483"/>
        <v/>
      </c>
      <c r="FQ134" s="39" t="str">
        <f t="shared" si="484"/>
        <v/>
      </c>
      <c r="FR134" s="39" t="str">
        <f t="shared" si="485"/>
        <v/>
      </c>
      <c r="FS134" s="39" t="str">
        <f t="shared" si="486"/>
        <v/>
      </c>
      <c r="FT134" s="39" t="str">
        <f t="shared" si="487"/>
        <v/>
      </c>
      <c r="FU134" s="39" t="str">
        <f t="shared" si="488"/>
        <v/>
      </c>
      <c r="FV134" s="39" t="str">
        <f t="shared" si="489"/>
        <v/>
      </c>
      <c r="FW134" s="39" t="str">
        <f t="shared" si="490"/>
        <v/>
      </c>
      <c r="FX134" s="39" t="str">
        <f t="shared" si="491"/>
        <v/>
      </c>
      <c r="FY134" s="39" t="str">
        <f t="shared" si="492"/>
        <v/>
      </c>
      <c r="FZ134" s="39" t="str">
        <f t="shared" si="493"/>
        <v/>
      </c>
      <c r="GA134" s="39" t="str">
        <f t="shared" si="494"/>
        <v/>
      </c>
      <c r="GB134" s="39" t="str">
        <f t="shared" si="495"/>
        <v/>
      </c>
      <c r="GC134" s="39" t="str">
        <f t="shared" si="496"/>
        <v/>
      </c>
      <c r="GD134" s="39" t="str">
        <f t="shared" si="497"/>
        <v/>
      </c>
      <c r="GE134" s="39" t="str">
        <f t="shared" si="498"/>
        <v/>
      </c>
      <c r="GF134" s="39" t="str">
        <f t="shared" si="499"/>
        <v/>
      </c>
      <c r="GG134" s="39" t="str">
        <f t="shared" si="500"/>
        <v/>
      </c>
      <c r="GH134" s="39" t="str">
        <f t="shared" si="501"/>
        <v/>
      </c>
      <c r="GI134" s="39" t="str">
        <f t="shared" si="502"/>
        <v/>
      </c>
      <c r="GJ134" s="39" t="str">
        <f t="shared" si="503"/>
        <v/>
      </c>
      <c r="GK134" s="39" t="str">
        <f t="shared" si="504"/>
        <v/>
      </c>
      <c r="GL134" s="39" t="str">
        <f t="shared" si="505"/>
        <v/>
      </c>
      <c r="GM134" s="39" t="str">
        <f t="shared" si="506"/>
        <v/>
      </c>
      <c r="GN134" s="39" t="str">
        <f t="shared" si="507"/>
        <v/>
      </c>
      <c r="GO134" s="39" t="str">
        <f t="shared" si="508"/>
        <v/>
      </c>
      <c r="GP134" s="39" t="str">
        <f t="shared" si="509"/>
        <v/>
      </c>
      <c r="GQ134" s="39" t="str">
        <f t="shared" si="510"/>
        <v/>
      </c>
      <c r="GR134" s="39" t="str">
        <f t="shared" si="511"/>
        <v/>
      </c>
      <c r="GS134" s="39" t="str">
        <f t="shared" si="512"/>
        <v/>
      </c>
      <c r="GT134" s="39" t="str">
        <f t="shared" si="513"/>
        <v/>
      </c>
      <c r="GU134" s="39" t="str">
        <f t="shared" si="514"/>
        <v/>
      </c>
      <c r="GV134" s="39" t="str">
        <f t="shared" si="515"/>
        <v/>
      </c>
      <c r="GW134" s="39" t="str">
        <f t="shared" si="516"/>
        <v/>
      </c>
      <c r="GX134" s="39" t="str">
        <f t="shared" si="517"/>
        <v/>
      </c>
      <c r="GY134" s="39" t="str">
        <f t="shared" si="518"/>
        <v/>
      </c>
      <c r="GZ134" s="39" t="str">
        <f t="shared" si="519"/>
        <v/>
      </c>
      <c r="HA134" s="39" t="str">
        <f t="shared" si="520"/>
        <v/>
      </c>
      <c r="HB134" s="39" t="str">
        <f t="shared" si="521"/>
        <v/>
      </c>
      <c r="HC134" s="39" t="str">
        <f t="shared" si="522"/>
        <v/>
      </c>
      <c r="HD134" s="39" t="str">
        <f t="shared" si="523"/>
        <v/>
      </c>
      <c r="HE134" s="39" t="str">
        <f t="shared" si="524"/>
        <v/>
      </c>
      <c r="HF134" s="39" t="str">
        <f t="shared" si="525"/>
        <v/>
      </c>
      <c r="HG134" s="39" t="str">
        <f t="shared" si="526"/>
        <v/>
      </c>
      <c r="HH134" s="39" t="str">
        <f t="shared" si="527"/>
        <v/>
      </c>
      <c r="HI134" s="39" t="str">
        <f t="shared" si="528"/>
        <v/>
      </c>
      <c r="HJ134" s="39" t="str">
        <f t="shared" si="529"/>
        <v/>
      </c>
      <c r="HK134" s="39" t="str">
        <f t="shared" si="530"/>
        <v/>
      </c>
      <c r="HL134" s="39" t="str">
        <f t="shared" si="531"/>
        <v/>
      </c>
      <c r="HM134" s="39" t="str">
        <f t="shared" si="532"/>
        <v/>
      </c>
      <c r="HN134" s="39" t="str">
        <f t="shared" si="533"/>
        <v/>
      </c>
      <c r="HO134" s="39" t="str">
        <f t="shared" si="534"/>
        <v/>
      </c>
      <c r="HP134" s="39" t="str">
        <f t="shared" si="535"/>
        <v/>
      </c>
      <c r="HQ134" s="39" t="str">
        <f t="shared" si="536"/>
        <v/>
      </c>
      <c r="HR134" s="39" t="str">
        <f t="shared" si="537"/>
        <v/>
      </c>
      <c r="HS134" s="39" t="str">
        <f t="shared" si="538"/>
        <v/>
      </c>
      <c r="HT134" s="39" t="str">
        <f t="shared" si="538"/>
        <v/>
      </c>
      <c r="HU134" s="43" t="str">
        <f t="shared" si="445"/>
        <v>-</v>
      </c>
      <c r="HV134" s="44" t="str">
        <f t="shared" si="446"/>
        <v/>
      </c>
      <c r="HW134" s="45" t="str">
        <f t="shared" si="447"/>
        <v/>
      </c>
      <c r="HX134" s="96"/>
      <c r="HY134" s="96"/>
      <c r="HZ134" s="96"/>
      <c r="IA134" s="95"/>
      <c r="IB134" s="96"/>
      <c r="IC134" s="97"/>
      <c r="ID134" s="95"/>
      <c r="IE134" s="96"/>
      <c r="IF134" s="97"/>
      <c r="IH134" s="66">
        <v>134</v>
      </c>
      <c r="II134" s="66" t="e">
        <f t="shared" ca="1" si="436"/>
        <v>#N/A</v>
      </c>
      <c r="IJ134" s="66" t="e">
        <f t="shared" ca="1" si="437"/>
        <v>#N/A</v>
      </c>
      <c r="IK134" s="66" t="e">
        <f t="shared" ca="1" si="438"/>
        <v>#N/A</v>
      </c>
      <c r="IL134" s="66" t="e">
        <f t="shared" ca="1" si="439"/>
        <v>#N/A</v>
      </c>
      <c r="IN134" s="74" t="e">
        <f t="shared" ca="1" si="440"/>
        <v>#N/A</v>
      </c>
      <c r="IO134" s="75" t="e">
        <f t="shared" ca="1" si="441"/>
        <v>#N/A</v>
      </c>
      <c r="IP134" s="75" t="e">
        <f t="shared" ca="1" si="442"/>
        <v>#N/A</v>
      </c>
      <c r="IQ134" s="74" t="e">
        <f t="shared" ca="1" si="443"/>
        <v>#N/A</v>
      </c>
      <c r="IR134" s="74" t="e">
        <f t="shared" ca="1" si="444"/>
        <v>#N/A</v>
      </c>
    </row>
    <row r="135" spans="1:252" x14ac:dyDescent="0.35">
      <c r="A135" s="28">
        <v>0</v>
      </c>
      <c r="B135" s="28">
        <v>0</v>
      </c>
      <c r="C135" s="28">
        <v>1</v>
      </c>
      <c r="D135" s="1"/>
      <c r="E135" s="3"/>
      <c r="F135" t="s">
        <v>400</v>
      </c>
      <c r="G135" s="5" t="s">
        <v>540</v>
      </c>
      <c r="H135" t="s">
        <v>559</v>
      </c>
      <c r="I135" t="s">
        <v>532</v>
      </c>
      <c r="J135" s="276" t="s">
        <v>805</v>
      </c>
      <c r="K135" s="21" t="s">
        <v>805</v>
      </c>
      <c r="L135" s="21" t="s">
        <v>805</v>
      </c>
      <c r="M135" s="21" t="s">
        <v>805</v>
      </c>
      <c r="N135" s="21" t="s">
        <v>805</v>
      </c>
      <c r="O135" s="21" t="s">
        <v>805</v>
      </c>
      <c r="P135" s="21" t="s">
        <v>805</v>
      </c>
      <c r="Q135" s="21" t="s">
        <v>805</v>
      </c>
      <c r="R135" s="21" t="s">
        <v>805</v>
      </c>
      <c r="S135" s="21" t="s">
        <v>805</v>
      </c>
      <c r="T135" s="21" t="s">
        <v>805</v>
      </c>
      <c r="U135" s="21" t="s">
        <v>805</v>
      </c>
      <c r="V135" s="21" t="s">
        <v>805</v>
      </c>
      <c r="W135" s="21" t="s">
        <v>805</v>
      </c>
      <c r="X135" s="21" t="s">
        <v>805</v>
      </c>
      <c r="Y135" s="21" t="s">
        <v>805</v>
      </c>
      <c r="Z135" s="21" t="s">
        <v>805</v>
      </c>
      <c r="AA135" s="21" t="s">
        <v>805</v>
      </c>
      <c r="AB135" s="21" t="s">
        <v>805</v>
      </c>
      <c r="AC135" s="21" t="s">
        <v>805</v>
      </c>
      <c r="AD135" s="21" t="s">
        <v>805</v>
      </c>
      <c r="AE135" s="21" t="s">
        <v>805</v>
      </c>
      <c r="AF135" s="21" t="s">
        <v>805</v>
      </c>
      <c r="AG135" s="21" t="s">
        <v>805</v>
      </c>
      <c r="AH135" s="21" t="s">
        <v>805</v>
      </c>
      <c r="AI135" s="21" t="s">
        <v>805</v>
      </c>
      <c r="AJ135" s="21" t="s">
        <v>805</v>
      </c>
      <c r="AK135" s="21" t="s">
        <v>805</v>
      </c>
      <c r="AL135" s="21" t="s">
        <v>805</v>
      </c>
      <c r="AM135" s="21" t="s">
        <v>805</v>
      </c>
      <c r="AN135" s="21" t="s">
        <v>805</v>
      </c>
      <c r="AO135" s="21" t="s">
        <v>805</v>
      </c>
      <c r="AP135" s="21" t="s">
        <v>805</v>
      </c>
      <c r="AQ135" s="21" t="s">
        <v>805</v>
      </c>
      <c r="AR135" s="21" t="s">
        <v>805</v>
      </c>
      <c r="AS135" s="21" t="s">
        <v>805</v>
      </c>
      <c r="AT135" s="21" t="s">
        <v>805</v>
      </c>
      <c r="AU135" s="21" t="s">
        <v>805</v>
      </c>
      <c r="AV135" s="21" t="s">
        <v>805</v>
      </c>
      <c r="AW135" s="21" t="s">
        <v>805</v>
      </c>
      <c r="AX135" s="21" t="s">
        <v>805</v>
      </c>
      <c r="AY135" s="21" t="s">
        <v>805</v>
      </c>
      <c r="AZ135" s="21" t="s">
        <v>805</v>
      </c>
      <c r="BA135" s="21" t="s">
        <v>805</v>
      </c>
      <c r="BB135" s="21" t="s">
        <v>805</v>
      </c>
      <c r="BC135" s="21" t="s">
        <v>805</v>
      </c>
      <c r="BD135" s="21" t="s">
        <v>805</v>
      </c>
      <c r="BE135" s="21" t="s">
        <v>805</v>
      </c>
      <c r="BF135" s="21" t="s">
        <v>805</v>
      </c>
      <c r="BG135" s="21" t="s">
        <v>805</v>
      </c>
      <c r="BH135" s="21" t="s">
        <v>805</v>
      </c>
      <c r="BI135" s="21" t="s">
        <v>805</v>
      </c>
      <c r="BJ135" s="21" t="s">
        <v>805</v>
      </c>
      <c r="BK135" s="21" t="s">
        <v>805</v>
      </c>
      <c r="BL135" s="21" t="s">
        <v>805</v>
      </c>
      <c r="BM135" s="21" t="s">
        <v>805</v>
      </c>
      <c r="BN135" s="21" t="s">
        <v>805</v>
      </c>
      <c r="BO135" s="21" t="s">
        <v>805</v>
      </c>
      <c r="BP135" s="21" t="s">
        <v>805</v>
      </c>
      <c r="BQ135" s="21" t="s">
        <v>805</v>
      </c>
      <c r="BR135" s="21" t="s">
        <v>805</v>
      </c>
      <c r="BS135" s="21" t="s">
        <v>805</v>
      </c>
      <c r="BT135" s="21" t="s">
        <v>805</v>
      </c>
      <c r="BU135" s="21" t="s">
        <v>805</v>
      </c>
      <c r="BV135" s="21" t="s">
        <v>805</v>
      </c>
      <c r="BW135" s="21" t="s">
        <v>805</v>
      </c>
      <c r="BX135" s="21" t="s">
        <v>805</v>
      </c>
      <c r="BY135" s="21" t="s">
        <v>805</v>
      </c>
      <c r="BZ135" s="21" t="s">
        <v>805</v>
      </c>
      <c r="CA135" s="21" t="s">
        <v>805</v>
      </c>
      <c r="CB135" s="21" t="s">
        <v>805</v>
      </c>
      <c r="CC135" s="21" t="s">
        <v>805</v>
      </c>
      <c r="CD135" s="21" t="s">
        <v>805</v>
      </c>
      <c r="CE135" s="21" t="s">
        <v>805</v>
      </c>
      <c r="CF135" s="21" t="s">
        <v>805</v>
      </c>
      <c r="CG135" s="21" t="s">
        <v>805</v>
      </c>
      <c r="CH135" s="21" t="s">
        <v>805</v>
      </c>
      <c r="CI135" s="21" t="s">
        <v>805</v>
      </c>
      <c r="CJ135" s="21" t="s">
        <v>805</v>
      </c>
      <c r="CK135" s="21" t="s">
        <v>805</v>
      </c>
      <c r="CL135" s="21" t="s">
        <v>805</v>
      </c>
      <c r="CM135" s="21" t="s">
        <v>805</v>
      </c>
      <c r="CN135" s="21" t="s">
        <v>805</v>
      </c>
      <c r="CO135" s="21" t="s">
        <v>805</v>
      </c>
      <c r="CP135" s="21" t="s">
        <v>805</v>
      </c>
      <c r="CQ135" s="21" t="s">
        <v>805</v>
      </c>
      <c r="CR135" s="21" t="s">
        <v>805</v>
      </c>
      <c r="CS135" s="21" t="s">
        <v>805</v>
      </c>
      <c r="CT135" s="21" t="s">
        <v>805</v>
      </c>
      <c r="CU135" s="21" t="s">
        <v>805</v>
      </c>
      <c r="CV135" s="21" t="s">
        <v>805</v>
      </c>
      <c r="CW135" s="21" t="s">
        <v>805</v>
      </c>
      <c r="CX135" s="21" t="s">
        <v>805</v>
      </c>
      <c r="CY135" s="21" t="s">
        <v>805</v>
      </c>
      <c r="CZ135" s="21" t="s">
        <v>805</v>
      </c>
      <c r="DA135" s="21" t="s">
        <v>805</v>
      </c>
      <c r="DB135" s="21" t="s">
        <v>805</v>
      </c>
      <c r="DC135" s="21" t="s">
        <v>805</v>
      </c>
      <c r="DD135" s="21" t="s">
        <v>805</v>
      </c>
      <c r="DE135" s="21" t="s">
        <v>805</v>
      </c>
      <c r="DF135" s="21" t="s">
        <v>805</v>
      </c>
      <c r="DG135" s="28">
        <f>'KPI Count-SHARE'!J124</f>
        <v>0</v>
      </c>
      <c r="DH135" s="109"/>
      <c r="DI135" s="109"/>
      <c r="DJ135" s="109"/>
      <c r="DK135" s="28">
        <f>'KPI Count-SHARE'!K124</f>
        <v>0</v>
      </c>
      <c r="DL135" s="61"/>
      <c r="DM135" s="61"/>
      <c r="DN135" s="61"/>
      <c r="DO135" s="28">
        <f>'KPI Count-SHARE'!L124</f>
        <v>0</v>
      </c>
      <c r="DP135" s="61"/>
      <c r="DQ135" s="61"/>
      <c r="DR135" s="61"/>
      <c r="DS135" s="28">
        <f>'KPI Count-SHARE'!M124</f>
        <v>0</v>
      </c>
      <c r="DT135" s="61"/>
      <c r="DU135" s="61"/>
      <c r="DV135" s="61"/>
      <c r="DW135" t="s">
        <v>559</v>
      </c>
      <c r="DX135" s="39" t="str">
        <f t="shared" si="425"/>
        <v/>
      </c>
      <c r="DY135" s="39" t="str">
        <f t="shared" si="426"/>
        <v/>
      </c>
      <c r="DZ135" s="39" t="str">
        <f t="shared" si="427"/>
        <v/>
      </c>
      <c r="EA135" s="39" t="str">
        <f t="shared" si="428"/>
        <v/>
      </c>
      <c r="EB135" s="39" t="str">
        <f t="shared" si="429"/>
        <v/>
      </c>
      <c r="EC135" s="39" t="str">
        <f t="shared" si="430"/>
        <v/>
      </c>
      <c r="ED135" s="39" t="str">
        <f t="shared" si="431"/>
        <v/>
      </c>
      <c r="EE135" s="39" t="str">
        <f t="shared" si="432"/>
        <v/>
      </c>
      <c r="EF135" s="39" t="str">
        <f t="shared" si="433"/>
        <v/>
      </c>
      <c r="EG135" s="39" t="str">
        <f t="shared" si="434"/>
        <v/>
      </c>
      <c r="EH135" s="39" t="str">
        <f t="shared" si="435"/>
        <v/>
      </c>
      <c r="EI135" s="39" t="str">
        <f t="shared" si="448"/>
        <v/>
      </c>
      <c r="EJ135" s="39" t="str">
        <f t="shared" si="449"/>
        <v/>
      </c>
      <c r="EK135" s="39" t="str">
        <f t="shared" si="450"/>
        <v/>
      </c>
      <c r="EL135" s="39" t="str">
        <f t="shared" si="451"/>
        <v/>
      </c>
      <c r="EM135" s="39" t="str">
        <f t="shared" si="452"/>
        <v/>
      </c>
      <c r="EN135" s="39" t="str">
        <f t="shared" si="453"/>
        <v/>
      </c>
      <c r="EO135" s="39" t="str">
        <f t="shared" si="454"/>
        <v/>
      </c>
      <c r="EP135" s="39" t="str">
        <f t="shared" si="455"/>
        <v/>
      </c>
      <c r="EQ135" s="39" t="str">
        <f t="shared" si="456"/>
        <v/>
      </c>
      <c r="ER135" s="39" t="str">
        <f t="shared" si="457"/>
        <v/>
      </c>
      <c r="ES135" s="39" t="str">
        <f t="shared" si="458"/>
        <v/>
      </c>
      <c r="ET135" s="39" t="str">
        <f t="shared" si="459"/>
        <v/>
      </c>
      <c r="EU135" s="39" t="str">
        <f t="shared" si="462"/>
        <v/>
      </c>
      <c r="EV135" s="39" t="str">
        <f t="shared" si="463"/>
        <v/>
      </c>
      <c r="EW135" s="39" t="str">
        <f t="shared" si="464"/>
        <v/>
      </c>
      <c r="EX135" s="39" t="str">
        <f t="shared" si="465"/>
        <v/>
      </c>
      <c r="EY135" s="39" t="str">
        <f t="shared" si="466"/>
        <v/>
      </c>
      <c r="EZ135" s="39" t="str">
        <f t="shared" si="467"/>
        <v/>
      </c>
      <c r="FA135" s="39" t="str">
        <f t="shared" si="468"/>
        <v/>
      </c>
      <c r="FB135" s="39" t="str">
        <f t="shared" si="469"/>
        <v/>
      </c>
      <c r="FC135" s="39" t="str">
        <f t="shared" si="470"/>
        <v/>
      </c>
      <c r="FD135" s="39" t="str">
        <f t="shared" si="471"/>
        <v/>
      </c>
      <c r="FE135" s="39" t="str">
        <f t="shared" si="472"/>
        <v/>
      </c>
      <c r="FF135" s="39" t="str">
        <f t="shared" si="473"/>
        <v/>
      </c>
      <c r="FG135" s="39" t="str">
        <f t="shared" si="474"/>
        <v/>
      </c>
      <c r="FH135" s="39" t="str">
        <f t="shared" si="475"/>
        <v/>
      </c>
      <c r="FI135" s="39" t="str">
        <f t="shared" si="476"/>
        <v/>
      </c>
      <c r="FJ135" s="39" t="str">
        <f t="shared" si="477"/>
        <v/>
      </c>
      <c r="FK135" s="39" t="str">
        <f t="shared" si="478"/>
        <v/>
      </c>
      <c r="FL135" s="39" t="str">
        <f t="shared" si="479"/>
        <v/>
      </c>
      <c r="FM135" s="39" t="str">
        <f t="shared" si="480"/>
        <v/>
      </c>
      <c r="FN135" s="39" t="str">
        <f t="shared" si="481"/>
        <v/>
      </c>
      <c r="FO135" s="39" t="str">
        <f t="shared" si="482"/>
        <v/>
      </c>
      <c r="FP135" s="39" t="str">
        <f t="shared" si="483"/>
        <v/>
      </c>
      <c r="FQ135" s="39" t="str">
        <f t="shared" si="484"/>
        <v/>
      </c>
      <c r="FR135" s="39" t="str">
        <f t="shared" si="485"/>
        <v/>
      </c>
      <c r="FS135" s="39" t="str">
        <f t="shared" si="486"/>
        <v/>
      </c>
      <c r="FT135" s="39" t="str">
        <f t="shared" si="487"/>
        <v/>
      </c>
      <c r="FU135" s="39" t="str">
        <f t="shared" si="488"/>
        <v/>
      </c>
      <c r="FV135" s="39" t="str">
        <f t="shared" si="489"/>
        <v/>
      </c>
      <c r="FW135" s="39" t="str">
        <f t="shared" si="490"/>
        <v/>
      </c>
      <c r="FX135" s="39" t="str">
        <f t="shared" si="491"/>
        <v/>
      </c>
      <c r="FY135" s="39" t="str">
        <f t="shared" si="492"/>
        <v/>
      </c>
      <c r="FZ135" s="39" t="str">
        <f t="shared" si="493"/>
        <v/>
      </c>
      <c r="GA135" s="39" t="str">
        <f t="shared" si="494"/>
        <v/>
      </c>
      <c r="GB135" s="39" t="str">
        <f t="shared" si="495"/>
        <v/>
      </c>
      <c r="GC135" s="39" t="str">
        <f t="shared" si="496"/>
        <v/>
      </c>
      <c r="GD135" s="39" t="str">
        <f t="shared" si="497"/>
        <v/>
      </c>
      <c r="GE135" s="39" t="str">
        <f t="shared" si="498"/>
        <v/>
      </c>
      <c r="GF135" s="39" t="str">
        <f t="shared" si="499"/>
        <v/>
      </c>
      <c r="GG135" s="39" t="str">
        <f t="shared" si="500"/>
        <v/>
      </c>
      <c r="GH135" s="39" t="str">
        <f t="shared" si="501"/>
        <v/>
      </c>
      <c r="GI135" s="39" t="str">
        <f t="shared" si="502"/>
        <v/>
      </c>
      <c r="GJ135" s="39" t="str">
        <f t="shared" si="503"/>
        <v/>
      </c>
      <c r="GK135" s="39" t="str">
        <f t="shared" si="504"/>
        <v/>
      </c>
      <c r="GL135" s="39" t="str">
        <f t="shared" si="505"/>
        <v/>
      </c>
      <c r="GM135" s="39" t="str">
        <f t="shared" si="506"/>
        <v/>
      </c>
      <c r="GN135" s="39" t="str">
        <f t="shared" si="507"/>
        <v/>
      </c>
      <c r="GO135" s="39" t="str">
        <f t="shared" si="508"/>
        <v/>
      </c>
      <c r="GP135" s="39" t="str">
        <f t="shared" si="509"/>
        <v/>
      </c>
      <c r="GQ135" s="39" t="str">
        <f t="shared" si="510"/>
        <v/>
      </c>
      <c r="GR135" s="39" t="str">
        <f t="shared" si="511"/>
        <v/>
      </c>
      <c r="GS135" s="39" t="str">
        <f t="shared" si="512"/>
        <v/>
      </c>
      <c r="GT135" s="39" t="str">
        <f t="shared" si="513"/>
        <v/>
      </c>
      <c r="GU135" s="39" t="str">
        <f t="shared" si="514"/>
        <v/>
      </c>
      <c r="GV135" s="39" t="str">
        <f t="shared" si="515"/>
        <v/>
      </c>
      <c r="GW135" s="39" t="str">
        <f t="shared" si="516"/>
        <v/>
      </c>
      <c r="GX135" s="39" t="str">
        <f t="shared" si="517"/>
        <v/>
      </c>
      <c r="GY135" s="39" t="str">
        <f t="shared" si="518"/>
        <v/>
      </c>
      <c r="GZ135" s="39" t="str">
        <f t="shared" si="519"/>
        <v/>
      </c>
      <c r="HA135" s="39" t="str">
        <f t="shared" si="520"/>
        <v/>
      </c>
      <c r="HB135" s="39" t="str">
        <f t="shared" si="521"/>
        <v/>
      </c>
      <c r="HC135" s="39" t="str">
        <f t="shared" si="522"/>
        <v/>
      </c>
      <c r="HD135" s="39" t="str">
        <f t="shared" si="523"/>
        <v/>
      </c>
      <c r="HE135" s="39" t="str">
        <f t="shared" si="524"/>
        <v/>
      </c>
      <c r="HF135" s="39" t="str">
        <f t="shared" si="525"/>
        <v/>
      </c>
      <c r="HG135" s="39" t="str">
        <f t="shared" si="526"/>
        <v/>
      </c>
      <c r="HH135" s="39" t="str">
        <f t="shared" si="527"/>
        <v/>
      </c>
      <c r="HI135" s="39" t="str">
        <f t="shared" si="528"/>
        <v/>
      </c>
      <c r="HJ135" s="39" t="str">
        <f t="shared" si="529"/>
        <v/>
      </c>
      <c r="HK135" s="39" t="str">
        <f t="shared" si="530"/>
        <v/>
      </c>
      <c r="HL135" s="39" t="str">
        <f t="shared" si="531"/>
        <v/>
      </c>
      <c r="HM135" s="39" t="str">
        <f t="shared" si="532"/>
        <v/>
      </c>
      <c r="HN135" s="39" t="str">
        <f t="shared" si="533"/>
        <v/>
      </c>
      <c r="HO135" s="39" t="str">
        <f t="shared" si="534"/>
        <v/>
      </c>
      <c r="HP135" s="39" t="str">
        <f t="shared" si="535"/>
        <v/>
      </c>
      <c r="HQ135" s="39" t="str">
        <f t="shared" si="536"/>
        <v/>
      </c>
      <c r="HR135" s="39" t="str">
        <f t="shared" si="537"/>
        <v/>
      </c>
      <c r="HS135" s="39" t="str">
        <f t="shared" si="538"/>
        <v/>
      </c>
      <c r="HT135" s="39" t="str">
        <f t="shared" si="538"/>
        <v/>
      </c>
      <c r="HU135" s="43" t="str">
        <f t="shared" si="445"/>
        <v>-</v>
      </c>
      <c r="HV135" s="44" t="str">
        <f t="shared" si="446"/>
        <v/>
      </c>
      <c r="HW135" s="45" t="str">
        <f t="shared" si="447"/>
        <v/>
      </c>
      <c r="HX135" s="96"/>
      <c r="HY135" s="96"/>
      <c r="HZ135" s="96"/>
      <c r="IA135" s="95"/>
      <c r="IB135" s="96"/>
      <c r="IC135" s="97"/>
      <c r="ID135" s="95"/>
      <c r="IE135" s="96"/>
      <c r="IF135" s="97"/>
      <c r="IH135" s="66">
        <v>135</v>
      </c>
      <c r="II135" s="66" t="e">
        <f t="shared" ca="1" si="436"/>
        <v>#N/A</v>
      </c>
      <c r="IJ135" s="66" t="e">
        <f t="shared" ca="1" si="437"/>
        <v>#N/A</v>
      </c>
      <c r="IK135" s="66" t="e">
        <f t="shared" ca="1" si="438"/>
        <v>#N/A</v>
      </c>
      <c r="IL135" s="66" t="e">
        <f t="shared" ca="1" si="439"/>
        <v>#N/A</v>
      </c>
      <c r="IN135" s="74" t="e">
        <f t="shared" ca="1" si="440"/>
        <v>#N/A</v>
      </c>
      <c r="IO135" s="75" t="e">
        <f t="shared" ca="1" si="441"/>
        <v>#N/A</v>
      </c>
      <c r="IP135" s="75" t="e">
        <f t="shared" ca="1" si="442"/>
        <v>#N/A</v>
      </c>
      <c r="IQ135" s="74" t="e">
        <f t="shared" ca="1" si="443"/>
        <v>#N/A</v>
      </c>
      <c r="IR135" s="74" t="e">
        <f t="shared" ca="1" si="444"/>
        <v>#N/A</v>
      </c>
    </row>
    <row r="136" spans="1:252" x14ac:dyDescent="0.35">
      <c r="A136" s="28">
        <v>0</v>
      </c>
      <c r="B136" s="28">
        <v>0</v>
      </c>
      <c r="C136" s="28">
        <v>1</v>
      </c>
      <c r="D136" s="1"/>
      <c r="E136" s="3"/>
      <c r="F136" t="s">
        <v>401</v>
      </c>
      <c r="G136" s="5" t="s">
        <v>540</v>
      </c>
      <c r="H136" t="s">
        <v>559</v>
      </c>
      <c r="I136" t="s">
        <v>532</v>
      </c>
      <c r="J136" s="276" t="s">
        <v>805</v>
      </c>
      <c r="K136" s="21" t="s">
        <v>805</v>
      </c>
      <c r="L136" s="21" t="s">
        <v>805</v>
      </c>
      <c r="M136" s="21" t="s">
        <v>805</v>
      </c>
      <c r="N136" s="21" t="s">
        <v>805</v>
      </c>
      <c r="O136" s="21" t="s">
        <v>805</v>
      </c>
      <c r="P136" s="21" t="s">
        <v>805</v>
      </c>
      <c r="Q136" s="21" t="s">
        <v>805</v>
      </c>
      <c r="R136" s="21" t="s">
        <v>805</v>
      </c>
      <c r="S136" s="21" t="s">
        <v>805</v>
      </c>
      <c r="T136" s="21" t="s">
        <v>805</v>
      </c>
      <c r="U136" s="21" t="s">
        <v>805</v>
      </c>
      <c r="V136" s="21" t="s">
        <v>805</v>
      </c>
      <c r="W136" s="21" t="s">
        <v>805</v>
      </c>
      <c r="X136" s="21" t="s">
        <v>805</v>
      </c>
      <c r="Y136" s="21" t="s">
        <v>805</v>
      </c>
      <c r="Z136" s="21" t="s">
        <v>805</v>
      </c>
      <c r="AA136" s="21" t="s">
        <v>805</v>
      </c>
      <c r="AB136" s="21" t="s">
        <v>805</v>
      </c>
      <c r="AC136" s="21" t="s">
        <v>805</v>
      </c>
      <c r="AD136" s="21" t="s">
        <v>805</v>
      </c>
      <c r="AE136" s="21" t="s">
        <v>805</v>
      </c>
      <c r="AF136" s="21" t="s">
        <v>805</v>
      </c>
      <c r="AG136" s="21" t="s">
        <v>805</v>
      </c>
      <c r="AH136" s="21" t="s">
        <v>805</v>
      </c>
      <c r="AI136" s="21" t="s">
        <v>805</v>
      </c>
      <c r="AJ136" s="21" t="s">
        <v>805</v>
      </c>
      <c r="AK136" s="21" t="s">
        <v>805</v>
      </c>
      <c r="AL136" s="21" t="s">
        <v>805</v>
      </c>
      <c r="AM136" s="21" t="s">
        <v>805</v>
      </c>
      <c r="AN136" s="21" t="s">
        <v>805</v>
      </c>
      <c r="AO136" s="21" t="s">
        <v>805</v>
      </c>
      <c r="AP136" s="21" t="s">
        <v>805</v>
      </c>
      <c r="AQ136" s="21" t="s">
        <v>805</v>
      </c>
      <c r="AR136" s="21" t="s">
        <v>805</v>
      </c>
      <c r="AS136" s="21" t="s">
        <v>805</v>
      </c>
      <c r="AT136" s="21" t="s">
        <v>805</v>
      </c>
      <c r="AU136" s="21" t="s">
        <v>805</v>
      </c>
      <c r="AV136" s="21" t="s">
        <v>805</v>
      </c>
      <c r="AW136" s="21" t="s">
        <v>805</v>
      </c>
      <c r="AX136" s="21" t="s">
        <v>805</v>
      </c>
      <c r="AY136" s="21" t="s">
        <v>805</v>
      </c>
      <c r="AZ136" s="21" t="s">
        <v>805</v>
      </c>
      <c r="BA136" s="21" t="s">
        <v>805</v>
      </c>
      <c r="BB136" s="21" t="s">
        <v>805</v>
      </c>
      <c r="BC136" s="21" t="s">
        <v>805</v>
      </c>
      <c r="BD136" s="21" t="s">
        <v>805</v>
      </c>
      <c r="BE136" s="21" t="s">
        <v>805</v>
      </c>
      <c r="BF136" s="21" t="s">
        <v>805</v>
      </c>
      <c r="BG136" s="21" t="s">
        <v>805</v>
      </c>
      <c r="BH136" s="21" t="s">
        <v>805</v>
      </c>
      <c r="BI136" s="21" t="s">
        <v>805</v>
      </c>
      <c r="BJ136" s="21" t="s">
        <v>805</v>
      </c>
      <c r="BK136" s="21" t="s">
        <v>805</v>
      </c>
      <c r="BL136" s="21" t="s">
        <v>805</v>
      </c>
      <c r="BM136" s="21" t="s">
        <v>805</v>
      </c>
      <c r="BN136" s="21" t="s">
        <v>805</v>
      </c>
      <c r="BO136" s="21" t="s">
        <v>805</v>
      </c>
      <c r="BP136" s="21" t="s">
        <v>805</v>
      </c>
      <c r="BQ136" s="21" t="s">
        <v>805</v>
      </c>
      <c r="BR136" s="21" t="s">
        <v>805</v>
      </c>
      <c r="BS136" s="21" t="s">
        <v>805</v>
      </c>
      <c r="BT136" s="21" t="s">
        <v>805</v>
      </c>
      <c r="BU136" s="21" t="s">
        <v>805</v>
      </c>
      <c r="BV136" s="21" t="s">
        <v>805</v>
      </c>
      <c r="BW136" s="21" t="s">
        <v>805</v>
      </c>
      <c r="BX136" s="21" t="s">
        <v>805</v>
      </c>
      <c r="BY136" s="21" t="s">
        <v>805</v>
      </c>
      <c r="BZ136" s="21" t="s">
        <v>805</v>
      </c>
      <c r="CA136" s="21" t="s">
        <v>805</v>
      </c>
      <c r="CB136" s="21" t="s">
        <v>805</v>
      </c>
      <c r="CC136" s="21" t="s">
        <v>805</v>
      </c>
      <c r="CD136" s="21" t="s">
        <v>805</v>
      </c>
      <c r="CE136" s="21" t="s">
        <v>805</v>
      </c>
      <c r="CF136" s="21" t="s">
        <v>805</v>
      </c>
      <c r="CG136" s="21" t="s">
        <v>805</v>
      </c>
      <c r="CH136" s="21" t="s">
        <v>805</v>
      </c>
      <c r="CI136" s="21" t="s">
        <v>805</v>
      </c>
      <c r="CJ136" s="21" t="s">
        <v>805</v>
      </c>
      <c r="CK136" s="21" t="s">
        <v>805</v>
      </c>
      <c r="CL136" s="21" t="s">
        <v>805</v>
      </c>
      <c r="CM136" s="21" t="s">
        <v>805</v>
      </c>
      <c r="CN136" s="21" t="s">
        <v>805</v>
      </c>
      <c r="CO136" s="21" t="s">
        <v>805</v>
      </c>
      <c r="CP136" s="21" t="s">
        <v>805</v>
      </c>
      <c r="CQ136" s="21" t="s">
        <v>805</v>
      </c>
      <c r="CR136" s="21" t="s">
        <v>805</v>
      </c>
      <c r="CS136" s="21" t="s">
        <v>805</v>
      </c>
      <c r="CT136" s="21" t="s">
        <v>805</v>
      </c>
      <c r="CU136" s="21" t="s">
        <v>805</v>
      </c>
      <c r="CV136" s="21" t="s">
        <v>805</v>
      </c>
      <c r="CW136" s="21" t="s">
        <v>805</v>
      </c>
      <c r="CX136" s="21" t="s">
        <v>805</v>
      </c>
      <c r="CY136" s="21" t="s">
        <v>805</v>
      </c>
      <c r="CZ136" s="21" t="s">
        <v>805</v>
      </c>
      <c r="DA136" s="21" t="s">
        <v>805</v>
      </c>
      <c r="DB136" s="21" t="s">
        <v>805</v>
      </c>
      <c r="DC136" s="21" t="s">
        <v>805</v>
      </c>
      <c r="DD136" s="21" t="s">
        <v>805</v>
      </c>
      <c r="DE136" s="21" t="s">
        <v>805</v>
      </c>
      <c r="DF136" s="21" t="s">
        <v>805</v>
      </c>
      <c r="DG136" s="28">
        <f>'KPI Count-SHARE'!J125</f>
        <v>0</v>
      </c>
      <c r="DH136" s="109"/>
      <c r="DI136" s="109"/>
      <c r="DJ136" s="109"/>
      <c r="DK136" s="28">
        <f>'KPI Count-SHARE'!K125</f>
        <v>0</v>
      </c>
      <c r="DL136" s="61"/>
      <c r="DM136" s="61"/>
      <c r="DN136" s="61"/>
      <c r="DO136" s="28">
        <f>'KPI Count-SHARE'!L125</f>
        <v>0</v>
      </c>
      <c r="DP136" s="61"/>
      <c r="DQ136" s="61"/>
      <c r="DR136" s="61"/>
      <c r="DS136" s="28">
        <f>'KPI Count-SHARE'!M125</f>
        <v>0</v>
      </c>
      <c r="DT136" s="61"/>
      <c r="DU136" s="61"/>
      <c r="DV136" s="61"/>
      <c r="DW136" t="s">
        <v>559</v>
      </c>
      <c r="DX136" s="39" t="str">
        <f t="shared" si="425"/>
        <v/>
      </c>
      <c r="DY136" s="39" t="str">
        <f t="shared" si="426"/>
        <v/>
      </c>
      <c r="DZ136" s="39" t="str">
        <f t="shared" si="427"/>
        <v/>
      </c>
      <c r="EA136" s="39" t="str">
        <f t="shared" si="428"/>
        <v/>
      </c>
      <c r="EB136" s="39" t="str">
        <f t="shared" si="429"/>
        <v/>
      </c>
      <c r="EC136" s="39" t="str">
        <f t="shared" si="430"/>
        <v/>
      </c>
      <c r="ED136" s="39" t="str">
        <f t="shared" si="431"/>
        <v/>
      </c>
      <c r="EE136" s="39" t="str">
        <f t="shared" si="432"/>
        <v/>
      </c>
      <c r="EF136" s="39" t="str">
        <f t="shared" si="433"/>
        <v/>
      </c>
      <c r="EG136" s="39" t="str">
        <f t="shared" si="434"/>
        <v/>
      </c>
      <c r="EH136" s="39" t="str">
        <f t="shared" si="435"/>
        <v/>
      </c>
      <c r="EI136" s="39" t="str">
        <f t="shared" si="448"/>
        <v/>
      </c>
      <c r="EJ136" s="39" t="str">
        <f t="shared" si="449"/>
        <v/>
      </c>
      <c r="EK136" s="39" t="str">
        <f t="shared" si="450"/>
        <v/>
      </c>
      <c r="EL136" s="39" t="str">
        <f t="shared" si="451"/>
        <v/>
      </c>
      <c r="EM136" s="39" t="str">
        <f t="shared" si="452"/>
        <v/>
      </c>
      <c r="EN136" s="39" t="str">
        <f t="shared" si="453"/>
        <v/>
      </c>
      <c r="EO136" s="39" t="str">
        <f t="shared" si="454"/>
        <v/>
      </c>
      <c r="EP136" s="39" t="str">
        <f t="shared" si="455"/>
        <v/>
      </c>
      <c r="EQ136" s="39" t="str">
        <f t="shared" si="456"/>
        <v/>
      </c>
      <c r="ER136" s="39" t="str">
        <f t="shared" si="457"/>
        <v/>
      </c>
      <c r="ES136" s="39" t="str">
        <f t="shared" si="458"/>
        <v/>
      </c>
      <c r="ET136" s="39" t="str">
        <f t="shared" si="459"/>
        <v/>
      </c>
      <c r="EU136" s="39" t="str">
        <f t="shared" si="462"/>
        <v/>
      </c>
      <c r="EV136" s="39" t="str">
        <f t="shared" si="463"/>
        <v/>
      </c>
      <c r="EW136" s="39" t="str">
        <f t="shared" si="464"/>
        <v/>
      </c>
      <c r="EX136" s="39" t="str">
        <f t="shared" si="465"/>
        <v/>
      </c>
      <c r="EY136" s="39" t="str">
        <f t="shared" si="466"/>
        <v/>
      </c>
      <c r="EZ136" s="39" t="str">
        <f t="shared" si="467"/>
        <v/>
      </c>
      <c r="FA136" s="39" t="str">
        <f t="shared" si="468"/>
        <v/>
      </c>
      <c r="FB136" s="39" t="str">
        <f t="shared" si="469"/>
        <v/>
      </c>
      <c r="FC136" s="39" t="str">
        <f t="shared" si="470"/>
        <v/>
      </c>
      <c r="FD136" s="39" t="str">
        <f t="shared" si="471"/>
        <v/>
      </c>
      <c r="FE136" s="39" t="str">
        <f t="shared" si="472"/>
        <v/>
      </c>
      <c r="FF136" s="39" t="str">
        <f t="shared" si="473"/>
        <v/>
      </c>
      <c r="FG136" s="39" t="str">
        <f t="shared" si="474"/>
        <v/>
      </c>
      <c r="FH136" s="39" t="str">
        <f t="shared" si="475"/>
        <v/>
      </c>
      <c r="FI136" s="39" t="str">
        <f t="shared" si="476"/>
        <v/>
      </c>
      <c r="FJ136" s="39" t="str">
        <f t="shared" si="477"/>
        <v/>
      </c>
      <c r="FK136" s="39" t="str">
        <f t="shared" si="478"/>
        <v/>
      </c>
      <c r="FL136" s="39" t="str">
        <f t="shared" si="479"/>
        <v/>
      </c>
      <c r="FM136" s="39" t="str">
        <f t="shared" si="480"/>
        <v/>
      </c>
      <c r="FN136" s="39" t="str">
        <f t="shared" si="481"/>
        <v/>
      </c>
      <c r="FO136" s="39" t="str">
        <f t="shared" si="482"/>
        <v/>
      </c>
      <c r="FP136" s="39" t="str">
        <f t="shared" si="483"/>
        <v/>
      </c>
      <c r="FQ136" s="39" t="str">
        <f t="shared" si="484"/>
        <v/>
      </c>
      <c r="FR136" s="39" t="str">
        <f t="shared" si="485"/>
        <v/>
      </c>
      <c r="FS136" s="39" t="str">
        <f t="shared" si="486"/>
        <v/>
      </c>
      <c r="FT136" s="39" t="str">
        <f t="shared" si="487"/>
        <v/>
      </c>
      <c r="FU136" s="39" t="str">
        <f t="shared" si="488"/>
        <v/>
      </c>
      <c r="FV136" s="39" t="str">
        <f t="shared" si="489"/>
        <v/>
      </c>
      <c r="FW136" s="39" t="str">
        <f t="shared" si="490"/>
        <v/>
      </c>
      <c r="FX136" s="39" t="str">
        <f t="shared" si="491"/>
        <v/>
      </c>
      <c r="FY136" s="39" t="str">
        <f t="shared" si="492"/>
        <v/>
      </c>
      <c r="FZ136" s="39" t="str">
        <f t="shared" si="493"/>
        <v/>
      </c>
      <c r="GA136" s="39" t="str">
        <f t="shared" si="494"/>
        <v/>
      </c>
      <c r="GB136" s="39" t="str">
        <f t="shared" si="495"/>
        <v/>
      </c>
      <c r="GC136" s="39" t="str">
        <f t="shared" si="496"/>
        <v/>
      </c>
      <c r="GD136" s="39" t="str">
        <f t="shared" si="497"/>
        <v/>
      </c>
      <c r="GE136" s="39" t="str">
        <f t="shared" si="498"/>
        <v/>
      </c>
      <c r="GF136" s="39" t="str">
        <f t="shared" si="499"/>
        <v/>
      </c>
      <c r="GG136" s="39" t="str">
        <f t="shared" si="500"/>
        <v/>
      </c>
      <c r="GH136" s="39" t="str">
        <f t="shared" si="501"/>
        <v/>
      </c>
      <c r="GI136" s="39" t="str">
        <f t="shared" si="502"/>
        <v/>
      </c>
      <c r="GJ136" s="39" t="str">
        <f t="shared" si="503"/>
        <v/>
      </c>
      <c r="GK136" s="39" t="str">
        <f t="shared" si="504"/>
        <v/>
      </c>
      <c r="GL136" s="39" t="str">
        <f t="shared" si="505"/>
        <v/>
      </c>
      <c r="GM136" s="39" t="str">
        <f t="shared" si="506"/>
        <v/>
      </c>
      <c r="GN136" s="39" t="str">
        <f t="shared" si="507"/>
        <v/>
      </c>
      <c r="GO136" s="39" t="str">
        <f t="shared" si="508"/>
        <v/>
      </c>
      <c r="GP136" s="39" t="str">
        <f t="shared" si="509"/>
        <v/>
      </c>
      <c r="GQ136" s="39" t="str">
        <f t="shared" si="510"/>
        <v/>
      </c>
      <c r="GR136" s="39" t="str">
        <f t="shared" si="511"/>
        <v/>
      </c>
      <c r="GS136" s="39" t="str">
        <f t="shared" si="512"/>
        <v/>
      </c>
      <c r="GT136" s="39" t="str">
        <f t="shared" si="513"/>
        <v/>
      </c>
      <c r="GU136" s="39" t="str">
        <f t="shared" si="514"/>
        <v/>
      </c>
      <c r="GV136" s="39" t="str">
        <f t="shared" si="515"/>
        <v/>
      </c>
      <c r="GW136" s="39" t="str">
        <f t="shared" si="516"/>
        <v/>
      </c>
      <c r="GX136" s="39" t="str">
        <f t="shared" si="517"/>
        <v/>
      </c>
      <c r="GY136" s="39" t="str">
        <f t="shared" si="518"/>
        <v/>
      </c>
      <c r="GZ136" s="39" t="str">
        <f t="shared" si="519"/>
        <v/>
      </c>
      <c r="HA136" s="39" t="str">
        <f t="shared" si="520"/>
        <v/>
      </c>
      <c r="HB136" s="39" t="str">
        <f t="shared" si="521"/>
        <v/>
      </c>
      <c r="HC136" s="39" t="str">
        <f t="shared" si="522"/>
        <v/>
      </c>
      <c r="HD136" s="39" t="str">
        <f t="shared" si="523"/>
        <v/>
      </c>
      <c r="HE136" s="39" t="str">
        <f t="shared" si="524"/>
        <v/>
      </c>
      <c r="HF136" s="39" t="str">
        <f t="shared" si="525"/>
        <v/>
      </c>
      <c r="HG136" s="39" t="str">
        <f t="shared" si="526"/>
        <v/>
      </c>
      <c r="HH136" s="39" t="str">
        <f t="shared" si="527"/>
        <v/>
      </c>
      <c r="HI136" s="39" t="str">
        <f t="shared" si="528"/>
        <v/>
      </c>
      <c r="HJ136" s="39" t="str">
        <f t="shared" si="529"/>
        <v/>
      </c>
      <c r="HK136" s="39" t="str">
        <f t="shared" si="530"/>
        <v/>
      </c>
      <c r="HL136" s="39" t="str">
        <f t="shared" si="531"/>
        <v/>
      </c>
      <c r="HM136" s="39" t="str">
        <f t="shared" si="532"/>
        <v/>
      </c>
      <c r="HN136" s="39" t="str">
        <f t="shared" si="533"/>
        <v/>
      </c>
      <c r="HO136" s="39" t="str">
        <f t="shared" si="534"/>
        <v/>
      </c>
      <c r="HP136" s="39" t="str">
        <f t="shared" si="535"/>
        <v/>
      </c>
      <c r="HQ136" s="39" t="str">
        <f t="shared" si="536"/>
        <v/>
      </c>
      <c r="HR136" s="39" t="str">
        <f t="shared" si="537"/>
        <v/>
      </c>
      <c r="HS136" s="39" t="str">
        <f t="shared" si="538"/>
        <v/>
      </c>
      <c r="HT136" s="39" t="str">
        <f t="shared" si="538"/>
        <v/>
      </c>
      <c r="HU136" s="43" t="str">
        <f t="shared" si="445"/>
        <v>-</v>
      </c>
      <c r="HV136" s="44" t="str">
        <f t="shared" si="446"/>
        <v/>
      </c>
      <c r="HW136" s="45" t="str">
        <f t="shared" si="447"/>
        <v/>
      </c>
      <c r="HX136" s="96"/>
      <c r="HY136" s="96"/>
      <c r="HZ136" s="96"/>
      <c r="IA136" s="95"/>
      <c r="IB136" s="96"/>
      <c r="IC136" s="97"/>
      <c r="ID136" s="95"/>
      <c r="IE136" s="96"/>
      <c r="IF136" s="97"/>
      <c r="IH136" s="66">
        <v>136</v>
      </c>
      <c r="II136" s="66" t="e">
        <f t="shared" ca="1" si="436"/>
        <v>#N/A</v>
      </c>
      <c r="IJ136" s="66" t="e">
        <f t="shared" ca="1" si="437"/>
        <v>#N/A</v>
      </c>
      <c r="IK136" s="66" t="e">
        <f t="shared" ca="1" si="438"/>
        <v>#N/A</v>
      </c>
      <c r="IL136" s="66" t="e">
        <f t="shared" ca="1" si="439"/>
        <v>#N/A</v>
      </c>
      <c r="IN136" s="74" t="e">
        <f t="shared" ca="1" si="440"/>
        <v>#N/A</v>
      </c>
      <c r="IO136" s="75" t="e">
        <f t="shared" ca="1" si="441"/>
        <v>#N/A</v>
      </c>
      <c r="IP136" s="75" t="e">
        <f t="shared" ca="1" si="442"/>
        <v>#N/A</v>
      </c>
      <c r="IQ136" s="74" t="e">
        <f t="shared" ca="1" si="443"/>
        <v>#N/A</v>
      </c>
      <c r="IR136" s="74" t="e">
        <f t="shared" ca="1" si="444"/>
        <v>#N/A</v>
      </c>
    </row>
    <row r="137" spans="1:252" x14ac:dyDescent="0.35">
      <c r="A137" s="28">
        <v>0</v>
      </c>
      <c r="B137" s="28">
        <v>0</v>
      </c>
      <c r="C137" s="28">
        <v>1</v>
      </c>
      <c r="D137" s="1"/>
      <c r="E137" s="3"/>
      <c r="F137" t="s">
        <v>402</v>
      </c>
      <c r="G137" s="5" t="s">
        <v>540</v>
      </c>
      <c r="H137" t="s">
        <v>559</v>
      </c>
      <c r="I137" t="s">
        <v>532</v>
      </c>
      <c r="J137" s="276" t="s">
        <v>805</v>
      </c>
      <c r="K137" s="21" t="s">
        <v>805</v>
      </c>
      <c r="L137" s="21" t="s">
        <v>805</v>
      </c>
      <c r="M137" s="21" t="s">
        <v>805</v>
      </c>
      <c r="N137" s="21" t="s">
        <v>805</v>
      </c>
      <c r="O137" s="21" t="s">
        <v>805</v>
      </c>
      <c r="P137" s="21" t="s">
        <v>805</v>
      </c>
      <c r="Q137" s="21" t="s">
        <v>805</v>
      </c>
      <c r="R137" s="21" t="s">
        <v>805</v>
      </c>
      <c r="S137" s="21" t="s">
        <v>805</v>
      </c>
      <c r="T137" s="21" t="s">
        <v>805</v>
      </c>
      <c r="U137" s="21" t="s">
        <v>805</v>
      </c>
      <c r="V137" s="21" t="s">
        <v>805</v>
      </c>
      <c r="W137" s="21" t="s">
        <v>805</v>
      </c>
      <c r="X137" s="21" t="s">
        <v>805</v>
      </c>
      <c r="Y137" s="21" t="s">
        <v>805</v>
      </c>
      <c r="Z137" s="21" t="s">
        <v>805</v>
      </c>
      <c r="AA137" s="21" t="s">
        <v>805</v>
      </c>
      <c r="AB137" s="21" t="s">
        <v>805</v>
      </c>
      <c r="AC137" s="21" t="s">
        <v>805</v>
      </c>
      <c r="AD137" s="21" t="s">
        <v>805</v>
      </c>
      <c r="AE137" s="21" t="s">
        <v>805</v>
      </c>
      <c r="AF137" s="21" t="s">
        <v>805</v>
      </c>
      <c r="AG137" s="21" t="s">
        <v>805</v>
      </c>
      <c r="AH137" s="21" t="s">
        <v>805</v>
      </c>
      <c r="AI137" s="21" t="s">
        <v>805</v>
      </c>
      <c r="AJ137" s="21" t="s">
        <v>805</v>
      </c>
      <c r="AK137" s="21" t="s">
        <v>805</v>
      </c>
      <c r="AL137" s="21" t="s">
        <v>805</v>
      </c>
      <c r="AM137" s="21" t="s">
        <v>805</v>
      </c>
      <c r="AN137" s="21" t="s">
        <v>805</v>
      </c>
      <c r="AO137" s="21" t="s">
        <v>805</v>
      </c>
      <c r="AP137" s="21" t="s">
        <v>805</v>
      </c>
      <c r="AQ137" s="21" t="s">
        <v>805</v>
      </c>
      <c r="AR137" s="21" t="s">
        <v>805</v>
      </c>
      <c r="AS137" s="21" t="s">
        <v>805</v>
      </c>
      <c r="AT137" s="21" t="s">
        <v>805</v>
      </c>
      <c r="AU137" s="21" t="s">
        <v>805</v>
      </c>
      <c r="AV137" s="21" t="s">
        <v>805</v>
      </c>
      <c r="AW137" s="21" t="s">
        <v>805</v>
      </c>
      <c r="AX137" s="21" t="s">
        <v>805</v>
      </c>
      <c r="AY137" s="21" t="s">
        <v>805</v>
      </c>
      <c r="AZ137" s="21" t="s">
        <v>805</v>
      </c>
      <c r="BA137" s="21" t="s">
        <v>805</v>
      </c>
      <c r="BB137" s="21" t="s">
        <v>805</v>
      </c>
      <c r="BC137" s="21" t="s">
        <v>805</v>
      </c>
      <c r="BD137" s="21" t="s">
        <v>805</v>
      </c>
      <c r="BE137" s="21" t="s">
        <v>805</v>
      </c>
      <c r="BF137" s="21" t="s">
        <v>805</v>
      </c>
      <c r="BG137" s="21" t="s">
        <v>805</v>
      </c>
      <c r="BH137" s="21" t="s">
        <v>805</v>
      </c>
      <c r="BI137" s="21" t="s">
        <v>805</v>
      </c>
      <c r="BJ137" s="21" t="s">
        <v>805</v>
      </c>
      <c r="BK137" s="21" t="s">
        <v>805</v>
      </c>
      <c r="BL137" s="21" t="s">
        <v>805</v>
      </c>
      <c r="BM137" s="21" t="s">
        <v>805</v>
      </c>
      <c r="BN137" s="21" t="s">
        <v>805</v>
      </c>
      <c r="BO137" s="21" t="s">
        <v>805</v>
      </c>
      <c r="BP137" s="21" t="s">
        <v>805</v>
      </c>
      <c r="BQ137" s="21" t="s">
        <v>805</v>
      </c>
      <c r="BR137" s="21" t="s">
        <v>805</v>
      </c>
      <c r="BS137" s="21" t="s">
        <v>805</v>
      </c>
      <c r="BT137" s="21" t="s">
        <v>805</v>
      </c>
      <c r="BU137" s="21" t="s">
        <v>805</v>
      </c>
      <c r="BV137" s="21" t="s">
        <v>805</v>
      </c>
      <c r="BW137" s="21" t="s">
        <v>805</v>
      </c>
      <c r="BX137" s="21" t="s">
        <v>805</v>
      </c>
      <c r="BY137" s="21" t="s">
        <v>805</v>
      </c>
      <c r="BZ137" s="21" t="s">
        <v>805</v>
      </c>
      <c r="CA137" s="21" t="s">
        <v>805</v>
      </c>
      <c r="CB137" s="21" t="s">
        <v>805</v>
      </c>
      <c r="CC137" s="21" t="s">
        <v>805</v>
      </c>
      <c r="CD137" s="21" t="s">
        <v>805</v>
      </c>
      <c r="CE137" s="21" t="s">
        <v>805</v>
      </c>
      <c r="CF137" s="21" t="s">
        <v>805</v>
      </c>
      <c r="CG137" s="21" t="s">
        <v>805</v>
      </c>
      <c r="CH137" s="21" t="s">
        <v>805</v>
      </c>
      <c r="CI137" s="21" t="s">
        <v>805</v>
      </c>
      <c r="CJ137" s="21" t="s">
        <v>805</v>
      </c>
      <c r="CK137" s="21" t="s">
        <v>805</v>
      </c>
      <c r="CL137" s="21" t="s">
        <v>805</v>
      </c>
      <c r="CM137" s="21" t="s">
        <v>805</v>
      </c>
      <c r="CN137" s="21" t="s">
        <v>805</v>
      </c>
      <c r="CO137" s="21" t="s">
        <v>805</v>
      </c>
      <c r="CP137" s="21" t="s">
        <v>805</v>
      </c>
      <c r="CQ137" s="21" t="s">
        <v>805</v>
      </c>
      <c r="CR137" s="21" t="s">
        <v>805</v>
      </c>
      <c r="CS137" s="21" t="s">
        <v>805</v>
      </c>
      <c r="CT137" s="21" t="s">
        <v>805</v>
      </c>
      <c r="CU137" s="21" t="s">
        <v>805</v>
      </c>
      <c r="CV137" s="21" t="s">
        <v>805</v>
      </c>
      <c r="CW137" s="21" t="s">
        <v>805</v>
      </c>
      <c r="CX137" s="21" t="s">
        <v>805</v>
      </c>
      <c r="CY137" s="21" t="s">
        <v>805</v>
      </c>
      <c r="CZ137" s="21" t="s">
        <v>805</v>
      </c>
      <c r="DA137" s="21" t="s">
        <v>805</v>
      </c>
      <c r="DB137" s="21" t="s">
        <v>805</v>
      </c>
      <c r="DC137" s="21" t="s">
        <v>805</v>
      </c>
      <c r="DD137" s="21" t="s">
        <v>805</v>
      </c>
      <c r="DE137" s="21" t="s">
        <v>805</v>
      </c>
      <c r="DF137" s="21" t="s">
        <v>805</v>
      </c>
      <c r="DG137" s="28">
        <f>'KPI Count-SHARE'!J126</f>
        <v>0</v>
      </c>
      <c r="DH137" s="109"/>
      <c r="DI137" s="109"/>
      <c r="DJ137" s="109"/>
      <c r="DK137" s="28">
        <f>'KPI Count-SHARE'!K126</f>
        <v>0</v>
      </c>
      <c r="DL137" s="61"/>
      <c r="DM137" s="61"/>
      <c r="DN137" s="61"/>
      <c r="DO137" s="28">
        <f>'KPI Count-SHARE'!L126</f>
        <v>0</v>
      </c>
      <c r="DP137" s="61"/>
      <c r="DQ137" s="61"/>
      <c r="DR137" s="61"/>
      <c r="DS137" s="28">
        <f>'KPI Count-SHARE'!M126</f>
        <v>0</v>
      </c>
      <c r="DT137" s="61"/>
      <c r="DU137" s="61"/>
      <c r="DV137" s="61"/>
      <c r="DW137" t="s">
        <v>559</v>
      </c>
      <c r="DX137" s="39" t="str">
        <f t="shared" si="425"/>
        <v/>
      </c>
      <c r="DY137" s="39" t="str">
        <f t="shared" si="426"/>
        <v/>
      </c>
      <c r="DZ137" s="39" t="str">
        <f t="shared" si="427"/>
        <v/>
      </c>
      <c r="EA137" s="39" t="str">
        <f t="shared" si="428"/>
        <v/>
      </c>
      <c r="EB137" s="39" t="str">
        <f t="shared" si="429"/>
        <v/>
      </c>
      <c r="EC137" s="39" t="str">
        <f t="shared" si="430"/>
        <v/>
      </c>
      <c r="ED137" s="39" t="str">
        <f t="shared" si="431"/>
        <v/>
      </c>
      <c r="EE137" s="39" t="str">
        <f t="shared" si="432"/>
        <v/>
      </c>
      <c r="EF137" s="39" t="str">
        <f t="shared" si="433"/>
        <v/>
      </c>
      <c r="EG137" s="39" t="str">
        <f t="shared" si="434"/>
        <v/>
      </c>
      <c r="EH137" s="39" t="str">
        <f t="shared" si="435"/>
        <v/>
      </c>
      <c r="EI137" s="39" t="str">
        <f t="shared" si="448"/>
        <v/>
      </c>
      <c r="EJ137" s="39" t="str">
        <f t="shared" si="449"/>
        <v/>
      </c>
      <c r="EK137" s="39" t="str">
        <f t="shared" si="450"/>
        <v/>
      </c>
      <c r="EL137" s="39" t="str">
        <f t="shared" si="451"/>
        <v/>
      </c>
      <c r="EM137" s="39" t="str">
        <f t="shared" si="452"/>
        <v/>
      </c>
      <c r="EN137" s="39" t="str">
        <f t="shared" si="453"/>
        <v/>
      </c>
      <c r="EO137" s="39" t="str">
        <f t="shared" si="454"/>
        <v/>
      </c>
      <c r="EP137" s="39" t="str">
        <f t="shared" si="455"/>
        <v/>
      </c>
      <c r="EQ137" s="39" t="str">
        <f t="shared" si="456"/>
        <v/>
      </c>
      <c r="ER137" s="39" t="str">
        <f t="shared" si="457"/>
        <v/>
      </c>
      <c r="ES137" s="39" t="str">
        <f t="shared" si="458"/>
        <v/>
      </c>
      <c r="ET137" s="39" t="str">
        <f t="shared" si="459"/>
        <v/>
      </c>
      <c r="EU137" s="39" t="str">
        <f t="shared" si="462"/>
        <v/>
      </c>
      <c r="EV137" s="39" t="str">
        <f t="shared" si="463"/>
        <v/>
      </c>
      <c r="EW137" s="39" t="str">
        <f t="shared" si="464"/>
        <v/>
      </c>
      <c r="EX137" s="39" t="str">
        <f t="shared" si="465"/>
        <v/>
      </c>
      <c r="EY137" s="39" t="str">
        <f t="shared" si="466"/>
        <v/>
      </c>
      <c r="EZ137" s="39" t="str">
        <f t="shared" si="467"/>
        <v/>
      </c>
      <c r="FA137" s="39" t="str">
        <f t="shared" si="468"/>
        <v/>
      </c>
      <c r="FB137" s="39" t="str">
        <f t="shared" si="469"/>
        <v/>
      </c>
      <c r="FC137" s="39" t="str">
        <f t="shared" si="470"/>
        <v/>
      </c>
      <c r="FD137" s="39" t="str">
        <f t="shared" si="471"/>
        <v/>
      </c>
      <c r="FE137" s="39" t="str">
        <f t="shared" si="472"/>
        <v/>
      </c>
      <c r="FF137" s="39" t="str">
        <f t="shared" si="473"/>
        <v/>
      </c>
      <c r="FG137" s="39" t="str">
        <f t="shared" si="474"/>
        <v/>
      </c>
      <c r="FH137" s="39" t="str">
        <f t="shared" si="475"/>
        <v/>
      </c>
      <c r="FI137" s="39" t="str">
        <f t="shared" si="476"/>
        <v/>
      </c>
      <c r="FJ137" s="39" t="str">
        <f t="shared" si="477"/>
        <v/>
      </c>
      <c r="FK137" s="39" t="str">
        <f t="shared" si="478"/>
        <v/>
      </c>
      <c r="FL137" s="39" t="str">
        <f t="shared" si="479"/>
        <v/>
      </c>
      <c r="FM137" s="39" t="str">
        <f t="shared" si="480"/>
        <v/>
      </c>
      <c r="FN137" s="39" t="str">
        <f t="shared" si="481"/>
        <v/>
      </c>
      <c r="FO137" s="39" t="str">
        <f t="shared" si="482"/>
        <v/>
      </c>
      <c r="FP137" s="39" t="str">
        <f t="shared" si="483"/>
        <v/>
      </c>
      <c r="FQ137" s="39" t="str">
        <f t="shared" si="484"/>
        <v/>
      </c>
      <c r="FR137" s="39" t="str">
        <f t="shared" si="485"/>
        <v/>
      </c>
      <c r="FS137" s="39" t="str">
        <f t="shared" si="486"/>
        <v/>
      </c>
      <c r="FT137" s="39" t="str">
        <f t="shared" si="487"/>
        <v/>
      </c>
      <c r="FU137" s="39" t="str">
        <f t="shared" si="488"/>
        <v/>
      </c>
      <c r="FV137" s="39" t="str">
        <f t="shared" si="489"/>
        <v/>
      </c>
      <c r="FW137" s="39" t="str">
        <f t="shared" si="490"/>
        <v/>
      </c>
      <c r="FX137" s="39" t="str">
        <f t="shared" si="491"/>
        <v/>
      </c>
      <c r="FY137" s="39" t="str">
        <f t="shared" si="492"/>
        <v/>
      </c>
      <c r="FZ137" s="39" t="str">
        <f t="shared" si="493"/>
        <v/>
      </c>
      <c r="GA137" s="39" t="str">
        <f t="shared" si="494"/>
        <v/>
      </c>
      <c r="GB137" s="39" t="str">
        <f t="shared" si="495"/>
        <v/>
      </c>
      <c r="GC137" s="39" t="str">
        <f t="shared" si="496"/>
        <v/>
      </c>
      <c r="GD137" s="39" t="str">
        <f t="shared" si="497"/>
        <v/>
      </c>
      <c r="GE137" s="39" t="str">
        <f t="shared" si="498"/>
        <v/>
      </c>
      <c r="GF137" s="39" t="str">
        <f t="shared" si="499"/>
        <v/>
      </c>
      <c r="GG137" s="39" t="str">
        <f t="shared" si="500"/>
        <v/>
      </c>
      <c r="GH137" s="39" t="str">
        <f t="shared" si="501"/>
        <v/>
      </c>
      <c r="GI137" s="39" t="str">
        <f t="shared" si="502"/>
        <v/>
      </c>
      <c r="GJ137" s="39" t="str">
        <f t="shared" si="503"/>
        <v/>
      </c>
      <c r="GK137" s="39" t="str">
        <f t="shared" si="504"/>
        <v/>
      </c>
      <c r="GL137" s="39" t="str">
        <f t="shared" si="505"/>
        <v/>
      </c>
      <c r="GM137" s="39" t="str">
        <f t="shared" si="506"/>
        <v/>
      </c>
      <c r="GN137" s="39" t="str">
        <f t="shared" si="507"/>
        <v/>
      </c>
      <c r="GO137" s="39" t="str">
        <f t="shared" si="508"/>
        <v/>
      </c>
      <c r="GP137" s="39" t="str">
        <f t="shared" si="509"/>
        <v/>
      </c>
      <c r="GQ137" s="39" t="str">
        <f t="shared" si="510"/>
        <v/>
      </c>
      <c r="GR137" s="39" t="str">
        <f t="shared" si="511"/>
        <v/>
      </c>
      <c r="GS137" s="39" t="str">
        <f t="shared" si="512"/>
        <v/>
      </c>
      <c r="GT137" s="39" t="str">
        <f t="shared" si="513"/>
        <v/>
      </c>
      <c r="GU137" s="39" t="str">
        <f t="shared" si="514"/>
        <v/>
      </c>
      <c r="GV137" s="39" t="str">
        <f t="shared" si="515"/>
        <v/>
      </c>
      <c r="GW137" s="39" t="str">
        <f t="shared" si="516"/>
        <v/>
      </c>
      <c r="GX137" s="39" t="str">
        <f t="shared" si="517"/>
        <v/>
      </c>
      <c r="GY137" s="39" t="str">
        <f t="shared" si="518"/>
        <v/>
      </c>
      <c r="GZ137" s="39" t="str">
        <f t="shared" si="519"/>
        <v/>
      </c>
      <c r="HA137" s="39" t="str">
        <f t="shared" si="520"/>
        <v/>
      </c>
      <c r="HB137" s="39" t="str">
        <f t="shared" si="521"/>
        <v/>
      </c>
      <c r="HC137" s="39" t="str">
        <f t="shared" si="522"/>
        <v/>
      </c>
      <c r="HD137" s="39" t="str">
        <f t="shared" si="523"/>
        <v/>
      </c>
      <c r="HE137" s="39" t="str">
        <f t="shared" si="524"/>
        <v/>
      </c>
      <c r="HF137" s="39" t="str">
        <f t="shared" si="525"/>
        <v/>
      </c>
      <c r="HG137" s="39" t="str">
        <f t="shared" si="526"/>
        <v/>
      </c>
      <c r="HH137" s="39" t="str">
        <f t="shared" si="527"/>
        <v/>
      </c>
      <c r="HI137" s="39" t="str">
        <f t="shared" si="528"/>
        <v/>
      </c>
      <c r="HJ137" s="39" t="str">
        <f t="shared" si="529"/>
        <v/>
      </c>
      <c r="HK137" s="39" t="str">
        <f t="shared" si="530"/>
        <v/>
      </c>
      <c r="HL137" s="39" t="str">
        <f t="shared" si="531"/>
        <v/>
      </c>
      <c r="HM137" s="39" t="str">
        <f t="shared" si="532"/>
        <v/>
      </c>
      <c r="HN137" s="39" t="str">
        <f t="shared" si="533"/>
        <v/>
      </c>
      <c r="HO137" s="39" t="str">
        <f t="shared" si="534"/>
        <v/>
      </c>
      <c r="HP137" s="39" t="str">
        <f t="shared" si="535"/>
        <v/>
      </c>
      <c r="HQ137" s="39" t="str">
        <f t="shared" si="536"/>
        <v/>
      </c>
      <c r="HR137" s="39" t="str">
        <f t="shared" si="537"/>
        <v/>
      </c>
      <c r="HS137" s="39" t="str">
        <f t="shared" si="538"/>
        <v/>
      </c>
      <c r="HT137" s="39" t="str">
        <f t="shared" si="538"/>
        <v/>
      </c>
      <c r="HU137" s="43" t="str">
        <f t="shared" si="445"/>
        <v>-</v>
      </c>
      <c r="HV137" s="44" t="str">
        <f t="shared" si="446"/>
        <v/>
      </c>
      <c r="HW137" s="45" t="str">
        <f t="shared" si="447"/>
        <v/>
      </c>
      <c r="HX137" s="96"/>
      <c r="HY137" s="96"/>
      <c r="HZ137" s="96"/>
      <c r="IA137" s="95"/>
      <c r="IB137" s="96"/>
      <c r="IC137" s="97"/>
      <c r="ID137" s="95"/>
      <c r="IE137" s="96"/>
      <c r="IF137" s="97"/>
      <c r="IH137" s="66">
        <v>137</v>
      </c>
      <c r="II137" s="66" t="e">
        <f t="shared" ca="1" si="436"/>
        <v>#N/A</v>
      </c>
      <c r="IJ137" s="66" t="e">
        <f t="shared" ca="1" si="437"/>
        <v>#N/A</v>
      </c>
      <c r="IK137" s="66" t="e">
        <f t="shared" ca="1" si="438"/>
        <v>#N/A</v>
      </c>
      <c r="IL137" s="66" t="e">
        <f t="shared" ca="1" si="439"/>
        <v>#N/A</v>
      </c>
      <c r="IN137" s="74" t="e">
        <f t="shared" ca="1" si="440"/>
        <v>#N/A</v>
      </c>
      <c r="IO137" s="75" t="e">
        <f t="shared" ca="1" si="441"/>
        <v>#N/A</v>
      </c>
      <c r="IP137" s="75" t="e">
        <f t="shared" ca="1" si="442"/>
        <v>#N/A</v>
      </c>
      <c r="IQ137" s="74" t="e">
        <f t="shared" ca="1" si="443"/>
        <v>#N/A</v>
      </c>
      <c r="IR137" s="74" t="e">
        <f t="shared" ca="1" si="444"/>
        <v>#N/A</v>
      </c>
    </row>
    <row r="138" spans="1:252" x14ac:dyDescent="0.35">
      <c r="D138" s="1"/>
      <c r="E138" s="3"/>
      <c r="G138" s="5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3"/>
      <c r="DH138" s="61"/>
      <c r="DI138" s="61"/>
      <c r="DJ138" s="61"/>
      <c r="DK138" s="59"/>
      <c r="DL138" s="61"/>
      <c r="DM138" s="61"/>
      <c r="DN138" s="61"/>
      <c r="DO138" s="59"/>
      <c r="DP138" s="61"/>
      <c r="DQ138" s="61"/>
      <c r="DR138" s="61"/>
      <c r="DS138" s="59"/>
      <c r="DT138" s="61"/>
      <c r="DU138" s="61"/>
      <c r="DV138" s="61"/>
      <c r="DX138" s="24"/>
      <c r="DY138" s="24"/>
      <c r="DZ138" s="24"/>
      <c r="EA138" s="24"/>
      <c r="EB138" s="24"/>
      <c r="EC138" s="24"/>
      <c r="ED138" s="24"/>
      <c r="EE138" s="24"/>
      <c r="EF138" s="24"/>
      <c r="EG138" s="24"/>
      <c r="EH138" s="24"/>
      <c r="EI138" s="24"/>
      <c r="EJ138" s="24"/>
      <c r="EK138" s="24"/>
      <c r="EL138" s="24"/>
      <c r="EM138" s="24"/>
      <c r="EN138" s="24"/>
      <c r="EO138" s="24"/>
      <c r="EP138" s="24"/>
      <c r="EQ138" s="24"/>
      <c r="ER138" s="24"/>
      <c r="ES138" s="24"/>
      <c r="ET138" s="24"/>
      <c r="EU138" s="24"/>
      <c r="EV138" s="24"/>
      <c r="EW138" s="24"/>
      <c r="EX138" s="24"/>
      <c r="EY138" s="24"/>
      <c r="EZ138" s="24"/>
      <c r="FA138" s="24"/>
      <c r="FB138" s="24"/>
      <c r="FC138" s="24"/>
      <c r="FD138" s="24"/>
      <c r="FE138" s="24"/>
      <c r="FF138" s="24"/>
      <c r="FG138" s="24"/>
      <c r="FH138" s="24"/>
      <c r="FI138" s="24"/>
      <c r="FJ138" s="24"/>
      <c r="FK138" s="24"/>
      <c r="FL138" s="24"/>
      <c r="FM138" s="24"/>
      <c r="FN138" s="24"/>
      <c r="FO138" s="24"/>
      <c r="FP138" s="24"/>
      <c r="FQ138" s="24"/>
      <c r="FR138" s="24"/>
      <c r="FS138" s="24"/>
      <c r="FT138" s="24"/>
      <c r="FU138" s="24"/>
      <c r="FV138" s="24"/>
      <c r="FW138" s="24"/>
      <c r="FX138" s="24"/>
      <c r="FY138" s="24"/>
      <c r="FZ138" s="24"/>
      <c r="GA138" s="24"/>
      <c r="GB138" s="24"/>
      <c r="GC138" s="24"/>
      <c r="GD138" s="24"/>
      <c r="GE138" s="24"/>
      <c r="GF138" s="24"/>
      <c r="GG138" s="24"/>
      <c r="GH138" s="24"/>
      <c r="GI138" s="24"/>
      <c r="GJ138" s="24"/>
      <c r="GK138" s="24"/>
      <c r="GL138" s="24"/>
      <c r="GM138" s="24"/>
      <c r="GN138" s="24"/>
      <c r="GO138" s="24"/>
      <c r="GP138" s="24"/>
      <c r="GQ138" s="24"/>
      <c r="GR138" s="24"/>
      <c r="GS138" s="24"/>
      <c r="GT138" s="24"/>
      <c r="GU138" s="24"/>
      <c r="GV138" s="24"/>
      <c r="GW138" s="24"/>
      <c r="GX138" s="24"/>
      <c r="GY138" s="24"/>
      <c r="GZ138" s="24"/>
      <c r="HA138" s="24"/>
      <c r="HB138" s="24"/>
      <c r="HC138" s="24"/>
      <c r="HD138" s="24"/>
      <c r="HE138" s="24"/>
      <c r="HF138" s="24"/>
      <c r="HG138" s="24"/>
      <c r="HH138" s="24"/>
      <c r="HI138" s="24"/>
      <c r="HJ138" s="24"/>
      <c r="HK138" s="24"/>
      <c r="HL138" s="24"/>
      <c r="HM138" s="24"/>
      <c r="HN138" s="24"/>
      <c r="HO138" s="24"/>
      <c r="HP138" s="24"/>
      <c r="HQ138" s="24"/>
      <c r="HR138" s="24"/>
      <c r="HS138" s="24"/>
      <c r="HT138" s="24"/>
      <c r="HU138" s="25"/>
      <c r="HV138" s="26"/>
      <c r="HW138" s="27"/>
      <c r="HX138" s="26"/>
      <c r="HY138" s="26"/>
      <c r="HZ138" s="26"/>
      <c r="IA138" s="25"/>
      <c r="IB138" s="26"/>
      <c r="IC138" s="27"/>
      <c r="ID138" s="25"/>
      <c r="IE138" s="26"/>
      <c r="IF138" s="27"/>
    </row>
    <row r="139" spans="1:252" s="129" customFormat="1" hidden="1" x14ac:dyDescent="0.35">
      <c r="A139" s="128"/>
      <c r="B139" s="128"/>
      <c r="C139" s="128"/>
      <c r="D139" s="130"/>
      <c r="E139" s="131"/>
      <c r="G139" s="132"/>
      <c r="J139" s="133"/>
      <c r="K139" s="133"/>
      <c r="L139" s="133"/>
      <c r="M139" s="133"/>
      <c r="N139" s="133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  <c r="AM139" s="133"/>
      <c r="AN139" s="133"/>
      <c r="AO139" s="133"/>
      <c r="AP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AZ139" s="133"/>
      <c r="BA139" s="133"/>
      <c r="BB139" s="133"/>
      <c r="BC139" s="133"/>
      <c r="BD139" s="133"/>
      <c r="BE139" s="133"/>
      <c r="BF139" s="133"/>
      <c r="BG139" s="133"/>
      <c r="BH139" s="133"/>
      <c r="BI139" s="133"/>
      <c r="BJ139" s="133"/>
      <c r="BK139" s="133"/>
      <c r="BL139" s="133"/>
      <c r="BM139" s="133"/>
      <c r="BN139" s="133"/>
      <c r="BO139" s="133"/>
      <c r="BP139" s="133"/>
      <c r="BQ139" s="133"/>
      <c r="BR139" s="133"/>
      <c r="BS139" s="133"/>
      <c r="BT139" s="133"/>
      <c r="BU139" s="133"/>
      <c r="BV139" s="133"/>
      <c r="BW139" s="133"/>
      <c r="BX139" s="133"/>
      <c r="BY139" s="133"/>
      <c r="BZ139" s="133"/>
      <c r="CA139" s="133"/>
      <c r="CB139" s="133"/>
      <c r="CC139" s="133"/>
      <c r="CD139" s="133"/>
      <c r="CE139" s="133"/>
      <c r="CF139" s="133"/>
      <c r="CG139" s="133"/>
      <c r="CH139" s="133"/>
      <c r="CI139" s="133"/>
      <c r="CJ139" s="133"/>
      <c r="CK139" s="133"/>
      <c r="CL139" s="133"/>
      <c r="CM139" s="133"/>
      <c r="CN139" s="133"/>
      <c r="CO139" s="133"/>
      <c r="CP139" s="133"/>
      <c r="CQ139" s="133"/>
      <c r="CR139" s="133"/>
      <c r="CS139" s="133"/>
      <c r="CT139" s="133"/>
      <c r="CU139" s="133"/>
      <c r="CV139" s="133"/>
      <c r="CW139" s="133"/>
      <c r="CX139" s="133"/>
      <c r="CY139" s="133"/>
      <c r="CZ139" s="133"/>
      <c r="DA139" s="133"/>
      <c r="DB139" s="133"/>
      <c r="DC139" s="133"/>
      <c r="DD139" s="133"/>
      <c r="DE139" s="133"/>
      <c r="DF139" s="133"/>
      <c r="DG139" s="134"/>
      <c r="DH139" s="138">
        <v>3.8383180210771299E-2</v>
      </c>
      <c r="DI139" s="138">
        <v>0.1275612491020548</v>
      </c>
      <c r="DJ139" s="138">
        <v>0.27521240514598305</v>
      </c>
      <c r="DK139" s="135"/>
      <c r="DL139" s="138"/>
      <c r="DM139" s="138"/>
      <c r="DN139" s="138"/>
      <c r="DO139" s="135"/>
      <c r="DP139" s="138"/>
      <c r="DQ139" s="138"/>
      <c r="DR139" s="138"/>
      <c r="DS139" s="135"/>
      <c r="DT139" s="138"/>
      <c r="DU139" s="138"/>
      <c r="DV139" s="138"/>
      <c r="DX139" s="136">
        <f>COUNTIF(DX7:DX137,"&gt;0")</f>
        <v>9</v>
      </c>
      <c r="DY139" s="136">
        <f t="shared" ref="DY139:IF139" si="539">COUNTIF(DY7:DY137,"&gt;0")</f>
        <v>0</v>
      </c>
      <c r="DZ139" s="136">
        <f t="shared" si="539"/>
        <v>0</v>
      </c>
      <c r="EA139" s="136">
        <f t="shared" si="539"/>
        <v>0</v>
      </c>
      <c r="EB139" s="136">
        <f t="shared" si="539"/>
        <v>0</v>
      </c>
      <c r="EC139" s="136">
        <f t="shared" si="539"/>
        <v>0</v>
      </c>
      <c r="ED139" s="136">
        <f t="shared" si="539"/>
        <v>0</v>
      </c>
      <c r="EE139" s="136">
        <f t="shared" si="539"/>
        <v>0</v>
      </c>
      <c r="EF139" s="136">
        <f t="shared" si="539"/>
        <v>0</v>
      </c>
      <c r="EG139" s="136">
        <f t="shared" si="539"/>
        <v>0</v>
      </c>
      <c r="EH139" s="136">
        <f t="shared" si="539"/>
        <v>0</v>
      </c>
      <c r="EI139" s="136">
        <f t="shared" ref="EI139:ET139" si="540">COUNTIF(EI7:EI137,"&gt;0")</f>
        <v>0</v>
      </c>
      <c r="EJ139" s="136">
        <f t="shared" si="540"/>
        <v>0</v>
      </c>
      <c r="EK139" s="136">
        <f t="shared" si="540"/>
        <v>0</v>
      </c>
      <c r="EL139" s="136">
        <f t="shared" si="540"/>
        <v>0</v>
      </c>
      <c r="EM139" s="136">
        <f t="shared" si="540"/>
        <v>0</v>
      </c>
      <c r="EN139" s="136">
        <f t="shared" si="540"/>
        <v>0</v>
      </c>
      <c r="EO139" s="136">
        <f t="shared" si="540"/>
        <v>0</v>
      </c>
      <c r="EP139" s="136">
        <f t="shared" si="540"/>
        <v>0</v>
      </c>
      <c r="EQ139" s="136">
        <f t="shared" si="540"/>
        <v>0</v>
      </c>
      <c r="ER139" s="136">
        <f t="shared" si="540"/>
        <v>0</v>
      </c>
      <c r="ES139" s="136">
        <f t="shared" si="540"/>
        <v>0</v>
      </c>
      <c r="ET139" s="136">
        <f t="shared" si="540"/>
        <v>0</v>
      </c>
      <c r="EU139" s="136">
        <f t="shared" ref="EU139:GA139" si="541">COUNTIF(EU7:EU137,"&gt;0")</f>
        <v>0</v>
      </c>
      <c r="EV139" s="136">
        <f t="shared" si="541"/>
        <v>0</v>
      </c>
      <c r="EW139" s="136">
        <f t="shared" si="541"/>
        <v>0</v>
      </c>
      <c r="EX139" s="136">
        <f t="shared" si="541"/>
        <v>0</v>
      </c>
      <c r="EY139" s="136">
        <f t="shared" si="541"/>
        <v>0</v>
      </c>
      <c r="EZ139" s="136">
        <f t="shared" si="541"/>
        <v>0</v>
      </c>
      <c r="FA139" s="136">
        <f t="shared" si="541"/>
        <v>0</v>
      </c>
      <c r="FB139" s="136">
        <f t="shared" si="541"/>
        <v>0</v>
      </c>
      <c r="FC139" s="136">
        <f t="shared" si="541"/>
        <v>0</v>
      </c>
      <c r="FD139" s="136">
        <f t="shared" si="541"/>
        <v>0</v>
      </c>
      <c r="FE139" s="136">
        <f t="shared" si="541"/>
        <v>0</v>
      </c>
      <c r="FF139" s="136">
        <f t="shared" si="541"/>
        <v>0</v>
      </c>
      <c r="FG139" s="136">
        <f t="shared" si="541"/>
        <v>0</v>
      </c>
      <c r="FH139" s="136">
        <f t="shared" si="541"/>
        <v>0</v>
      </c>
      <c r="FI139" s="136">
        <f t="shared" si="541"/>
        <v>0</v>
      </c>
      <c r="FJ139" s="136">
        <f t="shared" si="541"/>
        <v>0</v>
      </c>
      <c r="FK139" s="136">
        <f t="shared" si="541"/>
        <v>0</v>
      </c>
      <c r="FL139" s="136">
        <f t="shared" si="541"/>
        <v>0</v>
      </c>
      <c r="FM139" s="136">
        <f t="shared" si="541"/>
        <v>0</v>
      </c>
      <c r="FN139" s="136">
        <f t="shared" si="541"/>
        <v>0</v>
      </c>
      <c r="FO139" s="136">
        <f t="shared" si="541"/>
        <v>0</v>
      </c>
      <c r="FP139" s="136">
        <f t="shared" si="541"/>
        <v>0</v>
      </c>
      <c r="FQ139" s="136">
        <f t="shared" si="541"/>
        <v>0</v>
      </c>
      <c r="FR139" s="136">
        <f t="shared" si="541"/>
        <v>0</v>
      </c>
      <c r="FS139" s="136">
        <f t="shared" si="541"/>
        <v>0</v>
      </c>
      <c r="FT139" s="136">
        <f t="shared" si="541"/>
        <v>0</v>
      </c>
      <c r="FU139" s="136">
        <f t="shared" si="541"/>
        <v>0</v>
      </c>
      <c r="FV139" s="136">
        <f t="shared" si="541"/>
        <v>0</v>
      </c>
      <c r="FW139" s="136">
        <f t="shared" si="541"/>
        <v>0</v>
      </c>
      <c r="FX139" s="136">
        <f t="shared" si="541"/>
        <v>0</v>
      </c>
      <c r="FY139" s="136">
        <f t="shared" si="541"/>
        <v>0</v>
      </c>
      <c r="FZ139" s="136">
        <f t="shared" si="541"/>
        <v>0</v>
      </c>
      <c r="GA139" s="136">
        <f t="shared" si="541"/>
        <v>0</v>
      </c>
      <c r="GB139" s="136">
        <f t="shared" ref="GB139:HS139" si="542">COUNTIF(GB7:GB137,"&gt;0")</f>
        <v>0</v>
      </c>
      <c r="GC139" s="136">
        <f t="shared" si="542"/>
        <v>0</v>
      </c>
      <c r="GD139" s="136">
        <f t="shared" si="542"/>
        <v>0</v>
      </c>
      <c r="GE139" s="136">
        <f t="shared" si="542"/>
        <v>0</v>
      </c>
      <c r="GF139" s="136">
        <f t="shared" si="542"/>
        <v>0</v>
      </c>
      <c r="GG139" s="136">
        <f t="shared" si="542"/>
        <v>0</v>
      </c>
      <c r="GH139" s="136">
        <f t="shared" si="542"/>
        <v>0</v>
      </c>
      <c r="GI139" s="136">
        <f t="shared" si="542"/>
        <v>0</v>
      </c>
      <c r="GJ139" s="136">
        <f t="shared" si="542"/>
        <v>0</v>
      </c>
      <c r="GK139" s="136">
        <f t="shared" si="542"/>
        <v>0</v>
      </c>
      <c r="GL139" s="136">
        <f t="shared" si="542"/>
        <v>0</v>
      </c>
      <c r="GM139" s="136">
        <f t="shared" si="542"/>
        <v>0</v>
      </c>
      <c r="GN139" s="136">
        <f t="shared" si="542"/>
        <v>0</v>
      </c>
      <c r="GO139" s="136">
        <f t="shared" si="542"/>
        <v>0</v>
      </c>
      <c r="GP139" s="136">
        <f t="shared" si="542"/>
        <v>0</v>
      </c>
      <c r="GQ139" s="136">
        <f t="shared" si="542"/>
        <v>0</v>
      </c>
      <c r="GR139" s="136">
        <f t="shared" si="542"/>
        <v>0</v>
      </c>
      <c r="GS139" s="136">
        <f t="shared" si="542"/>
        <v>0</v>
      </c>
      <c r="GT139" s="136">
        <f t="shared" si="542"/>
        <v>0</v>
      </c>
      <c r="GU139" s="136">
        <f t="shared" si="542"/>
        <v>0</v>
      </c>
      <c r="GV139" s="136">
        <f t="shared" si="542"/>
        <v>0</v>
      </c>
      <c r="GW139" s="136">
        <f t="shared" si="542"/>
        <v>0</v>
      </c>
      <c r="GX139" s="136">
        <f t="shared" si="542"/>
        <v>0</v>
      </c>
      <c r="GY139" s="136">
        <f t="shared" si="542"/>
        <v>0</v>
      </c>
      <c r="GZ139" s="136">
        <f t="shared" si="542"/>
        <v>0</v>
      </c>
      <c r="HA139" s="136">
        <f t="shared" si="542"/>
        <v>0</v>
      </c>
      <c r="HB139" s="136">
        <f t="shared" si="542"/>
        <v>0</v>
      </c>
      <c r="HC139" s="136">
        <f t="shared" si="542"/>
        <v>0</v>
      </c>
      <c r="HD139" s="136">
        <f t="shared" si="542"/>
        <v>0</v>
      </c>
      <c r="HE139" s="136">
        <f t="shared" si="542"/>
        <v>0</v>
      </c>
      <c r="HF139" s="136">
        <f t="shared" si="542"/>
        <v>0</v>
      </c>
      <c r="HG139" s="136">
        <f t="shared" si="542"/>
        <v>0</v>
      </c>
      <c r="HH139" s="136">
        <f t="shared" si="542"/>
        <v>0</v>
      </c>
      <c r="HI139" s="136">
        <f t="shared" si="542"/>
        <v>0</v>
      </c>
      <c r="HJ139" s="136">
        <f t="shared" si="542"/>
        <v>0</v>
      </c>
      <c r="HK139" s="136">
        <f t="shared" si="542"/>
        <v>0</v>
      </c>
      <c r="HL139" s="136">
        <f t="shared" si="542"/>
        <v>0</v>
      </c>
      <c r="HM139" s="136">
        <f t="shared" si="542"/>
        <v>0</v>
      </c>
      <c r="HN139" s="136">
        <f t="shared" si="542"/>
        <v>0</v>
      </c>
      <c r="HO139" s="136">
        <f t="shared" si="542"/>
        <v>0</v>
      </c>
      <c r="HP139" s="136">
        <f t="shared" si="542"/>
        <v>0</v>
      </c>
      <c r="HQ139" s="136">
        <f t="shared" si="542"/>
        <v>0</v>
      </c>
      <c r="HR139" s="136">
        <f t="shared" si="542"/>
        <v>0</v>
      </c>
      <c r="HS139" s="136">
        <f t="shared" si="542"/>
        <v>0</v>
      </c>
      <c r="HT139" s="136">
        <f t="shared" ref="HT139" si="543">COUNTIF(HT7:HT137,"&gt;0")</f>
        <v>0</v>
      </c>
      <c r="HU139" s="136">
        <f t="shared" si="539"/>
        <v>0</v>
      </c>
      <c r="HV139" s="136">
        <f t="shared" si="539"/>
        <v>0</v>
      </c>
      <c r="HW139" s="136">
        <f t="shared" si="539"/>
        <v>0</v>
      </c>
      <c r="HX139" s="136">
        <f t="shared" si="539"/>
        <v>0</v>
      </c>
      <c r="HY139" s="136">
        <f t="shared" si="539"/>
        <v>0</v>
      </c>
      <c r="HZ139" s="136">
        <f t="shared" si="539"/>
        <v>0</v>
      </c>
      <c r="IA139" s="136">
        <f t="shared" si="539"/>
        <v>0</v>
      </c>
      <c r="IB139" s="136">
        <f t="shared" si="539"/>
        <v>0</v>
      </c>
      <c r="IC139" s="136">
        <f t="shared" si="539"/>
        <v>0</v>
      </c>
      <c r="ID139" s="136">
        <f t="shared" si="539"/>
        <v>0</v>
      </c>
      <c r="IE139" s="136">
        <f t="shared" si="539"/>
        <v>0</v>
      </c>
      <c r="IF139" s="136">
        <f t="shared" si="539"/>
        <v>0</v>
      </c>
      <c r="IH139" s="137"/>
      <c r="II139" s="137"/>
      <c r="IJ139" s="137"/>
      <c r="IK139" s="137"/>
      <c r="IL139" s="137"/>
      <c r="IM139" s="128"/>
      <c r="IR139" s="128"/>
    </row>
    <row r="140" spans="1:252" hidden="1" x14ac:dyDescent="0.35">
      <c r="D140" s="1"/>
      <c r="E140" s="3"/>
      <c r="G140" s="5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3"/>
      <c r="DH140" s="61"/>
      <c r="DI140" s="61"/>
      <c r="DJ140" s="61"/>
      <c r="DK140" s="59"/>
      <c r="DL140" s="61"/>
      <c r="DM140" s="61"/>
      <c r="DN140" s="61"/>
      <c r="DO140" s="59"/>
      <c r="DP140" s="61"/>
      <c r="DQ140" s="61"/>
      <c r="DR140" s="61"/>
      <c r="DS140" s="59"/>
      <c r="DT140" s="61"/>
      <c r="DU140" s="61"/>
      <c r="DV140" s="61"/>
      <c r="DX140" s="24"/>
      <c r="DY140" s="24"/>
      <c r="DZ140" s="24"/>
      <c r="EA140" s="24"/>
      <c r="EB140" s="24"/>
      <c r="EC140" s="24"/>
      <c r="ED140" s="24"/>
      <c r="EE140" s="24"/>
      <c r="EF140" s="24"/>
      <c r="EG140" s="24"/>
      <c r="EH140" s="24"/>
      <c r="EI140" s="24"/>
      <c r="EJ140" s="24"/>
      <c r="EK140" s="24"/>
      <c r="EL140" s="24"/>
      <c r="EM140" s="24"/>
      <c r="EN140" s="24"/>
      <c r="EO140" s="24"/>
      <c r="EP140" s="24"/>
      <c r="EQ140" s="24"/>
      <c r="ER140" s="24"/>
      <c r="ES140" s="24"/>
      <c r="ET140" s="24"/>
      <c r="EU140" s="24"/>
      <c r="EV140" s="24"/>
      <c r="EW140" s="24"/>
      <c r="EX140" s="24"/>
      <c r="EY140" s="24"/>
      <c r="EZ140" s="24"/>
      <c r="FA140" s="24"/>
      <c r="FB140" s="24"/>
      <c r="FC140" s="24"/>
      <c r="FD140" s="24"/>
      <c r="FE140" s="24"/>
      <c r="FF140" s="24"/>
      <c r="FG140" s="24"/>
      <c r="FH140" s="24"/>
      <c r="FI140" s="24"/>
      <c r="FJ140" s="24"/>
      <c r="FK140" s="24"/>
      <c r="FL140" s="24"/>
      <c r="FM140" s="24"/>
      <c r="FN140" s="24"/>
      <c r="FO140" s="24"/>
      <c r="FP140" s="24"/>
      <c r="FQ140" s="24"/>
      <c r="FR140" s="24"/>
      <c r="FS140" s="24"/>
      <c r="FT140" s="24"/>
      <c r="FU140" s="24"/>
      <c r="FV140" s="24"/>
      <c r="FW140" s="24"/>
      <c r="FX140" s="24"/>
      <c r="FY140" s="24"/>
      <c r="FZ140" s="24"/>
      <c r="GA140" s="24"/>
      <c r="GB140" s="24"/>
      <c r="GC140" s="24"/>
      <c r="GD140" s="24"/>
      <c r="GE140" s="24"/>
      <c r="GF140" s="24"/>
      <c r="GG140" s="24"/>
      <c r="GH140" s="24"/>
      <c r="GI140" s="24"/>
      <c r="GJ140" s="24"/>
      <c r="GK140" s="24"/>
      <c r="GL140" s="24"/>
      <c r="GM140" s="24"/>
      <c r="GN140" s="24"/>
      <c r="GO140" s="24"/>
      <c r="GP140" s="24"/>
      <c r="GQ140" s="24"/>
      <c r="GR140" s="24"/>
      <c r="GS140" s="24"/>
      <c r="GT140" s="24"/>
      <c r="GU140" s="24"/>
      <c r="GV140" s="24"/>
      <c r="GW140" s="24"/>
      <c r="GX140" s="24"/>
      <c r="GY140" s="24"/>
      <c r="GZ140" s="24"/>
      <c r="HA140" s="24"/>
      <c r="HB140" s="24"/>
      <c r="HC140" s="24"/>
      <c r="HD140" s="24"/>
      <c r="HE140" s="24"/>
      <c r="HF140" s="24"/>
      <c r="HG140" s="24"/>
      <c r="HH140" s="24"/>
      <c r="HI140" s="24"/>
      <c r="HJ140" s="24"/>
      <c r="HK140" s="24"/>
      <c r="HL140" s="24"/>
      <c r="HM140" s="24"/>
      <c r="HN140" s="24"/>
      <c r="HO140" s="24"/>
      <c r="HP140" s="24"/>
      <c r="HQ140" s="24"/>
      <c r="HR140" s="24"/>
      <c r="HS140" s="24"/>
      <c r="HT140" s="24"/>
      <c r="HU140" s="25"/>
      <c r="HV140" s="26"/>
      <c r="HW140" s="27"/>
      <c r="HX140" s="26"/>
      <c r="HY140" s="26"/>
      <c r="HZ140" s="26"/>
      <c r="IA140" s="25"/>
      <c r="IB140" s="26"/>
      <c r="IC140" s="27"/>
      <c r="ID140" s="25"/>
      <c r="IE140" s="26"/>
      <c r="IF140" s="27"/>
    </row>
    <row r="141" spans="1:252" hidden="1" x14ac:dyDescent="0.35">
      <c r="D141" s="1"/>
      <c r="E141" s="3"/>
      <c r="G141" s="5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3"/>
      <c r="DH141" s="61"/>
      <c r="DI141" s="61"/>
      <c r="DJ141" s="61"/>
      <c r="DK141" s="59"/>
      <c r="DL141" s="61"/>
      <c r="DM141" s="61"/>
      <c r="DN141" s="61"/>
      <c r="DO141" s="59"/>
      <c r="DP141" s="61"/>
      <c r="DQ141" s="61"/>
      <c r="DR141" s="61"/>
      <c r="DS141" s="59"/>
      <c r="DT141" s="61"/>
      <c r="DU141" s="61"/>
      <c r="DV141" s="61"/>
      <c r="DX141" s="24"/>
      <c r="DY141" s="24"/>
      <c r="DZ141" s="24"/>
      <c r="EA141" s="24"/>
      <c r="EB141" s="24"/>
      <c r="EC141" s="24"/>
      <c r="ED141" s="24"/>
      <c r="EE141" s="24"/>
      <c r="EF141" s="24"/>
      <c r="EG141" s="24"/>
      <c r="EH141" s="24"/>
      <c r="EI141" s="24"/>
      <c r="EJ141" s="24"/>
      <c r="EK141" s="24"/>
      <c r="EL141" s="24"/>
      <c r="EM141" s="24"/>
      <c r="EN141" s="24"/>
      <c r="EO141" s="24"/>
      <c r="EP141" s="24"/>
      <c r="EQ141" s="24"/>
      <c r="ER141" s="24"/>
      <c r="ES141" s="24"/>
      <c r="ET141" s="24"/>
      <c r="EU141" s="24"/>
      <c r="EV141" s="24"/>
      <c r="EW141" s="24"/>
      <c r="EX141" s="24"/>
      <c r="EY141" s="24"/>
      <c r="EZ141" s="24"/>
      <c r="FA141" s="24"/>
      <c r="FB141" s="24"/>
      <c r="FC141" s="24"/>
      <c r="FD141" s="24"/>
      <c r="FE141" s="24"/>
      <c r="FF141" s="24"/>
      <c r="FG141" s="24"/>
      <c r="FH141" s="24"/>
      <c r="FI141" s="24"/>
      <c r="FJ141" s="24"/>
      <c r="FK141" s="24"/>
      <c r="FL141" s="24"/>
      <c r="FM141" s="24"/>
      <c r="FN141" s="24"/>
      <c r="FO141" s="24"/>
      <c r="FP141" s="24"/>
      <c r="FQ141" s="24"/>
      <c r="FR141" s="24"/>
      <c r="FS141" s="24"/>
      <c r="FT141" s="24"/>
      <c r="FU141" s="24"/>
      <c r="FV141" s="24"/>
      <c r="FW141" s="24"/>
      <c r="FX141" s="24"/>
      <c r="FY141" s="24"/>
      <c r="FZ141" s="24"/>
      <c r="GA141" s="24"/>
      <c r="GB141" s="24"/>
      <c r="GC141" s="24"/>
      <c r="GD141" s="24"/>
      <c r="GE141" s="24"/>
      <c r="GF141" s="24"/>
      <c r="GG141" s="24"/>
      <c r="GH141" s="24"/>
      <c r="GI141" s="24"/>
      <c r="GJ141" s="24"/>
      <c r="GK141" s="24"/>
      <c r="GL141" s="24"/>
      <c r="GM141" s="24"/>
      <c r="GN141" s="24"/>
      <c r="GO141" s="24"/>
      <c r="GP141" s="24"/>
      <c r="GQ141" s="24"/>
      <c r="GR141" s="24"/>
      <c r="GS141" s="24"/>
      <c r="GT141" s="24"/>
      <c r="GU141" s="24"/>
      <c r="GV141" s="24"/>
      <c r="GW141" s="24"/>
      <c r="GX141" s="24"/>
      <c r="GY141" s="24"/>
      <c r="GZ141" s="24"/>
      <c r="HA141" s="24"/>
      <c r="HB141" s="24"/>
      <c r="HC141" s="24"/>
      <c r="HD141" s="24"/>
      <c r="HE141" s="24"/>
      <c r="HF141" s="24"/>
      <c r="HG141" s="24"/>
      <c r="HH141" s="24"/>
      <c r="HI141" s="24"/>
      <c r="HJ141" s="24"/>
      <c r="HK141" s="24"/>
      <c r="HL141" s="24"/>
      <c r="HM141" s="24"/>
      <c r="HN141" s="24"/>
      <c r="HO141" s="24"/>
      <c r="HP141" s="24"/>
      <c r="HQ141" s="24"/>
      <c r="HR141" s="24"/>
      <c r="HS141" s="24"/>
      <c r="HT141" s="24"/>
      <c r="HU141" s="25"/>
      <c r="HV141" s="26"/>
      <c r="HW141" s="27"/>
      <c r="HX141" s="26"/>
      <c r="HY141" s="26"/>
      <c r="HZ141" s="26"/>
      <c r="IA141" s="25"/>
      <c r="IB141" s="26"/>
      <c r="IC141" s="27"/>
      <c r="ID141" s="25"/>
      <c r="IE141" s="26"/>
      <c r="IF141" s="27"/>
    </row>
    <row r="142" spans="1:252" hidden="1" x14ac:dyDescent="0.35">
      <c r="D142" s="1"/>
      <c r="E142" s="3"/>
      <c r="G142" s="5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3"/>
      <c r="DH142" s="61"/>
      <c r="DI142" s="61"/>
      <c r="DJ142" s="61"/>
      <c r="DK142" s="59"/>
      <c r="DL142" s="61"/>
      <c r="DM142" s="61"/>
      <c r="DN142" s="61"/>
      <c r="DO142" s="59"/>
      <c r="DP142" s="61"/>
      <c r="DQ142" s="61"/>
      <c r="DR142" s="61"/>
      <c r="DS142" s="59"/>
      <c r="DT142" s="61"/>
      <c r="DU142" s="61"/>
      <c r="DV142" s="61"/>
      <c r="DX142" s="24"/>
      <c r="DY142" s="24"/>
      <c r="DZ142" s="24"/>
      <c r="EA142" s="24"/>
      <c r="EB142" s="24"/>
      <c r="EC142" s="24"/>
      <c r="ED142" s="24"/>
      <c r="EE142" s="24"/>
      <c r="EF142" s="24"/>
      <c r="EG142" s="24"/>
      <c r="EH142" s="24"/>
      <c r="EI142" s="24"/>
      <c r="EJ142" s="24"/>
      <c r="EK142" s="24"/>
      <c r="EL142" s="24"/>
      <c r="EM142" s="24"/>
      <c r="EN142" s="24"/>
      <c r="EO142" s="24"/>
      <c r="EP142" s="24"/>
      <c r="EQ142" s="24"/>
      <c r="ER142" s="24"/>
      <c r="ES142" s="24"/>
      <c r="ET142" s="24"/>
      <c r="EU142" s="24"/>
      <c r="EV142" s="24"/>
      <c r="EW142" s="24"/>
      <c r="EX142" s="24"/>
      <c r="EY142" s="24"/>
      <c r="EZ142" s="24"/>
      <c r="FA142" s="24"/>
      <c r="FB142" s="24"/>
      <c r="FC142" s="24"/>
      <c r="FD142" s="24"/>
      <c r="FE142" s="24"/>
      <c r="FF142" s="24"/>
      <c r="FG142" s="24"/>
      <c r="FH142" s="24"/>
      <c r="FI142" s="24"/>
      <c r="FJ142" s="24"/>
      <c r="FK142" s="24"/>
      <c r="FL142" s="24"/>
      <c r="FM142" s="24"/>
      <c r="FN142" s="24"/>
      <c r="FO142" s="24"/>
      <c r="FP142" s="24"/>
      <c r="FQ142" s="24"/>
      <c r="FR142" s="24"/>
      <c r="FS142" s="24"/>
      <c r="FT142" s="24"/>
      <c r="FU142" s="24"/>
      <c r="FV142" s="24"/>
      <c r="FW142" s="24"/>
      <c r="FX142" s="24"/>
      <c r="FY142" s="24"/>
      <c r="FZ142" s="24"/>
      <c r="GA142" s="24"/>
      <c r="GB142" s="24"/>
      <c r="GC142" s="24"/>
      <c r="GD142" s="24"/>
      <c r="GE142" s="24"/>
      <c r="GF142" s="24"/>
      <c r="GG142" s="24"/>
      <c r="GH142" s="24"/>
      <c r="GI142" s="24"/>
      <c r="GJ142" s="24"/>
      <c r="GK142" s="24"/>
      <c r="GL142" s="24"/>
      <c r="GM142" s="24"/>
      <c r="GN142" s="24"/>
      <c r="GO142" s="24"/>
      <c r="GP142" s="24"/>
      <c r="GQ142" s="24"/>
      <c r="GR142" s="24"/>
      <c r="GS142" s="24"/>
      <c r="GT142" s="24"/>
      <c r="GU142" s="24"/>
      <c r="GV142" s="24"/>
      <c r="GW142" s="24"/>
      <c r="GX142" s="24"/>
      <c r="GY142" s="24"/>
      <c r="GZ142" s="24"/>
      <c r="HA142" s="24"/>
      <c r="HB142" s="24"/>
      <c r="HC142" s="24"/>
      <c r="HD142" s="24"/>
      <c r="HE142" s="24"/>
      <c r="HF142" s="24"/>
      <c r="HG142" s="24"/>
      <c r="HH142" s="24"/>
      <c r="HI142" s="24"/>
      <c r="HJ142" s="24"/>
      <c r="HK142" s="24"/>
      <c r="HL142" s="24"/>
      <c r="HM142" s="24"/>
      <c r="HN142" s="24"/>
      <c r="HO142" s="24"/>
      <c r="HP142" s="24"/>
      <c r="HQ142" s="24"/>
      <c r="HR142" s="24"/>
      <c r="HS142" s="24"/>
      <c r="HT142" s="24"/>
      <c r="HU142" s="25"/>
      <c r="HV142" s="26"/>
      <c r="HW142" s="27"/>
      <c r="HX142" s="26"/>
      <c r="HY142" s="26"/>
      <c r="HZ142" s="26"/>
      <c r="IA142" s="25"/>
      <c r="IB142" s="26"/>
      <c r="IC142" s="27"/>
      <c r="ID142" s="25"/>
      <c r="IE142" s="26"/>
      <c r="IF142" s="27"/>
    </row>
    <row r="143" spans="1:252" hidden="1" x14ac:dyDescent="0.35">
      <c r="D143" s="1"/>
      <c r="E143" s="3"/>
      <c r="G143" s="5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3"/>
      <c r="DH143" s="61"/>
      <c r="DI143" s="61"/>
      <c r="DJ143" s="61"/>
      <c r="DK143" s="59"/>
      <c r="DL143" s="61"/>
      <c r="DM143" s="61"/>
      <c r="DN143" s="61"/>
      <c r="DO143" s="59"/>
      <c r="DP143" s="61"/>
      <c r="DQ143" s="61"/>
      <c r="DR143" s="61"/>
      <c r="DS143" s="59"/>
      <c r="DT143" s="61"/>
      <c r="DU143" s="61"/>
      <c r="DV143" s="61"/>
      <c r="DX143" s="24"/>
      <c r="DY143" s="24"/>
      <c r="DZ143" s="24"/>
      <c r="EA143" s="24"/>
      <c r="EB143" s="24"/>
      <c r="EC143" s="24"/>
      <c r="ED143" s="24"/>
      <c r="EE143" s="24"/>
      <c r="EF143" s="24"/>
      <c r="EG143" s="24"/>
      <c r="EH143" s="24"/>
      <c r="EI143" s="24"/>
      <c r="EJ143" s="24"/>
      <c r="EK143" s="24"/>
      <c r="EL143" s="24"/>
      <c r="EM143" s="24"/>
      <c r="EN143" s="24"/>
      <c r="EO143" s="24"/>
      <c r="EP143" s="24"/>
      <c r="EQ143" s="24"/>
      <c r="ER143" s="24"/>
      <c r="ES143" s="24"/>
      <c r="ET143" s="24"/>
      <c r="EU143" s="24"/>
      <c r="EV143" s="24"/>
      <c r="EW143" s="24"/>
      <c r="EX143" s="24"/>
      <c r="EY143" s="24"/>
      <c r="EZ143" s="24"/>
      <c r="FA143" s="24"/>
      <c r="FB143" s="24"/>
      <c r="FC143" s="24"/>
      <c r="FD143" s="24"/>
      <c r="FE143" s="24"/>
      <c r="FF143" s="24"/>
      <c r="FG143" s="24"/>
      <c r="FH143" s="24"/>
      <c r="FI143" s="24"/>
      <c r="FJ143" s="24"/>
      <c r="FK143" s="24"/>
      <c r="FL143" s="24"/>
      <c r="FM143" s="24"/>
      <c r="FN143" s="24"/>
      <c r="FO143" s="24"/>
      <c r="FP143" s="24"/>
      <c r="FQ143" s="24"/>
      <c r="FR143" s="24"/>
      <c r="FS143" s="24"/>
      <c r="FT143" s="24"/>
      <c r="FU143" s="24"/>
      <c r="FV143" s="24"/>
      <c r="FW143" s="24"/>
      <c r="FX143" s="24"/>
      <c r="FY143" s="24"/>
      <c r="FZ143" s="24"/>
      <c r="GA143" s="24"/>
      <c r="GB143" s="24"/>
      <c r="GC143" s="24"/>
      <c r="GD143" s="24"/>
      <c r="GE143" s="24"/>
      <c r="GF143" s="24"/>
      <c r="GG143" s="24"/>
      <c r="GH143" s="24"/>
      <c r="GI143" s="24"/>
      <c r="GJ143" s="24"/>
      <c r="GK143" s="24"/>
      <c r="GL143" s="24"/>
      <c r="GM143" s="24"/>
      <c r="GN143" s="24"/>
      <c r="GO143" s="24"/>
      <c r="GP143" s="24"/>
      <c r="GQ143" s="24"/>
      <c r="GR143" s="24"/>
      <c r="GS143" s="24"/>
      <c r="GT143" s="24"/>
      <c r="GU143" s="24"/>
      <c r="GV143" s="24"/>
      <c r="GW143" s="24"/>
      <c r="GX143" s="24"/>
      <c r="GY143" s="24"/>
      <c r="GZ143" s="24"/>
      <c r="HA143" s="24"/>
      <c r="HB143" s="24"/>
      <c r="HC143" s="24"/>
      <c r="HD143" s="24"/>
      <c r="HE143" s="24"/>
      <c r="HF143" s="24"/>
      <c r="HG143" s="24"/>
      <c r="HH143" s="24"/>
      <c r="HI143" s="24"/>
      <c r="HJ143" s="24"/>
      <c r="HK143" s="24"/>
      <c r="HL143" s="24"/>
      <c r="HM143" s="24"/>
      <c r="HN143" s="24"/>
      <c r="HO143" s="24"/>
      <c r="HP143" s="24"/>
      <c r="HQ143" s="24"/>
      <c r="HR143" s="24"/>
      <c r="HS143" s="24"/>
      <c r="HT143" s="24"/>
      <c r="HU143" s="25"/>
      <c r="HV143" s="26"/>
      <c r="HW143" s="27"/>
      <c r="HX143" s="26"/>
      <c r="HY143" s="26"/>
      <c r="HZ143" s="26"/>
      <c r="IA143" s="25"/>
      <c r="IB143" s="26"/>
      <c r="IC143" s="27"/>
      <c r="ID143" s="25"/>
      <c r="IE143" s="26"/>
      <c r="IF143" s="27"/>
    </row>
    <row r="144" spans="1:252" hidden="1" x14ac:dyDescent="0.35">
      <c r="D144" s="1"/>
      <c r="E144" s="3"/>
      <c r="G144" s="5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3"/>
      <c r="DH144" s="61"/>
      <c r="DI144" s="61"/>
      <c r="DJ144" s="61"/>
      <c r="DK144" s="59"/>
      <c r="DL144" s="61"/>
      <c r="DM144" s="61"/>
      <c r="DN144" s="61"/>
      <c r="DO144" s="59"/>
      <c r="DP144" s="61"/>
      <c r="DQ144" s="61"/>
      <c r="DR144" s="61"/>
      <c r="DS144" s="59"/>
      <c r="DT144" s="61"/>
      <c r="DU144" s="61"/>
      <c r="DV144" s="61"/>
      <c r="DX144" s="24"/>
      <c r="DY144" s="24"/>
      <c r="DZ144" s="24"/>
      <c r="EA144" s="24"/>
      <c r="EB144" s="24"/>
      <c r="EC144" s="24"/>
      <c r="ED144" s="24"/>
      <c r="EE144" s="24"/>
      <c r="EF144" s="24"/>
      <c r="EG144" s="24"/>
      <c r="EH144" s="24"/>
      <c r="EI144" s="24"/>
      <c r="EJ144" s="24"/>
      <c r="EK144" s="24"/>
      <c r="EL144" s="24"/>
      <c r="EM144" s="24"/>
      <c r="EN144" s="24"/>
      <c r="EO144" s="24"/>
      <c r="EP144" s="24"/>
      <c r="EQ144" s="24"/>
      <c r="ER144" s="24"/>
      <c r="ES144" s="24"/>
      <c r="ET144" s="24"/>
      <c r="EU144" s="24"/>
      <c r="EV144" s="24"/>
      <c r="EW144" s="24"/>
      <c r="EX144" s="24"/>
      <c r="EY144" s="24"/>
      <c r="EZ144" s="24"/>
      <c r="FA144" s="24"/>
      <c r="FB144" s="24"/>
      <c r="FC144" s="24"/>
      <c r="FD144" s="24"/>
      <c r="FE144" s="24"/>
      <c r="FF144" s="24"/>
      <c r="FG144" s="24"/>
      <c r="FH144" s="24"/>
      <c r="FI144" s="24"/>
      <c r="FJ144" s="24"/>
      <c r="FK144" s="24"/>
      <c r="FL144" s="24"/>
      <c r="FM144" s="24"/>
      <c r="FN144" s="24"/>
      <c r="FO144" s="24"/>
      <c r="FP144" s="24"/>
      <c r="FQ144" s="24"/>
      <c r="FR144" s="24"/>
      <c r="FS144" s="24"/>
      <c r="FT144" s="24"/>
      <c r="FU144" s="24"/>
      <c r="FV144" s="24"/>
      <c r="FW144" s="24"/>
      <c r="FX144" s="24"/>
      <c r="FY144" s="24"/>
      <c r="FZ144" s="24"/>
      <c r="GA144" s="24"/>
      <c r="GB144" s="24"/>
      <c r="GC144" s="24"/>
      <c r="GD144" s="24"/>
      <c r="GE144" s="24"/>
      <c r="GF144" s="24"/>
      <c r="GG144" s="24"/>
      <c r="GH144" s="24"/>
      <c r="GI144" s="24"/>
      <c r="GJ144" s="24"/>
      <c r="GK144" s="24"/>
      <c r="GL144" s="24"/>
      <c r="GM144" s="24"/>
      <c r="GN144" s="24"/>
      <c r="GO144" s="24"/>
      <c r="GP144" s="24"/>
      <c r="GQ144" s="24"/>
      <c r="GR144" s="24"/>
      <c r="GS144" s="24"/>
      <c r="GT144" s="24"/>
      <c r="GU144" s="24"/>
      <c r="GV144" s="24"/>
      <c r="GW144" s="24"/>
      <c r="GX144" s="24"/>
      <c r="GY144" s="24"/>
      <c r="GZ144" s="24"/>
      <c r="HA144" s="24"/>
      <c r="HB144" s="24"/>
      <c r="HC144" s="24"/>
      <c r="HD144" s="24"/>
      <c r="HE144" s="24"/>
      <c r="HF144" s="24"/>
      <c r="HG144" s="24"/>
      <c r="HH144" s="24"/>
      <c r="HI144" s="24"/>
      <c r="HJ144" s="24"/>
      <c r="HK144" s="24"/>
      <c r="HL144" s="24"/>
      <c r="HM144" s="24"/>
      <c r="HN144" s="24"/>
      <c r="HO144" s="24"/>
      <c r="HP144" s="24"/>
      <c r="HQ144" s="24"/>
      <c r="HR144" s="24"/>
      <c r="HS144" s="24"/>
      <c r="HT144" s="24"/>
      <c r="HU144" s="25"/>
      <c r="HV144" s="26"/>
      <c r="HW144" s="27"/>
      <c r="HX144" s="26"/>
      <c r="HY144" s="26"/>
      <c r="HZ144" s="26"/>
      <c r="IA144" s="25"/>
      <c r="IB144" s="26"/>
      <c r="IC144" s="27"/>
      <c r="ID144" s="25"/>
      <c r="IE144" s="26"/>
      <c r="IF144" s="27"/>
    </row>
    <row r="145" spans="4:240" hidden="1" x14ac:dyDescent="0.35">
      <c r="D145" s="1"/>
      <c r="E145" s="3"/>
      <c r="G145" s="5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3"/>
      <c r="DH145" s="61"/>
      <c r="DI145" s="61"/>
      <c r="DJ145" s="61"/>
      <c r="DK145" s="59"/>
      <c r="DL145" s="61"/>
      <c r="DM145" s="61"/>
      <c r="DN145" s="61"/>
      <c r="DO145" s="59"/>
      <c r="DP145" s="61"/>
      <c r="DQ145" s="61"/>
      <c r="DR145" s="61"/>
      <c r="DS145" s="59"/>
      <c r="DT145" s="61"/>
      <c r="DU145" s="61"/>
      <c r="DV145" s="61"/>
      <c r="DX145" s="24"/>
      <c r="DY145" s="24"/>
      <c r="DZ145" s="24"/>
      <c r="EA145" s="24"/>
      <c r="EB145" s="24"/>
      <c r="EC145" s="24"/>
      <c r="ED145" s="24"/>
      <c r="EE145" s="24"/>
      <c r="EF145" s="24"/>
      <c r="EG145" s="24"/>
      <c r="EH145" s="24"/>
      <c r="EI145" s="24"/>
      <c r="EJ145" s="24"/>
      <c r="EK145" s="24"/>
      <c r="EL145" s="24"/>
      <c r="EM145" s="24"/>
      <c r="EN145" s="24"/>
      <c r="EO145" s="24"/>
      <c r="EP145" s="24"/>
      <c r="EQ145" s="24"/>
      <c r="ER145" s="24"/>
      <c r="ES145" s="24"/>
      <c r="ET145" s="24"/>
      <c r="EU145" s="24"/>
      <c r="EV145" s="24"/>
      <c r="EW145" s="24"/>
      <c r="EX145" s="24"/>
      <c r="EY145" s="24"/>
      <c r="EZ145" s="24"/>
      <c r="FA145" s="24"/>
      <c r="FB145" s="24"/>
      <c r="FC145" s="24"/>
      <c r="FD145" s="24"/>
      <c r="FE145" s="24"/>
      <c r="FF145" s="24"/>
      <c r="FG145" s="24"/>
      <c r="FH145" s="24"/>
      <c r="FI145" s="24"/>
      <c r="FJ145" s="24"/>
      <c r="FK145" s="24"/>
      <c r="FL145" s="24"/>
      <c r="FM145" s="24"/>
      <c r="FN145" s="24"/>
      <c r="FO145" s="24"/>
      <c r="FP145" s="24"/>
      <c r="FQ145" s="24"/>
      <c r="FR145" s="24"/>
      <c r="FS145" s="24"/>
      <c r="FT145" s="24"/>
      <c r="FU145" s="24"/>
      <c r="FV145" s="24"/>
      <c r="FW145" s="24"/>
      <c r="FX145" s="24"/>
      <c r="FY145" s="24"/>
      <c r="FZ145" s="24"/>
      <c r="GA145" s="24"/>
      <c r="GB145" s="24"/>
      <c r="GC145" s="24"/>
      <c r="GD145" s="24"/>
      <c r="GE145" s="24"/>
      <c r="GF145" s="24"/>
      <c r="GG145" s="24"/>
      <c r="GH145" s="24"/>
      <c r="GI145" s="24"/>
      <c r="GJ145" s="24"/>
      <c r="GK145" s="24"/>
      <c r="GL145" s="24"/>
      <c r="GM145" s="24"/>
      <c r="GN145" s="24"/>
      <c r="GO145" s="24"/>
      <c r="GP145" s="24"/>
      <c r="GQ145" s="24"/>
      <c r="GR145" s="24"/>
      <c r="GS145" s="24"/>
      <c r="GT145" s="24"/>
      <c r="GU145" s="24"/>
      <c r="GV145" s="24"/>
      <c r="GW145" s="24"/>
      <c r="GX145" s="24"/>
      <c r="GY145" s="24"/>
      <c r="GZ145" s="24"/>
      <c r="HA145" s="24"/>
      <c r="HB145" s="24"/>
      <c r="HC145" s="24"/>
      <c r="HD145" s="24"/>
      <c r="HE145" s="24"/>
      <c r="HF145" s="24"/>
      <c r="HG145" s="24"/>
      <c r="HH145" s="24"/>
      <c r="HI145" s="24"/>
      <c r="HJ145" s="24"/>
      <c r="HK145" s="24"/>
      <c r="HL145" s="24"/>
      <c r="HM145" s="24"/>
      <c r="HN145" s="24"/>
      <c r="HO145" s="24"/>
      <c r="HP145" s="24"/>
      <c r="HQ145" s="24"/>
      <c r="HR145" s="24"/>
      <c r="HS145" s="24"/>
      <c r="HT145" s="24"/>
      <c r="HU145" s="25"/>
      <c r="HV145" s="26"/>
      <c r="HW145" s="27"/>
      <c r="HX145" s="26"/>
      <c r="HY145" s="26"/>
      <c r="HZ145" s="26"/>
      <c r="IA145" s="25"/>
      <c r="IB145" s="26"/>
      <c r="IC145" s="27"/>
      <c r="ID145" s="25"/>
      <c r="IE145" s="26"/>
      <c r="IF145" s="27"/>
    </row>
    <row r="146" spans="4:240" hidden="1" x14ac:dyDescent="0.35">
      <c r="D146" s="1"/>
      <c r="E146" s="3"/>
      <c r="G146" s="5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3"/>
      <c r="DH146" s="61"/>
      <c r="DI146" s="61"/>
      <c r="DJ146" s="61"/>
      <c r="DK146" s="59"/>
      <c r="DL146" s="61"/>
      <c r="DM146" s="61"/>
      <c r="DN146" s="61"/>
      <c r="DO146" s="59"/>
      <c r="DP146" s="61"/>
      <c r="DQ146" s="61"/>
      <c r="DR146" s="61"/>
      <c r="DS146" s="59"/>
      <c r="DT146" s="61"/>
      <c r="DU146" s="61"/>
      <c r="DV146" s="61"/>
      <c r="DX146" s="24"/>
      <c r="DY146" s="24"/>
      <c r="DZ146" s="24"/>
      <c r="EA146" s="24"/>
      <c r="EB146" s="24"/>
      <c r="EC146" s="24"/>
      <c r="ED146" s="24"/>
      <c r="EE146" s="24"/>
      <c r="EF146" s="24"/>
      <c r="EG146" s="24"/>
      <c r="EH146" s="24"/>
      <c r="EI146" s="24"/>
      <c r="EJ146" s="24"/>
      <c r="EK146" s="24"/>
      <c r="EL146" s="24"/>
      <c r="EM146" s="24"/>
      <c r="EN146" s="24"/>
      <c r="EO146" s="24"/>
      <c r="EP146" s="24"/>
      <c r="EQ146" s="24"/>
      <c r="ER146" s="24"/>
      <c r="ES146" s="24"/>
      <c r="ET146" s="24"/>
      <c r="EU146" s="24"/>
      <c r="EV146" s="24"/>
      <c r="EW146" s="24"/>
      <c r="EX146" s="24"/>
      <c r="EY146" s="24"/>
      <c r="EZ146" s="24"/>
      <c r="FA146" s="24"/>
      <c r="FB146" s="24"/>
      <c r="FC146" s="24"/>
      <c r="FD146" s="24"/>
      <c r="FE146" s="24"/>
      <c r="FF146" s="24"/>
      <c r="FG146" s="24"/>
      <c r="FH146" s="24"/>
      <c r="FI146" s="24"/>
      <c r="FJ146" s="24"/>
      <c r="FK146" s="24"/>
      <c r="FL146" s="24"/>
      <c r="FM146" s="24"/>
      <c r="FN146" s="24"/>
      <c r="FO146" s="24"/>
      <c r="FP146" s="24"/>
      <c r="FQ146" s="24"/>
      <c r="FR146" s="24"/>
      <c r="FS146" s="24"/>
      <c r="FT146" s="24"/>
      <c r="FU146" s="24"/>
      <c r="FV146" s="24"/>
      <c r="FW146" s="24"/>
      <c r="FX146" s="24"/>
      <c r="FY146" s="24"/>
      <c r="FZ146" s="24"/>
      <c r="GA146" s="24"/>
      <c r="GB146" s="24"/>
      <c r="GC146" s="24"/>
      <c r="GD146" s="24"/>
      <c r="GE146" s="24"/>
      <c r="GF146" s="24"/>
      <c r="GG146" s="24"/>
      <c r="GH146" s="24"/>
      <c r="GI146" s="24"/>
      <c r="GJ146" s="24"/>
      <c r="GK146" s="24"/>
      <c r="GL146" s="24"/>
      <c r="GM146" s="24"/>
      <c r="GN146" s="24"/>
      <c r="GO146" s="24"/>
      <c r="GP146" s="24"/>
      <c r="GQ146" s="24"/>
      <c r="GR146" s="24"/>
      <c r="GS146" s="24"/>
      <c r="GT146" s="24"/>
      <c r="GU146" s="24"/>
      <c r="GV146" s="24"/>
      <c r="GW146" s="24"/>
      <c r="GX146" s="24"/>
      <c r="GY146" s="24"/>
      <c r="GZ146" s="24"/>
      <c r="HA146" s="24"/>
      <c r="HB146" s="24"/>
      <c r="HC146" s="24"/>
      <c r="HD146" s="24"/>
      <c r="HE146" s="24"/>
      <c r="HF146" s="24"/>
      <c r="HG146" s="24"/>
      <c r="HH146" s="24"/>
      <c r="HI146" s="24"/>
      <c r="HJ146" s="24"/>
      <c r="HK146" s="24"/>
      <c r="HL146" s="24"/>
      <c r="HM146" s="24"/>
      <c r="HN146" s="24"/>
      <c r="HO146" s="24"/>
      <c r="HP146" s="24"/>
      <c r="HQ146" s="24"/>
      <c r="HR146" s="24"/>
      <c r="HS146" s="24"/>
      <c r="HT146" s="24"/>
      <c r="HU146" s="25"/>
      <c r="HV146" s="26"/>
      <c r="HW146" s="27"/>
      <c r="HX146" s="26"/>
      <c r="HY146" s="26"/>
      <c r="HZ146" s="26"/>
      <c r="IA146" s="25"/>
      <c r="IB146" s="26"/>
      <c r="IC146" s="27"/>
      <c r="ID146" s="25"/>
      <c r="IE146" s="26"/>
      <c r="IF146" s="27"/>
    </row>
    <row r="147" spans="4:240" hidden="1" x14ac:dyDescent="0.35">
      <c r="D147" s="1"/>
      <c r="E147" s="3"/>
      <c r="G147" s="5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H147" s="60"/>
      <c r="DI147" s="60"/>
      <c r="DJ147" s="60"/>
      <c r="DL147" s="60"/>
      <c r="DM147" s="60"/>
      <c r="DN147" s="60"/>
      <c r="DP147" s="60"/>
      <c r="DQ147" s="60"/>
      <c r="DR147" s="60"/>
      <c r="DT147" s="60"/>
      <c r="DU147" s="60"/>
      <c r="DV147" s="60"/>
      <c r="DX147" s="24"/>
      <c r="DY147" s="24"/>
      <c r="DZ147" s="24"/>
      <c r="EA147" s="24"/>
      <c r="EB147" s="24"/>
      <c r="EC147" s="24"/>
      <c r="ED147" s="24"/>
      <c r="EE147" s="24"/>
      <c r="EF147" s="24"/>
      <c r="EG147" s="24"/>
      <c r="EH147" s="24"/>
      <c r="EI147" s="24"/>
      <c r="EJ147" s="24"/>
      <c r="EK147" s="24"/>
      <c r="EL147" s="24"/>
      <c r="EM147" s="24"/>
      <c r="EN147" s="24"/>
      <c r="EO147" s="24"/>
      <c r="EP147" s="24"/>
      <c r="EQ147" s="24"/>
      <c r="ER147" s="24"/>
      <c r="ES147" s="24"/>
      <c r="ET147" s="24"/>
      <c r="EU147" s="24"/>
      <c r="EV147" s="24"/>
      <c r="EW147" s="24"/>
      <c r="EX147" s="24"/>
      <c r="EY147" s="24"/>
      <c r="EZ147" s="24"/>
      <c r="FA147" s="24"/>
      <c r="FB147" s="24"/>
      <c r="FC147" s="24"/>
      <c r="FD147" s="24"/>
      <c r="FE147" s="24"/>
      <c r="FF147" s="24"/>
      <c r="FG147" s="24"/>
      <c r="FH147" s="24"/>
      <c r="FI147" s="24"/>
      <c r="FJ147" s="24"/>
      <c r="FK147" s="24"/>
      <c r="FL147" s="24"/>
      <c r="FM147" s="24"/>
      <c r="FN147" s="24"/>
      <c r="FO147" s="24"/>
      <c r="FP147" s="24"/>
      <c r="FQ147" s="24"/>
      <c r="FR147" s="24"/>
      <c r="FS147" s="24"/>
      <c r="FT147" s="24"/>
      <c r="FU147" s="24"/>
      <c r="FV147" s="24"/>
      <c r="FW147" s="24"/>
      <c r="FX147" s="24"/>
      <c r="FY147" s="24"/>
      <c r="FZ147" s="24"/>
      <c r="GA147" s="24"/>
      <c r="GB147" s="24"/>
      <c r="GC147" s="24"/>
      <c r="GD147" s="24"/>
      <c r="GE147" s="24"/>
      <c r="GF147" s="24"/>
      <c r="GG147" s="24"/>
      <c r="GH147" s="24"/>
      <c r="GI147" s="24"/>
      <c r="GJ147" s="24"/>
      <c r="GK147" s="24"/>
      <c r="GL147" s="24"/>
      <c r="GM147" s="24"/>
      <c r="GN147" s="24"/>
      <c r="GO147" s="24"/>
      <c r="GP147" s="24"/>
      <c r="GQ147" s="24"/>
      <c r="GR147" s="24"/>
      <c r="GS147" s="24"/>
      <c r="GT147" s="24"/>
      <c r="GU147" s="24"/>
      <c r="GV147" s="24"/>
      <c r="GW147" s="24"/>
      <c r="GX147" s="24"/>
      <c r="GY147" s="24"/>
      <c r="GZ147" s="24"/>
      <c r="HA147" s="24"/>
      <c r="HB147" s="24"/>
      <c r="HC147" s="24"/>
      <c r="HD147" s="24"/>
      <c r="HE147" s="24"/>
      <c r="HF147" s="24"/>
      <c r="HG147" s="24"/>
      <c r="HH147" s="24"/>
      <c r="HI147" s="24"/>
      <c r="HJ147" s="24"/>
      <c r="HK147" s="24"/>
      <c r="HL147" s="24"/>
      <c r="HM147" s="24"/>
      <c r="HN147" s="24"/>
      <c r="HO147" s="24"/>
      <c r="HP147" s="24"/>
      <c r="HQ147" s="24"/>
      <c r="HR147" s="24"/>
      <c r="HS147" s="24"/>
      <c r="HT147" s="24"/>
      <c r="HU147" s="25"/>
      <c r="HV147" s="26"/>
      <c r="HW147" s="27"/>
      <c r="HX147" s="26"/>
      <c r="HY147" s="26"/>
      <c r="HZ147" s="26"/>
      <c r="IA147" s="25"/>
      <c r="IB147" s="26"/>
      <c r="IC147" s="27"/>
      <c r="ID147" s="25"/>
      <c r="IE147" s="26"/>
      <c r="IF147" s="27"/>
    </row>
    <row r="148" spans="4:240" hidden="1" x14ac:dyDescent="0.35">
      <c r="D148" s="1"/>
      <c r="E148" s="3"/>
      <c r="G148" s="5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H148" s="60"/>
      <c r="DI148" s="60"/>
      <c r="DJ148" s="60"/>
      <c r="DL148" s="60"/>
      <c r="DM148" s="60"/>
      <c r="DN148" s="60"/>
      <c r="DP148" s="60"/>
      <c r="DQ148" s="60"/>
      <c r="DR148" s="60"/>
      <c r="DT148" s="60"/>
      <c r="DU148" s="60"/>
      <c r="DV148" s="60"/>
      <c r="DX148" s="24"/>
      <c r="DY148" s="24"/>
      <c r="DZ148" s="24"/>
      <c r="EA148" s="24"/>
      <c r="EB148" s="24"/>
      <c r="EC148" s="24"/>
      <c r="ED148" s="24"/>
      <c r="EE148" s="24"/>
      <c r="EF148" s="24"/>
      <c r="EG148" s="24"/>
      <c r="EH148" s="24"/>
      <c r="EI148" s="24"/>
      <c r="EJ148" s="24"/>
      <c r="EK148" s="24"/>
      <c r="EL148" s="24"/>
      <c r="EM148" s="24"/>
      <c r="EN148" s="24"/>
      <c r="EO148" s="24"/>
      <c r="EP148" s="24"/>
      <c r="EQ148" s="24"/>
      <c r="ER148" s="24"/>
      <c r="ES148" s="24"/>
      <c r="ET148" s="24"/>
      <c r="EU148" s="24"/>
      <c r="EV148" s="24"/>
      <c r="EW148" s="24"/>
      <c r="EX148" s="24"/>
      <c r="EY148" s="24"/>
      <c r="EZ148" s="24"/>
      <c r="FA148" s="24"/>
      <c r="FB148" s="24"/>
      <c r="FC148" s="24"/>
      <c r="FD148" s="24"/>
      <c r="FE148" s="24"/>
      <c r="FF148" s="24"/>
      <c r="FG148" s="24"/>
      <c r="FH148" s="24"/>
      <c r="FI148" s="24"/>
      <c r="FJ148" s="24"/>
      <c r="FK148" s="24"/>
      <c r="FL148" s="24"/>
      <c r="FM148" s="24"/>
      <c r="FN148" s="24"/>
      <c r="FO148" s="24"/>
      <c r="FP148" s="24"/>
      <c r="FQ148" s="24"/>
      <c r="FR148" s="24"/>
      <c r="FS148" s="24"/>
      <c r="FT148" s="24"/>
      <c r="FU148" s="24"/>
      <c r="FV148" s="24"/>
      <c r="FW148" s="24"/>
      <c r="FX148" s="24"/>
      <c r="FY148" s="24"/>
      <c r="FZ148" s="24"/>
      <c r="GA148" s="24"/>
      <c r="GB148" s="24"/>
      <c r="GC148" s="24"/>
      <c r="GD148" s="24"/>
      <c r="GE148" s="24"/>
      <c r="GF148" s="24"/>
      <c r="GG148" s="24"/>
      <c r="GH148" s="24"/>
      <c r="GI148" s="24"/>
      <c r="GJ148" s="24"/>
      <c r="GK148" s="24"/>
      <c r="GL148" s="24"/>
      <c r="GM148" s="24"/>
      <c r="GN148" s="24"/>
      <c r="GO148" s="24"/>
      <c r="GP148" s="24"/>
      <c r="GQ148" s="24"/>
      <c r="GR148" s="24"/>
      <c r="GS148" s="24"/>
      <c r="GT148" s="24"/>
      <c r="GU148" s="24"/>
      <c r="GV148" s="24"/>
      <c r="GW148" s="24"/>
      <c r="GX148" s="24"/>
      <c r="GY148" s="24"/>
      <c r="GZ148" s="24"/>
      <c r="HA148" s="24"/>
      <c r="HB148" s="24"/>
      <c r="HC148" s="24"/>
      <c r="HD148" s="24"/>
      <c r="HE148" s="24"/>
      <c r="HF148" s="24"/>
      <c r="HG148" s="24"/>
      <c r="HH148" s="24"/>
      <c r="HI148" s="24"/>
      <c r="HJ148" s="24"/>
      <c r="HK148" s="24"/>
      <c r="HL148" s="24"/>
      <c r="HM148" s="24"/>
      <c r="HN148" s="24"/>
      <c r="HO148" s="24"/>
      <c r="HP148" s="24"/>
      <c r="HQ148" s="24"/>
      <c r="HR148" s="24"/>
      <c r="HS148" s="24"/>
      <c r="HT148" s="24"/>
      <c r="HU148" s="25"/>
      <c r="HV148" s="26"/>
      <c r="HW148" s="27"/>
      <c r="HX148" s="26"/>
      <c r="HY148" s="26"/>
      <c r="HZ148" s="26"/>
      <c r="IA148" s="25"/>
      <c r="IB148" s="26"/>
      <c r="IC148" s="27"/>
      <c r="ID148" s="25"/>
      <c r="IE148" s="26"/>
      <c r="IF148" s="27"/>
    </row>
    <row r="149" spans="4:240" hidden="1" x14ac:dyDescent="0.35">
      <c r="D149" s="1"/>
      <c r="E149" s="3"/>
      <c r="G149" s="5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H149" s="60"/>
      <c r="DI149" s="60"/>
      <c r="DJ149" s="60"/>
      <c r="DL149" s="60"/>
      <c r="DM149" s="60"/>
      <c r="DN149" s="60"/>
      <c r="DP149" s="60"/>
      <c r="DQ149" s="60"/>
      <c r="DR149" s="60"/>
      <c r="DT149" s="60"/>
      <c r="DU149" s="60"/>
      <c r="DV149" s="60"/>
      <c r="DX149" s="24"/>
      <c r="DY149" s="24"/>
      <c r="DZ149" s="24"/>
      <c r="EA149" s="24"/>
      <c r="EB149" s="24"/>
      <c r="EC149" s="24"/>
      <c r="ED149" s="24"/>
      <c r="EE149" s="24"/>
      <c r="EF149" s="24"/>
      <c r="EG149" s="24"/>
      <c r="EH149" s="24"/>
      <c r="EI149" s="24"/>
      <c r="EJ149" s="24"/>
      <c r="EK149" s="24"/>
      <c r="EL149" s="24"/>
      <c r="EM149" s="24"/>
      <c r="EN149" s="24"/>
      <c r="EO149" s="24"/>
      <c r="EP149" s="24"/>
      <c r="EQ149" s="24"/>
      <c r="ER149" s="24"/>
      <c r="ES149" s="24"/>
      <c r="ET149" s="24"/>
      <c r="EU149" s="24"/>
      <c r="EV149" s="24"/>
      <c r="EW149" s="24"/>
      <c r="EX149" s="24"/>
      <c r="EY149" s="24"/>
      <c r="EZ149" s="24"/>
      <c r="FA149" s="24"/>
      <c r="FB149" s="24"/>
      <c r="FC149" s="24"/>
      <c r="FD149" s="24"/>
      <c r="FE149" s="24"/>
      <c r="FF149" s="24"/>
      <c r="FG149" s="24"/>
      <c r="FH149" s="24"/>
      <c r="FI149" s="24"/>
      <c r="FJ149" s="24"/>
      <c r="FK149" s="24"/>
      <c r="FL149" s="24"/>
      <c r="FM149" s="24"/>
      <c r="FN149" s="24"/>
      <c r="FO149" s="24"/>
      <c r="FP149" s="24"/>
      <c r="FQ149" s="24"/>
      <c r="FR149" s="24"/>
      <c r="FS149" s="24"/>
      <c r="FT149" s="24"/>
      <c r="FU149" s="24"/>
      <c r="FV149" s="24"/>
      <c r="FW149" s="24"/>
      <c r="FX149" s="24"/>
      <c r="FY149" s="24"/>
      <c r="FZ149" s="24"/>
      <c r="GA149" s="24"/>
      <c r="GB149" s="24"/>
      <c r="GC149" s="24"/>
      <c r="GD149" s="24"/>
      <c r="GE149" s="24"/>
      <c r="GF149" s="24"/>
      <c r="GG149" s="24"/>
      <c r="GH149" s="24"/>
      <c r="GI149" s="24"/>
      <c r="GJ149" s="24"/>
      <c r="GK149" s="24"/>
      <c r="GL149" s="24"/>
      <c r="GM149" s="24"/>
      <c r="GN149" s="24"/>
      <c r="GO149" s="24"/>
      <c r="GP149" s="24"/>
      <c r="GQ149" s="24"/>
      <c r="GR149" s="24"/>
      <c r="GS149" s="24"/>
      <c r="GT149" s="24"/>
      <c r="GU149" s="24"/>
      <c r="GV149" s="24"/>
      <c r="GW149" s="24"/>
      <c r="GX149" s="24"/>
      <c r="GY149" s="24"/>
      <c r="GZ149" s="24"/>
      <c r="HA149" s="24"/>
      <c r="HB149" s="24"/>
      <c r="HC149" s="24"/>
      <c r="HD149" s="24"/>
      <c r="HE149" s="24"/>
      <c r="HF149" s="24"/>
      <c r="HG149" s="24"/>
      <c r="HH149" s="24"/>
      <c r="HI149" s="24"/>
      <c r="HJ149" s="24"/>
      <c r="HK149" s="24"/>
      <c r="HL149" s="24"/>
      <c r="HM149" s="24"/>
      <c r="HN149" s="24"/>
      <c r="HO149" s="24"/>
      <c r="HP149" s="24"/>
      <c r="HQ149" s="24"/>
      <c r="HR149" s="24"/>
      <c r="HS149" s="24"/>
      <c r="HT149" s="24"/>
      <c r="HU149" s="25"/>
      <c r="HV149" s="26"/>
      <c r="HW149" s="27"/>
      <c r="HX149" s="26"/>
      <c r="HY149" s="26"/>
      <c r="HZ149" s="26"/>
      <c r="IA149" s="25"/>
      <c r="IB149" s="26"/>
      <c r="IC149" s="27"/>
      <c r="ID149" s="25"/>
      <c r="IE149" s="26"/>
      <c r="IF149" s="27"/>
    </row>
    <row r="150" spans="4:240" hidden="1" x14ac:dyDescent="0.35">
      <c r="D150" s="1"/>
      <c r="E150" s="3"/>
      <c r="G150" s="5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H150" s="60"/>
      <c r="DI150" s="60"/>
      <c r="DJ150" s="60"/>
      <c r="DL150" s="60"/>
      <c r="DM150" s="60"/>
      <c r="DN150" s="60"/>
      <c r="DP150" s="60"/>
      <c r="DQ150" s="60"/>
      <c r="DR150" s="60"/>
      <c r="DT150" s="60"/>
      <c r="DU150" s="60"/>
      <c r="DV150" s="60"/>
      <c r="DX150" s="24"/>
      <c r="DY150" s="24"/>
      <c r="DZ150" s="24"/>
      <c r="EA150" s="24"/>
      <c r="EB150" s="24"/>
      <c r="EC150" s="24"/>
      <c r="ED150" s="24"/>
      <c r="EE150" s="24"/>
      <c r="EF150" s="24"/>
      <c r="EG150" s="24"/>
      <c r="EH150" s="24"/>
      <c r="EI150" s="24"/>
      <c r="EJ150" s="24"/>
      <c r="EK150" s="24"/>
      <c r="EL150" s="24"/>
      <c r="EM150" s="24"/>
      <c r="EN150" s="24"/>
      <c r="EO150" s="24"/>
      <c r="EP150" s="24"/>
      <c r="EQ150" s="24"/>
      <c r="ER150" s="24"/>
      <c r="ES150" s="24"/>
      <c r="ET150" s="24"/>
      <c r="EU150" s="24"/>
      <c r="EV150" s="24"/>
      <c r="EW150" s="24"/>
      <c r="EX150" s="24"/>
      <c r="EY150" s="24"/>
      <c r="EZ150" s="24"/>
      <c r="FA150" s="24"/>
      <c r="FB150" s="24"/>
      <c r="FC150" s="24"/>
      <c r="FD150" s="24"/>
      <c r="FE150" s="24"/>
      <c r="FF150" s="24"/>
      <c r="FG150" s="24"/>
      <c r="FH150" s="24"/>
      <c r="FI150" s="24"/>
      <c r="FJ150" s="24"/>
      <c r="FK150" s="24"/>
      <c r="FL150" s="24"/>
      <c r="FM150" s="24"/>
      <c r="FN150" s="24"/>
      <c r="FO150" s="24"/>
      <c r="FP150" s="24"/>
      <c r="FQ150" s="24"/>
      <c r="FR150" s="24"/>
      <c r="FS150" s="24"/>
      <c r="FT150" s="24"/>
      <c r="FU150" s="24"/>
      <c r="FV150" s="24"/>
      <c r="FW150" s="24"/>
      <c r="FX150" s="24"/>
      <c r="FY150" s="24"/>
      <c r="FZ150" s="24"/>
      <c r="GA150" s="24"/>
      <c r="GB150" s="24"/>
      <c r="GC150" s="24"/>
      <c r="GD150" s="24"/>
      <c r="GE150" s="24"/>
      <c r="GF150" s="24"/>
      <c r="GG150" s="24"/>
      <c r="GH150" s="24"/>
      <c r="GI150" s="24"/>
      <c r="GJ150" s="24"/>
      <c r="GK150" s="24"/>
      <c r="GL150" s="24"/>
      <c r="GM150" s="24"/>
      <c r="GN150" s="24"/>
      <c r="GO150" s="24"/>
      <c r="GP150" s="24"/>
      <c r="GQ150" s="24"/>
      <c r="GR150" s="24"/>
      <c r="GS150" s="24"/>
      <c r="GT150" s="24"/>
      <c r="GU150" s="24"/>
      <c r="GV150" s="24"/>
      <c r="GW150" s="24"/>
      <c r="GX150" s="24"/>
      <c r="GY150" s="24"/>
      <c r="GZ150" s="24"/>
      <c r="HA150" s="24"/>
      <c r="HB150" s="24"/>
      <c r="HC150" s="24"/>
      <c r="HD150" s="24"/>
      <c r="HE150" s="24"/>
      <c r="HF150" s="24"/>
      <c r="HG150" s="24"/>
      <c r="HH150" s="24"/>
      <c r="HI150" s="24"/>
      <c r="HJ150" s="24"/>
      <c r="HK150" s="24"/>
      <c r="HL150" s="24"/>
      <c r="HM150" s="24"/>
      <c r="HN150" s="24"/>
      <c r="HO150" s="24"/>
      <c r="HP150" s="24"/>
      <c r="HQ150" s="24"/>
      <c r="HR150" s="24"/>
      <c r="HS150" s="24"/>
      <c r="HT150" s="24"/>
      <c r="HU150" s="25"/>
      <c r="HV150" s="26"/>
      <c r="HW150" s="27"/>
      <c r="HX150" s="26"/>
      <c r="HY150" s="26"/>
      <c r="HZ150" s="26"/>
      <c r="IA150" s="25"/>
      <c r="IB150" s="26"/>
      <c r="IC150" s="27"/>
      <c r="ID150" s="25"/>
      <c r="IE150" s="26"/>
      <c r="IF150" s="27"/>
    </row>
    <row r="151" spans="4:240" hidden="1" x14ac:dyDescent="0.35">
      <c r="D151" s="1"/>
      <c r="E151" s="3"/>
      <c r="G151" s="5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H151" s="60"/>
      <c r="DI151" s="60"/>
      <c r="DJ151" s="60"/>
      <c r="DL151" s="60"/>
      <c r="DM151" s="60"/>
      <c r="DN151" s="60"/>
      <c r="DP151" s="60"/>
      <c r="DQ151" s="60"/>
      <c r="DR151" s="60"/>
      <c r="DT151" s="60"/>
      <c r="DU151" s="60"/>
      <c r="DV151" s="60"/>
      <c r="DX151" s="24"/>
      <c r="DY151" s="24"/>
      <c r="DZ151" s="24"/>
      <c r="EA151" s="24"/>
      <c r="EB151" s="24"/>
      <c r="EC151" s="24"/>
      <c r="ED151" s="24"/>
      <c r="EE151" s="24"/>
      <c r="EF151" s="24"/>
      <c r="EG151" s="24"/>
      <c r="EH151" s="24"/>
      <c r="EI151" s="24"/>
      <c r="EJ151" s="24"/>
      <c r="EK151" s="24"/>
      <c r="EL151" s="24"/>
      <c r="EM151" s="24"/>
      <c r="EN151" s="24"/>
      <c r="EO151" s="24"/>
      <c r="EP151" s="24"/>
      <c r="EQ151" s="24"/>
      <c r="ER151" s="24"/>
      <c r="ES151" s="24"/>
      <c r="ET151" s="24"/>
      <c r="EU151" s="24"/>
      <c r="EV151" s="24"/>
      <c r="EW151" s="24"/>
      <c r="EX151" s="24"/>
      <c r="EY151" s="24"/>
      <c r="EZ151" s="24"/>
      <c r="FA151" s="24"/>
      <c r="FB151" s="24"/>
      <c r="FC151" s="24"/>
      <c r="FD151" s="24"/>
      <c r="FE151" s="24"/>
      <c r="FF151" s="24"/>
      <c r="FG151" s="24"/>
      <c r="FH151" s="24"/>
      <c r="FI151" s="24"/>
      <c r="FJ151" s="24"/>
      <c r="FK151" s="24"/>
      <c r="FL151" s="24"/>
      <c r="FM151" s="24"/>
      <c r="FN151" s="24"/>
      <c r="FO151" s="24"/>
      <c r="FP151" s="24"/>
      <c r="FQ151" s="24"/>
      <c r="FR151" s="24"/>
      <c r="FS151" s="24"/>
      <c r="FT151" s="24"/>
      <c r="FU151" s="24"/>
      <c r="FV151" s="24"/>
      <c r="FW151" s="24"/>
      <c r="FX151" s="24"/>
      <c r="FY151" s="24"/>
      <c r="FZ151" s="24"/>
      <c r="GA151" s="24"/>
      <c r="GB151" s="24"/>
      <c r="GC151" s="24"/>
      <c r="GD151" s="24"/>
      <c r="GE151" s="24"/>
      <c r="GF151" s="24"/>
      <c r="GG151" s="24"/>
      <c r="GH151" s="24"/>
      <c r="GI151" s="24"/>
      <c r="GJ151" s="24"/>
      <c r="GK151" s="24"/>
      <c r="GL151" s="24"/>
      <c r="GM151" s="24"/>
      <c r="GN151" s="24"/>
      <c r="GO151" s="24"/>
      <c r="GP151" s="24"/>
      <c r="GQ151" s="24"/>
      <c r="GR151" s="24"/>
      <c r="GS151" s="24"/>
      <c r="GT151" s="24"/>
      <c r="GU151" s="24"/>
      <c r="GV151" s="24"/>
      <c r="GW151" s="24"/>
      <c r="GX151" s="24"/>
      <c r="GY151" s="24"/>
      <c r="GZ151" s="24"/>
      <c r="HA151" s="24"/>
      <c r="HB151" s="24"/>
      <c r="HC151" s="24"/>
      <c r="HD151" s="24"/>
      <c r="HE151" s="24"/>
      <c r="HF151" s="24"/>
      <c r="HG151" s="24"/>
      <c r="HH151" s="24"/>
      <c r="HI151" s="24"/>
      <c r="HJ151" s="24"/>
      <c r="HK151" s="24"/>
      <c r="HL151" s="24"/>
      <c r="HM151" s="24"/>
      <c r="HN151" s="24"/>
      <c r="HO151" s="24"/>
      <c r="HP151" s="24"/>
      <c r="HQ151" s="24"/>
      <c r="HR151" s="24"/>
      <c r="HS151" s="24"/>
      <c r="HT151" s="24"/>
      <c r="HU151" s="25"/>
      <c r="HV151" s="26"/>
      <c r="HW151" s="27"/>
      <c r="HX151" s="26"/>
      <c r="HY151" s="26"/>
      <c r="HZ151" s="26"/>
      <c r="IA151" s="25"/>
      <c r="IB151" s="26"/>
      <c r="IC151" s="27"/>
      <c r="ID151" s="25"/>
      <c r="IE151" s="26"/>
      <c r="IF151" s="27"/>
    </row>
    <row r="152" spans="4:240" hidden="1" x14ac:dyDescent="0.35">
      <c r="D152" s="1"/>
      <c r="E152" s="3"/>
      <c r="G152" s="5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H152" s="60"/>
      <c r="DI152" s="60"/>
      <c r="DJ152" s="60"/>
      <c r="DL152" s="60"/>
      <c r="DM152" s="60"/>
      <c r="DN152" s="60"/>
      <c r="DP152" s="60"/>
      <c r="DQ152" s="60"/>
      <c r="DR152" s="60"/>
      <c r="DT152" s="60"/>
      <c r="DU152" s="60"/>
      <c r="DV152" s="60"/>
      <c r="DX152" s="24"/>
      <c r="DY152" s="24"/>
      <c r="DZ152" s="24"/>
      <c r="EA152" s="24"/>
      <c r="EB152" s="24"/>
      <c r="EC152" s="24"/>
      <c r="ED152" s="24"/>
      <c r="EE152" s="24"/>
      <c r="EF152" s="24"/>
      <c r="EG152" s="24"/>
      <c r="EH152" s="24"/>
      <c r="EI152" s="24"/>
      <c r="EJ152" s="24"/>
      <c r="EK152" s="24"/>
      <c r="EL152" s="24"/>
      <c r="EM152" s="24"/>
      <c r="EN152" s="24"/>
      <c r="EO152" s="24"/>
      <c r="EP152" s="24"/>
      <c r="EQ152" s="24"/>
      <c r="ER152" s="24"/>
      <c r="ES152" s="24"/>
      <c r="ET152" s="24"/>
      <c r="EU152" s="24"/>
      <c r="EV152" s="24"/>
      <c r="EW152" s="24"/>
      <c r="EX152" s="24"/>
      <c r="EY152" s="24"/>
      <c r="EZ152" s="24"/>
      <c r="FA152" s="24"/>
      <c r="FB152" s="24"/>
      <c r="FC152" s="24"/>
      <c r="FD152" s="24"/>
      <c r="FE152" s="24"/>
      <c r="FF152" s="24"/>
      <c r="FG152" s="24"/>
      <c r="FH152" s="24"/>
      <c r="FI152" s="24"/>
      <c r="FJ152" s="24"/>
      <c r="FK152" s="24"/>
      <c r="FL152" s="24"/>
      <c r="FM152" s="24"/>
      <c r="FN152" s="24"/>
      <c r="FO152" s="24"/>
      <c r="FP152" s="24"/>
      <c r="FQ152" s="24"/>
      <c r="FR152" s="24"/>
      <c r="FS152" s="24"/>
      <c r="FT152" s="24"/>
      <c r="FU152" s="24"/>
      <c r="FV152" s="24"/>
      <c r="FW152" s="24"/>
      <c r="FX152" s="24"/>
      <c r="FY152" s="24"/>
      <c r="FZ152" s="24"/>
      <c r="GA152" s="24"/>
      <c r="GB152" s="24"/>
      <c r="GC152" s="24"/>
      <c r="GD152" s="24"/>
      <c r="GE152" s="24"/>
      <c r="GF152" s="24"/>
      <c r="GG152" s="24"/>
      <c r="GH152" s="24"/>
      <c r="GI152" s="24"/>
      <c r="GJ152" s="24"/>
      <c r="GK152" s="24"/>
      <c r="GL152" s="24"/>
      <c r="GM152" s="24"/>
      <c r="GN152" s="24"/>
      <c r="GO152" s="24"/>
      <c r="GP152" s="24"/>
      <c r="GQ152" s="24"/>
      <c r="GR152" s="24"/>
      <c r="GS152" s="24"/>
      <c r="GT152" s="24"/>
      <c r="GU152" s="24"/>
      <c r="GV152" s="24"/>
      <c r="GW152" s="24"/>
      <c r="GX152" s="24"/>
      <c r="GY152" s="24"/>
      <c r="GZ152" s="24"/>
      <c r="HA152" s="24"/>
      <c r="HB152" s="24"/>
      <c r="HC152" s="24"/>
      <c r="HD152" s="24"/>
      <c r="HE152" s="24"/>
      <c r="HF152" s="24"/>
      <c r="HG152" s="24"/>
      <c r="HH152" s="24"/>
      <c r="HI152" s="24"/>
      <c r="HJ152" s="24"/>
      <c r="HK152" s="24"/>
      <c r="HL152" s="24"/>
      <c r="HM152" s="24"/>
      <c r="HN152" s="24"/>
      <c r="HO152" s="24"/>
      <c r="HP152" s="24"/>
      <c r="HQ152" s="24"/>
      <c r="HR152" s="24"/>
      <c r="HS152" s="24"/>
      <c r="HT152" s="24"/>
      <c r="HU152" s="25"/>
      <c r="HV152" s="26"/>
      <c r="HW152" s="27"/>
      <c r="HX152" s="26"/>
      <c r="HY152" s="26"/>
      <c r="HZ152" s="26"/>
      <c r="IA152" s="25"/>
      <c r="IB152" s="26"/>
      <c r="IC152" s="27"/>
      <c r="ID152" s="25"/>
      <c r="IE152" s="26"/>
      <c r="IF152" s="27"/>
    </row>
    <row r="153" spans="4:240" hidden="1" x14ac:dyDescent="0.35">
      <c r="D153" s="1"/>
      <c r="E153" s="3"/>
      <c r="G153" s="5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H153" s="60"/>
      <c r="DI153" s="60"/>
      <c r="DJ153" s="60"/>
      <c r="DL153" s="60"/>
      <c r="DM153" s="60"/>
      <c r="DN153" s="60"/>
      <c r="DP153" s="60"/>
      <c r="DQ153" s="60"/>
      <c r="DR153" s="60"/>
      <c r="DT153" s="60"/>
      <c r="DU153" s="60"/>
      <c r="DV153" s="60"/>
      <c r="DX153" s="24"/>
      <c r="DY153" s="24"/>
      <c r="DZ153" s="24"/>
      <c r="EA153" s="24"/>
      <c r="EB153" s="24"/>
      <c r="EC153" s="24"/>
      <c r="ED153" s="24"/>
      <c r="EE153" s="24"/>
      <c r="EF153" s="24"/>
      <c r="EG153" s="24"/>
      <c r="EH153" s="24"/>
      <c r="EI153" s="24"/>
      <c r="EJ153" s="24"/>
      <c r="EK153" s="24"/>
      <c r="EL153" s="24"/>
      <c r="EM153" s="24"/>
      <c r="EN153" s="24"/>
      <c r="EO153" s="24"/>
      <c r="EP153" s="24"/>
      <c r="EQ153" s="24"/>
      <c r="ER153" s="24"/>
      <c r="ES153" s="24"/>
      <c r="ET153" s="24"/>
      <c r="EU153" s="24"/>
      <c r="EV153" s="24"/>
      <c r="EW153" s="24"/>
      <c r="EX153" s="24"/>
      <c r="EY153" s="24"/>
      <c r="EZ153" s="24"/>
      <c r="FA153" s="24"/>
      <c r="FB153" s="24"/>
      <c r="FC153" s="24"/>
      <c r="FD153" s="24"/>
      <c r="FE153" s="24"/>
      <c r="FF153" s="24"/>
      <c r="FG153" s="24"/>
      <c r="FH153" s="24"/>
      <c r="FI153" s="24"/>
      <c r="FJ153" s="24"/>
      <c r="FK153" s="24"/>
      <c r="FL153" s="24"/>
      <c r="FM153" s="24"/>
      <c r="FN153" s="24"/>
      <c r="FO153" s="24"/>
      <c r="FP153" s="24"/>
      <c r="FQ153" s="24"/>
      <c r="FR153" s="24"/>
      <c r="FS153" s="24"/>
      <c r="FT153" s="24"/>
      <c r="FU153" s="24"/>
      <c r="FV153" s="24"/>
      <c r="FW153" s="24"/>
      <c r="FX153" s="24"/>
      <c r="FY153" s="24"/>
      <c r="FZ153" s="24"/>
      <c r="GA153" s="24"/>
      <c r="GB153" s="24"/>
      <c r="GC153" s="24"/>
      <c r="GD153" s="24"/>
      <c r="GE153" s="24"/>
      <c r="GF153" s="24"/>
      <c r="GG153" s="24"/>
      <c r="GH153" s="24"/>
      <c r="GI153" s="24"/>
      <c r="GJ153" s="24"/>
      <c r="GK153" s="24"/>
      <c r="GL153" s="24"/>
      <c r="GM153" s="24"/>
      <c r="GN153" s="24"/>
      <c r="GO153" s="24"/>
      <c r="GP153" s="24"/>
      <c r="GQ153" s="24"/>
      <c r="GR153" s="24"/>
      <c r="GS153" s="24"/>
      <c r="GT153" s="24"/>
      <c r="GU153" s="24"/>
      <c r="GV153" s="24"/>
      <c r="GW153" s="24"/>
      <c r="GX153" s="24"/>
      <c r="GY153" s="24"/>
      <c r="GZ153" s="24"/>
      <c r="HA153" s="24"/>
      <c r="HB153" s="24"/>
      <c r="HC153" s="24"/>
      <c r="HD153" s="24"/>
      <c r="HE153" s="24"/>
      <c r="HF153" s="24"/>
      <c r="HG153" s="24"/>
      <c r="HH153" s="24"/>
      <c r="HI153" s="24"/>
      <c r="HJ153" s="24"/>
      <c r="HK153" s="24"/>
      <c r="HL153" s="24"/>
      <c r="HM153" s="24"/>
      <c r="HN153" s="24"/>
      <c r="HO153" s="24"/>
      <c r="HP153" s="24"/>
      <c r="HQ153" s="24"/>
      <c r="HR153" s="24"/>
      <c r="HS153" s="24"/>
      <c r="HT153" s="24"/>
      <c r="HU153" s="25"/>
      <c r="HV153" s="26"/>
      <c r="HW153" s="27"/>
      <c r="HX153" s="26"/>
      <c r="HY153" s="26"/>
      <c r="HZ153" s="26"/>
      <c r="IA153" s="25"/>
      <c r="IB153" s="26"/>
      <c r="IC153" s="27"/>
      <c r="ID153" s="25"/>
      <c r="IE153" s="26"/>
      <c r="IF153" s="27"/>
    </row>
    <row r="154" spans="4:240" hidden="1" x14ac:dyDescent="0.35">
      <c r="D154" s="1"/>
      <c r="E154" s="3"/>
      <c r="G154" s="5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H154" s="60"/>
      <c r="DI154" s="60"/>
      <c r="DJ154" s="60"/>
      <c r="DL154" s="60"/>
      <c r="DM154" s="60"/>
      <c r="DN154" s="60"/>
      <c r="DP154" s="60"/>
      <c r="DQ154" s="60"/>
      <c r="DR154" s="60"/>
      <c r="DT154" s="60"/>
      <c r="DU154" s="60"/>
      <c r="DV154" s="60"/>
      <c r="DX154" s="24"/>
      <c r="DY154" s="24"/>
      <c r="DZ154" s="24"/>
      <c r="EA154" s="24"/>
      <c r="EB154" s="24"/>
      <c r="EC154" s="24"/>
      <c r="ED154" s="24"/>
      <c r="EE154" s="24"/>
      <c r="EF154" s="24"/>
      <c r="EG154" s="24"/>
      <c r="EH154" s="24"/>
      <c r="EI154" s="24"/>
      <c r="EJ154" s="24"/>
      <c r="EK154" s="24"/>
      <c r="EL154" s="24"/>
      <c r="EM154" s="24"/>
      <c r="EN154" s="24"/>
      <c r="EO154" s="24"/>
      <c r="EP154" s="24"/>
      <c r="EQ154" s="24"/>
      <c r="ER154" s="24"/>
      <c r="ES154" s="24"/>
      <c r="ET154" s="24"/>
      <c r="EU154" s="24"/>
      <c r="EV154" s="24"/>
      <c r="EW154" s="24"/>
      <c r="EX154" s="24"/>
      <c r="EY154" s="24"/>
      <c r="EZ154" s="24"/>
      <c r="FA154" s="24"/>
      <c r="FB154" s="24"/>
      <c r="FC154" s="24"/>
      <c r="FD154" s="24"/>
      <c r="FE154" s="24"/>
      <c r="FF154" s="24"/>
      <c r="FG154" s="24"/>
      <c r="FH154" s="24"/>
      <c r="FI154" s="24"/>
      <c r="FJ154" s="24"/>
      <c r="FK154" s="24"/>
      <c r="FL154" s="24"/>
      <c r="FM154" s="24"/>
      <c r="FN154" s="24"/>
      <c r="FO154" s="24"/>
      <c r="FP154" s="24"/>
      <c r="FQ154" s="24"/>
      <c r="FR154" s="24"/>
      <c r="FS154" s="24"/>
      <c r="FT154" s="24"/>
      <c r="FU154" s="24"/>
      <c r="FV154" s="24"/>
      <c r="FW154" s="24"/>
      <c r="FX154" s="24"/>
      <c r="FY154" s="24"/>
      <c r="FZ154" s="24"/>
      <c r="GA154" s="24"/>
      <c r="GB154" s="24"/>
      <c r="GC154" s="24"/>
      <c r="GD154" s="24"/>
      <c r="GE154" s="24"/>
      <c r="GF154" s="24"/>
      <c r="GG154" s="24"/>
      <c r="GH154" s="24"/>
      <c r="GI154" s="24"/>
      <c r="GJ154" s="24"/>
      <c r="GK154" s="24"/>
      <c r="GL154" s="24"/>
      <c r="GM154" s="24"/>
      <c r="GN154" s="24"/>
      <c r="GO154" s="24"/>
      <c r="GP154" s="24"/>
      <c r="GQ154" s="24"/>
      <c r="GR154" s="24"/>
      <c r="GS154" s="24"/>
      <c r="GT154" s="24"/>
      <c r="GU154" s="24"/>
      <c r="GV154" s="24"/>
      <c r="GW154" s="24"/>
      <c r="GX154" s="24"/>
      <c r="GY154" s="24"/>
      <c r="GZ154" s="24"/>
      <c r="HA154" s="24"/>
      <c r="HB154" s="24"/>
      <c r="HC154" s="24"/>
      <c r="HD154" s="24"/>
      <c r="HE154" s="24"/>
      <c r="HF154" s="24"/>
      <c r="HG154" s="24"/>
      <c r="HH154" s="24"/>
      <c r="HI154" s="24"/>
      <c r="HJ154" s="24"/>
      <c r="HK154" s="24"/>
      <c r="HL154" s="24"/>
      <c r="HM154" s="24"/>
      <c r="HN154" s="24"/>
      <c r="HO154" s="24"/>
      <c r="HP154" s="24"/>
      <c r="HQ154" s="24"/>
      <c r="HR154" s="24"/>
      <c r="HS154" s="24"/>
      <c r="HT154" s="24"/>
      <c r="HU154" s="25"/>
      <c r="HV154" s="26"/>
      <c r="HW154" s="27"/>
      <c r="HX154" s="26"/>
      <c r="HY154" s="26"/>
      <c r="HZ154" s="26"/>
      <c r="IA154" s="25"/>
      <c r="IB154" s="26"/>
      <c r="IC154" s="27"/>
      <c r="ID154" s="25"/>
      <c r="IE154" s="26"/>
      <c r="IF154" s="27"/>
    </row>
    <row r="155" spans="4:240" hidden="1" x14ac:dyDescent="0.35">
      <c r="D155" s="1"/>
      <c r="E155" s="3"/>
      <c r="G155" s="5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H155" s="60"/>
      <c r="DI155" s="60"/>
      <c r="DJ155" s="60"/>
      <c r="DL155" s="60"/>
      <c r="DM155" s="60"/>
      <c r="DN155" s="60"/>
      <c r="DP155" s="60"/>
      <c r="DQ155" s="60"/>
      <c r="DR155" s="60"/>
      <c r="DT155" s="60"/>
      <c r="DU155" s="60"/>
      <c r="DV155" s="60"/>
      <c r="DX155" s="24"/>
      <c r="DY155" s="24"/>
      <c r="DZ155" s="24"/>
      <c r="EA155" s="24"/>
      <c r="EB155" s="24"/>
      <c r="EC155" s="24"/>
      <c r="ED155" s="24"/>
      <c r="EE155" s="24"/>
      <c r="EF155" s="24"/>
      <c r="EG155" s="24"/>
      <c r="EH155" s="24"/>
      <c r="EI155" s="24"/>
      <c r="EJ155" s="24"/>
      <c r="EK155" s="24"/>
      <c r="EL155" s="24"/>
      <c r="EM155" s="24"/>
      <c r="EN155" s="24"/>
      <c r="EO155" s="24"/>
      <c r="EP155" s="24"/>
      <c r="EQ155" s="24"/>
      <c r="ER155" s="24"/>
      <c r="ES155" s="24"/>
      <c r="ET155" s="24"/>
      <c r="EU155" s="24"/>
      <c r="EV155" s="24"/>
      <c r="EW155" s="24"/>
      <c r="EX155" s="24"/>
      <c r="EY155" s="24"/>
      <c r="EZ155" s="24"/>
      <c r="FA155" s="24"/>
      <c r="FB155" s="24"/>
      <c r="FC155" s="24"/>
      <c r="FD155" s="24"/>
      <c r="FE155" s="24"/>
      <c r="FF155" s="24"/>
      <c r="FG155" s="24"/>
      <c r="FH155" s="24"/>
      <c r="FI155" s="24"/>
      <c r="FJ155" s="24"/>
      <c r="FK155" s="24"/>
      <c r="FL155" s="24"/>
      <c r="FM155" s="24"/>
      <c r="FN155" s="24"/>
      <c r="FO155" s="24"/>
      <c r="FP155" s="24"/>
      <c r="FQ155" s="24"/>
      <c r="FR155" s="24"/>
      <c r="FS155" s="24"/>
      <c r="FT155" s="24"/>
      <c r="FU155" s="24"/>
      <c r="FV155" s="24"/>
      <c r="FW155" s="24"/>
      <c r="FX155" s="24"/>
      <c r="FY155" s="24"/>
      <c r="FZ155" s="24"/>
      <c r="GA155" s="24"/>
      <c r="GB155" s="24"/>
      <c r="GC155" s="24"/>
      <c r="GD155" s="24"/>
      <c r="GE155" s="24"/>
      <c r="GF155" s="24"/>
      <c r="GG155" s="24"/>
      <c r="GH155" s="24"/>
      <c r="GI155" s="24"/>
      <c r="GJ155" s="24"/>
      <c r="GK155" s="24"/>
      <c r="GL155" s="24"/>
      <c r="GM155" s="24"/>
      <c r="GN155" s="24"/>
      <c r="GO155" s="24"/>
      <c r="GP155" s="24"/>
      <c r="GQ155" s="24"/>
      <c r="GR155" s="24"/>
      <c r="GS155" s="24"/>
      <c r="GT155" s="24"/>
      <c r="GU155" s="24"/>
      <c r="GV155" s="24"/>
      <c r="GW155" s="24"/>
      <c r="GX155" s="24"/>
      <c r="GY155" s="24"/>
      <c r="GZ155" s="24"/>
      <c r="HA155" s="24"/>
      <c r="HB155" s="24"/>
      <c r="HC155" s="24"/>
      <c r="HD155" s="24"/>
      <c r="HE155" s="24"/>
      <c r="HF155" s="24"/>
      <c r="HG155" s="24"/>
      <c r="HH155" s="24"/>
      <c r="HI155" s="24"/>
      <c r="HJ155" s="24"/>
      <c r="HK155" s="24"/>
      <c r="HL155" s="24"/>
      <c r="HM155" s="24"/>
      <c r="HN155" s="24"/>
      <c r="HO155" s="24"/>
      <c r="HP155" s="24"/>
      <c r="HQ155" s="24"/>
      <c r="HR155" s="24"/>
      <c r="HS155" s="24"/>
      <c r="HT155" s="24"/>
      <c r="HU155" s="25"/>
      <c r="HV155" s="26"/>
      <c r="HW155" s="27"/>
      <c r="HX155" s="26"/>
      <c r="HY155" s="26"/>
      <c r="HZ155" s="26"/>
      <c r="IA155" s="25"/>
      <c r="IB155" s="26"/>
      <c r="IC155" s="27"/>
      <c r="ID155" s="25"/>
      <c r="IE155" s="26"/>
      <c r="IF155" s="27"/>
    </row>
    <row r="156" spans="4:240" hidden="1" x14ac:dyDescent="0.35">
      <c r="D156" s="1"/>
      <c r="E156" s="3"/>
      <c r="G156" s="5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H156" s="60"/>
      <c r="DI156" s="60"/>
      <c r="DJ156" s="60"/>
      <c r="DL156" s="60"/>
      <c r="DM156" s="60"/>
      <c r="DN156" s="60"/>
      <c r="DP156" s="60"/>
      <c r="DQ156" s="60"/>
      <c r="DR156" s="60"/>
      <c r="DT156" s="60"/>
      <c r="DU156" s="60"/>
      <c r="DV156" s="60"/>
      <c r="DX156" s="24"/>
      <c r="DY156" s="24"/>
      <c r="DZ156" s="24"/>
      <c r="EA156" s="24"/>
      <c r="EB156" s="24"/>
      <c r="EC156" s="24"/>
      <c r="ED156" s="24"/>
      <c r="EE156" s="24"/>
      <c r="EF156" s="24"/>
      <c r="EG156" s="24"/>
      <c r="EH156" s="24"/>
      <c r="EI156" s="24"/>
      <c r="EJ156" s="24"/>
      <c r="EK156" s="24"/>
      <c r="EL156" s="24"/>
      <c r="EM156" s="24"/>
      <c r="EN156" s="24"/>
      <c r="EO156" s="24"/>
      <c r="EP156" s="24"/>
      <c r="EQ156" s="24"/>
      <c r="ER156" s="24"/>
      <c r="ES156" s="24"/>
      <c r="ET156" s="24"/>
      <c r="EU156" s="24"/>
      <c r="EV156" s="24"/>
      <c r="EW156" s="24"/>
      <c r="EX156" s="24"/>
      <c r="EY156" s="24"/>
      <c r="EZ156" s="24"/>
      <c r="FA156" s="24"/>
      <c r="FB156" s="24"/>
      <c r="FC156" s="24"/>
      <c r="FD156" s="24"/>
      <c r="FE156" s="24"/>
      <c r="FF156" s="24"/>
      <c r="FG156" s="24"/>
      <c r="FH156" s="24"/>
      <c r="FI156" s="24"/>
      <c r="FJ156" s="24"/>
      <c r="FK156" s="24"/>
      <c r="FL156" s="24"/>
      <c r="FM156" s="24"/>
      <c r="FN156" s="24"/>
      <c r="FO156" s="24"/>
      <c r="FP156" s="24"/>
      <c r="FQ156" s="24"/>
      <c r="FR156" s="24"/>
      <c r="FS156" s="24"/>
      <c r="FT156" s="24"/>
      <c r="FU156" s="24"/>
      <c r="FV156" s="24"/>
      <c r="FW156" s="24"/>
      <c r="FX156" s="24"/>
      <c r="FY156" s="24"/>
      <c r="FZ156" s="24"/>
      <c r="GA156" s="24"/>
      <c r="GB156" s="24"/>
      <c r="GC156" s="24"/>
      <c r="GD156" s="24"/>
      <c r="GE156" s="24"/>
      <c r="GF156" s="24"/>
      <c r="GG156" s="24"/>
      <c r="GH156" s="24"/>
      <c r="GI156" s="24"/>
      <c r="GJ156" s="24"/>
      <c r="GK156" s="24"/>
      <c r="GL156" s="24"/>
      <c r="GM156" s="24"/>
      <c r="GN156" s="24"/>
      <c r="GO156" s="24"/>
      <c r="GP156" s="24"/>
      <c r="GQ156" s="24"/>
      <c r="GR156" s="24"/>
      <c r="GS156" s="24"/>
      <c r="GT156" s="24"/>
      <c r="GU156" s="24"/>
      <c r="GV156" s="24"/>
      <c r="GW156" s="24"/>
      <c r="GX156" s="24"/>
      <c r="GY156" s="24"/>
      <c r="GZ156" s="24"/>
      <c r="HA156" s="24"/>
      <c r="HB156" s="24"/>
      <c r="HC156" s="24"/>
      <c r="HD156" s="24"/>
      <c r="HE156" s="24"/>
      <c r="HF156" s="24"/>
      <c r="HG156" s="24"/>
      <c r="HH156" s="24"/>
      <c r="HI156" s="24"/>
      <c r="HJ156" s="24"/>
      <c r="HK156" s="24"/>
      <c r="HL156" s="24"/>
      <c r="HM156" s="24"/>
      <c r="HN156" s="24"/>
      <c r="HO156" s="24"/>
      <c r="HP156" s="24"/>
      <c r="HQ156" s="24"/>
      <c r="HR156" s="24"/>
      <c r="HS156" s="24"/>
      <c r="HT156" s="24"/>
      <c r="HU156" s="25"/>
      <c r="HV156" s="26"/>
      <c r="HW156" s="27"/>
      <c r="HX156" s="26"/>
      <c r="HY156" s="26"/>
      <c r="HZ156" s="26"/>
      <c r="IA156" s="25"/>
      <c r="IB156" s="26"/>
      <c r="IC156" s="27"/>
      <c r="ID156" s="25"/>
      <c r="IE156" s="26"/>
      <c r="IF156" s="27"/>
    </row>
    <row r="157" spans="4:240" hidden="1" x14ac:dyDescent="0.35">
      <c r="D157" s="1"/>
      <c r="E157" s="3"/>
      <c r="G157" s="5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H157" s="60"/>
      <c r="DI157" s="60"/>
      <c r="DJ157" s="60"/>
      <c r="DL157" s="60"/>
      <c r="DM157" s="60"/>
      <c r="DN157" s="60"/>
      <c r="DP157" s="60"/>
      <c r="DQ157" s="60"/>
      <c r="DR157" s="60"/>
      <c r="DT157" s="60"/>
      <c r="DU157" s="60"/>
      <c r="DV157" s="60"/>
      <c r="DX157" s="24"/>
      <c r="DY157" s="24"/>
      <c r="DZ157" s="24"/>
      <c r="EA157" s="24"/>
      <c r="EB157" s="24"/>
      <c r="EC157" s="24"/>
      <c r="ED157" s="24"/>
      <c r="EE157" s="24"/>
      <c r="EF157" s="24"/>
      <c r="EG157" s="24"/>
      <c r="EH157" s="24"/>
      <c r="EI157" s="24"/>
      <c r="EJ157" s="24"/>
      <c r="EK157" s="24"/>
      <c r="EL157" s="24"/>
      <c r="EM157" s="24"/>
      <c r="EN157" s="24"/>
      <c r="EO157" s="24"/>
      <c r="EP157" s="24"/>
      <c r="EQ157" s="24"/>
      <c r="ER157" s="24"/>
      <c r="ES157" s="24"/>
      <c r="ET157" s="24"/>
      <c r="EU157" s="24"/>
      <c r="EV157" s="24"/>
      <c r="EW157" s="24"/>
      <c r="EX157" s="24"/>
      <c r="EY157" s="24"/>
      <c r="EZ157" s="24"/>
      <c r="FA157" s="24"/>
      <c r="FB157" s="24"/>
      <c r="FC157" s="24"/>
      <c r="FD157" s="24"/>
      <c r="FE157" s="24"/>
      <c r="FF157" s="24"/>
      <c r="FG157" s="24"/>
      <c r="FH157" s="24"/>
      <c r="FI157" s="24"/>
      <c r="FJ157" s="24"/>
      <c r="FK157" s="24"/>
      <c r="FL157" s="24"/>
      <c r="FM157" s="24"/>
      <c r="FN157" s="24"/>
      <c r="FO157" s="24"/>
      <c r="FP157" s="24"/>
      <c r="FQ157" s="24"/>
      <c r="FR157" s="24"/>
      <c r="FS157" s="24"/>
      <c r="FT157" s="24"/>
      <c r="FU157" s="24"/>
      <c r="FV157" s="24"/>
      <c r="FW157" s="24"/>
      <c r="FX157" s="24"/>
      <c r="FY157" s="24"/>
      <c r="FZ157" s="24"/>
      <c r="GA157" s="24"/>
      <c r="GB157" s="24"/>
      <c r="GC157" s="24"/>
      <c r="GD157" s="24"/>
      <c r="GE157" s="24"/>
      <c r="GF157" s="24"/>
      <c r="GG157" s="24"/>
      <c r="GH157" s="24"/>
      <c r="GI157" s="24"/>
      <c r="GJ157" s="24"/>
      <c r="GK157" s="24"/>
      <c r="GL157" s="24"/>
      <c r="GM157" s="24"/>
      <c r="GN157" s="24"/>
      <c r="GO157" s="24"/>
      <c r="GP157" s="24"/>
      <c r="GQ157" s="24"/>
      <c r="GR157" s="24"/>
      <c r="GS157" s="24"/>
      <c r="GT157" s="24"/>
      <c r="GU157" s="24"/>
      <c r="GV157" s="24"/>
      <c r="GW157" s="24"/>
      <c r="GX157" s="24"/>
      <c r="GY157" s="24"/>
      <c r="GZ157" s="24"/>
      <c r="HA157" s="24"/>
      <c r="HB157" s="24"/>
      <c r="HC157" s="24"/>
      <c r="HD157" s="24"/>
      <c r="HE157" s="24"/>
      <c r="HF157" s="24"/>
      <c r="HG157" s="24"/>
      <c r="HH157" s="24"/>
      <c r="HI157" s="24"/>
      <c r="HJ157" s="24"/>
      <c r="HK157" s="24"/>
      <c r="HL157" s="24"/>
      <c r="HM157" s="24"/>
      <c r="HN157" s="24"/>
      <c r="HO157" s="24"/>
      <c r="HP157" s="24"/>
      <c r="HQ157" s="24"/>
      <c r="HR157" s="24"/>
      <c r="HS157" s="24"/>
      <c r="HT157" s="24"/>
      <c r="HU157" s="25"/>
      <c r="HV157" s="26"/>
      <c r="HW157" s="27"/>
      <c r="HX157" s="26"/>
      <c r="HY157" s="26"/>
      <c r="HZ157" s="26"/>
      <c r="IA157" s="25"/>
      <c r="IB157" s="26"/>
      <c r="IC157" s="27"/>
      <c r="ID157" s="25"/>
      <c r="IE157" s="26"/>
      <c r="IF157" s="27"/>
    </row>
    <row r="158" spans="4:240" hidden="1" x14ac:dyDescent="0.35">
      <c r="D158" s="1"/>
      <c r="E158" s="3"/>
      <c r="G158" s="5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H158" s="60"/>
      <c r="DI158" s="60"/>
      <c r="DJ158" s="60"/>
      <c r="DL158" s="60"/>
      <c r="DM158" s="60"/>
      <c r="DN158" s="60"/>
      <c r="DP158" s="60"/>
      <c r="DQ158" s="60"/>
      <c r="DR158" s="60"/>
      <c r="DT158" s="60"/>
      <c r="DU158" s="60"/>
      <c r="DV158" s="60"/>
      <c r="DX158" s="24"/>
      <c r="DY158" s="24"/>
      <c r="DZ158" s="24"/>
      <c r="EA158" s="24"/>
      <c r="EB158" s="24"/>
      <c r="EC158" s="24"/>
      <c r="ED158" s="24"/>
      <c r="EE158" s="24"/>
      <c r="EF158" s="24"/>
      <c r="EG158" s="24"/>
      <c r="EH158" s="24"/>
      <c r="EI158" s="24"/>
      <c r="EJ158" s="24"/>
      <c r="EK158" s="24"/>
      <c r="EL158" s="24"/>
      <c r="EM158" s="24"/>
      <c r="EN158" s="24"/>
      <c r="EO158" s="24"/>
      <c r="EP158" s="24"/>
      <c r="EQ158" s="24"/>
      <c r="ER158" s="24"/>
      <c r="ES158" s="24"/>
      <c r="ET158" s="24"/>
      <c r="EU158" s="24"/>
      <c r="EV158" s="24"/>
      <c r="EW158" s="24"/>
      <c r="EX158" s="24"/>
      <c r="EY158" s="24"/>
      <c r="EZ158" s="24"/>
      <c r="FA158" s="24"/>
      <c r="FB158" s="24"/>
      <c r="FC158" s="24"/>
      <c r="FD158" s="24"/>
      <c r="FE158" s="24"/>
      <c r="FF158" s="24"/>
      <c r="FG158" s="24"/>
      <c r="FH158" s="24"/>
      <c r="FI158" s="24"/>
      <c r="FJ158" s="24"/>
      <c r="FK158" s="24"/>
      <c r="FL158" s="24"/>
      <c r="FM158" s="24"/>
      <c r="FN158" s="24"/>
      <c r="FO158" s="24"/>
      <c r="FP158" s="24"/>
      <c r="FQ158" s="24"/>
      <c r="FR158" s="24"/>
      <c r="FS158" s="24"/>
      <c r="FT158" s="24"/>
      <c r="FU158" s="24"/>
      <c r="FV158" s="24"/>
      <c r="FW158" s="24"/>
      <c r="FX158" s="24"/>
      <c r="FY158" s="24"/>
      <c r="FZ158" s="24"/>
      <c r="GA158" s="24"/>
      <c r="GB158" s="24"/>
      <c r="GC158" s="24"/>
      <c r="GD158" s="24"/>
      <c r="GE158" s="24"/>
      <c r="GF158" s="24"/>
      <c r="GG158" s="24"/>
      <c r="GH158" s="24"/>
      <c r="GI158" s="24"/>
      <c r="GJ158" s="24"/>
      <c r="GK158" s="24"/>
      <c r="GL158" s="24"/>
      <c r="GM158" s="24"/>
      <c r="GN158" s="24"/>
      <c r="GO158" s="24"/>
      <c r="GP158" s="24"/>
      <c r="GQ158" s="24"/>
      <c r="GR158" s="24"/>
      <c r="GS158" s="24"/>
      <c r="GT158" s="24"/>
      <c r="GU158" s="24"/>
      <c r="GV158" s="24"/>
      <c r="GW158" s="24"/>
      <c r="GX158" s="24"/>
      <c r="GY158" s="24"/>
      <c r="GZ158" s="24"/>
      <c r="HA158" s="24"/>
      <c r="HB158" s="24"/>
      <c r="HC158" s="24"/>
      <c r="HD158" s="24"/>
      <c r="HE158" s="24"/>
      <c r="HF158" s="24"/>
      <c r="HG158" s="24"/>
      <c r="HH158" s="24"/>
      <c r="HI158" s="24"/>
      <c r="HJ158" s="24"/>
      <c r="HK158" s="24"/>
      <c r="HL158" s="24"/>
      <c r="HM158" s="24"/>
      <c r="HN158" s="24"/>
      <c r="HO158" s="24"/>
      <c r="HP158" s="24"/>
      <c r="HQ158" s="24"/>
      <c r="HR158" s="24"/>
      <c r="HS158" s="24"/>
      <c r="HT158" s="24"/>
      <c r="HU158" s="25"/>
      <c r="HV158" s="26"/>
      <c r="HW158" s="27"/>
      <c r="HX158" s="26"/>
      <c r="HY158" s="26"/>
      <c r="HZ158" s="26"/>
      <c r="IA158" s="25"/>
      <c r="IB158" s="26"/>
      <c r="IC158" s="27"/>
      <c r="ID158" s="25"/>
      <c r="IE158" s="26"/>
      <c r="IF158" s="27"/>
    </row>
    <row r="159" spans="4:240" hidden="1" x14ac:dyDescent="0.35">
      <c r="D159" s="1"/>
      <c r="E159" s="3"/>
      <c r="G159" s="5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H159" s="60"/>
      <c r="DI159" s="60"/>
      <c r="DJ159" s="60"/>
      <c r="DL159" s="60"/>
      <c r="DM159" s="60"/>
      <c r="DN159" s="60"/>
      <c r="DP159" s="60"/>
      <c r="DQ159" s="60"/>
      <c r="DR159" s="60"/>
      <c r="DT159" s="60"/>
      <c r="DU159" s="60"/>
      <c r="DV159" s="60"/>
      <c r="DX159" s="24"/>
      <c r="DY159" s="24"/>
      <c r="DZ159" s="24"/>
      <c r="EA159" s="24"/>
      <c r="EB159" s="24"/>
      <c r="EC159" s="24"/>
      <c r="ED159" s="24"/>
      <c r="EE159" s="24"/>
      <c r="EF159" s="24"/>
      <c r="EG159" s="24"/>
      <c r="EH159" s="24"/>
      <c r="EI159" s="24"/>
      <c r="EJ159" s="24"/>
      <c r="EK159" s="24"/>
      <c r="EL159" s="24"/>
      <c r="EM159" s="24"/>
      <c r="EN159" s="24"/>
      <c r="EO159" s="24"/>
      <c r="EP159" s="24"/>
      <c r="EQ159" s="24"/>
      <c r="ER159" s="24"/>
      <c r="ES159" s="24"/>
      <c r="ET159" s="24"/>
      <c r="EU159" s="24"/>
      <c r="EV159" s="24"/>
      <c r="EW159" s="24"/>
      <c r="EX159" s="24"/>
      <c r="EY159" s="24"/>
      <c r="EZ159" s="24"/>
      <c r="FA159" s="24"/>
      <c r="FB159" s="24"/>
      <c r="FC159" s="24"/>
      <c r="FD159" s="24"/>
      <c r="FE159" s="24"/>
      <c r="FF159" s="24"/>
      <c r="FG159" s="24"/>
      <c r="FH159" s="24"/>
      <c r="FI159" s="24"/>
      <c r="FJ159" s="24"/>
      <c r="FK159" s="24"/>
      <c r="FL159" s="24"/>
      <c r="FM159" s="24"/>
      <c r="FN159" s="24"/>
      <c r="FO159" s="24"/>
      <c r="FP159" s="24"/>
      <c r="FQ159" s="24"/>
      <c r="FR159" s="24"/>
      <c r="FS159" s="24"/>
      <c r="FT159" s="24"/>
      <c r="FU159" s="24"/>
      <c r="FV159" s="24"/>
      <c r="FW159" s="24"/>
      <c r="FX159" s="24"/>
      <c r="FY159" s="24"/>
      <c r="FZ159" s="24"/>
      <c r="GA159" s="24"/>
      <c r="GB159" s="24"/>
      <c r="GC159" s="24"/>
      <c r="GD159" s="24"/>
      <c r="GE159" s="24"/>
      <c r="GF159" s="24"/>
      <c r="GG159" s="24"/>
      <c r="GH159" s="24"/>
      <c r="GI159" s="24"/>
      <c r="GJ159" s="24"/>
      <c r="GK159" s="24"/>
      <c r="GL159" s="24"/>
      <c r="GM159" s="24"/>
      <c r="GN159" s="24"/>
      <c r="GO159" s="24"/>
      <c r="GP159" s="24"/>
      <c r="GQ159" s="24"/>
      <c r="GR159" s="24"/>
      <c r="GS159" s="24"/>
      <c r="GT159" s="24"/>
      <c r="GU159" s="24"/>
      <c r="GV159" s="24"/>
      <c r="GW159" s="24"/>
      <c r="GX159" s="24"/>
      <c r="GY159" s="24"/>
      <c r="GZ159" s="24"/>
      <c r="HA159" s="24"/>
      <c r="HB159" s="24"/>
      <c r="HC159" s="24"/>
      <c r="HD159" s="24"/>
      <c r="HE159" s="24"/>
      <c r="HF159" s="24"/>
      <c r="HG159" s="24"/>
      <c r="HH159" s="24"/>
      <c r="HI159" s="24"/>
      <c r="HJ159" s="24"/>
      <c r="HK159" s="24"/>
      <c r="HL159" s="24"/>
      <c r="HM159" s="24"/>
      <c r="HN159" s="24"/>
      <c r="HO159" s="24"/>
      <c r="HP159" s="24"/>
      <c r="HQ159" s="24"/>
      <c r="HR159" s="24"/>
      <c r="HS159" s="24"/>
      <c r="HT159" s="24"/>
      <c r="HU159" s="25"/>
      <c r="HV159" s="26"/>
      <c r="HW159" s="27"/>
      <c r="HX159" s="26"/>
      <c r="HY159" s="26"/>
      <c r="HZ159" s="26"/>
      <c r="IA159" s="25"/>
      <c r="IB159" s="26"/>
      <c r="IC159" s="27"/>
      <c r="ID159" s="25"/>
      <c r="IE159" s="26"/>
      <c r="IF159" s="27"/>
    </row>
    <row r="160" spans="4:240" hidden="1" x14ac:dyDescent="0.35">
      <c r="D160" s="1"/>
      <c r="E160" s="3"/>
      <c r="G160" s="5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1"/>
      <c r="CY160" s="21"/>
      <c r="CZ160" s="21"/>
      <c r="DA160" s="21"/>
      <c r="DB160" s="21"/>
      <c r="DC160" s="21"/>
      <c r="DD160" s="21"/>
      <c r="DE160" s="21"/>
      <c r="DF160" s="21"/>
      <c r="DH160" s="60"/>
      <c r="DI160" s="60"/>
      <c r="DJ160" s="60"/>
      <c r="DL160" s="60"/>
      <c r="DM160" s="60"/>
      <c r="DN160" s="60"/>
      <c r="DP160" s="60"/>
      <c r="DQ160" s="60"/>
      <c r="DR160" s="60"/>
      <c r="DT160" s="60"/>
      <c r="DU160" s="60"/>
      <c r="DV160" s="60"/>
      <c r="DX160" s="24"/>
      <c r="DY160" s="24"/>
      <c r="DZ160" s="24"/>
      <c r="EA160" s="24"/>
      <c r="EB160" s="24"/>
      <c r="EC160" s="24"/>
      <c r="ED160" s="24"/>
      <c r="EE160" s="24"/>
      <c r="EF160" s="24"/>
      <c r="EG160" s="24"/>
      <c r="EH160" s="24"/>
      <c r="EI160" s="24"/>
      <c r="EJ160" s="24"/>
      <c r="EK160" s="24"/>
      <c r="EL160" s="24"/>
      <c r="EM160" s="24"/>
      <c r="EN160" s="24"/>
      <c r="EO160" s="24"/>
      <c r="EP160" s="24"/>
      <c r="EQ160" s="24"/>
      <c r="ER160" s="24"/>
      <c r="ES160" s="24"/>
      <c r="ET160" s="24"/>
      <c r="EU160" s="24"/>
      <c r="EV160" s="24"/>
      <c r="EW160" s="24"/>
      <c r="EX160" s="24"/>
      <c r="EY160" s="24"/>
      <c r="EZ160" s="24"/>
      <c r="FA160" s="24"/>
      <c r="FB160" s="24"/>
      <c r="FC160" s="24"/>
      <c r="FD160" s="24"/>
      <c r="FE160" s="24"/>
      <c r="FF160" s="24"/>
      <c r="FG160" s="24"/>
      <c r="FH160" s="24"/>
      <c r="FI160" s="24"/>
      <c r="FJ160" s="24"/>
      <c r="FK160" s="24"/>
      <c r="FL160" s="24"/>
      <c r="FM160" s="24"/>
      <c r="FN160" s="24"/>
      <c r="FO160" s="24"/>
      <c r="FP160" s="24"/>
      <c r="FQ160" s="24"/>
      <c r="FR160" s="24"/>
      <c r="FS160" s="24"/>
      <c r="FT160" s="24"/>
      <c r="FU160" s="24"/>
      <c r="FV160" s="24"/>
      <c r="FW160" s="24"/>
      <c r="FX160" s="24"/>
      <c r="FY160" s="24"/>
      <c r="FZ160" s="24"/>
      <c r="GA160" s="24"/>
      <c r="GB160" s="24"/>
      <c r="GC160" s="24"/>
      <c r="GD160" s="24"/>
      <c r="GE160" s="24"/>
      <c r="GF160" s="24"/>
      <c r="GG160" s="24"/>
      <c r="GH160" s="24"/>
      <c r="GI160" s="24"/>
      <c r="GJ160" s="24"/>
      <c r="GK160" s="24"/>
      <c r="GL160" s="24"/>
      <c r="GM160" s="24"/>
      <c r="GN160" s="24"/>
      <c r="GO160" s="24"/>
      <c r="GP160" s="24"/>
      <c r="GQ160" s="24"/>
      <c r="GR160" s="24"/>
      <c r="GS160" s="24"/>
      <c r="GT160" s="24"/>
      <c r="GU160" s="24"/>
      <c r="GV160" s="24"/>
      <c r="GW160" s="24"/>
      <c r="GX160" s="24"/>
      <c r="GY160" s="24"/>
      <c r="GZ160" s="24"/>
      <c r="HA160" s="24"/>
      <c r="HB160" s="24"/>
      <c r="HC160" s="24"/>
      <c r="HD160" s="24"/>
      <c r="HE160" s="24"/>
      <c r="HF160" s="24"/>
      <c r="HG160" s="24"/>
      <c r="HH160" s="24"/>
      <c r="HI160" s="24"/>
      <c r="HJ160" s="24"/>
      <c r="HK160" s="24"/>
      <c r="HL160" s="24"/>
      <c r="HM160" s="24"/>
      <c r="HN160" s="24"/>
      <c r="HO160" s="24"/>
      <c r="HP160" s="24"/>
      <c r="HQ160" s="24"/>
      <c r="HR160" s="24"/>
      <c r="HS160" s="24"/>
      <c r="HT160" s="24"/>
      <c r="HU160" s="25"/>
      <c r="HV160" s="26"/>
      <c r="HW160" s="27"/>
      <c r="HX160" s="26"/>
      <c r="HY160" s="26"/>
      <c r="HZ160" s="26"/>
      <c r="IA160" s="25"/>
      <c r="IB160" s="26"/>
      <c r="IC160" s="27"/>
      <c r="ID160" s="25"/>
      <c r="IE160" s="26"/>
      <c r="IF160" s="27"/>
    </row>
    <row r="161" spans="4:240" hidden="1" x14ac:dyDescent="0.35">
      <c r="D161" s="1"/>
      <c r="E161" s="3"/>
      <c r="G161" s="5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1"/>
      <c r="CY161" s="21"/>
      <c r="CZ161" s="21"/>
      <c r="DA161" s="21"/>
      <c r="DB161" s="21"/>
      <c r="DC161" s="21"/>
      <c r="DD161" s="21"/>
      <c r="DE161" s="21"/>
      <c r="DF161" s="21"/>
      <c r="DH161" s="60"/>
      <c r="DI161" s="60"/>
      <c r="DJ161" s="60"/>
      <c r="DL161" s="60"/>
      <c r="DM161" s="60"/>
      <c r="DN161" s="60"/>
      <c r="DP161" s="60"/>
      <c r="DQ161" s="60"/>
      <c r="DR161" s="60"/>
      <c r="DT161" s="60"/>
      <c r="DU161" s="60"/>
      <c r="DV161" s="60"/>
      <c r="DX161" s="24"/>
      <c r="DY161" s="24"/>
      <c r="DZ161" s="24"/>
      <c r="EA161" s="24"/>
      <c r="EB161" s="24"/>
      <c r="EC161" s="24"/>
      <c r="ED161" s="24"/>
      <c r="EE161" s="24"/>
      <c r="EF161" s="24"/>
      <c r="EG161" s="24"/>
      <c r="EH161" s="24"/>
      <c r="EI161" s="24"/>
      <c r="EJ161" s="24"/>
      <c r="EK161" s="24"/>
      <c r="EL161" s="24"/>
      <c r="EM161" s="24"/>
      <c r="EN161" s="24"/>
      <c r="EO161" s="24"/>
      <c r="EP161" s="24"/>
      <c r="EQ161" s="24"/>
      <c r="ER161" s="24"/>
      <c r="ES161" s="24"/>
      <c r="ET161" s="24"/>
      <c r="EU161" s="24"/>
      <c r="EV161" s="24"/>
      <c r="EW161" s="24"/>
      <c r="EX161" s="24"/>
      <c r="EY161" s="24"/>
      <c r="EZ161" s="24"/>
      <c r="FA161" s="24"/>
      <c r="FB161" s="24"/>
      <c r="FC161" s="24"/>
      <c r="FD161" s="24"/>
      <c r="FE161" s="24"/>
      <c r="FF161" s="24"/>
      <c r="FG161" s="24"/>
      <c r="FH161" s="24"/>
      <c r="FI161" s="24"/>
      <c r="FJ161" s="24"/>
      <c r="FK161" s="24"/>
      <c r="FL161" s="24"/>
      <c r="FM161" s="24"/>
      <c r="FN161" s="24"/>
      <c r="FO161" s="24"/>
      <c r="FP161" s="24"/>
      <c r="FQ161" s="24"/>
      <c r="FR161" s="24"/>
      <c r="FS161" s="24"/>
      <c r="FT161" s="24"/>
      <c r="FU161" s="24"/>
      <c r="FV161" s="24"/>
      <c r="FW161" s="24"/>
      <c r="FX161" s="24"/>
      <c r="FY161" s="24"/>
      <c r="FZ161" s="24"/>
      <c r="GA161" s="24"/>
      <c r="GB161" s="24"/>
      <c r="GC161" s="24"/>
      <c r="GD161" s="24"/>
      <c r="GE161" s="24"/>
      <c r="GF161" s="24"/>
      <c r="GG161" s="24"/>
      <c r="GH161" s="24"/>
      <c r="GI161" s="24"/>
      <c r="GJ161" s="24"/>
      <c r="GK161" s="24"/>
      <c r="GL161" s="24"/>
      <c r="GM161" s="24"/>
      <c r="GN161" s="24"/>
      <c r="GO161" s="24"/>
      <c r="GP161" s="24"/>
      <c r="GQ161" s="24"/>
      <c r="GR161" s="24"/>
      <c r="GS161" s="24"/>
      <c r="GT161" s="24"/>
      <c r="GU161" s="24"/>
      <c r="GV161" s="24"/>
      <c r="GW161" s="24"/>
      <c r="GX161" s="24"/>
      <c r="GY161" s="24"/>
      <c r="GZ161" s="24"/>
      <c r="HA161" s="24"/>
      <c r="HB161" s="24"/>
      <c r="HC161" s="24"/>
      <c r="HD161" s="24"/>
      <c r="HE161" s="24"/>
      <c r="HF161" s="24"/>
      <c r="HG161" s="24"/>
      <c r="HH161" s="24"/>
      <c r="HI161" s="24"/>
      <c r="HJ161" s="24"/>
      <c r="HK161" s="24"/>
      <c r="HL161" s="24"/>
      <c r="HM161" s="24"/>
      <c r="HN161" s="24"/>
      <c r="HO161" s="24"/>
      <c r="HP161" s="24"/>
      <c r="HQ161" s="24"/>
      <c r="HR161" s="24"/>
      <c r="HS161" s="24"/>
      <c r="HT161" s="24"/>
      <c r="HU161" s="25"/>
      <c r="HV161" s="26"/>
      <c r="HW161" s="27"/>
      <c r="HX161" s="26"/>
      <c r="HY161" s="26"/>
      <c r="HZ161" s="26"/>
      <c r="IA161" s="25"/>
      <c r="IB161" s="26"/>
      <c r="IC161" s="27"/>
      <c r="ID161" s="25"/>
      <c r="IE161" s="26"/>
      <c r="IF161" s="27"/>
    </row>
    <row r="162" spans="4:240" hidden="1" x14ac:dyDescent="0.35">
      <c r="D162" s="1"/>
      <c r="E162" s="3"/>
      <c r="G162" s="5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1"/>
      <c r="CY162" s="21"/>
      <c r="CZ162" s="21"/>
      <c r="DA162" s="21"/>
      <c r="DB162" s="21"/>
      <c r="DC162" s="21"/>
      <c r="DD162" s="21"/>
      <c r="DE162" s="21"/>
      <c r="DF162" s="21"/>
      <c r="DH162" s="60"/>
      <c r="DI162" s="60"/>
      <c r="DJ162" s="60"/>
      <c r="DL162" s="60"/>
      <c r="DM162" s="60"/>
      <c r="DN162" s="60"/>
      <c r="DP162" s="60"/>
      <c r="DQ162" s="60"/>
      <c r="DR162" s="60"/>
      <c r="DT162" s="60"/>
      <c r="DU162" s="60"/>
      <c r="DV162" s="60"/>
      <c r="DX162" s="24"/>
      <c r="DY162" s="24"/>
      <c r="DZ162" s="24"/>
      <c r="EA162" s="24"/>
      <c r="EB162" s="24"/>
      <c r="EC162" s="24"/>
      <c r="ED162" s="24"/>
      <c r="EE162" s="24"/>
      <c r="EF162" s="24"/>
      <c r="EG162" s="24"/>
      <c r="EH162" s="24"/>
      <c r="EI162" s="24"/>
      <c r="EJ162" s="24"/>
      <c r="EK162" s="24"/>
      <c r="EL162" s="24"/>
      <c r="EM162" s="24"/>
      <c r="EN162" s="24"/>
      <c r="EO162" s="24"/>
      <c r="EP162" s="24"/>
      <c r="EQ162" s="24"/>
      <c r="ER162" s="24"/>
      <c r="ES162" s="24"/>
      <c r="ET162" s="24"/>
      <c r="EU162" s="24"/>
      <c r="EV162" s="24"/>
      <c r="EW162" s="24"/>
      <c r="EX162" s="24"/>
      <c r="EY162" s="24"/>
      <c r="EZ162" s="24"/>
      <c r="FA162" s="24"/>
      <c r="FB162" s="24"/>
      <c r="FC162" s="24"/>
      <c r="FD162" s="24"/>
      <c r="FE162" s="24"/>
      <c r="FF162" s="24"/>
      <c r="FG162" s="24"/>
      <c r="FH162" s="24"/>
      <c r="FI162" s="24"/>
      <c r="FJ162" s="24"/>
      <c r="FK162" s="24"/>
      <c r="FL162" s="24"/>
      <c r="FM162" s="24"/>
      <c r="FN162" s="24"/>
      <c r="FO162" s="24"/>
      <c r="FP162" s="24"/>
      <c r="FQ162" s="24"/>
      <c r="FR162" s="24"/>
      <c r="FS162" s="24"/>
      <c r="FT162" s="24"/>
      <c r="FU162" s="24"/>
      <c r="FV162" s="24"/>
      <c r="FW162" s="24"/>
      <c r="FX162" s="24"/>
      <c r="FY162" s="24"/>
      <c r="FZ162" s="24"/>
      <c r="GA162" s="24"/>
      <c r="GB162" s="24"/>
      <c r="GC162" s="24"/>
      <c r="GD162" s="24"/>
      <c r="GE162" s="24"/>
      <c r="GF162" s="24"/>
      <c r="GG162" s="24"/>
      <c r="GH162" s="24"/>
      <c r="GI162" s="24"/>
      <c r="GJ162" s="24"/>
      <c r="GK162" s="24"/>
      <c r="GL162" s="24"/>
      <c r="GM162" s="24"/>
      <c r="GN162" s="24"/>
      <c r="GO162" s="24"/>
      <c r="GP162" s="24"/>
      <c r="GQ162" s="24"/>
      <c r="GR162" s="24"/>
      <c r="GS162" s="24"/>
      <c r="GT162" s="24"/>
      <c r="GU162" s="24"/>
      <c r="GV162" s="24"/>
      <c r="GW162" s="24"/>
      <c r="GX162" s="24"/>
      <c r="GY162" s="24"/>
      <c r="GZ162" s="24"/>
      <c r="HA162" s="24"/>
      <c r="HB162" s="24"/>
      <c r="HC162" s="24"/>
      <c r="HD162" s="24"/>
      <c r="HE162" s="24"/>
      <c r="HF162" s="24"/>
      <c r="HG162" s="24"/>
      <c r="HH162" s="24"/>
      <c r="HI162" s="24"/>
      <c r="HJ162" s="24"/>
      <c r="HK162" s="24"/>
      <c r="HL162" s="24"/>
      <c r="HM162" s="24"/>
      <c r="HN162" s="24"/>
      <c r="HO162" s="24"/>
      <c r="HP162" s="24"/>
      <c r="HQ162" s="24"/>
      <c r="HR162" s="24"/>
      <c r="HS162" s="24"/>
      <c r="HT162" s="24"/>
      <c r="HU162" s="25"/>
      <c r="HV162" s="26"/>
      <c r="HW162" s="27"/>
      <c r="HX162" s="26"/>
      <c r="HY162" s="26"/>
      <c r="HZ162" s="26"/>
      <c r="IA162" s="25"/>
      <c r="IB162" s="26"/>
      <c r="IC162" s="27"/>
      <c r="ID162" s="25"/>
      <c r="IE162" s="26"/>
      <c r="IF162" s="27"/>
    </row>
    <row r="163" spans="4:240" hidden="1" x14ac:dyDescent="0.35">
      <c r="D163" s="1"/>
      <c r="E163" s="3"/>
      <c r="G163" s="5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1"/>
      <c r="CY163" s="21"/>
      <c r="CZ163" s="21"/>
      <c r="DA163" s="21"/>
      <c r="DB163" s="21"/>
      <c r="DC163" s="21"/>
      <c r="DD163" s="21"/>
      <c r="DE163" s="21"/>
      <c r="DF163" s="21"/>
      <c r="DH163" s="60"/>
      <c r="DI163" s="60"/>
      <c r="DJ163" s="60"/>
      <c r="DL163" s="60"/>
      <c r="DM163" s="60"/>
      <c r="DN163" s="60"/>
      <c r="DP163" s="60"/>
      <c r="DQ163" s="60"/>
      <c r="DR163" s="60"/>
      <c r="DT163" s="60"/>
      <c r="DU163" s="60"/>
      <c r="DV163" s="60"/>
      <c r="DX163" s="24"/>
      <c r="DY163" s="24"/>
      <c r="DZ163" s="24"/>
      <c r="EA163" s="24"/>
      <c r="EB163" s="24"/>
      <c r="EC163" s="24"/>
      <c r="ED163" s="24"/>
      <c r="EE163" s="24"/>
      <c r="EF163" s="24"/>
      <c r="EG163" s="24"/>
      <c r="EH163" s="24"/>
      <c r="EI163" s="24"/>
      <c r="EJ163" s="24"/>
      <c r="EK163" s="24"/>
      <c r="EL163" s="24"/>
      <c r="EM163" s="24"/>
      <c r="EN163" s="24"/>
      <c r="EO163" s="24"/>
      <c r="EP163" s="24"/>
      <c r="EQ163" s="24"/>
      <c r="ER163" s="24"/>
      <c r="ES163" s="24"/>
      <c r="ET163" s="24"/>
      <c r="EU163" s="24"/>
      <c r="EV163" s="24"/>
      <c r="EW163" s="24"/>
      <c r="EX163" s="24"/>
      <c r="EY163" s="24"/>
      <c r="EZ163" s="24"/>
      <c r="FA163" s="24"/>
      <c r="FB163" s="24"/>
      <c r="FC163" s="24"/>
      <c r="FD163" s="24"/>
      <c r="FE163" s="24"/>
      <c r="FF163" s="24"/>
      <c r="FG163" s="24"/>
      <c r="FH163" s="24"/>
      <c r="FI163" s="24"/>
      <c r="FJ163" s="24"/>
      <c r="FK163" s="24"/>
      <c r="FL163" s="24"/>
      <c r="FM163" s="24"/>
      <c r="FN163" s="24"/>
      <c r="FO163" s="24"/>
      <c r="FP163" s="24"/>
      <c r="FQ163" s="24"/>
      <c r="FR163" s="24"/>
      <c r="FS163" s="24"/>
      <c r="FT163" s="24"/>
      <c r="FU163" s="24"/>
      <c r="FV163" s="24"/>
      <c r="FW163" s="24"/>
      <c r="FX163" s="24"/>
      <c r="FY163" s="24"/>
      <c r="FZ163" s="24"/>
      <c r="GA163" s="24"/>
      <c r="GB163" s="24"/>
      <c r="GC163" s="24"/>
      <c r="GD163" s="24"/>
      <c r="GE163" s="24"/>
      <c r="GF163" s="24"/>
      <c r="GG163" s="24"/>
      <c r="GH163" s="24"/>
      <c r="GI163" s="24"/>
      <c r="GJ163" s="24"/>
      <c r="GK163" s="24"/>
      <c r="GL163" s="24"/>
      <c r="GM163" s="24"/>
      <c r="GN163" s="24"/>
      <c r="GO163" s="24"/>
      <c r="GP163" s="24"/>
      <c r="GQ163" s="24"/>
      <c r="GR163" s="24"/>
      <c r="GS163" s="24"/>
      <c r="GT163" s="24"/>
      <c r="GU163" s="24"/>
      <c r="GV163" s="24"/>
      <c r="GW163" s="24"/>
      <c r="GX163" s="24"/>
      <c r="GY163" s="24"/>
      <c r="GZ163" s="24"/>
      <c r="HA163" s="24"/>
      <c r="HB163" s="24"/>
      <c r="HC163" s="24"/>
      <c r="HD163" s="24"/>
      <c r="HE163" s="24"/>
      <c r="HF163" s="24"/>
      <c r="HG163" s="24"/>
      <c r="HH163" s="24"/>
      <c r="HI163" s="24"/>
      <c r="HJ163" s="24"/>
      <c r="HK163" s="24"/>
      <c r="HL163" s="24"/>
      <c r="HM163" s="24"/>
      <c r="HN163" s="24"/>
      <c r="HO163" s="24"/>
      <c r="HP163" s="24"/>
      <c r="HQ163" s="24"/>
      <c r="HR163" s="24"/>
      <c r="HS163" s="24"/>
      <c r="HT163" s="24"/>
      <c r="HU163" s="25"/>
      <c r="HV163" s="26"/>
      <c r="HW163" s="27"/>
      <c r="HX163" s="26"/>
      <c r="HY163" s="26"/>
      <c r="HZ163" s="26"/>
      <c r="IA163" s="25"/>
      <c r="IB163" s="26"/>
      <c r="IC163" s="27"/>
      <c r="ID163" s="25"/>
      <c r="IE163" s="26"/>
      <c r="IF163" s="27"/>
    </row>
    <row r="164" spans="4:240" hidden="1" x14ac:dyDescent="0.35">
      <c r="D164" s="1"/>
      <c r="E164" s="3"/>
      <c r="G164" s="5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  <c r="CH164" s="21"/>
      <c r="CI164" s="21"/>
      <c r="CJ164" s="21"/>
      <c r="CK164" s="21"/>
      <c r="CL164" s="2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1"/>
      <c r="CY164" s="21"/>
      <c r="CZ164" s="21"/>
      <c r="DA164" s="21"/>
      <c r="DB164" s="21"/>
      <c r="DC164" s="21"/>
      <c r="DD164" s="21"/>
      <c r="DE164" s="21"/>
      <c r="DF164" s="21"/>
      <c r="DH164" s="60"/>
      <c r="DI164" s="60"/>
      <c r="DJ164" s="60"/>
      <c r="DL164" s="60"/>
      <c r="DM164" s="60"/>
      <c r="DN164" s="60"/>
      <c r="DP164" s="60"/>
      <c r="DQ164" s="60"/>
      <c r="DR164" s="60"/>
      <c r="DT164" s="60"/>
      <c r="DU164" s="60"/>
      <c r="DV164" s="60"/>
      <c r="DX164" s="24"/>
      <c r="DY164" s="24"/>
      <c r="DZ164" s="24"/>
      <c r="EA164" s="24"/>
      <c r="EB164" s="24"/>
      <c r="EC164" s="24"/>
      <c r="ED164" s="24"/>
      <c r="EE164" s="24"/>
      <c r="EF164" s="24"/>
      <c r="EG164" s="24"/>
      <c r="EH164" s="24"/>
      <c r="EI164" s="24"/>
      <c r="EJ164" s="24"/>
      <c r="EK164" s="24"/>
      <c r="EL164" s="24"/>
      <c r="EM164" s="24"/>
      <c r="EN164" s="24"/>
      <c r="EO164" s="24"/>
      <c r="EP164" s="24"/>
      <c r="EQ164" s="24"/>
      <c r="ER164" s="24"/>
      <c r="ES164" s="24"/>
      <c r="ET164" s="24"/>
      <c r="EU164" s="24"/>
      <c r="EV164" s="24"/>
      <c r="EW164" s="24"/>
      <c r="EX164" s="24"/>
      <c r="EY164" s="24"/>
      <c r="EZ164" s="24"/>
      <c r="FA164" s="24"/>
      <c r="FB164" s="24"/>
      <c r="FC164" s="24"/>
      <c r="FD164" s="24"/>
      <c r="FE164" s="24"/>
      <c r="FF164" s="24"/>
      <c r="FG164" s="24"/>
      <c r="FH164" s="24"/>
      <c r="FI164" s="24"/>
      <c r="FJ164" s="24"/>
      <c r="FK164" s="24"/>
      <c r="FL164" s="24"/>
      <c r="FM164" s="24"/>
      <c r="FN164" s="24"/>
      <c r="FO164" s="24"/>
      <c r="FP164" s="24"/>
      <c r="FQ164" s="24"/>
      <c r="FR164" s="24"/>
      <c r="FS164" s="24"/>
      <c r="FT164" s="24"/>
      <c r="FU164" s="24"/>
      <c r="FV164" s="24"/>
      <c r="FW164" s="24"/>
      <c r="FX164" s="24"/>
      <c r="FY164" s="24"/>
      <c r="FZ164" s="24"/>
      <c r="GA164" s="24"/>
      <c r="GB164" s="24"/>
      <c r="GC164" s="24"/>
      <c r="GD164" s="24"/>
      <c r="GE164" s="24"/>
      <c r="GF164" s="24"/>
      <c r="GG164" s="24"/>
      <c r="GH164" s="24"/>
      <c r="GI164" s="24"/>
      <c r="GJ164" s="24"/>
      <c r="GK164" s="24"/>
      <c r="GL164" s="24"/>
      <c r="GM164" s="24"/>
      <c r="GN164" s="24"/>
      <c r="GO164" s="24"/>
      <c r="GP164" s="24"/>
      <c r="GQ164" s="24"/>
      <c r="GR164" s="24"/>
      <c r="GS164" s="24"/>
      <c r="GT164" s="24"/>
      <c r="GU164" s="24"/>
      <c r="GV164" s="24"/>
      <c r="GW164" s="24"/>
      <c r="GX164" s="24"/>
      <c r="GY164" s="24"/>
      <c r="GZ164" s="24"/>
      <c r="HA164" s="24"/>
      <c r="HB164" s="24"/>
      <c r="HC164" s="24"/>
      <c r="HD164" s="24"/>
      <c r="HE164" s="24"/>
      <c r="HF164" s="24"/>
      <c r="HG164" s="24"/>
      <c r="HH164" s="24"/>
      <c r="HI164" s="24"/>
      <c r="HJ164" s="24"/>
      <c r="HK164" s="24"/>
      <c r="HL164" s="24"/>
      <c r="HM164" s="24"/>
      <c r="HN164" s="24"/>
      <c r="HO164" s="24"/>
      <c r="HP164" s="24"/>
      <c r="HQ164" s="24"/>
      <c r="HR164" s="24"/>
      <c r="HS164" s="24"/>
      <c r="HT164" s="24"/>
      <c r="HU164" s="25"/>
      <c r="HV164" s="26"/>
      <c r="HW164" s="27"/>
      <c r="HX164" s="26"/>
      <c r="HY164" s="26"/>
      <c r="HZ164" s="26"/>
      <c r="IA164" s="25"/>
      <c r="IB164" s="26"/>
      <c r="IC164" s="27"/>
      <c r="ID164" s="25"/>
      <c r="IE164" s="26"/>
      <c r="IF164" s="27"/>
    </row>
    <row r="165" spans="4:240" hidden="1" x14ac:dyDescent="0.35">
      <c r="D165" s="1"/>
      <c r="E165" s="3"/>
      <c r="G165" s="5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  <c r="CH165" s="21"/>
      <c r="CI165" s="21"/>
      <c r="CJ165" s="21"/>
      <c r="CK165" s="21"/>
      <c r="CL165" s="2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1"/>
      <c r="CY165" s="21"/>
      <c r="CZ165" s="21"/>
      <c r="DA165" s="21"/>
      <c r="DB165" s="21"/>
      <c r="DC165" s="21"/>
      <c r="DD165" s="21"/>
      <c r="DE165" s="21"/>
      <c r="DF165" s="21"/>
      <c r="DH165" s="60"/>
      <c r="DI165" s="60"/>
      <c r="DJ165" s="60"/>
      <c r="DL165" s="60"/>
      <c r="DM165" s="60"/>
      <c r="DN165" s="60"/>
      <c r="DP165" s="60"/>
      <c r="DQ165" s="60"/>
      <c r="DR165" s="60"/>
      <c r="DT165" s="60"/>
      <c r="DU165" s="60"/>
      <c r="DV165" s="60"/>
      <c r="DX165" s="24"/>
      <c r="DY165" s="24"/>
      <c r="DZ165" s="24"/>
      <c r="EA165" s="24"/>
      <c r="EB165" s="24"/>
      <c r="EC165" s="24"/>
      <c r="ED165" s="24"/>
      <c r="EE165" s="24"/>
      <c r="EF165" s="24"/>
      <c r="EG165" s="24"/>
      <c r="EH165" s="24"/>
      <c r="EI165" s="24"/>
      <c r="EJ165" s="24"/>
      <c r="EK165" s="24"/>
      <c r="EL165" s="24"/>
      <c r="EM165" s="24"/>
      <c r="EN165" s="24"/>
      <c r="EO165" s="24"/>
      <c r="EP165" s="24"/>
      <c r="EQ165" s="24"/>
      <c r="ER165" s="24"/>
      <c r="ES165" s="24"/>
      <c r="ET165" s="24"/>
      <c r="EU165" s="24"/>
      <c r="EV165" s="24"/>
      <c r="EW165" s="24"/>
      <c r="EX165" s="24"/>
      <c r="EY165" s="24"/>
      <c r="EZ165" s="24"/>
      <c r="FA165" s="24"/>
      <c r="FB165" s="24"/>
      <c r="FC165" s="24"/>
      <c r="FD165" s="24"/>
      <c r="FE165" s="24"/>
      <c r="FF165" s="24"/>
      <c r="FG165" s="24"/>
      <c r="FH165" s="24"/>
      <c r="FI165" s="24"/>
      <c r="FJ165" s="24"/>
      <c r="FK165" s="24"/>
      <c r="FL165" s="24"/>
      <c r="FM165" s="24"/>
      <c r="FN165" s="24"/>
      <c r="FO165" s="24"/>
      <c r="FP165" s="24"/>
      <c r="FQ165" s="24"/>
      <c r="FR165" s="24"/>
      <c r="FS165" s="24"/>
      <c r="FT165" s="24"/>
      <c r="FU165" s="24"/>
      <c r="FV165" s="24"/>
      <c r="FW165" s="24"/>
      <c r="FX165" s="24"/>
      <c r="FY165" s="24"/>
      <c r="FZ165" s="24"/>
      <c r="GA165" s="24"/>
      <c r="GB165" s="24"/>
      <c r="GC165" s="24"/>
      <c r="GD165" s="24"/>
      <c r="GE165" s="24"/>
      <c r="GF165" s="24"/>
      <c r="GG165" s="24"/>
      <c r="GH165" s="24"/>
      <c r="GI165" s="24"/>
      <c r="GJ165" s="24"/>
      <c r="GK165" s="24"/>
      <c r="GL165" s="24"/>
      <c r="GM165" s="24"/>
      <c r="GN165" s="24"/>
      <c r="GO165" s="24"/>
      <c r="GP165" s="24"/>
      <c r="GQ165" s="24"/>
      <c r="GR165" s="24"/>
      <c r="GS165" s="24"/>
      <c r="GT165" s="24"/>
      <c r="GU165" s="24"/>
      <c r="GV165" s="24"/>
      <c r="GW165" s="24"/>
      <c r="GX165" s="24"/>
      <c r="GY165" s="24"/>
      <c r="GZ165" s="24"/>
      <c r="HA165" s="24"/>
      <c r="HB165" s="24"/>
      <c r="HC165" s="24"/>
      <c r="HD165" s="24"/>
      <c r="HE165" s="24"/>
      <c r="HF165" s="24"/>
      <c r="HG165" s="24"/>
      <c r="HH165" s="24"/>
      <c r="HI165" s="24"/>
      <c r="HJ165" s="24"/>
      <c r="HK165" s="24"/>
      <c r="HL165" s="24"/>
      <c r="HM165" s="24"/>
      <c r="HN165" s="24"/>
      <c r="HO165" s="24"/>
      <c r="HP165" s="24"/>
      <c r="HQ165" s="24"/>
      <c r="HR165" s="24"/>
      <c r="HS165" s="24"/>
      <c r="HT165" s="24"/>
      <c r="HU165" s="25"/>
      <c r="HV165" s="26"/>
      <c r="HW165" s="27"/>
      <c r="HX165" s="26"/>
      <c r="HY165" s="26"/>
      <c r="HZ165" s="26"/>
      <c r="IA165" s="25"/>
      <c r="IB165" s="26"/>
      <c r="IC165" s="27"/>
      <c r="ID165" s="25"/>
      <c r="IE165" s="26"/>
      <c r="IF165" s="27"/>
    </row>
    <row r="166" spans="4:240" hidden="1" x14ac:dyDescent="0.35">
      <c r="D166" s="1"/>
      <c r="E166" s="3"/>
      <c r="G166" s="5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21"/>
      <c r="CI166" s="21"/>
      <c r="CJ166" s="21"/>
      <c r="CK166" s="21"/>
      <c r="CL166" s="2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1"/>
      <c r="CY166" s="21"/>
      <c r="CZ166" s="21"/>
      <c r="DA166" s="21"/>
      <c r="DB166" s="21"/>
      <c r="DC166" s="21"/>
      <c r="DD166" s="21"/>
      <c r="DE166" s="21"/>
      <c r="DF166" s="21"/>
      <c r="DH166" s="60"/>
      <c r="DI166" s="60"/>
      <c r="DJ166" s="60"/>
      <c r="DL166" s="60"/>
      <c r="DM166" s="60"/>
      <c r="DN166" s="60"/>
      <c r="DP166" s="60"/>
      <c r="DQ166" s="60"/>
      <c r="DR166" s="60"/>
      <c r="DT166" s="60"/>
      <c r="DU166" s="60"/>
      <c r="DV166" s="60"/>
      <c r="DX166" s="24"/>
      <c r="DY166" s="24"/>
      <c r="DZ166" s="24"/>
      <c r="EA166" s="24"/>
      <c r="EB166" s="24"/>
      <c r="EC166" s="24"/>
      <c r="ED166" s="24"/>
      <c r="EE166" s="24"/>
      <c r="EF166" s="24"/>
      <c r="EG166" s="24"/>
      <c r="EH166" s="24"/>
      <c r="EI166" s="24"/>
      <c r="EJ166" s="24"/>
      <c r="EK166" s="24"/>
      <c r="EL166" s="24"/>
      <c r="EM166" s="24"/>
      <c r="EN166" s="24"/>
      <c r="EO166" s="24"/>
      <c r="EP166" s="24"/>
      <c r="EQ166" s="24"/>
      <c r="ER166" s="24"/>
      <c r="ES166" s="24"/>
      <c r="ET166" s="24"/>
      <c r="EU166" s="24"/>
      <c r="EV166" s="24"/>
      <c r="EW166" s="24"/>
      <c r="EX166" s="24"/>
      <c r="EY166" s="24"/>
      <c r="EZ166" s="24"/>
      <c r="FA166" s="24"/>
      <c r="FB166" s="24"/>
      <c r="FC166" s="24"/>
      <c r="FD166" s="24"/>
      <c r="FE166" s="24"/>
      <c r="FF166" s="24"/>
      <c r="FG166" s="24"/>
      <c r="FH166" s="24"/>
      <c r="FI166" s="24"/>
      <c r="FJ166" s="24"/>
      <c r="FK166" s="24"/>
      <c r="FL166" s="24"/>
      <c r="FM166" s="24"/>
      <c r="FN166" s="24"/>
      <c r="FO166" s="24"/>
      <c r="FP166" s="24"/>
      <c r="FQ166" s="24"/>
      <c r="FR166" s="24"/>
      <c r="FS166" s="24"/>
      <c r="FT166" s="24"/>
      <c r="FU166" s="24"/>
      <c r="FV166" s="24"/>
      <c r="FW166" s="24"/>
      <c r="FX166" s="24"/>
      <c r="FY166" s="24"/>
      <c r="FZ166" s="24"/>
      <c r="GA166" s="24"/>
      <c r="GB166" s="24"/>
      <c r="GC166" s="24"/>
      <c r="GD166" s="24"/>
      <c r="GE166" s="24"/>
      <c r="GF166" s="24"/>
      <c r="GG166" s="24"/>
      <c r="GH166" s="24"/>
      <c r="GI166" s="24"/>
      <c r="GJ166" s="24"/>
      <c r="GK166" s="24"/>
      <c r="GL166" s="24"/>
      <c r="GM166" s="24"/>
      <c r="GN166" s="24"/>
      <c r="GO166" s="24"/>
      <c r="GP166" s="24"/>
      <c r="GQ166" s="24"/>
      <c r="GR166" s="24"/>
      <c r="GS166" s="24"/>
      <c r="GT166" s="24"/>
      <c r="GU166" s="24"/>
      <c r="GV166" s="24"/>
      <c r="GW166" s="24"/>
      <c r="GX166" s="24"/>
      <c r="GY166" s="24"/>
      <c r="GZ166" s="24"/>
      <c r="HA166" s="24"/>
      <c r="HB166" s="24"/>
      <c r="HC166" s="24"/>
      <c r="HD166" s="24"/>
      <c r="HE166" s="24"/>
      <c r="HF166" s="24"/>
      <c r="HG166" s="24"/>
      <c r="HH166" s="24"/>
      <c r="HI166" s="24"/>
      <c r="HJ166" s="24"/>
      <c r="HK166" s="24"/>
      <c r="HL166" s="24"/>
      <c r="HM166" s="24"/>
      <c r="HN166" s="24"/>
      <c r="HO166" s="24"/>
      <c r="HP166" s="24"/>
      <c r="HQ166" s="24"/>
      <c r="HR166" s="24"/>
      <c r="HS166" s="24"/>
      <c r="HT166" s="24"/>
      <c r="HU166" s="25"/>
      <c r="HV166" s="26"/>
      <c r="HW166" s="27"/>
      <c r="HX166" s="26"/>
      <c r="HY166" s="26"/>
      <c r="HZ166" s="26"/>
      <c r="IA166" s="25"/>
      <c r="IB166" s="26"/>
      <c r="IC166" s="27"/>
      <c r="ID166" s="25"/>
      <c r="IE166" s="26"/>
      <c r="IF166" s="27"/>
    </row>
    <row r="167" spans="4:240" hidden="1" x14ac:dyDescent="0.35">
      <c r="D167" s="1"/>
      <c r="E167" s="3"/>
      <c r="G167" s="5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1"/>
      <c r="CY167" s="21"/>
      <c r="CZ167" s="21"/>
      <c r="DA167" s="21"/>
      <c r="DB167" s="21"/>
      <c r="DC167" s="21"/>
      <c r="DD167" s="21"/>
      <c r="DE167" s="21"/>
      <c r="DF167" s="21"/>
      <c r="DH167" s="60"/>
      <c r="DI167" s="60"/>
      <c r="DJ167" s="60"/>
      <c r="DL167" s="60"/>
      <c r="DM167" s="60"/>
      <c r="DN167" s="60"/>
      <c r="DP167" s="60"/>
      <c r="DQ167" s="60"/>
      <c r="DR167" s="60"/>
      <c r="DT167" s="60"/>
      <c r="DU167" s="60"/>
      <c r="DV167" s="60"/>
      <c r="DX167" s="24"/>
      <c r="DY167" s="24"/>
      <c r="DZ167" s="24"/>
      <c r="EA167" s="24"/>
      <c r="EB167" s="24"/>
      <c r="EC167" s="24"/>
      <c r="ED167" s="24"/>
      <c r="EE167" s="24"/>
      <c r="EF167" s="24"/>
      <c r="EG167" s="24"/>
      <c r="EH167" s="24"/>
      <c r="EI167" s="24"/>
      <c r="EJ167" s="24"/>
      <c r="EK167" s="24"/>
      <c r="EL167" s="24"/>
      <c r="EM167" s="24"/>
      <c r="EN167" s="24"/>
      <c r="EO167" s="24"/>
      <c r="EP167" s="24"/>
      <c r="EQ167" s="24"/>
      <c r="ER167" s="24"/>
      <c r="ES167" s="24"/>
      <c r="ET167" s="24"/>
      <c r="EU167" s="24"/>
      <c r="EV167" s="24"/>
      <c r="EW167" s="24"/>
      <c r="EX167" s="24"/>
      <c r="EY167" s="24"/>
      <c r="EZ167" s="24"/>
      <c r="FA167" s="24"/>
      <c r="FB167" s="24"/>
      <c r="FC167" s="24"/>
      <c r="FD167" s="24"/>
      <c r="FE167" s="24"/>
      <c r="FF167" s="24"/>
      <c r="FG167" s="24"/>
      <c r="FH167" s="24"/>
      <c r="FI167" s="24"/>
      <c r="FJ167" s="24"/>
      <c r="FK167" s="24"/>
      <c r="FL167" s="24"/>
      <c r="FM167" s="24"/>
      <c r="FN167" s="24"/>
      <c r="FO167" s="24"/>
      <c r="FP167" s="24"/>
      <c r="FQ167" s="24"/>
      <c r="FR167" s="24"/>
      <c r="FS167" s="24"/>
      <c r="FT167" s="24"/>
      <c r="FU167" s="24"/>
      <c r="FV167" s="24"/>
      <c r="FW167" s="24"/>
      <c r="FX167" s="24"/>
      <c r="FY167" s="24"/>
      <c r="FZ167" s="24"/>
      <c r="GA167" s="24"/>
      <c r="GB167" s="24"/>
      <c r="GC167" s="24"/>
      <c r="GD167" s="24"/>
      <c r="GE167" s="24"/>
      <c r="GF167" s="24"/>
      <c r="GG167" s="24"/>
      <c r="GH167" s="24"/>
      <c r="GI167" s="24"/>
      <c r="GJ167" s="24"/>
      <c r="GK167" s="24"/>
      <c r="GL167" s="24"/>
      <c r="GM167" s="24"/>
      <c r="GN167" s="24"/>
      <c r="GO167" s="24"/>
      <c r="GP167" s="24"/>
      <c r="GQ167" s="24"/>
      <c r="GR167" s="24"/>
      <c r="GS167" s="24"/>
      <c r="GT167" s="24"/>
      <c r="GU167" s="24"/>
      <c r="GV167" s="24"/>
      <c r="GW167" s="24"/>
      <c r="GX167" s="24"/>
      <c r="GY167" s="24"/>
      <c r="GZ167" s="24"/>
      <c r="HA167" s="24"/>
      <c r="HB167" s="24"/>
      <c r="HC167" s="24"/>
      <c r="HD167" s="24"/>
      <c r="HE167" s="24"/>
      <c r="HF167" s="24"/>
      <c r="HG167" s="24"/>
      <c r="HH167" s="24"/>
      <c r="HI167" s="24"/>
      <c r="HJ167" s="24"/>
      <c r="HK167" s="24"/>
      <c r="HL167" s="24"/>
      <c r="HM167" s="24"/>
      <c r="HN167" s="24"/>
      <c r="HO167" s="24"/>
      <c r="HP167" s="24"/>
      <c r="HQ167" s="24"/>
      <c r="HR167" s="24"/>
      <c r="HS167" s="24"/>
      <c r="HT167" s="24"/>
      <c r="HU167" s="25"/>
      <c r="HV167" s="26"/>
      <c r="HW167" s="27"/>
      <c r="HX167" s="26"/>
      <c r="HY167" s="26"/>
      <c r="HZ167" s="26"/>
      <c r="IA167" s="25"/>
      <c r="IB167" s="26"/>
      <c r="IC167" s="27"/>
      <c r="ID167" s="25"/>
      <c r="IE167" s="26"/>
      <c r="IF167" s="27"/>
    </row>
    <row r="168" spans="4:240" hidden="1" x14ac:dyDescent="0.35">
      <c r="D168" s="1"/>
      <c r="E168" s="3"/>
      <c r="G168" s="5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K168" s="21"/>
      <c r="CL168" s="2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1"/>
      <c r="DC168" s="21"/>
      <c r="DD168" s="21"/>
      <c r="DE168" s="21"/>
      <c r="DF168" s="21"/>
      <c r="DH168" s="60"/>
      <c r="DI168" s="60"/>
      <c r="DJ168" s="60"/>
      <c r="DL168" s="60"/>
      <c r="DM168" s="60"/>
      <c r="DN168" s="60"/>
      <c r="DP168" s="60"/>
      <c r="DQ168" s="60"/>
      <c r="DR168" s="60"/>
      <c r="DT168" s="60"/>
      <c r="DU168" s="60"/>
      <c r="DV168" s="60"/>
      <c r="DX168" s="24"/>
      <c r="DY168" s="24"/>
      <c r="DZ168" s="24"/>
      <c r="EA168" s="24"/>
      <c r="EB168" s="24"/>
      <c r="EC168" s="24"/>
      <c r="ED168" s="24"/>
      <c r="EE168" s="24"/>
      <c r="EF168" s="24"/>
      <c r="EG168" s="24"/>
      <c r="EH168" s="24"/>
      <c r="EI168" s="24"/>
      <c r="EJ168" s="24"/>
      <c r="EK168" s="24"/>
      <c r="EL168" s="24"/>
      <c r="EM168" s="24"/>
      <c r="EN168" s="24"/>
      <c r="EO168" s="24"/>
      <c r="EP168" s="24"/>
      <c r="EQ168" s="24"/>
      <c r="ER168" s="24"/>
      <c r="ES168" s="24"/>
      <c r="ET168" s="24"/>
      <c r="EU168" s="24"/>
      <c r="EV168" s="24"/>
      <c r="EW168" s="24"/>
      <c r="EX168" s="24"/>
      <c r="EY168" s="24"/>
      <c r="EZ168" s="24"/>
      <c r="FA168" s="24"/>
      <c r="FB168" s="24"/>
      <c r="FC168" s="24"/>
      <c r="FD168" s="24"/>
      <c r="FE168" s="24"/>
      <c r="FF168" s="24"/>
      <c r="FG168" s="24"/>
      <c r="FH168" s="24"/>
      <c r="FI168" s="24"/>
      <c r="FJ168" s="24"/>
      <c r="FK168" s="24"/>
      <c r="FL168" s="24"/>
      <c r="FM168" s="24"/>
      <c r="FN168" s="24"/>
      <c r="FO168" s="24"/>
      <c r="FP168" s="24"/>
      <c r="FQ168" s="24"/>
      <c r="FR168" s="24"/>
      <c r="FS168" s="24"/>
      <c r="FT168" s="24"/>
      <c r="FU168" s="24"/>
      <c r="FV168" s="24"/>
      <c r="FW168" s="24"/>
      <c r="FX168" s="24"/>
      <c r="FY168" s="24"/>
      <c r="FZ168" s="24"/>
      <c r="GA168" s="24"/>
      <c r="GB168" s="24"/>
      <c r="GC168" s="24"/>
      <c r="GD168" s="24"/>
      <c r="GE168" s="24"/>
      <c r="GF168" s="24"/>
      <c r="GG168" s="24"/>
      <c r="GH168" s="24"/>
      <c r="GI168" s="24"/>
      <c r="GJ168" s="24"/>
      <c r="GK168" s="24"/>
      <c r="GL168" s="24"/>
      <c r="GM168" s="24"/>
      <c r="GN168" s="24"/>
      <c r="GO168" s="24"/>
      <c r="GP168" s="24"/>
      <c r="GQ168" s="24"/>
      <c r="GR168" s="24"/>
      <c r="GS168" s="24"/>
      <c r="GT168" s="24"/>
      <c r="GU168" s="24"/>
      <c r="GV168" s="24"/>
      <c r="GW168" s="24"/>
      <c r="GX168" s="24"/>
      <c r="GY168" s="24"/>
      <c r="GZ168" s="24"/>
      <c r="HA168" s="24"/>
      <c r="HB168" s="24"/>
      <c r="HC168" s="24"/>
      <c r="HD168" s="24"/>
      <c r="HE168" s="24"/>
      <c r="HF168" s="24"/>
      <c r="HG168" s="24"/>
      <c r="HH168" s="24"/>
      <c r="HI168" s="24"/>
      <c r="HJ168" s="24"/>
      <c r="HK168" s="24"/>
      <c r="HL168" s="24"/>
      <c r="HM168" s="24"/>
      <c r="HN168" s="24"/>
      <c r="HO168" s="24"/>
      <c r="HP168" s="24"/>
      <c r="HQ168" s="24"/>
      <c r="HR168" s="24"/>
      <c r="HS168" s="24"/>
      <c r="HT168" s="24"/>
      <c r="HU168" s="25"/>
      <c r="HV168" s="26"/>
      <c r="HW168" s="27"/>
      <c r="HX168" s="26"/>
      <c r="HY168" s="26"/>
      <c r="HZ168" s="26"/>
      <c r="IA168" s="25"/>
      <c r="IB168" s="26"/>
      <c r="IC168" s="27"/>
      <c r="ID168" s="25"/>
      <c r="IE168" s="26"/>
      <c r="IF168" s="27"/>
    </row>
    <row r="169" spans="4:240" hidden="1" x14ac:dyDescent="0.35">
      <c r="D169" s="1"/>
      <c r="E169" s="3"/>
      <c r="G169" s="5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K169" s="21"/>
      <c r="CL169" s="2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1"/>
      <c r="DC169" s="21"/>
      <c r="DD169" s="21"/>
      <c r="DE169" s="21"/>
      <c r="DF169" s="21"/>
      <c r="DH169" s="60"/>
      <c r="DI169" s="60"/>
      <c r="DJ169" s="60"/>
      <c r="DL169" s="60"/>
      <c r="DM169" s="60"/>
      <c r="DN169" s="60"/>
      <c r="DP169" s="60"/>
      <c r="DQ169" s="60"/>
      <c r="DR169" s="60"/>
      <c r="DT169" s="60"/>
      <c r="DU169" s="60"/>
      <c r="DV169" s="60"/>
      <c r="DX169" s="24"/>
      <c r="DY169" s="24"/>
      <c r="DZ169" s="24"/>
      <c r="EA169" s="24"/>
      <c r="EB169" s="24"/>
      <c r="EC169" s="24"/>
      <c r="ED169" s="24"/>
      <c r="EE169" s="24"/>
      <c r="EF169" s="24"/>
      <c r="EG169" s="24"/>
      <c r="EH169" s="24"/>
      <c r="EI169" s="24"/>
      <c r="EJ169" s="24"/>
      <c r="EK169" s="24"/>
      <c r="EL169" s="24"/>
      <c r="EM169" s="24"/>
      <c r="EN169" s="24"/>
      <c r="EO169" s="24"/>
      <c r="EP169" s="24"/>
      <c r="EQ169" s="24"/>
      <c r="ER169" s="24"/>
      <c r="ES169" s="24"/>
      <c r="ET169" s="24"/>
      <c r="EU169" s="24"/>
      <c r="EV169" s="24"/>
      <c r="EW169" s="24"/>
      <c r="EX169" s="24"/>
      <c r="EY169" s="24"/>
      <c r="EZ169" s="24"/>
      <c r="FA169" s="24"/>
      <c r="FB169" s="24"/>
      <c r="FC169" s="24"/>
      <c r="FD169" s="24"/>
      <c r="FE169" s="24"/>
      <c r="FF169" s="24"/>
      <c r="FG169" s="24"/>
      <c r="FH169" s="24"/>
      <c r="FI169" s="24"/>
      <c r="FJ169" s="24"/>
      <c r="FK169" s="24"/>
      <c r="FL169" s="24"/>
      <c r="FM169" s="24"/>
      <c r="FN169" s="24"/>
      <c r="FO169" s="24"/>
      <c r="FP169" s="24"/>
      <c r="FQ169" s="24"/>
      <c r="FR169" s="24"/>
      <c r="FS169" s="24"/>
      <c r="FT169" s="24"/>
      <c r="FU169" s="24"/>
      <c r="FV169" s="24"/>
      <c r="FW169" s="24"/>
      <c r="FX169" s="24"/>
      <c r="FY169" s="24"/>
      <c r="FZ169" s="24"/>
      <c r="GA169" s="24"/>
      <c r="GB169" s="24"/>
      <c r="GC169" s="24"/>
      <c r="GD169" s="24"/>
      <c r="GE169" s="24"/>
      <c r="GF169" s="24"/>
      <c r="GG169" s="24"/>
      <c r="GH169" s="24"/>
      <c r="GI169" s="24"/>
      <c r="GJ169" s="24"/>
      <c r="GK169" s="24"/>
      <c r="GL169" s="24"/>
      <c r="GM169" s="24"/>
      <c r="GN169" s="24"/>
      <c r="GO169" s="24"/>
      <c r="GP169" s="24"/>
      <c r="GQ169" s="24"/>
      <c r="GR169" s="24"/>
      <c r="GS169" s="24"/>
      <c r="GT169" s="24"/>
      <c r="GU169" s="24"/>
      <c r="GV169" s="24"/>
      <c r="GW169" s="24"/>
      <c r="GX169" s="24"/>
      <c r="GY169" s="24"/>
      <c r="GZ169" s="24"/>
      <c r="HA169" s="24"/>
      <c r="HB169" s="24"/>
      <c r="HC169" s="24"/>
      <c r="HD169" s="24"/>
      <c r="HE169" s="24"/>
      <c r="HF169" s="24"/>
      <c r="HG169" s="24"/>
      <c r="HH169" s="24"/>
      <c r="HI169" s="24"/>
      <c r="HJ169" s="24"/>
      <c r="HK169" s="24"/>
      <c r="HL169" s="24"/>
      <c r="HM169" s="24"/>
      <c r="HN169" s="24"/>
      <c r="HO169" s="24"/>
      <c r="HP169" s="24"/>
      <c r="HQ169" s="24"/>
      <c r="HR169" s="24"/>
      <c r="HS169" s="24"/>
      <c r="HT169" s="24"/>
      <c r="HU169" s="25"/>
      <c r="HV169" s="26"/>
      <c r="HW169" s="27"/>
      <c r="HX169" s="26"/>
      <c r="HY169" s="26"/>
      <c r="HZ169" s="26"/>
      <c r="IA169" s="25"/>
      <c r="IB169" s="26"/>
      <c r="IC169" s="27"/>
      <c r="ID169" s="25"/>
      <c r="IE169" s="26"/>
      <c r="IF169" s="27"/>
    </row>
    <row r="170" spans="4:240" hidden="1" x14ac:dyDescent="0.35">
      <c r="D170" s="1"/>
      <c r="E170" s="3"/>
      <c r="G170" s="5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K170" s="21"/>
      <c r="CL170" s="2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1"/>
      <c r="DC170" s="21"/>
      <c r="DD170" s="21"/>
      <c r="DE170" s="21"/>
      <c r="DF170" s="21"/>
      <c r="DH170" s="60"/>
      <c r="DI170" s="60"/>
      <c r="DJ170" s="60"/>
      <c r="DL170" s="60"/>
      <c r="DM170" s="60"/>
      <c r="DN170" s="60"/>
      <c r="DP170" s="60"/>
      <c r="DQ170" s="60"/>
      <c r="DR170" s="60"/>
      <c r="DT170" s="60"/>
      <c r="DU170" s="60"/>
      <c r="DV170" s="60"/>
      <c r="DX170" s="24"/>
      <c r="DY170" s="24"/>
      <c r="DZ170" s="24"/>
      <c r="EA170" s="24"/>
      <c r="EB170" s="24"/>
      <c r="EC170" s="24"/>
      <c r="ED170" s="24"/>
      <c r="EE170" s="24"/>
      <c r="EF170" s="24"/>
      <c r="EG170" s="24"/>
      <c r="EH170" s="24"/>
      <c r="EI170" s="24"/>
      <c r="EJ170" s="24"/>
      <c r="EK170" s="24"/>
      <c r="EL170" s="24"/>
      <c r="EM170" s="24"/>
      <c r="EN170" s="24"/>
      <c r="EO170" s="24"/>
      <c r="EP170" s="24"/>
      <c r="EQ170" s="24"/>
      <c r="ER170" s="24"/>
      <c r="ES170" s="24"/>
      <c r="ET170" s="24"/>
      <c r="EU170" s="24"/>
      <c r="EV170" s="24"/>
      <c r="EW170" s="24"/>
      <c r="EX170" s="24"/>
      <c r="EY170" s="24"/>
      <c r="EZ170" s="24"/>
      <c r="FA170" s="24"/>
      <c r="FB170" s="24"/>
      <c r="FC170" s="24"/>
      <c r="FD170" s="24"/>
      <c r="FE170" s="24"/>
      <c r="FF170" s="24"/>
      <c r="FG170" s="24"/>
      <c r="FH170" s="24"/>
      <c r="FI170" s="24"/>
      <c r="FJ170" s="24"/>
      <c r="FK170" s="24"/>
      <c r="FL170" s="24"/>
      <c r="FM170" s="24"/>
      <c r="FN170" s="24"/>
      <c r="FO170" s="24"/>
      <c r="FP170" s="24"/>
      <c r="FQ170" s="24"/>
      <c r="FR170" s="24"/>
      <c r="FS170" s="24"/>
      <c r="FT170" s="24"/>
      <c r="FU170" s="24"/>
      <c r="FV170" s="24"/>
      <c r="FW170" s="24"/>
      <c r="FX170" s="24"/>
      <c r="FY170" s="24"/>
      <c r="FZ170" s="24"/>
      <c r="GA170" s="24"/>
      <c r="GB170" s="24"/>
      <c r="GC170" s="24"/>
      <c r="GD170" s="24"/>
      <c r="GE170" s="24"/>
      <c r="GF170" s="24"/>
      <c r="GG170" s="24"/>
      <c r="GH170" s="24"/>
      <c r="GI170" s="24"/>
      <c r="GJ170" s="24"/>
      <c r="GK170" s="24"/>
      <c r="GL170" s="24"/>
      <c r="GM170" s="24"/>
      <c r="GN170" s="24"/>
      <c r="GO170" s="24"/>
      <c r="GP170" s="24"/>
      <c r="GQ170" s="24"/>
      <c r="GR170" s="24"/>
      <c r="GS170" s="24"/>
      <c r="GT170" s="24"/>
      <c r="GU170" s="24"/>
      <c r="GV170" s="24"/>
      <c r="GW170" s="24"/>
      <c r="GX170" s="24"/>
      <c r="GY170" s="24"/>
      <c r="GZ170" s="24"/>
      <c r="HA170" s="24"/>
      <c r="HB170" s="24"/>
      <c r="HC170" s="24"/>
      <c r="HD170" s="24"/>
      <c r="HE170" s="24"/>
      <c r="HF170" s="24"/>
      <c r="HG170" s="24"/>
      <c r="HH170" s="24"/>
      <c r="HI170" s="24"/>
      <c r="HJ170" s="24"/>
      <c r="HK170" s="24"/>
      <c r="HL170" s="24"/>
      <c r="HM170" s="24"/>
      <c r="HN170" s="24"/>
      <c r="HO170" s="24"/>
      <c r="HP170" s="24"/>
      <c r="HQ170" s="24"/>
      <c r="HR170" s="24"/>
      <c r="HS170" s="24"/>
      <c r="HT170" s="24"/>
      <c r="HU170" s="25"/>
      <c r="HV170" s="26"/>
      <c r="HW170" s="27"/>
      <c r="HX170" s="26"/>
      <c r="HY170" s="26"/>
      <c r="HZ170" s="26"/>
      <c r="IA170" s="25"/>
      <c r="IB170" s="26"/>
      <c r="IC170" s="27"/>
      <c r="ID170" s="25"/>
      <c r="IE170" s="26"/>
      <c r="IF170" s="27"/>
    </row>
    <row r="171" spans="4:240" hidden="1" x14ac:dyDescent="0.35">
      <c r="D171" s="1"/>
      <c r="E171" s="3"/>
      <c r="G171" s="5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K171" s="21"/>
      <c r="CL171" s="2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1"/>
      <c r="DC171" s="21"/>
      <c r="DD171" s="21"/>
      <c r="DE171" s="21"/>
      <c r="DF171" s="21"/>
      <c r="DH171" s="60"/>
      <c r="DI171" s="60"/>
      <c r="DJ171" s="60"/>
      <c r="DL171" s="60"/>
      <c r="DM171" s="60"/>
      <c r="DN171" s="60"/>
      <c r="DP171" s="60"/>
      <c r="DQ171" s="60"/>
      <c r="DR171" s="60"/>
      <c r="DT171" s="60"/>
      <c r="DU171" s="60"/>
      <c r="DV171" s="60"/>
      <c r="DX171" s="24"/>
      <c r="DY171" s="24"/>
      <c r="DZ171" s="24"/>
      <c r="EA171" s="24"/>
      <c r="EB171" s="24"/>
      <c r="EC171" s="24"/>
      <c r="ED171" s="24"/>
      <c r="EE171" s="24"/>
      <c r="EF171" s="24"/>
      <c r="EG171" s="24"/>
      <c r="EH171" s="24"/>
      <c r="EI171" s="24"/>
      <c r="EJ171" s="24"/>
      <c r="EK171" s="24"/>
      <c r="EL171" s="24"/>
      <c r="EM171" s="24"/>
      <c r="EN171" s="24"/>
      <c r="EO171" s="24"/>
      <c r="EP171" s="24"/>
      <c r="EQ171" s="24"/>
      <c r="ER171" s="24"/>
      <c r="ES171" s="24"/>
      <c r="ET171" s="24"/>
      <c r="EU171" s="24"/>
      <c r="EV171" s="24"/>
      <c r="EW171" s="24"/>
      <c r="EX171" s="24"/>
      <c r="EY171" s="24"/>
      <c r="EZ171" s="24"/>
      <c r="FA171" s="24"/>
      <c r="FB171" s="24"/>
      <c r="FC171" s="24"/>
      <c r="FD171" s="24"/>
      <c r="FE171" s="24"/>
      <c r="FF171" s="24"/>
      <c r="FG171" s="24"/>
      <c r="FH171" s="24"/>
      <c r="FI171" s="24"/>
      <c r="FJ171" s="24"/>
      <c r="FK171" s="24"/>
      <c r="FL171" s="24"/>
      <c r="FM171" s="24"/>
      <c r="FN171" s="24"/>
      <c r="FO171" s="24"/>
      <c r="FP171" s="24"/>
      <c r="FQ171" s="24"/>
      <c r="FR171" s="24"/>
      <c r="FS171" s="24"/>
      <c r="FT171" s="24"/>
      <c r="FU171" s="24"/>
      <c r="FV171" s="24"/>
      <c r="FW171" s="24"/>
      <c r="FX171" s="24"/>
      <c r="FY171" s="24"/>
      <c r="FZ171" s="24"/>
      <c r="GA171" s="24"/>
      <c r="GB171" s="24"/>
      <c r="GC171" s="24"/>
      <c r="GD171" s="24"/>
      <c r="GE171" s="24"/>
      <c r="GF171" s="24"/>
      <c r="GG171" s="24"/>
      <c r="GH171" s="24"/>
      <c r="GI171" s="24"/>
      <c r="GJ171" s="24"/>
      <c r="GK171" s="24"/>
      <c r="GL171" s="24"/>
      <c r="GM171" s="24"/>
      <c r="GN171" s="24"/>
      <c r="GO171" s="24"/>
      <c r="GP171" s="24"/>
      <c r="GQ171" s="24"/>
      <c r="GR171" s="24"/>
      <c r="GS171" s="24"/>
      <c r="GT171" s="24"/>
      <c r="GU171" s="24"/>
      <c r="GV171" s="24"/>
      <c r="GW171" s="24"/>
      <c r="GX171" s="24"/>
      <c r="GY171" s="24"/>
      <c r="GZ171" s="24"/>
      <c r="HA171" s="24"/>
      <c r="HB171" s="24"/>
      <c r="HC171" s="24"/>
      <c r="HD171" s="24"/>
      <c r="HE171" s="24"/>
      <c r="HF171" s="24"/>
      <c r="HG171" s="24"/>
      <c r="HH171" s="24"/>
      <c r="HI171" s="24"/>
      <c r="HJ171" s="24"/>
      <c r="HK171" s="24"/>
      <c r="HL171" s="24"/>
      <c r="HM171" s="24"/>
      <c r="HN171" s="24"/>
      <c r="HO171" s="24"/>
      <c r="HP171" s="24"/>
      <c r="HQ171" s="24"/>
      <c r="HR171" s="24"/>
      <c r="HS171" s="24"/>
      <c r="HT171" s="24"/>
      <c r="HU171" s="25"/>
      <c r="HV171" s="26"/>
      <c r="HW171" s="27"/>
      <c r="HX171" s="26"/>
      <c r="HY171" s="26"/>
      <c r="HZ171" s="26"/>
      <c r="IA171" s="25"/>
      <c r="IB171" s="26"/>
      <c r="IC171" s="27"/>
      <c r="ID171" s="25"/>
      <c r="IE171" s="26"/>
      <c r="IF171" s="27"/>
    </row>
    <row r="172" spans="4:240" hidden="1" x14ac:dyDescent="0.35">
      <c r="D172" s="1"/>
      <c r="E172" s="3"/>
      <c r="G172" s="5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K172" s="21"/>
      <c r="CL172" s="2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1"/>
      <c r="DC172" s="21"/>
      <c r="DD172" s="21"/>
      <c r="DE172" s="21"/>
      <c r="DF172" s="21"/>
      <c r="DH172" s="60"/>
      <c r="DI172" s="60"/>
      <c r="DJ172" s="60"/>
      <c r="DL172" s="60"/>
      <c r="DM172" s="60"/>
      <c r="DN172" s="60"/>
      <c r="DP172" s="60"/>
      <c r="DQ172" s="60"/>
      <c r="DR172" s="60"/>
      <c r="DT172" s="60"/>
      <c r="DU172" s="60"/>
      <c r="DV172" s="60"/>
      <c r="DX172" s="24"/>
      <c r="DY172" s="24"/>
      <c r="DZ172" s="24"/>
      <c r="EA172" s="24"/>
      <c r="EB172" s="24"/>
      <c r="EC172" s="24"/>
      <c r="ED172" s="24"/>
      <c r="EE172" s="24"/>
      <c r="EF172" s="24"/>
      <c r="EG172" s="24"/>
      <c r="EH172" s="24"/>
      <c r="EI172" s="24"/>
      <c r="EJ172" s="24"/>
      <c r="EK172" s="24"/>
      <c r="EL172" s="24"/>
      <c r="EM172" s="24"/>
      <c r="EN172" s="24"/>
      <c r="EO172" s="24"/>
      <c r="EP172" s="24"/>
      <c r="EQ172" s="24"/>
      <c r="ER172" s="24"/>
      <c r="ES172" s="24"/>
      <c r="ET172" s="24"/>
      <c r="EU172" s="24"/>
      <c r="EV172" s="24"/>
      <c r="EW172" s="24"/>
      <c r="EX172" s="24"/>
      <c r="EY172" s="24"/>
      <c r="EZ172" s="24"/>
      <c r="FA172" s="24"/>
      <c r="FB172" s="24"/>
      <c r="FC172" s="24"/>
      <c r="FD172" s="24"/>
      <c r="FE172" s="24"/>
      <c r="FF172" s="24"/>
      <c r="FG172" s="24"/>
      <c r="FH172" s="24"/>
      <c r="FI172" s="24"/>
      <c r="FJ172" s="24"/>
      <c r="FK172" s="24"/>
      <c r="FL172" s="24"/>
      <c r="FM172" s="24"/>
      <c r="FN172" s="24"/>
      <c r="FO172" s="24"/>
      <c r="FP172" s="24"/>
      <c r="FQ172" s="24"/>
      <c r="FR172" s="24"/>
      <c r="FS172" s="24"/>
      <c r="FT172" s="24"/>
      <c r="FU172" s="24"/>
      <c r="FV172" s="24"/>
      <c r="FW172" s="24"/>
      <c r="FX172" s="24"/>
      <c r="FY172" s="24"/>
      <c r="FZ172" s="24"/>
      <c r="GA172" s="24"/>
      <c r="GB172" s="24"/>
      <c r="GC172" s="24"/>
      <c r="GD172" s="24"/>
      <c r="GE172" s="24"/>
      <c r="GF172" s="24"/>
      <c r="GG172" s="24"/>
      <c r="GH172" s="24"/>
      <c r="GI172" s="24"/>
      <c r="GJ172" s="24"/>
      <c r="GK172" s="24"/>
      <c r="GL172" s="24"/>
      <c r="GM172" s="24"/>
      <c r="GN172" s="24"/>
      <c r="GO172" s="24"/>
      <c r="GP172" s="24"/>
      <c r="GQ172" s="24"/>
      <c r="GR172" s="24"/>
      <c r="GS172" s="24"/>
      <c r="GT172" s="24"/>
      <c r="GU172" s="24"/>
      <c r="GV172" s="24"/>
      <c r="GW172" s="24"/>
      <c r="GX172" s="24"/>
      <c r="GY172" s="24"/>
      <c r="GZ172" s="24"/>
      <c r="HA172" s="24"/>
      <c r="HB172" s="24"/>
      <c r="HC172" s="24"/>
      <c r="HD172" s="24"/>
      <c r="HE172" s="24"/>
      <c r="HF172" s="24"/>
      <c r="HG172" s="24"/>
      <c r="HH172" s="24"/>
      <c r="HI172" s="24"/>
      <c r="HJ172" s="24"/>
      <c r="HK172" s="24"/>
      <c r="HL172" s="24"/>
      <c r="HM172" s="24"/>
      <c r="HN172" s="24"/>
      <c r="HO172" s="24"/>
      <c r="HP172" s="24"/>
      <c r="HQ172" s="24"/>
      <c r="HR172" s="24"/>
      <c r="HS172" s="24"/>
      <c r="HT172" s="24"/>
      <c r="HU172" s="25"/>
      <c r="HV172" s="26"/>
      <c r="HW172" s="27"/>
      <c r="HX172" s="26"/>
      <c r="HY172" s="26"/>
      <c r="HZ172" s="26"/>
      <c r="IA172" s="25"/>
      <c r="IB172" s="26"/>
      <c r="IC172" s="27"/>
      <c r="ID172" s="25"/>
      <c r="IE172" s="26"/>
      <c r="IF172" s="27"/>
    </row>
    <row r="173" spans="4:240" hidden="1" x14ac:dyDescent="0.35">
      <c r="D173" s="1"/>
      <c r="E173" s="3"/>
      <c r="G173" s="5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K173" s="21"/>
      <c r="CL173" s="2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1"/>
      <c r="DC173" s="21"/>
      <c r="DD173" s="21"/>
      <c r="DE173" s="21"/>
      <c r="DF173" s="21"/>
      <c r="DH173" s="60"/>
      <c r="DI173" s="60"/>
      <c r="DJ173" s="60"/>
      <c r="DL173" s="60"/>
      <c r="DM173" s="60"/>
      <c r="DN173" s="60"/>
      <c r="DP173" s="60"/>
      <c r="DQ173" s="60"/>
      <c r="DR173" s="60"/>
      <c r="DT173" s="60"/>
      <c r="DU173" s="60"/>
      <c r="DV173" s="60"/>
      <c r="DX173" s="24"/>
      <c r="DY173" s="24"/>
      <c r="DZ173" s="24"/>
      <c r="EA173" s="24"/>
      <c r="EB173" s="24"/>
      <c r="EC173" s="24"/>
      <c r="ED173" s="24"/>
      <c r="EE173" s="24"/>
      <c r="EF173" s="24"/>
      <c r="EG173" s="24"/>
      <c r="EH173" s="24"/>
      <c r="EI173" s="24"/>
      <c r="EJ173" s="24"/>
      <c r="EK173" s="24"/>
      <c r="EL173" s="24"/>
      <c r="EM173" s="24"/>
      <c r="EN173" s="24"/>
      <c r="EO173" s="24"/>
      <c r="EP173" s="24"/>
      <c r="EQ173" s="24"/>
      <c r="ER173" s="24"/>
      <c r="ES173" s="24"/>
      <c r="ET173" s="24"/>
      <c r="EU173" s="24"/>
      <c r="EV173" s="24"/>
      <c r="EW173" s="24"/>
      <c r="EX173" s="24"/>
      <c r="EY173" s="24"/>
      <c r="EZ173" s="24"/>
      <c r="FA173" s="24"/>
      <c r="FB173" s="24"/>
      <c r="FC173" s="24"/>
      <c r="FD173" s="24"/>
      <c r="FE173" s="24"/>
      <c r="FF173" s="24"/>
      <c r="FG173" s="24"/>
      <c r="FH173" s="24"/>
      <c r="FI173" s="24"/>
      <c r="FJ173" s="24"/>
      <c r="FK173" s="24"/>
      <c r="FL173" s="24"/>
      <c r="FM173" s="24"/>
      <c r="FN173" s="24"/>
      <c r="FO173" s="24"/>
      <c r="FP173" s="24"/>
      <c r="FQ173" s="24"/>
      <c r="FR173" s="24"/>
      <c r="FS173" s="24"/>
      <c r="FT173" s="24"/>
      <c r="FU173" s="24"/>
      <c r="FV173" s="24"/>
      <c r="FW173" s="24"/>
      <c r="FX173" s="24"/>
      <c r="FY173" s="24"/>
      <c r="FZ173" s="24"/>
      <c r="GA173" s="24"/>
      <c r="GB173" s="24"/>
      <c r="GC173" s="24"/>
      <c r="GD173" s="24"/>
      <c r="GE173" s="24"/>
      <c r="GF173" s="24"/>
      <c r="GG173" s="24"/>
      <c r="GH173" s="24"/>
      <c r="GI173" s="24"/>
      <c r="GJ173" s="24"/>
      <c r="GK173" s="24"/>
      <c r="GL173" s="24"/>
      <c r="GM173" s="24"/>
      <c r="GN173" s="24"/>
      <c r="GO173" s="24"/>
      <c r="GP173" s="24"/>
      <c r="GQ173" s="24"/>
      <c r="GR173" s="24"/>
      <c r="GS173" s="24"/>
      <c r="GT173" s="24"/>
      <c r="GU173" s="24"/>
      <c r="GV173" s="24"/>
      <c r="GW173" s="24"/>
      <c r="GX173" s="24"/>
      <c r="GY173" s="24"/>
      <c r="GZ173" s="24"/>
      <c r="HA173" s="24"/>
      <c r="HB173" s="24"/>
      <c r="HC173" s="24"/>
      <c r="HD173" s="24"/>
      <c r="HE173" s="24"/>
      <c r="HF173" s="24"/>
      <c r="HG173" s="24"/>
      <c r="HH173" s="24"/>
      <c r="HI173" s="24"/>
      <c r="HJ173" s="24"/>
      <c r="HK173" s="24"/>
      <c r="HL173" s="24"/>
      <c r="HM173" s="24"/>
      <c r="HN173" s="24"/>
      <c r="HO173" s="24"/>
      <c r="HP173" s="24"/>
      <c r="HQ173" s="24"/>
      <c r="HR173" s="24"/>
      <c r="HS173" s="24"/>
      <c r="HT173" s="24"/>
      <c r="HU173" s="25"/>
      <c r="HV173" s="26"/>
      <c r="HW173" s="27"/>
      <c r="HX173" s="26"/>
      <c r="HY173" s="26"/>
      <c r="HZ173" s="26"/>
      <c r="IA173" s="25"/>
      <c r="IB173" s="26"/>
      <c r="IC173" s="27"/>
      <c r="ID173" s="25"/>
      <c r="IE173" s="26"/>
      <c r="IF173" s="27"/>
    </row>
    <row r="174" spans="4:240" hidden="1" x14ac:dyDescent="0.35">
      <c r="D174" s="1"/>
      <c r="E174" s="3"/>
      <c r="G174" s="5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K174" s="21"/>
      <c r="CL174" s="2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1"/>
      <c r="DC174" s="21"/>
      <c r="DD174" s="21"/>
      <c r="DE174" s="21"/>
      <c r="DF174" s="21"/>
      <c r="DH174" s="60"/>
      <c r="DI174" s="60"/>
      <c r="DJ174" s="60"/>
      <c r="DL174" s="60"/>
      <c r="DM174" s="60"/>
      <c r="DN174" s="60"/>
      <c r="DP174" s="60"/>
      <c r="DQ174" s="60"/>
      <c r="DR174" s="60"/>
      <c r="DT174" s="60"/>
      <c r="DU174" s="60"/>
      <c r="DV174" s="60"/>
      <c r="DX174" s="24"/>
      <c r="DY174" s="24"/>
      <c r="DZ174" s="24"/>
      <c r="EA174" s="24"/>
      <c r="EB174" s="24"/>
      <c r="EC174" s="24"/>
      <c r="ED174" s="24"/>
      <c r="EE174" s="24"/>
      <c r="EF174" s="24"/>
      <c r="EG174" s="24"/>
      <c r="EH174" s="24"/>
      <c r="EI174" s="24"/>
      <c r="EJ174" s="24"/>
      <c r="EK174" s="24"/>
      <c r="EL174" s="24"/>
      <c r="EM174" s="24"/>
      <c r="EN174" s="24"/>
      <c r="EO174" s="24"/>
      <c r="EP174" s="24"/>
      <c r="EQ174" s="24"/>
      <c r="ER174" s="24"/>
      <c r="ES174" s="24"/>
      <c r="ET174" s="24"/>
      <c r="EU174" s="24"/>
      <c r="EV174" s="24"/>
      <c r="EW174" s="24"/>
      <c r="EX174" s="24"/>
      <c r="EY174" s="24"/>
      <c r="EZ174" s="24"/>
      <c r="FA174" s="24"/>
      <c r="FB174" s="24"/>
      <c r="FC174" s="24"/>
      <c r="FD174" s="24"/>
      <c r="FE174" s="24"/>
      <c r="FF174" s="24"/>
      <c r="FG174" s="24"/>
      <c r="FH174" s="24"/>
      <c r="FI174" s="24"/>
      <c r="FJ174" s="24"/>
      <c r="FK174" s="24"/>
      <c r="FL174" s="24"/>
      <c r="FM174" s="24"/>
      <c r="FN174" s="24"/>
      <c r="FO174" s="24"/>
      <c r="FP174" s="24"/>
      <c r="FQ174" s="24"/>
      <c r="FR174" s="24"/>
      <c r="FS174" s="24"/>
      <c r="FT174" s="24"/>
      <c r="FU174" s="24"/>
      <c r="FV174" s="24"/>
      <c r="FW174" s="24"/>
      <c r="FX174" s="24"/>
      <c r="FY174" s="24"/>
      <c r="FZ174" s="24"/>
      <c r="GA174" s="24"/>
      <c r="GB174" s="24"/>
      <c r="GC174" s="24"/>
      <c r="GD174" s="24"/>
      <c r="GE174" s="24"/>
      <c r="GF174" s="24"/>
      <c r="GG174" s="24"/>
      <c r="GH174" s="24"/>
      <c r="GI174" s="24"/>
      <c r="GJ174" s="24"/>
      <c r="GK174" s="24"/>
      <c r="GL174" s="24"/>
      <c r="GM174" s="24"/>
      <c r="GN174" s="24"/>
      <c r="GO174" s="24"/>
      <c r="GP174" s="24"/>
      <c r="GQ174" s="24"/>
      <c r="GR174" s="24"/>
      <c r="GS174" s="24"/>
      <c r="GT174" s="24"/>
      <c r="GU174" s="24"/>
      <c r="GV174" s="24"/>
      <c r="GW174" s="24"/>
      <c r="GX174" s="24"/>
      <c r="GY174" s="24"/>
      <c r="GZ174" s="24"/>
      <c r="HA174" s="24"/>
      <c r="HB174" s="24"/>
      <c r="HC174" s="24"/>
      <c r="HD174" s="24"/>
      <c r="HE174" s="24"/>
      <c r="HF174" s="24"/>
      <c r="HG174" s="24"/>
      <c r="HH174" s="24"/>
      <c r="HI174" s="24"/>
      <c r="HJ174" s="24"/>
      <c r="HK174" s="24"/>
      <c r="HL174" s="24"/>
      <c r="HM174" s="24"/>
      <c r="HN174" s="24"/>
      <c r="HO174" s="24"/>
      <c r="HP174" s="24"/>
      <c r="HQ174" s="24"/>
      <c r="HR174" s="24"/>
      <c r="HS174" s="24"/>
      <c r="HT174" s="24"/>
      <c r="HU174" s="25"/>
      <c r="HV174" s="26"/>
      <c r="HW174" s="27"/>
      <c r="HX174" s="26"/>
      <c r="HY174" s="26"/>
      <c r="HZ174" s="26"/>
      <c r="IA174" s="25"/>
      <c r="IB174" s="26"/>
      <c r="IC174" s="27"/>
      <c r="ID174" s="25"/>
      <c r="IE174" s="26"/>
      <c r="IF174" s="27"/>
    </row>
    <row r="175" spans="4:240" hidden="1" x14ac:dyDescent="0.35">
      <c r="D175" s="1"/>
      <c r="E175" s="3"/>
      <c r="G175" s="5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K175" s="21"/>
      <c r="CL175" s="2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1"/>
      <c r="DC175" s="21"/>
      <c r="DD175" s="21"/>
      <c r="DE175" s="21"/>
      <c r="DF175" s="21"/>
      <c r="DH175" s="60"/>
      <c r="DI175" s="60"/>
      <c r="DJ175" s="60"/>
      <c r="DL175" s="60"/>
      <c r="DM175" s="60"/>
      <c r="DN175" s="60"/>
      <c r="DP175" s="60"/>
      <c r="DQ175" s="60"/>
      <c r="DR175" s="60"/>
      <c r="DT175" s="60"/>
      <c r="DU175" s="60"/>
      <c r="DV175" s="60"/>
      <c r="DX175" s="24"/>
      <c r="DY175" s="24"/>
      <c r="DZ175" s="24"/>
      <c r="EA175" s="24"/>
      <c r="EB175" s="24"/>
      <c r="EC175" s="24"/>
      <c r="ED175" s="24"/>
      <c r="EE175" s="24"/>
      <c r="EF175" s="24"/>
      <c r="EG175" s="24"/>
      <c r="EH175" s="24"/>
      <c r="EI175" s="24"/>
      <c r="EJ175" s="24"/>
      <c r="EK175" s="24"/>
      <c r="EL175" s="24"/>
      <c r="EM175" s="24"/>
      <c r="EN175" s="24"/>
      <c r="EO175" s="24"/>
      <c r="EP175" s="24"/>
      <c r="EQ175" s="24"/>
      <c r="ER175" s="24"/>
      <c r="ES175" s="24"/>
      <c r="ET175" s="24"/>
      <c r="EU175" s="24"/>
      <c r="EV175" s="24"/>
      <c r="EW175" s="24"/>
      <c r="EX175" s="24"/>
      <c r="EY175" s="24"/>
      <c r="EZ175" s="24"/>
      <c r="FA175" s="24"/>
      <c r="FB175" s="24"/>
      <c r="FC175" s="24"/>
      <c r="FD175" s="24"/>
      <c r="FE175" s="24"/>
      <c r="FF175" s="24"/>
      <c r="FG175" s="24"/>
      <c r="FH175" s="24"/>
      <c r="FI175" s="24"/>
      <c r="FJ175" s="24"/>
      <c r="FK175" s="24"/>
      <c r="FL175" s="24"/>
      <c r="FM175" s="24"/>
      <c r="FN175" s="24"/>
      <c r="FO175" s="24"/>
      <c r="FP175" s="24"/>
      <c r="FQ175" s="24"/>
      <c r="FR175" s="24"/>
      <c r="FS175" s="24"/>
      <c r="FT175" s="24"/>
      <c r="FU175" s="24"/>
      <c r="FV175" s="24"/>
      <c r="FW175" s="24"/>
      <c r="FX175" s="24"/>
      <c r="FY175" s="24"/>
      <c r="FZ175" s="24"/>
      <c r="GA175" s="24"/>
      <c r="GB175" s="24"/>
      <c r="GC175" s="24"/>
      <c r="GD175" s="24"/>
      <c r="GE175" s="24"/>
      <c r="GF175" s="24"/>
      <c r="GG175" s="24"/>
      <c r="GH175" s="24"/>
      <c r="GI175" s="24"/>
      <c r="GJ175" s="24"/>
      <c r="GK175" s="24"/>
      <c r="GL175" s="24"/>
      <c r="GM175" s="24"/>
      <c r="GN175" s="24"/>
      <c r="GO175" s="24"/>
      <c r="GP175" s="24"/>
      <c r="GQ175" s="24"/>
      <c r="GR175" s="24"/>
      <c r="GS175" s="24"/>
      <c r="GT175" s="24"/>
      <c r="GU175" s="24"/>
      <c r="GV175" s="24"/>
      <c r="GW175" s="24"/>
      <c r="GX175" s="24"/>
      <c r="GY175" s="24"/>
      <c r="GZ175" s="24"/>
      <c r="HA175" s="24"/>
      <c r="HB175" s="24"/>
      <c r="HC175" s="24"/>
      <c r="HD175" s="24"/>
      <c r="HE175" s="24"/>
      <c r="HF175" s="24"/>
      <c r="HG175" s="24"/>
      <c r="HH175" s="24"/>
      <c r="HI175" s="24"/>
      <c r="HJ175" s="24"/>
      <c r="HK175" s="24"/>
      <c r="HL175" s="24"/>
      <c r="HM175" s="24"/>
      <c r="HN175" s="24"/>
      <c r="HO175" s="24"/>
      <c r="HP175" s="24"/>
      <c r="HQ175" s="24"/>
      <c r="HR175" s="24"/>
      <c r="HS175" s="24"/>
      <c r="HT175" s="24"/>
      <c r="HU175" s="25"/>
      <c r="HV175" s="26"/>
      <c r="HW175" s="27"/>
      <c r="HX175" s="26"/>
      <c r="HY175" s="26"/>
      <c r="HZ175" s="26"/>
      <c r="IA175" s="25"/>
      <c r="IB175" s="26"/>
      <c r="IC175" s="27"/>
      <c r="ID175" s="25"/>
      <c r="IE175" s="26"/>
      <c r="IF175" s="27"/>
    </row>
    <row r="176" spans="4:240" hidden="1" x14ac:dyDescent="0.35">
      <c r="D176" s="1"/>
      <c r="E176" s="3"/>
      <c r="G176" s="5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1"/>
      <c r="DC176" s="21"/>
      <c r="DD176" s="21"/>
      <c r="DE176" s="21"/>
      <c r="DF176" s="21"/>
      <c r="DH176" s="60"/>
      <c r="DI176" s="60"/>
      <c r="DJ176" s="60"/>
      <c r="DL176" s="60"/>
      <c r="DM176" s="60"/>
      <c r="DN176" s="60"/>
      <c r="DP176" s="60"/>
      <c r="DQ176" s="60"/>
      <c r="DR176" s="60"/>
      <c r="DT176" s="60"/>
      <c r="DU176" s="60"/>
      <c r="DV176" s="60"/>
      <c r="DX176" s="24"/>
      <c r="DY176" s="24"/>
      <c r="DZ176" s="24"/>
      <c r="EA176" s="24"/>
      <c r="EB176" s="24"/>
      <c r="EC176" s="24"/>
      <c r="ED176" s="24"/>
      <c r="EE176" s="24"/>
      <c r="EF176" s="24"/>
      <c r="EG176" s="24"/>
      <c r="EH176" s="24"/>
      <c r="EI176" s="24"/>
      <c r="EJ176" s="24"/>
      <c r="EK176" s="24"/>
      <c r="EL176" s="24"/>
      <c r="EM176" s="24"/>
      <c r="EN176" s="24"/>
      <c r="EO176" s="24"/>
      <c r="EP176" s="24"/>
      <c r="EQ176" s="24"/>
      <c r="ER176" s="24"/>
      <c r="ES176" s="24"/>
      <c r="ET176" s="24"/>
      <c r="EU176" s="24"/>
      <c r="EV176" s="24"/>
      <c r="EW176" s="24"/>
      <c r="EX176" s="24"/>
      <c r="EY176" s="24"/>
      <c r="EZ176" s="24"/>
      <c r="FA176" s="24"/>
      <c r="FB176" s="24"/>
      <c r="FC176" s="24"/>
      <c r="FD176" s="24"/>
      <c r="FE176" s="24"/>
      <c r="FF176" s="24"/>
      <c r="FG176" s="24"/>
      <c r="FH176" s="24"/>
      <c r="FI176" s="24"/>
      <c r="FJ176" s="24"/>
      <c r="FK176" s="24"/>
      <c r="FL176" s="24"/>
      <c r="FM176" s="24"/>
      <c r="FN176" s="24"/>
      <c r="FO176" s="24"/>
      <c r="FP176" s="24"/>
      <c r="FQ176" s="24"/>
      <c r="FR176" s="24"/>
      <c r="FS176" s="24"/>
      <c r="FT176" s="24"/>
      <c r="FU176" s="24"/>
      <c r="FV176" s="24"/>
      <c r="FW176" s="24"/>
      <c r="FX176" s="24"/>
      <c r="FY176" s="24"/>
      <c r="FZ176" s="24"/>
      <c r="GA176" s="24"/>
      <c r="GB176" s="24"/>
      <c r="GC176" s="24"/>
      <c r="GD176" s="24"/>
      <c r="GE176" s="24"/>
      <c r="GF176" s="24"/>
      <c r="GG176" s="24"/>
      <c r="GH176" s="24"/>
      <c r="GI176" s="24"/>
      <c r="GJ176" s="24"/>
      <c r="GK176" s="24"/>
      <c r="GL176" s="24"/>
      <c r="GM176" s="24"/>
      <c r="GN176" s="24"/>
      <c r="GO176" s="24"/>
      <c r="GP176" s="24"/>
      <c r="GQ176" s="24"/>
      <c r="GR176" s="24"/>
      <c r="GS176" s="24"/>
      <c r="GT176" s="24"/>
      <c r="GU176" s="24"/>
      <c r="GV176" s="24"/>
      <c r="GW176" s="24"/>
      <c r="GX176" s="24"/>
      <c r="GY176" s="24"/>
      <c r="GZ176" s="24"/>
      <c r="HA176" s="24"/>
      <c r="HB176" s="24"/>
      <c r="HC176" s="24"/>
      <c r="HD176" s="24"/>
      <c r="HE176" s="24"/>
      <c r="HF176" s="24"/>
      <c r="HG176" s="24"/>
      <c r="HH176" s="24"/>
      <c r="HI176" s="24"/>
      <c r="HJ176" s="24"/>
      <c r="HK176" s="24"/>
      <c r="HL176" s="24"/>
      <c r="HM176" s="24"/>
      <c r="HN176" s="24"/>
      <c r="HO176" s="24"/>
      <c r="HP176" s="24"/>
      <c r="HQ176" s="24"/>
      <c r="HR176" s="24"/>
      <c r="HS176" s="24"/>
      <c r="HT176" s="24"/>
      <c r="HU176" s="25"/>
      <c r="HV176" s="26"/>
      <c r="HW176" s="27"/>
      <c r="HX176" s="26"/>
      <c r="HY176" s="26"/>
      <c r="HZ176" s="26"/>
      <c r="IA176" s="25"/>
      <c r="IB176" s="26"/>
      <c r="IC176" s="27"/>
      <c r="ID176" s="25"/>
      <c r="IE176" s="26"/>
      <c r="IF176" s="27"/>
    </row>
    <row r="177" spans="4:240" hidden="1" x14ac:dyDescent="0.35">
      <c r="D177" s="1"/>
      <c r="E177" s="3"/>
      <c r="G177" s="5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H177" s="60"/>
      <c r="DI177" s="60"/>
      <c r="DJ177" s="60"/>
      <c r="DL177" s="60"/>
      <c r="DM177" s="60"/>
      <c r="DN177" s="60"/>
      <c r="DP177" s="60"/>
      <c r="DQ177" s="60"/>
      <c r="DR177" s="60"/>
      <c r="DT177" s="60"/>
      <c r="DU177" s="60"/>
      <c r="DV177" s="60"/>
      <c r="DX177" s="24"/>
      <c r="DY177" s="24"/>
      <c r="DZ177" s="24"/>
      <c r="EA177" s="24"/>
      <c r="EB177" s="24"/>
      <c r="EC177" s="24"/>
      <c r="ED177" s="24"/>
      <c r="EE177" s="24"/>
      <c r="EF177" s="24"/>
      <c r="EG177" s="24"/>
      <c r="EH177" s="24"/>
      <c r="EI177" s="24"/>
      <c r="EJ177" s="24"/>
      <c r="EK177" s="24"/>
      <c r="EL177" s="24"/>
      <c r="EM177" s="24"/>
      <c r="EN177" s="24"/>
      <c r="EO177" s="24"/>
      <c r="EP177" s="24"/>
      <c r="EQ177" s="24"/>
      <c r="ER177" s="24"/>
      <c r="ES177" s="24"/>
      <c r="ET177" s="24"/>
      <c r="EU177" s="24"/>
      <c r="EV177" s="24"/>
      <c r="EW177" s="24"/>
      <c r="EX177" s="24"/>
      <c r="EY177" s="24"/>
      <c r="EZ177" s="24"/>
      <c r="FA177" s="24"/>
      <c r="FB177" s="24"/>
      <c r="FC177" s="24"/>
      <c r="FD177" s="24"/>
      <c r="FE177" s="24"/>
      <c r="FF177" s="24"/>
      <c r="FG177" s="24"/>
      <c r="FH177" s="24"/>
      <c r="FI177" s="24"/>
      <c r="FJ177" s="24"/>
      <c r="FK177" s="24"/>
      <c r="FL177" s="24"/>
      <c r="FM177" s="24"/>
      <c r="FN177" s="24"/>
      <c r="FO177" s="24"/>
      <c r="FP177" s="24"/>
      <c r="FQ177" s="24"/>
      <c r="FR177" s="24"/>
      <c r="FS177" s="24"/>
      <c r="FT177" s="24"/>
      <c r="FU177" s="24"/>
      <c r="FV177" s="24"/>
      <c r="FW177" s="24"/>
      <c r="FX177" s="24"/>
      <c r="FY177" s="24"/>
      <c r="FZ177" s="24"/>
      <c r="GA177" s="24"/>
      <c r="GB177" s="24"/>
      <c r="GC177" s="24"/>
      <c r="GD177" s="24"/>
      <c r="GE177" s="24"/>
      <c r="GF177" s="24"/>
      <c r="GG177" s="24"/>
      <c r="GH177" s="24"/>
      <c r="GI177" s="24"/>
      <c r="GJ177" s="24"/>
      <c r="GK177" s="24"/>
      <c r="GL177" s="24"/>
      <c r="GM177" s="24"/>
      <c r="GN177" s="24"/>
      <c r="GO177" s="24"/>
      <c r="GP177" s="24"/>
      <c r="GQ177" s="24"/>
      <c r="GR177" s="24"/>
      <c r="GS177" s="24"/>
      <c r="GT177" s="24"/>
      <c r="GU177" s="24"/>
      <c r="GV177" s="24"/>
      <c r="GW177" s="24"/>
      <c r="GX177" s="24"/>
      <c r="GY177" s="24"/>
      <c r="GZ177" s="24"/>
      <c r="HA177" s="24"/>
      <c r="HB177" s="24"/>
      <c r="HC177" s="24"/>
      <c r="HD177" s="24"/>
      <c r="HE177" s="24"/>
      <c r="HF177" s="24"/>
      <c r="HG177" s="24"/>
      <c r="HH177" s="24"/>
      <c r="HI177" s="24"/>
      <c r="HJ177" s="24"/>
      <c r="HK177" s="24"/>
      <c r="HL177" s="24"/>
      <c r="HM177" s="24"/>
      <c r="HN177" s="24"/>
      <c r="HO177" s="24"/>
      <c r="HP177" s="24"/>
      <c r="HQ177" s="24"/>
      <c r="HR177" s="24"/>
      <c r="HS177" s="24"/>
      <c r="HT177" s="24"/>
      <c r="HU177" s="25"/>
      <c r="HV177" s="26"/>
      <c r="HW177" s="27"/>
      <c r="HX177" s="26"/>
      <c r="HY177" s="26"/>
      <c r="HZ177" s="26"/>
      <c r="IA177" s="25"/>
      <c r="IB177" s="26"/>
      <c r="IC177" s="27"/>
      <c r="ID177" s="25"/>
      <c r="IE177" s="26"/>
      <c r="IF177" s="27"/>
    </row>
    <row r="178" spans="4:240" hidden="1" x14ac:dyDescent="0.35">
      <c r="D178" s="1"/>
      <c r="E178" s="3"/>
      <c r="G178" s="5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H178" s="60"/>
      <c r="DI178" s="60"/>
      <c r="DJ178" s="60"/>
      <c r="DL178" s="60"/>
      <c r="DM178" s="60"/>
      <c r="DN178" s="60"/>
      <c r="DP178" s="60"/>
      <c r="DQ178" s="60"/>
      <c r="DR178" s="60"/>
      <c r="DT178" s="60"/>
      <c r="DU178" s="60"/>
      <c r="DV178" s="60"/>
      <c r="DX178" s="24"/>
      <c r="DY178" s="24"/>
      <c r="DZ178" s="24"/>
      <c r="EA178" s="24"/>
      <c r="EB178" s="24"/>
      <c r="EC178" s="24"/>
      <c r="ED178" s="24"/>
      <c r="EE178" s="24"/>
      <c r="EF178" s="24"/>
      <c r="EG178" s="24"/>
      <c r="EH178" s="24"/>
      <c r="EI178" s="24"/>
      <c r="EJ178" s="24"/>
      <c r="EK178" s="24"/>
      <c r="EL178" s="24"/>
      <c r="EM178" s="24"/>
      <c r="EN178" s="24"/>
      <c r="EO178" s="24"/>
      <c r="EP178" s="24"/>
      <c r="EQ178" s="24"/>
      <c r="ER178" s="24"/>
      <c r="ES178" s="24"/>
      <c r="ET178" s="24"/>
      <c r="EU178" s="24"/>
      <c r="EV178" s="24"/>
      <c r="EW178" s="24"/>
      <c r="EX178" s="24"/>
      <c r="EY178" s="24"/>
      <c r="EZ178" s="24"/>
      <c r="FA178" s="24"/>
      <c r="FB178" s="24"/>
      <c r="FC178" s="24"/>
      <c r="FD178" s="24"/>
      <c r="FE178" s="24"/>
      <c r="FF178" s="24"/>
      <c r="FG178" s="24"/>
      <c r="FH178" s="24"/>
      <c r="FI178" s="24"/>
      <c r="FJ178" s="24"/>
      <c r="FK178" s="24"/>
      <c r="FL178" s="24"/>
      <c r="FM178" s="24"/>
      <c r="FN178" s="24"/>
      <c r="FO178" s="24"/>
      <c r="FP178" s="24"/>
      <c r="FQ178" s="24"/>
      <c r="FR178" s="24"/>
      <c r="FS178" s="24"/>
      <c r="FT178" s="24"/>
      <c r="FU178" s="24"/>
      <c r="FV178" s="24"/>
      <c r="FW178" s="24"/>
      <c r="FX178" s="24"/>
      <c r="FY178" s="24"/>
      <c r="FZ178" s="24"/>
      <c r="GA178" s="24"/>
      <c r="GB178" s="24"/>
      <c r="GC178" s="24"/>
      <c r="GD178" s="24"/>
      <c r="GE178" s="24"/>
      <c r="GF178" s="24"/>
      <c r="GG178" s="24"/>
      <c r="GH178" s="24"/>
      <c r="GI178" s="24"/>
      <c r="GJ178" s="24"/>
      <c r="GK178" s="24"/>
      <c r="GL178" s="24"/>
      <c r="GM178" s="24"/>
      <c r="GN178" s="24"/>
      <c r="GO178" s="24"/>
      <c r="GP178" s="24"/>
      <c r="GQ178" s="24"/>
      <c r="GR178" s="24"/>
      <c r="GS178" s="24"/>
      <c r="GT178" s="24"/>
      <c r="GU178" s="24"/>
      <c r="GV178" s="24"/>
      <c r="GW178" s="24"/>
      <c r="GX178" s="24"/>
      <c r="GY178" s="24"/>
      <c r="GZ178" s="24"/>
      <c r="HA178" s="24"/>
      <c r="HB178" s="24"/>
      <c r="HC178" s="24"/>
      <c r="HD178" s="24"/>
      <c r="HE178" s="24"/>
      <c r="HF178" s="24"/>
      <c r="HG178" s="24"/>
      <c r="HH178" s="24"/>
      <c r="HI178" s="24"/>
      <c r="HJ178" s="24"/>
      <c r="HK178" s="24"/>
      <c r="HL178" s="24"/>
      <c r="HM178" s="24"/>
      <c r="HN178" s="24"/>
      <c r="HO178" s="24"/>
      <c r="HP178" s="24"/>
      <c r="HQ178" s="24"/>
      <c r="HR178" s="24"/>
      <c r="HS178" s="24"/>
      <c r="HT178" s="24"/>
      <c r="HU178" s="25"/>
      <c r="HV178" s="26"/>
      <c r="HW178" s="27"/>
      <c r="HX178" s="26"/>
      <c r="HY178" s="26"/>
      <c r="HZ178" s="26"/>
      <c r="IA178" s="25"/>
      <c r="IB178" s="26"/>
      <c r="IC178" s="27"/>
      <c r="ID178" s="25"/>
      <c r="IE178" s="26"/>
      <c r="IF178" s="27"/>
    </row>
    <row r="179" spans="4:240" hidden="1" x14ac:dyDescent="0.35">
      <c r="D179" s="1"/>
      <c r="E179" s="3"/>
      <c r="G179" s="5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H179" s="60"/>
      <c r="DI179" s="60"/>
      <c r="DJ179" s="60"/>
      <c r="DL179" s="60"/>
      <c r="DM179" s="60"/>
      <c r="DN179" s="60"/>
      <c r="DP179" s="60"/>
      <c r="DQ179" s="60"/>
      <c r="DR179" s="60"/>
      <c r="DT179" s="60"/>
      <c r="DU179" s="60"/>
      <c r="DV179" s="60"/>
      <c r="DX179" s="24"/>
      <c r="DY179" s="24"/>
      <c r="DZ179" s="24"/>
      <c r="EA179" s="24"/>
      <c r="EB179" s="24"/>
      <c r="EC179" s="24"/>
      <c r="ED179" s="24"/>
      <c r="EE179" s="24"/>
      <c r="EF179" s="24"/>
      <c r="EG179" s="24"/>
      <c r="EH179" s="24"/>
      <c r="EI179" s="24"/>
      <c r="EJ179" s="24"/>
      <c r="EK179" s="24"/>
      <c r="EL179" s="24"/>
      <c r="EM179" s="24"/>
      <c r="EN179" s="24"/>
      <c r="EO179" s="24"/>
      <c r="EP179" s="24"/>
      <c r="EQ179" s="24"/>
      <c r="ER179" s="24"/>
      <c r="ES179" s="24"/>
      <c r="ET179" s="24"/>
      <c r="EU179" s="24"/>
      <c r="EV179" s="24"/>
      <c r="EW179" s="24"/>
      <c r="EX179" s="24"/>
      <c r="EY179" s="24"/>
      <c r="EZ179" s="24"/>
      <c r="FA179" s="24"/>
      <c r="FB179" s="24"/>
      <c r="FC179" s="24"/>
      <c r="FD179" s="24"/>
      <c r="FE179" s="24"/>
      <c r="FF179" s="24"/>
      <c r="FG179" s="24"/>
      <c r="FH179" s="24"/>
      <c r="FI179" s="24"/>
      <c r="FJ179" s="24"/>
      <c r="FK179" s="24"/>
      <c r="FL179" s="24"/>
      <c r="FM179" s="24"/>
      <c r="FN179" s="24"/>
      <c r="FO179" s="24"/>
      <c r="FP179" s="24"/>
      <c r="FQ179" s="24"/>
      <c r="FR179" s="24"/>
      <c r="FS179" s="24"/>
      <c r="FT179" s="24"/>
      <c r="FU179" s="24"/>
      <c r="FV179" s="24"/>
      <c r="FW179" s="24"/>
      <c r="FX179" s="24"/>
      <c r="FY179" s="24"/>
      <c r="FZ179" s="24"/>
      <c r="GA179" s="24"/>
      <c r="GB179" s="24"/>
      <c r="GC179" s="24"/>
      <c r="GD179" s="24"/>
      <c r="GE179" s="24"/>
      <c r="GF179" s="24"/>
      <c r="GG179" s="24"/>
      <c r="GH179" s="24"/>
      <c r="GI179" s="24"/>
      <c r="GJ179" s="24"/>
      <c r="GK179" s="24"/>
      <c r="GL179" s="24"/>
      <c r="GM179" s="24"/>
      <c r="GN179" s="24"/>
      <c r="GO179" s="24"/>
      <c r="GP179" s="24"/>
      <c r="GQ179" s="24"/>
      <c r="GR179" s="24"/>
      <c r="GS179" s="24"/>
      <c r="GT179" s="24"/>
      <c r="GU179" s="24"/>
      <c r="GV179" s="24"/>
      <c r="GW179" s="24"/>
      <c r="GX179" s="24"/>
      <c r="GY179" s="24"/>
      <c r="GZ179" s="24"/>
      <c r="HA179" s="24"/>
      <c r="HB179" s="24"/>
      <c r="HC179" s="24"/>
      <c r="HD179" s="24"/>
      <c r="HE179" s="24"/>
      <c r="HF179" s="24"/>
      <c r="HG179" s="24"/>
      <c r="HH179" s="24"/>
      <c r="HI179" s="24"/>
      <c r="HJ179" s="24"/>
      <c r="HK179" s="24"/>
      <c r="HL179" s="24"/>
      <c r="HM179" s="24"/>
      <c r="HN179" s="24"/>
      <c r="HO179" s="24"/>
      <c r="HP179" s="24"/>
      <c r="HQ179" s="24"/>
      <c r="HR179" s="24"/>
      <c r="HS179" s="24"/>
      <c r="HT179" s="24"/>
      <c r="HU179" s="25"/>
      <c r="HV179" s="26"/>
      <c r="HW179" s="27"/>
      <c r="HX179" s="26"/>
      <c r="HY179" s="26"/>
      <c r="HZ179" s="26"/>
      <c r="IA179" s="25"/>
      <c r="IB179" s="26"/>
      <c r="IC179" s="27"/>
      <c r="ID179" s="25"/>
      <c r="IE179" s="26"/>
      <c r="IF179" s="27"/>
    </row>
    <row r="180" spans="4:240" hidden="1" x14ac:dyDescent="0.35">
      <c r="D180" s="1"/>
      <c r="E180" s="3"/>
      <c r="G180" s="5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H180" s="60"/>
      <c r="DI180" s="60"/>
      <c r="DJ180" s="60"/>
      <c r="DL180" s="60"/>
      <c r="DM180" s="60"/>
      <c r="DN180" s="60"/>
      <c r="DP180" s="60"/>
      <c r="DQ180" s="60"/>
      <c r="DR180" s="60"/>
      <c r="DT180" s="60"/>
      <c r="DU180" s="60"/>
      <c r="DV180" s="60"/>
      <c r="DX180" s="24"/>
      <c r="DY180" s="24"/>
      <c r="DZ180" s="24"/>
      <c r="EA180" s="24"/>
      <c r="EB180" s="24"/>
      <c r="EC180" s="24"/>
      <c r="ED180" s="24"/>
      <c r="EE180" s="24"/>
      <c r="EF180" s="24"/>
      <c r="EG180" s="24"/>
      <c r="EH180" s="24"/>
      <c r="EI180" s="24"/>
      <c r="EJ180" s="24"/>
      <c r="EK180" s="24"/>
      <c r="EL180" s="24"/>
      <c r="EM180" s="24"/>
      <c r="EN180" s="24"/>
      <c r="EO180" s="24"/>
      <c r="EP180" s="24"/>
      <c r="EQ180" s="24"/>
      <c r="ER180" s="24"/>
      <c r="ES180" s="24"/>
      <c r="ET180" s="24"/>
      <c r="EU180" s="24"/>
      <c r="EV180" s="24"/>
      <c r="EW180" s="24"/>
      <c r="EX180" s="24"/>
      <c r="EY180" s="24"/>
      <c r="EZ180" s="24"/>
      <c r="FA180" s="24"/>
      <c r="FB180" s="24"/>
      <c r="FC180" s="24"/>
      <c r="FD180" s="24"/>
      <c r="FE180" s="24"/>
      <c r="FF180" s="24"/>
      <c r="FG180" s="24"/>
      <c r="FH180" s="24"/>
      <c r="FI180" s="24"/>
      <c r="FJ180" s="24"/>
      <c r="FK180" s="24"/>
      <c r="FL180" s="24"/>
      <c r="FM180" s="24"/>
      <c r="FN180" s="24"/>
      <c r="FO180" s="24"/>
      <c r="FP180" s="24"/>
      <c r="FQ180" s="24"/>
      <c r="FR180" s="24"/>
      <c r="FS180" s="24"/>
      <c r="FT180" s="24"/>
      <c r="FU180" s="24"/>
      <c r="FV180" s="24"/>
      <c r="FW180" s="24"/>
      <c r="FX180" s="24"/>
      <c r="FY180" s="24"/>
      <c r="FZ180" s="24"/>
      <c r="GA180" s="24"/>
      <c r="GB180" s="24"/>
      <c r="GC180" s="24"/>
      <c r="GD180" s="24"/>
      <c r="GE180" s="24"/>
      <c r="GF180" s="24"/>
      <c r="GG180" s="24"/>
      <c r="GH180" s="24"/>
      <c r="GI180" s="24"/>
      <c r="GJ180" s="24"/>
      <c r="GK180" s="24"/>
      <c r="GL180" s="24"/>
      <c r="GM180" s="24"/>
      <c r="GN180" s="24"/>
      <c r="GO180" s="24"/>
      <c r="GP180" s="24"/>
      <c r="GQ180" s="24"/>
      <c r="GR180" s="24"/>
      <c r="GS180" s="24"/>
      <c r="GT180" s="24"/>
      <c r="GU180" s="24"/>
      <c r="GV180" s="24"/>
      <c r="GW180" s="24"/>
      <c r="GX180" s="24"/>
      <c r="GY180" s="24"/>
      <c r="GZ180" s="24"/>
      <c r="HA180" s="24"/>
      <c r="HB180" s="24"/>
      <c r="HC180" s="24"/>
      <c r="HD180" s="24"/>
      <c r="HE180" s="24"/>
      <c r="HF180" s="24"/>
      <c r="HG180" s="24"/>
      <c r="HH180" s="24"/>
      <c r="HI180" s="24"/>
      <c r="HJ180" s="24"/>
      <c r="HK180" s="24"/>
      <c r="HL180" s="24"/>
      <c r="HM180" s="24"/>
      <c r="HN180" s="24"/>
      <c r="HO180" s="24"/>
      <c r="HP180" s="24"/>
      <c r="HQ180" s="24"/>
      <c r="HR180" s="24"/>
      <c r="HS180" s="24"/>
      <c r="HT180" s="24"/>
      <c r="HU180" s="25"/>
      <c r="HV180" s="26"/>
      <c r="HW180" s="27"/>
      <c r="HX180" s="26"/>
      <c r="HY180" s="26"/>
      <c r="HZ180" s="26"/>
      <c r="IA180" s="25"/>
      <c r="IB180" s="26"/>
      <c r="IC180" s="27"/>
      <c r="ID180" s="25"/>
      <c r="IE180" s="26"/>
      <c r="IF180" s="27"/>
    </row>
    <row r="181" spans="4:240" hidden="1" x14ac:dyDescent="0.35">
      <c r="D181" s="1"/>
      <c r="E181" s="3"/>
      <c r="G181" s="5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H181" s="60"/>
      <c r="DI181" s="60"/>
      <c r="DJ181" s="60"/>
      <c r="DL181" s="60"/>
      <c r="DM181" s="60"/>
      <c r="DN181" s="60"/>
      <c r="DP181" s="60"/>
      <c r="DQ181" s="60"/>
      <c r="DR181" s="60"/>
      <c r="DT181" s="60"/>
      <c r="DU181" s="60"/>
      <c r="DV181" s="60"/>
      <c r="DX181" s="24"/>
      <c r="DY181" s="24"/>
      <c r="DZ181" s="24"/>
      <c r="EA181" s="24"/>
      <c r="EB181" s="24"/>
      <c r="EC181" s="24"/>
      <c r="ED181" s="24"/>
      <c r="EE181" s="24"/>
      <c r="EF181" s="24"/>
      <c r="EG181" s="24"/>
      <c r="EH181" s="24"/>
      <c r="EI181" s="24"/>
      <c r="EJ181" s="24"/>
      <c r="EK181" s="24"/>
      <c r="EL181" s="24"/>
      <c r="EM181" s="24"/>
      <c r="EN181" s="24"/>
      <c r="EO181" s="24"/>
      <c r="EP181" s="24"/>
      <c r="EQ181" s="24"/>
      <c r="ER181" s="24"/>
      <c r="ES181" s="24"/>
      <c r="ET181" s="24"/>
      <c r="EU181" s="24"/>
      <c r="EV181" s="24"/>
      <c r="EW181" s="24"/>
      <c r="EX181" s="24"/>
      <c r="EY181" s="24"/>
      <c r="EZ181" s="24"/>
      <c r="FA181" s="24"/>
      <c r="FB181" s="24"/>
      <c r="FC181" s="24"/>
      <c r="FD181" s="24"/>
      <c r="FE181" s="24"/>
      <c r="FF181" s="24"/>
      <c r="FG181" s="24"/>
      <c r="FH181" s="24"/>
      <c r="FI181" s="24"/>
      <c r="FJ181" s="24"/>
      <c r="FK181" s="24"/>
      <c r="FL181" s="24"/>
      <c r="FM181" s="24"/>
      <c r="FN181" s="24"/>
      <c r="FO181" s="24"/>
      <c r="FP181" s="24"/>
      <c r="FQ181" s="24"/>
      <c r="FR181" s="24"/>
      <c r="FS181" s="24"/>
      <c r="FT181" s="24"/>
      <c r="FU181" s="24"/>
      <c r="FV181" s="24"/>
      <c r="FW181" s="24"/>
      <c r="FX181" s="24"/>
      <c r="FY181" s="24"/>
      <c r="FZ181" s="24"/>
      <c r="GA181" s="24"/>
      <c r="GB181" s="24"/>
      <c r="GC181" s="24"/>
      <c r="GD181" s="24"/>
      <c r="GE181" s="24"/>
      <c r="GF181" s="24"/>
      <c r="GG181" s="24"/>
      <c r="GH181" s="24"/>
      <c r="GI181" s="24"/>
      <c r="GJ181" s="24"/>
      <c r="GK181" s="24"/>
      <c r="GL181" s="24"/>
      <c r="GM181" s="24"/>
      <c r="GN181" s="24"/>
      <c r="GO181" s="24"/>
      <c r="GP181" s="24"/>
      <c r="GQ181" s="24"/>
      <c r="GR181" s="24"/>
      <c r="GS181" s="24"/>
      <c r="GT181" s="24"/>
      <c r="GU181" s="24"/>
      <c r="GV181" s="24"/>
      <c r="GW181" s="24"/>
      <c r="GX181" s="24"/>
      <c r="GY181" s="24"/>
      <c r="GZ181" s="24"/>
      <c r="HA181" s="24"/>
      <c r="HB181" s="24"/>
      <c r="HC181" s="24"/>
      <c r="HD181" s="24"/>
      <c r="HE181" s="24"/>
      <c r="HF181" s="24"/>
      <c r="HG181" s="24"/>
      <c r="HH181" s="24"/>
      <c r="HI181" s="24"/>
      <c r="HJ181" s="24"/>
      <c r="HK181" s="24"/>
      <c r="HL181" s="24"/>
      <c r="HM181" s="24"/>
      <c r="HN181" s="24"/>
      <c r="HO181" s="24"/>
      <c r="HP181" s="24"/>
      <c r="HQ181" s="24"/>
      <c r="HR181" s="24"/>
      <c r="HS181" s="24"/>
      <c r="HT181" s="24"/>
      <c r="HU181" s="25"/>
      <c r="HV181" s="26"/>
      <c r="HW181" s="27"/>
      <c r="HX181" s="26"/>
      <c r="HY181" s="26"/>
      <c r="HZ181" s="26"/>
      <c r="IA181" s="25"/>
      <c r="IB181" s="26"/>
      <c r="IC181" s="27"/>
      <c r="ID181" s="25"/>
      <c r="IE181" s="26"/>
      <c r="IF181" s="27"/>
    </row>
    <row r="182" spans="4:240" hidden="1" x14ac:dyDescent="0.35">
      <c r="D182" s="1"/>
      <c r="E182" s="3"/>
      <c r="G182" s="5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K182" s="21"/>
      <c r="CL182" s="2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1"/>
      <c r="DC182" s="21"/>
      <c r="DD182" s="21"/>
      <c r="DE182" s="21"/>
      <c r="DF182" s="21"/>
      <c r="DH182" s="60"/>
      <c r="DI182" s="60"/>
      <c r="DJ182" s="60"/>
      <c r="DL182" s="60"/>
      <c r="DM182" s="60"/>
      <c r="DN182" s="60"/>
      <c r="DP182" s="60"/>
      <c r="DQ182" s="60"/>
      <c r="DR182" s="60"/>
      <c r="DT182" s="60"/>
      <c r="DU182" s="60"/>
      <c r="DV182" s="60"/>
      <c r="DX182" s="24"/>
      <c r="DY182" s="24"/>
      <c r="DZ182" s="24"/>
      <c r="EA182" s="24"/>
      <c r="EB182" s="24"/>
      <c r="EC182" s="24"/>
      <c r="ED182" s="24"/>
      <c r="EE182" s="24"/>
      <c r="EF182" s="24"/>
      <c r="EG182" s="24"/>
      <c r="EH182" s="24"/>
      <c r="EI182" s="24"/>
      <c r="EJ182" s="24"/>
      <c r="EK182" s="24"/>
      <c r="EL182" s="24"/>
      <c r="EM182" s="24"/>
      <c r="EN182" s="24"/>
      <c r="EO182" s="24"/>
      <c r="EP182" s="24"/>
      <c r="EQ182" s="24"/>
      <c r="ER182" s="24"/>
      <c r="ES182" s="24"/>
      <c r="ET182" s="24"/>
      <c r="EU182" s="24"/>
      <c r="EV182" s="24"/>
      <c r="EW182" s="24"/>
      <c r="EX182" s="24"/>
      <c r="EY182" s="24"/>
      <c r="EZ182" s="24"/>
      <c r="FA182" s="24"/>
      <c r="FB182" s="24"/>
      <c r="FC182" s="24"/>
      <c r="FD182" s="24"/>
      <c r="FE182" s="24"/>
      <c r="FF182" s="24"/>
      <c r="FG182" s="24"/>
      <c r="FH182" s="24"/>
      <c r="FI182" s="24"/>
      <c r="FJ182" s="24"/>
      <c r="FK182" s="24"/>
      <c r="FL182" s="24"/>
      <c r="FM182" s="24"/>
      <c r="FN182" s="24"/>
      <c r="FO182" s="24"/>
      <c r="FP182" s="24"/>
      <c r="FQ182" s="24"/>
      <c r="FR182" s="24"/>
      <c r="FS182" s="24"/>
      <c r="FT182" s="24"/>
      <c r="FU182" s="24"/>
      <c r="FV182" s="24"/>
      <c r="FW182" s="24"/>
      <c r="FX182" s="24"/>
      <c r="FY182" s="24"/>
      <c r="FZ182" s="24"/>
      <c r="GA182" s="24"/>
      <c r="GB182" s="24"/>
      <c r="GC182" s="24"/>
      <c r="GD182" s="24"/>
      <c r="GE182" s="24"/>
      <c r="GF182" s="24"/>
      <c r="GG182" s="24"/>
      <c r="GH182" s="24"/>
      <c r="GI182" s="24"/>
      <c r="GJ182" s="24"/>
      <c r="GK182" s="24"/>
      <c r="GL182" s="24"/>
      <c r="GM182" s="24"/>
      <c r="GN182" s="24"/>
      <c r="GO182" s="24"/>
      <c r="GP182" s="24"/>
      <c r="GQ182" s="24"/>
      <c r="GR182" s="24"/>
      <c r="GS182" s="24"/>
      <c r="GT182" s="24"/>
      <c r="GU182" s="24"/>
      <c r="GV182" s="24"/>
      <c r="GW182" s="24"/>
      <c r="GX182" s="24"/>
      <c r="GY182" s="24"/>
      <c r="GZ182" s="24"/>
      <c r="HA182" s="24"/>
      <c r="HB182" s="24"/>
      <c r="HC182" s="24"/>
      <c r="HD182" s="24"/>
      <c r="HE182" s="24"/>
      <c r="HF182" s="24"/>
      <c r="HG182" s="24"/>
      <c r="HH182" s="24"/>
      <c r="HI182" s="24"/>
      <c r="HJ182" s="24"/>
      <c r="HK182" s="24"/>
      <c r="HL182" s="24"/>
      <c r="HM182" s="24"/>
      <c r="HN182" s="24"/>
      <c r="HO182" s="24"/>
      <c r="HP182" s="24"/>
      <c r="HQ182" s="24"/>
      <c r="HR182" s="24"/>
      <c r="HS182" s="24"/>
      <c r="HT182" s="24"/>
      <c r="HU182" s="25"/>
      <c r="HV182" s="26"/>
      <c r="HW182" s="27"/>
      <c r="HX182" s="26"/>
      <c r="HY182" s="26"/>
      <c r="HZ182" s="26"/>
      <c r="IA182" s="25"/>
      <c r="IB182" s="26"/>
      <c r="IC182" s="27"/>
      <c r="ID182" s="25"/>
      <c r="IE182" s="26"/>
      <c r="IF182" s="27"/>
    </row>
    <row r="183" spans="4:240" hidden="1" x14ac:dyDescent="0.35">
      <c r="D183" s="1"/>
      <c r="E183" s="3"/>
      <c r="G183" s="5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H183" s="60"/>
      <c r="DI183" s="60"/>
      <c r="DJ183" s="60"/>
      <c r="DL183" s="60"/>
      <c r="DM183" s="60"/>
      <c r="DN183" s="60"/>
      <c r="DP183" s="60"/>
      <c r="DQ183" s="60"/>
      <c r="DR183" s="60"/>
      <c r="DT183" s="60"/>
      <c r="DU183" s="60"/>
      <c r="DV183" s="60"/>
      <c r="DX183" s="24"/>
      <c r="DY183" s="24"/>
      <c r="DZ183" s="24"/>
      <c r="EA183" s="24"/>
      <c r="EB183" s="24"/>
      <c r="EC183" s="24"/>
      <c r="ED183" s="24"/>
      <c r="EE183" s="24"/>
      <c r="EF183" s="24"/>
      <c r="EG183" s="24"/>
      <c r="EH183" s="24"/>
      <c r="EI183" s="24"/>
      <c r="EJ183" s="24"/>
      <c r="EK183" s="24"/>
      <c r="EL183" s="24"/>
      <c r="EM183" s="24"/>
      <c r="EN183" s="24"/>
      <c r="EO183" s="24"/>
      <c r="EP183" s="24"/>
      <c r="EQ183" s="24"/>
      <c r="ER183" s="24"/>
      <c r="ES183" s="24"/>
      <c r="ET183" s="24"/>
      <c r="EU183" s="24"/>
      <c r="EV183" s="24"/>
      <c r="EW183" s="24"/>
      <c r="EX183" s="24"/>
      <c r="EY183" s="24"/>
      <c r="EZ183" s="24"/>
      <c r="FA183" s="24"/>
      <c r="FB183" s="24"/>
      <c r="FC183" s="24"/>
      <c r="FD183" s="24"/>
      <c r="FE183" s="24"/>
      <c r="FF183" s="24"/>
      <c r="FG183" s="24"/>
      <c r="FH183" s="24"/>
      <c r="FI183" s="24"/>
      <c r="FJ183" s="24"/>
      <c r="FK183" s="24"/>
      <c r="FL183" s="24"/>
      <c r="FM183" s="24"/>
      <c r="FN183" s="24"/>
      <c r="FO183" s="24"/>
      <c r="FP183" s="24"/>
      <c r="FQ183" s="24"/>
      <c r="FR183" s="24"/>
      <c r="FS183" s="24"/>
      <c r="FT183" s="24"/>
      <c r="FU183" s="24"/>
      <c r="FV183" s="24"/>
      <c r="FW183" s="24"/>
      <c r="FX183" s="24"/>
      <c r="FY183" s="24"/>
      <c r="FZ183" s="24"/>
      <c r="GA183" s="24"/>
      <c r="GB183" s="24"/>
      <c r="GC183" s="24"/>
      <c r="GD183" s="24"/>
      <c r="GE183" s="24"/>
      <c r="GF183" s="24"/>
      <c r="GG183" s="24"/>
      <c r="GH183" s="24"/>
      <c r="GI183" s="24"/>
      <c r="GJ183" s="24"/>
      <c r="GK183" s="24"/>
      <c r="GL183" s="24"/>
      <c r="GM183" s="24"/>
      <c r="GN183" s="24"/>
      <c r="GO183" s="24"/>
      <c r="GP183" s="24"/>
      <c r="GQ183" s="24"/>
      <c r="GR183" s="24"/>
      <c r="GS183" s="24"/>
      <c r="GT183" s="24"/>
      <c r="GU183" s="24"/>
      <c r="GV183" s="24"/>
      <c r="GW183" s="24"/>
      <c r="GX183" s="24"/>
      <c r="GY183" s="24"/>
      <c r="GZ183" s="24"/>
      <c r="HA183" s="24"/>
      <c r="HB183" s="24"/>
      <c r="HC183" s="24"/>
      <c r="HD183" s="24"/>
      <c r="HE183" s="24"/>
      <c r="HF183" s="24"/>
      <c r="HG183" s="24"/>
      <c r="HH183" s="24"/>
      <c r="HI183" s="24"/>
      <c r="HJ183" s="24"/>
      <c r="HK183" s="24"/>
      <c r="HL183" s="24"/>
      <c r="HM183" s="24"/>
      <c r="HN183" s="24"/>
      <c r="HO183" s="24"/>
      <c r="HP183" s="24"/>
      <c r="HQ183" s="24"/>
      <c r="HR183" s="24"/>
      <c r="HS183" s="24"/>
      <c r="HT183" s="24"/>
      <c r="HU183" s="25"/>
      <c r="HV183" s="26"/>
      <c r="HW183" s="27"/>
      <c r="HX183" s="26"/>
      <c r="HY183" s="26"/>
      <c r="HZ183" s="26"/>
      <c r="IA183" s="25"/>
      <c r="IB183" s="26"/>
      <c r="IC183" s="27"/>
      <c r="ID183" s="25"/>
      <c r="IE183" s="26"/>
      <c r="IF183" s="27"/>
    </row>
    <row r="184" spans="4:240" hidden="1" x14ac:dyDescent="0.35">
      <c r="D184" s="1"/>
      <c r="E184" s="3"/>
      <c r="G184" s="5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K184" s="21"/>
      <c r="CL184" s="2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1"/>
      <c r="DC184" s="21"/>
      <c r="DD184" s="21"/>
      <c r="DE184" s="21"/>
      <c r="DF184" s="21"/>
      <c r="DH184" s="60"/>
      <c r="DI184" s="60"/>
      <c r="DJ184" s="60"/>
      <c r="DL184" s="60"/>
      <c r="DM184" s="60"/>
      <c r="DN184" s="60"/>
      <c r="DP184" s="60"/>
      <c r="DQ184" s="60"/>
      <c r="DR184" s="60"/>
      <c r="DT184" s="60"/>
      <c r="DU184" s="60"/>
      <c r="DV184" s="60"/>
      <c r="DX184" s="24"/>
      <c r="DY184" s="24"/>
      <c r="DZ184" s="24"/>
      <c r="EA184" s="24"/>
      <c r="EB184" s="24"/>
      <c r="EC184" s="24"/>
      <c r="ED184" s="24"/>
      <c r="EE184" s="24"/>
      <c r="EF184" s="24"/>
      <c r="EG184" s="24"/>
      <c r="EH184" s="24"/>
      <c r="EI184" s="24"/>
      <c r="EJ184" s="24"/>
      <c r="EK184" s="24"/>
      <c r="EL184" s="24"/>
      <c r="EM184" s="24"/>
      <c r="EN184" s="24"/>
      <c r="EO184" s="24"/>
      <c r="EP184" s="24"/>
      <c r="EQ184" s="24"/>
      <c r="ER184" s="24"/>
      <c r="ES184" s="24"/>
      <c r="ET184" s="24"/>
      <c r="EU184" s="24"/>
      <c r="EV184" s="24"/>
      <c r="EW184" s="24"/>
      <c r="EX184" s="24"/>
      <c r="EY184" s="24"/>
      <c r="EZ184" s="24"/>
      <c r="FA184" s="24"/>
      <c r="FB184" s="24"/>
      <c r="FC184" s="24"/>
      <c r="FD184" s="24"/>
      <c r="FE184" s="24"/>
      <c r="FF184" s="24"/>
      <c r="FG184" s="24"/>
      <c r="FH184" s="24"/>
      <c r="FI184" s="24"/>
      <c r="FJ184" s="24"/>
      <c r="FK184" s="24"/>
      <c r="FL184" s="24"/>
      <c r="FM184" s="24"/>
      <c r="FN184" s="24"/>
      <c r="FO184" s="24"/>
      <c r="FP184" s="24"/>
      <c r="FQ184" s="24"/>
      <c r="FR184" s="24"/>
      <c r="FS184" s="24"/>
      <c r="FT184" s="24"/>
      <c r="FU184" s="24"/>
      <c r="FV184" s="24"/>
      <c r="FW184" s="24"/>
      <c r="FX184" s="24"/>
      <c r="FY184" s="24"/>
      <c r="FZ184" s="24"/>
      <c r="GA184" s="24"/>
      <c r="GB184" s="24"/>
      <c r="GC184" s="24"/>
      <c r="GD184" s="24"/>
      <c r="GE184" s="24"/>
      <c r="GF184" s="24"/>
      <c r="GG184" s="24"/>
      <c r="GH184" s="24"/>
      <c r="GI184" s="24"/>
      <c r="GJ184" s="24"/>
      <c r="GK184" s="24"/>
      <c r="GL184" s="24"/>
      <c r="GM184" s="24"/>
      <c r="GN184" s="24"/>
      <c r="GO184" s="24"/>
      <c r="GP184" s="24"/>
      <c r="GQ184" s="24"/>
      <c r="GR184" s="24"/>
      <c r="GS184" s="24"/>
      <c r="GT184" s="24"/>
      <c r="GU184" s="24"/>
      <c r="GV184" s="24"/>
      <c r="GW184" s="24"/>
      <c r="GX184" s="24"/>
      <c r="GY184" s="24"/>
      <c r="GZ184" s="24"/>
      <c r="HA184" s="24"/>
      <c r="HB184" s="24"/>
      <c r="HC184" s="24"/>
      <c r="HD184" s="24"/>
      <c r="HE184" s="24"/>
      <c r="HF184" s="24"/>
      <c r="HG184" s="24"/>
      <c r="HH184" s="24"/>
      <c r="HI184" s="24"/>
      <c r="HJ184" s="24"/>
      <c r="HK184" s="24"/>
      <c r="HL184" s="24"/>
      <c r="HM184" s="24"/>
      <c r="HN184" s="24"/>
      <c r="HO184" s="24"/>
      <c r="HP184" s="24"/>
      <c r="HQ184" s="24"/>
      <c r="HR184" s="24"/>
      <c r="HS184" s="24"/>
      <c r="HT184" s="24"/>
      <c r="HU184" s="25"/>
      <c r="HV184" s="26"/>
      <c r="HW184" s="27"/>
      <c r="HX184" s="26"/>
      <c r="HY184" s="26"/>
      <c r="HZ184" s="26"/>
      <c r="IA184" s="25"/>
      <c r="IB184" s="26"/>
      <c r="IC184" s="27"/>
      <c r="ID184" s="25"/>
      <c r="IE184" s="26"/>
      <c r="IF184" s="27"/>
    </row>
    <row r="185" spans="4:240" hidden="1" x14ac:dyDescent="0.35">
      <c r="D185" s="1"/>
      <c r="E185" s="3"/>
      <c r="G185" s="5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K185" s="21"/>
      <c r="CL185" s="2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1"/>
      <c r="DC185" s="21"/>
      <c r="DD185" s="21"/>
      <c r="DE185" s="21"/>
      <c r="DF185" s="21"/>
      <c r="DH185" s="60"/>
      <c r="DI185" s="60"/>
      <c r="DJ185" s="60"/>
      <c r="DL185" s="60"/>
      <c r="DM185" s="60"/>
      <c r="DN185" s="60"/>
      <c r="DP185" s="60"/>
      <c r="DQ185" s="60"/>
      <c r="DR185" s="60"/>
      <c r="DT185" s="60"/>
      <c r="DU185" s="60"/>
      <c r="DV185" s="60"/>
      <c r="DX185" s="24"/>
      <c r="DY185" s="24"/>
      <c r="DZ185" s="24"/>
      <c r="EA185" s="24"/>
      <c r="EB185" s="24"/>
      <c r="EC185" s="24"/>
      <c r="ED185" s="24"/>
      <c r="EE185" s="24"/>
      <c r="EF185" s="24"/>
      <c r="EG185" s="24"/>
      <c r="EH185" s="24"/>
      <c r="EI185" s="24"/>
      <c r="EJ185" s="24"/>
      <c r="EK185" s="24"/>
      <c r="EL185" s="24"/>
      <c r="EM185" s="24"/>
      <c r="EN185" s="24"/>
      <c r="EO185" s="24"/>
      <c r="EP185" s="24"/>
      <c r="EQ185" s="24"/>
      <c r="ER185" s="24"/>
      <c r="ES185" s="24"/>
      <c r="ET185" s="24"/>
      <c r="EU185" s="24"/>
      <c r="EV185" s="24"/>
      <c r="EW185" s="24"/>
      <c r="EX185" s="24"/>
      <c r="EY185" s="24"/>
      <c r="EZ185" s="24"/>
      <c r="FA185" s="24"/>
      <c r="FB185" s="24"/>
      <c r="FC185" s="24"/>
      <c r="FD185" s="24"/>
      <c r="FE185" s="24"/>
      <c r="FF185" s="24"/>
      <c r="FG185" s="24"/>
      <c r="FH185" s="24"/>
      <c r="FI185" s="24"/>
      <c r="FJ185" s="24"/>
      <c r="FK185" s="24"/>
      <c r="FL185" s="24"/>
      <c r="FM185" s="24"/>
      <c r="FN185" s="24"/>
      <c r="FO185" s="24"/>
      <c r="FP185" s="24"/>
      <c r="FQ185" s="24"/>
      <c r="FR185" s="24"/>
      <c r="FS185" s="24"/>
      <c r="FT185" s="24"/>
      <c r="FU185" s="24"/>
      <c r="FV185" s="24"/>
      <c r="FW185" s="24"/>
      <c r="FX185" s="24"/>
      <c r="FY185" s="24"/>
      <c r="FZ185" s="24"/>
      <c r="GA185" s="24"/>
      <c r="GB185" s="24"/>
      <c r="GC185" s="24"/>
      <c r="GD185" s="24"/>
      <c r="GE185" s="24"/>
      <c r="GF185" s="24"/>
      <c r="GG185" s="24"/>
      <c r="GH185" s="24"/>
      <c r="GI185" s="24"/>
      <c r="GJ185" s="24"/>
      <c r="GK185" s="24"/>
      <c r="GL185" s="24"/>
      <c r="GM185" s="24"/>
      <c r="GN185" s="24"/>
      <c r="GO185" s="24"/>
      <c r="GP185" s="24"/>
      <c r="GQ185" s="24"/>
      <c r="GR185" s="24"/>
      <c r="GS185" s="24"/>
      <c r="GT185" s="24"/>
      <c r="GU185" s="24"/>
      <c r="GV185" s="24"/>
      <c r="GW185" s="24"/>
      <c r="GX185" s="24"/>
      <c r="GY185" s="24"/>
      <c r="GZ185" s="24"/>
      <c r="HA185" s="24"/>
      <c r="HB185" s="24"/>
      <c r="HC185" s="24"/>
      <c r="HD185" s="24"/>
      <c r="HE185" s="24"/>
      <c r="HF185" s="24"/>
      <c r="HG185" s="24"/>
      <c r="HH185" s="24"/>
      <c r="HI185" s="24"/>
      <c r="HJ185" s="24"/>
      <c r="HK185" s="24"/>
      <c r="HL185" s="24"/>
      <c r="HM185" s="24"/>
      <c r="HN185" s="24"/>
      <c r="HO185" s="24"/>
      <c r="HP185" s="24"/>
      <c r="HQ185" s="24"/>
      <c r="HR185" s="24"/>
      <c r="HS185" s="24"/>
      <c r="HT185" s="24"/>
      <c r="HU185" s="25"/>
      <c r="HV185" s="26"/>
      <c r="HW185" s="27"/>
      <c r="HX185" s="26"/>
      <c r="HY185" s="26"/>
      <c r="HZ185" s="26"/>
      <c r="IA185" s="25"/>
      <c r="IB185" s="26"/>
      <c r="IC185" s="27"/>
      <c r="ID185" s="25"/>
      <c r="IE185" s="26"/>
      <c r="IF185" s="27"/>
    </row>
    <row r="186" spans="4:240" hidden="1" x14ac:dyDescent="0.35">
      <c r="D186" s="1"/>
      <c r="E186" s="3"/>
      <c r="G186" s="5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K186" s="21"/>
      <c r="CL186" s="2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1"/>
      <c r="DC186" s="21"/>
      <c r="DD186" s="21"/>
      <c r="DE186" s="21"/>
      <c r="DF186" s="21"/>
      <c r="DH186" s="60"/>
      <c r="DI186" s="60"/>
      <c r="DJ186" s="60"/>
      <c r="DL186" s="60"/>
      <c r="DM186" s="60"/>
      <c r="DN186" s="60"/>
      <c r="DP186" s="60"/>
      <c r="DQ186" s="60"/>
      <c r="DR186" s="60"/>
      <c r="DT186" s="60"/>
      <c r="DU186" s="60"/>
      <c r="DV186" s="60"/>
      <c r="DX186" s="24"/>
      <c r="DY186" s="24"/>
      <c r="DZ186" s="24"/>
      <c r="EA186" s="24"/>
      <c r="EB186" s="24"/>
      <c r="EC186" s="24"/>
      <c r="ED186" s="24"/>
      <c r="EE186" s="24"/>
      <c r="EF186" s="24"/>
      <c r="EG186" s="24"/>
      <c r="EH186" s="24"/>
      <c r="EI186" s="24"/>
      <c r="EJ186" s="24"/>
      <c r="EK186" s="24"/>
      <c r="EL186" s="24"/>
      <c r="EM186" s="24"/>
      <c r="EN186" s="24"/>
      <c r="EO186" s="24"/>
      <c r="EP186" s="24"/>
      <c r="EQ186" s="24"/>
      <c r="ER186" s="24"/>
      <c r="ES186" s="24"/>
      <c r="ET186" s="24"/>
      <c r="EU186" s="24"/>
      <c r="EV186" s="24"/>
      <c r="EW186" s="24"/>
      <c r="EX186" s="24"/>
      <c r="EY186" s="24"/>
      <c r="EZ186" s="24"/>
      <c r="FA186" s="24"/>
      <c r="FB186" s="24"/>
      <c r="FC186" s="24"/>
      <c r="FD186" s="24"/>
      <c r="FE186" s="24"/>
      <c r="FF186" s="24"/>
      <c r="FG186" s="24"/>
      <c r="FH186" s="24"/>
      <c r="FI186" s="24"/>
      <c r="FJ186" s="24"/>
      <c r="FK186" s="24"/>
      <c r="FL186" s="24"/>
      <c r="FM186" s="24"/>
      <c r="FN186" s="24"/>
      <c r="FO186" s="24"/>
      <c r="FP186" s="24"/>
      <c r="FQ186" s="24"/>
      <c r="FR186" s="24"/>
      <c r="FS186" s="24"/>
      <c r="FT186" s="24"/>
      <c r="FU186" s="24"/>
      <c r="FV186" s="24"/>
      <c r="FW186" s="24"/>
      <c r="FX186" s="24"/>
      <c r="FY186" s="24"/>
      <c r="FZ186" s="24"/>
      <c r="GA186" s="24"/>
      <c r="GB186" s="24"/>
      <c r="GC186" s="24"/>
      <c r="GD186" s="24"/>
      <c r="GE186" s="24"/>
      <c r="GF186" s="24"/>
      <c r="GG186" s="24"/>
      <c r="GH186" s="24"/>
      <c r="GI186" s="24"/>
      <c r="GJ186" s="24"/>
      <c r="GK186" s="24"/>
      <c r="GL186" s="24"/>
      <c r="GM186" s="24"/>
      <c r="GN186" s="24"/>
      <c r="GO186" s="24"/>
      <c r="GP186" s="24"/>
      <c r="GQ186" s="24"/>
      <c r="GR186" s="24"/>
      <c r="GS186" s="24"/>
      <c r="GT186" s="24"/>
      <c r="GU186" s="24"/>
      <c r="GV186" s="24"/>
      <c r="GW186" s="24"/>
      <c r="GX186" s="24"/>
      <c r="GY186" s="24"/>
      <c r="GZ186" s="24"/>
      <c r="HA186" s="24"/>
      <c r="HB186" s="24"/>
      <c r="HC186" s="24"/>
      <c r="HD186" s="24"/>
      <c r="HE186" s="24"/>
      <c r="HF186" s="24"/>
      <c r="HG186" s="24"/>
      <c r="HH186" s="24"/>
      <c r="HI186" s="24"/>
      <c r="HJ186" s="24"/>
      <c r="HK186" s="24"/>
      <c r="HL186" s="24"/>
      <c r="HM186" s="24"/>
      <c r="HN186" s="24"/>
      <c r="HO186" s="24"/>
      <c r="HP186" s="24"/>
      <c r="HQ186" s="24"/>
      <c r="HR186" s="24"/>
      <c r="HS186" s="24"/>
      <c r="HT186" s="24"/>
      <c r="HU186" s="25"/>
      <c r="HV186" s="26"/>
      <c r="HW186" s="27"/>
      <c r="HX186" s="26"/>
      <c r="HY186" s="26"/>
      <c r="HZ186" s="26"/>
      <c r="IA186" s="25"/>
      <c r="IB186" s="26"/>
      <c r="IC186" s="27"/>
      <c r="ID186" s="25"/>
      <c r="IE186" s="26"/>
      <c r="IF186" s="27"/>
    </row>
    <row r="187" spans="4:240" hidden="1" x14ac:dyDescent="0.35">
      <c r="D187" s="1"/>
      <c r="E187" s="3"/>
      <c r="G187" s="5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K187" s="21"/>
      <c r="CL187" s="2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1"/>
      <c r="DC187" s="21"/>
      <c r="DD187" s="21"/>
      <c r="DE187" s="21"/>
      <c r="DF187" s="21"/>
      <c r="DH187" s="60"/>
      <c r="DI187" s="60"/>
      <c r="DJ187" s="60"/>
      <c r="DL187" s="60"/>
      <c r="DM187" s="60"/>
      <c r="DN187" s="60"/>
      <c r="DP187" s="60"/>
      <c r="DQ187" s="60"/>
      <c r="DR187" s="60"/>
      <c r="DT187" s="60"/>
      <c r="DU187" s="60"/>
      <c r="DV187" s="60"/>
      <c r="DX187" s="24"/>
      <c r="DY187" s="24"/>
      <c r="DZ187" s="24"/>
      <c r="EA187" s="24"/>
      <c r="EB187" s="24"/>
      <c r="EC187" s="24"/>
      <c r="ED187" s="24"/>
      <c r="EE187" s="24"/>
      <c r="EF187" s="24"/>
      <c r="EG187" s="24"/>
      <c r="EH187" s="24"/>
      <c r="EI187" s="24"/>
      <c r="EJ187" s="24"/>
      <c r="EK187" s="24"/>
      <c r="EL187" s="24"/>
      <c r="EM187" s="24"/>
      <c r="EN187" s="24"/>
      <c r="EO187" s="24"/>
      <c r="EP187" s="24"/>
      <c r="EQ187" s="24"/>
      <c r="ER187" s="24"/>
      <c r="ES187" s="24"/>
      <c r="ET187" s="24"/>
      <c r="EU187" s="24"/>
      <c r="EV187" s="24"/>
      <c r="EW187" s="24"/>
      <c r="EX187" s="24"/>
      <c r="EY187" s="24"/>
      <c r="EZ187" s="24"/>
      <c r="FA187" s="24"/>
      <c r="FB187" s="24"/>
      <c r="FC187" s="24"/>
      <c r="FD187" s="24"/>
      <c r="FE187" s="24"/>
      <c r="FF187" s="24"/>
      <c r="FG187" s="24"/>
      <c r="FH187" s="24"/>
      <c r="FI187" s="24"/>
      <c r="FJ187" s="24"/>
      <c r="FK187" s="24"/>
      <c r="FL187" s="24"/>
      <c r="FM187" s="24"/>
      <c r="FN187" s="24"/>
      <c r="FO187" s="24"/>
      <c r="FP187" s="24"/>
      <c r="FQ187" s="24"/>
      <c r="FR187" s="24"/>
      <c r="FS187" s="24"/>
      <c r="FT187" s="24"/>
      <c r="FU187" s="24"/>
      <c r="FV187" s="24"/>
      <c r="FW187" s="24"/>
      <c r="FX187" s="24"/>
      <c r="FY187" s="24"/>
      <c r="FZ187" s="24"/>
      <c r="GA187" s="24"/>
      <c r="GB187" s="24"/>
      <c r="GC187" s="24"/>
      <c r="GD187" s="24"/>
      <c r="GE187" s="24"/>
      <c r="GF187" s="24"/>
      <c r="GG187" s="24"/>
      <c r="GH187" s="24"/>
      <c r="GI187" s="24"/>
      <c r="GJ187" s="24"/>
      <c r="GK187" s="24"/>
      <c r="GL187" s="24"/>
      <c r="GM187" s="24"/>
      <c r="GN187" s="24"/>
      <c r="GO187" s="24"/>
      <c r="GP187" s="24"/>
      <c r="GQ187" s="24"/>
      <c r="GR187" s="24"/>
      <c r="GS187" s="24"/>
      <c r="GT187" s="24"/>
      <c r="GU187" s="24"/>
      <c r="GV187" s="24"/>
      <c r="GW187" s="24"/>
      <c r="GX187" s="24"/>
      <c r="GY187" s="24"/>
      <c r="GZ187" s="24"/>
      <c r="HA187" s="24"/>
      <c r="HB187" s="24"/>
      <c r="HC187" s="24"/>
      <c r="HD187" s="24"/>
      <c r="HE187" s="24"/>
      <c r="HF187" s="24"/>
      <c r="HG187" s="24"/>
      <c r="HH187" s="24"/>
      <c r="HI187" s="24"/>
      <c r="HJ187" s="24"/>
      <c r="HK187" s="24"/>
      <c r="HL187" s="24"/>
      <c r="HM187" s="24"/>
      <c r="HN187" s="24"/>
      <c r="HO187" s="24"/>
      <c r="HP187" s="24"/>
      <c r="HQ187" s="24"/>
      <c r="HR187" s="24"/>
      <c r="HS187" s="24"/>
      <c r="HT187" s="24"/>
      <c r="HU187" s="25"/>
      <c r="HV187" s="26"/>
      <c r="HW187" s="27"/>
      <c r="HX187" s="26"/>
      <c r="HY187" s="26"/>
      <c r="HZ187" s="26"/>
      <c r="IA187" s="25"/>
      <c r="IB187" s="26"/>
      <c r="IC187" s="27"/>
      <c r="ID187" s="25"/>
      <c r="IE187" s="26"/>
      <c r="IF187" s="27"/>
    </row>
    <row r="188" spans="4:240" hidden="1" x14ac:dyDescent="0.35">
      <c r="D188" s="1"/>
      <c r="E188" s="3"/>
      <c r="G188" s="5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H188" s="60"/>
      <c r="DI188" s="60"/>
      <c r="DJ188" s="60"/>
      <c r="DL188" s="60"/>
      <c r="DM188" s="60"/>
      <c r="DN188" s="60"/>
      <c r="DP188" s="60"/>
      <c r="DQ188" s="60"/>
      <c r="DR188" s="60"/>
      <c r="DT188" s="60"/>
      <c r="DU188" s="60"/>
      <c r="DV188" s="60"/>
      <c r="DX188" s="24"/>
      <c r="DY188" s="24"/>
      <c r="DZ188" s="24"/>
      <c r="EA188" s="24"/>
      <c r="EB188" s="24"/>
      <c r="EC188" s="24"/>
      <c r="ED188" s="24"/>
      <c r="EE188" s="24"/>
      <c r="EF188" s="24"/>
      <c r="EG188" s="24"/>
      <c r="EH188" s="24"/>
      <c r="EI188" s="24"/>
      <c r="EJ188" s="24"/>
      <c r="EK188" s="24"/>
      <c r="EL188" s="24"/>
      <c r="EM188" s="24"/>
      <c r="EN188" s="24"/>
      <c r="EO188" s="24"/>
      <c r="EP188" s="24"/>
      <c r="EQ188" s="24"/>
      <c r="ER188" s="24"/>
      <c r="ES188" s="24"/>
      <c r="ET188" s="24"/>
      <c r="EU188" s="24"/>
      <c r="EV188" s="24"/>
      <c r="EW188" s="24"/>
      <c r="EX188" s="24"/>
      <c r="EY188" s="24"/>
      <c r="EZ188" s="24"/>
      <c r="FA188" s="24"/>
      <c r="FB188" s="24"/>
      <c r="FC188" s="24"/>
      <c r="FD188" s="24"/>
      <c r="FE188" s="24"/>
      <c r="FF188" s="24"/>
      <c r="FG188" s="24"/>
      <c r="FH188" s="24"/>
      <c r="FI188" s="24"/>
      <c r="FJ188" s="24"/>
      <c r="FK188" s="24"/>
      <c r="FL188" s="24"/>
      <c r="FM188" s="24"/>
      <c r="FN188" s="24"/>
      <c r="FO188" s="24"/>
      <c r="FP188" s="24"/>
      <c r="FQ188" s="24"/>
      <c r="FR188" s="24"/>
      <c r="FS188" s="24"/>
      <c r="FT188" s="24"/>
      <c r="FU188" s="24"/>
      <c r="FV188" s="24"/>
      <c r="FW188" s="24"/>
      <c r="FX188" s="24"/>
      <c r="FY188" s="24"/>
      <c r="FZ188" s="24"/>
      <c r="GA188" s="24"/>
      <c r="GB188" s="24"/>
      <c r="GC188" s="24"/>
      <c r="GD188" s="24"/>
      <c r="GE188" s="24"/>
      <c r="GF188" s="24"/>
      <c r="GG188" s="24"/>
      <c r="GH188" s="24"/>
      <c r="GI188" s="24"/>
      <c r="GJ188" s="24"/>
      <c r="GK188" s="24"/>
      <c r="GL188" s="24"/>
      <c r="GM188" s="24"/>
      <c r="GN188" s="24"/>
      <c r="GO188" s="24"/>
      <c r="GP188" s="24"/>
      <c r="GQ188" s="24"/>
      <c r="GR188" s="24"/>
      <c r="GS188" s="24"/>
      <c r="GT188" s="24"/>
      <c r="GU188" s="24"/>
      <c r="GV188" s="24"/>
      <c r="GW188" s="24"/>
      <c r="GX188" s="24"/>
      <c r="GY188" s="24"/>
      <c r="GZ188" s="24"/>
      <c r="HA188" s="24"/>
      <c r="HB188" s="24"/>
      <c r="HC188" s="24"/>
      <c r="HD188" s="24"/>
      <c r="HE188" s="24"/>
      <c r="HF188" s="24"/>
      <c r="HG188" s="24"/>
      <c r="HH188" s="24"/>
      <c r="HI188" s="24"/>
      <c r="HJ188" s="24"/>
      <c r="HK188" s="24"/>
      <c r="HL188" s="24"/>
      <c r="HM188" s="24"/>
      <c r="HN188" s="24"/>
      <c r="HO188" s="24"/>
      <c r="HP188" s="24"/>
      <c r="HQ188" s="24"/>
      <c r="HR188" s="24"/>
      <c r="HS188" s="24"/>
      <c r="HT188" s="24"/>
      <c r="HU188" s="25"/>
      <c r="HV188" s="26"/>
      <c r="HW188" s="27"/>
      <c r="HX188" s="26"/>
      <c r="HY188" s="26"/>
      <c r="HZ188" s="26"/>
      <c r="IA188" s="25"/>
      <c r="IB188" s="26"/>
      <c r="IC188" s="27"/>
      <c r="ID188" s="25"/>
      <c r="IE188" s="26"/>
      <c r="IF188" s="27"/>
    </row>
    <row r="189" spans="4:240" hidden="1" x14ac:dyDescent="0.35">
      <c r="D189" s="1"/>
      <c r="E189" s="3"/>
      <c r="G189" s="5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K189" s="21"/>
      <c r="CL189" s="2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1"/>
      <c r="DC189" s="21"/>
      <c r="DD189" s="21"/>
      <c r="DE189" s="21"/>
      <c r="DF189" s="21"/>
      <c r="DX189" s="24"/>
      <c r="DY189" s="24"/>
      <c r="DZ189" s="24"/>
      <c r="EA189" s="24"/>
      <c r="EB189" s="24"/>
      <c r="EC189" s="24"/>
      <c r="ED189" s="24"/>
      <c r="EE189" s="24"/>
      <c r="EF189" s="24"/>
      <c r="EG189" s="24"/>
      <c r="EH189" s="24"/>
      <c r="EI189" s="24"/>
      <c r="EJ189" s="24"/>
      <c r="EK189" s="24"/>
      <c r="EL189" s="24"/>
      <c r="EM189" s="24"/>
      <c r="EN189" s="24"/>
      <c r="EO189" s="24"/>
      <c r="EP189" s="24"/>
      <c r="EQ189" s="24"/>
      <c r="ER189" s="24"/>
      <c r="ES189" s="24"/>
      <c r="ET189" s="24"/>
      <c r="EU189" s="24"/>
      <c r="EV189" s="24"/>
      <c r="EW189" s="24"/>
      <c r="EX189" s="24"/>
      <c r="EY189" s="24"/>
      <c r="EZ189" s="24"/>
      <c r="FA189" s="24"/>
      <c r="FB189" s="24"/>
      <c r="FC189" s="24"/>
      <c r="FD189" s="24"/>
      <c r="FE189" s="24"/>
      <c r="FF189" s="24"/>
      <c r="FG189" s="24"/>
      <c r="FH189" s="24"/>
      <c r="FI189" s="24"/>
      <c r="FJ189" s="24"/>
      <c r="FK189" s="24"/>
      <c r="FL189" s="24"/>
      <c r="FM189" s="24"/>
      <c r="FN189" s="24"/>
      <c r="FO189" s="24"/>
      <c r="FP189" s="24"/>
      <c r="FQ189" s="24"/>
      <c r="FR189" s="24"/>
      <c r="FS189" s="24"/>
      <c r="FT189" s="24"/>
      <c r="FU189" s="24"/>
      <c r="FV189" s="24"/>
      <c r="FW189" s="24"/>
      <c r="FX189" s="24"/>
      <c r="FY189" s="24"/>
      <c r="FZ189" s="24"/>
      <c r="GA189" s="24"/>
      <c r="GB189" s="24"/>
      <c r="GC189" s="24"/>
      <c r="GD189" s="24"/>
      <c r="GE189" s="24"/>
      <c r="GF189" s="24"/>
      <c r="GG189" s="24"/>
      <c r="GH189" s="24"/>
      <c r="GI189" s="24"/>
      <c r="GJ189" s="24"/>
      <c r="GK189" s="24"/>
      <c r="GL189" s="24"/>
      <c r="GM189" s="24"/>
      <c r="GN189" s="24"/>
      <c r="GO189" s="24"/>
      <c r="GP189" s="24"/>
      <c r="GQ189" s="24"/>
      <c r="GR189" s="24"/>
      <c r="GS189" s="24"/>
      <c r="GT189" s="24"/>
      <c r="GU189" s="24"/>
      <c r="GV189" s="24"/>
      <c r="GW189" s="24"/>
      <c r="GX189" s="24"/>
      <c r="GY189" s="24"/>
      <c r="GZ189" s="24"/>
      <c r="HA189" s="24"/>
      <c r="HB189" s="24"/>
      <c r="HC189" s="24"/>
      <c r="HD189" s="24"/>
      <c r="HE189" s="24"/>
      <c r="HF189" s="24"/>
      <c r="HG189" s="24"/>
      <c r="HH189" s="24"/>
      <c r="HI189" s="24"/>
      <c r="HJ189" s="24"/>
      <c r="HK189" s="24"/>
      <c r="HL189" s="24"/>
      <c r="HM189" s="24"/>
      <c r="HN189" s="24"/>
      <c r="HO189" s="24"/>
      <c r="HP189" s="24"/>
      <c r="HQ189" s="24"/>
      <c r="HR189" s="24"/>
      <c r="HS189" s="24"/>
      <c r="HT189" s="24"/>
      <c r="HU189" s="25"/>
      <c r="HV189" s="26"/>
      <c r="HW189" s="27"/>
      <c r="HX189" s="26"/>
      <c r="HY189" s="26"/>
      <c r="HZ189" s="26"/>
      <c r="IA189" s="25"/>
      <c r="IB189" s="26"/>
      <c r="IC189" s="27"/>
      <c r="ID189" s="25"/>
      <c r="IE189" s="26"/>
      <c r="IF189" s="27"/>
    </row>
    <row r="190" spans="4:240" hidden="1" x14ac:dyDescent="0.35">
      <c r="D190" s="1"/>
      <c r="E190" s="3"/>
      <c r="G190" s="5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X190" s="24"/>
      <c r="DY190" s="24"/>
      <c r="DZ190" s="24"/>
      <c r="EA190" s="24"/>
      <c r="EB190" s="24"/>
      <c r="EC190" s="24"/>
      <c r="ED190" s="24"/>
      <c r="EE190" s="24"/>
      <c r="EF190" s="24"/>
      <c r="EG190" s="24"/>
      <c r="EH190" s="24"/>
      <c r="EI190" s="24"/>
      <c r="EJ190" s="24"/>
      <c r="EK190" s="24"/>
      <c r="EL190" s="24"/>
      <c r="EM190" s="24"/>
      <c r="EN190" s="24"/>
      <c r="EO190" s="24"/>
      <c r="EP190" s="24"/>
      <c r="EQ190" s="24"/>
      <c r="ER190" s="24"/>
      <c r="ES190" s="24"/>
      <c r="ET190" s="24"/>
      <c r="EU190" s="24"/>
      <c r="EV190" s="24"/>
      <c r="EW190" s="24"/>
      <c r="EX190" s="24"/>
      <c r="EY190" s="24"/>
      <c r="EZ190" s="24"/>
      <c r="FA190" s="24"/>
      <c r="FB190" s="24"/>
      <c r="FC190" s="24"/>
      <c r="FD190" s="24"/>
      <c r="FE190" s="24"/>
      <c r="FF190" s="24"/>
      <c r="FG190" s="24"/>
      <c r="FH190" s="24"/>
      <c r="FI190" s="24"/>
      <c r="FJ190" s="24"/>
      <c r="FK190" s="24"/>
      <c r="FL190" s="24"/>
      <c r="FM190" s="24"/>
      <c r="FN190" s="24"/>
      <c r="FO190" s="24"/>
      <c r="FP190" s="24"/>
      <c r="FQ190" s="24"/>
      <c r="FR190" s="24"/>
      <c r="FS190" s="24"/>
      <c r="FT190" s="24"/>
      <c r="FU190" s="24"/>
      <c r="FV190" s="24"/>
      <c r="FW190" s="24"/>
      <c r="FX190" s="24"/>
      <c r="FY190" s="24"/>
      <c r="FZ190" s="24"/>
      <c r="GA190" s="24"/>
      <c r="GB190" s="24"/>
      <c r="GC190" s="24"/>
      <c r="GD190" s="24"/>
      <c r="GE190" s="24"/>
      <c r="GF190" s="24"/>
      <c r="GG190" s="24"/>
      <c r="GH190" s="24"/>
      <c r="GI190" s="24"/>
      <c r="GJ190" s="24"/>
      <c r="GK190" s="24"/>
      <c r="GL190" s="24"/>
      <c r="GM190" s="24"/>
      <c r="GN190" s="24"/>
      <c r="GO190" s="24"/>
      <c r="GP190" s="24"/>
      <c r="GQ190" s="24"/>
      <c r="GR190" s="24"/>
      <c r="GS190" s="24"/>
      <c r="GT190" s="24"/>
      <c r="GU190" s="24"/>
      <c r="GV190" s="24"/>
      <c r="GW190" s="24"/>
      <c r="GX190" s="24"/>
      <c r="GY190" s="24"/>
      <c r="GZ190" s="24"/>
      <c r="HA190" s="24"/>
      <c r="HB190" s="24"/>
      <c r="HC190" s="24"/>
      <c r="HD190" s="24"/>
      <c r="HE190" s="24"/>
      <c r="HF190" s="24"/>
      <c r="HG190" s="24"/>
      <c r="HH190" s="24"/>
      <c r="HI190" s="24"/>
      <c r="HJ190" s="24"/>
      <c r="HK190" s="24"/>
      <c r="HL190" s="24"/>
      <c r="HM190" s="24"/>
      <c r="HN190" s="24"/>
      <c r="HO190" s="24"/>
      <c r="HP190" s="24"/>
      <c r="HQ190" s="24"/>
      <c r="HR190" s="24"/>
      <c r="HS190" s="24"/>
      <c r="HT190" s="24"/>
      <c r="HU190" s="25"/>
      <c r="HV190" s="26"/>
      <c r="HW190" s="27"/>
      <c r="HX190" s="26"/>
      <c r="HY190" s="26"/>
      <c r="HZ190" s="26"/>
      <c r="IA190" s="25"/>
      <c r="IB190" s="26"/>
      <c r="IC190" s="27"/>
      <c r="ID190" s="25"/>
      <c r="IE190" s="26"/>
      <c r="IF190" s="27"/>
    </row>
    <row r="191" spans="4:240" hidden="1" x14ac:dyDescent="0.35">
      <c r="D191" s="1"/>
      <c r="E191" s="3"/>
      <c r="G191" s="5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X191" s="24"/>
      <c r="DY191" s="24"/>
      <c r="DZ191" s="24"/>
      <c r="EA191" s="24"/>
      <c r="EB191" s="24"/>
      <c r="EC191" s="24"/>
      <c r="ED191" s="24"/>
      <c r="EE191" s="24"/>
      <c r="EF191" s="24"/>
      <c r="EG191" s="24"/>
      <c r="EH191" s="24"/>
      <c r="EI191" s="24"/>
      <c r="EJ191" s="24"/>
      <c r="EK191" s="24"/>
      <c r="EL191" s="24"/>
      <c r="EM191" s="24"/>
      <c r="EN191" s="24"/>
      <c r="EO191" s="24"/>
      <c r="EP191" s="24"/>
      <c r="EQ191" s="24"/>
      <c r="ER191" s="24"/>
      <c r="ES191" s="24"/>
      <c r="ET191" s="24"/>
      <c r="EU191" s="24"/>
      <c r="EV191" s="24"/>
      <c r="EW191" s="24"/>
      <c r="EX191" s="24"/>
      <c r="EY191" s="24"/>
      <c r="EZ191" s="24"/>
      <c r="FA191" s="24"/>
      <c r="FB191" s="24"/>
      <c r="FC191" s="24"/>
      <c r="FD191" s="24"/>
      <c r="FE191" s="24"/>
      <c r="FF191" s="24"/>
      <c r="FG191" s="24"/>
      <c r="FH191" s="24"/>
      <c r="FI191" s="24"/>
      <c r="FJ191" s="24"/>
      <c r="FK191" s="24"/>
      <c r="FL191" s="24"/>
      <c r="FM191" s="24"/>
      <c r="FN191" s="24"/>
      <c r="FO191" s="24"/>
      <c r="FP191" s="24"/>
      <c r="FQ191" s="24"/>
      <c r="FR191" s="24"/>
      <c r="FS191" s="24"/>
      <c r="FT191" s="24"/>
      <c r="FU191" s="24"/>
      <c r="FV191" s="24"/>
      <c r="FW191" s="24"/>
      <c r="FX191" s="24"/>
      <c r="FY191" s="24"/>
      <c r="FZ191" s="24"/>
      <c r="GA191" s="24"/>
      <c r="GB191" s="24"/>
      <c r="GC191" s="24"/>
      <c r="GD191" s="24"/>
      <c r="GE191" s="24"/>
      <c r="GF191" s="24"/>
      <c r="GG191" s="24"/>
      <c r="GH191" s="24"/>
      <c r="GI191" s="24"/>
      <c r="GJ191" s="24"/>
      <c r="GK191" s="24"/>
      <c r="GL191" s="24"/>
      <c r="GM191" s="24"/>
      <c r="GN191" s="24"/>
      <c r="GO191" s="24"/>
      <c r="GP191" s="24"/>
      <c r="GQ191" s="24"/>
      <c r="GR191" s="24"/>
      <c r="GS191" s="24"/>
      <c r="GT191" s="24"/>
      <c r="GU191" s="24"/>
      <c r="GV191" s="24"/>
      <c r="GW191" s="24"/>
      <c r="GX191" s="24"/>
      <c r="GY191" s="24"/>
      <c r="GZ191" s="24"/>
      <c r="HA191" s="24"/>
      <c r="HB191" s="24"/>
      <c r="HC191" s="24"/>
      <c r="HD191" s="24"/>
      <c r="HE191" s="24"/>
      <c r="HF191" s="24"/>
      <c r="HG191" s="24"/>
      <c r="HH191" s="24"/>
      <c r="HI191" s="24"/>
      <c r="HJ191" s="24"/>
      <c r="HK191" s="24"/>
      <c r="HL191" s="24"/>
      <c r="HM191" s="24"/>
      <c r="HN191" s="24"/>
      <c r="HO191" s="24"/>
      <c r="HP191" s="24"/>
      <c r="HQ191" s="24"/>
      <c r="HR191" s="24"/>
      <c r="HS191" s="24"/>
      <c r="HT191" s="24"/>
      <c r="HU191" s="25"/>
      <c r="HV191" s="26"/>
      <c r="HW191" s="27"/>
      <c r="HX191" s="26"/>
      <c r="HY191" s="26"/>
      <c r="HZ191" s="26"/>
      <c r="IA191" s="25"/>
      <c r="IB191" s="26"/>
      <c r="IC191" s="27"/>
      <c r="ID191" s="25"/>
      <c r="IE191" s="26"/>
      <c r="IF191" s="27"/>
    </row>
    <row r="192" spans="4:240" hidden="1" x14ac:dyDescent="0.35">
      <c r="D192" s="1"/>
      <c r="E192" s="3"/>
      <c r="G192" s="5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K192" s="21"/>
      <c r="CL192" s="2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1"/>
      <c r="DC192" s="21"/>
      <c r="DD192" s="21"/>
      <c r="DE192" s="21"/>
      <c r="DF192" s="21"/>
      <c r="DX192" s="24"/>
      <c r="DY192" s="24"/>
      <c r="DZ192" s="24"/>
      <c r="EA192" s="24"/>
      <c r="EB192" s="24"/>
      <c r="EC192" s="24"/>
      <c r="ED192" s="24"/>
      <c r="EE192" s="24"/>
      <c r="EF192" s="24"/>
      <c r="EG192" s="24"/>
      <c r="EH192" s="24"/>
      <c r="EI192" s="24"/>
      <c r="EJ192" s="24"/>
      <c r="EK192" s="24"/>
      <c r="EL192" s="24"/>
      <c r="EM192" s="24"/>
      <c r="EN192" s="24"/>
      <c r="EO192" s="24"/>
      <c r="EP192" s="24"/>
      <c r="EQ192" s="24"/>
      <c r="ER192" s="24"/>
      <c r="ES192" s="24"/>
      <c r="ET192" s="24"/>
      <c r="EU192" s="24"/>
      <c r="EV192" s="24"/>
      <c r="EW192" s="24"/>
      <c r="EX192" s="24"/>
      <c r="EY192" s="24"/>
      <c r="EZ192" s="24"/>
      <c r="FA192" s="24"/>
      <c r="FB192" s="24"/>
      <c r="FC192" s="24"/>
      <c r="FD192" s="24"/>
      <c r="FE192" s="24"/>
      <c r="FF192" s="24"/>
      <c r="FG192" s="24"/>
      <c r="FH192" s="24"/>
      <c r="FI192" s="24"/>
      <c r="FJ192" s="24"/>
      <c r="FK192" s="24"/>
      <c r="FL192" s="24"/>
      <c r="FM192" s="24"/>
      <c r="FN192" s="24"/>
      <c r="FO192" s="24"/>
      <c r="FP192" s="24"/>
      <c r="FQ192" s="24"/>
      <c r="FR192" s="24"/>
      <c r="FS192" s="24"/>
      <c r="FT192" s="24"/>
      <c r="FU192" s="24"/>
      <c r="FV192" s="24"/>
      <c r="FW192" s="24"/>
      <c r="FX192" s="24"/>
      <c r="FY192" s="24"/>
      <c r="FZ192" s="24"/>
      <c r="GA192" s="24"/>
      <c r="GB192" s="24"/>
      <c r="GC192" s="24"/>
      <c r="GD192" s="24"/>
      <c r="GE192" s="24"/>
      <c r="GF192" s="24"/>
      <c r="GG192" s="24"/>
      <c r="GH192" s="24"/>
      <c r="GI192" s="24"/>
      <c r="GJ192" s="24"/>
      <c r="GK192" s="24"/>
      <c r="GL192" s="24"/>
      <c r="GM192" s="24"/>
      <c r="GN192" s="24"/>
      <c r="GO192" s="24"/>
      <c r="GP192" s="24"/>
      <c r="GQ192" s="24"/>
      <c r="GR192" s="24"/>
      <c r="GS192" s="24"/>
      <c r="GT192" s="24"/>
      <c r="GU192" s="24"/>
      <c r="GV192" s="24"/>
      <c r="GW192" s="24"/>
      <c r="GX192" s="24"/>
      <c r="GY192" s="24"/>
      <c r="GZ192" s="24"/>
      <c r="HA192" s="24"/>
      <c r="HB192" s="24"/>
      <c r="HC192" s="24"/>
      <c r="HD192" s="24"/>
      <c r="HE192" s="24"/>
      <c r="HF192" s="24"/>
      <c r="HG192" s="24"/>
      <c r="HH192" s="24"/>
      <c r="HI192" s="24"/>
      <c r="HJ192" s="24"/>
      <c r="HK192" s="24"/>
      <c r="HL192" s="24"/>
      <c r="HM192" s="24"/>
      <c r="HN192" s="24"/>
      <c r="HO192" s="24"/>
      <c r="HP192" s="24"/>
      <c r="HQ192" s="24"/>
      <c r="HR192" s="24"/>
      <c r="HS192" s="24"/>
      <c r="HT192" s="24"/>
      <c r="HU192" s="25"/>
      <c r="HV192" s="26"/>
      <c r="HW192" s="27"/>
      <c r="HX192" s="26"/>
      <c r="HY192" s="26"/>
      <c r="HZ192" s="26"/>
      <c r="IA192" s="25"/>
      <c r="IB192" s="26"/>
      <c r="IC192" s="27"/>
      <c r="ID192" s="25"/>
      <c r="IE192" s="26"/>
      <c r="IF192" s="27"/>
    </row>
    <row r="193" spans="4:240" hidden="1" x14ac:dyDescent="0.35">
      <c r="D193" s="1"/>
      <c r="E193" s="3"/>
      <c r="G193" s="5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K193" s="21"/>
      <c r="CL193" s="2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1"/>
      <c r="DC193" s="21"/>
      <c r="DD193" s="21"/>
      <c r="DE193" s="21"/>
      <c r="DF193" s="21"/>
      <c r="DX193" s="24"/>
      <c r="DY193" s="24"/>
      <c r="DZ193" s="24"/>
      <c r="EA193" s="24"/>
      <c r="EB193" s="24"/>
      <c r="EC193" s="24"/>
      <c r="ED193" s="24"/>
      <c r="EE193" s="24"/>
      <c r="EF193" s="24"/>
      <c r="EG193" s="24"/>
      <c r="EH193" s="24"/>
      <c r="EI193" s="24"/>
      <c r="EJ193" s="24"/>
      <c r="EK193" s="24"/>
      <c r="EL193" s="24"/>
      <c r="EM193" s="24"/>
      <c r="EN193" s="24"/>
      <c r="EO193" s="24"/>
      <c r="EP193" s="24"/>
      <c r="EQ193" s="24"/>
      <c r="ER193" s="24"/>
      <c r="ES193" s="24"/>
      <c r="ET193" s="24"/>
      <c r="EU193" s="24"/>
      <c r="EV193" s="24"/>
      <c r="EW193" s="24"/>
      <c r="EX193" s="24"/>
      <c r="EY193" s="24"/>
      <c r="EZ193" s="24"/>
      <c r="FA193" s="24"/>
      <c r="FB193" s="24"/>
      <c r="FC193" s="24"/>
      <c r="FD193" s="24"/>
      <c r="FE193" s="24"/>
      <c r="FF193" s="24"/>
      <c r="FG193" s="24"/>
      <c r="FH193" s="24"/>
      <c r="FI193" s="24"/>
      <c r="FJ193" s="24"/>
      <c r="FK193" s="24"/>
      <c r="FL193" s="24"/>
      <c r="FM193" s="24"/>
      <c r="FN193" s="24"/>
      <c r="FO193" s="24"/>
      <c r="FP193" s="24"/>
      <c r="FQ193" s="24"/>
      <c r="FR193" s="24"/>
      <c r="FS193" s="24"/>
      <c r="FT193" s="24"/>
      <c r="FU193" s="24"/>
      <c r="FV193" s="24"/>
      <c r="FW193" s="24"/>
      <c r="FX193" s="24"/>
      <c r="FY193" s="24"/>
      <c r="FZ193" s="24"/>
      <c r="GA193" s="24"/>
      <c r="GB193" s="24"/>
      <c r="GC193" s="24"/>
      <c r="GD193" s="24"/>
      <c r="GE193" s="24"/>
      <c r="GF193" s="24"/>
      <c r="GG193" s="24"/>
      <c r="GH193" s="24"/>
      <c r="GI193" s="24"/>
      <c r="GJ193" s="24"/>
      <c r="GK193" s="24"/>
      <c r="GL193" s="24"/>
      <c r="GM193" s="24"/>
      <c r="GN193" s="24"/>
      <c r="GO193" s="24"/>
      <c r="GP193" s="24"/>
      <c r="GQ193" s="24"/>
      <c r="GR193" s="24"/>
      <c r="GS193" s="24"/>
      <c r="GT193" s="24"/>
      <c r="GU193" s="24"/>
      <c r="GV193" s="24"/>
      <c r="GW193" s="24"/>
      <c r="GX193" s="24"/>
      <c r="GY193" s="24"/>
      <c r="GZ193" s="24"/>
      <c r="HA193" s="24"/>
      <c r="HB193" s="24"/>
      <c r="HC193" s="24"/>
      <c r="HD193" s="24"/>
      <c r="HE193" s="24"/>
      <c r="HF193" s="24"/>
      <c r="HG193" s="24"/>
      <c r="HH193" s="24"/>
      <c r="HI193" s="24"/>
      <c r="HJ193" s="24"/>
      <c r="HK193" s="24"/>
      <c r="HL193" s="24"/>
      <c r="HM193" s="24"/>
      <c r="HN193" s="24"/>
      <c r="HO193" s="24"/>
      <c r="HP193" s="24"/>
      <c r="HQ193" s="24"/>
      <c r="HR193" s="24"/>
      <c r="HS193" s="24"/>
      <c r="HT193" s="24"/>
      <c r="HU193" s="25"/>
      <c r="HV193" s="26"/>
      <c r="HW193" s="27"/>
      <c r="HX193" s="26"/>
      <c r="HY193" s="26"/>
      <c r="HZ193" s="26"/>
      <c r="IA193" s="25"/>
      <c r="IB193" s="26"/>
      <c r="IC193" s="27"/>
      <c r="ID193" s="25"/>
      <c r="IE193" s="26"/>
      <c r="IF193" s="27"/>
    </row>
    <row r="194" spans="4:240" hidden="1" x14ac:dyDescent="0.35">
      <c r="D194" s="1"/>
      <c r="E194" s="3"/>
      <c r="G194" s="5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K194" s="21"/>
      <c r="CL194" s="2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1"/>
      <c r="DC194" s="21"/>
      <c r="DD194" s="21"/>
      <c r="DE194" s="21"/>
      <c r="DF194" s="21"/>
      <c r="DX194" s="24"/>
      <c r="DY194" s="24"/>
      <c r="DZ194" s="24"/>
      <c r="EA194" s="24"/>
      <c r="EB194" s="24"/>
      <c r="EC194" s="24"/>
      <c r="ED194" s="24"/>
      <c r="EE194" s="24"/>
      <c r="EF194" s="24"/>
      <c r="EG194" s="24"/>
      <c r="EH194" s="24"/>
      <c r="EI194" s="24"/>
      <c r="EJ194" s="24"/>
      <c r="EK194" s="24"/>
      <c r="EL194" s="24"/>
      <c r="EM194" s="24"/>
      <c r="EN194" s="24"/>
      <c r="EO194" s="24"/>
      <c r="EP194" s="24"/>
      <c r="EQ194" s="24"/>
      <c r="ER194" s="24"/>
      <c r="ES194" s="24"/>
      <c r="ET194" s="24"/>
      <c r="EU194" s="24"/>
      <c r="EV194" s="24"/>
      <c r="EW194" s="24"/>
      <c r="EX194" s="24"/>
      <c r="EY194" s="24"/>
      <c r="EZ194" s="24"/>
      <c r="FA194" s="24"/>
      <c r="FB194" s="24"/>
      <c r="FC194" s="24"/>
      <c r="FD194" s="24"/>
      <c r="FE194" s="24"/>
      <c r="FF194" s="24"/>
      <c r="FG194" s="24"/>
      <c r="FH194" s="24"/>
      <c r="FI194" s="24"/>
      <c r="FJ194" s="24"/>
      <c r="FK194" s="24"/>
      <c r="FL194" s="24"/>
      <c r="FM194" s="24"/>
      <c r="FN194" s="24"/>
      <c r="FO194" s="24"/>
      <c r="FP194" s="24"/>
      <c r="FQ194" s="24"/>
      <c r="FR194" s="24"/>
      <c r="FS194" s="24"/>
      <c r="FT194" s="24"/>
      <c r="FU194" s="24"/>
      <c r="FV194" s="24"/>
      <c r="FW194" s="24"/>
      <c r="FX194" s="24"/>
      <c r="FY194" s="24"/>
      <c r="FZ194" s="24"/>
      <c r="GA194" s="24"/>
      <c r="GB194" s="24"/>
      <c r="GC194" s="24"/>
      <c r="GD194" s="24"/>
      <c r="GE194" s="24"/>
      <c r="GF194" s="24"/>
      <c r="GG194" s="24"/>
      <c r="GH194" s="24"/>
      <c r="GI194" s="24"/>
      <c r="GJ194" s="24"/>
      <c r="GK194" s="24"/>
      <c r="GL194" s="24"/>
      <c r="GM194" s="24"/>
      <c r="GN194" s="24"/>
      <c r="GO194" s="24"/>
      <c r="GP194" s="24"/>
      <c r="GQ194" s="24"/>
      <c r="GR194" s="24"/>
      <c r="GS194" s="24"/>
      <c r="GT194" s="24"/>
      <c r="GU194" s="24"/>
      <c r="GV194" s="24"/>
      <c r="GW194" s="24"/>
      <c r="GX194" s="24"/>
      <c r="GY194" s="24"/>
      <c r="GZ194" s="24"/>
      <c r="HA194" s="24"/>
      <c r="HB194" s="24"/>
      <c r="HC194" s="24"/>
      <c r="HD194" s="24"/>
      <c r="HE194" s="24"/>
      <c r="HF194" s="24"/>
      <c r="HG194" s="24"/>
      <c r="HH194" s="24"/>
      <c r="HI194" s="24"/>
      <c r="HJ194" s="24"/>
      <c r="HK194" s="24"/>
      <c r="HL194" s="24"/>
      <c r="HM194" s="24"/>
      <c r="HN194" s="24"/>
      <c r="HO194" s="24"/>
      <c r="HP194" s="24"/>
      <c r="HQ194" s="24"/>
      <c r="HR194" s="24"/>
      <c r="HS194" s="24"/>
      <c r="HT194" s="24"/>
      <c r="HU194" s="25"/>
      <c r="HV194" s="26"/>
      <c r="HW194" s="27"/>
      <c r="HX194" s="26"/>
      <c r="HY194" s="26"/>
      <c r="HZ194" s="26"/>
      <c r="IA194" s="25"/>
      <c r="IB194" s="26"/>
      <c r="IC194" s="27"/>
      <c r="ID194" s="25"/>
      <c r="IE194" s="26"/>
      <c r="IF194" s="27"/>
    </row>
    <row r="195" spans="4:240" hidden="1" x14ac:dyDescent="0.35">
      <c r="D195" s="1"/>
      <c r="E195" s="3"/>
      <c r="G195" s="5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K195" s="21"/>
      <c r="CL195" s="2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1"/>
      <c r="DC195" s="21"/>
      <c r="DD195" s="21"/>
      <c r="DE195" s="21"/>
      <c r="DF195" s="21"/>
      <c r="DX195" s="24"/>
      <c r="DY195" s="24"/>
      <c r="DZ195" s="24"/>
      <c r="EA195" s="24"/>
      <c r="EB195" s="24"/>
      <c r="EC195" s="24"/>
      <c r="ED195" s="24"/>
      <c r="EE195" s="24"/>
      <c r="EF195" s="24"/>
      <c r="EG195" s="24"/>
      <c r="EH195" s="24"/>
      <c r="EI195" s="24"/>
      <c r="EJ195" s="24"/>
      <c r="EK195" s="24"/>
      <c r="EL195" s="24"/>
      <c r="EM195" s="24"/>
      <c r="EN195" s="24"/>
      <c r="EO195" s="24"/>
      <c r="EP195" s="24"/>
      <c r="EQ195" s="24"/>
      <c r="ER195" s="24"/>
      <c r="ES195" s="24"/>
      <c r="ET195" s="24"/>
      <c r="EU195" s="24"/>
      <c r="EV195" s="24"/>
      <c r="EW195" s="24"/>
      <c r="EX195" s="24"/>
      <c r="EY195" s="24"/>
      <c r="EZ195" s="24"/>
      <c r="FA195" s="24"/>
      <c r="FB195" s="24"/>
      <c r="FC195" s="24"/>
      <c r="FD195" s="24"/>
      <c r="FE195" s="24"/>
      <c r="FF195" s="24"/>
      <c r="FG195" s="24"/>
      <c r="FH195" s="24"/>
      <c r="FI195" s="24"/>
      <c r="FJ195" s="24"/>
      <c r="FK195" s="24"/>
      <c r="FL195" s="24"/>
      <c r="FM195" s="24"/>
      <c r="FN195" s="24"/>
      <c r="FO195" s="24"/>
      <c r="FP195" s="24"/>
      <c r="FQ195" s="24"/>
      <c r="FR195" s="24"/>
      <c r="FS195" s="24"/>
      <c r="FT195" s="24"/>
      <c r="FU195" s="24"/>
      <c r="FV195" s="24"/>
      <c r="FW195" s="24"/>
      <c r="FX195" s="24"/>
      <c r="FY195" s="24"/>
      <c r="FZ195" s="24"/>
      <c r="GA195" s="24"/>
      <c r="GB195" s="24"/>
      <c r="GC195" s="24"/>
      <c r="GD195" s="24"/>
      <c r="GE195" s="24"/>
      <c r="GF195" s="24"/>
      <c r="GG195" s="24"/>
      <c r="GH195" s="24"/>
      <c r="GI195" s="24"/>
      <c r="GJ195" s="24"/>
      <c r="GK195" s="24"/>
      <c r="GL195" s="24"/>
      <c r="GM195" s="24"/>
      <c r="GN195" s="24"/>
      <c r="GO195" s="24"/>
      <c r="GP195" s="24"/>
      <c r="GQ195" s="24"/>
      <c r="GR195" s="24"/>
      <c r="GS195" s="24"/>
      <c r="GT195" s="24"/>
      <c r="GU195" s="24"/>
      <c r="GV195" s="24"/>
      <c r="GW195" s="24"/>
      <c r="GX195" s="24"/>
      <c r="GY195" s="24"/>
      <c r="GZ195" s="24"/>
      <c r="HA195" s="24"/>
      <c r="HB195" s="24"/>
      <c r="HC195" s="24"/>
      <c r="HD195" s="24"/>
      <c r="HE195" s="24"/>
      <c r="HF195" s="24"/>
      <c r="HG195" s="24"/>
      <c r="HH195" s="24"/>
      <c r="HI195" s="24"/>
      <c r="HJ195" s="24"/>
      <c r="HK195" s="24"/>
      <c r="HL195" s="24"/>
      <c r="HM195" s="24"/>
      <c r="HN195" s="24"/>
      <c r="HO195" s="24"/>
      <c r="HP195" s="24"/>
      <c r="HQ195" s="24"/>
      <c r="HR195" s="24"/>
      <c r="HS195" s="24"/>
      <c r="HT195" s="24"/>
      <c r="HU195" s="25"/>
      <c r="HV195" s="26"/>
      <c r="HW195" s="27"/>
      <c r="HX195" s="26"/>
      <c r="HY195" s="26"/>
      <c r="HZ195" s="26"/>
      <c r="IA195" s="25"/>
      <c r="IB195" s="26"/>
      <c r="IC195" s="27"/>
      <c r="ID195" s="25"/>
      <c r="IE195" s="26"/>
      <c r="IF195" s="27"/>
    </row>
    <row r="196" spans="4:240" hidden="1" x14ac:dyDescent="0.35">
      <c r="D196" s="1"/>
      <c r="E196" s="3"/>
      <c r="G196" s="5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K196" s="21"/>
      <c r="CL196" s="2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1"/>
      <c r="DC196" s="21"/>
      <c r="DD196" s="21"/>
      <c r="DE196" s="21"/>
      <c r="DF196" s="21"/>
      <c r="DX196" s="24"/>
      <c r="DY196" s="24"/>
      <c r="DZ196" s="24"/>
      <c r="EA196" s="24"/>
      <c r="EB196" s="24"/>
      <c r="EC196" s="24"/>
      <c r="ED196" s="24"/>
      <c r="EE196" s="24"/>
      <c r="EF196" s="24"/>
      <c r="EG196" s="24"/>
      <c r="EH196" s="24"/>
      <c r="EI196" s="24"/>
      <c r="EJ196" s="24"/>
      <c r="EK196" s="24"/>
      <c r="EL196" s="24"/>
      <c r="EM196" s="24"/>
      <c r="EN196" s="24"/>
      <c r="EO196" s="24"/>
      <c r="EP196" s="24"/>
      <c r="EQ196" s="24"/>
      <c r="ER196" s="24"/>
      <c r="ES196" s="24"/>
      <c r="ET196" s="24"/>
      <c r="EU196" s="24"/>
      <c r="EV196" s="24"/>
      <c r="EW196" s="24"/>
      <c r="EX196" s="24"/>
      <c r="EY196" s="24"/>
      <c r="EZ196" s="24"/>
      <c r="FA196" s="24"/>
      <c r="FB196" s="24"/>
      <c r="FC196" s="24"/>
      <c r="FD196" s="24"/>
      <c r="FE196" s="24"/>
      <c r="FF196" s="24"/>
      <c r="FG196" s="24"/>
      <c r="FH196" s="24"/>
      <c r="FI196" s="24"/>
      <c r="FJ196" s="24"/>
      <c r="FK196" s="24"/>
      <c r="FL196" s="24"/>
      <c r="FM196" s="24"/>
      <c r="FN196" s="24"/>
      <c r="FO196" s="24"/>
      <c r="FP196" s="24"/>
      <c r="FQ196" s="24"/>
      <c r="FR196" s="24"/>
      <c r="FS196" s="24"/>
      <c r="FT196" s="24"/>
      <c r="FU196" s="24"/>
      <c r="FV196" s="24"/>
      <c r="FW196" s="24"/>
      <c r="FX196" s="24"/>
      <c r="FY196" s="24"/>
      <c r="FZ196" s="24"/>
      <c r="GA196" s="24"/>
      <c r="GB196" s="24"/>
      <c r="GC196" s="24"/>
      <c r="GD196" s="24"/>
      <c r="GE196" s="24"/>
      <c r="GF196" s="24"/>
      <c r="GG196" s="24"/>
      <c r="GH196" s="24"/>
      <c r="GI196" s="24"/>
      <c r="GJ196" s="24"/>
      <c r="GK196" s="24"/>
      <c r="GL196" s="24"/>
      <c r="GM196" s="24"/>
      <c r="GN196" s="24"/>
      <c r="GO196" s="24"/>
      <c r="GP196" s="24"/>
      <c r="GQ196" s="24"/>
      <c r="GR196" s="24"/>
      <c r="GS196" s="24"/>
      <c r="GT196" s="24"/>
      <c r="GU196" s="24"/>
      <c r="GV196" s="24"/>
      <c r="GW196" s="24"/>
      <c r="GX196" s="24"/>
      <c r="GY196" s="24"/>
      <c r="GZ196" s="24"/>
      <c r="HA196" s="24"/>
      <c r="HB196" s="24"/>
      <c r="HC196" s="24"/>
      <c r="HD196" s="24"/>
      <c r="HE196" s="24"/>
      <c r="HF196" s="24"/>
      <c r="HG196" s="24"/>
      <c r="HH196" s="24"/>
      <c r="HI196" s="24"/>
      <c r="HJ196" s="24"/>
      <c r="HK196" s="24"/>
      <c r="HL196" s="24"/>
      <c r="HM196" s="24"/>
      <c r="HN196" s="24"/>
      <c r="HO196" s="24"/>
      <c r="HP196" s="24"/>
      <c r="HQ196" s="24"/>
      <c r="HR196" s="24"/>
      <c r="HS196" s="24"/>
      <c r="HT196" s="24"/>
      <c r="HU196" s="25"/>
      <c r="HV196" s="26"/>
      <c r="HW196" s="27"/>
      <c r="HX196" s="26"/>
      <c r="HY196" s="26"/>
      <c r="HZ196" s="26"/>
      <c r="IA196" s="25"/>
      <c r="IB196" s="26"/>
      <c r="IC196" s="27"/>
      <c r="ID196" s="25"/>
      <c r="IE196" s="26"/>
      <c r="IF196" s="27"/>
    </row>
    <row r="197" spans="4:240" hidden="1" x14ac:dyDescent="0.35">
      <c r="D197" s="1"/>
      <c r="E197" s="3"/>
      <c r="G197" s="5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K197" s="21"/>
      <c r="CL197" s="2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1"/>
      <c r="DC197" s="21"/>
      <c r="DD197" s="21"/>
      <c r="DE197" s="21"/>
      <c r="DF197" s="21"/>
      <c r="DX197" s="24"/>
      <c r="DY197" s="24"/>
      <c r="DZ197" s="24"/>
      <c r="EA197" s="24"/>
      <c r="EB197" s="24"/>
      <c r="EC197" s="24"/>
      <c r="ED197" s="24"/>
      <c r="EE197" s="24"/>
      <c r="EF197" s="24"/>
      <c r="EG197" s="24"/>
      <c r="EH197" s="24"/>
      <c r="EI197" s="24"/>
      <c r="EJ197" s="24"/>
      <c r="EK197" s="24"/>
      <c r="EL197" s="24"/>
      <c r="EM197" s="24"/>
      <c r="EN197" s="24"/>
      <c r="EO197" s="24"/>
      <c r="EP197" s="24"/>
      <c r="EQ197" s="24"/>
      <c r="ER197" s="24"/>
      <c r="ES197" s="24"/>
      <c r="ET197" s="24"/>
      <c r="EU197" s="24"/>
      <c r="EV197" s="24"/>
      <c r="EW197" s="24"/>
      <c r="EX197" s="24"/>
      <c r="EY197" s="24"/>
      <c r="EZ197" s="24"/>
      <c r="FA197" s="24"/>
      <c r="FB197" s="24"/>
      <c r="FC197" s="24"/>
      <c r="FD197" s="24"/>
      <c r="FE197" s="24"/>
      <c r="FF197" s="24"/>
      <c r="FG197" s="24"/>
      <c r="FH197" s="24"/>
      <c r="FI197" s="24"/>
      <c r="FJ197" s="24"/>
      <c r="FK197" s="24"/>
      <c r="FL197" s="24"/>
      <c r="FM197" s="24"/>
      <c r="FN197" s="24"/>
      <c r="FO197" s="24"/>
      <c r="FP197" s="24"/>
      <c r="FQ197" s="24"/>
      <c r="FR197" s="24"/>
      <c r="FS197" s="24"/>
      <c r="FT197" s="24"/>
      <c r="FU197" s="24"/>
      <c r="FV197" s="24"/>
      <c r="FW197" s="24"/>
      <c r="FX197" s="24"/>
      <c r="FY197" s="24"/>
      <c r="FZ197" s="24"/>
      <c r="GA197" s="24"/>
      <c r="GB197" s="24"/>
      <c r="GC197" s="24"/>
      <c r="GD197" s="24"/>
      <c r="GE197" s="24"/>
      <c r="GF197" s="24"/>
      <c r="GG197" s="24"/>
      <c r="GH197" s="24"/>
      <c r="GI197" s="24"/>
      <c r="GJ197" s="24"/>
      <c r="GK197" s="24"/>
      <c r="GL197" s="24"/>
      <c r="GM197" s="24"/>
      <c r="GN197" s="24"/>
      <c r="GO197" s="24"/>
      <c r="GP197" s="24"/>
      <c r="GQ197" s="24"/>
      <c r="GR197" s="24"/>
      <c r="GS197" s="24"/>
      <c r="GT197" s="24"/>
      <c r="GU197" s="24"/>
      <c r="GV197" s="24"/>
      <c r="GW197" s="24"/>
      <c r="GX197" s="24"/>
      <c r="GY197" s="24"/>
      <c r="GZ197" s="24"/>
      <c r="HA197" s="24"/>
      <c r="HB197" s="24"/>
      <c r="HC197" s="24"/>
      <c r="HD197" s="24"/>
      <c r="HE197" s="24"/>
      <c r="HF197" s="24"/>
      <c r="HG197" s="24"/>
      <c r="HH197" s="24"/>
      <c r="HI197" s="24"/>
      <c r="HJ197" s="24"/>
      <c r="HK197" s="24"/>
      <c r="HL197" s="24"/>
      <c r="HM197" s="24"/>
      <c r="HN197" s="24"/>
      <c r="HO197" s="24"/>
      <c r="HP197" s="24"/>
      <c r="HQ197" s="24"/>
      <c r="HR197" s="24"/>
      <c r="HS197" s="24"/>
      <c r="HT197" s="24"/>
      <c r="HU197" s="25"/>
      <c r="HV197" s="26"/>
      <c r="HW197" s="27"/>
      <c r="HX197" s="26"/>
      <c r="HY197" s="26"/>
      <c r="HZ197" s="26"/>
      <c r="IA197" s="25"/>
      <c r="IB197" s="26"/>
      <c r="IC197" s="27"/>
      <c r="ID197" s="25"/>
      <c r="IE197" s="26"/>
      <c r="IF197" s="27"/>
    </row>
    <row r="198" spans="4:240" hidden="1" x14ac:dyDescent="0.35">
      <c r="D198" s="1"/>
      <c r="E198" s="3"/>
      <c r="G198" s="5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K198" s="21"/>
      <c r="CL198" s="2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1"/>
      <c r="DC198" s="21"/>
      <c r="DD198" s="21"/>
      <c r="DE198" s="21"/>
      <c r="DF198" s="21"/>
      <c r="DX198" s="24"/>
      <c r="DY198" s="24"/>
      <c r="DZ198" s="24"/>
      <c r="EA198" s="24"/>
      <c r="EB198" s="24"/>
      <c r="EC198" s="24"/>
      <c r="ED198" s="24"/>
      <c r="EE198" s="24"/>
      <c r="EF198" s="24"/>
      <c r="EG198" s="24"/>
      <c r="EH198" s="24"/>
      <c r="EI198" s="24"/>
      <c r="EJ198" s="24"/>
      <c r="EK198" s="24"/>
      <c r="EL198" s="24"/>
      <c r="EM198" s="24"/>
      <c r="EN198" s="24"/>
      <c r="EO198" s="24"/>
      <c r="EP198" s="24"/>
      <c r="EQ198" s="24"/>
      <c r="ER198" s="24"/>
      <c r="ES198" s="24"/>
      <c r="ET198" s="24"/>
      <c r="EU198" s="24"/>
      <c r="EV198" s="24"/>
      <c r="EW198" s="24"/>
      <c r="EX198" s="24"/>
      <c r="EY198" s="24"/>
      <c r="EZ198" s="24"/>
      <c r="FA198" s="24"/>
      <c r="FB198" s="24"/>
      <c r="FC198" s="24"/>
      <c r="FD198" s="24"/>
      <c r="FE198" s="24"/>
      <c r="FF198" s="24"/>
      <c r="FG198" s="24"/>
      <c r="FH198" s="24"/>
      <c r="FI198" s="24"/>
      <c r="FJ198" s="24"/>
      <c r="FK198" s="24"/>
      <c r="FL198" s="24"/>
      <c r="FM198" s="24"/>
      <c r="FN198" s="24"/>
      <c r="FO198" s="24"/>
      <c r="FP198" s="24"/>
      <c r="FQ198" s="24"/>
      <c r="FR198" s="24"/>
      <c r="FS198" s="24"/>
      <c r="FT198" s="24"/>
      <c r="FU198" s="24"/>
      <c r="FV198" s="24"/>
      <c r="FW198" s="24"/>
      <c r="FX198" s="24"/>
      <c r="FY198" s="24"/>
      <c r="FZ198" s="24"/>
      <c r="GA198" s="24"/>
      <c r="GB198" s="24"/>
      <c r="GC198" s="24"/>
      <c r="GD198" s="24"/>
      <c r="GE198" s="24"/>
      <c r="GF198" s="24"/>
      <c r="GG198" s="24"/>
      <c r="GH198" s="24"/>
      <c r="GI198" s="24"/>
      <c r="GJ198" s="24"/>
      <c r="GK198" s="24"/>
      <c r="GL198" s="24"/>
      <c r="GM198" s="24"/>
      <c r="GN198" s="24"/>
      <c r="GO198" s="24"/>
      <c r="GP198" s="24"/>
      <c r="GQ198" s="24"/>
      <c r="GR198" s="24"/>
      <c r="GS198" s="24"/>
      <c r="GT198" s="24"/>
      <c r="GU198" s="24"/>
      <c r="GV198" s="24"/>
      <c r="GW198" s="24"/>
      <c r="GX198" s="24"/>
      <c r="GY198" s="24"/>
      <c r="GZ198" s="24"/>
      <c r="HA198" s="24"/>
      <c r="HB198" s="24"/>
      <c r="HC198" s="24"/>
      <c r="HD198" s="24"/>
      <c r="HE198" s="24"/>
      <c r="HF198" s="24"/>
      <c r="HG198" s="24"/>
      <c r="HH198" s="24"/>
      <c r="HI198" s="24"/>
      <c r="HJ198" s="24"/>
      <c r="HK198" s="24"/>
      <c r="HL198" s="24"/>
      <c r="HM198" s="24"/>
      <c r="HN198" s="24"/>
      <c r="HO198" s="24"/>
      <c r="HP198" s="24"/>
      <c r="HQ198" s="24"/>
      <c r="HR198" s="24"/>
      <c r="HS198" s="24"/>
      <c r="HT198" s="24"/>
      <c r="HU198" s="25"/>
      <c r="HV198" s="26"/>
      <c r="HW198" s="27"/>
      <c r="HX198" s="26"/>
      <c r="HY198" s="26"/>
      <c r="HZ198" s="26"/>
      <c r="IA198" s="25"/>
      <c r="IB198" s="26"/>
      <c r="IC198" s="27"/>
      <c r="ID198" s="25"/>
      <c r="IE198" s="26"/>
      <c r="IF198" s="27"/>
    </row>
    <row r="199" spans="4:240" hidden="1" x14ac:dyDescent="0.35">
      <c r="D199" s="1"/>
      <c r="E199" s="3"/>
      <c r="G199" s="5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K199" s="21"/>
      <c r="CL199" s="2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1"/>
      <c r="DC199" s="21"/>
      <c r="DD199" s="21"/>
      <c r="DE199" s="21"/>
      <c r="DF199" s="21"/>
      <c r="DX199" s="24"/>
      <c r="DY199" s="24"/>
      <c r="DZ199" s="24"/>
      <c r="EA199" s="24"/>
      <c r="EB199" s="24"/>
      <c r="EC199" s="24"/>
      <c r="ED199" s="24"/>
      <c r="EE199" s="24"/>
      <c r="EF199" s="24"/>
      <c r="EG199" s="24"/>
      <c r="EH199" s="24"/>
      <c r="EI199" s="24"/>
      <c r="EJ199" s="24"/>
      <c r="EK199" s="24"/>
      <c r="EL199" s="24"/>
      <c r="EM199" s="24"/>
      <c r="EN199" s="24"/>
      <c r="EO199" s="24"/>
      <c r="EP199" s="24"/>
      <c r="EQ199" s="24"/>
      <c r="ER199" s="24"/>
      <c r="ES199" s="24"/>
      <c r="ET199" s="24"/>
      <c r="EU199" s="24"/>
      <c r="EV199" s="24"/>
      <c r="EW199" s="24"/>
      <c r="EX199" s="24"/>
      <c r="EY199" s="24"/>
      <c r="EZ199" s="24"/>
      <c r="FA199" s="24"/>
      <c r="FB199" s="24"/>
      <c r="FC199" s="24"/>
      <c r="FD199" s="24"/>
      <c r="FE199" s="24"/>
      <c r="FF199" s="24"/>
      <c r="FG199" s="24"/>
      <c r="FH199" s="24"/>
      <c r="FI199" s="24"/>
      <c r="FJ199" s="24"/>
      <c r="FK199" s="24"/>
      <c r="FL199" s="24"/>
      <c r="FM199" s="24"/>
      <c r="FN199" s="24"/>
      <c r="FO199" s="24"/>
      <c r="FP199" s="24"/>
      <c r="FQ199" s="24"/>
      <c r="FR199" s="24"/>
      <c r="FS199" s="24"/>
      <c r="FT199" s="24"/>
      <c r="FU199" s="24"/>
      <c r="FV199" s="24"/>
      <c r="FW199" s="24"/>
      <c r="FX199" s="24"/>
      <c r="FY199" s="24"/>
      <c r="FZ199" s="24"/>
      <c r="GA199" s="24"/>
      <c r="GB199" s="24"/>
      <c r="GC199" s="24"/>
      <c r="GD199" s="24"/>
      <c r="GE199" s="24"/>
      <c r="GF199" s="24"/>
      <c r="GG199" s="24"/>
      <c r="GH199" s="24"/>
      <c r="GI199" s="24"/>
      <c r="GJ199" s="24"/>
      <c r="GK199" s="24"/>
      <c r="GL199" s="24"/>
      <c r="GM199" s="24"/>
      <c r="GN199" s="24"/>
      <c r="GO199" s="24"/>
      <c r="GP199" s="24"/>
      <c r="GQ199" s="24"/>
      <c r="GR199" s="24"/>
      <c r="GS199" s="24"/>
      <c r="GT199" s="24"/>
      <c r="GU199" s="24"/>
      <c r="GV199" s="24"/>
      <c r="GW199" s="24"/>
      <c r="GX199" s="24"/>
      <c r="GY199" s="24"/>
      <c r="GZ199" s="24"/>
      <c r="HA199" s="24"/>
      <c r="HB199" s="24"/>
      <c r="HC199" s="24"/>
      <c r="HD199" s="24"/>
      <c r="HE199" s="24"/>
      <c r="HF199" s="24"/>
      <c r="HG199" s="24"/>
      <c r="HH199" s="24"/>
      <c r="HI199" s="24"/>
      <c r="HJ199" s="24"/>
      <c r="HK199" s="24"/>
      <c r="HL199" s="24"/>
      <c r="HM199" s="24"/>
      <c r="HN199" s="24"/>
      <c r="HO199" s="24"/>
      <c r="HP199" s="24"/>
      <c r="HQ199" s="24"/>
      <c r="HR199" s="24"/>
      <c r="HS199" s="24"/>
      <c r="HT199" s="24"/>
      <c r="HU199" s="25"/>
      <c r="HV199" s="26"/>
      <c r="HW199" s="27"/>
      <c r="HX199" s="26"/>
      <c r="HY199" s="26"/>
      <c r="HZ199" s="26"/>
      <c r="IA199" s="25"/>
      <c r="IB199" s="26"/>
      <c r="IC199" s="27"/>
      <c r="ID199" s="25"/>
      <c r="IE199" s="26"/>
      <c r="IF199" s="27"/>
    </row>
    <row r="200" spans="4:240" hidden="1" x14ac:dyDescent="0.35">
      <c r="D200" s="1"/>
      <c r="E200" s="3"/>
      <c r="G200" s="5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K200" s="21"/>
      <c r="CL200" s="21"/>
      <c r="CM200" s="21"/>
      <c r="CN200" s="21"/>
      <c r="CO200" s="21"/>
      <c r="CP200" s="21"/>
      <c r="CQ200" s="21"/>
      <c r="CR200" s="21"/>
      <c r="CS200" s="21"/>
      <c r="CT200" s="21"/>
      <c r="CU200" s="21"/>
      <c r="CV200" s="21"/>
      <c r="CW200" s="21"/>
      <c r="CX200" s="21"/>
      <c r="CY200" s="21"/>
      <c r="CZ200" s="21"/>
      <c r="DA200" s="21"/>
      <c r="DB200" s="21"/>
      <c r="DC200" s="21"/>
      <c r="DD200" s="21"/>
      <c r="DE200" s="21"/>
      <c r="DF200" s="21"/>
      <c r="DX200" s="24"/>
      <c r="DY200" s="24"/>
      <c r="DZ200" s="24"/>
      <c r="EA200" s="24"/>
      <c r="EB200" s="24"/>
      <c r="EC200" s="24"/>
      <c r="ED200" s="24"/>
      <c r="EE200" s="24"/>
      <c r="EF200" s="24"/>
      <c r="EG200" s="24"/>
      <c r="EH200" s="24"/>
      <c r="EI200" s="24"/>
      <c r="EJ200" s="24"/>
      <c r="EK200" s="24"/>
      <c r="EL200" s="24"/>
      <c r="EM200" s="24"/>
      <c r="EN200" s="24"/>
      <c r="EO200" s="24"/>
      <c r="EP200" s="24"/>
      <c r="EQ200" s="24"/>
      <c r="ER200" s="24"/>
      <c r="ES200" s="24"/>
      <c r="ET200" s="24"/>
      <c r="EU200" s="24"/>
      <c r="EV200" s="24"/>
      <c r="EW200" s="24"/>
      <c r="EX200" s="24"/>
      <c r="EY200" s="24"/>
      <c r="EZ200" s="24"/>
      <c r="FA200" s="24"/>
      <c r="FB200" s="24"/>
      <c r="FC200" s="24"/>
      <c r="FD200" s="24"/>
      <c r="FE200" s="24"/>
      <c r="FF200" s="24"/>
      <c r="FG200" s="24"/>
      <c r="FH200" s="24"/>
      <c r="FI200" s="24"/>
      <c r="FJ200" s="24"/>
      <c r="FK200" s="24"/>
      <c r="FL200" s="24"/>
      <c r="FM200" s="24"/>
      <c r="FN200" s="24"/>
      <c r="FO200" s="24"/>
      <c r="FP200" s="24"/>
      <c r="FQ200" s="24"/>
      <c r="FR200" s="24"/>
      <c r="FS200" s="24"/>
      <c r="FT200" s="24"/>
      <c r="FU200" s="24"/>
      <c r="FV200" s="24"/>
      <c r="FW200" s="24"/>
      <c r="FX200" s="24"/>
      <c r="FY200" s="24"/>
      <c r="FZ200" s="24"/>
      <c r="GA200" s="24"/>
      <c r="GB200" s="24"/>
      <c r="GC200" s="24"/>
      <c r="GD200" s="24"/>
      <c r="GE200" s="24"/>
      <c r="GF200" s="24"/>
      <c r="GG200" s="24"/>
      <c r="GH200" s="24"/>
      <c r="GI200" s="24"/>
      <c r="GJ200" s="24"/>
      <c r="GK200" s="24"/>
      <c r="GL200" s="24"/>
      <c r="GM200" s="24"/>
      <c r="GN200" s="24"/>
      <c r="GO200" s="24"/>
      <c r="GP200" s="24"/>
      <c r="GQ200" s="24"/>
      <c r="GR200" s="24"/>
      <c r="GS200" s="24"/>
      <c r="GT200" s="24"/>
      <c r="GU200" s="24"/>
      <c r="GV200" s="24"/>
      <c r="GW200" s="24"/>
      <c r="GX200" s="24"/>
      <c r="GY200" s="24"/>
      <c r="GZ200" s="24"/>
      <c r="HA200" s="24"/>
      <c r="HB200" s="24"/>
      <c r="HC200" s="24"/>
      <c r="HD200" s="24"/>
      <c r="HE200" s="24"/>
      <c r="HF200" s="24"/>
      <c r="HG200" s="24"/>
      <c r="HH200" s="24"/>
      <c r="HI200" s="24"/>
      <c r="HJ200" s="24"/>
      <c r="HK200" s="24"/>
      <c r="HL200" s="24"/>
      <c r="HM200" s="24"/>
      <c r="HN200" s="24"/>
      <c r="HO200" s="24"/>
      <c r="HP200" s="24"/>
      <c r="HQ200" s="24"/>
      <c r="HR200" s="24"/>
      <c r="HS200" s="24"/>
      <c r="HT200" s="24"/>
      <c r="HU200" s="25"/>
      <c r="HV200" s="26"/>
      <c r="HW200" s="27"/>
      <c r="HX200" s="26"/>
      <c r="HY200" s="26"/>
      <c r="HZ200" s="26"/>
      <c r="IA200" s="25"/>
      <c r="IB200" s="26"/>
      <c r="IC200" s="27"/>
      <c r="ID200" s="25"/>
      <c r="IE200" s="26"/>
      <c r="IF200" s="27"/>
    </row>
    <row r="201" spans="4:240" hidden="1" x14ac:dyDescent="0.35">
      <c r="D201" s="1"/>
      <c r="E201" s="3"/>
      <c r="G201" s="5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K201" s="21"/>
      <c r="CL201" s="21"/>
      <c r="CM201" s="21"/>
      <c r="CN201" s="21"/>
      <c r="CO201" s="21"/>
      <c r="CP201" s="21"/>
      <c r="CQ201" s="21"/>
      <c r="CR201" s="21"/>
      <c r="CS201" s="21"/>
      <c r="CT201" s="21"/>
      <c r="CU201" s="21"/>
      <c r="CV201" s="21"/>
      <c r="CW201" s="21"/>
      <c r="CX201" s="21"/>
      <c r="CY201" s="21"/>
      <c r="CZ201" s="21"/>
      <c r="DA201" s="21"/>
      <c r="DB201" s="21"/>
      <c r="DC201" s="21"/>
      <c r="DD201" s="21"/>
      <c r="DE201" s="21"/>
      <c r="DF201" s="21"/>
      <c r="DX201" s="24"/>
      <c r="DY201" s="24"/>
      <c r="DZ201" s="24"/>
      <c r="EA201" s="24"/>
      <c r="EB201" s="24"/>
      <c r="EC201" s="24"/>
      <c r="ED201" s="24"/>
      <c r="EE201" s="24"/>
      <c r="EF201" s="24"/>
      <c r="EG201" s="24"/>
      <c r="EH201" s="24"/>
      <c r="EI201" s="24"/>
      <c r="EJ201" s="24"/>
      <c r="EK201" s="24"/>
      <c r="EL201" s="24"/>
      <c r="EM201" s="24"/>
      <c r="EN201" s="24"/>
      <c r="EO201" s="24"/>
      <c r="EP201" s="24"/>
      <c r="EQ201" s="24"/>
      <c r="ER201" s="24"/>
      <c r="ES201" s="24"/>
      <c r="ET201" s="24"/>
      <c r="EU201" s="24"/>
      <c r="EV201" s="24"/>
      <c r="EW201" s="24"/>
      <c r="EX201" s="24"/>
      <c r="EY201" s="24"/>
      <c r="EZ201" s="24"/>
      <c r="FA201" s="24"/>
      <c r="FB201" s="24"/>
      <c r="FC201" s="24"/>
      <c r="FD201" s="24"/>
      <c r="FE201" s="24"/>
      <c r="FF201" s="24"/>
      <c r="FG201" s="24"/>
      <c r="FH201" s="24"/>
      <c r="FI201" s="24"/>
      <c r="FJ201" s="24"/>
      <c r="FK201" s="24"/>
      <c r="FL201" s="24"/>
      <c r="FM201" s="24"/>
      <c r="FN201" s="24"/>
      <c r="FO201" s="24"/>
      <c r="FP201" s="24"/>
      <c r="FQ201" s="24"/>
      <c r="FR201" s="24"/>
      <c r="FS201" s="24"/>
      <c r="FT201" s="24"/>
      <c r="FU201" s="24"/>
      <c r="FV201" s="24"/>
      <c r="FW201" s="24"/>
      <c r="FX201" s="24"/>
      <c r="FY201" s="24"/>
      <c r="FZ201" s="24"/>
      <c r="GA201" s="24"/>
      <c r="GB201" s="24"/>
      <c r="GC201" s="24"/>
      <c r="GD201" s="24"/>
      <c r="GE201" s="24"/>
      <c r="GF201" s="24"/>
      <c r="GG201" s="24"/>
      <c r="GH201" s="24"/>
      <c r="GI201" s="24"/>
      <c r="GJ201" s="24"/>
      <c r="GK201" s="24"/>
      <c r="GL201" s="24"/>
      <c r="GM201" s="24"/>
      <c r="GN201" s="24"/>
      <c r="GO201" s="24"/>
      <c r="GP201" s="24"/>
      <c r="GQ201" s="24"/>
      <c r="GR201" s="24"/>
      <c r="GS201" s="24"/>
      <c r="GT201" s="24"/>
      <c r="GU201" s="24"/>
      <c r="GV201" s="24"/>
      <c r="GW201" s="24"/>
      <c r="GX201" s="24"/>
      <c r="GY201" s="24"/>
      <c r="GZ201" s="24"/>
      <c r="HA201" s="24"/>
      <c r="HB201" s="24"/>
      <c r="HC201" s="24"/>
      <c r="HD201" s="24"/>
      <c r="HE201" s="24"/>
      <c r="HF201" s="24"/>
      <c r="HG201" s="24"/>
      <c r="HH201" s="24"/>
      <c r="HI201" s="24"/>
      <c r="HJ201" s="24"/>
      <c r="HK201" s="24"/>
      <c r="HL201" s="24"/>
      <c r="HM201" s="24"/>
      <c r="HN201" s="24"/>
      <c r="HO201" s="24"/>
      <c r="HP201" s="24"/>
      <c r="HQ201" s="24"/>
      <c r="HR201" s="24"/>
      <c r="HS201" s="24"/>
      <c r="HT201" s="24"/>
      <c r="HU201" s="25"/>
      <c r="HV201" s="26"/>
      <c r="HW201" s="27"/>
      <c r="HX201" s="26"/>
      <c r="HY201" s="26"/>
      <c r="HZ201" s="26"/>
      <c r="IA201" s="25"/>
      <c r="IB201" s="26"/>
      <c r="IC201" s="27"/>
      <c r="ID201" s="25"/>
      <c r="IE201" s="26"/>
      <c r="IF201" s="27"/>
    </row>
    <row r="202" spans="4:240" hidden="1" x14ac:dyDescent="0.35">
      <c r="D202" s="1"/>
      <c r="E202" s="3"/>
      <c r="G202" s="5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K202" s="21"/>
      <c r="CL202" s="21"/>
      <c r="CM202" s="21"/>
      <c r="CN202" s="21"/>
      <c r="CO202" s="21"/>
      <c r="CP202" s="21"/>
      <c r="CQ202" s="21"/>
      <c r="CR202" s="21"/>
      <c r="CS202" s="21"/>
      <c r="CT202" s="21"/>
      <c r="CU202" s="21"/>
      <c r="CV202" s="21"/>
      <c r="CW202" s="21"/>
      <c r="CX202" s="21"/>
      <c r="CY202" s="21"/>
      <c r="CZ202" s="21"/>
      <c r="DA202" s="21"/>
      <c r="DB202" s="21"/>
      <c r="DC202" s="21"/>
      <c r="DD202" s="21"/>
      <c r="DE202" s="21"/>
      <c r="DF202" s="21"/>
      <c r="DX202" s="24"/>
      <c r="DY202" s="24"/>
      <c r="DZ202" s="24"/>
      <c r="EA202" s="24"/>
      <c r="EB202" s="24"/>
      <c r="EC202" s="24"/>
      <c r="ED202" s="24"/>
      <c r="EE202" s="24"/>
      <c r="EF202" s="24"/>
      <c r="EG202" s="24"/>
      <c r="EH202" s="24"/>
      <c r="EI202" s="24"/>
      <c r="EJ202" s="24"/>
      <c r="EK202" s="24"/>
      <c r="EL202" s="24"/>
      <c r="EM202" s="24"/>
      <c r="EN202" s="24"/>
      <c r="EO202" s="24"/>
      <c r="EP202" s="24"/>
      <c r="EQ202" s="24"/>
      <c r="ER202" s="24"/>
      <c r="ES202" s="24"/>
      <c r="ET202" s="24"/>
      <c r="EU202" s="24"/>
      <c r="EV202" s="24"/>
      <c r="EW202" s="24"/>
      <c r="EX202" s="24"/>
      <c r="EY202" s="24"/>
      <c r="EZ202" s="24"/>
      <c r="FA202" s="24"/>
      <c r="FB202" s="24"/>
      <c r="FC202" s="24"/>
      <c r="FD202" s="24"/>
      <c r="FE202" s="24"/>
      <c r="FF202" s="24"/>
      <c r="FG202" s="24"/>
      <c r="FH202" s="24"/>
      <c r="FI202" s="24"/>
      <c r="FJ202" s="24"/>
      <c r="FK202" s="24"/>
      <c r="FL202" s="24"/>
      <c r="FM202" s="24"/>
      <c r="FN202" s="24"/>
      <c r="FO202" s="24"/>
      <c r="FP202" s="24"/>
      <c r="FQ202" s="24"/>
      <c r="FR202" s="24"/>
      <c r="FS202" s="24"/>
      <c r="FT202" s="24"/>
      <c r="FU202" s="24"/>
      <c r="FV202" s="24"/>
      <c r="FW202" s="24"/>
      <c r="FX202" s="24"/>
      <c r="FY202" s="24"/>
      <c r="FZ202" s="24"/>
      <c r="GA202" s="24"/>
      <c r="GB202" s="24"/>
      <c r="GC202" s="24"/>
      <c r="GD202" s="24"/>
      <c r="GE202" s="24"/>
      <c r="GF202" s="24"/>
      <c r="GG202" s="24"/>
      <c r="GH202" s="24"/>
      <c r="GI202" s="24"/>
      <c r="GJ202" s="24"/>
      <c r="GK202" s="24"/>
      <c r="GL202" s="24"/>
      <c r="GM202" s="24"/>
      <c r="GN202" s="24"/>
      <c r="GO202" s="24"/>
      <c r="GP202" s="24"/>
      <c r="GQ202" s="24"/>
      <c r="GR202" s="24"/>
      <c r="GS202" s="24"/>
      <c r="GT202" s="24"/>
      <c r="GU202" s="24"/>
      <c r="GV202" s="24"/>
      <c r="GW202" s="24"/>
      <c r="GX202" s="24"/>
      <c r="GY202" s="24"/>
      <c r="GZ202" s="24"/>
      <c r="HA202" s="24"/>
      <c r="HB202" s="24"/>
      <c r="HC202" s="24"/>
      <c r="HD202" s="24"/>
      <c r="HE202" s="24"/>
      <c r="HF202" s="24"/>
      <c r="HG202" s="24"/>
      <c r="HH202" s="24"/>
      <c r="HI202" s="24"/>
      <c r="HJ202" s="24"/>
      <c r="HK202" s="24"/>
      <c r="HL202" s="24"/>
      <c r="HM202" s="24"/>
      <c r="HN202" s="24"/>
      <c r="HO202" s="24"/>
      <c r="HP202" s="24"/>
      <c r="HQ202" s="24"/>
      <c r="HR202" s="24"/>
      <c r="HS202" s="24"/>
      <c r="HT202" s="24"/>
      <c r="HU202" s="25"/>
      <c r="HV202" s="26"/>
      <c r="HW202" s="27"/>
      <c r="HX202" s="26"/>
      <c r="HY202" s="26"/>
      <c r="HZ202" s="26"/>
      <c r="IA202" s="25"/>
      <c r="IB202" s="26"/>
      <c r="IC202" s="27"/>
      <c r="ID202" s="25"/>
      <c r="IE202" s="26"/>
      <c r="IF202" s="27"/>
    </row>
    <row r="203" spans="4:240" hidden="1" x14ac:dyDescent="0.35">
      <c r="D203" s="1"/>
      <c r="E203" s="3"/>
      <c r="G203" s="5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K203" s="21"/>
      <c r="CL203" s="21"/>
      <c r="CM203" s="21"/>
      <c r="CN203" s="21"/>
      <c r="CO203" s="21"/>
      <c r="CP203" s="21"/>
      <c r="CQ203" s="21"/>
      <c r="CR203" s="21"/>
      <c r="CS203" s="21"/>
      <c r="CT203" s="21"/>
      <c r="CU203" s="21"/>
      <c r="CV203" s="21"/>
      <c r="CW203" s="21"/>
      <c r="CX203" s="21"/>
      <c r="CY203" s="21"/>
      <c r="CZ203" s="21"/>
      <c r="DA203" s="21"/>
      <c r="DB203" s="21"/>
      <c r="DC203" s="21"/>
      <c r="DD203" s="21"/>
      <c r="DE203" s="21"/>
      <c r="DF203" s="21"/>
      <c r="DX203" s="24"/>
      <c r="DY203" s="24"/>
      <c r="DZ203" s="24"/>
      <c r="EA203" s="24"/>
      <c r="EB203" s="24"/>
      <c r="EC203" s="24"/>
      <c r="ED203" s="24"/>
      <c r="EE203" s="24"/>
      <c r="EF203" s="24"/>
      <c r="EG203" s="24"/>
      <c r="EH203" s="24"/>
      <c r="EI203" s="24"/>
      <c r="EJ203" s="24"/>
      <c r="EK203" s="24"/>
      <c r="EL203" s="24"/>
      <c r="EM203" s="24"/>
      <c r="EN203" s="24"/>
      <c r="EO203" s="24"/>
      <c r="EP203" s="24"/>
      <c r="EQ203" s="24"/>
      <c r="ER203" s="24"/>
      <c r="ES203" s="24"/>
      <c r="ET203" s="24"/>
      <c r="EU203" s="24"/>
      <c r="EV203" s="24"/>
      <c r="EW203" s="24"/>
      <c r="EX203" s="24"/>
      <c r="EY203" s="24"/>
      <c r="EZ203" s="24"/>
      <c r="FA203" s="24"/>
      <c r="FB203" s="24"/>
      <c r="FC203" s="24"/>
      <c r="FD203" s="24"/>
      <c r="FE203" s="24"/>
      <c r="FF203" s="24"/>
      <c r="FG203" s="24"/>
      <c r="FH203" s="24"/>
      <c r="FI203" s="24"/>
      <c r="FJ203" s="24"/>
      <c r="FK203" s="24"/>
      <c r="FL203" s="24"/>
      <c r="FM203" s="24"/>
      <c r="FN203" s="24"/>
      <c r="FO203" s="24"/>
      <c r="FP203" s="24"/>
      <c r="FQ203" s="24"/>
      <c r="FR203" s="24"/>
      <c r="FS203" s="24"/>
      <c r="FT203" s="24"/>
      <c r="FU203" s="24"/>
      <c r="FV203" s="24"/>
      <c r="FW203" s="24"/>
      <c r="FX203" s="24"/>
      <c r="FY203" s="24"/>
      <c r="FZ203" s="24"/>
      <c r="GA203" s="24"/>
      <c r="GB203" s="24"/>
      <c r="GC203" s="24"/>
      <c r="GD203" s="24"/>
      <c r="GE203" s="24"/>
      <c r="GF203" s="24"/>
      <c r="GG203" s="24"/>
      <c r="GH203" s="24"/>
      <c r="GI203" s="24"/>
      <c r="GJ203" s="24"/>
      <c r="GK203" s="24"/>
      <c r="GL203" s="24"/>
      <c r="GM203" s="24"/>
      <c r="GN203" s="24"/>
      <c r="GO203" s="24"/>
      <c r="GP203" s="24"/>
      <c r="GQ203" s="24"/>
      <c r="GR203" s="24"/>
      <c r="GS203" s="24"/>
      <c r="GT203" s="24"/>
      <c r="GU203" s="24"/>
      <c r="GV203" s="24"/>
      <c r="GW203" s="24"/>
      <c r="GX203" s="24"/>
      <c r="GY203" s="24"/>
      <c r="GZ203" s="24"/>
      <c r="HA203" s="24"/>
      <c r="HB203" s="24"/>
      <c r="HC203" s="24"/>
      <c r="HD203" s="24"/>
      <c r="HE203" s="24"/>
      <c r="HF203" s="24"/>
      <c r="HG203" s="24"/>
      <c r="HH203" s="24"/>
      <c r="HI203" s="24"/>
      <c r="HJ203" s="24"/>
      <c r="HK203" s="24"/>
      <c r="HL203" s="24"/>
      <c r="HM203" s="24"/>
      <c r="HN203" s="24"/>
      <c r="HO203" s="24"/>
      <c r="HP203" s="24"/>
      <c r="HQ203" s="24"/>
      <c r="HR203" s="24"/>
      <c r="HS203" s="24"/>
      <c r="HT203" s="24"/>
      <c r="HU203" s="25"/>
      <c r="HV203" s="26"/>
      <c r="HW203" s="27"/>
      <c r="HX203" s="26"/>
      <c r="HY203" s="26"/>
      <c r="HZ203" s="26"/>
      <c r="IA203" s="25"/>
      <c r="IB203" s="26"/>
      <c r="IC203" s="27"/>
      <c r="ID203" s="25"/>
      <c r="IE203" s="26"/>
      <c r="IF203" s="27"/>
    </row>
    <row r="204" spans="4:240" hidden="1" x14ac:dyDescent="0.35">
      <c r="D204" s="1"/>
      <c r="E204" s="3"/>
      <c r="G204" s="5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K204" s="21"/>
      <c r="CL204" s="21"/>
      <c r="CM204" s="21"/>
      <c r="CN204" s="21"/>
      <c r="CO204" s="21"/>
      <c r="CP204" s="21"/>
      <c r="CQ204" s="21"/>
      <c r="CR204" s="21"/>
      <c r="CS204" s="21"/>
      <c r="CT204" s="21"/>
      <c r="CU204" s="21"/>
      <c r="CV204" s="21"/>
      <c r="CW204" s="21"/>
      <c r="CX204" s="21"/>
      <c r="CY204" s="21"/>
      <c r="CZ204" s="21"/>
      <c r="DA204" s="21"/>
      <c r="DB204" s="21"/>
      <c r="DC204" s="21"/>
      <c r="DD204" s="21"/>
      <c r="DE204" s="21"/>
      <c r="DF204" s="21"/>
      <c r="DX204" s="24"/>
      <c r="DY204" s="24"/>
      <c r="DZ204" s="24"/>
      <c r="EA204" s="24"/>
      <c r="EB204" s="24"/>
      <c r="EC204" s="24"/>
      <c r="ED204" s="24"/>
      <c r="EE204" s="24"/>
      <c r="EF204" s="24"/>
      <c r="EG204" s="24"/>
      <c r="EH204" s="24"/>
      <c r="EI204" s="24"/>
      <c r="EJ204" s="24"/>
      <c r="EK204" s="24"/>
      <c r="EL204" s="24"/>
      <c r="EM204" s="24"/>
      <c r="EN204" s="24"/>
      <c r="EO204" s="24"/>
      <c r="EP204" s="24"/>
      <c r="EQ204" s="24"/>
      <c r="ER204" s="24"/>
      <c r="ES204" s="24"/>
      <c r="ET204" s="24"/>
      <c r="EU204" s="24"/>
      <c r="EV204" s="24"/>
      <c r="EW204" s="24"/>
      <c r="EX204" s="24"/>
      <c r="EY204" s="24"/>
      <c r="EZ204" s="24"/>
      <c r="FA204" s="24"/>
      <c r="FB204" s="24"/>
      <c r="FC204" s="24"/>
      <c r="FD204" s="24"/>
      <c r="FE204" s="24"/>
      <c r="FF204" s="24"/>
      <c r="FG204" s="24"/>
      <c r="FH204" s="24"/>
      <c r="FI204" s="24"/>
      <c r="FJ204" s="24"/>
      <c r="FK204" s="24"/>
      <c r="FL204" s="24"/>
      <c r="FM204" s="24"/>
      <c r="FN204" s="24"/>
      <c r="FO204" s="24"/>
      <c r="FP204" s="24"/>
      <c r="FQ204" s="24"/>
      <c r="FR204" s="24"/>
      <c r="FS204" s="24"/>
      <c r="FT204" s="24"/>
      <c r="FU204" s="24"/>
      <c r="FV204" s="24"/>
      <c r="FW204" s="24"/>
      <c r="FX204" s="24"/>
      <c r="FY204" s="24"/>
      <c r="FZ204" s="24"/>
      <c r="GA204" s="24"/>
      <c r="GB204" s="24"/>
      <c r="GC204" s="24"/>
      <c r="GD204" s="24"/>
      <c r="GE204" s="24"/>
      <c r="GF204" s="24"/>
      <c r="GG204" s="24"/>
      <c r="GH204" s="24"/>
      <c r="GI204" s="24"/>
      <c r="GJ204" s="24"/>
      <c r="GK204" s="24"/>
      <c r="GL204" s="24"/>
      <c r="GM204" s="24"/>
      <c r="GN204" s="24"/>
      <c r="GO204" s="24"/>
      <c r="GP204" s="24"/>
      <c r="GQ204" s="24"/>
      <c r="GR204" s="24"/>
      <c r="GS204" s="24"/>
      <c r="GT204" s="24"/>
      <c r="GU204" s="24"/>
      <c r="GV204" s="24"/>
      <c r="GW204" s="24"/>
      <c r="GX204" s="24"/>
      <c r="GY204" s="24"/>
      <c r="GZ204" s="24"/>
      <c r="HA204" s="24"/>
      <c r="HB204" s="24"/>
      <c r="HC204" s="24"/>
      <c r="HD204" s="24"/>
      <c r="HE204" s="24"/>
      <c r="HF204" s="24"/>
      <c r="HG204" s="24"/>
      <c r="HH204" s="24"/>
      <c r="HI204" s="24"/>
      <c r="HJ204" s="24"/>
      <c r="HK204" s="24"/>
      <c r="HL204" s="24"/>
      <c r="HM204" s="24"/>
      <c r="HN204" s="24"/>
      <c r="HO204" s="24"/>
      <c r="HP204" s="24"/>
      <c r="HQ204" s="24"/>
      <c r="HR204" s="24"/>
      <c r="HS204" s="24"/>
      <c r="HT204" s="24"/>
      <c r="HU204" s="25"/>
      <c r="HV204" s="26"/>
      <c r="HW204" s="27"/>
      <c r="HX204" s="26"/>
      <c r="HY204" s="26"/>
      <c r="HZ204" s="26"/>
      <c r="IA204" s="25"/>
      <c r="IB204" s="26"/>
      <c r="IC204" s="27"/>
      <c r="ID204" s="25"/>
      <c r="IE204" s="26"/>
      <c r="IF204" s="27"/>
    </row>
    <row r="205" spans="4:240" hidden="1" x14ac:dyDescent="0.35">
      <c r="D205" s="1"/>
      <c r="E205" s="3"/>
      <c r="G205" s="5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K205" s="21"/>
      <c r="CL205" s="21"/>
      <c r="CM205" s="21"/>
      <c r="CN205" s="21"/>
      <c r="CO205" s="21"/>
      <c r="CP205" s="21"/>
      <c r="CQ205" s="21"/>
      <c r="CR205" s="21"/>
      <c r="CS205" s="21"/>
      <c r="CT205" s="21"/>
      <c r="CU205" s="21"/>
      <c r="CV205" s="21"/>
      <c r="CW205" s="21"/>
      <c r="CX205" s="21"/>
      <c r="CY205" s="21"/>
      <c r="CZ205" s="21"/>
      <c r="DA205" s="21"/>
      <c r="DB205" s="21"/>
      <c r="DC205" s="21"/>
      <c r="DD205" s="21"/>
      <c r="DE205" s="21"/>
      <c r="DF205" s="21"/>
      <c r="DX205" s="24"/>
      <c r="DY205" s="24"/>
      <c r="DZ205" s="24"/>
      <c r="EA205" s="24"/>
      <c r="EB205" s="24"/>
      <c r="EC205" s="24"/>
      <c r="ED205" s="24"/>
      <c r="EE205" s="24"/>
      <c r="EF205" s="24"/>
      <c r="EG205" s="24"/>
      <c r="EH205" s="24"/>
      <c r="EI205" s="24"/>
      <c r="EJ205" s="24"/>
      <c r="EK205" s="24"/>
      <c r="EL205" s="24"/>
      <c r="EM205" s="24"/>
      <c r="EN205" s="24"/>
      <c r="EO205" s="24"/>
      <c r="EP205" s="24"/>
      <c r="EQ205" s="24"/>
      <c r="ER205" s="24"/>
      <c r="ES205" s="24"/>
      <c r="ET205" s="24"/>
      <c r="EU205" s="24"/>
      <c r="EV205" s="24"/>
      <c r="EW205" s="24"/>
      <c r="EX205" s="24"/>
      <c r="EY205" s="24"/>
      <c r="EZ205" s="24"/>
      <c r="FA205" s="24"/>
      <c r="FB205" s="24"/>
      <c r="FC205" s="24"/>
      <c r="FD205" s="24"/>
      <c r="FE205" s="24"/>
      <c r="FF205" s="24"/>
      <c r="FG205" s="24"/>
      <c r="FH205" s="24"/>
      <c r="FI205" s="24"/>
      <c r="FJ205" s="24"/>
      <c r="FK205" s="24"/>
      <c r="FL205" s="24"/>
      <c r="FM205" s="24"/>
      <c r="FN205" s="24"/>
      <c r="FO205" s="24"/>
      <c r="FP205" s="24"/>
      <c r="FQ205" s="24"/>
      <c r="FR205" s="24"/>
      <c r="FS205" s="24"/>
      <c r="FT205" s="24"/>
      <c r="FU205" s="24"/>
      <c r="FV205" s="24"/>
      <c r="FW205" s="24"/>
      <c r="FX205" s="24"/>
      <c r="FY205" s="24"/>
      <c r="FZ205" s="24"/>
      <c r="GA205" s="24"/>
      <c r="GB205" s="24"/>
      <c r="GC205" s="24"/>
      <c r="GD205" s="24"/>
      <c r="GE205" s="24"/>
      <c r="GF205" s="24"/>
      <c r="GG205" s="24"/>
      <c r="GH205" s="24"/>
      <c r="GI205" s="24"/>
      <c r="GJ205" s="24"/>
      <c r="GK205" s="24"/>
      <c r="GL205" s="24"/>
      <c r="GM205" s="24"/>
      <c r="GN205" s="24"/>
      <c r="GO205" s="24"/>
      <c r="GP205" s="24"/>
      <c r="GQ205" s="24"/>
      <c r="GR205" s="24"/>
      <c r="GS205" s="24"/>
      <c r="GT205" s="24"/>
      <c r="GU205" s="24"/>
      <c r="GV205" s="24"/>
      <c r="GW205" s="24"/>
      <c r="GX205" s="24"/>
      <c r="GY205" s="24"/>
      <c r="GZ205" s="24"/>
      <c r="HA205" s="24"/>
      <c r="HB205" s="24"/>
      <c r="HC205" s="24"/>
      <c r="HD205" s="24"/>
      <c r="HE205" s="24"/>
      <c r="HF205" s="24"/>
      <c r="HG205" s="24"/>
      <c r="HH205" s="24"/>
      <c r="HI205" s="24"/>
      <c r="HJ205" s="24"/>
      <c r="HK205" s="24"/>
      <c r="HL205" s="24"/>
      <c r="HM205" s="24"/>
      <c r="HN205" s="24"/>
      <c r="HO205" s="24"/>
      <c r="HP205" s="24"/>
      <c r="HQ205" s="24"/>
      <c r="HR205" s="24"/>
      <c r="HS205" s="24"/>
      <c r="HT205" s="24"/>
      <c r="HU205" s="25"/>
      <c r="HV205" s="26"/>
      <c r="HW205" s="27"/>
      <c r="HX205" s="26"/>
      <c r="HY205" s="26"/>
      <c r="HZ205" s="26"/>
      <c r="IA205" s="25"/>
      <c r="IB205" s="26"/>
      <c r="IC205" s="27"/>
      <c r="ID205" s="25"/>
      <c r="IE205" s="26"/>
      <c r="IF205" s="27"/>
    </row>
    <row r="206" spans="4:240" hidden="1" x14ac:dyDescent="0.35">
      <c r="D206" s="1"/>
      <c r="E206" s="3"/>
      <c r="G206" s="5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K206" s="21"/>
      <c r="CL206" s="21"/>
      <c r="CM206" s="21"/>
      <c r="CN206" s="21"/>
      <c r="CO206" s="21"/>
      <c r="CP206" s="21"/>
      <c r="CQ206" s="21"/>
      <c r="CR206" s="21"/>
      <c r="CS206" s="21"/>
      <c r="CT206" s="21"/>
      <c r="CU206" s="21"/>
      <c r="CV206" s="21"/>
      <c r="CW206" s="21"/>
      <c r="CX206" s="21"/>
      <c r="CY206" s="21"/>
      <c r="CZ206" s="21"/>
      <c r="DA206" s="21"/>
      <c r="DB206" s="21"/>
      <c r="DC206" s="21"/>
      <c r="DD206" s="21"/>
      <c r="DE206" s="21"/>
      <c r="DF206" s="21"/>
      <c r="DX206" s="24"/>
      <c r="DY206" s="24"/>
      <c r="DZ206" s="24"/>
      <c r="EA206" s="24"/>
      <c r="EB206" s="24"/>
      <c r="EC206" s="24"/>
      <c r="ED206" s="24"/>
      <c r="EE206" s="24"/>
      <c r="EF206" s="24"/>
      <c r="EG206" s="24"/>
      <c r="EH206" s="24"/>
      <c r="EI206" s="24"/>
      <c r="EJ206" s="24"/>
      <c r="EK206" s="24"/>
      <c r="EL206" s="24"/>
      <c r="EM206" s="24"/>
      <c r="EN206" s="24"/>
      <c r="EO206" s="24"/>
      <c r="EP206" s="24"/>
      <c r="EQ206" s="24"/>
      <c r="ER206" s="24"/>
      <c r="ES206" s="24"/>
      <c r="ET206" s="24"/>
      <c r="EU206" s="24"/>
      <c r="EV206" s="24"/>
      <c r="EW206" s="24"/>
      <c r="EX206" s="24"/>
      <c r="EY206" s="24"/>
      <c r="EZ206" s="24"/>
      <c r="FA206" s="24"/>
      <c r="FB206" s="24"/>
      <c r="FC206" s="24"/>
      <c r="FD206" s="24"/>
      <c r="FE206" s="24"/>
      <c r="FF206" s="24"/>
      <c r="FG206" s="24"/>
      <c r="FH206" s="24"/>
      <c r="FI206" s="24"/>
      <c r="FJ206" s="24"/>
      <c r="FK206" s="24"/>
      <c r="FL206" s="24"/>
      <c r="FM206" s="24"/>
      <c r="FN206" s="24"/>
      <c r="FO206" s="24"/>
      <c r="FP206" s="24"/>
      <c r="FQ206" s="24"/>
      <c r="FR206" s="24"/>
      <c r="FS206" s="24"/>
      <c r="FT206" s="24"/>
      <c r="FU206" s="24"/>
      <c r="FV206" s="24"/>
      <c r="FW206" s="24"/>
      <c r="FX206" s="24"/>
      <c r="FY206" s="24"/>
      <c r="FZ206" s="24"/>
      <c r="GA206" s="24"/>
      <c r="GB206" s="24"/>
      <c r="GC206" s="24"/>
      <c r="GD206" s="24"/>
      <c r="GE206" s="24"/>
      <c r="GF206" s="24"/>
      <c r="GG206" s="24"/>
      <c r="GH206" s="24"/>
      <c r="GI206" s="24"/>
      <c r="GJ206" s="24"/>
      <c r="GK206" s="24"/>
      <c r="GL206" s="24"/>
      <c r="GM206" s="24"/>
      <c r="GN206" s="24"/>
      <c r="GO206" s="24"/>
      <c r="GP206" s="24"/>
      <c r="GQ206" s="24"/>
      <c r="GR206" s="24"/>
      <c r="GS206" s="24"/>
      <c r="GT206" s="24"/>
      <c r="GU206" s="24"/>
      <c r="GV206" s="24"/>
      <c r="GW206" s="24"/>
      <c r="GX206" s="24"/>
      <c r="GY206" s="24"/>
      <c r="GZ206" s="24"/>
      <c r="HA206" s="24"/>
      <c r="HB206" s="24"/>
      <c r="HC206" s="24"/>
      <c r="HD206" s="24"/>
      <c r="HE206" s="24"/>
      <c r="HF206" s="24"/>
      <c r="HG206" s="24"/>
      <c r="HH206" s="24"/>
      <c r="HI206" s="24"/>
      <c r="HJ206" s="24"/>
      <c r="HK206" s="24"/>
      <c r="HL206" s="24"/>
      <c r="HM206" s="24"/>
      <c r="HN206" s="24"/>
      <c r="HO206" s="24"/>
      <c r="HP206" s="24"/>
      <c r="HQ206" s="24"/>
      <c r="HR206" s="24"/>
      <c r="HS206" s="24"/>
      <c r="HT206" s="24"/>
      <c r="HU206" s="25"/>
      <c r="HV206" s="26"/>
      <c r="HW206" s="27"/>
      <c r="HX206" s="26"/>
      <c r="HY206" s="26"/>
      <c r="HZ206" s="26"/>
      <c r="IA206" s="25"/>
      <c r="IB206" s="26"/>
      <c r="IC206" s="27"/>
      <c r="ID206" s="25"/>
      <c r="IE206" s="26"/>
      <c r="IF206" s="27"/>
    </row>
    <row r="207" spans="4:240" hidden="1" x14ac:dyDescent="0.35">
      <c r="D207" s="1"/>
      <c r="E207" s="3"/>
      <c r="G207" s="5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K207" s="21"/>
      <c r="CL207" s="21"/>
      <c r="CM207" s="21"/>
      <c r="CN207" s="21"/>
      <c r="CO207" s="21"/>
      <c r="CP207" s="21"/>
      <c r="CQ207" s="21"/>
      <c r="CR207" s="21"/>
      <c r="CS207" s="21"/>
      <c r="CT207" s="21"/>
      <c r="CU207" s="21"/>
      <c r="CV207" s="21"/>
      <c r="CW207" s="21"/>
      <c r="CX207" s="21"/>
      <c r="CY207" s="21"/>
      <c r="CZ207" s="21"/>
      <c r="DA207" s="21"/>
      <c r="DB207" s="21"/>
      <c r="DC207" s="21"/>
      <c r="DD207" s="21"/>
      <c r="DE207" s="21"/>
      <c r="DF207" s="21"/>
      <c r="DX207" s="24"/>
      <c r="DY207" s="24"/>
      <c r="DZ207" s="24"/>
      <c r="EA207" s="24"/>
      <c r="EB207" s="24"/>
      <c r="EC207" s="24"/>
      <c r="ED207" s="24"/>
      <c r="EE207" s="24"/>
      <c r="EF207" s="24"/>
      <c r="EG207" s="24"/>
      <c r="EH207" s="24"/>
      <c r="EI207" s="24"/>
      <c r="EJ207" s="24"/>
      <c r="EK207" s="24"/>
      <c r="EL207" s="24"/>
      <c r="EM207" s="24"/>
      <c r="EN207" s="24"/>
      <c r="EO207" s="24"/>
      <c r="EP207" s="24"/>
      <c r="EQ207" s="24"/>
      <c r="ER207" s="24"/>
      <c r="ES207" s="24"/>
      <c r="ET207" s="24"/>
      <c r="EU207" s="24"/>
      <c r="EV207" s="24"/>
      <c r="EW207" s="24"/>
      <c r="EX207" s="24"/>
      <c r="EY207" s="24"/>
      <c r="EZ207" s="24"/>
      <c r="FA207" s="24"/>
      <c r="FB207" s="24"/>
      <c r="FC207" s="24"/>
      <c r="FD207" s="24"/>
      <c r="FE207" s="24"/>
      <c r="FF207" s="24"/>
      <c r="FG207" s="24"/>
      <c r="FH207" s="24"/>
      <c r="FI207" s="24"/>
      <c r="FJ207" s="24"/>
      <c r="FK207" s="24"/>
      <c r="FL207" s="24"/>
      <c r="FM207" s="24"/>
      <c r="FN207" s="24"/>
      <c r="FO207" s="24"/>
      <c r="FP207" s="24"/>
      <c r="FQ207" s="24"/>
      <c r="FR207" s="24"/>
      <c r="FS207" s="24"/>
      <c r="FT207" s="24"/>
      <c r="FU207" s="24"/>
      <c r="FV207" s="24"/>
      <c r="FW207" s="24"/>
      <c r="FX207" s="24"/>
      <c r="FY207" s="24"/>
      <c r="FZ207" s="24"/>
      <c r="GA207" s="24"/>
      <c r="GB207" s="24"/>
      <c r="GC207" s="24"/>
      <c r="GD207" s="24"/>
      <c r="GE207" s="24"/>
      <c r="GF207" s="24"/>
      <c r="GG207" s="24"/>
      <c r="GH207" s="24"/>
      <c r="GI207" s="24"/>
      <c r="GJ207" s="24"/>
      <c r="GK207" s="24"/>
      <c r="GL207" s="24"/>
      <c r="GM207" s="24"/>
      <c r="GN207" s="24"/>
      <c r="GO207" s="24"/>
      <c r="GP207" s="24"/>
      <c r="GQ207" s="24"/>
      <c r="GR207" s="24"/>
      <c r="GS207" s="24"/>
      <c r="GT207" s="24"/>
      <c r="GU207" s="24"/>
      <c r="GV207" s="24"/>
      <c r="GW207" s="24"/>
      <c r="GX207" s="24"/>
      <c r="GY207" s="24"/>
      <c r="GZ207" s="24"/>
      <c r="HA207" s="24"/>
      <c r="HB207" s="24"/>
      <c r="HC207" s="24"/>
      <c r="HD207" s="24"/>
      <c r="HE207" s="24"/>
      <c r="HF207" s="24"/>
      <c r="HG207" s="24"/>
      <c r="HH207" s="24"/>
      <c r="HI207" s="24"/>
      <c r="HJ207" s="24"/>
      <c r="HK207" s="24"/>
      <c r="HL207" s="24"/>
      <c r="HM207" s="24"/>
      <c r="HN207" s="24"/>
      <c r="HO207" s="24"/>
      <c r="HP207" s="24"/>
      <c r="HQ207" s="24"/>
      <c r="HR207" s="24"/>
      <c r="HS207" s="24"/>
      <c r="HT207" s="24"/>
      <c r="HU207" s="25"/>
      <c r="HV207" s="26"/>
      <c r="HW207" s="27"/>
      <c r="HX207" s="26"/>
      <c r="HY207" s="26"/>
      <c r="HZ207" s="26"/>
      <c r="IA207" s="25"/>
      <c r="IB207" s="26"/>
      <c r="IC207" s="27"/>
      <c r="ID207" s="25"/>
      <c r="IE207" s="26"/>
      <c r="IF207" s="27"/>
    </row>
    <row r="208" spans="4:240" hidden="1" x14ac:dyDescent="0.35">
      <c r="D208" s="1"/>
      <c r="E208" s="3"/>
      <c r="G208" s="5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K208" s="21"/>
      <c r="CL208" s="21"/>
      <c r="CM208" s="21"/>
      <c r="CN208" s="21"/>
      <c r="CO208" s="21"/>
      <c r="CP208" s="21"/>
      <c r="CQ208" s="21"/>
      <c r="CR208" s="21"/>
      <c r="CS208" s="21"/>
      <c r="CT208" s="21"/>
      <c r="CU208" s="21"/>
      <c r="CV208" s="21"/>
      <c r="CW208" s="21"/>
      <c r="CX208" s="21"/>
      <c r="CY208" s="21"/>
      <c r="CZ208" s="21"/>
      <c r="DA208" s="21"/>
      <c r="DB208" s="21"/>
      <c r="DC208" s="21"/>
      <c r="DD208" s="21"/>
      <c r="DE208" s="21"/>
      <c r="DF208" s="21"/>
      <c r="DX208" s="24"/>
      <c r="DY208" s="24"/>
      <c r="DZ208" s="24"/>
      <c r="EA208" s="24"/>
      <c r="EB208" s="24"/>
      <c r="EC208" s="24"/>
      <c r="ED208" s="24"/>
      <c r="EE208" s="24"/>
      <c r="EF208" s="24"/>
      <c r="EG208" s="24"/>
      <c r="EH208" s="24"/>
      <c r="EI208" s="24"/>
      <c r="EJ208" s="24"/>
      <c r="EK208" s="24"/>
      <c r="EL208" s="24"/>
      <c r="EM208" s="24"/>
      <c r="EN208" s="24"/>
      <c r="EO208" s="24"/>
      <c r="EP208" s="24"/>
      <c r="EQ208" s="24"/>
      <c r="ER208" s="24"/>
      <c r="ES208" s="24"/>
      <c r="ET208" s="24"/>
      <c r="EU208" s="24"/>
      <c r="EV208" s="24"/>
      <c r="EW208" s="24"/>
      <c r="EX208" s="24"/>
      <c r="EY208" s="24"/>
      <c r="EZ208" s="24"/>
      <c r="FA208" s="24"/>
      <c r="FB208" s="24"/>
      <c r="FC208" s="24"/>
      <c r="FD208" s="24"/>
      <c r="FE208" s="24"/>
      <c r="FF208" s="24"/>
      <c r="FG208" s="24"/>
      <c r="FH208" s="24"/>
      <c r="FI208" s="24"/>
      <c r="FJ208" s="24"/>
      <c r="FK208" s="24"/>
      <c r="FL208" s="24"/>
      <c r="FM208" s="24"/>
      <c r="FN208" s="24"/>
      <c r="FO208" s="24"/>
      <c r="FP208" s="24"/>
      <c r="FQ208" s="24"/>
      <c r="FR208" s="24"/>
      <c r="FS208" s="24"/>
      <c r="FT208" s="24"/>
      <c r="FU208" s="24"/>
      <c r="FV208" s="24"/>
      <c r="FW208" s="24"/>
      <c r="FX208" s="24"/>
      <c r="FY208" s="24"/>
      <c r="FZ208" s="24"/>
      <c r="GA208" s="24"/>
      <c r="GB208" s="24"/>
      <c r="GC208" s="24"/>
      <c r="GD208" s="24"/>
      <c r="GE208" s="24"/>
      <c r="GF208" s="24"/>
      <c r="GG208" s="24"/>
      <c r="GH208" s="24"/>
      <c r="GI208" s="24"/>
      <c r="GJ208" s="24"/>
      <c r="GK208" s="24"/>
      <c r="GL208" s="24"/>
      <c r="GM208" s="24"/>
      <c r="GN208" s="24"/>
      <c r="GO208" s="24"/>
      <c r="GP208" s="24"/>
      <c r="GQ208" s="24"/>
      <c r="GR208" s="24"/>
      <c r="GS208" s="24"/>
      <c r="GT208" s="24"/>
      <c r="GU208" s="24"/>
      <c r="GV208" s="24"/>
      <c r="GW208" s="24"/>
      <c r="GX208" s="24"/>
      <c r="GY208" s="24"/>
      <c r="GZ208" s="24"/>
      <c r="HA208" s="24"/>
      <c r="HB208" s="24"/>
      <c r="HC208" s="24"/>
      <c r="HD208" s="24"/>
      <c r="HE208" s="24"/>
      <c r="HF208" s="24"/>
      <c r="HG208" s="24"/>
      <c r="HH208" s="24"/>
      <c r="HI208" s="24"/>
      <c r="HJ208" s="24"/>
      <c r="HK208" s="24"/>
      <c r="HL208" s="24"/>
      <c r="HM208" s="24"/>
      <c r="HN208" s="24"/>
      <c r="HO208" s="24"/>
      <c r="HP208" s="24"/>
      <c r="HQ208" s="24"/>
      <c r="HR208" s="24"/>
      <c r="HS208" s="24"/>
      <c r="HT208" s="24"/>
      <c r="HU208" s="25"/>
      <c r="HV208" s="26"/>
      <c r="HW208" s="27"/>
      <c r="HX208" s="26"/>
      <c r="HY208" s="26"/>
      <c r="HZ208" s="26"/>
      <c r="IA208" s="25"/>
      <c r="IB208" s="26"/>
      <c r="IC208" s="27"/>
      <c r="ID208" s="25"/>
      <c r="IE208" s="26"/>
      <c r="IF208" s="27"/>
    </row>
    <row r="209" spans="4:240" hidden="1" x14ac:dyDescent="0.35">
      <c r="D209" s="1"/>
      <c r="E209" s="3"/>
      <c r="G209" s="5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X209" s="24"/>
      <c r="DY209" s="24"/>
      <c r="DZ209" s="24"/>
      <c r="EA209" s="24"/>
      <c r="EB209" s="24"/>
      <c r="EC209" s="24"/>
      <c r="ED209" s="24"/>
      <c r="EE209" s="24"/>
      <c r="EF209" s="24"/>
      <c r="EG209" s="24"/>
      <c r="EH209" s="24"/>
      <c r="EI209" s="24"/>
      <c r="EJ209" s="24"/>
      <c r="EK209" s="24"/>
      <c r="EL209" s="24"/>
      <c r="EM209" s="24"/>
      <c r="EN209" s="24"/>
      <c r="EO209" s="24"/>
      <c r="EP209" s="24"/>
      <c r="EQ209" s="24"/>
      <c r="ER209" s="24"/>
      <c r="ES209" s="24"/>
      <c r="ET209" s="24"/>
      <c r="EU209" s="24"/>
      <c r="EV209" s="24"/>
      <c r="EW209" s="24"/>
      <c r="EX209" s="24"/>
      <c r="EY209" s="24"/>
      <c r="EZ209" s="24"/>
      <c r="FA209" s="24"/>
      <c r="FB209" s="24"/>
      <c r="FC209" s="24"/>
      <c r="FD209" s="24"/>
      <c r="FE209" s="24"/>
      <c r="FF209" s="24"/>
      <c r="FG209" s="24"/>
      <c r="FH209" s="24"/>
      <c r="FI209" s="24"/>
      <c r="FJ209" s="24"/>
      <c r="FK209" s="24"/>
      <c r="FL209" s="24"/>
      <c r="FM209" s="24"/>
      <c r="FN209" s="24"/>
      <c r="FO209" s="24"/>
      <c r="FP209" s="24"/>
      <c r="FQ209" s="24"/>
      <c r="FR209" s="24"/>
      <c r="FS209" s="24"/>
      <c r="FT209" s="24"/>
      <c r="FU209" s="24"/>
      <c r="FV209" s="24"/>
      <c r="FW209" s="24"/>
      <c r="FX209" s="24"/>
      <c r="FY209" s="24"/>
      <c r="FZ209" s="24"/>
      <c r="GA209" s="24"/>
      <c r="GB209" s="24"/>
      <c r="GC209" s="24"/>
      <c r="GD209" s="24"/>
      <c r="GE209" s="24"/>
      <c r="GF209" s="24"/>
      <c r="GG209" s="24"/>
      <c r="GH209" s="24"/>
      <c r="GI209" s="24"/>
      <c r="GJ209" s="24"/>
      <c r="GK209" s="24"/>
      <c r="GL209" s="24"/>
      <c r="GM209" s="24"/>
      <c r="GN209" s="24"/>
      <c r="GO209" s="24"/>
      <c r="GP209" s="24"/>
      <c r="GQ209" s="24"/>
      <c r="GR209" s="24"/>
      <c r="GS209" s="24"/>
      <c r="GT209" s="24"/>
      <c r="GU209" s="24"/>
      <c r="GV209" s="24"/>
      <c r="GW209" s="24"/>
      <c r="GX209" s="24"/>
      <c r="GY209" s="24"/>
      <c r="GZ209" s="24"/>
      <c r="HA209" s="24"/>
      <c r="HB209" s="24"/>
      <c r="HC209" s="24"/>
      <c r="HD209" s="24"/>
      <c r="HE209" s="24"/>
      <c r="HF209" s="24"/>
      <c r="HG209" s="24"/>
      <c r="HH209" s="24"/>
      <c r="HI209" s="24"/>
      <c r="HJ209" s="24"/>
      <c r="HK209" s="24"/>
      <c r="HL209" s="24"/>
      <c r="HM209" s="24"/>
      <c r="HN209" s="24"/>
      <c r="HO209" s="24"/>
      <c r="HP209" s="24"/>
      <c r="HQ209" s="24"/>
      <c r="HR209" s="24"/>
      <c r="HS209" s="24"/>
      <c r="HT209" s="24"/>
      <c r="HU209" s="25"/>
      <c r="HV209" s="26"/>
      <c r="HW209" s="27"/>
      <c r="HX209" s="26"/>
      <c r="HY209" s="26"/>
      <c r="HZ209" s="26"/>
      <c r="IA209" s="25"/>
      <c r="IB209" s="26"/>
      <c r="IC209" s="27"/>
      <c r="ID209" s="25"/>
      <c r="IE209" s="26"/>
      <c r="IF209" s="27"/>
    </row>
    <row r="210" spans="4:240" hidden="1" x14ac:dyDescent="0.35">
      <c r="D210" s="1"/>
      <c r="E210" s="3"/>
      <c r="G210" s="5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K210" s="21"/>
      <c r="CL210" s="21"/>
      <c r="CM210" s="21"/>
      <c r="CN210" s="21"/>
      <c r="CO210" s="21"/>
      <c r="CP210" s="21"/>
      <c r="CQ210" s="21"/>
      <c r="CR210" s="21"/>
      <c r="CS210" s="21"/>
      <c r="CT210" s="21"/>
      <c r="CU210" s="21"/>
      <c r="CV210" s="21"/>
      <c r="CW210" s="21"/>
      <c r="CX210" s="21"/>
      <c r="CY210" s="21"/>
      <c r="CZ210" s="21"/>
      <c r="DA210" s="21"/>
      <c r="DB210" s="21"/>
      <c r="DC210" s="21"/>
      <c r="DD210" s="21"/>
      <c r="DE210" s="21"/>
      <c r="DF210" s="21"/>
      <c r="DX210" s="24"/>
      <c r="DY210" s="24"/>
      <c r="DZ210" s="24"/>
      <c r="EA210" s="24"/>
      <c r="EB210" s="24"/>
      <c r="EC210" s="24"/>
      <c r="ED210" s="24"/>
      <c r="EE210" s="24"/>
      <c r="EF210" s="24"/>
      <c r="EG210" s="24"/>
      <c r="EH210" s="24"/>
      <c r="EI210" s="24"/>
      <c r="EJ210" s="24"/>
      <c r="EK210" s="24"/>
      <c r="EL210" s="24"/>
      <c r="EM210" s="24"/>
      <c r="EN210" s="24"/>
      <c r="EO210" s="24"/>
      <c r="EP210" s="24"/>
      <c r="EQ210" s="24"/>
      <c r="ER210" s="24"/>
      <c r="ES210" s="24"/>
      <c r="ET210" s="24"/>
      <c r="EU210" s="24"/>
      <c r="EV210" s="24"/>
      <c r="EW210" s="24"/>
      <c r="EX210" s="24"/>
      <c r="EY210" s="24"/>
      <c r="EZ210" s="24"/>
      <c r="FA210" s="24"/>
      <c r="FB210" s="24"/>
      <c r="FC210" s="24"/>
      <c r="FD210" s="24"/>
      <c r="FE210" s="24"/>
      <c r="FF210" s="24"/>
      <c r="FG210" s="24"/>
      <c r="FH210" s="24"/>
      <c r="FI210" s="24"/>
      <c r="FJ210" s="24"/>
      <c r="FK210" s="24"/>
      <c r="FL210" s="24"/>
      <c r="FM210" s="24"/>
      <c r="FN210" s="24"/>
      <c r="FO210" s="24"/>
      <c r="FP210" s="24"/>
      <c r="FQ210" s="24"/>
      <c r="FR210" s="24"/>
      <c r="FS210" s="24"/>
      <c r="FT210" s="24"/>
      <c r="FU210" s="24"/>
      <c r="FV210" s="24"/>
      <c r="FW210" s="24"/>
      <c r="FX210" s="24"/>
      <c r="FY210" s="24"/>
      <c r="FZ210" s="24"/>
      <c r="GA210" s="24"/>
      <c r="GB210" s="24"/>
      <c r="GC210" s="24"/>
      <c r="GD210" s="24"/>
      <c r="GE210" s="24"/>
      <c r="GF210" s="24"/>
      <c r="GG210" s="24"/>
      <c r="GH210" s="24"/>
      <c r="GI210" s="24"/>
      <c r="GJ210" s="24"/>
      <c r="GK210" s="24"/>
      <c r="GL210" s="24"/>
      <c r="GM210" s="24"/>
      <c r="GN210" s="24"/>
      <c r="GO210" s="24"/>
      <c r="GP210" s="24"/>
      <c r="GQ210" s="24"/>
      <c r="GR210" s="24"/>
      <c r="GS210" s="24"/>
      <c r="GT210" s="24"/>
      <c r="GU210" s="24"/>
      <c r="GV210" s="24"/>
      <c r="GW210" s="24"/>
      <c r="GX210" s="24"/>
      <c r="GY210" s="24"/>
      <c r="GZ210" s="24"/>
      <c r="HA210" s="24"/>
      <c r="HB210" s="24"/>
      <c r="HC210" s="24"/>
      <c r="HD210" s="24"/>
      <c r="HE210" s="24"/>
      <c r="HF210" s="24"/>
      <c r="HG210" s="24"/>
      <c r="HH210" s="24"/>
      <c r="HI210" s="24"/>
      <c r="HJ210" s="24"/>
      <c r="HK210" s="24"/>
      <c r="HL210" s="24"/>
      <c r="HM210" s="24"/>
      <c r="HN210" s="24"/>
      <c r="HO210" s="24"/>
      <c r="HP210" s="24"/>
      <c r="HQ210" s="24"/>
      <c r="HR210" s="24"/>
      <c r="HS210" s="24"/>
      <c r="HT210" s="24"/>
      <c r="HU210" s="25"/>
      <c r="HV210" s="26"/>
      <c r="HW210" s="27"/>
      <c r="HX210" s="26"/>
      <c r="HY210" s="26"/>
      <c r="HZ210" s="26"/>
      <c r="IA210" s="25"/>
      <c r="IB210" s="26"/>
      <c r="IC210" s="27"/>
      <c r="ID210" s="25"/>
      <c r="IE210" s="26"/>
      <c r="IF210" s="27"/>
    </row>
  </sheetData>
  <sheetProtection pivotTables="0"/>
  <autoFilter ref="A6:IR137" xr:uid="{E99B475A-953B-4A4E-83C6-536270BA16F1}"/>
  <mergeCells count="16">
    <mergeCell ref="DG4:DJ4"/>
    <mergeCell ref="DK4:DN4"/>
    <mergeCell ref="DO4:DR4"/>
    <mergeCell ref="DS4:DV4"/>
    <mergeCell ref="ID5:IF5"/>
    <mergeCell ref="HX4:HZ4"/>
    <mergeCell ref="IA4:IC4"/>
    <mergeCell ref="ID4:IF4"/>
    <mergeCell ref="DG5:DJ5"/>
    <mergeCell ref="DK5:DN5"/>
    <mergeCell ref="DO5:DR5"/>
    <mergeCell ref="DS5:DV5"/>
    <mergeCell ref="HU5:HW5"/>
    <mergeCell ref="HX5:HZ5"/>
    <mergeCell ref="IA5:IC5"/>
    <mergeCell ref="HU4:HW4"/>
  </mergeCells>
  <conditionalFormatting sqref="J138:DF210 DL79:DN210 K79:DF137">
    <cfRule type="expression" dxfId="1076" priority="3848">
      <formula>$I79="c"</formula>
    </cfRule>
  </conditionalFormatting>
  <conditionalFormatting sqref="DG138:DJ210 DH79:DJ137">
    <cfRule type="expression" dxfId="1075" priority="3840">
      <formula>$DG79&lt;5</formula>
    </cfRule>
  </conditionalFormatting>
  <conditionalFormatting sqref="DK138:DN210 DL79:DN137 DP79:DR137 DT79:DV137">
    <cfRule type="expression" dxfId="1074" priority="3846">
      <formula>$DK79&lt;5</formula>
    </cfRule>
  </conditionalFormatting>
  <conditionalFormatting sqref="DH79:DJ210">
    <cfRule type="expression" dxfId="1073" priority="3842">
      <formula>$I79="c"</formula>
    </cfRule>
  </conditionalFormatting>
  <conditionalFormatting sqref="DH79:DJ210 DL79:DN210 J138:DF210 K79:DF137">
    <cfRule type="expression" dxfId="1072" priority="3841">
      <formula>$I79="r"</formula>
    </cfRule>
    <cfRule type="expression" dxfId="1071" priority="3844">
      <formula>$I79="p"</formula>
    </cfRule>
    <cfRule type="expression" dxfId="1070" priority="3845">
      <formula>$I79="n"</formula>
    </cfRule>
  </conditionalFormatting>
  <conditionalFormatting sqref="DK138:DK210">
    <cfRule type="cellIs" dxfId="1069" priority="3843" operator="lessThan">
      <formula>5</formula>
    </cfRule>
    <cfRule type="cellIs" dxfId="1068" priority="3847" operator="lessThan">
      <formula>5</formula>
    </cfRule>
  </conditionalFormatting>
  <conditionalFormatting sqref="DP79:DR210">
    <cfRule type="expression" dxfId="1067" priority="3839">
      <formula>$I79="c"</formula>
    </cfRule>
  </conditionalFormatting>
  <conditionalFormatting sqref="DO138:DR210">
    <cfRule type="expression" dxfId="1066" priority="3837">
      <formula>$DK138&lt;5</formula>
    </cfRule>
  </conditionalFormatting>
  <conditionalFormatting sqref="DP79:DR210">
    <cfRule type="expression" dxfId="1065" priority="3833">
      <formula>$I79="r"</formula>
    </cfRule>
    <cfRule type="expression" dxfId="1064" priority="3835">
      <formula>$I79="p"</formula>
    </cfRule>
    <cfRule type="expression" dxfId="1063" priority="3836">
      <formula>$I79="n"</formula>
    </cfRule>
  </conditionalFormatting>
  <conditionalFormatting sqref="DO138:DO210">
    <cfRule type="cellIs" dxfId="1062" priority="3834" operator="lessThan">
      <formula>5</formula>
    </cfRule>
    <cfRule type="cellIs" dxfId="1061" priority="3838" operator="lessThan">
      <formula>5</formula>
    </cfRule>
  </conditionalFormatting>
  <conditionalFormatting sqref="DT79:DV210">
    <cfRule type="expression" dxfId="1060" priority="3832">
      <formula>$I79="c"</formula>
    </cfRule>
  </conditionalFormatting>
  <conditionalFormatting sqref="DS138:DV210">
    <cfRule type="expression" dxfId="1059" priority="3830">
      <formula>$DK138&lt;5</formula>
    </cfRule>
  </conditionalFormatting>
  <conditionalFormatting sqref="DT79:DV210">
    <cfRule type="expression" dxfId="1058" priority="3826">
      <formula>$I79="r"</formula>
    </cfRule>
    <cfRule type="expression" dxfId="1057" priority="3828">
      <formula>$I79="p"</formula>
    </cfRule>
    <cfRule type="expression" dxfId="1056" priority="3829">
      <formula>$I79="n"</formula>
    </cfRule>
  </conditionalFormatting>
  <conditionalFormatting sqref="DS138:DS210">
    <cfRule type="cellIs" dxfId="1055" priority="3827" operator="lessThan">
      <formula>5</formula>
    </cfRule>
    <cfRule type="cellIs" dxfId="1054" priority="3831" operator="lessThan">
      <formula>5</formula>
    </cfRule>
  </conditionalFormatting>
  <conditionalFormatting sqref="F2">
    <cfRule type="expression" dxfId="1053" priority="3825">
      <formula>IF(AND($E$2="c",$G$2="$"),TRUE,FALSE)</formula>
    </cfRule>
  </conditionalFormatting>
  <conditionalFormatting sqref="HU10:IF15 HX23:IF23 HU24:IF30 HU73:IF73 HU16:HW23 HU74:HW137">
    <cfRule type="expression" dxfId="1052" priority="3208">
      <formula>IF(AND($I10="c",$DX$2="£"),TRUE,FALSE)</formula>
    </cfRule>
  </conditionalFormatting>
  <conditionalFormatting sqref="HU10:IF15 HX23:IF23 HU24:IF30 HU73:IF73 HU11:HW23 HU74:HW137">
    <cfRule type="expression" dxfId="1051" priority="3205">
      <formula>IF(AND($I10="c",$DX$2="¥"),TRUE,FALSE)</formula>
    </cfRule>
    <cfRule type="expression" dxfId="1050" priority="3206">
      <formula>IF(AND($I10="c",$DX$2="€"),TRUE,FALSE)</formula>
    </cfRule>
    <cfRule type="expression" dxfId="1049" priority="3207">
      <formula>IF(AND($I10="c",$DX$2="$"),TRUE,FALSE)</formula>
    </cfRule>
  </conditionalFormatting>
  <conditionalFormatting sqref="DX7:HT7">
    <cfRule type="expression" priority="1256" stopIfTrue="1">
      <formula>$IL7&lt;4</formula>
    </cfRule>
    <cfRule type="expression" dxfId="1048" priority="1257">
      <formula>IF(AND($I7="c",$DX$2="£"),TRUE,FALSE)</formula>
    </cfRule>
    <cfRule type="expression" dxfId="1047" priority="1258">
      <formula>IF(AND($I7="c",$DX$2="€"),TRUE,FALSE)</formula>
    </cfRule>
    <cfRule type="expression" dxfId="1046" priority="1259">
      <formula>IF(AND($I7="c",$DX$2="¥"),TRUE,FALSE)</formula>
    </cfRule>
    <cfRule type="expression" dxfId="1045" priority="1260">
      <formula>IF(AND($I7="c",$DX$2="$"),TRUE,FALSE)</formula>
    </cfRule>
    <cfRule type="cellIs" dxfId="1044" priority="1261" operator="lessThan">
      <formula>$IN7</formula>
    </cfRule>
    <cfRule type="cellIs" dxfId="1043" priority="1262" operator="between">
      <formula>$IN7</formula>
      <formula>$IO7</formula>
    </cfRule>
    <cfRule type="cellIs" dxfId="1042" priority="1263" operator="between">
      <formula>$IO7</formula>
      <formula>$IP7</formula>
    </cfRule>
    <cfRule type="cellIs" dxfId="1041" priority="1264" operator="between">
      <formula>$IP7</formula>
      <formula>$IQ7</formula>
    </cfRule>
    <cfRule type="cellIs" dxfId="1040" priority="1265" operator="greaterThanOrEqual">
      <formula>$IQ7</formula>
    </cfRule>
  </conditionalFormatting>
  <conditionalFormatting sqref="DX8:HT8">
    <cfRule type="expression" priority="1245" stopIfTrue="1">
      <formula>$IL8&lt;4</formula>
    </cfRule>
    <cfRule type="expression" dxfId="1039" priority="1246">
      <formula>IF(AND($I8="c",$DX$2="£"),TRUE,FALSE)</formula>
    </cfRule>
    <cfRule type="expression" dxfId="1038" priority="1247">
      <formula>IF(AND($I8="c",$DX$2="€"),TRUE,FALSE)</formula>
    </cfRule>
    <cfRule type="expression" dxfId="1037" priority="1248">
      <formula>IF(AND($I8="c",$DX$2="¥"),TRUE,FALSE)</formula>
    </cfRule>
    <cfRule type="expression" dxfId="1036" priority="1249">
      <formula>IF(AND($I8="c",$DX$2="$"),TRUE,FALSE)</formula>
    </cfRule>
    <cfRule type="cellIs" dxfId="1035" priority="1250" operator="lessThan">
      <formula>$IN8</formula>
    </cfRule>
    <cfRule type="cellIs" dxfId="1034" priority="1251" operator="between">
      <formula>$IN8</formula>
      <formula>$IO8</formula>
    </cfRule>
    <cfRule type="cellIs" dxfId="1033" priority="1252" operator="between">
      <formula>$IO8</formula>
      <formula>$IP8</formula>
    </cfRule>
    <cfRule type="cellIs" dxfId="1032" priority="1253" operator="between">
      <formula>$IP8</formula>
      <formula>$IQ8</formula>
    </cfRule>
    <cfRule type="cellIs" dxfId="1031" priority="1254" operator="greaterThanOrEqual">
      <formula>$IQ8</formula>
    </cfRule>
  </conditionalFormatting>
  <conditionalFormatting sqref="DX10:HT10">
    <cfRule type="expression" priority="1234" stopIfTrue="1">
      <formula>$IL10&lt;4</formula>
    </cfRule>
    <cfRule type="expression" dxfId="1030" priority="1235">
      <formula>IF(AND($I10="c",$DX$2="£"),TRUE,FALSE)</formula>
    </cfRule>
    <cfRule type="expression" dxfId="1029" priority="1236">
      <formula>IF(AND($I10="c",$DX$2="€"),TRUE,FALSE)</formula>
    </cfRule>
    <cfRule type="expression" dxfId="1028" priority="1237">
      <formula>IF(AND($I10="c",$DX$2="¥"),TRUE,FALSE)</formula>
    </cfRule>
    <cfRule type="expression" dxfId="1027" priority="1238">
      <formula>IF(AND($I10="c",$DX$2="$"),TRUE,FALSE)</formula>
    </cfRule>
    <cfRule type="cellIs" dxfId="1026" priority="1239" operator="lessThan">
      <formula>$IN10</formula>
    </cfRule>
    <cfRule type="cellIs" dxfId="1025" priority="1240" operator="between">
      <formula>$IN10</formula>
      <formula>$IO10</formula>
    </cfRule>
    <cfRule type="cellIs" dxfId="1024" priority="1241" operator="between">
      <formula>$IO10</formula>
      <formula>$IP10</formula>
    </cfRule>
    <cfRule type="cellIs" dxfId="1023" priority="1242" operator="between">
      <formula>$IP10</formula>
      <formula>$IQ10</formula>
    </cfRule>
    <cfRule type="cellIs" dxfId="1022" priority="1243" operator="greaterThanOrEqual">
      <formula>$IQ10</formula>
    </cfRule>
  </conditionalFormatting>
  <conditionalFormatting sqref="DX11:HT11">
    <cfRule type="expression" priority="1223" stopIfTrue="1">
      <formula>$IL11&lt;4</formula>
    </cfRule>
    <cfRule type="expression" dxfId="1021" priority="1224">
      <formula>IF(AND($I11="c",$DX$2="£"),TRUE,FALSE)</formula>
    </cfRule>
    <cfRule type="expression" dxfId="1020" priority="1225">
      <formula>IF(AND($I11="c",$DX$2="€"),TRUE,FALSE)</formula>
    </cfRule>
    <cfRule type="expression" dxfId="1019" priority="1226">
      <formula>IF(AND($I11="c",$DX$2="¥"),TRUE,FALSE)</formula>
    </cfRule>
    <cfRule type="expression" dxfId="1018" priority="1227">
      <formula>IF(AND($I11="c",$DX$2="$"),TRUE,FALSE)</formula>
    </cfRule>
    <cfRule type="cellIs" dxfId="1017" priority="1228" operator="lessThan">
      <formula>$IN11</formula>
    </cfRule>
    <cfRule type="cellIs" dxfId="1016" priority="1229" operator="between">
      <formula>$IN11</formula>
      <formula>$IO11</formula>
    </cfRule>
    <cfRule type="cellIs" dxfId="1015" priority="1230" operator="between">
      <formula>$IO11</formula>
      <formula>$IP11</formula>
    </cfRule>
    <cfRule type="cellIs" dxfId="1014" priority="1231" operator="between">
      <formula>$IP11</formula>
      <formula>$IQ11</formula>
    </cfRule>
    <cfRule type="cellIs" dxfId="1013" priority="1232" operator="greaterThanOrEqual">
      <formula>$IQ11</formula>
    </cfRule>
  </conditionalFormatting>
  <conditionalFormatting sqref="DX12:HT12">
    <cfRule type="expression" priority="1212" stopIfTrue="1">
      <formula>$IL12&lt;4</formula>
    </cfRule>
    <cfRule type="expression" dxfId="1012" priority="1213">
      <formula>IF(AND($I12="c",$DX$2="£"),TRUE,FALSE)</formula>
    </cfRule>
    <cfRule type="expression" dxfId="1011" priority="1214">
      <formula>IF(AND($I12="c",$DX$2="€"),TRUE,FALSE)</formula>
    </cfRule>
    <cfRule type="expression" dxfId="1010" priority="1215">
      <formula>IF(AND($I12="c",$DX$2="¥"),TRUE,FALSE)</formula>
    </cfRule>
    <cfRule type="expression" dxfId="1009" priority="1216">
      <formula>IF(AND($I12="c",$DX$2="$"),TRUE,FALSE)</formula>
    </cfRule>
    <cfRule type="cellIs" dxfId="1008" priority="1217" operator="lessThan">
      <formula>$IN12</formula>
    </cfRule>
    <cfRule type="cellIs" dxfId="1007" priority="1218" operator="between">
      <formula>$IN12</formula>
      <formula>$IO12</formula>
    </cfRule>
    <cfRule type="cellIs" dxfId="1006" priority="1219" operator="between">
      <formula>$IO12</formula>
      <formula>$IP12</formula>
    </cfRule>
    <cfRule type="cellIs" dxfId="1005" priority="1220" operator="between">
      <formula>$IP12</formula>
      <formula>$IQ12</formula>
    </cfRule>
    <cfRule type="cellIs" dxfId="1004" priority="1221" operator="greaterThanOrEqual">
      <formula>$IQ12</formula>
    </cfRule>
  </conditionalFormatting>
  <conditionalFormatting sqref="DX13:HT13">
    <cfRule type="expression" priority="1201" stopIfTrue="1">
      <formula>$IL13&lt;4</formula>
    </cfRule>
    <cfRule type="expression" dxfId="1003" priority="1202">
      <formula>IF(AND($I13="c",$DX$2="£"),TRUE,FALSE)</formula>
    </cfRule>
    <cfRule type="expression" dxfId="1002" priority="1203">
      <formula>IF(AND($I13="c",$DX$2="€"),TRUE,FALSE)</formula>
    </cfRule>
    <cfRule type="expression" dxfId="1001" priority="1204">
      <formula>IF(AND($I13="c",$DX$2="¥"),TRUE,FALSE)</formula>
    </cfRule>
    <cfRule type="expression" dxfId="1000" priority="1205">
      <formula>IF(AND($I13="c",$DX$2="$"),TRUE,FALSE)</formula>
    </cfRule>
    <cfRule type="cellIs" dxfId="999" priority="1206" operator="lessThan">
      <formula>$IN13</formula>
    </cfRule>
    <cfRule type="cellIs" dxfId="998" priority="1207" operator="between">
      <formula>$IN13</formula>
      <formula>$IO13</formula>
    </cfRule>
    <cfRule type="cellIs" dxfId="997" priority="1208" operator="between">
      <formula>$IO13</formula>
      <formula>$IP13</formula>
    </cfRule>
    <cfRule type="cellIs" dxfId="996" priority="1209" operator="between">
      <formula>$IP13</formula>
      <formula>$IQ13</formula>
    </cfRule>
    <cfRule type="cellIs" dxfId="995" priority="1210" operator="greaterThanOrEqual">
      <formula>$IQ13</formula>
    </cfRule>
  </conditionalFormatting>
  <conditionalFormatting sqref="DX14:HT14">
    <cfRule type="expression" priority="1190" stopIfTrue="1">
      <formula>$IL14&lt;4</formula>
    </cfRule>
    <cfRule type="expression" dxfId="994" priority="1191">
      <formula>IF(AND($I14="c",$DX$2="£"),TRUE,FALSE)</formula>
    </cfRule>
    <cfRule type="expression" dxfId="993" priority="1192">
      <formula>IF(AND($I14="c",$DX$2="€"),TRUE,FALSE)</formula>
    </cfRule>
    <cfRule type="expression" dxfId="992" priority="1193">
      <formula>IF(AND($I14="c",$DX$2="¥"),TRUE,FALSE)</formula>
    </cfRule>
    <cfRule type="expression" dxfId="991" priority="1194">
      <formula>IF(AND($I14="c",$DX$2="$"),TRUE,FALSE)</formula>
    </cfRule>
    <cfRule type="cellIs" dxfId="990" priority="1195" operator="lessThan">
      <formula>$IN14</formula>
    </cfRule>
    <cfRule type="cellIs" dxfId="989" priority="1196" operator="between">
      <formula>$IN14</formula>
      <formula>$IO14</formula>
    </cfRule>
    <cfRule type="cellIs" dxfId="988" priority="1197" operator="between">
      <formula>$IO14</formula>
      <formula>$IP14</formula>
    </cfRule>
    <cfRule type="cellIs" dxfId="987" priority="1198" operator="between">
      <formula>$IP14</formula>
      <formula>$IQ14</formula>
    </cfRule>
    <cfRule type="cellIs" dxfId="986" priority="1199" operator="greaterThanOrEqual">
      <formula>$IQ14</formula>
    </cfRule>
  </conditionalFormatting>
  <conditionalFormatting sqref="DX15:HT15">
    <cfRule type="expression" priority="1179" stopIfTrue="1">
      <formula>$IL15&lt;4</formula>
    </cfRule>
    <cfRule type="expression" dxfId="985" priority="1180">
      <formula>IF(AND($I15="c",$DX$2="£"),TRUE,FALSE)</formula>
    </cfRule>
    <cfRule type="expression" dxfId="984" priority="1181">
      <formula>IF(AND($I15="c",$DX$2="€"),TRUE,FALSE)</formula>
    </cfRule>
    <cfRule type="expression" dxfId="983" priority="1182">
      <formula>IF(AND($I15="c",$DX$2="¥"),TRUE,FALSE)</formula>
    </cfRule>
    <cfRule type="expression" dxfId="982" priority="1183">
      <formula>IF(AND($I15="c",$DX$2="$"),TRUE,FALSE)</formula>
    </cfRule>
    <cfRule type="cellIs" dxfId="981" priority="1184" operator="lessThan">
      <formula>$IN15</formula>
    </cfRule>
    <cfRule type="cellIs" dxfId="980" priority="1185" operator="between">
      <formula>$IN15</formula>
      <formula>$IO15</formula>
    </cfRule>
    <cfRule type="cellIs" dxfId="979" priority="1186" operator="between">
      <formula>$IO15</formula>
      <formula>$IP15</formula>
    </cfRule>
    <cfRule type="cellIs" dxfId="978" priority="1187" operator="between">
      <formula>$IP15</formula>
      <formula>$IQ15</formula>
    </cfRule>
    <cfRule type="cellIs" dxfId="977" priority="1188" operator="greaterThanOrEqual">
      <formula>$IQ15</formula>
    </cfRule>
  </conditionalFormatting>
  <conditionalFormatting sqref="DX16:HT16">
    <cfRule type="expression" priority="1168" stopIfTrue="1">
      <formula>$IL16&lt;4</formula>
    </cfRule>
    <cfRule type="expression" dxfId="976" priority="1169">
      <formula>IF(AND($I16="c",$DX$2="£"),TRUE,FALSE)</formula>
    </cfRule>
    <cfRule type="expression" dxfId="975" priority="1170">
      <formula>IF(AND($I16="c",$DX$2="€"),TRUE,FALSE)</formula>
    </cfRule>
    <cfRule type="expression" dxfId="974" priority="1171">
      <formula>IF(AND($I16="c",$DX$2="¥"),TRUE,FALSE)</formula>
    </cfRule>
    <cfRule type="expression" dxfId="973" priority="1172">
      <formula>IF(AND($I16="c",$DX$2="$"),TRUE,FALSE)</formula>
    </cfRule>
    <cfRule type="cellIs" dxfId="972" priority="1173" operator="lessThan">
      <formula>$IN16</formula>
    </cfRule>
    <cfRule type="cellIs" dxfId="971" priority="1174" operator="between">
      <formula>$IN16</formula>
      <formula>$IO16</formula>
    </cfRule>
    <cfRule type="cellIs" dxfId="970" priority="1175" operator="between">
      <formula>$IO16</formula>
      <formula>$IP16</formula>
    </cfRule>
    <cfRule type="cellIs" dxfId="969" priority="1176" operator="between">
      <formula>$IP16</formula>
      <formula>$IQ16</formula>
    </cfRule>
    <cfRule type="cellIs" dxfId="968" priority="1177" operator="greaterThanOrEqual">
      <formula>$IQ16</formula>
    </cfRule>
  </conditionalFormatting>
  <conditionalFormatting sqref="DX17:HT17">
    <cfRule type="expression" priority="1157" stopIfTrue="1">
      <formula>$IL17&lt;4</formula>
    </cfRule>
    <cfRule type="expression" dxfId="967" priority="1158">
      <formula>IF(AND($I17="c",$DX$2="£"),TRUE,FALSE)</formula>
    </cfRule>
    <cfRule type="expression" dxfId="966" priority="1159">
      <formula>IF(AND($I17="c",$DX$2="€"),TRUE,FALSE)</formula>
    </cfRule>
    <cfRule type="expression" dxfId="965" priority="1160">
      <formula>IF(AND($I17="c",$DX$2="¥"),TRUE,FALSE)</formula>
    </cfRule>
    <cfRule type="expression" dxfId="964" priority="1161">
      <formula>IF(AND($I17="c",$DX$2="$"),TRUE,FALSE)</formula>
    </cfRule>
    <cfRule type="cellIs" dxfId="963" priority="1162" operator="lessThan">
      <formula>$IN17</formula>
    </cfRule>
    <cfRule type="cellIs" dxfId="962" priority="1163" operator="between">
      <formula>$IN17</formula>
      <formula>$IO17</formula>
    </cfRule>
    <cfRule type="cellIs" dxfId="961" priority="1164" operator="between">
      <formula>$IO17</formula>
      <formula>$IP17</formula>
    </cfRule>
    <cfRule type="cellIs" dxfId="960" priority="1165" operator="between">
      <formula>$IP17</formula>
      <formula>$IQ17</formula>
    </cfRule>
    <cfRule type="cellIs" dxfId="959" priority="1166" operator="greaterThanOrEqual">
      <formula>$IQ17</formula>
    </cfRule>
  </conditionalFormatting>
  <conditionalFormatting sqref="DX18:HT18">
    <cfRule type="expression" priority="1146" stopIfTrue="1">
      <formula>$IL18&lt;4</formula>
    </cfRule>
    <cfRule type="expression" dxfId="958" priority="1147">
      <formula>IF(AND($I18="c",$DX$2="£"),TRUE,FALSE)</formula>
    </cfRule>
    <cfRule type="expression" dxfId="957" priority="1148">
      <formula>IF(AND($I18="c",$DX$2="€"),TRUE,FALSE)</formula>
    </cfRule>
    <cfRule type="expression" dxfId="956" priority="1149">
      <formula>IF(AND($I18="c",$DX$2="¥"),TRUE,FALSE)</formula>
    </cfRule>
    <cfRule type="expression" dxfId="955" priority="1150">
      <formula>IF(AND($I18="c",$DX$2="$"),TRUE,FALSE)</formula>
    </cfRule>
    <cfRule type="cellIs" dxfId="954" priority="1151" operator="lessThan">
      <formula>$IN18</formula>
    </cfRule>
    <cfRule type="cellIs" dxfId="953" priority="1152" operator="between">
      <formula>$IN18</formula>
      <formula>$IO18</formula>
    </cfRule>
    <cfRule type="cellIs" dxfId="952" priority="1153" operator="between">
      <formula>$IO18</formula>
      <formula>$IP18</formula>
    </cfRule>
    <cfRule type="cellIs" dxfId="951" priority="1154" operator="between">
      <formula>$IP18</formula>
      <formula>$IQ18</formula>
    </cfRule>
    <cfRule type="cellIs" dxfId="950" priority="1155" operator="greaterThanOrEqual">
      <formula>$IQ18</formula>
    </cfRule>
  </conditionalFormatting>
  <conditionalFormatting sqref="DX19:HT19">
    <cfRule type="expression" priority="1135" stopIfTrue="1">
      <formula>$IL19&lt;4</formula>
    </cfRule>
    <cfRule type="expression" dxfId="949" priority="1136">
      <formula>IF(AND($I19="c",$DX$2="£"),TRUE,FALSE)</formula>
    </cfRule>
    <cfRule type="expression" dxfId="948" priority="1137">
      <formula>IF(AND($I19="c",$DX$2="€"),TRUE,FALSE)</formula>
    </cfRule>
    <cfRule type="expression" dxfId="947" priority="1138">
      <formula>IF(AND($I19="c",$DX$2="¥"),TRUE,FALSE)</formula>
    </cfRule>
    <cfRule type="expression" dxfId="946" priority="1139">
      <formula>IF(AND($I19="c",$DX$2="$"),TRUE,FALSE)</formula>
    </cfRule>
    <cfRule type="cellIs" dxfId="945" priority="1140" operator="lessThan">
      <formula>$IN19</formula>
    </cfRule>
    <cfRule type="cellIs" dxfId="944" priority="1141" operator="between">
      <formula>$IN19</formula>
      <formula>$IO19</formula>
    </cfRule>
    <cfRule type="cellIs" dxfId="943" priority="1142" operator="between">
      <formula>$IO19</formula>
      <formula>$IP19</formula>
    </cfRule>
    <cfRule type="cellIs" dxfId="942" priority="1143" operator="between">
      <formula>$IP19</formula>
      <formula>$IQ19</formula>
    </cfRule>
    <cfRule type="cellIs" dxfId="941" priority="1144" operator="greaterThanOrEqual">
      <formula>$IQ19</formula>
    </cfRule>
  </conditionalFormatting>
  <conditionalFormatting sqref="DX20:HT20">
    <cfRule type="expression" priority="1124" stopIfTrue="1">
      <formula>$IL20&lt;4</formula>
    </cfRule>
    <cfRule type="expression" dxfId="940" priority="1125">
      <formula>IF(AND($I20="c",$DX$2="£"),TRUE,FALSE)</formula>
    </cfRule>
    <cfRule type="expression" dxfId="939" priority="1126">
      <formula>IF(AND($I20="c",$DX$2="€"),TRUE,FALSE)</formula>
    </cfRule>
    <cfRule type="expression" dxfId="938" priority="1127">
      <formula>IF(AND($I20="c",$DX$2="¥"),TRUE,FALSE)</formula>
    </cfRule>
    <cfRule type="expression" dxfId="937" priority="1128">
      <formula>IF(AND($I20="c",$DX$2="$"),TRUE,FALSE)</formula>
    </cfRule>
    <cfRule type="cellIs" dxfId="936" priority="1129" operator="lessThan">
      <formula>$IN20</formula>
    </cfRule>
    <cfRule type="cellIs" dxfId="935" priority="1130" operator="between">
      <formula>$IN20</formula>
      <formula>$IO20</formula>
    </cfRule>
    <cfRule type="cellIs" dxfId="934" priority="1131" operator="between">
      <formula>$IO20</formula>
      <formula>$IP20</formula>
    </cfRule>
    <cfRule type="cellIs" dxfId="933" priority="1132" operator="between">
      <formula>$IP20</formula>
      <formula>$IQ20</formula>
    </cfRule>
    <cfRule type="cellIs" dxfId="932" priority="1133" operator="greaterThanOrEqual">
      <formula>$IQ20</formula>
    </cfRule>
  </conditionalFormatting>
  <conditionalFormatting sqref="DX21:HT21">
    <cfRule type="expression" priority="1113" stopIfTrue="1">
      <formula>$IL21&lt;4</formula>
    </cfRule>
    <cfRule type="expression" dxfId="931" priority="1114">
      <formula>IF(AND($I21="c",$DX$2="£"),TRUE,FALSE)</formula>
    </cfRule>
    <cfRule type="expression" dxfId="930" priority="1115">
      <formula>IF(AND($I21="c",$DX$2="€"),TRUE,FALSE)</formula>
    </cfRule>
    <cfRule type="expression" dxfId="929" priority="1116">
      <formula>IF(AND($I21="c",$DX$2="¥"),TRUE,FALSE)</formula>
    </cfRule>
    <cfRule type="expression" dxfId="928" priority="1117">
      <formula>IF(AND($I21="c",$DX$2="$"),TRUE,FALSE)</formula>
    </cfRule>
    <cfRule type="cellIs" dxfId="927" priority="1118" operator="lessThan">
      <formula>$IN21</formula>
    </cfRule>
    <cfRule type="cellIs" dxfId="926" priority="1119" operator="between">
      <formula>$IN21</formula>
      <formula>$IO21</formula>
    </cfRule>
    <cfRule type="cellIs" dxfId="925" priority="1120" operator="between">
      <formula>$IO21</formula>
      <formula>$IP21</formula>
    </cfRule>
    <cfRule type="cellIs" dxfId="924" priority="1121" operator="between">
      <formula>$IP21</formula>
      <formula>$IQ21</formula>
    </cfRule>
    <cfRule type="cellIs" dxfId="923" priority="1122" operator="greaterThanOrEqual">
      <formula>$IQ21</formula>
    </cfRule>
  </conditionalFormatting>
  <conditionalFormatting sqref="DX22:HT22">
    <cfRule type="expression" priority="1102" stopIfTrue="1">
      <formula>$IL22&lt;4</formula>
    </cfRule>
    <cfRule type="expression" dxfId="922" priority="1103">
      <formula>IF(AND($I22="c",$DX$2="£"),TRUE,FALSE)</formula>
    </cfRule>
    <cfRule type="expression" dxfId="921" priority="1104">
      <formula>IF(AND($I22="c",$DX$2="€"),TRUE,FALSE)</formula>
    </cfRule>
    <cfRule type="expression" dxfId="920" priority="1105">
      <formula>IF(AND($I22="c",$DX$2="¥"),TRUE,FALSE)</formula>
    </cfRule>
    <cfRule type="expression" dxfId="919" priority="1106">
      <formula>IF(AND($I22="c",$DX$2="$"),TRUE,FALSE)</formula>
    </cfRule>
    <cfRule type="cellIs" dxfId="918" priority="1107" operator="lessThan">
      <formula>$IN22</formula>
    </cfRule>
    <cfRule type="cellIs" dxfId="917" priority="1108" operator="between">
      <formula>$IN22</formula>
      <formula>$IO22</formula>
    </cfRule>
    <cfRule type="cellIs" dxfId="916" priority="1109" operator="between">
      <formula>$IO22</formula>
      <formula>$IP22</formula>
    </cfRule>
    <cfRule type="cellIs" dxfId="915" priority="1110" operator="between">
      <formula>$IP22</formula>
      <formula>$IQ22</formula>
    </cfRule>
    <cfRule type="cellIs" dxfId="914" priority="1111" operator="greaterThanOrEqual">
      <formula>$IQ22</formula>
    </cfRule>
  </conditionalFormatting>
  <conditionalFormatting sqref="DX23:HT23">
    <cfRule type="expression" priority="1091" stopIfTrue="1">
      <formula>$IL23&lt;4</formula>
    </cfRule>
    <cfRule type="expression" dxfId="913" priority="1092">
      <formula>IF(AND($I23="c",$DX$2="£"),TRUE,FALSE)</formula>
    </cfRule>
    <cfRule type="expression" dxfId="912" priority="1093">
      <formula>IF(AND($I23="c",$DX$2="€"),TRUE,FALSE)</formula>
    </cfRule>
    <cfRule type="expression" dxfId="911" priority="1094">
      <formula>IF(AND($I23="c",$DX$2="¥"),TRUE,FALSE)</formula>
    </cfRule>
    <cfRule type="expression" dxfId="910" priority="1095">
      <formula>IF(AND($I23="c",$DX$2="$"),TRUE,FALSE)</formula>
    </cfRule>
    <cfRule type="cellIs" dxfId="909" priority="1096" operator="lessThan">
      <formula>$IN23</formula>
    </cfRule>
    <cfRule type="cellIs" dxfId="908" priority="1097" operator="between">
      <formula>$IN23</formula>
      <formula>$IO23</formula>
    </cfRule>
    <cfRule type="cellIs" dxfId="907" priority="1098" operator="between">
      <formula>$IO23</formula>
      <formula>$IP23</formula>
    </cfRule>
    <cfRule type="cellIs" dxfId="906" priority="1099" operator="between">
      <formula>$IP23</formula>
      <formula>$IQ23</formula>
    </cfRule>
    <cfRule type="cellIs" dxfId="905" priority="1100" operator="greaterThanOrEqual">
      <formula>$IQ23</formula>
    </cfRule>
  </conditionalFormatting>
  <conditionalFormatting sqref="DX116:HT116">
    <cfRule type="expression" priority="1080" stopIfTrue="1">
      <formula>$IL116&lt;4</formula>
    </cfRule>
    <cfRule type="expression" dxfId="904" priority="1081">
      <formula>IF(AND($I116="c",$DX$2="£"),TRUE,FALSE)</formula>
    </cfRule>
    <cfRule type="expression" dxfId="903" priority="1082">
      <formula>IF(AND($I116="c",$DX$2="€"),TRUE,FALSE)</formula>
    </cfRule>
    <cfRule type="expression" dxfId="902" priority="1083">
      <formula>IF(AND($I116="c",$DX$2="¥"),TRUE,FALSE)</formula>
    </cfRule>
    <cfRule type="expression" dxfId="901" priority="1084">
      <formula>IF(AND($I116="c",$DX$2="$"),TRUE,FALSE)</formula>
    </cfRule>
    <cfRule type="cellIs" dxfId="900" priority="1085" operator="lessThan">
      <formula>$IN116</formula>
    </cfRule>
    <cfRule type="cellIs" dxfId="899" priority="1086" operator="between">
      <formula>$IN116</formula>
      <formula>$IO116</formula>
    </cfRule>
    <cfRule type="cellIs" dxfId="898" priority="1087" operator="between">
      <formula>$IO116</formula>
      <formula>$IP116</formula>
    </cfRule>
    <cfRule type="cellIs" dxfId="897" priority="1088" operator="between">
      <formula>$IP116</formula>
      <formula>$IQ116</formula>
    </cfRule>
    <cfRule type="cellIs" dxfId="896" priority="1089" operator="greaterThanOrEqual">
      <formula>$IQ116</formula>
    </cfRule>
  </conditionalFormatting>
  <conditionalFormatting sqref="DX117:HT117">
    <cfRule type="expression" priority="1069" stopIfTrue="1">
      <formula>$IL117&lt;4</formula>
    </cfRule>
    <cfRule type="expression" dxfId="895" priority="1070">
      <formula>IF(AND($I117="c",$DX$2="£"),TRUE,FALSE)</formula>
    </cfRule>
    <cfRule type="expression" dxfId="894" priority="1071">
      <formula>IF(AND($I117="c",$DX$2="€"),TRUE,FALSE)</formula>
    </cfRule>
    <cfRule type="expression" dxfId="893" priority="1072">
      <formula>IF(AND($I117="c",$DX$2="¥"),TRUE,FALSE)</formula>
    </cfRule>
    <cfRule type="expression" dxfId="892" priority="1073">
      <formula>IF(AND($I117="c",$DX$2="$"),TRUE,FALSE)</formula>
    </cfRule>
    <cfRule type="cellIs" dxfId="891" priority="1074" operator="lessThan">
      <formula>$IN117</formula>
    </cfRule>
    <cfRule type="cellIs" dxfId="890" priority="1075" operator="between">
      <formula>$IN117</formula>
      <formula>$IO117</formula>
    </cfRule>
    <cfRule type="cellIs" dxfId="889" priority="1076" operator="between">
      <formula>$IO117</formula>
      <formula>$IP117</formula>
    </cfRule>
    <cfRule type="cellIs" dxfId="888" priority="1077" operator="between">
      <formula>$IP117</formula>
      <formula>$IQ117</formula>
    </cfRule>
    <cfRule type="cellIs" dxfId="887" priority="1078" operator="greaterThanOrEqual">
      <formula>$IQ117</formula>
    </cfRule>
  </conditionalFormatting>
  <conditionalFormatting sqref="DX118:HT118">
    <cfRule type="expression" priority="1058" stopIfTrue="1">
      <formula>$IL118&lt;4</formula>
    </cfRule>
    <cfRule type="expression" dxfId="886" priority="1059">
      <formula>IF(AND($I118="c",$DX$2="£"),TRUE,FALSE)</formula>
    </cfRule>
    <cfRule type="expression" dxfId="885" priority="1060">
      <formula>IF(AND($I118="c",$DX$2="€"),TRUE,FALSE)</formula>
    </cfRule>
    <cfRule type="expression" dxfId="884" priority="1061">
      <formula>IF(AND($I118="c",$DX$2="¥"),TRUE,FALSE)</formula>
    </cfRule>
    <cfRule type="expression" dxfId="883" priority="1062">
      <formula>IF(AND($I118="c",$DX$2="$"),TRUE,FALSE)</formula>
    </cfRule>
    <cfRule type="cellIs" dxfId="882" priority="1063" operator="lessThan">
      <formula>$IN118</formula>
    </cfRule>
    <cfRule type="cellIs" dxfId="881" priority="1064" operator="between">
      <formula>$IN118</formula>
      <formula>$IO118</formula>
    </cfRule>
    <cfRule type="cellIs" dxfId="880" priority="1065" operator="between">
      <formula>$IO118</formula>
      <formula>$IP118</formula>
    </cfRule>
    <cfRule type="cellIs" dxfId="879" priority="1066" operator="between">
      <formula>$IP118</formula>
      <formula>$IQ118</formula>
    </cfRule>
    <cfRule type="cellIs" dxfId="878" priority="1067" operator="greaterThanOrEqual">
      <formula>$IQ118</formula>
    </cfRule>
  </conditionalFormatting>
  <conditionalFormatting sqref="DX119:HT119">
    <cfRule type="expression" priority="1047" stopIfTrue="1">
      <formula>$IL119&lt;4</formula>
    </cfRule>
    <cfRule type="expression" dxfId="877" priority="1048">
      <formula>IF(AND($I119="c",$DX$2="£"),TRUE,FALSE)</formula>
    </cfRule>
    <cfRule type="expression" dxfId="876" priority="1049">
      <formula>IF(AND($I119="c",$DX$2="€"),TRUE,FALSE)</formula>
    </cfRule>
    <cfRule type="expression" dxfId="875" priority="1050">
      <formula>IF(AND($I119="c",$DX$2="¥"),TRUE,FALSE)</formula>
    </cfRule>
    <cfRule type="expression" dxfId="874" priority="1051">
      <formula>IF(AND($I119="c",$DX$2="$"),TRUE,FALSE)</formula>
    </cfRule>
    <cfRule type="cellIs" dxfId="873" priority="1052" operator="lessThan">
      <formula>$IN119</formula>
    </cfRule>
    <cfRule type="cellIs" dxfId="872" priority="1053" operator="between">
      <formula>$IN119</formula>
      <formula>$IO119</formula>
    </cfRule>
    <cfRule type="cellIs" dxfId="871" priority="1054" operator="between">
      <formula>$IO119</formula>
      <formula>$IP119</formula>
    </cfRule>
    <cfRule type="cellIs" dxfId="870" priority="1055" operator="between">
      <formula>$IP119</formula>
      <formula>$IQ119</formula>
    </cfRule>
    <cfRule type="cellIs" dxfId="869" priority="1056" operator="greaterThanOrEqual">
      <formula>$IQ119</formula>
    </cfRule>
  </conditionalFormatting>
  <conditionalFormatting sqref="DX120:HT120">
    <cfRule type="expression" priority="1036" stopIfTrue="1">
      <formula>$IL120&lt;4</formula>
    </cfRule>
    <cfRule type="expression" dxfId="868" priority="1037">
      <formula>IF(AND($I120="c",$DX$2="£"),TRUE,FALSE)</formula>
    </cfRule>
    <cfRule type="expression" dxfId="867" priority="1038">
      <formula>IF(AND($I120="c",$DX$2="€"),TRUE,FALSE)</formula>
    </cfRule>
    <cfRule type="expression" dxfId="866" priority="1039">
      <formula>IF(AND($I120="c",$DX$2="¥"),TRUE,FALSE)</formula>
    </cfRule>
    <cfRule type="expression" dxfId="865" priority="1040">
      <formula>IF(AND($I120="c",$DX$2="$"),TRUE,FALSE)</formula>
    </cfRule>
    <cfRule type="cellIs" dxfId="864" priority="1041" operator="lessThan">
      <formula>$IN120</formula>
    </cfRule>
    <cfRule type="cellIs" dxfId="863" priority="1042" operator="between">
      <formula>$IN120</formula>
      <formula>$IO120</formula>
    </cfRule>
    <cfRule type="cellIs" dxfId="862" priority="1043" operator="between">
      <formula>$IO120</formula>
      <formula>$IP120</formula>
    </cfRule>
    <cfRule type="cellIs" dxfId="861" priority="1044" operator="between">
      <formula>$IP120</formula>
      <formula>$IQ120</formula>
    </cfRule>
    <cfRule type="cellIs" dxfId="860" priority="1045" operator="greaterThanOrEqual">
      <formula>$IQ120</formula>
    </cfRule>
  </conditionalFormatting>
  <conditionalFormatting sqref="DX121:HT121">
    <cfRule type="expression" priority="1025" stopIfTrue="1">
      <formula>$IL121&lt;4</formula>
    </cfRule>
    <cfRule type="expression" dxfId="859" priority="1026">
      <formula>IF(AND($I121="c",$DX$2="£"),TRUE,FALSE)</formula>
    </cfRule>
    <cfRule type="expression" dxfId="858" priority="1027">
      <formula>IF(AND($I121="c",$DX$2="€"),TRUE,FALSE)</formula>
    </cfRule>
    <cfRule type="expression" dxfId="857" priority="1028">
      <formula>IF(AND($I121="c",$DX$2="¥"),TRUE,FALSE)</formula>
    </cfRule>
    <cfRule type="expression" dxfId="856" priority="1029">
      <formula>IF(AND($I121="c",$DX$2="$"),TRUE,FALSE)</formula>
    </cfRule>
    <cfRule type="cellIs" dxfId="855" priority="1030" operator="lessThan">
      <formula>$IN121</formula>
    </cfRule>
    <cfRule type="cellIs" dxfId="854" priority="1031" operator="between">
      <formula>$IN121</formula>
      <formula>$IO121</formula>
    </cfRule>
    <cfRule type="cellIs" dxfId="853" priority="1032" operator="between">
      <formula>$IO121</formula>
      <formula>$IP121</formula>
    </cfRule>
    <cfRule type="cellIs" dxfId="852" priority="1033" operator="between">
      <formula>$IP121</formula>
      <formula>$IQ121</formula>
    </cfRule>
    <cfRule type="cellIs" dxfId="851" priority="1034" operator="greaterThanOrEqual">
      <formula>$IQ121</formula>
    </cfRule>
  </conditionalFormatting>
  <conditionalFormatting sqref="DX122:HT122">
    <cfRule type="expression" priority="1014" stopIfTrue="1">
      <formula>$IL122&lt;4</formula>
    </cfRule>
    <cfRule type="expression" dxfId="850" priority="1015">
      <formula>IF(AND($I122="c",$DX$2="£"),TRUE,FALSE)</formula>
    </cfRule>
    <cfRule type="expression" dxfId="849" priority="1016">
      <formula>IF(AND($I122="c",$DX$2="€"),TRUE,FALSE)</formula>
    </cfRule>
    <cfRule type="expression" dxfId="848" priority="1017">
      <formula>IF(AND($I122="c",$DX$2="¥"),TRUE,FALSE)</formula>
    </cfRule>
    <cfRule type="expression" dxfId="847" priority="1018">
      <formula>IF(AND($I122="c",$DX$2="$"),TRUE,FALSE)</formula>
    </cfRule>
    <cfRule type="cellIs" dxfId="846" priority="1019" operator="lessThan">
      <formula>$IN122</formula>
    </cfRule>
    <cfRule type="cellIs" dxfId="845" priority="1020" operator="between">
      <formula>$IN122</formula>
      <formula>$IO122</formula>
    </cfRule>
    <cfRule type="cellIs" dxfId="844" priority="1021" operator="between">
      <formula>$IO122</formula>
      <formula>$IP122</formula>
    </cfRule>
    <cfRule type="cellIs" dxfId="843" priority="1022" operator="between">
      <formula>$IP122</formula>
      <formula>$IQ122</formula>
    </cfRule>
    <cfRule type="cellIs" dxfId="842" priority="1023" operator="greaterThanOrEqual">
      <formula>$IQ122</formula>
    </cfRule>
  </conditionalFormatting>
  <conditionalFormatting sqref="DX128:HT128">
    <cfRule type="expression" priority="1003" stopIfTrue="1">
      <formula>$IL128&lt;4</formula>
    </cfRule>
    <cfRule type="expression" dxfId="841" priority="1004">
      <formula>IF(AND($I128="c",$DX$2="£"),TRUE,FALSE)</formula>
    </cfRule>
    <cfRule type="expression" dxfId="840" priority="1005">
      <formula>IF(AND($I128="c",$DX$2="€"),TRUE,FALSE)</formula>
    </cfRule>
    <cfRule type="expression" dxfId="839" priority="1006">
      <formula>IF(AND($I128="c",$DX$2="¥"),TRUE,FALSE)</formula>
    </cfRule>
    <cfRule type="expression" dxfId="838" priority="1007">
      <formula>IF(AND($I128="c",$DX$2="$"),TRUE,FALSE)</formula>
    </cfRule>
    <cfRule type="cellIs" dxfId="837" priority="1008" operator="lessThan">
      <formula>$IN128</formula>
    </cfRule>
    <cfRule type="cellIs" dxfId="836" priority="1009" operator="between">
      <formula>$IN128</formula>
      <formula>$IO128</formula>
    </cfRule>
    <cfRule type="cellIs" dxfId="835" priority="1010" operator="between">
      <formula>$IO128</formula>
      <formula>$IP128</formula>
    </cfRule>
    <cfRule type="cellIs" dxfId="834" priority="1011" operator="between">
      <formula>$IP128</formula>
      <formula>$IQ128</formula>
    </cfRule>
    <cfRule type="cellIs" dxfId="833" priority="1012" operator="greaterThanOrEqual">
      <formula>$IQ128</formula>
    </cfRule>
  </conditionalFormatting>
  <conditionalFormatting sqref="DX129:HT129">
    <cfRule type="expression" priority="992" stopIfTrue="1">
      <formula>$IL129&lt;4</formula>
    </cfRule>
    <cfRule type="expression" dxfId="832" priority="993">
      <formula>IF(AND($I129="c",$DX$2="£"),TRUE,FALSE)</formula>
    </cfRule>
    <cfRule type="expression" dxfId="831" priority="994">
      <formula>IF(AND($I129="c",$DX$2="€"),TRUE,FALSE)</formula>
    </cfRule>
    <cfRule type="expression" dxfId="830" priority="995">
      <formula>IF(AND($I129="c",$DX$2="¥"),TRUE,FALSE)</formula>
    </cfRule>
    <cfRule type="expression" dxfId="829" priority="996">
      <formula>IF(AND($I129="c",$DX$2="$"),TRUE,FALSE)</formula>
    </cfRule>
    <cfRule type="cellIs" dxfId="828" priority="997" operator="lessThan">
      <formula>$IN129</formula>
    </cfRule>
    <cfRule type="cellIs" dxfId="827" priority="998" operator="between">
      <formula>$IN129</formula>
      <formula>$IO129</formula>
    </cfRule>
    <cfRule type="cellIs" dxfId="826" priority="999" operator="between">
      <formula>$IO129</formula>
      <formula>$IP129</formula>
    </cfRule>
    <cfRule type="cellIs" dxfId="825" priority="1000" operator="between">
      <formula>$IP129</formula>
      <formula>$IQ129</formula>
    </cfRule>
    <cfRule type="cellIs" dxfId="824" priority="1001" operator="greaterThanOrEqual">
      <formula>$IQ129</formula>
    </cfRule>
  </conditionalFormatting>
  <conditionalFormatting sqref="DX130:HT130">
    <cfRule type="expression" priority="981" stopIfTrue="1">
      <formula>$IL130&lt;4</formula>
    </cfRule>
    <cfRule type="expression" dxfId="823" priority="982">
      <formula>IF(AND($I130="c",$DX$2="£"),TRUE,FALSE)</formula>
    </cfRule>
    <cfRule type="expression" dxfId="822" priority="983">
      <formula>IF(AND($I130="c",$DX$2="€"),TRUE,FALSE)</formula>
    </cfRule>
    <cfRule type="expression" dxfId="821" priority="984">
      <formula>IF(AND($I130="c",$DX$2="¥"),TRUE,FALSE)</formula>
    </cfRule>
    <cfRule type="expression" dxfId="820" priority="985">
      <formula>IF(AND($I130="c",$DX$2="$"),TRUE,FALSE)</formula>
    </cfRule>
    <cfRule type="cellIs" dxfId="819" priority="986" operator="lessThan">
      <formula>$IN130</formula>
    </cfRule>
    <cfRule type="cellIs" dxfId="818" priority="987" operator="between">
      <formula>$IN130</formula>
      <formula>$IO130</formula>
    </cfRule>
    <cfRule type="cellIs" dxfId="817" priority="988" operator="between">
      <formula>$IO130</formula>
      <formula>$IP130</formula>
    </cfRule>
    <cfRule type="cellIs" dxfId="816" priority="989" operator="between">
      <formula>$IP130</formula>
      <formula>$IQ130</formula>
    </cfRule>
    <cfRule type="cellIs" dxfId="815" priority="990" operator="greaterThanOrEqual">
      <formula>$IQ130</formula>
    </cfRule>
  </conditionalFormatting>
  <conditionalFormatting sqref="DX131:HT131">
    <cfRule type="expression" priority="970" stopIfTrue="1">
      <formula>$IL131&lt;4</formula>
    </cfRule>
    <cfRule type="expression" dxfId="814" priority="971">
      <formula>IF(AND($I131="c",$DX$2="£"),TRUE,FALSE)</formula>
    </cfRule>
    <cfRule type="expression" dxfId="813" priority="972">
      <formula>IF(AND($I131="c",$DX$2="€"),TRUE,FALSE)</formula>
    </cfRule>
    <cfRule type="expression" dxfId="812" priority="973">
      <formula>IF(AND($I131="c",$DX$2="¥"),TRUE,FALSE)</formula>
    </cfRule>
    <cfRule type="expression" dxfId="811" priority="974">
      <formula>IF(AND($I131="c",$DX$2="$"),TRUE,FALSE)</formula>
    </cfRule>
    <cfRule type="cellIs" dxfId="810" priority="975" operator="lessThan">
      <formula>$IN131</formula>
    </cfRule>
    <cfRule type="cellIs" dxfId="809" priority="976" operator="between">
      <formula>$IN131</formula>
      <formula>$IO131</formula>
    </cfRule>
    <cfRule type="cellIs" dxfId="808" priority="977" operator="between">
      <formula>$IO131</formula>
      <formula>$IP131</formula>
    </cfRule>
    <cfRule type="cellIs" dxfId="807" priority="978" operator="between">
      <formula>$IP131</formula>
      <formula>$IQ131</formula>
    </cfRule>
    <cfRule type="cellIs" dxfId="806" priority="979" operator="greaterThanOrEqual">
      <formula>$IQ131</formula>
    </cfRule>
  </conditionalFormatting>
  <conditionalFormatting sqref="DX132:HT132">
    <cfRule type="expression" priority="959" stopIfTrue="1">
      <formula>$IL132&lt;4</formula>
    </cfRule>
    <cfRule type="expression" dxfId="805" priority="960">
      <formula>IF(AND($I132="c",$DX$2="£"),TRUE,FALSE)</formula>
    </cfRule>
    <cfRule type="expression" dxfId="804" priority="961">
      <formula>IF(AND($I132="c",$DX$2="€"),TRUE,FALSE)</formula>
    </cfRule>
    <cfRule type="expression" dxfId="803" priority="962">
      <formula>IF(AND($I132="c",$DX$2="¥"),TRUE,FALSE)</formula>
    </cfRule>
    <cfRule type="expression" dxfId="802" priority="963">
      <formula>IF(AND($I132="c",$DX$2="$"),TRUE,FALSE)</formula>
    </cfRule>
    <cfRule type="cellIs" dxfId="801" priority="964" operator="lessThan">
      <formula>$IN132</formula>
    </cfRule>
    <cfRule type="cellIs" dxfId="800" priority="965" operator="between">
      <formula>$IN132</formula>
      <formula>$IO132</formula>
    </cfRule>
    <cfRule type="cellIs" dxfId="799" priority="966" operator="between">
      <formula>$IO132</formula>
      <formula>$IP132</formula>
    </cfRule>
    <cfRule type="cellIs" dxfId="798" priority="967" operator="between">
      <formula>$IP132</formula>
      <formula>$IQ132</formula>
    </cfRule>
    <cfRule type="cellIs" dxfId="797" priority="968" operator="greaterThanOrEqual">
      <formula>$IQ132</formula>
    </cfRule>
  </conditionalFormatting>
  <conditionalFormatting sqref="DX9:HT9">
    <cfRule type="expression" priority="948" stopIfTrue="1">
      <formula>$IL9&lt;4</formula>
    </cfRule>
    <cfRule type="expression" dxfId="796" priority="949">
      <formula>IF(AND($I9="c",$DX$2="£"),TRUE,FALSE)</formula>
    </cfRule>
    <cfRule type="expression" dxfId="795" priority="950">
      <formula>IF(AND($I9="c",$DX$2="€"),TRUE,FALSE)</formula>
    </cfRule>
    <cfRule type="expression" dxfId="794" priority="951">
      <formula>IF(AND($I9="c",$DX$2="¥"),TRUE,FALSE)</formula>
    </cfRule>
    <cfRule type="expression" dxfId="793" priority="952">
      <formula>IF(AND($I9="c",$DX$2="$"),TRUE,FALSE)</formula>
    </cfRule>
    <cfRule type="cellIs" dxfId="792" priority="953" operator="greaterThan">
      <formula>$IN9</formula>
    </cfRule>
    <cfRule type="cellIs" dxfId="791" priority="954" operator="between">
      <formula>$IN9</formula>
      <formula>$IO9</formula>
    </cfRule>
    <cfRule type="cellIs" dxfId="790" priority="955" operator="between">
      <formula>$IO9</formula>
      <formula>$IP9</formula>
    </cfRule>
    <cfRule type="cellIs" dxfId="789" priority="956" operator="between">
      <formula>$IP9</formula>
      <formula>$IQ9</formula>
    </cfRule>
    <cfRule type="cellIs" dxfId="788" priority="957" operator="lessThanOrEqual">
      <formula>$IQ9</formula>
    </cfRule>
  </conditionalFormatting>
  <conditionalFormatting sqref="DX40:HT40">
    <cfRule type="expression" priority="937" stopIfTrue="1">
      <formula>$IL40&lt;4</formula>
    </cfRule>
    <cfRule type="expression" dxfId="787" priority="938">
      <formula>IF(AND($I40="c",$DX$2="£"),TRUE,FALSE)</formula>
    </cfRule>
    <cfRule type="expression" dxfId="786" priority="939">
      <formula>IF(AND($I40="c",$DX$2="€"),TRUE,FALSE)</formula>
    </cfRule>
    <cfRule type="expression" dxfId="785" priority="940">
      <formula>IF(AND($I40="c",$DX$2="¥"),TRUE,FALSE)</formula>
    </cfRule>
    <cfRule type="expression" dxfId="784" priority="941">
      <formula>IF(AND($I40="c",$DX$2="$"),TRUE,FALSE)</formula>
    </cfRule>
    <cfRule type="cellIs" dxfId="783" priority="942" operator="greaterThan">
      <formula>$IN40</formula>
    </cfRule>
    <cfRule type="cellIs" dxfId="782" priority="943" operator="between">
      <formula>$IN40</formula>
      <formula>$IO40</formula>
    </cfRule>
    <cfRule type="cellIs" dxfId="781" priority="944" operator="between">
      <formula>$IO40</formula>
      <formula>$IP40</formula>
    </cfRule>
    <cfRule type="cellIs" dxfId="780" priority="945" operator="between">
      <formula>$IP40</formula>
      <formula>$IQ40</formula>
    </cfRule>
    <cfRule type="cellIs" dxfId="779" priority="946" operator="lessThanOrEqual">
      <formula>$IQ40</formula>
    </cfRule>
  </conditionalFormatting>
  <conditionalFormatting sqref="DX41:HT41">
    <cfRule type="expression" priority="926" stopIfTrue="1">
      <formula>$IL41&lt;4</formula>
    </cfRule>
    <cfRule type="expression" dxfId="778" priority="927">
      <formula>IF(AND($I41="c",$DX$2="£"),TRUE,FALSE)</formula>
    </cfRule>
    <cfRule type="expression" dxfId="777" priority="928">
      <formula>IF(AND($I41="c",$DX$2="€"),TRUE,FALSE)</formula>
    </cfRule>
    <cfRule type="expression" dxfId="776" priority="929">
      <formula>IF(AND($I41="c",$DX$2="¥"),TRUE,FALSE)</formula>
    </cfRule>
    <cfRule type="expression" dxfId="775" priority="930">
      <formula>IF(AND($I41="c",$DX$2="$"),TRUE,FALSE)</formula>
    </cfRule>
    <cfRule type="cellIs" dxfId="774" priority="931" operator="greaterThan">
      <formula>$IN41</formula>
    </cfRule>
    <cfRule type="cellIs" dxfId="773" priority="932" operator="between">
      <formula>$IN41</formula>
      <formula>$IO41</formula>
    </cfRule>
    <cfRule type="cellIs" dxfId="772" priority="933" operator="between">
      <formula>$IO41</formula>
      <formula>$IP41</formula>
    </cfRule>
    <cfRule type="cellIs" dxfId="771" priority="934" operator="between">
      <formula>$IP41</formula>
      <formula>$IQ41</formula>
    </cfRule>
    <cfRule type="cellIs" dxfId="770" priority="935" operator="lessThanOrEqual">
      <formula>$IQ41</formula>
    </cfRule>
  </conditionalFormatting>
  <conditionalFormatting sqref="DX42:HT42">
    <cfRule type="expression" priority="915" stopIfTrue="1">
      <formula>$IL42&lt;4</formula>
    </cfRule>
    <cfRule type="expression" dxfId="769" priority="916">
      <formula>IF(AND($I42="c",$DX$2="£"),TRUE,FALSE)</formula>
    </cfRule>
    <cfRule type="expression" dxfId="768" priority="917">
      <formula>IF(AND($I42="c",$DX$2="€"),TRUE,FALSE)</formula>
    </cfRule>
    <cfRule type="expression" dxfId="767" priority="918">
      <formula>IF(AND($I42="c",$DX$2="¥"),TRUE,FALSE)</formula>
    </cfRule>
    <cfRule type="expression" dxfId="766" priority="919">
      <formula>IF(AND($I42="c",$DX$2="$"),TRUE,FALSE)</formula>
    </cfRule>
    <cfRule type="cellIs" dxfId="765" priority="920" operator="greaterThan">
      <formula>$IN42</formula>
    </cfRule>
    <cfRule type="cellIs" dxfId="764" priority="921" operator="between">
      <formula>$IN42</formula>
      <formula>$IO42</formula>
    </cfRule>
    <cfRule type="cellIs" dxfId="763" priority="922" operator="between">
      <formula>$IO42</formula>
      <formula>$IP42</formula>
    </cfRule>
    <cfRule type="cellIs" dxfId="762" priority="923" operator="between">
      <formula>$IP42</formula>
      <formula>$IQ42</formula>
    </cfRule>
    <cfRule type="cellIs" dxfId="761" priority="924" operator="lessThanOrEqual">
      <formula>$IQ42</formula>
    </cfRule>
  </conditionalFormatting>
  <conditionalFormatting sqref="DX43:HT43">
    <cfRule type="expression" priority="904" stopIfTrue="1">
      <formula>$IL43&lt;4</formula>
    </cfRule>
    <cfRule type="expression" dxfId="760" priority="905">
      <formula>IF(AND($I43="c",$DX$2="£"),TRUE,FALSE)</formula>
    </cfRule>
    <cfRule type="expression" dxfId="759" priority="906">
      <formula>IF(AND($I43="c",$DX$2="€"),TRUE,FALSE)</formula>
    </cfRule>
    <cfRule type="expression" dxfId="758" priority="907">
      <formula>IF(AND($I43="c",$DX$2="¥"),TRUE,FALSE)</formula>
    </cfRule>
    <cfRule type="expression" dxfId="757" priority="908">
      <formula>IF(AND($I43="c",$DX$2="$"),TRUE,FALSE)</formula>
    </cfRule>
    <cfRule type="cellIs" dxfId="756" priority="909" operator="greaterThan">
      <formula>$IN43</formula>
    </cfRule>
    <cfRule type="cellIs" dxfId="755" priority="910" operator="between">
      <formula>$IN43</formula>
      <formula>$IO43</formula>
    </cfRule>
    <cfRule type="cellIs" dxfId="754" priority="911" operator="between">
      <formula>$IO43</formula>
      <formula>$IP43</formula>
    </cfRule>
    <cfRule type="cellIs" dxfId="753" priority="912" operator="between">
      <formula>$IP43</formula>
      <formula>$IQ43</formula>
    </cfRule>
    <cfRule type="cellIs" dxfId="752" priority="913" operator="lessThanOrEqual">
      <formula>$IQ43</formula>
    </cfRule>
  </conditionalFormatting>
  <conditionalFormatting sqref="DX44:HT44">
    <cfRule type="expression" priority="893" stopIfTrue="1">
      <formula>$IL44&lt;4</formula>
    </cfRule>
    <cfRule type="expression" dxfId="751" priority="894">
      <formula>IF(AND($I44="c",$DX$2="£"),TRUE,FALSE)</formula>
    </cfRule>
    <cfRule type="expression" dxfId="750" priority="895">
      <formula>IF(AND($I44="c",$DX$2="€"),TRUE,FALSE)</formula>
    </cfRule>
    <cfRule type="expression" dxfId="749" priority="896">
      <formula>IF(AND($I44="c",$DX$2="¥"),TRUE,FALSE)</formula>
    </cfRule>
    <cfRule type="expression" dxfId="748" priority="897">
      <formula>IF(AND($I44="c",$DX$2="$"),TRUE,FALSE)</formula>
    </cfRule>
    <cfRule type="cellIs" dxfId="747" priority="898" operator="greaterThan">
      <formula>$IN44</formula>
    </cfRule>
    <cfRule type="cellIs" dxfId="746" priority="899" operator="between">
      <formula>$IN44</formula>
      <formula>$IO44</formula>
    </cfRule>
    <cfRule type="cellIs" dxfId="745" priority="900" operator="between">
      <formula>$IO44</formula>
      <formula>$IP44</formula>
    </cfRule>
    <cfRule type="cellIs" dxfId="744" priority="901" operator="between">
      <formula>$IP44</formula>
      <formula>$IQ44</formula>
    </cfRule>
    <cfRule type="cellIs" dxfId="743" priority="902" operator="lessThanOrEqual">
      <formula>$IQ44</formula>
    </cfRule>
  </conditionalFormatting>
  <conditionalFormatting sqref="DX45:HT45">
    <cfRule type="expression" priority="882" stopIfTrue="1">
      <formula>$IL45&lt;4</formula>
    </cfRule>
    <cfRule type="expression" dxfId="742" priority="883">
      <formula>IF(AND($I45="c",$DX$2="£"),TRUE,FALSE)</formula>
    </cfRule>
    <cfRule type="expression" dxfId="741" priority="884">
      <formula>IF(AND($I45="c",$DX$2="€"),TRUE,FALSE)</formula>
    </cfRule>
    <cfRule type="expression" dxfId="740" priority="885">
      <formula>IF(AND($I45="c",$DX$2="¥"),TRUE,FALSE)</formula>
    </cfRule>
    <cfRule type="expression" dxfId="739" priority="886">
      <formula>IF(AND($I45="c",$DX$2="$"),TRUE,FALSE)</formula>
    </cfRule>
    <cfRule type="cellIs" dxfId="738" priority="887" operator="greaterThan">
      <formula>$IN45</formula>
    </cfRule>
    <cfRule type="cellIs" dxfId="737" priority="888" operator="between">
      <formula>$IN45</formula>
      <formula>$IO45</formula>
    </cfRule>
    <cfRule type="cellIs" dxfId="736" priority="889" operator="between">
      <formula>$IO45</formula>
      <formula>$IP45</formula>
    </cfRule>
    <cfRule type="cellIs" dxfId="735" priority="890" operator="between">
      <formula>$IP45</formula>
      <formula>$IQ45</formula>
    </cfRule>
    <cfRule type="cellIs" dxfId="734" priority="891" operator="lessThanOrEqual">
      <formula>$IQ45</formula>
    </cfRule>
  </conditionalFormatting>
  <conditionalFormatting sqref="DX46:HT46">
    <cfRule type="expression" priority="871" stopIfTrue="1">
      <formula>$IL46&lt;4</formula>
    </cfRule>
    <cfRule type="expression" dxfId="733" priority="872">
      <formula>IF(AND($I46="c",$DX$2="£"),TRUE,FALSE)</formula>
    </cfRule>
    <cfRule type="expression" dxfId="732" priority="873">
      <formula>IF(AND($I46="c",$DX$2="€"),TRUE,FALSE)</formula>
    </cfRule>
    <cfRule type="expression" dxfId="731" priority="874">
      <formula>IF(AND($I46="c",$DX$2="¥"),TRUE,FALSE)</formula>
    </cfRule>
    <cfRule type="expression" dxfId="730" priority="875">
      <formula>IF(AND($I46="c",$DX$2="$"),TRUE,FALSE)</formula>
    </cfRule>
    <cfRule type="cellIs" dxfId="729" priority="876" operator="greaterThan">
      <formula>$IN46</formula>
    </cfRule>
    <cfRule type="cellIs" dxfId="728" priority="877" operator="between">
      <formula>$IN46</formula>
      <formula>$IO46</formula>
    </cfRule>
    <cfRule type="cellIs" dxfId="727" priority="878" operator="between">
      <formula>$IO46</formula>
      <formula>$IP46</formula>
    </cfRule>
    <cfRule type="cellIs" dxfId="726" priority="879" operator="between">
      <formula>$IP46</formula>
      <formula>$IQ46</formula>
    </cfRule>
    <cfRule type="cellIs" dxfId="725" priority="880" operator="lessThanOrEqual">
      <formula>$IQ46</formula>
    </cfRule>
  </conditionalFormatting>
  <conditionalFormatting sqref="DX47:HT47">
    <cfRule type="expression" priority="860" stopIfTrue="1">
      <formula>$IL47&lt;4</formula>
    </cfRule>
    <cfRule type="expression" dxfId="724" priority="861">
      <formula>IF(AND($I47="c",$DX$2="£"),TRUE,FALSE)</formula>
    </cfRule>
    <cfRule type="expression" dxfId="723" priority="862">
      <formula>IF(AND($I47="c",$DX$2="€"),TRUE,FALSE)</formula>
    </cfRule>
    <cfRule type="expression" dxfId="722" priority="863">
      <formula>IF(AND($I47="c",$DX$2="¥"),TRUE,FALSE)</formula>
    </cfRule>
    <cfRule type="expression" dxfId="721" priority="864">
      <formula>IF(AND($I47="c",$DX$2="$"),TRUE,FALSE)</formula>
    </cfRule>
    <cfRule type="cellIs" dxfId="720" priority="865" operator="greaterThan">
      <formula>$IN47</formula>
    </cfRule>
    <cfRule type="cellIs" dxfId="719" priority="866" operator="between">
      <formula>$IN47</formula>
      <formula>$IO47</formula>
    </cfRule>
    <cfRule type="cellIs" dxfId="718" priority="867" operator="between">
      <formula>$IO47</formula>
      <formula>$IP47</formula>
    </cfRule>
    <cfRule type="cellIs" dxfId="717" priority="868" operator="between">
      <formula>$IP47</formula>
      <formula>$IQ47</formula>
    </cfRule>
    <cfRule type="cellIs" dxfId="716" priority="869" operator="lessThanOrEqual">
      <formula>$IQ47</formula>
    </cfRule>
  </conditionalFormatting>
  <conditionalFormatting sqref="DX48:HT48">
    <cfRule type="expression" priority="849" stopIfTrue="1">
      <formula>$IL48&lt;4</formula>
    </cfRule>
    <cfRule type="expression" dxfId="715" priority="850">
      <formula>IF(AND($I48="c",$DX$2="£"),TRUE,FALSE)</formula>
    </cfRule>
    <cfRule type="expression" dxfId="714" priority="851">
      <formula>IF(AND($I48="c",$DX$2="€"),TRUE,FALSE)</formula>
    </cfRule>
    <cfRule type="expression" dxfId="713" priority="852">
      <formula>IF(AND($I48="c",$DX$2="¥"),TRUE,FALSE)</formula>
    </cfRule>
    <cfRule type="expression" dxfId="712" priority="853">
      <formula>IF(AND($I48="c",$DX$2="$"),TRUE,FALSE)</formula>
    </cfRule>
    <cfRule type="cellIs" dxfId="711" priority="854" operator="greaterThan">
      <formula>$IN48</formula>
    </cfRule>
    <cfRule type="cellIs" dxfId="710" priority="855" operator="between">
      <formula>$IN48</formula>
      <formula>$IO48</formula>
    </cfRule>
    <cfRule type="cellIs" dxfId="709" priority="856" operator="between">
      <formula>$IO48</formula>
      <formula>$IP48</formula>
    </cfRule>
    <cfRule type="cellIs" dxfId="708" priority="857" operator="between">
      <formula>$IP48</formula>
      <formula>$IQ48</formula>
    </cfRule>
    <cfRule type="cellIs" dxfId="707" priority="858" operator="lessThanOrEqual">
      <formula>$IQ48</formula>
    </cfRule>
  </conditionalFormatting>
  <conditionalFormatting sqref="DX49:HT49">
    <cfRule type="expression" priority="838" stopIfTrue="1">
      <formula>$IL49&lt;4</formula>
    </cfRule>
    <cfRule type="expression" dxfId="706" priority="839">
      <formula>IF(AND($I49="c",$DX$2="£"),TRUE,FALSE)</formula>
    </cfRule>
    <cfRule type="expression" dxfId="705" priority="840">
      <formula>IF(AND($I49="c",$DX$2="€"),TRUE,FALSE)</formula>
    </cfRule>
    <cfRule type="expression" dxfId="704" priority="841">
      <formula>IF(AND($I49="c",$DX$2="¥"),TRUE,FALSE)</formula>
    </cfRule>
    <cfRule type="expression" dxfId="703" priority="842">
      <formula>IF(AND($I49="c",$DX$2="$"),TRUE,FALSE)</formula>
    </cfRule>
    <cfRule type="cellIs" dxfId="702" priority="843" operator="greaterThan">
      <formula>$IN49</formula>
    </cfRule>
    <cfRule type="cellIs" dxfId="701" priority="844" operator="between">
      <formula>$IN49</formula>
      <formula>$IO49</formula>
    </cfRule>
    <cfRule type="cellIs" dxfId="700" priority="845" operator="between">
      <formula>$IO49</formula>
      <formula>$IP49</formula>
    </cfRule>
    <cfRule type="cellIs" dxfId="699" priority="846" operator="between">
      <formula>$IP49</formula>
      <formula>$IQ49</formula>
    </cfRule>
    <cfRule type="cellIs" dxfId="698" priority="847" operator="lessThanOrEqual">
      <formula>$IQ49</formula>
    </cfRule>
  </conditionalFormatting>
  <conditionalFormatting sqref="DX50:HT50">
    <cfRule type="expression" priority="827" stopIfTrue="1">
      <formula>$IL50&lt;4</formula>
    </cfRule>
    <cfRule type="expression" dxfId="697" priority="828">
      <formula>IF(AND($I50="c",$DX$2="£"),TRUE,FALSE)</formula>
    </cfRule>
    <cfRule type="expression" dxfId="696" priority="829">
      <formula>IF(AND($I50="c",$DX$2="€"),TRUE,FALSE)</formula>
    </cfRule>
    <cfRule type="expression" dxfId="695" priority="830">
      <formula>IF(AND($I50="c",$DX$2="¥"),TRUE,FALSE)</formula>
    </cfRule>
    <cfRule type="expression" dxfId="694" priority="831">
      <formula>IF(AND($I50="c",$DX$2="$"),TRUE,FALSE)</formula>
    </cfRule>
    <cfRule type="cellIs" dxfId="693" priority="832" operator="greaterThan">
      <formula>$IN50</formula>
    </cfRule>
    <cfRule type="cellIs" dxfId="692" priority="833" operator="between">
      <formula>$IN50</formula>
      <formula>$IO50</formula>
    </cfRule>
    <cfRule type="cellIs" dxfId="691" priority="834" operator="between">
      <formula>$IO50</formula>
      <formula>$IP50</formula>
    </cfRule>
    <cfRule type="cellIs" dxfId="690" priority="835" operator="between">
      <formula>$IP50</formula>
      <formula>$IQ50</formula>
    </cfRule>
    <cfRule type="cellIs" dxfId="689" priority="836" operator="lessThanOrEqual">
      <formula>$IQ50</formula>
    </cfRule>
  </conditionalFormatting>
  <conditionalFormatting sqref="DX51:HT51">
    <cfRule type="expression" priority="816" stopIfTrue="1">
      <formula>$IL51&lt;4</formula>
    </cfRule>
    <cfRule type="expression" dxfId="688" priority="817">
      <formula>IF(AND($I51="c",$DX$2="£"),TRUE,FALSE)</formula>
    </cfRule>
    <cfRule type="expression" dxfId="687" priority="818">
      <formula>IF(AND($I51="c",$DX$2="€"),TRUE,FALSE)</formula>
    </cfRule>
    <cfRule type="expression" dxfId="686" priority="819">
      <formula>IF(AND($I51="c",$DX$2="¥"),TRUE,FALSE)</formula>
    </cfRule>
    <cfRule type="expression" dxfId="685" priority="820">
      <formula>IF(AND($I51="c",$DX$2="$"),TRUE,FALSE)</formula>
    </cfRule>
    <cfRule type="cellIs" dxfId="684" priority="821" operator="greaterThan">
      <formula>$IN51</formula>
    </cfRule>
    <cfRule type="cellIs" dxfId="683" priority="822" operator="between">
      <formula>$IN51</formula>
      <formula>$IO51</formula>
    </cfRule>
    <cfRule type="cellIs" dxfId="682" priority="823" operator="between">
      <formula>$IO51</formula>
      <formula>$IP51</formula>
    </cfRule>
    <cfRule type="cellIs" dxfId="681" priority="824" operator="between">
      <formula>$IP51</formula>
      <formula>$IQ51</formula>
    </cfRule>
    <cfRule type="cellIs" dxfId="680" priority="825" operator="lessThanOrEqual">
      <formula>$IQ51</formula>
    </cfRule>
  </conditionalFormatting>
  <conditionalFormatting sqref="DX52:HT52">
    <cfRule type="expression" priority="805" stopIfTrue="1">
      <formula>$IL52&lt;4</formula>
    </cfRule>
    <cfRule type="expression" dxfId="679" priority="806">
      <formula>IF(AND($I52="c",$DX$2="£"),TRUE,FALSE)</formula>
    </cfRule>
    <cfRule type="expression" dxfId="678" priority="807">
      <formula>IF(AND($I52="c",$DX$2="€"),TRUE,FALSE)</formula>
    </cfRule>
    <cfRule type="expression" dxfId="677" priority="808">
      <formula>IF(AND($I52="c",$DX$2="¥"),TRUE,FALSE)</formula>
    </cfRule>
    <cfRule type="expression" dxfId="676" priority="809">
      <formula>IF(AND($I52="c",$DX$2="$"),TRUE,FALSE)</formula>
    </cfRule>
    <cfRule type="cellIs" dxfId="675" priority="810" operator="greaterThan">
      <formula>$IN52</formula>
    </cfRule>
    <cfRule type="cellIs" dxfId="674" priority="811" operator="between">
      <formula>$IN52</formula>
      <formula>$IO52</formula>
    </cfRule>
    <cfRule type="cellIs" dxfId="673" priority="812" operator="between">
      <formula>$IO52</formula>
      <formula>$IP52</formula>
    </cfRule>
    <cfRule type="cellIs" dxfId="672" priority="813" operator="between">
      <formula>$IP52</formula>
      <formula>$IQ52</formula>
    </cfRule>
    <cfRule type="cellIs" dxfId="671" priority="814" operator="lessThanOrEqual">
      <formula>$IQ52</formula>
    </cfRule>
  </conditionalFormatting>
  <conditionalFormatting sqref="DX53:HT53">
    <cfRule type="expression" priority="794" stopIfTrue="1">
      <formula>$IL53&lt;4</formula>
    </cfRule>
    <cfRule type="expression" dxfId="670" priority="795">
      <formula>IF(AND($I53="c",$DX$2="£"),TRUE,FALSE)</formula>
    </cfRule>
    <cfRule type="expression" dxfId="669" priority="796">
      <formula>IF(AND($I53="c",$DX$2="€"),TRUE,FALSE)</formula>
    </cfRule>
    <cfRule type="expression" dxfId="668" priority="797">
      <formula>IF(AND($I53="c",$DX$2="¥"),TRUE,FALSE)</formula>
    </cfRule>
    <cfRule type="expression" dxfId="667" priority="798">
      <formula>IF(AND($I53="c",$DX$2="$"),TRUE,FALSE)</formula>
    </cfRule>
    <cfRule type="cellIs" dxfId="666" priority="799" operator="greaterThan">
      <formula>$IN53</formula>
    </cfRule>
    <cfRule type="cellIs" dxfId="665" priority="800" operator="between">
      <formula>$IN53</formula>
      <formula>$IO53</formula>
    </cfRule>
    <cfRule type="cellIs" dxfId="664" priority="801" operator="between">
      <formula>$IO53</formula>
      <formula>$IP53</formula>
    </cfRule>
    <cfRule type="cellIs" dxfId="663" priority="802" operator="between">
      <formula>$IP53</formula>
      <formula>$IQ53</formula>
    </cfRule>
    <cfRule type="cellIs" dxfId="662" priority="803" operator="lessThanOrEqual">
      <formula>$IQ53</formula>
    </cfRule>
  </conditionalFormatting>
  <conditionalFormatting sqref="DX54:HT54">
    <cfRule type="expression" priority="783" stopIfTrue="1">
      <formula>$IL54&lt;4</formula>
    </cfRule>
    <cfRule type="expression" dxfId="661" priority="784">
      <formula>IF(AND($I54="c",$DX$2="£"),TRUE,FALSE)</formula>
    </cfRule>
    <cfRule type="expression" dxfId="660" priority="785">
      <formula>IF(AND($I54="c",$DX$2="€"),TRUE,FALSE)</formula>
    </cfRule>
    <cfRule type="expression" dxfId="659" priority="786">
      <formula>IF(AND($I54="c",$DX$2="¥"),TRUE,FALSE)</formula>
    </cfRule>
    <cfRule type="expression" dxfId="658" priority="787">
      <formula>IF(AND($I54="c",$DX$2="$"),TRUE,FALSE)</formula>
    </cfRule>
    <cfRule type="cellIs" dxfId="657" priority="788" operator="greaterThan">
      <formula>$IN54</formula>
    </cfRule>
    <cfRule type="cellIs" dxfId="656" priority="789" operator="between">
      <formula>$IN54</formula>
      <formula>$IO54</formula>
    </cfRule>
    <cfRule type="cellIs" dxfId="655" priority="790" operator="between">
      <formula>$IO54</formula>
      <formula>$IP54</formula>
    </cfRule>
    <cfRule type="cellIs" dxfId="654" priority="791" operator="between">
      <formula>$IP54</formula>
      <formula>$IQ54</formula>
    </cfRule>
    <cfRule type="cellIs" dxfId="653" priority="792" operator="lessThanOrEqual">
      <formula>$IQ54</formula>
    </cfRule>
  </conditionalFormatting>
  <conditionalFormatting sqref="DX55:HT55">
    <cfRule type="expression" priority="772" stopIfTrue="1">
      <formula>$IL55&lt;4</formula>
    </cfRule>
    <cfRule type="expression" dxfId="652" priority="773">
      <formula>IF(AND($I55="c",$DX$2="£"),TRUE,FALSE)</formula>
    </cfRule>
    <cfRule type="expression" dxfId="651" priority="774">
      <formula>IF(AND($I55="c",$DX$2="€"),TRUE,FALSE)</formula>
    </cfRule>
    <cfRule type="expression" dxfId="650" priority="775">
      <formula>IF(AND($I55="c",$DX$2="¥"),TRUE,FALSE)</formula>
    </cfRule>
    <cfRule type="expression" dxfId="649" priority="776">
      <formula>IF(AND($I55="c",$DX$2="$"),TRUE,FALSE)</formula>
    </cfRule>
    <cfRule type="cellIs" dxfId="648" priority="777" operator="greaterThan">
      <formula>$IN55</formula>
    </cfRule>
    <cfRule type="cellIs" dxfId="647" priority="778" operator="between">
      <formula>$IN55</formula>
      <formula>$IO55</formula>
    </cfRule>
    <cfRule type="cellIs" dxfId="646" priority="779" operator="between">
      <formula>$IO55</formula>
      <formula>$IP55</formula>
    </cfRule>
    <cfRule type="cellIs" dxfId="645" priority="780" operator="between">
      <formula>$IP55</formula>
      <formula>$IQ55</formula>
    </cfRule>
    <cfRule type="cellIs" dxfId="644" priority="781" operator="lessThanOrEqual">
      <formula>$IQ55</formula>
    </cfRule>
  </conditionalFormatting>
  <conditionalFormatting sqref="DX56:HT56">
    <cfRule type="expression" priority="761" stopIfTrue="1">
      <formula>$IL56&lt;4</formula>
    </cfRule>
    <cfRule type="expression" dxfId="643" priority="762">
      <formula>IF(AND($I56="c",$DX$2="£"),TRUE,FALSE)</formula>
    </cfRule>
    <cfRule type="expression" dxfId="642" priority="763">
      <formula>IF(AND($I56="c",$DX$2="€"),TRUE,FALSE)</formula>
    </cfRule>
    <cfRule type="expression" dxfId="641" priority="764">
      <formula>IF(AND($I56="c",$DX$2="¥"),TRUE,FALSE)</formula>
    </cfRule>
    <cfRule type="expression" dxfId="640" priority="765">
      <formula>IF(AND($I56="c",$DX$2="$"),TRUE,FALSE)</formula>
    </cfRule>
    <cfRule type="cellIs" dxfId="639" priority="766" operator="greaterThan">
      <formula>$IN56</formula>
    </cfRule>
    <cfRule type="cellIs" dxfId="638" priority="767" operator="between">
      <formula>$IN56</formula>
      <formula>$IO56</formula>
    </cfRule>
    <cfRule type="cellIs" dxfId="637" priority="768" operator="between">
      <formula>$IO56</formula>
      <formula>$IP56</formula>
    </cfRule>
    <cfRule type="cellIs" dxfId="636" priority="769" operator="between">
      <formula>$IP56</formula>
      <formula>$IQ56</formula>
    </cfRule>
    <cfRule type="cellIs" dxfId="635" priority="770" operator="lessThanOrEqual">
      <formula>$IQ56</formula>
    </cfRule>
  </conditionalFormatting>
  <conditionalFormatting sqref="DX57:HT57">
    <cfRule type="expression" priority="750" stopIfTrue="1">
      <formula>$IL57&lt;4</formula>
    </cfRule>
    <cfRule type="expression" dxfId="634" priority="751">
      <formula>IF(AND($I57="c",$DX$2="£"),TRUE,FALSE)</formula>
    </cfRule>
    <cfRule type="expression" dxfId="633" priority="752">
      <formula>IF(AND($I57="c",$DX$2="€"),TRUE,FALSE)</formula>
    </cfRule>
    <cfRule type="expression" dxfId="632" priority="753">
      <formula>IF(AND($I57="c",$DX$2="¥"),TRUE,FALSE)</formula>
    </cfRule>
    <cfRule type="expression" dxfId="631" priority="754">
      <formula>IF(AND($I57="c",$DX$2="$"),TRUE,FALSE)</formula>
    </cfRule>
    <cfRule type="cellIs" dxfId="630" priority="755" operator="greaterThan">
      <formula>$IN57</formula>
    </cfRule>
    <cfRule type="cellIs" dxfId="629" priority="756" operator="between">
      <formula>$IN57</formula>
      <formula>$IO57</formula>
    </cfRule>
    <cfRule type="cellIs" dxfId="628" priority="757" operator="between">
      <formula>$IO57</formula>
      <formula>$IP57</formula>
    </cfRule>
    <cfRule type="cellIs" dxfId="627" priority="758" operator="between">
      <formula>$IP57</formula>
      <formula>$IQ57</formula>
    </cfRule>
    <cfRule type="cellIs" dxfId="626" priority="759" operator="lessThanOrEqual">
      <formula>$IQ57</formula>
    </cfRule>
  </conditionalFormatting>
  <conditionalFormatting sqref="DX58:HT58">
    <cfRule type="expression" priority="739" stopIfTrue="1">
      <formula>$IL58&lt;4</formula>
    </cfRule>
    <cfRule type="expression" dxfId="625" priority="740">
      <formula>IF(AND($I58="c",$DX$2="£"),TRUE,FALSE)</formula>
    </cfRule>
    <cfRule type="expression" dxfId="624" priority="741">
      <formula>IF(AND($I58="c",$DX$2="€"),TRUE,FALSE)</formula>
    </cfRule>
    <cfRule type="expression" dxfId="623" priority="742">
      <formula>IF(AND($I58="c",$DX$2="¥"),TRUE,FALSE)</formula>
    </cfRule>
    <cfRule type="expression" dxfId="622" priority="743">
      <formula>IF(AND($I58="c",$DX$2="$"),TRUE,FALSE)</formula>
    </cfRule>
    <cfRule type="cellIs" dxfId="621" priority="744" operator="greaterThan">
      <formula>$IN58</formula>
    </cfRule>
    <cfRule type="cellIs" dxfId="620" priority="745" operator="between">
      <formula>$IN58</formula>
      <formula>$IO58</formula>
    </cfRule>
    <cfRule type="cellIs" dxfId="619" priority="746" operator="between">
      <formula>$IO58</formula>
      <formula>$IP58</formula>
    </cfRule>
    <cfRule type="cellIs" dxfId="618" priority="747" operator="between">
      <formula>$IP58</formula>
      <formula>$IQ58</formula>
    </cfRule>
    <cfRule type="cellIs" dxfId="617" priority="748" operator="lessThanOrEqual">
      <formula>$IQ58</formula>
    </cfRule>
  </conditionalFormatting>
  <conditionalFormatting sqref="DX59:HT59">
    <cfRule type="expression" priority="728" stopIfTrue="1">
      <formula>$IL59&lt;4</formula>
    </cfRule>
    <cfRule type="expression" dxfId="616" priority="729">
      <formula>IF(AND($I59="c",$DX$2="£"),TRUE,FALSE)</formula>
    </cfRule>
    <cfRule type="expression" dxfId="615" priority="730">
      <formula>IF(AND($I59="c",$DX$2="€"),TRUE,FALSE)</formula>
    </cfRule>
    <cfRule type="expression" dxfId="614" priority="731">
      <formula>IF(AND($I59="c",$DX$2="¥"),TRUE,FALSE)</formula>
    </cfRule>
    <cfRule type="expression" dxfId="613" priority="732">
      <formula>IF(AND($I59="c",$DX$2="$"),TRUE,FALSE)</formula>
    </cfRule>
    <cfRule type="cellIs" dxfId="612" priority="733" operator="greaterThan">
      <formula>$IN59</formula>
    </cfRule>
    <cfRule type="cellIs" dxfId="611" priority="734" operator="between">
      <formula>$IN59</formula>
      <formula>$IO59</formula>
    </cfRule>
    <cfRule type="cellIs" dxfId="610" priority="735" operator="between">
      <formula>$IO59</formula>
      <formula>$IP59</formula>
    </cfRule>
    <cfRule type="cellIs" dxfId="609" priority="736" operator="between">
      <formula>$IP59</formula>
      <formula>$IQ59</formula>
    </cfRule>
    <cfRule type="cellIs" dxfId="608" priority="737" operator="lessThanOrEqual">
      <formula>$IQ59</formula>
    </cfRule>
  </conditionalFormatting>
  <conditionalFormatting sqref="DX60:HT60">
    <cfRule type="expression" priority="717" stopIfTrue="1">
      <formula>$IL60&lt;4</formula>
    </cfRule>
    <cfRule type="expression" dxfId="607" priority="718">
      <formula>IF(AND($I60="c",$DX$2="£"),TRUE,FALSE)</formula>
    </cfRule>
    <cfRule type="expression" dxfId="606" priority="719">
      <formula>IF(AND($I60="c",$DX$2="€"),TRUE,FALSE)</formula>
    </cfRule>
    <cfRule type="expression" dxfId="605" priority="720">
      <formula>IF(AND($I60="c",$DX$2="¥"),TRUE,FALSE)</formula>
    </cfRule>
    <cfRule type="expression" dxfId="604" priority="721">
      <formula>IF(AND($I60="c",$DX$2="$"),TRUE,FALSE)</formula>
    </cfRule>
    <cfRule type="cellIs" dxfId="603" priority="722" operator="greaterThan">
      <formula>$IN60</formula>
    </cfRule>
    <cfRule type="cellIs" dxfId="602" priority="723" operator="between">
      <formula>$IN60</formula>
      <formula>$IO60</formula>
    </cfRule>
    <cfRule type="cellIs" dxfId="601" priority="724" operator="between">
      <formula>$IO60</formula>
      <formula>$IP60</formula>
    </cfRule>
    <cfRule type="cellIs" dxfId="600" priority="725" operator="between">
      <formula>$IP60</formula>
      <formula>$IQ60</formula>
    </cfRule>
    <cfRule type="cellIs" dxfId="599" priority="726" operator="lessThanOrEqual">
      <formula>$IQ60</formula>
    </cfRule>
  </conditionalFormatting>
  <conditionalFormatting sqref="DX61:HT61">
    <cfRule type="expression" priority="706" stopIfTrue="1">
      <formula>$IL61&lt;4</formula>
    </cfRule>
    <cfRule type="expression" dxfId="598" priority="707">
      <formula>IF(AND($I61="c",$DX$2="£"),TRUE,FALSE)</formula>
    </cfRule>
    <cfRule type="expression" dxfId="597" priority="708">
      <formula>IF(AND($I61="c",$DX$2="€"),TRUE,FALSE)</formula>
    </cfRule>
    <cfRule type="expression" dxfId="596" priority="709">
      <formula>IF(AND($I61="c",$DX$2="¥"),TRUE,FALSE)</formula>
    </cfRule>
    <cfRule type="expression" dxfId="595" priority="710">
      <formula>IF(AND($I61="c",$DX$2="$"),TRUE,FALSE)</formula>
    </cfRule>
    <cfRule type="cellIs" dxfId="594" priority="711" operator="greaterThan">
      <formula>$IN61</formula>
    </cfRule>
    <cfRule type="cellIs" dxfId="593" priority="712" operator="between">
      <formula>$IN61</formula>
      <formula>$IO61</formula>
    </cfRule>
    <cfRule type="cellIs" dxfId="592" priority="713" operator="between">
      <formula>$IO61</formula>
      <formula>$IP61</formula>
    </cfRule>
    <cfRule type="cellIs" dxfId="591" priority="714" operator="between">
      <formula>$IP61</formula>
      <formula>$IQ61</formula>
    </cfRule>
    <cfRule type="cellIs" dxfId="590" priority="715" operator="lessThanOrEqual">
      <formula>$IQ61</formula>
    </cfRule>
  </conditionalFormatting>
  <conditionalFormatting sqref="DX62:HT62">
    <cfRule type="expression" priority="695" stopIfTrue="1">
      <formula>$IL62&lt;4</formula>
    </cfRule>
    <cfRule type="expression" dxfId="589" priority="696">
      <formula>IF(AND($I62="c",$DX$2="£"),TRUE,FALSE)</formula>
    </cfRule>
    <cfRule type="expression" dxfId="588" priority="697">
      <formula>IF(AND($I62="c",$DX$2="€"),TRUE,FALSE)</formula>
    </cfRule>
    <cfRule type="expression" dxfId="587" priority="698">
      <formula>IF(AND($I62="c",$DX$2="¥"),TRUE,FALSE)</formula>
    </cfRule>
    <cfRule type="expression" dxfId="586" priority="699">
      <formula>IF(AND($I62="c",$DX$2="$"),TRUE,FALSE)</formula>
    </cfRule>
    <cfRule type="cellIs" dxfId="585" priority="700" operator="greaterThan">
      <formula>$IN62</formula>
    </cfRule>
    <cfRule type="cellIs" dxfId="584" priority="701" operator="between">
      <formula>$IN62</formula>
      <formula>$IO62</formula>
    </cfRule>
    <cfRule type="cellIs" dxfId="583" priority="702" operator="between">
      <formula>$IO62</formula>
      <formula>$IP62</formula>
    </cfRule>
    <cfRule type="cellIs" dxfId="582" priority="703" operator="between">
      <formula>$IP62</formula>
      <formula>$IQ62</formula>
    </cfRule>
    <cfRule type="cellIs" dxfId="581" priority="704" operator="lessThanOrEqual">
      <formula>$IQ62</formula>
    </cfRule>
  </conditionalFormatting>
  <conditionalFormatting sqref="DX63:HT63">
    <cfRule type="expression" priority="684" stopIfTrue="1">
      <formula>$IL63&lt;4</formula>
    </cfRule>
    <cfRule type="expression" dxfId="580" priority="685">
      <formula>IF(AND($I63="c",$DX$2="£"),TRUE,FALSE)</formula>
    </cfRule>
    <cfRule type="expression" dxfId="579" priority="686">
      <formula>IF(AND($I63="c",$DX$2="€"),TRUE,FALSE)</formula>
    </cfRule>
    <cfRule type="expression" dxfId="578" priority="687">
      <formula>IF(AND($I63="c",$DX$2="¥"),TRUE,FALSE)</formula>
    </cfRule>
    <cfRule type="expression" dxfId="577" priority="688">
      <formula>IF(AND($I63="c",$DX$2="$"),TRUE,FALSE)</formula>
    </cfRule>
    <cfRule type="cellIs" dxfId="576" priority="689" operator="greaterThan">
      <formula>$IN63</formula>
    </cfRule>
    <cfRule type="cellIs" dxfId="575" priority="690" operator="between">
      <formula>$IN63</formula>
      <formula>$IO63</formula>
    </cfRule>
    <cfRule type="cellIs" dxfId="574" priority="691" operator="between">
      <formula>$IO63</formula>
      <formula>$IP63</formula>
    </cfRule>
    <cfRule type="cellIs" dxfId="573" priority="692" operator="between">
      <formula>$IP63</formula>
      <formula>$IQ63</formula>
    </cfRule>
    <cfRule type="cellIs" dxfId="572" priority="693" operator="lessThanOrEqual">
      <formula>$IQ63</formula>
    </cfRule>
  </conditionalFormatting>
  <conditionalFormatting sqref="DX64:HT64">
    <cfRule type="expression" priority="673" stopIfTrue="1">
      <formula>$IL64&lt;4</formula>
    </cfRule>
    <cfRule type="expression" dxfId="571" priority="674">
      <formula>IF(AND($I64="c",$DX$2="£"),TRUE,FALSE)</formula>
    </cfRule>
    <cfRule type="expression" dxfId="570" priority="675">
      <formula>IF(AND($I64="c",$DX$2="€"),TRUE,FALSE)</formula>
    </cfRule>
    <cfRule type="expression" dxfId="569" priority="676">
      <formula>IF(AND($I64="c",$DX$2="¥"),TRUE,FALSE)</formula>
    </cfRule>
    <cfRule type="expression" dxfId="568" priority="677">
      <formula>IF(AND($I64="c",$DX$2="$"),TRUE,FALSE)</formula>
    </cfRule>
    <cfRule type="cellIs" dxfId="567" priority="678" operator="greaterThan">
      <formula>$IN64</formula>
    </cfRule>
    <cfRule type="cellIs" dxfId="566" priority="679" operator="between">
      <formula>$IN64</formula>
      <formula>$IO64</formula>
    </cfRule>
    <cfRule type="cellIs" dxfId="565" priority="680" operator="between">
      <formula>$IO64</formula>
      <formula>$IP64</formula>
    </cfRule>
    <cfRule type="cellIs" dxfId="564" priority="681" operator="between">
      <formula>$IP64</formula>
      <formula>$IQ64</formula>
    </cfRule>
    <cfRule type="cellIs" dxfId="563" priority="682" operator="lessThanOrEqual">
      <formula>$IQ64</formula>
    </cfRule>
  </conditionalFormatting>
  <conditionalFormatting sqref="DX65:HT65">
    <cfRule type="expression" priority="662" stopIfTrue="1">
      <formula>$IL65&lt;4</formula>
    </cfRule>
    <cfRule type="expression" dxfId="562" priority="663">
      <formula>IF(AND($I65="c",$DX$2="£"),TRUE,FALSE)</formula>
    </cfRule>
    <cfRule type="expression" dxfId="561" priority="664">
      <formula>IF(AND($I65="c",$DX$2="€"),TRUE,FALSE)</formula>
    </cfRule>
    <cfRule type="expression" dxfId="560" priority="665">
      <formula>IF(AND($I65="c",$DX$2="¥"),TRUE,FALSE)</formula>
    </cfRule>
    <cfRule type="expression" dxfId="559" priority="666">
      <formula>IF(AND($I65="c",$DX$2="$"),TRUE,FALSE)</formula>
    </cfRule>
    <cfRule type="cellIs" dxfId="558" priority="667" operator="greaterThan">
      <formula>$IN65</formula>
    </cfRule>
    <cfRule type="cellIs" dxfId="557" priority="668" operator="between">
      <formula>$IN65</formula>
      <formula>$IO65</formula>
    </cfRule>
    <cfRule type="cellIs" dxfId="556" priority="669" operator="between">
      <formula>$IO65</formula>
      <formula>$IP65</formula>
    </cfRule>
    <cfRule type="cellIs" dxfId="555" priority="670" operator="between">
      <formula>$IP65</formula>
      <formula>$IQ65</formula>
    </cfRule>
    <cfRule type="cellIs" dxfId="554" priority="671" operator="lessThanOrEqual">
      <formula>$IQ65</formula>
    </cfRule>
  </conditionalFormatting>
  <conditionalFormatting sqref="DX66:HT66">
    <cfRule type="expression" priority="651" stopIfTrue="1">
      <formula>$IL66&lt;4</formula>
    </cfRule>
    <cfRule type="expression" dxfId="553" priority="652">
      <formula>IF(AND($I66="c",$DX$2="£"),TRUE,FALSE)</formula>
    </cfRule>
    <cfRule type="expression" dxfId="552" priority="653">
      <formula>IF(AND($I66="c",$DX$2="€"),TRUE,FALSE)</formula>
    </cfRule>
    <cfRule type="expression" dxfId="551" priority="654">
      <formula>IF(AND($I66="c",$DX$2="¥"),TRUE,FALSE)</formula>
    </cfRule>
    <cfRule type="expression" dxfId="550" priority="655">
      <formula>IF(AND($I66="c",$DX$2="$"),TRUE,FALSE)</formula>
    </cfRule>
    <cfRule type="cellIs" dxfId="549" priority="656" operator="greaterThan">
      <formula>$IN66</formula>
    </cfRule>
    <cfRule type="cellIs" dxfId="548" priority="657" operator="between">
      <formula>$IN66</formula>
      <formula>$IO66</formula>
    </cfRule>
    <cfRule type="cellIs" dxfId="547" priority="658" operator="between">
      <formula>$IO66</formula>
      <formula>$IP66</formula>
    </cfRule>
    <cfRule type="cellIs" dxfId="546" priority="659" operator="between">
      <formula>$IP66</formula>
      <formula>$IQ66</formula>
    </cfRule>
    <cfRule type="cellIs" dxfId="545" priority="660" operator="lessThanOrEqual">
      <formula>$IQ66</formula>
    </cfRule>
  </conditionalFormatting>
  <conditionalFormatting sqref="DX67:HT67">
    <cfRule type="expression" priority="640" stopIfTrue="1">
      <formula>$IL67&lt;4</formula>
    </cfRule>
    <cfRule type="expression" dxfId="544" priority="641">
      <formula>IF(AND($I67="c",$DX$2="£"),TRUE,FALSE)</formula>
    </cfRule>
    <cfRule type="expression" dxfId="543" priority="642">
      <formula>IF(AND($I67="c",$DX$2="€"),TRUE,FALSE)</formula>
    </cfRule>
    <cfRule type="expression" dxfId="542" priority="643">
      <formula>IF(AND($I67="c",$DX$2="¥"),TRUE,FALSE)</formula>
    </cfRule>
    <cfRule type="expression" dxfId="541" priority="644">
      <formula>IF(AND($I67="c",$DX$2="$"),TRUE,FALSE)</formula>
    </cfRule>
    <cfRule type="cellIs" dxfId="540" priority="645" operator="greaterThan">
      <formula>$IN67</formula>
    </cfRule>
    <cfRule type="cellIs" dxfId="539" priority="646" operator="between">
      <formula>$IN67</formula>
      <formula>$IO67</formula>
    </cfRule>
    <cfRule type="cellIs" dxfId="538" priority="647" operator="between">
      <formula>$IO67</formula>
      <formula>$IP67</formula>
    </cfRule>
    <cfRule type="cellIs" dxfId="537" priority="648" operator="between">
      <formula>$IP67</formula>
      <formula>$IQ67</formula>
    </cfRule>
    <cfRule type="cellIs" dxfId="536" priority="649" operator="lessThanOrEqual">
      <formula>$IQ67</formula>
    </cfRule>
  </conditionalFormatting>
  <conditionalFormatting sqref="DX68:HT68">
    <cfRule type="expression" priority="629" stopIfTrue="1">
      <formula>$IL68&lt;4</formula>
    </cfRule>
    <cfRule type="expression" dxfId="535" priority="630">
      <formula>IF(AND($I68="c",$DX$2="£"),TRUE,FALSE)</formula>
    </cfRule>
    <cfRule type="expression" dxfId="534" priority="631">
      <formula>IF(AND($I68="c",$DX$2="€"),TRUE,FALSE)</formula>
    </cfRule>
    <cfRule type="expression" dxfId="533" priority="632">
      <formula>IF(AND($I68="c",$DX$2="¥"),TRUE,FALSE)</formula>
    </cfRule>
    <cfRule type="expression" dxfId="532" priority="633">
      <formula>IF(AND($I68="c",$DX$2="$"),TRUE,FALSE)</formula>
    </cfRule>
    <cfRule type="cellIs" dxfId="531" priority="634" operator="greaterThan">
      <formula>$IN68</formula>
    </cfRule>
    <cfRule type="cellIs" dxfId="530" priority="635" operator="between">
      <formula>$IN68</formula>
      <formula>$IO68</formula>
    </cfRule>
    <cfRule type="cellIs" dxfId="529" priority="636" operator="between">
      <formula>$IO68</formula>
      <formula>$IP68</formula>
    </cfRule>
    <cfRule type="cellIs" dxfId="528" priority="637" operator="between">
      <formula>$IP68</formula>
      <formula>$IQ68</formula>
    </cfRule>
    <cfRule type="cellIs" dxfId="527" priority="638" operator="lessThanOrEqual">
      <formula>$IQ68</formula>
    </cfRule>
  </conditionalFormatting>
  <conditionalFormatting sqref="DX69:HT69">
    <cfRule type="expression" priority="618" stopIfTrue="1">
      <formula>$IL69&lt;4</formula>
    </cfRule>
    <cfRule type="expression" dxfId="526" priority="619">
      <formula>IF(AND($I69="c",$DX$2="£"),TRUE,FALSE)</formula>
    </cfRule>
    <cfRule type="expression" dxfId="525" priority="620">
      <formula>IF(AND($I69="c",$DX$2="€"),TRUE,FALSE)</formula>
    </cfRule>
    <cfRule type="expression" dxfId="524" priority="621">
      <formula>IF(AND($I69="c",$DX$2="¥"),TRUE,FALSE)</formula>
    </cfRule>
    <cfRule type="expression" dxfId="523" priority="622">
      <formula>IF(AND($I69="c",$DX$2="$"),TRUE,FALSE)</formula>
    </cfRule>
    <cfRule type="cellIs" dxfId="522" priority="623" operator="greaterThan">
      <formula>$IN69</formula>
    </cfRule>
    <cfRule type="cellIs" dxfId="521" priority="624" operator="between">
      <formula>$IN69</formula>
      <formula>$IO69</formula>
    </cfRule>
    <cfRule type="cellIs" dxfId="520" priority="625" operator="between">
      <formula>$IO69</formula>
      <formula>$IP69</formula>
    </cfRule>
    <cfRule type="cellIs" dxfId="519" priority="626" operator="between">
      <formula>$IP69</formula>
      <formula>$IQ69</formula>
    </cfRule>
    <cfRule type="cellIs" dxfId="518" priority="627" operator="lessThanOrEqual">
      <formula>$IQ69</formula>
    </cfRule>
  </conditionalFormatting>
  <conditionalFormatting sqref="DX70:HT70">
    <cfRule type="expression" priority="607" stopIfTrue="1">
      <formula>$IL70&lt;4</formula>
    </cfRule>
    <cfRule type="expression" dxfId="517" priority="608">
      <formula>IF(AND($I70="c",$DX$2="£"),TRUE,FALSE)</formula>
    </cfRule>
    <cfRule type="expression" dxfId="516" priority="609">
      <formula>IF(AND($I70="c",$DX$2="€"),TRUE,FALSE)</formula>
    </cfRule>
    <cfRule type="expression" dxfId="515" priority="610">
      <formula>IF(AND($I70="c",$DX$2="¥"),TRUE,FALSE)</formula>
    </cfRule>
    <cfRule type="expression" dxfId="514" priority="611">
      <formula>IF(AND($I70="c",$DX$2="$"),TRUE,FALSE)</formula>
    </cfRule>
    <cfRule type="cellIs" dxfId="513" priority="612" operator="greaterThan">
      <formula>$IN70</formula>
    </cfRule>
    <cfRule type="cellIs" dxfId="512" priority="613" operator="between">
      <formula>$IN70</formula>
      <formula>$IO70</formula>
    </cfRule>
    <cfRule type="cellIs" dxfId="511" priority="614" operator="between">
      <formula>$IO70</formula>
      <formula>$IP70</formula>
    </cfRule>
    <cfRule type="cellIs" dxfId="510" priority="615" operator="between">
      <formula>$IP70</formula>
      <formula>$IQ70</formula>
    </cfRule>
    <cfRule type="cellIs" dxfId="509" priority="616" operator="lessThanOrEqual">
      <formula>$IQ70</formula>
    </cfRule>
  </conditionalFormatting>
  <conditionalFormatting sqref="DX71:HT71">
    <cfRule type="expression" priority="596" stopIfTrue="1">
      <formula>$IL71&lt;4</formula>
    </cfRule>
    <cfRule type="expression" dxfId="508" priority="597">
      <formula>IF(AND($I71="c",$DX$2="£"),TRUE,FALSE)</formula>
    </cfRule>
    <cfRule type="expression" dxfId="507" priority="598">
      <formula>IF(AND($I71="c",$DX$2="€"),TRUE,FALSE)</formula>
    </cfRule>
    <cfRule type="expression" dxfId="506" priority="599">
      <formula>IF(AND($I71="c",$DX$2="¥"),TRUE,FALSE)</formula>
    </cfRule>
    <cfRule type="expression" dxfId="505" priority="600">
      <formula>IF(AND($I71="c",$DX$2="$"),TRUE,FALSE)</formula>
    </cfRule>
    <cfRule type="cellIs" dxfId="504" priority="601" operator="greaterThan">
      <formula>$IN71</formula>
    </cfRule>
    <cfRule type="cellIs" dxfId="503" priority="602" operator="between">
      <formula>$IN71</formula>
      <formula>$IO71</formula>
    </cfRule>
    <cfRule type="cellIs" dxfId="502" priority="603" operator="between">
      <formula>$IO71</formula>
      <formula>$IP71</formula>
    </cfRule>
    <cfRule type="cellIs" dxfId="501" priority="604" operator="between">
      <formula>$IP71</formula>
      <formula>$IQ71</formula>
    </cfRule>
    <cfRule type="cellIs" dxfId="500" priority="605" operator="lessThanOrEqual">
      <formula>$IQ71</formula>
    </cfRule>
  </conditionalFormatting>
  <conditionalFormatting sqref="DX72:HT72">
    <cfRule type="expression" priority="585" stopIfTrue="1">
      <formula>$IL72&lt;4</formula>
    </cfRule>
    <cfRule type="expression" dxfId="499" priority="586">
      <formula>IF(AND($I72="c",$DX$2="£"),TRUE,FALSE)</formula>
    </cfRule>
    <cfRule type="expression" dxfId="498" priority="587">
      <formula>IF(AND($I72="c",$DX$2="€"),TRUE,FALSE)</formula>
    </cfRule>
    <cfRule type="expression" dxfId="497" priority="588">
      <formula>IF(AND($I72="c",$DX$2="¥"),TRUE,FALSE)</formula>
    </cfRule>
    <cfRule type="expression" dxfId="496" priority="589">
      <formula>IF(AND($I72="c",$DX$2="$"),TRUE,FALSE)</formula>
    </cfRule>
    <cfRule type="cellIs" dxfId="495" priority="590" operator="greaterThan">
      <formula>$IN72</formula>
    </cfRule>
    <cfRule type="cellIs" dxfId="494" priority="591" operator="between">
      <formula>$IN72</formula>
      <formula>$IO72</formula>
    </cfRule>
    <cfRule type="cellIs" dxfId="493" priority="592" operator="between">
      <formula>$IO72</formula>
      <formula>$IP72</formula>
    </cfRule>
    <cfRule type="cellIs" dxfId="492" priority="593" operator="between">
      <formula>$IP72</formula>
      <formula>$IQ72</formula>
    </cfRule>
    <cfRule type="cellIs" dxfId="491" priority="594" operator="lessThanOrEqual">
      <formula>$IQ72</formula>
    </cfRule>
  </conditionalFormatting>
  <conditionalFormatting sqref="DX73:HT73">
    <cfRule type="expression" priority="574" stopIfTrue="1">
      <formula>$IL73&lt;4</formula>
    </cfRule>
    <cfRule type="expression" dxfId="490" priority="575">
      <formula>IF(AND($I73="c",$DX$2="£"),TRUE,FALSE)</formula>
    </cfRule>
    <cfRule type="expression" dxfId="489" priority="576">
      <formula>IF(AND($I73="c",$DX$2="€"),TRUE,FALSE)</formula>
    </cfRule>
    <cfRule type="expression" dxfId="488" priority="577">
      <formula>IF(AND($I73="c",$DX$2="¥"),TRUE,FALSE)</formula>
    </cfRule>
    <cfRule type="expression" dxfId="487" priority="578">
      <formula>IF(AND($I73="c",$DX$2="$"),TRUE,FALSE)</formula>
    </cfRule>
    <cfRule type="cellIs" dxfId="486" priority="579" operator="greaterThan">
      <formula>$IN73</formula>
    </cfRule>
    <cfRule type="cellIs" dxfId="485" priority="580" operator="between">
      <formula>$IN73</formula>
      <formula>$IO73</formula>
    </cfRule>
    <cfRule type="cellIs" dxfId="484" priority="581" operator="between">
      <formula>$IO73</formula>
      <formula>$IP73</formula>
    </cfRule>
    <cfRule type="cellIs" dxfId="483" priority="582" operator="between">
      <formula>$IP73</formula>
      <formula>$IQ73</formula>
    </cfRule>
    <cfRule type="cellIs" dxfId="482" priority="583" operator="lessThanOrEqual">
      <formula>$IQ73</formula>
    </cfRule>
  </conditionalFormatting>
  <conditionalFormatting sqref="DX74:HT74">
    <cfRule type="expression" priority="563" stopIfTrue="1">
      <formula>$IL74&lt;4</formula>
    </cfRule>
    <cfRule type="expression" dxfId="481" priority="564">
      <formula>IF(AND($I74="c",$DX$2="£"),TRUE,FALSE)</formula>
    </cfRule>
    <cfRule type="expression" dxfId="480" priority="565">
      <formula>IF(AND($I74="c",$DX$2="€"),TRUE,FALSE)</formula>
    </cfRule>
    <cfRule type="expression" dxfId="479" priority="566">
      <formula>IF(AND($I74="c",$DX$2="¥"),TRUE,FALSE)</formula>
    </cfRule>
    <cfRule type="expression" dxfId="478" priority="567">
      <formula>IF(AND($I74="c",$DX$2="$"),TRUE,FALSE)</formula>
    </cfRule>
    <cfRule type="cellIs" dxfId="477" priority="568" operator="greaterThan">
      <formula>$IN74</formula>
    </cfRule>
    <cfRule type="cellIs" dxfId="476" priority="569" operator="between">
      <formula>$IN74</formula>
      <formula>$IO74</formula>
    </cfRule>
    <cfRule type="cellIs" dxfId="475" priority="570" operator="between">
      <formula>$IO74</formula>
      <formula>$IP74</formula>
    </cfRule>
    <cfRule type="cellIs" dxfId="474" priority="571" operator="between">
      <formula>$IP74</formula>
      <formula>$IQ74</formula>
    </cfRule>
    <cfRule type="cellIs" dxfId="473" priority="572" operator="lessThanOrEqual">
      <formula>$IQ74</formula>
    </cfRule>
  </conditionalFormatting>
  <conditionalFormatting sqref="DX75:HT75">
    <cfRule type="expression" priority="552" stopIfTrue="1">
      <formula>$IL75&lt;4</formula>
    </cfRule>
    <cfRule type="expression" dxfId="472" priority="553">
      <formula>IF(AND($I75="c",$DX$2="£"),TRUE,FALSE)</formula>
    </cfRule>
    <cfRule type="expression" dxfId="471" priority="554">
      <formula>IF(AND($I75="c",$DX$2="€"),TRUE,FALSE)</formula>
    </cfRule>
    <cfRule type="expression" dxfId="470" priority="555">
      <formula>IF(AND($I75="c",$DX$2="¥"),TRUE,FALSE)</formula>
    </cfRule>
    <cfRule type="expression" dxfId="469" priority="556">
      <formula>IF(AND($I75="c",$DX$2="$"),TRUE,FALSE)</formula>
    </cfRule>
    <cfRule type="cellIs" dxfId="468" priority="557" operator="greaterThan">
      <formula>$IN75</formula>
    </cfRule>
    <cfRule type="cellIs" dxfId="467" priority="558" operator="between">
      <formula>$IN75</formula>
      <formula>$IO75</formula>
    </cfRule>
    <cfRule type="cellIs" dxfId="466" priority="559" operator="between">
      <formula>$IO75</formula>
      <formula>$IP75</formula>
    </cfRule>
    <cfRule type="cellIs" dxfId="465" priority="560" operator="between">
      <formula>$IP75</formula>
      <formula>$IQ75</formula>
    </cfRule>
    <cfRule type="cellIs" dxfId="464" priority="561" operator="lessThanOrEqual">
      <formula>$IQ75</formula>
    </cfRule>
  </conditionalFormatting>
  <conditionalFormatting sqref="DX76:HT76">
    <cfRule type="expression" priority="541" stopIfTrue="1">
      <formula>$IL76&lt;4</formula>
    </cfRule>
    <cfRule type="expression" dxfId="463" priority="542">
      <formula>IF(AND($I76="c",$DX$2="£"),TRUE,FALSE)</formula>
    </cfRule>
    <cfRule type="expression" dxfId="462" priority="543">
      <formula>IF(AND($I76="c",$DX$2="€"),TRUE,FALSE)</formula>
    </cfRule>
    <cfRule type="expression" dxfId="461" priority="544">
      <formula>IF(AND($I76="c",$DX$2="¥"),TRUE,FALSE)</formula>
    </cfRule>
    <cfRule type="expression" dxfId="460" priority="545">
      <formula>IF(AND($I76="c",$DX$2="$"),TRUE,FALSE)</formula>
    </cfRule>
    <cfRule type="cellIs" dxfId="459" priority="546" operator="greaterThan">
      <formula>$IN76</formula>
    </cfRule>
    <cfRule type="cellIs" dxfId="458" priority="547" operator="between">
      <formula>$IN76</formula>
      <formula>$IO76</formula>
    </cfRule>
    <cfRule type="cellIs" dxfId="457" priority="548" operator="between">
      <formula>$IO76</formula>
      <formula>$IP76</formula>
    </cfRule>
    <cfRule type="cellIs" dxfId="456" priority="549" operator="between">
      <formula>$IP76</formula>
      <formula>$IQ76</formula>
    </cfRule>
    <cfRule type="cellIs" dxfId="455" priority="550" operator="lessThanOrEqual">
      <formula>$IQ76</formula>
    </cfRule>
  </conditionalFormatting>
  <conditionalFormatting sqref="DX77:HT77">
    <cfRule type="expression" priority="530" stopIfTrue="1">
      <formula>$IL77&lt;4</formula>
    </cfRule>
    <cfRule type="expression" dxfId="454" priority="531">
      <formula>IF(AND($I77="c",$DX$2="£"),TRUE,FALSE)</formula>
    </cfRule>
    <cfRule type="expression" dxfId="453" priority="532">
      <formula>IF(AND($I77="c",$DX$2="€"),TRUE,FALSE)</formula>
    </cfRule>
    <cfRule type="expression" dxfId="452" priority="533">
      <formula>IF(AND($I77="c",$DX$2="¥"),TRUE,FALSE)</formula>
    </cfRule>
    <cfRule type="expression" dxfId="451" priority="534">
      <formula>IF(AND($I77="c",$DX$2="$"),TRUE,FALSE)</formula>
    </cfRule>
    <cfRule type="cellIs" dxfId="450" priority="535" operator="greaterThan">
      <formula>$IN77</formula>
    </cfRule>
    <cfRule type="cellIs" dxfId="449" priority="536" operator="between">
      <formula>$IN77</formula>
      <formula>$IO77</formula>
    </cfRule>
    <cfRule type="cellIs" dxfId="448" priority="537" operator="between">
      <formula>$IO77</formula>
      <formula>$IP77</formula>
    </cfRule>
    <cfRule type="cellIs" dxfId="447" priority="538" operator="between">
      <formula>$IP77</formula>
      <formula>$IQ77</formula>
    </cfRule>
    <cfRule type="cellIs" dxfId="446" priority="539" operator="lessThanOrEqual">
      <formula>$IQ77</formula>
    </cfRule>
  </conditionalFormatting>
  <conditionalFormatting sqref="DX78:HT78">
    <cfRule type="expression" priority="519" stopIfTrue="1">
      <formula>$IL78&lt;4</formula>
    </cfRule>
    <cfRule type="expression" dxfId="445" priority="520">
      <formula>IF(AND($I78="c",$DX$2="£"),TRUE,FALSE)</formula>
    </cfRule>
    <cfRule type="expression" dxfId="444" priority="521">
      <formula>IF(AND($I78="c",$DX$2="€"),TRUE,FALSE)</formula>
    </cfRule>
    <cfRule type="expression" dxfId="443" priority="522">
      <formula>IF(AND($I78="c",$DX$2="¥"),TRUE,FALSE)</formula>
    </cfRule>
    <cfRule type="expression" dxfId="442" priority="523">
      <formula>IF(AND($I78="c",$DX$2="$"),TRUE,FALSE)</formula>
    </cfRule>
    <cfRule type="cellIs" dxfId="441" priority="524" operator="greaterThan">
      <formula>$IN78</formula>
    </cfRule>
    <cfRule type="cellIs" dxfId="440" priority="525" operator="between">
      <formula>$IN78</formula>
      <formula>$IO78</formula>
    </cfRule>
    <cfRule type="cellIs" dxfId="439" priority="526" operator="between">
      <formula>$IO78</formula>
      <formula>$IP78</formula>
    </cfRule>
    <cfRule type="cellIs" dxfId="438" priority="527" operator="between">
      <formula>$IP78</formula>
      <formula>$IQ78</formula>
    </cfRule>
    <cfRule type="cellIs" dxfId="437" priority="528" operator="lessThanOrEqual">
      <formula>$IQ78</formula>
    </cfRule>
  </conditionalFormatting>
  <conditionalFormatting sqref="DX79:HT79">
    <cfRule type="expression" priority="508" stopIfTrue="1">
      <formula>$IL79&lt;4</formula>
    </cfRule>
    <cfRule type="expression" dxfId="436" priority="509">
      <formula>IF(AND($I79="c",$DX$2="£"),TRUE,FALSE)</formula>
    </cfRule>
    <cfRule type="expression" dxfId="435" priority="510">
      <formula>IF(AND($I79="c",$DX$2="€"),TRUE,FALSE)</formula>
    </cfRule>
    <cfRule type="expression" dxfId="434" priority="511">
      <formula>IF(AND($I79="c",$DX$2="¥"),TRUE,FALSE)</formula>
    </cfRule>
    <cfRule type="expression" dxfId="433" priority="512">
      <formula>IF(AND($I79="c",$DX$2="$"),TRUE,FALSE)</formula>
    </cfRule>
    <cfRule type="cellIs" dxfId="432" priority="513" operator="greaterThan">
      <formula>$IN79</formula>
    </cfRule>
    <cfRule type="cellIs" dxfId="431" priority="514" operator="between">
      <formula>$IN79</formula>
      <formula>$IO79</formula>
    </cfRule>
    <cfRule type="cellIs" dxfId="430" priority="515" operator="between">
      <formula>$IO79</formula>
      <formula>$IP79</formula>
    </cfRule>
    <cfRule type="cellIs" dxfId="429" priority="516" operator="between">
      <formula>$IP79</formula>
      <formula>$IQ79</formula>
    </cfRule>
    <cfRule type="cellIs" dxfId="428" priority="517" operator="lessThanOrEqual">
      <formula>$IQ79</formula>
    </cfRule>
  </conditionalFormatting>
  <conditionalFormatting sqref="DX80:HT80">
    <cfRule type="expression" priority="497" stopIfTrue="1">
      <formula>$IL80&lt;4</formula>
    </cfRule>
    <cfRule type="expression" dxfId="427" priority="498">
      <formula>IF(AND($I80="c",$DX$2="£"),TRUE,FALSE)</formula>
    </cfRule>
    <cfRule type="expression" dxfId="426" priority="499">
      <formula>IF(AND($I80="c",$DX$2="€"),TRUE,FALSE)</formula>
    </cfRule>
    <cfRule type="expression" dxfId="425" priority="500">
      <formula>IF(AND($I80="c",$DX$2="¥"),TRUE,FALSE)</formula>
    </cfRule>
    <cfRule type="expression" dxfId="424" priority="501">
      <formula>IF(AND($I80="c",$DX$2="$"),TRUE,FALSE)</formula>
    </cfRule>
    <cfRule type="cellIs" dxfId="423" priority="502" operator="greaterThan">
      <formula>$IN80</formula>
    </cfRule>
    <cfRule type="cellIs" dxfId="422" priority="503" operator="between">
      <formula>$IN80</formula>
      <formula>$IO80</formula>
    </cfRule>
    <cfRule type="cellIs" dxfId="421" priority="504" operator="between">
      <formula>$IO80</formula>
      <formula>$IP80</formula>
    </cfRule>
    <cfRule type="cellIs" dxfId="420" priority="505" operator="between">
      <formula>$IP80</formula>
      <formula>$IQ80</formula>
    </cfRule>
    <cfRule type="cellIs" dxfId="419" priority="506" operator="lessThanOrEqual">
      <formula>$IQ80</formula>
    </cfRule>
  </conditionalFormatting>
  <conditionalFormatting sqref="DX81:HT81">
    <cfRule type="expression" priority="486" stopIfTrue="1">
      <formula>$IL81&lt;4</formula>
    </cfRule>
    <cfRule type="expression" dxfId="418" priority="487">
      <formula>IF(AND($I81="c",$DX$2="£"),TRUE,FALSE)</formula>
    </cfRule>
    <cfRule type="expression" dxfId="417" priority="488">
      <formula>IF(AND($I81="c",$DX$2="€"),TRUE,FALSE)</formula>
    </cfRule>
    <cfRule type="expression" dxfId="416" priority="489">
      <formula>IF(AND($I81="c",$DX$2="¥"),TRUE,FALSE)</formula>
    </cfRule>
    <cfRule type="expression" dxfId="415" priority="490">
      <formula>IF(AND($I81="c",$DX$2="$"),TRUE,FALSE)</formula>
    </cfRule>
    <cfRule type="cellIs" dxfId="414" priority="491" operator="greaterThan">
      <formula>$IN81</formula>
    </cfRule>
    <cfRule type="cellIs" dxfId="413" priority="492" operator="between">
      <formula>$IN81</formula>
      <formula>$IO81</formula>
    </cfRule>
    <cfRule type="cellIs" dxfId="412" priority="493" operator="between">
      <formula>$IO81</formula>
      <formula>$IP81</formula>
    </cfRule>
    <cfRule type="cellIs" dxfId="411" priority="494" operator="between">
      <formula>$IP81</formula>
      <formula>$IQ81</formula>
    </cfRule>
    <cfRule type="cellIs" dxfId="410" priority="495" operator="lessThanOrEqual">
      <formula>$IQ81</formula>
    </cfRule>
  </conditionalFormatting>
  <conditionalFormatting sqref="DX82:HT82">
    <cfRule type="expression" priority="475" stopIfTrue="1">
      <formula>$IL82&lt;4</formula>
    </cfRule>
    <cfRule type="expression" dxfId="409" priority="476">
      <formula>IF(AND($I82="c",$DX$2="£"),TRUE,FALSE)</formula>
    </cfRule>
    <cfRule type="expression" dxfId="408" priority="477">
      <formula>IF(AND($I82="c",$DX$2="€"),TRUE,FALSE)</formula>
    </cfRule>
    <cfRule type="expression" dxfId="407" priority="478">
      <formula>IF(AND($I82="c",$DX$2="¥"),TRUE,FALSE)</formula>
    </cfRule>
    <cfRule type="expression" dxfId="406" priority="479">
      <formula>IF(AND($I82="c",$DX$2="$"),TRUE,FALSE)</formula>
    </cfRule>
    <cfRule type="cellIs" dxfId="405" priority="480" operator="greaterThan">
      <formula>$IN82</formula>
    </cfRule>
    <cfRule type="cellIs" dxfId="404" priority="481" operator="between">
      <formula>$IN82</formula>
      <formula>$IO82</formula>
    </cfRule>
    <cfRule type="cellIs" dxfId="403" priority="482" operator="between">
      <formula>$IO82</formula>
      <formula>$IP82</formula>
    </cfRule>
    <cfRule type="cellIs" dxfId="402" priority="483" operator="between">
      <formula>$IP82</formula>
      <formula>$IQ82</formula>
    </cfRule>
    <cfRule type="cellIs" dxfId="401" priority="484" operator="lessThanOrEqual">
      <formula>$IQ82</formula>
    </cfRule>
  </conditionalFormatting>
  <conditionalFormatting sqref="DX83:HT83">
    <cfRule type="expression" priority="464" stopIfTrue="1">
      <formula>$IL83&lt;4</formula>
    </cfRule>
    <cfRule type="expression" dxfId="400" priority="465">
      <formula>IF(AND($I83="c",$DX$2="£"),TRUE,FALSE)</formula>
    </cfRule>
    <cfRule type="expression" dxfId="399" priority="466">
      <formula>IF(AND($I83="c",$DX$2="€"),TRUE,FALSE)</formula>
    </cfRule>
    <cfRule type="expression" dxfId="398" priority="467">
      <formula>IF(AND($I83="c",$DX$2="¥"),TRUE,FALSE)</formula>
    </cfRule>
    <cfRule type="expression" dxfId="397" priority="468">
      <formula>IF(AND($I83="c",$DX$2="$"),TRUE,FALSE)</formula>
    </cfRule>
    <cfRule type="cellIs" dxfId="396" priority="469" operator="greaterThan">
      <formula>$IN83</formula>
    </cfRule>
    <cfRule type="cellIs" dxfId="395" priority="470" operator="between">
      <formula>$IN83</formula>
      <formula>$IO83</formula>
    </cfRule>
    <cfRule type="cellIs" dxfId="394" priority="471" operator="between">
      <formula>$IO83</formula>
      <formula>$IP83</formula>
    </cfRule>
    <cfRule type="cellIs" dxfId="393" priority="472" operator="between">
      <formula>$IP83</formula>
      <formula>$IQ83</formula>
    </cfRule>
    <cfRule type="cellIs" dxfId="392" priority="473" operator="lessThanOrEqual">
      <formula>$IQ83</formula>
    </cfRule>
  </conditionalFormatting>
  <conditionalFormatting sqref="DX84:HT84">
    <cfRule type="expression" priority="453" stopIfTrue="1">
      <formula>$IL84&lt;4</formula>
    </cfRule>
    <cfRule type="expression" dxfId="391" priority="454">
      <formula>IF(AND($I84="c",$DX$2="£"),TRUE,FALSE)</formula>
    </cfRule>
    <cfRule type="expression" dxfId="390" priority="455">
      <formula>IF(AND($I84="c",$DX$2="€"),TRUE,FALSE)</formula>
    </cfRule>
    <cfRule type="expression" dxfId="389" priority="456">
      <formula>IF(AND($I84="c",$DX$2="¥"),TRUE,FALSE)</formula>
    </cfRule>
    <cfRule type="expression" dxfId="388" priority="457">
      <formula>IF(AND($I84="c",$DX$2="$"),TRUE,FALSE)</formula>
    </cfRule>
    <cfRule type="cellIs" dxfId="387" priority="458" operator="greaterThan">
      <formula>$IN84</formula>
    </cfRule>
    <cfRule type="cellIs" dxfId="386" priority="459" operator="between">
      <formula>$IN84</formula>
      <formula>$IO84</formula>
    </cfRule>
    <cfRule type="cellIs" dxfId="385" priority="460" operator="between">
      <formula>$IO84</formula>
      <formula>$IP84</formula>
    </cfRule>
    <cfRule type="cellIs" dxfId="384" priority="461" operator="between">
      <formula>$IP84</formula>
      <formula>$IQ84</formula>
    </cfRule>
    <cfRule type="cellIs" dxfId="383" priority="462" operator="lessThanOrEqual">
      <formula>$IQ84</formula>
    </cfRule>
  </conditionalFormatting>
  <conditionalFormatting sqref="DX85:HT85">
    <cfRule type="expression" priority="442" stopIfTrue="1">
      <formula>$IL85&lt;4</formula>
    </cfRule>
    <cfRule type="expression" dxfId="382" priority="443">
      <formula>IF(AND($I85="c",$DX$2="£"),TRUE,FALSE)</formula>
    </cfRule>
    <cfRule type="expression" dxfId="381" priority="444">
      <formula>IF(AND($I85="c",$DX$2="€"),TRUE,FALSE)</formula>
    </cfRule>
    <cfRule type="expression" dxfId="380" priority="445">
      <formula>IF(AND($I85="c",$DX$2="¥"),TRUE,FALSE)</formula>
    </cfRule>
    <cfRule type="expression" dxfId="379" priority="446">
      <formula>IF(AND($I85="c",$DX$2="$"),TRUE,FALSE)</formula>
    </cfRule>
    <cfRule type="cellIs" dxfId="378" priority="447" operator="greaterThan">
      <formula>$IN85</formula>
    </cfRule>
    <cfRule type="cellIs" dxfId="377" priority="448" operator="between">
      <formula>$IN85</formula>
      <formula>$IO85</formula>
    </cfRule>
    <cfRule type="cellIs" dxfId="376" priority="449" operator="between">
      <formula>$IO85</formula>
      <formula>$IP85</formula>
    </cfRule>
    <cfRule type="cellIs" dxfId="375" priority="450" operator="between">
      <formula>$IP85</formula>
      <formula>$IQ85</formula>
    </cfRule>
    <cfRule type="cellIs" dxfId="374" priority="451" operator="lessThanOrEqual">
      <formula>$IQ85</formula>
    </cfRule>
  </conditionalFormatting>
  <conditionalFormatting sqref="DX86:HT86">
    <cfRule type="expression" priority="431" stopIfTrue="1">
      <formula>$IL86&lt;4</formula>
    </cfRule>
    <cfRule type="expression" dxfId="373" priority="432">
      <formula>IF(AND($I86="c",$DX$2="£"),TRUE,FALSE)</formula>
    </cfRule>
    <cfRule type="expression" dxfId="372" priority="433">
      <formula>IF(AND($I86="c",$DX$2="€"),TRUE,FALSE)</formula>
    </cfRule>
    <cfRule type="expression" dxfId="371" priority="434">
      <formula>IF(AND($I86="c",$DX$2="¥"),TRUE,FALSE)</formula>
    </cfRule>
    <cfRule type="expression" dxfId="370" priority="435">
      <formula>IF(AND($I86="c",$DX$2="$"),TRUE,FALSE)</formula>
    </cfRule>
    <cfRule type="cellIs" dxfId="369" priority="436" operator="greaterThan">
      <formula>$IN86</formula>
    </cfRule>
    <cfRule type="cellIs" dxfId="368" priority="437" operator="between">
      <formula>$IN86</formula>
      <formula>$IO86</formula>
    </cfRule>
    <cfRule type="cellIs" dxfId="367" priority="438" operator="between">
      <formula>$IO86</formula>
      <formula>$IP86</formula>
    </cfRule>
    <cfRule type="cellIs" dxfId="366" priority="439" operator="between">
      <formula>$IP86</formula>
      <formula>$IQ86</formula>
    </cfRule>
    <cfRule type="cellIs" dxfId="365" priority="440" operator="lessThanOrEqual">
      <formula>$IQ86</formula>
    </cfRule>
  </conditionalFormatting>
  <conditionalFormatting sqref="DX87:HT87">
    <cfRule type="expression" priority="420" stopIfTrue="1">
      <formula>$IL87&lt;4</formula>
    </cfRule>
    <cfRule type="expression" dxfId="364" priority="421">
      <formula>IF(AND($I87="c",$DX$2="£"),TRUE,FALSE)</formula>
    </cfRule>
    <cfRule type="expression" dxfId="363" priority="422">
      <formula>IF(AND($I87="c",$DX$2="€"),TRUE,FALSE)</formula>
    </cfRule>
    <cfRule type="expression" dxfId="362" priority="423">
      <formula>IF(AND($I87="c",$DX$2="¥"),TRUE,FALSE)</formula>
    </cfRule>
    <cfRule type="expression" dxfId="361" priority="424">
      <formula>IF(AND($I87="c",$DX$2="$"),TRUE,FALSE)</formula>
    </cfRule>
    <cfRule type="cellIs" dxfId="360" priority="425" operator="greaterThan">
      <formula>$IN87</formula>
    </cfRule>
    <cfRule type="cellIs" dxfId="359" priority="426" operator="between">
      <formula>$IN87</formula>
      <formula>$IO87</formula>
    </cfRule>
    <cfRule type="cellIs" dxfId="358" priority="427" operator="between">
      <formula>$IO87</formula>
      <formula>$IP87</formula>
    </cfRule>
    <cfRule type="cellIs" dxfId="357" priority="428" operator="between">
      <formula>$IP87</formula>
      <formula>$IQ87</formula>
    </cfRule>
    <cfRule type="cellIs" dxfId="356" priority="429" operator="lessThanOrEqual">
      <formula>$IQ87</formula>
    </cfRule>
  </conditionalFormatting>
  <conditionalFormatting sqref="DX88:HT88">
    <cfRule type="expression" priority="409" stopIfTrue="1">
      <formula>$IL88&lt;4</formula>
    </cfRule>
    <cfRule type="expression" dxfId="355" priority="410">
      <formula>IF(AND($I88="c",$DX$2="£"),TRUE,FALSE)</formula>
    </cfRule>
    <cfRule type="expression" dxfId="354" priority="411">
      <formula>IF(AND($I88="c",$DX$2="€"),TRUE,FALSE)</formula>
    </cfRule>
    <cfRule type="expression" dxfId="353" priority="412">
      <formula>IF(AND($I88="c",$DX$2="¥"),TRUE,FALSE)</formula>
    </cfRule>
    <cfRule type="expression" dxfId="352" priority="413">
      <formula>IF(AND($I88="c",$DX$2="$"),TRUE,FALSE)</formula>
    </cfRule>
    <cfRule type="cellIs" dxfId="351" priority="414" operator="greaterThan">
      <formula>$IN88</formula>
    </cfRule>
    <cfRule type="cellIs" dxfId="350" priority="415" operator="between">
      <formula>$IN88</formula>
      <formula>$IO88</formula>
    </cfRule>
    <cfRule type="cellIs" dxfId="349" priority="416" operator="between">
      <formula>$IO88</formula>
      <formula>$IP88</formula>
    </cfRule>
    <cfRule type="cellIs" dxfId="348" priority="417" operator="between">
      <formula>$IP88</formula>
      <formula>$IQ88</formula>
    </cfRule>
    <cfRule type="cellIs" dxfId="347" priority="418" operator="lessThanOrEqual">
      <formula>$IQ88</formula>
    </cfRule>
  </conditionalFormatting>
  <conditionalFormatting sqref="DX89:HT89">
    <cfRule type="expression" priority="398" stopIfTrue="1">
      <formula>$IL89&lt;4</formula>
    </cfRule>
    <cfRule type="expression" dxfId="346" priority="399">
      <formula>IF(AND($I89="c",$DX$2="£"),TRUE,FALSE)</formula>
    </cfRule>
    <cfRule type="expression" dxfId="345" priority="400">
      <formula>IF(AND($I89="c",$DX$2="€"),TRUE,FALSE)</formula>
    </cfRule>
    <cfRule type="expression" dxfId="344" priority="401">
      <formula>IF(AND($I89="c",$DX$2="¥"),TRUE,FALSE)</formula>
    </cfRule>
    <cfRule type="expression" dxfId="343" priority="402">
      <formula>IF(AND($I89="c",$DX$2="$"),TRUE,FALSE)</formula>
    </cfRule>
    <cfRule type="cellIs" dxfId="342" priority="403" operator="greaterThan">
      <formula>$IN89</formula>
    </cfRule>
    <cfRule type="cellIs" dxfId="341" priority="404" operator="between">
      <formula>$IN89</formula>
      <formula>$IO89</formula>
    </cfRule>
    <cfRule type="cellIs" dxfId="340" priority="405" operator="between">
      <formula>$IO89</formula>
      <formula>$IP89</formula>
    </cfRule>
    <cfRule type="cellIs" dxfId="339" priority="406" operator="between">
      <formula>$IP89</formula>
      <formula>$IQ89</formula>
    </cfRule>
    <cfRule type="cellIs" dxfId="338" priority="407" operator="lessThanOrEqual">
      <formula>$IQ89</formula>
    </cfRule>
  </conditionalFormatting>
  <conditionalFormatting sqref="DX90:HT90">
    <cfRule type="expression" priority="387" stopIfTrue="1">
      <formula>$IL90&lt;4</formula>
    </cfRule>
    <cfRule type="expression" dxfId="337" priority="388">
      <formula>IF(AND($I90="c",$DX$2="£"),TRUE,FALSE)</formula>
    </cfRule>
    <cfRule type="expression" dxfId="336" priority="389">
      <formula>IF(AND($I90="c",$DX$2="€"),TRUE,FALSE)</formula>
    </cfRule>
    <cfRule type="expression" dxfId="335" priority="390">
      <formula>IF(AND($I90="c",$DX$2="¥"),TRUE,FALSE)</formula>
    </cfRule>
    <cfRule type="expression" dxfId="334" priority="391">
      <formula>IF(AND($I90="c",$DX$2="$"),TRUE,FALSE)</formula>
    </cfRule>
    <cfRule type="cellIs" dxfId="333" priority="392" operator="greaterThan">
      <formula>$IN90</formula>
    </cfRule>
    <cfRule type="cellIs" dxfId="332" priority="393" operator="between">
      <formula>$IN90</formula>
      <formula>$IO90</formula>
    </cfRule>
    <cfRule type="cellIs" dxfId="331" priority="394" operator="between">
      <formula>$IO90</formula>
      <formula>$IP90</formula>
    </cfRule>
    <cfRule type="cellIs" dxfId="330" priority="395" operator="between">
      <formula>$IP90</formula>
      <formula>$IQ90</formula>
    </cfRule>
    <cfRule type="cellIs" dxfId="329" priority="396" operator="lessThanOrEqual">
      <formula>$IQ90</formula>
    </cfRule>
  </conditionalFormatting>
  <conditionalFormatting sqref="DX91:HT91">
    <cfRule type="expression" priority="376" stopIfTrue="1">
      <formula>$IL91&lt;4</formula>
    </cfRule>
    <cfRule type="expression" dxfId="328" priority="377">
      <formula>IF(AND($I91="c",$DX$2="£"),TRUE,FALSE)</formula>
    </cfRule>
    <cfRule type="expression" dxfId="327" priority="378">
      <formula>IF(AND($I91="c",$DX$2="€"),TRUE,FALSE)</formula>
    </cfRule>
    <cfRule type="expression" dxfId="326" priority="379">
      <formula>IF(AND($I91="c",$DX$2="¥"),TRUE,FALSE)</formula>
    </cfRule>
    <cfRule type="expression" dxfId="325" priority="380">
      <formula>IF(AND($I91="c",$DX$2="$"),TRUE,FALSE)</formula>
    </cfRule>
    <cfRule type="cellIs" dxfId="324" priority="381" operator="greaterThan">
      <formula>$IN91</formula>
    </cfRule>
    <cfRule type="cellIs" dxfId="323" priority="382" operator="between">
      <formula>$IN91</formula>
      <formula>$IO91</formula>
    </cfRule>
    <cfRule type="cellIs" dxfId="322" priority="383" operator="between">
      <formula>$IO91</formula>
      <formula>$IP91</formula>
    </cfRule>
    <cfRule type="cellIs" dxfId="321" priority="384" operator="between">
      <formula>$IP91</formula>
      <formula>$IQ91</formula>
    </cfRule>
    <cfRule type="cellIs" dxfId="320" priority="385" operator="lessThanOrEqual">
      <formula>$IQ91</formula>
    </cfRule>
  </conditionalFormatting>
  <conditionalFormatting sqref="DX92:HT92">
    <cfRule type="expression" priority="365" stopIfTrue="1">
      <formula>$IL92&lt;4</formula>
    </cfRule>
    <cfRule type="expression" dxfId="319" priority="366">
      <formula>IF(AND($I92="c",$DX$2="£"),TRUE,FALSE)</formula>
    </cfRule>
    <cfRule type="expression" dxfId="318" priority="367">
      <formula>IF(AND($I92="c",$DX$2="€"),TRUE,FALSE)</formula>
    </cfRule>
    <cfRule type="expression" dxfId="317" priority="368">
      <formula>IF(AND($I92="c",$DX$2="¥"),TRUE,FALSE)</formula>
    </cfRule>
    <cfRule type="expression" dxfId="316" priority="369">
      <formula>IF(AND($I92="c",$DX$2="$"),TRUE,FALSE)</formula>
    </cfRule>
    <cfRule type="cellIs" dxfId="315" priority="370" operator="greaterThan">
      <formula>$IN92</formula>
    </cfRule>
    <cfRule type="cellIs" dxfId="314" priority="371" operator="between">
      <formula>$IN92</formula>
      <formula>$IO92</formula>
    </cfRule>
    <cfRule type="cellIs" dxfId="313" priority="372" operator="between">
      <formula>$IO92</formula>
      <formula>$IP92</formula>
    </cfRule>
    <cfRule type="cellIs" dxfId="312" priority="373" operator="between">
      <formula>$IP92</formula>
      <formula>$IQ92</formula>
    </cfRule>
    <cfRule type="cellIs" dxfId="311" priority="374" operator="lessThanOrEqual">
      <formula>$IQ92</formula>
    </cfRule>
  </conditionalFormatting>
  <conditionalFormatting sqref="DX93:HT93">
    <cfRule type="expression" priority="354" stopIfTrue="1">
      <formula>$IL93&lt;4</formula>
    </cfRule>
    <cfRule type="expression" dxfId="310" priority="355">
      <formula>IF(AND($I93="c",$DX$2="£"),TRUE,FALSE)</formula>
    </cfRule>
    <cfRule type="expression" dxfId="309" priority="356">
      <formula>IF(AND($I93="c",$DX$2="€"),TRUE,FALSE)</formula>
    </cfRule>
    <cfRule type="expression" dxfId="308" priority="357">
      <formula>IF(AND($I93="c",$DX$2="¥"),TRUE,FALSE)</formula>
    </cfRule>
    <cfRule type="expression" dxfId="307" priority="358">
      <formula>IF(AND($I93="c",$DX$2="$"),TRUE,FALSE)</formula>
    </cfRule>
    <cfRule type="cellIs" dxfId="306" priority="359" operator="greaterThan">
      <formula>$IN93</formula>
    </cfRule>
    <cfRule type="cellIs" dxfId="305" priority="360" operator="between">
      <formula>$IN93</formula>
      <formula>$IO93</formula>
    </cfRule>
    <cfRule type="cellIs" dxfId="304" priority="361" operator="between">
      <formula>$IO93</formula>
      <formula>$IP93</formula>
    </cfRule>
    <cfRule type="cellIs" dxfId="303" priority="362" operator="between">
      <formula>$IP93</formula>
      <formula>$IQ93</formula>
    </cfRule>
    <cfRule type="cellIs" dxfId="302" priority="363" operator="lessThanOrEqual">
      <formula>$IQ93</formula>
    </cfRule>
  </conditionalFormatting>
  <conditionalFormatting sqref="DX94:HT94">
    <cfRule type="expression" priority="343" stopIfTrue="1">
      <formula>$IL94&lt;4</formula>
    </cfRule>
    <cfRule type="expression" dxfId="301" priority="344">
      <formula>IF(AND($I94="c",$DX$2="£"),TRUE,FALSE)</formula>
    </cfRule>
    <cfRule type="expression" dxfId="300" priority="345">
      <formula>IF(AND($I94="c",$DX$2="€"),TRUE,FALSE)</formula>
    </cfRule>
    <cfRule type="expression" dxfId="299" priority="346">
      <formula>IF(AND($I94="c",$DX$2="¥"),TRUE,FALSE)</formula>
    </cfRule>
    <cfRule type="expression" dxfId="298" priority="347">
      <formula>IF(AND($I94="c",$DX$2="$"),TRUE,FALSE)</formula>
    </cfRule>
    <cfRule type="cellIs" dxfId="297" priority="348" operator="greaterThan">
      <formula>$IN94</formula>
    </cfRule>
    <cfRule type="cellIs" dxfId="296" priority="349" operator="between">
      <formula>$IN94</formula>
      <formula>$IO94</formula>
    </cfRule>
    <cfRule type="cellIs" dxfId="295" priority="350" operator="between">
      <formula>$IO94</formula>
      <formula>$IP94</formula>
    </cfRule>
    <cfRule type="cellIs" dxfId="294" priority="351" operator="between">
      <formula>$IP94</formula>
      <formula>$IQ94</formula>
    </cfRule>
    <cfRule type="cellIs" dxfId="293" priority="352" operator="lessThanOrEqual">
      <formula>$IQ94</formula>
    </cfRule>
  </conditionalFormatting>
  <conditionalFormatting sqref="DX95:HT95">
    <cfRule type="expression" priority="332" stopIfTrue="1">
      <formula>$IL95&lt;4</formula>
    </cfRule>
    <cfRule type="expression" dxfId="292" priority="333">
      <formula>IF(AND($I95="c",$DX$2="£"),TRUE,FALSE)</formula>
    </cfRule>
    <cfRule type="expression" dxfId="291" priority="334">
      <formula>IF(AND($I95="c",$DX$2="€"),TRUE,FALSE)</formula>
    </cfRule>
    <cfRule type="expression" dxfId="290" priority="335">
      <formula>IF(AND($I95="c",$DX$2="¥"),TRUE,FALSE)</formula>
    </cfRule>
    <cfRule type="expression" dxfId="289" priority="336">
      <formula>IF(AND($I95="c",$DX$2="$"),TRUE,FALSE)</formula>
    </cfRule>
    <cfRule type="cellIs" dxfId="288" priority="337" operator="greaterThan">
      <formula>$IN95</formula>
    </cfRule>
    <cfRule type="cellIs" dxfId="287" priority="338" operator="between">
      <formula>$IN95</formula>
      <formula>$IO95</formula>
    </cfRule>
    <cfRule type="cellIs" dxfId="286" priority="339" operator="between">
      <formula>$IO95</formula>
      <formula>$IP95</formula>
    </cfRule>
    <cfRule type="cellIs" dxfId="285" priority="340" operator="between">
      <formula>$IP95</formula>
      <formula>$IQ95</formula>
    </cfRule>
    <cfRule type="cellIs" dxfId="284" priority="341" operator="lessThanOrEqual">
      <formula>$IQ95</formula>
    </cfRule>
  </conditionalFormatting>
  <conditionalFormatting sqref="DX96:HT96">
    <cfRule type="expression" priority="321" stopIfTrue="1">
      <formula>$IL96&lt;4</formula>
    </cfRule>
    <cfRule type="expression" dxfId="283" priority="322">
      <formula>IF(AND($I96="c",$DX$2="£"),TRUE,FALSE)</formula>
    </cfRule>
    <cfRule type="expression" dxfId="282" priority="323">
      <formula>IF(AND($I96="c",$DX$2="€"),TRUE,FALSE)</formula>
    </cfRule>
    <cfRule type="expression" dxfId="281" priority="324">
      <formula>IF(AND($I96="c",$DX$2="¥"),TRUE,FALSE)</formula>
    </cfRule>
    <cfRule type="expression" dxfId="280" priority="325">
      <formula>IF(AND($I96="c",$DX$2="$"),TRUE,FALSE)</formula>
    </cfRule>
    <cfRule type="cellIs" dxfId="279" priority="326" operator="greaterThan">
      <formula>$IN96</formula>
    </cfRule>
    <cfRule type="cellIs" dxfId="278" priority="327" operator="between">
      <formula>$IN96</formula>
      <formula>$IO96</formula>
    </cfRule>
    <cfRule type="cellIs" dxfId="277" priority="328" operator="between">
      <formula>$IO96</formula>
      <formula>$IP96</formula>
    </cfRule>
    <cfRule type="cellIs" dxfId="276" priority="329" operator="between">
      <formula>$IP96</formula>
      <formula>$IQ96</formula>
    </cfRule>
    <cfRule type="cellIs" dxfId="275" priority="330" operator="lessThanOrEqual">
      <formula>$IQ96</formula>
    </cfRule>
  </conditionalFormatting>
  <conditionalFormatting sqref="DX97:HT97">
    <cfRule type="expression" priority="310" stopIfTrue="1">
      <formula>$IL97&lt;4</formula>
    </cfRule>
    <cfRule type="expression" dxfId="274" priority="311">
      <formula>IF(AND($I97="c",$DX$2="£"),TRUE,FALSE)</formula>
    </cfRule>
    <cfRule type="expression" dxfId="273" priority="312">
      <formula>IF(AND($I97="c",$DX$2="€"),TRUE,FALSE)</formula>
    </cfRule>
    <cfRule type="expression" dxfId="272" priority="313">
      <formula>IF(AND($I97="c",$DX$2="¥"),TRUE,FALSE)</formula>
    </cfRule>
    <cfRule type="expression" dxfId="271" priority="314">
      <formula>IF(AND($I97="c",$DX$2="$"),TRUE,FALSE)</formula>
    </cfRule>
    <cfRule type="cellIs" dxfId="270" priority="315" operator="greaterThan">
      <formula>$IN97</formula>
    </cfRule>
    <cfRule type="cellIs" dxfId="269" priority="316" operator="between">
      <formula>$IN97</formula>
      <formula>$IO97</formula>
    </cfRule>
    <cfRule type="cellIs" dxfId="268" priority="317" operator="between">
      <formula>$IO97</formula>
      <formula>$IP97</formula>
    </cfRule>
    <cfRule type="cellIs" dxfId="267" priority="318" operator="between">
      <formula>$IP97</formula>
      <formula>$IQ97</formula>
    </cfRule>
    <cfRule type="cellIs" dxfId="266" priority="319" operator="lessThanOrEqual">
      <formula>$IQ97</formula>
    </cfRule>
  </conditionalFormatting>
  <conditionalFormatting sqref="DX98:HT98">
    <cfRule type="expression" priority="299" stopIfTrue="1">
      <formula>$IL98&lt;4</formula>
    </cfRule>
    <cfRule type="expression" dxfId="265" priority="300">
      <formula>IF(AND($I98="c",$DX$2="£"),TRUE,FALSE)</formula>
    </cfRule>
    <cfRule type="expression" dxfId="264" priority="301">
      <formula>IF(AND($I98="c",$DX$2="€"),TRUE,FALSE)</formula>
    </cfRule>
    <cfRule type="expression" dxfId="263" priority="302">
      <formula>IF(AND($I98="c",$DX$2="¥"),TRUE,FALSE)</formula>
    </cfRule>
    <cfRule type="expression" dxfId="262" priority="303">
      <formula>IF(AND($I98="c",$DX$2="$"),TRUE,FALSE)</formula>
    </cfRule>
    <cfRule type="cellIs" dxfId="261" priority="304" operator="greaterThan">
      <formula>$IN98</formula>
    </cfRule>
    <cfRule type="cellIs" dxfId="260" priority="305" operator="between">
      <formula>$IN98</formula>
      <formula>$IO98</formula>
    </cfRule>
    <cfRule type="cellIs" dxfId="259" priority="306" operator="between">
      <formula>$IO98</formula>
      <formula>$IP98</formula>
    </cfRule>
    <cfRule type="cellIs" dxfId="258" priority="307" operator="between">
      <formula>$IP98</formula>
      <formula>$IQ98</formula>
    </cfRule>
    <cfRule type="cellIs" dxfId="257" priority="308" operator="lessThanOrEqual">
      <formula>$IQ98</formula>
    </cfRule>
  </conditionalFormatting>
  <conditionalFormatting sqref="DX99:HT99">
    <cfRule type="expression" priority="288" stopIfTrue="1">
      <formula>$IL99&lt;4</formula>
    </cfRule>
    <cfRule type="expression" dxfId="256" priority="289">
      <formula>IF(AND($I99="c",$DX$2="£"),TRUE,FALSE)</formula>
    </cfRule>
    <cfRule type="expression" dxfId="255" priority="290">
      <formula>IF(AND($I99="c",$DX$2="€"),TRUE,FALSE)</formula>
    </cfRule>
    <cfRule type="expression" dxfId="254" priority="291">
      <formula>IF(AND($I99="c",$DX$2="¥"),TRUE,FALSE)</formula>
    </cfRule>
    <cfRule type="expression" dxfId="253" priority="292">
      <formula>IF(AND($I99="c",$DX$2="$"),TRUE,FALSE)</formula>
    </cfRule>
    <cfRule type="cellIs" dxfId="252" priority="293" operator="greaterThan">
      <formula>$IN99</formula>
    </cfRule>
    <cfRule type="cellIs" dxfId="251" priority="294" operator="between">
      <formula>$IN99</formula>
      <formula>$IO99</formula>
    </cfRule>
    <cfRule type="cellIs" dxfId="250" priority="295" operator="between">
      <formula>$IO99</formula>
      <formula>$IP99</formula>
    </cfRule>
    <cfRule type="cellIs" dxfId="249" priority="296" operator="between">
      <formula>$IP99</formula>
      <formula>$IQ99</formula>
    </cfRule>
    <cfRule type="cellIs" dxfId="248" priority="297" operator="lessThanOrEqual">
      <formula>$IQ99</formula>
    </cfRule>
  </conditionalFormatting>
  <conditionalFormatting sqref="DX100:HT100">
    <cfRule type="expression" priority="277" stopIfTrue="1">
      <formula>$IL100&lt;4</formula>
    </cfRule>
    <cfRule type="expression" dxfId="247" priority="278">
      <formula>IF(AND($I100="c",$DX$2="£"),TRUE,FALSE)</formula>
    </cfRule>
    <cfRule type="expression" dxfId="246" priority="279">
      <formula>IF(AND($I100="c",$DX$2="€"),TRUE,FALSE)</formula>
    </cfRule>
    <cfRule type="expression" dxfId="245" priority="280">
      <formula>IF(AND($I100="c",$DX$2="¥"),TRUE,FALSE)</formula>
    </cfRule>
    <cfRule type="expression" dxfId="244" priority="281">
      <formula>IF(AND($I100="c",$DX$2="$"),TRUE,FALSE)</formula>
    </cfRule>
    <cfRule type="cellIs" dxfId="243" priority="282" operator="greaterThan">
      <formula>$IN100</formula>
    </cfRule>
    <cfRule type="cellIs" dxfId="242" priority="283" operator="between">
      <formula>$IN100</formula>
      <formula>$IO100</formula>
    </cfRule>
    <cfRule type="cellIs" dxfId="241" priority="284" operator="between">
      <formula>$IO100</formula>
      <formula>$IP100</formula>
    </cfRule>
    <cfRule type="cellIs" dxfId="240" priority="285" operator="between">
      <formula>$IP100</formula>
      <formula>$IQ100</formula>
    </cfRule>
    <cfRule type="cellIs" dxfId="239" priority="286" operator="lessThanOrEqual">
      <formula>$IQ100</formula>
    </cfRule>
  </conditionalFormatting>
  <conditionalFormatting sqref="DX101:HT101">
    <cfRule type="expression" priority="266" stopIfTrue="1">
      <formula>$IL101&lt;4</formula>
    </cfRule>
    <cfRule type="expression" dxfId="238" priority="267">
      <formula>IF(AND($I101="c",$DX$2="£"),TRUE,FALSE)</formula>
    </cfRule>
    <cfRule type="expression" dxfId="237" priority="268">
      <formula>IF(AND($I101="c",$DX$2="€"),TRUE,FALSE)</formula>
    </cfRule>
    <cfRule type="expression" dxfId="236" priority="269">
      <formula>IF(AND($I101="c",$DX$2="¥"),TRUE,FALSE)</formula>
    </cfRule>
    <cfRule type="expression" dxfId="235" priority="270">
      <formula>IF(AND($I101="c",$DX$2="$"),TRUE,FALSE)</formula>
    </cfRule>
    <cfRule type="cellIs" dxfId="234" priority="271" operator="greaterThan">
      <formula>$IN101</formula>
    </cfRule>
    <cfRule type="cellIs" dxfId="233" priority="272" operator="between">
      <formula>$IN101</formula>
      <formula>$IO101</formula>
    </cfRule>
    <cfRule type="cellIs" dxfId="232" priority="273" operator="between">
      <formula>$IO101</formula>
      <formula>$IP101</formula>
    </cfRule>
    <cfRule type="cellIs" dxfId="231" priority="274" operator="between">
      <formula>$IP101</formula>
      <formula>$IQ101</formula>
    </cfRule>
    <cfRule type="cellIs" dxfId="230" priority="275" operator="lessThanOrEqual">
      <formula>$IQ101</formula>
    </cfRule>
  </conditionalFormatting>
  <conditionalFormatting sqref="DX102:HT102">
    <cfRule type="expression" priority="255" stopIfTrue="1">
      <formula>$IL102&lt;4</formula>
    </cfRule>
    <cfRule type="expression" dxfId="229" priority="256">
      <formula>IF(AND($I102="c",$DX$2="£"),TRUE,FALSE)</formula>
    </cfRule>
    <cfRule type="expression" dxfId="228" priority="257">
      <formula>IF(AND($I102="c",$DX$2="€"),TRUE,FALSE)</formula>
    </cfRule>
    <cfRule type="expression" dxfId="227" priority="258">
      <formula>IF(AND($I102="c",$DX$2="¥"),TRUE,FALSE)</formula>
    </cfRule>
    <cfRule type="expression" dxfId="226" priority="259">
      <formula>IF(AND($I102="c",$DX$2="$"),TRUE,FALSE)</formula>
    </cfRule>
    <cfRule type="cellIs" dxfId="225" priority="260" operator="greaterThan">
      <formula>$IN102</formula>
    </cfRule>
    <cfRule type="cellIs" dxfId="224" priority="261" operator="between">
      <formula>$IN102</formula>
      <formula>$IO102</formula>
    </cfRule>
    <cfRule type="cellIs" dxfId="223" priority="262" operator="between">
      <formula>$IO102</formula>
      <formula>$IP102</formula>
    </cfRule>
    <cfRule type="cellIs" dxfId="222" priority="263" operator="between">
      <formula>$IP102</formula>
      <formula>$IQ102</formula>
    </cfRule>
    <cfRule type="cellIs" dxfId="221" priority="264" operator="lessThanOrEqual">
      <formula>$IQ102</formula>
    </cfRule>
  </conditionalFormatting>
  <conditionalFormatting sqref="DX103:HT103">
    <cfRule type="expression" priority="244" stopIfTrue="1">
      <formula>$IL103&lt;4</formula>
    </cfRule>
    <cfRule type="expression" dxfId="220" priority="245">
      <formula>IF(AND($I103="c",$DX$2="£"),TRUE,FALSE)</formula>
    </cfRule>
    <cfRule type="expression" dxfId="219" priority="246">
      <formula>IF(AND($I103="c",$DX$2="€"),TRUE,FALSE)</formula>
    </cfRule>
    <cfRule type="expression" dxfId="218" priority="247">
      <formula>IF(AND($I103="c",$DX$2="¥"),TRUE,FALSE)</formula>
    </cfRule>
    <cfRule type="expression" dxfId="217" priority="248">
      <formula>IF(AND($I103="c",$DX$2="$"),TRUE,FALSE)</formula>
    </cfRule>
    <cfRule type="cellIs" dxfId="216" priority="249" operator="greaterThan">
      <formula>$IN103</formula>
    </cfRule>
    <cfRule type="cellIs" dxfId="215" priority="250" operator="between">
      <formula>$IN103</formula>
      <formula>$IO103</formula>
    </cfRule>
    <cfRule type="cellIs" dxfId="214" priority="251" operator="between">
      <formula>$IO103</formula>
      <formula>$IP103</formula>
    </cfRule>
    <cfRule type="cellIs" dxfId="213" priority="252" operator="between">
      <formula>$IP103</formula>
      <formula>$IQ103</formula>
    </cfRule>
    <cfRule type="cellIs" dxfId="212" priority="253" operator="lessThanOrEqual">
      <formula>$IQ103</formula>
    </cfRule>
  </conditionalFormatting>
  <conditionalFormatting sqref="DX104:HT104">
    <cfRule type="expression" priority="233" stopIfTrue="1">
      <formula>$IL104&lt;4</formula>
    </cfRule>
    <cfRule type="expression" dxfId="211" priority="234">
      <formula>IF(AND($I104="c",$DX$2="£"),TRUE,FALSE)</formula>
    </cfRule>
    <cfRule type="expression" dxfId="210" priority="235">
      <formula>IF(AND($I104="c",$DX$2="€"),TRUE,FALSE)</formula>
    </cfRule>
    <cfRule type="expression" dxfId="209" priority="236">
      <formula>IF(AND($I104="c",$DX$2="¥"),TRUE,FALSE)</formula>
    </cfRule>
    <cfRule type="expression" dxfId="208" priority="237">
      <formula>IF(AND($I104="c",$DX$2="$"),TRUE,FALSE)</formula>
    </cfRule>
    <cfRule type="cellIs" dxfId="207" priority="238" operator="greaterThan">
      <formula>$IN104</formula>
    </cfRule>
    <cfRule type="cellIs" dxfId="206" priority="239" operator="between">
      <formula>$IN104</formula>
      <formula>$IO104</formula>
    </cfRule>
    <cfRule type="cellIs" dxfId="205" priority="240" operator="between">
      <formula>$IO104</formula>
      <formula>$IP104</formula>
    </cfRule>
    <cfRule type="cellIs" dxfId="204" priority="241" operator="between">
      <formula>$IP104</formula>
      <formula>$IQ104</formula>
    </cfRule>
    <cfRule type="cellIs" dxfId="203" priority="242" operator="lessThanOrEqual">
      <formula>$IQ104</formula>
    </cfRule>
  </conditionalFormatting>
  <conditionalFormatting sqref="DX105:HT105">
    <cfRule type="expression" priority="222" stopIfTrue="1">
      <formula>$IL105&lt;4</formula>
    </cfRule>
    <cfRule type="expression" dxfId="202" priority="223">
      <formula>IF(AND($I105="c",$DX$2="£"),TRUE,FALSE)</formula>
    </cfRule>
    <cfRule type="expression" dxfId="201" priority="224">
      <formula>IF(AND($I105="c",$DX$2="€"),TRUE,FALSE)</formula>
    </cfRule>
    <cfRule type="expression" dxfId="200" priority="225">
      <formula>IF(AND($I105="c",$DX$2="¥"),TRUE,FALSE)</formula>
    </cfRule>
    <cfRule type="expression" dxfId="199" priority="226">
      <formula>IF(AND($I105="c",$DX$2="$"),TRUE,FALSE)</formula>
    </cfRule>
    <cfRule type="cellIs" dxfId="198" priority="227" operator="greaterThan">
      <formula>$IN105</formula>
    </cfRule>
    <cfRule type="cellIs" dxfId="197" priority="228" operator="between">
      <formula>$IN105</formula>
      <formula>$IO105</formula>
    </cfRule>
    <cfRule type="cellIs" dxfId="196" priority="229" operator="between">
      <formula>$IO105</formula>
      <formula>$IP105</formula>
    </cfRule>
    <cfRule type="cellIs" dxfId="195" priority="230" operator="between">
      <formula>$IP105</formula>
      <formula>$IQ105</formula>
    </cfRule>
    <cfRule type="cellIs" dxfId="194" priority="231" operator="lessThanOrEqual">
      <formula>$IQ105</formula>
    </cfRule>
  </conditionalFormatting>
  <conditionalFormatting sqref="DX106:HT106">
    <cfRule type="expression" priority="211" stopIfTrue="1">
      <formula>$IL106&lt;4</formula>
    </cfRule>
    <cfRule type="expression" dxfId="193" priority="212">
      <formula>IF(AND($I106="c",$DX$2="£"),TRUE,FALSE)</formula>
    </cfRule>
    <cfRule type="expression" dxfId="192" priority="213">
      <formula>IF(AND($I106="c",$DX$2="€"),TRUE,FALSE)</formula>
    </cfRule>
    <cfRule type="expression" dxfId="191" priority="214">
      <formula>IF(AND($I106="c",$DX$2="¥"),TRUE,FALSE)</formula>
    </cfRule>
    <cfRule type="expression" dxfId="190" priority="215">
      <formula>IF(AND($I106="c",$DX$2="$"),TRUE,FALSE)</formula>
    </cfRule>
    <cfRule type="cellIs" dxfId="189" priority="216" operator="greaterThan">
      <formula>$IN106</formula>
    </cfRule>
    <cfRule type="cellIs" dxfId="188" priority="217" operator="between">
      <formula>$IN106</formula>
      <formula>$IO106</formula>
    </cfRule>
    <cfRule type="cellIs" dxfId="187" priority="218" operator="between">
      <formula>$IO106</formula>
      <formula>$IP106</formula>
    </cfRule>
    <cfRule type="cellIs" dxfId="186" priority="219" operator="between">
      <formula>$IP106</formula>
      <formula>$IQ106</formula>
    </cfRule>
    <cfRule type="cellIs" dxfId="185" priority="220" operator="lessThanOrEqual">
      <formula>$IQ106</formula>
    </cfRule>
  </conditionalFormatting>
  <conditionalFormatting sqref="DX107:HT107">
    <cfRule type="expression" priority="200" stopIfTrue="1">
      <formula>$IL107&lt;4</formula>
    </cfRule>
    <cfRule type="expression" dxfId="184" priority="201">
      <formula>IF(AND($I107="c",$DX$2="£"),TRUE,FALSE)</formula>
    </cfRule>
    <cfRule type="expression" dxfId="183" priority="202">
      <formula>IF(AND($I107="c",$DX$2="€"),TRUE,FALSE)</formula>
    </cfRule>
    <cfRule type="expression" dxfId="182" priority="203">
      <formula>IF(AND($I107="c",$DX$2="¥"),TRUE,FALSE)</formula>
    </cfRule>
    <cfRule type="expression" dxfId="181" priority="204">
      <formula>IF(AND($I107="c",$DX$2="$"),TRUE,FALSE)</formula>
    </cfRule>
    <cfRule type="cellIs" dxfId="180" priority="205" operator="greaterThan">
      <formula>$IN107</formula>
    </cfRule>
    <cfRule type="cellIs" dxfId="179" priority="206" operator="between">
      <formula>$IN107</formula>
      <formula>$IO107</formula>
    </cfRule>
    <cfRule type="cellIs" dxfId="178" priority="207" operator="between">
      <formula>$IO107</formula>
      <formula>$IP107</formula>
    </cfRule>
    <cfRule type="cellIs" dxfId="177" priority="208" operator="between">
      <formula>$IP107</formula>
      <formula>$IQ107</formula>
    </cfRule>
    <cfRule type="cellIs" dxfId="176" priority="209" operator="lessThanOrEqual">
      <formula>$IQ107</formula>
    </cfRule>
  </conditionalFormatting>
  <conditionalFormatting sqref="DX108:HT108">
    <cfRule type="expression" priority="189" stopIfTrue="1">
      <formula>$IL108&lt;4</formula>
    </cfRule>
    <cfRule type="expression" dxfId="175" priority="190">
      <formula>IF(AND($I108="c",$DX$2="£"),TRUE,FALSE)</formula>
    </cfRule>
    <cfRule type="expression" dxfId="174" priority="191">
      <formula>IF(AND($I108="c",$DX$2="€"),TRUE,FALSE)</formula>
    </cfRule>
    <cfRule type="expression" dxfId="173" priority="192">
      <formula>IF(AND($I108="c",$DX$2="¥"),TRUE,FALSE)</formula>
    </cfRule>
    <cfRule type="expression" dxfId="172" priority="193">
      <formula>IF(AND($I108="c",$DX$2="$"),TRUE,FALSE)</formula>
    </cfRule>
    <cfRule type="cellIs" dxfId="171" priority="194" operator="greaterThan">
      <formula>$IN108</formula>
    </cfRule>
    <cfRule type="cellIs" dxfId="170" priority="195" operator="between">
      <formula>$IN108</formula>
      <formula>$IO108</formula>
    </cfRule>
    <cfRule type="cellIs" dxfId="169" priority="196" operator="between">
      <formula>$IO108</formula>
      <formula>$IP108</formula>
    </cfRule>
    <cfRule type="cellIs" dxfId="168" priority="197" operator="between">
      <formula>$IP108</formula>
      <formula>$IQ108</formula>
    </cfRule>
    <cfRule type="cellIs" dxfId="167" priority="198" operator="lessThanOrEqual">
      <formula>$IQ108</formula>
    </cfRule>
  </conditionalFormatting>
  <conditionalFormatting sqref="DX109:HT109">
    <cfRule type="expression" priority="178" stopIfTrue="1">
      <formula>$IL109&lt;4</formula>
    </cfRule>
    <cfRule type="expression" dxfId="166" priority="179">
      <formula>IF(AND($I109="c",$DX$2="£"),TRUE,FALSE)</formula>
    </cfRule>
    <cfRule type="expression" dxfId="165" priority="180">
      <formula>IF(AND($I109="c",$DX$2="€"),TRUE,FALSE)</formula>
    </cfRule>
    <cfRule type="expression" dxfId="164" priority="181">
      <formula>IF(AND($I109="c",$DX$2="¥"),TRUE,FALSE)</formula>
    </cfRule>
    <cfRule type="expression" dxfId="163" priority="182">
      <formula>IF(AND($I109="c",$DX$2="$"),TRUE,FALSE)</formula>
    </cfRule>
    <cfRule type="cellIs" dxfId="162" priority="183" operator="greaterThan">
      <formula>$IN109</formula>
    </cfRule>
    <cfRule type="cellIs" dxfId="161" priority="184" operator="between">
      <formula>$IN109</formula>
      <formula>$IO109</formula>
    </cfRule>
    <cfRule type="cellIs" dxfId="160" priority="185" operator="between">
      <formula>$IO109</formula>
      <formula>$IP109</formula>
    </cfRule>
    <cfRule type="cellIs" dxfId="159" priority="186" operator="between">
      <formula>$IP109</formula>
      <formula>$IQ109</formula>
    </cfRule>
    <cfRule type="cellIs" dxfId="158" priority="187" operator="lessThanOrEqual">
      <formula>$IQ109</formula>
    </cfRule>
  </conditionalFormatting>
  <conditionalFormatting sqref="DX110:HT110">
    <cfRule type="expression" priority="167" stopIfTrue="1">
      <formula>$IL110&lt;4</formula>
    </cfRule>
    <cfRule type="expression" dxfId="157" priority="168">
      <formula>IF(AND($I110="c",$DX$2="£"),TRUE,FALSE)</formula>
    </cfRule>
    <cfRule type="expression" dxfId="156" priority="169">
      <formula>IF(AND($I110="c",$DX$2="€"),TRUE,FALSE)</formula>
    </cfRule>
    <cfRule type="expression" dxfId="155" priority="170">
      <formula>IF(AND($I110="c",$DX$2="¥"),TRUE,FALSE)</formula>
    </cfRule>
    <cfRule type="expression" dxfId="154" priority="171">
      <formula>IF(AND($I110="c",$DX$2="$"),TRUE,FALSE)</formula>
    </cfRule>
    <cfRule type="cellIs" dxfId="153" priority="172" operator="greaterThan">
      <formula>$IN110</formula>
    </cfRule>
    <cfRule type="cellIs" dxfId="152" priority="173" operator="between">
      <formula>$IN110</formula>
      <formula>$IO110</formula>
    </cfRule>
    <cfRule type="cellIs" dxfId="151" priority="174" operator="between">
      <formula>$IO110</formula>
      <formula>$IP110</formula>
    </cfRule>
    <cfRule type="cellIs" dxfId="150" priority="175" operator="between">
      <formula>$IP110</formula>
      <formula>$IQ110</formula>
    </cfRule>
    <cfRule type="cellIs" dxfId="149" priority="176" operator="lessThanOrEqual">
      <formula>$IQ110</formula>
    </cfRule>
  </conditionalFormatting>
  <conditionalFormatting sqref="DX111:HT111">
    <cfRule type="expression" priority="156" stopIfTrue="1">
      <formula>$IL111&lt;4</formula>
    </cfRule>
    <cfRule type="expression" dxfId="148" priority="157">
      <formula>IF(AND($I111="c",$DX$2="£"),TRUE,FALSE)</formula>
    </cfRule>
    <cfRule type="expression" dxfId="147" priority="158">
      <formula>IF(AND($I111="c",$DX$2="€"),TRUE,FALSE)</formula>
    </cfRule>
    <cfRule type="expression" dxfId="146" priority="159">
      <formula>IF(AND($I111="c",$DX$2="¥"),TRUE,FALSE)</formula>
    </cfRule>
    <cfRule type="expression" dxfId="145" priority="160">
      <formula>IF(AND($I111="c",$DX$2="$"),TRUE,FALSE)</formula>
    </cfRule>
    <cfRule type="cellIs" dxfId="144" priority="161" operator="greaterThan">
      <formula>$IN111</formula>
    </cfRule>
    <cfRule type="cellIs" dxfId="143" priority="162" operator="between">
      <formula>$IN111</formula>
      <formula>$IO111</formula>
    </cfRule>
    <cfRule type="cellIs" dxfId="142" priority="163" operator="between">
      <formula>$IO111</formula>
      <formula>$IP111</formula>
    </cfRule>
    <cfRule type="cellIs" dxfId="141" priority="164" operator="between">
      <formula>$IP111</formula>
      <formula>$IQ111</formula>
    </cfRule>
    <cfRule type="cellIs" dxfId="140" priority="165" operator="lessThanOrEqual">
      <formula>$IQ111</formula>
    </cfRule>
  </conditionalFormatting>
  <conditionalFormatting sqref="DX112:HT112">
    <cfRule type="expression" priority="145" stopIfTrue="1">
      <formula>$IL112&lt;4</formula>
    </cfRule>
    <cfRule type="expression" dxfId="139" priority="146">
      <formula>IF(AND($I112="c",$DX$2="£"),TRUE,FALSE)</formula>
    </cfRule>
    <cfRule type="expression" dxfId="138" priority="147">
      <formula>IF(AND($I112="c",$DX$2="€"),TRUE,FALSE)</formula>
    </cfRule>
    <cfRule type="expression" dxfId="137" priority="148">
      <formula>IF(AND($I112="c",$DX$2="¥"),TRUE,FALSE)</formula>
    </cfRule>
    <cfRule type="expression" dxfId="136" priority="149">
      <formula>IF(AND($I112="c",$DX$2="$"),TRUE,FALSE)</formula>
    </cfRule>
    <cfRule type="cellIs" dxfId="135" priority="150" operator="greaterThan">
      <formula>$IN112</formula>
    </cfRule>
    <cfRule type="cellIs" dxfId="134" priority="151" operator="between">
      <formula>$IN112</formula>
      <formula>$IO112</formula>
    </cfRule>
    <cfRule type="cellIs" dxfId="133" priority="152" operator="between">
      <formula>$IO112</formula>
      <formula>$IP112</formula>
    </cfRule>
    <cfRule type="cellIs" dxfId="132" priority="153" operator="between">
      <formula>$IP112</formula>
      <formula>$IQ112</formula>
    </cfRule>
    <cfRule type="cellIs" dxfId="131" priority="154" operator="lessThanOrEqual">
      <formula>$IQ112</formula>
    </cfRule>
  </conditionalFormatting>
  <conditionalFormatting sqref="DX113:HT113">
    <cfRule type="expression" priority="134" stopIfTrue="1">
      <formula>$IL113&lt;4</formula>
    </cfRule>
    <cfRule type="expression" dxfId="130" priority="135">
      <formula>IF(AND($I113="c",$DX$2="£"),TRUE,FALSE)</formula>
    </cfRule>
    <cfRule type="expression" dxfId="129" priority="136">
      <formula>IF(AND($I113="c",$DX$2="€"),TRUE,FALSE)</formula>
    </cfRule>
    <cfRule type="expression" dxfId="128" priority="137">
      <formula>IF(AND($I113="c",$DX$2="¥"),TRUE,FALSE)</formula>
    </cfRule>
    <cfRule type="expression" dxfId="127" priority="138">
      <formula>IF(AND($I113="c",$DX$2="$"),TRUE,FALSE)</formula>
    </cfRule>
    <cfRule type="cellIs" dxfId="126" priority="139" operator="greaterThan">
      <formula>$IN113</formula>
    </cfRule>
    <cfRule type="cellIs" dxfId="125" priority="140" operator="between">
      <formula>$IN113</formula>
      <formula>$IO113</formula>
    </cfRule>
    <cfRule type="cellIs" dxfId="124" priority="141" operator="between">
      <formula>$IO113</formula>
      <formula>$IP113</formula>
    </cfRule>
    <cfRule type="cellIs" dxfId="123" priority="142" operator="between">
      <formula>$IP113</formula>
      <formula>$IQ113</formula>
    </cfRule>
    <cfRule type="cellIs" dxfId="122" priority="143" operator="lessThanOrEqual">
      <formula>$IQ113</formula>
    </cfRule>
  </conditionalFormatting>
  <conditionalFormatting sqref="DX114:HT114">
    <cfRule type="expression" priority="123" stopIfTrue="1">
      <formula>$IL114&lt;4</formula>
    </cfRule>
    <cfRule type="expression" dxfId="121" priority="124">
      <formula>IF(AND($I114="c",$DX$2="£"),TRUE,FALSE)</formula>
    </cfRule>
    <cfRule type="expression" dxfId="120" priority="125">
      <formula>IF(AND($I114="c",$DX$2="€"),TRUE,FALSE)</formula>
    </cfRule>
    <cfRule type="expression" dxfId="119" priority="126">
      <formula>IF(AND($I114="c",$DX$2="¥"),TRUE,FALSE)</formula>
    </cfRule>
    <cfRule type="expression" dxfId="118" priority="127">
      <formula>IF(AND($I114="c",$DX$2="$"),TRUE,FALSE)</formula>
    </cfRule>
    <cfRule type="cellIs" dxfId="117" priority="128" operator="greaterThan">
      <formula>$IN114</formula>
    </cfRule>
    <cfRule type="cellIs" dxfId="116" priority="129" operator="between">
      <formula>$IN114</formula>
      <formula>$IO114</formula>
    </cfRule>
    <cfRule type="cellIs" dxfId="115" priority="130" operator="between">
      <formula>$IO114</formula>
      <formula>$IP114</formula>
    </cfRule>
    <cfRule type="cellIs" dxfId="114" priority="131" operator="between">
      <formula>$IP114</formula>
      <formula>$IQ114</formula>
    </cfRule>
    <cfRule type="cellIs" dxfId="113" priority="132" operator="lessThanOrEqual">
      <formula>$IQ114</formula>
    </cfRule>
  </conditionalFormatting>
  <conditionalFormatting sqref="DX115:HT115">
    <cfRule type="expression" priority="112" stopIfTrue="1">
      <formula>$IL115&lt;4</formula>
    </cfRule>
    <cfRule type="expression" dxfId="112" priority="113">
      <formula>IF(AND($I115="c",$DX$2="£"),TRUE,FALSE)</formula>
    </cfRule>
    <cfRule type="expression" dxfId="111" priority="114">
      <formula>IF(AND($I115="c",$DX$2="€"),TRUE,FALSE)</formula>
    </cfRule>
    <cfRule type="expression" dxfId="110" priority="115">
      <formula>IF(AND($I115="c",$DX$2="¥"),TRUE,FALSE)</formula>
    </cfRule>
    <cfRule type="expression" dxfId="109" priority="116">
      <formula>IF(AND($I115="c",$DX$2="$"),TRUE,FALSE)</formula>
    </cfRule>
    <cfRule type="cellIs" dxfId="108" priority="117" operator="greaterThan">
      <formula>$IN115</formula>
    </cfRule>
    <cfRule type="cellIs" dxfId="107" priority="118" operator="between">
      <formula>$IN115</formula>
      <formula>$IO115</formula>
    </cfRule>
    <cfRule type="cellIs" dxfId="106" priority="119" operator="between">
      <formula>$IO115</formula>
      <formula>$IP115</formula>
    </cfRule>
    <cfRule type="cellIs" dxfId="105" priority="120" operator="between">
      <formula>$IP115</formula>
      <formula>$IQ115</formula>
    </cfRule>
    <cfRule type="cellIs" dxfId="104" priority="121" operator="lessThanOrEqual">
      <formula>$IQ115</formula>
    </cfRule>
  </conditionalFormatting>
  <conditionalFormatting sqref="DX123:HT123">
    <cfRule type="expression" priority="101" stopIfTrue="1">
      <formula>$IL123&lt;4</formula>
    </cfRule>
    <cfRule type="expression" dxfId="103" priority="102">
      <formula>IF(AND($I123="c",$DX$2="£"),TRUE,FALSE)</formula>
    </cfRule>
    <cfRule type="expression" dxfId="102" priority="103">
      <formula>IF(AND($I123="c",$DX$2="€"),TRUE,FALSE)</formula>
    </cfRule>
    <cfRule type="expression" dxfId="101" priority="104">
      <formula>IF(AND($I123="c",$DX$2="¥"),TRUE,FALSE)</formula>
    </cfRule>
    <cfRule type="expression" dxfId="100" priority="105">
      <formula>IF(AND($I123="c",$DX$2="$"),TRUE,FALSE)</formula>
    </cfRule>
    <cfRule type="cellIs" dxfId="99" priority="106" operator="greaterThan">
      <formula>$IN123</formula>
    </cfRule>
    <cfRule type="cellIs" dxfId="98" priority="107" operator="between">
      <formula>$IN123</formula>
      <formula>$IO123</formula>
    </cfRule>
    <cfRule type="cellIs" dxfId="97" priority="108" operator="between">
      <formula>$IO123</formula>
      <formula>$IP123</formula>
    </cfRule>
    <cfRule type="cellIs" dxfId="96" priority="109" operator="between">
      <formula>$IP123</formula>
      <formula>$IQ123</formula>
    </cfRule>
    <cfRule type="cellIs" dxfId="95" priority="110" operator="lessThanOrEqual">
      <formula>$IQ123</formula>
    </cfRule>
  </conditionalFormatting>
  <conditionalFormatting sqref="DX124:HT124">
    <cfRule type="expression" priority="90" stopIfTrue="1">
      <formula>$IL124&lt;4</formula>
    </cfRule>
    <cfRule type="expression" dxfId="94" priority="91">
      <formula>IF(AND($I124="c",$DX$2="£"),TRUE,FALSE)</formula>
    </cfRule>
    <cfRule type="expression" dxfId="93" priority="92">
      <formula>IF(AND($I124="c",$DX$2="€"),TRUE,FALSE)</formula>
    </cfRule>
    <cfRule type="expression" dxfId="92" priority="93">
      <formula>IF(AND($I124="c",$DX$2="¥"),TRUE,FALSE)</formula>
    </cfRule>
    <cfRule type="expression" dxfId="91" priority="94">
      <formula>IF(AND($I124="c",$DX$2="$"),TRUE,FALSE)</formula>
    </cfRule>
    <cfRule type="cellIs" dxfId="90" priority="95" operator="greaterThan">
      <formula>$IN124</formula>
    </cfRule>
    <cfRule type="cellIs" dxfId="89" priority="96" operator="between">
      <formula>$IN124</formula>
      <formula>$IO124</formula>
    </cfRule>
    <cfRule type="cellIs" dxfId="88" priority="97" operator="between">
      <formula>$IO124</formula>
      <formula>$IP124</formula>
    </cfRule>
    <cfRule type="cellIs" dxfId="87" priority="98" operator="between">
      <formula>$IP124</formula>
      <formula>$IQ124</formula>
    </cfRule>
    <cfRule type="cellIs" dxfId="86" priority="99" operator="lessThanOrEqual">
      <formula>$IQ124</formula>
    </cfRule>
  </conditionalFormatting>
  <conditionalFormatting sqref="DX125:HT125">
    <cfRule type="expression" priority="79" stopIfTrue="1">
      <formula>$IL125&lt;4</formula>
    </cfRule>
    <cfRule type="expression" dxfId="85" priority="80">
      <formula>IF(AND($I125="c",$DX$2="£"),TRUE,FALSE)</formula>
    </cfRule>
    <cfRule type="expression" dxfId="84" priority="81">
      <formula>IF(AND($I125="c",$DX$2="€"),TRUE,FALSE)</formula>
    </cfRule>
    <cfRule type="expression" dxfId="83" priority="82">
      <formula>IF(AND($I125="c",$DX$2="¥"),TRUE,FALSE)</formula>
    </cfRule>
    <cfRule type="expression" dxfId="82" priority="83">
      <formula>IF(AND($I125="c",$DX$2="$"),TRUE,FALSE)</formula>
    </cfRule>
    <cfRule type="cellIs" dxfId="81" priority="84" operator="greaterThan">
      <formula>$IN125</formula>
    </cfRule>
    <cfRule type="cellIs" dxfId="80" priority="85" operator="between">
      <formula>$IN125</formula>
      <formula>$IO125</formula>
    </cfRule>
    <cfRule type="cellIs" dxfId="79" priority="86" operator="between">
      <formula>$IO125</formula>
      <formula>$IP125</formula>
    </cfRule>
    <cfRule type="cellIs" dxfId="78" priority="87" operator="between">
      <formula>$IP125</formula>
      <formula>$IQ125</formula>
    </cfRule>
    <cfRule type="cellIs" dxfId="77" priority="88" operator="lessThanOrEqual">
      <formula>$IQ125</formula>
    </cfRule>
  </conditionalFormatting>
  <conditionalFormatting sqref="DX126:HT126">
    <cfRule type="expression" priority="68" stopIfTrue="1">
      <formula>$IL126&lt;4</formula>
    </cfRule>
    <cfRule type="expression" dxfId="76" priority="69">
      <formula>IF(AND($I126="c",$DX$2="£"),TRUE,FALSE)</formula>
    </cfRule>
    <cfRule type="expression" dxfId="75" priority="70">
      <formula>IF(AND($I126="c",$DX$2="€"),TRUE,FALSE)</formula>
    </cfRule>
    <cfRule type="expression" dxfId="74" priority="71">
      <formula>IF(AND($I126="c",$DX$2="¥"),TRUE,FALSE)</formula>
    </cfRule>
    <cfRule type="expression" dxfId="73" priority="72">
      <formula>IF(AND($I126="c",$DX$2="$"),TRUE,FALSE)</formula>
    </cfRule>
    <cfRule type="cellIs" dxfId="72" priority="73" operator="greaterThan">
      <formula>$IN126</formula>
    </cfRule>
    <cfRule type="cellIs" dxfId="71" priority="74" operator="between">
      <formula>$IN126</formula>
      <formula>$IO126</formula>
    </cfRule>
    <cfRule type="cellIs" dxfId="70" priority="75" operator="between">
      <formula>$IO126</formula>
      <formula>$IP126</formula>
    </cfRule>
    <cfRule type="cellIs" dxfId="69" priority="76" operator="between">
      <formula>$IP126</formula>
      <formula>$IQ126</formula>
    </cfRule>
    <cfRule type="cellIs" dxfId="68" priority="77" operator="lessThanOrEqual">
      <formula>$IQ126</formula>
    </cfRule>
  </conditionalFormatting>
  <conditionalFormatting sqref="DX127:HT127">
    <cfRule type="expression" priority="57" stopIfTrue="1">
      <formula>$IL127&lt;4</formula>
    </cfRule>
    <cfRule type="expression" dxfId="67" priority="58">
      <formula>IF(AND($I127="c",$DX$2="£"),TRUE,FALSE)</formula>
    </cfRule>
    <cfRule type="expression" dxfId="66" priority="59">
      <formula>IF(AND($I127="c",$DX$2="€"),TRUE,FALSE)</formula>
    </cfRule>
    <cfRule type="expression" dxfId="65" priority="60">
      <formula>IF(AND($I127="c",$DX$2="¥"),TRUE,FALSE)</formula>
    </cfRule>
    <cfRule type="expression" dxfId="64" priority="61">
      <formula>IF(AND($I127="c",$DX$2="$"),TRUE,FALSE)</formula>
    </cfRule>
    <cfRule type="cellIs" dxfId="63" priority="62" operator="greaterThan">
      <formula>$IN127</formula>
    </cfRule>
    <cfRule type="cellIs" dxfId="62" priority="63" operator="between">
      <formula>$IN127</formula>
      <formula>$IO127</formula>
    </cfRule>
    <cfRule type="cellIs" dxfId="61" priority="64" operator="between">
      <formula>$IO127</formula>
      <formula>$IP127</formula>
    </cfRule>
    <cfRule type="cellIs" dxfId="60" priority="65" operator="between">
      <formula>$IP127</formula>
      <formula>$IQ127</formula>
    </cfRule>
    <cfRule type="cellIs" dxfId="59" priority="66" operator="lessThanOrEqual">
      <formula>$IQ127</formula>
    </cfRule>
  </conditionalFormatting>
  <conditionalFormatting sqref="DX133:HT133">
    <cfRule type="expression" priority="46" stopIfTrue="1">
      <formula>$IL133&lt;4</formula>
    </cfRule>
    <cfRule type="expression" dxfId="58" priority="47">
      <formula>IF(AND($I133="c",$DX$2="£"),TRUE,FALSE)</formula>
    </cfRule>
    <cfRule type="expression" dxfId="57" priority="48">
      <formula>IF(AND($I133="c",$DX$2="€"),TRUE,FALSE)</formula>
    </cfRule>
    <cfRule type="expression" dxfId="56" priority="49">
      <formula>IF(AND($I133="c",$DX$2="¥"),TRUE,FALSE)</formula>
    </cfRule>
    <cfRule type="expression" dxfId="55" priority="50">
      <formula>IF(AND($I133="c",$DX$2="$"),TRUE,FALSE)</formula>
    </cfRule>
    <cfRule type="cellIs" dxfId="54" priority="51" operator="greaterThan">
      <formula>$IN133</formula>
    </cfRule>
    <cfRule type="cellIs" dxfId="53" priority="52" operator="between">
      <formula>$IN133</formula>
      <formula>$IO133</formula>
    </cfRule>
    <cfRule type="cellIs" dxfId="52" priority="53" operator="between">
      <formula>$IO133</formula>
      <formula>$IP133</formula>
    </cfRule>
    <cfRule type="cellIs" dxfId="51" priority="54" operator="between">
      <formula>$IP133</formula>
      <formula>$IQ133</formula>
    </cfRule>
    <cfRule type="cellIs" dxfId="50" priority="55" operator="lessThanOrEqual">
      <formula>$IQ133</formula>
    </cfRule>
  </conditionalFormatting>
  <conditionalFormatting sqref="DX134:HT134">
    <cfRule type="expression" priority="35" stopIfTrue="1">
      <formula>$IL134&lt;4</formula>
    </cfRule>
    <cfRule type="expression" dxfId="49" priority="36">
      <formula>IF(AND($I134="c",$DX$2="£"),TRUE,FALSE)</formula>
    </cfRule>
    <cfRule type="expression" dxfId="48" priority="37">
      <formula>IF(AND($I134="c",$DX$2="€"),TRUE,FALSE)</formula>
    </cfRule>
    <cfRule type="expression" dxfId="47" priority="38">
      <formula>IF(AND($I134="c",$DX$2="¥"),TRUE,FALSE)</formula>
    </cfRule>
    <cfRule type="expression" dxfId="46" priority="39">
      <formula>IF(AND($I134="c",$DX$2="$"),TRUE,FALSE)</formula>
    </cfRule>
    <cfRule type="cellIs" dxfId="45" priority="40" operator="greaterThan">
      <formula>$IN134</formula>
    </cfRule>
    <cfRule type="cellIs" dxfId="44" priority="41" operator="between">
      <formula>$IN134</formula>
      <formula>$IO134</formula>
    </cfRule>
    <cfRule type="cellIs" dxfId="43" priority="42" operator="between">
      <formula>$IO134</formula>
      <formula>$IP134</formula>
    </cfRule>
    <cfRule type="cellIs" dxfId="42" priority="43" operator="between">
      <formula>$IP134</formula>
      <formula>$IQ134</formula>
    </cfRule>
    <cfRule type="cellIs" dxfId="41" priority="44" operator="lessThanOrEqual">
      <formula>$IQ134</formula>
    </cfRule>
  </conditionalFormatting>
  <conditionalFormatting sqref="DX135:HT135">
    <cfRule type="expression" priority="24" stopIfTrue="1">
      <formula>$IL135&lt;4</formula>
    </cfRule>
    <cfRule type="expression" dxfId="40" priority="25">
      <formula>IF(AND($I135="c",$DX$2="£"),TRUE,FALSE)</formula>
    </cfRule>
    <cfRule type="expression" dxfId="39" priority="26">
      <formula>IF(AND($I135="c",$DX$2="€"),TRUE,FALSE)</formula>
    </cfRule>
    <cfRule type="expression" dxfId="38" priority="27">
      <formula>IF(AND($I135="c",$DX$2="¥"),TRUE,FALSE)</formula>
    </cfRule>
    <cfRule type="expression" dxfId="37" priority="28">
      <formula>IF(AND($I135="c",$DX$2="$"),TRUE,FALSE)</formula>
    </cfRule>
    <cfRule type="cellIs" dxfId="36" priority="29" operator="greaterThan">
      <formula>$IN135</formula>
    </cfRule>
    <cfRule type="cellIs" dxfId="35" priority="30" operator="between">
      <formula>$IN135</formula>
      <formula>$IO135</formula>
    </cfRule>
    <cfRule type="cellIs" dxfId="34" priority="31" operator="between">
      <formula>$IO135</formula>
      <formula>$IP135</formula>
    </cfRule>
    <cfRule type="cellIs" dxfId="33" priority="32" operator="between">
      <formula>$IP135</formula>
      <formula>$IQ135</formula>
    </cfRule>
    <cfRule type="cellIs" dxfId="32" priority="33" operator="lessThanOrEqual">
      <formula>$IQ135</formula>
    </cfRule>
  </conditionalFormatting>
  <conditionalFormatting sqref="DX136:HT136">
    <cfRule type="expression" priority="13" stopIfTrue="1">
      <formula>$IL136&lt;4</formula>
    </cfRule>
    <cfRule type="expression" dxfId="31" priority="14">
      <formula>IF(AND($I136="c",$DX$2="£"),TRUE,FALSE)</formula>
    </cfRule>
    <cfRule type="expression" dxfId="30" priority="15">
      <formula>IF(AND($I136="c",$DX$2="€"),TRUE,FALSE)</formula>
    </cfRule>
    <cfRule type="expression" dxfId="29" priority="16">
      <formula>IF(AND($I136="c",$DX$2="¥"),TRUE,FALSE)</formula>
    </cfRule>
    <cfRule type="expression" dxfId="28" priority="17">
      <formula>IF(AND($I136="c",$DX$2="$"),TRUE,FALSE)</formula>
    </cfRule>
    <cfRule type="cellIs" dxfId="27" priority="18" operator="greaterThan">
      <formula>$IN136</formula>
    </cfRule>
    <cfRule type="cellIs" dxfId="26" priority="19" operator="between">
      <formula>$IN136</formula>
      <formula>$IO136</formula>
    </cfRule>
    <cfRule type="cellIs" dxfId="25" priority="20" operator="between">
      <formula>$IO136</formula>
      <formula>$IP136</formula>
    </cfRule>
    <cfRule type="cellIs" dxfId="24" priority="21" operator="between">
      <formula>$IP136</formula>
      <formula>$IQ136</formula>
    </cfRule>
    <cfRule type="cellIs" dxfId="23" priority="22" operator="lessThanOrEqual">
      <formula>$IQ136</formula>
    </cfRule>
  </conditionalFormatting>
  <conditionalFormatting sqref="DX137:HT137">
    <cfRule type="expression" priority="2" stopIfTrue="1">
      <formula>$IL137&lt;4</formula>
    </cfRule>
    <cfRule type="expression" dxfId="22" priority="3">
      <formula>IF(AND($I137="c",$DX$2="£"),TRUE,FALSE)</formula>
    </cfRule>
    <cfRule type="expression" dxfId="21" priority="4">
      <formula>IF(AND($I137="c",$DX$2="€"),TRUE,FALSE)</formula>
    </cfRule>
    <cfRule type="expression" dxfId="20" priority="5">
      <formula>IF(AND($I137="c",$DX$2="¥"),TRUE,FALSE)</formula>
    </cfRule>
    <cfRule type="expression" dxfId="19" priority="6">
      <formula>IF(AND($I137="c",$DX$2="$"),TRUE,FALSE)</formula>
    </cfRule>
    <cfRule type="cellIs" dxfId="18" priority="7" operator="greaterThan">
      <formula>$IN137</formula>
    </cfRule>
    <cfRule type="cellIs" dxfId="17" priority="8" operator="between">
      <formula>$IN137</formula>
      <formula>$IO137</formula>
    </cfRule>
    <cfRule type="cellIs" dxfId="16" priority="9" operator="between">
      <formula>$IO137</formula>
      <formula>$IP137</formula>
    </cfRule>
    <cfRule type="cellIs" dxfId="15" priority="10" operator="between">
      <formula>$IP137</formula>
      <formula>$IQ137</formula>
    </cfRule>
    <cfRule type="cellIs" dxfId="14" priority="11" operator="lessThanOrEqual">
      <formula>$IQ137</formula>
    </cfRule>
  </conditionalFormatting>
  <dataValidations count="1">
    <dataValidation type="list" allowBlank="1" showInputMessage="1" showErrorMessage="1" sqref="F4" xr:uid="{6F667962-EC2C-488C-B716-0B00E36ACBC1}">
      <formula1>MKTPEERSETS</formula1>
    </dataValidation>
  </dataValidations>
  <pageMargins left="0.7" right="0.7" top="0.75" bottom="0.75" header="0.3" footer="0.3"/>
  <pageSetup orientation="portrait" r:id="rId1"/>
  <ignoredErrors>
    <ignoredError sqref="EA7:EA39 EC7:EC39 EB7:EB39 EA55:EA78 EC55:EC78 EB55:EB78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55" stopIfTrue="1" operator="containsText" id="{27C5A2B2-4AE6-4816-A91A-30884E5E3E7E}">
            <xm:f>NOT(ISERROR(SEARCH("-",DX7)))</xm:f>
            <xm:f>"-"</xm:f>
            <x14:dxf/>
          </x14:cfRule>
          <xm:sqref>DX7:HT7</xm:sqref>
        </x14:conditionalFormatting>
        <x14:conditionalFormatting xmlns:xm="http://schemas.microsoft.com/office/excel/2006/main">
          <x14:cfRule type="containsText" priority="1244" stopIfTrue="1" operator="containsText" id="{DBC7C909-7A6C-4BD1-B35B-091F2499D390}">
            <xm:f>NOT(ISERROR(SEARCH("-",DX8)))</xm:f>
            <xm:f>"-"</xm:f>
            <x14:dxf/>
          </x14:cfRule>
          <xm:sqref>DX8:HT8</xm:sqref>
        </x14:conditionalFormatting>
        <x14:conditionalFormatting xmlns:xm="http://schemas.microsoft.com/office/excel/2006/main">
          <x14:cfRule type="containsText" priority="1233" stopIfTrue="1" operator="containsText" id="{3559BF85-8445-4D3E-BFFA-53A5C01FD403}">
            <xm:f>NOT(ISERROR(SEARCH("-",DX10)))</xm:f>
            <xm:f>"-"</xm:f>
            <x14:dxf/>
          </x14:cfRule>
          <xm:sqref>DX10:HT10</xm:sqref>
        </x14:conditionalFormatting>
        <x14:conditionalFormatting xmlns:xm="http://schemas.microsoft.com/office/excel/2006/main">
          <x14:cfRule type="containsText" priority="1222" stopIfTrue="1" operator="containsText" id="{B24E8C3E-FE7A-49F1-B788-EB6B37B78F12}">
            <xm:f>NOT(ISERROR(SEARCH("-",DX11)))</xm:f>
            <xm:f>"-"</xm:f>
            <x14:dxf/>
          </x14:cfRule>
          <xm:sqref>DX11:HT11</xm:sqref>
        </x14:conditionalFormatting>
        <x14:conditionalFormatting xmlns:xm="http://schemas.microsoft.com/office/excel/2006/main">
          <x14:cfRule type="containsText" priority="1211" stopIfTrue="1" operator="containsText" id="{3D7CF60D-9F46-497C-9913-0A2C3294427B}">
            <xm:f>NOT(ISERROR(SEARCH("-",DX12)))</xm:f>
            <xm:f>"-"</xm:f>
            <x14:dxf/>
          </x14:cfRule>
          <xm:sqref>DX12:HT12</xm:sqref>
        </x14:conditionalFormatting>
        <x14:conditionalFormatting xmlns:xm="http://schemas.microsoft.com/office/excel/2006/main">
          <x14:cfRule type="containsText" priority="1200" stopIfTrue="1" operator="containsText" id="{15C38514-803A-4AA4-AD7F-DC30B3F50E91}">
            <xm:f>NOT(ISERROR(SEARCH("-",DX13)))</xm:f>
            <xm:f>"-"</xm:f>
            <x14:dxf/>
          </x14:cfRule>
          <xm:sqref>DX13:HT13</xm:sqref>
        </x14:conditionalFormatting>
        <x14:conditionalFormatting xmlns:xm="http://schemas.microsoft.com/office/excel/2006/main">
          <x14:cfRule type="containsText" priority="1189" stopIfTrue="1" operator="containsText" id="{B6CA8E17-6129-4B59-B84F-27B851E20AF5}">
            <xm:f>NOT(ISERROR(SEARCH("-",DX14)))</xm:f>
            <xm:f>"-"</xm:f>
            <x14:dxf/>
          </x14:cfRule>
          <xm:sqref>DX14:HT14</xm:sqref>
        </x14:conditionalFormatting>
        <x14:conditionalFormatting xmlns:xm="http://schemas.microsoft.com/office/excel/2006/main">
          <x14:cfRule type="containsText" priority="1178" stopIfTrue="1" operator="containsText" id="{929BC030-75C6-41AB-8A4C-F16213A46667}">
            <xm:f>NOT(ISERROR(SEARCH("-",DX15)))</xm:f>
            <xm:f>"-"</xm:f>
            <x14:dxf/>
          </x14:cfRule>
          <xm:sqref>DX15:HT15</xm:sqref>
        </x14:conditionalFormatting>
        <x14:conditionalFormatting xmlns:xm="http://schemas.microsoft.com/office/excel/2006/main">
          <x14:cfRule type="containsText" priority="1167" stopIfTrue="1" operator="containsText" id="{EF3FD4CA-7A2F-459D-BCEE-1C383E3B6DEF}">
            <xm:f>NOT(ISERROR(SEARCH("-",DX16)))</xm:f>
            <xm:f>"-"</xm:f>
            <x14:dxf/>
          </x14:cfRule>
          <xm:sqref>DX16:HT16</xm:sqref>
        </x14:conditionalFormatting>
        <x14:conditionalFormatting xmlns:xm="http://schemas.microsoft.com/office/excel/2006/main">
          <x14:cfRule type="containsText" priority="1156" stopIfTrue="1" operator="containsText" id="{1AFCCEC0-A827-4C29-8C79-6420B5CFFDCF}">
            <xm:f>NOT(ISERROR(SEARCH("-",DX17)))</xm:f>
            <xm:f>"-"</xm:f>
            <x14:dxf/>
          </x14:cfRule>
          <xm:sqref>DX17:HT17</xm:sqref>
        </x14:conditionalFormatting>
        <x14:conditionalFormatting xmlns:xm="http://schemas.microsoft.com/office/excel/2006/main">
          <x14:cfRule type="containsText" priority="1145" stopIfTrue="1" operator="containsText" id="{B6E35F27-B529-4B51-AC93-9567B025666B}">
            <xm:f>NOT(ISERROR(SEARCH("-",DX18)))</xm:f>
            <xm:f>"-"</xm:f>
            <x14:dxf/>
          </x14:cfRule>
          <xm:sqref>DX18:HT18</xm:sqref>
        </x14:conditionalFormatting>
        <x14:conditionalFormatting xmlns:xm="http://schemas.microsoft.com/office/excel/2006/main">
          <x14:cfRule type="containsText" priority="1134" stopIfTrue="1" operator="containsText" id="{8DAF8AE5-BAA1-431D-87C5-C348406E5B71}">
            <xm:f>NOT(ISERROR(SEARCH("-",DX19)))</xm:f>
            <xm:f>"-"</xm:f>
            <x14:dxf/>
          </x14:cfRule>
          <xm:sqref>DX19:HT19</xm:sqref>
        </x14:conditionalFormatting>
        <x14:conditionalFormatting xmlns:xm="http://schemas.microsoft.com/office/excel/2006/main">
          <x14:cfRule type="containsText" priority="1123" stopIfTrue="1" operator="containsText" id="{DEDCFD6C-F88F-4B15-90F4-72A2DB4FEA48}">
            <xm:f>NOT(ISERROR(SEARCH("-",DX20)))</xm:f>
            <xm:f>"-"</xm:f>
            <x14:dxf/>
          </x14:cfRule>
          <xm:sqref>DX20:HT20</xm:sqref>
        </x14:conditionalFormatting>
        <x14:conditionalFormatting xmlns:xm="http://schemas.microsoft.com/office/excel/2006/main">
          <x14:cfRule type="containsText" priority="1112" stopIfTrue="1" operator="containsText" id="{05F11AF4-6C1A-4CE0-BC57-1283C269F4A3}">
            <xm:f>NOT(ISERROR(SEARCH("-",DX21)))</xm:f>
            <xm:f>"-"</xm:f>
            <x14:dxf/>
          </x14:cfRule>
          <xm:sqref>DX21:HT21</xm:sqref>
        </x14:conditionalFormatting>
        <x14:conditionalFormatting xmlns:xm="http://schemas.microsoft.com/office/excel/2006/main">
          <x14:cfRule type="containsText" priority="1101" stopIfTrue="1" operator="containsText" id="{5C2E22AA-0C95-4979-9559-CE4663D04FC7}">
            <xm:f>NOT(ISERROR(SEARCH("-",DX22)))</xm:f>
            <xm:f>"-"</xm:f>
            <x14:dxf/>
          </x14:cfRule>
          <xm:sqref>DX22:HT22</xm:sqref>
        </x14:conditionalFormatting>
        <x14:conditionalFormatting xmlns:xm="http://schemas.microsoft.com/office/excel/2006/main">
          <x14:cfRule type="containsText" priority="1090" stopIfTrue="1" operator="containsText" id="{39D0DCD7-F0C7-4AC8-9BCB-7B7736D063D4}">
            <xm:f>NOT(ISERROR(SEARCH("-",DX23)))</xm:f>
            <xm:f>"-"</xm:f>
            <x14:dxf/>
          </x14:cfRule>
          <xm:sqref>DX23:HT23</xm:sqref>
        </x14:conditionalFormatting>
        <x14:conditionalFormatting xmlns:xm="http://schemas.microsoft.com/office/excel/2006/main">
          <x14:cfRule type="containsText" priority="1079" stopIfTrue="1" operator="containsText" id="{A420FC79-1DBB-494B-9988-B3FB09FB5186}">
            <xm:f>NOT(ISERROR(SEARCH("-",DX116)))</xm:f>
            <xm:f>"-"</xm:f>
            <x14:dxf/>
          </x14:cfRule>
          <xm:sqref>DX116:HT116</xm:sqref>
        </x14:conditionalFormatting>
        <x14:conditionalFormatting xmlns:xm="http://schemas.microsoft.com/office/excel/2006/main">
          <x14:cfRule type="containsText" priority="1068" stopIfTrue="1" operator="containsText" id="{369A1A36-B8FB-4906-801C-FDD1B6795B8F}">
            <xm:f>NOT(ISERROR(SEARCH("-",DX117)))</xm:f>
            <xm:f>"-"</xm:f>
            <x14:dxf/>
          </x14:cfRule>
          <xm:sqref>DX117:HT117</xm:sqref>
        </x14:conditionalFormatting>
        <x14:conditionalFormatting xmlns:xm="http://schemas.microsoft.com/office/excel/2006/main">
          <x14:cfRule type="containsText" priority="1057" stopIfTrue="1" operator="containsText" id="{2AA2BB7F-22CB-4A55-9F38-9349435F9B11}">
            <xm:f>NOT(ISERROR(SEARCH("-",DX118)))</xm:f>
            <xm:f>"-"</xm:f>
            <x14:dxf/>
          </x14:cfRule>
          <xm:sqref>DX118:HT118</xm:sqref>
        </x14:conditionalFormatting>
        <x14:conditionalFormatting xmlns:xm="http://schemas.microsoft.com/office/excel/2006/main">
          <x14:cfRule type="containsText" priority="1046" stopIfTrue="1" operator="containsText" id="{40EFB67A-9D00-424B-A9FC-CC8D58700AC4}">
            <xm:f>NOT(ISERROR(SEARCH("-",DX119)))</xm:f>
            <xm:f>"-"</xm:f>
            <x14:dxf/>
          </x14:cfRule>
          <xm:sqref>DX119:HT119</xm:sqref>
        </x14:conditionalFormatting>
        <x14:conditionalFormatting xmlns:xm="http://schemas.microsoft.com/office/excel/2006/main">
          <x14:cfRule type="containsText" priority="1035" stopIfTrue="1" operator="containsText" id="{13D7770B-B716-42FA-BF4F-A61BFF0E5DC6}">
            <xm:f>NOT(ISERROR(SEARCH("-",DX120)))</xm:f>
            <xm:f>"-"</xm:f>
            <x14:dxf/>
          </x14:cfRule>
          <xm:sqref>DX120:HT120</xm:sqref>
        </x14:conditionalFormatting>
        <x14:conditionalFormatting xmlns:xm="http://schemas.microsoft.com/office/excel/2006/main">
          <x14:cfRule type="containsText" priority="1024" stopIfTrue="1" operator="containsText" id="{3517C448-D817-4518-A14B-BBAB065AAB51}">
            <xm:f>NOT(ISERROR(SEARCH("-",DX121)))</xm:f>
            <xm:f>"-"</xm:f>
            <x14:dxf/>
          </x14:cfRule>
          <xm:sqref>DX121:HT121</xm:sqref>
        </x14:conditionalFormatting>
        <x14:conditionalFormatting xmlns:xm="http://schemas.microsoft.com/office/excel/2006/main">
          <x14:cfRule type="containsText" priority="1013" stopIfTrue="1" operator="containsText" id="{93871AF0-DB90-4AA6-B724-150B993D9FE1}">
            <xm:f>NOT(ISERROR(SEARCH("-",DX122)))</xm:f>
            <xm:f>"-"</xm:f>
            <x14:dxf/>
          </x14:cfRule>
          <xm:sqref>DX122:HT122</xm:sqref>
        </x14:conditionalFormatting>
        <x14:conditionalFormatting xmlns:xm="http://schemas.microsoft.com/office/excel/2006/main">
          <x14:cfRule type="containsText" priority="1002" stopIfTrue="1" operator="containsText" id="{2BB2E3F4-EE08-4870-B4A9-1D57DD9718E0}">
            <xm:f>NOT(ISERROR(SEARCH("-",DX128)))</xm:f>
            <xm:f>"-"</xm:f>
            <x14:dxf/>
          </x14:cfRule>
          <xm:sqref>DX128:HT128</xm:sqref>
        </x14:conditionalFormatting>
        <x14:conditionalFormatting xmlns:xm="http://schemas.microsoft.com/office/excel/2006/main">
          <x14:cfRule type="containsText" priority="991" stopIfTrue="1" operator="containsText" id="{00A6D177-863B-4B46-8E5B-27C528743C71}">
            <xm:f>NOT(ISERROR(SEARCH("-",DX129)))</xm:f>
            <xm:f>"-"</xm:f>
            <x14:dxf/>
          </x14:cfRule>
          <xm:sqref>DX129:HT129</xm:sqref>
        </x14:conditionalFormatting>
        <x14:conditionalFormatting xmlns:xm="http://schemas.microsoft.com/office/excel/2006/main">
          <x14:cfRule type="containsText" priority="980" stopIfTrue="1" operator="containsText" id="{3448689A-238F-49B4-8F3A-E24A3E335219}">
            <xm:f>NOT(ISERROR(SEARCH("-",DX130)))</xm:f>
            <xm:f>"-"</xm:f>
            <x14:dxf/>
          </x14:cfRule>
          <xm:sqref>DX130:HT130</xm:sqref>
        </x14:conditionalFormatting>
        <x14:conditionalFormatting xmlns:xm="http://schemas.microsoft.com/office/excel/2006/main">
          <x14:cfRule type="containsText" priority="969" stopIfTrue="1" operator="containsText" id="{FA9BDC6B-3C31-490B-8FFD-A219B328BC34}">
            <xm:f>NOT(ISERROR(SEARCH("-",DX131)))</xm:f>
            <xm:f>"-"</xm:f>
            <x14:dxf/>
          </x14:cfRule>
          <xm:sqref>DX131:HT131</xm:sqref>
        </x14:conditionalFormatting>
        <x14:conditionalFormatting xmlns:xm="http://schemas.microsoft.com/office/excel/2006/main">
          <x14:cfRule type="containsText" priority="958" stopIfTrue="1" operator="containsText" id="{60E91261-274C-4776-B57E-620A3727CF5C}">
            <xm:f>NOT(ISERROR(SEARCH("-",DX132)))</xm:f>
            <xm:f>"-"</xm:f>
            <x14:dxf/>
          </x14:cfRule>
          <xm:sqref>DX132:HT132</xm:sqref>
        </x14:conditionalFormatting>
        <x14:conditionalFormatting xmlns:xm="http://schemas.microsoft.com/office/excel/2006/main">
          <x14:cfRule type="containsText" priority="947" stopIfTrue="1" operator="containsText" id="{75345CFD-23DD-49A3-A2F4-45E1FC5A6BAA}">
            <xm:f>NOT(ISERROR(SEARCH("-",DX9)))</xm:f>
            <xm:f>"-"</xm:f>
            <x14:dxf/>
          </x14:cfRule>
          <xm:sqref>DX9:HT9</xm:sqref>
        </x14:conditionalFormatting>
        <x14:conditionalFormatting xmlns:xm="http://schemas.microsoft.com/office/excel/2006/main">
          <x14:cfRule type="containsText" priority="936" stopIfTrue="1" operator="containsText" id="{41DF2B4F-47A3-471B-82BA-779603F5D85A}">
            <xm:f>NOT(ISERROR(SEARCH("-",DX40)))</xm:f>
            <xm:f>"-"</xm:f>
            <x14:dxf/>
          </x14:cfRule>
          <xm:sqref>DX40:HT40</xm:sqref>
        </x14:conditionalFormatting>
        <x14:conditionalFormatting xmlns:xm="http://schemas.microsoft.com/office/excel/2006/main">
          <x14:cfRule type="containsText" priority="925" stopIfTrue="1" operator="containsText" id="{8BBC191A-5A8E-47F3-BB86-8BC10847BE12}">
            <xm:f>NOT(ISERROR(SEARCH("-",DX41)))</xm:f>
            <xm:f>"-"</xm:f>
            <x14:dxf/>
          </x14:cfRule>
          <xm:sqref>DX41:HT41</xm:sqref>
        </x14:conditionalFormatting>
        <x14:conditionalFormatting xmlns:xm="http://schemas.microsoft.com/office/excel/2006/main">
          <x14:cfRule type="containsText" priority="914" stopIfTrue="1" operator="containsText" id="{345275CC-AE09-4EDF-828E-86771E3DC78C}">
            <xm:f>NOT(ISERROR(SEARCH("-",DX42)))</xm:f>
            <xm:f>"-"</xm:f>
            <x14:dxf/>
          </x14:cfRule>
          <xm:sqref>DX42:HT42</xm:sqref>
        </x14:conditionalFormatting>
        <x14:conditionalFormatting xmlns:xm="http://schemas.microsoft.com/office/excel/2006/main">
          <x14:cfRule type="containsText" priority="903" stopIfTrue="1" operator="containsText" id="{75BA233B-4D34-4410-93D6-6FE3C5372F62}">
            <xm:f>NOT(ISERROR(SEARCH("-",DX43)))</xm:f>
            <xm:f>"-"</xm:f>
            <x14:dxf/>
          </x14:cfRule>
          <xm:sqref>DX43:HT43</xm:sqref>
        </x14:conditionalFormatting>
        <x14:conditionalFormatting xmlns:xm="http://schemas.microsoft.com/office/excel/2006/main">
          <x14:cfRule type="containsText" priority="892" stopIfTrue="1" operator="containsText" id="{448079EA-5352-44BF-B789-E45F9CAEEE5B}">
            <xm:f>NOT(ISERROR(SEARCH("-",DX44)))</xm:f>
            <xm:f>"-"</xm:f>
            <x14:dxf/>
          </x14:cfRule>
          <xm:sqref>DX44:HT44</xm:sqref>
        </x14:conditionalFormatting>
        <x14:conditionalFormatting xmlns:xm="http://schemas.microsoft.com/office/excel/2006/main">
          <x14:cfRule type="containsText" priority="881" stopIfTrue="1" operator="containsText" id="{E12C7A21-1AB2-4878-A2D6-3AC2501E1597}">
            <xm:f>NOT(ISERROR(SEARCH("-",DX45)))</xm:f>
            <xm:f>"-"</xm:f>
            <x14:dxf/>
          </x14:cfRule>
          <xm:sqref>DX45:HT45</xm:sqref>
        </x14:conditionalFormatting>
        <x14:conditionalFormatting xmlns:xm="http://schemas.microsoft.com/office/excel/2006/main">
          <x14:cfRule type="containsText" priority="870" stopIfTrue="1" operator="containsText" id="{644ED159-B6EB-481A-9D9D-6DEBAF15DBB6}">
            <xm:f>NOT(ISERROR(SEARCH("-",DX46)))</xm:f>
            <xm:f>"-"</xm:f>
            <x14:dxf/>
          </x14:cfRule>
          <xm:sqref>DX46:HT46</xm:sqref>
        </x14:conditionalFormatting>
        <x14:conditionalFormatting xmlns:xm="http://schemas.microsoft.com/office/excel/2006/main">
          <x14:cfRule type="containsText" priority="859" stopIfTrue="1" operator="containsText" id="{C4EF21DC-CCA8-4EC8-87DF-2F2C4CDC0E6C}">
            <xm:f>NOT(ISERROR(SEARCH("-",DX47)))</xm:f>
            <xm:f>"-"</xm:f>
            <x14:dxf/>
          </x14:cfRule>
          <xm:sqref>DX47:HT47</xm:sqref>
        </x14:conditionalFormatting>
        <x14:conditionalFormatting xmlns:xm="http://schemas.microsoft.com/office/excel/2006/main">
          <x14:cfRule type="containsText" priority="848" stopIfTrue="1" operator="containsText" id="{EE62F48E-846F-452F-A14C-64AF8B52DD4E}">
            <xm:f>NOT(ISERROR(SEARCH("-",DX48)))</xm:f>
            <xm:f>"-"</xm:f>
            <x14:dxf/>
          </x14:cfRule>
          <xm:sqref>DX48:HT48</xm:sqref>
        </x14:conditionalFormatting>
        <x14:conditionalFormatting xmlns:xm="http://schemas.microsoft.com/office/excel/2006/main">
          <x14:cfRule type="containsText" priority="837" stopIfTrue="1" operator="containsText" id="{D9CAF610-953A-44B7-B5E9-AE3D8430E3B5}">
            <xm:f>NOT(ISERROR(SEARCH("-",DX49)))</xm:f>
            <xm:f>"-"</xm:f>
            <x14:dxf/>
          </x14:cfRule>
          <xm:sqref>DX49:HT49</xm:sqref>
        </x14:conditionalFormatting>
        <x14:conditionalFormatting xmlns:xm="http://schemas.microsoft.com/office/excel/2006/main">
          <x14:cfRule type="containsText" priority="826" stopIfTrue="1" operator="containsText" id="{E946C144-7FE6-4FBA-B168-476C01755591}">
            <xm:f>NOT(ISERROR(SEARCH("-",DX50)))</xm:f>
            <xm:f>"-"</xm:f>
            <x14:dxf/>
          </x14:cfRule>
          <xm:sqref>DX50:HT50</xm:sqref>
        </x14:conditionalFormatting>
        <x14:conditionalFormatting xmlns:xm="http://schemas.microsoft.com/office/excel/2006/main">
          <x14:cfRule type="containsText" priority="815" stopIfTrue="1" operator="containsText" id="{96109551-C19D-4216-B101-7FB28A5D02AB}">
            <xm:f>NOT(ISERROR(SEARCH("-",DX51)))</xm:f>
            <xm:f>"-"</xm:f>
            <x14:dxf/>
          </x14:cfRule>
          <xm:sqref>DX51:HT51</xm:sqref>
        </x14:conditionalFormatting>
        <x14:conditionalFormatting xmlns:xm="http://schemas.microsoft.com/office/excel/2006/main">
          <x14:cfRule type="containsText" priority="804" stopIfTrue="1" operator="containsText" id="{8D4E0CC4-3741-4DFE-949A-0D5D40C12133}">
            <xm:f>NOT(ISERROR(SEARCH("-",DX52)))</xm:f>
            <xm:f>"-"</xm:f>
            <x14:dxf/>
          </x14:cfRule>
          <xm:sqref>DX52:HT52</xm:sqref>
        </x14:conditionalFormatting>
        <x14:conditionalFormatting xmlns:xm="http://schemas.microsoft.com/office/excel/2006/main">
          <x14:cfRule type="containsText" priority="793" stopIfTrue="1" operator="containsText" id="{4F4530C9-A6DF-4C9C-9D09-457BC6E5EBFB}">
            <xm:f>NOT(ISERROR(SEARCH("-",DX53)))</xm:f>
            <xm:f>"-"</xm:f>
            <x14:dxf/>
          </x14:cfRule>
          <xm:sqref>DX53:HT53</xm:sqref>
        </x14:conditionalFormatting>
        <x14:conditionalFormatting xmlns:xm="http://schemas.microsoft.com/office/excel/2006/main">
          <x14:cfRule type="containsText" priority="782" stopIfTrue="1" operator="containsText" id="{89FF1EAC-FDC4-41E4-AA83-A33F3A5BDF2F}">
            <xm:f>NOT(ISERROR(SEARCH("-",DX54)))</xm:f>
            <xm:f>"-"</xm:f>
            <x14:dxf/>
          </x14:cfRule>
          <xm:sqref>DX54:HT54</xm:sqref>
        </x14:conditionalFormatting>
        <x14:conditionalFormatting xmlns:xm="http://schemas.microsoft.com/office/excel/2006/main">
          <x14:cfRule type="containsText" priority="771" stopIfTrue="1" operator="containsText" id="{2D4C95F0-1A1B-48EC-BAD8-236C4BFDD1E9}">
            <xm:f>NOT(ISERROR(SEARCH("-",DX55)))</xm:f>
            <xm:f>"-"</xm:f>
            <x14:dxf/>
          </x14:cfRule>
          <xm:sqref>DX55:HT55</xm:sqref>
        </x14:conditionalFormatting>
        <x14:conditionalFormatting xmlns:xm="http://schemas.microsoft.com/office/excel/2006/main">
          <x14:cfRule type="containsText" priority="760" stopIfTrue="1" operator="containsText" id="{F57F1E3D-9206-4F9E-B41A-CCB6588E7441}">
            <xm:f>NOT(ISERROR(SEARCH("-",DX56)))</xm:f>
            <xm:f>"-"</xm:f>
            <x14:dxf/>
          </x14:cfRule>
          <xm:sqref>DX56:HT56</xm:sqref>
        </x14:conditionalFormatting>
        <x14:conditionalFormatting xmlns:xm="http://schemas.microsoft.com/office/excel/2006/main">
          <x14:cfRule type="containsText" priority="749" stopIfTrue="1" operator="containsText" id="{999FEA16-FB7C-492F-9823-DF1A8D1A4508}">
            <xm:f>NOT(ISERROR(SEARCH("-",DX57)))</xm:f>
            <xm:f>"-"</xm:f>
            <x14:dxf/>
          </x14:cfRule>
          <xm:sqref>DX57:HT57</xm:sqref>
        </x14:conditionalFormatting>
        <x14:conditionalFormatting xmlns:xm="http://schemas.microsoft.com/office/excel/2006/main">
          <x14:cfRule type="containsText" priority="738" stopIfTrue="1" operator="containsText" id="{CAFB3333-0C30-462C-873E-27BD14390717}">
            <xm:f>NOT(ISERROR(SEARCH("-",DX58)))</xm:f>
            <xm:f>"-"</xm:f>
            <x14:dxf/>
          </x14:cfRule>
          <xm:sqref>DX58:HT58</xm:sqref>
        </x14:conditionalFormatting>
        <x14:conditionalFormatting xmlns:xm="http://schemas.microsoft.com/office/excel/2006/main">
          <x14:cfRule type="containsText" priority="727" stopIfTrue="1" operator="containsText" id="{3BFCE25C-EA6C-4C99-962A-B5DA1CADFCF4}">
            <xm:f>NOT(ISERROR(SEARCH("-",DX59)))</xm:f>
            <xm:f>"-"</xm:f>
            <x14:dxf/>
          </x14:cfRule>
          <xm:sqref>DX59:HT59</xm:sqref>
        </x14:conditionalFormatting>
        <x14:conditionalFormatting xmlns:xm="http://schemas.microsoft.com/office/excel/2006/main">
          <x14:cfRule type="containsText" priority="716" stopIfTrue="1" operator="containsText" id="{B8CD3EA6-4756-4CAF-814A-4DE77E7C5237}">
            <xm:f>NOT(ISERROR(SEARCH("-",DX60)))</xm:f>
            <xm:f>"-"</xm:f>
            <x14:dxf/>
          </x14:cfRule>
          <xm:sqref>DX60:HT60</xm:sqref>
        </x14:conditionalFormatting>
        <x14:conditionalFormatting xmlns:xm="http://schemas.microsoft.com/office/excel/2006/main">
          <x14:cfRule type="containsText" priority="705" stopIfTrue="1" operator="containsText" id="{423B6C1F-C655-488D-B383-A62E9E67DE42}">
            <xm:f>NOT(ISERROR(SEARCH("-",DX61)))</xm:f>
            <xm:f>"-"</xm:f>
            <x14:dxf/>
          </x14:cfRule>
          <xm:sqref>DX61:HT61</xm:sqref>
        </x14:conditionalFormatting>
        <x14:conditionalFormatting xmlns:xm="http://schemas.microsoft.com/office/excel/2006/main">
          <x14:cfRule type="containsText" priority="694" stopIfTrue="1" operator="containsText" id="{6668018B-46DF-4C03-99EE-1B33120229E1}">
            <xm:f>NOT(ISERROR(SEARCH("-",DX62)))</xm:f>
            <xm:f>"-"</xm:f>
            <x14:dxf/>
          </x14:cfRule>
          <xm:sqref>DX62:HT62</xm:sqref>
        </x14:conditionalFormatting>
        <x14:conditionalFormatting xmlns:xm="http://schemas.microsoft.com/office/excel/2006/main">
          <x14:cfRule type="containsText" priority="683" stopIfTrue="1" operator="containsText" id="{BDE8B7D4-0FA4-48D6-81FD-07D23A67B1EE}">
            <xm:f>NOT(ISERROR(SEARCH("-",DX63)))</xm:f>
            <xm:f>"-"</xm:f>
            <x14:dxf/>
          </x14:cfRule>
          <xm:sqref>DX63:HT63</xm:sqref>
        </x14:conditionalFormatting>
        <x14:conditionalFormatting xmlns:xm="http://schemas.microsoft.com/office/excel/2006/main">
          <x14:cfRule type="containsText" priority="672" stopIfTrue="1" operator="containsText" id="{7FF6FEB5-8D89-4782-94EF-FC27FEEB22F2}">
            <xm:f>NOT(ISERROR(SEARCH("-",DX64)))</xm:f>
            <xm:f>"-"</xm:f>
            <x14:dxf/>
          </x14:cfRule>
          <xm:sqref>DX64:HT64</xm:sqref>
        </x14:conditionalFormatting>
        <x14:conditionalFormatting xmlns:xm="http://schemas.microsoft.com/office/excel/2006/main">
          <x14:cfRule type="containsText" priority="661" stopIfTrue="1" operator="containsText" id="{512F2DDA-F619-4F5F-BF30-C0C579E97930}">
            <xm:f>NOT(ISERROR(SEARCH("-",DX65)))</xm:f>
            <xm:f>"-"</xm:f>
            <x14:dxf/>
          </x14:cfRule>
          <xm:sqref>DX65:HT65</xm:sqref>
        </x14:conditionalFormatting>
        <x14:conditionalFormatting xmlns:xm="http://schemas.microsoft.com/office/excel/2006/main">
          <x14:cfRule type="containsText" priority="650" stopIfTrue="1" operator="containsText" id="{1D24ED21-DDE2-400A-B9E8-951B3B96AF7B}">
            <xm:f>NOT(ISERROR(SEARCH("-",DX66)))</xm:f>
            <xm:f>"-"</xm:f>
            <x14:dxf/>
          </x14:cfRule>
          <xm:sqref>DX66:HT66</xm:sqref>
        </x14:conditionalFormatting>
        <x14:conditionalFormatting xmlns:xm="http://schemas.microsoft.com/office/excel/2006/main">
          <x14:cfRule type="containsText" priority="639" stopIfTrue="1" operator="containsText" id="{BD08C8FE-9110-454B-A1A2-0C526FD5A450}">
            <xm:f>NOT(ISERROR(SEARCH("-",DX67)))</xm:f>
            <xm:f>"-"</xm:f>
            <x14:dxf/>
          </x14:cfRule>
          <xm:sqref>DX67:HT67</xm:sqref>
        </x14:conditionalFormatting>
        <x14:conditionalFormatting xmlns:xm="http://schemas.microsoft.com/office/excel/2006/main">
          <x14:cfRule type="containsText" priority="628" stopIfTrue="1" operator="containsText" id="{FF1622C2-5388-45B0-B8C1-A48793970F59}">
            <xm:f>NOT(ISERROR(SEARCH("-",DX68)))</xm:f>
            <xm:f>"-"</xm:f>
            <x14:dxf/>
          </x14:cfRule>
          <xm:sqref>DX68:HT68</xm:sqref>
        </x14:conditionalFormatting>
        <x14:conditionalFormatting xmlns:xm="http://schemas.microsoft.com/office/excel/2006/main">
          <x14:cfRule type="containsText" priority="617" stopIfTrue="1" operator="containsText" id="{1AB8BCE2-9CA2-4B3D-BCCD-402C11719C75}">
            <xm:f>NOT(ISERROR(SEARCH("-",DX69)))</xm:f>
            <xm:f>"-"</xm:f>
            <x14:dxf/>
          </x14:cfRule>
          <xm:sqref>DX69:HT69</xm:sqref>
        </x14:conditionalFormatting>
        <x14:conditionalFormatting xmlns:xm="http://schemas.microsoft.com/office/excel/2006/main">
          <x14:cfRule type="containsText" priority="606" stopIfTrue="1" operator="containsText" id="{A9747045-354B-491B-9B02-CABB1996007B}">
            <xm:f>NOT(ISERROR(SEARCH("-",DX70)))</xm:f>
            <xm:f>"-"</xm:f>
            <x14:dxf/>
          </x14:cfRule>
          <xm:sqref>DX70:HT70</xm:sqref>
        </x14:conditionalFormatting>
        <x14:conditionalFormatting xmlns:xm="http://schemas.microsoft.com/office/excel/2006/main">
          <x14:cfRule type="containsText" priority="595" stopIfTrue="1" operator="containsText" id="{14EAA630-7FED-4F2F-8CD6-B44AA03FCC29}">
            <xm:f>NOT(ISERROR(SEARCH("-",DX71)))</xm:f>
            <xm:f>"-"</xm:f>
            <x14:dxf/>
          </x14:cfRule>
          <xm:sqref>DX71:HT71</xm:sqref>
        </x14:conditionalFormatting>
        <x14:conditionalFormatting xmlns:xm="http://schemas.microsoft.com/office/excel/2006/main">
          <x14:cfRule type="containsText" priority="584" stopIfTrue="1" operator="containsText" id="{357FD246-5CD8-4552-9A67-DF4BC1C2621F}">
            <xm:f>NOT(ISERROR(SEARCH("-",DX72)))</xm:f>
            <xm:f>"-"</xm:f>
            <x14:dxf/>
          </x14:cfRule>
          <xm:sqref>DX72:HT72</xm:sqref>
        </x14:conditionalFormatting>
        <x14:conditionalFormatting xmlns:xm="http://schemas.microsoft.com/office/excel/2006/main">
          <x14:cfRule type="containsText" priority="573" stopIfTrue="1" operator="containsText" id="{B325DEF1-D635-46E3-8E0D-2C760E1EC1D3}">
            <xm:f>NOT(ISERROR(SEARCH("-",DX73)))</xm:f>
            <xm:f>"-"</xm:f>
            <x14:dxf/>
          </x14:cfRule>
          <xm:sqref>DX73:HT73</xm:sqref>
        </x14:conditionalFormatting>
        <x14:conditionalFormatting xmlns:xm="http://schemas.microsoft.com/office/excel/2006/main">
          <x14:cfRule type="containsText" priority="562" stopIfTrue="1" operator="containsText" id="{034970B0-1C10-4FB8-BF8A-11B9B975216E}">
            <xm:f>NOT(ISERROR(SEARCH("-",DX74)))</xm:f>
            <xm:f>"-"</xm:f>
            <x14:dxf/>
          </x14:cfRule>
          <xm:sqref>DX74:HT74</xm:sqref>
        </x14:conditionalFormatting>
        <x14:conditionalFormatting xmlns:xm="http://schemas.microsoft.com/office/excel/2006/main">
          <x14:cfRule type="containsText" priority="551" stopIfTrue="1" operator="containsText" id="{C7003741-E151-4A5B-8A5C-CE2F49D49DCB}">
            <xm:f>NOT(ISERROR(SEARCH("-",DX75)))</xm:f>
            <xm:f>"-"</xm:f>
            <x14:dxf/>
          </x14:cfRule>
          <xm:sqref>DX75:HT75</xm:sqref>
        </x14:conditionalFormatting>
        <x14:conditionalFormatting xmlns:xm="http://schemas.microsoft.com/office/excel/2006/main">
          <x14:cfRule type="containsText" priority="540" stopIfTrue="1" operator="containsText" id="{B30BE151-34A3-43A9-B938-6B004FFB3738}">
            <xm:f>NOT(ISERROR(SEARCH("-",DX76)))</xm:f>
            <xm:f>"-"</xm:f>
            <x14:dxf/>
          </x14:cfRule>
          <xm:sqref>DX76:HT76</xm:sqref>
        </x14:conditionalFormatting>
        <x14:conditionalFormatting xmlns:xm="http://schemas.microsoft.com/office/excel/2006/main">
          <x14:cfRule type="containsText" priority="529" stopIfTrue="1" operator="containsText" id="{67A0E891-C1C3-4898-A420-81A64944508D}">
            <xm:f>NOT(ISERROR(SEARCH("-",DX77)))</xm:f>
            <xm:f>"-"</xm:f>
            <x14:dxf/>
          </x14:cfRule>
          <xm:sqref>DX77:HT77</xm:sqref>
        </x14:conditionalFormatting>
        <x14:conditionalFormatting xmlns:xm="http://schemas.microsoft.com/office/excel/2006/main">
          <x14:cfRule type="containsText" priority="518" stopIfTrue="1" operator="containsText" id="{CE9DA193-9E73-4CA6-8634-3A0CA8344C03}">
            <xm:f>NOT(ISERROR(SEARCH("-",DX78)))</xm:f>
            <xm:f>"-"</xm:f>
            <x14:dxf/>
          </x14:cfRule>
          <xm:sqref>DX78:HT78</xm:sqref>
        </x14:conditionalFormatting>
        <x14:conditionalFormatting xmlns:xm="http://schemas.microsoft.com/office/excel/2006/main">
          <x14:cfRule type="containsText" priority="507" stopIfTrue="1" operator="containsText" id="{846841EF-4F8C-44FA-A1A4-7CD840AFE466}">
            <xm:f>NOT(ISERROR(SEARCH("-",DX79)))</xm:f>
            <xm:f>"-"</xm:f>
            <x14:dxf/>
          </x14:cfRule>
          <xm:sqref>DX79:HT79</xm:sqref>
        </x14:conditionalFormatting>
        <x14:conditionalFormatting xmlns:xm="http://schemas.microsoft.com/office/excel/2006/main">
          <x14:cfRule type="containsText" priority="496" stopIfTrue="1" operator="containsText" id="{3496A078-B2B7-4BED-80A5-B3F803ADD4FE}">
            <xm:f>NOT(ISERROR(SEARCH("-",DX80)))</xm:f>
            <xm:f>"-"</xm:f>
            <x14:dxf/>
          </x14:cfRule>
          <xm:sqref>DX80:HT80</xm:sqref>
        </x14:conditionalFormatting>
        <x14:conditionalFormatting xmlns:xm="http://schemas.microsoft.com/office/excel/2006/main">
          <x14:cfRule type="containsText" priority="485" stopIfTrue="1" operator="containsText" id="{FB5DB1E7-E3BA-4DB7-B2D3-699A1E0B044B}">
            <xm:f>NOT(ISERROR(SEARCH("-",DX81)))</xm:f>
            <xm:f>"-"</xm:f>
            <x14:dxf/>
          </x14:cfRule>
          <xm:sqref>DX81:HT81</xm:sqref>
        </x14:conditionalFormatting>
        <x14:conditionalFormatting xmlns:xm="http://schemas.microsoft.com/office/excel/2006/main">
          <x14:cfRule type="containsText" priority="474" stopIfTrue="1" operator="containsText" id="{6C344F25-7BFD-44E1-A3E2-1FA56C23A59D}">
            <xm:f>NOT(ISERROR(SEARCH("-",DX82)))</xm:f>
            <xm:f>"-"</xm:f>
            <x14:dxf/>
          </x14:cfRule>
          <xm:sqref>DX82:HT82</xm:sqref>
        </x14:conditionalFormatting>
        <x14:conditionalFormatting xmlns:xm="http://schemas.microsoft.com/office/excel/2006/main">
          <x14:cfRule type="containsText" priority="463" stopIfTrue="1" operator="containsText" id="{36FE2AD9-9932-4848-BFE8-3375F44C44AD}">
            <xm:f>NOT(ISERROR(SEARCH("-",DX83)))</xm:f>
            <xm:f>"-"</xm:f>
            <x14:dxf/>
          </x14:cfRule>
          <xm:sqref>DX83:HT83</xm:sqref>
        </x14:conditionalFormatting>
        <x14:conditionalFormatting xmlns:xm="http://schemas.microsoft.com/office/excel/2006/main">
          <x14:cfRule type="containsText" priority="452" stopIfTrue="1" operator="containsText" id="{0E445448-4EB4-4CD7-A34C-D7B02FD5ED99}">
            <xm:f>NOT(ISERROR(SEARCH("-",DX84)))</xm:f>
            <xm:f>"-"</xm:f>
            <x14:dxf/>
          </x14:cfRule>
          <xm:sqref>DX84:HT84</xm:sqref>
        </x14:conditionalFormatting>
        <x14:conditionalFormatting xmlns:xm="http://schemas.microsoft.com/office/excel/2006/main">
          <x14:cfRule type="containsText" priority="441" stopIfTrue="1" operator="containsText" id="{ACF6D895-B17F-421E-AE97-440360FAB8AD}">
            <xm:f>NOT(ISERROR(SEARCH("-",DX85)))</xm:f>
            <xm:f>"-"</xm:f>
            <x14:dxf/>
          </x14:cfRule>
          <xm:sqref>DX85:HT85</xm:sqref>
        </x14:conditionalFormatting>
        <x14:conditionalFormatting xmlns:xm="http://schemas.microsoft.com/office/excel/2006/main">
          <x14:cfRule type="containsText" priority="430" stopIfTrue="1" operator="containsText" id="{F831CF3C-2613-46C2-B302-28EA28E0F3A6}">
            <xm:f>NOT(ISERROR(SEARCH("-",DX86)))</xm:f>
            <xm:f>"-"</xm:f>
            <x14:dxf/>
          </x14:cfRule>
          <xm:sqref>DX86:HT86</xm:sqref>
        </x14:conditionalFormatting>
        <x14:conditionalFormatting xmlns:xm="http://schemas.microsoft.com/office/excel/2006/main">
          <x14:cfRule type="containsText" priority="419" stopIfTrue="1" operator="containsText" id="{19893A0E-D0B2-401C-B84A-D1DE065AA405}">
            <xm:f>NOT(ISERROR(SEARCH("-",DX87)))</xm:f>
            <xm:f>"-"</xm:f>
            <x14:dxf/>
          </x14:cfRule>
          <xm:sqref>DX87:HT87</xm:sqref>
        </x14:conditionalFormatting>
        <x14:conditionalFormatting xmlns:xm="http://schemas.microsoft.com/office/excel/2006/main">
          <x14:cfRule type="containsText" priority="408" stopIfTrue="1" operator="containsText" id="{E570EDE8-CDBF-4343-AFFF-C06C21420E79}">
            <xm:f>NOT(ISERROR(SEARCH("-",DX88)))</xm:f>
            <xm:f>"-"</xm:f>
            <x14:dxf/>
          </x14:cfRule>
          <xm:sqref>DX88:HT88</xm:sqref>
        </x14:conditionalFormatting>
        <x14:conditionalFormatting xmlns:xm="http://schemas.microsoft.com/office/excel/2006/main">
          <x14:cfRule type="containsText" priority="397" stopIfTrue="1" operator="containsText" id="{1CE9D480-F266-4C9D-9C2E-10774CCEC930}">
            <xm:f>NOT(ISERROR(SEARCH("-",DX89)))</xm:f>
            <xm:f>"-"</xm:f>
            <x14:dxf/>
          </x14:cfRule>
          <xm:sqref>DX89:HT89</xm:sqref>
        </x14:conditionalFormatting>
        <x14:conditionalFormatting xmlns:xm="http://schemas.microsoft.com/office/excel/2006/main">
          <x14:cfRule type="containsText" priority="386" stopIfTrue="1" operator="containsText" id="{9E3ED907-0E9E-4296-B448-DC62C45D0750}">
            <xm:f>NOT(ISERROR(SEARCH("-",DX90)))</xm:f>
            <xm:f>"-"</xm:f>
            <x14:dxf/>
          </x14:cfRule>
          <xm:sqref>DX90:HT90</xm:sqref>
        </x14:conditionalFormatting>
        <x14:conditionalFormatting xmlns:xm="http://schemas.microsoft.com/office/excel/2006/main">
          <x14:cfRule type="containsText" priority="375" stopIfTrue="1" operator="containsText" id="{195A202B-FF09-4B4F-99CC-E722A058125F}">
            <xm:f>NOT(ISERROR(SEARCH("-",DX91)))</xm:f>
            <xm:f>"-"</xm:f>
            <x14:dxf/>
          </x14:cfRule>
          <xm:sqref>DX91:HT91</xm:sqref>
        </x14:conditionalFormatting>
        <x14:conditionalFormatting xmlns:xm="http://schemas.microsoft.com/office/excel/2006/main">
          <x14:cfRule type="containsText" priority="364" stopIfTrue="1" operator="containsText" id="{8183E9E2-0474-42C5-904A-AF86A08199EC}">
            <xm:f>NOT(ISERROR(SEARCH("-",DX92)))</xm:f>
            <xm:f>"-"</xm:f>
            <x14:dxf/>
          </x14:cfRule>
          <xm:sqref>DX92:HT92</xm:sqref>
        </x14:conditionalFormatting>
        <x14:conditionalFormatting xmlns:xm="http://schemas.microsoft.com/office/excel/2006/main">
          <x14:cfRule type="containsText" priority="353" stopIfTrue="1" operator="containsText" id="{F45FEF0B-ABD4-4D07-936B-5CF44C3C3D1D}">
            <xm:f>NOT(ISERROR(SEARCH("-",DX93)))</xm:f>
            <xm:f>"-"</xm:f>
            <x14:dxf/>
          </x14:cfRule>
          <xm:sqref>DX93:HT93</xm:sqref>
        </x14:conditionalFormatting>
        <x14:conditionalFormatting xmlns:xm="http://schemas.microsoft.com/office/excel/2006/main">
          <x14:cfRule type="containsText" priority="342" stopIfTrue="1" operator="containsText" id="{8800F60C-6E5F-493F-B5B4-2CFF566F9F9A}">
            <xm:f>NOT(ISERROR(SEARCH("-",DX94)))</xm:f>
            <xm:f>"-"</xm:f>
            <x14:dxf/>
          </x14:cfRule>
          <xm:sqref>DX94:HT94</xm:sqref>
        </x14:conditionalFormatting>
        <x14:conditionalFormatting xmlns:xm="http://schemas.microsoft.com/office/excel/2006/main">
          <x14:cfRule type="containsText" priority="331" stopIfTrue="1" operator="containsText" id="{E4920CE0-1004-4349-9818-5D46E3FA3E6D}">
            <xm:f>NOT(ISERROR(SEARCH("-",DX95)))</xm:f>
            <xm:f>"-"</xm:f>
            <x14:dxf/>
          </x14:cfRule>
          <xm:sqref>DX95:HT95</xm:sqref>
        </x14:conditionalFormatting>
        <x14:conditionalFormatting xmlns:xm="http://schemas.microsoft.com/office/excel/2006/main">
          <x14:cfRule type="containsText" priority="320" stopIfTrue="1" operator="containsText" id="{E783589F-2465-4ED2-B840-7D43C977249A}">
            <xm:f>NOT(ISERROR(SEARCH("-",DX96)))</xm:f>
            <xm:f>"-"</xm:f>
            <x14:dxf/>
          </x14:cfRule>
          <xm:sqref>DX96:HT96</xm:sqref>
        </x14:conditionalFormatting>
        <x14:conditionalFormatting xmlns:xm="http://schemas.microsoft.com/office/excel/2006/main">
          <x14:cfRule type="containsText" priority="309" stopIfTrue="1" operator="containsText" id="{592A8C06-85F2-4800-81CC-67273E813079}">
            <xm:f>NOT(ISERROR(SEARCH("-",DX97)))</xm:f>
            <xm:f>"-"</xm:f>
            <x14:dxf/>
          </x14:cfRule>
          <xm:sqref>DX97:HT97</xm:sqref>
        </x14:conditionalFormatting>
        <x14:conditionalFormatting xmlns:xm="http://schemas.microsoft.com/office/excel/2006/main">
          <x14:cfRule type="containsText" priority="298" stopIfTrue="1" operator="containsText" id="{21C6E79F-34B9-4F7B-8315-3828AE8E6796}">
            <xm:f>NOT(ISERROR(SEARCH("-",DX98)))</xm:f>
            <xm:f>"-"</xm:f>
            <x14:dxf/>
          </x14:cfRule>
          <xm:sqref>DX98:HT98</xm:sqref>
        </x14:conditionalFormatting>
        <x14:conditionalFormatting xmlns:xm="http://schemas.microsoft.com/office/excel/2006/main">
          <x14:cfRule type="containsText" priority="287" stopIfTrue="1" operator="containsText" id="{91AD8E12-6EE2-4DA8-B644-DD2299616716}">
            <xm:f>NOT(ISERROR(SEARCH("-",DX99)))</xm:f>
            <xm:f>"-"</xm:f>
            <x14:dxf/>
          </x14:cfRule>
          <xm:sqref>DX99:HT99</xm:sqref>
        </x14:conditionalFormatting>
        <x14:conditionalFormatting xmlns:xm="http://schemas.microsoft.com/office/excel/2006/main">
          <x14:cfRule type="containsText" priority="276" stopIfTrue="1" operator="containsText" id="{5CB34E88-5C7B-4287-A312-7388DA216BF4}">
            <xm:f>NOT(ISERROR(SEARCH("-",DX100)))</xm:f>
            <xm:f>"-"</xm:f>
            <x14:dxf/>
          </x14:cfRule>
          <xm:sqref>DX100:HT100</xm:sqref>
        </x14:conditionalFormatting>
        <x14:conditionalFormatting xmlns:xm="http://schemas.microsoft.com/office/excel/2006/main">
          <x14:cfRule type="containsText" priority="265" stopIfTrue="1" operator="containsText" id="{8265CB88-0DF0-499B-8023-9C8CF18FA0EB}">
            <xm:f>NOT(ISERROR(SEARCH("-",DX101)))</xm:f>
            <xm:f>"-"</xm:f>
            <x14:dxf/>
          </x14:cfRule>
          <xm:sqref>DX101:HT101</xm:sqref>
        </x14:conditionalFormatting>
        <x14:conditionalFormatting xmlns:xm="http://schemas.microsoft.com/office/excel/2006/main">
          <x14:cfRule type="containsText" priority="254" stopIfTrue="1" operator="containsText" id="{9BDB36BA-5DA0-46BB-9105-0D0F0C86C5BC}">
            <xm:f>NOT(ISERROR(SEARCH("-",DX102)))</xm:f>
            <xm:f>"-"</xm:f>
            <x14:dxf/>
          </x14:cfRule>
          <xm:sqref>DX102:HT102</xm:sqref>
        </x14:conditionalFormatting>
        <x14:conditionalFormatting xmlns:xm="http://schemas.microsoft.com/office/excel/2006/main">
          <x14:cfRule type="containsText" priority="243" stopIfTrue="1" operator="containsText" id="{B2398868-4AFF-4341-9084-CA01A53FB693}">
            <xm:f>NOT(ISERROR(SEARCH("-",DX103)))</xm:f>
            <xm:f>"-"</xm:f>
            <x14:dxf/>
          </x14:cfRule>
          <xm:sqref>DX103:HT103</xm:sqref>
        </x14:conditionalFormatting>
        <x14:conditionalFormatting xmlns:xm="http://schemas.microsoft.com/office/excel/2006/main">
          <x14:cfRule type="containsText" priority="232" stopIfTrue="1" operator="containsText" id="{74B094CB-7573-4692-B2DE-610968E43D2C}">
            <xm:f>NOT(ISERROR(SEARCH("-",DX104)))</xm:f>
            <xm:f>"-"</xm:f>
            <x14:dxf/>
          </x14:cfRule>
          <xm:sqref>DX104:HT104</xm:sqref>
        </x14:conditionalFormatting>
        <x14:conditionalFormatting xmlns:xm="http://schemas.microsoft.com/office/excel/2006/main">
          <x14:cfRule type="containsText" priority="221" stopIfTrue="1" operator="containsText" id="{763E8BA0-263E-4436-AA57-4695742BA62C}">
            <xm:f>NOT(ISERROR(SEARCH("-",DX105)))</xm:f>
            <xm:f>"-"</xm:f>
            <x14:dxf/>
          </x14:cfRule>
          <xm:sqref>DX105:HT105</xm:sqref>
        </x14:conditionalFormatting>
        <x14:conditionalFormatting xmlns:xm="http://schemas.microsoft.com/office/excel/2006/main">
          <x14:cfRule type="containsText" priority="210" stopIfTrue="1" operator="containsText" id="{9364C4BA-E60C-448C-AF3F-BB75EEF81C72}">
            <xm:f>NOT(ISERROR(SEARCH("-",DX106)))</xm:f>
            <xm:f>"-"</xm:f>
            <x14:dxf/>
          </x14:cfRule>
          <xm:sqref>DX106:HT106</xm:sqref>
        </x14:conditionalFormatting>
        <x14:conditionalFormatting xmlns:xm="http://schemas.microsoft.com/office/excel/2006/main">
          <x14:cfRule type="containsText" priority="199" stopIfTrue="1" operator="containsText" id="{C0956605-3054-4502-ADEB-7E987C10B551}">
            <xm:f>NOT(ISERROR(SEARCH("-",DX107)))</xm:f>
            <xm:f>"-"</xm:f>
            <x14:dxf/>
          </x14:cfRule>
          <xm:sqref>DX107:HT107</xm:sqref>
        </x14:conditionalFormatting>
        <x14:conditionalFormatting xmlns:xm="http://schemas.microsoft.com/office/excel/2006/main">
          <x14:cfRule type="containsText" priority="188" stopIfTrue="1" operator="containsText" id="{5594BDC1-680B-43FA-A128-68A4A1AC20AA}">
            <xm:f>NOT(ISERROR(SEARCH("-",DX108)))</xm:f>
            <xm:f>"-"</xm:f>
            <x14:dxf/>
          </x14:cfRule>
          <xm:sqref>DX108:HT108</xm:sqref>
        </x14:conditionalFormatting>
        <x14:conditionalFormatting xmlns:xm="http://schemas.microsoft.com/office/excel/2006/main">
          <x14:cfRule type="containsText" priority="177" stopIfTrue="1" operator="containsText" id="{8C2F9D8E-8F34-4CE6-8647-0D7C843BECB9}">
            <xm:f>NOT(ISERROR(SEARCH("-",DX109)))</xm:f>
            <xm:f>"-"</xm:f>
            <x14:dxf/>
          </x14:cfRule>
          <xm:sqref>DX109:HT109</xm:sqref>
        </x14:conditionalFormatting>
        <x14:conditionalFormatting xmlns:xm="http://schemas.microsoft.com/office/excel/2006/main">
          <x14:cfRule type="containsText" priority="166" stopIfTrue="1" operator="containsText" id="{AAAAA59D-1C59-4742-A367-33F30607788A}">
            <xm:f>NOT(ISERROR(SEARCH("-",DX110)))</xm:f>
            <xm:f>"-"</xm:f>
            <x14:dxf/>
          </x14:cfRule>
          <xm:sqref>DX110:HT110</xm:sqref>
        </x14:conditionalFormatting>
        <x14:conditionalFormatting xmlns:xm="http://schemas.microsoft.com/office/excel/2006/main">
          <x14:cfRule type="containsText" priority="155" stopIfTrue="1" operator="containsText" id="{40609BC2-E30D-4303-BE8B-8A05B7E4ADEC}">
            <xm:f>NOT(ISERROR(SEARCH("-",DX111)))</xm:f>
            <xm:f>"-"</xm:f>
            <x14:dxf/>
          </x14:cfRule>
          <xm:sqref>DX111:HT111</xm:sqref>
        </x14:conditionalFormatting>
        <x14:conditionalFormatting xmlns:xm="http://schemas.microsoft.com/office/excel/2006/main">
          <x14:cfRule type="containsText" priority="144" stopIfTrue="1" operator="containsText" id="{997474B2-0A74-425E-A025-9EEBE40EE3C1}">
            <xm:f>NOT(ISERROR(SEARCH("-",DX112)))</xm:f>
            <xm:f>"-"</xm:f>
            <x14:dxf/>
          </x14:cfRule>
          <xm:sqref>DX112:HT112</xm:sqref>
        </x14:conditionalFormatting>
        <x14:conditionalFormatting xmlns:xm="http://schemas.microsoft.com/office/excel/2006/main">
          <x14:cfRule type="containsText" priority="133" stopIfTrue="1" operator="containsText" id="{683ABC58-F2D2-4E64-AEB8-39DE03365AD5}">
            <xm:f>NOT(ISERROR(SEARCH("-",DX113)))</xm:f>
            <xm:f>"-"</xm:f>
            <x14:dxf/>
          </x14:cfRule>
          <xm:sqref>DX113:HT113</xm:sqref>
        </x14:conditionalFormatting>
        <x14:conditionalFormatting xmlns:xm="http://schemas.microsoft.com/office/excel/2006/main">
          <x14:cfRule type="containsText" priority="122" stopIfTrue="1" operator="containsText" id="{362805F4-BB45-4E15-9958-C70846BA70EE}">
            <xm:f>NOT(ISERROR(SEARCH("-",DX114)))</xm:f>
            <xm:f>"-"</xm:f>
            <x14:dxf/>
          </x14:cfRule>
          <xm:sqref>DX114:HT114</xm:sqref>
        </x14:conditionalFormatting>
        <x14:conditionalFormatting xmlns:xm="http://schemas.microsoft.com/office/excel/2006/main">
          <x14:cfRule type="containsText" priority="111" stopIfTrue="1" operator="containsText" id="{2D54D5D4-B5D9-46BF-AEDF-F2A51A4111A0}">
            <xm:f>NOT(ISERROR(SEARCH("-",DX115)))</xm:f>
            <xm:f>"-"</xm:f>
            <x14:dxf/>
          </x14:cfRule>
          <xm:sqref>DX115:HT115</xm:sqref>
        </x14:conditionalFormatting>
        <x14:conditionalFormatting xmlns:xm="http://schemas.microsoft.com/office/excel/2006/main">
          <x14:cfRule type="containsText" priority="100" stopIfTrue="1" operator="containsText" id="{215591F1-AED2-47EC-B92F-6EAC5A4E938F}">
            <xm:f>NOT(ISERROR(SEARCH("-",DX123)))</xm:f>
            <xm:f>"-"</xm:f>
            <x14:dxf/>
          </x14:cfRule>
          <xm:sqref>DX123:HT123</xm:sqref>
        </x14:conditionalFormatting>
        <x14:conditionalFormatting xmlns:xm="http://schemas.microsoft.com/office/excel/2006/main">
          <x14:cfRule type="containsText" priority="89" stopIfTrue="1" operator="containsText" id="{F632FF5B-EF36-4317-B316-6EC1D8F5AF74}">
            <xm:f>NOT(ISERROR(SEARCH("-",DX124)))</xm:f>
            <xm:f>"-"</xm:f>
            <x14:dxf/>
          </x14:cfRule>
          <xm:sqref>DX124:HT124</xm:sqref>
        </x14:conditionalFormatting>
        <x14:conditionalFormatting xmlns:xm="http://schemas.microsoft.com/office/excel/2006/main">
          <x14:cfRule type="containsText" priority="78" stopIfTrue="1" operator="containsText" id="{F3E72256-8FB1-44EB-A887-5D2D71302A5B}">
            <xm:f>NOT(ISERROR(SEARCH("-",DX125)))</xm:f>
            <xm:f>"-"</xm:f>
            <x14:dxf/>
          </x14:cfRule>
          <xm:sqref>DX125:HT125</xm:sqref>
        </x14:conditionalFormatting>
        <x14:conditionalFormatting xmlns:xm="http://schemas.microsoft.com/office/excel/2006/main">
          <x14:cfRule type="containsText" priority="67" stopIfTrue="1" operator="containsText" id="{824F49B9-A2E6-4C2B-AD85-119BEEEC34C9}">
            <xm:f>NOT(ISERROR(SEARCH("-",DX126)))</xm:f>
            <xm:f>"-"</xm:f>
            <x14:dxf/>
          </x14:cfRule>
          <xm:sqref>DX126:HT126</xm:sqref>
        </x14:conditionalFormatting>
        <x14:conditionalFormatting xmlns:xm="http://schemas.microsoft.com/office/excel/2006/main">
          <x14:cfRule type="containsText" priority="56" stopIfTrue="1" operator="containsText" id="{E56D66BD-92BF-43A1-8B31-826F9592212C}">
            <xm:f>NOT(ISERROR(SEARCH("-",DX127)))</xm:f>
            <xm:f>"-"</xm:f>
            <x14:dxf/>
          </x14:cfRule>
          <xm:sqref>DX127:HT127</xm:sqref>
        </x14:conditionalFormatting>
        <x14:conditionalFormatting xmlns:xm="http://schemas.microsoft.com/office/excel/2006/main">
          <x14:cfRule type="containsText" priority="45" stopIfTrue="1" operator="containsText" id="{F6D421AE-1C7E-4384-A568-18CAA7588F5E}">
            <xm:f>NOT(ISERROR(SEARCH("-",DX133)))</xm:f>
            <xm:f>"-"</xm:f>
            <x14:dxf/>
          </x14:cfRule>
          <xm:sqref>DX133:HT133</xm:sqref>
        </x14:conditionalFormatting>
        <x14:conditionalFormatting xmlns:xm="http://schemas.microsoft.com/office/excel/2006/main">
          <x14:cfRule type="containsText" priority="34" stopIfTrue="1" operator="containsText" id="{C03870E4-EC57-4A6D-B9D4-F0F884C25BE5}">
            <xm:f>NOT(ISERROR(SEARCH("-",DX134)))</xm:f>
            <xm:f>"-"</xm:f>
            <x14:dxf/>
          </x14:cfRule>
          <xm:sqref>DX134:HT134</xm:sqref>
        </x14:conditionalFormatting>
        <x14:conditionalFormatting xmlns:xm="http://schemas.microsoft.com/office/excel/2006/main">
          <x14:cfRule type="containsText" priority="23" stopIfTrue="1" operator="containsText" id="{7B147847-6DAE-4EA5-838A-28F6C5FDD355}">
            <xm:f>NOT(ISERROR(SEARCH("-",DX135)))</xm:f>
            <xm:f>"-"</xm:f>
            <x14:dxf/>
          </x14:cfRule>
          <xm:sqref>DX135:HT135</xm:sqref>
        </x14:conditionalFormatting>
        <x14:conditionalFormatting xmlns:xm="http://schemas.microsoft.com/office/excel/2006/main">
          <x14:cfRule type="containsText" priority="12" stopIfTrue="1" operator="containsText" id="{0199FB63-5425-4F6B-A3E7-A6996F5568BA}">
            <xm:f>NOT(ISERROR(SEARCH("-",DX136)))</xm:f>
            <xm:f>"-"</xm:f>
            <x14:dxf/>
          </x14:cfRule>
          <xm:sqref>DX136:HT136</xm:sqref>
        </x14:conditionalFormatting>
        <x14:conditionalFormatting xmlns:xm="http://schemas.microsoft.com/office/excel/2006/main">
          <x14:cfRule type="containsText" priority="1" stopIfTrue="1" operator="containsText" id="{91A39DB9-A6EE-4D5C-9924-8850DBB08708}">
            <xm:f>NOT(ISERROR(SEARCH("-",DX137)))</xm:f>
            <xm:f>"-"</xm:f>
            <x14:dxf/>
          </x14:cfRule>
          <xm:sqref>DX137:HT137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8656A-D4C6-4D76-BA81-47D6B2F1E0AF}">
  <sheetPr codeName="Sheet7"/>
  <dimension ref="A1:Z82"/>
  <sheetViews>
    <sheetView showGridLines="0" zoomScale="85" zoomScaleNormal="85" workbookViewId="0">
      <pane ySplit="5" topLeftCell="A6" activePane="bottomLeft" state="frozen"/>
      <selection activeCell="E10" sqref="E10"/>
      <selection pane="bottomLeft" sqref="A1:XFD1048576"/>
    </sheetView>
  </sheetViews>
  <sheetFormatPr defaultColWidth="9" defaultRowHeight="14.5" x14ac:dyDescent="0.35"/>
  <cols>
    <col min="1" max="1" width="42" customWidth="1"/>
    <col min="2" max="4" width="25.54296875" customWidth="1"/>
    <col min="5" max="5" width="1.54296875" style="201" customWidth="1"/>
    <col min="6" max="6" width="1.54296875" style="180" customWidth="1"/>
    <col min="7" max="7" width="1.54296875" customWidth="1"/>
    <col min="8" max="8" width="42" customWidth="1"/>
    <col min="9" max="11" width="25.54296875" customWidth="1"/>
    <col min="12" max="12" width="1.54296875" style="201" customWidth="1"/>
    <col min="13" max="13" width="1.54296875" style="180" customWidth="1"/>
    <col min="14" max="14" width="1.54296875" customWidth="1"/>
    <col min="15" max="15" width="42" customWidth="1"/>
    <col min="16" max="18" width="25.54296875" customWidth="1"/>
    <col min="19" max="19" width="1.54296875" style="201" customWidth="1"/>
    <col min="20" max="20" width="1.54296875" style="180" customWidth="1"/>
    <col min="21" max="21" width="1.54296875" customWidth="1"/>
    <col min="22" max="22" width="42" customWidth="1"/>
    <col min="23" max="25" width="25.54296875" customWidth="1"/>
    <col min="26" max="26" width="1.54296875" style="201" customWidth="1"/>
  </cols>
  <sheetData>
    <row r="1" spans="1:26" ht="30" customHeight="1" thickBot="1" x14ac:dyDescent="0.4">
      <c r="A1" s="190"/>
      <c r="B1" s="196">
        <v>1.1235955056179776</v>
      </c>
      <c r="H1" s="190"/>
      <c r="O1" s="190"/>
      <c r="V1" s="190"/>
    </row>
    <row r="2" spans="1:26" ht="45" customHeight="1" x14ac:dyDescent="0.35">
      <c r="A2" s="191"/>
      <c r="H2" s="191"/>
      <c r="O2" s="191"/>
      <c r="V2" s="191"/>
    </row>
    <row r="3" spans="1:26" ht="30" customHeight="1" x14ac:dyDescent="0.35">
      <c r="A3" s="192" t="s">
        <v>560</v>
      </c>
      <c r="B3" s="392" t="str">
        <f>'KPI Count-SHARE'!C3</f>
        <v>Distributors</v>
      </c>
      <c r="C3" s="392"/>
      <c r="D3" s="392"/>
      <c r="E3" s="202"/>
      <c r="F3" s="193"/>
      <c r="G3" s="121"/>
      <c r="H3" s="192" t="s">
        <v>560</v>
      </c>
      <c r="I3" s="392" t="str">
        <f>'KPI Count-SHARE'!D3</f>
        <v>Reference Set 2</v>
      </c>
      <c r="J3" s="392"/>
      <c r="K3" s="392"/>
      <c r="L3" s="202"/>
      <c r="M3" s="193"/>
      <c r="N3" s="121"/>
      <c r="O3" s="192" t="s">
        <v>560</v>
      </c>
      <c r="P3" s="392" t="str">
        <f>'KPI Count-SHARE'!E3</f>
        <v>Reference Set 3</v>
      </c>
      <c r="Q3" s="392"/>
      <c r="R3" s="392"/>
      <c r="S3" s="202"/>
      <c r="T3" s="193"/>
      <c r="U3" s="121"/>
      <c r="V3" s="192" t="s">
        <v>560</v>
      </c>
      <c r="W3" s="392" t="str">
        <f>'KPI Count-SHARE'!F3</f>
        <v>Reference Set 4</v>
      </c>
      <c r="X3" s="392"/>
      <c r="Y3" s="392"/>
      <c r="Z3" s="202"/>
    </row>
    <row r="5" spans="1:26" x14ac:dyDescent="0.35">
      <c r="A5" s="29" t="s">
        <v>924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</row>
    <row r="6" spans="1:26" x14ac:dyDescent="0.35">
      <c r="A6" s="207" t="s">
        <v>942</v>
      </c>
      <c r="H6" s="207"/>
      <c r="O6" s="207"/>
      <c r="V6" s="207"/>
    </row>
    <row r="7" spans="1:26" x14ac:dyDescent="0.35">
      <c r="B7" s="194" t="s">
        <v>925</v>
      </c>
      <c r="C7" s="194" t="s">
        <v>4</v>
      </c>
      <c r="D7" s="194" t="s">
        <v>926</v>
      </c>
      <c r="I7" s="29"/>
      <c r="J7" s="29"/>
      <c r="K7" s="29"/>
      <c r="P7" s="29"/>
      <c r="Q7" s="29"/>
      <c r="R7" s="29"/>
      <c r="W7" s="29"/>
      <c r="X7" s="29"/>
      <c r="Y7" s="29"/>
    </row>
    <row r="8" spans="1:26" x14ac:dyDescent="0.35">
      <c r="A8" t="str">
        <f>"Revenue ('000 " &amp; XCurrency &amp; ")"</f>
        <v>Revenue ('000 USD)</v>
      </c>
      <c r="B8" s="181">
        <v>520094.15241131181</v>
      </c>
      <c r="C8" s="181">
        <v>2239954.0777679589</v>
      </c>
      <c r="D8" s="181">
        <v>4261967.2389849769</v>
      </c>
      <c r="I8" s="181"/>
      <c r="J8" s="181"/>
      <c r="K8" s="181"/>
      <c r="P8" s="181"/>
      <c r="Q8" s="181"/>
      <c r="R8" s="181"/>
      <c r="W8" s="181"/>
      <c r="X8" s="181"/>
      <c r="Y8" s="181"/>
    </row>
    <row r="9" spans="1:26" x14ac:dyDescent="0.35">
      <c r="A9" t="s">
        <v>927</v>
      </c>
      <c r="B9" s="182">
        <v>72.145000219345079</v>
      </c>
      <c r="C9" s="182">
        <v>425</v>
      </c>
      <c r="D9" s="182">
        <v>774.92999267578148</v>
      </c>
      <c r="I9" s="182"/>
      <c r="J9" s="182"/>
      <c r="K9" s="182"/>
      <c r="P9" s="182"/>
      <c r="Q9" s="182"/>
      <c r="R9" s="182"/>
      <c r="W9" s="182"/>
      <c r="X9" s="182"/>
      <c r="Y9" s="182"/>
    </row>
    <row r="10" spans="1:26" x14ac:dyDescent="0.35">
      <c r="A10" t="s">
        <v>928</v>
      </c>
      <c r="B10" s="183">
        <v>9.5364949802858479E-2</v>
      </c>
      <c r="C10" s="183">
        <v>0.17717142145018083</v>
      </c>
      <c r="D10" s="183">
        <v>0.22239350786863829</v>
      </c>
      <c r="I10" s="183"/>
      <c r="J10" s="183"/>
      <c r="K10" s="183"/>
      <c r="P10" s="183"/>
      <c r="Q10" s="183"/>
      <c r="R10" s="183"/>
      <c r="W10" s="183"/>
      <c r="X10" s="183"/>
      <c r="Y10" s="183"/>
    </row>
    <row r="12" spans="1:26" x14ac:dyDescent="0.35">
      <c r="A12" s="29" t="s">
        <v>929</v>
      </c>
      <c r="B12" s="29"/>
      <c r="C12" s="29"/>
      <c r="D12" s="29"/>
      <c r="H12" s="29"/>
      <c r="I12" s="29"/>
      <c r="J12" s="29"/>
      <c r="K12" s="29"/>
      <c r="O12" s="29"/>
      <c r="P12" s="29"/>
      <c r="Q12" s="29"/>
      <c r="R12" s="29"/>
      <c r="V12" s="29"/>
      <c r="W12" s="29"/>
      <c r="X12" s="29"/>
      <c r="Y12" s="29"/>
    </row>
    <row r="14" spans="1:26" x14ac:dyDescent="0.35">
      <c r="A14" s="29" t="s">
        <v>930</v>
      </c>
      <c r="B14" s="29" t="s">
        <v>533</v>
      </c>
      <c r="C14" s="184"/>
      <c r="D14" s="185"/>
      <c r="H14" s="29"/>
      <c r="I14" s="29"/>
      <c r="J14" s="184"/>
      <c r="K14" s="185"/>
      <c r="L14" s="201" t="s">
        <v>804</v>
      </c>
      <c r="O14" s="29"/>
      <c r="P14" s="29"/>
      <c r="Q14" s="184"/>
      <c r="R14" s="185"/>
      <c r="S14" s="201" t="s">
        <v>804</v>
      </c>
      <c r="V14" s="29"/>
      <c r="W14" s="29"/>
      <c r="X14" s="184"/>
      <c r="Y14" s="185"/>
      <c r="Z14" s="201" t="s">
        <v>804</v>
      </c>
    </row>
    <row r="15" spans="1:26" x14ac:dyDescent="0.35">
      <c r="A15" t="s">
        <v>584</v>
      </c>
      <c r="B15" s="39">
        <v>0.25685475823177079</v>
      </c>
      <c r="C15" s="200"/>
      <c r="D15" s="187"/>
      <c r="E15" s="201" t="s">
        <v>804</v>
      </c>
      <c r="I15" s="204"/>
      <c r="J15" s="186"/>
      <c r="K15" s="187"/>
      <c r="L15" s="201" t="s">
        <v>804</v>
      </c>
      <c r="P15" s="204"/>
      <c r="Q15" s="186"/>
      <c r="R15" s="187"/>
      <c r="S15" s="201" t="s">
        <v>804</v>
      </c>
      <c r="W15" s="204"/>
      <c r="X15" s="186"/>
      <c r="Y15" s="187"/>
      <c r="Z15" s="201" t="s">
        <v>804</v>
      </c>
    </row>
    <row r="16" spans="1:26" x14ac:dyDescent="0.35">
      <c r="A16" t="s">
        <v>572</v>
      </c>
      <c r="B16" s="39">
        <v>0.23758994542492246</v>
      </c>
      <c r="C16" s="200"/>
      <c r="D16" s="187"/>
      <c r="E16" s="201" t="s">
        <v>804</v>
      </c>
      <c r="I16" s="204"/>
      <c r="J16" s="186"/>
      <c r="K16" s="187"/>
      <c r="L16" s="201" t="s">
        <v>804</v>
      </c>
      <c r="P16" s="204"/>
      <c r="Q16" s="186"/>
      <c r="R16" s="187"/>
      <c r="S16" s="201" t="s">
        <v>804</v>
      </c>
      <c r="W16" s="204"/>
      <c r="X16" s="186"/>
      <c r="Y16" s="187"/>
      <c r="Z16" s="201" t="s">
        <v>804</v>
      </c>
    </row>
    <row r="17" spans="1:26" x14ac:dyDescent="0.35">
      <c r="A17" t="s">
        <v>605</v>
      </c>
      <c r="B17" s="39">
        <v>1.7572602082658803E-3</v>
      </c>
      <c r="C17" s="200"/>
      <c r="D17" s="187"/>
      <c r="E17" s="201" t="s">
        <v>804</v>
      </c>
      <c r="I17" s="204"/>
      <c r="J17" s="186"/>
      <c r="K17" s="187"/>
      <c r="L17" s="201" t="s">
        <v>804</v>
      </c>
      <c r="P17" s="204"/>
      <c r="Q17" s="186"/>
      <c r="R17" s="187"/>
      <c r="S17" s="201" t="s">
        <v>804</v>
      </c>
      <c r="W17" s="204"/>
      <c r="X17" s="186"/>
      <c r="Y17" s="187"/>
      <c r="Z17" s="201" t="s">
        <v>804</v>
      </c>
    </row>
    <row r="18" spans="1:26" x14ac:dyDescent="0.35">
      <c r="A18" t="s">
        <v>647</v>
      </c>
      <c r="B18" s="39">
        <v>0.44285365038116975</v>
      </c>
      <c r="C18" s="200"/>
      <c r="D18" s="187"/>
      <c r="E18" s="201" t="s">
        <v>804</v>
      </c>
      <c r="I18" s="204"/>
      <c r="J18" s="186"/>
      <c r="K18" s="187"/>
      <c r="L18" s="201" t="s">
        <v>804</v>
      </c>
      <c r="P18" s="204"/>
      <c r="Q18" s="186"/>
      <c r="R18" s="187"/>
      <c r="S18" s="201" t="s">
        <v>804</v>
      </c>
      <c r="W18" s="204"/>
      <c r="X18" s="186"/>
      <c r="Y18" s="187"/>
      <c r="Z18" s="201" t="s">
        <v>804</v>
      </c>
    </row>
    <row r="19" spans="1:26" x14ac:dyDescent="0.35">
      <c r="A19" t="s">
        <v>662</v>
      </c>
      <c r="B19" s="39">
        <v>6.0944385753871143E-2</v>
      </c>
      <c r="C19" s="200"/>
      <c r="D19" s="187"/>
      <c r="E19" s="201" t="s">
        <v>804</v>
      </c>
      <c r="I19" s="204"/>
      <c r="J19" s="186"/>
      <c r="K19" s="187"/>
      <c r="L19" s="201" t="s">
        <v>804</v>
      </c>
      <c r="P19" s="204"/>
      <c r="Q19" s="186"/>
      <c r="R19" s="187"/>
      <c r="S19" s="201" t="s">
        <v>804</v>
      </c>
      <c r="W19" s="204"/>
      <c r="X19" s="186"/>
      <c r="Y19" s="187"/>
      <c r="Z19" s="201" t="s">
        <v>804</v>
      </c>
    </row>
    <row r="20" spans="1:26" x14ac:dyDescent="0.35">
      <c r="A20" t="s">
        <v>805</v>
      </c>
      <c r="B20" s="39" t="s">
        <v>805</v>
      </c>
      <c r="C20" s="200"/>
      <c r="D20" s="187"/>
      <c r="E20" s="201" t="s">
        <v>804</v>
      </c>
      <c r="I20" s="204"/>
      <c r="J20" s="186"/>
      <c r="K20" s="187"/>
      <c r="L20" s="201" t="s">
        <v>804</v>
      </c>
      <c r="P20" s="204"/>
      <c r="Q20" s="186"/>
      <c r="R20" s="187"/>
      <c r="S20" s="201" t="s">
        <v>804</v>
      </c>
      <c r="W20" s="204"/>
      <c r="X20" s="186"/>
      <c r="Y20" s="187"/>
      <c r="Z20" s="201" t="s">
        <v>804</v>
      </c>
    </row>
    <row r="21" spans="1:26" x14ac:dyDescent="0.35">
      <c r="A21" t="s">
        <v>805</v>
      </c>
      <c r="B21" s="39" t="s">
        <v>805</v>
      </c>
      <c r="C21" s="200"/>
      <c r="D21" s="187"/>
      <c r="E21" s="201" t="s">
        <v>804</v>
      </c>
      <c r="I21" s="204"/>
      <c r="J21" s="186"/>
      <c r="K21" s="187"/>
      <c r="L21" s="201" t="s">
        <v>804</v>
      </c>
      <c r="P21" s="204"/>
      <c r="Q21" s="186"/>
      <c r="R21" s="187"/>
      <c r="S21" s="201" t="s">
        <v>804</v>
      </c>
      <c r="W21" s="204"/>
      <c r="X21" s="186"/>
      <c r="Y21" s="187"/>
      <c r="Z21" s="201" t="s">
        <v>804</v>
      </c>
    </row>
    <row r="22" spans="1:26" x14ac:dyDescent="0.35">
      <c r="A22" t="s">
        <v>805</v>
      </c>
      <c r="B22" s="39" t="s">
        <v>805</v>
      </c>
      <c r="C22" s="200"/>
      <c r="D22" s="187"/>
      <c r="E22" s="201" t="s">
        <v>804</v>
      </c>
      <c r="I22" s="204"/>
      <c r="J22" s="186"/>
      <c r="K22" s="187"/>
      <c r="L22" s="201" t="s">
        <v>804</v>
      </c>
      <c r="P22" s="204"/>
      <c r="Q22" s="186"/>
      <c r="R22" s="187"/>
      <c r="S22" s="201" t="s">
        <v>804</v>
      </c>
      <c r="W22" s="204"/>
      <c r="X22" s="186"/>
      <c r="Y22" s="187"/>
      <c r="Z22" s="201" t="s">
        <v>804</v>
      </c>
    </row>
    <row r="23" spans="1:26" x14ac:dyDescent="0.35">
      <c r="A23" t="s">
        <v>805</v>
      </c>
      <c r="B23" s="39" t="s">
        <v>805</v>
      </c>
      <c r="C23" s="200"/>
      <c r="D23" s="187"/>
      <c r="E23" s="201" t="s">
        <v>804</v>
      </c>
      <c r="I23" s="204"/>
      <c r="J23" s="186"/>
      <c r="K23" s="187"/>
      <c r="L23" s="201" t="s">
        <v>804</v>
      </c>
      <c r="P23" s="204"/>
      <c r="Q23" s="186"/>
      <c r="R23" s="187"/>
      <c r="S23" s="201" t="s">
        <v>804</v>
      </c>
      <c r="W23" s="204"/>
      <c r="X23" s="186"/>
      <c r="Y23" s="187"/>
      <c r="Z23" s="201" t="s">
        <v>804</v>
      </c>
    </row>
    <row r="24" spans="1:26" x14ac:dyDescent="0.35">
      <c r="A24" t="s">
        <v>805</v>
      </c>
      <c r="B24" s="39" t="s">
        <v>805</v>
      </c>
      <c r="C24" s="200"/>
      <c r="D24" s="187"/>
      <c r="E24" s="201" t="s">
        <v>804</v>
      </c>
      <c r="I24" s="204"/>
      <c r="J24" s="186"/>
      <c r="K24" s="187"/>
      <c r="L24" s="201" t="s">
        <v>804</v>
      </c>
      <c r="P24" s="204"/>
      <c r="Q24" s="186"/>
      <c r="R24" s="187"/>
      <c r="S24" s="201" t="s">
        <v>804</v>
      </c>
      <c r="W24" s="204"/>
      <c r="X24" s="186"/>
      <c r="Y24" s="187"/>
      <c r="Z24" s="201" t="s">
        <v>804</v>
      </c>
    </row>
    <row r="25" spans="1:26" x14ac:dyDescent="0.35">
      <c r="A25" t="s">
        <v>805</v>
      </c>
      <c r="B25" s="39" t="s">
        <v>805</v>
      </c>
      <c r="C25" s="200"/>
      <c r="D25" s="187"/>
      <c r="E25" s="201" t="s">
        <v>804</v>
      </c>
      <c r="I25" s="204"/>
      <c r="J25" s="186"/>
      <c r="K25" s="187"/>
      <c r="L25" s="201" t="s">
        <v>804</v>
      </c>
      <c r="P25" s="204"/>
      <c r="Q25" s="186"/>
      <c r="R25" s="187"/>
      <c r="S25" s="201" t="s">
        <v>804</v>
      </c>
      <c r="W25" s="204"/>
      <c r="X25" s="186"/>
      <c r="Y25" s="187"/>
      <c r="Z25" s="201" t="s">
        <v>804</v>
      </c>
    </row>
    <row r="26" spans="1:26" x14ac:dyDescent="0.35">
      <c r="A26" t="s">
        <v>805</v>
      </c>
      <c r="B26" s="39" t="s">
        <v>805</v>
      </c>
      <c r="C26" s="200"/>
      <c r="D26" s="187"/>
      <c r="E26" s="201" t="s">
        <v>804</v>
      </c>
      <c r="I26" s="205"/>
      <c r="J26" s="186"/>
      <c r="K26" s="187"/>
      <c r="L26" s="201" t="s">
        <v>804</v>
      </c>
      <c r="P26" s="205"/>
      <c r="Q26" s="186"/>
      <c r="R26" s="187"/>
      <c r="S26" s="201" t="s">
        <v>804</v>
      </c>
      <c r="W26" s="205"/>
      <c r="X26" s="186"/>
      <c r="Y26" s="187"/>
      <c r="Z26" s="201" t="s">
        <v>804</v>
      </c>
    </row>
    <row r="27" spans="1:26" x14ac:dyDescent="0.35">
      <c r="A27" t="s">
        <v>805</v>
      </c>
      <c r="B27" s="39" t="s">
        <v>805</v>
      </c>
      <c r="C27" s="200"/>
      <c r="D27" s="187"/>
      <c r="E27" s="201" t="s">
        <v>804</v>
      </c>
      <c r="I27" s="205"/>
      <c r="J27" s="186"/>
      <c r="K27" s="187"/>
      <c r="L27" s="201" t="s">
        <v>804</v>
      </c>
      <c r="P27" s="205"/>
      <c r="Q27" s="186"/>
      <c r="R27" s="187"/>
      <c r="S27" s="201" t="s">
        <v>804</v>
      </c>
      <c r="W27" s="205"/>
      <c r="X27" s="186"/>
      <c r="Y27" s="187"/>
      <c r="Z27" s="201" t="s">
        <v>804</v>
      </c>
    </row>
    <row r="28" spans="1:26" x14ac:dyDescent="0.35">
      <c r="A28" t="s">
        <v>805</v>
      </c>
      <c r="B28" s="39" t="s">
        <v>805</v>
      </c>
      <c r="C28" s="200"/>
      <c r="D28" s="187"/>
      <c r="E28" s="201" t="s">
        <v>804</v>
      </c>
      <c r="I28" s="205"/>
      <c r="J28" s="186"/>
      <c r="K28" s="187"/>
      <c r="L28" s="201" t="s">
        <v>804</v>
      </c>
      <c r="P28" s="205"/>
      <c r="Q28" s="186"/>
      <c r="R28" s="187"/>
      <c r="S28" s="201" t="s">
        <v>804</v>
      </c>
      <c r="W28" s="205"/>
      <c r="X28" s="186"/>
      <c r="Y28" s="187"/>
      <c r="Z28" s="201" t="s">
        <v>804</v>
      </c>
    </row>
    <row r="29" spans="1:26" x14ac:dyDescent="0.35">
      <c r="A29" t="s">
        <v>805</v>
      </c>
      <c r="B29" s="39" t="s">
        <v>805</v>
      </c>
      <c r="C29" s="200"/>
      <c r="D29" s="187"/>
      <c r="E29" s="201" t="s">
        <v>804</v>
      </c>
      <c r="I29" s="205"/>
      <c r="J29" s="186"/>
      <c r="K29" s="187"/>
      <c r="L29" s="201" t="s">
        <v>804</v>
      </c>
      <c r="P29" s="205"/>
      <c r="Q29" s="186"/>
      <c r="R29" s="187"/>
      <c r="S29" s="201" t="s">
        <v>804</v>
      </c>
      <c r="W29" s="205"/>
      <c r="X29" s="186"/>
      <c r="Y29" s="187"/>
      <c r="Z29" s="201" t="s">
        <v>804</v>
      </c>
    </row>
    <row r="30" spans="1:26" x14ac:dyDescent="0.35">
      <c r="A30" t="s">
        <v>805</v>
      </c>
      <c r="B30" t="s">
        <v>805</v>
      </c>
      <c r="C30" s="200"/>
      <c r="D30" s="187"/>
      <c r="E30" s="201" t="s">
        <v>804</v>
      </c>
      <c r="I30" s="205"/>
      <c r="J30" s="186"/>
      <c r="K30" s="187"/>
      <c r="L30" s="201" t="s">
        <v>804</v>
      </c>
      <c r="P30" s="205"/>
      <c r="Q30" s="186"/>
      <c r="R30" s="187"/>
      <c r="S30" s="201" t="s">
        <v>804</v>
      </c>
      <c r="W30" s="205"/>
      <c r="X30" s="186"/>
      <c r="Y30" s="187"/>
      <c r="Z30" s="201" t="s">
        <v>804</v>
      </c>
    </row>
    <row r="31" spans="1:26" x14ac:dyDescent="0.35">
      <c r="C31" s="197"/>
      <c r="D31" s="189"/>
      <c r="E31" s="201" t="s">
        <v>804</v>
      </c>
      <c r="I31" s="205"/>
      <c r="J31" s="188"/>
      <c r="K31" s="189"/>
      <c r="Q31" s="188"/>
      <c r="R31" s="189"/>
      <c r="X31" s="188"/>
      <c r="Y31" s="189"/>
    </row>
    <row r="32" spans="1:26" x14ac:dyDescent="0.35">
      <c r="A32" s="29" t="s">
        <v>931</v>
      </c>
      <c r="B32" s="29"/>
      <c r="C32" s="194"/>
      <c r="D32" s="29"/>
      <c r="H32" s="29"/>
      <c r="I32" s="29"/>
      <c r="J32" s="29"/>
      <c r="K32" s="29"/>
      <c r="O32" s="29"/>
      <c r="P32" s="29"/>
      <c r="Q32" s="29"/>
      <c r="R32" s="29"/>
      <c r="V32" s="29"/>
      <c r="W32" s="29"/>
      <c r="X32" s="29"/>
      <c r="Y32" s="29"/>
    </row>
    <row r="33" spans="1:26" x14ac:dyDescent="0.35">
      <c r="C33" s="198"/>
    </row>
    <row r="34" spans="1:26" x14ac:dyDescent="0.35">
      <c r="A34" s="29" t="s">
        <v>562</v>
      </c>
      <c r="B34" s="29" t="s">
        <v>533</v>
      </c>
      <c r="C34" s="199"/>
      <c r="D34" s="185"/>
      <c r="H34" s="29"/>
      <c r="I34" s="29"/>
      <c r="J34" s="184"/>
      <c r="K34" s="185"/>
      <c r="L34" s="201" t="s">
        <v>804</v>
      </c>
      <c r="O34" s="29"/>
      <c r="P34" s="29"/>
      <c r="Q34" s="184"/>
      <c r="R34" s="185"/>
      <c r="S34" s="201" t="s">
        <v>804</v>
      </c>
      <c r="V34" s="29"/>
      <c r="W34" s="29"/>
      <c r="X34" s="184"/>
      <c r="Y34" s="185"/>
      <c r="Z34" s="201" t="s">
        <v>804</v>
      </c>
    </row>
    <row r="35" spans="1:26" x14ac:dyDescent="0.35">
      <c r="A35" t="s">
        <v>641</v>
      </c>
      <c r="B35" s="39">
        <v>0.56816584072504039</v>
      </c>
      <c r="C35" s="200"/>
      <c r="D35" s="187"/>
      <c r="E35" s="201" t="s">
        <v>804</v>
      </c>
      <c r="I35" s="39"/>
      <c r="J35" s="186"/>
      <c r="K35" s="187"/>
      <c r="L35" s="201" t="s">
        <v>804</v>
      </c>
      <c r="P35" s="39"/>
      <c r="Q35" s="186"/>
      <c r="R35" s="187"/>
      <c r="S35" s="201" t="s">
        <v>804</v>
      </c>
      <c r="W35" s="39"/>
      <c r="X35" s="186"/>
      <c r="Y35" s="187"/>
      <c r="Z35" s="201" t="s">
        <v>804</v>
      </c>
    </row>
    <row r="36" spans="1:26" x14ac:dyDescent="0.35">
      <c r="A36" t="s">
        <v>571</v>
      </c>
      <c r="B36" s="39">
        <v>0.28785446719274327</v>
      </c>
      <c r="C36" s="200"/>
      <c r="D36" s="187"/>
      <c r="E36" s="201" t="s">
        <v>804</v>
      </c>
      <c r="I36" s="39"/>
      <c r="J36" s="186"/>
      <c r="K36" s="187"/>
      <c r="L36" s="201" t="s">
        <v>804</v>
      </c>
      <c r="P36" s="39"/>
      <c r="Q36" s="186"/>
      <c r="R36" s="187"/>
      <c r="S36" s="201" t="s">
        <v>804</v>
      </c>
      <c r="W36" s="39"/>
      <c r="X36" s="186"/>
      <c r="Y36" s="187"/>
      <c r="Z36" s="201" t="s">
        <v>804</v>
      </c>
    </row>
    <row r="37" spans="1:26" x14ac:dyDescent="0.35">
      <c r="A37" t="s">
        <v>634</v>
      </c>
      <c r="B37" s="39">
        <v>9.3764476478142872E-2</v>
      </c>
      <c r="C37" s="200"/>
      <c r="D37" s="187"/>
      <c r="E37" s="201" t="s">
        <v>804</v>
      </c>
      <c r="I37" s="39"/>
      <c r="J37" s="186"/>
      <c r="K37" s="187"/>
      <c r="L37" s="201" t="s">
        <v>804</v>
      </c>
      <c r="P37" s="39"/>
      <c r="Q37" s="186"/>
      <c r="R37" s="187"/>
      <c r="S37" s="201" t="s">
        <v>804</v>
      </c>
      <c r="W37" s="39"/>
      <c r="X37" s="186"/>
      <c r="Y37" s="187"/>
      <c r="Z37" s="201" t="s">
        <v>804</v>
      </c>
    </row>
    <row r="38" spans="1:26" x14ac:dyDescent="0.35">
      <c r="A38" t="s">
        <v>610</v>
      </c>
      <c r="B38" s="39">
        <v>5.0215215604073472E-2</v>
      </c>
      <c r="C38" s="200"/>
      <c r="D38" s="187"/>
      <c r="E38" s="201" t="s">
        <v>804</v>
      </c>
      <c r="I38" s="39"/>
      <c r="J38" s="186"/>
      <c r="K38" s="187"/>
      <c r="L38" s="201" t="s">
        <v>804</v>
      </c>
      <c r="P38" s="39"/>
      <c r="Q38" s="186"/>
      <c r="R38" s="187"/>
      <c r="S38" s="201" t="s">
        <v>804</v>
      </c>
      <c r="W38" s="39"/>
      <c r="X38" s="186"/>
      <c r="Y38" s="187"/>
      <c r="Z38" s="201" t="s">
        <v>804</v>
      </c>
    </row>
    <row r="39" spans="1:26" x14ac:dyDescent="0.35">
      <c r="A39" t="s">
        <v>805</v>
      </c>
      <c r="B39" s="39" t="s">
        <v>805</v>
      </c>
      <c r="C39" s="200"/>
      <c r="D39" s="187"/>
      <c r="E39" s="201" t="s">
        <v>804</v>
      </c>
      <c r="I39" s="39"/>
      <c r="J39" s="186"/>
      <c r="K39" s="187"/>
      <c r="L39" s="201" t="s">
        <v>804</v>
      </c>
      <c r="P39" s="39"/>
      <c r="Q39" s="186"/>
      <c r="R39" s="187"/>
      <c r="S39" s="201" t="s">
        <v>804</v>
      </c>
      <c r="W39" s="39"/>
      <c r="X39" s="186"/>
      <c r="Y39" s="187"/>
      <c r="Z39" s="201" t="s">
        <v>804</v>
      </c>
    </row>
    <row r="40" spans="1:26" x14ac:dyDescent="0.35">
      <c r="A40" t="s">
        <v>805</v>
      </c>
      <c r="B40" s="39" t="s">
        <v>805</v>
      </c>
      <c r="C40" s="200"/>
      <c r="D40" s="187"/>
      <c r="E40" s="201" t="s">
        <v>804</v>
      </c>
      <c r="I40" s="39"/>
      <c r="J40" s="186"/>
      <c r="K40" s="187"/>
      <c r="L40" s="201" t="s">
        <v>804</v>
      </c>
      <c r="P40" s="39"/>
      <c r="Q40" s="186"/>
      <c r="R40" s="187"/>
      <c r="S40" s="201" t="s">
        <v>804</v>
      </c>
      <c r="W40" s="39"/>
      <c r="X40" s="186"/>
      <c r="Y40" s="187"/>
      <c r="Z40" s="201" t="s">
        <v>804</v>
      </c>
    </row>
    <row r="41" spans="1:26" x14ac:dyDescent="0.35">
      <c r="A41" t="s">
        <v>805</v>
      </c>
      <c r="B41" s="39" t="s">
        <v>805</v>
      </c>
      <c r="C41" s="200"/>
      <c r="D41" s="187"/>
      <c r="E41" s="201" t="s">
        <v>804</v>
      </c>
      <c r="I41" s="203"/>
      <c r="J41" s="186"/>
      <c r="K41" s="187"/>
      <c r="L41" s="201" t="s">
        <v>804</v>
      </c>
      <c r="P41" s="203"/>
      <c r="Q41" s="186"/>
      <c r="R41" s="187"/>
      <c r="S41" s="201" t="s">
        <v>804</v>
      </c>
      <c r="W41" s="203"/>
      <c r="X41" s="186"/>
      <c r="Y41" s="187"/>
      <c r="Z41" s="201" t="s">
        <v>804</v>
      </c>
    </row>
    <row r="42" spans="1:26" x14ac:dyDescent="0.35">
      <c r="A42" t="s">
        <v>805</v>
      </c>
      <c r="B42" s="39" t="s">
        <v>805</v>
      </c>
      <c r="C42" s="200"/>
      <c r="D42" s="187"/>
      <c r="E42" s="201" t="s">
        <v>804</v>
      </c>
      <c r="I42" s="203"/>
      <c r="J42" s="186"/>
      <c r="K42" s="187"/>
      <c r="L42" s="201" t="s">
        <v>804</v>
      </c>
      <c r="P42" s="203"/>
      <c r="Q42" s="186"/>
      <c r="R42" s="187"/>
      <c r="S42" s="201" t="s">
        <v>804</v>
      </c>
      <c r="W42" s="203"/>
      <c r="X42" s="186"/>
      <c r="Y42" s="187"/>
      <c r="Z42" s="201" t="s">
        <v>804</v>
      </c>
    </row>
    <row r="43" spans="1:26" x14ac:dyDescent="0.35">
      <c r="A43" t="s">
        <v>805</v>
      </c>
      <c r="B43" s="39" t="s">
        <v>805</v>
      </c>
      <c r="C43" s="200"/>
      <c r="D43" s="187"/>
      <c r="E43" s="201" t="s">
        <v>804</v>
      </c>
      <c r="I43" s="203"/>
      <c r="J43" s="186"/>
      <c r="K43" s="187"/>
      <c r="L43" s="201" t="s">
        <v>804</v>
      </c>
      <c r="P43" s="203"/>
      <c r="Q43" s="186"/>
      <c r="R43" s="187"/>
      <c r="S43" s="201" t="s">
        <v>804</v>
      </c>
      <c r="W43" s="203"/>
      <c r="X43" s="186"/>
      <c r="Y43" s="187"/>
      <c r="Z43" s="201" t="s">
        <v>804</v>
      </c>
    </row>
    <row r="44" spans="1:26" x14ac:dyDescent="0.35">
      <c r="A44" t="s">
        <v>805</v>
      </c>
      <c r="B44" s="39" t="s">
        <v>805</v>
      </c>
      <c r="C44" s="200"/>
      <c r="D44" s="187"/>
      <c r="E44" s="201" t="s">
        <v>804</v>
      </c>
      <c r="I44" s="203"/>
      <c r="J44" s="186"/>
      <c r="K44" s="187"/>
      <c r="L44" s="201" t="s">
        <v>804</v>
      </c>
      <c r="P44" s="203"/>
      <c r="Q44" s="186"/>
      <c r="R44" s="187"/>
      <c r="S44" s="201" t="s">
        <v>804</v>
      </c>
      <c r="W44" s="203"/>
      <c r="X44" s="186"/>
      <c r="Y44" s="187"/>
      <c r="Z44" s="201" t="s">
        <v>804</v>
      </c>
    </row>
    <row r="45" spans="1:26" x14ac:dyDescent="0.35">
      <c r="A45" t="s">
        <v>805</v>
      </c>
      <c r="B45" s="39" t="s">
        <v>805</v>
      </c>
      <c r="C45" s="200"/>
      <c r="D45" s="187"/>
      <c r="E45" s="201" t="s">
        <v>804</v>
      </c>
      <c r="I45" s="203"/>
      <c r="J45" s="186"/>
      <c r="K45" s="187"/>
      <c r="L45" s="201" t="s">
        <v>804</v>
      </c>
      <c r="P45" s="203"/>
      <c r="Q45" s="186"/>
      <c r="R45" s="187"/>
      <c r="S45" s="201" t="s">
        <v>804</v>
      </c>
      <c r="W45" s="203"/>
      <c r="X45" s="186"/>
      <c r="Y45" s="187"/>
      <c r="Z45" s="201" t="s">
        <v>804</v>
      </c>
    </row>
    <row r="46" spans="1:26" x14ac:dyDescent="0.35">
      <c r="A46" t="s">
        <v>805</v>
      </c>
      <c r="B46" s="39" t="s">
        <v>805</v>
      </c>
      <c r="C46" s="200"/>
      <c r="D46" s="187"/>
      <c r="E46" s="201" t="s">
        <v>804</v>
      </c>
      <c r="I46" s="203"/>
      <c r="J46" s="186"/>
      <c r="K46" s="187"/>
      <c r="L46" s="201" t="s">
        <v>804</v>
      </c>
      <c r="P46" s="203"/>
      <c r="Q46" s="186"/>
      <c r="R46" s="187"/>
      <c r="S46" s="201" t="s">
        <v>804</v>
      </c>
      <c r="W46" s="203"/>
      <c r="X46" s="186"/>
      <c r="Y46" s="187"/>
      <c r="Z46" s="201" t="s">
        <v>804</v>
      </c>
    </row>
    <row r="47" spans="1:26" x14ac:dyDescent="0.35">
      <c r="A47" t="s">
        <v>805</v>
      </c>
      <c r="B47" s="39" t="s">
        <v>805</v>
      </c>
      <c r="C47" s="200"/>
      <c r="D47" s="187"/>
      <c r="E47" s="201" t="s">
        <v>804</v>
      </c>
      <c r="I47" s="203"/>
      <c r="J47" s="186"/>
      <c r="K47" s="187"/>
      <c r="L47" s="201" t="s">
        <v>804</v>
      </c>
      <c r="P47" s="203"/>
      <c r="Q47" s="186"/>
      <c r="R47" s="187"/>
      <c r="S47" s="201" t="s">
        <v>804</v>
      </c>
      <c r="W47" s="203"/>
      <c r="X47" s="186"/>
      <c r="Y47" s="187"/>
      <c r="Z47" s="201" t="s">
        <v>804</v>
      </c>
    </row>
    <row r="48" spans="1:26" x14ac:dyDescent="0.35">
      <c r="A48" t="s">
        <v>805</v>
      </c>
      <c r="B48" s="39" t="s">
        <v>805</v>
      </c>
      <c r="C48" s="200"/>
      <c r="D48" s="187"/>
      <c r="E48" s="201" t="s">
        <v>804</v>
      </c>
      <c r="I48" s="203"/>
      <c r="J48" s="186"/>
      <c r="K48" s="187"/>
      <c r="L48" s="201" t="s">
        <v>804</v>
      </c>
      <c r="P48" s="203"/>
      <c r="Q48" s="186"/>
      <c r="R48" s="187"/>
      <c r="S48" s="201" t="s">
        <v>804</v>
      </c>
      <c r="W48" s="203"/>
      <c r="X48" s="186"/>
      <c r="Y48" s="187"/>
      <c r="Z48" s="201" t="s">
        <v>804</v>
      </c>
    </row>
    <row r="49" spans="1:26" x14ac:dyDescent="0.35">
      <c r="A49" t="s">
        <v>805</v>
      </c>
      <c r="B49" s="39" t="s">
        <v>805</v>
      </c>
      <c r="C49" s="200"/>
      <c r="D49" s="187"/>
      <c r="E49" s="201" t="s">
        <v>804</v>
      </c>
      <c r="I49" s="203"/>
      <c r="J49" s="186"/>
      <c r="K49" s="187"/>
      <c r="L49" s="201" t="s">
        <v>804</v>
      </c>
      <c r="P49" s="203"/>
      <c r="Q49" s="186"/>
      <c r="R49" s="187"/>
      <c r="S49" s="201" t="s">
        <v>804</v>
      </c>
      <c r="W49" s="203"/>
      <c r="X49" s="186"/>
      <c r="Y49" s="187"/>
      <c r="Z49" s="201" t="s">
        <v>804</v>
      </c>
    </row>
    <row r="50" spans="1:26" x14ac:dyDescent="0.35">
      <c r="A50" t="s">
        <v>805</v>
      </c>
      <c r="B50" s="39" t="s">
        <v>805</v>
      </c>
      <c r="C50" s="200"/>
      <c r="D50" s="187"/>
      <c r="E50" s="201" t="s">
        <v>804</v>
      </c>
      <c r="I50" s="203"/>
      <c r="J50" s="186"/>
      <c r="K50" s="187"/>
      <c r="P50" s="203"/>
      <c r="Q50" s="186"/>
      <c r="R50" s="187"/>
      <c r="W50" s="203"/>
      <c r="X50" s="186"/>
      <c r="Y50" s="187"/>
    </row>
    <row r="51" spans="1:26" x14ac:dyDescent="0.35">
      <c r="B51" s="203"/>
      <c r="C51" s="197"/>
      <c r="D51" s="189"/>
      <c r="I51" s="203"/>
      <c r="J51" s="188"/>
      <c r="K51" s="189"/>
      <c r="Q51" s="188"/>
      <c r="R51" s="189"/>
      <c r="X51" s="188"/>
      <c r="Y51" s="189"/>
    </row>
    <row r="52" spans="1:26" x14ac:dyDescent="0.35">
      <c r="A52" s="29" t="s">
        <v>932</v>
      </c>
      <c r="B52" s="29"/>
      <c r="C52" s="194"/>
      <c r="D52" s="29"/>
      <c r="H52" s="29"/>
      <c r="I52" s="29"/>
      <c r="J52" s="29"/>
      <c r="K52" s="29"/>
      <c r="O52" s="29"/>
      <c r="P52" s="29"/>
      <c r="Q52" s="29"/>
      <c r="R52" s="29"/>
      <c r="V52" s="29"/>
      <c r="W52" s="29"/>
      <c r="X52" s="29"/>
      <c r="Y52" s="29"/>
    </row>
    <row r="53" spans="1:26" x14ac:dyDescent="0.35">
      <c r="C53" s="198"/>
    </row>
    <row r="54" spans="1:26" x14ac:dyDescent="0.35">
      <c r="A54" s="29" t="s">
        <v>564</v>
      </c>
      <c r="B54" s="29" t="s">
        <v>533</v>
      </c>
      <c r="C54" s="199"/>
      <c r="D54" s="239"/>
      <c r="E54" s="240"/>
      <c r="H54" s="29"/>
      <c r="I54" s="29"/>
      <c r="J54" s="184"/>
      <c r="K54" s="185"/>
      <c r="L54" s="201" t="s">
        <v>804</v>
      </c>
      <c r="O54" s="29"/>
      <c r="P54" s="29"/>
      <c r="Q54" s="184"/>
      <c r="R54" s="185"/>
      <c r="S54" s="201" t="s">
        <v>804</v>
      </c>
      <c r="V54" s="29"/>
      <c r="W54" s="29"/>
      <c r="X54" s="184"/>
      <c r="Y54" s="185"/>
      <c r="Z54" s="201" t="s">
        <v>804</v>
      </c>
    </row>
    <row r="55" spans="1:26" x14ac:dyDescent="0.35">
      <c r="A55" t="s">
        <v>599</v>
      </c>
      <c r="B55" s="39">
        <v>0.25132101360111164</v>
      </c>
      <c r="C55" s="200"/>
      <c r="D55" s="1"/>
      <c r="E55" s="241" t="s">
        <v>804</v>
      </c>
      <c r="I55" s="39"/>
      <c r="J55" s="186"/>
      <c r="K55" s="187"/>
      <c r="L55" s="201" t="s">
        <v>804</v>
      </c>
      <c r="P55" s="39"/>
      <c r="Q55" s="186"/>
      <c r="R55" s="187"/>
      <c r="S55" s="201" t="s">
        <v>804</v>
      </c>
      <c r="W55" s="39"/>
      <c r="X55" s="186"/>
      <c r="Y55" s="187"/>
      <c r="Z55" s="201" t="s">
        <v>804</v>
      </c>
    </row>
    <row r="56" spans="1:26" x14ac:dyDescent="0.35">
      <c r="A56" t="s">
        <v>933</v>
      </c>
      <c r="B56" s="39">
        <v>1.7572602082658803E-3</v>
      </c>
      <c r="C56" s="200"/>
      <c r="D56" s="1"/>
      <c r="E56" s="241" t="s">
        <v>804</v>
      </c>
      <c r="I56" s="39"/>
      <c r="J56" s="186"/>
      <c r="K56" s="187"/>
      <c r="L56" s="201" t="s">
        <v>804</v>
      </c>
      <c r="P56" s="39"/>
      <c r="Q56" s="186"/>
      <c r="R56" s="187"/>
      <c r="S56" s="201" t="s">
        <v>804</v>
      </c>
      <c r="W56" s="39"/>
      <c r="X56" s="186"/>
      <c r="Y56" s="187"/>
      <c r="Z56" s="201" t="s">
        <v>804</v>
      </c>
    </row>
    <row r="57" spans="1:26" x14ac:dyDescent="0.35">
      <c r="A57" t="s">
        <v>639</v>
      </c>
      <c r="B57" s="39">
        <v>0.34273780847575019</v>
      </c>
      <c r="C57" s="200"/>
      <c r="D57" s="1"/>
      <c r="E57" s="241" t="s">
        <v>804</v>
      </c>
      <c r="I57" s="39"/>
      <c r="J57" s="186"/>
      <c r="K57" s="187"/>
      <c r="L57" s="201" t="s">
        <v>804</v>
      </c>
      <c r="P57" s="39"/>
      <c r="Q57" s="186"/>
      <c r="R57" s="187"/>
      <c r="S57" s="201" t="s">
        <v>804</v>
      </c>
      <c r="W57" s="39"/>
      <c r="X57" s="186"/>
      <c r="Y57" s="187"/>
      <c r="Z57" s="201" t="s">
        <v>804</v>
      </c>
    </row>
    <row r="58" spans="1:26" x14ac:dyDescent="0.35">
      <c r="A58" t="s">
        <v>621</v>
      </c>
      <c r="B58" s="39">
        <v>7.6802835098816344E-2</v>
      </c>
      <c r="C58" s="200"/>
      <c r="D58" s="1"/>
      <c r="E58" s="241" t="s">
        <v>804</v>
      </c>
      <c r="I58" s="39"/>
      <c r="J58" s="186"/>
      <c r="K58" s="187"/>
      <c r="L58" s="201" t="s">
        <v>804</v>
      </c>
      <c r="P58" s="39"/>
      <c r="Q58" s="186"/>
      <c r="R58" s="187"/>
      <c r="S58" s="201" t="s">
        <v>804</v>
      </c>
      <c r="W58" s="39"/>
      <c r="X58" s="186"/>
      <c r="Y58" s="187"/>
      <c r="Z58" s="201" t="s">
        <v>804</v>
      </c>
    </row>
    <row r="59" spans="1:26" x14ac:dyDescent="0.35">
      <c r="A59" t="s">
        <v>659</v>
      </c>
      <c r="B59" s="39">
        <v>0.14069121660496589</v>
      </c>
      <c r="C59" s="200"/>
      <c r="D59" s="1"/>
      <c r="E59" s="241" t="s">
        <v>804</v>
      </c>
      <c r="I59" s="39"/>
      <c r="J59" s="186"/>
      <c r="K59" s="187"/>
      <c r="L59" s="201" t="s">
        <v>804</v>
      </c>
      <c r="P59" s="39"/>
      <c r="Q59" s="186"/>
      <c r="R59" s="187"/>
      <c r="S59" s="201" t="s">
        <v>804</v>
      </c>
      <c r="W59" s="39"/>
      <c r="X59" s="186"/>
      <c r="Y59" s="187"/>
      <c r="Z59" s="201" t="s">
        <v>804</v>
      </c>
    </row>
    <row r="60" spans="1:26" x14ac:dyDescent="0.35">
      <c r="A60" t="s">
        <v>635</v>
      </c>
      <c r="B60" s="39">
        <v>0.12574548025721893</v>
      </c>
      <c r="C60" s="200"/>
      <c r="D60" s="1"/>
      <c r="E60" s="241" t="s">
        <v>804</v>
      </c>
      <c r="I60" s="39"/>
      <c r="J60" s="186"/>
      <c r="K60" s="187"/>
      <c r="L60" s="201" t="s">
        <v>804</v>
      </c>
      <c r="P60" s="39"/>
      <c r="Q60" s="186"/>
      <c r="R60" s="187"/>
      <c r="S60" s="201" t="s">
        <v>804</v>
      </c>
      <c r="W60" s="39"/>
      <c r="X60" s="186"/>
      <c r="Y60" s="187"/>
      <c r="Z60" s="201" t="s">
        <v>804</v>
      </c>
    </row>
    <row r="61" spans="1:26" x14ac:dyDescent="0.35">
      <c r="A61" t="s">
        <v>656</v>
      </c>
      <c r="B61" s="39">
        <v>6.0944385753871143E-2</v>
      </c>
      <c r="C61" s="200"/>
      <c r="D61" s="1"/>
      <c r="E61" s="241" t="s">
        <v>804</v>
      </c>
      <c r="I61" s="39"/>
      <c r="J61" s="186"/>
      <c r="K61" s="187"/>
      <c r="L61" s="201" t="s">
        <v>804</v>
      </c>
      <c r="P61" s="39"/>
      <c r="Q61" s="186"/>
      <c r="R61" s="187"/>
      <c r="S61" s="201" t="s">
        <v>804</v>
      </c>
      <c r="W61" s="39"/>
      <c r="X61" s="186"/>
      <c r="Y61" s="187"/>
      <c r="Z61" s="201" t="s">
        <v>804</v>
      </c>
    </row>
    <row r="62" spans="1:26" x14ac:dyDescent="0.35">
      <c r="A62" t="s">
        <v>805</v>
      </c>
      <c r="B62" s="39" t="s">
        <v>805</v>
      </c>
      <c r="C62" s="200"/>
      <c r="D62" s="1"/>
      <c r="E62" s="241" t="s">
        <v>804</v>
      </c>
      <c r="I62" s="39"/>
      <c r="J62" s="186"/>
      <c r="K62" s="187"/>
      <c r="L62" s="201" t="s">
        <v>804</v>
      </c>
      <c r="P62" s="39"/>
      <c r="Q62" s="186"/>
      <c r="R62" s="187"/>
      <c r="S62" s="201" t="s">
        <v>804</v>
      </c>
      <c r="W62" s="39"/>
      <c r="X62" s="186"/>
      <c r="Y62" s="187"/>
      <c r="Z62" s="201" t="s">
        <v>804</v>
      </c>
    </row>
    <row r="63" spans="1:26" x14ac:dyDescent="0.35">
      <c r="A63" t="s">
        <v>805</v>
      </c>
      <c r="B63" s="39" t="s">
        <v>805</v>
      </c>
      <c r="C63" s="200"/>
      <c r="D63" s="1"/>
      <c r="E63" s="241" t="s">
        <v>804</v>
      </c>
      <c r="I63" s="39"/>
      <c r="J63" s="186"/>
      <c r="K63" s="187"/>
      <c r="L63" s="201" t="s">
        <v>804</v>
      </c>
      <c r="P63" s="39"/>
      <c r="Q63" s="186"/>
      <c r="R63" s="187"/>
      <c r="S63" s="201" t="s">
        <v>804</v>
      </c>
      <c r="W63" s="39"/>
      <c r="X63" s="186"/>
      <c r="Y63" s="187"/>
      <c r="Z63" s="201" t="s">
        <v>804</v>
      </c>
    </row>
    <row r="64" spans="1:26" x14ac:dyDescent="0.35">
      <c r="A64" t="s">
        <v>805</v>
      </c>
      <c r="B64" s="39" t="s">
        <v>805</v>
      </c>
      <c r="C64" s="200"/>
      <c r="D64" s="1"/>
      <c r="E64" s="241" t="s">
        <v>804</v>
      </c>
      <c r="I64" s="39"/>
      <c r="J64" s="186"/>
      <c r="K64" s="187"/>
      <c r="L64" s="201" t="s">
        <v>804</v>
      </c>
      <c r="P64" s="39"/>
      <c r="Q64" s="186"/>
      <c r="R64" s="187"/>
      <c r="S64" s="201" t="s">
        <v>804</v>
      </c>
      <c r="W64" s="39"/>
      <c r="X64" s="186"/>
      <c r="Y64" s="187"/>
      <c r="Z64" s="201" t="s">
        <v>804</v>
      </c>
    </row>
    <row r="65" spans="1:26" x14ac:dyDescent="0.35">
      <c r="A65" t="s">
        <v>805</v>
      </c>
      <c r="B65" s="39" t="s">
        <v>805</v>
      </c>
      <c r="C65" s="200"/>
      <c r="D65" s="1"/>
      <c r="E65" s="241" t="s">
        <v>804</v>
      </c>
      <c r="I65" s="39"/>
      <c r="J65" s="186"/>
      <c r="K65" s="187"/>
      <c r="L65" s="201" t="s">
        <v>804</v>
      </c>
      <c r="P65" s="39"/>
      <c r="Q65" s="186"/>
      <c r="R65" s="187"/>
      <c r="S65" s="201" t="s">
        <v>804</v>
      </c>
      <c r="W65" s="39"/>
      <c r="X65" s="186"/>
      <c r="Y65" s="187"/>
      <c r="Z65" s="201" t="s">
        <v>804</v>
      </c>
    </row>
    <row r="66" spans="1:26" x14ac:dyDescent="0.35">
      <c r="A66" t="s">
        <v>805</v>
      </c>
      <c r="B66" s="39" t="s">
        <v>805</v>
      </c>
      <c r="C66" s="200"/>
      <c r="D66" s="1"/>
      <c r="E66" s="241" t="s">
        <v>804</v>
      </c>
      <c r="I66" s="39"/>
      <c r="J66" s="186"/>
      <c r="K66" s="187"/>
      <c r="L66" s="201" t="s">
        <v>804</v>
      </c>
      <c r="P66" s="39"/>
      <c r="Q66" s="186"/>
      <c r="R66" s="187"/>
      <c r="S66" s="201" t="s">
        <v>804</v>
      </c>
      <c r="W66" s="39"/>
      <c r="X66" s="186"/>
      <c r="Y66" s="187"/>
      <c r="Z66" s="201" t="s">
        <v>804</v>
      </c>
    </row>
    <row r="67" spans="1:26" x14ac:dyDescent="0.35">
      <c r="A67" t="s">
        <v>805</v>
      </c>
      <c r="B67" s="39" t="s">
        <v>805</v>
      </c>
      <c r="C67" s="200"/>
      <c r="D67" s="1"/>
      <c r="E67" s="241" t="s">
        <v>804</v>
      </c>
      <c r="I67" s="39"/>
      <c r="J67" s="186"/>
      <c r="K67" s="187"/>
      <c r="L67" s="201" t="s">
        <v>804</v>
      </c>
      <c r="P67" s="39"/>
      <c r="Q67" s="186"/>
      <c r="R67" s="187"/>
      <c r="S67" s="201" t="s">
        <v>804</v>
      </c>
      <c r="W67" s="39"/>
      <c r="X67" s="186"/>
      <c r="Y67" s="187"/>
      <c r="Z67" s="201" t="s">
        <v>804</v>
      </c>
    </row>
    <row r="68" spans="1:26" x14ac:dyDescent="0.35">
      <c r="A68" t="s">
        <v>805</v>
      </c>
      <c r="B68" s="39" t="s">
        <v>805</v>
      </c>
      <c r="C68" s="200"/>
      <c r="D68" s="1"/>
      <c r="E68" s="241" t="s">
        <v>804</v>
      </c>
      <c r="I68" s="39"/>
      <c r="J68" s="186"/>
      <c r="K68" s="187"/>
      <c r="L68" s="201" t="s">
        <v>804</v>
      </c>
      <c r="P68" s="39"/>
      <c r="Q68" s="186"/>
      <c r="R68" s="187"/>
      <c r="S68" s="201" t="s">
        <v>804</v>
      </c>
      <c r="W68" s="39"/>
      <c r="X68" s="186"/>
      <c r="Y68" s="187"/>
      <c r="Z68" s="201" t="s">
        <v>804</v>
      </c>
    </row>
    <row r="69" spans="1:26" x14ac:dyDescent="0.35">
      <c r="A69" t="s">
        <v>805</v>
      </c>
      <c r="B69" s="39" t="s">
        <v>805</v>
      </c>
      <c r="C69" s="200"/>
      <c r="D69" s="1"/>
      <c r="E69" s="241" t="s">
        <v>804</v>
      </c>
      <c r="I69" s="39"/>
      <c r="J69" s="186"/>
      <c r="K69" s="187"/>
      <c r="L69" s="201" t="s">
        <v>804</v>
      </c>
      <c r="P69" s="39"/>
      <c r="Q69" s="186"/>
      <c r="R69" s="187"/>
      <c r="S69" s="201" t="s">
        <v>804</v>
      </c>
      <c r="W69" s="39"/>
      <c r="X69" s="186"/>
      <c r="Y69" s="187"/>
      <c r="Z69" s="201" t="s">
        <v>804</v>
      </c>
    </row>
    <row r="70" spans="1:26" x14ac:dyDescent="0.35">
      <c r="A70" t="s">
        <v>805</v>
      </c>
      <c r="B70" s="39" t="s">
        <v>805</v>
      </c>
      <c r="C70" s="242"/>
      <c r="D70" s="243"/>
      <c r="E70" s="244" t="s">
        <v>804</v>
      </c>
      <c r="I70" s="39"/>
      <c r="J70" s="188"/>
      <c r="K70" s="189"/>
      <c r="L70" s="201" t="s">
        <v>804</v>
      </c>
      <c r="P70" s="39"/>
      <c r="Q70" s="188"/>
      <c r="R70" s="189"/>
      <c r="S70" s="201" t="s">
        <v>804</v>
      </c>
      <c r="W70" s="39"/>
      <c r="X70" s="188"/>
      <c r="Y70" s="189"/>
      <c r="Z70" s="201" t="s">
        <v>804</v>
      </c>
    </row>
    <row r="71" spans="1:26" x14ac:dyDescent="0.35">
      <c r="B71" s="203"/>
      <c r="C71" s="238"/>
      <c r="D71" s="1"/>
      <c r="E71" s="201" t="s">
        <v>804</v>
      </c>
      <c r="I71" s="203"/>
      <c r="L71" s="201" t="s">
        <v>804</v>
      </c>
      <c r="P71" s="203"/>
      <c r="S71" s="201" t="s">
        <v>804</v>
      </c>
      <c r="W71" s="203"/>
      <c r="Z71" s="201" t="s">
        <v>804</v>
      </c>
    </row>
    <row r="72" spans="1:26" x14ac:dyDescent="0.35">
      <c r="B72" s="203"/>
      <c r="C72" s="238"/>
      <c r="D72" s="1"/>
      <c r="E72" s="201" t="s">
        <v>804</v>
      </c>
      <c r="I72" s="203"/>
      <c r="L72" s="201" t="s">
        <v>804</v>
      </c>
      <c r="P72" s="203"/>
      <c r="S72" s="201" t="s">
        <v>804</v>
      </c>
      <c r="W72" s="203"/>
      <c r="Z72" s="201" t="s">
        <v>804</v>
      </c>
    </row>
    <row r="73" spans="1:26" x14ac:dyDescent="0.35">
      <c r="B73" s="203"/>
      <c r="C73" s="238"/>
      <c r="D73" s="1"/>
      <c r="E73" s="201" t="s">
        <v>804</v>
      </c>
      <c r="I73" s="203"/>
      <c r="L73" s="201" t="s">
        <v>804</v>
      </c>
      <c r="P73" s="203"/>
      <c r="S73" s="201" t="s">
        <v>804</v>
      </c>
      <c r="W73" s="203"/>
      <c r="Z73" s="201" t="s">
        <v>804</v>
      </c>
    </row>
    <row r="74" spans="1:26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</row>
    <row r="75" spans="1:26" x14ac:dyDescent="0.35">
      <c r="I75" s="203"/>
      <c r="P75" s="203"/>
      <c r="W75" s="203"/>
    </row>
    <row r="76" spans="1:26" x14ac:dyDescent="0.35">
      <c r="I76" s="203"/>
      <c r="P76" s="203"/>
      <c r="W76" s="203"/>
    </row>
    <row r="77" spans="1:26" x14ac:dyDescent="0.35">
      <c r="I77" s="203"/>
      <c r="P77" s="203"/>
      <c r="W77" s="203"/>
    </row>
    <row r="78" spans="1:26" x14ac:dyDescent="0.35">
      <c r="I78" s="203"/>
      <c r="P78" s="203"/>
      <c r="W78" s="203"/>
    </row>
    <row r="79" spans="1:26" x14ac:dyDescent="0.35">
      <c r="I79" s="203"/>
      <c r="P79" s="203"/>
      <c r="W79" s="203"/>
    </row>
    <row r="80" spans="1:26" x14ac:dyDescent="0.35">
      <c r="I80" s="203"/>
      <c r="P80" s="203"/>
      <c r="W80" s="203"/>
    </row>
    <row r="81" spans="9:23" x14ac:dyDescent="0.35">
      <c r="I81" s="203"/>
      <c r="W81" s="203"/>
    </row>
    <row r="82" spans="9:23" x14ac:dyDescent="0.35">
      <c r="I82" s="203"/>
      <c r="W82" s="203"/>
    </row>
  </sheetData>
  <mergeCells count="4">
    <mergeCell ref="B3:D3"/>
    <mergeCell ref="I3:K3"/>
    <mergeCell ref="P3:R3"/>
    <mergeCell ref="W3:Y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PastePeerSet1">
                <anchor moveWithCells="1" sizeWithCells="1">
                  <from>
                    <xdr:col>0</xdr:col>
                    <xdr:colOff>76200</xdr:colOff>
                    <xdr:row>1</xdr:row>
                    <xdr:rowOff>266700</xdr:rowOff>
                  </from>
                  <to>
                    <xdr:col>0</xdr:col>
                    <xdr:colOff>2959100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PastePeerSet2">
                <anchor moveWithCells="1" sizeWithCells="1">
                  <from>
                    <xdr:col>7</xdr:col>
                    <xdr:colOff>76200</xdr:colOff>
                    <xdr:row>1</xdr:row>
                    <xdr:rowOff>266700</xdr:rowOff>
                  </from>
                  <to>
                    <xdr:col>7</xdr:col>
                    <xdr:colOff>2959100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PastePeerSet3">
                <anchor moveWithCells="1" sizeWithCells="1">
                  <from>
                    <xdr:col>14</xdr:col>
                    <xdr:colOff>76200</xdr:colOff>
                    <xdr:row>1</xdr:row>
                    <xdr:rowOff>266700</xdr:rowOff>
                  </from>
                  <to>
                    <xdr:col>14</xdr:col>
                    <xdr:colOff>2959100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Button 4">
              <controlPr defaultSize="0" print="0" autoFill="0" autoPict="0" macro="[0]!PastePeerSet4">
                <anchor moveWithCells="1" sizeWithCells="1">
                  <from>
                    <xdr:col>21</xdr:col>
                    <xdr:colOff>76200</xdr:colOff>
                    <xdr:row>1</xdr:row>
                    <xdr:rowOff>266700</xdr:rowOff>
                  </from>
                  <to>
                    <xdr:col>21</xdr:col>
                    <xdr:colOff>2959100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Button 5">
              <controlPr defaultSize="0" print="0" autoFill="0" autoPict="0" macro="[0]!ClearPeerSetPage">
                <anchor moveWithCells="1" sizeWithCells="1">
                  <from>
                    <xdr:col>0</xdr:col>
                    <xdr:colOff>38100</xdr:colOff>
                    <xdr:row>0</xdr:row>
                    <xdr:rowOff>76200</xdr:rowOff>
                  </from>
                  <to>
                    <xdr:col>0</xdr:col>
                    <xdr:colOff>2921000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4B9A8-E8B1-487E-9E24-F15ED36281B6}">
  <dimension ref="A1:I15"/>
  <sheetViews>
    <sheetView workbookViewId="0">
      <selection activeCell="G11" sqref="G11"/>
    </sheetView>
  </sheetViews>
  <sheetFormatPr defaultRowHeight="14.5" x14ac:dyDescent="0.35"/>
  <cols>
    <col min="2" max="2" width="33" bestFit="1" customWidth="1"/>
    <col min="3" max="3" width="14.90625" bestFit="1" customWidth="1"/>
    <col min="5" max="8" width="13.36328125" bestFit="1" customWidth="1"/>
  </cols>
  <sheetData>
    <row r="1" spans="1:9" ht="29" x14ac:dyDescent="0.35">
      <c r="A1" s="334" t="s">
        <v>812</v>
      </c>
      <c r="B1" s="279" t="s">
        <v>519</v>
      </c>
      <c r="C1" s="279" t="s">
        <v>520</v>
      </c>
      <c r="D1" s="294" t="s">
        <v>521</v>
      </c>
      <c r="E1" s="280" t="s">
        <v>921</v>
      </c>
      <c r="F1" s="302" t="s">
        <v>3</v>
      </c>
      <c r="G1" s="283" t="s">
        <v>4</v>
      </c>
      <c r="H1" s="283" t="s">
        <v>5</v>
      </c>
    </row>
    <row r="2" spans="1:9" x14ac:dyDescent="0.35">
      <c r="A2" s="252"/>
      <c r="B2" s="249" t="s">
        <v>702</v>
      </c>
      <c r="C2" s="250"/>
      <c r="D2" s="252"/>
      <c r="E2" s="252"/>
      <c r="F2" s="304"/>
      <c r="G2" s="252"/>
      <c r="H2" s="252"/>
    </row>
    <row r="3" spans="1:9" x14ac:dyDescent="0.35">
      <c r="A3" s="142" t="s">
        <v>814</v>
      </c>
      <c r="B3" s="208" t="s">
        <v>11</v>
      </c>
      <c r="C3" s="209" t="s">
        <v>530</v>
      </c>
      <c r="D3" s="214" t="s">
        <v>531</v>
      </c>
      <c r="E3" s="41">
        <v>5.0018999443274028</v>
      </c>
      <c r="F3" s="306">
        <v>3.0413828919798251</v>
      </c>
      <c r="G3" s="44">
        <v>5.5861671969876587</v>
      </c>
      <c r="H3" s="44">
        <v>7.5258134732377071</v>
      </c>
    </row>
    <row r="5" spans="1:9" x14ac:dyDescent="0.35">
      <c r="A5" s="363"/>
      <c r="B5" s="363"/>
      <c r="C5" s="363"/>
      <c r="D5" s="363"/>
      <c r="E5" s="363"/>
      <c r="F5" s="363"/>
      <c r="G5" s="363"/>
      <c r="H5" s="363"/>
    </row>
    <row r="6" spans="1:9" x14ac:dyDescent="0.35">
      <c r="B6" t="s">
        <v>934</v>
      </c>
      <c r="E6" s="364">
        <v>317837.13688171603</v>
      </c>
      <c r="F6" s="364">
        <f>+$E$7*F3</f>
        <v>193259.4496705565</v>
      </c>
      <c r="G6" s="364">
        <f>+$E$7*G3</f>
        <v>354963.39546869241</v>
      </c>
      <c r="H6" s="364">
        <f>+$E$7*H3</f>
        <v>478214.88507630711</v>
      </c>
    </row>
    <row r="7" spans="1:9" x14ac:dyDescent="0.35">
      <c r="B7" t="s">
        <v>935</v>
      </c>
      <c r="E7" s="364">
        <v>63543.281636845109</v>
      </c>
      <c r="F7" s="364">
        <v>63543.281636845109</v>
      </c>
      <c r="G7" s="364">
        <v>63543.281636845109</v>
      </c>
      <c r="H7" s="364">
        <v>63543.281636845109</v>
      </c>
    </row>
    <row r="8" spans="1:9" x14ac:dyDescent="0.35">
      <c r="B8" t="s">
        <v>938</v>
      </c>
      <c r="E8" s="364">
        <v>2176861.4529974801</v>
      </c>
      <c r="F8" s="364">
        <v>2176861.4529974801</v>
      </c>
      <c r="G8" s="364">
        <v>2176861.4529974801</v>
      </c>
      <c r="H8" s="364">
        <v>2176861.4529974801</v>
      </c>
    </row>
    <row r="11" spans="1:9" x14ac:dyDescent="0.35">
      <c r="B11" t="s">
        <v>936</v>
      </c>
      <c r="G11" s="365">
        <f>+G6-E6</f>
        <v>37126.258586976386</v>
      </c>
      <c r="H11" s="365">
        <f>+H6-E6</f>
        <v>160377.74819459108</v>
      </c>
      <c r="I11" s="366"/>
    </row>
    <row r="12" spans="1:9" x14ac:dyDescent="0.35">
      <c r="B12" t="s">
        <v>937</v>
      </c>
      <c r="G12" s="364">
        <v>247508.39057984258</v>
      </c>
      <c r="H12" s="364">
        <v>1069184.9879639405</v>
      </c>
    </row>
    <row r="14" spans="1:9" x14ac:dyDescent="0.35">
      <c r="B14" t="s">
        <v>533</v>
      </c>
      <c r="G14" s="367">
        <f>+G11/E6</f>
        <v>0.11680906438819648</v>
      </c>
      <c r="H14" s="367">
        <f>+H11/E6</f>
        <v>0.50459096683304228</v>
      </c>
    </row>
    <row r="15" spans="1:9" x14ac:dyDescent="0.35">
      <c r="B15" t="s">
        <v>533</v>
      </c>
      <c r="G15" s="367">
        <f>+G12/E8</f>
        <v>0.11369965242346046</v>
      </c>
      <c r="H15" s="367">
        <f>+H12/E8</f>
        <v>0.49115895110903879</v>
      </c>
    </row>
  </sheetData>
  <conditionalFormatting sqref="E3">
    <cfRule type="expression" priority="3849" stopIfTrue="1">
      <formula>$FL3&lt;4</formula>
    </cfRule>
    <cfRule type="expression" dxfId="13" priority="3850">
      <formula>IF(AND(#REF!="c",$AL$2="£"),TRUE,FALSE)</formula>
    </cfRule>
    <cfRule type="expression" dxfId="12" priority="3851">
      <formula>IF(AND(#REF!="c",$AL$2="€"),TRUE,FALSE)</formula>
    </cfRule>
    <cfRule type="expression" dxfId="11" priority="3852">
      <formula>IF(AND(#REF!="c",$AL$2="¥"),TRUE,FALSE)</formula>
    </cfRule>
    <cfRule type="expression" dxfId="10" priority="3853">
      <formula>IF(AND(#REF!="c",$AL$2="$"),TRUE,FALSE)</formula>
    </cfRule>
    <cfRule type="cellIs" dxfId="9" priority="3854" operator="lessThan">
      <formula>$FN3</formula>
    </cfRule>
    <cfRule type="cellIs" dxfId="8" priority="3855" operator="between">
      <formula>$FN3</formula>
      <formula>$FO3</formula>
    </cfRule>
    <cfRule type="cellIs" dxfId="7" priority="3856" operator="between">
      <formula>$FO3</formula>
      <formula>$FP3</formula>
    </cfRule>
    <cfRule type="cellIs" dxfId="6" priority="3857" operator="between">
      <formula>$FP3</formula>
      <formula>$FQ3</formula>
    </cfRule>
    <cfRule type="cellIs" dxfId="5" priority="3858" operator="greaterThanOrEqual">
      <formula>$FQ3</formula>
    </cfRule>
  </conditionalFormatting>
  <conditionalFormatting sqref="E3:H3">
    <cfRule type="expression" dxfId="4" priority="3859">
      <formula>IF(AND(#REF!="c",$AL$2="kr"),TRUE,FALSE)</formula>
    </cfRule>
  </conditionalFormatting>
  <conditionalFormatting sqref="F3:H3">
    <cfRule type="expression" priority="3861" stopIfTrue="1">
      <formula>$FL3&lt;4</formula>
    </cfRule>
    <cfRule type="expression" dxfId="3" priority="3862">
      <formula>IF(AND(#REF!="c",$AL$2="£"),TRUE,FALSE)</formula>
    </cfRule>
    <cfRule type="expression" dxfId="2" priority="3863">
      <formula>IF(AND(#REF!="c",$AL$2="€"),TRUE,FALSE)</formula>
    </cfRule>
    <cfRule type="expression" dxfId="1" priority="3864">
      <formula>IF(AND(#REF!="c",$AL$2="¥"),TRUE,FALSE)</formula>
    </cfRule>
    <cfRule type="expression" dxfId="0" priority="3865">
      <formula>IF(AND(#REF!="c",$AL$2="$"),TRUE,FALSE)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stopIfTrue="1" operator="containsText" id="{F9ABF722-5741-4575-BA5E-55F7296E6A10}">
            <xm:f>NOT(ISERROR(SEARCH("-",E3)))</xm:f>
            <xm:f>"-"</xm:f>
            <x14:dxf/>
          </x14:cfRule>
          <xm:sqref>E3</xm:sqref>
        </x14:conditionalFormatting>
        <x14:conditionalFormatting xmlns:xm="http://schemas.microsoft.com/office/excel/2006/main">
          <x14:cfRule type="containsText" priority="1" stopIfTrue="1" operator="containsText" id="{DCFF624A-E29C-4D6B-8C33-E910780F8F64}">
            <xm:f>NOT(ISERROR(SEARCH("-",F3)))</xm:f>
            <xm:f>"-"</xm:f>
            <x14:dxf/>
          </x14:cfRule>
          <xm:sqref>F3:H3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S3424"/>
  <sheetViews>
    <sheetView zoomScale="70" zoomScaleNormal="70" workbookViewId="0">
      <pane ySplit="1" topLeftCell="A2" activePane="bottomLeft" state="frozen"/>
      <selection pane="bottomLeft" activeCell="O12" sqref="O12"/>
    </sheetView>
  </sheetViews>
  <sheetFormatPr defaultColWidth="9" defaultRowHeight="14.5" x14ac:dyDescent="0.35"/>
  <cols>
    <col min="1" max="1" width="8.36328125" style="30" bestFit="1" customWidth="1"/>
    <col min="2" max="2" width="12.36328125" style="30" bestFit="1" customWidth="1"/>
    <col min="3" max="3" width="65.90625" style="30" bestFit="1" customWidth="1"/>
    <col min="4" max="4" width="23" style="30" bestFit="1" customWidth="1"/>
    <col min="5" max="6" width="19.453125" style="30" customWidth="1"/>
    <col min="7" max="10" width="9" style="30"/>
    <col min="11" max="11" width="12.453125" style="30" bestFit="1" customWidth="1"/>
    <col min="12" max="12" width="13.08984375" style="30" bestFit="1" customWidth="1"/>
    <col min="13" max="16384" width="9" style="30"/>
  </cols>
  <sheetData>
    <row r="1" spans="1:19" x14ac:dyDescent="0.35">
      <c r="A1" s="31" t="s">
        <v>561</v>
      </c>
      <c r="B1" s="31" t="s">
        <v>562</v>
      </c>
      <c r="C1" s="31" t="s">
        <v>563</v>
      </c>
      <c r="D1" s="36" t="s">
        <v>564</v>
      </c>
      <c r="E1" s="36" t="s">
        <v>565</v>
      </c>
      <c r="F1" s="36"/>
      <c r="H1" s="30" t="s">
        <v>566</v>
      </c>
      <c r="I1" s="30" t="s">
        <v>567</v>
      </c>
      <c r="K1" s="30" t="s">
        <v>568</v>
      </c>
      <c r="L1" s="30" t="s">
        <v>569</v>
      </c>
      <c r="S1" s="30" t="s">
        <v>570</v>
      </c>
    </row>
    <row r="2" spans="1:19" ht="15.5" x14ac:dyDescent="0.35">
      <c r="A2" s="32">
        <v>1</v>
      </c>
      <c r="B2" s="32" t="s">
        <v>571</v>
      </c>
      <c r="C2" s="32" t="s">
        <v>572</v>
      </c>
      <c r="D2" s="30" t="s">
        <v>573</v>
      </c>
      <c r="E2" s="30" t="s">
        <v>574</v>
      </c>
      <c r="H2" s="30" t="s">
        <v>265</v>
      </c>
      <c r="I2" s="50" t="s">
        <v>575</v>
      </c>
      <c r="K2" s="30" t="str">
        <f t="array" ref="K2:K5">TRANSPOSE('KPI Count-SHARE'!C3:F3)</f>
        <v>Distributors</v>
      </c>
      <c r="L2" s="30" t="s">
        <v>576</v>
      </c>
      <c r="S2" s="30" t="s">
        <v>3</v>
      </c>
    </row>
    <row r="3" spans="1:19" ht="15.5" x14ac:dyDescent="0.35">
      <c r="A3" s="32">
        <v>2</v>
      </c>
      <c r="B3" s="32" t="s">
        <v>571</v>
      </c>
      <c r="C3" s="32" t="s">
        <v>577</v>
      </c>
      <c r="D3" s="30" t="s">
        <v>573</v>
      </c>
      <c r="E3" s="30" t="s">
        <v>574</v>
      </c>
      <c r="H3" s="30" t="s">
        <v>406</v>
      </c>
      <c r="I3" s="51" t="s">
        <v>578</v>
      </c>
      <c r="K3" s="30" t="str">
        <v>Reference Set 2</v>
      </c>
      <c r="L3" s="30" t="s">
        <v>579</v>
      </c>
      <c r="S3" s="30" t="s">
        <v>4</v>
      </c>
    </row>
    <row r="4" spans="1:19" ht="15.5" x14ac:dyDescent="0.35">
      <c r="A4" s="32">
        <v>3</v>
      </c>
      <c r="B4" s="32" t="s">
        <v>571</v>
      </c>
      <c r="C4" s="32" t="s">
        <v>580</v>
      </c>
      <c r="D4" s="30" t="s">
        <v>573</v>
      </c>
      <c r="E4" s="30" t="s">
        <v>574</v>
      </c>
      <c r="H4" s="30" t="s">
        <v>581</v>
      </c>
      <c r="I4" s="51" t="s">
        <v>582</v>
      </c>
      <c r="K4" s="30" t="str">
        <v>Reference Set 3</v>
      </c>
      <c r="L4" s="30" t="s">
        <v>583</v>
      </c>
      <c r="S4" s="30" t="s">
        <v>5</v>
      </c>
    </row>
    <row r="5" spans="1:19" ht="15.5" x14ac:dyDescent="0.35">
      <c r="A5" s="32">
        <v>4</v>
      </c>
      <c r="B5" s="32" t="s">
        <v>571</v>
      </c>
      <c r="C5" s="32" t="s">
        <v>584</v>
      </c>
      <c r="D5" s="30" t="s">
        <v>573</v>
      </c>
      <c r="E5" s="30" t="s">
        <v>574</v>
      </c>
      <c r="H5" s="30" t="s">
        <v>585</v>
      </c>
      <c r="I5" s="51" t="s">
        <v>586</v>
      </c>
      <c r="K5" s="30" t="str">
        <v>Reference Set 4</v>
      </c>
      <c r="L5" s="30" t="s">
        <v>587</v>
      </c>
      <c r="S5" s="30" t="s">
        <v>588</v>
      </c>
    </row>
    <row r="6" spans="1:19" ht="15.5" x14ac:dyDescent="0.35">
      <c r="A6" s="32">
        <v>5</v>
      </c>
      <c r="B6" s="32" t="s">
        <v>571</v>
      </c>
      <c r="C6" s="32" t="s">
        <v>572</v>
      </c>
      <c r="D6" s="30" t="s">
        <v>573</v>
      </c>
      <c r="E6" s="30" t="s">
        <v>574</v>
      </c>
      <c r="H6" s="30" t="s">
        <v>589</v>
      </c>
      <c r="I6" s="51" t="s">
        <v>590</v>
      </c>
    </row>
    <row r="7" spans="1:19" x14ac:dyDescent="0.35">
      <c r="A7" s="32">
        <v>6</v>
      </c>
      <c r="B7" s="32" t="s">
        <v>571</v>
      </c>
      <c r="C7" s="32" t="s">
        <v>577</v>
      </c>
      <c r="D7" s="30" t="s">
        <v>573</v>
      </c>
      <c r="E7" s="30" t="s">
        <v>574</v>
      </c>
      <c r="K7" s="28"/>
      <c r="L7" s="28" t="s">
        <v>524</v>
      </c>
      <c r="M7" s="28" t="s">
        <v>525</v>
      </c>
      <c r="N7" s="28" t="s">
        <v>526</v>
      </c>
      <c r="O7" s="30" t="s">
        <v>527</v>
      </c>
    </row>
    <row r="8" spans="1:19" x14ac:dyDescent="0.35">
      <c r="A8" s="32">
        <v>7</v>
      </c>
      <c r="B8" s="32" t="s">
        <v>571</v>
      </c>
      <c r="C8" s="32" t="s">
        <v>580</v>
      </c>
      <c r="D8" s="30" t="s">
        <v>573</v>
      </c>
      <c r="E8" s="30" t="s">
        <v>574</v>
      </c>
      <c r="K8" s="28" t="s">
        <v>576</v>
      </c>
      <c r="L8" s="206" t="s">
        <v>906</v>
      </c>
      <c r="M8" s="206" t="s">
        <v>907</v>
      </c>
      <c r="N8" s="206" t="s">
        <v>908</v>
      </c>
      <c r="O8" s="86" t="s">
        <v>594</v>
      </c>
    </row>
    <row r="9" spans="1:19" x14ac:dyDescent="0.35">
      <c r="A9" s="32">
        <v>8</v>
      </c>
      <c r="B9" s="32" t="s">
        <v>571</v>
      </c>
      <c r="C9" s="32" t="s">
        <v>584</v>
      </c>
      <c r="D9" s="30" t="s">
        <v>573</v>
      </c>
      <c r="E9" s="30" t="s">
        <v>574</v>
      </c>
      <c r="K9" s="28" t="s">
        <v>579</v>
      </c>
      <c r="L9" s="206" t="s">
        <v>909</v>
      </c>
      <c r="M9" s="206" t="s">
        <v>910</v>
      </c>
      <c r="N9" s="206" t="s">
        <v>911</v>
      </c>
      <c r="O9" s="86" t="s">
        <v>912</v>
      </c>
    </row>
    <row r="10" spans="1:19" x14ac:dyDescent="0.35">
      <c r="A10" s="32">
        <v>9</v>
      </c>
      <c r="B10" s="32" t="s">
        <v>571</v>
      </c>
      <c r="C10" s="32" t="s">
        <v>572</v>
      </c>
      <c r="D10" s="30" t="s">
        <v>599</v>
      </c>
      <c r="E10" s="30" t="s">
        <v>600</v>
      </c>
      <c r="K10" s="28" t="s">
        <v>583</v>
      </c>
      <c r="L10" s="206" t="s">
        <v>913</v>
      </c>
      <c r="M10" s="206" t="s">
        <v>914</v>
      </c>
      <c r="N10" s="206" t="s">
        <v>915</v>
      </c>
      <c r="O10" s="86" t="s">
        <v>916</v>
      </c>
    </row>
    <row r="11" spans="1:19" x14ac:dyDescent="0.35">
      <c r="A11" s="32">
        <v>11</v>
      </c>
      <c r="B11" s="32" t="s">
        <v>571</v>
      </c>
      <c r="C11" s="32" t="s">
        <v>605</v>
      </c>
      <c r="D11" s="30" t="s">
        <v>599</v>
      </c>
      <c r="E11" s="30" t="s">
        <v>600</v>
      </c>
      <c r="K11" s="28" t="s">
        <v>587</v>
      </c>
      <c r="L11" s="206" t="s">
        <v>917</v>
      </c>
      <c r="M11" s="206" t="s">
        <v>918</v>
      </c>
      <c r="N11" s="206" t="s">
        <v>919</v>
      </c>
      <c r="O11" s="86" t="s">
        <v>920</v>
      </c>
    </row>
    <row r="12" spans="1:19" x14ac:dyDescent="0.35">
      <c r="A12" s="32">
        <v>12</v>
      </c>
      <c r="B12" s="32" t="s">
        <v>571</v>
      </c>
      <c r="C12" s="32" t="s">
        <v>572</v>
      </c>
      <c r="D12" s="30" t="s">
        <v>599</v>
      </c>
      <c r="E12" s="30" t="s">
        <v>600</v>
      </c>
    </row>
    <row r="13" spans="1:19" x14ac:dyDescent="0.35">
      <c r="A13" s="32">
        <v>18</v>
      </c>
      <c r="B13" s="32" t="s">
        <v>610</v>
      </c>
      <c r="C13" s="32" t="s">
        <v>572</v>
      </c>
      <c r="D13" s="30" t="s">
        <v>599</v>
      </c>
      <c r="E13" s="30" t="s">
        <v>600</v>
      </c>
    </row>
    <row r="14" spans="1:19" x14ac:dyDescent="0.35">
      <c r="A14" s="32">
        <v>19</v>
      </c>
      <c r="B14" s="32" t="s">
        <v>611</v>
      </c>
      <c r="C14" s="32" t="s">
        <v>605</v>
      </c>
      <c r="D14" s="30" t="s">
        <v>612</v>
      </c>
      <c r="E14" s="30" t="s">
        <v>613</v>
      </c>
      <c r="J14" s="86" t="s">
        <v>614</v>
      </c>
      <c r="K14" s="30" t="s">
        <v>568</v>
      </c>
      <c r="L14" s="30" t="s">
        <v>569</v>
      </c>
    </row>
    <row r="15" spans="1:19" x14ac:dyDescent="0.35">
      <c r="A15" s="32">
        <v>20</v>
      </c>
      <c r="B15" s="32" t="s">
        <v>571</v>
      </c>
      <c r="C15" s="32" t="s">
        <v>572</v>
      </c>
      <c r="D15" s="30" t="s">
        <v>599</v>
      </c>
      <c r="E15" s="30" t="s">
        <v>615</v>
      </c>
      <c r="K15" s="30" t="str">
        <f t="array" ref="K15:K18">TRANSPOSE('KPI Count-SHARE'!J3:M3)</f>
        <v>Reference Set 1</v>
      </c>
      <c r="L15" s="30" t="s">
        <v>616</v>
      </c>
    </row>
    <row r="16" spans="1:19" x14ac:dyDescent="0.35">
      <c r="A16" s="32">
        <v>21</v>
      </c>
      <c r="B16" s="32" t="s">
        <v>571</v>
      </c>
      <c r="C16" s="32" t="s">
        <v>617</v>
      </c>
      <c r="D16" s="30" t="s">
        <v>599</v>
      </c>
      <c r="E16" s="30" t="s">
        <v>615</v>
      </c>
      <c r="K16" s="30" t="str">
        <v>Reference Set 2</v>
      </c>
      <c r="L16" s="30" t="s">
        <v>618</v>
      </c>
    </row>
    <row r="17" spans="1:15" x14ac:dyDescent="0.35">
      <c r="A17" s="32">
        <v>22</v>
      </c>
      <c r="B17" s="32" t="s">
        <v>571</v>
      </c>
      <c r="C17" s="32" t="s">
        <v>619</v>
      </c>
      <c r="D17" s="30" t="s">
        <v>599</v>
      </c>
      <c r="E17" s="30" t="s">
        <v>615</v>
      </c>
      <c r="K17" s="30" t="str">
        <v>Reference Set 3</v>
      </c>
      <c r="L17" s="30" t="s">
        <v>620</v>
      </c>
    </row>
    <row r="18" spans="1:15" x14ac:dyDescent="0.35">
      <c r="A18" s="32">
        <v>27</v>
      </c>
      <c r="B18" s="32" t="s">
        <v>611</v>
      </c>
      <c r="C18" s="32" t="s">
        <v>605</v>
      </c>
      <c r="D18" s="30" t="s">
        <v>621</v>
      </c>
      <c r="E18" s="30" t="s">
        <v>622</v>
      </c>
      <c r="K18" s="30" t="str">
        <v>Reference Set 4</v>
      </c>
      <c r="L18" s="30" t="s">
        <v>623</v>
      </c>
    </row>
    <row r="19" spans="1:15" x14ac:dyDescent="0.35">
      <c r="A19" s="32">
        <v>28</v>
      </c>
      <c r="B19" s="32" t="s">
        <v>611</v>
      </c>
      <c r="C19" s="32" t="s">
        <v>572</v>
      </c>
      <c r="D19" s="30" t="s">
        <v>621</v>
      </c>
      <c r="E19" s="30" t="s">
        <v>622</v>
      </c>
    </row>
    <row r="20" spans="1:15" x14ac:dyDescent="0.35">
      <c r="A20" s="32">
        <v>29</v>
      </c>
      <c r="B20" s="32" t="s">
        <v>571</v>
      </c>
      <c r="C20" s="32" t="s">
        <v>572</v>
      </c>
      <c r="D20" s="30" t="s">
        <v>599</v>
      </c>
      <c r="E20" s="30" t="s">
        <v>615</v>
      </c>
      <c r="K20" s="28"/>
      <c r="L20" s="28" t="s">
        <v>524</v>
      </c>
      <c r="M20" s="28" t="s">
        <v>525</v>
      </c>
      <c r="N20" s="28" t="s">
        <v>526</v>
      </c>
      <c r="O20" s="30" t="s">
        <v>527</v>
      </c>
    </row>
    <row r="21" spans="1:15" x14ac:dyDescent="0.35">
      <c r="A21" s="32">
        <v>30</v>
      </c>
      <c r="B21" s="32" t="s">
        <v>571</v>
      </c>
      <c r="C21" s="32" t="s">
        <v>624</v>
      </c>
      <c r="D21" s="30" t="s">
        <v>599</v>
      </c>
      <c r="E21" s="30" t="s">
        <v>615</v>
      </c>
      <c r="K21" s="30" t="s">
        <v>616</v>
      </c>
      <c r="L21" s="206" t="s">
        <v>591</v>
      </c>
      <c r="M21" s="206" t="s">
        <v>592</v>
      </c>
      <c r="N21" s="206" t="s">
        <v>593</v>
      </c>
      <c r="O21" s="86" t="s">
        <v>594</v>
      </c>
    </row>
    <row r="22" spans="1:15" x14ac:dyDescent="0.35">
      <c r="A22" s="32">
        <v>31</v>
      </c>
      <c r="B22" s="32" t="s">
        <v>571</v>
      </c>
      <c r="C22" s="32" t="s">
        <v>605</v>
      </c>
      <c r="D22" s="30" t="s">
        <v>612</v>
      </c>
      <c r="E22" s="30" t="s">
        <v>625</v>
      </c>
      <c r="K22" s="30" t="s">
        <v>618</v>
      </c>
      <c r="L22" s="206" t="s">
        <v>595</v>
      </c>
      <c r="M22" s="206" t="s">
        <v>596</v>
      </c>
      <c r="N22" s="206" t="s">
        <v>597</v>
      </c>
      <c r="O22" s="86" t="s">
        <v>598</v>
      </c>
    </row>
    <row r="23" spans="1:15" x14ac:dyDescent="0.35">
      <c r="A23" s="32">
        <v>32</v>
      </c>
      <c r="B23" s="32" t="s">
        <v>571</v>
      </c>
      <c r="C23" s="32" t="s">
        <v>626</v>
      </c>
      <c r="D23" s="30" t="s">
        <v>612</v>
      </c>
      <c r="E23" s="30" t="s">
        <v>625</v>
      </c>
      <c r="K23" s="30" t="s">
        <v>620</v>
      </c>
      <c r="L23" s="206" t="s">
        <v>601</v>
      </c>
      <c r="M23" s="206" t="s">
        <v>602</v>
      </c>
      <c r="N23" s="206" t="s">
        <v>603</v>
      </c>
      <c r="O23" s="86" t="s">
        <v>604</v>
      </c>
    </row>
    <row r="24" spans="1:15" x14ac:dyDescent="0.35">
      <c r="A24" s="32">
        <v>33</v>
      </c>
      <c r="B24" s="32" t="s">
        <v>571</v>
      </c>
      <c r="C24" s="32" t="s">
        <v>624</v>
      </c>
      <c r="D24" s="30" t="s">
        <v>612</v>
      </c>
      <c r="E24" s="30" t="s">
        <v>625</v>
      </c>
      <c r="K24" s="30" t="s">
        <v>623</v>
      </c>
      <c r="L24" s="206" t="s">
        <v>606</v>
      </c>
      <c r="M24" s="206" t="s">
        <v>607</v>
      </c>
      <c r="N24" s="206" t="s">
        <v>608</v>
      </c>
      <c r="O24" s="86" t="s">
        <v>609</v>
      </c>
    </row>
    <row r="25" spans="1:15" x14ac:dyDescent="0.35">
      <c r="A25" s="32">
        <v>34</v>
      </c>
      <c r="B25" s="32" t="s">
        <v>571</v>
      </c>
      <c r="C25" s="32" t="s">
        <v>627</v>
      </c>
      <c r="D25" s="30" t="s">
        <v>612</v>
      </c>
      <c r="E25" s="30" t="s">
        <v>625</v>
      </c>
    </row>
    <row r="26" spans="1:15" x14ac:dyDescent="0.35">
      <c r="A26" s="32">
        <v>39</v>
      </c>
      <c r="B26" s="32" t="s">
        <v>610</v>
      </c>
      <c r="C26" s="32" t="s">
        <v>605</v>
      </c>
      <c r="D26" s="30" t="s">
        <v>612</v>
      </c>
      <c r="E26" s="30" t="s">
        <v>613</v>
      </c>
    </row>
    <row r="27" spans="1:15" x14ac:dyDescent="0.35">
      <c r="A27" s="32">
        <v>40</v>
      </c>
      <c r="B27" s="32" t="s">
        <v>611</v>
      </c>
      <c r="C27" s="32" t="s">
        <v>572</v>
      </c>
      <c r="D27" s="30" t="s">
        <v>612</v>
      </c>
      <c r="E27" s="30" t="s">
        <v>613</v>
      </c>
    </row>
    <row r="28" spans="1:15" x14ac:dyDescent="0.35">
      <c r="A28" s="32">
        <v>42</v>
      </c>
      <c r="B28" s="32" t="s">
        <v>571</v>
      </c>
      <c r="C28" s="32" t="s">
        <v>605</v>
      </c>
      <c r="D28" s="30" t="s">
        <v>612</v>
      </c>
      <c r="E28" s="30" t="s">
        <v>628</v>
      </c>
    </row>
    <row r="29" spans="1:15" x14ac:dyDescent="0.35">
      <c r="A29" s="32">
        <v>49</v>
      </c>
      <c r="B29" s="32" t="s">
        <v>610</v>
      </c>
      <c r="C29" s="32" t="s">
        <v>605</v>
      </c>
      <c r="D29" s="30" t="s">
        <v>599</v>
      </c>
      <c r="E29" s="30" t="s">
        <v>629</v>
      </c>
    </row>
    <row r="30" spans="1:15" x14ac:dyDescent="0.35">
      <c r="A30" s="32">
        <v>50</v>
      </c>
      <c r="B30" s="32" t="s">
        <v>610</v>
      </c>
      <c r="C30" s="32" t="s">
        <v>572</v>
      </c>
      <c r="D30" s="30" t="s">
        <v>599</v>
      </c>
      <c r="E30" s="30" t="s">
        <v>629</v>
      </c>
    </row>
    <row r="31" spans="1:15" x14ac:dyDescent="0.35">
      <c r="A31" s="32">
        <v>51</v>
      </c>
      <c r="B31" s="32" t="s">
        <v>610</v>
      </c>
      <c r="C31" s="32" t="s">
        <v>605</v>
      </c>
      <c r="D31" s="30" t="s">
        <v>599</v>
      </c>
      <c r="E31" s="30" t="s">
        <v>629</v>
      </c>
    </row>
    <row r="32" spans="1:15" x14ac:dyDescent="0.35">
      <c r="A32" s="32">
        <v>52</v>
      </c>
      <c r="B32" s="32" t="s">
        <v>610</v>
      </c>
      <c r="C32" s="32" t="s">
        <v>572</v>
      </c>
      <c r="D32" s="30" t="s">
        <v>599</v>
      </c>
      <c r="E32" s="30" t="s">
        <v>629</v>
      </c>
    </row>
    <row r="33" spans="1:5" x14ac:dyDescent="0.35">
      <c r="A33" s="32">
        <v>53</v>
      </c>
      <c r="B33" s="32" t="s">
        <v>610</v>
      </c>
      <c r="C33" s="32" t="s">
        <v>605</v>
      </c>
      <c r="D33" s="30" t="s">
        <v>599</v>
      </c>
      <c r="E33" s="30" t="s">
        <v>629</v>
      </c>
    </row>
    <row r="34" spans="1:5" x14ac:dyDescent="0.35">
      <c r="A34" s="32">
        <v>54</v>
      </c>
      <c r="B34" s="32" t="s">
        <v>610</v>
      </c>
      <c r="C34" s="32" t="s">
        <v>572</v>
      </c>
      <c r="D34" s="30" t="s">
        <v>599</v>
      </c>
      <c r="E34" s="30" t="s">
        <v>629</v>
      </c>
    </row>
    <row r="35" spans="1:5" x14ac:dyDescent="0.35">
      <c r="A35" s="32">
        <v>55</v>
      </c>
      <c r="B35" s="32" t="s">
        <v>610</v>
      </c>
      <c r="C35" s="32" t="s">
        <v>605</v>
      </c>
      <c r="D35" s="30" t="s">
        <v>599</v>
      </c>
      <c r="E35" s="30" t="s">
        <v>629</v>
      </c>
    </row>
    <row r="36" spans="1:5" x14ac:dyDescent="0.35">
      <c r="A36" s="32">
        <v>56</v>
      </c>
      <c r="B36" s="32" t="s">
        <v>610</v>
      </c>
      <c r="C36" s="32" t="s">
        <v>572</v>
      </c>
      <c r="D36" s="30" t="s">
        <v>599</v>
      </c>
      <c r="E36" s="30" t="s">
        <v>629</v>
      </c>
    </row>
    <row r="37" spans="1:5" x14ac:dyDescent="0.35">
      <c r="A37" s="32">
        <v>57</v>
      </c>
      <c r="B37" s="32" t="s">
        <v>610</v>
      </c>
      <c r="C37" s="32" t="s">
        <v>605</v>
      </c>
      <c r="D37" s="30" t="s">
        <v>599</v>
      </c>
      <c r="E37" s="30" t="s">
        <v>629</v>
      </c>
    </row>
    <row r="38" spans="1:5" x14ac:dyDescent="0.35">
      <c r="A38" s="32">
        <v>58</v>
      </c>
      <c r="B38" s="32" t="s">
        <v>610</v>
      </c>
      <c r="C38" s="32" t="s">
        <v>572</v>
      </c>
      <c r="D38" s="30" t="s">
        <v>599</v>
      </c>
      <c r="E38" s="30" t="s">
        <v>629</v>
      </c>
    </row>
    <row r="39" spans="1:5" x14ac:dyDescent="0.35">
      <c r="A39" s="32">
        <v>59</v>
      </c>
      <c r="B39" s="32" t="s">
        <v>610</v>
      </c>
      <c r="C39" s="32" t="s">
        <v>605</v>
      </c>
      <c r="D39" s="30" t="s">
        <v>599</v>
      </c>
      <c r="E39" s="30" t="s">
        <v>629</v>
      </c>
    </row>
    <row r="40" spans="1:5" x14ac:dyDescent="0.35">
      <c r="A40" s="32">
        <v>60</v>
      </c>
      <c r="B40" s="32" t="s">
        <v>610</v>
      </c>
      <c r="C40" s="32" t="s">
        <v>572</v>
      </c>
      <c r="D40" s="30" t="s">
        <v>599</v>
      </c>
      <c r="E40" s="30" t="s">
        <v>629</v>
      </c>
    </row>
    <row r="41" spans="1:5" x14ac:dyDescent="0.35">
      <c r="A41" s="32">
        <v>61</v>
      </c>
      <c r="B41" s="32" t="s">
        <v>610</v>
      </c>
      <c r="C41" s="32" t="s">
        <v>605</v>
      </c>
      <c r="D41" s="30" t="s">
        <v>599</v>
      </c>
      <c r="E41" s="30" t="s">
        <v>629</v>
      </c>
    </row>
    <row r="42" spans="1:5" x14ac:dyDescent="0.35">
      <c r="A42" s="32">
        <v>62</v>
      </c>
      <c r="B42" s="32" t="s">
        <v>610</v>
      </c>
      <c r="C42" s="32" t="s">
        <v>572</v>
      </c>
      <c r="D42" s="30" t="s">
        <v>599</v>
      </c>
      <c r="E42" s="30" t="s">
        <v>629</v>
      </c>
    </row>
    <row r="43" spans="1:5" x14ac:dyDescent="0.35">
      <c r="A43" s="32">
        <v>63</v>
      </c>
      <c r="B43" s="32" t="s">
        <v>611</v>
      </c>
      <c r="C43" s="32" t="s">
        <v>572</v>
      </c>
      <c r="D43" s="30" t="s">
        <v>630</v>
      </c>
      <c r="E43" s="30" t="s">
        <v>631</v>
      </c>
    </row>
    <row r="44" spans="1:5" x14ac:dyDescent="0.35">
      <c r="A44" s="32">
        <v>64</v>
      </c>
      <c r="B44" s="32" t="s">
        <v>611</v>
      </c>
      <c r="C44" s="32" t="s">
        <v>572</v>
      </c>
      <c r="D44" s="30" t="s">
        <v>630</v>
      </c>
      <c r="E44" s="30" t="s">
        <v>631</v>
      </c>
    </row>
    <row r="45" spans="1:5" x14ac:dyDescent="0.35">
      <c r="A45" s="32">
        <v>65</v>
      </c>
      <c r="B45" s="32" t="s">
        <v>611</v>
      </c>
      <c r="C45" s="32" t="s">
        <v>572</v>
      </c>
      <c r="D45" s="30" t="s">
        <v>630</v>
      </c>
      <c r="E45" s="30" t="s">
        <v>631</v>
      </c>
    </row>
    <row r="46" spans="1:5" x14ac:dyDescent="0.35">
      <c r="A46" s="32">
        <v>66</v>
      </c>
      <c r="B46" s="32" t="s">
        <v>611</v>
      </c>
      <c r="C46" s="32" t="s">
        <v>572</v>
      </c>
      <c r="D46" s="30" t="s">
        <v>630</v>
      </c>
      <c r="E46" s="30" t="s">
        <v>631</v>
      </c>
    </row>
    <row r="47" spans="1:5" x14ac:dyDescent="0.35">
      <c r="A47" s="32">
        <v>67</v>
      </c>
      <c r="B47" s="32" t="s">
        <v>611</v>
      </c>
      <c r="C47" s="32" t="s">
        <v>572</v>
      </c>
      <c r="D47" s="30" t="s">
        <v>630</v>
      </c>
      <c r="E47" s="30" t="s">
        <v>631</v>
      </c>
    </row>
    <row r="48" spans="1:5" x14ac:dyDescent="0.35">
      <c r="A48" s="32">
        <v>68</v>
      </c>
      <c r="B48" s="32" t="s">
        <v>611</v>
      </c>
      <c r="C48" s="32" t="s">
        <v>572</v>
      </c>
      <c r="D48" s="30" t="s">
        <v>630</v>
      </c>
      <c r="E48" s="30" t="s">
        <v>631</v>
      </c>
    </row>
    <row r="49" spans="1:5" x14ac:dyDescent="0.35">
      <c r="A49" s="32">
        <v>69</v>
      </c>
      <c r="B49" s="32" t="s">
        <v>611</v>
      </c>
      <c r="C49" s="32" t="s">
        <v>572</v>
      </c>
      <c r="D49" s="30" t="s">
        <v>630</v>
      </c>
      <c r="E49" s="30" t="s">
        <v>631</v>
      </c>
    </row>
    <row r="50" spans="1:5" x14ac:dyDescent="0.35">
      <c r="A50" s="32">
        <v>70</v>
      </c>
      <c r="B50" s="32" t="s">
        <v>611</v>
      </c>
      <c r="C50" s="32" t="s">
        <v>572</v>
      </c>
      <c r="D50" s="30" t="s">
        <v>630</v>
      </c>
      <c r="E50" s="30" t="s">
        <v>631</v>
      </c>
    </row>
    <row r="51" spans="1:5" x14ac:dyDescent="0.35">
      <c r="A51" s="32">
        <v>71</v>
      </c>
      <c r="B51" s="32" t="s">
        <v>611</v>
      </c>
      <c r="C51" s="32" t="s">
        <v>572</v>
      </c>
      <c r="D51" s="30" t="s">
        <v>630</v>
      </c>
      <c r="E51" s="30" t="s">
        <v>631</v>
      </c>
    </row>
    <row r="52" spans="1:5" x14ac:dyDescent="0.35">
      <c r="A52" s="32">
        <v>72</v>
      </c>
      <c r="B52" s="32" t="s">
        <v>571</v>
      </c>
      <c r="C52" s="32" t="s">
        <v>584</v>
      </c>
      <c r="D52" s="30" t="s">
        <v>632</v>
      </c>
      <c r="E52" s="30" t="s">
        <v>633</v>
      </c>
    </row>
    <row r="53" spans="1:5" x14ac:dyDescent="0.35">
      <c r="A53" s="32">
        <v>73</v>
      </c>
      <c r="B53" s="32" t="s">
        <v>610</v>
      </c>
      <c r="C53" s="32" t="s">
        <v>605</v>
      </c>
      <c r="D53" s="30" t="s">
        <v>630</v>
      </c>
      <c r="E53" s="30" t="s">
        <v>631</v>
      </c>
    </row>
    <row r="54" spans="1:5" x14ac:dyDescent="0.35">
      <c r="A54" s="32">
        <v>74</v>
      </c>
      <c r="B54" s="32" t="s">
        <v>610</v>
      </c>
      <c r="C54" s="32" t="s">
        <v>605</v>
      </c>
      <c r="D54" s="30" t="s">
        <v>630</v>
      </c>
      <c r="E54" s="30" t="s">
        <v>631</v>
      </c>
    </row>
    <row r="55" spans="1:5" x14ac:dyDescent="0.35">
      <c r="A55" s="32">
        <v>75</v>
      </c>
      <c r="B55" s="32" t="s">
        <v>610</v>
      </c>
      <c r="C55" s="32" t="s">
        <v>605</v>
      </c>
      <c r="D55" s="30" t="s">
        <v>630</v>
      </c>
      <c r="E55" s="30" t="s">
        <v>631</v>
      </c>
    </row>
    <row r="56" spans="1:5" x14ac:dyDescent="0.35">
      <c r="A56" s="32">
        <v>128</v>
      </c>
      <c r="B56" s="32" t="s">
        <v>634</v>
      </c>
      <c r="C56" s="32" t="s">
        <v>605</v>
      </c>
      <c r="D56" s="30" t="s">
        <v>612</v>
      </c>
      <c r="E56" s="30" t="s">
        <v>613</v>
      </c>
    </row>
    <row r="57" spans="1:5" x14ac:dyDescent="0.35">
      <c r="A57" s="32">
        <v>129</v>
      </c>
      <c r="B57" s="32" t="s">
        <v>634</v>
      </c>
      <c r="C57" s="32" t="s">
        <v>605</v>
      </c>
      <c r="D57" s="30" t="s">
        <v>612</v>
      </c>
      <c r="E57" s="30" t="s">
        <v>613</v>
      </c>
    </row>
    <row r="58" spans="1:5" x14ac:dyDescent="0.35">
      <c r="A58" s="32">
        <v>130</v>
      </c>
      <c r="B58" s="32" t="s">
        <v>634</v>
      </c>
      <c r="C58" s="32" t="s">
        <v>605</v>
      </c>
      <c r="D58" s="30" t="s">
        <v>612</v>
      </c>
      <c r="E58" s="30" t="s">
        <v>613</v>
      </c>
    </row>
    <row r="59" spans="1:5" x14ac:dyDescent="0.35">
      <c r="A59" s="32">
        <v>131</v>
      </c>
      <c r="B59" s="32" t="s">
        <v>634</v>
      </c>
      <c r="C59" s="32" t="s">
        <v>605</v>
      </c>
      <c r="D59" s="30" t="s">
        <v>612</v>
      </c>
      <c r="E59" s="30" t="s">
        <v>613</v>
      </c>
    </row>
    <row r="60" spans="1:5" x14ac:dyDescent="0.35">
      <c r="A60" s="32">
        <v>132</v>
      </c>
      <c r="B60" s="32" t="s">
        <v>634</v>
      </c>
      <c r="C60" s="32" t="s">
        <v>605</v>
      </c>
      <c r="D60" s="30" t="s">
        <v>612</v>
      </c>
      <c r="E60" s="30" t="s">
        <v>613</v>
      </c>
    </row>
    <row r="61" spans="1:5" x14ac:dyDescent="0.35">
      <c r="A61" s="32">
        <v>133</v>
      </c>
      <c r="B61" s="32" t="s">
        <v>634</v>
      </c>
      <c r="C61" s="32" t="s">
        <v>605</v>
      </c>
      <c r="D61" s="30" t="s">
        <v>612</v>
      </c>
      <c r="E61" s="30" t="s">
        <v>613</v>
      </c>
    </row>
    <row r="62" spans="1:5" x14ac:dyDescent="0.35">
      <c r="A62" s="32">
        <v>134</v>
      </c>
      <c r="B62" s="32" t="s">
        <v>634</v>
      </c>
      <c r="C62" s="32" t="s">
        <v>572</v>
      </c>
      <c r="D62" s="30" t="s">
        <v>612</v>
      </c>
      <c r="E62" s="30" t="s">
        <v>613</v>
      </c>
    </row>
    <row r="63" spans="1:5" x14ac:dyDescent="0.35">
      <c r="A63" s="32">
        <v>135</v>
      </c>
      <c r="B63" s="32" t="s">
        <v>634</v>
      </c>
      <c r="C63" s="32" t="s">
        <v>617</v>
      </c>
      <c r="D63" s="30" t="s">
        <v>612</v>
      </c>
      <c r="E63" s="30" t="s">
        <v>613</v>
      </c>
    </row>
    <row r="64" spans="1:5" x14ac:dyDescent="0.35">
      <c r="A64" s="32">
        <v>136</v>
      </c>
      <c r="B64" s="32" t="s">
        <v>634</v>
      </c>
      <c r="C64" s="32" t="s">
        <v>605</v>
      </c>
      <c r="D64" s="30" t="s">
        <v>612</v>
      </c>
      <c r="E64" s="30" t="s">
        <v>613</v>
      </c>
    </row>
    <row r="65" spans="1:5" x14ac:dyDescent="0.35">
      <c r="A65" s="32">
        <v>137</v>
      </c>
      <c r="B65" s="32" t="s">
        <v>571</v>
      </c>
      <c r="C65" s="32" t="s">
        <v>572</v>
      </c>
      <c r="D65" s="30" t="s">
        <v>632</v>
      </c>
      <c r="E65" s="30" t="s">
        <v>633</v>
      </c>
    </row>
    <row r="66" spans="1:5" x14ac:dyDescent="0.35">
      <c r="A66" s="32">
        <v>138</v>
      </c>
      <c r="B66" s="32" t="s">
        <v>571</v>
      </c>
      <c r="C66" s="32" t="s">
        <v>572</v>
      </c>
      <c r="D66" s="30" t="s">
        <v>632</v>
      </c>
      <c r="E66" s="30" t="s">
        <v>633</v>
      </c>
    </row>
    <row r="67" spans="1:5" x14ac:dyDescent="0.35">
      <c r="A67" s="32">
        <v>139</v>
      </c>
      <c r="B67" s="32" t="s">
        <v>571</v>
      </c>
      <c r="C67" s="32" t="s">
        <v>572</v>
      </c>
      <c r="D67" s="30" t="s">
        <v>632</v>
      </c>
      <c r="E67" s="30" t="s">
        <v>633</v>
      </c>
    </row>
    <row r="68" spans="1:5" x14ac:dyDescent="0.35">
      <c r="A68" s="32">
        <v>140</v>
      </c>
      <c r="B68" s="32" t="s">
        <v>571</v>
      </c>
      <c r="C68" s="32" t="s">
        <v>624</v>
      </c>
      <c r="D68" s="30" t="s">
        <v>632</v>
      </c>
      <c r="E68" s="30" t="s">
        <v>633</v>
      </c>
    </row>
    <row r="69" spans="1:5" x14ac:dyDescent="0.35">
      <c r="A69" s="32">
        <v>141</v>
      </c>
      <c r="B69" s="32" t="s">
        <v>571</v>
      </c>
      <c r="C69" s="32" t="s">
        <v>572</v>
      </c>
      <c r="D69" s="30" t="s">
        <v>632</v>
      </c>
      <c r="E69" s="30" t="s">
        <v>633</v>
      </c>
    </row>
    <row r="70" spans="1:5" x14ac:dyDescent="0.35">
      <c r="A70" s="32">
        <v>142</v>
      </c>
      <c r="B70" s="32" t="s">
        <v>571</v>
      </c>
      <c r="C70" s="32" t="s">
        <v>572</v>
      </c>
      <c r="D70" s="30" t="s">
        <v>635</v>
      </c>
      <c r="E70" s="30" t="s">
        <v>636</v>
      </c>
    </row>
    <row r="71" spans="1:5" x14ac:dyDescent="0.35">
      <c r="A71" s="32">
        <v>143</v>
      </c>
      <c r="B71" s="32" t="s">
        <v>571</v>
      </c>
      <c r="C71" s="32" t="s">
        <v>572</v>
      </c>
      <c r="D71" s="30" t="s">
        <v>635</v>
      </c>
      <c r="E71" s="30" t="s">
        <v>636</v>
      </c>
    </row>
    <row r="72" spans="1:5" x14ac:dyDescent="0.35">
      <c r="A72" s="32">
        <v>144</v>
      </c>
      <c r="B72" s="32" t="s">
        <v>571</v>
      </c>
      <c r="C72" s="32" t="s">
        <v>572</v>
      </c>
      <c r="D72" s="30" t="s">
        <v>635</v>
      </c>
      <c r="E72" s="30" t="s">
        <v>636</v>
      </c>
    </row>
    <row r="73" spans="1:5" x14ac:dyDescent="0.35">
      <c r="A73" s="32">
        <v>145</v>
      </c>
      <c r="B73" s="32" t="s">
        <v>571</v>
      </c>
      <c r="C73" s="32" t="s">
        <v>572</v>
      </c>
      <c r="D73" s="30" t="s">
        <v>635</v>
      </c>
      <c r="E73" s="30" t="s">
        <v>636</v>
      </c>
    </row>
    <row r="74" spans="1:5" x14ac:dyDescent="0.35">
      <c r="A74" s="32">
        <v>146</v>
      </c>
      <c r="B74" s="32" t="s">
        <v>571</v>
      </c>
      <c r="C74" s="32" t="s">
        <v>572</v>
      </c>
      <c r="D74" s="30" t="s">
        <v>635</v>
      </c>
      <c r="E74" s="30" t="s">
        <v>636</v>
      </c>
    </row>
    <row r="75" spans="1:5" x14ac:dyDescent="0.35">
      <c r="A75" s="32">
        <v>147</v>
      </c>
      <c r="B75" s="32" t="s">
        <v>571</v>
      </c>
      <c r="C75" s="32" t="s">
        <v>572</v>
      </c>
      <c r="D75" s="30" t="s">
        <v>635</v>
      </c>
      <c r="E75" s="30" t="s">
        <v>636</v>
      </c>
    </row>
    <row r="76" spans="1:5" x14ac:dyDescent="0.35">
      <c r="A76" s="32">
        <v>148</v>
      </c>
      <c r="B76" s="32" t="s">
        <v>571</v>
      </c>
      <c r="C76" s="32" t="s">
        <v>572</v>
      </c>
      <c r="D76" s="30" t="s">
        <v>635</v>
      </c>
      <c r="E76" s="30" t="s">
        <v>636</v>
      </c>
    </row>
    <row r="77" spans="1:5" x14ac:dyDescent="0.35">
      <c r="A77" s="32">
        <v>149</v>
      </c>
      <c r="B77" s="32" t="s">
        <v>571</v>
      </c>
      <c r="C77" s="32" t="s">
        <v>572</v>
      </c>
      <c r="D77" s="30" t="s">
        <v>635</v>
      </c>
      <c r="E77" s="30" t="s">
        <v>636</v>
      </c>
    </row>
    <row r="78" spans="1:5" x14ac:dyDescent="0.35">
      <c r="A78" s="32">
        <v>150</v>
      </c>
      <c r="B78" s="32" t="s">
        <v>571</v>
      </c>
      <c r="C78" s="32" t="s">
        <v>572</v>
      </c>
      <c r="D78" s="30" t="s">
        <v>635</v>
      </c>
      <c r="E78" s="30" t="s">
        <v>636</v>
      </c>
    </row>
    <row r="79" spans="1:5" x14ac:dyDescent="0.35">
      <c r="A79" s="32">
        <v>151</v>
      </c>
      <c r="B79" s="32" t="s">
        <v>571</v>
      </c>
      <c r="C79" s="32" t="s">
        <v>572</v>
      </c>
      <c r="D79" s="30" t="s">
        <v>635</v>
      </c>
      <c r="E79" s="30" t="s">
        <v>636</v>
      </c>
    </row>
    <row r="80" spans="1:5" x14ac:dyDescent="0.35">
      <c r="A80" s="32">
        <v>152</v>
      </c>
      <c r="B80" s="32" t="s">
        <v>571</v>
      </c>
      <c r="C80" s="32" t="s">
        <v>572</v>
      </c>
      <c r="D80" s="30" t="s">
        <v>635</v>
      </c>
      <c r="E80" s="30" t="s">
        <v>636</v>
      </c>
    </row>
    <row r="81" spans="1:5" x14ac:dyDescent="0.35">
      <c r="A81" s="32">
        <v>153</v>
      </c>
      <c r="B81" s="32" t="s">
        <v>571</v>
      </c>
      <c r="C81" s="32" t="s">
        <v>572</v>
      </c>
      <c r="D81" s="30" t="s">
        <v>635</v>
      </c>
      <c r="E81" s="30" t="s">
        <v>636</v>
      </c>
    </row>
    <row r="82" spans="1:5" x14ac:dyDescent="0.35">
      <c r="A82" s="32">
        <v>154</v>
      </c>
      <c r="B82" s="32" t="s">
        <v>571</v>
      </c>
      <c r="C82" s="32" t="s">
        <v>572</v>
      </c>
      <c r="D82" s="30" t="s">
        <v>635</v>
      </c>
      <c r="E82" s="30" t="s">
        <v>636</v>
      </c>
    </row>
    <row r="83" spans="1:5" x14ac:dyDescent="0.35">
      <c r="A83" s="32">
        <v>155</v>
      </c>
      <c r="B83" s="32" t="s">
        <v>571</v>
      </c>
      <c r="C83" s="32" t="s">
        <v>572</v>
      </c>
      <c r="D83" s="30" t="s">
        <v>635</v>
      </c>
      <c r="E83" s="30" t="s">
        <v>636</v>
      </c>
    </row>
    <row r="84" spans="1:5" x14ac:dyDescent="0.35">
      <c r="A84" s="32">
        <v>156</v>
      </c>
      <c r="B84" s="32" t="s">
        <v>571</v>
      </c>
      <c r="C84" s="32" t="s">
        <v>572</v>
      </c>
      <c r="D84" s="30" t="s">
        <v>635</v>
      </c>
      <c r="E84" s="30" t="s">
        <v>636</v>
      </c>
    </row>
    <row r="85" spans="1:5" x14ac:dyDescent="0.35">
      <c r="A85" s="32">
        <v>157</v>
      </c>
      <c r="B85" s="32" t="s">
        <v>571</v>
      </c>
      <c r="C85" s="32" t="s">
        <v>572</v>
      </c>
      <c r="D85" s="30" t="s">
        <v>635</v>
      </c>
      <c r="E85" s="30" t="s">
        <v>636</v>
      </c>
    </row>
    <row r="86" spans="1:5" x14ac:dyDescent="0.35">
      <c r="A86" s="32">
        <v>158</v>
      </c>
      <c r="B86" s="32" t="s">
        <v>571</v>
      </c>
      <c r="C86" s="32" t="s">
        <v>572</v>
      </c>
      <c r="D86" s="30" t="s">
        <v>635</v>
      </c>
      <c r="E86" s="30" t="s">
        <v>636</v>
      </c>
    </row>
    <row r="87" spans="1:5" x14ac:dyDescent="0.35">
      <c r="A87" s="32">
        <v>159</v>
      </c>
      <c r="B87" s="32" t="s">
        <v>571</v>
      </c>
      <c r="C87" s="32" t="s">
        <v>572</v>
      </c>
      <c r="D87" s="30" t="s">
        <v>635</v>
      </c>
      <c r="E87" s="30" t="s">
        <v>636</v>
      </c>
    </row>
    <row r="88" spans="1:5" x14ac:dyDescent="0.35">
      <c r="A88" s="32">
        <v>160</v>
      </c>
      <c r="B88" s="32" t="s">
        <v>610</v>
      </c>
      <c r="C88" s="32" t="s">
        <v>584</v>
      </c>
      <c r="D88" s="30" t="s">
        <v>612</v>
      </c>
      <c r="E88" s="30" t="s">
        <v>613</v>
      </c>
    </row>
    <row r="89" spans="1:5" x14ac:dyDescent="0.35">
      <c r="A89" s="32">
        <v>161</v>
      </c>
      <c r="B89" s="32" t="s">
        <v>610</v>
      </c>
      <c r="C89" s="32" t="s">
        <v>584</v>
      </c>
      <c r="D89" s="30" t="s">
        <v>612</v>
      </c>
      <c r="E89" s="30" t="s">
        <v>613</v>
      </c>
    </row>
    <row r="90" spans="1:5" x14ac:dyDescent="0.35">
      <c r="A90" s="32">
        <v>162</v>
      </c>
      <c r="B90" s="32" t="s">
        <v>610</v>
      </c>
      <c r="C90" s="32" t="s">
        <v>584</v>
      </c>
      <c r="D90" s="30" t="s">
        <v>612</v>
      </c>
      <c r="E90" s="30" t="s">
        <v>613</v>
      </c>
    </row>
    <row r="91" spans="1:5" x14ac:dyDescent="0.35">
      <c r="A91" s="32">
        <v>163</v>
      </c>
      <c r="B91" s="32" t="s">
        <v>610</v>
      </c>
      <c r="C91" s="32" t="s">
        <v>584</v>
      </c>
      <c r="D91" s="30" t="s">
        <v>612</v>
      </c>
      <c r="E91" s="30" t="s">
        <v>613</v>
      </c>
    </row>
    <row r="92" spans="1:5" x14ac:dyDescent="0.35">
      <c r="A92" s="32">
        <v>165</v>
      </c>
      <c r="B92" s="32" t="s">
        <v>610</v>
      </c>
      <c r="C92" s="32" t="s">
        <v>584</v>
      </c>
      <c r="D92" s="30" t="s">
        <v>612</v>
      </c>
      <c r="E92" s="30" t="s">
        <v>613</v>
      </c>
    </row>
    <row r="93" spans="1:5" x14ac:dyDescent="0.35">
      <c r="A93" s="32">
        <v>167</v>
      </c>
      <c r="B93" s="32" t="s">
        <v>610</v>
      </c>
      <c r="C93" s="32" t="s">
        <v>584</v>
      </c>
      <c r="D93" s="30" t="s">
        <v>612</v>
      </c>
      <c r="E93" s="30" t="s">
        <v>613</v>
      </c>
    </row>
    <row r="94" spans="1:5" x14ac:dyDescent="0.35">
      <c r="A94" s="32">
        <v>168</v>
      </c>
      <c r="B94" s="32" t="s">
        <v>610</v>
      </c>
      <c r="C94" s="32" t="s">
        <v>584</v>
      </c>
      <c r="D94" s="30" t="s">
        <v>612</v>
      </c>
      <c r="E94" s="30" t="s">
        <v>613</v>
      </c>
    </row>
    <row r="95" spans="1:5" x14ac:dyDescent="0.35">
      <c r="A95" s="32">
        <v>169</v>
      </c>
      <c r="B95" s="32" t="s">
        <v>610</v>
      </c>
      <c r="C95" s="32" t="s">
        <v>584</v>
      </c>
      <c r="D95" s="30" t="s">
        <v>612</v>
      </c>
      <c r="E95" s="30" t="s">
        <v>613</v>
      </c>
    </row>
    <row r="96" spans="1:5" x14ac:dyDescent="0.35">
      <c r="A96" s="32">
        <v>170</v>
      </c>
      <c r="B96" s="32" t="s">
        <v>610</v>
      </c>
      <c r="C96" s="32" t="s">
        <v>584</v>
      </c>
      <c r="D96" s="30" t="s">
        <v>612</v>
      </c>
      <c r="E96" s="30" t="s">
        <v>613</v>
      </c>
    </row>
    <row r="97" spans="1:5" x14ac:dyDescent="0.35">
      <c r="A97" s="32">
        <v>171</v>
      </c>
      <c r="B97" s="32" t="s">
        <v>610</v>
      </c>
      <c r="C97" s="32" t="s">
        <v>584</v>
      </c>
      <c r="D97" s="30" t="s">
        <v>612</v>
      </c>
      <c r="E97" s="30" t="s">
        <v>613</v>
      </c>
    </row>
    <row r="98" spans="1:5" x14ac:dyDescent="0.35">
      <c r="A98" s="32">
        <v>172</v>
      </c>
      <c r="B98" s="32" t="s">
        <v>610</v>
      </c>
      <c r="C98" s="32" t="s">
        <v>584</v>
      </c>
      <c r="D98" s="30" t="s">
        <v>612</v>
      </c>
      <c r="E98" s="30" t="s">
        <v>613</v>
      </c>
    </row>
    <row r="99" spans="1:5" x14ac:dyDescent="0.35">
      <c r="A99" s="32">
        <v>173</v>
      </c>
      <c r="B99" s="32" t="s">
        <v>610</v>
      </c>
      <c r="C99" s="32" t="s">
        <v>584</v>
      </c>
      <c r="D99" s="30" t="s">
        <v>573</v>
      </c>
      <c r="E99" s="30" t="s">
        <v>637</v>
      </c>
    </row>
    <row r="100" spans="1:5" x14ac:dyDescent="0.35">
      <c r="A100" s="32">
        <v>174</v>
      </c>
      <c r="B100" s="32" t="s">
        <v>610</v>
      </c>
      <c r="C100" s="32" t="s">
        <v>584</v>
      </c>
      <c r="D100" s="30" t="s">
        <v>573</v>
      </c>
      <c r="E100" s="30" t="s">
        <v>637</v>
      </c>
    </row>
    <row r="101" spans="1:5" x14ac:dyDescent="0.35">
      <c r="A101" s="32">
        <v>176</v>
      </c>
      <c r="B101" s="32" t="s">
        <v>610</v>
      </c>
      <c r="C101" s="32" t="s">
        <v>584</v>
      </c>
      <c r="D101" s="30" t="s">
        <v>573</v>
      </c>
      <c r="E101" s="30" t="s">
        <v>637</v>
      </c>
    </row>
    <row r="102" spans="1:5" x14ac:dyDescent="0.35">
      <c r="A102" s="32">
        <v>177</v>
      </c>
      <c r="B102" s="32" t="s">
        <v>610</v>
      </c>
      <c r="C102" s="32" t="s">
        <v>584</v>
      </c>
      <c r="D102" s="30" t="s">
        <v>573</v>
      </c>
      <c r="E102" s="30" t="s">
        <v>637</v>
      </c>
    </row>
    <row r="103" spans="1:5" x14ac:dyDescent="0.35">
      <c r="A103" s="32">
        <v>178</v>
      </c>
      <c r="B103" s="32" t="s">
        <v>610</v>
      </c>
      <c r="C103" s="32" t="s">
        <v>584</v>
      </c>
      <c r="D103" s="30" t="s">
        <v>573</v>
      </c>
      <c r="E103" s="30" t="s">
        <v>637</v>
      </c>
    </row>
    <row r="104" spans="1:5" x14ac:dyDescent="0.35">
      <c r="A104" s="32">
        <v>179</v>
      </c>
      <c r="B104" s="32" t="s">
        <v>610</v>
      </c>
      <c r="C104" s="32" t="s">
        <v>584</v>
      </c>
      <c r="D104" s="30" t="s">
        <v>573</v>
      </c>
      <c r="E104" s="30" t="s">
        <v>637</v>
      </c>
    </row>
    <row r="105" spans="1:5" x14ac:dyDescent="0.35">
      <c r="A105" s="32">
        <v>180</v>
      </c>
      <c r="B105" s="32" t="s">
        <v>610</v>
      </c>
      <c r="C105" s="32" t="s">
        <v>584</v>
      </c>
      <c r="D105" s="30" t="s">
        <v>573</v>
      </c>
      <c r="E105" s="30" t="s">
        <v>637</v>
      </c>
    </row>
    <row r="106" spans="1:5" x14ac:dyDescent="0.35">
      <c r="A106" s="32">
        <v>181</v>
      </c>
      <c r="B106" s="32" t="s">
        <v>610</v>
      </c>
      <c r="C106" s="32" t="s">
        <v>584</v>
      </c>
      <c r="D106" s="30" t="s">
        <v>573</v>
      </c>
      <c r="E106" s="30" t="s">
        <v>637</v>
      </c>
    </row>
    <row r="107" spans="1:5" x14ac:dyDescent="0.35">
      <c r="A107" s="32">
        <v>182</v>
      </c>
      <c r="B107" s="32" t="s">
        <v>610</v>
      </c>
      <c r="C107" s="32" t="s">
        <v>584</v>
      </c>
      <c r="D107" s="30" t="s">
        <v>573</v>
      </c>
      <c r="E107" s="30" t="s">
        <v>637</v>
      </c>
    </row>
    <row r="108" spans="1:5" x14ac:dyDescent="0.35">
      <c r="A108" s="32">
        <v>183</v>
      </c>
      <c r="B108" s="32" t="s">
        <v>610</v>
      </c>
      <c r="C108" s="32" t="s">
        <v>584</v>
      </c>
      <c r="D108" s="30" t="s">
        <v>573</v>
      </c>
      <c r="E108" s="30" t="s">
        <v>637</v>
      </c>
    </row>
    <row r="109" spans="1:5" x14ac:dyDescent="0.35">
      <c r="A109" s="32">
        <v>184</v>
      </c>
      <c r="B109" s="32" t="s">
        <v>610</v>
      </c>
      <c r="C109" s="32" t="s">
        <v>584</v>
      </c>
      <c r="D109" s="30" t="s">
        <v>573</v>
      </c>
      <c r="E109" s="30" t="s">
        <v>637</v>
      </c>
    </row>
    <row r="110" spans="1:5" x14ac:dyDescent="0.35">
      <c r="A110" s="32">
        <v>185</v>
      </c>
      <c r="B110" s="32" t="s">
        <v>610</v>
      </c>
      <c r="C110" s="32" t="s">
        <v>584</v>
      </c>
      <c r="D110" s="30" t="s">
        <v>573</v>
      </c>
      <c r="E110" s="30" t="s">
        <v>637</v>
      </c>
    </row>
    <row r="111" spans="1:5" x14ac:dyDescent="0.35">
      <c r="A111" s="32">
        <v>186</v>
      </c>
      <c r="B111" s="32" t="s">
        <v>610</v>
      </c>
      <c r="C111" s="32" t="s">
        <v>584</v>
      </c>
      <c r="D111" s="30" t="s">
        <v>573</v>
      </c>
      <c r="E111" s="30" t="s">
        <v>637</v>
      </c>
    </row>
    <row r="112" spans="1:5" x14ac:dyDescent="0.35">
      <c r="A112" s="32">
        <v>187</v>
      </c>
      <c r="B112" s="32" t="s">
        <v>610</v>
      </c>
      <c r="C112" s="32" t="s">
        <v>584</v>
      </c>
      <c r="D112" s="30" t="s">
        <v>573</v>
      </c>
      <c r="E112" s="30" t="s">
        <v>637</v>
      </c>
    </row>
    <row r="113" spans="1:5" x14ac:dyDescent="0.35">
      <c r="A113" s="32">
        <v>188</v>
      </c>
      <c r="B113" s="32" t="s">
        <v>610</v>
      </c>
      <c r="C113" s="32" t="s">
        <v>584</v>
      </c>
      <c r="D113" s="30" t="s">
        <v>573</v>
      </c>
      <c r="E113" s="30" t="s">
        <v>637</v>
      </c>
    </row>
    <row r="114" spans="1:5" x14ac:dyDescent="0.35">
      <c r="A114" s="32">
        <v>189</v>
      </c>
      <c r="B114" s="32" t="s">
        <v>610</v>
      </c>
      <c r="C114" s="32" t="s">
        <v>584</v>
      </c>
      <c r="D114" s="30" t="s">
        <v>573</v>
      </c>
      <c r="E114" s="30" t="s">
        <v>637</v>
      </c>
    </row>
    <row r="115" spans="1:5" x14ac:dyDescent="0.35">
      <c r="A115" s="32">
        <v>190</v>
      </c>
      <c r="B115" s="32" t="s">
        <v>610</v>
      </c>
      <c r="C115" s="32" t="s">
        <v>584</v>
      </c>
      <c r="D115" s="30" t="s">
        <v>573</v>
      </c>
      <c r="E115" s="30" t="s">
        <v>637</v>
      </c>
    </row>
    <row r="116" spans="1:5" x14ac:dyDescent="0.35">
      <c r="A116" s="32">
        <v>191</v>
      </c>
      <c r="B116" s="32" t="s">
        <v>610</v>
      </c>
      <c r="C116" s="32" t="s">
        <v>584</v>
      </c>
      <c r="D116" s="30" t="s">
        <v>573</v>
      </c>
      <c r="E116" s="30" t="s">
        <v>637</v>
      </c>
    </row>
    <row r="117" spans="1:5" x14ac:dyDescent="0.35">
      <c r="A117" s="32">
        <v>192</v>
      </c>
      <c r="B117" s="32" t="s">
        <v>610</v>
      </c>
      <c r="C117" s="32" t="s">
        <v>584</v>
      </c>
      <c r="D117" s="30" t="s">
        <v>573</v>
      </c>
      <c r="E117" s="30" t="s">
        <v>637</v>
      </c>
    </row>
    <row r="118" spans="1:5" x14ac:dyDescent="0.35">
      <c r="A118" s="32">
        <v>193</v>
      </c>
      <c r="B118" s="32" t="s">
        <v>610</v>
      </c>
      <c r="C118" s="32" t="s">
        <v>584</v>
      </c>
      <c r="D118" s="30" t="s">
        <v>573</v>
      </c>
      <c r="E118" s="30" t="s">
        <v>637</v>
      </c>
    </row>
    <row r="119" spans="1:5" x14ac:dyDescent="0.35">
      <c r="A119" s="32">
        <v>194</v>
      </c>
      <c r="B119" s="32" t="s">
        <v>610</v>
      </c>
      <c r="C119" s="32" t="s">
        <v>584</v>
      </c>
      <c r="D119" s="30" t="s">
        <v>573</v>
      </c>
      <c r="E119" s="30" t="s">
        <v>637</v>
      </c>
    </row>
    <row r="120" spans="1:5" x14ac:dyDescent="0.35">
      <c r="A120" s="32">
        <v>195</v>
      </c>
      <c r="B120" s="32" t="s">
        <v>610</v>
      </c>
      <c r="C120" s="32" t="s">
        <v>584</v>
      </c>
      <c r="D120" s="30" t="s">
        <v>573</v>
      </c>
      <c r="E120" s="30" t="s">
        <v>637</v>
      </c>
    </row>
    <row r="121" spans="1:5" x14ac:dyDescent="0.35">
      <c r="A121" s="32">
        <v>196</v>
      </c>
      <c r="B121" s="32" t="s">
        <v>610</v>
      </c>
      <c r="C121" s="32" t="s">
        <v>584</v>
      </c>
      <c r="D121" s="30" t="s">
        <v>573</v>
      </c>
      <c r="E121" s="30" t="s">
        <v>637</v>
      </c>
    </row>
    <row r="122" spans="1:5" x14ac:dyDescent="0.35">
      <c r="A122" s="32">
        <v>197</v>
      </c>
      <c r="B122" s="32" t="s">
        <v>610</v>
      </c>
      <c r="C122" s="32" t="s">
        <v>584</v>
      </c>
      <c r="D122" s="30" t="s">
        <v>573</v>
      </c>
      <c r="E122" s="30" t="s">
        <v>637</v>
      </c>
    </row>
    <row r="123" spans="1:5" x14ac:dyDescent="0.35">
      <c r="A123" s="32">
        <v>198</v>
      </c>
      <c r="B123" s="32" t="s">
        <v>610</v>
      </c>
      <c r="C123" s="32" t="s">
        <v>584</v>
      </c>
      <c r="D123" s="30" t="s">
        <v>573</v>
      </c>
      <c r="E123" s="30" t="s">
        <v>638</v>
      </c>
    </row>
    <row r="124" spans="1:5" x14ac:dyDescent="0.35">
      <c r="A124" s="32">
        <v>199</v>
      </c>
      <c r="B124" s="32" t="s">
        <v>610</v>
      </c>
      <c r="C124" s="32" t="s">
        <v>584</v>
      </c>
      <c r="D124" s="30" t="s">
        <v>573</v>
      </c>
      <c r="E124" s="30" t="s">
        <v>638</v>
      </c>
    </row>
    <row r="125" spans="1:5" x14ac:dyDescent="0.35">
      <c r="A125" s="32">
        <v>200</v>
      </c>
      <c r="B125" s="32" t="s">
        <v>610</v>
      </c>
      <c r="C125" s="32" t="s">
        <v>584</v>
      </c>
      <c r="D125" s="30" t="s">
        <v>573</v>
      </c>
      <c r="E125" s="30" t="s">
        <v>638</v>
      </c>
    </row>
    <row r="126" spans="1:5" x14ac:dyDescent="0.35">
      <c r="A126" s="32">
        <v>201</v>
      </c>
      <c r="B126" s="32" t="s">
        <v>610</v>
      </c>
      <c r="C126" s="32" t="s">
        <v>584</v>
      </c>
      <c r="D126" s="30" t="s">
        <v>573</v>
      </c>
      <c r="E126" s="30" t="s">
        <v>638</v>
      </c>
    </row>
    <row r="127" spans="1:5" x14ac:dyDescent="0.35">
      <c r="A127" s="32">
        <v>202</v>
      </c>
      <c r="B127" s="32" t="s">
        <v>610</v>
      </c>
      <c r="C127" s="32" t="s">
        <v>584</v>
      </c>
      <c r="D127" s="30" t="s">
        <v>573</v>
      </c>
      <c r="E127" s="30" t="s">
        <v>638</v>
      </c>
    </row>
    <row r="128" spans="1:5" x14ac:dyDescent="0.35">
      <c r="A128" s="32">
        <v>203</v>
      </c>
      <c r="B128" s="32" t="s">
        <v>610</v>
      </c>
      <c r="C128" s="32" t="s">
        <v>584</v>
      </c>
      <c r="D128" s="30" t="s">
        <v>573</v>
      </c>
      <c r="E128" s="30" t="s">
        <v>638</v>
      </c>
    </row>
    <row r="129" spans="1:5" x14ac:dyDescent="0.35">
      <c r="A129" s="32">
        <v>204</v>
      </c>
      <c r="B129" s="32" t="s">
        <v>610</v>
      </c>
      <c r="C129" s="32" t="s">
        <v>584</v>
      </c>
      <c r="D129" s="30" t="s">
        <v>573</v>
      </c>
      <c r="E129" s="30" t="s">
        <v>638</v>
      </c>
    </row>
    <row r="130" spans="1:5" x14ac:dyDescent="0.35">
      <c r="A130" s="32">
        <v>205</v>
      </c>
      <c r="B130" s="32" t="s">
        <v>610</v>
      </c>
      <c r="C130" s="32" t="s">
        <v>584</v>
      </c>
      <c r="D130" s="30" t="s">
        <v>573</v>
      </c>
      <c r="E130" s="30" t="s">
        <v>638</v>
      </c>
    </row>
    <row r="131" spans="1:5" x14ac:dyDescent="0.35">
      <c r="A131" s="32">
        <v>206</v>
      </c>
      <c r="B131" s="32" t="s">
        <v>610</v>
      </c>
      <c r="C131" s="32" t="s">
        <v>584</v>
      </c>
      <c r="D131" s="30" t="s">
        <v>573</v>
      </c>
      <c r="E131" s="30" t="s">
        <v>638</v>
      </c>
    </row>
    <row r="132" spans="1:5" x14ac:dyDescent="0.35">
      <c r="A132" s="32">
        <v>207</v>
      </c>
      <c r="B132" s="32" t="s">
        <v>610</v>
      </c>
      <c r="C132" s="32" t="s">
        <v>584</v>
      </c>
      <c r="D132" s="30" t="s">
        <v>573</v>
      </c>
      <c r="E132" s="30" t="s">
        <v>638</v>
      </c>
    </row>
    <row r="133" spans="1:5" x14ac:dyDescent="0.35">
      <c r="A133" s="32">
        <v>208</v>
      </c>
      <c r="B133" s="32" t="s">
        <v>610</v>
      </c>
      <c r="C133" s="32" t="s">
        <v>584</v>
      </c>
      <c r="D133" s="30" t="s">
        <v>573</v>
      </c>
      <c r="E133" s="30" t="s">
        <v>638</v>
      </c>
    </row>
    <row r="134" spans="1:5" x14ac:dyDescent="0.35">
      <c r="A134" s="32">
        <v>209</v>
      </c>
      <c r="B134" s="32" t="s">
        <v>610</v>
      </c>
      <c r="C134" s="32" t="s">
        <v>584</v>
      </c>
      <c r="D134" s="30" t="s">
        <v>573</v>
      </c>
      <c r="E134" s="30" t="s">
        <v>638</v>
      </c>
    </row>
    <row r="135" spans="1:5" x14ac:dyDescent="0.35">
      <c r="A135" s="32">
        <v>210</v>
      </c>
      <c r="B135" s="32" t="s">
        <v>610</v>
      </c>
      <c r="C135" s="32" t="s">
        <v>584</v>
      </c>
      <c r="D135" s="30" t="s">
        <v>573</v>
      </c>
      <c r="E135" s="30" t="s">
        <v>638</v>
      </c>
    </row>
    <row r="136" spans="1:5" x14ac:dyDescent="0.35">
      <c r="A136" s="32">
        <v>211</v>
      </c>
      <c r="B136" s="32" t="s">
        <v>610</v>
      </c>
      <c r="C136" s="32" t="s">
        <v>584</v>
      </c>
      <c r="D136" s="30" t="s">
        <v>573</v>
      </c>
      <c r="E136" s="30" t="s">
        <v>638</v>
      </c>
    </row>
    <row r="137" spans="1:5" x14ac:dyDescent="0.35">
      <c r="A137" s="32">
        <v>212</v>
      </c>
      <c r="B137" s="32" t="s">
        <v>610</v>
      </c>
      <c r="C137" s="32" t="s">
        <v>584</v>
      </c>
      <c r="D137" s="30" t="s">
        <v>573</v>
      </c>
      <c r="E137" s="30" t="s">
        <v>638</v>
      </c>
    </row>
    <row r="138" spans="1:5" x14ac:dyDescent="0.35">
      <c r="A138" s="32">
        <v>213</v>
      </c>
      <c r="B138" s="32" t="s">
        <v>610</v>
      </c>
      <c r="C138" s="32" t="s">
        <v>584</v>
      </c>
      <c r="D138" s="30" t="s">
        <v>573</v>
      </c>
      <c r="E138" s="30" t="s">
        <v>638</v>
      </c>
    </row>
    <row r="139" spans="1:5" x14ac:dyDescent="0.35">
      <c r="A139" s="32">
        <v>214</v>
      </c>
      <c r="B139" s="32" t="s">
        <v>610</v>
      </c>
      <c r="C139" s="32" t="s">
        <v>584</v>
      </c>
      <c r="D139" s="30" t="s">
        <v>573</v>
      </c>
      <c r="E139" s="30" t="s">
        <v>638</v>
      </c>
    </row>
    <row r="140" spans="1:5" x14ac:dyDescent="0.35">
      <c r="A140" s="32">
        <v>215</v>
      </c>
      <c r="B140" s="32" t="s">
        <v>610</v>
      </c>
      <c r="C140" s="32" t="s">
        <v>584</v>
      </c>
      <c r="D140" s="30" t="s">
        <v>573</v>
      </c>
      <c r="E140" s="30" t="s">
        <v>638</v>
      </c>
    </row>
    <row r="141" spans="1:5" x14ac:dyDescent="0.35">
      <c r="A141" s="32">
        <v>216</v>
      </c>
      <c r="B141" s="32" t="s">
        <v>610</v>
      </c>
      <c r="C141" s="32" t="s">
        <v>584</v>
      </c>
      <c r="D141" s="30" t="s">
        <v>573</v>
      </c>
      <c r="E141" s="30" t="s">
        <v>638</v>
      </c>
    </row>
    <row r="142" spans="1:5" x14ac:dyDescent="0.35">
      <c r="A142" s="32">
        <v>217</v>
      </c>
      <c r="B142" s="32" t="s">
        <v>610</v>
      </c>
      <c r="C142" s="32" t="s">
        <v>584</v>
      </c>
      <c r="D142" s="30" t="s">
        <v>573</v>
      </c>
      <c r="E142" s="30" t="s">
        <v>638</v>
      </c>
    </row>
    <row r="143" spans="1:5" x14ac:dyDescent="0.35">
      <c r="A143" s="32">
        <v>218</v>
      </c>
      <c r="B143" s="32" t="s">
        <v>610</v>
      </c>
      <c r="C143" s="32" t="s">
        <v>584</v>
      </c>
      <c r="D143" s="30" t="s">
        <v>573</v>
      </c>
      <c r="E143" s="30" t="s">
        <v>638</v>
      </c>
    </row>
    <row r="144" spans="1:5" x14ac:dyDescent="0.35">
      <c r="A144" s="32">
        <v>219</v>
      </c>
      <c r="B144" s="32" t="s">
        <v>610</v>
      </c>
      <c r="C144" s="32" t="s">
        <v>584</v>
      </c>
      <c r="D144" s="30" t="s">
        <v>573</v>
      </c>
      <c r="E144" s="30" t="s">
        <v>638</v>
      </c>
    </row>
    <row r="145" spans="1:5" x14ac:dyDescent="0.35">
      <c r="A145" s="32">
        <v>220</v>
      </c>
      <c r="B145" s="32" t="s">
        <v>610</v>
      </c>
      <c r="C145" s="32" t="s">
        <v>584</v>
      </c>
      <c r="D145" s="30" t="s">
        <v>573</v>
      </c>
      <c r="E145" s="30" t="s">
        <v>638</v>
      </c>
    </row>
    <row r="146" spans="1:5" x14ac:dyDescent="0.35">
      <c r="A146" s="32">
        <v>221</v>
      </c>
      <c r="B146" s="32" t="s">
        <v>610</v>
      </c>
      <c r="C146" s="32" t="s">
        <v>584</v>
      </c>
      <c r="D146" s="30" t="s">
        <v>573</v>
      </c>
      <c r="E146" s="30" t="s">
        <v>574</v>
      </c>
    </row>
    <row r="147" spans="1:5" x14ac:dyDescent="0.35">
      <c r="A147" s="32">
        <v>222</v>
      </c>
      <c r="B147" s="32" t="s">
        <v>610</v>
      </c>
      <c r="C147" s="32" t="s">
        <v>584</v>
      </c>
      <c r="D147" s="30" t="s">
        <v>573</v>
      </c>
      <c r="E147" s="30" t="s">
        <v>574</v>
      </c>
    </row>
    <row r="148" spans="1:5" x14ac:dyDescent="0.35">
      <c r="A148" s="32">
        <v>223</v>
      </c>
      <c r="B148" s="32" t="s">
        <v>610</v>
      </c>
      <c r="C148" s="32" t="s">
        <v>584</v>
      </c>
      <c r="D148" s="30" t="s">
        <v>573</v>
      </c>
      <c r="E148" s="30" t="s">
        <v>574</v>
      </c>
    </row>
    <row r="149" spans="1:5" x14ac:dyDescent="0.35">
      <c r="A149" s="32">
        <v>224</v>
      </c>
      <c r="B149" s="32" t="s">
        <v>610</v>
      </c>
      <c r="C149" s="32" t="s">
        <v>584</v>
      </c>
      <c r="D149" s="30" t="s">
        <v>573</v>
      </c>
      <c r="E149" s="30" t="s">
        <v>574</v>
      </c>
    </row>
    <row r="150" spans="1:5" x14ac:dyDescent="0.35">
      <c r="A150" s="32">
        <v>225</v>
      </c>
      <c r="B150" s="32" t="s">
        <v>610</v>
      </c>
      <c r="C150" s="32" t="s">
        <v>584</v>
      </c>
      <c r="D150" s="30" t="s">
        <v>573</v>
      </c>
      <c r="E150" s="30" t="s">
        <v>574</v>
      </c>
    </row>
    <row r="151" spans="1:5" x14ac:dyDescent="0.35">
      <c r="A151" s="32">
        <v>226</v>
      </c>
      <c r="B151" s="32" t="s">
        <v>610</v>
      </c>
      <c r="C151" s="32" t="s">
        <v>584</v>
      </c>
      <c r="D151" s="30" t="s">
        <v>573</v>
      </c>
      <c r="E151" s="30" t="s">
        <v>574</v>
      </c>
    </row>
    <row r="152" spans="1:5" x14ac:dyDescent="0.35">
      <c r="A152" s="32">
        <v>227</v>
      </c>
      <c r="B152" s="32" t="s">
        <v>610</v>
      </c>
      <c r="C152" s="32" t="s">
        <v>584</v>
      </c>
      <c r="D152" s="30" t="s">
        <v>573</v>
      </c>
      <c r="E152" s="30" t="s">
        <v>574</v>
      </c>
    </row>
    <row r="153" spans="1:5" x14ac:dyDescent="0.35">
      <c r="A153" s="32">
        <v>228</v>
      </c>
      <c r="B153" s="32" t="s">
        <v>610</v>
      </c>
      <c r="C153" s="32" t="s">
        <v>584</v>
      </c>
      <c r="D153" s="30" t="s">
        <v>573</v>
      </c>
      <c r="E153" s="30" t="s">
        <v>574</v>
      </c>
    </row>
    <row r="154" spans="1:5" x14ac:dyDescent="0.35">
      <c r="A154" s="32">
        <v>229</v>
      </c>
      <c r="B154" s="32" t="s">
        <v>610</v>
      </c>
      <c r="C154" s="32" t="s">
        <v>584</v>
      </c>
      <c r="D154" s="30" t="s">
        <v>573</v>
      </c>
      <c r="E154" s="30" t="s">
        <v>574</v>
      </c>
    </row>
    <row r="155" spans="1:5" x14ac:dyDescent="0.35">
      <c r="A155" s="32">
        <v>230</v>
      </c>
      <c r="B155" s="32" t="s">
        <v>610</v>
      </c>
      <c r="C155" s="32" t="s">
        <v>584</v>
      </c>
      <c r="D155" s="30" t="s">
        <v>573</v>
      </c>
      <c r="E155" s="30" t="s">
        <v>574</v>
      </c>
    </row>
    <row r="156" spans="1:5" x14ac:dyDescent="0.35">
      <c r="A156" s="32">
        <v>231</v>
      </c>
      <c r="B156" s="32" t="s">
        <v>610</v>
      </c>
      <c r="C156" s="32" t="s">
        <v>584</v>
      </c>
      <c r="D156" s="30" t="s">
        <v>573</v>
      </c>
      <c r="E156" s="30" t="s">
        <v>574</v>
      </c>
    </row>
    <row r="157" spans="1:5" x14ac:dyDescent="0.35">
      <c r="A157" s="32">
        <v>232</v>
      </c>
      <c r="B157" s="32" t="s">
        <v>610</v>
      </c>
      <c r="C157" s="32" t="s">
        <v>584</v>
      </c>
      <c r="D157" s="30" t="s">
        <v>573</v>
      </c>
      <c r="E157" s="30" t="s">
        <v>574</v>
      </c>
    </row>
    <row r="158" spans="1:5" x14ac:dyDescent="0.35">
      <c r="A158" s="32">
        <v>233</v>
      </c>
      <c r="B158" s="32" t="s">
        <v>610</v>
      </c>
      <c r="C158" s="32" t="s">
        <v>584</v>
      </c>
      <c r="D158" s="30" t="s">
        <v>573</v>
      </c>
      <c r="E158" s="30" t="s">
        <v>574</v>
      </c>
    </row>
    <row r="159" spans="1:5" x14ac:dyDescent="0.35">
      <c r="A159" s="32">
        <v>234</v>
      </c>
      <c r="B159" s="32" t="s">
        <v>610</v>
      </c>
      <c r="C159" s="32" t="s">
        <v>584</v>
      </c>
      <c r="D159" s="30" t="s">
        <v>573</v>
      </c>
      <c r="E159" s="30" t="s">
        <v>574</v>
      </c>
    </row>
    <row r="160" spans="1:5" x14ac:dyDescent="0.35">
      <c r="A160" s="32">
        <v>235</v>
      </c>
      <c r="B160" s="32" t="s">
        <v>610</v>
      </c>
      <c r="C160" s="32" t="s">
        <v>584</v>
      </c>
      <c r="D160" s="30" t="s">
        <v>573</v>
      </c>
      <c r="E160" s="30" t="s">
        <v>574</v>
      </c>
    </row>
    <row r="161" spans="1:5" x14ac:dyDescent="0.35">
      <c r="A161" s="32">
        <v>236</v>
      </c>
      <c r="B161" s="32" t="s">
        <v>610</v>
      </c>
      <c r="C161" s="32" t="s">
        <v>584</v>
      </c>
      <c r="D161" s="30" t="s">
        <v>573</v>
      </c>
      <c r="E161" s="30" t="s">
        <v>574</v>
      </c>
    </row>
    <row r="162" spans="1:5" x14ac:dyDescent="0.35">
      <c r="A162" s="32">
        <v>237</v>
      </c>
      <c r="B162" s="32" t="s">
        <v>610</v>
      </c>
      <c r="C162" s="32" t="s">
        <v>584</v>
      </c>
      <c r="D162" s="30" t="s">
        <v>573</v>
      </c>
      <c r="E162" s="30" t="s">
        <v>637</v>
      </c>
    </row>
    <row r="163" spans="1:5" x14ac:dyDescent="0.35">
      <c r="A163" s="32">
        <v>238</v>
      </c>
      <c r="B163" s="32" t="s">
        <v>610</v>
      </c>
      <c r="C163" s="32" t="s">
        <v>584</v>
      </c>
      <c r="D163" s="30" t="s">
        <v>573</v>
      </c>
      <c r="E163" s="30" t="s">
        <v>637</v>
      </c>
    </row>
    <row r="164" spans="1:5" x14ac:dyDescent="0.35">
      <c r="A164" s="32">
        <v>239</v>
      </c>
      <c r="B164" s="32" t="s">
        <v>610</v>
      </c>
      <c r="C164" s="32" t="s">
        <v>584</v>
      </c>
      <c r="D164" s="30" t="s">
        <v>573</v>
      </c>
      <c r="E164" s="30" t="s">
        <v>637</v>
      </c>
    </row>
    <row r="165" spans="1:5" x14ac:dyDescent="0.35">
      <c r="A165" s="32">
        <v>240</v>
      </c>
      <c r="B165" s="32" t="s">
        <v>610</v>
      </c>
      <c r="C165" s="32" t="s">
        <v>584</v>
      </c>
      <c r="D165" s="30" t="s">
        <v>573</v>
      </c>
      <c r="E165" s="30" t="s">
        <v>637</v>
      </c>
    </row>
    <row r="166" spans="1:5" x14ac:dyDescent="0.35">
      <c r="A166" s="32">
        <v>241</v>
      </c>
      <c r="B166" s="32" t="s">
        <v>611</v>
      </c>
      <c r="C166" s="32" t="s">
        <v>584</v>
      </c>
      <c r="D166" s="30" t="s">
        <v>599</v>
      </c>
      <c r="E166" s="30" t="s">
        <v>615</v>
      </c>
    </row>
    <row r="167" spans="1:5" x14ac:dyDescent="0.35">
      <c r="A167" s="32">
        <v>242</v>
      </c>
      <c r="B167" s="32" t="s">
        <v>610</v>
      </c>
      <c r="C167" s="32" t="s">
        <v>572</v>
      </c>
      <c r="D167" s="30" t="s">
        <v>639</v>
      </c>
      <c r="E167" s="30" t="s">
        <v>640</v>
      </c>
    </row>
    <row r="168" spans="1:5" x14ac:dyDescent="0.35">
      <c r="A168" s="32">
        <v>243</v>
      </c>
      <c r="B168" s="32" t="s">
        <v>571</v>
      </c>
      <c r="C168" s="32" t="s">
        <v>605</v>
      </c>
      <c r="D168" s="30" t="s">
        <v>573</v>
      </c>
      <c r="E168" s="30" t="s">
        <v>638</v>
      </c>
    </row>
    <row r="169" spans="1:5" x14ac:dyDescent="0.35">
      <c r="A169" s="32">
        <v>244</v>
      </c>
      <c r="B169" s="32" t="s">
        <v>610</v>
      </c>
      <c r="C169" s="32" t="s">
        <v>605</v>
      </c>
      <c r="D169" s="30" t="s">
        <v>632</v>
      </c>
      <c r="E169" s="30" t="s">
        <v>633</v>
      </c>
    </row>
    <row r="170" spans="1:5" x14ac:dyDescent="0.35">
      <c r="A170" s="32">
        <v>245</v>
      </c>
      <c r="B170" s="32" t="s">
        <v>610</v>
      </c>
      <c r="C170" s="32" t="s">
        <v>572</v>
      </c>
      <c r="D170" s="30" t="s">
        <v>632</v>
      </c>
      <c r="E170" s="30" t="s">
        <v>633</v>
      </c>
    </row>
    <row r="171" spans="1:5" x14ac:dyDescent="0.35">
      <c r="A171" s="32">
        <v>246</v>
      </c>
      <c r="B171" s="32" t="s">
        <v>610</v>
      </c>
      <c r="C171" s="32" t="s">
        <v>577</v>
      </c>
      <c r="D171" s="30" t="s">
        <v>632</v>
      </c>
      <c r="E171" s="30" t="s">
        <v>633</v>
      </c>
    </row>
    <row r="172" spans="1:5" x14ac:dyDescent="0.35">
      <c r="A172" s="32">
        <v>247</v>
      </c>
      <c r="B172" s="32" t="s">
        <v>610</v>
      </c>
      <c r="C172" s="32" t="s">
        <v>624</v>
      </c>
      <c r="D172" s="30" t="s">
        <v>632</v>
      </c>
      <c r="E172" s="30" t="s">
        <v>633</v>
      </c>
    </row>
    <row r="173" spans="1:5" x14ac:dyDescent="0.35">
      <c r="A173" s="32">
        <v>248</v>
      </c>
      <c r="B173" s="32" t="s">
        <v>611</v>
      </c>
      <c r="C173" s="32" t="s">
        <v>619</v>
      </c>
      <c r="D173" s="30" t="s">
        <v>599</v>
      </c>
      <c r="E173" s="30" t="s">
        <v>600</v>
      </c>
    </row>
    <row r="174" spans="1:5" x14ac:dyDescent="0.35">
      <c r="A174" s="32">
        <v>249</v>
      </c>
      <c r="B174" s="32" t="s">
        <v>611</v>
      </c>
      <c r="C174" s="32" t="s">
        <v>619</v>
      </c>
      <c r="D174" s="30" t="s">
        <v>599</v>
      </c>
      <c r="E174" s="30" t="s">
        <v>600</v>
      </c>
    </row>
    <row r="175" spans="1:5" x14ac:dyDescent="0.35">
      <c r="A175" s="32">
        <v>250</v>
      </c>
      <c r="B175" s="32" t="s">
        <v>611</v>
      </c>
      <c r="C175" s="32" t="s">
        <v>619</v>
      </c>
      <c r="D175" s="30" t="s">
        <v>599</v>
      </c>
      <c r="E175" s="30" t="s">
        <v>600</v>
      </c>
    </row>
    <row r="176" spans="1:5" x14ac:dyDescent="0.35">
      <c r="A176" s="32">
        <v>251</v>
      </c>
      <c r="B176" s="32" t="s">
        <v>641</v>
      </c>
      <c r="C176" s="32" t="s">
        <v>619</v>
      </c>
      <c r="D176" s="30" t="s">
        <v>599</v>
      </c>
      <c r="E176" s="30" t="s">
        <v>600</v>
      </c>
    </row>
    <row r="177" spans="1:5" x14ac:dyDescent="0.35">
      <c r="A177" s="32">
        <v>252</v>
      </c>
      <c r="B177" s="32" t="s">
        <v>634</v>
      </c>
      <c r="C177" s="32" t="s">
        <v>619</v>
      </c>
      <c r="D177" s="30" t="s">
        <v>599</v>
      </c>
      <c r="E177" s="30" t="s">
        <v>600</v>
      </c>
    </row>
    <row r="178" spans="1:5" x14ac:dyDescent="0.35">
      <c r="A178" s="32">
        <v>253</v>
      </c>
      <c r="B178" s="32" t="s">
        <v>571</v>
      </c>
      <c r="C178" s="32" t="s">
        <v>572</v>
      </c>
      <c r="D178" s="30" t="s">
        <v>599</v>
      </c>
      <c r="E178" s="30" t="s">
        <v>629</v>
      </c>
    </row>
    <row r="179" spans="1:5" x14ac:dyDescent="0.35">
      <c r="A179" s="32">
        <v>254</v>
      </c>
      <c r="B179" s="32" t="s">
        <v>571</v>
      </c>
      <c r="C179" s="32" t="s">
        <v>572</v>
      </c>
      <c r="D179" s="30" t="s">
        <v>599</v>
      </c>
      <c r="E179" s="30" t="s">
        <v>629</v>
      </c>
    </row>
    <row r="180" spans="1:5" x14ac:dyDescent="0.35">
      <c r="A180" s="32">
        <v>255</v>
      </c>
      <c r="B180" s="32" t="s">
        <v>571</v>
      </c>
      <c r="C180" s="32" t="s">
        <v>572</v>
      </c>
      <c r="D180" s="30" t="s">
        <v>599</v>
      </c>
      <c r="E180" s="30" t="s">
        <v>629</v>
      </c>
    </row>
    <row r="181" spans="1:5" x14ac:dyDescent="0.35">
      <c r="A181" s="32">
        <v>256</v>
      </c>
      <c r="B181" s="32" t="s">
        <v>634</v>
      </c>
      <c r="C181" s="32" t="s">
        <v>572</v>
      </c>
      <c r="D181" s="30" t="s">
        <v>599</v>
      </c>
      <c r="E181" s="30" t="s">
        <v>629</v>
      </c>
    </row>
    <row r="182" spans="1:5" x14ac:dyDescent="0.35">
      <c r="A182" s="32">
        <v>257</v>
      </c>
      <c r="B182" s="32" t="s">
        <v>634</v>
      </c>
      <c r="C182" s="32" t="s">
        <v>572</v>
      </c>
      <c r="D182" s="30" t="s">
        <v>599</v>
      </c>
      <c r="E182" s="30" t="s">
        <v>629</v>
      </c>
    </row>
    <row r="183" spans="1:5" x14ac:dyDescent="0.35">
      <c r="A183" s="32">
        <v>258</v>
      </c>
      <c r="B183" s="32" t="s">
        <v>634</v>
      </c>
      <c r="C183" s="32" t="s">
        <v>572</v>
      </c>
      <c r="D183" s="30" t="s">
        <v>599</v>
      </c>
      <c r="E183" s="30" t="s">
        <v>629</v>
      </c>
    </row>
    <row r="184" spans="1:5" x14ac:dyDescent="0.35">
      <c r="A184" s="32">
        <v>259</v>
      </c>
      <c r="B184" s="32" t="s">
        <v>611</v>
      </c>
      <c r="C184" s="32" t="s">
        <v>572</v>
      </c>
      <c r="D184" s="30" t="s">
        <v>599</v>
      </c>
      <c r="E184" s="30" t="s">
        <v>629</v>
      </c>
    </row>
    <row r="185" spans="1:5" x14ac:dyDescent="0.35">
      <c r="A185" s="32">
        <v>260</v>
      </c>
      <c r="B185" s="32" t="s">
        <v>642</v>
      </c>
      <c r="C185" s="32" t="s">
        <v>572</v>
      </c>
      <c r="D185" s="30" t="s">
        <v>599</v>
      </c>
      <c r="E185" s="30" t="s">
        <v>629</v>
      </c>
    </row>
    <row r="186" spans="1:5" x14ac:dyDescent="0.35">
      <c r="A186" s="32">
        <v>261</v>
      </c>
      <c r="B186" s="32" t="s">
        <v>571</v>
      </c>
      <c r="C186" s="32" t="s">
        <v>572</v>
      </c>
      <c r="D186" s="30" t="s">
        <v>599</v>
      </c>
      <c r="E186" s="30" t="s">
        <v>629</v>
      </c>
    </row>
    <row r="187" spans="1:5" x14ac:dyDescent="0.35">
      <c r="A187" s="32">
        <v>262</v>
      </c>
      <c r="B187" s="32" t="s">
        <v>571</v>
      </c>
      <c r="C187" s="32" t="s">
        <v>605</v>
      </c>
      <c r="D187" s="30" t="s">
        <v>599</v>
      </c>
      <c r="E187" s="30" t="s">
        <v>629</v>
      </c>
    </row>
    <row r="188" spans="1:5" x14ac:dyDescent="0.35">
      <c r="A188" s="32">
        <v>263</v>
      </c>
      <c r="B188" s="32" t="s">
        <v>571</v>
      </c>
      <c r="C188" s="32" t="s">
        <v>605</v>
      </c>
      <c r="D188" s="30" t="s">
        <v>599</v>
      </c>
      <c r="E188" s="30" t="s">
        <v>629</v>
      </c>
    </row>
    <row r="189" spans="1:5" x14ac:dyDescent="0.35">
      <c r="A189" s="32">
        <v>264</v>
      </c>
      <c r="B189" s="32" t="s">
        <v>571</v>
      </c>
      <c r="C189" s="32" t="s">
        <v>605</v>
      </c>
      <c r="D189" s="30" t="s">
        <v>599</v>
      </c>
      <c r="E189" s="30" t="s">
        <v>629</v>
      </c>
    </row>
    <row r="190" spans="1:5" x14ac:dyDescent="0.35">
      <c r="A190" s="32">
        <v>265</v>
      </c>
      <c r="B190" s="32" t="s">
        <v>571</v>
      </c>
      <c r="C190" s="32" t="s">
        <v>605</v>
      </c>
      <c r="D190" s="30" t="s">
        <v>599</v>
      </c>
      <c r="E190" s="30" t="s">
        <v>629</v>
      </c>
    </row>
    <row r="191" spans="1:5" x14ac:dyDescent="0.35">
      <c r="A191" s="32">
        <v>266</v>
      </c>
      <c r="B191" s="32" t="s">
        <v>571</v>
      </c>
      <c r="C191" s="32" t="s">
        <v>605</v>
      </c>
      <c r="D191" s="30" t="s">
        <v>599</v>
      </c>
      <c r="E191" s="30" t="s">
        <v>629</v>
      </c>
    </row>
    <row r="192" spans="1:5" x14ac:dyDescent="0.35">
      <c r="A192" s="32">
        <v>267</v>
      </c>
      <c r="B192" s="32" t="s">
        <v>642</v>
      </c>
      <c r="C192" s="32" t="s">
        <v>605</v>
      </c>
      <c r="D192" s="30" t="s">
        <v>599</v>
      </c>
      <c r="E192" s="30" t="s">
        <v>629</v>
      </c>
    </row>
    <row r="193" spans="1:5" x14ac:dyDescent="0.35">
      <c r="A193" s="32">
        <v>268</v>
      </c>
      <c r="B193" s="32" t="s">
        <v>642</v>
      </c>
      <c r="C193" s="32" t="s">
        <v>605</v>
      </c>
      <c r="D193" s="30" t="s">
        <v>599</v>
      </c>
      <c r="E193" s="30" t="s">
        <v>629</v>
      </c>
    </row>
    <row r="194" spans="1:5" x14ac:dyDescent="0.35">
      <c r="A194" s="32">
        <v>269</v>
      </c>
      <c r="B194" s="32" t="s">
        <v>642</v>
      </c>
      <c r="C194" s="32" t="s">
        <v>605</v>
      </c>
      <c r="D194" s="30" t="s">
        <v>599</v>
      </c>
      <c r="E194" s="30" t="s">
        <v>629</v>
      </c>
    </row>
    <row r="195" spans="1:5" x14ac:dyDescent="0.35">
      <c r="A195" s="32">
        <v>270</v>
      </c>
      <c r="B195" s="32" t="s">
        <v>642</v>
      </c>
      <c r="C195" s="32" t="s">
        <v>605</v>
      </c>
      <c r="D195" s="30" t="s">
        <v>599</v>
      </c>
      <c r="E195" s="30" t="s">
        <v>629</v>
      </c>
    </row>
    <row r="196" spans="1:5" x14ac:dyDescent="0.35">
      <c r="A196" s="32">
        <v>271</v>
      </c>
      <c r="B196" s="32" t="s">
        <v>642</v>
      </c>
      <c r="C196" s="32" t="s">
        <v>605</v>
      </c>
      <c r="D196" s="30" t="s">
        <v>599</v>
      </c>
      <c r="E196" s="30" t="s">
        <v>629</v>
      </c>
    </row>
    <row r="197" spans="1:5" x14ac:dyDescent="0.35">
      <c r="A197" s="32">
        <v>272</v>
      </c>
      <c r="B197" s="32" t="s">
        <v>571</v>
      </c>
      <c r="C197" s="32" t="s">
        <v>605</v>
      </c>
      <c r="D197" s="30" t="s">
        <v>599</v>
      </c>
      <c r="E197" s="30" t="s">
        <v>629</v>
      </c>
    </row>
    <row r="198" spans="1:5" x14ac:dyDescent="0.35">
      <c r="A198" s="32">
        <v>273</v>
      </c>
      <c r="B198" s="32" t="s">
        <v>571</v>
      </c>
      <c r="C198" s="32" t="s">
        <v>605</v>
      </c>
      <c r="D198" s="30" t="s">
        <v>599</v>
      </c>
      <c r="E198" s="30" t="s">
        <v>629</v>
      </c>
    </row>
    <row r="199" spans="1:5" x14ac:dyDescent="0.35">
      <c r="A199" s="32">
        <v>274</v>
      </c>
      <c r="B199" s="32" t="s">
        <v>571</v>
      </c>
      <c r="C199" s="32" t="s">
        <v>605</v>
      </c>
      <c r="D199" s="30" t="s">
        <v>599</v>
      </c>
      <c r="E199" s="30" t="s">
        <v>629</v>
      </c>
    </row>
    <row r="200" spans="1:5" x14ac:dyDescent="0.35">
      <c r="A200" s="32">
        <v>275</v>
      </c>
      <c r="B200" s="32" t="s">
        <v>571</v>
      </c>
      <c r="C200" s="32" t="s">
        <v>605</v>
      </c>
      <c r="D200" s="30" t="s">
        <v>599</v>
      </c>
      <c r="E200" s="30" t="s">
        <v>629</v>
      </c>
    </row>
    <row r="201" spans="1:5" x14ac:dyDescent="0.35">
      <c r="A201" s="32">
        <v>276</v>
      </c>
      <c r="B201" s="32" t="s">
        <v>634</v>
      </c>
      <c r="C201" s="32" t="s">
        <v>605</v>
      </c>
      <c r="D201" s="30" t="s">
        <v>599</v>
      </c>
      <c r="E201" s="30" t="s">
        <v>629</v>
      </c>
    </row>
    <row r="202" spans="1:5" x14ac:dyDescent="0.35">
      <c r="A202" s="32">
        <v>277</v>
      </c>
      <c r="B202" s="32" t="s">
        <v>634</v>
      </c>
      <c r="C202" s="32" t="s">
        <v>605</v>
      </c>
      <c r="D202" s="30" t="s">
        <v>599</v>
      </c>
      <c r="E202" s="30" t="s">
        <v>629</v>
      </c>
    </row>
    <row r="203" spans="1:5" x14ac:dyDescent="0.35">
      <c r="A203" s="32">
        <v>278</v>
      </c>
      <c r="B203" s="32" t="s">
        <v>634</v>
      </c>
      <c r="C203" s="32" t="s">
        <v>605</v>
      </c>
      <c r="D203" s="30" t="s">
        <v>599</v>
      </c>
      <c r="E203" s="30" t="s">
        <v>629</v>
      </c>
    </row>
    <row r="204" spans="1:5" x14ac:dyDescent="0.35">
      <c r="A204" s="32">
        <v>279</v>
      </c>
      <c r="B204" s="32" t="s">
        <v>634</v>
      </c>
      <c r="C204" s="32" t="s">
        <v>605</v>
      </c>
      <c r="D204" s="30" t="s">
        <v>599</v>
      </c>
      <c r="E204" s="30" t="s">
        <v>629</v>
      </c>
    </row>
    <row r="205" spans="1:5" x14ac:dyDescent="0.35">
      <c r="A205" s="32">
        <v>280</v>
      </c>
      <c r="B205" s="32" t="s">
        <v>634</v>
      </c>
      <c r="C205" s="32" t="s">
        <v>605</v>
      </c>
      <c r="D205" s="30" t="s">
        <v>599</v>
      </c>
      <c r="E205" s="30" t="s">
        <v>629</v>
      </c>
    </row>
    <row r="206" spans="1:5" x14ac:dyDescent="0.35">
      <c r="A206" s="32">
        <v>281</v>
      </c>
      <c r="B206" s="32" t="s">
        <v>634</v>
      </c>
      <c r="C206" s="32" t="s">
        <v>605</v>
      </c>
      <c r="D206" s="30" t="s">
        <v>599</v>
      </c>
      <c r="E206" s="30" t="s">
        <v>629</v>
      </c>
    </row>
    <row r="207" spans="1:5" x14ac:dyDescent="0.35">
      <c r="A207" s="32">
        <v>282</v>
      </c>
      <c r="B207" s="32" t="s">
        <v>634</v>
      </c>
      <c r="C207" s="32" t="s">
        <v>605</v>
      </c>
      <c r="D207" s="30" t="s">
        <v>599</v>
      </c>
      <c r="E207" s="30" t="s">
        <v>629</v>
      </c>
    </row>
    <row r="208" spans="1:5" x14ac:dyDescent="0.35">
      <c r="A208" s="32">
        <v>283</v>
      </c>
      <c r="B208" s="32" t="s">
        <v>634</v>
      </c>
      <c r="C208" s="32" t="s">
        <v>605</v>
      </c>
      <c r="D208" s="30" t="s">
        <v>599</v>
      </c>
      <c r="E208" s="30" t="s">
        <v>629</v>
      </c>
    </row>
    <row r="209" spans="1:5" x14ac:dyDescent="0.35">
      <c r="A209" s="32">
        <v>284</v>
      </c>
      <c r="B209" s="32" t="s">
        <v>571</v>
      </c>
      <c r="C209" s="32" t="s">
        <v>572</v>
      </c>
      <c r="D209" s="30" t="s">
        <v>643</v>
      </c>
      <c r="E209" s="30" t="s">
        <v>644</v>
      </c>
    </row>
    <row r="210" spans="1:5" x14ac:dyDescent="0.35">
      <c r="A210" s="32">
        <v>285</v>
      </c>
      <c r="B210" s="32" t="s">
        <v>571</v>
      </c>
      <c r="C210" s="32" t="s">
        <v>572</v>
      </c>
      <c r="D210" s="30" t="s">
        <v>643</v>
      </c>
      <c r="E210" s="30" t="s">
        <v>644</v>
      </c>
    </row>
    <row r="211" spans="1:5" x14ac:dyDescent="0.35">
      <c r="A211" s="32">
        <v>286</v>
      </c>
      <c r="B211" s="32" t="s">
        <v>571</v>
      </c>
      <c r="C211" s="32" t="s">
        <v>572</v>
      </c>
      <c r="D211" s="30" t="s">
        <v>643</v>
      </c>
      <c r="E211" s="30" t="s">
        <v>644</v>
      </c>
    </row>
    <row r="212" spans="1:5" x14ac:dyDescent="0.35">
      <c r="A212" s="32">
        <v>287</v>
      </c>
      <c r="B212" s="32" t="s">
        <v>571</v>
      </c>
      <c r="C212" s="32" t="s">
        <v>572</v>
      </c>
      <c r="D212" s="30" t="s">
        <v>643</v>
      </c>
      <c r="E212" s="30" t="s">
        <v>644</v>
      </c>
    </row>
    <row r="213" spans="1:5" x14ac:dyDescent="0.35">
      <c r="A213" s="32">
        <v>288</v>
      </c>
      <c r="B213" s="32" t="s">
        <v>571</v>
      </c>
      <c r="C213" s="32" t="s">
        <v>572</v>
      </c>
      <c r="D213" s="30" t="s">
        <v>643</v>
      </c>
      <c r="E213" s="30" t="s">
        <v>644</v>
      </c>
    </row>
    <row r="214" spans="1:5" x14ac:dyDescent="0.35">
      <c r="A214" s="32">
        <v>289</v>
      </c>
      <c r="B214" s="32" t="s">
        <v>571</v>
      </c>
      <c r="C214" s="32" t="s">
        <v>572</v>
      </c>
      <c r="D214" s="30" t="s">
        <v>643</v>
      </c>
      <c r="E214" s="30" t="s">
        <v>644</v>
      </c>
    </row>
    <row r="215" spans="1:5" x14ac:dyDescent="0.35">
      <c r="A215" s="32">
        <v>290</v>
      </c>
      <c r="B215" s="32" t="s">
        <v>571</v>
      </c>
      <c r="C215" s="32" t="s">
        <v>572</v>
      </c>
      <c r="D215" s="30" t="s">
        <v>643</v>
      </c>
      <c r="E215" s="30" t="s">
        <v>644</v>
      </c>
    </row>
    <row r="216" spans="1:5" x14ac:dyDescent="0.35">
      <c r="A216" s="32">
        <v>291</v>
      </c>
      <c r="B216" s="32" t="s">
        <v>571</v>
      </c>
      <c r="C216" s="32" t="s">
        <v>572</v>
      </c>
      <c r="D216" s="30" t="s">
        <v>643</v>
      </c>
      <c r="E216" s="30" t="s">
        <v>644</v>
      </c>
    </row>
    <row r="217" spans="1:5" x14ac:dyDescent="0.35">
      <c r="A217" s="32">
        <v>292</v>
      </c>
      <c r="B217" s="32" t="s">
        <v>571</v>
      </c>
      <c r="C217" s="32" t="s">
        <v>572</v>
      </c>
      <c r="D217" s="30" t="s">
        <v>643</v>
      </c>
      <c r="E217" s="30" t="s">
        <v>644</v>
      </c>
    </row>
    <row r="218" spans="1:5" x14ac:dyDescent="0.35">
      <c r="A218" s="32">
        <v>293</v>
      </c>
      <c r="B218" s="32" t="s">
        <v>571</v>
      </c>
      <c r="C218" s="32" t="s">
        <v>572</v>
      </c>
      <c r="D218" s="30" t="s">
        <v>643</v>
      </c>
      <c r="E218" s="30" t="s">
        <v>644</v>
      </c>
    </row>
    <row r="219" spans="1:5" x14ac:dyDescent="0.35">
      <c r="A219" s="32">
        <v>294</v>
      </c>
      <c r="B219" s="32" t="s">
        <v>571</v>
      </c>
      <c r="C219" s="32" t="s">
        <v>572</v>
      </c>
      <c r="D219" s="30" t="s">
        <v>643</v>
      </c>
      <c r="E219" s="30" t="s">
        <v>644</v>
      </c>
    </row>
    <row r="220" spans="1:5" x14ac:dyDescent="0.35">
      <c r="A220" s="32">
        <v>295</v>
      </c>
      <c r="B220" s="32" t="s">
        <v>571</v>
      </c>
      <c r="C220" s="32" t="s">
        <v>572</v>
      </c>
      <c r="D220" s="30" t="s">
        <v>643</v>
      </c>
      <c r="E220" s="30" t="s">
        <v>644</v>
      </c>
    </row>
    <row r="221" spans="1:5" x14ac:dyDescent="0.35">
      <c r="A221" s="32">
        <v>296</v>
      </c>
      <c r="B221" s="32" t="s">
        <v>571</v>
      </c>
      <c r="C221" s="32" t="s">
        <v>572</v>
      </c>
      <c r="D221" s="30" t="s">
        <v>643</v>
      </c>
      <c r="E221" s="30" t="s">
        <v>644</v>
      </c>
    </row>
    <row r="222" spans="1:5" x14ac:dyDescent="0.35">
      <c r="A222" s="32">
        <v>297</v>
      </c>
      <c r="B222" s="32" t="s">
        <v>571</v>
      </c>
      <c r="C222" s="32" t="s">
        <v>572</v>
      </c>
      <c r="D222" s="30" t="s">
        <v>643</v>
      </c>
      <c r="E222" s="30" t="s">
        <v>644</v>
      </c>
    </row>
    <row r="223" spans="1:5" x14ac:dyDescent="0.35">
      <c r="A223" s="32">
        <v>298</v>
      </c>
      <c r="B223" s="32" t="s">
        <v>571</v>
      </c>
      <c r="C223" s="32" t="s">
        <v>572</v>
      </c>
      <c r="D223" s="30" t="s">
        <v>643</v>
      </c>
      <c r="E223" s="30" t="s">
        <v>644</v>
      </c>
    </row>
    <row r="224" spans="1:5" x14ac:dyDescent="0.35">
      <c r="A224" s="32">
        <v>299</v>
      </c>
      <c r="B224" s="32" t="s">
        <v>571</v>
      </c>
      <c r="C224" s="32" t="s">
        <v>572</v>
      </c>
      <c r="D224" s="30" t="s">
        <v>643</v>
      </c>
      <c r="E224" s="30" t="s">
        <v>644</v>
      </c>
    </row>
    <row r="225" spans="1:5" x14ac:dyDescent="0.35">
      <c r="A225" s="32">
        <v>300</v>
      </c>
      <c r="B225" s="32" t="s">
        <v>571</v>
      </c>
      <c r="C225" s="32" t="s">
        <v>572</v>
      </c>
      <c r="D225" s="30" t="s">
        <v>643</v>
      </c>
      <c r="E225" s="30" t="s">
        <v>644</v>
      </c>
    </row>
    <row r="226" spans="1:5" x14ac:dyDescent="0.35">
      <c r="A226" s="32">
        <v>301</v>
      </c>
      <c r="B226" s="32" t="s">
        <v>571</v>
      </c>
      <c r="C226" s="32" t="s">
        <v>572</v>
      </c>
      <c r="D226" s="30" t="s">
        <v>643</v>
      </c>
      <c r="E226" s="30" t="s">
        <v>644</v>
      </c>
    </row>
    <row r="227" spans="1:5" x14ac:dyDescent="0.35">
      <c r="A227" s="32">
        <v>302</v>
      </c>
      <c r="B227" s="32" t="s">
        <v>571</v>
      </c>
      <c r="C227" s="32" t="s">
        <v>572</v>
      </c>
      <c r="D227" s="30" t="s">
        <v>643</v>
      </c>
      <c r="E227" s="30" t="s">
        <v>644</v>
      </c>
    </row>
    <row r="228" spans="1:5" x14ac:dyDescent="0.35">
      <c r="A228" s="32">
        <v>303</v>
      </c>
      <c r="B228" s="32" t="s">
        <v>571</v>
      </c>
      <c r="C228" s="32" t="s">
        <v>645</v>
      </c>
      <c r="D228" s="30" t="s">
        <v>643</v>
      </c>
      <c r="E228" s="30" t="s">
        <v>644</v>
      </c>
    </row>
    <row r="229" spans="1:5" x14ac:dyDescent="0.35">
      <c r="A229" s="32">
        <v>304</v>
      </c>
      <c r="B229" s="32" t="s">
        <v>571</v>
      </c>
      <c r="C229" s="32" t="s">
        <v>645</v>
      </c>
      <c r="D229" s="30" t="s">
        <v>643</v>
      </c>
      <c r="E229" s="30" t="s">
        <v>644</v>
      </c>
    </row>
    <row r="230" spans="1:5" x14ac:dyDescent="0.35">
      <c r="A230" s="32">
        <v>305</v>
      </c>
      <c r="B230" s="32" t="s">
        <v>571</v>
      </c>
      <c r="C230" s="32" t="s">
        <v>619</v>
      </c>
      <c r="D230" s="30" t="s">
        <v>643</v>
      </c>
      <c r="E230" s="30" t="s">
        <v>644</v>
      </c>
    </row>
    <row r="231" spans="1:5" x14ac:dyDescent="0.35">
      <c r="A231" s="32">
        <v>306</v>
      </c>
      <c r="B231" s="32" t="s">
        <v>571</v>
      </c>
      <c r="C231" s="32" t="s">
        <v>645</v>
      </c>
      <c r="D231" s="30" t="s">
        <v>643</v>
      </c>
      <c r="E231" s="30" t="s">
        <v>644</v>
      </c>
    </row>
    <row r="232" spans="1:5" x14ac:dyDescent="0.35">
      <c r="A232" s="32">
        <v>307</v>
      </c>
      <c r="B232" s="32" t="s">
        <v>571</v>
      </c>
      <c r="C232" s="32" t="s">
        <v>645</v>
      </c>
      <c r="D232" s="30" t="s">
        <v>643</v>
      </c>
      <c r="E232" s="30" t="s">
        <v>644</v>
      </c>
    </row>
    <row r="233" spans="1:5" x14ac:dyDescent="0.35">
      <c r="A233" s="32">
        <v>308</v>
      </c>
      <c r="B233" s="32" t="s">
        <v>571</v>
      </c>
      <c r="C233" s="32" t="s">
        <v>619</v>
      </c>
      <c r="D233" s="30" t="s">
        <v>643</v>
      </c>
      <c r="E233" s="30" t="s">
        <v>644</v>
      </c>
    </row>
    <row r="234" spans="1:5" x14ac:dyDescent="0.35">
      <c r="A234" s="32">
        <v>309</v>
      </c>
      <c r="B234" s="32" t="s">
        <v>571</v>
      </c>
      <c r="C234" s="32" t="s">
        <v>645</v>
      </c>
      <c r="D234" s="30" t="s">
        <v>643</v>
      </c>
      <c r="E234" s="30" t="s">
        <v>644</v>
      </c>
    </row>
    <row r="235" spans="1:5" x14ac:dyDescent="0.35">
      <c r="A235" s="32">
        <v>310</v>
      </c>
      <c r="B235" s="32" t="s">
        <v>571</v>
      </c>
      <c r="C235" s="32" t="s">
        <v>619</v>
      </c>
      <c r="D235" s="30" t="s">
        <v>643</v>
      </c>
      <c r="E235" s="30" t="s">
        <v>644</v>
      </c>
    </row>
    <row r="236" spans="1:5" x14ac:dyDescent="0.35">
      <c r="A236" s="32">
        <v>311</v>
      </c>
      <c r="B236" s="32" t="s">
        <v>571</v>
      </c>
      <c r="C236" s="32" t="s">
        <v>645</v>
      </c>
      <c r="D236" s="30" t="s">
        <v>643</v>
      </c>
      <c r="E236" s="30" t="s">
        <v>644</v>
      </c>
    </row>
    <row r="237" spans="1:5" x14ac:dyDescent="0.35">
      <c r="A237" s="32">
        <v>312</v>
      </c>
      <c r="B237" s="32" t="s">
        <v>571</v>
      </c>
      <c r="C237" s="32" t="s">
        <v>619</v>
      </c>
      <c r="D237" s="30" t="s">
        <v>643</v>
      </c>
      <c r="E237" s="30" t="s">
        <v>644</v>
      </c>
    </row>
    <row r="238" spans="1:5" x14ac:dyDescent="0.35">
      <c r="A238" s="32">
        <v>313</v>
      </c>
      <c r="B238" s="32" t="s">
        <v>571</v>
      </c>
      <c r="C238" s="32" t="s">
        <v>619</v>
      </c>
      <c r="D238" s="30" t="s">
        <v>643</v>
      </c>
      <c r="E238" s="30" t="s">
        <v>644</v>
      </c>
    </row>
    <row r="239" spans="1:5" x14ac:dyDescent="0.35">
      <c r="A239" s="32">
        <v>314</v>
      </c>
      <c r="B239" s="32" t="s">
        <v>571</v>
      </c>
      <c r="C239" s="32" t="s">
        <v>645</v>
      </c>
      <c r="D239" s="30" t="s">
        <v>643</v>
      </c>
      <c r="E239" s="30" t="s">
        <v>644</v>
      </c>
    </row>
    <row r="240" spans="1:5" x14ac:dyDescent="0.35">
      <c r="A240" s="32">
        <v>315</v>
      </c>
      <c r="B240" s="32" t="s">
        <v>571</v>
      </c>
      <c r="C240" s="32" t="s">
        <v>619</v>
      </c>
      <c r="D240" s="30" t="s">
        <v>643</v>
      </c>
      <c r="E240" s="30" t="s">
        <v>644</v>
      </c>
    </row>
    <row r="241" spans="1:5" x14ac:dyDescent="0.35">
      <c r="A241" s="32">
        <v>316</v>
      </c>
      <c r="B241" s="32" t="s">
        <v>571</v>
      </c>
      <c r="C241" s="32" t="s">
        <v>645</v>
      </c>
      <c r="D241" s="30" t="s">
        <v>643</v>
      </c>
      <c r="E241" s="30" t="s">
        <v>644</v>
      </c>
    </row>
    <row r="242" spans="1:5" x14ac:dyDescent="0.35">
      <c r="A242" s="32">
        <v>317</v>
      </c>
      <c r="B242" s="32" t="s">
        <v>571</v>
      </c>
      <c r="C242" s="32" t="s">
        <v>645</v>
      </c>
      <c r="D242" s="30" t="s">
        <v>643</v>
      </c>
      <c r="E242" s="30" t="s">
        <v>644</v>
      </c>
    </row>
    <row r="243" spans="1:5" x14ac:dyDescent="0.35">
      <c r="A243" s="32">
        <v>318</v>
      </c>
      <c r="B243" s="32" t="s">
        <v>571</v>
      </c>
      <c r="C243" s="32" t="s">
        <v>645</v>
      </c>
      <c r="D243" s="30" t="s">
        <v>643</v>
      </c>
      <c r="E243" s="30" t="s">
        <v>644</v>
      </c>
    </row>
    <row r="244" spans="1:5" x14ac:dyDescent="0.35">
      <c r="A244" s="32">
        <v>319</v>
      </c>
      <c r="B244" s="32" t="s">
        <v>571</v>
      </c>
      <c r="C244" s="32" t="s">
        <v>645</v>
      </c>
      <c r="D244" s="30" t="s">
        <v>643</v>
      </c>
      <c r="E244" s="30" t="s">
        <v>644</v>
      </c>
    </row>
    <row r="245" spans="1:5" x14ac:dyDescent="0.35">
      <c r="A245" s="32">
        <v>320</v>
      </c>
      <c r="B245" s="32" t="s">
        <v>571</v>
      </c>
      <c r="C245" s="32" t="s">
        <v>619</v>
      </c>
      <c r="D245" s="30" t="s">
        <v>643</v>
      </c>
      <c r="E245" s="30" t="s">
        <v>644</v>
      </c>
    </row>
    <row r="246" spans="1:5" x14ac:dyDescent="0.35">
      <c r="A246" s="32">
        <v>321</v>
      </c>
      <c r="B246" s="32" t="s">
        <v>571</v>
      </c>
      <c r="C246" s="32" t="s">
        <v>645</v>
      </c>
      <c r="D246" s="30" t="s">
        <v>643</v>
      </c>
      <c r="E246" s="30" t="s">
        <v>644</v>
      </c>
    </row>
    <row r="247" spans="1:5" x14ac:dyDescent="0.35">
      <c r="A247" s="32">
        <v>322</v>
      </c>
      <c r="B247" s="32" t="s">
        <v>571</v>
      </c>
      <c r="C247" s="32" t="s">
        <v>619</v>
      </c>
      <c r="D247" s="30" t="s">
        <v>643</v>
      </c>
      <c r="E247" s="30" t="s">
        <v>644</v>
      </c>
    </row>
    <row r="248" spans="1:5" x14ac:dyDescent="0.35">
      <c r="A248" s="32">
        <v>323</v>
      </c>
      <c r="B248" s="32" t="s">
        <v>571</v>
      </c>
      <c r="C248" s="32" t="s">
        <v>619</v>
      </c>
      <c r="D248" s="30" t="s">
        <v>643</v>
      </c>
      <c r="E248" s="30" t="s">
        <v>644</v>
      </c>
    </row>
    <row r="249" spans="1:5" x14ac:dyDescent="0.35">
      <c r="A249" s="32">
        <v>324</v>
      </c>
      <c r="B249" s="32" t="s">
        <v>571</v>
      </c>
      <c r="C249" s="32" t="s">
        <v>619</v>
      </c>
      <c r="D249" s="30" t="s">
        <v>643</v>
      </c>
      <c r="E249" s="30" t="s">
        <v>644</v>
      </c>
    </row>
    <row r="250" spans="1:5" x14ac:dyDescent="0.35">
      <c r="A250" s="32">
        <v>325</v>
      </c>
      <c r="B250" s="32" t="s">
        <v>571</v>
      </c>
      <c r="C250" s="32" t="s">
        <v>645</v>
      </c>
      <c r="D250" s="30" t="s">
        <v>643</v>
      </c>
      <c r="E250" s="30" t="s">
        <v>644</v>
      </c>
    </row>
    <row r="251" spans="1:5" x14ac:dyDescent="0.35">
      <c r="A251" s="32">
        <v>326</v>
      </c>
      <c r="B251" s="32" t="s">
        <v>571</v>
      </c>
      <c r="C251" s="32" t="s">
        <v>619</v>
      </c>
      <c r="D251" s="30" t="s">
        <v>643</v>
      </c>
      <c r="E251" s="30" t="s">
        <v>644</v>
      </c>
    </row>
    <row r="252" spans="1:5" x14ac:dyDescent="0.35">
      <c r="A252" s="32">
        <v>327</v>
      </c>
      <c r="B252" s="32" t="s">
        <v>571</v>
      </c>
      <c r="C252" s="32" t="s">
        <v>645</v>
      </c>
      <c r="D252" s="30" t="s">
        <v>643</v>
      </c>
      <c r="E252" s="30" t="s">
        <v>644</v>
      </c>
    </row>
    <row r="253" spans="1:5" x14ac:dyDescent="0.35">
      <c r="A253" s="32">
        <v>328</v>
      </c>
      <c r="B253" s="32" t="s">
        <v>571</v>
      </c>
      <c r="C253" s="32" t="s">
        <v>645</v>
      </c>
      <c r="D253" s="30" t="s">
        <v>643</v>
      </c>
      <c r="E253" s="30" t="s">
        <v>644</v>
      </c>
    </row>
    <row r="254" spans="1:5" x14ac:dyDescent="0.35">
      <c r="A254" s="32">
        <v>329</v>
      </c>
      <c r="B254" s="32" t="s">
        <v>571</v>
      </c>
      <c r="C254" s="32" t="s">
        <v>645</v>
      </c>
      <c r="D254" s="30" t="s">
        <v>643</v>
      </c>
      <c r="E254" s="30" t="s">
        <v>644</v>
      </c>
    </row>
    <row r="255" spans="1:5" x14ac:dyDescent="0.35">
      <c r="A255" s="32">
        <v>330</v>
      </c>
      <c r="B255" s="32" t="s">
        <v>571</v>
      </c>
      <c r="C255" s="32" t="s">
        <v>645</v>
      </c>
      <c r="D255" s="30" t="s">
        <v>643</v>
      </c>
      <c r="E255" s="30" t="s">
        <v>644</v>
      </c>
    </row>
    <row r="256" spans="1:5" x14ac:dyDescent="0.35">
      <c r="A256" s="32">
        <v>331</v>
      </c>
      <c r="B256" s="32" t="s">
        <v>571</v>
      </c>
      <c r="C256" s="32" t="s">
        <v>619</v>
      </c>
      <c r="D256" s="30" t="s">
        <v>643</v>
      </c>
      <c r="E256" s="30" t="s">
        <v>644</v>
      </c>
    </row>
    <row r="257" spans="1:5" x14ac:dyDescent="0.35">
      <c r="A257" s="32">
        <v>332</v>
      </c>
      <c r="B257" s="32" t="s">
        <v>571</v>
      </c>
      <c r="C257" s="32" t="s">
        <v>619</v>
      </c>
      <c r="D257" s="30" t="s">
        <v>643</v>
      </c>
      <c r="E257" s="30" t="s">
        <v>644</v>
      </c>
    </row>
    <row r="258" spans="1:5" x14ac:dyDescent="0.35">
      <c r="A258" s="32">
        <v>333</v>
      </c>
      <c r="B258" s="32" t="s">
        <v>571</v>
      </c>
      <c r="C258" s="32" t="s">
        <v>645</v>
      </c>
      <c r="D258" s="30" t="s">
        <v>643</v>
      </c>
      <c r="E258" s="30" t="s">
        <v>644</v>
      </c>
    </row>
    <row r="259" spans="1:5" x14ac:dyDescent="0.35">
      <c r="A259" s="32">
        <v>334</v>
      </c>
      <c r="B259" s="32" t="s">
        <v>571</v>
      </c>
      <c r="C259" s="32" t="s">
        <v>619</v>
      </c>
      <c r="D259" s="30" t="s">
        <v>643</v>
      </c>
      <c r="E259" s="30" t="s">
        <v>644</v>
      </c>
    </row>
    <row r="260" spans="1:5" x14ac:dyDescent="0.35">
      <c r="A260" s="32">
        <v>335</v>
      </c>
      <c r="B260" s="32" t="s">
        <v>571</v>
      </c>
      <c r="C260" s="32" t="s">
        <v>645</v>
      </c>
      <c r="D260" s="30" t="s">
        <v>643</v>
      </c>
      <c r="E260" s="30" t="s">
        <v>644</v>
      </c>
    </row>
    <row r="261" spans="1:5" x14ac:dyDescent="0.35">
      <c r="A261" s="32">
        <v>336</v>
      </c>
      <c r="B261" s="32" t="s">
        <v>571</v>
      </c>
      <c r="C261" s="32" t="s">
        <v>645</v>
      </c>
      <c r="D261" s="30" t="s">
        <v>643</v>
      </c>
      <c r="E261" s="30" t="s">
        <v>644</v>
      </c>
    </row>
    <row r="262" spans="1:5" x14ac:dyDescent="0.35">
      <c r="A262" s="32">
        <v>337</v>
      </c>
      <c r="B262" s="32" t="s">
        <v>571</v>
      </c>
      <c r="C262" s="32" t="s">
        <v>619</v>
      </c>
      <c r="D262" s="30" t="s">
        <v>643</v>
      </c>
      <c r="E262" s="30" t="s">
        <v>644</v>
      </c>
    </row>
    <row r="263" spans="1:5" x14ac:dyDescent="0.35">
      <c r="A263" s="32">
        <v>338</v>
      </c>
      <c r="B263" s="32" t="s">
        <v>571</v>
      </c>
      <c r="C263" s="32" t="s">
        <v>619</v>
      </c>
      <c r="D263" s="30" t="s">
        <v>643</v>
      </c>
      <c r="E263" s="30" t="s">
        <v>644</v>
      </c>
    </row>
    <row r="264" spans="1:5" x14ac:dyDescent="0.35">
      <c r="A264" s="32">
        <v>339</v>
      </c>
      <c r="B264" s="32" t="s">
        <v>571</v>
      </c>
      <c r="C264" s="32" t="s">
        <v>619</v>
      </c>
      <c r="D264" s="30" t="s">
        <v>643</v>
      </c>
      <c r="E264" s="30" t="s">
        <v>644</v>
      </c>
    </row>
    <row r="265" spans="1:5" x14ac:dyDescent="0.35">
      <c r="A265" s="32">
        <v>340</v>
      </c>
      <c r="B265" s="32" t="s">
        <v>610</v>
      </c>
      <c r="C265" s="32" t="s">
        <v>580</v>
      </c>
      <c r="D265" s="30" t="s">
        <v>599</v>
      </c>
      <c r="E265" s="30" t="s">
        <v>629</v>
      </c>
    </row>
    <row r="266" spans="1:5" x14ac:dyDescent="0.35">
      <c r="A266" s="32">
        <v>341</v>
      </c>
      <c r="B266" s="32" t="s">
        <v>571</v>
      </c>
      <c r="C266" s="32" t="s">
        <v>580</v>
      </c>
      <c r="D266" s="30" t="s">
        <v>599</v>
      </c>
      <c r="E266" s="30" t="s">
        <v>629</v>
      </c>
    </row>
    <row r="267" spans="1:5" x14ac:dyDescent="0.35">
      <c r="A267" s="32">
        <v>342</v>
      </c>
      <c r="B267" s="32" t="s">
        <v>641</v>
      </c>
      <c r="C267" s="32" t="s">
        <v>580</v>
      </c>
      <c r="D267" s="30" t="s">
        <v>599</v>
      </c>
      <c r="E267" s="30" t="s">
        <v>629</v>
      </c>
    </row>
    <row r="268" spans="1:5" x14ac:dyDescent="0.35">
      <c r="A268" s="32">
        <v>343</v>
      </c>
      <c r="B268" s="32" t="s">
        <v>634</v>
      </c>
      <c r="C268" s="32" t="s">
        <v>580</v>
      </c>
      <c r="D268" s="30" t="s">
        <v>599</v>
      </c>
      <c r="E268" s="30" t="s">
        <v>629</v>
      </c>
    </row>
    <row r="269" spans="1:5" x14ac:dyDescent="0.35">
      <c r="A269" s="32">
        <v>344</v>
      </c>
      <c r="B269" s="32" t="s">
        <v>610</v>
      </c>
      <c r="C269" s="32" t="s">
        <v>624</v>
      </c>
      <c r="D269" s="30" t="s">
        <v>599</v>
      </c>
      <c r="E269" s="30" t="s">
        <v>629</v>
      </c>
    </row>
    <row r="270" spans="1:5" x14ac:dyDescent="0.35">
      <c r="A270" s="32">
        <v>345</v>
      </c>
      <c r="B270" s="32" t="s">
        <v>571</v>
      </c>
      <c r="C270" s="32" t="s">
        <v>624</v>
      </c>
      <c r="D270" s="30" t="s">
        <v>599</v>
      </c>
      <c r="E270" s="30" t="s">
        <v>629</v>
      </c>
    </row>
    <row r="271" spans="1:5" x14ac:dyDescent="0.35">
      <c r="A271" s="32">
        <v>346</v>
      </c>
      <c r="B271" s="32" t="s">
        <v>641</v>
      </c>
      <c r="C271" s="32" t="s">
        <v>624</v>
      </c>
      <c r="D271" s="30" t="s">
        <v>599</v>
      </c>
      <c r="E271" s="30" t="s">
        <v>629</v>
      </c>
    </row>
    <row r="272" spans="1:5" x14ac:dyDescent="0.35">
      <c r="A272" s="32">
        <v>347</v>
      </c>
      <c r="B272" s="32" t="s">
        <v>634</v>
      </c>
      <c r="C272" s="32" t="s">
        <v>624</v>
      </c>
      <c r="D272" s="30" t="s">
        <v>599</v>
      </c>
      <c r="E272" s="30" t="s">
        <v>629</v>
      </c>
    </row>
    <row r="273" spans="1:5" x14ac:dyDescent="0.35">
      <c r="A273" s="32">
        <v>348</v>
      </c>
      <c r="B273" s="32" t="s">
        <v>610</v>
      </c>
      <c r="C273" s="32" t="s">
        <v>624</v>
      </c>
      <c r="D273" s="30" t="s">
        <v>599</v>
      </c>
      <c r="E273" s="30" t="s">
        <v>629</v>
      </c>
    </row>
    <row r="274" spans="1:5" x14ac:dyDescent="0.35">
      <c r="A274" s="32">
        <v>349</v>
      </c>
      <c r="B274" s="32" t="s">
        <v>571</v>
      </c>
      <c r="C274" s="32" t="s">
        <v>605</v>
      </c>
      <c r="D274" s="30" t="s">
        <v>573</v>
      </c>
      <c r="E274" s="30" t="s">
        <v>638</v>
      </c>
    </row>
    <row r="275" spans="1:5" x14ac:dyDescent="0.35">
      <c r="A275" s="32">
        <v>350</v>
      </c>
      <c r="B275" s="32" t="s">
        <v>571</v>
      </c>
      <c r="C275" s="32" t="s">
        <v>624</v>
      </c>
      <c r="D275" s="30" t="s">
        <v>635</v>
      </c>
      <c r="E275" s="30" t="s">
        <v>636</v>
      </c>
    </row>
    <row r="276" spans="1:5" x14ac:dyDescent="0.35">
      <c r="A276" s="32">
        <v>351</v>
      </c>
      <c r="B276" s="32" t="s">
        <v>571</v>
      </c>
      <c r="C276" s="32" t="s">
        <v>624</v>
      </c>
      <c r="D276" s="30" t="s">
        <v>635</v>
      </c>
      <c r="E276" s="30" t="s">
        <v>636</v>
      </c>
    </row>
    <row r="277" spans="1:5" x14ac:dyDescent="0.35">
      <c r="A277" s="32">
        <v>352</v>
      </c>
      <c r="B277" s="32" t="s">
        <v>571</v>
      </c>
      <c r="C277" s="32" t="s">
        <v>624</v>
      </c>
      <c r="D277" s="30" t="s">
        <v>635</v>
      </c>
      <c r="E277" s="30" t="s">
        <v>636</v>
      </c>
    </row>
    <row r="278" spans="1:5" x14ac:dyDescent="0.35">
      <c r="A278" s="32">
        <v>353</v>
      </c>
      <c r="B278" s="32" t="s">
        <v>571</v>
      </c>
      <c r="C278" s="32" t="s">
        <v>624</v>
      </c>
      <c r="D278" s="30" t="s">
        <v>635</v>
      </c>
      <c r="E278" s="30" t="s">
        <v>636</v>
      </c>
    </row>
    <row r="279" spans="1:5" x14ac:dyDescent="0.35">
      <c r="A279" s="32">
        <v>354</v>
      </c>
      <c r="B279" s="32" t="s">
        <v>571</v>
      </c>
      <c r="C279" s="32" t="s">
        <v>624</v>
      </c>
      <c r="D279" s="30" t="s">
        <v>635</v>
      </c>
      <c r="E279" s="30" t="s">
        <v>636</v>
      </c>
    </row>
    <row r="280" spans="1:5" x14ac:dyDescent="0.35">
      <c r="A280" s="32">
        <v>360</v>
      </c>
      <c r="B280" s="32" t="s">
        <v>641</v>
      </c>
      <c r="C280" s="32" t="s">
        <v>572</v>
      </c>
      <c r="D280" s="30" t="s">
        <v>639</v>
      </c>
      <c r="E280" s="30" t="s">
        <v>646</v>
      </c>
    </row>
    <row r="281" spans="1:5" x14ac:dyDescent="0.35">
      <c r="A281" s="32">
        <v>361</v>
      </c>
      <c r="B281" s="32" t="s">
        <v>634</v>
      </c>
      <c r="C281" s="32" t="s">
        <v>572</v>
      </c>
      <c r="D281" s="30" t="s">
        <v>639</v>
      </c>
      <c r="E281" s="30" t="s">
        <v>646</v>
      </c>
    </row>
    <row r="282" spans="1:5" x14ac:dyDescent="0.35">
      <c r="A282" s="32">
        <v>362</v>
      </c>
      <c r="B282" s="32" t="s">
        <v>634</v>
      </c>
      <c r="C282" s="32" t="s">
        <v>572</v>
      </c>
      <c r="D282" s="30" t="s">
        <v>639</v>
      </c>
      <c r="E282" s="30" t="s">
        <v>646</v>
      </c>
    </row>
    <row r="283" spans="1:5" x14ac:dyDescent="0.35">
      <c r="A283" s="32">
        <v>363</v>
      </c>
      <c r="B283" s="32" t="s">
        <v>634</v>
      </c>
      <c r="C283" s="32" t="s">
        <v>572</v>
      </c>
      <c r="D283" s="30" t="s">
        <v>639</v>
      </c>
      <c r="E283" s="30" t="s">
        <v>646</v>
      </c>
    </row>
    <row r="284" spans="1:5" x14ac:dyDescent="0.35">
      <c r="A284" s="32">
        <v>364</v>
      </c>
      <c r="B284" s="32" t="s">
        <v>611</v>
      </c>
      <c r="C284" s="32" t="s">
        <v>572</v>
      </c>
      <c r="D284" s="30" t="s">
        <v>639</v>
      </c>
      <c r="E284" s="30" t="s">
        <v>646</v>
      </c>
    </row>
    <row r="285" spans="1:5" x14ac:dyDescent="0.35">
      <c r="A285" s="32">
        <v>365</v>
      </c>
      <c r="B285" s="32" t="s">
        <v>611</v>
      </c>
      <c r="C285" s="32" t="s">
        <v>572</v>
      </c>
      <c r="D285" s="30" t="s">
        <v>639</v>
      </c>
      <c r="E285" s="30" t="s">
        <v>646</v>
      </c>
    </row>
    <row r="286" spans="1:5" x14ac:dyDescent="0.35">
      <c r="A286" s="32">
        <v>366</v>
      </c>
      <c r="B286" s="32" t="s">
        <v>571</v>
      </c>
      <c r="C286" s="32" t="s">
        <v>572</v>
      </c>
      <c r="D286" s="30" t="s">
        <v>639</v>
      </c>
      <c r="E286" s="30" t="s">
        <v>646</v>
      </c>
    </row>
    <row r="287" spans="1:5" x14ac:dyDescent="0.35">
      <c r="A287" s="32">
        <v>367</v>
      </c>
      <c r="B287" s="32" t="s">
        <v>571</v>
      </c>
      <c r="C287" s="32" t="s">
        <v>572</v>
      </c>
      <c r="D287" s="30" t="s">
        <v>639</v>
      </c>
      <c r="E287" s="30" t="s">
        <v>646</v>
      </c>
    </row>
    <row r="288" spans="1:5" x14ac:dyDescent="0.35">
      <c r="A288" s="32">
        <v>368</v>
      </c>
      <c r="B288" s="32" t="s">
        <v>571</v>
      </c>
      <c r="C288" s="32" t="s">
        <v>572</v>
      </c>
      <c r="D288" s="30" t="s">
        <v>639</v>
      </c>
      <c r="E288" s="30" t="s">
        <v>646</v>
      </c>
    </row>
    <row r="289" spans="1:5" x14ac:dyDescent="0.35">
      <c r="A289" s="32">
        <v>369</v>
      </c>
      <c r="B289" s="32" t="s">
        <v>571</v>
      </c>
      <c r="C289" s="32" t="s">
        <v>572</v>
      </c>
      <c r="D289" s="30" t="s">
        <v>639</v>
      </c>
      <c r="E289" s="30" t="s">
        <v>646</v>
      </c>
    </row>
    <row r="290" spans="1:5" x14ac:dyDescent="0.35">
      <c r="A290" s="32">
        <v>370</v>
      </c>
      <c r="B290" s="32" t="s">
        <v>571</v>
      </c>
      <c r="C290" s="32" t="s">
        <v>572</v>
      </c>
      <c r="D290" s="30" t="s">
        <v>639</v>
      </c>
      <c r="E290" s="30" t="s">
        <v>646</v>
      </c>
    </row>
    <row r="291" spans="1:5" x14ac:dyDescent="0.35">
      <c r="A291" s="32">
        <v>371</v>
      </c>
      <c r="B291" s="32" t="s">
        <v>571</v>
      </c>
      <c r="C291" s="32" t="s">
        <v>572</v>
      </c>
      <c r="D291" s="30" t="s">
        <v>639</v>
      </c>
      <c r="E291" s="30" t="s">
        <v>646</v>
      </c>
    </row>
    <row r="292" spans="1:5" x14ac:dyDescent="0.35">
      <c r="A292" s="32">
        <v>372</v>
      </c>
      <c r="B292" s="32" t="s">
        <v>571</v>
      </c>
      <c r="C292" s="32" t="s">
        <v>572</v>
      </c>
      <c r="D292" s="30" t="s">
        <v>639</v>
      </c>
      <c r="E292" s="30" t="s">
        <v>646</v>
      </c>
    </row>
    <row r="293" spans="1:5" x14ac:dyDescent="0.35">
      <c r="A293" s="32">
        <v>373</v>
      </c>
      <c r="B293" s="32" t="s">
        <v>571</v>
      </c>
      <c r="C293" s="32" t="s">
        <v>572</v>
      </c>
      <c r="D293" s="30" t="s">
        <v>639</v>
      </c>
      <c r="E293" s="30" t="s">
        <v>646</v>
      </c>
    </row>
    <row r="294" spans="1:5" x14ac:dyDescent="0.35">
      <c r="A294" s="32">
        <v>374</v>
      </c>
      <c r="B294" s="32" t="s">
        <v>571</v>
      </c>
      <c r="C294" s="32" t="s">
        <v>572</v>
      </c>
      <c r="D294" s="30" t="s">
        <v>639</v>
      </c>
      <c r="E294" s="30" t="s">
        <v>646</v>
      </c>
    </row>
    <row r="295" spans="1:5" x14ac:dyDescent="0.35">
      <c r="A295" s="32">
        <v>375</v>
      </c>
      <c r="B295" s="32" t="s">
        <v>571</v>
      </c>
      <c r="C295" s="32" t="s">
        <v>572</v>
      </c>
      <c r="D295" s="30" t="s">
        <v>639</v>
      </c>
      <c r="E295" s="30" t="s">
        <v>646</v>
      </c>
    </row>
    <row r="296" spans="1:5" x14ac:dyDescent="0.35">
      <c r="A296" s="32">
        <v>376</v>
      </c>
      <c r="B296" s="32" t="s">
        <v>634</v>
      </c>
      <c r="C296" s="32" t="s">
        <v>572</v>
      </c>
      <c r="D296" s="30" t="s">
        <v>639</v>
      </c>
      <c r="E296" s="30" t="s">
        <v>646</v>
      </c>
    </row>
    <row r="297" spans="1:5" x14ac:dyDescent="0.35">
      <c r="A297" s="32">
        <v>558</v>
      </c>
      <c r="B297" s="32" t="s">
        <v>642</v>
      </c>
      <c r="C297" s="32" t="s">
        <v>605</v>
      </c>
      <c r="D297" s="30" t="s">
        <v>612</v>
      </c>
      <c r="E297" s="30" t="s">
        <v>625</v>
      </c>
    </row>
    <row r="298" spans="1:5" x14ac:dyDescent="0.35">
      <c r="A298" s="32">
        <v>559</v>
      </c>
      <c r="B298" s="32" t="s">
        <v>634</v>
      </c>
      <c r="C298" s="32" t="s">
        <v>647</v>
      </c>
      <c r="D298" s="30" t="s">
        <v>612</v>
      </c>
      <c r="E298" s="30" t="s">
        <v>625</v>
      </c>
    </row>
    <row r="299" spans="1:5" x14ac:dyDescent="0.35">
      <c r="A299" s="32">
        <v>560</v>
      </c>
      <c r="B299" s="32" t="s">
        <v>634</v>
      </c>
      <c r="C299" s="32" t="s">
        <v>605</v>
      </c>
      <c r="D299" s="30" t="s">
        <v>612</v>
      </c>
      <c r="E299" s="30" t="s">
        <v>625</v>
      </c>
    </row>
    <row r="300" spans="1:5" x14ac:dyDescent="0.35">
      <c r="A300" s="32">
        <v>561</v>
      </c>
      <c r="B300" s="32" t="s">
        <v>571</v>
      </c>
      <c r="C300" s="32" t="s">
        <v>647</v>
      </c>
      <c r="D300" s="30" t="s">
        <v>612</v>
      </c>
      <c r="E300" s="30" t="s">
        <v>625</v>
      </c>
    </row>
    <row r="301" spans="1:5" x14ac:dyDescent="0.35">
      <c r="A301" s="32">
        <v>562</v>
      </c>
      <c r="B301" s="32" t="s">
        <v>571</v>
      </c>
      <c r="C301" s="32" t="s">
        <v>605</v>
      </c>
      <c r="D301" s="30" t="s">
        <v>612</v>
      </c>
      <c r="E301" s="30" t="s">
        <v>625</v>
      </c>
    </row>
    <row r="302" spans="1:5" x14ac:dyDescent="0.35">
      <c r="A302" s="32">
        <v>563</v>
      </c>
      <c r="B302" s="32" t="s">
        <v>571</v>
      </c>
      <c r="C302" s="32" t="s">
        <v>619</v>
      </c>
      <c r="D302" s="30" t="s">
        <v>612</v>
      </c>
      <c r="E302" s="30" t="s">
        <v>625</v>
      </c>
    </row>
    <row r="303" spans="1:5" x14ac:dyDescent="0.35">
      <c r="A303" s="32">
        <v>564</v>
      </c>
      <c r="B303" s="32" t="s">
        <v>642</v>
      </c>
      <c r="C303" s="32" t="s">
        <v>647</v>
      </c>
      <c r="D303" s="30" t="s">
        <v>612</v>
      </c>
      <c r="E303" s="30" t="s">
        <v>625</v>
      </c>
    </row>
    <row r="304" spans="1:5" x14ac:dyDescent="0.35">
      <c r="A304" s="32">
        <v>565</v>
      </c>
      <c r="B304" s="32" t="s">
        <v>642</v>
      </c>
      <c r="C304" s="32" t="s">
        <v>605</v>
      </c>
      <c r="D304" s="30" t="s">
        <v>612</v>
      </c>
      <c r="E304" s="30" t="s">
        <v>625</v>
      </c>
    </row>
    <row r="305" spans="1:5" x14ac:dyDescent="0.35">
      <c r="A305" s="32">
        <v>566</v>
      </c>
      <c r="B305" s="32" t="s">
        <v>642</v>
      </c>
      <c r="C305" s="32" t="s">
        <v>619</v>
      </c>
      <c r="D305" s="30" t="s">
        <v>612</v>
      </c>
      <c r="E305" s="30" t="s">
        <v>625</v>
      </c>
    </row>
    <row r="306" spans="1:5" x14ac:dyDescent="0.35">
      <c r="A306" s="32">
        <v>567</v>
      </c>
      <c r="B306" s="32" t="s">
        <v>611</v>
      </c>
      <c r="C306" s="32" t="s">
        <v>605</v>
      </c>
      <c r="D306" s="30" t="s">
        <v>612</v>
      </c>
      <c r="E306" s="30" t="s">
        <v>625</v>
      </c>
    </row>
    <row r="307" spans="1:5" x14ac:dyDescent="0.35">
      <c r="A307" s="32">
        <v>568</v>
      </c>
      <c r="B307" s="32" t="s">
        <v>642</v>
      </c>
      <c r="C307" s="32" t="s">
        <v>647</v>
      </c>
      <c r="D307" s="30" t="s">
        <v>612</v>
      </c>
      <c r="E307" s="30" t="s">
        <v>625</v>
      </c>
    </row>
    <row r="308" spans="1:5" x14ac:dyDescent="0.35">
      <c r="A308" s="32">
        <v>569</v>
      </c>
      <c r="B308" s="32" t="s">
        <v>642</v>
      </c>
      <c r="C308" s="32" t="s">
        <v>605</v>
      </c>
      <c r="D308" s="30" t="s">
        <v>612</v>
      </c>
      <c r="E308" s="30" t="s">
        <v>625</v>
      </c>
    </row>
    <row r="309" spans="1:5" x14ac:dyDescent="0.35">
      <c r="A309" s="32">
        <v>570</v>
      </c>
      <c r="B309" s="32" t="s">
        <v>634</v>
      </c>
      <c r="C309" s="32" t="s">
        <v>647</v>
      </c>
      <c r="D309" s="30" t="s">
        <v>612</v>
      </c>
      <c r="E309" s="30" t="s">
        <v>625</v>
      </c>
    </row>
    <row r="310" spans="1:5" x14ac:dyDescent="0.35">
      <c r="A310" s="32">
        <v>571</v>
      </c>
      <c r="B310" s="32" t="s">
        <v>634</v>
      </c>
      <c r="C310" s="32" t="s">
        <v>605</v>
      </c>
      <c r="D310" s="30" t="s">
        <v>612</v>
      </c>
      <c r="E310" s="30" t="s">
        <v>625</v>
      </c>
    </row>
    <row r="311" spans="1:5" x14ac:dyDescent="0.35">
      <c r="A311" s="32">
        <v>572</v>
      </c>
      <c r="B311" s="32" t="s">
        <v>634</v>
      </c>
      <c r="C311" s="32" t="s">
        <v>619</v>
      </c>
      <c r="D311" s="30" t="s">
        <v>612</v>
      </c>
      <c r="E311" s="30" t="s">
        <v>625</v>
      </c>
    </row>
    <row r="312" spans="1:5" x14ac:dyDescent="0.35">
      <c r="A312" s="32">
        <v>573</v>
      </c>
      <c r="B312" s="32" t="s">
        <v>642</v>
      </c>
      <c r="C312" s="32" t="s">
        <v>647</v>
      </c>
      <c r="D312" s="30" t="s">
        <v>612</v>
      </c>
      <c r="E312" s="30" t="s">
        <v>625</v>
      </c>
    </row>
    <row r="313" spans="1:5" x14ac:dyDescent="0.35">
      <c r="A313" s="32">
        <v>574</v>
      </c>
      <c r="B313" s="32" t="s">
        <v>642</v>
      </c>
      <c r="C313" s="32" t="s">
        <v>605</v>
      </c>
      <c r="D313" s="30" t="s">
        <v>612</v>
      </c>
      <c r="E313" s="30" t="s">
        <v>625</v>
      </c>
    </row>
    <row r="314" spans="1:5" x14ac:dyDescent="0.35">
      <c r="A314" s="32">
        <v>575</v>
      </c>
      <c r="B314" s="32" t="s">
        <v>571</v>
      </c>
      <c r="C314" s="32" t="s">
        <v>647</v>
      </c>
      <c r="D314" s="30" t="s">
        <v>612</v>
      </c>
      <c r="E314" s="30" t="s">
        <v>625</v>
      </c>
    </row>
    <row r="315" spans="1:5" x14ac:dyDescent="0.35">
      <c r="A315" s="32">
        <v>576</v>
      </c>
      <c r="B315" s="32" t="s">
        <v>571</v>
      </c>
      <c r="C315" s="32" t="s">
        <v>605</v>
      </c>
      <c r="D315" s="30" t="s">
        <v>612</v>
      </c>
      <c r="E315" s="30" t="s">
        <v>625</v>
      </c>
    </row>
    <row r="316" spans="1:5" x14ac:dyDescent="0.35">
      <c r="A316" s="32">
        <v>577</v>
      </c>
      <c r="B316" s="32" t="s">
        <v>571</v>
      </c>
      <c r="C316" s="32" t="s">
        <v>647</v>
      </c>
      <c r="D316" s="30" t="s">
        <v>612</v>
      </c>
      <c r="E316" s="30" t="s">
        <v>625</v>
      </c>
    </row>
    <row r="317" spans="1:5" x14ac:dyDescent="0.35">
      <c r="A317" s="32">
        <v>578</v>
      </c>
      <c r="B317" s="32" t="s">
        <v>571</v>
      </c>
      <c r="C317" s="32" t="s">
        <v>647</v>
      </c>
      <c r="D317" s="30" t="s">
        <v>612</v>
      </c>
      <c r="E317" s="30" t="s">
        <v>625</v>
      </c>
    </row>
    <row r="318" spans="1:5" x14ac:dyDescent="0.35">
      <c r="A318" s="32">
        <v>579</v>
      </c>
      <c r="B318" s="32" t="s">
        <v>571</v>
      </c>
      <c r="C318" s="32" t="s">
        <v>605</v>
      </c>
      <c r="D318" s="30" t="s">
        <v>612</v>
      </c>
      <c r="E318" s="30" t="s">
        <v>625</v>
      </c>
    </row>
    <row r="319" spans="1:5" x14ac:dyDescent="0.35">
      <c r="A319" s="32">
        <v>580</v>
      </c>
      <c r="B319" s="32" t="s">
        <v>571</v>
      </c>
      <c r="C319" s="32" t="s">
        <v>647</v>
      </c>
      <c r="D319" s="30" t="s">
        <v>612</v>
      </c>
      <c r="E319" s="30" t="s">
        <v>625</v>
      </c>
    </row>
    <row r="320" spans="1:5" x14ac:dyDescent="0.35">
      <c r="A320" s="32">
        <v>581</v>
      </c>
      <c r="B320" s="32" t="s">
        <v>571</v>
      </c>
      <c r="C320" s="32" t="s">
        <v>605</v>
      </c>
      <c r="D320" s="30" t="s">
        <v>612</v>
      </c>
      <c r="E320" s="30" t="s">
        <v>625</v>
      </c>
    </row>
    <row r="321" spans="1:5" x14ac:dyDescent="0.35">
      <c r="A321" s="32">
        <v>582</v>
      </c>
      <c r="B321" s="32" t="s">
        <v>571</v>
      </c>
      <c r="C321" s="32" t="s">
        <v>619</v>
      </c>
      <c r="D321" s="30" t="s">
        <v>612</v>
      </c>
      <c r="E321" s="30" t="s">
        <v>625</v>
      </c>
    </row>
    <row r="322" spans="1:5" x14ac:dyDescent="0.35">
      <c r="A322" s="32">
        <v>583</v>
      </c>
      <c r="B322" s="32" t="s">
        <v>571</v>
      </c>
      <c r="C322" s="32" t="s">
        <v>647</v>
      </c>
      <c r="D322" s="30" t="s">
        <v>612</v>
      </c>
      <c r="E322" s="30" t="s">
        <v>625</v>
      </c>
    </row>
    <row r="323" spans="1:5" x14ac:dyDescent="0.35">
      <c r="A323" s="32">
        <v>584</v>
      </c>
      <c r="B323" s="32" t="s">
        <v>571</v>
      </c>
      <c r="C323" s="32" t="s">
        <v>605</v>
      </c>
      <c r="D323" s="30" t="s">
        <v>612</v>
      </c>
      <c r="E323" s="30" t="s">
        <v>625</v>
      </c>
    </row>
    <row r="324" spans="1:5" x14ac:dyDescent="0.35">
      <c r="A324" s="32">
        <v>585</v>
      </c>
      <c r="B324" s="32" t="s">
        <v>571</v>
      </c>
      <c r="C324" s="32" t="s">
        <v>619</v>
      </c>
      <c r="D324" s="30" t="s">
        <v>612</v>
      </c>
      <c r="E324" s="30" t="s">
        <v>625</v>
      </c>
    </row>
    <row r="325" spans="1:5" x14ac:dyDescent="0.35">
      <c r="A325" s="32">
        <v>586</v>
      </c>
      <c r="B325" s="32" t="s">
        <v>634</v>
      </c>
      <c r="C325" s="32" t="s">
        <v>647</v>
      </c>
      <c r="D325" s="30" t="s">
        <v>612</v>
      </c>
      <c r="E325" s="30" t="s">
        <v>625</v>
      </c>
    </row>
    <row r="326" spans="1:5" x14ac:dyDescent="0.35">
      <c r="A326" s="32">
        <v>587</v>
      </c>
      <c r="B326" s="32" t="s">
        <v>634</v>
      </c>
      <c r="C326" s="32" t="s">
        <v>605</v>
      </c>
      <c r="D326" s="30" t="s">
        <v>612</v>
      </c>
      <c r="E326" s="30" t="s">
        <v>625</v>
      </c>
    </row>
    <row r="327" spans="1:5" x14ac:dyDescent="0.35">
      <c r="A327" s="32">
        <v>588</v>
      </c>
      <c r="B327" s="32" t="s">
        <v>634</v>
      </c>
      <c r="C327" s="32" t="s">
        <v>619</v>
      </c>
      <c r="D327" s="30" t="s">
        <v>612</v>
      </c>
      <c r="E327" s="30" t="s">
        <v>625</v>
      </c>
    </row>
    <row r="328" spans="1:5" x14ac:dyDescent="0.35">
      <c r="A328" s="32">
        <v>589</v>
      </c>
      <c r="B328" s="32" t="s">
        <v>634</v>
      </c>
      <c r="C328" s="32" t="s">
        <v>647</v>
      </c>
      <c r="D328" s="30" t="s">
        <v>612</v>
      </c>
      <c r="E328" s="30" t="s">
        <v>625</v>
      </c>
    </row>
    <row r="329" spans="1:5" x14ac:dyDescent="0.35">
      <c r="A329" s="32">
        <v>590</v>
      </c>
      <c r="B329" s="32" t="s">
        <v>634</v>
      </c>
      <c r="C329" s="32" t="s">
        <v>647</v>
      </c>
      <c r="D329" s="30" t="s">
        <v>612</v>
      </c>
      <c r="E329" s="30" t="s">
        <v>625</v>
      </c>
    </row>
    <row r="330" spans="1:5" x14ac:dyDescent="0.35">
      <c r="A330" s="32">
        <v>591</v>
      </c>
      <c r="B330" s="32" t="s">
        <v>571</v>
      </c>
      <c r="C330" s="32" t="s">
        <v>647</v>
      </c>
      <c r="D330" s="30" t="s">
        <v>612</v>
      </c>
      <c r="E330" s="30" t="s">
        <v>625</v>
      </c>
    </row>
    <row r="331" spans="1:5" x14ac:dyDescent="0.35">
      <c r="A331" s="32">
        <v>592</v>
      </c>
      <c r="B331" s="32" t="s">
        <v>571</v>
      </c>
      <c r="C331" s="32" t="s">
        <v>605</v>
      </c>
      <c r="D331" s="30" t="s">
        <v>612</v>
      </c>
      <c r="E331" s="30" t="s">
        <v>625</v>
      </c>
    </row>
    <row r="332" spans="1:5" x14ac:dyDescent="0.35">
      <c r="A332" s="32">
        <v>593</v>
      </c>
      <c r="B332" s="32" t="s">
        <v>571</v>
      </c>
      <c r="C332" s="32" t="s">
        <v>619</v>
      </c>
      <c r="D332" s="30" t="s">
        <v>612</v>
      </c>
      <c r="E332" s="30" t="s">
        <v>625</v>
      </c>
    </row>
    <row r="333" spans="1:5" x14ac:dyDescent="0.35">
      <c r="A333" s="32">
        <v>594</v>
      </c>
      <c r="B333" s="32" t="s">
        <v>571</v>
      </c>
      <c r="C333" s="32" t="s">
        <v>647</v>
      </c>
      <c r="D333" s="30" t="s">
        <v>612</v>
      </c>
      <c r="E333" s="30" t="s">
        <v>625</v>
      </c>
    </row>
    <row r="334" spans="1:5" x14ac:dyDescent="0.35">
      <c r="A334" s="32">
        <v>595</v>
      </c>
      <c r="B334" s="32" t="s">
        <v>571</v>
      </c>
      <c r="C334" s="32" t="s">
        <v>605</v>
      </c>
      <c r="D334" s="30" t="s">
        <v>612</v>
      </c>
      <c r="E334" s="30" t="s">
        <v>625</v>
      </c>
    </row>
    <row r="335" spans="1:5" x14ac:dyDescent="0.35">
      <c r="A335" s="32">
        <v>596</v>
      </c>
      <c r="B335" s="32" t="s">
        <v>571</v>
      </c>
      <c r="C335" s="32" t="s">
        <v>647</v>
      </c>
      <c r="D335" s="30" t="s">
        <v>612</v>
      </c>
      <c r="E335" s="30" t="s">
        <v>625</v>
      </c>
    </row>
    <row r="336" spans="1:5" x14ac:dyDescent="0.35">
      <c r="A336" s="32">
        <v>597</v>
      </c>
      <c r="B336" s="32" t="s">
        <v>634</v>
      </c>
      <c r="C336" s="32" t="s">
        <v>647</v>
      </c>
      <c r="D336" s="30" t="s">
        <v>612</v>
      </c>
      <c r="E336" s="30" t="s">
        <v>625</v>
      </c>
    </row>
    <row r="337" spans="1:5" x14ac:dyDescent="0.35">
      <c r="A337" s="32">
        <v>598</v>
      </c>
      <c r="B337" s="32" t="s">
        <v>641</v>
      </c>
      <c r="C337" s="32" t="s">
        <v>647</v>
      </c>
      <c r="D337" s="30" t="s">
        <v>612</v>
      </c>
      <c r="E337" s="30" t="s">
        <v>625</v>
      </c>
    </row>
    <row r="338" spans="1:5" x14ac:dyDescent="0.35">
      <c r="A338" s="32">
        <v>599</v>
      </c>
      <c r="B338" s="32" t="s">
        <v>641</v>
      </c>
      <c r="C338" s="32" t="s">
        <v>605</v>
      </c>
      <c r="D338" s="30" t="s">
        <v>612</v>
      </c>
      <c r="E338" s="30" t="s">
        <v>625</v>
      </c>
    </row>
    <row r="339" spans="1:5" x14ac:dyDescent="0.35">
      <c r="A339" s="32">
        <v>600</v>
      </c>
      <c r="B339" s="32" t="s">
        <v>571</v>
      </c>
      <c r="C339" s="32" t="s">
        <v>647</v>
      </c>
      <c r="D339" s="30" t="s">
        <v>612</v>
      </c>
      <c r="E339" s="30" t="s">
        <v>625</v>
      </c>
    </row>
    <row r="340" spans="1:5" x14ac:dyDescent="0.35">
      <c r="A340" s="32">
        <v>601</v>
      </c>
      <c r="B340" s="32" t="s">
        <v>571</v>
      </c>
      <c r="C340" s="32" t="s">
        <v>605</v>
      </c>
      <c r="D340" s="30" t="s">
        <v>612</v>
      </c>
      <c r="E340" s="30" t="s">
        <v>625</v>
      </c>
    </row>
    <row r="341" spans="1:5" x14ac:dyDescent="0.35">
      <c r="A341" s="32">
        <v>602</v>
      </c>
      <c r="B341" s="32" t="s">
        <v>571</v>
      </c>
      <c r="C341" s="32" t="s">
        <v>619</v>
      </c>
      <c r="D341" s="30" t="s">
        <v>612</v>
      </c>
      <c r="E341" s="30" t="s">
        <v>625</v>
      </c>
    </row>
    <row r="342" spans="1:5" x14ac:dyDescent="0.35">
      <c r="A342" s="32">
        <v>603</v>
      </c>
      <c r="B342" s="32" t="s">
        <v>634</v>
      </c>
      <c r="C342" s="32" t="s">
        <v>647</v>
      </c>
      <c r="D342" s="30" t="s">
        <v>612</v>
      </c>
      <c r="E342" s="30" t="s">
        <v>625</v>
      </c>
    </row>
    <row r="343" spans="1:5" x14ac:dyDescent="0.35">
      <c r="A343" s="32">
        <v>604</v>
      </c>
      <c r="B343" s="32" t="s">
        <v>634</v>
      </c>
      <c r="C343" s="32" t="s">
        <v>605</v>
      </c>
      <c r="D343" s="30" t="s">
        <v>612</v>
      </c>
      <c r="E343" s="30" t="s">
        <v>625</v>
      </c>
    </row>
    <row r="344" spans="1:5" x14ac:dyDescent="0.35">
      <c r="A344" s="32">
        <v>605</v>
      </c>
      <c r="B344" s="32" t="s">
        <v>571</v>
      </c>
      <c r="C344" s="32" t="s">
        <v>647</v>
      </c>
      <c r="D344" s="30" t="s">
        <v>612</v>
      </c>
      <c r="E344" s="30" t="s">
        <v>625</v>
      </c>
    </row>
    <row r="345" spans="1:5" x14ac:dyDescent="0.35">
      <c r="A345" s="32">
        <v>606</v>
      </c>
      <c r="B345" s="32" t="s">
        <v>571</v>
      </c>
      <c r="C345" s="32" t="s">
        <v>647</v>
      </c>
      <c r="D345" s="30" t="s">
        <v>612</v>
      </c>
      <c r="E345" s="30" t="s">
        <v>625</v>
      </c>
    </row>
    <row r="346" spans="1:5" x14ac:dyDescent="0.35">
      <c r="A346" s="32">
        <v>607</v>
      </c>
      <c r="B346" s="32" t="s">
        <v>634</v>
      </c>
      <c r="C346" s="32" t="s">
        <v>647</v>
      </c>
      <c r="D346" s="30" t="s">
        <v>612</v>
      </c>
      <c r="E346" s="30" t="s">
        <v>625</v>
      </c>
    </row>
    <row r="347" spans="1:5" x14ac:dyDescent="0.35">
      <c r="A347" s="32">
        <v>608</v>
      </c>
      <c r="B347" s="32" t="s">
        <v>634</v>
      </c>
      <c r="C347" s="32" t="s">
        <v>605</v>
      </c>
      <c r="D347" s="30" t="s">
        <v>612</v>
      </c>
      <c r="E347" s="30" t="s">
        <v>625</v>
      </c>
    </row>
    <row r="348" spans="1:5" x14ac:dyDescent="0.35">
      <c r="A348" s="32">
        <v>609</v>
      </c>
      <c r="B348" s="32" t="s">
        <v>571</v>
      </c>
      <c r="C348" s="32" t="s">
        <v>647</v>
      </c>
      <c r="D348" s="30" t="s">
        <v>612</v>
      </c>
      <c r="E348" s="30" t="s">
        <v>625</v>
      </c>
    </row>
    <row r="349" spans="1:5" x14ac:dyDescent="0.35">
      <c r="A349" s="32">
        <v>610</v>
      </c>
      <c r="B349" s="32" t="s">
        <v>571</v>
      </c>
      <c r="C349" s="32" t="s">
        <v>605</v>
      </c>
      <c r="D349" s="30" t="s">
        <v>612</v>
      </c>
      <c r="E349" s="30" t="s">
        <v>625</v>
      </c>
    </row>
    <row r="350" spans="1:5" x14ac:dyDescent="0.35">
      <c r="A350" s="32">
        <v>611</v>
      </c>
      <c r="B350" s="32" t="s">
        <v>571</v>
      </c>
      <c r="C350" s="32" t="s">
        <v>647</v>
      </c>
      <c r="D350" s="30" t="s">
        <v>612</v>
      </c>
      <c r="E350" s="30" t="s">
        <v>625</v>
      </c>
    </row>
    <row r="351" spans="1:5" x14ac:dyDescent="0.35">
      <c r="A351" s="32">
        <v>612</v>
      </c>
      <c r="B351" s="32" t="s">
        <v>571</v>
      </c>
      <c r="C351" s="32" t="s">
        <v>605</v>
      </c>
      <c r="D351" s="30" t="s">
        <v>612</v>
      </c>
      <c r="E351" s="30" t="s">
        <v>625</v>
      </c>
    </row>
    <row r="352" spans="1:5" x14ac:dyDescent="0.35">
      <c r="A352" s="32">
        <v>613</v>
      </c>
      <c r="B352" s="32" t="s">
        <v>571</v>
      </c>
      <c r="C352" s="32" t="s">
        <v>619</v>
      </c>
      <c r="D352" s="30" t="s">
        <v>612</v>
      </c>
      <c r="E352" s="30" t="s">
        <v>625</v>
      </c>
    </row>
    <row r="353" spans="1:5" x14ac:dyDescent="0.35">
      <c r="A353" s="32">
        <v>614</v>
      </c>
      <c r="B353" s="32" t="s">
        <v>571</v>
      </c>
      <c r="C353" s="32" t="s">
        <v>647</v>
      </c>
      <c r="D353" s="30" t="s">
        <v>612</v>
      </c>
      <c r="E353" s="30" t="s">
        <v>625</v>
      </c>
    </row>
    <row r="354" spans="1:5" x14ac:dyDescent="0.35">
      <c r="A354" s="32">
        <v>615</v>
      </c>
      <c r="B354" s="32" t="s">
        <v>571</v>
      </c>
      <c r="C354" s="32" t="s">
        <v>619</v>
      </c>
      <c r="D354" s="30" t="s">
        <v>612</v>
      </c>
      <c r="E354" s="30" t="s">
        <v>625</v>
      </c>
    </row>
    <row r="355" spans="1:5" x14ac:dyDescent="0.35">
      <c r="A355" s="32">
        <v>616</v>
      </c>
      <c r="B355" s="32" t="s">
        <v>634</v>
      </c>
      <c r="C355" s="32" t="s">
        <v>647</v>
      </c>
      <c r="D355" s="30" t="s">
        <v>612</v>
      </c>
      <c r="E355" s="30" t="s">
        <v>625</v>
      </c>
    </row>
    <row r="356" spans="1:5" x14ac:dyDescent="0.35">
      <c r="A356" s="32">
        <v>617</v>
      </c>
      <c r="B356" s="32" t="s">
        <v>634</v>
      </c>
      <c r="C356" s="32" t="s">
        <v>605</v>
      </c>
      <c r="D356" s="30" t="s">
        <v>612</v>
      </c>
      <c r="E356" s="30" t="s">
        <v>625</v>
      </c>
    </row>
    <row r="357" spans="1:5" x14ac:dyDescent="0.35">
      <c r="A357" s="32">
        <v>618</v>
      </c>
      <c r="B357" s="32" t="s">
        <v>634</v>
      </c>
      <c r="C357" s="32" t="s">
        <v>619</v>
      </c>
      <c r="D357" s="30" t="s">
        <v>612</v>
      </c>
      <c r="E357" s="30" t="s">
        <v>625</v>
      </c>
    </row>
    <row r="358" spans="1:5" x14ac:dyDescent="0.35">
      <c r="A358" s="32">
        <v>619</v>
      </c>
      <c r="B358" s="32" t="s">
        <v>571</v>
      </c>
      <c r="C358" s="32" t="s">
        <v>647</v>
      </c>
      <c r="D358" s="30" t="s">
        <v>612</v>
      </c>
      <c r="E358" s="30" t="s">
        <v>625</v>
      </c>
    </row>
    <row r="359" spans="1:5" x14ac:dyDescent="0.35">
      <c r="A359" s="32">
        <v>620</v>
      </c>
      <c r="B359" s="32" t="s">
        <v>571</v>
      </c>
      <c r="C359" s="32" t="s">
        <v>605</v>
      </c>
      <c r="D359" s="30" t="s">
        <v>612</v>
      </c>
      <c r="E359" s="30" t="s">
        <v>625</v>
      </c>
    </row>
    <row r="360" spans="1:5" x14ac:dyDescent="0.35">
      <c r="A360" s="32">
        <v>621</v>
      </c>
      <c r="B360" s="32" t="s">
        <v>571</v>
      </c>
      <c r="C360" s="32" t="s">
        <v>647</v>
      </c>
      <c r="D360" s="30" t="s">
        <v>612</v>
      </c>
      <c r="E360" s="30" t="s">
        <v>625</v>
      </c>
    </row>
    <row r="361" spans="1:5" x14ac:dyDescent="0.35">
      <c r="A361" s="32">
        <v>622</v>
      </c>
      <c r="B361" s="32" t="s">
        <v>571</v>
      </c>
      <c r="C361" s="32" t="s">
        <v>605</v>
      </c>
      <c r="D361" s="30" t="s">
        <v>612</v>
      </c>
      <c r="E361" s="30" t="s">
        <v>625</v>
      </c>
    </row>
    <row r="362" spans="1:5" x14ac:dyDescent="0.35">
      <c r="A362" s="32">
        <v>623</v>
      </c>
      <c r="B362" s="32" t="s">
        <v>571</v>
      </c>
      <c r="C362" s="32" t="s">
        <v>619</v>
      </c>
      <c r="D362" s="30" t="s">
        <v>612</v>
      </c>
      <c r="E362" s="30" t="s">
        <v>625</v>
      </c>
    </row>
    <row r="363" spans="1:5" x14ac:dyDescent="0.35">
      <c r="A363" s="32">
        <v>624</v>
      </c>
      <c r="B363" s="32" t="s">
        <v>571</v>
      </c>
      <c r="C363" s="32" t="s">
        <v>647</v>
      </c>
      <c r="D363" s="30" t="s">
        <v>612</v>
      </c>
      <c r="E363" s="30" t="s">
        <v>625</v>
      </c>
    </row>
    <row r="364" spans="1:5" x14ac:dyDescent="0.35">
      <c r="A364" s="32">
        <v>625</v>
      </c>
      <c r="B364" s="32" t="s">
        <v>571</v>
      </c>
      <c r="C364" s="32" t="s">
        <v>605</v>
      </c>
      <c r="D364" s="30" t="s">
        <v>612</v>
      </c>
      <c r="E364" s="30" t="s">
        <v>625</v>
      </c>
    </row>
    <row r="365" spans="1:5" x14ac:dyDescent="0.35">
      <c r="A365" s="32">
        <v>626</v>
      </c>
      <c r="B365" s="32" t="s">
        <v>571</v>
      </c>
      <c r="C365" s="32" t="s">
        <v>619</v>
      </c>
      <c r="D365" s="30" t="s">
        <v>612</v>
      </c>
      <c r="E365" s="30" t="s">
        <v>625</v>
      </c>
    </row>
    <row r="366" spans="1:5" x14ac:dyDescent="0.35">
      <c r="A366" s="32">
        <v>627</v>
      </c>
      <c r="B366" s="32" t="s">
        <v>571</v>
      </c>
      <c r="C366" s="32" t="s">
        <v>647</v>
      </c>
      <c r="D366" s="30" t="s">
        <v>612</v>
      </c>
      <c r="E366" s="30" t="s">
        <v>625</v>
      </c>
    </row>
    <row r="367" spans="1:5" x14ac:dyDescent="0.35">
      <c r="A367" s="32">
        <v>628</v>
      </c>
      <c r="B367" s="32" t="s">
        <v>571</v>
      </c>
      <c r="C367" s="32" t="s">
        <v>605</v>
      </c>
      <c r="D367" s="30" t="s">
        <v>612</v>
      </c>
      <c r="E367" s="30" t="s">
        <v>625</v>
      </c>
    </row>
    <row r="368" spans="1:5" x14ac:dyDescent="0.35">
      <c r="A368" s="32">
        <v>629</v>
      </c>
      <c r="B368" s="32" t="s">
        <v>571</v>
      </c>
      <c r="C368" s="32" t="s">
        <v>619</v>
      </c>
      <c r="D368" s="30" t="s">
        <v>612</v>
      </c>
      <c r="E368" s="30" t="s">
        <v>625</v>
      </c>
    </row>
    <row r="369" spans="1:5" x14ac:dyDescent="0.35">
      <c r="A369" s="32">
        <v>630</v>
      </c>
      <c r="B369" s="32" t="s">
        <v>634</v>
      </c>
      <c r="C369" s="32" t="s">
        <v>647</v>
      </c>
      <c r="D369" s="30" t="s">
        <v>612</v>
      </c>
      <c r="E369" s="30" t="s">
        <v>625</v>
      </c>
    </row>
    <row r="370" spans="1:5" x14ac:dyDescent="0.35">
      <c r="A370" s="32">
        <v>631</v>
      </c>
      <c r="B370" s="32" t="s">
        <v>634</v>
      </c>
      <c r="C370" s="32" t="s">
        <v>647</v>
      </c>
      <c r="D370" s="30" t="s">
        <v>612</v>
      </c>
      <c r="E370" s="30" t="s">
        <v>625</v>
      </c>
    </row>
    <row r="371" spans="1:5" x14ac:dyDescent="0.35">
      <c r="A371" s="32">
        <v>632</v>
      </c>
      <c r="B371" s="32" t="s">
        <v>634</v>
      </c>
      <c r="C371" s="32" t="s">
        <v>619</v>
      </c>
      <c r="D371" s="30" t="s">
        <v>612</v>
      </c>
      <c r="E371" s="30" t="s">
        <v>625</v>
      </c>
    </row>
    <row r="372" spans="1:5" x14ac:dyDescent="0.35">
      <c r="A372" s="32">
        <v>633</v>
      </c>
      <c r="B372" s="32" t="s">
        <v>571</v>
      </c>
      <c r="C372" s="32" t="s">
        <v>647</v>
      </c>
      <c r="D372" s="30" t="s">
        <v>612</v>
      </c>
      <c r="E372" s="30" t="s">
        <v>625</v>
      </c>
    </row>
    <row r="373" spans="1:5" x14ac:dyDescent="0.35">
      <c r="A373" s="32">
        <v>634</v>
      </c>
      <c r="B373" s="32" t="s">
        <v>571</v>
      </c>
      <c r="C373" s="32" t="s">
        <v>619</v>
      </c>
      <c r="D373" s="30" t="s">
        <v>612</v>
      </c>
      <c r="E373" s="30" t="s">
        <v>625</v>
      </c>
    </row>
    <row r="374" spans="1:5" x14ac:dyDescent="0.35">
      <c r="A374" s="32">
        <v>635</v>
      </c>
      <c r="B374" s="32" t="s">
        <v>571</v>
      </c>
      <c r="C374" s="32" t="s">
        <v>647</v>
      </c>
      <c r="D374" s="30" t="s">
        <v>612</v>
      </c>
      <c r="E374" s="30" t="s">
        <v>625</v>
      </c>
    </row>
    <row r="375" spans="1:5" x14ac:dyDescent="0.35">
      <c r="A375" s="32">
        <v>636</v>
      </c>
      <c r="B375" s="32" t="s">
        <v>571</v>
      </c>
      <c r="C375" s="32" t="s">
        <v>619</v>
      </c>
      <c r="D375" s="30" t="s">
        <v>612</v>
      </c>
      <c r="E375" s="30" t="s">
        <v>625</v>
      </c>
    </row>
    <row r="376" spans="1:5" x14ac:dyDescent="0.35">
      <c r="A376" s="32">
        <v>637</v>
      </c>
      <c r="B376" s="32" t="s">
        <v>571</v>
      </c>
      <c r="C376" s="32" t="s">
        <v>647</v>
      </c>
      <c r="D376" s="30" t="s">
        <v>612</v>
      </c>
      <c r="E376" s="30" t="s">
        <v>625</v>
      </c>
    </row>
    <row r="377" spans="1:5" x14ac:dyDescent="0.35">
      <c r="A377" s="32">
        <v>638</v>
      </c>
      <c r="B377" s="32" t="s">
        <v>571</v>
      </c>
      <c r="C377" s="32" t="s">
        <v>605</v>
      </c>
      <c r="D377" s="30" t="s">
        <v>612</v>
      </c>
      <c r="E377" s="30" t="s">
        <v>625</v>
      </c>
    </row>
    <row r="378" spans="1:5" x14ac:dyDescent="0.35">
      <c r="A378" s="32">
        <v>639</v>
      </c>
      <c r="B378" s="32" t="s">
        <v>571</v>
      </c>
      <c r="C378" s="32" t="s">
        <v>619</v>
      </c>
      <c r="D378" s="30" t="s">
        <v>612</v>
      </c>
      <c r="E378" s="30" t="s">
        <v>625</v>
      </c>
    </row>
    <row r="379" spans="1:5" x14ac:dyDescent="0.35">
      <c r="A379" s="32">
        <v>640</v>
      </c>
      <c r="B379" s="32" t="s">
        <v>611</v>
      </c>
      <c r="C379" s="32" t="s">
        <v>605</v>
      </c>
      <c r="D379" s="30" t="s">
        <v>612</v>
      </c>
      <c r="E379" s="30" t="s">
        <v>625</v>
      </c>
    </row>
    <row r="380" spans="1:5" x14ac:dyDescent="0.35">
      <c r="A380" s="32">
        <v>641</v>
      </c>
      <c r="B380" s="32" t="s">
        <v>611</v>
      </c>
      <c r="C380" s="32" t="s">
        <v>619</v>
      </c>
      <c r="D380" s="30" t="s">
        <v>612</v>
      </c>
      <c r="E380" s="30" t="s">
        <v>625</v>
      </c>
    </row>
    <row r="381" spans="1:5" x14ac:dyDescent="0.35">
      <c r="A381" s="32">
        <v>642</v>
      </c>
      <c r="B381" s="32" t="s">
        <v>634</v>
      </c>
      <c r="C381" s="32" t="s">
        <v>647</v>
      </c>
      <c r="D381" s="30" t="s">
        <v>612</v>
      </c>
      <c r="E381" s="30" t="s">
        <v>625</v>
      </c>
    </row>
    <row r="382" spans="1:5" x14ac:dyDescent="0.35">
      <c r="A382" s="32">
        <v>643</v>
      </c>
      <c r="B382" s="32" t="s">
        <v>634</v>
      </c>
      <c r="C382" s="32" t="s">
        <v>619</v>
      </c>
      <c r="D382" s="30" t="s">
        <v>612</v>
      </c>
      <c r="E382" s="30" t="s">
        <v>625</v>
      </c>
    </row>
    <row r="383" spans="1:5" x14ac:dyDescent="0.35">
      <c r="A383" s="32">
        <v>644</v>
      </c>
      <c r="B383" s="32" t="s">
        <v>611</v>
      </c>
      <c r="C383" s="32" t="s">
        <v>572</v>
      </c>
      <c r="D383" s="30" t="s">
        <v>573</v>
      </c>
      <c r="E383" s="30" t="s">
        <v>574</v>
      </c>
    </row>
    <row r="384" spans="1:5" x14ac:dyDescent="0.35">
      <c r="A384" s="32">
        <v>645</v>
      </c>
      <c r="B384" s="32" t="s">
        <v>611</v>
      </c>
      <c r="C384" s="32" t="s">
        <v>647</v>
      </c>
      <c r="D384" s="30" t="s">
        <v>573</v>
      </c>
      <c r="E384" s="30" t="s">
        <v>574</v>
      </c>
    </row>
    <row r="385" spans="1:5" x14ac:dyDescent="0.35">
      <c r="A385" s="32">
        <v>646</v>
      </c>
      <c r="B385" s="32" t="s">
        <v>611</v>
      </c>
      <c r="C385" s="32" t="s">
        <v>572</v>
      </c>
      <c r="D385" s="30" t="s">
        <v>573</v>
      </c>
      <c r="E385" s="30" t="s">
        <v>574</v>
      </c>
    </row>
    <row r="386" spans="1:5" x14ac:dyDescent="0.35">
      <c r="A386" s="32">
        <v>647</v>
      </c>
      <c r="B386" s="32" t="s">
        <v>611</v>
      </c>
      <c r="C386" s="32" t="s">
        <v>647</v>
      </c>
      <c r="D386" s="30" t="s">
        <v>573</v>
      </c>
      <c r="E386" s="30" t="s">
        <v>574</v>
      </c>
    </row>
    <row r="387" spans="1:5" x14ac:dyDescent="0.35">
      <c r="A387" s="32">
        <v>648</v>
      </c>
      <c r="B387" s="32" t="s">
        <v>611</v>
      </c>
      <c r="C387" s="32" t="s">
        <v>572</v>
      </c>
      <c r="D387" s="30" t="s">
        <v>573</v>
      </c>
      <c r="E387" s="30" t="s">
        <v>574</v>
      </c>
    </row>
    <row r="388" spans="1:5" x14ac:dyDescent="0.35">
      <c r="A388" s="32">
        <v>649</v>
      </c>
      <c r="B388" s="32" t="s">
        <v>611</v>
      </c>
      <c r="C388" s="32" t="s">
        <v>647</v>
      </c>
      <c r="D388" s="30" t="s">
        <v>573</v>
      </c>
      <c r="E388" s="30" t="s">
        <v>574</v>
      </c>
    </row>
    <row r="389" spans="1:5" x14ac:dyDescent="0.35">
      <c r="A389" s="32">
        <v>650</v>
      </c>
      <c r="B389" s="32" t="s">
        <v>611</v>
      </c>
      <c r="C389" s="32" t="s">
        <v>572</v>
      </c>
      <c r="D389" s="30" t="s">
        <v>573</v>
      </c>
      <c r="E389" s="30" t="s">
        <v>574</v>
      </c>
    </row>
    <row r="390" spans="1:5" x14ac:dyDescent="0.35">
      <c r="A390" s="32">
        <v>651</v>
      </c>
      <c r="B390" s="32" t="s">
        <v>611</v>
      </c>
      <c r="C390" s="32" t="s">
        <v>647</v>
      </c>
      <c r="D390" s="30" t="s">
        <v>573</v>
      </c>
      <c r="E390" s="30" t="s">
        <v>574</v>
      </c>
    </row>
    <row r="391" spans="1:5" x14ac:dyDescent="0.35">
      <c r="A391" s="32">
        <v>652</v>
      </c>
      <c r="B391" s="32" t="s">
        <v>571</v>
      </c>
      <c r="C391" s="32" t="s">
        <v>572</v>
      </c>
      <c r="D391" s="30" t="s">
        <v>573</v>
      </c>
      <c r="E391" s="30" t="s">
        <v>574</v>
      </c>
    </row>
    <row r="392" spans="1:5" x14ac:dyDescent="0.35">
      <c r="A392" s="32">
        <v>653</v>
      </c>
      <c r="B392" s="32" t="s">
        <v>571</v>
      </c>
      <c r="C392" s="32" t="s">
        <v>647</v>
      </c>
      <c r="D392" s="30" t="s">
        <v>573</v>
      </c>
      <c r="E392" s="30" t="s">
        <v>574</v>
      </c>
    </row>
    <row r="393" spans="1:5" x14ac:dyDescent="0.35">
      <c r="A393" s="32">
        <v>654</v>
      </c>
      <c r="B393" s="32" t="s">
        <v>571</v>
      </c>
      <c r="C393" s="32" t="s">
        <v>572</v>
      </c>
      <c r="D393" s="30" t="s">
        <v>573</v>
      </c>
      <c r="E393" s="30" t="s">
        <v>574</v>
      </c>
    </row>
    <row r="394" spans="1:5" x14ac:dyDescent="0.35">
      <c r="A394" s="32">
        <v>655</v>
      </c>
      <c r="B394" s="32" t="s">
        <v>571</v>
      </c>
      <c r="C394" s="32" t="s">
        <v>647</v>
      </c>
      <c r="D394" s="30" t="s">
        <v>573</v>
      </c>
      <c r="E394" s="30" t="s">
        <v>574</v>
      </c>
    </row>
    <row r="395" spans="1:5" x14ac:dyDescent="0.35">
      <c r="A395" s="32">
        <v>656</v>
      </c>
      <c r="B395" s="32" t="s">
        <v>571</v>
      </c>
      <c r="C395" s="32" t="s">
        <v>572</v>
      </c>
      <c r="D395" s="30" t="s">
        <v>573</v>
      </c>
      <c r="E395" s="30" t="s">
        <v>574</v>
      </c>
    </row>
    <row r="396" spans="1:5" x14ac:dyDescent="0.35">
      <c r="A396" s="32">
        <v>657</v>
      </c>
      <c r="B396" s="32" t="s">
        <v>571</v>
      </c>
      <c r="C396" s="32" t="s">
        <v>647</v>
      </c>
      <c r="D396" s="30" t="s">
        <v>573</v>
      </c>
      <c r="E396" s="30" t="s">
        <v>574</v>
      </c>
    </row>
    <row r="397" spans="1:5" x14ac:dyDescent="0.35">
      <c r="A397" s="32">
        <v>658</v>
      </c>
      <c r="B397" s="32" t="s">
        <v>571</v>
      </c>
      <c r="C397" s="32" t="s">
        <v>572</v>
      </c>
      <c r="D397" s="30" t="s">
        <v>573</v>
      </c>
      <c r="E397" s="30" t="s">
        <v>574</v>
      </c>
    </row>
    <row r="398" spans="1:5" x14ac:dyDescent="0.35">
      <c r="A398" s="32">
        <v>659</v>
      </c>
      <c r="B398" s="32" t="s">
        <v>571</v>
      </c>
      <c r="C398" s="32" t="s">
        <v>647</v>
      </c>
      <c r="D398" s="30" t="s">
        <v>573</v>
      </c>
      <c r="E398" s="30" t="s">
        <v>574</v>
      </c>
    </row>
    <row r="399" spans="1:5" x14ac:dyDescent="0.35">
      <c r="A399" s="32">
        <v>660</v>
      </c>
      <c r="B399" s="32" t="s">
        <v>634</v>
      </c>
      <c r="C399" s="32" t="s">
        <v>572</v>
      </c>
      <c r="D399" s="30" t="s">
        <v>573</v>
      </c>
      <c r="E399" s="30" t="s">
        <v>574</v>
      </c>
    </row>
    <row r="400" spans="1:5" x14ac:dyDescent="0.35">
      <c r="A400" s="32">
        <v>661</v>
      </c>
      <c r="B400" s="32" t="s">
        <v>634</v>
      </c>
      <c r="C400" s="32" t="s">
        <v>647</v>
      </c>
      <c r="D400" s="30" t="s">
        <v>573</v>
      </c>
      <c r="E400" s="30" t="s">
        <v>574</v>
      </c>
    </row>
    <row r="401" spans="1:5" x14ac:dyDescent="0.35">
      <c r="A401" s="32">
        <v>662</v>
      </c>
      <c r="B401" s="32" t="s">
        <v>634</v>
      </c>
      <c r="C401" s="32" t="s">
        <v>572</v>
      </c>
      <c r="D401" s="30" t="s">
        <v>573</v>
      </c>
      <c r="E401" s="30" t="s">
        <v>574</v>
      </c>
    </row>
    <row r="402" spans="1:5" x14ac:dyDescent="0.35">
      <c r="A402" s="32">
        <v>663</v>
      </c>
      <c r="B402" s="32" t="s">
        <v>634</v>
      </c>
      <c r="C402" s="32" t="s">
        <v>647</v>
      </c>
      <c r="D402" s="30" t="s">
        <v>573</v>
      </c>
      <c r="E402" s="30" t="s">
        <v>574</v>
      </c>
    </row>
    <row r="403" spans="1:5" x14ac:dyDescent="0.35">
      <c r="A403" s="32">
        <v>664</v>
      </c>
      <c r="B403" s="32" t="s">
        <v>634</v>
      </c>
      <c r="C403" s="32" t="s">
        <v>572</v>
      </c>
      <c r="D403" s="30" t="s">
        <v>573</v>
      </c>
      <c r="E403" s="30" t="s">
        <v>574</v>
      </c>
    </row>
    <row r="404" spans="1:5" x14ac:dyDescent="0.35">
      <c r="A404" s="32">
        <v>665</v>
      </c>
      <c r="B404" s="32" t="s">
        <v>634</v>
      </c>
      <c r="C404" s="32" t="s">
        <v>647</v>
      </c>
      <c r="D404" s="30" t="s">
        <v>573</v>
      </c>
      <c r="E404" s="30" t="s">
        <v>574</v>
      </c>
    </row>
    <row r="405" spans="1:5" x14ac:dyDescent="0.35">
      <c r="A405" s="32">
        <v>666</v>
      </c>
      <c r="B405" s="32" t="s">
        <v>634</v>
      </c>
      <c r="C405" s="32" t="s">
        <v>572</v>
      </c>
      <c r="D405" s="30" t="s">
        <v>573</v>
      </c>
      <c r="E405" s="30" t="s">
        <v>574</v>
      </c>
    </row>
    <row r="406" spans="1:5" x14ac:dyDescent="0.35">
      <c r="A406" s="32">
        <v>667</v>
      </c>
      <c r="B406" s="32" t="s">
        <v>634</v>
      </c>
      <c r="C406" s="32" t="s">
        <v>647</v>
      </c>
      <c r="D406" s="30" t="s">
        <v>573</v>
      </c>
      <c r="E406" s="30" t="s">
        <v>574</v>
      </c>
    </row>
    <row r="407" spans="1:5" x14ac:dyDescent="0.35">
      <c r="A407" s="32">
        <v>668</v>
      </c>
      <c r="B407" s="32" t="s">
        <v>634</v>
      </c>
      <c r="C407" s="32" t="s">
        <v>572</v>
      </c>
      <c r="D407" s="30" t="s">
        <v>573</v>
      </c>
      <c r="E407" s="30" t="s">
        <v>574</v>
      </c>
    </row>
    <row r="408" spans="1:5" x14ac:dyDescent="0.35">
      <c r="A408" s="32">
        <v>669</v>
      </c>
      <c r="B408" s="32" t="s">
        <v>634</v>
      </c>
      <c r="C408" s="32" t="s">
        <v>647</v>
      </c>
      <c r="D408" s="30" t="s">
        <v>573</v>
      </c>
      <c r="E408" s="30" t="s">
        <v>574</v>
      </c>
    </row>
    <row r="409" spans="1:5" x14ac:dyDescent="0.35">
      <c r="A409" s="32">
        <v>670</v>
      </c>
      <c r="B409" s="32" t="s">
        <v>634</v>
      </c>
      <c r="C409" s="32" t="s">
        <v>572</v>
      </c>
      <c r="D409" s="30" t="s">
        <v>573</v>
      </c>
      <c r="E409" s="30" t="s">
        <v>574</v>
      </c>
    </row>
    <row r="410" spans="1:5" x14ac:dyDescent="0.35">
      <c r="A410" s="32">
        <v>671</v>
      </c>
      <c r="B410" s="32" t="s">
        <v>634</v>
      </c>
      <c r="C410" s="32" t="s">
        <v>647</v>
      </c>
      <c r="D410" s="30" t="s">
        <v>573</v>
      </c>
      <c r="E410" s="30" t="s">
        <v>574</v>
      </c>
    </row>
    <row r="411" spans="1:5" x14ac:dyDescent="0.35">
      <c r="A411" s="32">
        <v>672</v>
      </c>
      <c r="B411" s="32" t="s">
        <v>634</v>
      </c>
      <c r="C411" s="32" t="s">
        <v>572</v>
      </c>
      <c r="D411" s="30" t="s">
        <v>573</v>
      </c>
      <c r="E411" s="30" t="s">
        <v>574</v>
      </c>
    </row>
    <row r="412" spans="1:5" x14ac:dyDescent="0.35">
      <c r="A412" s="32">
        <v>673</v>
      </c>
      <c r="B412" s="32" t="s">
        <v>634</v>
      </c>
      <c r="C412" s="32" t="s">
        <v>647</v>
      </c>
      <c r="D412" s="30" t="s">
        <v>573</v>
      </c>
      <c r="E412" s="30" t="s">
        <v>574</v>
      </c>
    </row>
    <row r="413" spans="1:5" x14ac:dyDescent="0.35">
      <c r="A413" s="32">
        <v>674</v>
      </c>
      <c r="B413" s="32" t="s">
        <v>634</v>
      </c>
      <c r="C413" s="32" t="s">
        <v>572</v>
      </c>
      <c r="D413" s="30" t="s">
        <v>573</v>
      </c>
      <c r="E413" s="30" t="s">
        <v>574</v>
      </c>
    </row>
    <row r="414" spans="1:5" x14ac:dyDescent="0.35">
      <c r="A414" s="32">
        <v>675</v>
      </c>
      <c r="B414" s="32" t="s">
        <v>634</v>
      </c>
      <c r="C414" s="32" t="s">
        <v>647</v>
      </c>
      <c r="D414" s="30" t="s">
        <v>573</v>
      </c>
      <c r="E414" s="30" t="s">
        <v>574</v>
      </c>
    </row>
    <row r="415" spans="1:5" x14ac:dyDescent="0.35">
      <c r="A415" s="32">
        <v>676</v>
      </c>
      <c r="B415" s="32" t="s">
        <v>634</v>
      </c>
      <c r="C415" s="32" t="s">
        <v>572</v>
      </c>
      <c r="D415" s="30" t="s">
        <v>573</v>
      </c>
      <c r="E415" s="30" t="s">
        <v>574</v>
      </c>
    </row>
    <row r="416" spans="1:5" x14ac:dyDescent="0.35">
      <c r="A416" s="32">
        <v>677</v>
      </c>
      <c r="B416" s="32" t="s">
        <v>634</v>
      </c>
      <c r="C416" s="32" t="s">
        <v>647</v>
      </c>
      <c r="D416" s="30" t="s">
        <v>573</v>
      </c>
      <c r="E416" s="30" t="s">
        <v>574</v>
      </c>
    </row>
    <row r="417" spans="1:5" x14ac:dyDescent="0.35">
      <c r="A417" s="32">
        <v>678</v>
      </c>
      <c r="B417" s="32" t="s">
        <v>634</v>
      </c>
      <c r="C417" s="32" t="s">
        <v>572</v>
      </c>
      <c r="D417" s="30" t="s">
        <v>573</v>
      </c>
      <c r="E417" s="30" t="s">
        <v>574</v>
      </c>
    </row>
    <row r="418" spans="1:5" x14ac:dyDescent="0.35">
      <c r="A418" s="32">
        <v>679</v>
      </c>
      <c r="B418" s="32" t="s">
        <v>634</v>
      </c>
      <c r="C418" s="32" t="s">
        <v>647</v>
      </c>
      <c r="D418" s="30" t="s">
        <v>573</v>
      </c>
      <c r="E418" s="30" t="s">
        <v>574</v>
      </c>
    </row>
    <row r="419" spans="1:5" x14ac:dyDescent="0.35">
      <c r="A419" s="32">
        <v>680</v>
      </c>
      <c r="B419" s="32" t="s">
        <v>634</v>
      </c>
      <c r="C419" s="32" t="s">
        <v>572</v>
      </c>
      <c r="D419" s="30" t="s">
        <v>573</v>
      </c>
      <c r="E419" s="30" t="s">
        <v>574</v>
      </c>
    </row>
    <row r="420" spans="1:5" x14ac:dyDescent="0.35">
      <c r="A420" s="32">
        <v>681</v>
      </c>
      <c r="B420" s="32" t="s">
        <v>634</v>
      </c>
      <c r="C420" s="32" t="s">
        <v>647</v>
      </c>
      <c r="D420" s="30" t="s">
        <v>573</v>
      </c>
      <c r="E420" s="30" t="s">
        <v>574</v>
      </c>
    </row>
    <row r="421" spans="1:5" x14ac:dyDescent="0.35">
      <c r="A421" s="32">
        <v>682</v>
      </c>
      <c r="B421" s="32" t="s">
        <v>634</v>
      </c>
      <c r="C421" s="32" t="s">
        <v>572</v>
      </c>
      <c r="D421" s="30" t="s">
        <v>573</v>
      </c>
      <c r="E421" s="30" t="s">
        <v>574</v>
      </c>
    </row>
    <row r="422" spans="1:5" x14ac:dyDescent="0.35">
      <c r="A422" s="32">
        <v>683</v>
      </c>
      <c r="B422" s="32" t="s">
        <v>634</v>
      </c>
      <c r="C422" s="32" t="s">
        <v>647</v>
      </c>
      <c r="D422" s="30" t="s">
        <v>573</v>
      </c>
      <c r="E422" s="30" t="s">
        <v>574</v>
      </c>
    </row>
    <row r="423" spans="1:5" x14ac:dyDescent="0.35">
      <c r="A423" s="32">
        <v>684</v>
      </c>
      <c r="B423" s="32" t="s">
        <v>634</v>
      </c>
      <c r="C423" s="32" t="s">
        <v>572</v>
      </c>
      <c r="D423" s="30" t="s">
        <v>573</v>
      </c>
      <c r="E423" s="30" t="s">
        <v>574</v>
      </c>
    </row>
    <row r="424" spans="1:5" x14ac:dyDescent="0.35">
      <c r="A424" s="32">
        <v>685</v>
      </c>
      <c r="B424" s="32" t="s">
        <v>634</v>
      </c>
      <c r="C424" s="32" t="s">
        <v>647</v>
      </c>
      <c r="D424" s="30" t="s">
        <v>573</v>
      </c>
      <c r="E424" s="30" t="s">
        <v>574</v>
      </c>
    </row>
    <row r="425" spans="1:5" x14ac:dyDescent="0.35">
      <c r="A425" s="32">
        <v>686</v>
      </c>
      <c r="B425" s="32" t="s">
        <v>634</v>
      </c>
      <c r="C425" s="32" t="s">
        <v>572</v>
      </c>
      <c r="D425" s="30" t="s">
        <v>573</v>
      </c>
      <c r="E425" s="30" t="s">
        <v>574</v>
      </c>
    </row>
    <row r="426" spans="1:5" x14ac:dyDescent="0.35">
      <c r="A426" s="32">
        <v>687</v>
      </c>
      <c r="B426" s="32" t="s">
        <v>634</v>
      </c>
      <c r="C426" s="32" t="s">
        <v>647</v>
      </c>
      <c r="D426" s="30" t="s">
        <v>573</v>
      </c>
      <c r="E426" s="30" t="s">
        <v>574</v>
      </c>
    </row>
    <row r="427" spans="1:5" x14ac:dyDescent="0.35">
      <c r="A427" s="32">
        <v>688</v>
      </c>
      <c r="B427" s="32" t="s">
        <v>634</v>
      </c>
      <c r="C427" s="32" t="s">
        <v>572</v>
      </c>
      <c r="D427" s="30" t="s">
        <v>573</v>
      </c>
      <c r="E427" s="30" t="s">
        <v>574</v>
      </c>
    </row>
    <row r="428" spans="1:5" x14ac:dyDescent="0.35">
      <c r="A428" s="32">
        <v>689</v>
      </c>
      <c r="B428" s="32" t="s">
        <v>634</v>
      </c>
      <c r="C428" s="32" t="s">
        <v>647</v>
      </c>
      <c r="D428" s="30" t="s">
        <v>573</v>
      </c>
      <c r="E428" s="30" t="s">
        <v>574</v>
      </c>
    </row>
    <row r="429" spans="1:5" x14ac:dyDescent="0.35">
      <c r="A429" s="32">
        <v>690</v>
      </c>
      <c r="B429" s="32" t="s">
        <v>634</v>
      </c>
      <c r="C429" s="32" t="s">
        <v>572</v>
      </c>
      <c r="D429" s="30" t="s">
        <v>573</v>
      </c>
      <c r="E429" s="30" t="s">
        <v>574</v>
      </c>
    </row>
    <row r="430" spans="1:5" x14ac:dyDescent="0.35">
      <c r="A430" s="32">
        <v>691</v>
      </c>
      <c r="B430" s="32" t="s">
        <v>634</v>
      </c>
      <c r="C430" s="32" t="s">
        <v>647</v>
      </c>
      <c r="D430" s="30" t="s">
        <v>573</v>
      </c>
      <c r="E430" s="30" t="s">
        <v>574</v>
      </c>
    </row>
    <row r="431" spans="1:5" x14ac:dyDescent="0.35">
      <c r="A431" s="32">
        <v>692</v>
      </c>
      <c r="B431" s="32" t="s">
        <v>641</v>
      </c>
      <c r="C431" s="32" t="s">
        <v>572</v>
      </c>
      <c r="D431" s="30" t="s">
        <v>573</v>
      </c>
      <c r="E431" s="30" t="s">
        <v>574</v>
      </c>
    </row>
    <row r="432" spans="1:5" x14ac:dyDescent="0.35">
      <c r="A432" s="32">
        <v>693</v>
      </c>
      <c r="B432" s="32" t="s">
        <v>641</v>
      </c>
      <c r="C432" s="32" t="s">
        <v>647</v>
      </c>
      <c r="D432" s="30" t="s">
        <v>573</v>
      </c>
      <c r="E432" s="30" t="s">
        <v>574</v>
      </c>
    </row>
    <row r="433" spans="1:5" x14ac:dyDescent="0.35">
      <c r="A433" s="32">
        <v>694</v>
      </c>
      <c r="B433" s="32" t="s">
        <v>641</v>
      </c>
      <c r="C433" s="32" t="s">
        <v>572</v>
      </c>
      <c r="D433" s="30" t="s">
        <v>573</v>
      </c>
      <c r="E433" s="30" t="s">
        <v>574</v>
      </c>
    </row>
    <row r="434" spans="1:5" x14ac:dyDescent="0.35">
      <c r="A434" s="32">
        <v>695</v>
      </c>
      <c r="B434" s="32" t="s">
        <v>641</v>
      </c>
      <c r="C434" s="32" t="s">
        <v>647</v>
      </c>
      <c r="D434" s="30" t="s">
        <v>573</v>
      </c>
      <c r="E434" s="30" t="s">
        <v>574</v>
      </c>
    </row>
    <row r="435" spans="1:5" x14ac:dyDescent="0.35">
      <c r="A435" s="32">
        <v>696</v>
      </c>
      <c r="B435" s="32" t="s">
        <v>641</v>
      </c>
      <c r="C435" s="32" t="s">
        <v>572</v>
      </c>
      <c r="D435" s="30" t="s">
        <v>573</v>
      </c>
      <c r="E435" s="30" t="s">
        <v>574</v>
      </c>
    </row>
    <row r="436" spans="1:5" x14ac:dyDescent="0.35">
      <c r="A436" s="32">
        <v>697</v>
      </c>
      <c r="B436" s="32" t="s">
        <v>641</v>
      </c>
      <c r="C436" s="32" t="s">
        <v>647</v>
      </c>
      <c r="D436" s="30" t="s">
        <v>573</v>
      </c>
      <c r="E436" s="30" t="s">
        <v>574</v>
      </c>
    </row>
    <row r="437" spans="1:5" x14ac:dyDescent="0.35">
      <c r="A437" s="32">
        <v>698</v>
      </c>
      <c r="B437" s="32" t="s">
        <v>641</v>
      </c>
      <c r="C437" s="32" t="s">
        <v>572</v>
      </c>
      <c r="D437" s="30" t="s">
        <v>573</v>
      </c>
      <c r="E437" s="30" t="s">
        <v>574</v>
      </c>
    </row>
    <row r="438" spans="1:5" x14ac:dyDescent="0.35">
      <c r="A438" s="32">
        <v>699</v>
      </c>
      <c r="B438" s="32" t="s">
        <v>641</v>
      </c>
      <c r="C438" s="32" t="s">
        <v>647</v>
      </c>
      <c r="D438" s="30" t="s">
        <v>573</v>
      </c>
      <c r="E438" s="30" t="s">
        <v>574</v>
      </c>
    </row>
    <row r="439" spans="1:5" x14ac:dyDescent="0.35">
      <c r="A439" s="32">
        <v>700</v>
      </c>
      <c r="B439" s="32" t="s">
        <v>571</v>
      </c>
      <c r="C439" s="32" t="s">
        <v>572</v>
      </c>
      <c r="D439" s="30" t="s">
        <v>573</v>
      </c>
      <c r="E439" s="30" t="s">
        <v>574</v>
      </c>
    </row>
    <row r="440" spans="1:5" x14ac:dyDescent="0.35">
      <c r="A440" s="32">
        <v>701</v>
      </c>
      <c r="B440" s="32" t="s">
        <v>571</v>
      </c>
      <c r="C440" s="32" t="s">
        <v>647</v>
      </c>
      <c r="D440" s="30" t="s">
        <v>573</v>
      </c>
      <c r="E440" s="30" t="s">
        <v>574</v>
      </c>
    </row>
    <row r="441" spans="1:5" x14ac:dyDescent="0.35">
      <c r="A441" s="32">
        <v>702</v>
      </c>
      <c r="B441" s="32" t="s">
        <v>571</v>
      </c>
      <c r="C441" s="32" t="s">
        <v>572</v>
      </c>
      <c r="D441" s="30" t="s">
        <v>573</v>
      </c>
      <c r="E441" s="30" t="s">
        <v>574</v>
      </c>
    </row>
    <row r="442" spans="1:5" x14ac:dyDescent="0.35">
      <c r="A442" s="32">
        <v>703</v>
      </c>
      <c r="B442" s="32" t="s">
        <v>571</v>
      </c>
      <c r="C442" s="32" t="s">
        <v>647</v>
      </c>
      <c r="D442" s="30" t="s">
        <v>573</v>
      </c>
      <c r="E442" s="30" t="s">
        <v>574</v>
      </c>
    </row>
    <row r="443" spans="1:5" x14ac:dyDescent="0.35">
      <c r="A443" s="32">
        <v>704</v>
      </c>
      <c r="B443" s="32" t="s">
        <v>571</v>
      </c>
      <c r="C443" s="32" t="s">
        <v>572</v>
      </c>
      <c r="D443" s="30" t="s">
        <v>573</v>
      </c>
      <c r="E443" s="30" t="s">
        <v>574</v>
      </c>
    </row>
    <row r="444" spans="1:5" x14ac:dyDescent="0.35">
      <c r="A444" s="32">
        <v>705</v>
      </c>
      <c r="B444" s="32" t="s">
        <v>571</v>
      </c>
      <c r="C444" s="32" t="s">
        <v>647</v>
      </c>
      <c r="D444" s="30" t="s">
        <v>573</v>
      </c>
      <c r="E444" s="30" t="s">
        <v>574</v>
      </c>
    </row>
    <row r="445" spans="1:5" x14ac:dyDescent="0.35">
      <c r="A445" s="32">
        <v>706</v>
      </c>
      <c r="B445" s="32" t="s">
        <v>571</v>
      </c>
      <c r="C445" s="32" t="s">
        <v>572</v>
      </c>
      <c r="D445" s="30" t="s">
        <v>573</v>
      </c>
      <c r="E445" s="30" t="s">
        <v>574</v>
      </c>
    </row>
    <row r="446" spans="1:5" x14ac:dyDescent="0.35">
      <c r="A446" s="32">
        <v>707</v>
      </c>
      <c r="B446" s="32" t="s">
        <v>571</v>
      </c>
      <c r="C446" s="32" t="s">
        <v>647</v>
      </c>
      <c r="D446" s="30" t="s">
        <v>573</v>
      </c>
      <c r="E446" s="30" t="s">
        <v>574</v>
      </c>
    </row>
    <row r="447" spans="1:5" x14ac:dyDescent="0.35">
      <c r="A447" s="32">
        <v>708</v>
      </c>
      <c r="B447" s="32" t="s">
        <v>634</v>
      </c>
      <c r="C447" s="32" t="s">
        <v>572</v>
      </c>
      <c r="D447" s="30" t="s">
        <v>573</v>
      </c>
      <c r="E447" s="30" t="s">
        <v>574</v>
      </c>
    </row>
    <row r="448" spans="1:5" x14ac:dyDescent="0.35">
      <c r="A448" s="32">
        <v>709</v>
      </c>
      <c r="B448" s="32" t="s">
        <v>634</v>
      </c>
      <c r="C448" s="32" t="s">
        <v>647</v>
      </c>
      <c r="D448" s="30" t="s">
        <v>573</v>
      </c>
      <c r="E448" s="30" t="s">
        <v>574</v>
      </c>
    </row>
    <row r="449" spans="1:5" x14ac:dyDescent="0.35">
      <c r="A449" s="32">
        <v>710</v>
      </c>
      <c r="B449" s="32" t="s">
        <v>634</v>
      </c>
      <c r="C449" s="32" t="s">
        <v>572</v>
      </c>
      <c r="D449" s="30" t="s">
        <v>573</v>
      </c>
      <c r="E449" s="30" t="s">
        <v>574</v>
      </c>
    </row>
    <row r="450" spans="1:5" x14ac:dyDescent="0.35">
      <c r="A450" s="32">
        <v>711</v>
      </c>
      <c r="B450" s="32" t="s">
        <v>634</v>
      </c>
      <c r="C450" s="32" t="s">
        <v>647</v>
      </c>
      <c r="D450" s="30" t="s">
        <v>573</v>
      </c>
      <c r="E450" s="30" t="s">
        <v>574</v>
      </c>
    </row>
    <row r="451" spans="1:5" x14ac:dyDescent="0.35">
      <c r="A451" s="32">
        <v>712</v>
      </c>
      <c r="B451" s="32" t="s">
        <v>634</v>
      </c>
      <c r="C451" s="32" t="s">
        <v>572</v>
      </c>
      <c r="D451" s="30" t="s">
        <v>573</v>
      </c>
      <c r="E451" s="30" t="s">
        <v>574</v>
      </c>
    </row>
    <row r="452" spans="1:5" x14ac:dyDescent="0.35">
      <c r="A452" s="32">
        <v>713</v>
      </c>
      <c r="B452" s="32" t="s">
        <v>634</v>
      </c>
      <c r="C452" s="32" t="s">
        <v>647</v>
      </c>
      <c r="D452" s="30" t="s">
        <v>573</v>
      </c>
      <c r="E452" s="30" t="s">
        <v>574</v>
      </c>
    </row>
    <row r="453" spans="1:5" x14ac:dyDescent="0.35">
      <c r="A453" s="32">
        <v>714</v>
      </c>
      <c r="B453" s="32" t="s">
        <v>634</v>
      </c>
      <c r="C453" s="32" t="s">
        <v>572</v>
      </c>
      <c r="D453" s="30" t="s">
        <v>573</v>
      </c>
      <c r="E453" s="30" t="s">
        <v>574</v>
      </c>
    </row>
    <row r="454" spans="1:5" x14ac:dyDescent="0.35">
      <c r="A454" s="32">
        <v>715</v>
      </c>
      <c r="B454" s="32" t="s">
        <v>634</v>
      </c>
      <c r="C454" s="32" t="s">
        <v>647</v>
      </c>
      <c r="D454" s="30" t="s">
        <v>573</v>
      </c>
      <c r="E454" s="30" t="s">
        <v>574</v>
      </c>
    </row>
    <row r="455" spans="1:5" x14ac:dyDescent="0.35">
      <c r="A455" s="32">
        <v>716</v>
      </c>
      <c r="B455" s="32" t="s">
        <v>641</v>
      </c>
      <c r="C455" s="32" t="s">
        <v>572</v>
      </c>
      <c r="D455" s="30" t="s">
        <v>573</v>
      </c>
      <c r="E455" s="30" t="s">
        <v>574</v>
      </c>
    </row>
    <row r="456" spans="1:5" x14ac:dyDescent="0.35">
      <c r="A456" s="32">
        <v>717</v>
      </c>
      <c r="B456" s="32" t="s">
        <v>641</v>
      </c>
      <c r="C456" s="32" t="s">
        <v>647</v>
      </c>
      <c r="D456" s="30" t="s">
        <v>573</v>
      </c>
      <c r="E456" s="30" t="s">
        <v>574</v>
      </c>
    </row>
    <row r="457" spans="1:5" x14ac:dyDescent="0.35">
      <c r="A457" s="32">
        <v>718</v>
      </c>
      <c r="B457" s="32" t="s">
        <v>641</v>
      </c>
      <c r="C457" s="32" t="s">
        <v>572</v>
      </c>
      <c r="D457" s="30" t="s">
        <v>573</v>
      </c>
      <c r="E457" s="30" t="s">
        <v>574</v>
      </c>
    </row>
    <row r="458" spans="1:5" x14ac:dyDescent="0.35">
      <c r="A458" s="32">
        <v>719</v>
      </c>
      <c r="B458" s="32" t="s">
        <v>641</v>
      </c>
      <c r="C458" s="32" t="s">
        <v>647</v>
      </c>
      <c r="D458" s="30" t="s">
        <v>573</v>
      </c>
      <c r="E458" s="30" t="s">
        <v>574</v>
      </c>
    </row>
    <row r="459" spans="1:5" x14ac:dyDescent="0.35">
      <c r="A459" s="32">
        <v>720</v>
      </c>
      <c r="B459" s="32" t="s">
        <v>641</v>
      </c>
      <c r="C459" s="32" t="s">
        <v>572</v>
      </c>
      <c r="D459" s="30" t="s">
        <v>573</v>
      </c>
      <c r="E459" s="30" t="s">
        <v>574</v>
      </c>
    </row>
    <row r="460" spans="1:5" x14ac:dyDescent="0.35">
      <c r="A460" s="32">
        <v>721</v>
      </c>
      <c r="B460" s="32" t="s">
        <v>641</v>
      </c>
      <c r="C460" s="32" t="s">
        <v>647</v>
      </c>
      <c r="D460" s="30" t="s">
        <v>573</v>
      </c>
      <c r="E460" s="30" t="s">
        <v>574</v>
      </c>
    </row>
    <row r="461" spans="1:5" x14ac:dyDescent="0.35">
      <c r="A461" s="32">
        <v>722</v>
      </c>
      <c r="B461" s="32" t="s">
        <v>641</v>
      </c>
      <c r="C461" s="32" t="s">
        <v>572</v>
      </c>
      <c r="D461" s="30" t="s">
        <v>573</v>
      </c>
      <c r="E461" s="30" t="s">
        <v>574</v>
      </c>
    </row>
    <row r="462" spans="1:5" x14ac:dyDescent="0.35">
      <c r="A462" s="32">
        <v>723</v>
      </c>
      <c r="B462" s="32" t="s">
        <v>641</v>
      </c>
      <c r="C462" s="32" t="s">
        <v>647</v>
      </c>
      <c r="D462" s="30" t="s">
        <v>573</v>
      </c>
      <c r="E462" s="30" t="s">
        <v>574</v>
      </c>
    </row>
    <row r="463" spans="1:5" x14ac:dyDescent="0.35">
      <c r="A463" s="32">
        <v>724</v>
      </c>
      <c r="B463" s="32" t="s">
        <v>634</v>
      </c>
      <c r="C463" s="32" t="s">
        <v>572</v>
      </c>
      <c r="D463" s="30" t="s">
        <v>573</v>
      </c>
      <c r="E463" s="30" t="s">
        <v>574</v>
      </c>
    </row>
    <row r="464" spans="1:5" x14ac:dyDescent="0.35">
      <c r="A464" s="32">
        <v>725</v>
      </c>
      <c r="B464" s="32" t="s">
        <v>634</v>
      </c>
      <c r="C464" s="32" t="s">
        <v>647</v>
      </c>
      <c r="D464" s="30" t="s">
        <v>573</v>
      </c>
      <c r="E464" s="30" t="s">
        <v>574</v>
      </c>
    </row>
    <row r="465" spans="1:5" x14ac:dyDescent="0.35">
      <c r="A465" s="32">
        <v>726</v>
      </c>
      <c r="B465" s="32" t="s">
        <v>634</v>
      </c>
      <c r="C465" s="32" t="s">
        <v>572</v>
      </c>
      <c r="D465" s="30" t="s">
        <v>573</v>
      </c>
      <c r="E465" s="30" t="s">
        <v>574</v>
      </c>
    </row>
    <row r="466" spans="1:5" x14ac:dyDescent="0.35">
      <c r="A466" s="32">
        <v>727</v>
      </c>
      <c r="B466" s="32" t="s">
        <v>634</v>
      </c>
      <c r="C466" s="32" t="s">
        <v>647</v>
      </c>
      <c r="D466" s="30" t="s">
        <v>573</v>
      </c>
      <c r="E466" s="30" t="s">
        <v>574</v>
      </c>
    </row>
    <row r="467" spans="1:5" x14ac:dyDescent="0.35">
      <c r="A467" s="32">
        <v>728</v>
      </c>
      <c r="B467" s="32" t="s">
        <v>634</v>
      </c>
      <c r="C467" s="32" t="s">
        <v>572</v>
      </c>
      <c r="D467" s="30" t="s">
        <v>573</v>
      </c>
      <c r="E467" s="30" t="s">
        <v>574</v>
      </c>
    </row>
    <row r="468" spans="1:5" x14ac:dyDescent="0.35">
      <c r="A468" s="32">
        <v>729</v>
      </c>
      <c r="B468" s="32" t="s">
        <v>634</v>
      </c>
      <c r="C468" s="32" t="s">
        <v>647</v>
      </c>
      <c r="D468" s="30" t="s">
        <v>573</v>
      </c>
      <c r="E468" s="30" t="s">
        <v>574</v>
      </c>
    </row>
    <row r="469" spans="1:5" x14ac:dyDescent="0.35">
      <c r="A469" s="32">
        <v>730</v>
      </c>
      <c r="B469" s="32" t="s">
        <v>634</v>
      </c>
      <c r="C469" s="32" t="s">
        <v>572</v>
      </c>
      <c r="D469" s="30" t="s">
        <v>573</v>
      </c>
      <c r="E469" s="30" t="s">
        <v>574</v>
      </c>
    </row>
    <row r="470" spans="1:5" x14ac:dyDescent="0.35">
      <c r="A470" s="32">
        <v>731</v>
      </c>
      <c r="B470" s="32" t="s">
        <v>634</v>
      </c>
      <c r="C470" s="32" t="s">
        <v>647</v>
      </c>
      <c r="D470" s="30" t="s">
        <v>573</v>
      </c>
      <c r="E470" s="30" t="s">
        <v>574</v>
      </c>
    </row>
    <row r="471" spans="1:5" x14ac:dyDescent="0.35">
      <c r="A471" s="32">
        <v>732</v>
      </c>
      <c r="B471" s="32" t="s">
        <v>634</v>
      </c>
      <c r="C471" s="32" t="s">
        <v>572</v>
      </c>
      <c r="D471" s="30" t="s">
        <v>573</v>
      </c>
      <c r="E471" s="30" t="s">
        <v>574</v>
      </c>
    </row>
    <row r="472" spans="1:5" x14ac:dyDescent="0.35">
      <c r="A472" s="32">
        <v>733</v>
      </c>
      <c r="B472" s="32" t="s">
        <v>634</v>
      </c>
      <c r="C472" s="32" t="s">
        <v>647</v>
      </c>
      <c r="D472" s="30" t="s">
        <v>573</v>
      </c>
      <c r="E472" s="30" t="s">
        <v>574</v>
      </c>
    </row>
    <row r="473" spans="1:5" x14ac:dyDescent="0.35">
      <c r="A473" s="32">
        <v>734</v>
      </c>
      <c r="B473" s="32" t="s">
        <v>634</v>
      </c>
      <c r="C473" s="32" t="s">
        <v>572</v>
      </c>
      <c r="D473" s="30" t="s">
        <v>573</v>
      </c>
      <c r="E473" s="30" t="s">
        <v>574</v>
      </c>
    </row>
    <row r="474" spans="1:5" x14ac:dyDescent="0.35">
      <c r="A474" s="32">
        <v>735</v>
      </c>
      <c r="B474" s="32" t="s">
        <v>634</v>
      </c>
      <c r="C474" s="32" t="s">
        <v>647</v>
      </c>
      <c r="D474" s="30" t="s">
        <v>573</v>
      </c>
      <c r="E474" s="30" t="s">
        <v>574</v>
      </c>
    </row>
    <row r="475" spans="1:5" x14ac:dyDescent="0.35">
      <c r="A475" s="32">
        <v>736</v>
      </c>
      <c r="B475" s="32" t="s">
        <v>634</v>
      </c>
      <c r="C475" s="32" t="s">
        <v>572</v>
      </c>
      <c r="D475" s="30" t="s">
        <v>573</v>
      </c>
      <c r="E475" s="30" t="s">
        <v>574</v>
      </c>
    </row>
    <row r="476" spans="1:5" x14ac:dyDescent="0.35">
      <c r="A476" s="32">
        <v>737</v>
      </c>
      <c r="B476" s="32" t="s">
        <v>634</v>
      </c>
      <c r="C476" s="32" t="s">
        <v>647</v>
      </c>
      <c r="D476" s="30" t="s">
        <v>573</v>
      </c>
      <c r="E476" s="30" t="s">
        <v>574</v>
      </c>
    </row>
    <row r="477" spans="1:5" x14ac:dyDescent="0.35">
      <c r="A477" s="32">
        <v>738</v>
      </c>
      <c r="B477" s="32" t="s">
        <v>634</v>
      </c>
      <c r="C477" s="32" t="s">
        <v>572</v>
      </c>
      <c r="D477" s="30" t="s">
        <v>573</v>
      </c>
      <c r="E477" s="30" t="s">
        <v>574</v>
      </c>
    </row>
    <row r="478" spans="1:5" x14ac:dyDescent="0.35">
      <c r="A478" s="32">
        <v>739</v>
      </c>
      <c r="B478" s="32" t="s">
        <v>634</v>
      </c>
      <c r="C478" s="32" t="s">
        <v>647</v>
      </c>
      <c r="D478" s="30" t="s">
        <v>573</v>
      </c>
      <c r="E478" s="30" t="s">
        <v>574</v>
      </c>
    </row>
    <row r="479" spans="1:5" x14ac:dyDescent="0.35">
      <c r="A479" s="32">
        <v>740</v>
      </c>
      <c r="B479" s="32" t="s">
        <v>571</v>
      </c>
      <c r="C479" s="32" t="s">
        <v>572</v>
      </c>
      <c r="D479" s="30" t="s">
        <v>573</v>
      </c>
      <c r="E479" s="30" t="s">
        <v>574</v>
      </c>
    </row>
    <row r="480" spans="1:5" x14ac:dyDescent="0.35">
      <c r="A480" s="32">
        <v>741</v>
      </c>
      <c r="B480" s="32" t="s">
        <v>571</v>
      </c>
      <c r="C480" s="32" t="s">
        <v>647</v>
      </c>
      <c r="D480" s="30" t="s">
        <v>573</v>
      </c>
      <c r="E480" s="30" t="s">
        <v>574</v>
      </c>
    </row>
    <row r="481" spans="1:5" x14ac:dyDescent="0.35">
      <c r="A481" s="32">
        <v>742</v>
      </c>
      <c r="B481" s="32" t="s">
        <v>571</v>
      </c>
      <c r="C481" s="32" t="s">
        <v>572</v>
      </c>
      <c r="D481" s="30" t="s">
        <v>573</v>
      </c>
      <c r="E481" s="30" t="s">
        <v>574</v>
      </c>
    </row>
    <row r="482" spans="1:5" x14ac:dyDescent="0.35">
      <c r="A482" s="32">
        <v>743</v>
      </c>
      <c r="B482" s="32" t="s">
        <v>571</v>
      </c>
      <c r="C482" s="32" t="s">
        <v>647</v>
      </c>
      <c r="D482" s="30" t="s">
        <v>573</v>
      </c>
      <c r="E482" s="30" t="s">
        <v>574</v>
      </c>
    </row>
    <row r="483" spans="1:5" x14ac:dyDescent="0.35">
      <c r="A483" s="32">
        <v>744</v>
      </c>
      <c r="B483" s="32" t="s">
        <v>571</v>
      </c>
      <c r="C483" s="32" t="s">
        <v>572</v>
      </c>
      <c r="D483" s="30" t="s">
        <v>573</v>
      </c>
      <c r="E483" s="30" t="s">
        <v>574</v>
      </c>
    </row>
    <row r="484" spans="1:5" x14ac:dyDescent="0.35">
      <c r="A484" s="32">
        <v>745</v>
      </c>
      <c r="B484" s="32" t="s">
        <v>571</v>
      </c>
      <c r="C484" s="32" t="s">
        <v>647</v>
      </c>
      <c r="D484" s="30" t="s">
        <v>573</v>
      </c>
      <c r="E484" s="30" t="s">
        <v>574</v>
      </c>
    </row>
    <row r="485" spans="1:5" x14ac:dyDescent="0.35">
      <c r="A485" s="32">
        <v>746</v>
      </c>
      <c r="B485" s="32" t="s">
        <v>571</v>
      </c>
      <c r="C485" s="32" t="s">
        <v>572</v>
      </c>
      <c r="D485" s="30" t="s">
        <v>573</v>
      </c>
      <c r="E485" s="30" t="s">
        <v>574</v>
      </c>
    </row>
    <row r="486" spans="1:5" x14ac:dyDescent="0.35">
      <c r="A486" s="32">
        <v>747</v>
      </c>
      <c r="B486" s="32" t="s">
        <v>571</v>
      </c>
      <c r="C486" s="32" t="s">
        <v>647</v>
      </c>
      <c r="D486" s="30" t="s">
        <v>573</v>
      </c>
      <c r="E486" s="30" t="s">
        <v>574</v>
      </c>
    </row>
    <row r="487" spans="1:5" x14ac:dyDescent="0.35">
      <c r="A487" s="32">
        <v>748</v>
      </c>
      <c r="B487" s="32" t="s">
        <v>634</v>
      </c>
      <c r="C487" s="32" t="s">
        <v>572</v>
      </c>
      <c r="D487" s="30" t="s">
        <v>573</v>
      </c>
      <c r="E487" s="30" t="s">
        <v>574</v>
      </c>
    </row>
    <row r="488" spans="1:5" x14ac:dyDescent="0.35">
      <c r="A488" s="32">
        <v>749</v>
      </c>
      <c r="B488" s="32" t="s">
        <v>634</v>
      </c>
      <c r="C488" s="32" t="s">
        <v>647</v>
      </c>
      <c r="D488" s="30" t="s">
        <v>573</v>
      </c>
      <c r="E488" s="30" t="s">
        <v>574</v>
      </c>
    </row>
    <row r="489" spans="1:5" x14ac:dyDescent="0.35">
      <c r="A489" s="32">
        <v>750</v>
      </c>
      <c r="B489" s="32" t="s">
        <v>634</v>
      </c>
      <c r="C489" s="32" t="s">
        <v>572</v>
      </c>
      <c r="D489" s="30" t="s">
        <v>573</v>
      </c>
      <c r="E489" s="30" t="s">
        <v>574</v>
      </c>
    </row>
    <row r="490" spans="1:5" x14ac:dyDescent="0.35">
      <c r="A490" s="32">
        <v>751</v>
      </c>
      <c r="B490" s="32" t="s">
        <v>634</v>
      </c>
      <c r="C490" s="32" t="s">
        <v>647</v>
      </c>
      <c r="D490" s="30" t="s">
        <v>573</v>
      </c>
      <c r="E490" s="30" t="s">
        <v>574</v>
      </c>
    </row>
    <row r="491" spans="1:5" x14ac:dyDescent="0.35">
      <c r="A491" s="32">
        <v>752</v>
      </c>
      <c r="B491" s="32" t="s">
        <v>634</v>
      </c>
      <c r="C491" s="32" t="s">
        <v>572</v>
      </c>
      <c r="D491" s="30" t="s">
        <v>573</v>
      </c>
      <c r="E491" s="30" t="s">
        <v>574</v>
      </c>
    </row>
    <row r="492" spans="1:5" x14ac:dyDescent="0.35">
      <c r="A492" s="32">
        <v>753</v>
      </c>
      <c r="B492" s="32" t="s">
        <v>634</v>
      </c>
      <c r="C492" s="32" t="s">
        <v>647</v>
      </c>
      <c r="D492" s="30" t="s">
        <v>573</v>
      </c>
      <c r="E492" s="30" t="s">
        <v>574</v>
      </c>
    </row>
    <row r="493" spans="1:5" x14ac:dyDescent="0.35">
      <c r="A493" s="32">
        <v>754</v>
      </c>
      <c r="B493" s="32" t="s">
        <v>634</v>
      </c>
      <c r="C493" s="32" t="s">
        <v>572</v>
      </c>
      <c r="D493" s="30" t="s">
        <v>573</v>
      </c>
      <c r="E493" s="30" t="s">
        <v>574</v>
      </c>
    </row>
    <row r="494" spans="1:5" x14ac:dyDescent="0.35">
      <c r="A494" s="32">
        <v>755</v>
      </c>
      <c r="B494" s="32" t="s">
        <v>634</v>
      </c>
      <c r="C494" s="32" t="s">
        <v>647</v>
      </c>
      <c r="D494" s="30" t="s">
        <v>573</v>
      </c>
      <c r="E494" s="30" t="s">
        <v>574</v>
      </c>
    </row>
    <row r="495" spans="1:5" x14ac:dyDescent="0.35">
      <c r="A495" s="32">
        <v>756</v>
      </c>
      <c r="B495" s="32" t="s">
        <v>571</v>
      </c>
      <c r="C495" s="32" t="s">
        <v>572</v>
      </c>
      <c r="D495" s="30" t="s">
        <v>573</v>
      </c>
      <c r="E495" s="30" t="s">
        <v>574</v>
      </c>
    </row>
    <row r="496" spans="1:5" x14ac:dyDescent="0.35">
      <c r="A496" s="32">
        <v>757</v>
      </c>
      <c r="B496" s="32" t="s">
        <v>571</v>
      </c>
      <c r="C496" s="32" t="s">
        <v>647</v>
      </c>
      <c r="D496" s="30" t="s">
        <v>573</v>
      </c>
      <c r="E496" s="30" t="s">
        <v>574</v>
      </c>
    </row>
    <row r="497" spans="1:5" x14ac:dyDescent="0.35">
      <c r="A497" s="32">
        <v>758</v>
      </c>
      <c r="B497" s="32" t="s">
        <v>571</v>
      </c>
      <c r="C497" s="32" t="s">
        <v>572</v>
      </c>
      <c r="D497" s="30" t="s">
        <v>573</v>
      </c>
      <c r="E497" s="30" t="s">
        <v>574</v>
      </c>
    </row>
    <row r="498" spans="1:5" x14ac:dyDescent="0.35">
      <c r="A498" s="32">
        <v>759</v>
      </c>
      <c r="B498" s="32" t="s">
        <v>571</v>
      </c>
      <c r="C498" s="32" t="s">
        <v>647</v>
      </c>
      <c r="D498" s="30" t="s">
        <v>573</v>
      </c>
      <c r="E498" s="30" t="s">
        <v>574</v>
      </c>
    </row>
    <row r="499" spans="1:5" x14ac:dyDescent="0.35">
      <c r="A499" s="32">
        <v>760</v>
      </c>
      <c r="B499" s="32" t="s">
        <v>571</v>
      </c>
      <c r="C499" s="32" t="s">
        <v>572</v>
      </c>
      <c r="D499" s="30" t="s">
        <v>573</v>
      </c>
      <c r="E499" s="30" t="s">
        <v>574</v>
      </c>
    </row>
    <row r="500" spans="1:5" x14ac:dyDescent="0.35">
      <c r="A500" s="32">
        <v>761</v>
      </c>
      <c r="B500" s="32" t="s">
        <v>571</v>
      </c>
      <c r="C500" s="32" t="s">
        <v>647</v>
      </c>
      <c r="D500" s="30" t="s">
        <v>573</v>
      </c>
      <c r="E500" s="30" t="s">
        <v>574</v>
      </c>
    </row>
    <row r="501" spans="1:5" x14ac:dyDescent="0.35">
      <c r="A501" s="32">
        <v>762</v>
      </c>
      <c r="B501" s="32" t="s">
        <v>571</v>
      </c>
      <c r="C501" s="32" t="s">
        <v>572</v>
      </c>
      <c r="D501" s="30" t="s">
        <v>573</v>
      </c>
      <c r="E501" s="30" t="s">
        <v>574</v>
      </c>
    </row>
    <row r="502" spans="1:5" x14ac:dyDescent="0.35">
      <c r="A502" s="32">
        <v>763</v>
      </c>
      <c r="B502" s="32" t="s">
        <v>571</v>
      </c>
      <c r="C502" s="32" t="s">
        <v>647</v>
      </c>
      <c r="D502" s="30" t="s">
        <v>573</v>
      </c>
      <c r="E502" s="30" t="s">
        <v>574</v>
      </c>
    </row>
    <row r="503" spans="1:5" x14ac:dyDescent="0.35">
      <c r="A503" s="32">
        <v>764</v>
      </c>
      <c r="B503" s="32" t="s">
        <v>634</v>
      </c>
      <c r="C503" s="32" t="s">
        <v>572</v>
      </c>
      <c r="D503" s="30" t="s">
        <v>573</v>
      </c>
      <c r="E503" s="30" t="s">
        <v>574</v>
      </c>
    </row>
    <row r="504" spans="1:5" x14ac:dyDescent="0.35">
      <c r="A504" s="32">
        <v>765</v>
      </c>
      <c r="B504" s="32" t="s">
        <v>634</v>
      </c>
      <c r="C504" s="32" t="s">
        <v>647</v>
      </c>
      <c r="D504" s="30" t="s">
        <v>573</v>
      </c>
      <c r="E504" s="30" t="s">
        <v>574</v>
      </c>
    </row>
    <row r="505" spans="1:5" x14ac:dyDescent="0.35">
      <c r="A505" s="32">
        <v>766</v>
      </c>
      <c r="B505" s="32" t="s">
        <v>634</v>
      </c>
      <c r="C505" s="32" t="s">
        <v>572</v>
      </c>
      <c r="D505" s="30" t="s">
        <v>573</v>
      </c>
      <c r="E505" s="30" t="s">
        <v>574</v>
      </c>
    </row>
    <row r="506" spans="1:5" x14ac:dyDescent="0.35">
      <c r="A506" s="32">
        <v>767</v>
      </c>
      <c r="B506" s="32" t="s">
        <v>634</v>
      </c>
      <c r="C506" s="32" t="s">
        <v>647</v>
      </c>
      <c r="D506" s="30" t="s">
        <v>573</v>
      </c>
      <c r="E506" s="30" t="s">
        <v>574</v>
      </c>
    </row>
    <row r="507" spans="1:5" x14ac:dyDescent="0.35">
      <c r="A507" s="32">
        <v>768</v>
      </c>
      <c r="B507" s="32" t="s">
        <v>634</v>
      </c>
      <c r="C507" s="32" t="s">
        <v>572</v>
      </c>
      <c r="D507" s="30" t="s">
        <v>573</v>
      </c>
      <c r="E507" s="30" t="s">
        <v>574</v>
      </c>
    </row>
    <row r="508" spans="1:5" x14ac:dyDescent="0.35">
      <c r="A508" s="32">
        <v>769</v>
      </c>
      <c r="B508" s="32" t="s">
        <v>634</v>
      </c>
      <c r="C508" s="32" t="s">
        <v>647</v>
      </c>
      <c r="D508" s="30" t="s">
        <v>573</v>
      </c>
      <c r="E508" s="30" t="s">
        <v>574</v>
      </c>
    </row>
    <row r="509" spans="1:5" x14ac:dyDescent="0.35">
      <c r="A509" s="32">
        <v>770</v>
      </c>
      <c r="B509" s="32" t="s">
        <v>571</v>
      </c>
      <c r="C509" s="32" t="s">
        <v>572</v>
      </c>
      <c r="D509" s="30" t="s">
        <v>573</v>
      </c>
      <c r="E509" s="30" t="s">
        <v>574</v>
      </c>
    </row>
    <row r="510" spans="1:5" x14ac:dyDescent="0.35">
      <c r="A510" s="32">
        <v>771</v>
      </c>
      <c r="B510" s="32" t="s">
        <v>571</v>
      </c>
      <c r="C510" s="32" t="s">
        <v>647</v>
      </c>
      <c r="D510" s="30" t="s">
        <v>573</v>
      </c>
      <c r="E510" s="30" t="s">
        <v>574</v>
      </c>
    </row>
    <row r="511" spans="1:5" x14ac:dyDescent="0.35">
      <c r="A511" s="32">
        <v>772</v>
      </c>
      <c r="B511" s="32" t="s">
        <v>571</v>
      </c>
      <c r="C511" s="32" t="s">
        <v>572</v>
      </c>
      <c r="D511" s="30" t="s">
        <v>573</v>
      </c>
      <c r="E511" s="30" t="s">
        <v>574</v>
      </c>
    </row>
    <row r="512" spans="1:5" x14ac:dyDescent="0.35">
      <c r="A512" s="32">
        <v>773</v>
      </c>
      <c r="B512" s="32" t="s">
        <v>571</v>
      </c>
      <c r="C512" s="32" t="s">
        <v>647</v>
      </c>
      <c r="D512" s="30" t="s">
        <v>573</v>
      </c>
      <c r="E512" s="30" t="s">
        <v>574</v>
      </c>
    </row>
    <row r="513" spans="1:5" x14ac:dyDescent="0.35">
      <c r="A513" s="32">
        <v>774</v>
      </c>
      <c r="B513" s="32" t="s">
        <v>571</v>
      </c>
      <c r="C513" s="32" t="s">
        <v>572</v>
      </c>
      <c r="D513" s="30" t="s">
        <v>573</v>
      </c>
      <c r="E513" s="30" t="s">
        <v>574</v>
      </c>
    </row>
    <row r="514" spans="1:5" x14ac:dyDescent="0.35">
      <c r="A514" s="32">
        <v>775</v>
      </c>
      <c r="B514" s="32" t="s">
        <v>571</v>
      </c>
      <c r="C514" s="32" t="s">
        <v>647</v>
      </c>
      <c r="D514" s="30" t="s">
        <v>573</v>
      </c>
      <c r="E514" s="30" t="s">
        <v>574</v>
      </c>
    </row>
    <row r="515" spans="1:5" x14ac:dyDescent="0.35">
      <c r="A515" s="32">
        <v>776</v>
      </c>
      <c r="B515" s="32" t="s">
        <v>571</v>
      </c>
      <c r="C515" s="32" t="s">
        <v>572</v>
      </c>
      <c r="D515" s="30" t="s">
        <v>573</v>
      </c>
      <c r="E515" s="30" t="s">
        <v>574</v>
      </c>
    </row>
    <row r="516" spans="1:5" x14ac:dyDescent="0.35">
      <c r="A516" s="32">
        <v>777</v>
      </c>
      <c r="B516" s="32" t="s">
        <v>571</v>
      </c>
      <c r="C516" s="32" t="s">
        <v>647</v>
      </c>
      <c r="D516" s="30" t="s">
        <v>573</v>
      </c>
      <c r="E516" s="30" t="s">
        <v>574</v>
      </c>
    </row>
    <row r="517" spans="1:5" x14ac:dyDescent="0.35">
      <c r="A517" s="32">
        <v>778</v>
      </c>
      <c r="B517" s="32" t="s">
        <v>571</v>
      </c>
      <c r="C517" s="32" t="s">
        <v>572</v>
      </c>
      <c r="D517" s="30" t="s">
        <v>573</v>
      </c>
      <c r="E517" s="30" t="s">
        <v>574</v>
      </c>
    </row>
    <row r="518" spans="1:5" x14ac:dyDescent="0.35">
      <c r="A518" s="32">
        <v>779</v>
      </c>
      <c r="B518" s="32" t="s">
        <v>571</v>
      </c>
      <c r="C518" s="32" t="s">
        <v>647</v>
      </c>
      <c r="D518" s="30" t="s">
        <v>573</v>
      </c>
      <c r="E518" s="30" t="s">
        <v>574</v>
      </c>
    </row>
    <row r="519" spans="1:5" x14ac:dyDescent="0.35">
      <c r="A519" s="32">
        <v>780</v>
      </c>
      <c r="B519" s="32" t="s">
        <v>571</v>
      </c>
      <c r="C519" s="32" t="s">
        <v>572</v>
      </c>
      <c r="D519" s="30" t="s">
        <v>573</v>
      </c>
      <c r="E519" s="30" t="s">
        <v>574</v>
      </c>
    </row>
    <row r="520" spans="1:5" x14ac:dyDescent="0.35">
      <c r="A520" s="32">
        <v>781</v>
      </c>
      <c r="B520" s="32" t="s">
        <v>571</v>
      </c>
      <c r="C520" s="32" t="s">
        <v>647</v>
      </c>
      <c r="D520" s="30" t="s">
        <v>573</v>
      </c>
      <c r="E520" s="30" t="s">
        <v>574</v>
      </c>
    </row>
    <row r="521" spans="1:5" x14ac:dyDescent="0.35">
      <c r="A521" s="32">
        <v>782</v>
      </c>
      <c r="B521" s="32" t="s">
        <v>571</v>
      </c>
      <c r="C521" s="32" t="s">
        <v>572</v>
      </c>
      <c r="D521" s="30" t="s">
        <v>573</v>
      </c>
      <c r="E521" s="30" t="s">
        <v>574</v>
      </c>
    </row>
    <row r="522" spans="1:5" x14ac:dyDescent="0.35">
      <c r="A522" s="32">
        <v>783</v>
      </c>
      <c r="B522" s="32" t="s">
        <v>571</v>
      </c>
      <c r="C522" s="32" t="s">
        <v>647</v>
      </c>
      <c r="D522" s="30" t="s">
        <v>573</v>
      </c>
      <c r="E522" s="30" t="s">
        <v>574</v>
      </c>
    </row>
    <row r="523" spans="1:5" x14ac:dyDescent="0.35">
      <c r="A523" s="32">
        <v>784</v>
      </c>
      <c r="B523" s="32" t="s">
        <v>571</v>
      </c>
      <c r="C523" s="32" t="s">
        <v>572</v>
      </c>
      <c r="D523" s="30" t="s">
        <v>573</v>
      </c>
      <c r="E523" s="30" t="s">
        <v>574</v>
      </c>
    </row>
    <row r="524" spans="1:5" x14ac:dyDescent="0.35">
      <c r="A524" s="32">
        <v>785</v>
      </c>
      <c r="B524" s="32" t="s">
        <v>571</v>
      </c>
      <c r="C524" s="32" t="s">
        <v>647</v>
      </c>
      <c r="D524" s="30" t="s">
        <v>573</v>
      </c>
      <c r="E524" s="30" t="s">
        <v>574</v>
      </c>
    </row>
    <row r="525" spans="1:5" x14ac:dyDescent="0.35">
      <c r="A525" s="32">
        <v>786</v>
      </c>
      <c r="B525" s="32" t="s">
        <v>571</v>
      </c>
      <c r="C525" s="32" t="s">
        <v>572</v>
      </c>
      <c r="D525" s="30" t="s">
        <v>573</v>
      </c>
      <c r="E525" s="30" t="s">
        <v>574</v>
      </c>
    </row>
    <row r="526" spans="1:5" x14ac:dyDescent="0.35">
      <c r="A526" s="32">
        <v>787</v>
      </c>
      <c r="B526" s="32" t="s">
        <v>571</v>
      </c>
      <c r="C526" s="32" t="s">
        <v>647</v>
      </c>
      <c r="D526" s="30" t="s">
        <v>573</v>
      </c>
      <c r="E526" s="30" t="s">
        <v>574</v>
      </c>
    </row>
    <row r="527" spans="1:5" x14ac:dyDescent="0.35">
      <c r="A527" s="32">
        <v>788</v>
      </c>
      <c r="B527" s="32" t="s">
        <v>571</v>
      </c>
      <c r="C527" s="32" t="s">
        <v>572</v>
      </c>
      <c r="D527" s="30" t="s">
        <v>573</v>
      </c>
      <c r="E527" s="30" t="s">
        <v>574</v>
      </c>
    </row>
    <row r="528" spans="1:5" x14ac:dyDescent="0.35">
      <c r="A528" s="32">
        <v>789</v>
      </c>
      <c r="B528" s="32" t="s">
        <v>571</v>
      </c>
      <c r="C528" s="32" t="s">
        <v>647</v>
      </c>
      <c r="D528" s="30" t="s">
        <v>573</v>
      </c>
      <c r="E528" s="30" t="s">
        <v>574</v>
      </c>
    </row>
    <row r="529" spans="1:5" x14ac:dyDescent="0.35">
      <c r="A529" s="32">
        <v>790</v>
      </c>
      <c r="B529" s="32" t="s">
        <v>571</v>
      </c>
      <c r="C529" s="32" t="s">
        <v>572</v>
      </c>
      <c r="D529" s="30" t="s">
        <v>573</v>
      </c>
      <c r="E529" s="30" t="s">
        <v>574</v>
      </c>
    </row>
    <row r="530" spans="1:5" x14ac:dyDescent="0.35">
      <c r="A530" s="32">
        <v>791</v>
      </c>
      <c r="B530" s="32" t="s">
        <v>571</v>
      </c>
      <c r="C530" s="32" t="s">
        <v>647</v>
      </c>
      <c r="D530" s="30" t="s">
        <v>573</v>
      </c>
      <c r="E530" s="30" t="s">
        <v>574</v>
      </c>
    </row>
    <row r="531" spans="1:5" x14ac:dyDescent="0.35">
      <c r="A531" s="32">
        <v>792</v>
      </c>
      <c r="B531" s="32" t="s">
        <v>571</v>
      </c>
      <c r="C531" s="32" t="s">
        <v>572</v>
      </c>
      <c r="D531" s="30" t="s">
        <v>573</v>
      </c>
      <c r="E531" s="30" t="s">
        <v>574</v>
      </c>
    </row>
    <row r="532" spans="1:5" x14ac:dyDescent="0.35">
      <c r="A532" s="32">
        <v>793</v>
      </c>
      <c r="B532" s="32" t="s">
        <v>571</v>
      </c>
      <c r="C532" s="32" t="s">
        <v>647</v>
      </c>
      <c r="D532" s="30" t="s">
        <v>573</v>
      </c>
      <c r="E532" s="30" t="s">
        <v>574</v>
      </c>
    </row>
    <row r="533" spans="1:5" x14ac:dyDescent="0.35">
      <c r="A533" s="32">
        <v>794</v>
      </c>
      <c r="B533" s="32" t="s">
        <v>634</v>
      </c>
      <c r="C533" s="32" t="s">
        <v>572</v>
      </c>
      <c r="D533" s="30" t="s">
        <v>573</v>
      </c>
      <c r="E533" s="30" t="s">
        <v>574</v>
      </c>
    </row>
    <row r="534" spans="1:5" x14ac:dyDescent="0.35">
      <c r="A534" s="32">
        <v>795</v>
      </c>
      <c r="B534" s="32" t="s">
        <v>634</v>
      </c>
      <c r="C534" s="32" t="s">
        <v>647</v>
      </c>
      <c r="D534" s="30" t="s">
        <v>573</v>
      </c>
      <c r="E534" s="30" t="s">
        <v>574</v>
      </c>
    </row>
    <row r="535" spans="1:5" x14ac:dyDescent="0.35">
      <c r="A535" s="32">
        <v>796</v>
      </c>
      <c r="B535" s="32" t="s">
        <v>634</v>
      </c>
      <c r="C535" s="32" t="s">
        <v>572</v>
      </c>
      <c r="D535" s="30" t="s">
        <v>573</v>
      </c>
      <c r="E535" s="30" t="s">
        <v>574</v>
      </c>
    </row>
    <row r="536" spans="1:5" x14ac:dyDescent="0.35">
      <c r="A536" s="32">
        <v>797</v>
      </c>
      <c r="B536" s="32" t="s">
        <v>634</v>
      </c>
      <c r="C536" s="32" t="s">
        <v>647</v>
      </c>
      <c r="D536" s="30" t="s">
        <v>573</v>
      </c>
      <c r="E536" s="30" t="s">
        <v>574</v>
      </c>
    </row>
    <row r="537" spans="1:5" x14ac:dyDescent="0.35">
      <c r="A537" s="32">
        <v>798</v>
      </c>
      <c r="B537" s="32" t="s">
        <v>634</v>
      </c>
      <c r="C537" s="32" t="s">
        <v>572</v>
      </c>
      <c r="D537" s="30" t="s">
        <v>573</v>
      </c>
      <c r="E537" s="30" t="s">
        <v>574</v>
      </c>
    </row>
    <row r="538" spans="1:5" x14ac:dyDescent="0.35">
      <c r="A538" s="32">
        <v>799</v>
      </c>
      <c r="B538" s="32" t="s">
        <v>634</v>
      </c>
      <c r="C538" s="32" t="s">
        <v>647</v>
      </c>
      <c r="D538" s="30" t="s">
        <v>573</v>
      </c>
      <c r="E538" s="30" t="s">
        <v>574</v>
      </c>
    </row>
    <row r="539" spans="1:5" x14ac:dyDescent="0.35">
      <c r="A539" s="32">
        <v>800</v>
      </c>
      <c r="B539" s="32" t="s">
        <v>571</v>
      </c>
      <c r="C539" s="32" t="s">
        <v>572</v>
      </c>
      <c r="D539" s="30" t="s">
        <v>573</v>
      </c>
      <c r="E539" s="30" t="s">
        <v>574</v>
      </c>
    </row>
    <row r="540" spans="1:5" x14ac:dyDescent="0.35">
      <c r="A540" s="32">
        <v>801</v>
      </c>
      <c r="B540" s="32" t="s">
        <v>571</v>
      </c>
      <c r="C540" s="32" t="s">
        <v>647</v>
      </c>
      <c r="D540" s="30" t="s">
        <v>573</v>
      </c>
      <c r="E540" s="30" t="s">
        <v>574</v>
      </c>
    </row>
    <row r="541" spans="1:5" x14ac:dyDescent="0.35">
      <c r="A541" s="32">
        <v>802</v>
      </c>
      <c r="B541" s="32" t="s">
        <v>571</v>
      </c>
      <c r="C541" s="32" t="s">
        <v>572</v>
      </c>
      <c r="D541" s="30" t="s">
        <v>573</v>
      </c>
      <c r="E541" s="30" t="s">
        <v>574</v>
      </c>
    </row>
    <row r="542" spans="1:5" x14ac:dyDescent="0.35">
      <c r="A542" s="32">
        <v>803</v>
      </c>
      <c r="B542" s="32" t="s">
        <v>571</v>
      </c>
      <c r="C542" s="32" t="s">
        <v>647</v>
      </c>
      <c r="D542" s="30" t="s">
        <v>573</v>
      </c>
      <c r="E542" s="30" t="s">
        <v>574</v>
      </c>
    </row>
    <row r="543" spans="1:5" x14ac:dyDescent="0.35">
      <c r="A543" s="32">
        <v>804</v>
      </c>
      <c r="B543" s="32" t="s">
        <v>571</v>
      </c>
      <c r="C543" s="32" t="s">
        <v>572</v>
      </c>
      <c r="D543" s="30" t="s">
        <v>573</v>
      </c>
      <c r="E543" s="30" t="s">
        <v>574</v>
      </c>
    </row>
    <row r="544" spans="1:5" x14ac:dyDescent="0.35">
      <c r="A544" s="32">
        <v>805</v>
      </c>
      <c r="B544" s="32" t="s">
        <v>571</v>
      </c>
      <c r="C544" s="32" t="s">
        <v>647</v>
      </c>
      <c r="D544" s="30" t="s">
        <v>573</v>
      </c>
      <c r="E544" s="30" t="s">
        <v>574</v>
      </c>
    </row>
    <row r="545" spans="1:5" x14ac:dyDescent="0.35">
      <c r="A545" s="32">
        <v>806</v>
      </c>
      <c r="B545" s="32" t="s">
        <v>571</v>
      </c>
      <c r="C545" s="32" t="s">
        <v>572</v>
      </c>
      <c r="D545" s="30" t="s">
        <v>573</v>
      </c>
      <c r="E545" s="30" t="s">
        <v>574</v>
      </c>
    </row>
    <row r="546" spans="1:5" x14ac:dyDescent="0.35">
      <c r="A546" s="32">
        <v>807</v>
      </c>
      <c r="B546" s="32" t="s">
        <v>571</v>
      </c>
      <c r="C546" s="32" t="s">
        <v>647</v>
      </c>
      <c r="D546" s="30" t="s">
        <v>573</v>
      </c>
      <c r="E546" s="30" t="s">
        <v>574</v>
      </c>
    </row>
    <row r="547" spans="1:5" x14ac:dyDescent="0.35">
      <c r="A547" s="32">
        <v>808</v>
      </c>
      <c r="B547" s="32" t="s">
        <v>611</v>
      </c>
      <c r="C547" s="32" t="s">
        <v>572</v>
      </c>
      <c r="D547" s="30" t="s">
        <v>573</v>
      </c>
      <c r="E547" s="30" t="s">
        <v>574</v>
      </c>
    </row>
    <row r="548" spans="1:5" x14ac:dyDescent="0.35">
      <c r="A548" s="32">
        <v>809</v>
      </c>
      <c r="B548" s="32" t="s">
        <v>611</v>
      </c>
      <c r="C548" s="32" t="s">
        <v>647</v>
      </c>
      <c r="D548" s="30" t="s">
        <v>573</v>
      </c>
      <c r="E548" s="30" t="s">
        <v>574</v>
      </c>
    </row>
    <row r="549" spans="1:5" x14ac:dyDescent="0.35">
      <c r="A549" s="32">
        <v>810</v>
      </c>
      <c r="B549" s="32" t="s">
        <v>611</v>
      </c>
      <c r="C549" s="32" t="s">
        <v>572</v>
      </c>
      <c r="D549" s="30" t="s">
        <v>573</v>
      </c>
      <c r="E549" s="30" t="s">
        <v>574</v>
      </c>
    </row>
    <row r="550" spans="1:5" x14ac:dyDescent="0.35">
      <c r="A550" s="32">
        <v>811</v>
      </c>
      <c r="B550" s="32" t="s">
        <v>611</v>
      </c>
      <c r="C550" s="32" t="s">
        <v>647</v>
      </c>
      <c r="D550" s="30" t="s">
        <v>573</v>
      </c>
      <c r="E550" s="30" t="s">
        <v>574</v>
      </c>
    </row>
    <row r="551" spans="1:5" x14ac:dyDescent="0.35">
      <c r="A551" s="32">
        <v>812</v>
      </c>
      <c r="B551" s="32" t="s">
        <v>611</v>
      </c>
      <c r="C551" s="32" t="s">
        <v>572</v>
      </c>
      <c r="D551" s="30" t="s">
        <v>573</v>
      </c>
      <c r="E551" s="30" t="s">
        <v>574</v>
      </c>
    </row>
    <row r="552" spans="1:5" x14ac:dyDescent="0.35">
      <c r="A552" s="32">
        <v>813</v>
      </c>
      <c r="B552" s="32" t="s">
        <v>611</v>
      </c>
      <c r="C552" s="32" t="s">
        <v>647</v>
      </c>
      <c r="D552" s="30" t="s">
        <v>573</v>
      </c>
      <c r="E552" s="30" t="s">
        <v>574</v>
      </c>
    </row>
    <row r="553" spans="1:5" x14ac:dyDescent="0.35">
      <c r="A553" s="32">
        <v>814</v>
      </c>
      <c r="B553" s="32" t="s">
        <v>611</v>
      </c>
      <c r="C553" s="32" t="s">
        <v>572</v>
      </c>
      <c r="D553" s="30" t="s">
        <v>573</v>
      </c>
      <c r="E553" s="30" t="s">
        <v>574</v>
      </c>
    </row>
    <row r="554" spans="1:5" x14ac:dyDescent="0.35">
      <c r="A554" s="32">
        <v>815</v>
      </c>
      <c r="B554" s="32" t="s">
        <v>611</v>
      </c>
      <c r="C554" s="32" t="s">
        <v>647</v>
      </c>
      <c r="D554" s="30" t="s">
        <v>573</v>
      </c>
      <c r="E554" s="30" t="s">
        <v>574</v>
      </c>
    </row>
    <row r="555" spans="1:5" x14ac:dyDescent="0.35">
      <c r="A555" s="32">
        <v>816</v>
      </c>
      <c r="B555" s="32" t="s">
        <v>642</v>
      </c>
      <c r="C555" s="32" t="s">
        <v>572</v>
      </c>
      <c r="D555" s="30" t="s">
        <v>573</v>
      </c>
      <c r="E555" s="30" t="s">
        <v>574</v>
      </c>
    </row>
    <row r="556" spans="1:5" x14ac:dyDescent="0.35">
      <c r="A556" s="32">
        <v>817</v>
      </c>
      <c r="B556" s="32" t="s">
        <v>642</v>
      </c>
      <c r="C556" s="32" t="s">
        <v>647</v>
      </c>
      <c r="D556" s="30" t="s">
        <v>573</v>
      </c>
      <c r="E556" s="30" t="s">
        <v>574</v>
      </c>
    </row>
    <row r="557" spans="1:5" x14ac:dyDescent="0.35">
      <c r="A557" s="32">
        <v>818</v>
      </c>
      <c r="B557" s="32" t="s">
        <v>642</v>
      </c>
      <c r="C557" s="32" t="s">
        <v>572</v>
      </c>
      <c r="D557" s="30" t="s">
        <v>573</v>
      </c>
      <c r="E557" s="30" t="s">
        <v>574</v>
      </c>
    </row>
    <row r="558" spans="1:5" x14ac:dyDescent="0.35">
      <c r="A558" s="32">
        <v>819</v>
      </c>
      <c r="B558" s="32" t="s">
        <v>642</v>
      </c>
      <c r="C558" s="32" t="s">
        <v>647</v>
      </c>
      <c r="D558" s="30" t="s">
        <v>573</v>
      </c>
      <c r="E558" s="30" t="s">
        <v>574</v>
      </c>
    </row>
    <row r="559" spans="1:5" x14ac:dyDescent="0.35">
      <c r="A559" s="32">
        <v>820</v>
      </c>
      <c r="B559" s="32" t="s">
        <v>642</v>
      </c>
      <c r="C559" s="32" t="s">
        <v>572</v>
      </c>
      <c r="D559" s="30" t="s">
        <v>573</v>
      </c>
      <c r="E559" s="30" t="s">
        <v>574</v>
      </c>
    </row>
    <row r="560" spans="1:5" x14ac:dyDescent="0.35">
      <c r="A560" s="32">
        <v>821</v>
      </c>
      <c r="B560" s="32" t="s">
        <v>642</v>
      </c>
      <c r="C560" s="32" t="s">
        <v>647</v>
      </c>
      <c r="D560" s="30" t="s">
        <v>573</v>
      </c>
      <c r="E560" s="30" t="s">
        <v>574</v>
      </c>
    </row>
    <row r="561" spans="1:5" x14ac:dyDescent="0.35">
      <c r="A561" s="32">
        <v>822</v>
      </c>
      <c r="B561" s="32" t="s">
        <v>642</v>
      </c>
      <c r="C561" s="32" t="s">
        <v>572</v>
      </c>
      <c r="D561" s="30" t="s">
        <v>573</v>
      </c>
      <c r="E561" s="30" t="s">
        <v>574</v>
      </c>
    </row>
    <row r="562" spans="1:5" x14ac:dyDescent="0.35">
      <c r="A562" s="32">
        <v>823</v>
      </c>
      <c r="B562" s="32" t="s">
        <v>642</v>
      </c>
      <c r="C562" s="32" t="s">
        <v>647</v>
      </c>
      <c r="D562" s="30" t="s">
        <v>573</v>
      </c>
      <c r="E562" s="30" t="s">
        <v>574</v>
      </c>
    </row>
    <row r="563" spans="1:5" x14ac:dyDescent="0.35">
      <c r="A563" s="32">
        <v>824</v>
      </c>
      <c r="B563" s="32" t="s">
        <v>610</v>
      </c>
      <c r="C563" s="32" t="s">
        <v>648</v>
      </c>
      <c r="D563" s="30" t="s">
        <v>573</v>
      </c>
      <c r="E563" s="30" t="s">
        <v>574</v>
      </c>
    </row>
    <row r="564" spans="1:5" x14ac:dyDescent="0.35">
      <c r="A564" s="32">
        <v>825</v>
      </c>
      <c r="B564" s="32" t="s">
        <v>571</v>
      </c>
      <c r="C564" s="32" t="s">
        <v>605</v>
      </c>
      <c r="D564" s="30" t="s">
        <v>632</v>
      </c>
      <c r="E564" s="30" t="s">
        <v>633</v>
      </c>
    </row>
    <row r="565" spans="1:5" x14ac:dyDescent="0.35">
      <c r="A565" s="32">
        <v>826</v>
      </c>
      <c r="B565" s="32" t="s">
        <v>571</v>
      </c>
      <c r="C565" s="32" t="s">
        <v>605</v>
      </c>
      <c r="D565" s="30" t="s">
        <v>632</v>
      </c>
      <c r="E565" s="30" t="s">
        <v>633</v>
      </c>
    </row>
    <row r="566" spans="1:5" x14ac:dyDescent="0.35">
      <c r="A566" s="32">
        <v>827</v>
      </c>
      <c r="B566" s="32" t="s">
        <v>571</v>
      </c>
      <c r="C566" s="32" t="s">
        <v>605</v>
      </c>
      <c r="D566" s="30" t="s">
        <v>632</v>
      </c>
      <c r="E566" s="30" t="s">
        <v>633</v>
      </c>
    </row>
    <row r="567" spans="1:5" x14ac:dyDescent="0.35">
      <c r="A567" s="32">
        <v>828</v>
      </c>
      <c r="B567" s="32" t="s">
        <v>571</v>
      </c>
      <c r="C567" s="32" t="s">
        <v>605</v>
      </c>
      <c r="D567" s="30" t="s">
        <v>632</v>
      </c>
      <c r="E567" s="30" t="s">
        <v>633</v>
      </c>
    </row>
    <row r="568" spans="1:5" x14ac:dyDescent="0.35">
      <c r="A568" s="32">
        <v>829</v>
      </c>
      <c r="B568" s="32" t="s">
        <v>571</v>
      </c>
      <c r="C568" s="32" t="s">
        <v>605</v>
      </c>
      <c r="D568" s="30" t="s">
        <v>632</v>
      </c>
      <c r="E568" s="30" t="s">
        <v>633</v>
      </c>
    </row>
    <row r="569" spans="1:5" x14ac:dyDescent="0.35">
      <c r="A569" s="32">
        <v>830</v>
      </c>
      <c r="B569" s="32" t="s">
        <v>571</v>
      </c>
      <c r="C569" s="32" t="s">
        <v>605</v>
      </c>
      <c r="D569" s="30" t="s">
        <v>632</v>
      </c>
      <c r="E569" s="30" t="s">
        <v>633</v>
      </c>
    </row>
    <row r="570" spans="1:5" x14ac:dyDescent="0.35">
      <c r="A570" s="32">
        <v>831</v>
      </c>
      <c r="B570" s="32" t="s">
        <v>571</v>
      </c>
      <c r="C570" s="32" t="s">
        <v>605</v>
      </c>
      <c r="D570" s="30" t="s">
        <v>632</v>
      </c>
      <c r="E570" s="30" t="s">
        <v>633</v>
      </c>
    </row>
    <row r="571" spans="1:5" x14ac:dyDescent="0.35">
      <c r="A571" s="32">
        <v>832</v>
      </c>
      <c r="B571" s="32" t="s">
        <v>571</v>
      </c>
      <c r="C571" s="32" t="s">
        <v>605</v>
      </c>
      <c r="D571" s="30" t="s">
        <v>632</v>
      </c>
      <c r="E571" s="30" t="s">
        <v>633</v>
      </c>
    </row>
    <row r="572" spans="1:5" x14ac:dyDescent="0.35">
      <c r="A572" s="32">
        <v>833</v>
      </c>
      <c r="B572" s="32" t="s">
        <v>571</v>
      </c>
      <c r="C572" s="32" t="s">
        <v>605</v>
      </c>
      <c r="D572" s="30" t="s">
        <v>632</v>
      </c>
      <c r="E572" s="30" t="s">
        <v>633</v>
      </c>
    </row>
    <row r="573" spans="1:5" x14ac:dyDescent="0.35">
      <c r="A573" s="32">
        <v>834</v>
      </c>
      <c r="B573" s="32" t="s">
        <v>571</v>
      </c>
      <c r="C573" s="32" t="s">
        <v>605</v>
      </c>
      <c r="D573" s="30" t="s">
        <v>632</v>
      </c>
      <c r="E573" s="30" t="s">
        <v>633</v>
      </c>
    </row>
    <row r="574" spans="1:5" x14ac:dyDescent="0.35">
      <c r="A574" s="32">
        <v>835</v>
      </c>
      <c r="B574" s="32" t="s">
        <v>571</v>
      </c>
      <c r="C574" s="32" t="s">
        <v>605</v>
      </c>
      <c r="D574" s="30" t="s">
        <v>632</v>
      </c>
      <c r="E574" s="30" t="s">
        <v>633</v>
      </c>
    </row>
    <row r="575" spans="1:5" x14ac:dyDescent="0.35">
      <c r="A575" s="32">
        <v>836</v>
      </c>
      <c r="B575" s="32" t="s">
        <v>571</v>
      </c>
      <c r="C575" s="32" t="s">
        <v>605</v>
      </c>
      <c r="D575" s="30" t="s">
        <v>632</v>
      </c>
      <c r="E575" s="30" t="s">
        <v>633</v>
      </c>
    </row>
    <row r="576" spans="1:5" x14ac:dyDescent="0.35">
      <c r="A576" s="32">
        <v>837</v>
      </c>
      <c r="B576" s="32" t="s">
        <v>571</v>
      </c>
      <c r="C576" s="32" t="s">
        <v>605</v>
      </c>
      <c r="D576" s="30" t="s">
        <v>632</v>
      </c>
      <c r="E576" s="30" t="s">
        <v>633</v>
      </c>
    </row>
    <row r="577" spans="1:5" x14ac:dyDescent="0.35">
      <c r="A577" s="32">
        <v>838</v>
      </c>
      <c r="B577" s="32" t="s">
        <v>571</v>
      </c>
      <c r="C577" s="32" t="s">
        <v>605</v>
      </c>
      <c r="D577" s="30" t="s">
        <v>632</v>
      </c>
      <c r="E577" s="30" t="s">
        <v>633</v>
      </c>
    </row>
    <row r="578" spans="1:5" x14ac:dyDescent="0.35">
      <c r="A578" s="32">
        <v>839</v>
      </c>
      <c r="B578" s="32" t="s">
        <v>571</v>
      </c>
      <c r="C578" s="32" t="s">
        <v>572</v>
      </c>
      <c r="D578" s="30" t="s">
        <v>599</v>
      </c>
      <c r="E578" s="30" t="s">
        <v>649</v>
      </c>
    </row>
    <row r="579" spans="1:5" x14ac:dyDescent="0.35">
      <c r="A579" s="32">
        <v>840</v>
      </c>
      <c r="B579" s="32" t="s">
        <v>571</v>
      </c>
      <c r="C579" s="32" t="s">
        <v>572</v>
      </c>
      <c r="D579" s="30" t="s">
        <v>599</v>
      </c>
      <c r="E579" s="30" t="s">
        <v>649</v>
      </c>
    </row>
    <row r="580" spans="1:5" x14ac:dyDescent="0.35">
      <c r="A580" s="32">
        <v>841</v>
      </c>
      <c r="B580" s="32" t="s">
        <v>571</v>
      </c>
      <c r="C580" s="32" t="s">
        <v>572</v>
      </c>
      <c r="D580" s="30" t="s">
        <v>599</v>
      </c>
      <c r="E580" s="30" t="s">
        <v>649</v>
      </c>
    </row>
    <row r="581" spans="1:5" x14ac:dyDescent="0.35">
      <c r="A581" s="32">
        <v>842</v>
      </c>
      <c r="B581" s="32" t="s">
        <v>571</v>
      </c>
      <c r="C581" s="32" t="s">
        <v>572</v>
      </c>
      <c r="D581" s="30" t="s">
        <v>599</v>
      </c>
      <c r="E581" s="30" t="s">
        <v>649</v>
      </c>
    </row>
    <row r="582" spans="1:5" x14ac:dyDescent="0.35">
      <c r="A582" s="32">
        <v>843</v>
      </c>
      <c r="B582" s="32" t="s">
        <v>571</v>
      </c>
      <c r="C582" s="32" t="s">
        <v>572</v>
      </c>
      <c r="D582" s="30" t="s">
        <v>599</v>
      </c>
      <c r="E582" s="30" t="s">
        <v>649</v>
      </c>
    </row>
    <row r="583" spans="1:5" x14ac:dyDescent="0.35">
      <c r="A583" s="32">
        <v>844</v>
      </c>
      <c r="B583" s="32" t="s">
        <v>571</v>
      </c>
      <c r="C583" s="32" t="s">
        <v>572</v>
      </c>
      <c r="D583" s="30" t="s">
        <v>599</v>
      </c>
      <c r="E583" s="30" t="s">
        <v>649</v>
      </c>
    </row>
    <row r="584" spans="1:5" x14ac:dyDescent="0.35">
      <c r="A584" s="32">
        <v>845</v>
      </c>
      <c r="B584" s="32" t="s">
        <v>610</v>
      </c>
      <c r="C584" s="32" t="s">
        <v>572</v>
      </c>
      <c r="D584" s="30" t="s">
        <v>599</v>
      </c>
      <c r="E584" s="30" t="s">
        <v>649</v>
      </c>
    </row>
    <row r="585" spans="1:5" x14ac:dyDescent="0.35">
      <c r="A585" s="32">
        <v>846</v>
      </c>
      <c r="B585" s="32" t="s">
        <v>571</v>
      </c>
      <c r="C585" s="32" t="s">
        <v>572</v>
      </c>
      <c r="D585" s="30" t="s">
        <v>599</v>
      </c>
      <c r="E585" s="30" t="s">
        <v>649</v>
      </c>
    </row>
    <row r="586" spans="1:5" x14ac:dyDescent="0.35">
      <c r="A586" s="32">
        <v>847</v>
      </c>
      <c r="B586" s="32" t="s">
        <v>571</v>
      </c>
      <c r="C586" s="32" t="s">
        <v>572</v>
      </c>
      <c r="D586" s="30" t="s">
        <v>599</v>
      </c>
      <c r="E586" s="30" t="s">
        <v>649</v>
      </c>
    </row>
    <row r="587" spans="1:5" x14ac:dyDescent="0.35">
      <c r="A587" s="32">
        <v>848</v>
      </c>
      <c r="B587" s="32" t="s">
        <v>634</v>
      </c>
      <c r="C587" s="32" t="s">
        <v>572</v>
      </c>
      <c r="D587" s="30" t="s">
        <v>599</v>
      </c>
      <c r="E587" s="30" t="s">
        <v>649</v>
      </c>
    </row>
    <row r="588" spans="1:5" x14ac:dyDescent="0.35">
      <c r="A588" s="32">
        <v>849</v>
      </c>
      <c r="B588" s="32" t="s">
        <v>571</v>
      </c>
      <c r="C588" s="32" t="s">
        <v>648</v>
      </c>
      <c r="D588" s="30" t="s">
        <v>599</v>
      </c>
      <c r="E588" s="30" t="s">
        <v>600</v>
      </c>
    </row>
    <row r="589" spans="1:5" x14ac:dyDescent="0.35">
      <c r="A589" s="32">
        <v>850</v>
      </c>
      <c r="B589" s="32" t="s">
        <v>571</v>
      </c>
      <c r="C589" s="32" t="s">
        <v>648</v>
      </c>
      <c r="D589" s="30" t="s">
        <v>599</v>
      </c>
      <c r="E589" s="30" t="s">
        <v>600</v>
      </c>
    </row>
    <row r="590" spans="1:5" x14ac:dyDescent="0.35">
      <c r="A590" s="32">
        <v>851</v>
      </c>
      <c r="B590" s="32" t="s">
        <v>571</v>
      </c>
      <c r="C590" s="32" t="s">
        <v>648</v>
      </c>
      <c r="D590" s="30" t="s">
        <v>599</v>
      </c>
      <c r="E590" s="30" t="s">
        <v>600</v>
      </c>
    </row>
    <row r="591" spans="1:5" x14ac:dyDescent="0.35">
      <c r="A591" s="32">
        <v>852</v>
      </c>
      <c r="B591" s="32" t="s">
        <v>571</v>
      </c>
      <c r="C591" s="32" t="s">
        <v>648</v>
      </c>
      <c r="D591" s="30" t="s">
        <v>599</v>
      </c>
      <c r="E591" s="30" t="s">
        <v>600</v>
      </c>
    </row>
    <row r="592" spans="1:5" x14ac:dyDescent="0.35">
      <c r="A592" s="32">
        <v>853</v>
      </c>
      <c r="B592" s="32" t="s">
        <v>571</v>
      </c>
      <c r="C592" s="32" t="s">
        <v>648</v>
      </c>
      <c r="D592" s="30" t="s">
        <v>599</v>
      </c>
      <c r="E592" s="30" t="s">
        <v>600</v>
      </c>
    </row>
    <row r="593" spans="1:5" x14ac:dyDescent="0.35">
      <c r="A593" s="32">
        <v>854</v>
      </c>
      <c r="B593" s="32" t="s">
        <v>571</v>
      </c>
      <c r="C593" s="32" t="s">
        <v>648</v>
      </c>
      <c r="D593" s="30" t="s">
        <v>599</v>
      </c>
      <c r="E593" s="30" t="s">
        <v>600</v>
      </c>
    </row>
    <row r="594" spans="1:5" x14ac:dyDescent="0.35">
      <c r="A594" s="32">
        <v>855</v>
      </c>
      <c r="B594" s="32" t="s">
        <v>571</v>
      </c>
      <c r="C594" s="32" t="s">
        <v>648</v>
      </c>
      <c r="D594" s="30" t="s">
        <v>599</v>
      </c>
      <c r="E594" s="30" t="s">
        <v>600</v>
      </c>
    </row>
    <row r="595" spans="1:5" x14ac:dyDescent="0.35">
      <c r="A595" s="32">
        <v>856</v>
      </c>
      <c r="B595" s="32" t="s">
        <v>571</v>
      </c>
      <c r="C595" s="32" t="s">
        <v>648</v>
      </c>
      <c r="D595" s="30" t="s">
        <v>599</v>
      </c>
      <c r="E595" s="30" t="s">
        <v>600</v>
      </c>
    </row>
    <row r="596" spans="1:5" x14ac:dyDescent="0.35">
      <c r="A596" s="32">
        <v>857</v>
      </c>
      <c r="B596" s="32" t="s">
        <v>571</v>
      </c>
      <c r="C596" s="32" t="s">
        <v>648</v>
      </c>
      <c r="D596" s="30" t="s">
        <v>599</v>
      </c>
      <c r="E596" s="30" t="s">
        <v>600</v>
      </c>
    </row>
    <row r="597" spans="1:5" x14ac:dyDescent="0.35">
      <c r="A597" s="32">
        <v>858</v>
      </c>
      <c r="B597" s="32" t="s">
        <v>571</v>
      </c>
      <c r="C597" s="32" t="s">
        <v>648</v>
      </c>
      <c r="D597" s="30" t="s">
        <v>599</v>
      </c>
      <c r="E597" s="30" t="s">
        <v>600</v>
      </c>
    </row>
    <row r="598" spans="1:5" x14ac:dyDescent="0.35">
      <c r="A598" s="32">
        <v>859</v>
      </c>
      <c r="B598" s="32" t="s">
        <v>571</v>
      </c>
      <c r="C598" s="32" t="s">
        <v>648</v>
      </c>
      <c r="D598" s="30" t="s">
        <v>599</v>
      </c>
      <c r="E598" s="30" t="s">
        <v>600</v>
      </c>
    </row>
    <row r="599" spans="1:5" x14ac:dyDescent="0.35">
      <c r="A599" s="32">
        <v>860</v>
      </c>
      <c r="B599" s="32" t="s">
        <v>571</v>
      </c>
      <c r="C599" s="32" t="s">
        <v>648</v>
      </c>
      <c r="D599" s="30" t="s">
        <v>599</v>
      </c>
      <c r="E599" s="30" t="s">
        <v>600</v>
      </c>
    </row>
    <row r="600" spans="1:5" x14ac:dyDescent="0.35">
      <c r="A600" s="32">
        <v>861</v>
      </c>
      <c r="B600" s="32" t="s">
        <v>611</v>
      </c>
      <c r="C600" s="32" t="s">
        <v>648</v>
      </c>
      <c r="D600" s="30" t="s">
        <v>599</v>
      </c>
      <c r="E600" s="30" t="s">
        <v>600</v>
      </c>
    </row>
    <row r="601" spans="1:5" x14ac:dyDescent="0.35">
      <c r="A601" s="32">
        <v>862</v>
      </c>
      <c r="B601" s="32" t="s">
        <v>610</v>
      </c>
      <c r="C601" s="32" t="s">
        <v>648</v>
      </c>
      <c r="D601" s="30" t="s">
        <v>599</v>
      </c>
      <c r="E601" s="30" t="s">
        <v>600</v>
      </c>
    </row>
    <row r="602" spans="1:5" x14ac:dyDescent="0.35">
      <c r="A602" s="32">
        <v>863</v>
      </c>
      <c r="B602" s="32" t="s">
        <v>610</v>
      </c>
      <c r="C602" s="32" t="s">
        <v>584</v>
      </c>
      <c r="D602" s="30" t="s">
        <v>632</v>
      </c>
      <c r="E602" s="30" t="s">
        <v>633</v>
      </c>
    </row>
    <row r="603" spans="1:5" x14ac:dyDescent="0.35">
      <c r="A603" s="32">
        <v>864</v>
      </c>
      <c r="B603" s="32" t="s">
        <v>611</v>
      </c>
      <c r="C603" s="32" t="s">
        <v>648</v>
      </c>
      <c r="D603" s="30" t="s">
        <v>573</v>
      </c>
      <c r="E603" s="30" t="s">
        <v>638</v>
      </c>
    </row>
    <row r="604" spans="1:5" x14ac:dyDescent="0.35">
      <c r="A604" s="32">
        <v>865</v>
      </c>
      <c r="B604" s="32" t="s">
        <v>611</v>
      </c>
      <c r="C604" s="32" t="s">
        <v>650</v>
      </c>
      <c r="D604" s="30" t="s">
        <v>573</v>
      </c>
      <c r="E604" s="30" t="s">
        <v>638</v>
      </c>
    </row>
    <row r="605" spans="1:5" x14ac:dyDescent="0.35">
      <c r="A605" s="32">
        <v>866</v>
      </c>
      <c r="B605" s="32" t="s">
        <v>571</v>
      </c>
      <c r="C605" s="32" t="s">
        <v>624</v>
      </c>
      <c r="D605" s="30" t="s">
        <v>599</v>
      </c>
      <c r="E605" s="30" t="s">
        <v>615</v>
      </c>
    </row>
    <row r="606" spans="1:5" x14ac:dyDescent="0.35">
      <c r="A606" s="32">
        <v>867</v>
      </c>
      <c r="B606" s="32" t="s">
        <v>571</v>
      </c>
      <c r="C606" s="32" t="s">
        <v>619</v>
      </c>
      <c r="D606" s="30" t="s">
        <v>599</v>
      </c>
      <c r="E606" s="30" t="s">
        <v>615</v>
      </c>
    </row>
    <row r="607" spans="1:5" x14ac:dyDescent="0.35">
      <c r="A607" s="32">
        <v>868</v>
      </c>
      <c r="B607" s="32" t="s">
        <v>571</v>
      </c>
      <c r="C607" s="32" t="s">
        <v>605</v>
      </c>
      <c r="D607" s="30" t="s">
        <v>599</v>
      </c>
      <c r="E607" s="30" t="s">
        <v>615</v>
      </c>
    </row>
    <row r="608" spans="1:5" x14ac:dyDescent="0.35">
      <c r="A608" s="32">
        <v>869</v>
      </c>
      <c r="B608" s="32" t="s">
        <v>571</v>
      </c>
      <c r="C608" s="32" t="s">
        <v>648</v>
      </c>
      <c r="D608" s="30" t="s">
        <v>599</v>
      </c>
      <c r="E608" s="30" t="s">
        <v>615</v>
      </c>
    </row>
    <row r="609" spans="1:5" x14ac:dyDescent="0.35">
      <c r="A609" s="32">
        <v>870</v>
      </c>
      <c r="B609" s="32" t="s">
        <v>571</v>
      </c>
      <c r="C609" s="32" t="s">
        <v>624</v>
      </c>
      <c r="D609" s="30" t="s">
        <v>599</v>
      </c>
      <c r="E609" s="30" t="s">
        <v>615</v>
      </c>
    </row>
    <row r="610" spans="1:5" x14ac:dyDescent="0.35">
      <c r="A610" s="32">
        <v>871</v>
      </c>
      <c r="B610" s="32" t="s">
        <v>571</v>
      </c>
      <c r="C610" s="32" t="s">
        <v>619</v>
      </c>
      <c r="D610" s="30" t="s">
        <v>599</v>
      </c>
      <c r="E610" s="30" t="s">
        <v>615</v>
      </c>
    </row>
    <row r="611" spans="1:5" x14ac:dyDescent="0.35">
      <c r="A611" s="32">
        <v>872</v>
      </c>
      <c r="B611" s="32" t="s">
        <v>571</v>
      </c>
      <c r="C611" s="32" t="s">
        <v>605</v>
      </c>
      <c r="D611" s="30" t="s">
        <v>599</v>
      </c>
      <c r="E611" s="30" t="s">
        <v>615</v>
      </c>
    </row>
    <row r="612" spans="1:5" x14ac:dyDescent="0.35">
      <c r="A612" s="32">
        <v>873</v>
      </c>
      <c r="B612" s="32" t="s">
        <v>571</v>
      </c>
      <c r="C612" s="32" t="s">
        <v>648</v>
      </c>
      <c r="D612" s="30" t="s">
        <v>599</v>
      </c>
      <c r="E612" s="30" t="s">
        <v>615</v>
      </c>
    </row>
    <row r="613" spans="1:5" x14ac:dyDescent="0.35">
      <c r="A613" s="32">
        <v>874</v>
      </c>
      <c r="B613" s="32" t="s">
        <v>571</v>
      </c>
      <c r="C613" s="32" t="s">
        <v>624</v>
      </c>
      <c r="D613" s="30" t="s">
        <v>599</v>
      </c>
      <c r="E613" s="30" t="s">
        <v>615</v>
      </c>
    </row>
    <row r="614" spans="1:5" x14ac:dyDescent="0.35">
      <c r="A614" s="32">
        <v>875</v>
      </c>
      <c r="B614" s="32" t="s">
        <v>571</v>
      </c>
      <c r="C614" s="32" t="s">
        <v>619</v>
      </c>
      <c r="D614" s="30" t="s">
        <v>599</v>
      </c>
      <c r="E614" s="30" t="s">
        <v>615</v>
      </c>
    </row>
    <row r="615" spans="1:5" x14ac:dyDescent="0.35">
      <c r="A615" s="32">
        <v>876</v>
      </c>
      <c r="B615" s="32" t="s">
        <v>571</v>
      </c>
      <c r="C615" s="32" t="s">
        <v>605</v>
      </c>
      <c r="D615" s="30" t="s">
        <v>599</v>
      </c>
      <c r="E615" s="30" t="s">
        <v>615</v>
      </c>
    </row>
    <row r="616" spans="1:5" x14ac:dyDescent="0.35">
      <c r="A616" s="32">
        <v>877</v>
      </c>
      <c r="B616" s="32" t="s">
        <v>571</v>
      </c>
      <c r="C616" s="32" t="s">
        <v>648</v>
      </c>
      <c r="D616" s="30" t="s">
        <v>599</v>
      </c>
      <c r="E616" s="30" t="s">
        <v>615</v>
      </c>
    </row>
    <row r="617" spans="1:5" x14ac:dyDescent="0.35">
      <c r="A617" s="32">
        <v>878</v>
      </c>
      <c r="B617" s="32" t="s">
        <v>571</v>
      </c>
      <c r="C617" s="32" t="s">
        <v>624</v>
      </c>
      <c r="D617" s="30" t="s">
        <v>599</v>
      </c>
      <c r="E617" s="30" t="s">
        <v>615</v>
      </c>
    </row>
    <row r="618" spans="1:5" x14ac:dyDescent="0.35">
      <c r="A618" s="32">
        <v>879</v>
      </c>
      <c r="B618" s="32" t="s">
        <v>571</v>
      </c>
      <c r="C618" s="32" t="s">
        <v>619</v>
      </c>
      <c r="D618" s="30" t="s">
        <v>599</v>
      </c>
      <c r="E618" s="30" t="s">
        <v>615</v>
      </c>
    </row>
    <row r="619" spans="1:5" x14ac:dyDescent="0.35">
      <c r="A619" s="32">
        <v>880</v>
      </c>
      <c r="B619" s="32" t="s">
        <v>571</v>
      </c>
      <c r="C619" s="32" t="s">
        <v>605</v>
      </c>
      <c r="D619" s="30" t="s">
        <v>599</v>
      </c>
      <c r="E619" s="30" t="s">
        <v>615</v>
      </c>
    </row>
    <row r="620" spans="1:5" x14ac:dyDescent="0.35">
      <c r="A620" s="32">
        <v>881</v>
      </c>
      <c r="B620" s="32" t="s">
        <v>571</v>
      </c>
      <c r="C620" s="32" t="s">
        <v>648</v>
      </c>
      <c r="D620" s="30" t="s">
        <v>599</v>
      </c>
      <c r="E620" s="30" t="s">
        <v>615</v>
      </c>
    </row>
    <row r="621" spans="1:5" x14ac:dyDescent="0.35">
      <c r="A621" s="32">
        <v>882</v>
      </c>
      <c r="B621" s="32" t="s">
        <v>571</v>
      </c>
      <c r="C621" s="32" t="s">
        <v>624</v>
      </c>
      <c r="D621" s="30" t="s">
        <v>599</v>
      </c>
      <c r="E621" s="30" t="s">
        <v>615</v>
      </c>
    </row>
    <row r="622" spans="1:5" x14ac:dyDescent="0.35">
      <c r="A622" s="32">
        <v>883</v>
      </c>
      <c r="B622" s="32" t="s">
        <v>571</v>
      </c>
      <c r="C622" s="32" t="s">
        <v>619</v>
      </c>
      <c r="D622" s="30" t="s">
        <v>599</v>
      </c>
      <c r="E622" s="30" t="s">
        <v>615</v>
      </c>
    </row>
    <row r="623" spans="1:5" x14ac:dyDescent="0.35">
      <c r="A623" s="32">
        <v>884</v>
      </c>
      <c r="B623" s="32" t="s">
        <v>571</v>
      </c>
      <c r="C623" s="32" t="s">
        <v>605</v>
      </c>
      <c r="D623" s="30" t="s">
        <v>599</v>
      </c>
      <c r="E623" s="30" t="s">
        <v>615</v>
      </c>
    </row>
    <row r="624" spans="1:5" x14ac:dyDescent="0.35">
      <c r="A624" s="32">
        <v>885</v>
      </c>
      <c r="B624" s="32" t="s">
        <v>571</v>
      </c>
      <c r="C624" s="32" t="s">
        <v>648</v>
      </c>
      <c r="D624" s="30" t="s">
        <v>599</v>
      </c>
      <c r="E624" s="30" t="s">
        <v>615</v>
      </c>
    </row>
    <row r="625" spans="1:5" x14ac:dyDescent="0.35">
      <c r="A625" s="32">
        <v>886</v>
      </c>
      <c r="B625" s="32" t="s">
        <v>571</v>
      </c>
      <c r="C625" s="32" t="s">
        <v>624</v>
      </c>
      <c r="D625" s="30" t="s">
        <v>599</v>
      </c>
      <c r="E625" s="30" t="s">
        <v>615</v>
      </c>
    </row>
    <row r="626" spans="1:5" x14ac:dyDescent="0.35">
      <c r="A626" s="32">
        <v>887</v>
      </c>
      <c r="B626" s="32" t="s">
        <v>571</v>
      </c>
      <c r="C626" s="32" t="s">
        <v>619</v>
      </c>
      <c r="D626" s="30" t="s">
        <v>599</v>
      </c>
      <c r="E626" s="30" t="s">
        <v>615</v>
      </c>
    </row>
    <row r="627" spans="1:5" x14ac:dyDescent="0.35">
      <c r="A627" s="32">
        <v>888</v>
      </c>
      <c r="B627" s="32" t="s">
        <v>571</v>
      </c>
      <c r="C627" s="32" t="s">
        <v>605</v>
      </c>
      <c r="D627" s="30" t="s">
        <v>599</v>
      </c>
      <c r="E627" s="30" t="s">
        <v>615</v>
      </c>
    </row>
    <row r="628" spans="1:5" x14ac:dyDescent="0.35">
      <c r="A628" s="32">
        <v>889</v>
      </c>
      <c r="B628" s="32" t="s">
        <v>571</v>
      </c>
      <c r="C628" s="32" t="s">
        <v>648</v>
      </c>
      <c r="D628" s="30" t="s">
        <v>599</v>
      </c>
      <c r="E628" s="30" t="s">
        <v>615</v>
      </c>
    </row>
    <row r="629" spans="1:5" x14ac:dyDescent="0.35">
      <c r="A629" s="32">
        <v>890</v>
      </c>
      <c r="B629" s="32" t="s">
        <v>571</v>
      </c>
      <c r="C629" s="32" t="s">
        <v>624</v>
      </c>
      <c r="D629" s="30" t="s">
        <v>599</v>
      </c>
      <c r="E629" s="30" t="s">
        <v>615</v>
      </c>
    </row>
    <row r="630" spans="1:5" x14ac:dyDescent="0.35">
      <c r="A630" s="32">
        <v>891</v>
      </c>
      <c r="B630" s="32" t="s">
        <v>571</v>
      </c>
      <c r="C630" s="32" t="s">
        <v>619</v>
      </c>
      <c r="D630" s="30" t="s">
        <v>599</v>
      </c>
      <c r="E630" s="30" t="s">
        <v>615</v>
      </c>
    </row>
    <row r="631" spans="1:5" x14ac:dyDescent="0.35">
      <c r="A631" s="32">
        <v>892</v>
      </c>
      <c r="B631" s="32" t="s">
        <v>571</v>
      </c>
      <c r="C631" s="32" t="s">
        <v>605</v>
      </c>
      <c r="D631" s="30" t="s">
        <v>599</v>
      </c>
      <c r="E631" s="30" t="s">
        <v>615</v>
      </c>
    </row>
    <row r="632" spans="1:5" x14ac:dyDescent="0.35">
      <c r="A632" s="32">
        <v>893</v>
      </c>
      <c r="B632" s="32" t="s">
        <v>571</v>
      </c>
      <c r="C632" s="32" t="s">
        <v>648</v>
      </c>
      <c r="D632" s="30" t="s">
        <v>599</v>
      </c>
      <c r="E632" s="30" t="s">
        <v>615</v>
      </c>
    </row>
    <row r="633" spans="1:5" x14ac:dyDescent="0.35">
      <c r="A633" s="32">
        <v>894</v>
      </c>
      <c r="B633" s="32" t="s">
        <v>571</v>
      </c>
      <c r="C633" s="32" t="s">
        <v>624</v>
      </c>
      <c r="D633" s="30" t="s">
        <v>599</v>
      </c>
      <c r="E633" s="30" t="s">
        <v>615</v>
      </c>
    </row>
    <row r="634" spans="1:5" x14ac:dyDescent="0.35">
      <c r="A634" s="32">
        <v>895</v>
      </c>
      <c r="B634" s="32" t="s">
        <v>571</v>
      </c>
      <c r="C634" s="32" t="s">
        <v>619</v>
      </c>
      <c r="D634" s="30" t="s">
        <v>599</v>
      </c>
      <c r="E634" s="30" t="s">
        <v>615</v>
      </c>
    </row>
    <row r="635" spans="1:5" x14ac:dyDescent="0.35">
      <c r="A635" s="32">
        <v>896</v>
      </c>
      <c r="B635" s="32" t="s">
        <v>571</v>
      </c>
      <c r="C635" s="32" t="s">
        <v>605</v>
      </c>
      <c r="D635" s="30" t="s">
        <v>599</v>
      </c>
      <c r="E635" s="30" t="s">
        <v>615</v>
      </c>
    </row>
    <row r="636" spans="1:5" x14ac:dyDescent="0.35">
      <c r="A636" s="32">
        <v>897</v>
      </c>
      <c r="B636" s="32" t="s">
        <v>571</v>
      </c>
      <c r="C636" s="32" t="s">
        <v>648</v>
      </c>
      <c r="D636" s="30" t="s">
        <v>599</v>
      </c>
      <c r="E636" s="30" t="s">
        <v>615</v>
      </c>
    </row>
    <row r="637" spans="1:5" x14ac:dyDescent="0.35">
      <c r="A637" s="32">
        <v>898</v>
      </c>
      <c r="B637" s="32" t="s">
        <v>571</v>
      </c>
      <c r="C637" s="32" t="s">
        <v>624</v>
      </c>
      <c r="D637" s="30" t="s">
        <v>599</v>
      </c>
      <c r="E637" s="30" t="s">
        <v>615</v>
      </c>
    </row>
    <row r="638" spans="1:5" x14ac:dyDescent="0.35">
      <c r="A638" s="32">
        <v>899</v>
      </c>
      <c r="B638" s="32" t="s">
        <v>571</v>
      </c>
      <c r="C638" s="32" t="s">
        <v>619</v>
      </c>
      <c r="D638" s="30" t="s">
        <v>599</v>
      </c>
      <c r="E638" s="30" t="s">
        <v>615</v>
      </c>
    </row>
    <row r="639" spans="1:5" x14ac:dyDescent="0.35">
      <c r="A639" s="32">
        <v>900</v>
      </c>
      <c r="B639" s="32" t="s">
        <v>571</v>
      </c>
      <c r="C639" s="32" t="s">
        <v>605</v>
      </c>
      <c r="D639" s="30" t="s">
        <v>599</v>
      </c>
      <c r="E639" s="30" t="s">
        <v>615</v>
      </c>
    </row>
    <row r="640" spans="1:5" x14ac:dyDescent="0.35">
      <c r="A640" s="32">
        <v>901</v>
      </c>
      <c r="B640" s="32" t="s">
        <v>571</v>
      </c>
      <c r="C640" s="32" t="s">
        <v>648</v>
      </c>
      <c r="D640" s="30" t="s">
        <v>599</v>
      </c>
      <c r="E640" s="30" t="s">
        <v>615</v>
      </c>
    </row>
    <row r="641" spans="1:5" x14ac:dyDescent="0.35">
      <c r="A641" s="32">
        <v>902</v>
      </c>
      <c r="B641" s="32" t="s">
        <v>571</v>
      </c>
      <c r="C641" s="32" t="s">
        <v>624</v>
      </c>
      <c r="D641" s="30" t="s">
        <v>599</v>
      </c>
      <c r="E641" s="30" t="s">
        <v>615</v>
      </c>
    </row>
    <row r="642" spans="1:5" x14ac:dyDescent="0.35">
      <c r="A642" s="32">
        <v>903</v>
      </c>
      <c r="B642" s="32" t="s">
        <v>571</v>
      </c>
      <c r="C642" s="32" t="s">
        <v>619</v>
      </c>
      <c r="D642" s="30" t="s">
        <v>599</v>
      </c>
      <c r="E642" s="30" t="s">
        <v>615</v>
      </c>
    </row>
    <row r="643" spans="1:5" x14ac:dyDescent="0.35">
      <c r="A643" s="32">
        <v>904</v>
      </c>
      <c r="B643" s="32" t="s">
        <v>571</v>
      </c>
      <c r="C643" s="32" t="s">
        <v>605</v>
      </c>
      <c r="D643" s="30" t="s">
        <v>599</v>
      </c>
      <c r="E643" s="30" t="s">
        <v>615</v>
      </c>
    </row>
    <row r="644" spans="1:5" x14ac:dyDescent="0.35">
      <c r="A644" s="32">
        <v>905</v>
      </c>
      <c r="B644" s="32" t="s">
        <v>571</v>
      </c>
      <c r="C644" s="32" t="s">
        <v>648</v>
      </c>
      <c r="D644" s="30" t="s">
        <v>599</v>
      </c>
      <c r="E644" s="30" t="s">
        <v>615</v>
      </c>
    </row>
    <row r="645" spans="1:5" x14ac:dyDescent="0.35">
      <c r="A645" s="32">
        <v>906</v>
      </c>
      <c r="B645" s="32" t="s">
        <v>571</v>
      </c>
      <c r="C645" s="32" t="s">
        <v>624</v>
      </c>
      <c r="D645" s="30" t="s">
        <v>599</v>
      </c>
      <c r="E645" s="30" t="s">
        <v>615</v>
      </c>
    </row>
    <row r="646" spans="1:5" x14ac:dyDescent="0.35">
      <c r="A646" s="32">
        <v>907</v>
      </c>
      <c r="B646" s="32" t="s">
        <v>571</v>
      </c>
      <c r="C646" s="32" t="s">
        <v>619</v>
      </c>
      <c r="D646" s="30" t="s">
        <v>599</v>
      </c>
      <c r="E646" s="30" t="s">
        <v>615</v>
      </c>
    </row>
    <row r="647" spans="1:5" x14ac:dyDescent="0.35">
      <c r="A647" s="32">
        <v>908</v>
      </c>
      <c r="B647" s="32" t="s">
        <v>571</v>
      </c>
      <c r="C647" s="32" t="s">
        <v>605</v>
      </c>
      <c r="D647" s="30" t="s">
        <v>599</v>
      </c>
      <c r="E647" s="30" t="s">
        <v>615</v>
      </c>
    </row>
    <row r="648" spans="1:5" x14ac:dyDescent="0.35">
      <c r="A648" s="32">
        <v>909</v>
      </c>
      <c r="B648" s="32" t="s">
        <v>571</v>
      </c>
      <c r="C648" s="32" t="s">
        <v>648</v>
      </c>
      <c r="D648" s="30" t="s">
        <v>599</v>
      </c>
      <c r="E648" s="30" t="s">
        <v>615</v>
      </c>
    </row>
    <row r="649" spans="1:5" x14ac:dyDescent="0.35">
      <c r="A649" s="32">
        <v>910</v>
      </c>
      <c r="B649" s="32" t="s">
        <v>571</v>
      </c>
      <c r="C649" s="32" t="s">
        <v>624</v>
      </c>
      <c r="D649" s="30" t="s">
        <v>599</v>
      </c>
      <c r="E649" s="30" t="s">
        <v>615</v>
      </c>
    </row>
    <row r="650" spans="1:5" x14ac:dyDescent="0.35">
      <c r="A650" s="32">
        <v>911</v>
      </c>
      <c r="B650" s="32" t="s">
        <v>571</v>
      </c>
      <c r="C650" s="32" t="s">
        <v>619</v>
      </c>
      <c r="D650" s="30" t="s">
        <v>599</v>
      </c>
      <c r="E650" s="30" t="s">
        <v>615</v>
      </c>
    </row>
    <row r="651" spans="1:5" x14ac:dyDescent="0.35">
      <c r="A651" s="32">
        <v>912</v>
      </c>
      <c r="B651" s="32" t="s">
        <v>571</v>
      </c>
      <c r="C651" s="32" t="s">
        <v>605</v>
      </c>
      <c r="D651" s="30" t="s">
        <v>599</v>
      </c>
      <c r="E651" s="30" t="s">
        <v>615</v>
      </c>
    </row>
    <row r="652" spans="1:5" x14ac:dyDescent="0.35">
      <c r="A652" s="32">
        <v>913</v>
      </c>
      <c r="B652" s="32" t="s">
        <v>571</v>
      </c>
      <c r="C652" s="32" t="s">
        <v>648</v>
      </c>
      <c r="D652" s="30" t="s">
        <v>599</v>
      </c>
      <c r="E652" s="30" t="s">
        <v>615</v>
      </c>
    </row>
    <row r="653" spans="1:5" x14ac:dyDescent="0.35">
      <c r="A653" s="32">
        <v>914</v>
      </c>
      <c r="B653" s="32" t="s">
        <v>571</v>
      </c>
      <c r="C653" s="32" t="s">
        <v>624</v>
      </c>
      <c r="D653" s="30" t="s">
        <v>599</v>
      </c>
      <c r="E653" s="30" t="s">
        <v>615</v>
      </c>
    </row>
    <row r="654" spans="1:5" x14ac:dyDescent="0.35">
      <c r="A654" s="32">
        <v>915</v>
      </c>
      <c r="B654" s="32" t="s">
        <v>571</v>
      </c>
      <c r="C654" s="32" t="s">
        <v>619</v>
      </c>
      <c r="D654" s="30" t="s">
        <v>599</v>
      </c>
      <c r="E654" s="30" t="s">
        <v>615</v>
      </c>
    </row>
    <row r="655" spans="1:5" x14ac:dyDescent="0.35">
      <c r="A655" s="32">
        <v>916</v>
      </c>
      <c r="B655" s="32" t="s">
        <v>571</v>
      </c>
      <c r="C655" s="32" t="s">
        <v>605</v>
      </c>
      <c r="D655" s="30" t="s">
        <v>599</v>
      </c>
      <c r="E655" s="30" t="s">
        <v>615</v>
      </c>
    </row>
    <row r="656" spans="1:5" x14ac:dyDescent="0.35">
      <c r="A656" s="32">
        <v>917</v>
      </c>
      <c r="B656" s="32" t="s">
        <v>571</v>
      </c>
      <c r="C656" s="32" t="s">
        <v>648</v>
      </c>
      <c r="D656" s="30" t="s">
        <v>599</v>
      </c>
      <c r="E656" s="30" t="s">
        <v>615</v>
      </c>
    </row>
    <row r="657" spans="1:5" x14ac:dyDescent="0.35">
      <c r="A657" s="32">
        <v>918</v>
      </c>
      <c r="B657" s="32" t="s">
        <v>571</v>
      </c>
      <c r="C657" s="32" t="s">
        <v>624</v>
      </c>
      <c r="D657" s="30" t="s">
        <v>599</v>
      </c>
      <c r="E657" s="30" t="s">
        <v>615</v>
      </c>
    </row>
    <row r="658" spans="1:5" x14ac:dyDescent="0.35">
      <c r="A658" s="32">
        <v>919</v>
      </c>
      <c r="B658" s="32" t="s">
        <v>571</v>
      </c>
      <c r="C658" s="32" t="s">
        <v>619</v>
      </c>
      <c r="D658" s="30" t="s">
        <v>599</v>
      </c>
      <c r="E658" s="30" t="s">
        <v>615</v>
      </c>
    </row>
    <row r="659" spans="1:5" x14ac:dyDescent="0.35">
      <c r="A659" s="32">
        <v>920</v>
      </c>
      <c r="B659" s="32" t="s">
        <v>571</v>
      </c>
      <c r="C659" s="32" t="s">
        <v>605</v>
      </c>
      <c r="D659" s="30" t="s">
        <v>599</v>
      </c>
      <c r="E659" s="30" t="s">
        <v>615</v>
      </c>
    </row>
    <row r="660" spans="1:5" x14ac:dyDescent="0.35">
      <c r="A660" s="32">
        <v>921</v>
      </c>
      <c r="B660" s="32" t="s">
        <v>571</v>
      </c>
      <c r="C660" s="32" t="s">
        <v>648</v>
      </c>
      <c r="D660" s="30" t="s">
        <v>599</v>
      </c>
      <c r="E660" s="30" t="s">
        <v>615</v>
      </c>
    </row>
    <row r="661" spans="1:5" x14ac:dyDescent="0.35">
      <c r="A661" s="32">
        <v>922</v>
      </c>
      <c r="B661" s="32" t="s">
        <v>571</v>
      </c>
      <c r="C661" s="32" t="s">
        <v>624</v>
      </c>
      <c r="D661" s="30" t="s">
        <v>599</v>
      </c>
      <c r="E661" s="30" t="s">
        <v>615</v>
      </c>
    </row>
    <row r="662" spans="1:5" x14ac:dyDescent="0.35">
      <c r="A662" s="32">
        <v>923</v>
      </c>
      <c r="B662" s="32" t="s">
        <v>571</v>
      </c>
      <c r="C662" s="32" t="s">
        <v>619</v>
      </c>
      <c r="D662" s="30" t="s">
        <v>599</v>
      </c>
      <c r="E662" s="30" t="s">
        <v>615</v>
      </c>
    </row>
    <row r="663" spans="1:5" x14ac:dyDescent="0.35">
      <c r="A663" s="32">
        <v>924</v>
      </c>
      <c r="B663" s="32" t="s">
        <v>571</v>
      </c>
      <c r="C663" s="32" t="s">
        <v>605</v>
      </c>
      <c r="D663" s="30" t="s">
        <v>599</v>
      </c>
      <c r="E663" s="30" t="s">
        <v>615</v>
      </c>
    </row>
    <row r="664" spans="1:5" x14ac:dyDescent="0.35">
      <c r="A664" s="32">
        <v>925</v>
      </c>
      <c r="B664" s="32" t="s">
        <v>571</v>
      </c>
      <c r="C664" s="32" t="s">
        <v>648</v>
      </c>
      <c r="D664" s="30" t="s">
        <v>599</v>
      </c>
      <c r="E664" s="30" t="s">
        <v>615</v>
      </c>
    </row>
    <row r="665" spans="1:5" x14ac:dyDescent="0.35">
      <c r="A665" s="32">
        <v>926</v>
      </c>
      <c r="B665" s="32" t="s">
        <v>571</v>
      </c>
      <c r="C665" s="32" t="s">
        <v>624</v>
      </c>
      <c r="D665" s="30" t="s">
        <v>599</v>
      </c>
      <c r="E665" s="30" t="s">
        <v>615</v>
      </c>
    </row>
    <row r="666" spans="1:5" x14ac:dyDescent="0.35">
      <c r="A666" s="32">
        <v>927</v>
      </c>
      <c r="B666" s="32" t="s">
        <v>571</v>
      </c>
      <c r="C666" s="32" t="s">
        <v>619</v>
      </c>
      <c r="D666" s="30" t="s">
        <v>599</v>
      </c>
      <c r="E666" s="30" t="s">
        <v>615</v>
      </c>
    </row>
    <row r="667" spans="1:5" x14ac:dyDescent="0.35">
      <c r="A667" s="32">
        <v>928</v>
      </c>
      <c r="B667" s="32" t="s">
        <v>571</v>
      </c>
      <c r="C667" s="32" t="s">
        <v>605</v>
      </c>
      <c r="D667" s="30" t="s">
        <v>599</v>
      </c>
      <c r="E667" s="30" t="s">
        <v>615</v>
      </c>
    </row>
    <row r="668" spans="1:5" x14ac:dyDescent="0.35">
      <c r="A668" s="32">
        <v>929</v>
      </c>
      <c r="B668" s="32" t="s">
        <v>571</v>
      </c>
      <c r="C668" s="32" t="s">
        <v>648</v>
      </c>
      <c r="D668" s="30" t="s">
        <v>599</v>
      </c>
      <c r="E668" s="30" t="s">
        <v>615</v>
      </c>
    </row>
    <row r="669" spans="1:5" x14ac:dyDescent="0.35">
      <c r="A669" s="32">
        <v>930</v>
      </c>
      <c r="B669" s="32" t="s">
        <v>571</v>
      </c>
      <c r="C669" s="32" t="s">
        <v>624</v>
      </c>
      <c r="D669" s="30" t="s">
        <v>599</v>
      </c>
      <c r="E669" s="30" t="s">
        <v>615</v>
      </c>
    </row>
    <row r="670" spans="1:5" x14ac:dyDescent="0.35">
      <c r="A670" s="32">
        <v>931</v>
      </c>
      <c r="B670" s="32" t="s">
        <v>571</v>
      </c>
      <c r="C670" s="32" t="s">
        <v>619</v>
      </c>
      <c r="D670" s="30" t="s">
        <v>599</v>
      </c>
      <c r="E670" s="30" t="s">
        <v>615</v>
      </c>
    </row>
    <row r="671" spans="1:5" x14ac:dyDescent="0.35">
      <c r="A671" s="32">
        <v>932</v>
      </c>
      <c r="B671" s="32" t="s">
        <v>571</v>
      </c>
      <c r="C671" s="32" t="s">
        <v>605</v>
      </c>
      <c r="D671" s="30" t="s">
        <v>599</v>
      </c>
      <c r="E671" s="30" t="s">
        <v>615</v>
      </c>
    </row>
    <row r="672" spans="1:5" x14ac:dyDescent="0.35">
      <c r="A672" s="32">
        <v>933</v>
      </c>
      <c r="B672" s="32" t="s">
        <v>571</v>
      </c>
      <c r="C672" s="32" t="s">
        <v>648</v>
      </c>
      <c r="D672" s="30" t="s">
        <v>599</v>
      </c>
      <c r="E672" s="30" t="s">
        <v>615</v>
      </c>
    </row>
    <row r="673" spans="1:5" x14ac:dyDescent="0.35">
      <c r="A673" s="32">
        <v>934</v>
      </c>
      <c r="B673" s="32" t="s">
        <v>571</v>
      </c>
      <c r="C673" s="32" t="s">
        <v>624</v>
      </c>
      <c r="D673" s="30" t="s">
        <v>599</v>
      </c>
      <c r="E673" s="30" t="s">
        <v>615</v>
      </c>
    </row>
    <row r="674" spans="1:5" x14ac:dyDescent="0.35">
      <c r="A674" s="32">
        <v>935</v>
      </c>
      <c r="B674" s="32" t="s">
        <v>571</v>
      </c>
      <c r="C674" s="32" t="s">
        <v>619</v>
      </c>
      <c r="D674" s="30" t="s">
        <v>599</v>
      </c>
      <c r="E674" s="30" t="s">
        <v>615</v>
      </c>
    </row>
    <row r="675" spans="1:5" x14ac:dyDescent="0.35">
      <c r="A675" s="32">
        <v>936</v>
      </c>
      <c r="B675" s="32" t="s">
        <v>571</v>
      </c>
      <c r="C675" s="32" t="s">
        <v>605</v>
      </c>
      <c r="D675" s="30" t="s">
        <v>599</v>
      </c>
      <c r="E675" s="30" t="s">
        <v>615</v>
      </c>
    </row>
    <row r="676" spans="1:5" x14ac:dyDescent="0.35">
      <c r="A676" s="32">
        <v>937</v>
      </c>
      <c r="B676" s="32" t="s">
        <v>571</v>
      </c>
      <c r="C676" s="32" t="s">
        <v>648</v>
      </c>
      <c r="D676" s="30" t="s">
        <v>599</v>
      </c>
      <c r="E676" s="30" t="s">
        <v>615</v>
      </c>
    </row>
    <row r="677" spans="1:5" x14ac:dyDescent="0.35">
      <c r="A677" s="32">
        <v>938</v>
      </c>
      <c r="B677" s="32" t="s">
        <v>571</v>
      </c>
      <c r="C677" s="32" t="s">
        <v>624</v>
      </c>
      <c r="D677" s="30" t="s">
        <v>599</v>
      </c>
      <c r="E677" s="30" t="s">
        <v>615</v>
      </c>
    </row>
    <row r="678" spans="1:5" x14ac:dyDescent="0.35">
      <c r="A678" s="32">
        <v>939</v>
      </c>
      <c r="B678" s="32" t="s">
        <v>571</v>
      </c>
      <c r="C678" s="32" t="s">
        <v>619</v>
      </c>
      <c r="D678" s="30" t="s">
        <v>599</v>
      </c>
      <c r="E678" s="30" t="s">
        <v>615</v>
      </c>
    </row>
    <row r="679" spans="1:5" x14ac:dyDescent="0.35">
      <c r="A679" s="32">
        <v>940</v>
      </c>
      <c r="B679" s="32" t="s">
        <v>571</v>
      </c>
      <c r="C679" s="32" t="s">
        <v>605</v>
      </c>
      <c r="D679" s="30" t="s">
        <v>599</v>
      </c>
      <c r="E679" s="30" t="s">
        <v>615</v>
      </c>
    </row>
    <row r="680" spans="1:5" x14ac:dyDescent="0.35">
      <c r="A680" s="32">
        <v>941</v>
      </c>
      <c r="B680" s="32" t="s">
        <v>571</v>
      </c>
      <c r="C680" s="32" t="s">
        <v>648</v>
      </c>
      <c r="D680" s="30" t="s">
        <v>599</v>
      </c>
      <c r="E680" s="30" t="s">
        <v>615</v>
      </c>
    </row>
    <row r="681" spans="1:5" x14ac:dyDescent="0.35">
      <c r="A681" s="32">
        <v>942</v>
      </c>
      <c r="B681" s="32" t="s">
        <v>634</v>
      </c>
      <c r="C681" s="32" t="s">
        <v>624</v>
      </c>
      <c r="D681" s="30" t="s">
        <v>599</v>
      </c>
      <c r="E681" s="30" t="s">
        <v>615</v>
      </c>
    </row>
    <row r="682" spans="1:5" x14ac:dyDescent="0.35">
      <c r="A682" s="32">
        <v>943</v>
      </c>
      <c r="B682" s="32" t="s">
        <v>634</v>
      </c>
      <c r="C682" s="32" t="s">
        <v>619</v>
      </c>
      <c r="D682" s="30" t="s">
        <v>599</v>
      </c>
      <c r="E682" s="30" t="s">
        <v>615</v>
      </c>
    </row>
    <row r="683" spans="1:5" x14ac:dyDescent="0.35">
      <c r="A683" s="32">
        <v>944</v>
      </c>
      <c r="B683" s="32" t="s">
        <v>634</v>
      </c>
      <c r="C683" s="32" t="s">
        <v>605</v>
      </c>
      <c r="D683" s="30" t="s">
        <v>599</v>
      </c>
      <c r="E683" s="30" t="s">
        <v>615</v>
      </c>
    </row>
    <row r="684" spans="1:5" x14ac:dyDescent="0.35">
      <c r="A684" s="32">
        <v>945</v>
      </c>
      <c r="B684" s="32" t="s">
        <v>634</v>
      </c>
      <c r="C684" s="32" t="s">
        <v>648</v>
      </c>
      <c r="D684" s="30" t="s">
        <v>599</v>
      </c>
      <c r="E684" s="30" t="s">
        <v>615</v>
      </c>
    </row>
    <row r="685" spans="1:5" x14ac:dyDescent="0.35">
      <c r="A685" s="32">
        <v>946</v>
      </c>
      <c r="B685" s="32" t="s">
        <v>634</v>
      </c>
      <c r="C685" s="32" t="s">
        <v>624</v>
      </c>
      <c r="D685" s="30" t="s">
        <v>599</v>
      </c>
      <c r="E685" s="30" t="s">
        <v>615</v>
      </c>
    </row>
    <row r="686" spans="1:5" x14ac:dyDescent="0.35">
      <c r="A686" s="32">
        <v>947</v>
      </c>
      <c r="B686" s="32" t="s">
        <v>634</v>
      </c>
      <c r="C686" s="32" t="s">
        <v>619</v>
      </c>
      <c r="D686" s="30" t="s">
        <v>599</v>
      </c>
      <c r="E686" s="30" t="s">
        <v>615</v>
      </c>
    </row>
    <row r="687" spans="1:5" x14ac:dyDescent="0.35">
      <c r="A687" s="32">
        <v>948</v>
      </c>
      <c r="B687" s="32" t="s">
        <v>634</v>
      </c>
      <c r="C687" s="32" t="s">
        <v>605</v>
      </c>
      <c r="D687" s="30" t="s">
        <v>599</v>
      </c>
      <c r="E687" s="30" t="s">
        <v>615</v>
      </c>
    </row>
    <row r="688" spans="1:5" x14ac:dyDescent="0.35">
      <c r="A688" s="32">
        <v>949</v>
      </c>
      <c r="B688" s="32" t="s">
        <v>634</v>
      </c>
      <c r="C688" s="32" t="s">
        <v>648</v>
      </c>
      <c r="D688" s="30" t="s">
        <v>599</v>
      </c>
      <c r="E688" s="30" t="s">
        <v>615</v>
      </c>
    </row>
    <row r="689" spans="1:5" x14ac:dyDescent="0.35">
      <c r="A689" s="32">
        <v>950</v>
      </c>
      <c r="B689" s="32" t="s">
        <v>634</v>
      </c>
      <c r="C689" s="32" t="s">
        <v>624</v>
      </c>
      <c r="D689" s="30" t="s">
        <v>599</v>
      </c>
      <c r="E689" s="30" t="s">
        <v>615</v>
      </c>
    </row>
    <row r="690" spans="1:5" x14ac:dyDescent="0.35">
      <c r="A690" s="32">
        <v>951</v>
      </c>
      <c r="B690" s="32" t="s">
        <v>634</v>
      </c>
      <c r="C690" s="32" t="s">
        <v>619</v>
      </c>
      <c r="D690" s="30" t="s">
        <v>599</v>
      </c>
      <c r="E690" s="30" t="s">
        <v>615</v>
      </c>
    </row>
    <row r="691" spans="1:5" x14ac:dyDescent="0.35">
      <c r="A691" s="32">
        <v>952</v>
      </c>
      <c r="B691" s="32" t="s">
        <v>634</v>
      </c>
      <c r="C691" s="32" t="s">
        <v>605</v>
      </c>
      <c r="D691" s="30" t="s">
        <v>599</v>
      </c>
      <c r="E691" s="30" t="s">
        <v>615</v>
      </c>
    </row>
    <row r="692" spans="1:5" x14ac:dyDescent="0.35">
      <c r="A692" s="32">
        <v>953</v>
      </c>
      <c r="B692" s="32" t="s">
        <v>634</v>
      </c>
      <c r="C692" s="32" t="s">
        <v>648</v>
      </c>
      <c r="D692" s="30" t="s">
        <v>599</v>
      </c>
      <c r="E692" s="30" t="s">
        <v>615</v>
      </c>
    </row>
    <row r="693" spans="1:5" x14ac:dyDescent="0.35">
      <c r="A693" s="32">
        <v>954</v>
      </c>
      <c r="B693" s="32" t="s">
        <v>634</v>
      </c>
      <c r="C693" s="32" t="s">
        <v>624</v>
      </c>
      <c r="D693" s="30" t="s">
        <v>599</v>
      </c>
      <c r="E693" s="30" t="s">
        <v>615</v>
      </c>
    </row>
    <row r="694" spans="1:5" x14ac:dyDescent="0.35">
      <c r="A694" s="32">
        <v>955</v>
      </c>
      <c r="B694" s="32" t="s">
        <v>634</v>
      </c>
      <c r="C694" s="32" t="s">
        <v>619</v>
      </c>
      <c r="D694" s="30" t="s">
        <v>599</v>
      </c>
      <c r="E694" s="30" t="s">
        <v>615</v>
      </c>
    </row>
    <row r="695" spans="1:5" x14ac:dyDescent="0.35">
      <c r="A695" s="32">
        <v>956</v>
      </c>
      <c r="B695" s="32" t="s">
        <v>634</v>
      </c>
      <c r="C695" s="32" t="s">
        <v>605</v>
      </c>
      <c r="D695" s="30" t="s">
        <v>599</v>
      </c>
      <c r="E695" s="30" t="s">
        <v>615</v>
      </c>
    </row>
    <row r="696" spans="1:5" x14ac:dyDescent="0.35">
      <c r="A696" s="32">
        <v>957</v>
      </c>
      <c r="B696" s="32" t="s">
        <v>634</v>
      </c>
      <c r="C696" s="32" t="s">
        <v>648</v>
      </c>
      <c r="D696" s="30" t="s">
        <v>599</v>
      </c>
      <c r="E696" s="30" t="s">
        <v>615</v>
      </c>
    </row>
    <row r="697" spans="1:5" x14ac:dyDescent="0.35">
      <c r="A697" s="32">
        <v>958</v>
      </c>
      <c r="B697" s="32" t="s">
        <v>634</v>
      </c>
      <c r="C697" s="32" t="s">
        <v>624</v>
      </c>
      <c r="D697" s="30" t="s">
        <v>599</v>
      </c>
      <c r="E697" s="30" t="s">
        <v>615</v>
      </c>
    </row>
    <row r="698" spans="1:5" x14ac:dyDescent="0.35">
      <c r="A698" s="32">
        <v>959</v>
      </c>
      <c r="B698" s="32" t="s">
        <v>634</v>
      </c>
      <c r="C698" s="32" t="s">
        <v>619</v>
      </c>
      <c r="D698" s="30" t="s">
        <v>599</v>
      </c>
      <c r="E698" s="30" t="s">
        <v>615</v>
      </c>
    </row>
    <row r="699" spans="1:5" x14ac:dyDescent="0.35">
      <c r="A699" s="32">
        <v>960</v>
      </c>
      <c r="B699" s="32" t="s">
        <v>634</v>
      </c>
      <c r="C699" s="32" t="s">
        <v>605</v>
      </c>
      <c r="D699" s="30" t="s">
        <v>599</v>
      </c>
      <c r="E699" s="30" t="s">
        <v>615</v>
      </c>
    </row>
    <row r="700" spans="1:5" x14ac:dyDescent="0.35">
      <c r="A700" s="32">
        <v>961</v>
      </c>
      <c r="B700" s="32" t="s">
        <v>634</v>
      </c>
      <c r="C700" s="32" t="s">
        <v>648</v>
      </c>
      <c r="D700" s="30" t="s">
        <v>599</v>
      </c>
      <c r="E700" s="30" t="s">
        <v>615</v>
      </c>
    </row>
    <row r="701" spans="1:5" x14ac:dyDescent="0.35">
      <c r="A701" s="32">
        <v>962</v>
      </c>
      <c r="B701" s="32" t="s">
        <v>634</v>
      </c>
      <c r="C701" s="32" t="s">
        <v>624</v>
      </c>
      <c r="D701" s="30" t="s">
        <v>599</v>
      </c>
      <c r="E701" s="30" t="s">
        <v>615</v>
      </c>
    </row>
    <row r="702" spans="1:5" x14ac:dyDescent="0.35">
      <c r="A702" s="32">
        <v>963</v>
      </c>
      <c r="B702" s="32" t="s">
        <v>634</v>
      </c>
      <c r="C702" s="32" t="s">
        <v>619</v>
      </c>
      <c r="D702" s="30" t="s">
        <v>599</v>
      </c>
      <c r="E702" s="30" t="s">
        <v>615</v>
      </c>
    </row>
    <row r="703" spans="1:5" x14ac:dyDescent="0.35">
      <c r="A703" s="32">
        <v>964</v>
      </c>
      <c r="B703" s="32" t="s">
        <v>634</v>
      </c>
      <c r="C703" s="32" t="s">
        <v>605</v>
      </c>
      <c r="D703" s="30" t="s">
        <v>599</v>
      </c>
      <c r="E703" s="30" t="s">
        <v>615</v>
      </c>
    </row>
    <row r="704" spans="1:5" x14ac:dyDescent="0.35">
      <c r="A704" s="32">
        <v>965</v>
      </c>
      <c r="B704" s="32" t="s">
        <v>634</v>
      </c>
      <c r="C704" s="32" t="s">
        <v>648</v>
      </c>
      <c r="D704" s="30" t="s">
        <v>599</v>
      </c>
      <c r="E704" s="30" t="s">
        <v>615</v>
      </c>
    </row>
    <row r="705" spans="1:5" x14ac:dyDescent="0.35">
      <c r="A705" s="32">
        <v>966</v>
      </c>
      <c r="B705" s="32" t="s">
        <v>634</v>
      </c>
      <c r="C705" s="32" t="s">
        <v>624</v>
      </c>
      <c r="D705" s="30" t="s">
        <v>599</v>
      </c>
      <c r="E705" s="30" t="s">
        <v>615</v>
      </c>
    </row>
    <row r="706" spans="1:5" x14ac:dyDescent="0.35">
      <c r="A706" s="32">
        <v>967</v>
      </c>
      <c r="B706" s="32" t="s">
        <v>634</v>
      </c>
      <c r="C706" s="32" t="s">
        <v>619</v>
      </c>
      <c r="D706" s="30" t="s">
        <v>599</v>
      </c>
      <c r="E706" s="30" t="s">
        <v>615</v>
      </c>
    </row>
    <row r="707" spans="1:5" x14ac:dyDescent="0.35">
      <c r="A707" s="32">
        <v>968</v>
      </c>
      <c r="B707" s="32" t="s">
        <v>634</v>
      </c>
      <c r="C707" s="32" t="s">
        <v>605</v>
      </c>
      <c r="D707" s="30" t="s">
        <v>599</v>
      </c>
      <c r="E707" s="30" t="s">
        <v>615</v>
      </c>
    </row>
    <row r="708" spans="1:5" x14ac:dyDescent="0.35">
      <c r="A708" s="32">
        <v>969</v>
      </c>
      <c r="B708" s="32" t="s">
        <v>634</v>
      </c>
      <c r="C708" s="32" t="s">
        <v>648</v>
      </c>
      <c r="D708" s="30" t="s">
        <v>599</v>
      </c>
      <c r="E708" s="30" t="s">
        <v>615</v>
      </c>
    </row>
    <row r="709" spans="1:5" x14ac:dyDescent="0.35">
      <c r="A709" s="32">
        <v>970</v>
      </c>
      <c r="B709" s="32" t="s">
        <v>634</v>
      </c>
      <c r="C709" s="32" t="s">
        <v>624</v>
      </c>
      <c r="D709" s="30" t="s">
        <v>599</v>
      </c>
      <c r="E709" s="30" t="s">
        <v>615</v>
      </c>
    </row>
    <row r="710" spans="1:5" x14ac:dyDescent="0.35">
      <c r="A710" s="32">
        <v>971</v>
      </c>
      <c r="B710" s="32" t="s">
        <v>634</v>
      </c>
      <c r="C710" s="32" t="s">
        <v>619</v>
      </c>
      <c r="D710" s="30" t="s">
        <v>599</v>
      </c>
      <c r="E710" s="30" t="s">
        <v>615</v>
      </c>
    </row>
    <row r="711" spans="1:5" x14ac:dyDescent="0.35">
      <c r="A711" s="32">
        <v>972</v>
      </c>
      <c r="B711" s="32" t="s">
        <v>634</v>
      </c>
      <c r="C711" s="32" t="s">
        <v>605</v>
      </c>
      <c r="D711" s="30" t="s">
        <v>599</v>
      </c>
      <c r="E711" s="30" t="s">
        <v>615</v>
      </c>
    </row>
    <row r="712" spans="1:5" x14ac:dyDescent="0.35">
      <c r="A712" s="32">
        <v>973</v>
      </c>
      <c r="B712" s="32" t="s">
        <v>634</v>
      </c>
      <c r="C712" s="32" t="s">
        <v>648</v>
      </c>
      <c r="D712" s="30" t="s">
        <v>599</v>
      </c>
      <c r="E712" s="30" t="s">
        <v>615</v>
      </c>
    </row>
    <row r="713" spans="1:5" x14ac:dyDescent="0.35">
      <c r="A713" s="32">
        <v>974</v>
      </c>
      <c r="B713" s="32" t="s">
        <v>634</v>
      </c>
      <c r="C713" s="32" t="s">
        <v>624</v>
      </c>
      <c r="D713" s="30" t="s">
        <v>599</v>
      </c>
      <c r="E713" s="30" t="s">
        <v>615</v>
      </c>
    </row>
    <row r="714" spans="1:5" x14ac:dyDescent="0.35">
      <c r="A714" s="32">
        <v>975</v>
      </c>
      <c r="B714" s="32" t="s">
        <v>634</v>
      </c>
      <c r="C714" s="32" t="s">
        <v>619</v>
      </c>
      <c r="D714" s="30" t="s">
        <v>599</v>
      </c>
      <c r="E714" s="30" t="s">
        <v>615</v>
      </c>
    </row>
    <row r="715" spans="1:5" x14ac:dyDescent="0.35">
      <c r="A715" s="32">
        <v>976</v>
      </c>
      <c r="B715" s="32" t="s">
        <v>634</v>
      </c>
      <c r="C715" s="32" t="s">
        <v>605</v>
      </c>
      <c r="D715" s="30" t="s">
        <v>599</v>
      </c>
      <c r="E715" s="30" t="s">
        <v>615</v>
      </c>
    </row>
    <row r="716" spans="1:5" x14ac:dyDescent="0.35">
      <c r="A716" s="32">
        <v>977</v>
      </c>
      <c r="B716" s="32" t="s">
        <v>634</v>
      </c>
      <c r="C716" s="32" t="s">
        <v>648</v>
      </c>
      <c r="D716" s="30" t="s">
        <v>599</v>
      </c>
      <c r="E716" s="30" t="s">
        <v>615</v>
      </c>
    </row>
    <row r="717" spans="1:5" x14ac:dyDescent="0.35">
      <c r="A717" s="32">
        <v>978</v>
      </c>
      <c r="B717" s="32" t="s">
        <v>634</v>
      </c>
      <c r="C717" s="32" t="s">
        <v>624</v>
      </c>
      <c r="D717" s="30" t="s">
        <v>599</v>
      </c>
      <c r="E717" s="30" t="s">
        <v>615</v>
      </c>
    </row>
    <row r="718" spans="1:5" x14ac:dyDescent="0.35">
      <c r="A718" s="32">
        <v>979</v>
      </c>
      <c r="B718" s="32" t="s">
        <v>634</v>
      </c>
      <c r="C718" s="32" t="s">
        <v>619</v>
      </c>
      <c r="D718" s="30" t="s">
        <v>599</v>
      </c>
      <c r="E718" s="30" t="s">
        <v>615</v>
      </c>
    </row>
    <row r="719" spans="1:5" x14ac:dyDescent="0.35">
      <c r="A719" s="32">
        <v>980</v>
      </c>
      <c r="B719" s="32" t="s">
        <v>634</v>
      </c>
      <c r="C719" s="32" t="s">
        <v>605</v>
      </c>
      <c r="D719" s="30" t="s">
        <v>599</v>
      </c>
      <c r="E719" s="30" t="s">
        <v>615</v>
      </c>
    </row>
    <row r="720" spans="1:5" x14ac:dyDescent="0.35">
      <c r="A720" s="32">
        <v>981</v>
      </c>
      <c r="B720" s="32" t="s">
        <v>634</v>
      </c>
      <c r="C720" s="32" t="s">
        <v>648</v>
      </c>
      <c r="D720" s="30" t="s">
        <v>599</v>
      </c>
      <c r="E720" s="30" t="s">
        <v>615</v>
      </c>
    </row>
    <row r="721" spans="1:5" x14ac:dyDescent="0.35">
      <c r="A721" s="32">
        <v>982</v>
      </c>
      <c r="B721" s="32" t="s">
        <v>634</v>
      </c>
      <c r="C721" s="32" t="s">
        <v>624</v>
      </c>
      <c r="D721" s="30" t="s">
        <v>599</v>
      </c>
      <c r="E721" s="30" t="s">
        <v>615</v>
      </c>
    </row>
    <row r="722" spans="1:5" x14ac:dyDescent="0.35">
      <c r="A722" s="32">
        <v>983</v>
      </c>
      <c r="B722" s="32" t="s">
        <v>634</v>
      </c>
      <c r="C722" s="32" t="s">
        <v>619</v>
      </c>
      <c r="D722" s="30" t="s">
        <v>599</v>
      </c>
      <c r="E722" s="30" t="s">
        <v>615</v>
      </c>
    </row>
    <row r="723" spans="1:5" x14ac:dyDescent="0.35">
      <c r="A723" s="32">
        <v>984</v>
      </c>
      <c r="B723" s="32" t="s">
        <v>634</v>
      </c>
      <c r="C723" s="32" t="s">
        <v>605</v>
      </c>
      <c r="D723" s="30" t="s">
        <v>599</v>
      </c>
      <c r="E723" s="30" t="s">
        <v>615</v>
      </c>
    </row>
    <row r="724" spans="1:5" x14ac:dyDescent="0.35">
      <c r="A724" s="32">
        <v>985</v>
      </c>
      <c r="B724" s="32" t="s">
        <v>634</v>
      </c>
      <c r="C724" s="32" t="s">
        <v>648</v>
      </c>
      <c r="D724" s="30" t="s">
        <v>599</v>
      </c>
      <c r="E724" s="30" t="s">
        <v>615</v>
      </c>
    </row>
    <row r="725" spans="1:5" x14ac:dyDescent="0.35">
      <c r="A725" s="32">
        <v>986</v>
      </c>
      <c r="B725" s="32" t="s">
        <v>634</v>
      </c>
      <c r="C725" s="32" t="s">
        <v>624</v>
      </c>
      <c r="D725" s="30" t="s">
        <v>599</v>
      </c>
      <c r="E725" s="30" t="s">
        <v>615</v>
      </c>
    </row>
    <row r="726" spans="1:5" x14ac:dyDescent="0.35">
      <c r="A726" s="32">
        <v>987</v>
      </c>
      <c r="B726" s="32" t="s">
        <v>634</v>
      </c>
      <c r="C726" s="32" t="s">
        <v>619</v>
      </c>
      <c r="D726" s="30" t="s">
        <v>599</v>
      </c>
      <c r="E726" s="30" t="s">
        <v>615</v>
      </c>
    </row>
    <row r="727" spans="1:5" x14ac:dyDescent="0.35">
      <c r="A727" s="32">
        <v>988</v>
      </c>
      <c r="B727" s="32" t="s">
        <v>634</v>
      </c>
      <c r="C727" s="32" t="s">
        <v>605</v>
      </c>
      <c r="D727" s="30" t="s">
        <v>599</v>
      </c>
      <c r="E727" s="30" t="s">
        <v>615</v>
      </c>
    </row>
    <row r="728" spans="1:5" x14ac:dyDescent="0.35">
      <c r="A728" s="32">
        <v>989</v>
      </c>
      <c r="B728" s="32" t="s">
        <v>634</v>
      </c>
      <c r="C728" s="32" t="s">
        <v>648</v>
      </c>
      <c r="D728" s="30" t="s">
        <v>599</v>
      </c>
      <c r="E728" s="30" t="s">
        <v>615</v>
      </c>
    </row>
    <row r="729" spans="1:5" x14ac:dyDescent="0.35">
      <c r="A729" s="32">
        <v>990</v>
      </c>
      <c r="B729" s="32" t="s">
        <v>634</v>
      </c>
      <c r="C729" s="32" t="s">
        <v>605</v>
      </c>
      <c r="D729" s="30" t="s">
        <v>599</v>
      </c>
      <c r="E729" s="30" t="s">
        <v>615</v>
      </c>
    </row>
    <row r="730" spans="1:5" x14ac:dyDescent="0.35">
      <c r="A730" s="32">
        <v>991</v>
      </c>
      <c r="B730" s="32" t="s">
        <v>634</v>
      </c>
      <c r="C730" s="32" t="s">
        <v>648</v>
      </c>
      <c r="D730" s="30" t="s">
        <v>599</v>
      </c>
      <c r="E730" s="30" t="s">
        <v>615</v>
      </c>
    </row>
    <row r="731" spans="1:5" x14ac:dyDescent="0.35">
      <c r="A731" s="32">
        <v>992</v>
      </c>
      <c r="B731" s="32" t="s">
        <v>641</v>
      </c>
      <c r="C731" s="32" t="s">
        <v>648</v>
      </c>
      <c r="D731" s="30" t="s">
        <v>599</v>
      </c>
      <c r="E731" s="30" t="s">
        <v>600</v>
      </c>
    </row>
    <row r="732" spans="1:5" x14ac:dyDescent="0.35">
      <c r="A732" s="32">
        <v>993</v>
      </c>
      <c r="B732" s="32" t="s">
        <v>641</v>
      </c>
      <c r="C732" s="32" t="s">
        <v>648</v>
      </c>
      <c r="D732" s="30" t="s">
        <v>599</v>
      </c>
      <c r="E732" s="30" t="s">
        <v>600</v>
      </c>
    </row>
    <row r="733" spans="1:5" x14ac:dyDescent="0.35">
      <c r="A733" s="32">
        <v>994</v>
      </c>
      <c r="B733" s="32" t="s">
        <v>641</v>
      </c>
      <c r="C733" s="32" t="s">
        <v>648</v>
      </c>
      <c r="D733" s="30" t="s">
        <v>599</v>
      </c>
      <c r="E733" s="30" t="s">
        <v>600</v>
      </c>
    </row>
    <row r="734" spans="1:5" x14ac:dyDescent="0.35">
      <c r="A734" s="32">
        <v>995</v>
      </c>
      <c r="B734" s="32" t="s">
        <v>641</v>
      </c>
      <c r="C734" s="32" t="s">
        <v>648</v>
      </c>
      <c r="D734" s="30" t="s">
        <v>599</v>
      </c>
      <c r="E734" s="30" t="s">
        <v>600</v>
      </c>
    </row>
    <row r="735" spans="1:5" x14ac:dyDescent="0.35">
      <c r="A735" s="32">
        <v>996</v>
      </c>
      <c r="B735" s="32" t="s">
        <v>641</v>
      </c>
      <c r="C735" s="32" t="s">
        <v>648</v>
      </c>
      <c r="D735" s="30" t="s">
        <v>599</v>
      </c>
      <c r="E735" s="30" t="s">
        <v>600</v>
      </c>
    </row>
    <row r="736" spans="1:5" x14ac:dyDescent="0.35">
      <c r="A736" s="32">
        <v>997</v>
      </c>
      <c r="B736" s="32" t="s">
        <v>641</v>
      </c>
      <c r="C736" s="32" t="s">
        <v>648</v>
      </c>
      <c r="D736" s="30" t="s">
        <v>599</v>
      </c>
      <c r="E736" s="30" t="s">
        <v>600</v>
      </c>
    </row>
    <row r="737" spans="1:5" x14ac:dyDescent="0.35">
      <c r="A737" s="32">
        <v>998</v>
      </c>
      <c r="B737" s="32" t="s">
        <v>641</v>
      </c>
      <c r="C737" s="32" t="s">
        <v>648</v>
      </c>
      <c r="D737" s="30" t="s">
        <v>599</v>
      </c>
      <c r="E737" s="30" t="s">
        <v>600</v>
      </c>
    </row>
    <row r="738" spans="1:5" x14ac:dyDescent="0.35">
      <c r="A738" s="32">
        <v>999</v>
      </c>
      <c r="B738" s="32" t="s">
        <v>641</v>
      </c>
      <c r="C738" s="32" t="s">
        <v>648</v>
      </c>
      <c r="D738" s="30" t="s">
        <v>599</v>
      </c>
      <c r="E738" s="30" t="s">
        <v>600</v>
      </c>
    </row>
    <row r="739" spans="1:5" x14ac:dyDescent="0.35">
      <c r="A739" s="32">
        <v>1000</v>
      </c>
      <c r="B739" s="32" t="s">
        <v>641</v>
      </c>
      <c r="C739" s="32" t="s">
        <v>648</v>
      </c>
      <c r="D739" s="30" t="s">
        <v>599</v>
      </c>
      <c r="E739" s="30" t="s">
        <v>600</v>
      </c>
    </row>
    <row r="740" spans="1:5" x14ac:dyDescent="0.35">
      <c r="A740" s="32">
        <v>1001</v>
      </c>
      <c r="B740" s="32" t="s">
        <v>641</v>
      </c>
      <c r="C740" s="32" t="s">
        <v>648</v>
      </c>
      <c r="D740" s="30" t="s">
        <v>599</v>
      </c>
      <c r="E740" s="30" t="s">
        <v>600</v>
      </c>
    </row>
    <row r="741" spans="1:5" x14ac:dyDescent="0.35">
      <c r="A741" s="32">
        <v>1002</v>
      </c>
      <c r="B741" s="32" t="s">
        <v>641</v>
      </c>
      <c r="C741" s="32" t="s">
        <v>648</v>
      </c>
      <c r="D741" s="30" t="s">
        <v>599</v>
      </c>
      <c r="E741" s="30" t="s">
        <v>600</v>
      </c>
    </row>
    <row r="742" spans="1:5" x14ac:dyDescent="0.35">
      <c r="A742" s="32">
        <v>1003</v>
      </c>
      <c r="B742" s="32" t="s">
        <v>641</v>
      </c>
      <c r="C742" s="32" t="s">
        <v>648</v>
      </c>
      <c r="D742" s="30" t="s">
        <v>599</v>
      </c>
      <c r="E742" s="30" t="s">
        <v>600</v>
      </c>
    </row>
    <row r="743" spans="1:5" x14ac:dyDescent="0.35">
      <c r="A743" s="32">
        <v>1004</v>
      </c>
      <c r="B743" s="32" t="s">
        <v>641</v>
      </c>
      <c r="C743" s="32" t="s">
        <v>648</v>
      </c>
      <c r="D743" s="30" t="s">
        <v>599</v>
      </c>
      <c r="E743" s="30" t="s">
        <v>600</v>
      </c>
    </row>
    <row r="744" spans="1:5" x14ac:dyDescent="0.35">
      <c r="A744" s="32">
        <v>1005</v>
      </c>
      <c r="B744" s="32" t="s">
        <v>641</v>
      </c>
      <c r="C744" s="32" t="s">
        <v>648</v>
      </c>
      <c r="D744" s="30" t="s">
        <v>599</v>
      </c>
      <c r="E744" s="30" t="s">
        <v>600</v>
      </c>
    </row>
    <row r="745" spans="1:5" x14ac:dyDescent="0.35">
      <c r="A745" s="32">
        <v>1006</v>
      </c>
      <c r="B745" s="32" t="s">
        <v>641</v>
      </c>
      <c r="C745" s="32" t="s">
        <v>648</v>
      </c>
      <c r="D745" s="30" t="s">
        <v>599</v>
      </c>
      <c r="E745" s="30" t="s">
        <v>600</v>
      </c>
    </row>
    <row r="746" spans="1:5" x14ac:dyDescent="0.35">
      <c r="A746" s="32">
        <v>1007</v>
      </c>
      <c r="B746" s="32" t="s">
        <v>641</v>
      </c>
      <c r="C746" s="32" t="s">
        <v>648</v>
      </c>
      <c r="D746" s="30" t="s">
        <v>599</v>
      </c>
      <c r="E746" s="30" t="s">
        <v>600</v>
      </c>
    </row>
    <row r="747" spans="1:5" x14ac:dyDescent="0.35">
      <c r="A747" s="32">
        <v>1008</v>
      </c>
      <c r="B747" s="32" t="s">
        <v>641</v>
      </c>
      <c r="C747" s="32" t="s">
        <v>648</v>
      </c>
      <c r="D747" s="30" t="s">
        <v>599</v>
      </c>
      <c r="E747" s="30" t="s">
        <v>600</v>
      </c>
    </row>
    <row r="748" spans="1:5" x14ac:dyDescent="0.35">
      <c r="A748" s="32">
        <v>1009</v>
      </c>
      <c r="B748" s="32" t="s">
        <v>634</v>
      </c>
      <c r="C748" s="32" t="s">
        <v>648</v>
      </c>
      <c r="D748" s="30" t="s">
        <v>599</v>
      </c>
      <c r="E748" s="30" t="s">
        <v>600</v>
      </c>
    </row>
    <row r="749" spans="1:5" x14ac:dyDescent="0.35">
      <c r="A749" s="32">
        <v>1010</v>
      </c>
      <c r="B749" s="32" t="s">
        <v>634</v>
      </c>
      <c r="C749" s="32" t="s">
        <v>648</v>
      </c>
      <c r="D749" s="30" t="s">
        <v>599</v>
      </c>
      <c r="E749" s="30" t="s">
        <v>600</v>
      </c>
    </row>
    <row r="750" spans="1:5" x14ac:dyDescent="0.35">
      <c r="A750" s="32">
        <v>1011</v>
      </c>
      <c r="B750" s="32" t="s">
        <v>634</v>
      </c>
      <c r="C750" s="32" t="s">
        <v>648</v>
      </c>
      <c r="D750" s="30" t="s">
        <v>599</v>
      </c>
      <c r="E750" s="30" t="s">
        <v>600</v>
      </c>
    </row>
    <row r="751" spans="1:5" x14ac:dyDescent="0.35">
      <c r="A751" s="32">
        <v>1012</v>
      </c>
      <c r="B751" s="32" t="s">
        <v>634</v>
      </c>
      <c r="C751" s="32" t="s">
        <v>648</v>
      </c>
      <c r="D751" s="30" t="s">
        <v>599</v>
      </c>
      <c r="E751" s="30" t="s">
        <v>600</v>
      </c>
    </row>
    <row r="752" spans="1:5" x14ac:dyDescent="0.35">
      <c r="A752" s="32">
        <v>1013</v>
      </c>
      <c r="B752" s="32" t="s">
        <v>634</v>
      </c>
      <c r="C752" s="32" t="s">
        <v>648</v>
      </c>
      <c r="D752" s="30" t="s">
        <v>599</v>
      </c>
      <c r="E752" s="30" t="s">
        <v>600</v>
      </c>
    </row>
    <row r="753" spans="1:5" x14ac:dyDescent="0.35">
      <c r="A753" s="32">
        <v>1014</v>
      </c>
      <c r="B753" s="32" t="s">
        <v>634</v>
      </c>
      <c r="C753" s="32" t="s">
        <v>648</v>
      </c>
      <c r="D753" s="30" t="s">
        <v>599</v>
      </c>
      <c r="E753" s="30" t="s">
        <v>600</v>
      </c>
    </row>
    <row r="754" spans="1:5" x14ac:dyDescent="0.35">
      <c r="A754" s="32">
        <v>1015</v>
      </c>
      <c r="B754" s="32" t="s">
        <v>634</v>
      </c>
      <c r="C754" s="32" t="s">
        <v>648</v>
      </c>
      <c r="D754" s="30" t="s">
        <v>599</v>
      </c>
      <c r="E754" s="30" t="s">
        <v>600</v>
      </c>
    </row>
    <row r="755" spans="1:5" x14ac:dyDescent="0.35">
      <c r="A755" s="32">
        <v>1016</v>
      </c>
      <c r="B755" s="32" t="s">
        <v>634</v>
      </c>
      <c r="C755" s="32" t="s">
        <v>648</v>
      </c>
      <c r="D755" s="30" t="s">
        <v>599</v>
      </c>
      <c r="E755" s="30" t="s">
        <v>600</v>
      </c>
    </row>
    <row r="756" spans="1:5" x14ac:dyDescent="0.35">
      <c r="A756" s="32">
        <v>1017</v>
      </c>
      <c r="B756" s="32" t="s">
        <v>634</v>
      </c>
      <c r="C756" s="32" t="s">
        <v>648</v>
      </c>
      <c r="D756" s="30" t="s">
        <v>599</v>
      </c>
      <c r="E756" s="30" t="s">
        <v>600</v>
      </c>
    </row>
    <row r="757" spans="1:5" x14ac:dyDescent="0.35">
      <c r="A757" s="32">
        <v>1018</v>
      </c>
      <c r="B757" s="32" t="s">
        <v>634</v>
      </c>
      <c r="C757" s="32" t="s">
        <v>648</v>
      </c>
      <c r="D757" s="30" t="s">
        <v>599</v>
      </c>
      <c r="E757" s="30" t="s">
        <v>600</v>
      </c>
    </row>
    <row r="758" spans="1:5" x14ac:dyDescent="0.35">
      <c r="A758" s="32">
        <v>1019</v>
      </c>
      <c r="B758" s="32" t="s">
        <v>634</v>
      </c>
      <c r="C758" s="32" t="s">
        <v>648</v>
      </c>
      <c r="D758" s="30" t="s">
        <v>599</v>
      </c>
      <c r="E758" s="30" t="s">
        <v>600</v>
      </c>
    </row>
    <row r="759" spans="1:5" x14ac:dyDescent="0.35">
      <c r="A759" s="32">
        <v>1020</v>
      </c>
      <c r="B759" s="32" t="s">
        <v>634</v>
      </c>
      <c r="C759" s="32" t="s">
        <v>648</v>
      </c>
      <c r="D759" s="30" t="s">
        <v>599</v>
      </c>
      <c r="E759" s="30" t="s">
        <v>600</v>
      </c>
    </row>
    <row r="760" spans="1:5" x14ac:dyDescent="0.35">
      <c r="A760" s="32">
        <v>1021</v>
      </c>
      <c r="B760" s="32" t="s">
        <v>634</v>
      </c>
      <c r="C760" s="32" t="s">
        <v>648</v>
      </c>
      <c r="D760" s="30" t="s">
        <v>599</v>
      </c>
      <c r="E760" s="30" t="s">
        <v>600</v>
      </c>
    </row>
    <row r="761" spans="1:5" x14ac:dyDescent="0.35">
      <c r="A761" s="32">
        <v>1022</v>
      </c>
      <c r="B761" s="32" t="s">
        <v>634</v>
      </c>
      <c r="C761" s="32" t="s">
        <v>648</v>
      </c>
      <c r="D761" s="30" t="s">
        <v>599</v>
      </c>
      <c r="E761" s="30" t="s">
        <v>600</v>
      </c>
    </row>
    <row r="762" spans="1:5" x14ac:dyDescent="0.35">
      <c r="A762" s="32">
        <v>1023</v>
      </c>
      <c r="B762" s="32" t="s">
        <v>634</v>
      </c>
      <c r="C762" s="32" t="s">
        <v>648</v>
      </c>
      <c r="D762" s="30" t="s">
        <v>599</v>
      </c>
      <c r="E762" s="30" t="s">
        <v>600</v>
      </c>
    </row>
    <row r="763" spans="1:5" x14ac:dyDescent="0.35">
      <c r="A763" s="32">
        <v>1024</v>
      </c>
      <c r="B763" s="32" t="s">
        <v>634</v>
      </c>
      <c r="C763" s="32" t="s">
        <v>648</v>
      </c>
      <c r="D763" s="30" t="s">
        <v>599</v>
      </c>
      <c r="E763" s="30" t="s">
        <v>600</v>
      </c>
    </row>
    <row r="764" spans="1:5" x14ac:dyDescent="0.35">
      <c r="A764" s="32">
        <v>1025</v>
      </c>
      <c r="B764" s="32" t="s">
        <v>634</v>
      </c>
      <c r="C764" s="32" t="s">
        <v>648</v>
      </c>
      <c r="D764" s="30" t="s">
        <v>599</v>
      </c>
      <c r="E764" s="30" t="s">
        <v>600</v>
      </c>
    </row>
    <row r="765" spans="1:5" x14ac:dyDescent="0.35">
      <c r="A765" s="32">
        <v>1026</v>
      </c>
      <c r="B765" s="32" t="s">
        <v>571</v>
      </c>
      <c r="C765" s="32" t="s">
        <v>648</v>
      </c>
      <c r="D765" s="30" t="s">
        <v>599</v>
      </c>
      <c r="E765" s="30" t="s">
        <v>600</v>
      </c>
    </row>
    <row r="766" spans="1:5" x14ac:dyDescent="0.35">
      <c r="A766" s="32">
        <v>1027</v>
      </c>
      <c r="B766" s="32" t="s">
        <v>571</v>
      </c>
      <c r="C766" s="32" t="s">
        <v>648</v>
      </c>
      <c r="D766" s="30" t="s">
        <v>599</v>
      </c>
      <c r="E766" s="30" t="s">
        <v>600</v>
      </c>
    </row>
    <row r="767" spans="1:5" x14ac:dyDescent="0.35">
      <c r="A767" s="32">
        <v>1028</v>
      </c>
      <c r="B767" s="32" t="s">
        <v>571</v>
      </c>
      <c r="C767" s="32" t="s">
        <v>648</v>
      </c>
      <c r="D767" s="30" t="s">
        <v>599</v>
      </c>
      <c r="E767" s="30" t="s">
        <v>600</v>
      </c>
    </row>
    <row r="768" spans="1:5" x14ac:dyDescent="0.35">
      <c r="A768" s="32">
        <v>1029</v>
      </c>
      <c r="B768" s="32" t="s">
        <v>571</v>
      </c>
      <c r="C768" s="32" t="s">
        <v>648</v>
      </c>
      <c r="D768" s="30" t="s">
        <v>599</v>
      </c>
      <c r="E768" s="30" t="s">
        <v>600</v>
      </c>
    </row>
    <row r="769" spans="1:5" x14ac:dyDescent="0.35">
      <c r="A769" s="32">
        <v>1030</v>
      </c>
      <c r="B769" s="32" t="s">
        <v>571</v>
      </c>
      <c r="C769" s="32" t="s">
        <v>648</v>
      </c>
      <c r="D769" s="30" t="s">
        <v>599</v>
      </c>
      <c r="E769" s="30" t="s">
        <v>600</v>
      </c>
    </row>
    <row r="770" spans="1:5" x14ac:dyDescent="0.35">
      <c r="A770" s="32">
        <v>1031</v>
      </c>
      <c r="B770" s="32" t="s">
        <v>571</v>
      </c>
      <c r="C770" s="32" t="s">
        <v>648</v>
      </c>
      <c r="D770" s="30" t="s">
        <v>599</v>
      </c>
      <c r="E770" s="30" t="s">
        <v>600</v>
      </c>
    </row>
    <row r="771" spans="1:5" x14ac:dyDescent="0.35">
      <c r="A771" s="32">
        <v>1032</v>
      </c>
      <c r="B771" s="32" t="s">
        <v>571</v>
      </c>
      <c r="C771" s="32" t="s">
        <v>648</v>
      </c>
      <c r="D771" s="30" t="s">
        <v>599</v>
      </c>
      <c r="E771" s="30" t="s">
        <v>600</v>
      </c>
    </row>
    <row r="772" spans="1:5" x14ac:dyDescent="0.35">
      <c r="A772" s="32">
        <v>1033</v>
      </c>
      <c r="B772" s="32" t="s">
        <v>571</v>
      </c>
      <c r="C772" s="32" t="s">
        <v>648</v>
      </c>
      <c r="D772" s="30" t="s">
        <v>599</v>
      </c>
      <c r="E772" s="30" t="s">
        <v>600</v>
      </c>
    </row>
    <row r="773" spans="1:5" x14ac:dyDescent="0.35">
      <c r="A773" s="32">
        <v>1034</v>
      </c>
      <c r="B773" s="32" t="s">
        <v>571</v>
      </c>
      <c r="C773" s="32" t="s">
        <v>648</v>
      </c>
      <c r="D773" s="30" t="s">
        <v>599</v>
      </c>
      <c r="E773" s="30" t="s">
        <v>600</v>
      </c>
    </row>
    <row r="774" spans="1:5" x14ac:dyDescent="0.35">
      <c r="A774" s="32">
        <v>1035</v>
      </c>
      <c r="B774" s="32" t="s">
        <v>571</v>
      </c>
      <c r="C774" s="32" t="s">
        <v>648</v>
      </c>
      <c r="D774" s="30" t="s">
        <v>599</v>
      </c>
      <c r="E774" s="30" t="s">
        <v>600</v>
      </c>
    </row>
    <row r="775" spans="1:5" x14ac:dyDescent="0.35">
      <c r="A775" s="32">
        <v>1036</v>
      </c>
      <c r="B775" s="32" t="s">
        <v>571</v>
      </c>
      <c r="C775" s="32" t="s">
        <v>648</v>
      </c>
      <c r="D775" s="30" t="s">
        <v>599</v>
      </c>
      <c r="E775" s="30" t="s">
        <v>600</v>
      </c>
    </row>
    <row r="776" spans="1:5" x14ac:dyDescent="0.35">
      <c r="A776" s="32">
        <v>1037</v>
      </c>
      <c r="B776" s="32" t="s">
        <v>571</v>
      </c>
      <c r="C776" s="32" t="s">
        <v>648</v>
      </c>
      <c r="D776" s="30" t="s">
        <v>599</v>
      </c>
      <c r="E776" s="30" t="s">
        <v>600</v>
      </c>
    </row>
    <row r="777" spans="1:5" x14ac:dyDescent="0.35">
      <c r="A777" s="32">
        <v>1038</v>
      </c>
      <c r="B777" s="32" t="s">
        <v>571</v>
      </c>
      <c r="C777" s="32" t="s">
        <v>648</v>
      </c>
      <c r="D777" s="30" t="s">
        <v>599</v>
      </c>
      <c r="E777" s="30" t="s">
        <v>600</v>
      </c>
    </row>
    <row r="778" spans="1:5" x14ac:dyDescent="0.35">
      <c r="A778" s="32">
        <v>1039</v>
      </c>
      <c r="B778" s="32" t="s">
        <v>571</v>
      </c>
      <c r="C778" s="32" t="s">
        <v>648</v>
      </c>
      <c r="D778" s="30" t="s">
        <v>599</v>
      </c>
      <c r="E778" s="30" t="s">
        <v>600</v>
      </c>
    </row>
    <row r="779" spans="1:5" x14ac:dyDescent="0.35">
      <c r="A779" s="32">
        <v>1040</v>
      </c>
      <c r="B779" s="32" t="s">
        <v>571</v>
      </c>
      <c r="C779" s="32" t="s">
        <v>648</v>
      </c>
      <c r="D779" s="30" t="s">
        <v>599</v>
      </c>
      <c r="E779" s="30" t="s">
        <v>600</v>
      </c>
    </row>
    <row r="780" spans="1:5" x14ac:dyDescent="0.35">
      <c r="A780" s="32">
        <v>1041</v>
      </c>
      <c r="B780" s="32" t="s">
        <v>571</v>
      </c>
      <c r="C780" s="32" t="s">
        <v>648</v>
      </c>
      <c r="D780" s="30" t="s">
        <v>599</v>
      </c>
      <c r="E780" s="30" t="s">
        <v>600</v>
      </c>
    </row>
    <row r="781" spans="1:5" x14ac:dyDescent="0.35">
      <c r="A781" s="32">
        <v>1042</v>
      </c>
      <c r="B781" s="32" t="s">
        <v>571</v>
      </c>
      <c r="C781" s="32" t="s">
        <v>648</v>
      </c>
      <c r="D781" s="30" t="s">
        <v>599</v>
      </c>
      <c r="E781" s="30" t="s">
        <v>600</v>
      </c>
    </row>
    <row r="782" spans="1:5" x14ac:dyDescent="0.35">
      <c r="A782" s="32">
        <v>1043</v>
      </c>
      <c r="B782" s="32" t="s">
        <v>571</v>
      </c>
      <c r="C782" s="32" t="s">
        <v>648</v>
      </c>
      <c r="D782" s="30" t="s">
        <v>599</v>
      </c>
      <c r="E782" s="30" t="s">
        <v>600</v>
      </c>
    </row>
    <row r="783" spans="1:5" x14ac:dyDescent="0.35">
      <c r="A783" s="32">
        <v>1044</v>
      </c>
      <c r="B783" s="32" t="s">
        <v>571</v>
      </c>
      <c r="C783" s="32" t="s">
        <v>648</v>
      </c>
      <c r="D783" s="30" t="s">
        <v>599</v>
      </c>
      <c r="E783" s="30" t="s">
        <v>600</v>
      </c>
    </row>
    <row r="784" spans="1:5" x14ac:dyDescent="0.35">
      <c r="A784" s="32">
        <v>1045</v>
      </c>
      <c r="B784" s="32" t="s">
        <v>571</v>
      </c>
      <c r="C784" s="32" t="s">
        <v>648</v>
      </c>
      <c r="D784" s="30" t="s">
        <v>599</v>
      </c>
      <c r="E784" s="30" t="s">
        <v>600</v>
      </c>
    </row>
    <row r="785" spans="1:5" x14ac:dyDescent="0.35">
      <c r="A785" s="32">
        <v>1046</v>
      </c>
      <c r="B785" s="32" t="s">
        <v>571</v>
      </c>
      <c r="C785" s="32" t="s">
        <v>648</v>
      </c>
      <c r="D785" s="30" t="s">
        <v>599</v>
      </c>
      <c r="E785" s="30" t="s">
        <v>600</v>
      </c>
    </row>
    <row r="786" spans="1:5" x14ac:dyDescent="0.35">
      <c r="A786" s="32">
        <v>1047</v>
      </c>
      <c r="B786" s="32" t="s">
        <v>571</v>
      </c>
      <c r="C786" s="32" t="s">
        <v>648</v>
      </c>
      <c r="D786" s="30" t="s">
        <v>599</v>
      </c>
      <c r="E786" s="30" t="s">
        <v>600</v>
      </c>
    </row>
    <row r="787" spans="1:5" x14ac:dyDescent="0.35">
      <c r="A787" s="32">
        <v>1048</v>
      </c>
      <c r="B787" s="32" t="s">
        <v>571</v>
      </c>
      <c r="C787" s="32" t="s">
        <v>648</v>
      </c>
      <c r="D787" s="30" t="s">
        <v>599</v>
      </c>
      <c r="E787" s="30" t="s">
        <v>600</v>
      </c>
    </row>
    <row r="788" spans="1:5" x14ac:dyDescent="0.35">
      <c r="A788" s="32">
        <v>1049</v>
      </c>
      <c r="B788" s="32" t="s">
        <v>571</v>
      </c>
      <c r="C788" s="32" t="s">
        <v>648</v>
      </c>
      <c r="D788" s="30" t="s">
        <v>599</v>
      </c>
      <c r="E788" s="30" t="s">
        <v>600</v>
      </c>
    </row>
    <row r="789" spans="1:5" x14ac:dyDescent="0.35">
      <c r="A789" s="32">
        <v>1050</v>
      </c>
      <c r="B789" s="32" t="s">
        <v>571</v>
      </c>
      <c r="C789" s="32" t="s">
        <v>648</v>
      </c>
      <c r="D789" s="30" t="s">
        <v>599</v>
      </c>
      <c r="E789" s="30" t="s">
        <v>600</v>
      </c>
    </row>
    <row r="790" spans="1:5" x14ac:dyDescent="0.35">
      <c r="A790" s="32">
        <v>1051</v>
      </c>
      <c r="B790" s="32" t="s">
        <v>571</v>
      </c>
      <c r="C790" s="32" t="s">
        <v>648</v>
      </c>
      <c r="D790" s="30" t="s">
        <v>599</v>
      </c>
      <c r="E790" s="30" t="s">
        <v>600</v>
      </c>
    </row>
    <row r="791" spans="1:5" x14ac:dyDescent="0.35">
      <c r="A791" s="32">
        <v>1052</v>
      </c>
      <c r="B791" s="32" t="s">
        <v>571</v>
      </c>
      <c r="C791" s="32" t="s">
        <v>648</v>
      </c>
      <c r="D791" s="30" t="s">
        <v>599</v>
      </c>
      <c r="E791" s="30" t="s">
        <v>600</v>
      </c>
    </row>
    <row r="792" spans="1:5" x14ac:dyDescent="0.35">
      <c r="A792" s="32">
        <v>1053</v>
      </c>
      <c r="B792" s="32" t="s">
        <v>571</v>
      </c>
      <c r="C792" s="32" t="s">
        <v>648</v>
      </c>
      <c r="D792" s="30" t="s">
        <v>599</v>
      </c>
      <c r="E792" s="30" t="s">
        <v>600</v>
      </c>
    </row>
    <row r="793" spans="1:5" x14ac:dyDescent="0.35">
      <c r="A793" s="32">
        <v>1054</v>
      </c>
      <c r="B793" s="32" t="s">
        <v>571</v>
      </c>
      <c r="C793" s="32" t="s">
        <v>648</v>
      </c>
      <c r="D793" s="30" t="s">
        <v>599</v>
      </c>
      <c r="E793" s="30" t="s">
        <v>600</v>
      </c>
    </row>
    <row r="794" spans="1:5" x14ac:dyDescent="0.35">
      <c r="A794" s="32">
        <v>1055</v>
      </c>
      <c r="B794" s="32" t="s">
        <v>571</v>
      </c>
      <c r="C794" s="32" t="s">
        <v>648</v>
      </c>
      <c r="D794" s="30" t="s">
        <v>599</v>
      </c>
      <c r="E794" s="30" t="s">
        <v>600</v>
      </c>
    </row>
    <row r="795" spans="1:5" x14ac:dyDescent="0.35">
      <c r="A795" s="32">
        <v>1056</v>
      </c>
      <c r="B795" s="32" t="s">
        <v>571</v>
      </c>
      <c r="C795" s="32" t="s">
        <v>648</v>
      </c>
      <c r="D795" s="30" t="s">
        <v>599</v>
      </c>
      <c r="E795" s="30" t="s">
        <v>600</v>
      </c>
    </row>
    <row r="796" spans="1:5" x14ac:dyDescent="0.35">
      <c r="A796" s="32">
        <v>1057</v>
      </c>
      <c r="B796" s="32" t="s">
        <v>571</v>
      </c>
      <c r="C796" s="32" t="s">
        <v>648</v>
      </c>
      <c r="D796" s="30" t="s">
        <v>599</v>
      </c>
      <c r="E796" s="30" t="s">
        <v>600</v>
      </c>
    </row>
    <row r="797" spans="1:5" x14ac:dyDescent="0.35">
      <c r="A797" s="32">
        <v>1058</v>
      </c>
      <c r="B797" s="32" t="s">
        <v>571</v>
      </c>
      <c r="C797" s="32" t="s">
        <v>648</v>
      </c>
      <c r="D797" s="30" t="s">
        <v>599</v>
      </c>
      <c r="E797" s="30" t="s">
        <v>600</v>
      </c>
    </row>
    <row r="798" spans="1:5" x14ac:dyDescent="0.35">
      <c r="A798" s="32">
        <v>1059</v>
      </c>
      <c r="B798" s="32" t="s">
        <v>571</v>
      </c>
      <c r="C798" s="32" t="s">
        <v>648</v>
      </c>
      <c r="D798" s="30" t="s">
        <v>599</v>
      </c>
      <c r="E798" s="30" t="s">
        <v>600</v>
      </c>
    </row>
    <row r="799" spans="1:5" x14ac:dyDescent="0.35">
      <c r="A799" s="32">
        <v>1060</v>
      </c>
      <c r="B799" s="32" t="s">
        <v>610</v>
      </c>
      <c r="C799" s="32" t="s">
        <v>648</v>
      </c>
      <c r="D799" s="30" t="s">
        <v>651</v>
      </c>
      <c r="E799" s="30" t="s">
        <v>652</v>
      </c>
    </row>
    <row r="800" spans="1:5" x14ac:dyDescent="0.35">
      <c r="A800" s="32">
        <v>1061</v>
      </c>
      <c r="B800" s="32" t="s">
        <v>611</v>
      </c>
      <c r="C800" s="32" t="s">
        <v>584</v>
      </c>
      <c r="D800" s="30" t="s">
        <v>599</v>
      </c>
      <c r="E800" s="30" t="s">
        <v>600</v>
      </c>
    </row>
    <row r="801" spans="1:5" x14ac:dyDescent="0.35">
      <c r="A801" s="32">
        <v>1062</v>
      </c>
      <c r="B801" s="32" t="s">
        <v>571</v>
      </c>
      <c r="C801" s="32" t="s">
        <v>584</v>
      </c>
      <c r="D801" s="30" t="s">
        <v>599</v>
      </c>
      <c r="E801" s="30" t="s">
        <v>600</v>
      </c>
    </row>
    <row r="802" spans="1:5" x14ac:dyDescent="0.35">
      <c r="A802" s="32">
        <v>1063</v>
      </c>
      <c r="B802" s="32" t="s">
        <v>571</v>
      </c>
      <c r="C802" s="32" t="s">
        <v>584</v>
      </c>
      <c r="D802" s="30" t="s">
        <v>599</v>
      </c>
      <c r="E802" s="30" t="s">
        <v>600</v>
      </c>
    </row>
    <row r="803" spans="1:5" x14ac:dyDescent="0.35">
      <c r="A803" s="32">
        <v>1064</v>
      </c>
      <c r="B803" s="32" t="s">
        <v>571</v>
      </c>
      <c r="C803" s="32" t="s">
        <v>584</v>
      </c>
      <c r="D803" s="30" t="s">
        <v>599</v>
      </c>
      <c r="E803" s="30" t="s">
        <v>600</v>
      </c>
    </row>
    <row r="804" spans="1:5" x14ac:dyDescent="0.35">
      <c r="A804" s="32">
        <v>1065</v>
      </c>
      <c r="B804" s="32" t="s">
        <v>571</v>
      </c>
      <c r="C804" s="32" t="s">
        <v>584</v>
      </c>
      <c r="D804" s="30" t="s">
        <v>599</v>
      </c>
      <c r="E804" s="30" t="s">
        <v>600</v>
      </c>
    </row>
    <row r="805" spans="1:5" x14ac:dyDescent="0.35">
      <c r="A805" s="32">
        <v>1066</v>
      </c>
      <c r="B805" s="32" t="s">
        <v>571</v>
      </c>
      <c r="C805" s="32" t="s">
        <v>584</v>
      </c>
      <c r="D805" s="30" t="s">
        <v>599</v>
      </c>
      <c r="E805" s="30" t="s">
        <v>600</v>
      </c>
    </row>
    <row r="806" spans="1:5" x14ac:dyDescent="0.35">
      <c r="A806" s="32">
        <v>1067</v>
      </c>
      <c r="B806" s="32" t="s">
        <v>611</v>
      </c>
      <c r="C806" s="32" t="s">
        <v>584</v>
      </c>
      <c r="D806" s="30" t="s">
        <v>599</v>
      </c>
      <c r="E806" s="30" t="s">
        <v>600</v>
      </c>
    </row>
    <row r="807" spans="1:5" x14ac:dyDescent="0.35">
      <c r="A807" s="32">
        <v>1068</v>
      </c>
      <c r="B807" s="32" t="s">
        <v>571</v>
      </c>
      <c r="C807" s="32" t="s">
        <v>584</v>
      </c>
      <c r="D807" s="30" t="s">
        <v>599</v>
      </c>
      <c r="E807" s="30" t="s">
        <v>600</v>
      </c>
    </row>
    <row r="808" spans="1:5" x14ac:dyDescent="0.35">
      <c r="A808" s="32">
        <v>1069</v>
      </c>
      <c r="B808" s="32" t="s">
        <v>634</v>
      </c>
      <c r="C808" s="32" t="s">
        <v>584</v>
      </c>
      <c r="D808" s="30" t="s">
        <v>599</v>
      </c>
      <c r="E808" s="30" t="s">
        <v>600</v>
      </c>
    </row>
    <row r="809" spans="1:5" x14ac:dyDescent="0.35">
      <c r="A809" s="32">
        <v>1070</v>
      </c>
      <c r="B809" s="32" t="s">
        <v>634</v>
      </c>
      <c r="C809" s="32" t="s">
        <v>584</v>
      </c>
      <c r="D809" s="30" t="s">
        <v>599</v>
      </c>
      <c r="E809" s="30" t="s">
        <v>600</v>
      </c>
    </row>
    <row r="810" spans="1:5" x14ac:dyDescent="0.35">
      <c r="A810" s="32">
        <v>1071</v>
      </c>
      <c r="B810" s="32" t="s">
        <v>571</v>
      </c>
      <c r="C810" s="32" t="s">
        <v>584</v>
      </c>
      <c r="D810" s="30" t="s">
        <v>599</v>
      </c>
      <c r="E810" s="30" t="s">
        <v>600</v>
      </c>
    </row>
    <row r="811" spans="1:5" x14ac:dyDescent="0.35">
      <c r="A811" s="32">
        <v>1072</v>
      </c>
      <c r="B811" s="32" t="s">
        <v>634</v>
      </c>
      <c r="C811" s="32" t="s">
        <v>584</v>
      </c>
      <c r="D811" s="30" t="s">
        <v>599</v>
      </c>
      <c r="E811" s="30" t="s">
        <v>600</v>
      </c>
    </row>
    <row r="812" spans="1:5" x14ac:dyDescent="0.35">
      <c r="A812" s="32">
        <v>1073</v>
      </c>
      <c r="B812" s="32" t="s">
        <v>571</v>
      </c>
      <c r="C812" s="32" t="s">
        <v>584</v>
      </c>
      <c r="D812" s="30" t="s">
        <v>599</v>
      </c>
      <c r="E812" s="30" t="s">
        <v>600</v>
      </c>
    </row>
    <row r="813" spans="1:5" x14ac:dyDescent="0.35">
      <c r="A813" s="32">
        <v>1074</v>
      </c>
      <c r="B813" s="32" t="s">
        <v>641</v>
      </c>
      <c r="C813" s="32" t="s">
        <v>584</v>
      </c>
      <c r="D813" s="30" t="s">
        <v>599</v>
      </c>
      <c r="E813" s="30" t="s">
        <v>600</v>
      </c>
    </row>
    <row r="814" spans="1:5" x14ac:dyDescent="0.35">
      <c r="A814" s="32">
        <v>1075</v>
      </c>
      <c r="B814" s="32" t="s">
        <v>571</v>
      </c>
      <c r="C814" s="32" t="s">
        <v>584</v>
      </c>
      <c r="D814" s="30" t="s">
        <v>599</v>
      </c>
      <c r="E814" s="30" t="s">
        <v>600</v>
      </c>
    </row>
    <row r="815" spans="1:5" x14ac:dyDescent="0.35">
      <c r="A815" s="32">
        <v>1076</v>
      </c>
      <c r="B815" s="32" t="s">
        <v>610</v>
      </c>
      <c r="C815" s="32" t="s">
        <v>624</v>
      </c>
      <c r="D815" s="30" t="s">
        <v>599</v>
      </c>
      <c r="E815" s="30" t="s">
        <v>629</v>
      </c>
    </row>
    <row r="816" spans="1:5" x14ac:dyDescent="0.35">
      <c r="A816" s="32">
        <v>1077</v>
      </c>
      <c r="B816" s="32" t="s">
        <v>610</v>
      </c>
      <c r="C816" s="32" t="s">
        <v>624</v>
      </c>
      <c r="D816" s="30" t="s">
        <v>599</v>
      </c>
      <c r="E816" s="30" t="s">
        <v>629</v>
      </c>
    </row>
    <row r="817" spans="1:5" x14ac:dyDescent="0.35">
      <c r="A817" s="32">
        <v>1078</v>
      </c>
      <c r="B817" s="32" t="s">
        <v>610</v>
      </c>
      <c r="C817" s="32" t="s">
        <v>624</v>
      </c>
      <c r="D817" s="30" t="s">
        <v>599</v>
      </c>
      <c r="E817" s="30" t="s">
        <v>629</v>
      </c>
    </row>
    <row r="818" spans="1:5" x14ac:dyDescent="0.35">
      <c r="A818" s="32">
        <v>1079</v>
      </c>
      <c r="B818" s="32" t="s">
        <v>610</v>
      </c>
      <c r="C818" s="32" t="s">
        <v>624</v>
      </c>
      <c r="D818" s="30" t="s">
        <v>599</v>
      </c>
      <c r="E818" s="30" t="s">
        <v>629</v>
      </c>
    </row>
    <row r="819" spans="1:5" x14ac:dyDescent="0.35">
      <c r="A819" s="32">
        <v>1080</v>
      </c>
      <c r="B819" s="32" t="s">
        <v>610</v>
      </c>
      <c r="C819" s="32" t="s">
        <v>605</v>
      </c>
      <c r="D819" s="30" t="s">
        <v>599</v>
      </c>
      <c r="E819" s="30" t="s">
        <v>629</v>
      </c>
    </row>
    <row r="820" spans="1:5" x14ac:dyDescent="0.35">
      <c r="A820" s="32">
        <v>1081</v>
      </c>
      <c r="B820" s="32" t="s">
        <v>610</v>
      </c>
      <c r="C820" s="32" t="s">
        <v>605</v>
      </c>
      <c r="D820" s="30" t="s">
        <v>599</v>
      </c>
      <c r="E820" s="30" t="s">
        <v>629</v>
      </c>
    </row>
    <row r="821" spans="1:5" x14ac:dyDescent="0.35">
      <c r="A821" s="32">
        <v>1082</v>
      </c>
      <c r="B821" s="32" t="s">
        <v>610</v>
      </c>
      <c r="C821" s="32" t="s">
        <v>605</v>
      </c>
      <c r="D821" s="30" t="s">
        <v>599</v>
      </c>
      <c r="E821" s="30" t="s">
        <v>629</v>
      </c>
    </row>
    <row r="822" spans="1:5" x14ac:dyDescent="0.35">
      <c r="A822" s="32">
        <v>1083</v>
      </c>
      <c r="B822" s="32" t="s">
        <v>610</v>
      </c>
      <c r="C822" s="32" t="s">
        <v>605</v>
      </c>
      <c r="D822" s="30" t="s">
        <v>599</v>
      </c>
      <c r="E822" s="30" t="s">
        <v>629</v>
      </c>
    </row>
    <row r="823" spans="1:5" x14ac:dyDescent="0.35">
      <c r="A823" s="32">
        <v>1084</v>
      </c>
      <c r="B823" s="32" t="s">
        <v>611</v>
      </c>
      <c r="C823" s="32" t="s">
        <v>584</v>
      </c>
      <c r="D823" s="30" t="s">
        <v>599</v>
      </c>
      <c r="E823" s="30" t="s">
        <v>653</v>
      </c>
    </row>
    <row r="824" spans="1:5" x14ac:dyDescent="0.35">
      <c r="A824" s="32">
        <v>1085</v>
      </c>
      <c r="B824" s="32" t="s">
        <v>571</v>
      </c>
      <c r="C824" s="32" t="s">
        <v>584</v>
      </c>
      <c r="D824" s="30" t="s">
        <v>599</v>
      </c>
      <c r="E824" s="30" t="s">
        <v>653</v>
      </c>
    </row>
    <row r="825" spans="1:5" x14ac:dyDescent="0.35">
      <c r="A825" s="32">
        <v>1086</v>
      </c>
      <c r="B825" s="32" t="s">
        <v>634</v>
      </c>
      <c r="C825" s="32" t="s">
        <v>584</v>
      </c>
      <c r="D825" s="30" t="s">
        <v>599</v>
      </c>
      <c r="E825" s="30" t="s">
        <v>653</v>
      </c>
    </row>
    <row r="826" spans="1:5" x14ac:dyDescent="0.35">
      <c r="A826" s="32">
        <v>1087</v>
      </c>
      <c r="B826" s="32" t="s">
        <v>634</v>
      </c>
      <c r="C826" s="32" t="s">
        <v>584</v>
      </c>
      <c r="D826" s="30" t="s">
        <v>632</v>
      </c>
      <c r="E826" s="30" t="s">
        <v>633</v>
      </c>
    </row>
    <row r="827" spans="1:5" x14ac:dyDescent="0.35">
      <c r="A827" s="32">
        <v>1088</v>
      </c>
      <c r="B827" s="32" t="s">
        <v>571</v>
      </c>
      <c r="C827" s="32" t="s">
        <v>584</v>
      </c>
      <c r="D827" s="30" t="s">
        <v>632</v>
      </c>
      <c r="E827" s="30" t="s">
        <v>633</v>
      </c>
    </row>
    <row r="828" spans="1:5" x14ac:dyDescent="0.35">
      <c r="A828" s="32">
        <v>1089</v>
      </c>
      <c r="B828" s="32" t="s">
        <v>641</v>
      </c>
      <c r="C828" s="32" t="s">
        <v>584</v>
      </c>
      <c r="D828" s="30" t="s">
        <v>632</v>
      </c>
      <c r="E828" s="30" t="s">
        <v>633</v>
      </c>
    </row>
    <row r="829" spans="1:5" x14ac:dyDescent="0.35">
      <c r="A829" s="32">
        <v>1090</v>
      </c>
      <c r="B829" s="32" t="s">
        <v>611</v>
      </c>
      <c r="C829" s="32" t="s">
        <v>584</v>
      </c>
      <c r="D829" s="30" t="s">
        <v>632</v>
      </c>
      <c r="E829" s="30" t="s">
        <v>633</v>
      </c>
    </row>
    <row r="830" spans="1:5" x14ac:dyDescent="0.35">
      <c r="A830" s="32">
        <v>1091</v>
      </c>
      <c r="B830" s="32" t="s">
        <v>610</v>
      </c>
      <c r="C830" s="32" t="s">
        <v>584</v>
      </c>
      <c r="D830" s="30" t="s">
        <v>632</v>
      </c>
      <c r="E830" s="30" t="s">
        <v>633</v>
      </c>
    </row>
    <row r="831" spans="1:5" x14ac:dyDescent="0.35">
      <c r="A831" s="32">
        <v>1092</v>
      </c>
      <c r="B831" s="32" t="s">
        <v>610</v>
      </c>
      <c r="C831" s="32" t="s">
        <v>584</v>
      </c>
      <c r="D831" s="30" t="s">
        <v>632</v>
      </c>
      <c r="E831" s="30" t="s">
        <v>633</v>
      </c>
    </row>
    <row r="832" spans="1:5" x14ac:dyDescent="0.35">
      <c r="A832" s="32">
        <v>1093</v>
      </c>
      <c r="B832" s="32" t="s">
        <v>610</v>
      </c>
      <c r="C832" s="32" t="s">
        <v>584</v>
      </c>
      <c r="D832" s="30" t="s">
        <v>632</v>
      </c>
      <c r="E832" s="30" t="s">
        <v>633</v>
      </c>
    </row>
    <row r="833" spans="1:5" x14ac:dyDescent="0.35">
      <c r="A833" s="32">
        <v>1094</v>
      </c>
      <c r="B833" s="32" t="s">
        <v>610</v>
      </c>
      <c r="C833" s="32" t="s">
        <v>584</v>
      </c>
      <c r="D833" s="30" t="s">
        <v>632</v>
      </c>
      <c r="E833" s="30" t="s">
        <v>633</v>
      </c>
    </row>
    <row r="834" spans="1:5" x14ac:dyDescent="0.35">
      <c r="A834" s="32">
        <v>1095</v>
      </c>
      <c r="B834" s="32" t="s">
        <v>610</v>
      </c>
      <c r="C834" s="32" t="s">
        <v>584</v>
      </c>
      <c r="D834" s="30" t="s">
        <v>632</v>
      </c>
      <c r="E834" s="30" t="s">
        <v>633</v>
      </c>
    </row>
    <row r="835" spans="1:5" x14ac:dyDescent="0.35">
      <c r="A835" s="32">
        <v>1096</v>
      </c>
      <c r="B835" s="32" t="s">
        <v>610</v>
      </c>
      <c r="C835" s="32" t="s">
        <v>584</v>
      </c>
      <c r="D835" s="30" t="s">
        <v>632</v>
      </c>
      <c r="E835" s="30" t="s">
        <v>633</v>
      </c>
    </row>
    <row r="836" spans="1:5" x14ac:dyDescent="0.35">
      <c r="A836" s="32">
        <v>1097</v>
      </c>
      <c r="B836" s="32" t="s">
        <v>610</v>
      </c>
      <c r="C836" s="32" t="s">
        <v>584</v>
      </c>
      <c r="D836" s="30" t="s">
        <v>632</v>
      </c>
      <c r="E836" s="30" t="s">
        <v>633</v>
      </c>
    </row>
    <row r="837" spans="1:5" x14ac:dyDescent="0.35">
      <c r="A837" s="32">
        <v>1098</v>
      </c>
      <c r="B837" s="32" t="s">
        <v>610</v>
      </c>
      <c r="C837" s="32" t="s">
        <v>584</v>
      </c>
      <c r="D837" s="30" t="s">
        <v>632</v>
      </c>
      <c r="E837" s="30" t="s">
        <v>633</v>
      </c>
    </row>
    <row r="838" spans="1:5" x14ac:dyDescent="0.35">
      <c r="A838" s="32">
        <v>1099</v>
      </c>
      <c r="B838" s="32" t="s">
        <v>634</v>
      </c>
      <c r="C838" s="32" t="s">
        <v>605</v>
      </c>
      <c r="D838" s="30" t="s">
        <v>573</v>
      </c>
      <c r="E838" s="30" t="s">
        <v>574</v>
      </c>
    </row>
    <row r="839" spans="1:5" x14ac:dyDescent="0.35">
      <c r="A839" s="32">
        <v>1100</v>
      </c>
      <c r="B839" s="32" t="s">
        <v>634</v>
      </c>
      <c r="C839" s="32" t="s">
        <v>572</v>
      </c>
      <c r="D839" s="30" t="s">
        <v>573</v>
      </c>
      <c r="E839" s="30" t="s">
        <v>574</v>
      </c>
    </row>
    <row r="840" spans="1:5" x14ac:dyDescent="0.35">
      <c r="A840" s="32">
        <v>1101</v>
      </c>
      <c r="B840" s="32" t="s">
        <v>634</v>
      </c>
      <c r="C840" s="32" t="s">
        <v>572</v>
      </c>
      <c r="D840" s="30" t="s">
        <v>573</v>
      </c>
      <c r="E840" s="30" t="s">
        <v>574</v>
      </c>
    </row>
    <row r="841" spans="1:5" x14ac:dyDescent="0.35">
      <c r="A841" s="32">
        <v>1102</v>
      </c>
      <c r="B841" s="32" t="s">
        <v>634</v>
      </c>
      <c r="C841" s="32" t="s">
        <v>572</v>
      </c>
      <c r="D841" s="30" t="s">
        <v>573</v>
      </c>
      <c r="E841" s="30" t="s">
        <v>574</v>
      </c>
    </row>
    <row r="842" spans="1:5" x14ac:dyDescent="0.35">
      <c r="A842" s="32">
        <v>1103</v>
      </c>
      <c r="B842" s="32" t="s">
        <v>634</v>
      </c>
      <c r="C842" s="32" t="s">
        <v>572</v>
      </c>
      <c r="D842" s="30" t="s">
        <v>573</v>
      </c>
      <c r="E842" s="30" t="s">
        <v>574</v>
      </c>
    </row>
    <row r="843" spans="1:5" x14ac:dyDescent="0.35">
      <c r="A843" s="32">
        <v>1104</v>
      </c>
      <c r="B843" s="32" t="s">
        <v>634</v>
      </c>
      <c r="C843" s="32" t="s">
        <v>572</v>
      </c>
      <c r="D843" s="30" t="s">
        <v>573</v>
      </c>
      <c r="E843" s="30" t="s">
        <v>574</v>
      </c>
    </row>
    <row r="844" spans="1:5" x14ac:dyDescent="0.35">
      <c r="A844" s="32">
        <v>1105</v>
      </c>
      <c r="B844" s="32" t="s">
        <v>634</v>
      </c>
      <c r="C844" s="32" t="s">
        <v>572</v>
      </c>
      <c r="D844" s="30" t="s">
        <v>573</v>
      </c>
      <c r="E844" s="30" t="s">
        <v>574</v>
      </c>
    </row>
    <row r="845" spans="1:5" x14ac:dyDescent="0.35">
      <c r="A845" s="32">
        <v>1106</v>
      </c>
      <c r="B845" s="32" t="s">
        <v>634</v>
      </c>
      <c r="C845" s="32" t="s">
        <v>572</v>
      </c>
      <c r="D845" s="30" t="s">
        <v>573</v>
      </c>
      <c r="E845" s="30" t="s">
        <v>574</v>
      </c>
    </row>
    <row r="846" spans="1:5" x14ac:dyDescent="0.35">
      <c r="A846" s="32">
        <v>1107</v>
      </c>
      <c r="B846" s="32" t="s">
        <v>634</v>
      </c>
      <c r="C846" s="32" t="s">
        <v>572</v>
      </c>
      <c r="D846" s="30" t="s">
        <v>573</v>
      </c>
      <c r="E846" s="30" t="s">
        <v>574</v>
      </c>
    </row>
    <row r="847" spans="1:5" x14ac:dyDescent="0.35">
      <c r="A847" s="32">
        <v>1108</v>
      </c>
      <c r="B847" s="32" t="s">
        <v>611</v>
      </c>
      <c r="C847" s="32" t="s">
        <v>605</v>
      </c>
      <c r="D847" s="30" t="s">
        <v>599</v>
      </c>
      <c r="E847" s="30" t="s">
        <v>653</v>
      </c>
    </row>
    <row r="848" spans="1:5" x14ac:dyDescent="0.35">
      <c r="A848" s="32">
        <v>1109</v>
      </c>
      <c r="B848" s="32" t="s">
        <v>571</v>
      </c>
      <c r="C848" s="32" t="s">
        <v>584</v>
      </c>
      <c r="D848" s="30" t="s">
        <v>632</v>
      </c>
      <c r="E848" s="30" t="s">
        <v>633</v>
      </c>
    </row>
    <row r="849" spans="1:5" x14ac:dyDescent="0.35">
      <c r="A849" s="32">
        <v>1110</v>
      </c>
      <c r="B849" s="32" t="s">
        <v>571</v>
      </c>
      <c r="C849" s="32" t="s">
        <v>584</v>
      </c>
      <c r="D849" s="30" t="s">
        <v>632</v>
      </c>
      <c r="E849" s="30" t="s">
        <v>633</v>
      </c>
    </row>
    <row r="850" spans="1:5" x14ac:dyDescent="0.35">
      <c r="A850" s="32">
        <v>1111</v>
      </c>
      <c r="B850" s="32" t="s">
        <v>571</v>
      </c>
      <c r="C850" s="32" t="s">
        <v>584</v>
      </c>
      <c r="D850" s="30" t="s">
        <v>632</v>
      </c>
      <c r="E850" s="30" t="s">
        <v>633</v>
      </c>
    </row>
    <row r="851" spans="1:5" x14ac:dyDescent="0.35">
      <c r="A851" s="32">
        <v>1112</v>
      </c>
      <c r="B851" s="32" t="s">
        <v>634</v>
      </c>
      <c r="C851" s="32" t="s">
        <v>624</v>
      </c>
      <c r="D851" s="30" t="s">
        <v>639</v>
      </c>
      <c r="E851" s="30" t="s">
        <v>654</v>
      </c>
    </row>
    <row r="852" spans="1:5" x14ac:dyDescent="0.35">
      <c r="A852" s="32">
        <v>1113</v>
      </c>
      <c r="B852" s="32" t="s">
        <v>634</v>
      </c>
      <c r="C852" s="32" t="s">
        <v>624</v>
      </c>
      <c r="D852" s="30" t="s">
        <v>639</v>
      </c>
      <c r="E852" s="30" t="s">
        <v>654</v>
      </c>
    </row>
    <row r="853" spans="1:5" x14ac:dyDescent="0.35">
      <c r="A853" s="32">
        <v>1114</v>
      </c>
      <c r="B853" s="32" t="s">
        <v>634</v>
      </c>
      <c r="C853" s="32" t="s">
        <v>605</v>
      </c>
      <c r="D853" s="30" t="s">
        <v>639</v>
      </c>
      <c r="E853" s="30" t="s">
        <v>654</v>
      </c>
    </row>
    <row r="854" spans="1:5" x14ac:dyDescent="0.35">
      <c r="A854" s="32">
        <v>1115</v>
      </c>
      <c r="B854" s="32" t="s">
        <v>571</v>
      </c>
      <c r="C854" s="32" t="s">
        <v>648</v>
      </c>
      <c r="D854" s="30" t="s">
        <v>599</v>
      </c>
      <c r="E854" s="30" t="s">
        <v>649</v>
      </c>
    </row>
    <row r="855" spans="1:5" x14ac:dyDescent="0.35">
      <c r="A855" s="32">
        <v>1116</v>
      </c>
      <c r="B855" s="32" t="s">
        <v>571</v>
      </c>
      <c r="C855" s="32" t="s">
        <v>605</v>
      </c>
      <c r="D855" s="30" t="s">
        <v>632</v>
      </c>
      <c r="E855" s="30" t="s">
        <v>633</v>
      </c>
    </row>
    <row r="856" spans="1:5" x14ac:dyDescent="0.35">
      <c r="A856" s="32">
        <v>1117</v>
      </c>
      <c r="B856" s="32" t="s">
        <v>571</v>
      </c>
      <c r="C856" s="32" t="s">
        <v>624</v>
      </c>
      <c r="D856" s="30" t="s">
        <v>632</v>
      </c>
      <c r="E856" s="30" t="s">
        <v>633</v>
      </c>
    </row>
    <row r="857" spans="1:5" x14ac:dyDescent="0.35">
      <c r="A857" s="32">
        <v>1118</v>
      </c>
      <c r="B857" s="32" t="s">
        <v>610</v>
      </c>
      <c r="C857" s="32" t="s">
        <v>584</v>
      </c>
      <c r="D857" s="30" t="s">
        <v>599</v>
      </c>
      <c r="E857" s="30" t="s">
        <v>629</v>
      </c>
    </row>
    <row r="858" spans="1:5" x14ac:dyDescent="0.35">
      <c r="A858" s="32">
        <v>1119</v>
      </c>
      <c r="B858" s="32" t="s">
        <v>571</v>
      </c>
      <c r="C858" s="32" t="s">
        <v>650</v>
      </c>
      <c r="D858" s="30" t="s">
        <v>643</v>
      </c>
      <c r="E858" s="30" t="s">
        <v>644</v>
      </c>
    </row>
    <row r="859" spans="1:5" x14ac:dyDescent="0.35">
      <c r="A859" s="32">
        <v>1120</v>
      </c>
      <c r="B859" s="32" t="s">
        <v>571</v>
      </c>
      <c r="C859" s="32" t="s">
        <v>605</v>
      </c>
      <c r="D859" s="30" t="s">
        <v>643</v>
      </c>
      <c r="E859" s="30" t="s">
        <v>644</v>
      </c>
    </row>
    <row r="860" spans="1:5" x14ac:dyDescent="0.35">
      <c r="A860" s="32">
        <v>1121</v>
      </c>
      <c r="B860" s="32" t="s">
        <v>571</v>
      </c>
      <c r="C860" s="32" t="s">
        <v>648</v>
      </c>
      <c r="D860" s="30" t="s">
        <v>643</v>
      </c>
      <c r="E860" s="30" t="s">
        <v>644</v>
      </c>
    </row>
    <row r="861" spans="1:5" x14ac:dyDescent="0.35">
      <c r="A861" s="32">
        <v>1122</v>
      </c>
      <c r="B861" s="32" t="s">
        <v>571</v>
      </c>
      <c r="C861" s="32" t="s">
        <v>655</v>
      </c>
      <c r="D861" s="30" t="s">
        <v>643</v>
      </c>
      <c r="E861" s="30" t="s">
        <v>644</v>
      </c>
    </row>
    <row r="862" spans="1:5" x14ac:dyDescent="0.35">
      <c r="A862" s="32">
        <v>1123</v>
      </c>
      <c r="B862" s="32" t="s">
        <v>571</v>
      </c>
      <c r="C862" s="32" t="s">
        <v>648</v>
      </c>
      <c r="D862" s="30" t="s">
        <v>643</v>
      </c>
      <c r="E862" s="30" t="s">
        <v>644</v>
      </c>
    </row>
    <row r="863" spans="1:5" x14ac:dyDescent="0.35">
      <c r="A863" s="32">
        <v>1124</v>
      </c>
      <c r="B863" s="32" t="s">
        <v>571</v>
      </c>
      <c r="C863" s="32" t="s">
        <v>605</v>
      </c>
      <c r="D863" s="30" t="s">
        <v>643</v>
      </c>
      <c r="E863" s="30" t="s">
        <v>644</v>
      </c>
    </row>
    <row r="864" spans="1:5" x14ac:dyDescent="0.35">
      <c r="A864" s="32">
        <v>1125</v>
      </c>
      <c r="B864" s="32" t="s">
        <v>571</v>
      </c>
      <c r="C864" s="32" t="s">
        <v>624</v>
      </c>
      <c r="D864" s="30" t="s">
        <v>639</v>
      </c>
      <c r="E864" s="30" t="s">
        <v>654</v>
      </c>
    </row>
    <row r="865" spans="1:5" x14ac:dyDescent="0.35">
      <c r="A865" s="32">
        <v>1126</v>
      </c>
      <c r="B865" s="32" t="s">
        <v>610</v>
      </c>
      <c r="C865" s="32" t="s">
        <v>605</v>
      </c>
      <c r="D865" s="30" t="s">
        <v>656</v>
      </c>
      <c r="E865" s="30" t="s">
        <v>657</v>
      </c>
    </row>
    <row r="866" spans="1:5" x14ac:dyDescent="0.35">
      <c r="A866" s="32">
        <v>1127</v>
      </c>
      <c r="B866" s="32" t="s">
        <v>610</v>
      </c>
      <c r="C866" s="32" t="s">
        <v>584</v>
      </c>
      <c r="D866" s="30" t="s">
        <v>632</v>
      </c>
      <c r="E866" s="30" t="s">
        <v>633</v>
      </c>
    </row>
    <row r="867" spans="1:5" x14ac:dyDescent="0.35">
      <c r="A867" s="32">
        <v>1128</v>
      </c>
      <c r="B867" s="32" t="s">
        <v>611</v>
      </c>
      <c r="C867" s="32" t="s">
        <v>584</v>
      </c>
      <c r="D867" s="30" t="s">
        <v>621</v>
      </c>
      <c r="E867" s="30" t="s">
        <v>658</v>
      </c>
    </row>
    <row r="868" spans="1:5" x14ac:dyDescent="0.35">
      <c r="A868" s="32">
        <v>1129</v>
      </c>
      <c r="B868" s="32" t="s">
        <v>634</v>
      </c>
      <c r="C868" s="32" t="s">
        <v>584</v>
      </c>
      <c r="D868" s="30" t="s">
        <v>621</v>
      </c>
      <c r="E868" s="30" t="s">
        <v>658</v>
      </c>
    </row>
    <row r="869" spans="1:5" x14ac:dyDescent="0.35">
      <c r="A869" s="32">
        <v>1130</v>
      </c>
      <c r="B869" s="32" t="s">
        <v>571</v>
      </c>
      <c r="C869" s="32" t="s">
        <v>584</v>
      </c>
      <c r="D869" s="30" t="s">
        <v>621</v>
      </c>
      <c r="E869" s="30" t="s">
        <v>658</v>
      </c>
    </row>
    <row r="870" spans="1:5" x14ac:dyDescent="0.35">
      <c r="A870" s="32">
        <v>1131</v>
      </c>
      <c r="B870" s="32" t="s">
        <v>610</v>
      </c>
      <c r="C870" s="32" t="s">
        <v>584</v>
      </c>
      <c r="D870" s="30" t="s">
        <v>621</v>
      </c>
      <c r="E870" s="30" t="s">
        <v>658</v>
      </c>
    </row>
    <row r="871" spans="1:5" x14ac:dyDescent="0.35">
      <c r="A871" s="32">
        <v>1132</v>
      </c>
      <c r="B871" s="32" t="s">
        <v>610</v>
      </c>
      <c r="C871" s="32" t="s">
        <v>584</v>
      </c>
      <c r="D871" s="30" t="s">
        <v>621</v>
      </c>
      <c r="E871" s="30" t="s">
        <v>658</v>
      </c>
    </row>
    <row r="872" spans="1:5" x14ac:dyDescent="0.35">
      <c r="A872" s="32">
        <v>1133</v>
      </c>
      <c r="B872" s="32" t="s">
        <v>571</v>
      </c>
      <c r="C872" s="32" t="s">
        <v>584</v>
      </c>
      <c r="D872" s="30" t="s">
        <v>612</v>
      </c>
      <c r="E872" s="30" t="s">
        <v>613</v>
      </c>
    </row>
    <row r="873" spans="1:5" x14ac:dyDescent="0.35">
      <c r="A873" s="32">
        <v>1134</v>
      </c>
      <c r="B873" s="32" t="s">
        <v>634</v>
      </c>
      <c r="C873" s="32" t="s">
        <v>584</v>
      </c>
      <c r="D873" s="30" t="s">
        <v>612</v>
      </c>
      <c r="E873" s="30" t="s">
        <v>613</v>
      </c>
    </row>
    <row r="874" spans="1:5" x14ac:dyDescent="0.35">
      <c r="A874" s="32">
        <v>1135</v>
      </c>
      <c r="B874" s="32" t="s">
        <v>641</v>
      </c>
      <c r="C874" s="32" t="s">
        <v>584</v>
      </c>
      <c r="D874" s="30" t="s">
        <v>612</v>
      </c>
      <c r="E874" s="30" t="s">
        <v>613</v>
      </c>
    </row>
    <row r="875" spans="1:5" x14ac:dyDescent="0.35">
      <c r="A875" s="32">
        <v>1136</v>
      </c>
      <c r="B875" s="32" t="s">
        <v>610</v>
      </c>
      <c r="C875" s="32" t="s">
        <v>648</v>
      </c>
      <c r="D875" s="30" t="s">
        <v>599</v>
      </c>
      <c r="E875" s="30" t="s">
        <v>629</v>
      </c>
    </row>
    <row r="876" spans="1:5" x14ac:dyDescent="0.35">
      <c r="A876" s="32">
        <v>1137</v>
      </c>
      <c r="B876" s="32" t="s">
        <v>610</v>
      </c>
      <c r="C876" s="32" t="s">
        <v>584</v>
      </c>
      <c r="D876" s="30" t="s">
        <v>599</v>
      </c>
      <c r="E876" s="30" t="s">
        <v>629</v>
      </c>
    </row>
    <row r="877" spans="1:5" x14ac:dyDescent="0.35">
      <c r="A877" s="32">
        <v>1138</v>
      </c>
      <c r="B877" s="32" t="s">
        <v>610</v>
      </c>
      <c r="C877" s="32" t="s">
        <v>584</v>
      </c>
      <c r="D877" s="30" t="s">
        <v>573</v>
      </c>
      <c r="E877" s="30" t="s">
        <v>638</v>
      </c>
    </row>
    <row r="878" spans="1:5" x14ac:dyDescent="0.35">
      <c r="A878" s="32">
        <v>1139</v>
      </c>
      <c r="B878" s="32" t="s">
        <v>610</v>
      </c>
      <c r="C878" s="32" t="s">
        <v>584</v>
      </c>
      <c r="D878" s="30" t="s">
        <v>573</v>
      </c>
      <c r="E878" s="30" t="s">
        <v>638</v>
      </c>
    </row>
    <row r="879" spans="1:5" x14ac:dyDescent="0.35">
      <c r="A879" s="32">
        <v>1140</v>
      </c>
      <c r="B879" s="32" t="s">
        <v>610</v>
      </c>
      <c r="C879" s="32" t="s">
        <v>584</v>
      </c>
      <c r="D879" s="30" t="s">
        <v>573</v>
      </c>
      <c r="E879" s="30" t="s">
        <v>638</v>
      </c>
    </row>
    <row r="880" spans="1:5" x14ac:dyDescent="0.35">
      <c r="A880" s="32">
        <v>1141</v>
      </c>
      <c r="B880" s="32" t="s">
        <v>610</v>
      </c>
      <c r="C880" s="32" t="s">
        <v>584</v>
      </c>
      <c r="D880" s="30" t="s">
        <v>573</v>
      </c>
      <c r="E880" s="30" t="s">
        <v>638</v>
      </c>
    </row>
    <row r="881" spans="1:5" x14ac:dyDescent="0.35">
      <c r="A881" s="32">
        <v>1142</v>
      </c>
      <c r="B881" s="32" t="s">
        <v>610</v>
      </c>
      <c r="C881" s="32" t="s">
        <v>605</v>
      </c>
      <c r="D881" s="30" t="s">
        <v>573</v>
      </c>
      <c r="E881" s="30" t="s">
        <v>638</v>
      </c>
    </row>
    <row r="882" spans="1:5" x14ac:dyDescent="0.35">
      <c r="A882" s="32">
        <v>1152</v>
      </c>
      <c r="B882" s="32" t="s">
        <v>610</v>
      </c>
      <c r="C882" s="32" t="s">
        <v>584</v>
      </c>
      <c r="D882" s="30" t="s">
        <v>659</v>
      </c>
      <c r="E882" s="30" t="s">
        <v>660</v>
      </c>
    </row>
    <row r="883" spans="1:5" x14ac:dyDescent="0.35">
      <c r="A883" s="32">
        <v>1153</v>
      </c>
      <c r="B883" s="32" t="s">
        <v>610</v>
      </c>
      <c r="C883" s="32" t="s">
        <v>584</v>
      </c>
      <c r="D883" s="30" t="s">
        <v>632</v>
      </c>
      <c r="E883" s="30" t="s">
        <v>633</v>
      </c>
    </row>
    <row r="884" spans="1:5" x14ac:dyDescent="0.35">
      <c r="A884" s="32">
        <v>1154</v>
      </c>
      <c r="B884" s="32" t="s">
        <v>610</v>
      </c>
      <c r="C884" s="32" t="s">
        <v>648</v>
      </c>
      <c r="D884" s="30" t="s">
        <v>573</v>
      </c>
      <c r="E884" s="30" t="s">
        <v>574</v>
      </c>
    </row>
    <row r="885" spans="1:5" x14ac:dyDescent="0.35">
      <c r="A885" s="32">
        <v>1155</v>
      </c>
      <c r="B885" s="32" t="s">
        <v>634</v>
      </c>
      <c r="C885" s="32" t="s">
        <v>605</v>
      </c>
      <c r="D885" s="30" t="s">
        <v>656</v>
      </c>
      <c r="E885" s="30" t="s">
        <v>661</v>
      </c>
    </row>
    <row r="886" spans="1:5" x14ac:dyDescent="0.35">
      <c r="A886" s="32">
        <v>1156</v>
      </c>
      <c r="B886" s="32" t="s">
        <v>634</v>
      </c>
      <c r="C886" s="32" t="s">
        <v>584</v>
      </c>
      <c r="D886" s="30" t="s">
        <v>656</v>
      </c>
      <c r="E886" s="30" t="s">
        <v>661</v>
      </c>
    </row>
    <row r="887" spans="1:5" x14ac:dyDescent="0.35">
      <c r="A887" s="32">
        <v>1157</v>
      </c>
      <c r="B887" s="32" t="s">
        <v>634</v>
      </c>
      <c r="C887" s="32" t="s">
        <v>624</v>
      </c>
      <c r="D887" s="30" t="s">
        <v>656</v>
      </c>
      <c r="E887" s="30" t="s">
        <v>661</v>
      </c>
    </row>
    <row r="888" spans="1:5" x14ac:dyDescent="0.35">
      <c r="A888" s="32">
        <v>1158</v>
      </c>
      <c r="B888" s="32" t="s">
        <v>634</v>
      </c>
      <c r="C888" s="32" t="s">
        <v>605</v>
      </c>
      <c r="D888" s="30" t="s">
        <v>656</v>
      </c>
      <c r="E888" s="30" t="s">
        <v>661</v>
      </c>
    </row>
    <row r="889" spans="1:5" x14ac:dyDescent="0.35">
      <c r="A889" s="32">
        <v>1159</v>
      </c>
      <c r="B889" s="32" t="s">
        <v>634</v>
      </c>
      <c r="C889" s="32" t="s">
        <v>605</v>
      </c>
      <c r="D889" s="30" t="s">
        <v>656</v>
      </c>
      <c r="E889" s="30" t="s">
        <v>661</v>
      </c>
    </row>
    <row r="890" spans="1:5" x14ac:dyDescent="0.35">
      <c r="A890" s="32">
        <v>1160</v>
      </c>
      <c r="B890" s="32" t="s">
        <v>634</v>
      </c>
      <c r="C890" s="32" t="s">
        <v>605</v>
      </c>
      <c r="D890" s="30" t="s">
        <v>656</v>
      </c>
      <c r="E890" s="30" t="s">
        <v>661</v>
      </c>
    </row>
    <row r="891" spans="1:5" x14ac:dyDescent="0.35">
      <c r="A891" s="32">
        <v>1161</v>
      </c>
      <c r="B891" s="32" t="s">
        <v>634</v>
      </c>
      <c r="C891" s="32" t="s">
        <v>584</v>
      </c>
      <c r="D891" s="30" t="s">
        <v>656</v>
      </c>
      <c r="E891" s="30" t="s">
        <v>661</v>
      </c>
    </row>
    <row r="892" spans="1:5" x14ac:dyDescent="0.35">
      <c r="A892" s="32">
        <v>1162</v>
      </c>
      <c r="B892" s="32" t="s">
        <v>634</v>
      </c>
      <c r="C892" s="32" t="s">
        <v>624</v>
      </c>
      <c r="D892" s="30" t="s">
        <v>656</v>
      </c>
      <c r="E892" s="30" t="s">
        <v>661</v>
      </c>
    </row>
    <row r="893" spans="1:5" x14ac:dyDescent="0.35">
      <c r="A893" s="32">
        <v>1163</v>
      </c>
      <c r="B893" s="32" t="s">
        <v>634</v>
      </c>
      <c r="C893" s="32" t="s">
        <v>662</v>
      </c>
      <c r="D893" s="30" t="s">
        <v>656</v>
      </c>
      <c r="E893" s="30" t="s">
        <v>661</v>
      </c>
    </row>
    <row r="894" spans="1:5" x14ac:dyDescent="0.35">
      <c r="A894" s="32">
        <v>1164</v>
      </c>
      <c r="B894" s="32" t="s">
        <v>634</v>
      </c>
      <c r="C894" s="32" t="s">
        <v>605</v>
      </c>
      <c r="D894" s="30" t="s">
        <v>656</v>
      </c>
      <c r="E894" s="30" t="s">
        <v>661</v>
      </c>
    </row>
    <row r="895" spans="1:5" x14ac:dyDescent="0.35">
      <c r="A895" s="32">
        <v>1165</v>
      </c>
      <c r="B895" s="32" t="s">
        <v>634</v>
      </c>
      <c r="C895" s="32" t="s">
        <v>605</v>
      </c>
      <c r="D895" s="30" t="s">
        <v>656</v>
      </c>
      <c r="E895" s="30" t="s">
        <v>661</v>
      </c>
    </row>
    <row r="896" spans="1:5" x14ac:dyDescent="0.35">
      <c r="A896" s="32">
        <v>1166</v>
      </c>
      <c r="B896" s="32" t="s">
        <v>634</v>
      </c>
      <c r="C896" s="32" t="s">
        <v>584</v>
      </c>
      <c r="D896" s="30" t="s">
        <v>656</v>
      </c>
      <c r="E896" s="30" t="s">
        <v>661</v>
      </c>
    </row>
    <row r="897" spans="1:5" x14ac:dyDescent="0.35">
      <c r="A897" s="32">
        <v>1167</v>
      </c>
      <c r="B897" s="32" t="s">
        <v>634</v>
      </c>
      <c r="C897" s="32" t="s">
        <v>624</v>
      </c>
      <c r="D897" s="30" t="s">
        <v>656</v>
      </c>
      <c r="E897" s="30" t="s">
        <v>661</v>
      </c>
    </row>
    <row r="898" spans="1:5" x14ac:dyDescent="0.35">
      <c r="A898" s="32">
        <v>1168</v>
      </c>
      <c r="B898" s="32" t="s">
        <v>634</v>
      </c>
      <c r="C898" s="32" t="s">
        <v>605</v>
      </c>
      <c r="D898" s="30" t="s">
        <v>656</v>
      </c>
      <c r="E898" s="30" t="s">
        <v>661</v>
      </c>
    </row>
    <row r="899" spans="1:5" x14ac:dyDescent="0.35">
      <c r="A899" s="32">
        <v>1169</v>
      </c>
      <c r="B899" s="32" t="s">
        <v>634</v>
      </c>
      <c r="C899" s="32" t="s">
        <v>605</v>
      </c>
      <c r="D899" s="30" t="s">
        <v>656</v>
      </c>
      <c r="E899" s="30" t="s">
        <v>661</v>
      </c>
    </row>
    <row r="900" spans="1:5" x14ac:dyDescent="0.35">
      <c r="A900" s="32">
        <v>1170</v>
      </c>
      <c r="B900" s="32" t="s">
        <v>634</v>
      </c>
      <c r="C900" s="32" t="s">
        <v>624</v>
      </c>
      <c r="D900" s="30" t="s">
        <v>656</v>
      </c>
      <c r="E900" s="30" t="s">
        <v>661</v>
      </c>
    </row>
    <row r="901" spans="1:5" x14ac:dyDescent="0.35">
      <c r="A901" s="32">
        <v>1171</v>
      </c>
      <c r="B901" s="32" t="s">
        <v>634</v>
      </c>
      <c r="C901" s="32" t="s">
        <v>619</v>
      </c>
      <c r="D901" s="30" t="s">
        <v>656</v>
      </c>
      <c r="E901" s="30" t="s">
        <v>661</v>
      </c>
    </row>
    <row r="902" spans="1:5" x14ac:dyDescent="0.35">
      <c r="A902" s="32">
        <v>1172</v>
      </c>
      <c r="B902" s="32" t="s">
        <v>634</v>
      </c>
      <c r="C902" s="32" t="s">
        <v>605</v>
      </c>
      <c r="D902" s="30" t="s">
        <v>656</v>
      </c>
      <c r="E902" s="30" t="s">
        <v>661</v>
      </c>
    </row>
    <row r="903" spans="1:5" x14ac:dyDescent="0.35">
      <c r="A903" s="32">
        <v>1173</v>
      </c>
      <c r="B903" s="32" t="s">
        <v>634</v>
      </c>
      <c r="C903" s="32" t="s">
        <v>605</v>
      </c>
      <c r="D903" s="30" t="s">
        <v>656</v>
      </c>
      <c r="E903" s="30" t="s">
        <v>661</v>
      </c>
    </row>
    <row r="904" spans="1:5" x14ac:dyDescent="0.35">
      <c r="A904" s="32">
        <v>1174</v>
      </c>
      <c r="B904" s="32" t="s">
        <v>634</v>
      </c>
      <c r="C904" s="32" t="s">
        <v>605</v>
      </c>
      <c r="D904" s="30" t="s">
        <v>656</v>
      </c>
      <c r="E904" s="30" t="s">
        <v>661</v>
      </c>
    </row>
    <row r="905" spans="1:5" x14ac:dyDescent="0.35">
      <c r="A905" s="32">
        <v>1175</v>
      </c>
      <c r="B905" s="32" t="s">
        <v>634</v>
      </c>
      <c r="C905" s="32" t="s">
        <v>605</v>
      </c>
      <c r="D905" s="30" t="s">
        <v>656</v>
      </c>
      <c r="E905" s="30" t="s">
        <v>661</v>
      </c>
    </row>
    <row r="906" spans="1:5" x14ac:dyDescent="0.35">
      <c r="A906" s="32">
        <v>1176</v>
      </c>
      <c r="B906" s="32" t="s">
        <v>634</v>
      </c>
      <c r="C906" s="32" t="s">
        <v>584</v>
      </c>
      <c r="D906" s="30" t="s">
        <v>656</v>
      </c>
      <c r="E906" s="30" t="s">
        <v>661</v>
      </c>
    </row>
    <row r="907" spans="1:5" x14ac:dyDescent="0.35">
      <c r="A907" s="32">
        <v>1177</v>
      </c>
      <c r="B907" s="32" t="s">
        <v>634</v>
      </c>
      <c r="C907" s="32" t="s">
        <v>624</v>
      </c>
      <c r="D907" s="30" t="s">
        <v>656</v>
      </c>
      <c r="E907" s="30" t="s">
        <v>661</v>
      </c>
    </row>
    <row r="908" spans="1:5" x14ac:dyDescent="0.35">
      <c r="A908" s="32">
        <v>1178</v>
      </c>
      <c r="B908" s="32" t="s">
        <v>634</v>
      </c>
      <c r="C908" s="32" t="s">
        <v>619</v>
      </c>
      <c r="D908" s="30" t="s">
        <v>656</v>
      </c>
      <c r="E908" s="30" t="s">
        <v>661</v>
      </c>
    </row>
    <row r="909" spans="1:5" x14ac:dyDescent="0.35">
      <c r="A909" s="32">
        <v>1179</v>
      </c>
      <c r="B909" s="32" t="s">
        <v>634</v>
      </c>
      <c r="C909" s="32" t="s">
        <v>605</v>
      </c>
      <c r="D909" s="30" t="s">
        <v>656</v>
      </c>
      <c r="E909" s="30" t="s">
        <v>661</v>
      </c>
    </row>
    <row r="910" spans="1:5" x14ac:dyDescent="0.35">
      <c r="A910" s="32">
        <v>1180</v>
      </c>
      <c r="B910" s="32" t="s">
        <v>634</v>
      </c>
      <c r="C910" s="32" t="s">
        <v>605</v>
      </c>
      <c r="D910" s="30" t="s">
        <v>656</v>
      </c>
      <c r="E910" s="30" t="s">
        <v>661</v>
      </c>
    </row>
    <row r="911" spans="1:5" x14ac:dyDescent="0.35">
      <c r="A911" s="32">
        <v>1181</v>
      </c>
      <c r="B911" s="32" t="s">
        <v>634</v>
      </c>
      <c r="C911" s="32" t="s">
        <v>584</v>
      </c>
      <c r="D911" s="30" t="s">
        <v>656</v>
      </c>
      <c r="E911" s="30" t="s">
        <v>661</v>
      </c>
    </row>
    <row r="912" spans="1:5" x14ac:dyDescent="0.35">
      <c r="A912" s="32">
        <v>1182</v>
      </c>
      <c r="B912" s="32" t="s">
        <v>634</v>
      </c>
      <c r="C912" s="32" t="s">
        <v>605</v>
      </c>
      <c r="D912" s="30" t="s">
        <v>656</v>
      </c>
      <c r="E912" s="30" t="s">
        <v>661</v>
      </c>
    </row>
    <row r="913" spans="1:5" x14ac:dyDescent="0.35">
      <c r="A913" s="32">
        <v>1183</v>
      </c>
      <c r="B913" s="32" t="s">
        <v>634</v>
      </c>
      <c r="C913" s="32" t="s">
        <v>605</v>
      </c>
      <c r="D913" s="30" t="s">
        <v>656</v>
      </c>
      <c r="E913" s="30" t="s">
        <v>661</v>
      </c>
    </row>
    <row r="914" spans="1:5" x14ac:dyDescent="0.35">
      <c r="A914" s="32">
        <v>1184</v>
      </c>
      <c r="B914" s="32" t="s">
        <v>634</v>
      </c>
      <c r="C914" s="32" t="s">
        <v>584</v>
      </c>
      <c r="D914" s="30" t="s">
        <v>656</v>
      </c>
      <c r="E914" s="30" t="s">
        <v>661</v>
      </c>
    </row>
    <row r="915" spans="1:5" x14ac:dyDescent="0.35">
      <c r="A915" s="32">
        <v>1185</v>
      </c>
      <c r="B915" s="32" t="s">
        <v>634</v>
      </c>
      <c r="C915" s="32" t="s">
        <v>619</v>
      </c>
      <c r="D915" s="30" t="s">
        <v>656</v>
      </c>
      <c r="E915" s="30" t="s">
        <v>661</v>
      </c>
    </row>
    <row r="916" spans="1:5" x14ac:dyDescent="0.35">
      <c r="A916" s="32">
        <v>1186</v>
      </c>
      <c r="B916" s="32" t="s">
        <v>634</v>
      </c>
      <c r="C916" s="32" t="s">
        <v>662</v>
      </c>
      <c r="D916" s="30" t="s">
        <v>656</v>
      </c>
      <c r="E916" s="30" t="s">
        <v>661</v>
      </c>
    </row>
    <row r="917" spans="1:5" x14ac:dyDescent="0.35">
      <c r="A917" s="32">
        <v>1187</v>
      </c>
      <c r="B917" s="32" t="s">
        <v>634</v>
      </c>
      <c r="C917" s="32" t="s">
        <v>605</v>
      </c>
      <c r="D917" s="30" t="s">
        <v>656</v>
      </c>
      <c r="E917" s="30" t="s">
        <v>661</v>
      </c>
    </row>
    <row r="918" spans="1:5" x14ac:dyDescent="0.35">
      <c r="A918" s="32">
        <v>1188</v>
      </c>
      <c r="B918" s="32" t="s">
        <v>634</v>
      </c>
      <c r="C918" s="32" t="s">
        <v>605</v>
      </c>
      <c r="D918" s="30" t="s">
        <v>656</v>
      </c>
      <c r="E918" s="30" t="s">
        <v>661</v>
      </c>
    </row>
    <row r="919" spans="1:5" x14ac:dyDescent="0.35">
      <c r="A919" s="32">
        <v>1189</v>
      </c>
      <c r="B919" s="32" t="s">
        <v>634</v>
      </c>
      <c r="C919" s="32" t="s">
        <v>584</v>
      </c>
      <c r="D919" s="30" t="s">
        <v>656</v>
      </c>
      <c r="E919" s="30" t="s">
        <v>661</v>
      </c>
    </row>
    <row r="920" spans="1:5" x14ac:dyDescent="0.35">
      <c r="A920" s="32">
        <v>1190</v>
      </c>
      <c r="B920" s="32" t="s">
        <v>634</v>
      </c>
      <c r="C920" s="32" t="s">
        <v>584</v>
      </c>
      <c r="D920" s="30" t="s">
        <v>656</v>
      </c>
      <c r="E920" s="30" t="s">
        <v>661</v>
      </c>
    </row>
    <row r="921" spans="1:5" x14ac:dyDescent="0.35">
      <c r="A921" s="32">
        <v>1191</v>
      </c>
      <c r="B921" s="32" t="s">
        <v>634</v>
      </c>
      <c r="C921" s="32" t="s">
        <v>624</v>
      </c>
      <c r="D921" s="30" t="s">
        <v>656</v>
      </c>
      <c r="E921" s="30" t="s">
        <v>661</v>
      </c>
    </row>
    <row r="922" spans="1:5" x14ac:dyDescent="0.35">
      <c r="A922" s="32">
        <v>1192</v>
      </c>
      <c r="B922" s="32" t="s">
        <v>634</v>
      </c>
      <c r="C922" s="32" t="s">
        <v>605</v>
      </c>
      <c r="D922" s="30" t="s">
        <v>656</v>
      </c>
      <c r="E922" s="30" t="s">
        <v>661</v>
      </c>
    </row>
    <row r="923" spans="1:5" x14ac:dyDescent="0.35">
      <c r="A923" s="32">
        <v>1193</v>
      </c>
      <c r="B923" s="32" t="s">
        <v>634</v>
      </c>
      <c r="C923" s="32" t="s">
        <v>605</v>
      </c>
      <c r="D923" s="30" t="s">
        <v>656</v>
      </c>
      <c r="E923" s="30" t="s">
        <v>661</v>
      </c>
    </row>
    <row r="924" spans="1:5" x14ac:dyDescent="0.35">
      <c r="A924" s="32">
        <v>1194</v>
      </c>
      <c r="B924" s="32" t="s">
        <v>634</v>
      </c>
      <c r="C924" s="32" t="s">
        <v>584</v>
      </c>
      <c r="D924" s="30" t="s">
        <v>656</v>
      </c>
      <c r="E924" s="30" t="s">
        <v>661</v>
      </c>
    </row>
    <row r="925" spans="1:5" x14ac:dyDescent="0.35">
      <c r="A925" s="32">
        <v>1195</v>
      </c>
      <c r="B925" s="32" t="s">
        <v>634</v>
      </c>
      <c r="C925" s="32" t="s">
        <v>605</v>
      </c>
      <c r="D925" s="30" t="s">
        <v>656</v>
      </c>
      <c r="E925" s="30" t="s">
        <v>661</v>
      </c>
    </row>
    <row r="926" spans="1:5" x14ac:dyDescent="0.35">
      <c r="A926" s="32">
        <v>1196</v>
      </c>
      <c r="B926" s="32" t="s">
        <v>642</v>
      </c>
      <c r="C926" s="32" t="s">
        <v>605</v>
      </c>
      <c r="D926" s="30" t="s">
        <v>656</v>
      </c>
      <c r="E926" s="30" t="s">
        <v>661</v>
      </c>
    </row>
    <row r="927" spans="1:5" x14ac:dyDescent="0.35">
      <c r="A927" s="32">
        <v>1197</v>
      </c>
      <c r="B927" s="32" t="s">
        <v>642</v>
      </c>
      <c r="C927" s="32" t="s">
        <v>584</v>
      </c>
      <c r="D927" s="30" t="s">
        <v>656</v>
      </c>
      <c r="E927" s="30" t="s">
        <v>661</v>
      </c>
    </row>
    <row r="928" spans="1:5" x14ac:dyDescent="0.35">
      <c r="A928" s="32">
        <v>1198</v>
      </c>
      <c r="B928" s="32" t="s">
        <v>642</v>
      </c>
      <c r="C928" s="32" t="s">
        <v>605</v>
      </c>
      <c r="D928" s="30" t="s">
        <v>656</v>
      </c>
      <c r="E928" s="30" t="s">
        <v>661</v>
      </c>
    </row>
    <row r="929" spans="1:5" x14ac:dyDescent="0.35">
      <c r="A929" s="32">
        <v>1199</v>
      </c>
      <c r="B929" s="32" t="s">
        <v>642</v>
      </c>
      <c r="C929" s="32" t="s">
        <v>605</v>
      </c>
      <c r="D929" s="30" t="s">
        <v>656</v>
      </c>
      <c r="E929" s="30" t="s">
        <v>661</v>
      </c>
    </row>
    <row r="930" spans="1:5" x14ac:dyDescent="0.35">
      <c r="A930" s="32">
        <v>1200</v>
      </c>
      <c r="B930" s="32" t="s">
        <v>642</v>
      </c>
      <c r="C930" s="32" t="s">
        <v>584</v>
      </c>
      <c r="D930" s="30" t="s">
        <v>656</v>
      </c>
      <c r="E930" s="30" t="s">
        <v>661</v>
      </c>
    </row>
    <row r="931" spans="1:5" x14ac:dyDescent="0.35">
      <c r="A931" s="32">
        <v>1201</v>
      </c>
      <c r="B931" s="32" t="s">
        <v>642</v>
      </c>
      <c r="C931" s="32" t="s">
        <v>624</v>
      </c>
      <c r="D931" s="30" t="s">
        <v>656</v>
      </c>
      <c r="E931" s="30" t="s">
        <v>661</v>
      </c>
    </row>
    <row r="932" spans="1:5" x14ac:dyDescent="0.35">
      <c r="A932" s="32">
        <v>1202</v>
      </c>
      <c r="B932" s="32" t="s">
        <v>642</v>
      </c>
      <c r="C932" s="32" t="s">
        <v>619</v>
      </c>
      <c r="D932" s="30" t="s">
        <v>656</v>
      </c>
      <c r="E932" s="30" t="s">
        <v>661</v>
      </c>
    </row>
    <row r="933" spans="1:5" x14ac:dyDescent="0.35">
      <c r="A933" s="32">
        <v>1203</v>
      </c>
      <c r="B933" s="32" t="s">
        <v>642</v>
      </c>
      <c r="C933" s="32" t="s">
        <v>662</v>
      </c>
      <c r="D933" s="30" t="s">
        <v>656</v>
      </c>
      <c r="E933" s="30" t="s">
        <v>661</v>
      </c>
    </row>
    <row r="934" spans="1:5" x14ac:dyDescent="0.35">
      <c r="A934" s="32">
        <v>1204</v>
      </c>
      <c r="B934" s="32" t="s">
        <v>642</v>
      </c>
      <c r="C934" s="32" t="s">
        <v>605</v>
      </c>
      <c r="D934" s="30" t="s">
        <v>656</v>
      </c>
      <c r="E934" s="30" t="s">
        <v>661</v>
      </c>
    </row>
    <row r="935" spans="1:5" x14ac:dyDescent="0.35">
      <c r="A935" s="32">
        <v>1205</v>
      </c>
      <c r="B935" s="32" t="s">
        <v>642</v>
      </c>
      <c r="C935" s="32" t="s">
        <v>605</v>
      </c>
      <c r="D935" s="30" t="s">
        <v>656</v>
      </c>
      <c r="E935" s="30" t="s">
        <v>661</v>
      </c>
    </row>
    <row r="936" spans="1:5" x14ac:dyDescent="0.35">
      <c r="A936" s="32">
        <v>1206</v>
      </c>
      <c r="B936" s="32" t="s">
        <v>642</v>
      </c>
      <c r="C936" s="32" t="s">
        <v>584</v>
      </c>
      <c r="D936" s="30" t="s">
        <v>656</v>
      </c>
      <c r="E936" s="30" t="s">
        <v>661</v>
      </c>
    </row>
    <row r="937" spans="1:5" x14ac:dyDescent="0.35">
      <c r="A937" s="32">
        <v>1207</v>
      </c>
      <c r="B937" s="32" t="s">
        <v>642</v>
      </c>
      <c r="C937" s="32" t="s">
        <v>624</v>
      </c>
      <c r="D937" s="30" t="s">
        <v>656</v>
      </c>
      <c r="E937" s="30" t="s">
        <v>661</v>
      </c>
    </row>
    <row r="938" spans="1:5" x14ac:dyDescent="0.35">
      <c r="A938" s="32">
        <v>1208</v>
      </c>
      <c r="B938" s="32" t="s">
        <v>642</v>
      </c>
      <c r="C938" s="32" t="s">
        <v>662</v>
      </c>
      <c r="D938" s="30" t="s">
        <v>656</v>
      </c>
      <c r="E938" s="30" t="s">
        <v>661</v>
      </c>
    </row>
    <row r="939" spans="1:5" x14ac:dyDescent="0.35">
      <c r="A939" s="32">
        <v>1209</v>
      </c>
      <c r="B939" s="32" t="s">
        <v>611</v>
      </c>
      <c r="C939" s="32" t="s">
        <v>605</v>
      </c>
      <c r="D939" s="30" t="s">
        <v>656</v>
      </c>
      <c r="E939" s="30" t="s">
        <v>661</v>
      </c>
    </row>
    <row r="940" spans="1:5" x14ac:dyDescent="0.35">
      <c r="A940" s="32">
        <v>1210</v>
      </c>
      <c r="B940" s="32" t="s">
        <v>611</v>
      </c>
      <c r="C940" s="32" t="s">
        <v>605</v>
      </c>
      <c r="D940" s="30" t="s">
        <v>656</v>
      </c>
      <c r="E940" s="30" t="s">
        <v>661</v>
      </c>
    </row>
    <row r="941" spans="1:5" x14ac:dyDescent="0.35">
      <c r="A941" s="32">
        <v>1211</v>
      </c>
      <c r="B941" s="32" t="s">
        <v>611</v>
      </c>
      <c r="C941" s="32" t="s">
        <v>605</v>
      </c>
      <c r="D941" s="30" t="s">
        <v>656</v>
      </c>
      <c r="E941" s="30" t="s">
        <v>661</v>
      </c>
    </row>
    <row r="942" spans="1:5" x14ac:dyDescent="0.35">
      <c r="A942" s="32">
        <v>1212</v>
      </c>
      <c r="B942" s="32" t="s">
        <v>611</v>
      </c>
      <c r="C942" s="32" t="s">
        <v>584</v>
      </c>
      <c r="D942" s="30" t="s">
        <v>656</v>
      </c>
      <c r="E942" s="30" t="s">
        <v>661</v>
      </c>
    </row>
    <row r="943" spans="1:5" x14ac:dyDescent="0.35">
      <c r="A943" s="32">
        <v>1213</v>
      </c>
      <c r="B943" s="32" t="s">
        <v>611</v>
      </c>
      <c r="C943" s="32" t="s">
        <v>624</v>
      </c>
      <c r="D943" s="30" t="s">
        <v>656</v>
      </c>
      <c r="E943" s="30" t="s">
        <v>661</v>
      </c>
    </row>
    <row r="944" spans="1:5" x14ac:dyDescent="0.35">
      <c r="A944" s="32">
        <v>1214</v>
      </c>
      <c r="B944" s="32" t="s">
        <v>611</v>
      </c>
      <c r="C944" s="32" t="s">
        <v>619</v>
      </c>
      <c r="D944" s="30" t="s">
        <v>656</v>
      </c>
      <c r="E944" s="30" t="s">
        <v>661</v>
      </c>
    </row>
    <row r="945" spans="1:5" x14ac:dyDescent="0.35">
      <c r="A945" s="32">
        <v>1215</v>
      </c>
      <c r="B945" s="32" t="s">
        <v>611</v>
      </c>
      <c r="C945" s="32" t="s">
        <v>662</v>
      </c>
      <c r="D945" s="30" t="s">
        <v>656</v>
      </c>
      <c r="E945" s="30" t="s">
        <v>661</v>
      </c>
    </row>
    <row r="946" spans="1:5" x14ac:dyDescent="0.35">
      <c r="A946" s="32">
        <v>1216</v>
      </c>
      <c r="B946" s="32" t="s">
        <v>611</v>
      </c>
      <c r="C946" s="32" t="s">
        <v>605</v>
      </c>
      <c r="D946" s="30" t="s">
        <v>656</v>
      </c>
      <c r="E946" s="30" t="s">
        <v>661</v>
      </c>
    </row>
    <row r="947" spans="1:5" x14ac:dyDescent="0.35">
      <c r="A947" s="32">
        <v>1217</v>
      </c>
      <c r="B947" s="32" t="s">
        <v>611</v>
      </c>
      <c r="C947" s="32" t="s">
        <v>605</v>
      </c>
      <c r="D947" s="30" t="s">
        <v>656</v>
      </c>
      <c r="E947" s="30" t="s">
        <v>661</v>
      </c>
    </row>
    <row r="948" spans="1:5" x14ac:dyDescent="0.35">
      <c r="A948" s="32">
        <v>1218</v>
      </c>
      <c r="B948" s="32" t="s">
        <v>611</v>
      </c>
      <c r="C948" s="32" t="s">
        <v>584</v>
      </c>
      <c r="D948" s="30" t="s">
        <v>656</v>
      </c>
      <c r="E948" s="30" t="s">
        <v>661</v>
      </c>
    </row>
    <row r="949" spans="1:5" x14ac:dyDescent="0.35">
      <c r="A949" s="32">
        <v>1219</v>
      </c>
      <c r="B949" s="32" t="s">
        <v>641</v>
      </c>
      <c r="C949" s="32" t="s">
        <v>605</v>
      </c>
      <c r="D949" s="30" t="s">
        <v>656</v>
      </c>
      <c r="E949" s="30" t="s">
        <v>661</v>
      </c>
    </row>
    <row r="950" spans="1:5" x14ac:dyDescent="0.35">
      <c r="A950" s="32">
        <v>1220</v>
      </c>
      <c r="B950" s="32" t="s">
        <v>641</v>
      </c>
      <c r="C950" s="32" t="s">
        <v>584</v>
      </c>
      <c r="D950" s="30" t="s">
        <v>656</v>
      </c>
      <c r="E950" s="30" t="s">
        <v>661</v>
      </c>
    </row>
    <row r="951" spans="1:5" x14ac:dyDescent="0.35">
      <c r="A951" s="32">
        <v>1221</v>
      </c>
      <c r="B951" s="32" t="s">
        <v>641</v>
      </c>
      <c r="C951" s="32" t="s">
        <v>624</v>
      </c>
      <c r="D951" s="30" t="s">
        <v>656</v>
      </c>
      <c r="E951" s="30" t="s">
        <v>661</v>
      </c>
    </row>
    <row r="952" spans="1:5" x14ac:dyDescent="0.35">
      <c r="A952" s="32">
        <v>1222</v>
      </c>
      <c r="B952" s="32" t="s">
        <v>641</v>
      </c>
      <c r="C952" s="32" t="s">
        <v>619</v>
      </c>
      <c r="D952" s="30" t="s">
        <v>656</v>
      </c>
      <c r="E952" s="30" t="s">
        <v>661</v>
      </c>
    </row>
    <row r="953" spans="1:5" x14ac:dyDescent="0.35">
      <c r="A953" s="32">
        <v>1223</v>
      </c>
      <c r="B953" s="32" t="s">
        <v>641</v>
      </c>
      <c r="C953" s="32" t="s">
        <v>605</v>
      </c>
      <c r="D953" s="30" t="s">
        <v>656</v>
      </c>
      <c r="E953" s="30" t="s">
        <v>661</v>
      </c>
    </row>
    <row r="954" spans="1:5" x14ac:dyDescent="0.35">
      <c r="A954" s="32">
        <v>1224</v>
      </c>
      <c r="B954" s="32" t="s">
        <v>641</v>
      </c>
      <c r="C954" s="32" t="s">
        <v>605</v>
      </c>
      <c r="D954" s="30" t="s">
        <v>656</v>
      </c>
      <c r="E954" s="30" t="s">
        <v>661</v>
      </c>
    </row>
    <row r="955" spans="1:5" x14ac:dyDescent="0.35">
      <c r="A955" s="32">
        <v>1225</v>
      </c>
      <c r="B955" s="32" t="s">
        <v>611</v>
      </c>
      <c r="C955" s="32" t="s">
        <v>605</v>
      </c>
      <c r="D955" s="30" t="s">
        <v>656</v>
      </c>
      <c r="E955" s="30" t="s">
        <v>661</v>
      </c>
    </row>
    <row r="956" spans="1:5" x14ac:dyDescent="0.35">
      <c r="A956" s="32">
        <v>1226</v>
      </c>
      <c r="B956" s="32" t="s">
        <v>611</v>
      </c>
      <c r="C956" s="32" t="s">
        <v>624</v>
      </c>
      <c r="D956" s="30" t="s">
        <v>656</v>
      </c>
      <c r="E956" s="30" t="s">
        <v>661</v>
      </c>
    </row>
    <row r="957" spans="1:5" x14ac:dyDescent="0.35">
      <c r="A957" s="32">
        <v>1227</v>
      </c>
      <c r="B957" s="32" t="s">
        <v>611</v>
      </c>
      <c r="C957" s="32" t="s">
        <v>619</v>
      </c>
      <c r="D957" s="30" t="s">
        <v>656</v>
      </c>
      <c r="E957" s="30" t="s">
        <v>661</v>
      </c>
    </row>
    <row r="958" spans="1:5" x14ac:dyDescent="0.35">
      <c r="A958" s="32">
        <v>1228</v>
      </c>
      <c r="B958" s="32" t="s">
        <v>611</v>
      </c>
      <c r="C958" s="32" t="s">
        <v>605</v>
      </c>
      <c r="D958" s="30" t="s">
        <v>656</v>
      </c>
      <c r="E958" s="30" t="s">
        <v>661</v>
      </c>
    </row>
    <row r="959" spans="1:5" x14ac:dyDescent="0.35">
      <c r="A959" s="32">
        <v>1229</v>
      </c>
      <c r="B959" s="32" t="s">
        <v>611</v>
      </c>
      <c r="C959" s="32" t="s">
        <v>605</v>
      </c>
      <c r="D959" s="30" t="s">
        <v>656</v>
      </c>
      <c r="E959" s="30" t="s">
        <v>661</v>
      </c>
    </row>
    <row r="960" spans="1:5" x14ac:dyDescent="0.35">
      <c r="A960" s="32">
        <v>1230</v>
      </c>
      <c r="B960" s="32" t="s">
        <v>571</v>
      </c>
      <c r="C960" s="32" t="s">
        <v>605</v>
      </c>
      <c r="D960" s="30" t="s">
        <v>656</v>
      </c>
      <c r="E960" s="30" t="s">
        <v>661</v>
      </c>
    </row>
    <row r="961" spans="1:5" x14ac:dyDescent="0.35">
      <c r="A961" s="32">
        <v>1231</v>
      </c>
      <c r="B961" s="32" t="s">
        <v>571</v>
      </c>
      <c r="C961" s="32" t="s">
        <v>605</v>
      </c>
      <c r="D961" s="30" t="s">
        <v>656</v>
      </c>
      <c r="E961" s="30" t="s">
        <v>661</v>
      </c>
    </row>
    <row r="962" spans="1:5" x14ac:dyDescent="0.35">
      <c r="A962" s="32">
        <v>1232</v>
      </c>
      <c r="B962" s="32" t="s">
        <v>571</v>
      </c>
      <c r="C962" s="32" t="s">
        <v>605</v>
      </c>
      <c r="D962" s="30" t="s">
        <v>656</v>
      </c>
      <c r="E962" s="30" t="s">
        <v>661</v>
      </c>
    </row>
    <row r="963" spans="1:5" x14ac:dyDescent="0.35">
      <c r="A963" s="32">
        <v>1233</v>
      </c>
      <c r="B963" s="32" t="s">
        <v>571</v>
      </c>
      <c r="C963" s="32" t="s">
        <v>584</v>
      </c>
      <c r="D963" s="30" t="s">
        <v>656</v>
      </c>
      <c r="E963" s="30" t="s">
        <v>661</v>
      </c>
    </row>
    <row r="964" spans="1:5" x14ac:dyDescent="0.35">
      <c r="A964" s="32">
        <v>1234</v>
      </c>
      <c r="B964" s="32" t="s">
        <v>571</v>
      </c>
      <c r="C964" s="32" t="s">
        <v>624</v>
      </c>
      <c r="D964" s="30" t="s">
        <v>656</v>
      </c>
      <c r="E964" s="30" t="s">
        <v>661</v>
      </c>
    </row>
    <row r="965" spans="1:5" x14ac:dyDescent="0.35">
      <c r="A965" s="32">
        <v>1235</v>
      </c>
      <c r="B965" s="32" t="s">
        <v>571</v>
      </c>
      <c r="C965" s="32" t="s">
        <v>605</v>
      </c>
      <c r="D965" s="30" t="s">
        <v>656</v>
      </c>
      <c r="E965" s="30" t="s">
        <v>661</v>
      </c>
    </row>
    <row r="966" spans="1:5" x14ac:dyDescent="0.35">
      <c r="A966" s="32">
        <v>1236</v>
      </c>
      <c r="B966" s="32" t="s">
        <v>571</v>
      </c>
      <c r="C966" s="32" t="s">
        <v>605</v>
      </c>
      <c r="D966" s="30" t="s">
        <v>656</v>
      </c>
      <c r="E966" s="30" t="s">
        <v>661</v>
      </c>
    </row>
    <row r="967" spans="1:5" x14ac:dyDescent="0.35">
      <c r="A967" s="32">
        <v>1237</v>
      </c>
      <c r="B967" s="32" t="s">
        <v>634</v>
      </c>
      <c r="C967" s="32" t="s">
        <v>624</v>
      </c>
      <c r="D967" s="30" t="s">
        <v>656</v>
      </c>
      <c r="E967" s="30" t="s">
        <v>661</v>
      </c>
    </row>
    <row r="968" spans="1:5" x14ac:dyDescent="0.35">
      <c r="A968" s="32">
        <v>1238</v>
      </c>
      <c r="B968" s="32" t="s">
        <v>634</v>
      </c>
      <c r="C968" s="32" t="s">
        <v>605</v>
      </c>
      <c r="D968" s="30" t="s">
        <v>656</v>
      </c>
      <c r="E968" s="30" t="s">
        <v>661</v>
      </c>
    </row>
    <row r="969" spans="1:5" x14ac:dyDescent="0.35">
      <c r="A969" s="32">
        <v>1239</v>
      </c>
      <c r="B969" s="32" t="s">
        <v>571</v>
      </c>
      <c r="C969" s="32" t="s">
        <v>605</v>
      </c>
      <c r="D969" s="30" t="s">
        <v>656</v>
      </c>
      <c r="E969" s="30" t="s">
        <v>661</v>
      </c>
    </row>
    <row r="970" spans="1:5" x14ac:dyDescent="0.35">
      <c r="A970" s="32">
        <v>1240</v>
      </c>
      <c r="B970" s="32" t="s">
        <v>611</v>
      </c>
      <c r="C970" s="32" t="s">
        <v>605</v>
      </c>
      <c r="D970" s="30" t="s">
        <v>656</v>
      </c>
      <c r="E970" s="30" t="s">
        <v>661</v>
      </c>
    </row>
    <row r="971" spans="1:5" x14ac:dyDescent="0.35">
      <c r="A971" s="32">
        <v>1241</v>
      </c>
      <c r="B971" s="32" t="s">
        <v>634</v>
      </c>
      <c r="C971" s="32" t="s">
        <v>624</v>
      </c>
      <c r="D971" s="30" t="s">
        <v>656</v>
      </c>
      <c r="E971" s="30" t="s">
        <v>661</v>
      </c>
    </row>
    <row r="972" spans="1:5" x14ac:dyDescent="0.35">
      <c r="A972" s="32">
        <v>1242</v>
      </c>
      <c r="B972" s="32" t="s">
        <v>571</v>
      </c>
      <c r="C972" s="32" t="s">
        <v>624</v>
      </c>
      <c r="D972" s="30" t="s">
        <v>656</v>
      </c>
      <c r="E972" s="30" t="s">
        <v>661</v>
      </c>
    </row>
    <row r="973" spans="1:5" x14ac:dyDescent="0.35">
      <c r="A973" s="32">
        <v>1243</v>
      </c>
      <c r="B973" s="32" t="s">
        <v>571</v>
      </c>
      <c r="C973" s="32" t="s">
        <v>624</v>
      </c>
      <c r="D973" s="30" t="s">
        <v>656</v>
      </c>
      <c r="E973" s="30" t="s">
        <v>661</v>
      </c>
    </row>
    <row r="974" spans="1:5" x14ac:dyDescent="0.35">
      <c r="A974" s="32">
        <v>1244</v>
      </c>
      <c r="B974" s="32" t="s">
        <v>571</v>
      </c>
      <c r="C974" s="32" t="s">
        <v>619</v>
      </c>
      <c r="D974" s="30" t="s">
        <v>656</v>
      </c>
      <c r="E974" s="30" t="s">
        <v>661</v>
      </c>
    </row>
    <row r="975" spans="1:5" x14ac:dyDescent="0.35">
      <c r="A975" s="32">
        <v>1245</v>
      </c>
      <c r="B975" s="32" t="s">
        <v>571</v>
      </c>
      <c r="C975" s="32" t="s">
        <v>662</v>
      </c>
      <c r="D975" s="30" t="s">
        <v>656</v>
      </c>
      <c r="E975" s="30" t="s">
        <v>661</v>
      </c>
    </row>
    <row r="976" spans="1:5" x14ac:dyDescent="0.35">
      <c r="A976" s="32">
        <v>1246</v>
      </c>
      <c r="B976" s="32" t="s">
        <v>571</v>
      </c>
      <c r="C976" s="32" t="s">
        <v>605</v>
      </c>
      <c r="D976" s="30" t="s">
        <v>656</v>
      </c>
      <c r="E976" s="30" t="s">
        <v>661</v>
      </c>
    </row>
    <row r="977" spans="1:5" x14ac:dyDescent="0.35">
      <c r="A977" s="32">
        <v>1247</v>
      </c>
      <c r="B977" s="32" t="s">
        <v>571</v>
      </c>
      <c r="C977" s="32" t="s">
        <v>624</v>
      </c>
      <c r="D977" s="30" t="s">
        <v>656</v>
      </c>
      <c r="E977" s="30" t="s">
        <v>661</v>
      </c>
    </row>
    <row r="978" spans="1:5" x14ac:dyDescent="0.35">
      <c r="A978" s="32">
        <v>1248</v>
      </c>
      <c r="B978" s="32" t="s">
        <v>571</v>
      </c>
      <c r="C978" s="32" t="s">
        <v>662</v>
      </c>
      <c r="D978" s="30" t="s">
        <v>656</v>
      </c>
      <c r="E978" s="30" t="s">
        <v>661</v>
      </c>
    </row>
    <row r="979" spans="1:5" x14ac:dyDescent="0.35">
      <c r="A979" s="32">
        <v>1249</v>
      </c>
      <c r="B979" s="32" t="s">
        <v>571</v>
      </c>
      <c r="C979" s="32" t="s">
        <v>605</v>
      </c>
      <c r="D979" s="30" t="s">
        <v>656</v>
      </c>
      <c r="E979" s="30" t="s">
        <v>661</v>
      </c>
    </row>
    <row r="980" spans="1:5" x14ac:dyDescent="0.35">
      <c r="A980" s="32">
        <v>1250</v>
      </c>
      <c r="B980" s="32" t="s">
        <v>571</v>
      </c>
      <c r="C980" s="32" t="s">
        <v>605</v>
      </c>
      <c r="D980" s="30" t="s">
        <v>656</v>
      </c>
      <c r="E980" s="30" t="s">
        <v>661</v>
      </c>
    </row>
    <row r="981" spans="1:5" x14ac:dyDescent="0.35">
      <c r="A981" s="32">
        <v>1251</v>
      </c>
      <c r="B981" s="32" t="s">
        <v>571</v>
      </c>
      <c r="C981" s="32" t="s">
        <v>584</v>
      </c>
      <c r="D981" s="30" t="s">
        <v>656</v>
      </c>
      <c r="E981" s="30" t="s">
        <v>661</v>
      </c>
    </row>
    <row r="982" spans="1:5" x14ac:dyDescent="0.35">
      <c r="A982" s="32">
        <v>1252</v>
      </c>
      <c r="B982" s="32" t="s">
        <v>571</v>
      </c>
      <c r="C982" s="32" t="s">
        <v>624</v>
      </c>
      <c r="D982" s="30" t="s">
        <v>656</v>
      </c>
      <c r="E982" s="30" t="s">
        <v>661</v>
      </c>
    </row>
    <row r="983" spans="1:5" x14ac:dyDescent="0.35">
      <c r="A983" s="32">
        <v>1253</v>
      </c>
      <c r="B983" s="32" t="s">
        <v>571</v>
      </c>
      <c r="C983" s="32" t="s">
        <v>619</v>
      </c>
      <c r="D983" s="30" t="s">
        <v>656</v>
      </c>
      <c r="E983" s="30" t="s">
        <v>661</v>
      </c>
    </row>
    <row r="984" spans="1:5" x14ac:dyDescent="0.35">
      <c r="A984" s="32">
        <v>1254</v>
      </c>
      <c r="B984" s="32" t="s">
        <v>571</v>
      </c>
      <c r="C984" s="32" t="s">
        <v>662</v>
      </c>
      <c r="D984" s="30" t="s">
        <v>656</v>
      </c>
      <c r="E984" s="30" t="s">
        <v>661</v>
      </c>
    </row>
    <row r="985" spans="1:5" x14ac:dyDescent="0.35">
      <c r="A985" s="32">
        <v>1255</v>
      </c>
      <c r="B985" s="32" t="s">
        <v>571</v>
      </c>
      <c r="C985" s="32" t="s">
        <v>605</v>
      </c>
      <c r="D985" s="30" t="s">
        <v>656</v>
      </c>
      <c r="E985" s="30" t="s">
        <v>661</v>
      </c>
    </row>
    <row r="986" spans="1:5" x14ac:dyDescent="0.35">
      <c r="A986" s="32">
        <v>1256</v>
      </c>
      <c r="B986" s="32" t="s">
        <v>571</v>
      </c>
      <c r="C986" s="32" t="s">
        <v>605</v>
      </c>
      <c r="D986" s="30" t="s">
        <v>656</v>
      </c>
      <c r="E986" s="30" t="s">
        <v>661</v>
      </c>
    </row>
    <row r="987" spans="1:5" x14ac:dyDescent="0.35">
      <c r="A987" s="32">
        <v>1257</v>
      </c>
      <c r="B987" s="32" t="s">
        <v>571</v>
      </c>
      <c r="C987" s="32" t="s">
        <v>624</v>
      </c>
      <c r="D987" s="30" t="s">
        <v>656</v>
      </c>
      <c r="E987" s="30" t="s">
        <v>661</v>
      </c>
    </row>
    <row r="988" spans="1:5" x14ac:dyDescent="0.35">
      <c r="A988" s="32">
        <v>1258</v>
      </c>
      <c r="B988" s="32" t="s">
        <v>571</v>
      </c>
      <c r="C988" s="32" t="s">
        <v>619</v>
      </c>
      <c r="D988" s="30" t="s">
        <v>656</v>
      </c>
      <c r="E988" s="30" t="s">
        <v>661</v>
      </c>
    </row>
    <row r="989" spans="1:5" x14ac:dyDescent="0.35">
      <c r="A989" s="32">
        <v>1259</v>
      </c>
      <c r="B989" s="32" t="s">
        <v>571</v>
      </c>
      <c r="C989" s="32" t="s">
        <v>605</v>
      </c>
      <c r="D989" s="30" t="s">
        <v>656</v>
      </c>
      <c r="E989" s="30" t="s">
        <v>661</v>
      </c>
    </row>
    <row r="990" spans="1:5" x14ac:dyDescent="0.35">
      <c r="A990" s="32">
        <v>1260</v>
      </c>
      <c r="B990" s="32" t="s">
        <v>571</v>
      </c>
      <c r="C990" s="32" t="s">
        <v>605</v>
      </c>
      <c r="D990" s="30" t="s">
        <v>656</v>
      </c>
      <c r="E990" s="30" t="s">
        <v>661</v>
      </c>
    </row>
    <row r="991" spans="1:5" x14ac:dyDescent="0.35">
      <c r="A991" s="32">
        <v>1261</v>
      </c>
      <c r="B991" s="32" t="s">
        <v>571</v>
      </c>
      <c r="C991" s="32" t="s">
        <v>605</v>
      </c>
      <c r="D991" s="30" t="s">
        <v>656</v>
      </c>
      <c r="E991" s="30" t="s">
        <v>661</v>
      </c>
    </row>
    <row r="992" spans="1:5" x14ac:dyDescent="0.35">
      <c r="A992" s="32">
        <v>1262</v>
      </c>
      <c r="B992" s="32" t="s">
        <v>571</v>
      </c>
      <c r="C992" s="32" t="s">
        <v>584</v>
      </c>
      <c r="D992" s="30" t="s">
        <v>656</v>
      </c>
      <c r="E992" s="30" t="s">
        <v>661</v>
      </c>
    </row>
    <row r="993" spans="1:5" x14ac:dyDescent="0.35">
      <c r="A993" s="32">
        <v>1263</v>
      </c>
      <c r="B993" s="32" t="s">
        <v>571</v>
      </c>
      <c r="C993" s="32" t="s">
        <v>624</v>
      </c>
      <c r="D993" s="30" t="s">
        <v>656</v>
      </c>
      <c r="E993" s="30" t="s">
        <v>661</v>
      </c>
    </row>
    <row r="994" spans="1:5" x14ac:dyDescent="0.35">
      <c r="A994" s="32">
        <v>1264</v>
      </c>
      <c r="B994" s="32" t="s">
        <v>571</v>
      </c>
      <c r="C994" s="32" t="s">
        <v>619</v>
      </c>
      <c r="D994" s="30" t="s">
        <v>656</v>
      </c>
      <c r="E994" s="30" t="s">
        <v>661</v>
      </c>
    </row>
    <row r="995" spans="1:5" x14ac:dyDescent="0.35">
      <c r="A995" s="32">
        <v>1265</v>
      </c>
      <c r="B995" s="32" t="s">
        <v>571</v>
      </c>
      <c r="C995" s="32" t="s">
        <v>662</v>
      </c>
      <c r="D995" s="30" t="s">
        <v>656</v>
      </c>
      <c r="E995" s="30" t="s">
        <v>661</v>
      </c>
    </row>
    <row r="996" spans="1:5" x14ac:dyDescent="0.35">
      <c r="A996" s="32">
        <v>1266</v>
      </c>
      <c r="B996" s="32" t="s">
        <v>571</v>
      </c>
      <c r="C996" s="32" t="s">
        <v>605</v>
      </c>
      <c r="D996" s="30" t="s">
        <v>656</v>
      </c>
      <c r="E996" s="30" t="s">
        <v>661</v>
      </c>
    </row>
    <row r="997" spans="1:5" x14ac:dyDescent="0.35">
      <c r="A997" s="32">
        <v>1267</v>
      </c>
      <c r="B997" s="32" t="s">
        <v>571</v>
      </c>
      <c r="C997" s="32" t="s">
        <v>605</v>
      </c>
      <c r="D997" s="30" t="s">
        <v>656</v>
      </c>
      <c r="E997" s="30" t="s">
        <v>661</v>
      </c>
    </row>
    <row r="998" spans="1:5" x14ac:dyDescent="0.35">
      <c r="A998" s="32">
        <v>1268</v>
      </c>
      <c r="B998" s="32" t="s">
        <v>571</v>
      </c>
      <c r="C998" s="32" t="s">
        <v>605</v>
      </c>
      <c r="D998" s="30" t="s">
        <v>656</v>
      </c>
      <c r="E998" s="30" t="s">
        <v>661</v>
      </c>
    </row>
    <row r="999" spans="1:5" x14ac:dyDescent="0.35">
      <c r="A999" s="32">
        <v>1269</v>
      </c>
      <c r="B999" s="32" t="s">
        <v>571</v>
      </c>
      <c r="C999" s="32" t="s">
        <v>584</v>
      </c>
      <c r="D999" s="30" t="s">
        <v>656</v>
      </c>
      <c r="E999" s="30" t="s">
        <v>661</v>
      </c>
    </row>
    <row r="1000" spans="1:5" x14ac:dyDescent="0.35">
      <c r="A1000" s="32">
        <v>1270</v>
      </c>
      <c r="B1000" s="32" t="s">
        <v>571</v>
      </c>
      <c r="C1000" s="32" t="s">
        <v>624</v>
      </c>
      <c r="D1000" s="30" t="s">
        <v>656</v>
      </c>
      <c r="E1000" s="30" t="s">
        <v>661</v>
      </c>
    </row>
    <row r="1001" spans="1:5" x14ac:dyDescent="0.35">
      <c r="A1001" s="32">
        <v>1271</v>
      </c>
      <c r="B1001" s="32" t="s">
        <v>571</v>
      </c>
      <c r="C1001" s="32" t="s">
        <v>605</v>
      </c>
      <c r="D1001" s="30" t="s">
        <v>656</v>
      </c>
      <c r="E1001" s="30" t="s">
        <v>661</v>
      </c>
    </row>
    <row r="1002" spans="1:5" x14ac:dyDescent="0.35">
      <c r="A1002" s="32">
        <v>1272</v>
      </c>
      <c r="B1002" s="32" t="s">
        <v>571</v>
      </c>
      <c r="C1002" s="32" t="s">
        <v>605</v>
      </c>
      <c r="D1002" s="30" t="s">
        <v>656</v>
      </c>
      <c r="E1002" s="30" t="s">
        <v>661</v>
      </c>
    </row>
    <row r="1003" spans="1:5" x14ac:dyDescent="0.35">
      <c r="A1003" s="32">
        <v>1273</v>
      </c>
      <c r="B1003" s="32" t="s">
        <v>571</v>
      </c>
      <c r="C1003" s="32" t="s">
        <v>584</v>
      </c>
      <c r="D1003" s="30" t="s">
        <v>656</v>
      </c>
      <c r="E1003" s="30" t="s">
        <v>661</v>
      </c>
    </row>
    <row r="1004" spans="1:5" x14ac:dyDescent="0.35">
      <c r="A1004" s="32">
        <v>1274</v>
      </c>
      <c r="B1004" s="32" t="s">
        <v>571</v>
      </c>
      <c r="C1004" s="32" t="s">
        <v>624</v>
      </c>
      <c r="D1004" s="30" t="s">
        <v>656</v>
      </c>
      <c r="E1004" s="30" t="s">
        <v>661</v>
      </c>
    </row>
    <row r="1005" spans="1:5" x14ac:dyDescent="0.35">
      <c r="A1005" s="32">
        <v>1275</v>
      </c>
      <c r="B1005" s="32" t="s">
        <v>571</v>
      </c>
      <c r="C1005" s="32" t="s">
        <v>605</v>
      </c>
      <c r="D1005" s="30" t="s">
        <v>656</v>
      </c>
      <c r="E1005" s="30" t="s">
        <v>661</v>
      </c>
    </row>
    <row r="1006" spans="1:5" x14ac:dyDescent="0.35">
      <c r="A1006" s="32">
        <v>1276</v>
      </c>
      <c r="B1006" s="32" t="s">
        <v>571</v>
      </c>
      <c r="C1006" s="32" t="s">
        <v>605</v>
      </c>
      <c r="D1006" s="30" t="s">
        <v>656</v>
      </c>
      <c r="E1006" s="30" t="s">
        <v>661</v>
      </c>
    </row>
    <row r="1007" spans="1:5" x14ac:dyDescent="0.35">
      <c r="A1007" s="32">
        <v>1277</v>
      </c>
      <c r="B1007" s="32" t="s">
        <v>571</v>
      </c>
      <c r="C1007" s="32" t="s">
        <v>605</v>
      </c>
      <c r="D1007" s="30" t="s">
        <v>656</v>
      </c>
      <c r="E1007" s="30" t="s">
        <v>661</v>
      </c>
    </row>
    <row r="1008" spans="1:5" x14ac:dyDescent="0.35">
      <c r="A1008" s="32">
        <v>1278</v>
      </c>
      <c r="B1008" s="32" t="s">
        <v>571</v>
      </c>
      <c r="C1008" s="32" t="s">
        <v>624</v>
      </c>
      <c r="D1008" s="30" t="s">
        <v>656</v>
      </c>
      <c r="E1008" s="30" t="s">
        <v>661</v>
      </c>
    </row>
    <row r="1009" spans="1:5" x14ac:dyDescent="0.35">
      <c r="A1009" s="32">
        <v>1279</v>
      </c>
      <c r="B1009" s="32" t="s">
        <v>571</v>
      </c>
      <c r="C1009" s="32" t="s">
        <v>619</v>
      </c>
      <c r="D1009" s="30" t="s">
        <v>656</v>
      </c>
      <c r="E1009" s="30" t="s">
        <v>661</v>
      </c>
    </row>
    <row r="1010" spans="1:5" x14ac:dyDescent="0.35">
      <c r="A1010" s="32">
        <v>1280</v>
      </c>
      <c r="B1010" s="32" t="s">
        <v>571</v>
      </c>
      <c r="C1010" s="32" t="s">
        <v>662</v>
      </c>
      <c r="D1010" s="30" t="s">
        <v>656</v>
      </c>
      <c r="E1010" s="30" t="s">
        <v>661</v>
      </c>
    </row>
    <row r="1011" spans="1:5" x14ac:dyDescent="0.35">
      <c r="A1011" s="32">
        <v>1281</v>
      </c>
      <c r="B1011" s="32" t="s">
        <v>571</v>
      </c>
      <c r="C1011" s="32" t="s">
        <v>605</v>
      </c>
      <c r="D1011" s="30" t="s">
        <v>656</v>
      </c>
      <c r="E1011" s="30" t="s">
        <v>661</v>
      </c>
    </row>
    <row r="1012" spans="1:5" x14ac:dyDescent="0.35">
      <c r="A1012" s="32">
        <v>1282</v>
      </c>
      <c r="B1012" s="32" t="s">
        <v>571</v>
      </c>
      <c r="C1012" s="32" t="s">
        <v>584</v>
      </c>
      <c r="D1012" s="30" t="s">
        <v>656</v>
      </c>
      <c r="E1012" s="30" t="s">
        <v>661</v>
      </c>
    </row>
    <row r="1013" spans="1:5" x14ac:dyDescent="0.35">
      <c r="A1013" s="32">
        <v>1283</v>
      </c>
      <c r="B1013" s="32" t="s">
        <v>571</v>
      </c>
      <c r="C1013" s="32" t="s">
        <v>624</v>
      </c>
      <c r="D1013" s="30" t="s">
        <v>656</v>
      </c>
      <c r="E1013" s="30" t="s">
        <v>661</v>
      </c>
    </row>
    <row r="1014" spans="1:5" x14ac:dyDescent="0.35">
      <c r="A1014" s="32">
        <v>1284</v>
      </c>
      <c r="B1014" s="32" t="s">
        <v>571</v>
      </c>
      <c r="C1014" s="32" t="s">
        <v>619</v>
      </c>
      <c r="D1014" s="30" t="s">
        <v>656</v>
      </c>
      <c r="E1014" s="30" t="s">
        <v>661</v>
      </c>
    </row>
    <row r="1015" spans="1:5" x14ac:dyDescent="0.35">
      <c r="A1015" s="32">
        <v>1285</v>
      </c>
      <c r="B1015" s="32" t="s">
        <v>571</v>
      </c>
      <c r="C1015" s="32" t="s">
        <v>662</v>
      </c>
      <c r="D1015" s="30" t="s">
        <v>656</v>
      </c>
      <c r="E1015" s="30" t="s">
        <v>661</v>
      </c>
    </row>
    <row r="1016" spans="1:5" x14ac:dyDescent="0.35">
      <c r="A1016" s="32">
        <v>1286</v>
      </c>
      <c r="B1016" s="32" t="s">
        <v>571</v>
      </c>
      <c r="C1016" s="32" t="s">
        <v>605</v>
      </c>
      <c r="D1016" s="30" t="s">
        <v>656</v>
      </c>
      <c r="E1016" s="30" t="s">
        <v>661</v>
      </c>
    </row>
    <row r="1017" spans="1:5" x14ac:dyDescent="0.35">
      <c r="A1017" s="32">
        <v>1287</v>
      </c>
      <c r="B1017" s="32" t="s">
        <v>571</v>
      </c>
      <c r="C1017" s="32" t="s">
        <v>605</v>
      </c>
      <c r="D1017" s="30" t="s">
        <v>656</v>
      </c>
      <c r="E1017" s="30" t="s">
        <v>661</v>
      </c>
    </row>
    <row r="1018" spans="1:5" x14ac:dyDescent="0.35">
      <c r="A1018" s="32">
        <v>1288</v>
      </c>
      <c r="B1018" s="32" t="s">
        <v>571</v>
      </c>
      <c r="C1018" s="32" t="s">
        <v>584</v>
      </c>
      <c r="D1018" s="30" t="s">
        <v>656</v>
      </c>
      <c r="E1018" s="30" t="s">
        <v>661</v>
      </c>
    </row>
    <row r="1019" spans="1:5" x14ac:dyDescent="0.35">
      <c r="A1019" s="32">
        <v>1289</v>
      </c>
      <c r="B1019" s="32" t="s">
        <v>571</v>
      </c>
      <c r="C1019" s="32" t="s">
        <v>605</v>
      </c>
      <c r="D1019" s="30" t="s">
        <v>656</v>
      </c>
      <c r="E1019" s="30" t="s">
        <v>661</v>
      </c>
    </row>
    <row r="1020" spans="1:5" x14ac:dyDescent="0.35">
      <c r="A1020" s="32">
        <v>1290</v>
      </c>
      <c r="B1020" s="32" t="s">
        <v>571</v>
      </c>
      <c r="C1020" s="32" t="s">
        <v>584</v>
      </c>
      <c r="D1020" s="30" t="s">
        <v>656</v>
      </c>
      <c r="E1020" s="30" t="s">
        <v>661</v>
      </c>
    </row>
    <row r="1021" spans="1:5" x14ac:dyDescent="0.35">
      <c r="A1021" s="32">
        <v>1291</v>
      </c>
      <c r="B1021" s="32" t="s">
        <v>571</v>
      </c>
      <c r="C1021" s="32" t="s">
        <v>624</v>
      </c>
      <c r="D1021" s="30" t="s">
        <v>656</v>
      </c>
      <c r="E1021" s="30" t="s">
        <v>661</v>
      </c>
    </row>
    <row r="1022" spans="1:5" x14ac:dyDescent="0.35">
      <c r="A1022" s="32">
        <v>1292</v>
      </c>
      <c r="B1022" s="32" t="s">
        <v>571</v>
      </c>
      <c r="C1022" s="32" t="s">
        <v>619</v>
      </c>
      <c r="D1022" s="30" t="s">
        <v>656</v>
      </c>
      <c r="E1022" s="30" t="s">
        <v>661</v>
      </c>
    </row>
    <row r="1023" spans="1:5" x14ac:dyDescent="0.35">
      <c r="A1023" s="32">
        <v>1293</v>
      </c>
      <c r="B1023" s="32" t="s">
        <v>571</v>
      </c>
      <c r="C1023" s="32" t="s">
        <v>662</v>
      </c>
      <c r="D1023" s="30" t="s">
        <v>656</v>
      </c>
      <c r="E1023" s="30" t="s">
        <v>661</v>
      </c>
    </row>
    <row r="1024" spans="1:5" x14ac:dyDescent="0.35">
      <c r="A1024" s="32">
        <v>1294</v>
      </c>
      <c r="B1024" s="32" t="s">
        <v>571</v>
      </c>
      <c r="C1024" s="32" t="s">
        <v>605</v>
      </c>
      <c r="D1024" s="30" t="s">
        <v>656</v>
      </c>
      <c r="E1024" s="30" t="s">
        <v>661</v>
      </c>
    </row>
    <row r="1025" spans="1:5" x14ac:dyDescent="0.35">
      <c r="A1025" s="32">
        <v>1295</v>
      </c>
      <c r="B1025" s="32" t="s">
        <v>571</v>
      </c>
      <c r="C1025" s="32" t="s">
        <v>584</v>
      </c>
      <c r="D1025" s="30" t="s">
        <v>656</v>
      </c>
      <c r="E1025" s="30" t="s">
        <v>661</v>
      </c>
    </row>
    <row r="1026" spans="1:5" x14ac:dyDescent="0.35">
      <c r="A1026" s="32">
        <v>1296</v>
      </c>
      <c r="B1026" s="32" t="s">
        <v>571</v>
      </c>
      <c r="C1026" s="32" t="s">
        <v>624</v>
      </c>
      <c r="D1026" s="30" t="s">
        <v>656</v>
      </c>
      <c r="E1026" s="30" t="s">
        <v>661</v>
      </c>
    </row>
    <row r="1027" spans="1:5" x14ac:dyDescent="0.35">
      <c r="A1027" s="32">
        <v>1297</v>
      </c>
      <c r="B1027" s="32" t="s">
        <v>571</v>
      </c>
      <c r="C1027" s="32" t="s">
        <v>619</v>
      </c>
      <c r="D1027" s="30" t="s">
        <v>656</v>
      </c>
      <c r="E1027" s="30" t="s">
        <v>661</v>
      </c>
    </row>
    <row r="1028" spans="1:5" x14ac:dyDescent="0.35">
      <c r="A1028" s="32">
        <v>1298</v>
      </c>
      <c r="B1028" s="32" t="s">
        <v>571</v>
      </c>
      <c r="C1028" s="32" t="s">
        <v>605</v>
      </c>
      <c r="D1028" s="30" t="s">
        <v>656</v>
      </c>
      <c r="E1028" s="30" t="s">
        <v>661</v>
      </c>
    </row>
    <row r="1029" spans="1:5" x14ac:dyDescent="0.35">
      <c r="A1029" s="32">
        <v>1299</v>
      </c>
      <c r="B1029" s="32" t="s">
        <v>571</v>
      </c>
      <c r="C1029" s="32" t="s">
        <v>605</v>
      </c>
      <c r="D1029" s="30" t="s">
        <v>656</v>
      </c>
      <c r="E1029" s="30" t="s">
        <v>661</v>
      </c>
    </row>
    <row r="1030" spans="1:5" x14ac:dyDescent="0.35">
      <c r="A1030" s="32">
        <v>1300</v>
      </c>
      <c r="B1030" s="32" t="s">
        <v>571</v>
      </c>
      <c r="C1030" s="32" t="s">
        <v>584</v>
      </c>
      <c r="D1030" s="30" t="s">
        <v>656</v>
      </c>
      <c r="E1030" s="30" t="s">
        <v>661</v>
      </c>
    </row>
    <row r="1031" spans="1:5" x14ac:dyDescent="0.35">
      <c r="A1031" s="32">
        <v>1301</v>
      </c>
      <c r="B1031" s="32" t="s">
        <v>571</v>
      </c>
      <c r="C1031" s="32" t="s">
        <v>605</v>
      </c>
      <c r="D1031" s="30" t="s">
        <v>656</v>
      </c>
      <c r="E1031" s="30" t="s">
        <v>661</v>
      </c>
    </row>
    <row r="1032" spans="1:5" x14ac:dyDescent="0.35">
      <c r="A1032" s="32">
        <v>1302</v>
      </c>
      <c r="B1032" s="32" t="s">
        <v>571</v>
      </c>
      <c r="C1032" s="32" t="s">
        <v>624</v>
      </c>
      <c r="D1032" s="30" t="s">
        <v>656</v>
      </c>
      <c r="E1032" s="30" t="s">
        <v>661</v>
      </c>
    </row>
    <row r="1033" spans="1:5" x14ac:dyDescent="0.35">
      <c r="A1033" s="32">
        <v>1303</v>
      </c>
      <c r="B1033" s="32" t="s">
        <v>571</v>
      </c>
      <c r="C1033" s="32" t="s">
        <v>619</v>
      </c>
      <c r="D1033" s="30" t="s">
        <v>656</v>
      </c>
      <c r="E1033" s="30" t="s">
        <v>661</v>
      </c>
    </row>
    <row r="1034" spans="1:5" x14ac:dyDescent="0.35">
      <c r="A1034" s="32">
        <v>1304</v>
      </c>
      <c r="B1034" s="32" t="s">
        <v>571</v>
      </c>
      <c r="C1034" s="32" t="s">
        <v>624</v>
      </c>
      <c r="D1034" s="30" t="s">
        <v>656</v>
      </c>
      <c r="E1034" s="30" t="s">
        <v>661</v>
      </c>
    </row>
    <row r="1035" spans="1:5" x14ac:dyDescent="0.35">
      <c r="A1035" s="32">
        <v>1305</v>
      </c>
      <c r="B1035" s="32" t="s">
        <v>571</v>
      </c>
      <c r="C1035" s="32" t="s">
        <v>605</v>
      </c>
      <c r="D1035" s="30" t="s">
        <v>656</v>
      </c>
      <c r="E1035" s="30" t="s">
        <v>661</v>
      </c>
    </row>
    <row r="1036" spans="1:5" x14ac:dyDescent="0.35">
      <c r="A1036" s="32">
        <v>1306</v>
      </c>
      <c r="B1036" s="32" t="s">
        <v>571</v>
      </c>
      <c r="C1036" s="32" t="s">
        <v>605</v>
      </c>
      <c r="D1036" s="30" t="s">
        <v>656</v>
      </c>
      <c r="E1036" s="30" t="s">
        <v>661</v>
      </c>
    </row>
    <row r="1037" spans="1:5" x14ac:dyDescent="0.35">
      <c r="A1037" s="32">
        <v>1307</v>
      </c>
      <c r="B1037" s="32" t="s">
        <v>571</v>
      </c>
      <c r="C1037" s="32" t="s">
        <v>605</v>
      </c>
      <c r="D1037" s="30" t="s">
        <v>656</v>
      </c>
      <c r="E1037" s="30" t="s">
        <v>661</v>
      </c>
    </row>
    <row r="1038" spans="1:5" x14ac:dyDescent="0.35">
      <c r="A1038" s="32">
        <v>1308</v>
      </c>
      <c r="B1038" s="32" t="s">
        <v>571</v>
      </c>
      <c r="C1038" s="32" t="s">
        <v>584</v>
      </c>
      <c r="D1038" s="30" t="s">
        <v>656</v>
      </c>
      <c r="E1038" s="30" t="s">
        <v>661</v>
      </c>
    </row>
    <row r="1039" spans="1:5" x14ac:dyDescent="0.35">
      <c r="A1039" s="32">
        <v>1309</v>
      </c>
      <c r="B1039" s="32" t="s">
        <v>571</v>
      </c>
      <c r="C1039" s="32" t="s">
        <v>624</v>
      </c>
      <c r="D1039" s="30" t="s">
        <v>656</v>
      </c>
      <c r="E1039" s="30" t="s">
        <v>661</v>
      </c>
    </row>
    <row r="1040" spans="1:5" x14ac:dyDescent="0.35">
      <c r="A1040" s="32">
        <v>1310</v>
      </c>
      <c r="B1040" s="32" t="s">
        <v>571</v>
      </c>
      <c r="C1040" s="32" t="s">
        <v>619</v>
      </c>
      <c r="D1040" s="30" t="s">
        <v>656</v>
      </c>
      <c r="E1040" s="30" t="s">
        <v>661</v>
      </c>
    </row>
    <row r="1041" spans="1:5" x14ac:dyDescent="0.35">
      <c r="A1041" s="32">
        <v>1311</v>
      </c>
      <c r="B1041" s="32" t="s">
        <v>571</v>
      </c>
      <c r="C1041" s="32" t="s">
        <v>662</v>
      </c>
      <c r="D1041" s="30" t="s">
        <v>656</v>
      </c>
      <c r="E1041" s="30" t="s">
        <v>661</v>
      </c>
    </row>
    <row r="1042" spans="1:5" x14ac:dyDescent="0.35">
      <c r="A1042" s="32">
        <v>1312</v>
      </c>
      <c r="B1042" s="32" t="s">
        <v>571</v>
      </c>
      <c r="C1042" s="32" t="s">
        <v>605</v>
      </c>
      <c r="D1042" s="30" t="s">
        <v>656</v>
      </c>
      <c r="E1042" s="30" t="s">
        <v>661</v>
      </c>
    </row>
    <row r="1043" spans="1:5" x14ac:dyDescent="0.35">
      <c r="A1043" s="32">
        <v>1313</v>
      </c>
      <c r="B1043" s="32" t="s">
        <v>571</v>
      </c>
      <c r="C1043" s="32" t="s">
        <v>605</v>
      </c>
      <c r="D1043" s="30" t="s">
        <v>656</v>
      </c>
      <c r="E1043" s="30" t="s">
        <v>661</v>
      </c>
    </row>
    <row r="1044" spans="1:5" x14ac:dyDescent="0.35">
      <c r="A1044" s="32">
        <v>1314</v>
      </c>
      <c r="B1044" s="32" t="s">
        <v>571</v>
      </c>
      <c r="C1044" s="32" t="s">
        <v>584</v>
      </c>
      <c r="D1044" s="30" t="s">
        <v>656</v>
      </c>
      <c r="E1044" s="30" t="s">
        <v>661</v>
      </c>
    </row>
    <row r="1045" spans="1:5" x14ac:dyDescent="0.35">
      <c r="A1045" s="32">
        <v>1315</v>
      </c>
      <c r="B1045" s="32" t="s">
        <v>610</v>
      </c>
      <c r="C1045" s="32" t="s">
        <v>648</v>
      </c>
      <c r="D1045" s="30" t="s">
        <v>663</v>
      </c>
      <c r="E1045" s="30" t="s">
        <v>664</v>
      </c>
    </row>
    <row r="1046" spans="1:5" x14ac:dyDescent="0.35">
      <c r="A1046" s="32">
        <v>1316</v>
      </c>
      <c r="B1046" s="32" t="s">
        <v>641</v>
      </c>
      <c r="C1046" s="32" t="s">
        <v>648</v>
      </c>
      <c r="D1046" s="30" t="s">
        <v>612</v>
      </c>
      <c r="E1046" s="30" t="s">
        <v>628</v>
      </c>
    </row>
    <row r="1047" spans="1:5" x14ac:dyDescent="0.35">
      <c r="A1047" s="32">
        <v>1317</v>
      </c>
      <c r="B1047" s="32" t="s">
        <v>641</v>
      </c>
      <c r="C1047" s="32" t="s">
        <v>650</v>
      </c>
      <c r="D1047" s="30" t="s">
        <v>612</v>
      </c>
      <c r="E1047" s="30" t="s">
        <v>628</v>
      </c>
    </row>
    <row r="1048" spans="1:5" x14ac:dyDescent="0.35">
      <c r="A1048" s="32">
        <v>1318</v>
      </c>
      <c r="B1048" s="32" t="s">
        <v>641</v>
      </c>
      <c r="C1048" s="32" t="s">
        <v>655</v>
      </c>
      <c r="D1048" s="30" t="s">
        <v>612</v>
      </c>
      <c r="E1048" s="30" t="s">
        <v>628</v>
      </c>
    </row>
    <row r="1049" spans="1:5" x14ac:dyDescent="0.35">
      <c r="A1049" s="32">
        <v>1319</v>
      </c>
      <c r="B1049" s="32" t="s">
        <v>641</v>
      </c>
      <c r="C1049" s="32" t="s">
        <v>665</v>
      </c>
      <c r="D1049" s="30" t="s">
        <v>612</v>
      </c>
      <c r="E1049" s="30" t="s">
        <v>628</v>
      </c>
    </row>
    <row r="1050" spans="1:5" x14ac:dyDescent="0.35">
      <c r="A1050" s="32">
        <v>1320</v>
      </c>
      <c r="B1050" s="32" t="s">
        <v>641</v>
      </c>
      <c r="C1050" s="32" t="s">
        <v>617</v>
      </c>
      <c r="D1050" s="30" t="s">
        <v>612</v>
      </c>
      <c r="E1050" s="30" t="s">
        <v>628</v>
      </c>
    </row>
    <row r="1051" spans="1:5" x14ac:dyDescent="0.35">
      <c r="A1051" s="32">
        <v>1321</v>
      </c>
      <c r="B1051" s="32" t="s">
        <v>641</v>
      </c>
      <c r="C1051" s="32" t="s">
        <v>605</v>
      </c>
      <c r="D1051" s="30" t="s">
        <v>612</v>
      </c>
      <c r="E1051" s="30" t="s">
        <v>628</v>
      </c>
    </row>
    <row r="1052" spans="1:5" x14ac:dyDescent="0.35">
      <c r="A1052" s="32">
        <v>1322</v>
      </c>
      <c r="B1052" s="32" t="s">
        <v>611</v>
      </c>
      <c r="C1052" s="32" t="s">
        <v>584</v>
      </c>
      <c r="D1052" s="30" t="s">
        <v>635</v>
      </c>
      <c r="E1052" s="30" t="s">
        <v>636</v>
      </c>
    </row>
    <row r="1053" spans="1:5" x14ac:dyDescent="0.35">
      <c r="A1053" s="32">
        <v>1323</v>
      </c>
      <c r="B1053" s="32" t="s">
        <v>611</v>
      </c>
      <c r="C1053" s="32" t="s">
        <v>584</v>
      </c>
      <c r="D1053" s="30" t="s">
        <v>635</v>
      </c>
      <c r="E1053" s="30" t="s">
        <v>636</v>
      </c>
    </row>
    <row r="1054" spans="1:5" x14ac:dyDescent="0.35">
      <c r="A1054" s="32">
        <v>1324</v>
      </c>
      <c r="B1054" s="32" t="s">
        <v>642</v>
      </c>
      <c r="C1054" s="32" t="s">
        <v>648</v>
      </c>
      <c r="D1054" s="30" t="s">
        <v>599</v>
      </c>
      <c r="E1054" s="30" t="s">
        <v>629</v>
      </c>
    </row>
    <row r="1055" spans="1:5" x14ac:dyDescent="0.35">
      <c r="A1055" s="32">
        <v>1325</v>
      </c>
      <c r="B1055" s="32" t="s">
        <v>611</v>
      </c>
      <c r="C1055" s="32" t="s">
        <v>648</v>
      </c>
      <c r="D1055" s="30" t="s">
        <v>599</v>
      </c>
      <c r="E1055" s="30" t="s">
        <v>629</v>
      </c>
    </row>
    <row r="1056" spans="1:5" x14ac:dyDescent="0.35">
      <c r="A1056" s="32">
        <v>1326</v>
      </c>
      <c r="B1056" s="32" t="s">
        <v>641</v>
      </c>
      <c r="C1056" s="32" t="s">
        <v>648</v>
      </c>
      <c r="D1056" s="30" t="s">
        <v>599</v>
      </c>
      <c r="E1056" s="30" t="s">
        <v>629</v>
      </c>
    </row>
    <row r="1057" spans="1:5" x14ac:dyDescent="0.35">
      <c r="A1057" s="32">
        <v>1327</v>
      </c>
      <c r="B1057" s="32" t="s">
        <v>641</v>
      </c>
      <c r="C1057" s="32" t="s">
        <v>648</v>
      </c>
      <c r="D1057" s="30" t="s">
        <v>599</v>
      </c>
      <c r="E1057" s="30" t="s">
        <v>629</v>
      </c>
    </row>
    <row r="1058" spans="1:5" x14ac:dyDescent="0.35">
      <c r="A1058" s="32">
        <v>1328</v>
      </c>
      <c r="B1058" s="32" t="s">
        <v>611</v>
      </c>
      <c r="C1058" s="32" t="s">
        <v>648</v>
      </c>
      <c r="D1058" s="30" t="s">
        <v>599</v>
      </c>
      <c r="E1058" s="30" t="s">
        <v>629</v>
      </c>
    </row>
    <row r="1059" spans="1:5" x14ac:dyDescent="0.35">
      <c r="A1059" s="32">
        <v>1329</v>
      </c>
      <c r="B1059" s="32" t="s">
        <v>634</v>
      </c>
      <c r="C1059" s="32" t="s">
        <v>648</v>
      </c>
      <c r="D1059" s="30" t="s">
        <v>599</v>
      </c>
      <c r="E1059" s="30" t="s">
        <v>629</v>
      </c>
    </row>
    <row r="1060" spans="1:5" x14ac:dyDescent="0.35">
      <c r="A1060" s="32">
        <v>1330</v>
      </c>
      <c r="B1060" s="32" t="s">
        <v>634</v>
      </c>
      <c r="C1060" s="32" t="s">
        <v>648</v>
      </c>
      <c r="D1060" s="30" t="s">
        <v>599</v>
      </c>
      <c r="E1060" s="30" t="s">
        <v>629</v>
      </c>
    </row>
    <row r="1061" spans="1:5" x14ac:dyDescent="0.35">
      <c r="A1061" s="32">
        <v>1331</v>
      </c>
      <c r="B1061" s="32" t="s">
        <v>634</v>
      </c>
      <c r="C1061" s="32" t="s">
        <v>648</v>
      </c>
      <c r="D1061" s="30" t="s">
        <v>599</v>
      </c>
      <c r="E1061" s="30" t="s">
        <v>629</v>
      </c>
    </row>
    <row r="1062" spans="1:5" x14ac:dyDescent="0.35">
      <c r="A1062" s="32">
        <v>1332</v>
      </c>
      <c r="B1062" s="32" t="s">
        <v>634</v>
      </c>
      <c r="C1062" s="32" t="s">
        <v>648</v>
      </c>
      <c r="D1062" s="30" t="s">
        <v>599</v>
      </c>
      <c r="E1062" s="30" t="s">
        <v>629</v>
      </c>
    </row>
    <row r="1063" spans="1:5" x14ac:dyDescent="0.35">
      <c r="A1063" s="32">
        <v>1333</v>
      </c>
      <c r="B1063" s="32" t="s">
        <v>634</v>
      </c>
      <c r="C1063" s="32" t="s">
        <v>648</v>
      </c>
      <c r="D1063" s="30" t="s">
        <v>599</v>
      </c>
      <c r="E1063" s="30" t="s">
        <v>629</v>
      </c>
    </row>
    <row r="1064" spans="1:5" x14ac:dyDescent="0.35">
      <c r="A1064" s="32">
        <v>1334</v>
      </c>
      <c r="B1064" s="32" t="s">
        <v>634</v>
      </c>
      <c r="C1064" s="32" t="s">
        <v>648</v>
      </c>
      <c r="D1064" s="30" t="s">
        <v>599</v>
      </c>
      <c r="E1064" s="30" t="s">
        <v>629</v>
      </c>
    </row>
    <row r="1065" spans="1:5" x14ac:dyDescent="0.35">
      <c r="A1065" s="32">
        <v>1335</v>
      </c>
      <c r="B1065" s="32" t="s">
        <v>571</v>
      </c>
      <c r="C1065" s="32" t="s">
        <v>648</v>
      </c>
      <c r="D1065" s="30" t="s">
        <v>599</v>
      </c>
      <c r="E1065" s="30" t="s">
        <v>629</v>
      </c>
    </row>
    <row r="1066" spans="1:5" x14ac:dyDescent="0.35">
      <c r="A1066" s="32">
        <v>1336</v>
      </c>
      <c r="B1066" s="32" t="s">
        <v>571</v>
      </c>
      <c r="C1066" s="32" t="s">
        <v>648</v>
      </c>
      <c r="D1066" s="30" t="s">
        <v>599</v>
      </c>
      <c r="E1066" s="30" t="s">
        <v>629</v>
      </c>
    </row>
    <row r="1067" spans="1:5" x14ac:dyDescent="0.35">
      <c r="A1067" s="32">
        <v>1337</v>
      </c>
      <c r="B1067" s="32" t="s">
        <v>571</v>
      </c>
      <c r="C1067" s="32" t="s">
        <v>648</v>
      </c>
      <c r="D1067" s="30" t="s">
        <v>599</v>
      </c>
      <c r="E1067" s="30" t="s">
        <v>629</v>
      </c>
    </row>
    <row r="1068" spans="1:5" x14ac:dyDescent="0.35">
      <c r="A1068" s="32">
        <v>1338</v>
      </c>
      <c r="B1068" s="32" t="s">
        <v>571</v>
      </c>
      <c r="C1068" s="32" t="s">
        <v>648</v>
      </c>
      <c r="D1068" s="30" t="s">
        <v>599</v>
      </c>
      <c r="E1068" s="30" t="s">
        <v>629</v>
      </c>
    </row>
    <row r="1069" spans="1:5" x14ac:dyDescent="0.35">
      <c r="A1069" s="32">
        <v>1339</v>
      </c>
      <c r="B1069" s="32" t="s">
        <v>571</v>
      </c>
      <c r="C1069" s="32" t="s">
        <v>648</v>
      </c>
      <c r="D1069" s="30" t="s">
        <v>599</v>
      </c>
      <c r="E1069" s="30" t="s">
        <v>629</v>
      </c>
    </row>
    <row r="1070" spans="1:5" x14ac:dyDescent="0.35">
      <c r="A1070" s="32">
        <v>1340</v>
      </c>
      <c r="B1070" s="32" t="s">
        <v>571</v>
      </c>
      <c r="C1070" s="32" t="s">
        <v>648</v>
      </c>
      <c r="D1070" s="30" t="s">
        <v>599</v>
      </c>
      <c r="E1070" s="30" t="s">
        <v>629</v>
      </c>
    </row>
    <row r="1071" spans="1:5" x14ac:dyDescent="0.35">
      <c r="A1071" s="32">
        <v>1341</v>
      </c>
      <c r="B1071" s="32" t="s">
        <v>571</v>
      </c>
      <c r="C1071" s="32" t="s">
        <v>648</v>
      </c>
      <c r="D1071" s="30" t="s">
        <v>599</v>
      </c>
      <c r="E1071" s="30" t="s">
        <v>629</v>
      </c>
    </row>
    <row r="1072" spans="1:5" x14ac:dyDescent="0.35">
      <c r="A1072" s="32">
        <v>1342</v>
      </c>
      <c r="B1072" s="32" t="s">
        <v>571</v>
      </c>
      <c r="C1072" s="32" t="s">
        <v>648</v>
      </c>
      <c r="D1072" s="30" t="s">
        <v>599</v>
      </c>
      <c r="E1072" s="30" t="s">
        <v>629</v>
      </c>
    </row>
    <row r="1073" spans="1:5" x14ac:dyDescent="0.35">
      <c r="A1073" s="32">
        <v>1343</v>
      </c>
      <c r="B1073" s="32" t="s">
        <v>571</v>
      </c>
      <c r="C1073" s="32" t="s">
        <v>648</v>
      </c>
      <c r="D1073" s="30" t="s">
        <v>599</v>
      </c>
      <c r="E1073" s="30" t="s">
        <v>629</v>
      </c>
    </row>
    <row r="1074" spans="1:5" x14ac:dyDescent="0.35">
      <c r="A1074" s="32">
        <v>1344</v>
      </c>
      <c r="B1074" s="32" t="s">
        <v>571</v>
      </c>
      <c r="C1074" s="32" t="s">
        <v>648</v>
      </c>
      <c r="D1074" s="30" t="s">
        <v>599</v>
      </c>
      <c r="E1074" s="30" t="s">
        <v>629</v>
      </c>
    </row>
    <row r="1075" spans="1:5" x14ac:dyDescent="0.35">
      <c r="A1075" s="32">
        <v>1345</v>
      </c>
      <c r="B1075" s="32" t="s">
        <v>571</v>
      </c>
      <c r="C1075" s="32" t="s">
        <v>648</v>
      </c>
      <c r="D1075" s="30" t="s">
        <v>599</v>
      </c>
      <c r="E1075" s="30" t="s">
        <v>629</v>
      </c>
    </row>
    <row r="1076" spans="1:5" x14ac:dyDescent="0.35">
      <c r="A1076" s="32">
        <v>1346</v>
      </c>
      <c r="B1076" s="32" t="s">
        <v>571</v>
      </c>
      <c r="C1076" s="32" t="s">
        <v>648</v>
      </c>
      <c r="D1076" s="30" t="s">
        <v>599</v>
      </c>
      <c r="E1076" s="30" t="s">
        <v>629</v>
      </c>
    </row>
    <row r="1077" spans="1:5" x14ac:dyDescent="0.35">
      <c r="A1077" s="32">
        <v>1347</v>
      </c>
      <c r="B1077" s="32" t="s">
        <v>571</v>
      </c>
      <c r="C1077" s="32" t="s">
        <v>648</v>
      </c>
      <c r="D1077" s="30" t="s">
        <v>599</v>
      </c>
      <c r="E1077" s="30" t="s">
        <v>629</v>
      </c>
    </row>
    <row r="1078" spans="1:5" x14ac:dyDescent="0.35">
      <c r="A1078" s="32">
        <v>1348</v>
      </c>
      <c r="B1078" s="32" t="s">
        <v>571</v>
      </c>
      <c r="C1078" s="32" t="s">
        <v>648</v>
      </c>
      <c r="D1078" s="30" t="s">
        <v>599</v>
      </c>
      <c r="E1078" s="30" t="s">
        <v>629</v>
      </c>
    </row>
    <row r="1079" spans="1:5" x14ac:dyDescent="0.35">
      <c r="A1079" s="32">
        <v>1349</v>
      </c>
      <c r="B1079" s="32" t="s">
        <v>571</v>
      </c>
      <c r="C1079" s="32" t="s">
        <v>605</v>
      </c>
      <c r="D1079" s="30" t="s">
        <v>599</v>
      </c>
      <c r="E1079" s="30" t="s">
        <v>649</v>
      </c>
    </row>
    <row r="1080" spans="1:5" x14ac:dyDescent="0.35">
      <c r="A1080" s="32">
        <v>1350</v>
      </c>
      <c r="B1080" s="32" t="s">
        <v>571</v>
      </c>
      <c r="C1080" s="32" t="s">
        <v>624</v>
      </c>
      <c r="D1080" s="30" t="s">
        <v>656</v>
      </c>
      <c r="E1080" s="30" t="s">
        <v>657</v>
      </c>
    </row>
    <row r="1081" spans="1:5" x14ac:dyDescent="0.35">
      <c r="A1081" s="32">
        <v>1351</v>
      </c>
      <c r="B1081" s="32" t="s">
        <v>571</v>
      </c>
      <c r="C1081" s="32" t="s">
        <v>605</v>
      </c>
      <c r="D1081" s="30" t="s">
        <v>656</v>
      </c>
      <c r="E1081" s="30" t="s">
        <v>657</v>
      </c>
    </row>
    <row r="1082" spans="1:5" x14ac:dyDescent="0.35">
      <c r="A1082" s="32">
        <v>1352</v>
      </c>
      <c r="B1082" s="32" t="s">
        <v>571</v>
      </c>
      <c r="C1082" s="32" t="s">
        <v>648</v>
      </c>
      <c r="D1082" s="30" t="s">
        <v>656</v>
      </c>
      <c r="E1082" s="30" t="s">
        <v>657</v>
      </c>
    </row>
    <row r="1083" spans="1:5" x14ac:dyDescent="0.35">
      <c r="A1083" s="32">
        <v>1353</v>
      </c>
      <c r="B1083" s="32" t="s">
        <v>571</v>
      </c>
      <c r="C1083" s="32" t="s">
        <v>648</v>
      </c>
      <c r="D1083" s="30" t="s">
        <v>656</v>
      </c>
      <c r="E1083" s="30" t="s">
        <v>657</v>
      </c>
    </row>
    <row r="1084" spans="1:5" x14ac:dyDescent="0.35">
      <c r="A1084" s="32">
        <v>1354</v>
      </c>
      <c r="B1084" s="32" t="s">
        <v>571</v>
      </c>
      <c r="C1084" s="32" t="s">
        <v>605</v>
      </c>
      <c r="D1084" s="30" t="s">
        <v>656</v>
      </c>
      <c r="E1084" s="30" t="s">
        <v>657</v>
      </c>
    </row>
    <row r="1085" spans="1:5" x14ac:dyDescent="0.35">
      <c r="A1085" s="32">
        <v>1355</v>
      </c>
      <c r="B1085" s="32" t="s">
        <v>571</v>
      </c>
      <c r="C1085" s="32" t="s">
        <v>648</v>
      </c>
      <c r="D1085" s="30" t="s">
        <v>656</v>
      </c>
      <c r="E1085" s="30" t="s">
        <v>657</v>
      </c>
    </row>
    <row r="1086" spans="1:5" x14ac:dyDescent="0.35">
      <c r="A1086" s="32">
        <v>1356</v>
      </c>
      <c r="B1086" s="32" t="s">
        <v>571</v>
      </c>
      <c r="C1086" s="32" t="s">
        <v>648</v>
      </c>
      <c r="D1086" s="30" t="s">
        <v>656</v>
      </c>
      <c r="E1086" s="30" t="s">
        <v>657</v>
      </c>
    </row>
    <row r="1087" spans="1:5" x14ac:dyDescent="0.35">
      <c r="A1087" s="32">
        <v>1357</v>
      </c>
      <c r="B1087" s="32" t="s">
        <v>571</v>
      </c>
      <c r="C1087" s="32" t="s">
        <v>605</v>
      </c>
      <c r="D1087" s="30" t="s">
        <v>656</v>
      </c>
      <c r="E1087" s="30" t="s">
        <v>657</v>
      </c>
    </row>
    <row r="1088" spans="1:5" x14ac:dyDescent="0.35">
      <c r="A1088" s="32">
        <v>1358</v>
      </c>
      <c r="B1088" s="32" t="s">
        <v>634</v>
      </c>
      <c r="C1088" s="32" t="s">
        <v>648</v>
      </c>
      <c r="D1088" s="30" t="s">
        <v>612</v>
      </c>
      <c r="E1088" s="30" t="s">
        <v>628</v>
      </c>
    </row>
    <row r="1089" spans="1:5" x14ac:dyDescent="0.35">
      <c r="A1089" s="32">
        <v>1359</v>
      </c>
      <c r="B1089" s="32" t="s">
        <v>611</v>
      </c>
      <c r="C1089" s="32" t="s">
        <v>605</v>
      </c>
      <c r="D1089" s="30" t="s">
        <v>656</v>
      </c>
      <c r="E1089" s="30" t="s">
        <v>657</v>
      </c>
    </row>
    <row r="1090" spans="1:5" x14ac:dyDescent="0.35">
      <c r="A1090" s="32">
        <v>1360</v>
      </c>
      <c r="B1090" s="32" t="s">
        <v>610</v>
      </c>
      <c r="C1090" s="32" t="s">
        <v>584</v>
      </c>
      <c r="D1090" s="30" t="s">
        <v>656</v>
      </c>
      <c r="E1090" s="30" t="s">
        <v>666</v>
      </c>
    </row>
    <row r="1091" spans="1:5" x14ac:dyDescent="0.35">
      <c r="A1091" s="32">
        <v>1361</v>
      </c>
      <c r="B1091" s="32" t="s">
        <v>571</v>
      </c>
      <c r="C1091" s="32" t="s">
        <v>648</v>
      </c>
      <c r="D1091" s="30" t="s">
        <v>639</v>
      </c>
      <c r="E1091" s="30" t="s">
        <v>667</v>
      </c>
    </row>
    <row r="1092" spans="1:5" x14ac:dyDescent="0.35">
      <c r="A1092" s="32">
        <v>1362</v>
      </c>
      <c r="B1092" s="32" t="s">
        <v>634</v>
      </c>
      <c r="C1092" s="32" t="s">
        <v>648</v>
      </c>
      <c r="D1092" s="30" t="s">
        <v>639</v>
      </c>
      <c r="E1092" s="30" t="s">
        <v>667</v>
      </c>
    </row>
    <row r="1093" spans="1:5" x14ac:dyDescent="0.35">
      <c r="A1093" s="32">
        <v>1363</v>
      </c>
      <c r="B1093" s="32" t="s">
        <v>611</v>
      </c>
      <c r="C1093" s="32" t="s">
        <v>648</v>
      </c>
      <c r="D1093" s="30" t="s">
        <v>639</v>
      </c>
      <c r="E1093" s="30" t="s">
        <v>667</v>
      </c>
    </row>
    <row r="1094" spans="1:5" x14ac:dyDescent="0.35">
      <c r="A1094" s="32">
        <v>1364</v>
      </c>
      <c r="B1094" s="32" t="s">
        <v>641</v>
      </c>
      <c r="C1094" s="32" t="s">
        <v>648</v>
      </c>
      <c r="D1094" s="30" t="s">
        <v>639</v>
      </c>
      <c r="E1094" s="30" t="s">
        <v>667</v>
      </c>
    </row>
    <row r="1095" spans="1:5" x14ac:dyDescent="0.35">
      <c r="A1095" s="32">
        <v>1365</v>
      </c>
      <c r="B1095" s="32" t="s">
        <v>610</v>
      </c>
      <c r="C1095" s="32" t="s">
        <v>648</v>
      </c>
      <c r="D1095" s="30" t="s">
        <v>632</v>
      </c>
      <c r="E1095" s="30" t="s">
        <v>633</v>
      </c>
    </row>
    <row r="1096" spans="1:5" x14ac:dyDescent="0.35">
      <c r="A1096" s="32">
        <v>1366</v>
      </c>
      <c r="B1096" s="32" t="s">
        <v>610</v>
      </c>
      <c r="C1096" s="32" t="s">
        <v>648</v>
      </c>
      <c r="D1096" s="30" t="s">
        <v>632</v>
      </c>
      <c r="E1096" s="30" t="s">
        <v>633</v>
      </c>
    </row>
    <row r="1097" spans="1:5" x14ac:dyDescent="0.35">
      <c r="A1097" s="32">
        <v>1367</v>
      </c>
      <c r="B1097" s="32" t="s">
        <v>610</v>
      </c>
      <c r="C1097" s="32" t="s">
        <v>648</v>
      </c>
      <c r="D1097" s="30" t="s">
        <v>573</v>
      </c>
      <c r="E1097" s="30" t="s">
        <v>637</v>
      </c>
    </row>
    <row r="1098" spans="1:5" x14ac:dyDescent="0.35">
      <c r="A1098" s="32">
        <v>1368</v>
      </c>
      <c r="B1098" s="32" t="s">
        <v>610</v>
      </c>
      <c r="C1098" s="32" t="s">
        <v>648</v>
      </c>
      <c r="D1098" s="30" t="s">
        <v>635</v>
      </c>
      <c r="E1098" s="30" t="s">
        <v>636</v>
      </c>
    </row>
    <row r="1099" spans="1:5" x14ac:dyDescent="0.35">
      <c r="A1099" s="32">
        <v>1369</v>
      </c>
      <c r="B1099" s="32" t="s">
        <v>571</v>
      </c>
      <c r="C1099" s="32" t="s">
        <v>648</v>
      </c>
      <c r="D1099" s="30" t="s">
        <v>632</v>
      </c>
      <c r="E1099" s="30" t="s">
        <v>633</v>
      </c>
    </row>
    <row r="1100" spans="1:5" x14ac:dyDescent="0.35">
      <c r="A1100" s="32">
        <v>1370</v>
      </c>
      <c r="B1100" s="32" t="s">
        <v>610</v>
      </c>
      <c r="C1100" s="32" t="s">
        <v>624</v>
      </c>
      <c r="D1100" s="30" t="s">
        <v>599</v>
      </c>
      <c r="E1100" s="30" t="s">
        <v>600</v>
      </c>
    </row>
    <row r="1101" spans="1:5" x14ac:dyDescent="0.35">
      <c r="A1101" s="32">
        <v>1371</v>
      </c>
      <c r="B1101" s="32" t="s">
        <v>610</v>
      </c>
      <c r="C1101" s="32" t="s">
        <v>584</v>
      </c>
      <c r="D1101" s="30" t="s">
        <v>573</v>
      </c>
      <c r="E1101" s="30" t="s">
        <v>637</v>
      </c>
    </row>
    <row r="1102" spans="1:5" x14ac:dyDescent="0.35">
      <c r="A1102" s="32">
        <v>1372</v>
      </c>
      <c r="B1102" s="32" t="s">
        <v>610</v>
      </c>
      <c r="C1102" s="32" t="s">
        <v>605</v>
      </c>
      <c r="D1102" s="30" t="s">
        <v>573</v>
      </c>
      <c r="E1102" s="30" t="s">
        <v>638</v>
      </c>
    </row>
    <row r="1103" spans="1:5" x14ac:dyDescent="0.35">
      <c r="A1103" s="32">
        <v>1373</v>
      </c>
      <c r="B1103" s="32" t="s">
        <v>610</v>
      </c>
      <c r="C1103" s="32" t="s">
        <v>605</v>
      </c>
      <c r="D1103" s="30" t="s">
        <v>573</v>
      </c>
      <c r="E1103" s="30" t="s">
        <v>638</v>
      </c>
    </row>
    <row r="1104" spans="1:5" x14ac:dyDescent="0.35">
      <c r="A1104" s="32">
        <v>1374</v>
      </c>
      <c r="B1104" s="32" t="s">
        <v>571</v>
      </c>
      <c r="C1104" s="32" t="s">
        <v>605</v>
      </c>
      <c r="D1104" s="30" t="s">
        <v>573</v>
      </c>
      <c r="E1104" s="30" t="s">
        <v>638</v>
      </c>
    </row>
    <row r="1105" spans="1:5" x14ac:dyDescent="0.35">
      <c r="A1105" s="32">
        <v>1375</v>
      </c>
      <c r="B1105" s="32" t="s">
        <v>571</v>
      </c>
      <c r="C1105" s="32" t="s">
        <v>605</v>
      </c>
      <c r="D1105" s="30" t="s">
        <v>573</v>
      </c>
      <c r="E1105" s="30" t="s">
        <v>638</v>
      </c>
    </row>
    <row r="1106" spans="1:5" x14ac:dyDescent="0.35">
      <c r="A1106" s="32">
        <v>1376</v>
      </c>
      <c r="B1106" s="32" t="s">
        <v>610</v>
      </c>
      <c r="C1106" s="32" t="s">
        <v>605</v>
      </c>
      <c r="D1106" s="30" t="s">
        <v>573</v>
      </c>
      <c r="E1106" s="30" t="s">
        <v>638</v>
      </c>
    </row>
    <row r="1107" spans="1:5" x14ac:dyDescent="0.35">
      <c r="A1107" s="32">
        <v>1377</v>
      </c>
      <c r="B1107" s="32" t="s">
        <v>571</v>
      </c>
      <c r="C1107" s="32" t="s">
        <v>605</v>
      </c>
      <c r="D1107" s="30" t="s">
        <v>573</v>
      </c>
      <c r="E1107" s="30" t="s">
        <v>638</v>
      </c>
    </row>
    <row r="1108" spans="1:5" x14ac:dyDescent="0.35">
      <c r="A1108" s="32">
        <v>1378</v>
      </c>
      <c r="B1108" s="32" t="s">
        <v>641</v>
      </c>
      <c r="C1108" s="32" t="s">
        <v>605</v>
      </c>
      <c r="D1108" s="30" t="s">
        <v>573</v>
      </c>
      <c r="E1108" s="30" t="s">
        <v>638</v>
      </c>
    </row>
    <row r="1109" spans="1:5" x14ac:dyDescent="0.35">
      <c r="A1109" s="32">
        <v>1379</v>
      </c>
      <c r="B1109" s="32" t="s">
        <v>634</v>
      </c>
      <c r="C1109" s="32" t="s">
        <v>605</v>
      </c>
      <c r="D1109" s="30" t="s">
        <v>573</v>
      </c>
      <c r="E1109" s="30" t="s">
        <v>638</v>
      </c>
    </row>
    <row r="1110" spans="1:5" x14ac:dyDescent="0.35">
      <c r="A1110" s="32">
        <v>1380</v>
      </c>
      <c r="B1110" s="32" t="s">
        <v>610</v>
      </c>
      <c r="C1110" s="32" t="s">
        <v>605</v>
      </c>
      <c r="D1110" s="30" t="s">
        <v>573</v>
      </c>
      <c r="E1110" s="30" t="s">
        <v>638</v>
      </c>
    </row>
    <row r="1111" spans="1:5" x14ac:dyDescent="0.35">
      <c r="A1111" s="32">
        <v>1381</v>
      </c>
      <c r="B1111" s="32" t="s">
        <v>641</v>
      </c>
      <c r="C1111" s="32" t="s">
        <v>648</v>
      </c>
      <c r="D1111" s="30" t="s">
        <v>612</v>
      </c>
      <c r="E1111" s="30" t="s">
        <v>628</v>
      </c>
    </row>
    <row r="1112" spans="1:5" x14ac:dyDescent="0.35">
      <c r="A1112" s="32">
        <v>1383</v>
      </c>
      <c r="B1112" s="32" t="s">
        <v>611</v>
      </c>
      <c r="C1112" s="32" t="s">
        <v>584</v>
      </c>
      <c r="D1112" s="30" t="s">
        <v>656</v>
      </c>
      <c r="E1112" s="30" t="s">
        <v>666</v>
      </c>
    </row>
    <row r="1113" spans="1:5" x14ac:dyDescent="0.35">
      <c r="A1113" s="32">
        <v>1384</v>
      </c>
      <c r="B1113" s="32" t="s">
        <v>634</v>
      </c>
      <c r="C1113" s="32" t="s">
        <v>619</v>
      </c>
      <c r="D1113" s="30" t="s">
        <v>663</v>
      </c>
      <c r="E1113" s="30" t="s">
        <v>664</v>
      </c>
    </row>
    <row r="1114" spans="1:5" x14ac:dyDescent="0.35">
      <c r="A1114" s="32">
        <v>1385</v>
      </c>
      <c r="B1114" s="32" t="s">
        <v>642</v>
      </c>
      <c r="C1114" s="32" t="s">
        <v>584</v>
      </c>
      <c r="D1114" s="30" t="s">
        <v>599</v>
      </c>
      <c r="E1114" s="30" t="s">
        <v>615</v>
      </c>
    </row>
    <row r="1115" spans="1:5" x14ac:dyDescent="0.35">
      <c r="A1115" s="32">
        <v>1386</v>
      </c>
      <c r="B1115" s="32" t="s">
        <v>634</v>
      </c>
      <c r="C1115" s="32" t="s">
        <v>584</v>
      </c>
      <c r="D1115" s="30" t="s">
        <v>573</v>
      </c>
      <c r="E1115" s="30" t="s">
        <v>638</v>
      </c>
    </row>
    <row r="1116" spans="1:5" x14ac:dyDescent="0.35">
      <c r="A1116" s="32">
        <v>1387</v>
      </c>
      <c r="B1116" s="32" t="s">
        <v>634</v>
      </c>
      <c r="C1116" s="32" t="s">
        <v>584</v>
      </c>
      <c r="D1116" s="30" t="s">
        <v>573</v>
      </c>
      <c r="E1116" s="30" t="s">
        <v>638</v>
      </c>
    </row>
    <row r="1117" spans="1:5" x14ac:dyDescent="0.35">
      <c r="A1117" s="32">
        <v>1388</v>
      </c>
      <c r="B1117" s="32" t="s">
        <v>634</v>
      </c>
      <c r="C1117" s="32" t="s">
        <v>584</v>
      </c>
      <c r="D1117" s="30" t="s">
        <v>573</v>
      </c>
      <c r="E1117" s="30" t="s">
        <v>638</v>
      </c>
    </row>
    <row r="1118" spans="1:5" x14ac:dyDescent="0.35">
      <c r="A1118" s="32">
        <v>1389</v>
      </c>
      <c r="B1118" s="32" t="s">
        <v>634</v>
      </c>
      <c r="C1118" s="32" t="s">
        <v>584</v>
      </c>
      <c r="D1118" s="30" t="s">
        <v>573</v>
      </c>
      <c r="E1118" s="30" t="s">
        <v>638</v>
      </c>
    </row>
    <row r="1119" spans="1:5" x14ac:dyDescent="0.35">
      <c r="A1119" s="32">
        <v>1390</v>
      </c>
      <c r="B1119" s="32" t="s">
        <v>634</v>
      </c>
      <c r="C1119" s="32" t="s">
        <v>584</v>
      </c>
      <c r="D1119" s="30" t="s">
        <v>573</v>
      </c>
      <c r="E1119" s="30" t="s">
        <v>638</v>
      </c>
    </row>
    <row r="1120" spans="1:5" x14ac:dyDescent="0.35">
      <c r="A1120" s="32">
        <v>1391</v>
      </c>
      <c r="B1120" s="32" t="s">
        <v>571</v>
      </c>
      <c r="C1120" s="32" t="s">
        <v>584</v>
      </c>
      <c r="D1120" s="30" t="s">
        <v>573</v>
      </c>
      <c r="E1120" s="30" t="s">
        <v>638</v>
      </c>
    </row>
    <row r="1121" spans="1:5" x14ac:dyDescent="0.35">
      <c r="A1121" s="32">
        <v>1392</v>
      </c>
      <c r="B1121" s="32" t="s">
        <v>571</v>
      </c>
      <c r="C1121" s="32" t="s">
        <v>584</v>
      </c>
      <c r="D1121" s="30" t="s">
        <v>573</v>
      </c>
      <c r="E1121" s="30" t="s">
        <v>638</v>
      </c>
    </row>
    <row r="1122" spans="1:5" x14ac:dyDescent="0.35">
      <c r="A1122" s="32">
        <v>1393</v>
      </c>
      <c r="B1122" s="32" t="s">
        <v>571</v>
      </c>
      <c r="C1122" s="32" t="s">
        <v>584</v>
      </c>
      <c r="D1122" s="30" t="s">
        <v>573</v>
      </c>
      <c r="E1122" s="30" t="s">
        <v>638</v>
      </c>
    </row>
    <row r="1123" spans="1:5" x14ac:dyDescent="0.35">
      <c r="A1123" s="32">
        <v>1394</v>
      </c>
      <c r="B1123" s="32" t="s">
        <v>571</v>
      </c>
      <c r="C1123" s="32" t="s">
        <v>584</v>
      </c>
      <c r="D1123" s="30" t="s">
        <v>573</v>
      </c>
      <c r="E1123" s="30" t="s">
        <v>638</v>
      </c>
    </row>
    <row r="1124" spans="1:5" x14ac:dyDescent="0.35">
      <c r="A1124" s="32">
        <v>1395</v>
      </c>
      <c r="B1124" s="32" t="s">
        <v>571</v>
      </c>
      <c r="C1124" s="32" t="s">
        <v>584</v>
      </c>
      <c r="D1124" s="30" t="s">
        <v>573</v>
      </c>
      <c r="E1124" s="30" t="s">
        <v>638</v>
      </c>
    </row>
    <row r="1125" spans="1:5" x14ac:dyDescent="0.35">
      <c r="A1125" s="32">
        <v>1396</v>
      </c>
      <c r="B1125" s="32" t="s">
        <v>571</v>
      </c>
      <c r="C1125" s="32" t="s">
        <v>584</v>
      </c>
      <c r="D1125" s="30" t="s">
        <v>573</v>
      </c>
      <c r="E1125" s="30" t="s">
        <v>638</v>
      </c>
    </row>
    <row r="1126" spans="1:5" x14ac:dyDescent="0.35">
      <c r="A1126" s="32">
        <v>1397</v>
      </c>
      <c r="B1126" s="32" t="s">
        <v>571</v>
      </c>
      <c r="C1126" s="32" t="s">
        <v>584</v>
      </c>
      <c r="D1126" s="30" t="s">
        <v>573</v>
      </c>
      <c r="E1126" s="30" t="s">
        <v>638</v>
      </c>
    </row>
    <row r="1127" spans="1:5" x14ac:dyDescent="0.35">
      <c r="A1127" s="32">
        <v>1398</v>
      </c>
      <c r="B1127" s="32" t="s">
        <v>571</v>
      </c>
      <c r="C1127" s="32" t="s">
        <v>584</v>
      </c>
      <c r="D1127" s="30" t="s">
        <v>573</v>
      </c>
      <c r="E1127" s="30" t="s">
        <v>638</v>
      </c>
    </row>
    <row r="1128" spans="1:5" x14ac:dyDescent="0.35">
      <c r="A1128" s="32">
        <v>1399</v>
      </c>
      <c r="B1128" s="32" t="s">
        <v>571</v>
      </c>
      <c r="C1128" s="32" t="s">
        <v>584</v>
      </c>
      <c r="D1128" s="30" t="s">
        <v>573</v>
      </c>
      <c r="E1128" s="30" t="s">
        <v>638</v>
      </c>
    </row>
    <row r="1129" spans="1:5" x14ac:dyDescent="0.35">
      <c r="A1129" s="32">
        <v>1400</v>
      </c>
      <c r="B1129" s="32" t="s">
        <v>642</v>
      </c>
      <c r="C1129" s="32" t="s">
        <v>584</v>
      </c>
      <c r="D1129" s="30" t="s">
        <v>573</v>
      </c>
      <c r="E1129" s="30" t="s">
        <v>638</v>
      </c>
    </row>
    <row r="1130" spans="1:5" x14ac:dyDescent="0.35">
      <c r="A1130" s="32">
        <v>1401</v>
      </c>
      <c r="B1130" s="32" t="s">
        <v>642</v>
      </c>
      <c r="C1130" s="32" t="s">
        <v>584</v>
      </c>
      <c r="D1130" s="30" t="s">
        <v>573</v>
      </c>
      <c r="E1130" s="30" t="s">
        <v>638</v>
      </c>
    </row>
    <row r="1131" spans="1:5" x14ac:dyDescent="0.35">
      <c r="A1131" s="32">
        <v>1402</v>
      </c>
      <c r="B1131" s="32" t="s">
        <v>642</v>
      </c>
      <c r="C1131" s="32" t="s">
        <v>584</v>
      </c>
      <c r="D1131" s="30" t="s">
        <v>573</v>
      </c>
      <c r="E1131" s="30" t="s">
        <v>638</v>
      </c>
    </row>
    <row r="1132" spans="1:5" x14ac:dyDescent="0.35">
      <c r="A1132" s="32">
        <v>1403</v>
      </c>
      <c r="B1132" s="32" t="s">
        <v>642</v>
      </c>
      <c r="C1132" s="32" t="s">
        <v>584</v>
      </c>
      <c r="D1132" s="30" t="s">
        <v>573</v>
      </c>
      <c r="E1132" s="30" t="s">
        <v>638</v>
      </c>
    </row>
    <row r="1133" spans="1:5" x14ac:dyDescent="0.35">
      <c r="A1133" s="32">
        <v>1404</v>
      </c>
      <c r="B1133" s="32" t="s">
        <v>611</v>
      </c>
      <c r="C1133" s="32" t="s">
        <v>584</v>
      </c>
      <c r="D1133" s="30" t="s">
        <v>573</v>
      </c>
      <c r="E1133" s="30" t="s">
        <v>638</v>
      </c>
    </row>
    <row r="1134" spans="1:5" x14ac:dyDescent="0.35">
      <c r="A1134" s="32">
        <v>1405</v>
      </c>
      <c r="B1134" s="32" t="s">
        <v>611</v>
      </c>
      <c r="C1134" s="32" t="s">
        <v>584</v>
      </c>
      <c r="D1134" s="30" t="s">
        <v>573</v>
      </c>
      <c r="E1134" s="30" t="s">
        <v>638</v>
      </c>
    </row>
    <row r="1135" spans="1:5" x14ac:dyDescent="0.35">
      <c r="A1135" s="32">
        <v>1406</v>
      </c>
      <c r="B1135" s="32" t="s">
        <v>611</v>
      </c>
      <c r="C1135" s="32" t="s">
        <v>584</v>
      </c>
      <c r="D1135" s="30" t="s">
        <v>573</v>
      </c>
      <c r="E1135" s="30" t="s">
        <v>638</v>
      </c>
    </row>
    <row r="1136" spans="1:5" x14ac:dyDescent="0.35">
      <c r="A1136" s="32">
        <v>1407</v>
      </c>
      <c r="B1136" s="32" t="s">
        <v>611</v>
      </c>
      <c r="C1136" s="32" t="s">
        <v>584</v>
      </c>
      <c r="D1136" s="30" t="s">
        <v>573</v>
      </c>
      <c r="E1136" s="30" t="s">
        <v>638</v>
      </c>
    </row>
    <row r="1137" spans="1:5" x14ac:dyDescent="0.35">
      <c r="A1137" s="32">
        <v>1408</v>
      </c>
      <c r="B1137" s="32" t="s">
        <v>611</v>
      </c>
      <c r="C1137" s="32" t="s">
        <v>584</v>
      </c>
      <c r="D1137" s="30" t="s">
        <v>573</v>
      </c>
      <c r="E1137" s="30" t="s">
        <v>638</v>
      </c>
    </row>
    <row r="1138" spans="1:5" x14ac:dyDescent="0.35">
      <c r="A1138" s="32">
        <v>1409</v>
      </c>
      <c r="B1138" s="32" t="s">
        <v>634</v>
      </c>
      <c r="C1138" s="32" t="s">
        <v>584</v>
      </c>
      <c r="D1138" s="30" t="s">
        <v>573</v>
      </c>
      <c r="E1138" s="30" t="s">
        <v>638</v>
      </c>
    </row>
    <row r="1139" spans="1:5" x14ac:dyDescent="0.35">
      <c r="A1139" s="32">
        <v>1410</v>
      </c>
      <c r="B1139" s="32" t="s">
        <v>634</v>
      </c>
      <c r="C1139" s="32" t="s">
        <v>584</v>
      </c>
      <c r="D1139" s="30" t="s">
        <v>573</v>
      </c>
      <c r="E1139" s="30" t="s">
        <v>638</v>
      </c>
    </row>
    <row r="1140" spans="1:5" x14ac:dyDescent="0.35">
      <c r="A1140" s="32">
        <v>1411</v>
      </c>
      <c r="B1140" s="32" t="s">
        <v>634</v>
      </c>
      <c r="C1140" s="32" t="s">
        <v>584</v>
      </c>
      <c r="D1140" s="30" t="s">
        <v>573</v>
      </c>
      <c r="E1140" s="30" t="s">
        <v>638</v>
      </c>
    </row>
    <row r="1141" spans="1:5" x14ac:dyDescent="0.35">
      <c r="A1141" s="32">
        <v>1412</v>
      </c>
      <c r="B1141" s="32" t="s">
        <v>634</v>
      </c>
      <c r="C1141" s="32" t="s">
        <v>584</v>
      </c>
      <c r="D1141" s="30" t="s">
        <v>573</v>
      </c>
      <c r="E1141" s="30" t="s">
        <v>638</v>
      </c>
    </row>
    <row r="1142" spans="1:5" x14ac:dyDescent="0.35">
      <c r="A1142" s="32">
        <v>1413</v>
      </c>
      <c r="B1142" s="32" t="s">
        <v>634</v>
      </c>
      <c r="C1142" s="32" t="s">
        <v>584</v>
      </c>
      <c r="D1142" s="30" t="s">
        <v>573</v>
      </c>
      <c r="E1142" s="30" t="s">
        <v>638</v>
      </c>
    </row>
    <row r="1143" spans="1:5" x14ac:dyDescent="0.35">
      <c r="A1143" s="32">
        <v>1414</v>
      </c>
      <c r="B1143" s="32" t="s">
        <v>571</v>
      </c>
      <c r="C1143" s="32" t="s">
        <v>584</v>
      </c>
      <c r="D1143" s="30" t="s">
        <v>573</v>
      </c>
      <c r="E1143" s="30" t="s">
        <v>638</v>
      </c>
    </row>
    <row r="1144" spans="1:5" x14ac:dyDescent="0.35">
      <c r="A1144" s="32">
        <v>1415</v>
      </c>
      <c r="B1144" s="32" t="s">
        <v>571</v>
      </c>
      <c r="C1144" s="32" t="s">
        <v>584</v>
      </c>
      <c r="D1144" s="30" t="s">
        <v>573</v>
      </c>
      <c r="E1144" s="30" t="s">
        <v>638</v>
      </c>
    </row>
    <row r="1145" spans="1:5" x14ac:dyDescent="0.35">
      <c r="A1145" s="32">
        <v>1416</v>
      </c>
      <c r="B1145" s="32" t="s">
        <v>571</v>
      </c>
      <c r="C1145" s="32" t="s">
        <v>584</v>
      </c>
      <c r="D1145" s="30" t="s">
        <v>573</v>
      </c>
      <c r="E1145" s="30" t="s">
        <v>638</v>
      </c>
    </row>
    <row r="1146" spans="1:5" x14ac:dyDescent="0.35">
      <c r="A1146" s="32">
        <v>1417</v>
      </c>
      <c r="B1146" s="32" t="s">
        <v>571</v>
      </c>
      <c r="C1146" s="32" t="s">
        <v>584</v>
      </c>
      <c r="D1146" s="30" t="s">
        <v>573</v>
      </c>
      <c r="E1146" s="30" t="s">
        <v>638</v>
      </c>
    </row>
    <row r="1147" spans="1:5" x14ac:dyDescent="0.35">
      <c r="A1147" s="32">
        <v>1418</v>
      </c>
      <c r="B1147" s="32" t="s">
        <v>571</v>
      </c>
      <c r="C1147" s="32" t="s">
        <v>584</v>
      </c>
      <c r="D1147" s="30" t="s">
        <v>573</v>
      </c>
      <c r="E1147" s="30" t="s">
        <v>638</v>
      </c>
    </row>
    <row r="1148" spans="1:5" x14ac:dyDescent="0.35">
      <c r="A1148" s="32">
        <v>1419</v>
      </c>
      <c r="B1148" s="32" t="s">
        <v>571</v>
      </c>
      <c r="C1148" s="32" t="s">
        <v>584</v>
      </c>
      <c r="D1148" s="30" t="s">
        <v>573</v>
      </c>
      <c r="E1148" s="30" t="s">
        <v>638</v>
      </c>
    </row>
    <row r="1149" spans="1:5" x14ac:dyDescent="0.35">
      <c r="A1149" s="32">
        <v>1420</v>
      </c>
      <c r="B1149" s="32" t="s">
        <v>571</v>
      </c>
      <c r="C1149" s="32" t="s">
        <v>584</v>
      </c>
      <c r="D1149" s="30" t="s">
        <v>573</v>
      </c>
      <c r="E1149" s="30" t="s">
        <v>638</v>
      </c>
    </row>
    <row r="1150" spans="1:5" x14ac:dyDescent="0.35">
      <c r="A1150" s="32">
        <v>1421</v>
      </c>
      <c r="B1150" s="32" t="s">
        <v>571</v>
      </c>
      <c r="C1150" s="32" t="s">
        <v>584</v>
      </c>
      <c r="D1150" s="30" t="s">
        <v>573</v>
      </c>
      <c r="E1150" s="30" t="s">
        <v>638</v>
      </c>
    </row>
    <row r="1151" spans="1:5" x14ac:dyDescent="0.35">
      <c r="A1151" s="32">
        <v>1422</v>
      </c>
      <c r="B1151" s="32" t="s">
        <v>571</v>
      </c>
      <c r="C1151" s="32" t="s">
        <v>584</v>
      </c>
      <c r="D1151" s="30" t="s">
        <v>573</v>
      </c>
      <c r="E1151" s="30" t="s">
        <v>638</v>
      </c>
    </row>
    <row r="1152" spans="1:5" x14ac:dyDescent="0.35">
      <c r="A1152" s="32">
        <v>1423</v>
      </c>
      <c r="B1152" s="32" t="s">
        <v>571</v>
      </c>
      <c r="C1152" s="32" t="s">
        <v>584</v>
      </c>
      <c r="D1152" s="30" t="s">
        <v>573</v>
      </c>
      <c r="E1152" s="30" t="s">
        <v>638</v>
      </c>
    </row>
    <row r="1153" spans="1:5" x14ac:dyDescent="0.35">
      <c r="A1153" s="32">
        <v>1424</v>
      </c>
      <c r="B1153" s="32" t="s">
        <v>571</v>
      </c>
      <c r="C1153" s="32" t="s">
        <v>584</v>
      </c>
      <c r="D1153" s="30" t="s">
        <v>573</v>
      </c>
      <c r="E1153" s="30" t="s">
        <v>638</v>
      </c>
    </row>
    <row r="1154" spans="1:5" x14ac:dyDescent="0.35">
      <c r="A1154" s="32">
        <v>1425</v>
      </c>
      <c r="B1154" s="32" t="s">
        <v>571</v>
      </c>
      <c r="C1154" s="32" t="s">
        <v>584</v>
      </c>
      <c r="D1154" s="30" t="s">
        <v>573</v>
      </c>
      <c r="E1154" s="30" t="s">
        <v>638</v>
      </c>
    </row>
    <row r="1155" spans="1:5" x14ac:dyDescent="0.35">
      <c r="A1155" s="32">
        <v>1426</v>
      </c>
      <c r="B1155" s="32" t="s">
        <v>571</v>
      </c>
      <c r="C1155" s="32" t="s">
        <v>584</v>
      </c>
      <c r="D1155" s="30" t="s">
        <v>573</v>
      </c>
      <c r="E1155" s="30" t="s">
        <v>638</v>
      </c>
    </row>
    <row r="1156" spans="1:5" x14ac:dyDescent="0.35">
      <c r="A1156" s="32">
        <v>1427</v>
      </c>
      <c r="B1156" s="32" t="s">
        <v>571</v>
      </c>
      <c r="C1156" s="32" t="s">
        <v>584</v>
      </c>
      <c r="D1156" s="30" t="s">
        <v>573</v>
      </c>
      <c r="E1156" s="30" t="s">
        <v>638</v>
      </c>
    </row>
    <row r="1157" spans="1:5" x14ac:dyDescent="0.35">
      <c r="A1157" s="32">
        <v>1428</v>
      </c>
      <c r="B1157" s="32" t="s">
        <v>571</v>
      </c>
      <c r="C1157" s="32" t="s">
        <v>584</v>
      </c>
      <c r="D1157" s="30" t="s">
        <v>573</v>
      </c>
      <c r="E1157" s="30" t="s">
        <v>638</v>
      </c>
    </row>
    <row r="1158" spans="1:5" x14ac:dyDescent="0.35">
      <c r="A1158" s="32">
        <v>1429</v>
      </c>
      <c r="B1158" s="32" t="s">
        <v>571</v>
      </c>
      <c r="C1158" s="32" t="s">
        <v>584</v>
      </c>
      <c r="D1158" s="30" t="s">
        <v>573</v>
      </c>
      <c r="E1158" s="30" t="s">
        <v>638</v>
      </c>
    </row>
    <row r="1159" spans="1:5" x14ac:dyDescent="0.35">
      <c r="A1159" s="32">
        <v>1430</v>
      </c>
      <c r="B1159" s="32" t="s">
        <v>571</v>
      </c>
      <c r="C1159" s="32" t="s">
        <v>584</v>
      </c>
      <c r="D1159" s="30" t="s">
        <v>573</v>
      </c>
      <c r="E1159" s="30" t="s">
        <v>638</v>
      </c>
    </row>
    <row r="1160" spans="1:5" x14ac:dyDescent="0.35">
      <c r="A1160" s="32">
        <v>1431</v>
      </c>
      <c r="B1160" s="32" t="s">
        <v>571</v>
      </c>
      <c r="C1160" s="32" t="s">
        <v>584</v>
      </c>
      <c r="D1160" s="30" t="s">
        <v>573</v>
      </c>
      <c r="E1160" s="30" t="s">
        <v>638</v>
      </c>
    </row>
    <row r="1161" spans="1:5" x14ac:dyDescent="0.35">
      <c r="A1161" s="32">
        <v>1432</v>
      </c>
      <c r="B1161" s="32" t="s">
        <v>571</v>
      </c>
      <c r="C1161" s="32" t="s">
        <v>584</v>
      </c>
      <c r="D1161" s="30" t="s">
        <v>573</v>
      </c>
      <c r="E1161" s="30" t="s">
        <v>638</v>
      </c>
    </row>
    <row r="1162" spans="1:5" x14ac:dyDescent="0.35">
      <c r="A1162" s="32">
        <v>1433</v>
      </c>
      <c r="B1162" s="32" t="s">
        <v>634</v>
      </c>
      <c r="C1162" s="32" t="s">
        <v>584</v>
      </c>
      <c r="D1162" s="30" t="s">
        <v>573</v>
      </c>
      <c r="E1162" s="30" t="s">
        <v>638</v>
      </c>
    </row>
    <row r="1163" spans="1:5" x14ac:dyDescent="0.35">
      <c r="A1163" s="32">
        <v>1434</v>
      </c>
      <c r="B1163" s="32" t="s">
        <v>634</v>
      </c>
      <c r="C1163" s="32" t="s">
        <v>584</v>
      </c>
      <c r="D1163" s="30" t="s">
        <v>573</v>
      </c>
      <c r="E1163" s="30" t="s">
        <v>638</v>
      </c>
    </row>
    <row r="1164" spans="1:5" x14ac:dyDescent="0.35">
      <c r="A1164" s="32">
        <v>1435</v>
      </c>
      <c r="B1164" s="32" t="s">
        <v>634</v>
      </c>
      <c r="C1164" s="32" t="s">
        <v>584</v>
      </c>
      <c r="D1164" s="30" t="s">
        <v>573</v>
      </c>
      <c r="E1164" s="30" t="s">
        <v>638</v>
      </c>
    </row>
    <row r="1165" spans="1:5" x14ac:dyDescent="0.35">
      <c r="A1165" s="32">
        <v>1436</v>
      </c>
      <c r="B1165" s="32" t="s">
        <v>634</v>
      </c>
      <c r="C1165" s="32" t="s">
        <v>584</v>
      </c>
      <c r="D1165" s="30" t="s">
        <v>573</v>
      </c>
      <c r="E1165" s="30" t="s">
        <v>638</v>
      </c>
    </row>
    <row r="1166" spans="1:5" x14ac:dyDescent="0.35">
      <c r="A1166" s="32">
        <v>1437</v>
      </c>
      <c r="B1166" s="32" t="s">
        <v>571</v>
      </c>
      <c r="C1166" s="32" t="s">
        <v>584</v>
      </c>
      <c r="D1166" s="30" t="s">
        <v>573</v>
      </c>
      <c r="E1166" s="30" t="s">
        <v>638</v>
      </c>
    </row>
    <row r="1167" spans="1:5" x14ac:dyDescent="0.35">
      <c r="A1167" s="32">
        <v>1438</v>
      </c>
      <c r="B1167" s="32" t="s">
        <v>571</v>
      </c>
      <c r="C1167" s="32" t="s">
        <v>584</v>
      </c>
      <c r="D1167" s="30" t="s">
        <v>573</v>
      </c>
      <c r="E1167" s="30" t="s">
        <v>638</v>
      </c>
    </row>
    <row r="1168" spans="1:5" x14ac:dyDescent="0.35">
      <c r="A1168" s="32">
        <v>1439</v>
      </c>
      <c r="B1168" s="32" t="s">
        <v>571</v>
      </c>
      <c r="C1168" s="32" t="s">
        <v>584</v>
      </c>
      <c r="D1168" s="30" t="s">
        <v>573</v>
      </c>
      <c r="E1168" s="30" t="s">
        <v>638</v>
      </c>
    </row>
    <row r="1169" spans="1:5" x14ac:dyDescent="0.35">
      <c r="A1169" s="32">
        <v>1440</v>
      </c>
      <c r="B1169" s="32" t="s">
        <v>571</v>
      </c>
      <c r="C1169" s="32" t="s">
        <v>584</v>
      </c>
      <c r="D1169" s="30" t="s">
        <v>573</v>
      </c>
      <c r="E1169" s="30" t="s">
        <v>638</v>
      </c>
    </row>
    <row r="1170" spans="1:5" x14ac:dyDescent="0.35">
      <c r="A1170" s="32">
        <v>1441</v>
      </c>
      <c r="B1170" s="32" t="s">
        <v>571</v>
      </c>
      <c r="C1170" s="32" t="s">
        <v>584</v>
      </c>
      <c r="D1170" s="30" t="s">
        <v>573</v>
      </c>
      <c r="E1170" s="30" t="s">
        <v>638</v>
      </c>
    </row>
    <row r="1171" spans="1:5" x14ac:dyDescent="0.35">
      <c r="A1171" s="32">
        <v>1442</v>
      </c>
      <c r="B1171" s="32" t="s">
        <v>634</v>
      </c>
      <c r="C1171" s="32" t="s">
        <v>584</v>
      </c>
      <c r="D1171" s="30" t="s">
        <v>573</v>
      </c>
      <c r="E1171" s="30" t="s">
        <v>638</v>
      </c>
    </row>
    <row r="1172" spans="1:5" x14ac:dyDescent="0.35">
      <c r="A1172" s="32">
        <v>1443</v>
      </c>
      <c r="B1172" s="32" t="s">
        <v>634</v>
      </c>
      <c r="C1172" s="32" t="s">
        <v>584</v>
      </c>
      <c r="D1172" s="30" t="s">
        <v>573</v>
      </c>
      <c r="E1172" s="30" t="s">
        <v>638</v>
      </c>
    </row>
    <row r="1173" spans="1:5" x14ac:dyDescent="0.35">
      <c r="A1173" s="32">
        <v>1444</v>
      </c>
      <c r="B1173" s="32" t="s">
        <v>634</v>
      </c>
      <c r="C1173" s="32" t="s">
        <v>584</v>
      </c>
      <c r="D1173" s="30" t="s">
        <v>573</v>
      </c>
      <c r="E1173" s="30" t="s">
        <v>638</v>
      </c>
    </row>
    <row r="1174" spans="1:5" x14ac:dyDescent="0.35">
      <c r="A1174" s="32">
        <v>1445</v>
      </c>
      <c r="B1174" s="32" t="s">
        <v>634</v>
      </c>
      <c r="C1174" s="32" t="s">
        <v>584</v>
      </c>
      <c r="D1174" s="30" t="s">
        <v>573</v>
      </c>
      <c r="E1174" s="30" t="s">
        <v>638</v>
      </c>
    </row>
    <row r="1175" spans="1:5" x14ac:dyDescent="0.35">
      <c r="A1175" s="32">
        <v>1446</v>
      </c>
      <c r="B1175" s="32" t="s">
        <v>634</v>
      </c>
      <c r="C1175" s="32" t="s">
        <v>584</v>
      </c>
      <c r="D1175" s="30" t="s">
        <v>573</v>
      </c>
      <c r="E1175" s="30" t="s">
        <v>638</v>
      </c>
    </row>
    <row r="1176" spans="1:5" x14ac:dyDescent="0.35">
      <c r="A1176" s="32">
        <v>1447</v>
      </c>
      <c r="B1176" s="32" t="s">
        <v>634</v>
      </c>
      <c r="C1176" s="32" t="s">
        <v>584</v>
      </c>
      <c r="D1176" s="30" t="s">
        <v>573</v>
      </c>
      <c r="E1176" s="30" t="s">
        <v>638</v>
      </c>
    </row>
    <row r="1177" spans="1:5" x14ac:dyDescent="0.35">
      <c r="A1177" s="32">
        <v>1448</v>
      </c>
      <c r="B1177" s="32" t="s">
        <v>634</v>
      </c>
      <c r="C1177" s="32" t="s">
        <v>584</v>
      </c>
      <c r="D1177" s="30" t="s">
        <v>573</v>
      </c>
      <c r="E1177" s="30" t="s">
        <v>638</v>
      </c>
    </row>
    <row r="1178" spans="1:5" x14ac:dyDescent="0.35">
      <c r="A1178" s="32">
        <v>1449</v>
      </c>
      <c r="B1178" s="32" t="s">
        <v>634</v>
      </c>
      <c r="C1178" s="32" t="s">
        <v>584</v>
      </c>
      <c r="D1178" s="30" t="s">
        <v>573</v>
      </c>
      <c r="E1178" s="30" t="s">
        <v>638</v>
      </c>
    </row>
    <row r="1179" spans="1:5" x14ac:dyDescent="0.35">
      <c r="A1179" s="32">
        <v>1450</v>
      </c>
      <c r="B1179" s="32" t="s">
        <v>634</v>
      </c>
      <c r="C1179" s="32" t="s">
        <v>584</v>
      </c>
      <c r="D1179" s="30" t="s">
        <v>573</v>
      </c>
      <c r="E1179" s="30" t="s">
        <v>638</v>
      </c>
    </row>
    <row r="1180" spans="1:5" x14ac:dyDescent="0.35">
      <c r="A1180" s="32">
        <v>1451</v>
      </c>
      <c r="B1180" s="32" t="s">
        <v>634</v>
      </c>
      <c r="C1180" s="32" t="s">
        <v>584</v>
      </c>
      <c r="D1180" s="30" t="s">
        <v>573</v>
      </c>
      <c r="E1180" s="30" t="s">
        <v>638</v>
      </c>
    </row>
    <row r="1181" spans="1:5" x14ac:dyDescent="0.35">
      <c r="A1181" s="32">
        <v>1452</v>
      </c>
      <c r="B1181" s="32" t="s">
        <v>571</v>
      </c>
      <c r="C1181" s="32" t="s">
        <v>584</v>
      </c>
      <c r="D1181" s="30" t="s">
        <v>573</v>
      </c>
      <c r="E1181" s="30" t="s">
        <v>638</v>
      </c>
    </row>
    <row r="1182" spans="1:5" x14ac:dyDescent="0.35">
      <c r="A1182" s="32">
        <v>1453</v>
      </c>
      <c r="B1182" s="32" t="s">
        <v>571</v>
      </c>
      <c r="C1182" s="32" t="s">
        <v>584</v>
      </c>
      <c r="D1182" s="30" t="s">
        <v>573</v>
      </c>
      <c r="E1182" s="30" t="s">
        <v>638</v>
      </c>
    </row>
    <row r="1183" spans="1:5" x14ac:dyDescent="0.35">
      <c r="A1183" s="32">
        <v>1454</v>
      </c>
      <c r="B1183" s="32" t="s">
        <v>571</v>
      </c>
      <c r="C1183" s="32" t="s">
        <v>584</v>
      </c>
      <c r="D1183" s="30" t="s">
        <v>573</v>
      </c>
      <c r="E1183" s="30" t="s">
        <v>638</v>
      </c>
    </row>
    <row r="1184" spans="1:5" x14ac:dyDescent="0.35">
      <c r="A1184" s="32">
        <v>1455</v>
      </c>
      <c r="B1184" s="32" t="s">
        <v>571</v>
      </c>
      <c r="C1184" s="32" t="s">
        <v>584</v>
      </c>
      <c r="D1184" s="30" t="s">
        <v>573</v>
      </c>
      <c r="E1184" s="30" t="s">
        <v>638</v>
      </c>
    </row>
    <row r="1185" spans="1:5" x14ac:dyDescent="0.35">
      <c r="A1185" s="32">
        <v>1456</v>
      </c>
      <c r="B1185" s="32" t="s">
        <v>571</v>
      </c>
      <c r="C1185" s="32" t="s">
        <v>584</v>
      </c>
      <c r="D1185" s="30" t="s">
        <v>573</v>
      </c>
      <c r="E1185" s="30" t="s">
        <v>638</v>
      </c>
    </row>
    <row r="1186" spans="1:5" x14ac:dyDescent="0.35">
      <c r="A1186" s="32">
        <v>1457</v>
      </c>
      <c r="B1186" s="32" t="s">
        <v>571</v>
      </c>
      <c r="C1186" s="32" t="s">
        <v>584</v>
      </c>
      <c r="D1186" s="30" t="s">
        <v>573</v>
      </c>
      <c r="E1186" s="30" t="s">
        <v>638</v>
      </c>
    </row>
    <row r="1187" spans="1:5" x14ac:dyDescent="0.35">
      <c r="A1187" s="32">
        <v>1458</v>
      </c>
      <c r="B1187" s="32" t="s">
        <v>571</v>
      </c>
      <c r="C1187" s="32" t="s">
        <v>584</v>
      </c>
      <c r="D1187" s="30" t="s">
        <v>573</v>
      </c>
      <c r="E1187" s="30" t="s">
        <v>638</v>
      </c>
    </row>
    <row r="1188" spans="1:5" x14ac:dyDescent="0.35">
      <c r="A1188" s="32">
        <v>1459</v>
      </c>
      <c r="B1188" s="32" t="s">
        <v>571</v>
      </c>
      <c r="C1188" s="32" t="s">
        <v>584</v>
      </c>
      <c r="D1188" s="30" t="s">
        <v>573</v>
      </c>
      <c r="E1188" s="30" t="s">
        <v>638</v>
      </c>
    </row>
    <row r="1189" spans="1:5" x14ac:dyDescent="0.35">
      <c r="A1189" s="32">
        <v>1460</v>
      </c>
      <c r="B1189" s="32" t="s">
        <v>634</v>
      </c>
      <c r="C1189" s="32" t="s">
        <v>584</v>
      </c>
      <c r="D1189" s="30" t="s">
        <v>573</v>
      </c>
      <c r="E1189" s="30" t="s">
        <v>638</v>
      </c>
    </row>
    <row r="1190" spans="1:5" x14ac:dyDescent="0.35">
      <c r="A1190" s="32">
        <v>1461</v>
      </c>
      <c r="B1190" s="32" t="s">
        <v>634</v>
      </c>
      <c r="C1190" s="32" t="s">
        <v>584</v>
      </c>
      <c r="D1190" s="30" t="s">
        <v>573</v>
      </c>
      <c r="E1190" s="30" t="s">
        <v>638</v>
      </c>
    </row>
    <row r="1191" spans="1:5" x14ac:dyDescent="0.35">
      <c r="A1191" s="32">
        <v>1462</v>
      </c>
      <c r="B1191" s="32" t="s">
        <v>634</v>
      </c>
      <c r="C1191" s="32" t="s">
        <v>584</v>
      </c>
      <c r="D1191" s="30" t="s">
        <v>573</v>
      </c>
      <c r="E1191" s="30" t="s">
        <v>638</v>
      </c>
    </row>
    <row r="1192" spans="1:5" x14ac:dyDescent="0.35">
      <c r="A1192" s="32">
        <v>1463</v>
      </c>
      <c r="B1192" s="32" t="s">
        <v>634</v>
      </c>
      <c r="C1192" s="32" t="s">
        <v>584</v>
      </c>
      <c r="D1192" s="30" t="s">
        <v>573</v>
      </c>
      <c r="E1192" s="30" t="s">
        <v>638</v>
      </c>
    </row>
    <row r="1193" spans="1:5" x14ac:dyDescent="0.35">
      <c r="A1193" s="32">
        <v>1464</v>
      </c>
      <c r="B1193" s="32" t="s">
        <v>634</v>
      </c>
      <c r="C1193" s="32" t="s">
        <v>584</v>
      </c>
      <c r="D1193" s="30" t="s">
        <v>573</v>
      </c>
      <c r="E1193" s="30" t="s">
        <v>638</v>
      </c>
    </row>
    <row r="1194" spans="1:5" x14ac:dyDescent="0.35">
      <c r="A1194" s="32">
        <v>1465</v>
      </c>
      <c r="B1194" s="32" t="s">
        <v>634</v>
      </c>
      <c r="C1194" s="32" t="s">
        <v>584</v>
      </c>
      <c r="D1194" s="30" t="s">
        <v>573</v>
      </c>
      <c r="E1194" s="30" t="s">
        <v>638</v>
      </c>
    </row>
    <row r="1195" spans="1:5" x14ac:dyDescent="0.35">
      <c r="A1195" s="32">
        <v>1466</v>
      </c>
      <c r="B1195" s="32" t="s">
        <v>634</v>
      </c>
      <c r="C1195" s="32" t="s">
        <v>584</v>
      </c>
      <c r="D1195" s="30" t="s">
        <v>573</v>
      </c>
      <c r="E1195" s="30" t="s">
        <v>638</v>
      </c>
    </row>
    <row r="1196" spans="1:5" x14ac:dyDescent="0.35">
      <c r="A1196" s="32">
        <v>1467</v>
      </c>
      <c r="B1196" s="32" t="s">
        <v>634</v>
      </c>
      <c r="C1196" s="32" t="s">
        <v>584</v>
      </c>
      <c r="D1196" s="30" t="s">
        <v>573</v>
      </c>
      <c r="E1196" s="30" t="s">
        <v>638</v>
      </c>
    </row>
    <row r="1197" spans="1:5" x14ac:dyDescent="0.35">
      <c r="A1197" s="32">
        <v>1468</v>
      </c>
      <c r="B1197" s="32" t="s">
        <v>634</v>
      </c>
      <c r="C1197" s="32" t="s">
        <v>584</v>
      </c>
      <c r="D1197" s="30" t="s">
        <v>573</v>
      </c>
      <c r="E1197" s="30" t="s">
        <v>638</v>
      </c>
    </row>
    <row r="1198" spans="1:5" x14ac:dyDescent="0.35">
      <c r="A1198" s="32">
        <v>1469</v>
      </c>
      <c r="B1198" s="32" t="s">
        <v>634</v>
      </c>
      <c r="C1198" s="32" t="s">
        <v>584</v>
      </c>
      <c r="D1198" s="30" t="s">
        <v>573</v>
      </c>
      <c r="E1198" s="30" t="s">
        <v>638</v>
      </c>
    </row>
    <row r="1199" spans="1:5" x14ac:dyDescent="0.35">
      <c r="A1199" s="32">
        <v>1470</v>
      </c>
      <c r="B1199" s="32" t="s">
        <v>634</v>
      </c>
      <c r="C1199" s="32" t="s">
        <v>584</v>
      </c>
      <c r="D1199" s="30" t="s">
        <v>573</v>
      </c>
      <c r="E1199" s="30" t="s">
        <v>638</v>
      </c>
    </row>
    <row r="1200" spans="1:5" x14ac:dyDescent="0.35">
      <c r="A1200" s="32">
        <v>1471</v>
      </c>
      <c r="B1200" s="32" t="s">
        <v>634</v>
      </c>
      <c r="C1200" s="32" t="s">
        <v>584</v>
      </c>
      <c r="D1200" s="30" t="s">
        <v>573</v>
      </c>
      <c r="E1200" s="30" t="s">
        <v>638</v>
      </c>
    </row>
    <row r="1201" spans="1:5" x14ac:dyDescent="0.35">
      <c r="A1201" s="32">
        <v>1472</v>
      </c>
      <c r="B1201" s="32" t="s">
        <v>634</v>
      </c>
      <c r="C1201" s="32" t="s">
        <v>584</v>
      </c>
      <c r="D1201" s="30" t="s">
        <v>573</v>
      </c>
      <c r="E1201" s="30" t="s">
        <v>638</v>
      </c>
    </row>
    <row r="1202" spans="1:5" x14ac:dyDescent="0.35">
      <c r="A1202" s="32">
        <v>1473</v>
      </c>
      <c r="B1202" s="32" t="s">
        <v>641</v>
      </c>
      <c r="C1202" s="32" t="s">
        <v>584</v>
      </c>
      <c r="D1202" s="30" t="s">
        <v>573</v>
      </c>
      <c r="E1202" s="30" t="s">
        <v>638</v>
      </c>
    </row>
    <row r="1203" spans="1:5" x14ac:dyDescent="0.35">
      <c r="A1203" s="32">
        <v>1474</v>
      </c>
      <c r="B1203" s="32" t="s">
        <v>641</v>
      </c>
      <c r="C1203" s="32" t="s">
        <v>584</v>
      </c>
      <c r="D1203" s="30" t="s">
        <v>573</v>
      </c>
      <c r="E1203" s="30" t="s">
        <v>638</v>
      </c>
    </row>
    <row r="1204" spans="1:5" x14ac:dyDescent="0.35">
      <c r="A1204" s="32">
        <v>1475</v>
      </c>
      <c r="B1204" s="32" t="s">
        <v>641</v>
      </c>
      <c r="C1204" s="32" t="s">
        <v>584</v>
      </c>
      <c r="D1204" s="30" t="s">
        <v>573</v>
      </c>
      <c r="E1204" s="30" t="s">
        <v>638</v>
      </c>
    </row>
    <row r="1205" spans="1:5" x14ac:dyDescent="0.35">
      <c r="A1205" s="32">
        <v>1476</v>
      </c>
      <c r="B1205" s="32" t="s">
        <v>641</v>
      </c>
      <c r="C1205" s="32" t="s">
        <v>584</v>
      </c>
      <c r="D1205" s="30" t="s">
        <v>573</v>
      </c>
      <c r="E1205" s="30" t="s">
        <v>638</v>
      </c>
    </row>
    <row r="1206" spans="1:5" x14ac:dyDescent="0.35">
      <c r="A1206" s="32">
        <v>1477</v>
      </c>
      <c r="B1206" s="32" t="s">
        <v>634</v>
      </c>
      <c r="C1206" s="32" t="s">
        <v>584</v>
      </c>
      <c r="D1206" s="30" t="s">
        <v>573</v>
      </c>
      <c r="E1206" s="30" t="s">
        <v>638</v>
      </c>
    </row>
    <row r="1207" spans="1:5" x14ac:dyDescent="0.35">
      <c r="A1207" s="32">
        <v>1478</v>
      </c>
      <c r="B1207" s="32" t="s">
        <v>634</v>
      </c>
      <c r="C1207" s="32" t="s">
        <v>584</v>
      </c>
      <c r="D1207" s="30" t="s">
        <v>573</v>
      </c>
      <c r="E1207" s="30" t="s">
        <v>638</v>
      </c>
    </row>
    <row r="1208" spans="1:5" x14ac:dyDescent="0.35">
      <c r="A1208" s="32">
        <v>1479</v>
      </c>
      <c r="B1208" s="32" t="s">
        <v>634</v>
      </c>
      <c r="C1208" s="32" t="s">
        <v>584</v>
      </c>
      <c r="D1208" s="30" t="s">
        <v>573</v>
      </c>
      <c r="E1208" s="30" t="s">
        <v>638</v>
      </c>
    </row>
    <row r="1209" spans="1:5" x14ac:dyDescent="0.35">
      <c r="A1209" s="32">
        <v>1480</v>
      </c>
      <c r="B1209" s="32" t="s">
        <v>634</v>
      </c>
      <c r="C1209" s="32" t="s">
        <v>584</v>
      </c>
      <c r="D1209" s="30" t="s">
        <v>573</v>
      </c>
      <c r="E1209" s="30" t="s">
        <v>638</v>
      </c>
    </row>
    <row r="1210" spans="1:5" x14ac:dyDescent="0.35">
      <c r="A1210" s="32">
        <v>1481</v>
      </c>
      <c r="B1210" s="32" t="s">
        <v>641</v>
      </c>
      <c r="C1210" s="32" t="s">
        <v>584</v>
      </c>
      <c r="D1210" s="30" t="s">
        <v>573</v>
      </c>
      <c r="E1210" s="30" t="s">
        <v>638</v>
      </c>
    </row>
    <row r="1211" spans="1:5" x14ac:dyDescent="0.35">
      <c r="A1211" s="32">
        <v>1482</v>
      </c>
      <c r="B1211" s="32" t="s">
        <v>641</v>
      </c>
      <c r="C1211" s="32" t="s">
        <v>584</v>
      </c>
      <c r="D1211" s="30" t="s">
        <v>573</v>
      </c>
      <c r="E1211" s="30" t="s">
        <v>638</v>
      </c>
    </row>
    <row r="1212" spans="1:5" x14ac:dyDescent="0.35">
      <c r="A1212" s="32">
        <v>1483</v>
      </c>
      <c r="B1212" s="32" t="s">
        <v>641</v>
      </c>
      <c r="C1212" s="32" t="s">
        <v>584</v>
      </c>
      <c r="D1212" s="30" t="s">
        <v>573</v>
      </c>
      <c r="E1212" s="30" t="s">
        <v>638</v>
      </c>
    </row>
    <row r="1213" spans="1:5" x14ac:dyDescent="0.35">
      <c r="A1213" s="32">
        <v>1484</v>
      </c>
      <c r="B1213" s="32" t="s">
        <v>641</v>
      </c>
      <c r="C1213" s="32" t="s">
        <v>584</v>
      </c>
      <c r="D1213" s="30" t="s">
        <v>573</v>
      </c>
      <c r="E1213" s="30" t="s">
        <v>638</v>
      </c>
    </row>
    <row r="1214" spans="1:5" x14ac:dyDescent="0.35">
      <c r="A1214" s="32">
        <v>1485</v>
      </c>
      <c r="B1214" s="32" t="s">
        <v>571</v>
      </c>
      <c r="C1214" s="32" t="s">
        <v>584</v>
      </c>
      <c r="D1214" s="30" t="s">
        <v>573</v>
      </c>
      <c r="E1214" s="30" t="s">
        <v>638</v>
      </c>
    </row>
    <row r="1215" spans="1:5" x14ac:dyDescent="0.35">
      <c r="A1215" s="32">
        <v>1486</v>
      </c>
      <c r="B1215" s="32" t="s">
        <v>571</v>
      </c>
      <c r="C1215" s="32" t="s">
        <v>584</v>
      </c>
      <c r="D1215" s="30" t="s">
        <v>573</v>
      </c>
      <c r="E1215" s="30" t="s">
        <v>638</v>
      </c>
    </row>
    <row r="1216" spans="1:5" x14ac:dyDescent="0.35">
      <c r="A1216" s="32">
        <v>1487</v>
      </c>
      <c r="B1216" s="32" t="s">
        <v>571</v>
      </c>
      <c r="C1216" s="32" t="s">
        <v>584</v>
      </c>
      <c r="D1216" s="30" t="s">
        <v>573</v>
      </c>
      <c r="E1216" s="30" t="s">
        <v>638</v>
      </c>
    </row>
    <row r="1217" spans="1:5" x14ac:dyDescent="0.35">
      <c r="A1217" s="32">
        <v>1488</v>
      </c>
      <c r="B1217" s="32" t="s">
        <v>571</v>
      </c>
      <c r="C1217" s="32" t="s">
        <v>584</v>
      </c>
      <c r="D1217" s="30" t="s">
        <v>573</v>
      </c>
      <c r="E1217" s="30" t="s">
        <v>638</v>
      </c>
    </row>
    <row r="1218" spans="1:5" x14ac:dyDescent="0.35">
      <c r="A1218" s="32">
        <v>1489</v>
      </c>
      <c r="B1218" s="32" t="s">
        <v>571</v>
      </c>
      <c r="C1218" s="32" t="s">
        <v>584</v>
      </c>
      <c r="D1218" s="30" t="s">
        <v>573</v>
      </c>
      <c r="E1218" s="30" t="s">
        <v>638</v>
      </c>
    </row>
    <row r="1219" spans="1:5" x14ac:dyDescent="0.35">
      <c r="A1219" s="32">
        <v>1490</v>
      </c>
      <c r="B1219" s="32" t="s">
        <v>571</v>
      </c>
      <c r="C1219" s="32" t="s">
        <v>584</v>
      </c>
      <c r="D1219" s="30" t="s">
        <v>573</v>
      </c>
      <c r="E1219" s="30" t="s">
        <v>638</v>
      </c>
    </row>
    <row r="1220" spans="1:5" x14ac:dyDescent="0.35">
      <c r="A1220" s="32">
        <v>1491</v>
      </c>
      <c r="B1220" s="32" t="s">
        <v>571</v>
      </c>
      <c r="C1220" s="32" t="s">
        <v>584</v>
      </c>
      <c r="D1220" s="30" t="s">
        <v>573</v>
      </c>
      <c r="E1220" s="30" t="s">
        <v>638</v>
      </c>
    </row>
    <row r="1221" spans="1:5" x14ac:dyDescent="0.35">
      <c r="A1221" s="32">
        <v>1492</v>
      </c>
      <c r="B1221" s="32" t="s">
        <v>571</v>
      </c>
      <c r="C1221" s="32" t="s">
        <v>584</v>
      </c>
      <c r="D1221" s="30" t="s">
        <v>573</v>
      </c>
      <c r="E1221" s="30" t="s">
        <v>638</v>
      </c>
    </row>
    <row r="1222" spans="1:5" x14ac:dyDescent="0.35">
      <c r="A1222" s="32">
        <v>1493</v>
      </c>
      <c r="B1222" s="32" t="s">
        <v>634</v>
      </c>
      <c r="C1222" s="32" t="s">
        <v>584</v>
      </c>
      <c r="D1222" s="30" t="s">
        <v>573</v>
      </c>
      <c r="E1222" s="30" t="s">
        <v>638</v>
      </c>
    </row>
    <row r="1223" spans="1:5" x14ac:dyDescent="0.35">
      <c r="A1223" s="32">
        <v>1494</v>
      </c>
      <c r="B1223" s="32" t="s">
        <v>634</v>
      </c>
      <c r="C1223" s="32" t="s">
        <v>584</v>
      </c>
      <c r="D1223" s="30" t="s">
        <v>573</v>
      </c>
      <c r="E1223" s="30" t="s">
        <v>638</v>
      </c>
    </row>
    <row r="1224" spans="1:5" x14ac:dyDescent="0.35">
      <c r="A1224" s="32">
        <v>1495</v>
      </c>
      <c r="B1224" s="32" t="s">
        <v>634</v>
      </c>
      <c r="C1224" s="32" t="s">
        <v>584</v>
      </c>
      <c r="D1224" s="30" t="s">
        <v>573</v>
      </c>
      <c r="E1224" s="30" t="s">
        <v>638</v>
      </c>
    </row>
    <row r="1225" spans="1:5" x14ac:dyDescent="0.35">
      <c r="A1225" s="32">
        <v>1496</v>
      </c>
      <c r="B1225" s="32" t="s">
        <v>634</v>
      </c>
      <c r="C1225" s="32" t="s">
        <v>584</v>
      </c>
      <c r="D1225" s="30" t="s">
        <v>573</v>
      </c>
      <c r="E1225" s="30" t="s">
        <v>638</v>
      </c>
    </row>
    <row r="1226" spans="1:5" x14ac:dyDescent="0.35">
      <c r="A1226" s="32">
        <v>1497</v>
      </c>
      <c r="B1226" s="32" t="s">
        <v>641</v>
      </c>
      <c r="C1226" s="32" t="s">
        <v>584</v>
      </c>
      <c r="D1226" s="30" t="s">
        <v>573</v>
      </c>
      <c r="E1226" s="30" t="s">
        <v>638</v>
      </c>
    </row>
    <row r="1227" spans="1:5" x14ac:dyDescent="0.35">
      <c r="A1227" s="32">
        <v>1498</v>
      </c>
      <c r="B1227" s="32" t="s">
        <v>641</v>
      </c>
      <c r="C1227" s="32" t="s">
        <v>584</v>
      </c>
      <c r="D1227" s="30" t="s">
        <v>573</v>
      </c>
      <c r="E1227" s="30" t="s">
        <v>638</v>
      </c>
    </row>
    <row r="1228" spans="1:5" x14ac:dyDescent="0.35">
      <c r="A1228" s="32">
        <v>1499</v>
      </c>
      <c r="B1228" s="32" t="s">
        <v>641</v>
      </c>
      <c r="C1228" s="32" t="s">
        <v>584</v>
      </c>
      <c r="D1228" s="30" t="s">
        <v>573</v>
      </c>
      <c r="E1228" s="30" t="s">
        <v>638</v>
      </c>
    </row>
    <row r="1229" spans="1:5" x14ac:dyDescent="0.35">
      <c r="A1229" s="32">
        <v>1500</v>
      </c>
      <c r="B1229" s="32" t="s">
        <v>641</v>
      </c>
      <c r="C1229" s="32" t="s">
        <v>584</v>
      </c>
      <c r="D1229" s="30" t="s">
        <v>573</v>
      </c>
      <c r="E1229" s="30" t="s">
        <v>638</v>
      </c>
    </row>
    <row r="1230" spans="1:5" x14ac:dyDescent="0.35">
      <c r="A1230" s="32">
        <v>1501</v>
      </c>
      <c r="B1230" s="32" t="s">
        <v>571</v>
      </c>
      <c r="C1230" s="32" t="s">
        <v>584</v>
      </c>
      <c r="D1230" s="30" t="s">
        <v>573</v>
      </c>
      <c r="E1230" s="30" t="s">
        <v>638</v>
      </c>
    </row>
    <row r="1231" spans="1:5" x14ac:dyDescent="0.35">
      <c r="A1231" s="32">
        <v>1502</v>
      </c>
      <c r="B1231" s="32" t="s">
        <v>571</v>
      </c>
      <c r="C1231" s="32" t="s">
        <v>584</v>
      </c>
      <c r="D1231" s="30" t="s">
        <v>573</v>
      </c>
      <c r="E1231" s="30" t="s">
        <v>638</v>
      </c>
    </row>
    <row r="1232" spans="1:5" x14ac:dyDescent="0.35">
      <c r="A1232" s="32">
        <v>1503</v>
      </c>
      <c r="B1232" s="32" t="s">
        <v>571</v>
      </c>
      <c r="C1232" s="32" t="s">
        <v>584</v>
      </c>
      <c r="D1232" s="30" t="s">
        <v>573</v>
      </c>
      <c r="E1232" s="30" t="s">
        <v>638</v>
      </c>
    </row>
    <row r="1233" spans="1:5" x14ac:dyDescent="0.35">
      <c r="A1233" s="32">
        <v>1504</v>
      </c>
      <c r="B1233" s="32" t="s">
        <v>571</v>
      </c>
      <c r="C1233" s="32" t="s">
        <v>584</v>
      </c>
      <c r="D1233" s="30" t="s">
        <v>573</v>
      </c>
      <c r="E1233" s="30" t="s">
        <v>638</v>
      </c>
    </row>
    <row r="1234" spans="1:5" x14ac:dyDescent="0.35">
      <c r="A1234" s="32">
        <v>1505</v>
      </c>
      <c r="B1234" s="32" t="s">
        <v>571</v>
      </c>
      <c r="C1234" s="32" t="s">
        <v>584</v>
      </c>
      <c r="D1234" s="30" t="s">
        <v>573</v>
      </c>
      <c r="E1234" s="30" t="s">
        <v>638</v>
      </c>
    </row>
    <row r="1235" spans="1:5" x14ac:dyDescent="0.35">
      <c r="A1235" s="32">
        <v>1506</v>
      </c>
      <c r="B1235" s="32" t="s">
        <v>571</v>
      </c>
      <c r="C1235" s="32" t="s">
        <v>584</v>
      </c>
      <c r="D1235" s="30" t="s">
        <v>573</v>
      </c>
      <c r="E1235" s="30" t="s">
        <v>638</v>
      </c>
    </row>
    <row r="1236" spans="1:5" x14ac:dyDescent="0.35">
      <c r="A1236" s="32">
        <v>1507</v>
      </c>
      <c r="B1236" s="32" t="s">
        <v>571</v>
      </c>
      <c r="C1236" s="32" t="s">
        <v>584</v>
      </c>
      <c r="D1236" s="30" t="s">
        <v>573</v>
      </c>
      <c r="E1236" s="30" t="s">
        <v>638</v>
      </c>
    </row>
    <row r="1237" spans="1:5" x14ac:dyDescent="0.35">
      <c r="A1237" s="32">
        <v>1508</v>
      </c>
      <c r="B1237" s="32" t="s">
        <v>571</v>
      </c>
      <c r="C1237" s="32" t="s">
        <v>584</v>
      </c>
      <c r="D1237" s="30" t="s">
        <v>573</v>
      </c>
      <c r="E1237" s="30" t="s">
        <v>638</v>
      </c>
    </row>
    <row r="1238" spans="1:5" x14ac:dyDescent="0.35">
      <c r="A1238" s="32">
        <v>1509</v>
      </c>
      <c r="B1238" s="32" t="s">
        <v>571</v>
      </c>
      <c r="C1238" s="32" t="s">
        <v>584</v>
      </c>
      <c r="D1238" s="30" t="s">
        <v>573</v>
      </c>
      <c r="E1238" s="30" t="s">
        <v>638</v>
      </c>
    </row>
    <row r="1239" spans="1:5" x14ac:dyDescent="0.35">
      <c r="A1239" s="32">
        <v>1510</v>
      </c>
      <c r="B1239" s="32" t="s">
        <v>634</v>
      </c>
      <c r="C1239" s="32" t="s">
        <v>584</v>
      </c>
      <c r="D1239" s="30" t="s">
        <v>573</v>
      </c>
      <c r="E1239" s="30" t="s">
        <v>638</v>
      </c>
    </row>
    <row r="1240" spans="1:5" x14ac:dyDescent="0.35">
      <c r="A1240" s="32">
        <v>1511</v>
      </c>
      <c r="B1240" s="32" t="s">
        <v>634</v>
      </c>
      <c r="C1240" s="32" t="s">
        <v>584</v>
      </c>
      <c r="D1240" s="30" t="s">
        <v>573</v>
      </c>
      <c r="E1240" s="30" t="s">
        <v>638</v>
      </c>
    </row>
    <row r="1241" spans="1:5" x14ac:dyDescent="0.35">
      <c r="A1241" s="32">
        <v>1512</v>
      </c>
      <c r="B1241" s="32" t="s">
        <v>634</v>
      </c>
      <c r="C1241" s="32" t="s">
        <v>584</v>
      </c>
      <c r="D1241" s="30" t="s">
        <v>573</v>
      </c>
      <c r="E1241" s="30" t="s">
        <v>638</v>
      </c>
    </row>
    <row r="1242" spans="1:5" x14ac:dyDescent="0.35">
      <c r="A1242" s="32">
        <v>1513</v>
      </c>
      <c r="B1242" s="32" t="s">
        <v>634</v>
      </c>
      <c r="C1242" s="32" t="s">
        <v>584</v>
      </c>
      <c r="D1242" s="30" t="s">
        <v>573</v>
      </c>
      <c r="E1242" s="30" t="s">
        <v>638</v>
      </c>
    </row>
    <row r="1243" spans="1:5" x14ac:dyDescent="0.35">
      <c r="A1243" s="32">
        <v>1514</v>
      </c>
      <c r="B1243" s="32" t="s">
        <v>634</v>
      </c>
      <c r="C1243" s="32" t="s">
        <v>584</v>
      </c>
      <c r="D1243" s="30" t="s">
        <v>573</v>
      </c>
      <c r="E1243" s="30" t="s">
        <v>638</v>
      </c>
    </row>
    <row r="1244" spans="1:5" x14ac:dyDescent="0.35">
      <c r="A1244" s="32">
        <v>1515</v>
      </c>
      <c r="B1244" s="32" t="s">
        <v>634</v>
      </c>
      <c r="C1244" s="32" t="s">
        <v>584</v>
      </c>
      <c r="D1244" s="30" t="s">
        <v>573</v>
      </c>
      <c r="E1244" s="30" t="s">
        <v>638</v>
      </c>
    </row>
    <row r="1245" spans="1:5" x14ac:dyDescent="0.35">
      <c r="A1245" s="32">
        <v>1516</v>
      </c>
      <c r="B1245" s="32" t="s">
        <v>634</v>
      </c>
      <c r="C1245" s="32" t="s">
        <v>584</v>
      </c>
      <c r="D1245" s="30" t="s">
        <v>573</v>
      </c>
      <c r="E1245" s="30" t="s">
        <v>638</v>
      </c>
    </row>
    <row r="1246" spans="1:5" x14ac:dyDescent="0.35">
      <c r="A1246" s="32">
        <v>1517</v>
      </c>
      <c r="B1246" s="32" t="s">
        <v>634</v>
      </c>
      <c r="C1246" s="32" t="s">
        <v>584</v>
      </c>
      <c r="D1246" s="30" t="s">
        <v>573</v>
      </c>
      <c r="E1246" s="30" t="s">
        <v>638</v>
      </c>
    </row>
    <row r="1247" spans="1:5" x14ac:dyDescent="0.35">
      <c r="A1247" s="32">
        <v>1518</v>
      </c>
      <c r="B1247" s="32" t="s">
        <v>571</v>
      </c>
      <c r="C1247" s="32" t="s">
        <v>584</v>
      </c>
      <c r="D1247" s="30" t="s">
        <v>573</v>
      </c>
      <c r="E1247" s="30" t="s">
        <v>638</v>
      </c>
    </row>
    <row r="1248" spans="1:5" x14ac:dyDescent="0.35">
      <c r="A1248" s="32">
        <v>1519</v>
      </c>
      <c r="B1248" s="32" t="s">
        <v>571</v>
      </c>
      <c r="C1248" s="32" t="s">
        <v>584</v>
      </c>
      <c r="D1248" s="30" t="s">
        <v>573</v>
      </c>
      <c r="E1248" s="30" t="s">
        <v>638</v>
      </c>
    </row>
    <row r="1249" spans="1:5" x14ac:dyDescent="0.35">
      <c r="A1249" s="32">
        <v>1520</v>
      </c>
      <c r="B1249" s="32" t="s">
        <v>571</v>
      </c>
      <c r="C1249" s="32" t="s">
        <v>584</v>
      </c>
      <c r="D1249" s="30" t="s">
        <v>573</v>
      </c>
      <c r="E1249" s="30" t="s">
        <v>638</v>
      </c>
    </row>
    <row r="1250" spans="1:5" x14ac:dyDescent="0.35">
      <c r="A1250" s="32">
        <v>1521</v>
      </c>
      <c r="B1250" s="32" t="s">
        <v>571</v>
      </c>
      <c r="C1250" s="32" t="s">
        <v>584</v>
      </c>
      <c r="D1250" s="30" t="s">
        <v>573</v>
      </c>
      <c r="E1250" s="30" t="s">
        <v>638</v>
      </c>
    </row>
    <row r="1251" spans="1:5" x14ac:dyDescent="0.35">
      <c r="A1251" s="32">
        <v>1522</v>
      </c>
      <c r="B1251" s="32" t="s">
        <v>571</v>
      </c>
      <c r="C1251" s="32" t="s">
        <v>584</v>
      </c>
      <c r="D1251" s="30" t="s">
        <v>573</v>
      </c>
      <c r="E1251" s="30" t="s">
        <v>638</v>
      </c>
    </row>
    <row r="1252" spans="1:5" x14ac:dyDescent="0.35">
      <c r="A1252" s="32">
        <v>1523</v>
      </c>
      <c r="B1252" s="32" t="s">
        <v>611</v>
      </c>
      <c r="C1252" s="32" t="s">
        <v>584</v>
      </c>
      <c r="D1252" s="30" t="s">
        <v>573</v>
      </c>
      <c r="E1252" s="30" t="s">
        <v>638</v>
      </c>
    </row>
    <row r="1253" spans="1:5" x14ac:dyDescent="0.35">
      <c r="A1253" s="32">
        <v>1524</v>
      </c>
      <c r="B1253" s="32" t="s">
        <v>611</v>
      </c>
      <c r="C1253" s="32" t="s">
        <v>584</v>
      </c>
      <c r="D1253" s="30" t="s">
        <v>573</v>
      </c>
      <c r="E1253" s="30" t="s">
        <v>638</v>
      </c>
    </row>
    <row r="1254" spans="1:5" x14ac:dyDescent="0.35">
      <c r="A1254" s="32">
        <v>1525</v>
      </c>
      <c r="B1254" s="32" t="s">
        <v>611</v>
      </c>
      <c r="C1254" s="32" t="s">
        <v>584</v>
      </c>
      <c r="D1254" s="30" t="s">
        <v>573</v>
      </c>
      <c r="E1254" s="30" t="s">
        <v>638</v>
      </c>
    </row>
    <row r="1255" spans="1:5" x14ac:dyDescent="0.35">
      <c r="A1255" s="32">
        <v>1526</v>
      </c>
      <c r="B1255" s="32" t="s">
        <v>611</v>
      </c>
      <c r="C1255" s="32" t="s">
        <v>584</v>
      </c>
      <c r="D1255" s="30" t="s">
        <v>573</v>
      </c>
      <c r="E1255" s="30" t="s">
        <v>638</v>
      </c>
    </row>
    <row r="1256" spans="1:5" x14ac:dyDescent="0.35">
      <c r="A1256" s="32">
        <v>1527</v>
      </c>
      <c r="B1256" s="32" t="s">
        <v>611</v>
      </c>
      <c r="C1256" s="32" t="s">
        <v>584</v>
      </c>
      <c r="D1256" s="30" t="s">
        <v>573</v>
      </c>
      <c r="E1256" s="30" t="s">
        <v>638</v>
      </c>
    </row>
    <row r="1257" spans="1:5" x14ac:dyDescent="0.35">
      <c r="A1257" s="32">
        <v>1528</v>
      </c>
      <c r="B1257" s="32" t="s">
        <v>611</v>
      </c>
      <c r="C1257" s="32" t="s">
        <v>584</v>
      </c>
      <c r="D1257" s="30" t="s">
        <v>573</v>
      </c>
      <c r="E1257" s="30" t="s">
        <v>638</v>
      </c>
    </row>
    <row r="1258" spans="1:5" x14ac:dyDescent="0.35">
      <c r="A1258" s="32">
        <v>1529</v>
      </c>
      <c r="B1258" s="32" t="s">
        <v>611</v>
      </c>
      <c r="C1258" s="32" t="s">
        <v>584</v>
      </c>
      <c r="D1258" s="30" t="s">
        <v>573</v>
      </c>
      <c r="E1258" s="30" t="s">
        <v>638</v>
      </c>
    </row>
    <row r="1259" spans="1:5" x14ac:dyDescent="0.35">
      <c r="A1259" s="32">
        <v>1530</v>
      </c>
      <c r="B1259" s="32" t="s">
        <v>611</v>
      </c>
      <c r="C1259" s="32" t="s">
        <v>584</v>
      </c>
      <c r="D1259" s="30" t="s">
        <v>573</v>
      </c>
      <c r="E1259" s="30" t="s">
        <v>638</v>
      </c>
    </row>
    <row r="1260" spans="1:5" x14ac:dyDescent="0.35">
      <c r="A1260" s="32">
        <v>1531</v>
      </c>
      <c r="B1260" s="32" t="s">
        <v>611</v>
      </c>
      <c r="C1260" s="32" t="s">
        <v>584</v>
      </c>
      <c r="D1260" s="30" t="s">
        <v>573</v>
      </c>
      <c r="E1260" s="30" t="s">
        <v>638</v>
      </c>
    </row>
    <row r="1261" spans="1:5" x14ac:dyDescent="0.35">
      <c r="A1261" s="32">
        <v>1532</v>
      </c>
      <c r="B1261" s="32" t="s">
        <v>611</v>
      </c>
      <c r="C1261" s="32" t="s">
        <v>584</v>
      </c>
      <c r="D1261" s="30" t="s">
        <v>573</v>
      </c>
      <c r="E1261" s="30" t="s">
        <v>638</v>
      </c>
    </row>
    <row r="1262" spans="1:5" x14ac:dyDescent="0.35">
      <c r="A1262" s="32">
        <v>1533</v>
      </c>
      <c r="B1262" s="32" t="s">
        <v>610</v>
      </c>
      <c r="C1262" s="32" t="s">
        <v>584</v>
      </c>
      <c r="D1262" s="30" t="s">
        <v>643</v>
      </c>
      <c r="E1262" s="30" t="s">
        <v>667</v>
      </c>
    </row>
    <row r="1263" spans="1:5" x14ac:dyDescent="0.35">
      <c r="A1263" s="32">
        <v>1534</v>
      </c>
      <c r="B1263" s="32" t="s">
        <v>610</v>
      </c>
      <c r="C1263" s="32" t="s">
        <v>648</v>
      </c>
      <c r="D1263" s="30" t="s">
        <v>573</v>
      </c>
      <c r="E1263" s="30" t="s">
        <v>638</v>
      </c>
    </row>
    <row r="1264" spans="1:5" x14ac:dyDescent="0.35">
      <c r="A1264" s="32">
        <v>1535</v>
      </c>
      <c r="B1264" s="32" t="s">
        <v>611</v>
      </c>
      <c r="C1264" s="32" t="s">
        <v>584</v>
      </c>
      <c r="D1264" s="30" t="s">
        <v>612</v>
      </c>
      <c r="E1264" s="30" t="s">
        <v>613</v>
      </c>
    </row>
    <row r="1265" spans="1:5" x14ac:dyDescent="0.35">
      <c r="A1265" s="32">
        <v>1536</v>
      </c>
      <c r="B1265" s="32" t="s">
        <v>571</v>
      </c>
      <c r="C1265" s="32" t="s">
        <v>648</v>
      </c>
      <c r="D1265" s="30" t="s">
        <v>612</v>
      </c>
      <c r="E1265" s="30" t="s">
        <v>613</v>
      </c>
    </row>
    <row r="1266" spans="1:5" x14ac:dyDescent="0.35">
      <c r="A1266" s="32">
        <v>1537</v>
      </c>
      <c r="B1266" s="32" t="s">
        <v>571</v>
      </c>
      <c r="C1266" s="32" t="s">
        <v>584</v>
      </c>
      <c r="D1266" s="30" t="s">
        <v>612</v>
      </c>
      <c r="E1266" s="30" t="s">
        <v>613</v>
      </c>
    </row>
    <row r="1267" spans="1:5" x14ac:dyDescent="0.35">
      <c r="A1267" s="32">
        <v>1538</v>
      </c>
      <c r="B1267" s="32" t="s">
        <v>641</v>
      </c>
      <c r="C1267" s="32" t="s">
        <v>648</v>
      </c>
      <c r="D1267" s="30" t="s">
        <v>573</v>
      </c>
      <c r="E1267" s="30" t="s">
        <v>638</v>
      </c>
    </row>
    <row r="1268" spans="1:5" x14ac:dyDescent="0.35">
      <c r="A1268" s="32">
        <v>1539</v>
      </c>
      <c r="B1268" s="32" t="s">
        <v>610</v>
      </c>
      <c r="C1268" s="32" t="s">
        <v>584</v>
      </c>
      <c r="D1268" s="30" t="s">
        <v>599</v>
      </c>
      <c r="E1268" s="30" t="s">
        <v>600</v>
      </c>
    </row>
    <row r="1269" spans="1:5" x14ac:dyDescent="0.35">
      <c r="A1269" s="32">
        <v>1541</v>
      </c>
      <c r="B1269" s="32" t="s">
        <v>611</v>
      </c>
      <c r="C1269" s="32" t="s">
        <v>648</v>
      </c>
      <c r="D1269" s="30" t="s">
        <v>651</v>
      </c>
      <c r="E1269" s="30" t="s">
        <v>652</v>
      </c>
    </row>
    <row r="1270" spans="1:5" x14ac:dyDescent="0.35">
      <c r="A1270" s="32">
        <v>1542</v>
      </c>
      <c r="B1270" s="32" t="s">
        <v>571</v>
      </c>
      <c r="C1270" s="32" t="s">
        <v>648</v>
      </c>
      <c r="D1270" s="30" t="s">
        <v>651</v>
      </c>
      <c r="E1270" s="30" t="s">
        <v>652</v>
      </c>
    </row>
    <row r="1271" spans="1:5" x14ac:dyDescent="0.35">
      <c r="A1271" s="32">
        <v>1543</v>
      </c>
      <c r="B1271" s="32" t="s">
        <v>634</v>
      </c>
      <c r="C1271" s="32" t="s">
        <v>648</v>
      </c>
      <c r="D1271" s="30" t="s">
        <v>656</v>
      </c>
      <c r="E1271" s="30" t="s">
        <v>661</v>
      </c>
    </row>
    <row r="1272" spans="1:5" x14ac:dyDescent="0.35">
      <c r="A1272" s="32">
        <v>1544</v>
      </c>
      <c r="B1272" s="32" t="s">
        <v>634</v>
      </c>
      <c r="C1272" s="32" t="s">
        <v>584</v>
      </c>
      <c r="D1272" s="30" t="s">
        <v>599</v>
      </c>
      <c r="E1272" s="30" t="s">
        <v>600</v>
      </c>
    </row>
    <row r="1273" spans="1:5" x14ac:dyDescent="0.35">
      <c r="A1273" s="32">
        <v>1545</v>
      </c>
      <c r="B1273" s="32" t="s">
        <v>610</v>
      </c>
      <c r="C1273" s="32" t="s">
        <v>584</v>
      </c>
      <c r="D1273" s="30" t="s">
        <v>663</v>
      </c>
      <c r="E1273" s="30" t="s">
        <v>664</v>
      </c>
    </row>
    <row r="1274" spans="1:5" x14ac:dyDescent="0.35">
      <c r="A1274" s="32">
        <v>1546</v>
      </c>
      <c r="B1274" s="32" t="s">
        <v>641</v>
      </c>
      <c r="C1274" s="32" t="s">
        <v>584</v>
      </c>
      <c r="D1274" s="30" t="s">
        <v>621</v>
      </c>
      <c r="E1274" s="30" t="s">
        <v>667</v>
      </c>
    </row>
    <row r="1275" spans="1:5" x14ac:dyDescent="0.35">
      <c r="A1275" s="32">
        <v>1547</v>
      </c>
      <c r="B1275" s="32" t="s">
        <v>641</v>
      </c>
      <c r="C1275" s="32" t="s">
        <v>584</v>
      </c>
      <c r="D1275" s="30" t="s">
        <v>621</v>
      </c>
      <c r="E1275" s="30" t="s">
        <v>667</v>
      </c>
    </row>
    <row r="1276" spans="1:5" x14ac:dyDescent="0.35">
      <c r="A1276" s="32">
        <v>1548</v>
      </c>
      <c r="B1276" s="32" t="s">
        <v>610</v>
      </c>
      <c r="C1276" s="32" t="s">
        <v>605</v>
      </c>
      <c r="D1276" s="30" t="s">
        <v>656</v>
      </c>
      <c r="E1276" s="30" t="s">
        <v>661</v>
      </c>
    </row>
    <row r="1277" spans="1:5" x14ac:dyDescent="0.35">
      <c r="A1277" s="32">
        <v>1549</v>
      </c>
      <c r="B1277" s="32" t="s">
        <v>610</v>
      </c>
      <c r="C1277" s="32" t="s">
        <v>605</v>
      </c>
      <c r="D1277" s="30" t="s">
        <v>656</v>
      </c>
      <c r="E1277" s="30" t="s">
        <v>661</v>
      </c>
    </row>
    <row r="1278" spans="1:5" x14ac:dyDescent="0.35">
      <c r="A1278" s="32">
        <v>1550</v>
      </c>
      <c r="B1278" s="32" t="s">
        <v>610</v>
      </c>
      <c r="C1278" s="32" t="s">
        <v>605</v>
      </c>
      <c r="D1278" s="30" t="s">
        <v>656</v>
      </c>
      <c r="E1278" s="30" t="s">
        <v>661</v>
      </c>
    </row>
    <row r="1279" spans="1:5" x14ac:dyDescent="0.35">
      <c r="A1279" s="32">
        <v>1551</v>
      </c>
      <c r="B1279" s="32" t="s">
        <v>611</v>
      </c>
      <c r="C1279" s="32" t="s">
        <v>584</v>
      </c>
      <c r="D1279" s="30" t="s">
        <v>639</v>
      </c>
      <c r="E1279" s="30" t="s">
        <v>654</v>
      </c>
    </row>
    <row r="1280" spans="1:5" x14ac:dyDescent="0.35">
      <c r="A1280" s="32">
        <v>1552</v>
      </c>
      <c r="B1280" s="32" t="s">
        <v>611</v>
      </c>
      <c r="C1280" s="32" t="s">
        <v>584</v>
      </c>
      <c r="D1280" s="30" t="s">
        <v>639</v>
      </c>
      <c r="E1280" s="30" t="s">
        <v>654</v>
      </c>
    </row>
    <row r="1281" spans="1:5" x14ac:dyDescent="0.35">
      <c r="A1281" s="32">
        <v>1553</v>
      </c>
      <c r="B1281" s="32" t="s">
        <v>642</v>
      </c>
      <c r="C1281" s="32" t="s">
        <v>584</v>
      </c>
      <c r="D1281" s="30" t="s">
        <v>639</v>
      </c>
      <c r="E1281" s="30" t="s">
        <v>654</v>
      </c>
    </row>
    <row r="1282" spans="1:5" x14ac:dyDescent="0.35">
      <c r="A1282" s="32">
        <v>1554</v>
      </c>
      <c r="B1282" s="32" t="s">
        <v>642</v>
      </c>
      <c r="C1282" s="32" t="s">
        <v>584</v>
      </c>
      <c r="D1282" s="30" t="s">
        <v>639</v>
      </c>
      <c r="E1282" s="30" t="s">
        <v>654</v>
      </c>
    </row>
    <row r="1283" spans="1:5" x14ac:dyDescent="0.35">
      <c r="A1283" s="32">
        <v>1555</v>
      </c>
      <c r="B1283" s="32" t="s">
        <v>641</v>
      </c>
      <c r="C1283" s="32" t="s">
        <v>584</v>
      </c>
      <c r="D1283" s="30" t="s">
        <v>639</v>
      </c>
      <c r="E1283" s="30" t="s">
        <v>654</v>
      </c>
    </row>
    <row r="1284" spans="1:5" x14ac:dyDescent="0.35">
      <c r="A1284" s="32">
        <v>1556</v>
      </c>
      <c r="B1284" s="32" t="s">
        <v>642</v>
      </c>
      <c r="C1284" s="32" t="s">
        <v>584</v>
      </c>
      <c r="D1284" s="30" t="s">
        <v>639</v>
      </c>
      <c r="E1284" s="30" t="s">
        <v>654</v>
      </c>
    </row>
    <row r="1285" spans="1:5" x14ac:dyDescent="0.35">
      <c r="A1285" s="32">
        <v>1557</v>
      </c>
      <c r="B1285" s="32" t="s">
        <v>641</v>
      </c>
      <c r="C1285" s="32" t="s">
        <v>584</v>
      </c>
      <c r="D1285" s="30" t="s">
        <v>639</v>
      </c>
      <c r="E1285" s="30" t="s">
        <v>654</v>
      </c>
    </row>
    <row r="1286" spans="1:5" x14ac:dyDescent="0.35">
      <c r="A1286" s="32">
        <v>1558</v>
      </c>
      <c r="B1286" s="32" t="s">
        <v>642</v>
      </c>
      <c r="C1286" s="32" t="s">
        <v>584</v>
      </c>
      <c r="D1286" s="30" t="s">
        <v>639</v>
      </c>
      <c r="E1286" s="30" t="s">
        <v>654</v>
      </c>
    </row>
    <row r="1287" spans="1:5" x14ac:dyDescent="0.35">
      <c r="A1287" s="32">
        <v>1559</v>
      </c>
      <c r="B1287" s="32" t="s">
        <v>642</v>
      </c>
      <c r="C1287" s="32" t="s">
        <v>584</v>
      </c>
      <c r="D1287" s="30" t="s">
        <v>639</v>
      </c>
      <c r="E1287" s="30" t="s">
        <v>654</v>
      </c>
    </row>
    <row r="1288" spans="1:5" x14ac:dyDescent="0.35">
      <c r="A1288" s="32">
        <v>1560</v>
      </c>
      <c r="B1288" s="32" t="s">
        <v>642</v>
      </c>
      <c r="C1288" s="32" t="s">
        <v>584</v>
      </c>
      <c r="D1288" s="30" t="s">
        <v>639</v>
      </c>
      <c r="E1288" s="30" t="s">
        <v>654</v>
      </c>
    </row>
    <row r="1289" spans="1:5" x14ac:dyDescent="0.35">
      <c r="A1289" s="32">
        <v>1561</v>
      </c>
      <c r="B1289" s="32" t="s">
        <v>642</v>
      </c>
      <c r="C1289" s="32" t="s">
        <v>584</v>
      </c>
      <c r="D1289" s="30" t="s">
        <v>639</v>
      </c>
      <c r="E1289" s="30" t="s">
        <v>654</v>
      </c>
    </row>
    <row r="1290" spans="1:5" x14ac:dyDescent="0.35">
      <c r="A1290" s="32">
        <v>1562</v>
      </c>
      <c r="B1290" s="32" t="s">
        <v>571</v>
      </c>
      <c r="C1290" s="32" t="s">
        <v>584</v>
      </c>
      <c r="D1290" s="30" t="s">
        <v>639</v>
      </c>
      <c r="E1290" s="30" t="s">
        <v>654</v>
      </c>
    </row>
    <row r="1291" spans="1:5" x14ac:dyDescent="0.35">
      <c r="A1291" s="32">
        <v>1563</v>
      </c>
      <c r="B1291" s="32" t="s">
        <v>571</v>
      </c>
      <c r="C1291" s="32" t="s">
        <v>584</v>
      </c>
      <c r="D1291" s="30" t="s">
        <v>639</v>
      </c>
      <c r="E1291" s="30" t="s">
        <v>654</v>
      </c>
    </row>
    <row r="1292" spans="1:5" x14ac:dyDescent="0.35">
      <c r="A1292" s="32">
        <v>1564</v>
      </c>
      <c r="B1292" s="32" t="s">
        <v>571</v>
      </c>
      <c r="C1292" s="32" t="s">
        <v>584</v>
      </c>
      <c r="D1292" s="30" t="s">
        <v>639</v>
      </c>
      <c r="E1292" s="30" t="s">
        <v>654</v>
      </c>
    </row>
    <row r="1293" spans="1:5" x14ac:dyDescent="0.35">
      <c r="A1293" s="32">
        <v>1565</v>
      </c>
      <c r="B1293" s="32" t="s">
        <v>571</v>
      </c>
      <c r="C1293" s="32" t="s">
        <v>584</v>
      </c>
      <c r="D1293" s="30" t="s">
        <v>639</v>
      </c>
      <c r="E1293" s="30" t="s">
        <v>654</v>
      </c>
    </row>
    <row r="1294" spans="1:5" x14ac:dyDescent="0.35">
      <c r="A1294" s="32">
        <v>1566</v>
      </c>
      <c r="B1294" s="32" t="s">
        <v>571</v>
      </c>
      <c r="C1294" s="32" t="s">
        <v>584</v>
      </c>
      <c r="D1294" s="30" t="s">
        <v>639</v>
      </c>
      <c r="E1294" s="30" t="s">
        <v>654</v>
      </c>
    </row>
    <row r="1295" spans="1:5" x14ac:dyDescent="0.35">
      <c r="A1295" s="32">
        <v>1567</v>
      </c>
      <c r="B1295" s="32" t="s">
        <v>571</v>
      </c>
      <c r="C1295" s="32" t="s">
        <v>584</v>
      </c>
      <c r="D1295" s="30" t="s">
        <v>639</v>
      </c>
      <c r="E1295" s="30" t="s">
        <v>654</v>
      </c>
    </row>
    <row r="1296" spans="1:5" x14ac:dyDescent="0.35">
      <c r="A1296" s="32">
        <v>1568</v>
      </c>
      <c r="B1296" s="32" t="s">
        <v>571</v>
      </c>
      <c r="C1296" s="32" t="s">
        <v>584</v>
      </c>
      <c r="D1296" s="30" t="s">
        <v>639</v>
      </c>
      <c r="E1296" s="30" t="s">
        <v>654</v>
      </c>
    </row>
    <row r="1297" spans="1:5" x14ac:dyDescent="0.35">
      <c r="A1297" s="32">
        <v>1569</v>
      </c>
      <c r="B1297" s="32" t="s">
        <v>571</v>
      </c>
      <c r="C1297" s="32" t="s">
        <v>584</v>
      </c>
      <c r="D1297" s="30" t="s">
        <v>639</v>
      </c>
      <c r="E1297" s="30" t="s">
        <v>654</v>
      </c>
    </row>
    <row r="1298" spans="1:5" x14ac:dyDescent="0.35">
      <c r="A1298" s="32">
        <v>1570</v>
      </c>
      <c r="B1298" s="32" t="s">
        <v>571</v>
      </c>
      <c r="C1298" s="32" t="s">
        <v>584</v>
      </c>
      <c r="D1298" s="30" t="s">
        <v>639</v>
      </c>
      <c r="E1298" s="30" t="s">
        <v>654</v>
      </c>
    </row>
    <row r="1299" spans="1:5" x14ac:dyDescent="0.35">
      <c r="A1299" s="32">
        <v>1571</v>
      </c>
      <c r="B1299" s="32" t="s">
        <v>571</v>
      </c>
      <c r="C1299" s="32" t="s">
        <v>584</v>
      </c>
      <c r="D1299" s="30" t="s">
        <v>639</v>
      </c>
      <c r="E1299" s="30" t="s">
        <v>654</v>
      </c>
    </row>
    <row r="1300" spans="1:5" x14ac:dyDescent="0.35">
      <c r="A1300" s="32">
        <v>1572</v>
      </c>
      <c r="B1300" s="32" t="s">
        <v>571</v>
      </c>
      <c r="C1300" s="32" t="s">
        <v>584</v>
      </c>
      <c r="D1300" s="30" t="s">
        <v>639</v>
      </c>
      <c r="E1300" s="30" t="s">
        <v>654</v>
      </c>
    </row>
    <row r="1301" spans="1:5" x14ac:dyDescent="0.35">
      <c r="A1301" s="32">
        <v>1573</v>
      </c>
      <c r="B1301" s="32" t="s">
        <v>571</v>
      </c>
      <c r="C1301" s="32" t="s">
        <v>584</v>
      </c>
      <c r="D1301" s="30" t="s">
        <v>639</v>
      </c>
      <c r="E1301" s="30" t="s">
        <v>654</v>
      </c>
    </row>
    <row r="1302" spans="1:5" x14ac:dyDescent="0.35">
      <c r="A1302" s="32">
        <v>1574</v>
      </c>
      <c r="B1302" s="32" t="s">
        <v>571</v>
      </c>
      <c r="C1302" s="32" t="s">
        <v>584</v>
      </c>
      <c r="D1302" s="30" t="s">
        <v>639</v>
      </c>
      <c r="E1302" s="30" t="s">
        <v>654</v>
      </c>
    </row>
    <row r="1303" spans="1:5" x14ac:dyDescent="0.35">
      <c r="A1303" s="32">
        <v>1575</v>
      </c>
      <c r="B1303" s="32" t="s">
        <v>571</v>
      </c>
      <c r="C1303" s="32" t="s">
        <v>584</v>
      </c>
      <c r="D1303" s="30" t="s">
        <v>639</v>
      </c>
      <c r="E1303" s="30" t="s">
        <v>654</v>
      </c>
    </row>
    <row r="1304" spans="1:5" x14ac:dyDescent="0.35">
      <c r="A1304" s="32">
        <v>1576</v>
      </c>
      <c r="B1304" s="32" t="s">
        <v>571</v>
      </c>
      <c r="C1304" s="32" t="s">
        <v>584</v>
      </c>
      <c r="D1304" s="30" t="s">
        <v>639</v>
      </c>
      <c r="E1304" s="30" t="s">
        <v>654</v>
      </c>
    </row>
    <row r="1305" spans="1:5" x14ac:dyDescent="0.35">
      <c r="A1305" s="32">
        <v>1577</v>
      </c>
      <c r="B1305" s="32" t="s">
        <v>571</v>
      </c>
      <c r="C1305" s="32" t="s">
        <v>584</v>
      </c>
      <c r="D1305" s="30" t="s">
        <v>639</v>
      </c>
      <c r="E1305" s="30" t="s">
        <v>654</v>
      </c>
    </row>
    <row r="1306" spans="1:5" x14ac:dyDescent="0.35">
      <c r="A1306" s="32">
        <v>1578</v>
      </c>
      <c r="B1306" s="32" t="s">
        <v>571</v>
      </c>
      <c r="C1306" s="32" t="s">
        <v>584</v>
      </c>
      <c r="D1306" s="30" t="s">
        <v>639</v>
      </c>
      <c r="E1306" s="30" t="s">
        <v>654</v>
      </c>
    </row>
    <row r="1307" spans="1:5" x14ac:dyDescent="0.35">
      <c r="A1307" s="32">
        <v>1579</v>
      </c>
      <c r="B1307" s="32" t="s">
        <v>571</v>
      </c>
      <c r="C1307" s="32" t="s">
        <v>584</v>
      </c>
      <c r="D1307" s="30" t="s">
        <v>639</v>
      </c>
      <c r="E1307" s="30" t="s">
        <v>654</v>
      </c>
    </row>
    <row r="1308" spans="1:5" x14ac:dyDescent="0.35">
      <c r="A1308" s="32">
        <v>1580</v>
      </c>
      <c r="B1308" s="32" t="s">
        <v>571</v>
      </c>
      <c r="C1308" s="32" t="s">
        <v>584</v>
      </c>
      <c r="D1308" s="30" t="s">
        <v>639</v>
      </c>
      <c r="E1308" s="30" t="s">
        <v>654</v>
      </c>
    </row>
    <row r="1309" spans="1:5" x14ac:dyDescent="0.35">
      <c r="A1309" s="32">
        <v>1581</v>
      </c>
      <c r="B1309" s="32" t="s">
        <v>571</v>
      </c>
      <c r="C1309" s="32" t="s">
        <v>584</v>
      </c>
      <c r="D1309" s="30" t="s">
        <v>639</v>
      </c>
      <c r="E1309" s="30" t="s">
        <v>654</v>
      </c>
    </row>
    <row r="1310" spans="1:5" x14ac:dyDescent="0.35">
      <c r="A1310" s="32">
        <v>1582</v>
      </c>
      <c r="B1310" s="32" t="s">
        <v>571</v>
      </c>
      <c r="C1310" s="32" t="s">
        <v>584</v>
      </c>
      <c r="D1310" s="30" t="s">
        <v>639</v>
      </c>
      <c r="E1310" s="30" t="s">
        <v>654</v>
      </c>
    </row>
    <row r="1311" spans="1:5" x14ac:dyDescent="0.35">
      <c r="A1311" s="32">
        <v>1583</v>
      </c>
      <c r="B1311" s="32" t="s">
        <v>571</v>
      </c>
      <c r="C1311" s="32" t="s">
        <v>584</v>
      </c>
      <c r="D1311" s="30" t="s">
        <v>639</v>
      </c>
      <c r="E1311" s="30" t="s">
        <v>654</v>
      </c>
    </row>
    <row r="1312" spans="1:5" x14ac:dyDescent="0.35">
      <c r="A1312" s="32">
        <v>1584</v>
      </c>
      <c r="B1312" s="32" t="s">
        <v>571</v>
      </c>
      <c r="C1312" s="32" t="s">
        <v>584</v>
      </c>
      <c r="D1312" s="30" t="s">
        <v>639</v>
      </c>
      <c r="E1312" s="30" t="s">
        <v>654</v>
      </c>
    </row>
    <row r="1313" spans="1:5" x14ac:dyDescent="0.35">
      <c r="A1313" s="32">
        <v>1585</v>
      </c>
      <c r="B1313" s="32" t="s">
        <v>571</v>
      </c>
      <c r="C1313" s="32" t="s">
        <v>584</v>
      </c>
      <c r="D1313" s="30" t="s">
        <v>639</v>
      </c>
      <c r="E1313" s="30" t="s">
        <v>654</v>
      </c>
    </row>
    <row r="1314" spans="1:5" x14ac:dyDescent="0.35">
      <c r="A1314" s="32">
        <v>1586</v>
      </c>
      <c r="B1314" s="32" t="s">
        <v>634</v>
      </c>
      <c r="C1314" s="32" t="s">
        <v>584</v>
      </c>
      <c r="D1314" s="30" t="s">
        <v>639</v>
      </c>
      <c r="E1314" s="30" t="s">
        <v>654</v>
      </c>
    </row>
    <row r="1315" spans="1:5" x14ac:dyDescent="0.35">
      <c r="A1315" s="32">
        <v>1587</v>
      </c>
      <c r="B1315" s="32" t="s">
        <v>634</v>
      </c>
      <c r="C1315" s="32" t="s">
        <v>584</v>
      </c>
      <c r="D1315" s="30" t="s">
        <v>639</v>
      </c>
      <c r="E1315" s="30" t="s">
        <v>654</v>
      </c>
    </row>
    <row r="1316" spans="1:5" x14ac:dyDescent="0.35">
      <c r="A1316" s="32">
        <v>1588</v>
      </c>
      <c r="B1316" s="32" t="s">
        <v>634</v>
      </c>
      <c r="C1316" s="32" t="s">
        <v>584</v>
      </c>
      <c r="D1316" s="30" t="s">
        <v>639</v>
      </c>
      <c r="E1316" s="30" t="s">
        <v>654</v>
      </c>
    </row>
    <row r="1317" spans="1:5" x14ac:dyDescent="0.35">
      <c r="A1317" s="32">
        <v>1589</v>
      </c>
      <c r="B1317" s="32" t="s">
        <v>634</v>
      </c>
      <c r="C1317" s="32" t="s">
        <v>584</v>
      </c>
      <c r="D1317" s="30" t="s">
        <v>639</v>
      </c>
      <c r="E1317" s="30" t="s">
        <v>654</v>
      </c>
    </row>
    <row r="1318" spans="1:5" x14ac:dyDescent="0.35">
      <c r="A1318" s="32">
        <v>1590</v>
      </c>
      <c r="B1318" s="32" t="s">
        <v>634</v>
      </c>
      <c r="C1318" s="32" t="s">
        <v>584</v>
      </c>
      <c r="D1318" s="30" t="s">
        <v>639</v>
      </c>
      <c r="E1318" s="30" t="s">
        <v>654</v>
      </c>
    </row>
    <row r="1319" spans="1:5" x14ac:dyDescent="0.35">
      <c r="A1319" s="32">
        <v>1591</v>
      </c>
      <c r="B1319" s="32" t="s">
        <v>634</v>
      </c>
      <c r="C1319" s="32" t="s">
        <v>584</v>
      </c>
      <c r="D1319" s="30" t="s">
        <v>639</v>
      </c>
      <c r="E1319" s="30" t="s">
        <v>654</v>
      </c>
    </row>
    <row r="1320" spans="1:5" x14ac:dyDescent="0.35">
      <c r="A1320" s="32">
        <v>1592</v>
      </c>
      <c r="B1320" s="32" t="s">
        <v>634</v>
      </c>
      <c r="C1320" s="32" t="s">
        <v>584</v>
      </c>
      <c r="D1320" s="30" t="s">
        <v>639</v>
      </c>
      <c r="E1320" s="30" t="s">
        <v>654</v>
      </c>
    </row>
    <row r="1321" spans="1:5" x14ac:dyDescent="0.35">
      <c r="A1321" s="32">
        <v>1593</v>
      </c>
      <c r="B1321" s="32" t="s">
        <v>634</v>
      </c>
      <c r="C1321" s="32" t="s">
        <v>584</v>
      </c>
      <c r="D1321" s="30" t="s">
        <v>639</v>
      </c>
      <c r="E1321" s="30" t="s">
        <v>654</v>
      </c>
    </row>
    <row r="1322" spans="1:5" x14ac:dyDescent="0.35">
      <c r="A1322" s="32">
        <v>1594</v>
      </c>
      <c r="B1322" s="32" t="s">
        <v>634</v>
      </c>
      <c r="C1322" s="32" t="s">
        <v>584</v>
      </c>
      <c r="D1322" s="30" t="s">
        <v>639</v>
      </c>
      <c r="E1322" s="30" t="s">
        <v>654</v>
      </c>
    </row>
    <row r="1323" spans="1:5" x14ac:dyDescent="0.35">
      <c r="A1323" s="32">
        <v>1595</v>
      </c>
      <c r="B1323" s="32" t="s">
        <v>634</v>
      </c>
      <c r="C1323" s="32" t="s">
        <v>584</v>
      </c>
      <c r="D1323" s="30" t="s">
        <v>639</v>
      </c>
      <c r="E1323" s="30" t="s">
        <v>654</v>
      </c>
    </row>
    <row r="1324" spans="1:5" x14ac:dyDescent="0.35">
      <c r="A1324" s="32">
        <v>1596</v>
      </c>
      <c r="B1324" s="32" t="s">
        <v>634</v>
      </c>
      <c r="C1324" s="32" t="s">
        <v>584</v>
      </c>
      <c r="D1324" s="30" t="s">
        <v>639</v>
      </c>
      <c r="E1324" s="30" t="s">
        <v>654</v>
      </c>
    </row>
    <row r="1325" spans="1:5" x14ac:dyDescent="0.35">
      <c r="A1325" s="32">
        <v>1597</v>
      </c>
      <c r="B1325" s="32" t="s">
        <v>634</v>
      </c>
      <c r="C1325" s="32" t="s">
        <v>584</v>
      </c>
      <c r="D1325" s="30" t="s">
        <v>639</v>
      </c>
      <c r="E1325" s="30" t="s">
        <v>654</v>
      </c>
    </row>
    <row r="1326" spans="1:5" x14ac:dyDescent="0.35">
      <c r="A1326" s="32">
        <v>1598</v>
      </c>
      <c r="B1326" s="32" t="s">
        <v>634</v>
      </c>
      <c r="C1326" s="32" t="s">
        <v>584</v>
      </c>
      <c r="D1326" s="30" t="s">
        <v>639</v>
      </c>
      <c r="E1326" s="30" t="s">
        <v>654</v>
      </c>
    </row>
    <row r="1327" spans="1:5" x14ac:dyDescent="0.35">
      <c r="A1327" s="32">
        <v>1599</v>
      </c>
      <c r="B1327" s="32" t="s">
        <v>634</v>
      </c>
      <c r="C1327" s="32" t="s">
        <v>584</v>
      </c>
      <c r="D1327" s="30" t="s">
        <v>639</v>
      </c>
      <c r="E1327" s="30" t="s">
        <v>654</v>
      </c>
    </row>
    <row r="1328" spans="1:5" x14ac:dyDescent="0.35">
      <c r="A1328" s="32">
        <v>1600</v>
      </c>
      <c r="B1328" s="32" t="s">
        <v>610</v>
      </c>
      <c r="C1328" s="32" t="s">
        <v>584</v>
      </c>
      <c r="D1328" s="30" t="s">
        <v>639</v>
      </c>
      <c r="E1328" s="30" t="s">
        <v>646</v>
      </c>
    </row>
    <row r="1329" spans="1:5" x14ac:dyDescent="0.35">
      <c r="A1329" s="32">
        <v>1601</v>
      </c>
      <c r="B1329" s="32" t="s">
        <v>571</v>
      </c>
      <c r="C1329" s="32" t="s">
        <v>605</v>
      </c>
      <c r="D1329" s="30" t="s">
        <v>599</v>
      </c>
      <c r="E1329" s="30" t="s">
        <v>615</v>
      </c>
    </row>
    <row r="1330" spans="1:5" x14ac:dyDescent="0.35">
      <c r="A1330" s="32">
        <v>1602</v>
      </c>
      <c r="B1330" s="32" t="s">
        <v>571</v>
      </c>
      <c r="C1330" s="32" t="s">
        <v>648</v>
      </c>
      <c r="D1330" s="30" t="s">
        <v>599</v>
      </c>
      <c r="E1330" s="30" t="s">
        <v>615</v>
      </c>
    </row>
    <row r="1331" spans="1:5" x14ac:dyDescent="0.35">
      <c r="A1331" s="32">
        <v>1603</v>
      </c>
      <c r="B1331" s="32" t="s">
        <v>611</v>
      </c>
      <c r="C1331" s="32" t="s">
        <v>605</v>
      </c>
      <c r="D1331" s="30" t="s">
        <v>599</v>
      </c>
      <c r="E1331" s="30" t="s">
        <v>615</v>
      </c>
    </row>
    <row r="1332" spans="1:5" x14ac:dyDescent="0.35">
      <c r="A1332" s="32">
        <v>1604</v>
      </c>
      <c r="B1332" s="32" t="s">
        <v>611</v>
      </c>
      <c r="C1332" s="32" t="s">
        <v>648</v>
      </c>
      <c r="D1332" s="30" t="s">
        <v>599</v>
      </c>
      <c r="E1332" s="30" t="s">
        <v>615</v>
      </c>
    </row>
    <row r="1333" spans="1:5" x14ac:dyDescent="0.35">
      <c r="A1333" s="32">
        <v>1605</v>
      </c>
      <c r="B1333" s="32" t="s">
        <v>571</v>
      </c>
      <c r="C1333" s="32" t="s">
        <v>584</v>
      </c>
      <c r="D1333" s="30" t="s">
        <v>635</v>
      </c>
      <c r="E1333" s="30" t="s">
        <v>636</v>
      </c>
    </row>
    <row r="1334" spans="1:5" x14ac:dyDescent="0.35">
      <c r="A1334" s="32">
        <v>1606</v>
      </c>
      <c r="B1334" s="32" t="s">
        <v>571</v>
      </c>
      <c r="C1334" s="32" t="s">
        <v>605</v>
      </c>
      <c r="D1334" s="30" t="s">
        <v>635</v>
      </c>
      <c r="E1334" s="30" t="s">
        <v>636</v>
      </c>
    </row>
    <row r="1335" spans="1:5" x14ac:dyDescent="0.35">
      <c r="A1335" s="32">
        <v>1607</v>
      </c>
      <c r="B1335" s="32" t="s">
        <v>571</v>
      </c>
      <c r="C1335" s="32" t="s">
        <v>648</v>
      </c>
      <c r="D1335" s="30" t="s">
        <v>635</v>
      </c>
      <c r="E1335" s="30" t="s">
        <v>636</v>
      </c>
    </row>
    <row r="1336" spans="1:5" x14ac:dyDescent="0.35">
      <c r="A1336" s="32">
        <v>1608</v>
      </c>
      <c r="B1336" s="32" t="s">
        <v>571</v>
      </c>
      <c r="C1336" s="32" t="s">
        <v>655</v>
      </c>
      <c r="D1336" s="30" t="s">
        <v>635</v>
      </c>
      <c r="E1336" s="30" t="s">
        <v>636</v>
      </c>
    </row>
    <row r="1337" spans="1:5" x14ac:dyDescent="0.35">
      <c r="A1337" s="32">
        <v>1609</v>
      </c>
      <c r="B1337" s="32" t="s">
        <v>571</v>
      </c>
      <c r="C1337" s="32" t="s">
        <v>668</v>
      </c>
      <c r="D1337" s="30" t="s">
        <v>635</v>
      </c>
      <c r="E1337" s="30" t="s">
        <v>636</v>
      </c>
    </row>
    <row r="1338" spans="1:5" x14ac:dyDescent="0.35">
      <c r="A1338" s="32">
        <v>1610</v>
      </c>
      <c r="B1338" s="32" t="s">
        <v>641</v>
      </c>
      <c r="C1338" s="32" t="s">
        <v>584</v>
      </c>
      <c r="D1338" s="30" t="s">
        <v>639</v>
      </c>
      <c r="E1338" s="30" t="s">
        <v>646</v>
      </c>
    </row>
    <row r="1339" spans="1:5" x14ac:dyDescent="0.35">
      <c r="A1339" s="32">
        <v>1611</v>
      </c>
      <c r="B1339" s="32" t="s">
        <v>641</v>
      </c>
      <c r="C1339" s="32" t="s">
        <v>584</v>
      </c>
      <c r="D1339" s="30" t="s">
        <v>639</v>
      </c>
      <c r="E1339" s="30" t="s">
        <v>646</v>
      </c>
    </row>
    <row r="1340" spans="1:5" x14ac:dyDescent="0.35">
      <c r="A1340" s="32">
        <v>1612</v>
      </c>
      <c r="B1340" s="32" t="s">
        <v>641</v>
      </c>
      <c r="C1340" s="32" t="s">
        <v>584</v>
      </c>
      <c r="D1340" s="30" t="s">
        <v>639</v>
      </c>
      <c r="E1340" s="30" t="s">
        <v>646</v>
      </c>
    </row>
    <row r="1341" spans="1:5" x14ac:dyDescent="0.35">
      <c r="A1341" s="32">
        <v>1613</v>
      </c>
      <c r="B1341" s="32" t="s">
        <v>641</v>
      </c>
      <c r="C1341" s="32" t="s">
        <v>584</v>
      </c>
      <c r="D1341" s="30" t="s">
        <v>639</v>
      </c>
      <c r="E1341" s="30" t="s">
        <v>646</v>
      </c>
    </row>
    <row r="1342" spans="1:5" x14ac:dyDescent="0.35">
      <c r="A1342" s="32">
        <v>1614</v>
      </c>
      <c r="B1342" s="32" t="s">
        <v>610</v>
      </c>
      <c r="C1342" s="32" t="s">
        <v>584</v>
      </c>
      <c r="D1342" s="30" t="s">
        <v>639</v>
      </c>
      <c r="E1342" s="30" t="s">
        <v>640</v>
      </c>
    </row>
    <row r="1343" spans="1:5" x14ac:dyDescent="0.35">
      <c r="A1343" s="32">
        <v>1615</v>
      </c>
      <c r="B1343" s="32" t="s">
        <v>610</v>
      </c>
      <c r="C1343" s="32" t="s">
        <v>584</v>
      </c>
      <c r="D1343" s="30" t="s">
        <v>639</v>
      </c>
      <c r="E1343" s="30" t="s">
        <v>640</v>
      </c>
    </row>
    <row r="1344" spans="1:5" x14ac:dyDescent="0.35">
      <c r="A1344" s="32">
        <v>1616</v>
      </c>
      <c r="B1344" s="32" t="s">
        <v>610</v>
      </c>
      <c r="C1344" s="32" t="s">
        <v>584</v>
      </c>
      <c r="D1344" s="30" t="s">
        <v>639</v>
      </c>
      <c r="E1344" s="30" t="s">
        <v>640</v>
      </c>
    </row>
    <row r="1345" spans="1:5" x14ac:dyDescent="0.35">
      <c r="A1345" s="32">
        <v>1617</v>
      </c>
      <c r="B1345" s="32" t="s">
        <v>610</v>
      </c>
      <c r="C1345" s="32" t="s">
        <v>584</v>
      </c>
      <c r="D1345" s="30" t="s">
        <v>639</v>
      </c>
      <c r="E1345" s="30" t="s">
        <v>640</v>
      </c>
    </row>
    <row r="1346" spans="1:5" x14ac:dyDescent="0.35">
      <c r="A1346" s="32">
        <v>1618</v>
      </c>
      <c r="B1346" s="32" t="s">
        <v>610</v>
      </c>
      <c r="C1346" s="32" t="s">
        <v>584</v>
      </c>
      <c r="D1346" s="30" t="s">
        <v>639</v>
      </c>
      <c r="E1346" s="30" t="s">
        <v>640</v>
      </c>
    </row>
    <row r="1347" spans="1:5" x14ac:dyDescent="0.35">
      <c r="A1347" s="32">
        <v>1619</v>
      </c>
      <c r="B1347" s="32" t="s">
        <v>610</v>
      </c>
      <c r="C1347" s="32" t="s">
        <v>584</v>
      </c>
      <c r="D1347" s="30" t="s">
        <v>639</v>
      </c>
      <c r="E1347" s="30" t="s">
        <v>640</v>
      </c>
    </row>
    <row r="1348" spans="1:5" x14ac:dyDescent="0.35">
      <c r="A1348" s="32">
        <v>1620</v>
      </c>
      <c r="B1348" s="32" t="s">
        <v>610</v>
      </c>
      <c r="C1348" s="32" t="s">
        <v>584</v>
      </c>
      <c r="D1348" s="30" t="s">
        <v>639</v>
      </c>
      <c r="E1348" s="30" t="s">
        <v>640</v>
      </c>
    </row>
    <row r="1349" spans="1:5" x14ac:dyDescent="0.35">
      <c r="A1349" s="32">
        <v>1621</v>
      </c>
      <c r="B1349" s="32" t="s">
        <v>571</v>
      </c>
      <c r="C1349" s="32" t="s">
        <v>584</v>
      </c>
      <c r="D1349" s="30" t="s">
        <v>573</v>
      </c>
      <c r="E1349" s="30" t="s">
        <v>638</v>
      </c>
    </row>
    <row r="1350" spans="1:5" x14ac:dyDescent="0.35">
      <c r="A1350" s="32">
        <v>1622</v>
      </c>
      <c r="B1350" s="32" t="s">
        <v>571</v>
      </c>
      <c r="C1350" s="32" t="s">
        <v>584</v>
      </c>
      <c r="D1350" s="30" t="s">
        <v>573</v>
      </c>
      <c r="E1350" s="30" t="s">
        <v>638</v>
      </c>
    </row>
    <row r="1351" spans="1:5" x14ac:dyDescent="0.35">
      <c r="A1351" s="32">
        <v>1623</v>
      </c>
      <c r="B1351" s="32" t="s">
        <v>571</v>
      </c>
      <c r="C1351" s="32" t="s">
        <v>584</v>
      </c>
      <c r="D1351" s="30" t="s">
        <v>573</v>
      </c>
      <c r="E1351" s="30" t="s">
        <v>638</v>
      </c>
    </row>
    <row r="1352" spans="1:5" x14ac:dyDescent="0.35">
      <c r="A1352" s="32">
        <v>1624</v>
      </c>
      <c r="B1352" s="32" t="s">
        <v>571</v>
      </c>
      <c r="C1352" s="32" t="s">
        <v>584</v>
      </c>
      <c r="D1352" s="30" t="s">
        <v>573</v>
      </c>
      <c r="E1352" s="30" t="s">
        <v>638</v>
      </c>
    </row>
    <row r="1353" spans="1:5" x14ac:dyDescent="0.35">
      <c r="A1353" s="32">
        <v>1625</v>
      </c>
      <c r="B1353" s="32" t="s">
        <v>571</v>
      </c>
      <c r="C1353" s="32" t="s">
        <v>584</v>
      </c>
      <c r="D1353" s="30" t="s">
        <v>573</v>
      </c>
      <c r="E1353" s="30" t="s">
        <v>637</v>
      </c>
    </row>
    <row r="1354" spans="1:5" x14ac:dyDescent="0.35">
      <c r="A1354" s="32">
        <v>1626</v>
      </c>
      <c r="B1354" s="32" t="s">
        <v>610</v>
      </c>
      <c r="C1354" s="32" t="s">
        <v>584</v>
      </c>
      <c r="D1354" s="30" t="s">
        <v>621</v>
      </c>
      <c r="E1354" s="30" t="s">
        <v>669</v>
      </c>
    </row>
    <row r="1355" spans="1:5" x14ac:dyDescent="0.35">
      <c r="A1355" s="32">
        <v>1627</v>
      </c>
      <c r="B1355" s="32" t="s">
        <v>610</v>
      </c>
      <c r="C1355" s="32" t="s">
        <v>648</v>
      </c>
      <c r="D1355" s="30" t="s">
        <v>639</v>
      </c>
      <c r="E1355" s="30" t="s">
        <v>646</v>
      </c>
    </row>
    <row r="1356" spans="1:5" x14ac:dyDescent="0.35">
      <c r="A1356" s="32">
        <v>1628</v>
      </c>
      <c r="B1356" s="32" t="s">
        <v>610</v>
      </c>
      <c r="C1356" s="32" t="s">
        <v>648</v>
      </c>
      <c r="D1356" s="30" t="s">
        <v>639</v>
      </c>
      <c r="E1356" s="30" t="s">
        <v>646</v>
      </c>
    </row>
    <row r="1357" spans="1:5" x14ac:dyDescent="0.35">
      <c r="A1357" s="32">
        <v>1629</v>
      </c>
      <c r="B1357" s="32" t="s">
        <v>610</v>
      </c>
      <c r="C1357" s="32" t="s">
        <v>648</v>
      </c>
      <c r="D1357" s="30" t="s">
        <v>639</v>
      </c>
      <c r="E1357" s="30" t="s">
        <v>646</v>
      </c>
    </row>
    <row r="1358" spans="1:5" x14ac:dyDescent="0.35">
      <c r="A1358" s="32">
        <v>1630</v>
      </c>
      <c r="B1358" s="32" t="s">
        <v>610</v>
      </c>
      <c r="C1358" s="32" t="s">
        <v>648</v>
      </c>
      <c r="D1358" s="30" t="s">
        <v>639</v>
      </c>
      <c r="E1358" s="30" t="s">
        <v>646</v>
      </c>
    </row>
    <row r="1359" spans="1:5" x14ac:dyDescent="0.35">
      <c r="A1359" s="32">
        <v>1631</v>
      </c>
      <c r="B1359" s="32" t="s">
        <v>610</v>
      </c>
      <c r="C1359" s="32" t="s">
        <v>648</v>
      </c>
      <c r="D1359" s="30" t="s">
        <v>639</v>
      </c>
      <c r="E1359" s="30" t="s">
        <v>646</v>
      </c>
    </row>
    <row r="1360" spans="1:5" x14ac:dyDescent="0.35">
      <c r="A1360" s="32">
        <v>1632</v>
      </c>
      <c r="B1360" s="32" t="s">
        <v>610</v>
      </c>
      <c r="C1360" s="32" t="s">
        <v>648</v>
      </c>
      <c r="D1360" s="30" t="s">
        <v>639</v>
      </c>
      <c r="E1360" s="30" t="s">
        <v>646</v>
      </c>
    </row>
    <row r="1361" spans="1:5" x14ac:dyDescent="0.35">
      <c r="A1361" s="32">
        <v>1633</v>
      </c>
      <c r="B1361" s="32" t="s">
        <v>610</v>
      </c>
      <c r="C1361" s="32" t="s">
        <v>648</v>
      </c>
      <c r="D1361" s="30" t="s">
        <v>639</v>
      </c>
      <c r="E1361" s="30" t="s">
        <v>646</v>
      </c>
    </row>
    <row r="1362" spans="1:5" x14ac:dyDescent="0.35">
      <c r="A1362" s="32">
        <v>1634</v>
      </c>
      <c r="B1362" s="32" t="s">
        <v>571</v>
      </c>
      <c r="C1362" s="32" t="s">
        <v>648</v>
      </c>
      <c r="D1362" s="30" t="s">
        <v>599</v>
      </c>
      <c r="E1362" s="30" t="s">
        <v>600</v>
      </c>
    </row>
    <row r="1363" spans="1:5" x14ac:dyDescent="0.35">
      <c r="A1363" s="32">
        <v>1635</v>
      </c>
      <c r="B1363" s="32" t="s">
        <v>571</v>
      </c>
      <c r="C1363" s="32" t="s">
        <v>648</v>
      </c>
      <c r="D1363" s="30" t="s">
        <v>599</v>
      </c>
      <c r="E1363" s="30" t="s">
        <v>600</v>
      </c>
    </row>
    <row r="1364" spans="1:5" x14ac:dyDescent="0.35">
      <c r="A1364" s="32">
        <v>1636</v>
      </c>
      <c r="B1364" s="32" t="s">
        <v>571</v>
      </c>
      <c r="C1364" s="32" t="s">
        <v>648</v>
      </c>
      <c r="D1364" s="30" t="s">
        <v>599</v>
      </c>
      <c r="E1364" s="30" t="s">
        <v>600</v>
      </c>
    </row>
    <row r="1365" spans="1:5" x14ac:dyDescent="0.35">
      <c r="A1365" s="32">
        <v>1637</v>
      </c>
      <c r="B1365" s="32" t="s">
        <v>571</v>
      </c>
      <c r="C1365" s="32" t="s">
        <v>624</v>
      </c>
      <c r="D1365" s="30" t="s">
        <v>599</v>
      </c>
      <c r="E1365" s="30" t="s">
        <v>600</v>
      </c>
    </row>
    <row r="1366" spans="1:5" x14ac:dyDescent="0.35">
      <c r="A1366" s="32">
        <v>1638</v>
      </c>
      <c r="B1366" s="32" t="s">
        <v>571</v>
      </c>
      <c r="C1366" s="32" t="s">
        <v>624</v>
      </c>
      <c r="D1366" s="30" t="s">
        <v>599</v>
      </c>
      <c r="E1366" s="30" t="s">
        <v>600</v>
      </c>
    </row>
    <row r="1367" spans="1:5" x14ac:dyDescent="0.35">
      <c r="A1367" s="32">
        <v>1639</v>
      </c>
      <c r="B1367" s="32" t="s">
        <v>571</v>
      </c>
      <c r="C1367" s="32" t="s">
        <v>624</v>
      </c>
      <c r="D1367" s="30" t="s">
        <v>599</v>
      </c>
      <c r="E1367" s="30" t="s">
        <v>600</v>
      </c>
    </row>
    <row r="1368" spans="1:5" x14ac:dyDescent="0.35">
      <c r="A1368" s="32">
        <v>1640</v>
      </c>
      <c r="B1368" s="32" t="s">
        <v>571</v>
      </c>
      <c r="C1368" s="32" t="s">
        <v>624</v>
      </c>
      <c r="D1368" s="30" t="s">
        <v>599</v>
      </c>
      <c r="E1368" s="30" t="s">
        <v>600</v>
      </c>
    </row>
    <row r="1369" spans="1:5" x14ac:dyDescent="0.35">
      <c r="A1369" s="32">
        <v>1641</v>
      </c>
      <c r="B1369" s="32" t="s">
        <v>571</v>
      </c>
      <c r="C1369" s="32" t="s">
        <v>624</v>
      </c>
      <c r="D1369" s="30" t="s">
        <v>599</v>
      </c>
      <c r="E1369" s="30" t="s">
        <v>600</v>
      </c>
    </row>
    <row r="1370" spans="1:5" x14ac:dyDescent="0.35">
      <c r="A1370" s="32">
        <v>1642</v>
      </c>
      <c r="B1370" s="32" t="s">
        <v>571</v>
      </c>
      <c r="C1370" s="32" t="s">
        <v>605</v>
      </c>
      <c r="D1370" s="30" t="s">
        <v>599</v>
      </c>
      <c r="E1370" s="30" t="s">
        <v>600</v>
      </c>
    </row>
    <row r="1371" spans="1:5" x14ac:dyDescent="0.35">
      <c r="A1371" s="32">
        <v>1643</v>
      </c>
      <c r="B1371" s="32" t="s">
        <v>571</v>
      </c>
      <c r="C1371" s="32" t="s">
        <v>605</v>
      </c>
      <c r="D1371" s="30" t="s">
        <v>599</v>
      </c>
      <c r="E1371" s="30" t="s">
        <v>600</v>
      </c>
    </row>
    <row r="1372" spans="1:5" x14ac:dyDescent="0.35">
      <c r="A1372" s="32">
        <v>1644</v>
      </c>
      <c r="B1372" s="32" t="s">
        <v>571</v>
      </c>
      <c r="C1372" s="32" t="s">
        <v>605</v>
      </c>
      <c r="D1372" s="30" t="s">
        <v>599</v>
      </c>
      <c r="E1372" s="30" t="s">
        <v>600</v>
      </c>
    </row>
    <row r="1373" spans="1:5" x14ac:dyDescent="0.35">
      <c r="A1373" s="32">
        <v>1645</v>
      </c>
      <c r="B1373" s="32" t="s">
        <v>571</v>
      </c>
      <c r="C1373" s="32" t="s">
        <v>605</v>
      </c>
      <c r="D1373" s="30" t="s">
        <v>599</v>
      </c>
      <c r="E1373" s="30" t="s">
        <v>600</v>
      </c>
    </row>
    <row r="1374" spans="1:5" x14ac:dyDescent="0.35">
      <c r="A1374" s="32">
        <v>1646</v>
      </c>
      <c r="B1374" s="32" t="s">
        <v>571</v>
      </c>
      <c r="C1374" s="32" t="s">
        <v>624</v>
      </c>
      <c r="D1374" s="30" t="s">
        <v>599</v>
      </c>
      <c r="E1374" s="30" t="s">
        <v>600</v>
      </c>
    </row>
    <row r="1375" spans="1:5" x14ac:dyDescent="0.35">
      <c r="A1375" s="32">
        <v>1647</v>
      </c>
      <c r="B1375" s="32" t="s">
        <v>571</v>
      </c>
      <c r="C1375" s="32" t="s">
        <v>584</v>
      </c>
      <c r="D1375" s="30" t="s">
        <v>656</v>
      </c>
      <c r="E1375" s="30" t="s">
        <v>666</v>
      </c>
    </row>
    <row r="1376" spans="1:5" x14ac:dyDescent="0.35">
      <c r="A1376" s="32">
        <v>1648</v>
      </c>
      <c r="B1376" s="32" t="s">
        <v>571</v>
      </c>
      <c r="C1376" s="32" t="s">
        <v>584</v>
      </c>
      <c r="D1376" s="30" t="s">
        <v>656</v>
      </c>
      <c r="E1376" s="30" t="s">
        <v>666</v>
      </c>
    </row>
    <row r="1377" spans="1:5" x14ac:dyDescent="0.35">
      <c r="A1377" s="32">
        <v>1649</v>
      </c>
      <c r="B1377" s="32" t="s">
        <v>571</v>
      </c>
      <c r="C1377" s="32" t="s">
        <v>584</v>
      </c>
      <c r="D1377" s="30" t="s">
        <v>656</v>
      </c>
      <c r="E1377" s="30" t="s">
        <v>666</v>
      </c>
    </row>
    <row r="1378" spans="1:5" x14ac:dyDescent="0.35">
      <c r="A1378" s="32">
        <v>1650</v>
      </c>
      <c r="B1378" s="32" t="s">
        <v>571</v>
      </c>
      <c r="C1378" s="32" t="s">
        <v>584</v>
      </c>
      <c r="D1378" s="30" t="s">
        <v>656</v>
      </c>
      <c r="E1378" s="30" t="s">
        <v>666</v>
      </c>
    </row>
    <row r="1379" spans="1:5" x14ac:dyDescent="0.35">
      <c r="A1379" s="32">
        <v>1651</v>
      </c>
      <c r="B1379" s="32" t="s">
        <v>571</v>
      </c>
      <c r="C1379" s="32" t="s">
        <v>584</v>
      </c>
      <c r="D1379" s="30" t="s">
        <v>656</v>
      </c>
      <c r="E1379" s="30" t="s">
        <v>666</v>
      </c>
    </row>
    <row r="1380" spans="1:5" x14ac:dyDescent="0.35">
      <c r="A1380" s="32">
        <v>1652</v>
      </c>
      <c r="B1380" s="32" t="s">
        <v>571</v>
      </c>
      <c r="C1380" s="32" t="s">
        <v>584</v>
      </c>
      <c r="D1380" s="30" t="s">
        <v>656</v>
      </c>
      <c r="E1380" s="30" t="s">
        <v>666</v>
      </c>
    </row>
    <row r="1381" spans="1:5" x14ac:dyDescent="0.35">
      <c r="A1381" s="32">
        <v>1653</v>
      </c>
      <c r="B1381" s="32" t="s">
        <v>610</v>
      </c>
      <c r="C1381" s="32" t="s">
        <v>648</v>
      </c>
      <c r="D1381" s="30" t="s">
        <v>659</v>
      </c>
      <c r="E1381" s="30" t="s">
        <v>660</v>
      </c>
    </row>
    <row r="1382" spans="1:5" x14ac:dyDescent="0.35">
      <c r="A1382" s="32">
        <v>1654</v>
      </c>
      <c r="B1382" s="32" t="s">
        <v>611</v>
      </c>
      <c r="C1382" s="32" t="s">
        <v>648</v>
      </c>
      <c r="D1382" s="30" t="s">
        <v>659</v>
      </c>
      <c r="E1382" s="30" t="s">
        <v>660</v>
      </c>
    </row>
    <row r="1383" spans="1:5" x14ac:dyDescent="0.35">
      <c r="A1383" s="32">
        <v>1655</v>
      </c>
      <c r="B1383" s="32" t="s">
        <v>571</v>
      </c>
      <c r="C1383" s="32" t="s">
        <v>648</v>
      </c>
      <c r="D1383" s="30" t="s">
        <v>659</v>
      </c>
      <c r="E1383" s="30" t="s">
        <v>660</v>
      </c>
    </row>
    <row r="1384" spans="1:5" x14ac:dyDescent="0.35">
      <c r="A1384" s="32">
        <v>1656</v>
      </c>
      <c r="B1384" s="32" t="s">
        <v>571</v>
      </c>
      <c r="C1384" s="32" t="s">
        <v>648</v>
      </c>
      <c r="D1384" s="30" t="s">
        <v>659</v>
      </c>
      <c r="E1384" s="30" t="s">
        <v>660</v>
      </c>
    </row>
    <row r="1385" spans="1:5" x14ac:dyDescent="0.35">
      <c r="A1385" s="32">
        <v>1657</v>
      </c>
      <c r="B1385" s="32" t="s">
        <v>634</v>
      </c>
      <c r="C1385" s="32" t="s">
        <v>648</v>
      </c>
      <c r="D1385" s="30" t="s">
        <v>659</v>
      </c>
      <c r="E1385" s="30" t="s">
        <v>660</v>
      </c>
    </row>
    <row r="1386" spans="1:5" x14ac:dyDescent="0.35">
      <c r="A1386" s="32">
        <v>1658</v>
      </c>
      <c r="B1386" s="32" t="s">
        <v>571</v>
      </c>
      <c r="C1386" s="32" t="s">
        <v>648</v>
      </c>
      <c r="D1386" s="30" t="s">
        <v>659</v>
      </c>
      <c r="E1386" s="30" t="s">
        <v>660</v>
      </c>
    </row>
    <row r="1387" spans="1:5" x14ac:dyDescent="0.35">
      <c r="A1387" s="32">
        <v>1659</v>
      </c>
      <c r="B1387" s="32" t="s">
        <v>611</v>
      </c>
      <c r="C1387" s="32" t="s">
        <v>648</v>
      </c>
      <c r="D1387" s="30" t="s">
        <v>632</v>
      </c>
      <c r="E1387" s="30" t="s">
        <v>633</v>
      </c>
    </row>
    <row r="1388" spans="1:5" x14ac:dyDescent="0.35">
      <c r="A1388" s="32">
        <v>1660</v>
      </c>
      <c r="B1388" s="32" t="s">
        <v>611</v>
      </c>
      <c r="C1388" s="32" t="s">
        <v>584</v>
      </c>
      <c r="D1388" s="30" t="s">
        <v>573</v>
      </c>
      <c r="E1388" s="30" t="s">
        <v>638</v>
      </c>
    </row>
    <row r="1389" spans="1:5" x14ac:dyDescent="0.35">
      <c r="A1389" s="32">
        <v>1661</v>
      </c>
      <c r="B1389" s="32" t="s">
        <v>571</v>
      </c>
      <c r="C1389" s="32" t="s">
        <v>648</v>
      </c>
      <c r="D1389" s="30" t="s">
        <v>573</v>
      </c>
      <c r="E1389" s="30" t="s">
        <v>638</v>
      </c>
    </row>
    <row r="1390" spans="1:5" x14ac:dyDescent="0.35">
      <c r="A1390" s="32">
        <v>1663</v>
      </c>
      <c r="B1390" s="32" t="s">
        <v>571</v>
      </c>
      <c r="C1390" s="32" t="s">
        <v>655</v>
      </c>
      <c r="D1390" s="30" t="s">
        <v>643</v>
      </c>
      <c r="E1390" s="30" t="s">
        <v>644</v>
      </c>
    </row>
    <row r="1391" spans="1:5" x14ac:dyDescent="0.35">
      <c r="A1391" s="32">
        <v>1664</v>
      </c>
      <c r="B1391" s="32" t="s">
        <v>611</v>
      </c>
      <c r="C1391" s="32" t="s">
        <v>648</v>
      </c>
      <c r="D1391" s="30" t="s">
        <v>659</v>
      </c>
      <c r="E1391" s="30" t="s">
        <v>660</v>
      </c>
    </row>
    <row r="1392" spans="1:5" x14ac:dyDescent="0.35">
      <c r="A1392" s="32">
        <v>1665</v>
      </c>
      <c r="B1392" s="32" t="s">
        <v>634</v>
      </c>
      <c r="C1392" s="32" t="s">
        <v>648</v>
      </c>
      <c r="D1392" s="30" t="s">
        <v>659</v>
      </c>
      <c r="E1392" s="30" t="s">
        <v>660</v>
      </c>
    </row>
    <row r="1393" spans="1:5" x14ac:dyDescent="0.35">
      <c r="A1393" s="32">
        <v>1666</v>
      </c>
      <c r="B1393" s="32" t="s">
        <v>634</v>
      </c>
      <c r="C1393" s="32" t="s">
        <v>648</v>
      </c>
      <c r="D1393" s="30" t="s">
        <v>659</v>
      </c>
      <c r="E1393" s="30" t="s">
        <v>660</v>
      </c>
    </row>
    <row r="1394" spans="1:5" x14ac:dyDescent="0.35">
      <c r="A1394" s="32">
        <v>1667</v>
      </c>
      <c r="B1394" s="32" t="s">
        <v>571</v>
      </c>
      <c r="C1394" s="32" t="s">
        <v>648</v>
      </c>
      <c r="D1394" s="30" t="s">
        <v>659</v>
      </c>
      <c r="E1394" s="30" t="s">
        <v>660</v>
      </c>
    </row>
    <row r="1395" spans="1:5" x14ac:dyDescent="0.35">
      <c r="A1395" s="32">
        <v>1668</v>
      </c>
      <c r="B1395" s="32" t="s">
        <v>571</v>
      </c>
      <c r="C1395" s="32" t="s">
        <v>648</v>
      </c>
      <c r="D1395" s="30" t="s">
        <v>659</v>
      </c>
      <c r="E1395" s="30" t="s">
        <v>660</v>
      </c>
    </row>
    <row r="1396" spans="1:5" x14ac:dyDescent="0.35">
      <c r="A1396" s="32">
        <v>1669</v>
      </c>
      <c r="B1396" s="32" t="s">
        <v>634</v>
      </c>
      <c r="C1396" s="32" t="s">
        <v>648</v>
      </c>
      <c r="D1396" s="30" t="s">
        <v>659</v>
      </c>
      <c r="E1396" s="30" t="s">
        <v>660</v>
      </c>
    </row>
    <row r="1397" spans="1:5" x14ac:dyDescent="0.35">
      <c r="A1397" s="32">
        <v>1670</v>
      </c>
      <c r="B1397" s="32" t="s">
        <v>610</v>
      </c>
      <c r="C1397" s="32" t="s">
        <v>648</v>
      </c>
      <c r="D1397" s="30" t="s">
        <v>659</v>
      </c>
      <c r="E1397" s="30" t="s">
        <v>660</v>
      </c>
    </row>
    <row r="1398" spans="1:5" x14ac:dyDescent="0.35">
      <c r="A1398" s="32">
        <v>1671</v>
      </c>
      <c r="B1398" s="32" t="s">
        <v>610</v>
      </c>
      <c r="C1398" s="32" t="s">
        <v>605</v>
      </c>
      <c r="D1398" s="30" t="s">
        <v>656</v>
      </c>
      <c r="E1398" s="30" t="s">
        <v>661</v>
      </c>
    </row>
    <row r="1399" spans="1:5" x14ac:dyDescent="0.35">
      <c r="A1399" s="32">
        <v>1672</v>
      </c>
      <c r="B1399" s="32" t="s">
        <v>610</v>
      </c>
      <c r="C1399" s="32" t="s">
        <v>648</v>
      </c>
      <c r="D1399" s="30" t="s">
        <v>599</v>
      </c>
      <c r="E1399" s="30" t="s">
        <v>629</v>
      </c>
    </row>
    <row r="1400" spans="1:5" x14ac:dyDescent="0.35">
      <c r="A1400" s="32">
        <v>1673</v>
      </c>
      <c r="B1400" s="32" t="s">
        <v>571</v>
      </c>
      <c r="C1400" s="32" t="s">
        <v>648</v>
      </c>
      <c r="D1400" s="30" t="s">
        <v>599</v>
      </c>
      <c r="E1400" s="30" t="s">
        <v>629</v>
      </c>
    </row>
    <row r="1401" spans="1:5" x14ac:dyDescent="0.35">
      <c r="A1401" s="32">
        <v>1674</v>
      </c>
      <c r="B1401" s="32" t="s">
        <v>610</v>
      </c>
      <c r="C1401" s="32" t="s">
        <v>648</v>
      </c>
      <c r="D1401" s="30" t="s">
        <v>599</v>
      </c>
      <c r="E1401" s="30" t="s">
        <v>629</v>
      </c>
    </row>
    <row r="1402" spans="1:5" x14ac:dyDescent="0.35">
      <c r="A1402" s="32">
        <v>1675</v>
      </c>
      <c r="B1402" s="32" t="s">
        <v>610</v>
      </c>
      <c r="C1402" s="32" t="s">
        <v>648</v>
      </c>
      <c r="D1402" s="30" t="s">
        <v>599</v>
      </c>
      <c r="E1402" s="30" t="s">
        <v>629</v>
      </c>
    </row>
    <row r="1403" spans="1:5" x14ac:dyDescent="0.35">
      <c r="A1403" s="32">
        <v>1676</v>
      </c>
      <c r="B1403" s="32" t="s">
        <v>610</v>
      </c>
      <c r="C1403" s="32" t="s">
        <v>648</v>
      </c>
      <c r="D1403" s="30" t="s">
        <v>599</v>
      </c>
      <c r="E1403" s="30" t="s">
        <v>629</v>
      </c>
    </row>
    <row r="1404" spans="1:5" x14ac:dyDescent="0.35">
      <c r="A1404" s="32">
        <v>1677</v>
      </c>
      <c r="B1404" s="32" t="s">
        <v>610</v>
      </c>
      <c r="C1404" s="32" t="s">
        <v>648</v>
      </c>
      <c r="D1404" s="30" t="s">
        <v>599</v>
      </c>
      <c r="E1404" s="30" t="s">
        <v>629</v>
      </c>
    </row>
    <row r="1405" spans="1:5" x14ac:dyDescent="0.35">
      <c r="A1405" s="32">
        <v>1678</v>
      </c>
      <c r="B1405" s="32" t="s">
        <v>571</v>
      </c>
      <c r="C1405" s="32" t="s">
        <v>624</v>
      </c>
      <c r="D1405" s="30" t="s">
        <v>639</v>
      </c>
      <c r="E1405" s="30" t="s">
        <v>667</v>
      </c>
    </row>
    <row r="1406" spans="1:5" x14ac:dyDescent="0.35">
      <c r="A1406" s="32">
        <v>1679</v>
      </c>
      <c r="B1406" s="32" t="s">
        <v>641</v>
      </c>
      <c r="C1406" s="32" t="s">
        <v>648</v>
      </c>
      <c r="D1406" s="30" t="s">
        <v>599</v>
      </c>
      <c r="E1406" s="30" t="s">
        <v>629</v>
      </c>
    </row>
    <row r="1407" spans="1:5" x14ac:dyDescent="0.35">
      <c r="A1407" s="32">
        <v>1680</v>
      </c>
      <c r="B1407" s="32" t="s">
        <v>634</v>
      </c>
      <c r="C1407" s="32" t="s">
        <v>648</v>
      </c>
      <c r="D1407" s="30" t="s">
        <v>599</v>
      </c>
      <c r="E1407" s="30" t="s">
        <v>629</v>
      </c>
    </row>
    <row r="1408" spans="1:5" x14ac:dyDescent="0.35">
      <c r="A1408" s="32">
        <v>1681</v>
      </c>
      <c r="B1408" s="32" t="s">
        <v>571</v>
      </c>
      <c r="C1408" s="32" t="s">
        <v>648</v>
      </c>
      <c r="D1408" s="30" t="s">
        <v>599</v>
      </c>
      <c r="E1408" s="30" t="s">
        <v>629</v>
      </c>
    </row>
    <row r="1409" spans="1:5" x14ac:dyDescent="0.35">
      <c r="A1409" s="32">
        <v>1682</v>
      </c>
      <c r="B1409" s="32" t="s">
        <v>610</v>
      </c>
      <c r="C1409" s="32" t="s">
        <v>648</v>
      </c>
      <c r="D1409" s="30" t="s">
        <v>599</v>
      </c>
      <c r="E1409" s="30" t="s">
        <v>629</v>
      </c>
    </row>
    <row r="1410" spans="1:5" x14ac:dyDescent="0.35">
      <c r="A1410" s="32">
        <v>1683</v>
      </c>
      <c r="B1410" s="32" t="s">
        <v>610</v>
      </c>
      <c r="C1410" s="32" t="s">
        <v>605</v>
      </c>
      <c r="D1410" s="30" t="s">
        <v>599</v>
      </c>
      <c r="E1410" s="30" t="s">
        <v>629</v>
      </c>
    </row>
    <row r="1411" spans="1:5" x14ac:dyDescent="0.35">
      <c r="A1411" s="32">
        <v>1684</v>
      </c>
      <c r="B1411" s="32" t="s">
        <v>610</v>
      </c>
      <c r="C1411" s="32" t="s">
        <v>605</v>
      </c>
      <c r="D1411" s="30" t="s">
        <v>599</v>
      </c>
      <c r="E1411" s="30" t="s">
        <v>629</v>
      </c>
    </row>
    <row r="1412" spans="1:5" x14ac:dyDescent="0.35">
      <c r="A1412" s="32">
        <v>1685</v>
      </c>
      <c r="B1412" s="32" t="s">
        <v>610</v>
      </c>
      <c r="C1412" s="32" t="s">
        <v>605</v>
      </c>
      <c r="D1412" s="30" t="s">
        <v>599</v>
      </c>
      <c r="E1412" s="30" t="s">
        <v>629</v>
      </c>
    </row>
    <row r="1413" spans="1:5" x14ac:dyDescent="0.35">
      <c r="A1413" s="32">
        <v>1686</v>
      </c>
      <c r="B1413" s="32" t="s">
        <v>610</v>
      </c>
      <c r="C1413" s="32" t="s">
        <v>605</v>
      </c>
      <c r="D1413" s="30" t="s">
        <v>599</v>
      </c>
      <c r="E1413" s="30" t="s">
        <v>629</v>
      </c>
    </row>
    <row r="1414" spans="1:5" x14ac:dyDescent="0.35">
      <c r="A1414" s="32">
        <v>1687</v>
      </c>
      <c r="B1414" s="32" t="s">
        <v>610</v>
      </c>
      <c r="C1414" s="32" t="s">
        <v>605</v>
      </c>
      <c r="D1414" s="30" t="s">
        <v>599</v>
      </c>
      <c r="E1414" s="30" t="s">
        <v>629</v>
      </c>
    </row>
    <row r="1415" spans="1:5" x14ac:dyDescent="0.35">
      <c r="A1415" s="32">
        <v>1688</v>
      </c>
      <c r="B1415" s="32" t="s">
        <v>610</v>
      </c>
      <c r="C1415" s="32" t="s">
        <v>605</v>
      </c>
      <c r="D1415" s="30" t="s">
        <v>599</v>
      </c>
      <c r="E1415" s="30" t="s">
        <v>629</v>
      </c>
    </row>
    <row r="1416" spans="1:5" x14ac:dyDescent="0.35">
      <c r="A1416" s="32">
        <v>1689</v>
      </c>
      <c r="B1416" s="32" t="s">
        <v>610</v>
      </c>
      <c r="C1416" s="32" t="s">
        <v>605</v>
      </c>
      <c r="D1416" s="30" t="s">
        <v>599</v>
      </c>
      <c r="E1416" s="30" t="s">
        <v>629</v>
      </c>
    </row>
    <row r="1417" spans="1:5" x14ac:dyDescent="0.35">
      <c r="A1417" s="32">
        <v>1690</v>
      </c>
      <c r="B1417" s="32" t="s">
        <v>610</v>
      </c>
      <c r="C1417" s="32" t="s">
        <v>605</v>
      </c>
      <c r="D1417" s="30" t="s">
        <v>599</v>
      </c>
      <c r="E1417" s="30" t="s">
        <v>629</v>
      </c>
    </row>
    <row r="1418" spans="1:5" x14ac:dyDescent="0.35">
      <c r="A1418" s="32">
        <v>1691</v>
      </c>
      <c r="B1418" s="32" t="s">
        <v>610</v>
      </c>
      <c r="C1418" s="32" t="s">
        <v>605</v>
      </c>
      <c r="D1418" s="30" t="s">
        <v>599</v>
      </c>
      <c r="E1418" s="30" t="s">
        <v>629</v>
      </c>
    </row>
    <row r="1419" spans="1:5" x14ac:dyDescent="0.35">
      <c r="A1419" s="32">
        <v>1692</v>
      </c>
      <c r="B1419" s="32" t="s">
        <v>610</v>
      </c>
      <c r="C1419" s="32" t="s">
        <v>605</v>
      </c>
      <c r="D1419" s="30" t="s">
        <v>599</v>
      </c>
      <c r="E1419" s="30" t="s">
        <v>629</v>
      </c>
    </row>
    <row r="1420" spans="1:5" x14ac:dyDescent="0.35">
      <c r="A1420" s="32">
        <v>1693</v>
      </c>
      <c r="B1420" s="32" t="s">
        <v>610</v>
      </c>
      <c r="C1420" s="32" t="s">
        <v>605</v>
      </c>
      <c r="D1420" s="30" t="s">
        <v>599</v>
      </c>
      <c r="E1420" s="30" t="s">
        <v>629</v>
      </c>
    </row>
    <row r="1421" spans="1:5" x14ac:dyDescent="0.35">
      <c r="A1421" s="32">
        <v>1694</v>
      </c>
      <c r="B1421" s="32" t="s">
        <v>610</v>
      </c>
      <c r="C1421" s="32" t="s">
        <v>605</v>
      </c>
      <c r="D1421" s="30" t="s">
        <v>599</v>
      </c>
      <c r="E1421" s="30" t="s">
        <v>629</v>
      </c>
    </row>
    <row r="1422" spans="1:5" x14ac:dyDescent="0.35">
      <c r="A1422" s="32">
        <v>1695</v>
      </c>
      <c r="B1422" s="32" t="s">
        <v>610</v>
      </c>
      <c r="C1422" s="32" t="s">
        <v>605</v>
      </c>
      <c r="D1422" s="30" t="s">
        <v>599</v>
      </c>
      <c r="E1422" s="30" t="s">
        <v>629</v>
      </c>
    </row>
    <row r="1423" spans="1:5" x14ac:dyDescent="0.35">
      <c r="A1423" s="32">
        <v>1696</v>
      </c>
      <c r="B1423" s="32" t="s">
        <v>610</v>
      </c>
      <c r="C1423" s="32" t="s">
        <v>605</v>
      </c>
      <c r="D1423" s="30" t="s">
        <v>599</v>
      </c>
      <c r="E1423" s="30" t="s">
        <v>629</v>
      </c>
    </row>
    <row r="1424" spans="1:5" x14ac:dyDescent="0.35">
      <c r="A1424" s="32">
        <v>1697</v>
      </c>
      <c r="B1424" s="32" t="s">
        <v>610</v>
      </c>
      <c r="C1424" s="32" t="s">
        <v>605</v>
      </c>
      <c r="D1424" s="30" t="s">
        <v>599</v>
      </c>
      <c r="E1424" s="30" t="s">
        <v>629</v>
      </c>
    </row>
    <row r="1425" spans="1:5" x14ac:dyDescent="0.35">
      <c r="A1425" s="32">
        <v>1698</v>
      </c>
      <c r="B1425" s="32" t="s">
        <v>610</v>
      </c>
      <c r="C1425" s="32" t="s">
        <v>605</v>
      </c>
      <c r="D1425" s="30" t="s">
        <v>599</v>
      </c>
      <c r="E1425" s="30" t="s">
        <v>629</v>
      </c>
    </row>
    <row r="1426" spans="1:5" x14ac:dyDescent="0.35">
      <c r="A1426" s="32">
        <v>1699</v>
      </c>
      <c r="B1426" s="32" t="s">
        <v>610</v>
      </c>
      <c r="C1426" s="32" t="s">
        <v>605</v>
      </c>
      <c r="D1426" s="30" t="s">
        <v>599</v>
      </c>
      <c r="E1426" s="30" t="s">
        <v>629</v>
      </c>
    </row>
    <row r="1427" spans="1:5" x14ac:dyDescent="0.35">
      <c r="A1427" s="32">
        <v>1700</v>
      </c>
      <c r="B1427" s="32" t="s">
        <v>610</v>
      </c>
      <c r="C1427" s="32" t="s">
        <v>605</v>
      </c>
      <c r="D1427" s="30" t="s">
        <v>599</v>
      </c>
      <c r="E1427" s="30" t="s">
        <v>629</v>
      </c>
    </row>
    <row r="1428" spans="1:5" x14ac:dyDescent="0.35">
      <c r="A1428" s="32">
        <v>1701</v>
      </c>
      <c r="B1428" s="32" t="s">
        <v>610</v>
      </c>
      <c r="C1428" s="32" t="s">
        <v>605</v>
      </c>
      <c r="D1428" s="30" t="s">
        <v>599</v>
      </c>
      <c r="E1428" s="30" t="s">
        <v>629</v>
      </c>
    </row>
    <row r="1429" spans="1:5" x14ac:dyDescent="0.35">
      <c r="A1429" s="32">
        <v>1702</v>
      </c>
      <c r="B1429" s="32" t="s">
        <v>610</v>
      </c>
      <c r="C1429" s="32" t="s">
        <v>605</v>
      </c>
      <c r="D1429" s="30" t="s">
        <v>599</v>
      </c>
      <c r="E1429" s="30" t="s">
        <v>629</v>
      </c>
    </row>
    <row r="1430" spans="1:5" x14ac:dyDescent="0.35">
      <c r="A1430" s="32">
        <v>1703</v>
      </c>
      <c r="B1430" s="32" t="s">
        <v>610</v>
      </c>
      <c r="C1430" s="32" t="s">
        <v>605</v>
      </c>
      <c r="D1430" s="30" t="s">
        <v>599</v>
      </c>
      <c r="E1430" s="30" t="s">
        <v>629</v>
      </c>
    </row>
    <row r="1431" spans="1:5" x14ac:dyDescent="0.35">
      <c r="A1431" s="32">
        <v>1704</v>
      </c>
      <c r="B1431" s="32" t="s">
        <v>610</v>
      </c>
      <c r="C1431" s="32" t="s">
        <v>605</v>
      </c>
      <c r="D1431" s="30" t="s">
        <v>599</v>
      </c>
      <c r="E1431" s="30" t="s">
        <v>629</v>
      </c>
    </row>
    <row r="1432" spans="1:5" x14ac:dyDescent="0.35">
      <c r="A1432" s="32">
        <v>1705</v>
      </c>
      <c r="B1432" s="32" t="s">
        <v>610</v>
      </c>
      <c r="C1432" s="32" t="s">
        <v>605</v>
      </c>
      <c r="D1432" s="30" t="s">
        <v>599</v>
      </c>
      <c r="E1432" s="30" t="s">
        <v>629</v>
      </c>
    </row>
    <row r="1433" spans="1:5" x14ac:dyDescent="0.35">
      <c r="A1433" s="32">
        <v>1706</v>
      </c>
      <c r="B1433" s="32" t="s">
        <v>610</v>
      </c>
      <c r="C1433" s="32" t="s">
        <v>605</v>
      </c>
      <c r="D1433" s="30" t="s">
        <v>599</v>
      </c>
      <c r="E1433" s="30" t="s">
        <v>629</v>
      </c>
    </row>
    <row r="1434" spans="1:5" x14ac:dyDescent="0.35">
      <c r="A1434" s="32">
        <v>1707</v>
      </c>
      <c r="B1434" s="32" t="s">
        <v>610</v>
      </c>
      <c r="C1434" s="32" t="s">
        <v>605</v>
      </c>
      <c r="D1434" s="30" t="s">
        <v>599</v>
      </c>
      <c r="E1434" s="30" t="s">
        <v>629</v>
      </c>
    </row>
    <row r="1435" spans="1:5" x14ac:dyDescent="0.35">
      <c r="A1435" s="32">
        <v>1708</v>
      </c>
      <c r="B1435" s="32" t="s">
        <v>610</v>
      </c>
      <c r="C1435" s="32" t="s">
        <v>605</v>
      </c>
      <c r="D1435" s="30" t="s">
        <v>599</v>
      </c>
      <c r="E1435" s="30" t="s">
        <v>629</v>
      </c>
    </row>
    <row r="1436" spans="1:5" x14ac:dyDescent="0.35">
      <c r="A1436" s="32">
        <v>1709</v>
      </c>
      <c r="B1436" s="32" t="s">
        <v>610</v>
      </c>
      <c r="C1436" s="32" t="s">
        <v>605</v>
      </c>
      <c r="D1436" s="30" t="s">
        <v>599</v>
      </c>
      <c r="E1436" s="30" t="s">
        <v>629</v>
      </c>
    </row>
    <row r="1437" spans="1:5" x14ac:dyDescent="0.35">
      <c r="A1437" s="32">
        <v>1710</v>
      </c>
      <c r="B1437" s="32" t="s">
        <v>610</v>
      </c>
      <c r="C1437" s="32" t="s">
        <v>605</v>
      </c>
      <c r="D1437" s="30" t="s">
        <v>599</v>
      </c>
      <c r="E1437" s="30" t="s">
        <v>629</v>
      </c>
    </row>
    <row r="1438" spans="1:5" x14ac:dyDescent="0.35">
      <c r="A1438" s="32">
        <v>1711</v>
      </c>
      <c r="B1438" s="32" t="s">
        <v>610</v>
      </c>
      <c r="C1438" s="32" t="s">
        <v>605</v>
      </c>
      <c r="D1438" s="30" t="s">
        <v>599</v>
      </c>
      <c r="E1438" s="30" t="s">
        <v>629</v>
      </c>
    </row>
    <row r="1439" spans="1:5" x14ac:dyDescent="0.35">
      <c r="A1439" s="32">
        <v>1712</v>
      </c>
      <c r="B1439" s="32" t="s">
        <v>610</v>
      </c>
      <c r="C1439" s="32" t="s">
        <v>605</v>
      </c>
      <c r="D1439" s="30" t="s">
        <v>599</v>
      </c>
      <c r="E1439" s="30" t="s">
        <v>629</v>
      </c>
    </row>
    <row r="1440" spans="1:5" x14ac:dyDescent="0.35">
      <c r="A1440" s="32">
        <v>1713</v>
      </c>
      <c r="B1440" s="32" t="s">
        <v>610</v>
      </c>
      <c r="C1440" s="32" t="s">
        <v>605</v>
      </c>
      <c r="D1440" s="30" t="s">
        <v>599</v>
      </c>
      <c r="E1440" s="30" t="s">
        <v>629</v>
      </c>
    </row>
    <row r="1441" spans="1:5" x14ac:dyDescent="0.35">
      <c r="A1441" s="32">
        <v>1714</v>
      </c>
      <c r="B1441" s="32" t="s">
        <v>610</v>
      </c>
      <c r="C1441" s="32" t="s">
        <v>605</v>
      </c>
      <c r="D1441" s="30" t="s">
        <v>599</v>
      </c>
      <c r="E1441" s="30" t="s">
        <v>629</v>
      </c>
    </row>
    <row r="1442" spans="1:5" x14ac:dyDescent="0.35">
      <c r="A1442" s="32">
        <v>1715</v>
      </c>
      <c r="B1442" s="32" t="s">
        <v>610</v>
      </c>
      <c r="C1442" s="32" t="s">
        <v>605</v>
      </c>
      <c r="D1442" s="30" t="s">
        <v>599</v>
      </c>
      <c r="E1442" s="30" t="s">
        <v>629</v>
      </c>
    </row>
    <row r="1443" spans="1:5" x14ac:dyDescent="0.35">
      <c r="A1443" s="32">
        <v>1716</v>
      </c>
      <c r="B1443" s="32" t="s">
        <v>610</v>
      </c>
      <c r="C1443" s="32" t="s">
        <v>605</v>
      </c>
      <c r="D1443" s="30" t="s">
        <v>599</v>
      </c>
      <c r="E1443" s="30" t="s">
        <v>629</v>
      </c>
    </row>
    <row r="1444" spans="1:5" x14ac:dyDescent="0.35">
      <c r="A1444" s="32">
        <v>1717</v>
      </c>
      <c r="B1444" s="32" t="s">
        <v>610</v>
      </c>
      <c r="C1444" s="32" t="s">
        <v>605</v>
      </c>
      <c r="D1444" s="30" t="s">
        <v>599</v>
      </c>
      <c r="E1444" s="30" t="s">
        <v>629</v>
      </c>
    </row>
    <row r="1445" spans="1:5" x14ac:dyDescent="0.35">
      <c r="A1445" s="32">
        <v>1718</v>
      </c>
      <c r="B1445" s="32" t="s">
        <v>610</v>
      </c>
      <c r="C1445" s="32" t="s">
        <v>605</v>
      </c>
      <c r="D1445" s="30" t="s">
        <v>599</v>
      </c>
      <c r="E1445" s="30" t="s">
        <v>629</v>
      </c>
    </row>
    <row r="1446" spans="1:5" x14ac:dyDescent="0.35">
      <c r="A1446" s="32">
        <v>1719</v>
      </c>
      <c r="B1446" s="32" t="s">
        <v>610</v>
      </c>
      <c r="C1446" s="32" t="s">
        <v>605</v>
      </c>
      <c r="D1446" s="30" t="s">
        <v>599</v>
      </c>
      <c r="E1446" s="30" t="s">
        <v>629</v>
      </c>
    </row>
    <row r="1447" spans="1:5" x14ac:dyDescent="0.35">
      <c r="A1447" s="32">
        <v>1720</v>
      </c>
      <c r="B1447" s="32" t="s">
        <v>610</v>
      </c>
      <c r="C1447" s="32" t="s">
        <v>605</v>
      </c>
      <c r="D1447" s="30" t="s">
        <v>599</v>
      </c>
      <c r="E1447" s="30" t="s">
        <v>629</v>
      </c>
    </row>
    <row r="1448" spans="1:5" x14ac:dyDescent="0.35">
      <c r="A1448" s="32">
        <v>1721</v>
      </c>
      <c r="B1448" s="32" t="s">
        <v>610</v>
      </c>
      <c r="C1448" s="32" t="s">
        <v>605</v>
      </c>
      <c r="D1448" s="30" t="s">
        <v>599</v>
      </c>
      <c r="E1448" s="30" t="s">
        <v>629</v>
      </c>
    </row>
    <row r="1449" spans="1:5" x14ac:dyDescent="0.35">
      <c r="A1449" s="32">
        <v>1722</v>
      </c>
      <c r="B1449" s="32" t="s">
        <v>610</v>
      </c>
      <c r="C1449" s="32" t="s">
        <v>605</v>
      </c>
      <c r="D1449" s="30" t="s">
        <v>599</v>
      </c>
      <c r="E1449" s="30" t="s">
        <v>629</v>
      </c>
    </row>
    <row r="1450" spans="1:5" x14ac:dyDescent="0.35">
      <c r="A1450" s="32">
        <v>1723</v>
      </c>
      <c r="B1450" s="32" t="s">
        <v>610</v>
      </c>
      <c r="C1450" s="32" t="s">
        <v>605</v>
      </c>
      <c r="D1450" s="30" t="s">
        <v>599</v>
      </c>
      <c r="E1450" s="30" t="s">
        <v>629</v>
      </c>
    </row>
    <row r="1451" spans="1:5" x14ac:dyDescent="0.35">
      <c r="A1451" s="32">
        <v>1724</v>
      </c>
      <c r="B1451" s="32" t="s">
        <v>610</v>
      </c>
      <c r="C1451" s="32" t="s">
        <v>605</v>
      </c>
      <c r="D1451" s="30" t="s">
        <v>599</v>
      </c>
      <c r="E1451" s="30" t="s">
        <v>629</v>
      </c>
    </row>
    <row r="1452" spans="1:5" x14ac:dyDescent="0.35">
      <c r="A1452" s="32">
        <v>1725</v>
      </c>
      <c r="B1452" s="32" t="s">
        <v>610</v>
      </c>
      <c r="C1452" s="32" t="s">
        <v>605</v>
      </c>
      <c r="D1452" s="30" t="s">
        <v>599</v>
      </c>
      <c r="E1452" s="30" t="s">
        <v>629</v>
      </c>
    </row>
    <row r="1453" spans="1:5" x14ac:dyDescent="0.35">
      <c r="A1453" s="32">
        <v>1726</v>
      </c>
      <c r="B1453" s="32" t="s">
        <v>610</v>
      </c>
      <c r="C1453" s="32" t="s">
        <v>605</v>
      </c>
      <c r="D1453" s="30" t="s">
        <v>599</v>
      </c>
      <c r="E1453" s="30" t="s">
        <v>629</v>
      </c>
    </row>
    <row r="1454" spans="1:5" x14ac:dyDescent="0.35">
      <c r="A1454" s="32">
        <v>1727</v>
      </c>
      <c r="B1454" s="32" t="s">
        <v>610</v>
      </c>
      <c r="C1454" s="32" t="s">
        <v>605</v>
      </c>
      <c r="D1454" s="30" t="s">
        <v>599</v>
      </c>
      <c r="E1454" s="30" t="s">
        <v>629</v>
      </c>
    </row>
    <row r="1455" spans="1:5" x14ac:dyDescent="0.35">
      <c r="A1455" s="32">
        <v>1728</v>
      </c>
      <c r="B1455" s="32" t="s">
        <v>610</v>
      </c>
      <c r="C1455" s="32" t="s">
        <v>605</v>
      </c>
      <c r="D1455" s="30" t="s">
        <v>599</v>
      </c>
      <c r="E1455" s="30" t="s">
        <v>629</v>
      </c>
    </row>
    <row r="1456" spans="1:5" x14ac:dyDescent="0.35">
      <c r="A1456" s="32">
        <v>1729</v>
      </c>
      <c r="B1456" s="32" t="s">
        <v>610</v>
      </c>
      <c r="C1456" s="32" t="s">
        <v>605</v>
      </c>
      <c r="D1456" s="30" t="s">
        <v>599</v>
      </c>
      <c r="E1456" s="30" t="s">
        <v>629</v>
      </c>
    </row>
    <row r="1457" spans="1:5" x14ac:dyDescent="0.35">
      <c r="A1457" s="32">
        <v>1730</v>
      </c>
      <c r="B1457" s="32" t="s">
        <v>610</v>
      </c>
      <c r="C1457" s="32" t="s">
        <v>605</v>
      </c>
      <c r="D1457" s="30" t="s">
        <v>599</v>
      </c>
      <c r="E1457" s="30" t="s">
        <v>629</v>
      </c>
    </row>
    <row r="1458" spans="1:5" x14ac:dyDescent="0.35">
      <c r="A1458" s="32">
        <v>1731</v>
      </c>
      <c r="B1458" s="32" t="s">
        <v>610</v>
      </c>
      <c r="C1458" s="32" t="s">
        <v>605</v>
      </c>
      <c r="D1458" s="30" t="s">
        <v>599</v>
      </c>
      <c r="E1458" s="30" t="s">
        <v>629</v>
      </c>
    </row>
    <row r="1459" spans="1:5" x14ac:dyDescent="0.35">
      <c r="A1459" s="32">
        <v>1732</v>
      </c>
      <c r="B1459" s="32" t="s">
        <v>610</v>
      </c>
      <c r="C1459" s="32" t="s">
        <v>605</v>
      </c>
      <c r="D1459" s="30" t="s">
        <v>599</v>
      </c>
      <c r="E1459" s="30" t="s">
        <v>629</v>
      </c>
    </row>
    <row r="1460" spans="1:5" x14ac:dyDescent="0.35">
      <c r="A1460" s="32">
        <v>1733</v>
      </c>
      <c r="B1460" s="32" t="s">
        <v>610</v>
      </c>
      <c r="C1460" s="32" t="s">
        <v>605</v>
      </c>
      <c r="D1460" s="30" t="s">
        <v>599</v>
      </c>
      <c r="E1460" s="30" t="s">
        <v>629</v>
      </c>
    </row>
    <row r="1461" spans="1:5" x14ac:dyDescent="0.35">
      <c r="A1461" s="32">
        <v>1734</v>
      </c>
      <c r="B1461" s="32" t="s">
        <v>610</v>
      </c>
      <c r="C1461" s="32" t="s">
        <v>605</v>
      </c>
      <c r="D1461" s="30" t="s">
        <v>599</v>
      </c>
      <c r="E1461" s="30" t="s">
        <v>629</v>
      </c>
    </row>
    <row r="1462" spans="1:5" x14ac:dyDescent="0.35">
      <c r="A1462" s="32">
        <v>1735</v>
      </c>
      <c r="B1462" s="32" t="s">
        <v>610</v>
      </c>
      <c r="C1462" s="32" t="s">
        <v>605</v>
      </c>
      <c r="D1462" s="30" t="s">
        <v>599</v>
      </c>
      <c r="E1462" s="30" t="s">
        <v>629</v>
      </c>
    </row>
    <row r="1463" spans="1:5" x14ac:dyDescent="0.35">
      <c r="A1463" s="32">
        <v>1736</v>
      </c>
      <c r="B1463" s="32" t="s">
        <v>610</v>
      </c>
      <c r="C1463" s="32" t="s">
        <v>605</v>
      </c>
      <c r="D1463" s="30" t="s">
        <v>599</v>
      </c>
      <c r="E1463" s="30" t="s">
        <v>629</v>
      </c>
    </row>
    <row r="1464" spans="1:5" x14ac:dyDescent="0.35">
      <c r="A1464" s="32">
        <v>1737</v>
      </c>
      <c r="B1464" s="32" t="s">
        <v>610</v>
      </c>
      <c r="C1464" s="32" t="s">
        <v>605</v>
      </c>
      <c r="D1464" s="30" t="s">
        <v>599</v>
      </c>
      <c r="E1464" s="30" t="s">
        <v>629</v>
      </c>
    </row>
    <row r="1465" spans="1:5" x14ac:dyDescent="0.35">
      <c r="A1465" s="32">
        <v>1738</v>
      </c>
      <c r="B1465" s="32" t="s">
        <v>610</v>
      </c>
      <c r="C1465" s="32" t="s">
        <v>605</v>
      </c>
      <c r="D1465" s="30" t="s">
        <v>599</v>
      </c>
      <c r="E1465" s="30" t="s">
        <v>629</v>
      </c>
    </row>
    <row r="1466" spans="1:5" x14ac:dyDescent="0.35">
      <c r="A1466" s="32">
        <v>1739</v>
      </c>
      <c r="B1466" s="32" t="s">
        <v>610</v>
      </c>
      <c r="C1466" s="32" t="s">
        <v>605</v>
      </c>
      <c r="D1466" s="30" t="s">
        <v>599</v>
      </c>
      <c r="E1466" s="30" t="s">
        <v>629</v>
      </c>
    </row>
    <row r="1467" spans="1:5" x14ac:dyDescent="0.35">
      <c r="A1467" s="32">
        <v>1740</v>
      </c>
      <c r="B1467" s="32" t="s">
        <v>610</v>
      </c>
      <c r="C1467" s="32" t="s">
        <v>605</v>
      </c>
      <c r="D1467" s="30" t="s">
        <v>599</v>
      </c>
      <c r="E1467" s="30" t="s">
        <v>629</v>
      </c>
    </row>
    <row r="1468" spans="1:5" x14ac:dyDescent="0.35">
      <c r="A1468" s="32">
        <v>1741</v>
      </c>
      <c r="B1468" s="32" t="s">
        <v>610</v>
      </c>
      <c r="C1468" s="32" t="s">
        <v>605</v>
      </c>
      <c r="D1468" s="30" t="s">
        <v>599</v>
      </c>
      <c r="E1468" s="30" t="s">
        <v>629</v>
      </c>
    </row>
    <row r="1469" spans="1:5" x14ac:dyDescent="0.35">
      <c r="A1469" s="32">
        <v>1742</v>
      </c>
      <c r="B1469" s="32" t="s">
        <v>610</v>
      </c>
      <c r="C1469" s="32" t="s">
        <v>605</v>
      </c>
      <c r="D1469" s="30" t="s">
        <v>599</v>
      </c>
      <c r="E1469" s="30" t="s">
        <v>629</v>
      </c>
    </row>
    <row r="1470" spans="1:5" x14ac:dyDescent="0.35">
      <c r="A1470" s="32">
        <v>1743</v>
      </c>
      <c r="B1470" s="32" t="s">
        <v>610</v>
      </c>
      <c r="C1470" s="32" t="s">
        <v>605</v>
      </c>
      <c r="D1470" s="30" t="s">
        <v>599</v>
      </c>
      <c r="E1470" s="30" t="s">
        <v>629</v>
      </c>
    </row>
    <row r="1471" spans="1:5" x14ac:dyDescent="0.35">
      <c r="A1471" s="32">
        <v>1744</v>
      </c>
      <c r="B1471" s="32" t="s">
        <v>610</v>
      </c>
      <c r="C1471" s="32" t="s">
        <v>605</v>
      </c>
      <c r="D1471" s="30" t="s">
        <v>599</v>
      </c>
      <c r="E1471" s="30" t="s">
        <v>629</v>
      </c>
    </row>
    <row r="1472" spans="1:5" x14ac:dyDescent="0.35">
      <c r="A1472" s="32">
        <v>1745</v>
      </c>
      <c r="B1472" s="32" t="s">
        <v>610</v>
      </c>
      <c r="C1472" s="32" t="s">
        <v>605</v>
      </c>
      <c r="D1472" s="30" t="s">
        <v>599</v>
      </c>
      <c r="E1472" s="30" t="s">
        <v>629</v>
      </c>
    </row>
    <row r="1473" spans="1:5" x14ac:dyDescent="0.35">
      <c r="A1473" s="32">
        <v>1746</v>
      </c>
      <c r="B1473" s="32" t="s">
        <v>610</v>
      </c>
      <c r="C1473" s="32" t="s">
        <v>605</v>
      </c>
      <c r="D1473" s="30" t="s">
        <v>599</v>
      </c>
      <c r="E1473" s="30" t="s">
        <v>629</v>
      </c>
    </row>
    <row r="1474" spans="1:5" x14ac:dyDescent="0.35">
      <c r="A1474" s="32">
        <v>1747</v>
      </c>
      <c r="B1474" s="32" t="s">
        <v>610</v>
      </c>
      <c r="C1474" s="32" t="s">
        <v>605</v>
      </c>
      <c r="D1474" s="30" t="s">
        <v>599</v>
      </c>
      <c r="E1474" s="30" t="s">
        <v>629</v>
      </c>
    </row>
    <row r="1475" spans="1:5" x14ac:dyDescent="0.35">
      <c r="A1475" s="32">
        <v>1748</v>
      </c>
      <c r="B1475" s="32" t="s">
        <v>610</v>
      </c>
      <c r="C1475" s="32" t="s">
        <v>605</v>
      </c>
      <c r="D1475" s="30" t="s">
        <v>599</v>
      </c>
      <c r="E1475" s="30" t="s">
        <v>629</v>
      </c>
    </row>
    <row r="1476" spans="1:5" x14ac:dyDescent="0.35">
      <c r="A1476" s="32">
        <v>1749</v>
      </c>
      <c r="B1476" s="32" t="s">
        <v>610</v>
      </c>
      <c r="C1476" s="32" t="s">
        <v>605</v>
      </c>
      <c r="D1476" s="30" t="s">
        <v>599</v>
      </c>
      <c r="E1476" s="30" t="s">
        <v>629</v>
      </c>
    </row>
    <row r="1477" spans="1:5" x14ac:dyDescent="0.35">
      <c r="A1477" s="32">
        <v>1750</v>
      </c>
      <c r="B1477" s="32" t="s">
        <v>610</v>
      </c>
      <c r="C1477" s="32" t="s">
        <v>605</v>
      </c>
      <c r="D1477" s="30" t="s">
        <v>599</v>
      </c>
      <c r="E1477" s="30" t="s">
        <v>629</v>
      </c>
    </row>
    <row r="1478" spans="1:5" x14ac:dyDescent="0.35">
      <c r="A1478" s="32">
        <v>1751</v>
      </c>
      <c r="B1478" s="32" t="s">
        <v>610</v>
      </c>
      <c r="C1478" s="32" t="s">
        <v>605</v>
      </c>
      <c r="D1478" s="30" t="s">
        <v>599</v>
      </c>
      <c r="E1478" s="30" t="s">
        <v>629</v>
      </c>
    </row>
    <row r="1479" spans="1:5" x14ac:dyDescent="0.35">
      <c r="A1479" s="32">
        <v>1752</v>
      </c>
      <c r="B1479" s="32" t="s">
        <v>610</v>
      </c>
      <c r="C1479" s="32" t="s">
        <v>605</v>
      </c>
      <c r="D1479" s="30" t="s">
        <v>599</v>
      </c>
      <c r="E1479" s="30" t="s">
        <v>629</v>
      </c>
    </row>
    <row r="1480" spans="1:5" x14ac:dyDescent="0.35">
      <c r="A1480" s="32">
        <v>1753</v>
      </c>
      <c r="B1480" s="32" t="s">
        <v>610</v>
      </c>
      <c r="C1480" s="32" t="s">
        <v>605</v>
      </c>
      <c r="D1480" s="30" t="s">
        <v>599</v>
      </c>
      <c r="E1480" s="30" t="s">
        <v>629</v>
      </c>
    </row>
    <row r="1481" spans="1:5" x14ac:dyDescent="0.35">
      <c r="A1481" s="32">
        <v>1754</v>
      </c>
      <c r="B1481" s="32" t="s">
        <v>610</v>
      </c>
      <c r="C1481" s="32" t="s">
        <v>605</v>
      </c>
      <c r="D1481" s="30" t="s">
        <v>599</v>
      </c>
      <c r="E1481" s="30" t="s">
        <v>629</v>
      </c>
    </row>
    <row r="1482" spans="1:5" x14ac:dyDescent="0.35">
      <c r="A1482" s="32">
        <v>1755</v>
      </c>
      <c r="B1482" s="32" t="s">
        <v>610</v>
      </c>
      <c r="C1482" s="32" t="s">
        <v>605</v>
      </c>
      <c r="D1482" s="30" t="s">
        <v>599</v>
      </c>
      <c r="E1482" s="30" t="s">
        <v>629</v>
      </c>
    </row>
    <row r="1483" spans="1:5" x14ac:dyDescent="0.35">
      <c r="A1483" s="32">
        <v>1756</v>
      </c>
      <c r="B1483" s="32" t="s">
        <v>610</v>
      </c>
      <c r="C1483" s="32" t="s">
        <v>605</v>
      </c>
      <c r="D1483" s="30" t="s">
        <v>599</v>
      </c>
      <c r="E1483" s="30" t="s">
        <v>629</v>
      </c>
    </row>
    <row r="1484" spans="1:5" x14ac:dyDescent="0.35">
      <c r="A1484" s="32">
        <v>1757</v>
      </c>
      <c r="B1484" s="32" t="s">
        <v>610</v>
      </c>
      <c r="C1484" s="32" t="s">
        <v>605</v>
      </c>
      <c r="D1484" s="30" t="s">
        <v>599</v>
      </c>
      <c r="E1484" s="30" t="s">
        <v>629</v>
      </c>
    </row>
    <row r="1485" spans="1:5" x14ac:dyDescent="0.35">
      <c r="A1485" s="32">
        <v>1758</v>
      </c>
      <c r="B1485" s="32" t="s">
        <v>610</v>
      </c>
      <c r="C1485" s="32" t="s">
        <v>605</v>
      </c>
      <c r="D1485" s="30" t="s">
        <v>599</v>
      </c>
      <c r="E1485" s="30" t="s">
        <v>629</v>
      </c>
    </row>
    <row r="1486" spans="1:5" x14ac:dyDescent="0.35">
      <c r="A1486" s="32">
        <v>1759</v>
      </c>
      <c r="B1486" s="32" t="s">
        <v>610</v>
      </c>
      <c r="C1486" s="32" t="s">
        <v>605</v>
      </c>
      <c r="D1486" s="30" t="s">
        <v>599</v>
      </c>
      <c r="E1486" s="30" t="s">
        <v>629</v>
      </c>
    </row>
    <row r="1487" spans="1:5" x14ac:dyDescent="0.35">
      <c r="A1487" s="32">
        <v>1760</v>
      </c>
      <c r="B1487" s="32" t="s">
        <v>610</v>
      </c>
      <c r="C1487" s="32" t="s">
        <v>605</v>
      </c>
      <c r="D1487" s="30" t="s">
        <v>599</v>
      </c>
      <c r="E1487" s="30" t="s">
        <v>629</v>
      </c>
    </row>
    <row r="1488" spans="1:5" x14ac:dyDescent="0.35">
      <c r="A1488" s="32">
        <v>1761</v>
      </c>
      <c r="B1488" s="32" t="s">
        <v>610</v>
      </c>
      <c r="C1488" s="32" t="s">
        <v>605</v>
      </c>
      <c r="D1488" s="30" t="s">
        <v>599</v>
      </c>
      <c r="E1488" s="30" t="s">
        <v>629</v>
      </c>
    </row>
    <row r="1489" spans="1:5" x14ac:dyDescent="0.35">
      <c r="A1489" s="32">
        <v>1762</v>
      </c>
      <c r="B1489" s="32" t="s">
        <v>610</v>
      </c>
      <c r="C1489" s="32" t="s">
        <v>605</v>
      </c>
      <c r="D1489" s="30" t="s">
        <v>599</v>
      </c>
      <c r="E1489" s="30" t="s">
        <v>629</v>
      </c>
    </row>
    <row r="1490" spans="1:5" x14ac:dyDescent="0.35">
      <c r="A1490" s="32">
        <v>1763</v>
      </c>
      <c r="B1490" s="32" t="s">
        <v>610</v>
      </c>
      <c r="C1490" s="32" t="s">
        <v>605</v>
      </c>
      <c r="D1490" s="30" t="s">
        <v>599</v>
      </c>
      <c r="E1490" s="30" t="s">
        <v>629</v>
      </c>
    </row>
    <row r="1491" spans="1:5" x14ac:dyDescent="0.35">
      <c r="A1491" s="32">
        <v>1764</v>
      </c>
      <c r="B1491" s="32" t="s">
        <v>610</v>
      </c>
      <c r="C1491" s="32" t="s">
        <v>605</v>
      </c>
      <c r="D1491" s="30" t="s">
        <v>599</v>
      </c>
      <c r="E1491" s="30" t="s">
        <v>629</v>
      </c>
    </row>
    <row r="1492" spans="1:5" x14ac:dyDescent="0.35">
      <c r="A1492" s="32">
        <v>1765</v>
      </c>
      <c r="B1492" s="32" t="s">
        <v>610</v>
      </c>
      <c r="C1492" s="32" t="s">
        <v>605</v>
      </c>
      <c r="D1492" s="30" t="s">
        <v>599</v>
      </c>
      <c r="E1492" s="30" t="s">
        <v>629</v>
      </c>
    </row>
    <row r="1493" spans="1:5" x14ac:dyDescent="0.35">
      <c r="A1493" s="32">
        <v>1766</v>
      </c>
      <c r="B1493" s="32" t="s">
        <v>610</v>
      </c>
      <c r="C1493" s="32" t="s">
        <v>605</v>
      </c>
      <c r="D1493" s="30" t="s">
        <v>599</v>
      </c>
      <c r="E1493" s="30" t="s">
        <v>629</v>
      </c>
    </row>
    <row r="1494" spans="1:5" x14ac:dyDescent="0.35">
      <c r="A1494" s="32">
        <v>1767</v>
      </c>
      <c r="B1494" s="32" t="s">
        <v>610</v>
      </c>
      <c r="C1494" s="32" t="s">
        <v>605</v>
      </c>
      <c r="D1494" s="30" t="s">
        <v>599</v>
      </c>
      <c r="E1494" s="30" t="s">
        <v>629</v>
      </c>
    </row>
    <row r="1495" spans="1:5" x14ac:dyDescent="0.35">
      <c r="A1495" s="32">
        <v>1768</v>
      </c>
      <c r="B1495" s="32" t="s">
        <v>610</v>
      </c>
      <c r="C1495" s="32" t="s">
        <v>605</v>
      </c>
      <c r="D1495" s="30" t="s">
        <v>599</v>
      </c>
      <c r="E1495" s="30" t="s">
        <v>629</v>
      </c>
    </row>
    <row r="1496" spans="1:5" x14ac:dyDescent="0.35">
      <c r="A1496" s="32">
        <v>1769</v>
      </c>
      <c r="B1496" s="32" t="s">
        <v>610</v>
      </c>
      <c r="C1496" s="32" t="s">
        <v>605</v>
      </c>
      <c r="D1496" s="30" t="s">
        <v>599</v>
      </c>
      <c r="E1496" s="30" t="s">
        <v>629</v>
      </c>
    </row>
    <row r="1497" spans="1:5" x14ac:dyDescent="0.35">
      <c r="A1497" s="32">
        <v>1770</v>
      </c>
      <c r="B1497" s="32" t="s">
        <v>610</v>
      </c>
      <c r="C1497" s="32" t="s">
        <v>605</v>
      </c>
      <c r="D1497" s="30" t="s">
        <v>599</v>
      </c>
      <c r="E1497" s="30" t="s">
        <v>629</v>
      </c>
    </row>
    <row r="1498" spans="1:5" x14ac:dyDescent="0.35">
      <c r="A1498" s="32">
        <v>1771</v>
      </c>
      <c r="B1498" s="32" t="s">
        <v>610</v>
      </c>
      <c r="C1498" s="32" t="s">
        <v>605</v>
      </c>
      <c r="D1498" s="30" t="s">
        <v>599</v>
      </c>
      <c r="E1498" s="30" t="s">
        <v>629</v>
      </c>
    </row>
    <row r="1499" spans="1:5" x14ac:dyDescent="0.35">
      <c r="A1499" s="32">
        <v>1772</v>
      </c>
      <c r="B1499" s="32" t="s">
        <v>610</v>
      </c>
      <c r="C1499" s="32" t="s">
        <v>605</v>
      </c>
      <c r="D1499" s="30" t="s">
        <v>599</v>
      </c>
      <c r="E1499" s="30" t="s">
        <v>629</v>
      </c>
    </row>
    <row r="1500" spans="1:5" x14ac:dyDescent="0.35">
      <c r="A1500" s="32">
        <v>1773</v>
      </c>
      <c r="B1500" s="32" t="s">
        <v>610</v>
      </c>
      <c r="C1500" s="32" t="s">
        <v>605</v>
      </c>
      <c r="D1500" s="30" t="s">
        <v>599</v>
      </c>
      <c r="E1500" s="30" t="s">
        <v>629</v>
      </c>
    </row>
    <row r="1501" spans="1:5" x14ac:dyDescent="0.35">
      <c r="A1501" s="32">
        <v>1774</v>
      </c>
      <c r="B1501" s="32" t="s">
        <v>610</v>
      </c>
      <c r="C1501" s="32" t="s">
        <v>605</v>
      </c>
      <c r="D1501" s="30" t="s">
        <v>599</v>
      </c>
      <c r="E1501" s="30" t="s">
        <v>629</v>
      </c>
    </row>
    <row r="1502" spans="1:5" x14ac:dyDescent="0.35">
      <c r="A1502" s="32">
        <v>1775</v>
      </c>
      <c r="B1502" s="32" t="s">
        <v>610</v>
      </c>
      <c r="C1502" s="32" t="s">
        <v>605</v>
      </c>
      <c r="D1502" s="30" t="s">
        <v>599</v>
      </c>
      <c r="E1502" s="30" t="s">
        <v>629</v>
      </c>
    </row>
    <row r="1503" spans="1:5" x14ac:dyDescent="0.35">
      <c r="A1503" s="32">
        <v>1776</v>
      </c>
      <c r="B1503" s="32" t="s">
        <v>610</v>
      </c>
      <c r="C1503" s="32" t="s">
        <v>605</v>
      </c>
      <c r="D1503" s="30" t="s">
        <v>599</v>
      </c>
      <c r="E1503" s="30" t="s">
        <v>629</v>
      </c>
    </row>
    <row r="1504" spans="1:5" x14ac:dyDescent="0.35">
      <c r="A1504" s="32">
        <v>1777</v>
      </c>
      <c r="B1504" s="32" t="s">
        <v>610</v>
      </c>
      <c r="C1504" s="32" t="s">
        <v>605</v>
      </c>
      <c r="D1504" s="30" t="s">
        <v>599</v>
      </c>
      <c r="E1504" s="30" t="s">
        <v>629</v>
      </c>
    </row>
    <row r="1505" spans="1:5" x14ac:dyDescent="0.35">
      <c r="A1505" s="32">
        <v>1778</v>
      </c>
      <c r="B1505" s="32" t="s">
        <v>610</v>
      </c>
      <c r="C1505" s="32" t="s">
        <v>605</v>
      </c>
      <c r="D1505" s="30" t="s">
        <v>599</v>
      </c>
      <c r="E1505" s="30" t="s">
        <v>629</v>
      </c>
    </row>
    <row r="1506" spans="1:5" x14ac:dyDescent="0.35">
      <c r="A1506" s="32">
        <v>1779</v>
      </c>
      <c r="B1506" s="32" t="s">
        <v>610</v>
      </c>
      <c r="C1506" s="32" t="s">
        <v>605</v>
      </c>
      <c r="D1506" s="30" t="s">
        <v>599</v>
      </c>
      <c r="E1506" s="30" t="s">
        <v>629</v>
      </c>
    </row>
    <row r="1507" spans="1:5" x14ac:dyDescent="0.35">
      <c r="A1507" s="32">
        <v>1780</v>
      </c>
      <c r="B1507" s="32" t="s">
        <v>610</v>
      </c>
      <c r="C1507" s="32" t="s">
        <v>605</v>
      </c>
      <c r="D1507" s="30" t="s">
        <v>599</v>
      </c>
      <c r="E1507" s="30" t="s">
        <v>629</v>
      </c>
    </row>
    <row r="1508" spans="1:5" x14ac:dyDescent="0.35">
      <c r="A1508" s="32">
        <v>1781</v>
      </c>
      <c r="B1508" s="32" t="s">
        <v>610</v>
      </c>
      <c r="C1508" s="32" t="s">
        <v>605</v>
      </c>
      <c r="D1508" s="30" t="s">
        <v>599</v>
      </c>
      <c r="E1508" s="30" t="s">
        <v>629</v>
      </c>
    </row>
    <row r="1509" spans="1:5" x14ac:dyDescent="0.35">
      <c r="A1509" s="32">
        <v>1782</v>
      </c>
      <c r="B1509" s="32" t="s">
        <v>610</v>
      </c>
      <c r="C1509" s="32" t="s">
        <v>605</v>
      </c>
      <c r="D1509" s="30" t="s">
        <v>599</v>
      </c>
      <c r="E1509" s="30" t="s">
        <v>629</v>
      </c>
    </row>
    <row r="1510" spans="1:5" x14ac:dyDescent="0.35">
      <c r="A1510" s="32">
        <v>1783</v>
      </c>
      <c r="B1510" s="32" t="s">
        <v>610</v>
      </c>
      <c r="C1510" s="32" t="s">
        <v>605</v>
      </c>
      <c r="D1510" s="30" t="s">
        <v>599</v>
      </c>
      <c r="E1510" s="30" t="s">
        <v>629</v>
      </c>
    </row>
    <row r="1511" spans="1:5" x14ac:dyDescent="0.35">
      <c r="A1511" s="32">
        <v>1784</v>
      </c>
      <c r="B1511" s="32" t="s">
        <v>610</v>
      </c>
      <c r="C1511" s="32" t="s">
        <v>605</v>
      </c>
      <c r="D1511" s="30" t="s">
        <v>599</v>
      </c>
      <c r="E1511" s="30" t="s">
        <v>629</v>
      </c>
    </row>
    <row r="1512" spans="1:5" x14ac:dyDescent="0.35">
      <c r="A1512" s="32">
        <v>1785</v>
      </c>
      <c r="B1512" s="32" t="s">
        <v>610</v>
      </c>
      <c r="C1512" s="32" t="s">
        <v>605</v>
      </c>
      <c r="D1512" s="30" t="s">
        <v>599</v>
      </c>
      <c r="E1512" s="30" t="s">
        <v>629</v>
      </c>
    </row>
    <row r="1513" spans="1:5" x14ac:dyDescent="0.35">
      <c r="A1513" s="32">
        <v>1786</v>
      </c>
      <c r="B1513" s="32" t="s">
        <v>610</v>
      </c>
      <c r="C1513" s="32" t="s">
        <v>605</v>
      </c>
      <c r="D1513" s="30" t="s">
        <v>599</v>
      </c>
      <c r="E1513" s="30" t="s">
        <v>629</v>
      </c>
    </row>
    <row r="1514" spans="1:5" x14ac:dyDescent="0.35">
      <c r="A1514" s="32">
        <v>1787</v>
      </c>
      <c r="B1514" s="32" t="s">
        <v>610</v>
      </c>
      <c r="C1514" s="32" t="s">
        <v>605</v>
      </c>
      <c r="D1514" s="30" t="s">
        <v>599</v>
      </c>
      <c r="E1514" s="30" t="s">
        <v>629</v>
      </c>
    </row>
    <row r="1515" spans="1:5" x14ac:dyDescent="0.35">
      <c r="A1515" s="32">
        <v>1788</v>
      </c>
      <c r="B1515" s="32" t="s">
        <v>634</v>
      </c>
      <c r="C1515" s="32" t="s">
        <v>584</v>
      </c>
      <c r="D1515" s="30" t="s">
        <v>573</v>
      </c>
      <c r="E1515" s="30" t="s">
        <v>637</v>
      </c>
    </row>
    <row r="1516" spans="1:5" x14ac:dyDescent="0.35">
      <c r="A1516" s="32">
        <v>1789</v>
      </c>
      <c r="B1516" s="32" t="s">
        <v>634</v>
      </c>
      <c r="C1516" s="32" t="s">
        <v>584</v>
      </c>
      <c r="D1516" s="30" t="s">
        <v>573</v>
      </c>
      <c r="E1516" s="30" t="s">
        <v>637</v>
      </c>
    </row>
    <row r="1517" spans="1:5" x14ac:dyDescent="0.35">
      <c r="A1517" s="32">
        <v>1790</v>
      </c>
      <c r="B1517" s="32" t="s">
        <v>571</v>
      </c>
      <c r="C1517" s="32" t="s">
        <v>584</v>
      </c>
      <c r="D1517" s="30" t="s">
        <v>573</v>
      </c>
      <c r="E1517" s="30" t="s">
        <v>637</v>
      </c>
    </row>
    <row r="1518" spans="1:5" x14ac:dyDescent="0.35">
      <c r="A1518" s="32">
        <v>1791</v>
      </c>
      <c r="B1518" s="32" t="s">
        <v>571</v>
      </c>
      <c r="C1518" s="32" t="s">
        <v>584</v>
      </c>
      <c r="D1518" s="30" t="s">
        <v>573</v>
      </c>
      <c r="E1518" s="30" t="s">
        <v>637</v>
      </c>
    </row>
    <row r="1519" spans="1:5" x14ac:dyDescent="0.35">
      <c r="A1519" s="32">
        <v>1792</v>
      </c>
      <c r="B1519" s="32" t="s">
        <v>641</v>
      </c>
      <c r="C1519" s="32" t="s">
        <v>584</v>
      </c>
      <c r="D1519" s="30" t="s">
        <v>573</v>
      </c>
      <c r="E1519" s="30" t="s">
        <v>637</v>
      </c>
    </row>
    <row r="1520" spans="1:5" x14ac:dyDescent="0.35">
      <c r="A1520" s="32">
        <v>1793</v>
      </c>
      <c r="B1520" s="32" t="s">
        <v>611</v>
      </c>
      <c r="C1520" s="32" t="s">
        <v>584</v>
      </c>
      <c r="D1520" s="30" t="s">
        <v>573</v>
      </c>
      <c r="E1520" s="30" t="s">
        <v>637</v>
      </c>
    </row>
    <row r="1521" spans="1:5" x14ac:dyDescent="0.35">
      <c r="A1521" s="32">
        <v>1794</v>
      </c>
      <c r="B1521" s="32" t="s">
        <v>571</v>
      </c>
      <c r="C1521" s="32" t="s">
        <v>584</v>
      </c>
      <c r="D1521" s="30" t="s">
        <v>599</v>
      </c>
      <c r="E1521" s="30" t="s">
        <v>629</v>
      </c>
    </row>
    <row r="1522" spans="1:5" x14ac:dyDescent="0.35">
      <c r="A1522" s="32">
        <v>1795</v>
      </c>
      <c r="B1522" s="32" t="s">
        <v>571</v>
      </c>
      <c r="C1522" s="32" t="s">
        <v>584</v>
      </c>
      <c r="D1522" s="30" t="s">
        <v>599</v>
      </c>
      <c r="E1522" s="30" t="s">
        <v>629</v>
      </c>
    </row>
    <row r="1523" spans="1:5" x14ac:dyDescent="0.35">
      <c r="A1523" s="32">
        <v>1796</v>
      </c>
      <c r="B1523" s="32" t="s">
        <v>571</v>
      </c>
      <c r="C1523" s="32" t="s">
        <v>584</v>
      </c>
      <c r="D1523" s="30" t="s">
        <v>599</v>
      </c>
      <c r="E1523" s="30" t="s">
        <v>629</v>
      </c>
    </row>
    <row r="1524" spans="1:5" x14ac:dyDescent="0.35">
      <c r="A1524" s="32">
        <v>1797</v>
      </c>
      <c r="B1524" s="32" t="s">
        <v>571</v>
      </c>
      <c r="C1524" s="32" t="s">
        <v>584</v>
      </c>
      <c r="D1524" s="30" t="s">
        <v>599</v>
      </c>
      <c r="E1524" s="30" t="s">
        <v>629</v>
      </c>
    </row>
    <row r="1525" spans="1:5" x14ac:dyDescent="0.35">
      <c r="A1525" s="32">
        <v>1798</v>
      </c>
      <c r="B1525" s="32" t="s">
        <v>571</v>
      </c>
      <c r="C1525" s="32" t="s">
        <v>584</v>
      </c>
      <c r="D1525" s="30" t="s">
        <v>599</v>
      </c>
      <c r="E1525" s="30" t="s">
        <v>629</v>
      </c>
    </row>
    <row r="1526" spans="1:5" x14ac:dyDescent="0.35">
      <c r="A1526" s="32">
        <v>1799</v>
      </c>
      <c r="B1526" s="32" t="s">
        <v>571</v>
      </c>
      <c r="C1526" s="32" t="s">
        <v>584</v>
      </c>
      <c r="D1526" s="30" t="s">
        <v>599</v>
      </c>
      <c r="E1526" s="30" t="s">
        <v>629</v>
      </c>
    </row>
    <row r="1527" spans="1:5" x14ac:dyDescent="0.35">
      <c r="A1527" s="32">
        <v>1800</v>
      </c>
      <c r="B1527" s="32" t="s">
        <v>571</v>
      </c>
      <c r="C1527" s="32" t="s">
        <v>584</v>
      </c>
      <c r="D1527" s="30" t="s">
        <v>599</v>
      </c>
      <c r="E1527" s="30" t="s">
        <v>629</v>
      </c>
    </row>
    <row r="1528" spans="1:5" x14ac:dyDescent="0.35">
      <c r="A1528" s="32">
        <v>1801</v>
      </c>
      <c r="B1528" s="32" t="s">
        <v>571</v>
      </c>
      <c r="C1528" s="32" t="s">
        <v>584</v>
      </c>
      <c r="D1528" s="30" t="s">
        <v>599</v>
      </c>
      <c r="E1528" s="30" t="s">
        <v>629</v>
      </c>
    </row>
    <row r="1529" spans="1:5" x14ac:dyDescent="0.35">
      <c r="A1529" s="32">
        <v>1802</v>
      </c>
      <c r="B1529" s="32" t="s">
        <v>571</v>
      </c>
      <c r="C1529" s="32" t="s">
        <v>584</v>
      </c>
      <c r="D1529" s="30" t="s">
        <v>599</v>
      </c>
      <c r="E1529" s="30" t="s">
        <v>629</v>
      </c>
    </row>
    <row r="1530" spans="1:5" x14ac:dyDescent="0.35">
      <c r="A1530" s="32">
        <v>1803</v>
      </c>
      <c r="B1530" s="32" t="s">
        <v>571</v>
      </c>
      <c r="C1530" s="32" t="s">
        <v>584</v>
      </c>
      <c r="D1530" s="30" t="s">
        <v>599</v>
      </c>
      <c r="E1530" s="30" t="s">
        <v>629</v>
      </c>
    </row>
    <row r="1531" spans="1:5" x14ac:dyDescent="0.35">
      <c r="A1531" s="32">
        <v>1804</v>
      </c>
      <c r="B1531" s="32" t="s">
        <v>571</v>
      </c>
      <c r="C1531" s="32" t="s">
        <v>584</v>
      </c>
      <c r="D1531" s="30" t="s">
        <v>599</v>
      </c>
      <c r="E1531" s="30" t="s">
        <v>629</v>
      </c>
    </row>
    <row r="1532" spans="1:5" x14ac:dyDescent="0.35">
      <c r="A1532" s="32">
        <v>1805</v>
      </c>
      <c r="B1532" s="32" t="s">
        <v>571</v>
      </c>
      <c r="C1532" s="32" t="s">
        <v>584</v>
      </c>
      <c r="D1532" s="30" t="s">
        <v>599</v>
      </c>
      <c r="E1532" s="30" t="s">
        <v>629</v>
      </c>
    </row>
    <row r="1533" spans="1:5" x14ac:dyDescent="0.35">
      <c r="A1533" s="32">
        <v>1806</v>
      </c>
      <c r="B1533" s="32" t="s">
        <v>571</v>
      </c>
      <c r="C1533" s="32" t="s">
        <v>584</v>
      </c>
      <c r="D1533" s="30" t="s">
        <v>599</v>
      </c>
      <c r="E1533" s="30" t="s">
        <v>629</v>
      </c>
    </row>
    <row r="1534" spans="1:5" x14ac:dyDescent="0.35">
      <c r="A1534" s="32">
        <v>1807</v>
      </c>
      <c r="B1534" s="32" t="s">
        <v>571</v>
      </c>
      <c r="C1534" s="32" t="s">
        <v>584</v>
      </c>
      <c r="D1534" s="30" t="s">
        <v>599</v>
      </c>
      <c r="E1534" s="30" t="s">
        <v>629</v>
      </c>
    </row>
    <row r="1535" spans="1:5" x14ac:dyDescent="0.35">
      <c r="A1535" s="32">
        <v>1808</v>
      </c>
      <c r="B1535" s="32" t="s">
        <v>571</v>
      </c>
      <c r="C1535" s="32" t="s">
        <v>584</v>
      </c>
      <c r="D1535" s="30" t="s">
        <v>599</v>
      </c>
      <c r="E1535" s="30" t="s">
        <v>629</v>
      </c>
    </row>
    <row r="1536" spans="1:5" x14ac:dyDescent="0.35">
      <c r="A1536" s="32">
        <v>1809</v>
      </c>
      <c r="B1536" s="32" t="s">
        <v>571</v>
      </c>
      <c r="C1536" s="32" t="s">
        <v>584</v>
      </c>
      <c r="D1536" s="30" t="s">
        <v>599</v>
      </c>
      <c r="E1536" s="30" t="s">
        <v>629</v>
      </c>
    </row>
    <row r="1537" spans="1:5" x14ac:dyDescent="0.35">
      <c r="A1537" s="32">
        <v>1810</v>
      </c>
      <c r="B1537" s="32" t="s">
        <v>571</v>
      </c>
      <c r="C1537" s="32" t="s">
        <v>584</v>
      </c>
      <c r="D1537" s="30" t="s">
        <v>599</v>
      </c>
      <c r="E1537" s="30" t="s">
        <v>629</v>
      </c>
    </row>
    <row r="1538" spans="1:5" x14ac:dyDescent="0.35">
      <c r="A1538" s="32">
        <v>1811</v>
      </c>
      <c r="B1538" s="32" t="s">
        <v>571</v>
      </c>
      <c r="C1538" s="32" t="s">
        <v>584</v>
      </c>
      <c r="D1538" s="30" t="s">
        <v>599</v>
      </c>
      <c r="E1538" s="30" t="s">
        <v>629</v>
      </c>
    </row>
    <row r="1539" spans="1:5" x14ac:dyDescent="0.35">
      <c r="A1539" s="32">
        <v>1812</v>
      </c>
      <c r="B1539" s="32" t="s">
        <v>571</v>
      </c>
      <c r="C1539" s="32" t="s">
        <v>584</v>
      </c>
      <c r="D1539" s="30" t="s">
        <v>599</v>
      </c>
      <c r="E1539" s="30" t="s">
        <v>629</v>
      </c>
    </row>
    <row r="1540" spans="1:5" x14ac:dyDescent="0.35">
      <c r="A1540" s="32">
        <v>1813</v>
      </c>
      <c r="B1540" s="32" t="s">
        <v>571</v>
      </c>
      <c r="C1540" s="32" t="s">
        <v>584</v>
      </c>
      <c r="D1540" s="30" t="s">
        <v>599</v>
      </c>
      <c r="E1540" s="30" t="s">
        <v>629</v>
      </c>
    </row>
    <row r="1541" spans="1:5" x14ac:dyDescent="0.35">
      <c r="A1541" s="32">
        <v>1814</v>
      </c>
      <c r="B1541" s="32" t="s">
        <v>571</v>
      </c>
      <c r="C1541" s="32" t="s">
        <v>584</v>
      </c>
      <c r="D1541" s="30" t="s">
        <v>599</v>
      </c>
      <c r="E1541" s="30" t="s">
        <v>629</v>
      </c>
    </row>
    <row r="1542" spans="1:5" x14ac:dyDescent="0.35">
      <c r="A1542" s="32">
        <v>1815</v>
      </c>
      <c r="B1542" s="32" t="s">
        <v>571</v>
      </c>
      <c r="C1542" s="32" t="s">
        <v>584</v>
      </c>
      <c r="D1542" s="30" t="s">
        <v>599</v>
      </c>
      <c r="E1542" s="30" t="s">
        <v>629</v>
      </c>
    </row>
    <row r="1543" spans="1:5" x14ac:dyDescent="0.35">
      <c r="A1543" s="32">
        <v>1816</v>
      </c>
      <c r="B1543" s="32" t="s">
        <v>571</v>
      </c>
      <c r="C1543" s="32" t="s">
        <v>584</v>
      </c>
      <c r="D1543" s="30" t="s">
        <v>599</v>
      </c>
      <c r="E1543" s="30" t="s">
        <v>629</v>
      </c>
    </row>
    <row r="1544" spans="1:5" x14ac:dyDescent="0.35">
      <c r="A1544" s="32">
        <v>1817</v>
      </c>
      <c r="B1544" s="32" t="s">
        <v>571</v>
      </c>
      <c r="C1544" s="32" t="s">
        <v>584</v>
      </c>
      <c r="D1544" s="30" t="s">
        <v>599</v>
      </c>
      <c r="E1544" s="30" t="s">
        <v>629</v>
      </c>
    </row>
    <row r="1545" spans="1:5" x14ac:dyDescent="0.35">
      <c r="A1545" s="32">
        <v>1818</v>
      </c>
      <c r="B1545" s="32" t="s">
        <v>571</v>
      </c>
      <c r="C1545" s="32" t="s">
        <v>584</v>
      </c>
      <c r="D1545" s="30" t="s">
        <v>599</v>
      </c>
      <c r="E1545" s="30" t="s">
        <v>629</v>
      </c>
    </row>
    <row r="1546" spans="1:5" x14ac:dyDescent="0.35">
      <c r="A1546" s="32">
        <v>1819</v>
      </c>
      <c r="B1546" s="32" t="s">
        <v>641</v>
      </c>
      <c r="C1546" s="32" t="s">
        <v>584</v>
      </c>
      <c r="D1546" s="30" t="s">
        <v>651</v>
      </c>
      <c r="E1546" s="30" t="s">
        <v>670</v>
      </c>
    </row>
    <row r="1547" spans="1:5" x14ac:dyDescent="0.35">
      <c r="A1547" s="32">
        <v>1820</v>
      </c>
      <c r="B1547" s="32" t="s">
        <v>634</v>
      </c>
      <c r="C1547" s="32" t="s">
        <v>584</v>
      </c>
      <c r="D1547" s="30" t="s">
        <v>635</v>
      </c>
      <c r="E1547" s="30" t="s">
        <v>671</v>
      </c>
    </row>
    <row r="1548" spans="1:5" x14ac:dyDescent="0.35">
      <c r="A1548" s="32">
        <v>1821</v>
      </c>
      <c r="B1548" s="32" t="s">
        <v>610</v>
      </c>
      <c r="C1548" s="32" t="s">
        <v>580</v>
      </c>
      <c r="D1548" s="30" t="s">
        <v>612</v>
      </c>
      <c r="E1548" s="30" t="s">
        <v>613</v>
      </c>
    </row>
    <row r="1549" spans="1:5" x14ac:dyDescent="0.35">
      <c r="A1549" s="32">
        <v>1822</v>
      </c>
      <c r="B1549" s="32" t="s">
        <v>610</v>
      </c>
      <c r="C1549" s="32" t="s">
        <v>584</v>
      </c>
      <c r="D1549" s="30" t="s">
        <v>630</v>
      </c>
      <c r="E1549" s="30" t="s">
        <v>631</v>
      </c>
    </row>
    <row r="1550" spans="1:5" x14ac:dyDescent="0.35">
      <c r="A1550" s="32">
        <v>1823</v>
      </c>
      <c r="B1550" s="32" t="s">
        <v>610</v>
      </c>
      <c r="C1550" s="32" t="s">
        <v>584</v>
      </c>
      <c r="D1550" s="30" t="s">
        <v>630</v>
      </c>
      <c r="E1550" s="30" t="s">
        <v>631</v>
      </c>
    </row>
    <row r="1551" spans="1:5" x14ac:dyDescent="0.35">
      <c r="A1551" s="32">
        <v>1824</v>
      </c>
      <c r="B1551" s="32" t="s">
        <v>611</v>
      </c>
      <c r="C1551" s="32" t="s">
        <v>624</v>
      </c>
      <c r="D1551" s="30" t="s">
        <v>639</v>
      </c>
      <c r="E1551" s="30" t="s">
        <v>640</v>
      </c>
    </row>
    <row r="1552" spans="1:5" x14ac:dyDescent="0.35">
      <c r="A1552" s="32">
        <v>1825</v>
      </c>
      <c r="B1552" s="32" t="s">
        <v>611</v>
      </c>
      <c r="C1552" s="32" t="s">
        <v>648</v>
      </c>
      <c r="D1552" s="30" t="s">
        <v>639</v>
      </c>
      <c r="E1552" s="30" t="s">
        <v>640</v>
      </c>
    </row>
    <row r="1553" spans="1:5" x14ac:dyDescent="0.35">
      <c r="A1553" s="32">
        <v>1826</v>
      </c>
      <c r="B1553" s="32" t="s">
        <v>611</v>
      </c>
      <c r="C1553" s="32" t="s">
        <v>605</v>
      </c>
      <c r="D1553" s="30" t="s">
        <v>639</v>
      </c>
      <c r="E1553" s="30" t="s">
        <v>640</v>
      </c>
    </row>
    <row r="1554" spans="1:5" x14ac:dyDescent="0.35">
      <c r="A1554" s="32">
        <v>1827</v>
      </c>
      <c r="B1554" s="32" t="s">
        <v>641</v>
      </c>
      <c r="C1554" s="32" t="s">
        <v>624</v>
      </c>
      <c r="D1554" s="30" t="s">
        <v>639</v>
      </c>
      <c r="E1554" s="30" t="s">
        <v>640</v>
      </c>
    </row>
    <row r="1555" spans="1:5" x14ac:dyDescent="0.35">
      <c r="A1555" s="32">
        <v>1828</v>
      </c>
      <c r="B1555" s="32" t="s">
        <v>641</v>
      </c>
      <c r="C1555" s="32" t="s">
        <v>648</v>
      </c>
      <c r="D1555" s="30" t="s">
        <v>639</v>
      </c>
      <c r="E1555" s="30" t="s">
        <v>640</v>
      </c>
    </row>
    <row r="1556" spans="1:5" x14ac:dyDescent="0.35">
      <c r="A1556" s="32">
        <v>1829</v>
      </c>
      <c r="B1556" s="32" t="s">
        <v>641</v>
      </c>
      <c r="C1556" s="32" t="s">
        <v>605</v>
      </c>
      <c r="D1556" s="30" t="s">
        <v>639</v>
      </c>
      <c r="E1556" s="30" t="s">
        <v>640</v>
      </c>
    </row>
    <row r="1557" spans="1:5" x14ac:dyDescent="0.35">
      <c r="A1557" s="32">
        <v>1830</v>
      </c>
      <c r="B1557" s="32" t="s">
        <v>571</v>
      </c>
      <c r="C1557" s="32" t="s">
        <v>624</v>
      </c>
      <c r="D1557" s="30" t="s">
        <v>639</v>
      </c>
      <c r="E1557" s="30" t="s">
        <v>640</v>
      </c>
    </row>
    <row r="1558" spans="1:5" x14ac:dyDescent="0.35">
      <c r="A1558" s="32">
        <v>1831</v>
      </c>
      <c r="B1558" s="32" t="s">
        <v>571</v>
      </c>
      <c r="C1558" s="32" t="s">
        <v>648</v>
      </c>
      <c r="D1558" s="30" t="s">
        <v>639</v>
      </c>
      <c r="E1558" s="30" t="s">
        <v>640</v>
      </c>
    </row>
    <row r="1559" spans="1:5" x14ac:dyDescent="0.35">
      <c r="A1559" s="32">
        <v>1832</v>
      </c>
      <c r="B1559" s="32" t="s">
        <v>571</v>
      </c>
      <c r="C1559" s="32" t="s">
        <v>605</v>
      </c>
      <c r="D1559" s="30" t="s">
        <v>639</v>
      </c>
      <c r="E1559" s="30" t="s">
        <v>640</v>
      </c>
    </row>
    <row r="1560" spans="1:5" x14ac:dyDescent="0.35">
      <c r="A1560" s="32">
        <v>1833</v>
      </c>
      <c r="B1560" s="32" t="s">
        <v>634</v>
      </c>
      <c r="C1560" s="32" t="s">
        <v>624</v>
      </c>
      <c r="D1560" s="30" t="s">
        <v>639</v>
      </c>
      <c r="E1560" s="30" t="s">
        <v>640</v>
      </c>
    </row>
    <row r="1561" spans="1:5" x14ac:dyDescent="0.35">
      <c r="A1561" s="32">
        <v>1834</v>
      </c>
      <c r="B1561" s="32" t="s">
        <v>634</v>
      </c>
      <c r="C1561" s="32" t="s">
        <v>648</v>
      </c>
      <c r="D1561" s="30" t="s">
        <v>639</v>
      </c>
      <c r="E1561" s="30" t="s">
        <v>640</v>
      </c>
    </row>
    <row r="1562" spans="1:5" x14ac:dyDescent="0.35">
      <c r="A1562" s="32">
        <v>1835</v>
      </c>
      <c r="B1562" s="32" t="s">
        <v>634</v>
      </c>
      <c r="C1562" s="32" t="s">
        <v>605</v>
      </c>
      <c r="D1562" s="30" t="s">
        <v>639</v>
      </c>
      <c r="E1562" s="30" t="s">
        <v>640</v>
      </c>
    </row>
    <row r="1563" spans="1:5" x14ac:dyDescent="0.35">
      <c r="A1563" s="32">
        <v>1836</v>
      </c>
      <c r="B1563" s="32" t="s">
        <v>610</v>
      </c>
      <c r="C1563" s="32" t="s">
        <v>648</v>
      </c>
      <c r="D1563" s="30" t="s">
        <v>635</v>
      </c>
      <c r="E1563" s="30" t="s">
        <v>671</v>
      </c>
    </row>
    <row r="1564" spans="1:5" x14ac:dyDescent="0.35">
      <c r="A1564" s="32">
        <v>1837</v>
      </c>
      <c r="B1564" s="32" t="s">
        <v>611</v>
      </c>
      <c r="C1564" s="32" t="s">
        <v>584</v>
      </c>
      <c r="D1564" s="30" t="s">
        <v>651</v>
      </c>
      <c r="E1564" s="30" t="s">
        <v>672</v>
      </c>
    </row>
    <row r="1565" spans="1:5" x14ac:dyDescent="0.35">
      <c r="A1565" s="32">
        <v>1838</v>
      </c>
      <c r="B1565" s="32" t="s">
        <v>611</v>
      </c>
      <c r="C1565" s="32" t="s">
        <v>648</v>
      </c>
      <c r="D1565" s="30" t="s">
        <v>673</v>
      </c>
      <c r="E1565" s="30" t="s">
        <v>674</v>
      </c>
    </row>
    <row r="1566" spans="1:5" x14ac:dyDescent="0.35">
      <c r="A1566" s="32">
        <v>1839</v>
      </c>
      <c r="B1566" s="32" t="s">
        <v>611</v>
      </c>
      <c r="C1566" s="32" t="s">
        <v>648</v>
      </c>
      <c r="D1566" s="30" t="s">
        <v>673</v>
      </c>
      <c r="E1566" s="30" t="s">
        <v>674</v>
      </c>
    </row>
    <row r="1567" spans="1:5" x14ac:dyDescent="0.35">
      <c r="A1567" s="32">
        <v>1840</v>
      </c>
      <c r="B1567" s="32" t="s">
        <v>611</v>
      </c>
      <c r="C1567" s="32" t="s">
        <v>648</v>
      </c>
      <c r="D1567" s="30" t="s">
        <v>673</v>
      </c>
      <c r="E1567" s="30" t="s">
        <v>674</v>
      </c>
    </row>
    <row r="1568" spans="1:5" x14ac:dyDescent="0.35">
      <c r="A1568" s="32">
        <v>1841</v>
      </c>
      <c r="B1568" s="32" t="s">
        <v>611</v>
      </c>
      <c r="C1568" s="32" t="s">
        <v>648</v>
      </c>
      <c r="D1568" s="30" t="s">
        <v>673</v>
      </c>
      <c r="E1568" s="30" t="s">
        <v>674</v>
      </c>
    </row>
    <row r="1569" spans="1:5" x14ac:dyDescent="0.35">
      <c r="A1569" s="32">
        <v>1842</v>
      </c>
      <c r="B1569" s="32" t="s">
        <v>611</v>
      </c>
      <c r="C1569" s="32" t="s">
        <v>648</v>
      </c>
      <c r="D1569" s="30" t="s">
        <v>673</v>
      </c>
      <c r="E1569" s="30" t="s">
        <v>674</v>
      </c>
    </row>
    <row r="1570" spans="1:5" x14ac:dyDescent="0.35">
      <c r="A1570" s="32">
        <v>1843</v>
      </c>
      <c r="B1570" s="32" t="s">
        <v>611</v>
      </c>
      <c r="C1570" s="32" t="s">
        <v>650</v>
      </c>
      <c r="D1570" s="30" t="s">
        <v>673</v>
      </c>
      <c r="E1570" s="30" t="s">
        <v>674</v>
      </c>
    </row>
    <row r="1571" spans="1:5" x14ac:dyDescent="0.35">
      <c r="A1571" s="32">
        <v>1844</v>
      </c>
      <c r="B1571" s="32" t="s">
        <v>611</v>
      </c>
      <c r="C1571" s="32" t="s">
        <v>648</v>
      </c>
      <c r="D1571" s="30" t="s">
        <v>673</v>
      </c>
      <c r="E1571" s="30" t="s">
        <v>674</v>
      </c>
    </row>
    <row r="1572" spans="1:5" x14ac:dyDescent="0.35">
      <c r="A1572" s="32">
        <v>1845</v>
      </c>
      <c r="B1572" s="32" t="s">
        <v>611</v>
      </c>
      <c r="C1572" s="32" t="s">
        <v>648</v>
      </c>
      <c r="D1572" s="30" t="s">
        <v>673</v>
      </c>
      <c r="E1572" s="30" t="s">
        <v>674</v>
      </c>
    </row>
    <row r="1573" spans="1:5" x14ac:dyDescent="0.35">
      <c r="A1573" s="32">
        <v>1846</v>
      </c>
      <c r="B1573" s="32" t="s">
        <v>611</v>
      </c>
      <c r="C1573" s="32" t="s">
        <v>648</v>
      </c>
      <c r="D1573" s="30" t="s">
        <v>673</v>
      </c>
      <c r="E1573" s="30" t="s">
        <v>674</v>
      </c>
    </row>
    <row r="1574" spans="1:5" x14ac:dyDescent="0.35">
      <c r="A1574" s="32">
        <v>1847</v>
      </c>
      <c r="B1574" s="32" t="s">
        <v>641</v>
      </c>
      <c r="C1574" s="32" t="s">
        <v>648</v>
      </c>
      <c r="D1574" s="30" t="s">
        <v>635</v>
      </c>
      <c r="E1574" s="30" t="s">
        <v>636</v>
      </c>
    </row>
    <row r="1575" spans="1:5" x14ac:dyDescent="0.35">
      <c r="A1575" s="32">
        <v>1848</v>
      </c>
      <c r="B1575" s="32" t="s">
        <v>641</v>
      </c>
      <c r="C1575" s="32" t="s">
        <v>648</v>
      </c>
      <c r="D1575" s="30" t="s">
        <v>635</v>
      </c>
      <c r="E1575" s="30" t="s">
        <v>636</v>
      </c>
    </row>
    <row r="1576" spans="1:5" x14ac:dyDescent="0.35">
      <c r="A1576" s="32">
        <v>1849</v>
      </c>
      <c r="B1576" s="32" t="s">
        <v>641</v>
      </c>
      <c r="C1576" s="32" t="s">
        <v>648</v>
      </c>
      <c r="D1576" s="30" t="s">
        <v>635</v>
      </c>
      <c r="E1576" s="30" t="s">
        <v>636</v>
      </c>
    </row>
    <row r="1577" spans="1:5" x14ac:dyDescent="0.35">
      <c r="A1577" s="32">
        <v>1850</v>
      </c>
      <c r="B1577" s="32" t="s">
        <v>641</v>
      </c>
      <c r="C1577" s="32" t="s">
        <v>648</v>
      </c>
      <c r="D1577" s="30" t="s">
        <v>635</v>
      </c>
      <c r="E1577" s="30" t="s">
        <v>636</v>
      </c>
    </row>
    <row r="1578" spans="1:5" x14ac:dyDescent="0.35">
      <c r="A1578" s="32">
        <v>1851</v>
      </c>
      <c r="B1578" s="32" t="s">
        <v>571</v>
      </c>
      <c r="C1578" s="32" t="s">
        <v>648</v>
      </c>
      <c r="D1578" s="30" t="s">
        <v>643</v>
      </c>
      <c r="E1578" s="30" t="s">
        <v>644</v>
      </c>
    </row>
    <row r="1579" spans="1:5" x14ac:dyDescent="0.35">
      <c r="A1579" s="32">
        <v>1852</v>
      </c>
      <c r="B1579" s="32" t="s">
        <v>571</v>
      </c>
      <c r="C1579" s="32" t="s">
        <v>648</v>
      </c>
      <c r="D1579" s="30" t="s">
        <v>643</v>
      </c>
      <c r="E1579" s="30" t="s">
        <v>644</v>
      </c>
    </row>
    <row r="1580" spans="1:5" x14ac:dyDescent="0.35">
      <c r="A1580" s="32">
        <v>1853</v>
      </c>
      <c r="B1580" s="32" t="s">
        <v>571</v>
      </c>
      <c r="C1580" s="32" t="s">
        <v>648</v>
      </c>
      <c r="D1580" s="30" t="s">
        <v>643</v>
      </c>
      <c r="E1580" s="30" t="s">
        <v>644</v>
      </c>
    </row>
    <row r="1581" spans="1:5" x14ac:dyDescent="0.35">
      <c r="A1581" s="32">
        <v>1854</v>
      </c>
      <c r="B1581" s="32" t="s">
        <v>571</v>
      </c>
      <c r="C1581" s="32" t="s">
        <v>648</v>
      </c>
      <c r="D1581" s="30" t="s">
        <v>643</v>
      </c>
      <c r="E1581" s="30" t="s">
        <v>644</v>
      </c>
    </row>
    <row r="1582" spans="1:5" x14ac:dyDescent="0.35">
      <c r="A1582" s="32">
        <v>1855</v>
      </c>
      <c r="B1582" s="32" t="s">
        <v>571</v>
      </c>
      <c r="C1582" s="32" t="s">
        <v>648</v>
      </c>
      <c r="D1582" s="30" t="s">
        <v>643</v>
      </c>
      <c r="E1582" s="30" t="s">
        <v>644</v>
      </c>
    </row>
    <row r="1583" spans="1:5" x14ac:dyDescent="0.35">
      <c r="A1583" s="32">
        <v>1856</v>
      </c>
      <c r="B1583" s="32" t="s">
        <v>571</v>
      </c>
      <c r="C1583" s="32" t="s">
        <v>648</v>
      </c>
      <c r="D1583" s="30" t="s">
        <v>643</v>
      </c>
      <c r="E1583" s="30" t="s">
        <v>644</v>
      </c>
    </row>
    <row r="1584" spans="1:5" x14ac:dyDescent="0.35">
      <c r="A1584" s="32">
        <v>1857</v>
      </c>
      <c r="B1584" s="32" t="s">
        <v>571</v>
      </c>
      <c r="C1584" s="32" t="s">
        <v>648</v>
      </c>
      <c r="D1584" s="30" t="s">
        <v>643</v>
      </c>
      <c r="E1584" s="30" t="s">
        <v>644</v>
      </c>
    </row>
    <row r="1585" spans="1:5" x14ac:dyDescent="0.35">
      <c r="A1585" s="32">
        <v>1858</v>
      </c>
      <c r="B1585" s="32" t="s">
        <v>571</v>
      </c>
      <c r="C1585" s="32" t="s">
        <v>648</v>
      </c>
      <c r="D1585" s="30" t="s">
        <v>643</v>
      </c>
      <c r="E1585" s="30" t="s">
        <v>644</v>
      </c>
    </row>
    <row r="1586" spans="1:5" x14ac:dyDescent="0.35">
      <c r="A1586" s="32">
        <v>1859</v>
      </c>
      <c r="B1586" s="32" t="s">
        <v>571</v>
      </c>
      <c r="C1586" s="32" t="s">
        <v>648</v>
      </c>
      <c r="D1586" s="30" t="s">
        <v>643</v>
      </c>
      <c r="E1586" s="30" t="s">
        <v>644</v>
      </c>
    </row>
    <row r="1587" spans="1:5" x14ac:dyDescent="0.35">
      <c r="A1587" s="32">
        <v>1860</v>
      </c>
      <c r="B1587" s="32" t="s">
        <v>610</v>
      </c>
      <c r="C1587" s="32" t="s">
        <v>605</v>
      </c>
      <c r="D1587" s="30" t="s">
        <v>656</v>
      </c>
      <c r="E1587" s="30" t="s">
        <v>675</v>
      </c>
    </row>
    <row r="1588" spans="1:5" x14ac:dyDescent="0.35">
      <c r="A1588" s="32">
        <v>1861</v>
      </c>
      <c r="B1588" s="32" t="s">
        <v>610</v>
      </c>
      <c r="C1588" s="32" t="s">
        <v>648</v>
      </c>
      <c r="D1588" s="30" t="s">
        <v>573</v>
      </c>
      <c r="E1588" s="30" t="s">
        <v>638</v>
      </c>
    </row>
    <row r="1589" spans="1:5" x14ac:dyDescent="0.35">
      <c r="A1589" s="32">
        <v>1862</v>
      </c>
      <c r="B1589" s="32" t="s">
        <v>610</v>
      </c>
      <c r="C1589" s="32" t="s">
        <v>648</v>
      </c>
      <c r="D1589" s="30" t="s">
        <v>573</v>
      </c>
      <c r="E1589" s="30" t="s">
        <v>638</v>
      </c>
    </row>
    <row r="1590" spans="1:5" x14ac:dyDescent="0.35">
      <c r="A1590" s="32">
        <v>1863</v>
      </c>
      <c r="B1590" s="32" t="s">
        <v>610</v>
      </c>
      <c r="C1590" s="32" t="s">
        <v>648</v>
      </c>
      <c r="D1590" s="30" t="s">
        <v>573</v>
      </c>
      <c r="E1590" s="30" t="s">
        <v>638</v>
      </c>
    </row>
    <row r="1591" spans="1:5" x14ac:dyDescent="0.35">
      <c r="A1591" s="32">
        <v>1864</v>
      </c>
      <c r="B1591" s="32" t="s">
        <v>610</v>
      </c>
      <c r="C1591" s="32" t="s">
        <v>648</v>
      </c>
      <c r="D1591" s="30" t="s">
        <v>573</v>
      </c>
      <c r="E1591" s="30" t="s">
        <v>638</v>
      </c>
    </row>
    <row r="1592" spans="1:5" x14ac:dyDescent="0.35">
      <c r="A1592" s="32">
        <v>1865</v>
      </c>
      <c r="B1592" s="32" t="s">
        <v>610</v>
      </c>
      <c r="C1592" s="32" t="s">
        <v>648</v>
      </c>
      <c r="D1592" s="30" t="s">
        <v>573</v>
      </c>
      <c r="E1592" s="30" t="s">
        <v>638</v>
      </c>
    </row>
    <row r="1593" spans="1:5" x14ac:dyDescent="0.35">
      <c r="A1593" s="32">
        <v>1866</v>
      </c>
      <c r="B1593" s="32" t="s">
        <v>610</v>
      </c>
      <c r="C1593" s="32" t="s">
        <v>648</v>
      </c>
      <c r="D1593" s="30" t="s">
        <v>573</v>
      </c>
      <c r="E1593" s="30" t="s">
        <v>638</v>
      </c>
    </row>
    <row r="1594" spans="1:5" x14ac:dyDescent="0.35">
      <c r="A1594" s="32">
        <v>1867</v>
      </c>
      <c r="B1594" s="32" t="s">
        <v>610</v>
      </c>
      <c r="C1594" s="32" t="s">
        <v>584</v>
      </c>
      <c r="D1594" s="30" t="s">
        <v>656</v>
      </c>
      <c r="E1594" s="30" t="s">
        <v>661</v>
      </c>
    </row>
    <row r="1595" spans="1:5" x14ac:dyDescent="0.35">
      <c r="A1595" s="32">
        <v>1868</v>
      </c>
      <c r="B1595" s="32" t="s">
        <v>571</v>
      </c>
      <c r="C1595" s="32" t="s">
        <v>584</v>
      </c>
      <c r="D1595" s="30" t="s">
        <v>599</v>
      </c>
      <c r="E1595" s="30" t="s">
        <v>615</v>
      </c>
    </row>
    <row r="1596" spans="1:5" x14ac:dyDescent="0.35">
      <c r="A1596" s="32">
        <v>1869</v>
      </c>
      <c r="B1596" s="32" t="s">
        <v>571</v>
      </c>
      <c r="C1596" s="32" t="s">
        <v>584</v>
      </c>
      <c r="D1596" s="30" t="s">
        <v>599</v>
      </c>
      <c r="E1596" s="30" t="s">
        <v>615</v>
      </c>
    </row>
    <row r="1597" spans="1:5" x14ac:dyDescent="0.35">
      <c r="A1597" s="32">
        <v>1870</v>
      </c>
      <c r="B1597" s="32" t="s">
        <v>571</v>
      </c>
      <c r="C1597" s="32" t="s">
        <v>584</v>
      </c>
      <c r="D1597" s="30" t="s">
        <v>599</v>
      </c>
      <c r="E1597" s="30" t="s">
        <v>615</v>
      </c>
    </row>
    <row r="1598" spans="1:5" x14ac:dyDescent="0.35">
      <c r="A1598" s="32">
        <v>1871</v>
      </c>
      <c r="B1598" s="32" t="s">
        <v>571</v>
      </c>
      <c r="C1598" s="32" t="s">
        <v>584</v>
      </c>
      <c r="D1598" s="30" t="s">
        <v>599</v>
      </c>
      <c r="E1598" s="30" t="s">
        <v>615</v>
      </c>
    </row>
    <row r="1599" spans="1:5" x14ac:dyDescent="0.35">
      <c r="A1599" s="32">
        <v>1872</v>
      </c>
      <c r="B1599" s="32" t="s">
        <v>571</v>
      </c>
      <c r="C1599" s="32" t="s">
        <v>584</v>
      </c>
      <c r="D1599" s="30" t="s">
        <v>599</v>
      </c>
      <c r="E1599" s="30" t="s">
        <v>615</v>
      </c>
    </row>
    <row r="1600" spans="1:5" x14ac:dyDescent="0.35">
      <c r="A1600" s="32">
        <v>1873</v>
      </c>
      <c r="B1600" s="32" t="s">
        <v>571</v>
      </c>
      <c r="C1600" s="32" t="s">
        <v>584</v>
      </c>
      <c r="D1600" s="30" t="s">
        <v>599</v>
      </c>
      <c r="E1600" s="30" t="s">
        <v>615</v>
      </c>
    </row>
    <row r="1601" spans="1:5" x14ac:dyDescent="0.35">
      <c r="A1601" s="32">
        <v>1874</v>
      </c>
      <c r="B1601" s="32" t="s">
        <v>571</v>
      </c>
      <c r="C1601" s="32" t="s">
        <v>584</v>
      </c>
      <c r="D1601" s="30" t="s">
        <v>599</v>
      </c>
      <c r="E1601" s="30" t="s">
        <v>615</v>
      </c>
    </row>
    <row r="1602" spans="1:5" x14ac:dyDescent="0.35">
      <c r="A1602" s="32">
        <v>1875</v>
      </c>
      <c r="B1602" s="32" t="s">
        <v>571</v>
      </c>
      <c r="C1602" s="32" t="s">
        <v>584</v>
      </c>
      <c r="D1602" s="30" t="s">
        <v>599</v>
      </c>
      <c r="E1602" s="30" t="s">
        <v>615</v>
      </c>
    </row>
    <row r="1603" spans="1:5" x14ac:dyDescent="0.35">
      <c r="A1603" s="32">
        <v>1876</v>
      </c>
      <c r="B1603" s="32" t="s">
        <v>571</v>
      </c>
      <c r="C1603" s="32" t="s">
        <v>584</v>
      </c>
      <c r="D1603" s="30" t="s">
        <v>599</v>
      </c>
      <c r="E1603" s="30" t="s">
        <v>615</v>
      </c>
    </row>
    <row r="1604" spans="1:5" x14ac:dyDescent="0.35">
      <c r="A1604" s="32">
        <v>1877</v>
      </c>
      <c r="B1604" s="32" t="s">
        <v>571</v>
      </c>
      <c r="C1604" s="32" t="s">
        <v>584</v>
      </c>
      <c r="D1604" s="30" t="s">
        <v>599</v>
      </c>
      <c r="E1604" s="30" t="s">
        <v>615</v>
      </c>
    </row>
    <row r="1605" spans="1:5" x14ac:dyDescent="0.35">
      <c r="A1605" s="32">
        <v>1878</v>
      </c>
      <c r="B1605" s="32" t="s">
        <v>571</v>
      </c>
      <c r="C1605" s="32" t="s">
        <v>584</v>
      </c>
      <c r="D1605" s="30" t="s">
        <v>599</v>
      </c>
      <c r="E1605" s="30" t="s">
        <v>615</v>
      </c>
    </row>
    <row r="1606" spans="1:5" x14ac:dyDescent="0.35">
      <c r="A1606" s="32">
        <v>1879</v>
      </c>
      <c r="B1606" s="32" t="s">
        <v>571</v>
      </c>
      <c r="C1606" s="32" t="s">
        <v>584</v>
      </c>
      <c r="D1606" s="30" t="s">
        <v>599</v>
      </c>
      <c r="E1606" s="30" t="s">
        <v>615</v>
      </c>
    </row>
    <row r="1607" spans="1:5" x14ac:dyDescent="0.35">
      <c r="A1607" s="32">
        <v>1880</v>
      </c>
      <c r="B1607" s="32" t="s">
        <v>634</v>
      </c>
      <c r="C1607" s="32" t="s">
        <v>584</v>
      </c>
      <c r="D1607" s="30" t="s">
        <v>599</v>
      </c>
      <c r="E1607" s="30" t="s">
        <v>615</v>
      </c>
    </row>
    <row r="1608" spans="1:5" x14ac:dyDescent="0.35">
      <c r="A1608" s="32">
        <v>1881</v>
      </c>
      <c r="B1608" s="32" t="s">
        <v>571</v>
      </c>
      <c r="C1608" s="32" t="s">
        <v>584</v>
      </c>
      <c r="D1608" s="30" t="s">
        <v>599</v>
      </c>
      <c r="E1608" s="30" t="s">
        <v>615</v>
      </c>
    </row>
    <row r="1609" spans="1:5" x14ac:dyDescent="0.35">
      <c r="A1609" s="32">
        <v>1882</v>
      </c>
      <c r="B1609" s="32" t="s">
        <v>571</v>
      </c>
      <c r="C1609" s="32" t="s">
        <v>584</v>
      </c>
      <c r="D1609" s="30" t="s">
        <v>599</v>
      </c>
      <c r="E1609" s="30" t="s">
        <v>615</v>
      </c>
    </row>
    <row r="1610" spans="1:5" x14ac:dyDescent="0.35">
      <c r="A1610" s="32">
        <v>1883</v>
      </c>
      <c r="B1610" s="32" t="s">
        <v>571</v>
      </c>
      <c r="C1610" s="32" t="s">
        <v>584</v>
      </c>
      <c r="D1610" s="30" t="s">
        <v>599</v>
      </c>
      <c r="E1610" s="30" t="s">
        <v>615</v>
      </c>
    </row>
    <row r="1611" spans="1:5" x14ac:dyDescent="0.35">
      <c r="A1611" s="32">
        <v>1884</v>
      </c>
      <c r="B1611" s="32" t="s">
        <v>634</v>
      </c>
      <c r="C1611" s="32" t="s">
        <v>584</v>
      </c>
      <c r="D1611" s="30" t="s">
        <v>599</v>
      </c>
      <c r="E1611" s="30" t="s">
        <v>615</v>
      </c>
    </row>
    <row r="1612" spans="1:5" x14ac:dyDescent="0.35">
      <c r="A1612" s="32">
        <v>1885</v>
      </c>
      <c r="B1612" s="32" t="s">
        <v>634</v>
      </c>
      <c r="C1612" s="32" t="s">
        <v>584</v>
      </c>
      <c r="D1612" s="30" t="s">
        <v>599</v>
      </c>
      <c r="E1612" s="30" t="s">
        <v>615</v>
      </c>
    </row>
    <row r="1613" spans="1:5" x14ac:dyDescent="0.35">
      <c r="A1613" s="32">
        <v>1886</v>
      </c>
      <c r="B1613" s="32" t="s">
        <v>641</v>
      </c>
      <c r="C1613" s="32" t="s">
        <v>584</v>
      </c>
      <c r="D1613" s="30" t="s">
        <v>599</v>
      </c>
      <c r="E1613" s="30" t="s">
        <v>615</v>
      </c>
    </row>
    <row r="1614" spans="1:5" x14ac:dyDescent="0.35">
      <c r="A1614" s="32">
        <v>1887</v>
      </c>
      <c r="B1614" s="32" t="s">
        <v>571</v>
      </c>
      <c r="C1614" s="32" t="s">
        <v>648</v>
      </c>
      <c r="D1614" s="30" t="s">
        <v>635</v>
      </c>
      <c r="E1614" s="30" t="s">
        <v>671</v>
      </c>
    </row>
    <row r="1615" spans="1:5" x14ac:dyDescent="0.35">
      <c r="A1615" s="32">
        <v>1888</v>
      </c>
      <c r="B1615" s="32" t="s">
        <v>571</v>
      </c>
      <c r="C1615" s="32" t="s">
        <v>648</v>
      </c>
      <c r="D1615" s="30" t="s">
        <v>635</v>
      </c>
      <c r="E1615" s="30" t="s">
        <v>671</v>
      </c>
    </row>
    <row r="1616" spans="1:5" x14ac:dyDescent="0.35">
      <c r="A1616" s="32">
        <v>1889</v>
      </c>
      <c r="B1616" s="32" t="s">
        <v>571</v>
      </c>
      <c r="C1616" s="32" t="s">
        <v>648</v>
      </c>
      <c r="D1616" s="30" t="s">
        <v>635</v>
      </c>
      <c r="E1616" s="30" t="s">
        <v>671</v>
      </c>
    </row>
    <row r="1617" spans="1:5" x14ac:dyDescent="0.35">
      <c r="A1617" s="32">
        <v>1890</v>
      </c>
      <c r="B1617" s="32" t="s">
        <v>571</v>
      </c>
      <c r="C1617" s="32" t="s">
        <v>648</v>
      </c>
      <c r="D1617" s="30" t="s">
        <v>635</v>
      </c>
      <c r="E1617" s="30" t="s">
        <v>671</v>
      </c>
    </row>
    <row r="1618" spans="1:5" x14ac:dyDescent="0.35">
      <c r="A1618" s="32">
        <v>1891</v>
      </c>
      <c r="B1618" s="32" t="s">
        <v>571</v>
      </c>
      <c r="C1618" s="32" t="s">
        <v>648</v>
      </c>
      <c r="D1618" s="30" t="s">
        <v>635</v>
      </c>
      <c r="E1618" s="30" t="s">
        <v>671</v>
      </c>
    </row>
    <row r="1619" spans="1:5" x14ac:dyDescent="0.35">
      <c r="A1619" s="32">
        <v>1892</v>
      </c>
      <c r="B1619" s="32" t="s">
        <v>571</v>
      </c>
      <c r="C1619" s="32" t="s">
        <v>648</v>
      </c>
      <c r="D1619" s="30" t="s">
        <v>635</v>
      </c>
      <c r="E1619" s="30" t="s">
        <v>671</v>
      </c>
    </row>
    <row r="1620" spans="1:5" x14ac:dyDescent="0.35">
      <c r="A1620" s="32">
        <v>1893</v>
      </c>
      <c r="B1620" s="32" t="s">
        <v>571</v>
      </c>
      <c r="C1620" s="32" t="s">
        <v>648</v>
      </c>
      <c r="D1620" s="30" t="s">
        <v>635</v>
      </c>
      <c r="E1620" s="30" t="s">
        <v>671</v>
      </c>
    </row>
    <row r="1621" spans="1:5" x14ac:dyDescent="0.35">
      <c r="A1621" s="32">
        <v>1894</v>
      </c>
      <c r="B1621" s="32" t="s">
        <v>571</v>
      </c>
      <c r="C1621" s="32" t="s">
        <v>648</v>
      </c>
      <c r="D1621" s="30" t="s">
        <v>635</v>
      </c>
      <c r="E1621" s="30" t="s">
        <v>671</v>
      </c>
    </row>
    <row r="1622" spans="1:5" x14ac:dyDescent="0.35">
      <c r="A1622" s="32">
        <v>1895</v>
      </c>
      <c r="B1622" s="32" t="s">
        <v>571</v>
      </c>
      <c r="C1622" s="32" t="s">
        <v>648</v>
      </c>
      <c r="D1622" s="30" t="s">
        <v>635</v>
      </c>
      <c r="E1622" s="30" t="s">
        <v>671</v>
      </c>
    </row>
    <row r="1623" spans="1:5" x14ac:dyDescent="0.35">
      <c r="A1623" s="32">
        <v>1896</v>
      </c>
      <c r="B1623" s="32" t="s">
        <v>571</v>
      </c>
      <c r="C1623" s="32" t="s">
        <v>648</v>
      </c>
      <c r="D1623" s="30" t="s">
        <v>635</v>
      </c>
      <c r="E1623" s="30" t="s">
        <v>671</v>
      </c>
    </row>
    <row r="1624" spans="1:5" x14ac:dyDescent="0.35">
      <c r="A1624" s="32">
        <v>1897</v>
      </c>
      <c r="B1624" s="32" t="s">
        <v>571</v>
      </c>
      <c r="C1624" s="32" t="s">
        <v>648</v>
      </c>
      <c r="D1624" s="30" t="s">
        <v>635</v>
      </c>
      <c r="E1624" s="30" t="s">
        <v>671</v>
      </c>
    </row>
    <row r="1625" spans="1:5" x14ac:dyDescent="0.35">
      <c r="A1625" s="32">
        <v>1898</v>
      </c>
      <c r="B1625" s="32" t="s">
        <v>571</v>
      </c>
      <c r="C1625" s="32" t="s">
        <v>648</v>
      </c>
      <c r="D1625" s="30" t="s">
        <v>635</v>
      </c>
      <c r="E1625" s="30" t="s">
        <v>671</v>
      </c>
    </row>
    <row r="1626" spans="1:5" x14ac:dyDescent="0.35">
      <c r="A1626" s="32">
        <v>1899</v>
      </c>
      <c r="B1626" s="32" t="s">
        <v>571</v>
      </c>
      <c r="C1626" s="32" t="s">
        <v>648</v>
      </c>
      <c r="D1626" s="30" t="s">
        <v>635</v>
      </c>
      <c r="E1626" s="30" t="s">
        <v>671</v>
      </c>
    </row>
    <row r="1627" spans="1:5" x14ac:dyDescent="0.35">
      <c r="A1627" s="32">
        <v>1900</v>
      </c>
      <c r="B1627" s="32" t="s">
        <v>571</v>
      </c>
      <c r="C1627" s="32" t="s">
        <v>648</v>
      </c>
      <c r="D1627" s="30" t="s">
        <v>635</v>
      </c>
      <c r="E1627" s="30" t="s">
        <v>671</v>
      </c>
    </row>
    <row r="1628" spans="1:5" x14ac:dyDescent="0.35">
      <c r="A1628" s="32">
        <v>1901</v>
      </c>
      <c r="B1628" s="32" t="s">
        <v>571</v>
      </c>
      <c r="C1628" s="32" t="s">
        <v>648</v>
      </c>
      <c r="D1628" s="30" t="s">
        <v>635</v>
      </c>
      <c r="E1628" s="30" t="s">
        <v>671</v>
      </c>
    </row>
    <row r="1629" spans="1:5" x14ac:dyDescent="0.35">
      <c r="A1629" s="32">
        <v>1902</v>
      </c>
      <c r="B1629" s="32" t="s">
        <v>571</v>
      </c>
      <c r="C1629" s="32" t="s">
        <v>648</v>
      </c>
      <c r="D1629" s="30" t="s">
        <v>635</v>
      </c>
      <c r="E1629" s="30" t="s">
        <v>671</v>
      </c>
    </row>
    <row r="1630" spans="1:5" x14ac:dyDescent="0.35">
      <c r="A1630" s="32">
        <v>1903</v>
      </c>
      <c r="B1630" s="32" t="s">
        <v>571</v>
      </c>
      <c r="C1630" s="32" t="s">
        <v>648</v>
      </c>
      <c r="D1630" s="30" t="s">
        <v>635</v>
      </c>
      <c r="E1630" s="30" t="s">
        <v>671</v>
      </c>
    </row>
    <row r="1631" spans="1:5" x14ac:dyDescent="0.35">
      <c r="A1631" s="32">
        <v>1904</v>
      </c>
      <c r="B1631" s="32" t="s">
        <v>571</v>
      </c>
      <c r="C1631" s="32" t="s">
        <v>648</v>
      </c>
      <c r="D1631" s="30" t="s">
        <v>635</v>
      </c>
      <c r="E1631" s="30" t="s">
        <v>671</v>
      </c>
    </row>
    <row r="1632" spans="1:5" x14ac:dyDescent="0.35">
      <c r="A1632" s="32">
        <v>1905</v>
      </c>
      <c r="B1632" s="32" t="s">
        <v>571</v>
      </c>
      <c r="C1632" s="32" t="s">
        <v>648</v>
      </c>
      <c r="D1632" s="30" t="s">
        <v>635</v>
      </c>
      <c r="E1632" s="30" t="s">
        <v>671</v>
      </c>
    </row>
    <row r="1633" spans="1:5" x14ac:dyDescent="0.35">
      <c r="A1633" s="32">
        <v>1906</v>
      </c>
      <c r="B1633" s="32" t="s">
        <v>571</v>
      </c>
      <c r="C1633" s="32" t="s">
        <v>648</v>
      </c>
      <c r="D1633" s="30" t="s">
        <v>635</v>
      </c>
      <c r="E1633" s="30" t="s">
        <v>671</v>
      </c>
    </row>
    <row r="1634" spans="1:5" x14ac:dyDescent="0.35">
      <c r="A1634" s="32">
        <v>1907</v>
      </c>
      <c r="B1634" s="32" t="s">
        <v>571</v>
      </c>
      <c r="C1634" s="32" t="s">
        <v>648</v>
      </c>
      <c r="D1634" s="30" t="s">
        <v>635</v>
      </c>
      <c r="E1634" s="30" t="s">
        <v>671</v>
      </c>
    </row>
    <row r="1635" spans="1:5" x14ac:dyDescent="0.35">
      <c r="A1635" s="32">
        <v>1908</v>
      </c>
      <c r="B1635" s="32" t="s">
        <v>571</v>
      </c>
      <c r="C1635" s="32" t="s">
        <v>648</v>
      </c>
      <c r="D1635" s="30" t="s">
        <v>635</v>
      </c>
      <c r="E1635" s="30" t="s">
        <v>671</v>
      </c>
    </row>
    <row r="1636" spans="1:5" x14ac:dyDescent="0.35">
      <c r="A1636" s="32">
        <v>1909</v>
      </c>
      <c r="B1636" s="32" t="s">
        <v>571</v>
      </c>
      <c r="C1636" s="32" t="s">
        <v>648</v>
      </c>
      <c r="D1636" s="30" t="s">
        <v>635</v>
      </c>
      <c r="E1636" s="30" t="s">
        <v>671</v>
      </c>
    </row>
    <row r="1637" spans="1:5" x14ac:dyDescent="0.35">
      <c r="A1637" s="32">
        <v>1910</v>
      </c>
      <c r="B1637" s="32" t="s">
        <v>571</v>
      </c>
      <c r="C1637" s="32" t="s">
        <v>648</v>
      </c>
      <c r="D1637" s="30" t="s">
        <v>635</v>
      </c>
      <c r="E1637" s="30" t="s">
        <v>671</v>
      </c>
    </row>
    <row r="1638" spans="1:5" x14ac:dyDescent="0.35">
      <c r="A1638" s="32">
        <v>1911</v>
      </c>
      <c r="B1638" s="32" t="s">
        <v>571</v>
      </c>
      <c r="C1638" s="32" t="s">
        <v>648</v>
      </c>
      <c r="D1638" s="30" t="s">
        <v>635</v>
      </c>
      <c r="E1638" s="30" t="s">
        <v>671</v>
      </c>
    </row>
    <row r="1639" spans="1:5" x14ac:dyDescent="0.35">
      <c r="A1639" s="32">
        <v>1912</v>
      </c>
      <c r="B1639" s="32" t="s">
        <v>571</v>
      </c>
      <c r="C1639" s="32" t="s">
        <v>648</v>
      </c>
      <c r="D1639" s="30" t="s">
        <v>635</v>
      </c>
      <c r="E1639" s="30" t="s">
        <v>671</v>
      </c>
    </row>
    <row r="1640" spans="1:5" x14ac:dyDescent="0.35">
      <c r="A1640" s="32">
        <v>1913</v>
      </c>
      <c r="B1640" s="32" t="s">
        <v>634</v>
      </c>
      <c r="C1640" s="32" t="s">
        <v>648</v>
      </c>
      <c r="D1640" s="30" t="s">
        <v>635</v>
      </c>
      <c r="E1640" s="30" t="s">
        <v>671</v>
      </c>
    </row>
    <row r="1641" spans="1:5" x14ac:dyDescent="0.35">
      <c r="A1641" s="32">
        <v>1914</v>
      </c>
      <c r="B1641" s="32" t="s">
        <v>571</v>
      </c>
      <c r="C1641" s="32" t="s">
        <v>648</v>
      </c>
      <c r="D1641" s="30" t="s">
        <v>635</v>
      </c>
      <c r="E1641" s="30" t="s">
        <v>671</v>
      </c>
    </row>
    <row r="1642" spans="1:5" x14ac:dyDescent="0.35">
      <c r="A1642" s="32">
        <v>1915</v>
      </c>
      <c r="B1642" s="32" t="s">
        <v>641</v>
      </c>
      <c r="C1642" s="32" t="s">
        <v>648</v>
      </c>
      <c r="D1642" s="30" t="s">
        <v>635</v>
      </c>
      <c r="E1642" s="30" t="s">
        <v>671</v>
      </c>
    </row>
    <row r="1643" spans="1:5" x14ac:dyDescent="0.35">
      <c r="A1643" s="32">
        <v>1916</v>
      </c>
      <c r="B1643" s="32" t="s">
        <v>611</v>
      </c>
      <c r="C1643" s="32" t="s">
        <v>648</v>
      </c>
      <c r="D1643" s="30" t="s">
        <v>635</v>
      </c>
      <c r="E1643" s="30" t="s">
        <v>671</v>
      </c>
    </row>
    <row r="1644" spans="1:5" x14ac:dyDescent="0.35">
      <c r="A1644" s="32">
        <v>1917</v>
      </c>
      <c r="B1644" s="32" t="s">
        <v>642</v>
      </c>
      <c r="C1644" s="32" t="s">
        <v>648</v>
      </c>
      <c r="D1644" s="30" t="s">
        <v>635</v>
      </c>
      <c r="E1644" s="30" t="s">
        <v>671</v>
      </c>
    </row>
    <row r="1645" spans="1:5" x14ac:dyDescent="0.35">
      <c r="A1645" s="32">
        <v>1918</v>
      </c>
      <c r="B1645" s="32" t="s">
        <v>634</v>
      </c>
      <c r="C1645" s="32" t="s">
        <v>648</v>
      </c>
      <c r="D1645" s="30" t="s">
        <v>635</v>
      </c>
      <c r="E1645" s="30" t="s">
        <v>671</v>
      </c>
    </row>
    <row r="1646" spans="1:5" x14ac:dyDescent="0.35">
      <c r="A1646" s="32">
        <v>1919</v>
      </c>
      <c r="B1646" s="32" t="s">
        <v>634</v>
      </c>
      <c r="C1646" s="32" t="s">
        <v>648</v>
      </c>
      <c r="D1646" s="30" t="s">
        <v>635</v>
      </c>
      <c r="E1646" s="30" t="s">
        <v>671</v>
      </c>
    </row>
    <row r="1647" spans="1:5" x14ac:dyDescent="0.35">
      <c r="A1647" s="32">
        <v>1920</v>
      </c>
      <c r="B1647" s="32" t="s">
        <v>611</v>
      </c>
      <c r="C1647" s="32" t="s">
        <v>648</v>
      </c>
      <c r="D1647" s="30" t="s">
        <v>635</v>
      </c>
      <c r="E1647" s="30" t="s">
        <v>671</v>
      </c>
    </row>
    <row r="1648" spans="1:5" x14ac:dyDescent="0.35">
      <c r="A1648" s="32">
        <v>1921</v>
      </c>
      <c r="B1648" s="32" t="s">
        <v>611</v>
      </c>
      <c r="C1648" s="32" t="s">
        <v>648</v>
      </c>
      <c r="D1648" s="30" t="s">
        <v>635</v>
      </c>
      <c r="E1648" s="30" t="s">
        <v>671</v>
      </c>
    </row>
    <row r="1649" spans="1:5" x14ac:dyDescent="0.35">
      <c r="A1649" s="32">
        <v>1922</v>
      </c>
      <c r="B1649" s="32" t="s">
        <v>611</v>
      </c>
      <c r="C1649" s="32" t="s">
        <v>648</v>
      </c>
      <c r="D1649" s="30" t="s">
        <v>635</v>
      </c>
      <c r="E1649" s="30" t="s">
        <v>671</v>
      </c>
    </row>
    <row r="1650" spans="1:5" x14ac:dyDescent="0.35">
      <c r="A1650" s="32">
        <v>1923</v>
      </c>
      <c r="B1650" s="32" t="s">
        <v>611</v>
      </c>
      <c r="C1650" s="32" t="s">
        <v>605</v>
      </c>
      <c r="D1650" s="30" t="s">
        <v>635</v>
      </c>
      <c r="E1650" s="30" t="s">
        <v>671</v>
      </c>
    </row>
    <row r="1651" spans="1:5" x14ac:dyDescent="0.35">
      <c r="A1651" s="32">
        <v>1924</v>
      </c>
      <c r="B1651" s="32" t="s">
        <v>641</v>
      </c>
      <c r="C1651" s="32" t="s">
        <v>648</v>
      </c>
      <c r="D1651" s="30" t="s">
        <v>635</v>
      </c>
      <c r="E1651" s="30" t="s">
        <v>671</v>
      </c>
    </row>
    <row r="1652" spans="1:5" x14ac:dyDescent="0.35">
      <c r="A1652" s="32">
        <v>1925</v>
      </c>
      <c r="B1652" s="32" t="s">
        <v>611</v>
      </c>
      <c r="C1652" s="32" t="s">
        <v>648</v>
      </c>
      <c r="D1652" s="30" t="s">
        <v>635</v>
      </c>
      <c r="E1652" s="30" t="s">
        <v>671</v>
      </c>
    </row>
    <row r="1653" spans="1:5" x14ac:dyDescent="0.35">
      <c r="A1653" s="32">
        <v>1926</v>
      </c>
      <c r="B1653" s="32" t="s">
        <v>611</v>
      </c>
      <c r="C1653" s="32" t="s">
        <v>648</v>
      </c>
      <c r="D1653" s="30" t="s">
        <v>635</v>
      </c>
      <c r="E1653" s="30" t="s">
        <v>671</v>
      </c>
    </row>
    <row r="1654" spans="1:5" x14ac:dyDescent="0.35">
      <c r="A1654" s="32">
        <v>1927</v>
      </c>
      <c r="B1654" s="32" t="s">
        <v>611</v>
      </c>
      <c r="C1654" s="32" t="s">
        <v>648</v>
      </c>
      <c r="D1654" s="30" t="s">
        <v>635</v>
      </c>
      <c r="E1654" s="30" t="s">
        <v>671</v>
      </c>
    </row>
    <row r="1655" spans="1:5" x14ac:dyDescent="0.35">
      <c r="A1655" s="32">
        <v>1928</v>
      </c>
      <c r="B1655" s="32" t="s">
        <v>641</v>
      </c>
      <c r="C1655" s="32" t="s">
        <v>648</v>
      </c>
      <c r="D1655" s="30" t="s">
        <v>635</v>
      </c>
      <c r="E1655" s="30" t="s">
        <v>671</v>
      </c>
    </row>
    <row r="1656" spans="1:5" x14ac:dyDescent="0.35">
      <c r="A1656" s="32">
        <v>1929</v>
      </c>
      <c r="B1656" s="32" t="s">
        <v>571</v>
      </c>
      <c r="C1656" s="32" t="s">
        <v>648</v>
      </c>
      <c r="D1656" s="30" t="s">
        <v>621</v>
      </c>
      <c r="E1656" s="30" t="s">
        <v>669</v>
      </c>
    </row>
    <row r="1657" spans="1:5" x14ac:dyDescent="0.35">
      <c r="A1657" s="32">
        <v>1930</v>
      </c>
      <c r="B1657" s="32" t="s">
        <v>610</v>
      </c>
      <c r="C1657" s="32" t="s">
        <v>584</v>
      </c>
      <c r="D1657" s="30" t="s">
        <v>599</v>
      </c>
      <c r="E1657" s="30" t="s">
        <v>600</v>
      </c>
    </row>
    <row r="1658" spans="1:5" x14ac:dyDescent="0.35">
      <c r="A1658" s="32">
        <v>1931</v>
      </c>
      <c r="B1658" s="32" t="s">
        <v>610</v>
      </c>
      <c r="C1658" s="32" t="s">
        <v>584</v>
      </c>
      <c r="D1658" s="30" t="s">
        <v>599</v>
      </c>
      <c r="E1658" s="30" t="s">
        <v>600</v>
      </c>
    </row>
    <row r="1659" spans="1:5" x14ac:dyDescent="0.35">
      <c r="A1659" s="32">
        <v>1932</v>
      </c>
      <c r="B1659" s="32" t="s">
        <v>610</v>
      </c>
      <c r="C1659" s="32" t="s">
        <v>584</v>
      </c>
      <c r="D1659" s="30" t="s">
        <v>599</v>
      </c>
      <c r="E1659" s="30" t="s">
        <v>600</v>
      </c>
    </row>
    <row r="1660" spans="1:5" x14ac:dyDescent="0.35">
      <c r="A1660" s="32">
        <v>1933</v>
      </c>
      <c r="B1660" s="32" t="s">
        <v>610</v>
      </c>
      <c r="C1660" s="32" t="s">
        <v>584</v>
      </c>
      <c r="D1660" s="30" t="s">
        <v>599</v>
      </c>
      <c r="E1660" s="30" t="s">
        <v>600</v>
      </c>
    </row>
    <row r="1661" spans="1:5" x14ac:dyDescent="0.35">
      <c r="A1661" s="32">
        <v>1934</v>
      </c>
      <c r="B1661" s="32" t="s">
        <v>610</v>
      </c>
      <c r="C1661" s="32" t="s">
        <v>584</v>
      </c>
      <c r="D1661" s="30" t="s">
        <v>599</v>
      </c>
      <c r="E1661" s="30" t="s">
        <v>600</v>
      </c>
    </row>
    <row r="1662" spans="1:5" x14ac:dyDescent="0.35">
      <c r="A1662" s="32">
        <v>1935</v>
      </c>
      <c r="B1662" s="32" t="s">
        <v>610</v>
      </c>
      <c r="C1662" s="32" t="s">
        <v>584</v>
      </c>
      <c r="D1662" s="30" t="s">
        <v>599</v>
      </c>
      <c r="E1662" s="30" t="s">
        <v>600</v>
      </c>
    </row>
    <row r="1663" spans="1:5" x14ac:dyDescent="0.35">
      <c r="A1663" s="32">
        <v>1936</v>
      </c>
      <c r="B1663" s="32" t="s">
        <v>571</v>
      </c>
      <c r="C1663" s="32" t="s">
        <v>648</v>
      </c>
      <c r="D1663" s="30" t="s">
        <v>573</v>
      </c>
      <c r="E1663" s="30" t="s">
        <v>574</v>
      </c>
    </row>
    <row r="1664" spans="1:5" x14ac:dyDescent="0.35">
      <c r="A1664" s="32">
        <v>1937</v>
      </c>
      <c r="B1664" s="32" t="s">
        <v>571</v>
      </c>
      <c r="C1664" s="32" t="s">
        <v>648</v>
      </c>
      <c r="D1664" s="30" t="s">
        <v>573</v>
      </c>
      <c r="E1664" s="30" t="s">
        <v>574</v>
      </c>
    </row>
    <row r="1665" spans="1:5" x14ac:dyDescent="0.35">
      <c r="A1665" s="32">
        <v>1938</v>
      </c>
      <c r="B1665" s="32" t="s">
        <v>571</v>
      </c>
      <c r="C1665" s="32" t="s">
        <v>648</v>
      </c>
      <c r="D1665" s="30" t="s">
        <v>573</v>
      </c>
      <c r="E1665" s="30" t="s">
        <v>574</v>
      </c>
    </row>
    <row r="1666" spans="1:5" x14ac:dyDescent="0.35">
      <c r="A1666" s="32">
        <v>1939</v>
      </c>
      <c r="B1666" s="32" t="s">
        <v>571</v>
      </c>
      <c r="C1666" s="32" t="s">
        <v>648</v>
      </c>
      <c r="D1666" s="30" t="s">
        <v>573</v>
      </c>
      <c r="E1666" s="30" t="s">
        <v>574</v>
      </c>
    </row>
    <row r="1667" spans="1:5" x14ac:dyDescent="0.35">
      <c r="A1667" s="32">
        <v>1940</v>
      </c>
      <c r="B1667" s="32" t="s">
        <v>571</v>
      </c>
      <c r="C1667" s="32" t="s">
        <v>648</v>
      </c>
      <c r="D1667" s="30" t="s">
        <v>573</v>
      </c>
      <c r="E1667" s="30" t="s">
        <v>574</v>
      </c>
    </row>
    <row r="1668" spans="1:5" x14ac:dyDescent="0.35">
      <c r="A1668" s="32">
        <v>1941</v>
      </c>
      <c r="B1668" s="32" t="s">
        <v>571</v>
      </c>
      <c r="C1668" s="32" t="s">
        <v>648</v>
      </c>
      <c r="D1668" s="30" t="s">
        <v>573</v>
      </c>
      <c r="E1668" s="30" t="s">
        <v>574</v>
      </c>
    </row>
    <row r="1669" spans="1:5" x14ac:dyDescent="0.35">
      <c r="A1669" s="32">
        <v>1942</v>
      </c>
      <c r="B1669" s="32" t="s">
        <v>571</v>
      </c>
      <c r="C1669" s="32" t="s">
        <v>580</v>
      </c>
      <c r="D1669" s="30" t="s">
        <v>573</v>
      </c>
      <c r="E1669" s="30" t="s">
        <v>574</v>
      </c>
    </row>
    <row r="1670" spans="1:5" x14ac:dyDescent="0.35">
      <c r="A1670" s="32">
        <v>1943</v>
      </c>
      <c r="B1670" s="32" t="s">
        <v>571</v>
      </c>
      <c r="C1670" s="32" t="s">
        <v>580</v>
      </c>
      <c r="D1670" s="30" t="s">
        <v>573</v>
      </c>
      <c r="E1670" s="30" t="s">
        <v>574</v>
      </c>
    </row>
    <row r="1671" spans="1:5" x14ac:dyDescent="0.35">
      <c r="A1671" s="32">
        <v>1944</v>
      </c>
      <c r="B1671" s="32" t="s">
        <v>571</v>
      </c>
      <c r="C1671" s="32" t="s">
        <v>580</v>
      </c>
      <c r="D1671" s="30" t="s">
        <v>573</v>
      </c>
      <c r="E1671" s="30" t="s">
        <v>574</v>
      </c>
    </row>
    <row r="1672" spans="1:5" x14ac:dyDescent="0.35">
      <c r="A1672" s="32">
        <v>1945</v>
      </c>
      <c r="B1672" s="32" t="s">
        <v>571</v>
      </c>
      <c r="C1672" s="32" t="s">
        <v>580</v>
      </c>
      <c r="D1672" s="30" t="s">
        <v>573</v>
      </c>
      <c r="E1672" s="30" t="s">
        <v>574</v>
      </c>
    </row>
    <row r="1673" spans="1:5" x14ac:dyDescent="0.35">
      <c r="A1673" s="32">
        <v>1946</v>
      </c>
      <c r="B1673" s="32" t="s">
        <v>571</v>
      </c>
      <c r="C1673" s="32" t="s">
        <v>580</v>
      </c>
      <c r="D1673" s="30" t="s">
        <v>573</v>
      </c>
      <c r="E1673" s="30" t="s">
        <v>574</v>
      </c>
    </row>
    <row r="1674" spans="1:5" x14ac:dyDescent="0.35">
      <c r="A1674" s="32">
        <v>1947</v>
      </c>
      <c r="B1674" s="32" t="s">
        <v>571</v>
      </c>
      <c r="C1674" s="32" t="s">
        <v>580</v>
      </c>
      <c r="D1674" s="30" t="s">
        <v>573</v>
      </c>
      <c r="E1674" s="30" t="s">
        <v>574</v>
      </c>
    </row>
    <row r="1675" spans="1:5" x14ac:dyDescent="0.35">
      <c r="A1675" s="32">
        <v>1948</v>
      </c>
      <c r="B1675" s="32" t="s">
        <v>571</v>
      </c>
      <c r="C1675" s="32" t="s">
        <v>648</v>
      </c>
      <c r="D1675" s="30" t="s">
        <v>573</v>
      </c>
      <c r="E1675" s="30" t="s">
        <v>574</v>
      </c>
    </row>
    <row r="1676" spans="1:5" x14ac:dyDescent="0.35">
      <c r="A1676" s="32">
        <v>1949</v>
      </c>
      <c r="B1676" s="32" t="s">
        <v>571</v>
      </c>
      <c r="C1676" s="32" t="s">
        <v>648</v>
      </c>
      <c r="D1676" s="30" t="s">
        <v>573</v>
      </c>
      <c r="E1676" s="30" t="s">
        <v>574</v>
      </c>
    </row>
    <row r="1677" spans="1:5" x14ac:dyDescent="0.35">
      <c r="A1677" s="32">
        <v>1950</v>
      </c>
      <c r="B1677" s="32" t="s">
        <v>571</v>
      </c>
      <c r="C1677" s="32" t="s">
        <v>648</v>
      </c>
      <c r="D1677" s="30" t="s">
        <v>573</v>
      </c>
      <c r="E1677" s="30" t="s">
        <v>574</v>
      </c>
    </row>
    <row r="1678" spans="1:5" x14ac:dyDescent="0.35">
      <c r="A1678" s="32">
        <v>1951</v>
      </c>
      <c r="B1678" s="32" t="s">
        <v>571</v>
      </c>
      <c r="C1678" s="32" t="s">
        <v>648</v>
      </c>
      <c r="D1678" s="30" t="s">
        <v>573</v>
      </c>
      <c r="E1678" s="30" t="s">
        <v>574</v>
      </c>
    </row>
    <row r="1679" spans="1:5" x14ac:dyDescent="0.35">
      <c r="A1679" s="32">
        <v>1952</v>
      </c>
      <c r="B1679" s="32" t="s">
        <v>571</v>
      </c>
      <c r="C1679" s="32" t="s">
        <v>648</v>
      </c>
      <c r="D1679" s="30" t="s">
        <v>573</v>
      </c>
      <c r="E1679" s="30" t="s">
        <v>574</v>
      </c>
    </row>
    <row r="1680" spans="1:5" x14ac:dyDescent="0.35">
      <c r="A1680" s="32">
        <v>1953</v>
      </c>
      <c r="B1680" s="32" t="s">
        <v>571</v>
      </c>
      <c r="C1680" s="32" t="s">
        <v>648</v>
      </c>
      <c r="D1680" s="30" t="s">
        <v>573</v>
      </c>
      <c r="E1680" s="30" t="s">
        <v>574</v>
      </c>
    </row>
    <row r="1681" spans="1:5" x14ac:dyDescent="0.35">
      <c r="A1681" s="32">
        <v>1954</v>
      </c>
      <c r="B1681" s="32" t="s">
        <v>571</v>
      </c>
      <c r="C1681" s="32" t="s">
        <v>580</v>
      </c>
      <c r="D1681" s="30" t="s">
        <v>573</v>
      </c>
      <c r="E1681" s="30" t="s">
        <v>574</v>
      </c>
    </row>
    <row r="1682" spans="1:5" x14ac:dyDescent="0.35">
      <c r="A1682" s="32">
        <v>1955</v>
      </c>
      <c r="B1682" s="32" t="s">
        <v>571</v>
      </c>
      <c r="C1682" s="32" t="s">
        <v>580</v>
      </c>
      <c r="D1682" s="30" t="s">
        <v>573</v>
      </c>
      <c r="E1682" s="30" t="s">
        <v>574</v>
      </c>
    </row>
    <row r="1683" spans="1:5" x14ac:dyDescent="0.35">
      <c r="A1683" s="32">
        <v>1956</v>
      </c>
      <c r="B1683" s="32" t="s">
        <v>571</v>
      </c>
      <c r="C1683" s="32" t="s">
        <v>580</v>
      </c>
      <c r="D1683" s="30" t="s">
        <v>573</v>
      </c>
      <c r="E1683" s="30" t="s">
        <v>574</v>
      </c>
    </row>
    <row r="1684" spans="1:5" x14ac:dyDescent="0.35">
      <c r="A1684" s="32">
        <v>1957</v>
      </c>
      <c r="B1684" s="32" t="s">
        <v>571</v>
      </c>
      <c r="C1684" s="32" t="s">
        <v>580</v>
      </c>
      <c r="D1684" s="30" t="s">
        <v>573</v>
      </c>
      <c r="E1684" s="30" t="s">
        <v>574</v>
      </c>
    </row>
    <row r="1685" spans="1:5" x14ac:dyDescent="0.35">
      <c r="A1685" s="32">
        <v>1958</v>
      </c>
      <c r="B1685" s="32" t="s">
        <v>571</v>
      </c>
      <c r="C1685" s="32" t="s">
        <v>580</v>
      </c>
      <c r="D1685" s="30" t="s">
        <v>573</v>
      </c>
      <c r="E1685" s="30" t="s">
        <v>574</v>
      </c>
    </row>
    <row r="1686" spans="1:5" x14ac:dyDescent="0.35">
      <c r="A1686" s="32">
        <v>1959</v>
      </c>
      <c r="B1686" s="32" t="s">
        <v>571</v>
      </c>
      <c r="C1686" s="32" t="s">
        <v>580</v>
      </c>
      <c r="D1686" s="30" t="s">
        <v>573</v>
      </c>
      <c r="E1686" s="30" t="s">
        <v>574</v>
      </c>
    </row>
    <row r="1687" spans="1:5" x14ac:dyDescent="0.35">
      <c r="A1687" s="32">
        <v>1960</v>
      </c>
      <c r="B1687" s="32" t="s">
        <v>571</v>
      </c>
      <c r="C1687" s="32" t="s">
        <v>648</v>
      </c>
      <c r="D1687" s="30" t="s">
        <v>573</v>
      </c>
      <c r="E1687" s="30" t="s">
        <v>574</v>
      </c>
    </row>
    <row r="1688" spans="1:5" x14ac:dyDescent="0.35">
      <c r="A1688" s="32">
        <v>1961</v>
      </c>
      <c r="B1688" s="32" t="s">
        <v>571</v>
      </c>
      <c r="C1688" s="32" t="s">
        <v>648</v>
      </c>
      <c r="D1688" s="30" t="s">
        <v>573</v>
      </c>
      <c r="E1688" s="30" t="s">
        <v>574</v>
      </c>
    </row>
    <row r="1689" spans="1:5" x14ac:dyDescent="0.35">
      <c r="A1689" s="32">
        <v>1962</v>
      </c>
      <c r="B1689" s="32" t="s">
        <v>571</v>
      </c>
      <c r="C1689" s="32" t="s">
        <v>648</v>
      </c>
      <c r="D1689" s="30" t="s">
        <v>573</v>
      </c>
      <c r="E1689" s="30" t="s">
        <v>574</v>
      </c>
    </row>
    <row r="1690" spans="1:5" x14ac:dyDescent="0.35">
      <c r="A1690" s="32">
        <v>1963</v>
      </c>
      <c r="B1690" s="32" t="s">
        <v>571</v>
      </c>
      <c r="C1690" s="32" t="s">
        <v>648</v>
      </c>
      <c r="D1690" s="30" t="s">
        <v>573</v>
      </c>
      <c r="E1690" s="30" t="s">
        <v>574</v>
      </c>
    </row>
    <row r="1691" spans="1:5" x14ac:dyDescent="0.35">
      <c r="A1691" s="32">
        <v>1964</v>
      </c>
      <c r="B1691" s="32" t="s">
        <v>571</v>
      </c>
      <c r="C1691" s="32" t="s">
        <v>648</v>
      </c>
      <c r="D1691" s="30" t="s">
        <v>573</v>
      </c>
      <c r="E1691" s="30" t="s">
        <v>574</v>
      </c>
    </row>
    <row r="1692" spans="1:5" x14ac:dyDescent="0.35">
      <c r="A1692" s="32">
        <v>1965</v>
      </c>
      <c r="B1692" s="32" t="s">
        <v>571</v>
      </c>
      <c r="C1692" s="32" t="s">
        <v>648</v>
      </c>
      <c r="D1692" s="30" t="s">
        <v>573</v>
      </c>
      <c r="E1692" s="30" t="s">
        <v>574</v>
      </c>
    </row>
    <row r="1693" spans="1:5" x14ac:dyDescent="0.35">
      <c r="A1693" s="32">
        <v>1966</v>
      </c>
      <c r="B1693" s="32" t="s">
        <v>571</v>
      </c>
      <c r="C1693" s="32" t="s">
        <v>580</v>
      </c>
      <c r="D1693" s="30" t="s">
        <v>573</v>
      </c>
      <c r="E1693" s="30" t="s">
        <v>574</v>
      </c>
    </row>
    <row r="1694" spans="1:5" x14ac:dyDescent="0.35">
      <c r="A1694" s="32">
        <v>1967</v>
      </c>
      <c r="B1694" s="32" t="s">
        <v>571</v>
      </c>
      <c r="C1694" s="32" t="s">
        <v>580</v>
      </c>
      <c r="D1694" s="30" t="s">
        <v>573</v>
      </c>
      <c r="E1694" s="30" t="s">
        <v>574</v>
      </c>
    </row>
    <row r="1695" spans="1:5" x14ac:dyDescent="0.35">
      <c r="A1695" s="32">
        <v>1968</v>
      </c>
      <c r="B1695" s="32" t="s">
        <v>571</v>
      </c>
      <c r="C1695" s="32" t="s">
        <v>580</v>
      </c>
      <c r="D1695" s="30" t="s">
        <v>573</v>
      </c>
      <c r="E1695" s="30" t="s">
        <v>574</v>
      </c>
    </row>
    <row r="1696" spans="1:5" x14ac:dyDescent="0.35">
      <c r="A1696" s="32">
        <v>1969</v>
      </c>
      <c r="B1696" s="32" t="s">
        <v>571</v>
      </c>
      <c r="C1696" s="32" t="s">
        <v>580</v>
      </c>
      <c r="D1696" s="30" t="s">
        <v>573</v>
      </c>
      <c r="E1696" s="30" t="s">
        <v>574</v>
      </c>
    </row>
    <row r="1697" spans="1:5" x14ac:dyDescent="0.35">
      <c r="A1697" s="32">
        <v>1970</v>
      </c>
      <c r="B1697" s="32" t="s">
        <v>571</v>
      </c>
      <c r="C1697" s="32" t="s">
        <v>580</v>
      </c>
      <c r="D1697" s="30" t="s">
        <v>573</v>
      </c>
      <c r="E1697" s="30" t="s">
        <v>574</v>
      </c>
    </row>
    <row r="1698" spans="1:5" x14ac:dyDescent="0.35">
      <c r="A1698" s="32">
        <v>1971</v>
      </c>
      <c r="B1698" s="32" t="s">
        <v>571</v>
      </c>
      <c r="C1698" s="32" t="s">
        <v>580</v>
      </c>
      <c r="D1698" s="30" t="s">
        <v>573</v>
      </c>
      <c r="E1698" s="30" t="s">
        <v>574</v>
      </c>
    </row>
    <row r="1699" spans="1:5" x14ac:dyDescent="0.35">
      <c r="A1699" s="32">
        <v>1972</v>
      </c>
      <c r="B1699" s="32" t="s">
        <v>571</v>
      </c>
      <c r="C1699" s="32" t="s">
        <v>648</v>
      </c>
      <c r="D1699" s="30" t="s">
        <v>573</v>
      </c>
      <c r="E1699" s="30" t="s">
        <v>574</v>
      </c>
    </row>
    <row r="1700" spans="1:5" x14ac:dyDescent="0.35">
      <c r="A1700" s="32">
        <v>1973</v>
      </c>
      <c r="B1700" s="32" t="s">
        <v>571</v>
      </c>
      <c r="C1700" s="32" t="s">
        <v>648</v>
      </c>
      <c r="D1700" s="30" t="s">
        <v>573</v>
      </c>
      <c r="E1700" s="30" t="s">
        <v>574</v>
      </c>
    </row>
    <row r="1701" spans="1:5" x14ac:dyDescent="0.35">
      <c r="A1701" s="32">
        <v>1974</v>
      </c>
      <c r="B1701" s="32" t="s">
        <v>571</v>
      </c>
      <c r="C1701" s="32" t="s">
        <v>648</v>
      </c>
      <c r="D1701" s="30" t="s">
        <v>573</v>
      </c>
      <c r="E1701" s="30" t="s">
        <v>574</v>
      </c>
    </row>
    <row r="1702" spans="1:5" x14ac:dyDescent="0.35">
      <c r="A1702" s="32">
        <v>1975</v>
      </c>
      <c r="B1702" s="32" t="s">
        <v>571</v>
      </c>
      <c r="C1702" s="32" t="s">
        <v>648</v>
      </c>
      <c r="D1702" s="30" t="s">
        <v>573</v>
      </c>
      <c r="E1702" s="30" t="s">
        <v>574</v>
      </c>
    </row>
    <row r="1703" spans="1:5" x14ac:dyDescent="0.35">
      <c r="A1703" s="32">
        <v>1976</v>
      </c>
      <c r="B1703" s="32" t="s">
        <v>571</v>
      </c>
      <c r="C1703" s="32" t="s">
        <v>648</v>
      </c>
      <c r="D1703" s="30" t="s">
        <v>573</v>
      </c>
      <c r="E1703" s="30" t="s">
        <v>574</v>
      </c>
    </row>
    <row r="1704" spans="1:5" x14ac:dyDescent="0.35">
      <c r="A1704" s="32">
        <v>1977</v>
      </c>
      <c r="B1704" s="32" t="s">
        <v>571</v>
      </c>
      <c r="C1704" s="32" t="s">
        <v>648</v>
      </c>
      <c r="D1704" s="30" t="s">
        <v>573</v>
      </c>
      <c r="E1704" s="30" t="s">
        <v>574</v>
      </c>
    </row>
    <row r="1705" spans="1:5" x14ac:dyDescent="0.35">
      <c r="A1705" s="32">
        <v>1978</v>
      </c>
      <c r="B1705" s="32" t="s">
        <v>571</v>
      </c>
      <c r="C1705" s="32" t="s">
        <v>580</v>
      </c>
      <c r="D1705" s="30" t="s">
        <v>573</v>
      </c>
      <c r="E1705" s="30" t="s">
        <v>574</v>
      </c>
    </row>
    <row r="1706" spans="1:5" x14ac:dyDescent="0.35">
      <c r="A1706" s="32">
        <v>1979</v>
      </c>
      <c r="B1706" s="32" t="s">
        <v>571</v>
      </c>
      <c r="C1706" s="32" t="s">
        <v>580</v>
      </c>
      <c r="D1706" s="30" t="s">
        <v>573</v>
      </c>
      <c r="E1706" s="30" t="s">
        <v>574</v>
      </c>
    </row>
    <row r="1707" spans="1:5" x14ac:dyDescent="0.35">
      <c r="A1707" s="32">
        <v>1980</v>
      </c>
      <c r="B1707" s="32" t="s">
        <v>571</v>
      </c>
      <c r="C1707" s="32" t="s">
        <v>580</v>
      </c>
      <c r="D1707" s="30" t="s">
        <v>573</v>
      </c>
      <c r="E1707" s="30" t="s">
        <v>574</v>
      </c>
    </row>
    <row r="1708" spans="1:5" x14ac:dyDescent="0.35">
      <c r="A1708" s="32">
        <v>1981</v>
      </c>
      <c r="B1708" s="32" t="s">
        <v>571</v>
      </c>
      <c r="C1708" s="32" t="s">
        <v>580</v>
      </c>
      <c r="D1708" s="30" t="s">
        <v>573</v>
      </c>
      <c r="E1708" s="30" t="s">
        <v>574</v>
      </c>
    </row>
    <row r="1709" spans="1:5" x14ac:dyDescent="0.35">
      <c r="A1709" s="32">
        <v>1982</v>
      </c>
      <c r="B1709" s="32" t="s">
        <v>571</v>
      </c>
      <c r="C1709" s="32" t="s">
        <v>580</v>
      </c>
      <c r="D1709" s="30" t="s">
        <v>573</v>
      </c>
      <c r="E1709" s="30" t="s">
        <v>574</v>
      </c>
    </row>
    <row r="1710" spans="1:5" x14ac:dyDescent="0.35">
      <c r="A1710" s="32">
        <v>1983</v>
      </c>
      <c r="B1710" s="32" t="s">
        <v>571</v>
      </c>
      <c r="C1710" s="32" t="s">
        <v>580</v>
      </c>
      <c r="D1710" s="30" t="s">
        <v>573</v>
      </c>
      <c r="E1710" s="30" t="s">
        <v>574</v>
      </c>
    </row>
    <row r="1711" spans="1:5" x14ac:dyDescent="0.35">
      <c r="A1711" s="32">
        <v>1984</v>
      </c>
      <c r="B1711" s="32" t="s">
        <v>571</v>
      </c>
      <c r="C1711" s="32" t="s">
        <v>648</v>
      </c>
      <c r="D1711" s="30" t="s">
        <v>573</v>
      </c>
      <c r="E1711" s="30" t="s">
        <v>574</v>
      </c>
    </row>
    <row r="1712" spans="1:5" x14ac:dyDescent="0.35">
      <c r="A1712" s="32">
        <v>1985</v>
      </c>
      <c r="B1712" s="32" t="s">
        <v>571</v>
      </c>
      <c r="C1712" s="32" t="s">
        <v>648</v>
      </c>
      <c r="D1712" s="30" t="s">
        <v>573</v>
      </c>
      <c r="E1712" s="30" t="s">
        <v>574</v>
      </c>
    </row>
    <row r="1713" spans="1:5" x14ac:dyDescent="0.35">
      <c r="A1713" s="32">
        <v>1986</v>
      </c>
      <c r="B1713" s="32" t="s">
        <v>571</v>
      </c>
      <c r="C1713" s="32" t="s">
        <v>648</v>
      </c>
      <c r="D1713" s="30" t="s">
        <v>573</v>
      </c>
      <c r="E1713" s="30" t="s">
        <v>574</v>
      </c>
    </row>
    <row r="1714" spans="1:5" x14ac:dyDescent="0.35">
      <c r="A1714" s="32">
        <v>1987</v>
      </c>
      <c r="B1714" s="32" t="s">
        <v>571</v>
      </c>
      <c r="C1714" s="32" t="s">
        <v>648</v>
      </c>
      <c r="D1714" s="30" t="s">
        <v>573</v>
      </c>
      <c r="E1714" s="30" t="s">
        <v>574</v>
      </c>
    </row>
    <row r="1715" spans="1:5" x14ac:dyDescent="0.35">
      <c r="A1715" s="32">
        <v>1988</v>
      </c>
      <c r="B1715" s="32" t="s">
        <v>571</v>
      </c>
      <c r="C1715" s="32" t="s">
        <v>648</v>
      </c>
      <c r="D1715" s="30" t="s">
        <v>573</v>
      </c>
      <c r="E1715" s="30" t="s">
        <v>574</v>
      </c>
    </row>
    <row r="1716" spans="1:5" x14ac:dyDescent="0.35">
      <c r="A1716" s="32">
        <v>1989</v>
      </c>
      <c r="B1716" s="32" t="s">
        <v>571</v>
      </c>
      <c r="C1716" s="32" t="s">
        <v>648</v>
      </c>
      <c r="D1716" s="30" t="s">
        <v>573</v>
      </c>
      <c r="E1716" s="30" t="s">
        <v>574</v>
      </c>
    </row>
    <row r="1717" spans="1:5" x14ac:dyDescent="0.35">
      <c r="A1717" s="32">
        <v>1990</v>
      </c>
      <c r="B1717" s="32" t="s">
        <v>571</v>
      </c>
      <c r="C1717" s="32" t="s">
        <v>580</v>
      </c>
      <c r="D1717" s="30" t="s">
        <v>573</v>
      </c>
      <c r="E1717" s="30" t="s">
        <v>574</v>
      </c>
    </row>
    <row r="1718" spans="1:5" x14ac:dyDescent="0.35">
      <c r="A1718" s="32">
        <v>1991</v>
      </c>
      <c r="B1718" s="32" t="s">
        <v>571</v>
      </c>
      <c r="C1718" s="32" t="s">
        <v>580</v>
      </c>
      <c r="D1718" s="30" t="s">
        <v>573</v>
      </c>
      <c r="E1718" s="30" t="s">
        <v>574</v>
      </c>
    </row>
    <row r="1719" spans="1:5" x14ac:dyDescent="0.35">
      <c r="A1719" s="32">
        <v>1992</v>
      </c>
      <c r="B1719" s="32" t="s">
        <v>571</v>
      </c>
      <c r="C1719" s="32" t="s">
        <v>580</v>
      </c>
      <c r="D1719" s="30" t="s">
        <v>573</v>
      </c>
      <c r="E1719" s="30" t="s">
        <v>574</v>
      </c>
    </row>
    <row r="1720" spans="1:5" x14ac:dyDescent="0.35">
      <c r="A1720" s="32">
        <v>1993</v>
      </c>
      <c r="B1720" s="32" t="s">
        <v>571</v>
      </c>
      <c r="C1720" s="32" t="s">
        <v>580</v>
      </c>
      <c r="D1720" s="30" t="s">
        <v>573</v>
      </c>
      <c r="E1720" s="30" t="s">
        <v>574</v>
      </c>
    </row>
    <row r="1721" spans="1:5" x14ac:dyDescent="0.35">
      <c r="A1721" s="32">
        <v>1994</v>
      </c>
      <c r="B1721" s="32" t="s">
        <v>571</v>
      </c>
      <c r="C1721" s="32" t="s">
        <v>580</v>
      </c>
      <c r="D1721" s="30" t="s">
        <v>573</v>
      </c>
      <c r="E1721" s="30" t="s">
        <v>574</v>
      </c>
    </row>
    <row r="1722" spans="1:5" x14ac:dyDescent="0.35">
      <c r="A1722" s="32">
        <v>1995</v>
      </c>
      <c r="B1722" s="32" t="s">
        <v>571</v>
      </c>
      <c r="C1722" s="32" t="s">
        <v>580</v>
      </c>
      <c r="D1722" s="30" t="s">
        <v>573</v>
      </c>
      <c r="E1722" s="30" t="s">
        <v>574</v>
      </c>
    </row>
    <row r="1723" spans="1:5" x14ac:dyDescent="0.35">
      <c r="A1723" s="32">
        <v>1996</v>
      </c>
      <c r="B1723" s="32" t="s">
        <v>571</v>
      </c>
      <c r="C1723" s="32" t="s">
        <v>648</v>
      </c>
      <c r="D1723" s="30" t="s">
        <v>573</v>
      </c>
      <c r="E1723" s="30" t="s">
        <v>574</v>
      </c>
    </row>
    <row r="1724" spans="1:5" x14ac:dyDescent="0.35">
      <c r="A1724" s="32">
        <v>1997</v>
      </c>
      <c r="B1724" s="32" t="s">
        <v>571</v>
      </c>
      <c r="C1724" s="32" t="s">
        <v>648</v>
      </c>
      <c r="D1724" s="30" t="s">
        <v>573</v>
      </c>
      <c r="E1724" s="30" t="s">
        <v>574</v>
      </c>
    </row>
    <row r="1725" spans="1:5" x14ac:dyDescent="0.35">
      <c r="A1725" s="32">
        <v>1998</v>
      </c>
      <c r="B1725" s="32" t="s">
        <v>571</v>
      </c>
      <c r="C1725" s="32" t="s">
        <v>648</v>
      </c>
      <c r="D1725" s="30" t="s">
        <v>573</v>
      </c>
      <c r="E1725" s="30" t="s">
        <v>574</v>
      </c>
    </row>
    <row r="1726" spans="1:5" x14ac:dyDescent="0.35">
      <c r="A1726" s="32">
        <v>1999</v>
      </c>
      <c r="B1726" s="32" t="s">
        <v>571</v>
      </c>
      <c r="C1726" s="32" t="s">
        <v>648</v>
      </c>
      <c r="D1726" s="30" t="s">
        <v>573</v>
      </c>
      <c r="E1726" s="30" t="s">
        <v>574</v>
      </c>
    </row>
    <row r="1727" spans="1:5" x14ac:dyDescent="0.35">
      <c r="A1727" s="32">
        <v>2000</v>
      </c>
      <c r="B1727" s="32" t="s">
        <v>571</v>
      </c>
      <c r="C1727" s="32" t="s">
        <v>648</v>
      </c>
      <c r="D1727" s="30" t="s">
        <v>573</v>
      </c>
      <c r="E1727" s="30" t="s">
        <v>574</v>
      </c>
    </row>
    <row r="1728" spans="1:5" x14ac:dyDescent="0.35">
      <c r="A1728" s="32">
        <v>2001</v>
      </c>
      <c r="B1728" s="32" t="s">
        <v>571</v>
      </c>
      <c r="C1728" s="32" t="s">
        <v>648</v>
      </c>
      <c r="D1728" s="30" t="s">
        <v>573</v>
      </c>
      <c r="E1728" s="30" t="s">
        <v>574</v>
      </c>
    </row>
    <row r="1729" spans="1:5" x14ac:dyDescent="0.35">
      <c r="A1729" s="32">
        <v>2002</v>
      </c>
      <c r="B1729" s="32" t="s">
        <v>571</v>
      </c>
      <c r="C1729" s="32" t="s">
        <v>580</v>
      </c>
      <c r="D1729" s="30" t="s">
        <v>573</v>
      </c>
      <c r="E1729" s="30" t="s">
        <v>574</v>
      </c>
    </row>
    <row r="1730" spans="1:5" x14ac:dyDescent="0.35">
      <c r="A1730" s="32">
        <v>2003</v>
      </c>
      <c r="B1730" s="32" t="s">
        <v>571</v>
      </c>
      <c r="C1730" s="32" t="s">
        <v>580</v>
      </c>
      <c r="D1730" s="30" t="s">
        <v>573</v>
      </c>
      <c r="E1730" s="30" t="s">
        <v>574</v>
      </c>
    </row>
    <row r="1731" spans="1:5" x14ac:dyDescent="0.35">
      <c r="A1731" s="32">
        <v>2004</v>
      </c>
      <c r="B1731" s="32" t="s">
        <v>571</v>
      </c>
      <c r="C1731" s="32" t="s">
        <v>580</v>
      </c>
      <c r="D1731" s="30" t="s">
        <v>573</v>
      </c>
      <c r="E1731" s="30" t="s">
        <v>574</v>
      </c>
    </row>
    <row r="1732" spans="1:5" x14ac:dyDescent="0.35">
      <c r="A1732" s="32">
        <v>2005</v>
      </c>
      <c r="B1732" s="32" t="s">
        <v>571</v>
      </c>
      <c r="C1732" s="32" t="s">
        <v>580</v>
      </c>
      <c r="D1732" s="30" t="s">
        <v>573</v>
      </c>
      <c r="E1732" s="30" t="s">
        <v>574</v>
      </c>
    </row>
    <row r="1733" spans="1:5" x14ac:dyDescent="0.35">
      <c r="A1733" s="32">
        <v>2006</v>
      </c>
      <c r="B1733" s="32" t="s">
        <v>571</v>
      </c>
      <c r="C1733" s="32" t="s">
        <v>580</v>
      </c>
      <c r="D1733" s="30" t="s">
        <v>573</v>
      </c>
      <c r="E1733" s="30" t="s">
        <v>574</v>
      </c>
    </row>
    <row r="1734" spans="1:5" x14ac:dyDescent="0.35">
      <c r="A1734" s="32">
        <v>2007</v>
      </c>
      <c r="B1734" s="32" t="s">
        <v>571</v>
      </c>
      <c r="C1734" s="32" t="s">
        <v>580</v>
      </c>
      <c r="D1734" s="30" t="s">
        <v>573</v>
      </c>
      <c r="E1734" s="30" t="s">
        <v>574</v>
      </c>
    </row>
    <row r="1735" spans="1:5" x14ac:dyDescent="0.35">
      <c r="A1735" s="32">
        <v>2008</v>
      </c>
      <c r="B1735" s="32" t="s">
        <v>571</v>
      </c>
      <c r="C1735" s="32" t="s">
        <v>648</v>
      </c>
      <c r="D1735" s="30" t="s">
        <v>573</v>
      </c>
      <c r="E1735" s="30" t="s">
        <v>574</v>
      </c>
    </row>
    <row r="1736" spans="1:5" x14ac:dyDescent="0.35">
      <c r="A1736" s="32">
        <v>2009</v>
      </c>
      <c r="B1736" s="32" t="s">
        <v>571</v>
      </c>
      <c r="C1736" s="32" t="s">
        <v>648</v>
      </c>
      <c r="D1736" s="30" t="s">
        <v>573</v>
      </c>
      <c r="E1736" s="30" t="s">
        <v>574</v>
      </c>
    </row>
    <row r="1737" spans="1:5" x14ac:dyDescent="0.35">
      <c r="A1737" s="32">
        <v>2010</v>
      </c>
      <c r="B1737" s="32" t="s">
        <v>571</v>
      </c>
      <c r="C1737" s="32" t="s">
        <v>648</v>
      </c>
      <c r="D1737" s="30" t="s">
        <v>573</v>
      </c>
      <c r="E1737" s="30" t="s">
        <v>574</v>
      </c>
    </row>
    <row r="1738" spans="1:5" x14ac:dyDescent="0.35">
      <c r="A1738" s="32">
        <v>2011</v>
      </c>
      <c r="B1738" s="32" t="s">
        <v>571</v>
      </c>
      <c r="C1738" s="32" t="s">
        <v>648</v>
      </c>
      <c r="D1738" s="30" t="s">
        <v>573</v>
      </c>
      <c r="E1738" s="30" t="s">
        <v>574</v>
      </c>
    </row>
    <row r="1739" spans="1:5" x14ac:dyDescent="0.35">
      <c r="A1739" s="32">
        <v>2012</v>
      </c>
      <c r="B1739" s="32" t="s">
        <v>571</v>
      </c>
      <c r="C1739" s="32" t="s">
        <v>648</v>
      </c>
      <c r="D1739" s="30" t="s">
        <v>573</v>
      </c>
      <c r="E1739" s="30" t="s">
        <v>574</v>
      </c>
    </row>
    <row r="1740" spans="1:5" x14ac:dyDescent="0.35">
      <c r="A1740" s="32">
        <v>2013</v>
      </c>
      <c r="B1740" s="32" t="s">
        <v>571</v>
      </c>
      <c r="C1740" s="32" t="s">
        <v>648</v>
      </c>
      <c r="D1740" s="30" t="s">
        <v>573</v>
      </c>
      <c r="E1740" s="30" t="s">
        <v>574</v>
      </c>
    </row>
    <row r="1741" spans="1:5" x14ac:dyDescent="0.35">
      <c r="A1741" s="32">
        <v>2014</v>
      </c>
      <c r="B1741" s="32" t="s">
        <v>571</v>
      </c>
      <c r="C1741" s="32" t="s">
        <v>580</v>
      </c>
      <c r="D1741" s="30" t="s">
        <v>573</v>
      </c>
      <c r="E1741" s="30" t="s">
        <v>574</v>
      </c>
    </row>
    <row r="1742" spans="1:5" x14ac:dyDescent="0.35">
      <c r="A1742" s="32">
        <v>2015</v>
      </c>
      <c r="B1742" s="32" t="s">
        <v>571</v>
      </c>
      <c r="C1742" s="32" t="s">
        <v>580</v>
      </c>
      <c r="D1742" s="30" t="s">
        <v>573</v>
      </c>
      <c r="E1742" s="30" t="s">
        <v>574</v>
      </c>
    </row>
    <row r="1743" spans="1:5" x14ac:dyDescent="0.35">
      <c r="A1743" s="32">
        <v>2016</v>
      </c>
      <c r="B1743" s="32" t="s">
        <v>571</v>
      </c>
      <c r="C1743" s="32" t="s">
        <v>580</v>
      </c>
      <c r="D1743" s="30" t="s">
        <v>573</v>
      </c>
      <c r="E1743" s="30" t="s">
        <v>574</v>
      </c>
    </row>
    <row r="1744" spans="1:5" x14ac:dyDescent="0.35">
      <c r="A1744" s="32">
        <v>2017</v>
      </c>
      <c r="B1744" s="32" t="s">
        <v>571</v>
      </c>
      <c r="C1744" s="32" t="s">
        <v>580</v>
      </c>
      <c r="D1744" s="30" t="s">
        <v>573</v>
      </c>
      <c r="E1744" s="30" t="s">
        <v>574</v>
      </c>
    </row>
    <row r="1745" spans="1:5" x14ac:dyDescent="0.35">
      <c r="A1745" s="32">
        <v>2018</v>
      </c>
      <c r="B1745" s="32" t="s">
        <v>571</v>
      </c>
      <c r="C1745" s="32" t="s">
        <v>580</v>
      </c>
      <c r="D1745" s="30" t="s">
        <v>573</v>
      </c>
      <c r="E1745" s="30" t="s">
        <v>574</v>
      </c>
    </row>
    <row r="1746" spans="1:5" x14ac:dyDescent="0.35">
      <c r="A1746" s="32">
        <v>2019</v>
      </c>
      <c r="B1746" s="32" t="s">
        <v>571</v>
      </c>
      <c r="C1746" s="32" t="s">
        <v>580</v>
      </c>
      <c r="D1746" s="30" t="s">
        <v>573</v>
      </c>
      <c r="E1746" s="30" t="s">
        <v>574</v>
      </c>
    </row>
    <row r="1747" spans="1:5" x14ac:dyDescent="0.35">
      <c r="A1747" s="32">
        <v>2020</v>
      </c>
      <c r="B1747" s="32" t="s">
        <v>571</v>
      </c>
      <c r="C1747" s="32" t="s">
        <v>648</v>
      </c>
      <c r="D1747" s="30" t="s">
        <v>573</v>
      </c>
      <c r="E1747" s="30" t="s">
        <v>574</v>
      </c>
    </row>
    <row r="1748" spans="1:5" x14ac:dyDescent="0.35">
      <c r="A1748" s="32">
        <v>2021</v>
      </c>
      <c r="B1748" s="32" t="s">
        <v>571</v>
      </c>
      <c r="C1748" s="32" t="s">
        <v>648</v>
      </c>
      <c r="D1748" s="30" t="s">
        <v>573</v>
      </c>
      <c r="E1748" s="30" t="s">
        <v>574</v>
      </c>
    </row>
    <row r="1749" spans="1:5" x14ac:dyDescent="0.35">
      <c r="A1749" s="32">
        <v>2022</v>
      </c>
      <c r="B1749" s="32" t="s">
        <v>571</v>
      </c>
      <c r="C1749" s="32" t="s">
        <v>648</v>
      </c>
      <c r="D1749" s="30" t="s">
        <v>573</v>
      </c>
      <c r="E1749" s="30" t="s">
        <v>574</v>
      </c>
    </row>
    <row r="1750" spans="1:5" x14ac:dyDescent="0.35">
      <c r="A1750" s="32">
        <v>2023</v>
      </c>
      <c r="B1750" s="32" t="s">
        <v>571</v>
      </c>
      <c r="C1750" s="32" t="s">
        <v>648</v>
      </c>
      <c r="D1750" s="30" t="s">
        <v>573</v>
      </c>
      <c r="E1750" s="30" t="s">
        <v>574</v>
      </c>
    </row>
    <row r="1751" spans="1:5" x14ac:dyDescent="0.35">
      <c r="A1751" s="32">
        <v>2024</v>
      </c>
      <c r="B1751" s="32" t="s">
        <v>571</v>
      </c>
      <c r="C1751" s="32" t="s">
        <v>648</v>
      </c>
      <c r="D1751" s="30" t="s">
        <v>573</v>
      </c>
      <c r="E1751" s="30" t="s">
        <v>574</v>
      </c>
    </row>
    <row r="1752" spans="1:5" x14ac:dyDescent="0.35">
      <c r="A1752" s="32">
        <v>2025</v>
      </c>
      <c r="B1752" s="32" t="s">
        <v>571</v>
      </c>
      <c r="C1752" s="32" t="s">
        <v>648</v>
      </c>
      <c r="D1752" s="30" t="s">
        <v>573</v>
      </c>
      <c r="E1752" s="30" t="s">
        <v>574</v>
      </c>
    </row>
    <row r="1753" spans="1:5" x14ac:dyDescent="0.35">
      <c r="A1753" s="32">
        <v>2026</v>
      </c>
      <c r="B1753" s="32" t="s">
        <v>571</v>
      </c>
      <c r="C1753" s="32" t="s">
        <v>580</v>
      </c>
      <c r="D1753" s="30" t="s">
        <v>573</v>
      </c>
      <c r="E1753" s="30" t="s">
        <v>574</v>
      </c>
    </row>
    <row r="1754" spans="1:5" x14ac:dyDescent="0.35">
      <c r="A1754" s="32">
        <v>2027</v>
      </c>
      <c r="B1754" s="32" t="s">
        <v>571</v>
      </c>
      <c r="C1754" s="32" t="s">
        <v>580</v>
      </c>
      <c r="D1754" s="30" t="s">
        <v>573</v>
      </c>
      <c r="E1754" s="30" t="s">
        <v>574</v>
      </c>
    </row>
    <row r="1755" spans="1:5" x14ac:dyDescent="0.35">
      <c r="A1755" s="32">
        <v>2028</v>
      </c>
      <c r="B1755" s="32" t="s">
        <v>571</v>
      </c>
      <c r="C1755" s="32" t="s">
        <v>580</v>
      </c>
      <c r="D1755" s="30" t="s">
        <v>573</v>
      </c>
      <c r="E1755" s="30" t="s">
        <v>574</v>
      </c>
    </row>
    <row r="1756" spans="1:5" x14ac:dyDescent="0.35">
      <c r="A1756" s="32">
        <v>2029</v>
      </c>
      <c r="B1756" s="32" t="s">
        <v>571</v>
      </c>
      <c r="C1756" s="32" t="s">
        <v>580</v>
      </c>
      <c r="D1756" s="30" t="s">
        <v>573</v>
      </c>
      <c r="E1756" s="30" t="s">
        <v>574</v>
      </c>
    </row>
    <row r="1757" spans="1:5" x14ac:dyDescent="0.35">
      <c r="A1757" s="32">
        <v>2030</v>
      </c>
      <c r="B1757" s="32" t="s">
        <v>571</v>
      </c>
      <c r="C1757" s="32" t="s">
        <v>580</v>
      </c>
      <c r="D1757" s="30" t="s">
        <v>573</v>
      </c>
      <c r="E1757" s="30" t="s">
        <v>574</v>
      </c>
    </row>
    <row r="1758" spans="1:5" x14ac:dyDescent="0.35">
      <c r="A1758" s="32">
        <v>2031</v>
      </c>
      <c r="B1758" s="32" t="s">
        <v>571</v>
      </c>
      <c r="C1758" s="32" t="s">
        <v>580</v>
      </c>
      <c r="D1758" s="30" t="s">
        <v>573</v>
      </c>
      <c r="E1758" s="30" t="s">
        <v>574</v>
      </c>
    </row>
    <row r="1759" spans="1:5" x14ac:dyDescent="0.35">
      <c r="A1759" s="32">
        <v>2032</v>
      </c>
      <c r="B1759" s="32" t="s">
        <v>571</v>
      </c>
      <c r="C1759" s="32" t="s">
        <v>648</v>
      </c>
      <c r="D1759" s="30" t="s">
        <v>573</v>
      </c>
      <c r="E1759" s="30" t="s">
        <v>574</v>
      </c>
    </row>
    <row r="1760" spans="1:5" x14ac:dyDescent="0.35">
      <c r="A1760" s="32">
        <v>2033</v>
      </c>
      <c r="B1760" s="32" t="s">
        <v>571</v>
      </c>
      <c r="C1760" s="32" t="s">
        <v>648</v>
      </c>
      <c r="D1760" s="30" t="s">
        <v>573</v>
      </c>
      <c r="E1760" s="30" t="s">
        <v>574</v>
      </c>
    </row>
    <row r="1761" spans="1:5" x14ac:dyDescent="0.35">
      <c r="A1761" s="32">
        <v>2034</v>
      </c>
      <c r="B1761" s="32" t="s">
        <v>571</v>
      </c>
      <c r="C1761" s="32" t="s">
        <v>648</v>
      </c>
      <c r="D1761" s="30" t="s">
        <v>573</v>
      </c>
      <c r="E1761" s="30" t="s">
        <v>574</v>
      </c>
    </row>
    <row r="1762" spans="1:5" x14ac:dyDescent="0.35">
      <c r="A1762" s="32">
        <v>2035</v>
      </c>
      <c r="B1762" s="32" t="s">
        <v>571</v>
      </c>
      <c r="C1762" s="32" t="s">
        <v>648</v>
      </c>
      <c r="D1762" s="30" t="s">
        <v>573</v>
      </c>
      <c r="E1762" s="30" t="s">
        <v>574</v>
      </c>
    </row>
    <row r="1763" spans="1:5" x14ac:dyDescent="0.35">
      <c r="A1763" s="32">
        <v>2036</v>
      </c>
      <c r="B1763" s="32" t="s">
        <v>571</v>
      </c>
      <c r="C1763" s="32" t="s">
        <v>648</v>
      </c>
      <c r="D1763" s="30" t="s">
        <v>573</v>
      </c>
      <c r="E1763" s="30" t="s">
        <v>574</v>
      </c>
    </row>
    <row r="1764" spans="1:5" x14ac:dyDescent="0.35">
      <c r="A1764" s="32">
        <v>2037</v>
      </c>
      <c r="B1764" s="32" t="s">
        <v>571</v>
      </c>
      <c r="C1764" s="32" t="s">
        <v>648</v>
      </c>
      <c r="D1764" s="30" t="s">
        <v>573</v>
      </c>
      <c r="E1764" s="30" t="s">
        <v>574</v>
      </c>
    </row>
    <row r="1765" spans="1:5" x14ac:dyDescent="0.35">
      <c r="A1765" s="32">
        <v>2038</v>
      </c>
      <c r="B1765" s="32" t="s">
        <v>571</v>
      </c>
      <c r="C1765" s="32" t="s">
        <v>580</v>
      </c>
      <c r="D1765" s="30" t="s">
        <v>573</v>
      </c>
      <c r="E1765" s="30" t="s">
        <v>574</v>
      </c>
    </row>
    <row r="1766" spans="1:5" x14ac:dyDescent="0.35">
      <c r="A1766" s="32">
        <v>2039</v>
      </c>
      <c r="B1766" s="32" t="s">
        <v>571</v>
      </c>
      <c r="C1766" s="32" t="s">
        <v>580</v>
      </c>
      <c r="D1766" s="30" t="s">
        <v>573</v>
      </c>
      <c r="E1766" s="30" t="s">
        <v>574</v>
      </c>
    </row>
    <row r="1767" spans="1:5" x14ac:dyDescent="0.35">
      <c r="A1767" s="32">
        <v>2040</v>
      </c>
      <c r="B1767" s="32" t="s">
        <v>571</v>
      </c>
      <c r="C1767" s="32" t="s">
        <v>580</v>
      </c>
      <c r="D1767" s="30" t="s">
        <v>573</v>
      </c>
      <c r="E1767" s="30" t="s">
        <v>574</v>
      </c>
    </row>
    <row r="1768" spans="1:5" x14ac:dyDescent="0.35">
      <c r="A1768" s="32">
        <v>2041</v>
      </c>
      <c r="B1768" s="32" t="s">
        <v>571</v>
      </c>
      <c r="C1768" s="32" t="s">
        <v>580</v>
      </c>
      <c r="D1768" s="30" t="s">
        <v>573</v>
      </c>
      <c r="E1768" s="30" t="s">
        <v>574</v>
      </c>
    </row>
    <row r="1769" spans="1:5" x14ac:dyDescent="0.35">
      <c r="A1769" s="32">
        <v>2042</v>
      </c>
      <c r="B1769" s="32" t="s">
        <v>571</v>
      </c>
      <c r="C1769" s="32" t="s">
        <v>580</v>
      </c>
      <c r="D1769" s="30" t="s">
        <v>573</v>
      </c>
      <c r="E1769" s="30" t="s">
        <v>574</v>
      </c>
    </row>
    <row r="1770" spans="1:5" x14ac:dyDescent="0.35">
      <c r="A1770" s="32">
        <v>2043</v>
      </c>
      <c r="B1770" s="32" t="s">
        <v>571</v>
      </c>
      <c r="C1770" s="32" t="s">
        <v>580</v>
      </c>
      <c r="D1770" s="30" t="s">
        <v>573</v>
      </c>
      <c r="E1770" s="30" t="s">
        <v>574</v>
      </c>
    </row>
    <row r="1771" spans="1:5" x14ac:dyDescent="0.35">
      <c r="A1771" s="32">
        <v>2044</v>
      </c>
      <c r="B1771" s="32" t="s">
        <v>571</v>
      </c>
      <c r="C1771" s="32" t="s">
        <v>648</v>
      </c>
      <c r="D1771" s="30" t="s">
        <v>573</v>
      </c>
      <c r="E1771" s="30" t="s">
        <v>574</v>
      </c>
    </row>
    <row r="1772" spans="1:5" x14ac:dyDescent="0.35">
      <c r="A1772" s="32">
        <v>2045</v>
      </c>
      <c r="B1772" s="32" t="s">
        <v>571</v>
      </c>
      <c r="C1772" s="32" t="s">
        <v>648</v>
      </c>
      <c r="D1772" s="30" t="s">
        <v>573</v>
      </c>
      <c r="E1772" s="30" t="s">
        <v>574</v>
      </c>
    </row>
    <row r="1773" spans="1:5" x14ac:dyDescent="0.35">
      <c r="A1773" s="32">
        <v>2046</v>
      </c>
      <c r="B1773" s="32" t="s">
        <v>571</v>
      </c>
      <c r="C1773" s="32" t="s">
        <v>648</v>
      </c>
      <c r="D1773" s="30" t="s">
        <v>573</v>
      </c>
      <c r="E1773" s="30" t="s">
        <v>574</v>
      </c>
    </row>
    <row r="1774" spans="1:5" x14ac:dyDescent="0.35">
      <c r="A1774" s="32">
        <v>2047</v>
      </c>
      <c r="B1774" s="32" t="s">
        <v>571</v>
      </c>
      <c r="C1774" s="32" t="s">
        <v>648</v>
      </c>
      <c r="D1774" s="30" t="s">
        <v>573</v>
      </c>
      <c r="E1774" s="30" t="s">
        <v>574</v>
      </c>
    </row>
    <row r="1775" spans="1:5" x14ac:dyDescent="0.35">
      <c r="A1775" s="32">
        <v>2048</v>
      </c>
      <c r="B1775" s="32" t="s">
        <v>571</v>
      </c>
      <c r="C1775" s="32" t="s">
        <v>648</v>
      </c>
      <c r="D1775" s="30" t="s">
        <v>573</v>
      </c>
      <c r="E1775" s="30" t="s">
        <v>574</v>
      </c>
    </row>
    <row r="1776" spans="1:5" x14ac:dyDescent="0.35">
      <c r="A1776" s="32">
        <v>2049</v>
      </c>
      <c r="B1776" s="32" t="s">
        <v>571</v>
      </c>
      <c r="C1776" s="32" t="s">
        <v>648</v>
      </c>
      <c r="D1776" s="30" t="s">
        <v>573</v>
      </c>
      <c r="E1776" s="30" t="s">
        <v>574</v>
      </c>
    </row>
    <row r="1777" spans="1:5" x14ac:dyDescent="0.35">
      <c r="A1777" s="32">
        <v>2050</v>
      </c>
      <c r="B1777" s="32" t="s">
        <v>571</v>
      </c>
      <c r="C1777" s="32" t="s">
        <v>580</v>
      </c>
      <c r="D1777" s="30" t="s">
        <v>573</v>
      </c>
      <c r="E1777" s="30" t="s">
        <v>574</v>
      </c>
    </row>
    <row r="1778" spans="1:5" x14ac:dyDescent="0.35">
      <c r="A1778" s="32">
        <v>2051</v>
      </c>
      <c r="B1778" s="32" t="s">
        <v>571</v>
      </c>
      <c r="C1778" s="32" t="s">
        <v>580</v>
      </c>
      <c r="D1778" s="30" t="s">
        <v>573</v>
      </c>
      <c r="E1778" s="30" t="s">
        <v>574</v>
      </c>
    </row>
    <row r="1779" spans="1:5" x14ac:dyDescent="0.35">
      <c r="A1779" s="32">
        <v>2052</v>
      </c>
      <c r="B1779" s="32" t="s">
        <v>571</v>
      </c>
      <c r="C1779" s="32" t="s">
        <v>580</v>
      </c>
      <c r="D1779" s="30" t="s">
        <v>573</v>
      </c>
      <c r="E1779" s="30" t="s">
        <v>574</v>
      </c>
    </row>
    <row r="1780" spans="1:5" x14ac:dyDescent="0.35">
      <c r="A1780" s="32">
        <v>2053</v>
      </c>
      <c r="B1780" s="32" t="s">
        <v>571</v>
      </c>
      <c r="C1780" s="32" t="s">
        <v>580</v>
      </c>
      <c r="D1780" s="30" t="s">
        <v>573</v>
      </c>
      <c r="E1780" s="30" t="s">
        <v>574</v>
      </c>
    </row>
    <row r="1781" spans="1:5" x14ac:dyDescent="0.35">
      <c r="A1781" s="32">
        <v>2054</v>
      </c>
      <c r="B1781" s="32" t="s">
        <v>571</v>
      </c>
      <c r="C1781" s="32" t="s">
        <v>580</v>
      </c>
      <c r="D1781" s="30" t="s">
        <v>573</v>
      </c>
      <c r="E1781" s="30" t="s">
        <v>574</v>
      </c>
    </row>
    <row r="1782" spans="1:5" x14ac:dyDescent="0.35">
      <c r="A1782" s="32">
        <v>2055</v>
      </c>
      <c r="B1782" s="32" t="s">
        <v>571</v>
      </c>
      <c r="C1782" s="32" t="s">
        <v>580</v>
      </c>
      <c r="D1782" s="30" t="s">
        <v>573</v>
      </c>
      <c r="E1782" s="30" t="s">
        <v>574</v>
      </c>
    </row>
    <row r="1783" spans="1:5" x14ac:dyDescent="0.35">
      <c r="A1783" s="32">
        <v>2056</v>
      </c>
      <c r="B1783" s="32" t="s">
        <v>571</v>
      </c>
      <c r="C1783" s="32" t="s">
        <v>648</v>
      </c>
      <c r="D1783" s="30" t="s">
        <v>573</v>
      </c>
      <c r="E1783" s="30" t="s">
        <v>574</v>
      </c>
    </row>
    <row r="1784" spans="1:5" x14ac:dyDescent="0.35">
      <c r="A1784" s="32">
        <v>2057</v>
      </c>
      <c r="B1784" s="32" t="s">
        <v>571</v>
      </c>
      <c r="C1784" s="32" t="s">
        <v>648</v>
      </c>
      <c r="D1784" s="30" t="s">
        <v>573</v>
      </c>
      <c r="E1784" s="30" t="s">
        <v>574</v>
      </c>
    </row>
    <row r="1785" spans="1:5" x14ac:dyDescent="0.35">
      <c r="A1785" s="32">
        <v>2058</v>
      </c>
      <c r="B1785" s="32" t="s">
        <v>571</v>
      </c>
      <c r="C1785" s="32" t="s">
        <v>648</v>
      </c>
      <c r="D1785" s="30" t="s">
        <v>573</v>
      </c>
      <c r="E1785" s="30" t="s">
        <v>574</v>
      </c>
    </row>
    <row r="1786" spans="1:5" x14ac:dyDescent="0.35">
      <c r="A1786" s="32">
        <v>2059</v>
      </c>
      <c r="B1786" s="32" t="s">
        <v>571</v>
      </c>
      <c r="C1786" s="32" t="s">
        <v>648</v>
      </c>
      <c r="D1786" s="30" t="s">
        <v>573</v>
      </c>
      <c r="E1786" s="30" t="s">
        <v>574</v>
      </c>
    </row>
    <row r="1787" spans="1:5" x14ac:dyDescent="0.35">
      <c r="A1787" s="32">
        <v>2060</v>
      </c>
      <c r="B1787" s="32" t="s">
        <v>571</v>
      </c>
      <c r="C1787" s="32" t="s">
        <v>648</v>
      </c>
      <c r="D1787" s="30" t="s">
        <v>573</v>
      </c>
      <c r="E1787" s="30" t="s">
        <v>574</v>
      </c>
    </row>
    <row r="1788" spans="1:5" x14ac:dyDescent="0.35">
      <c r="A1788" s="32">
        <v>2061</v>
      </c>
      <c r="B1788" s="32" t="s">
        <v>571</v>
      </c>
      <c r="C1788" s="32" t="s">
        <v>648</v>
      </c>
      <c r="D1788" s="30" t="s">
        <v>573</v>
      </c>
      <c r="E1788" s="30" t="s">
        <v>574</v>
      </c>
    </row>
    <row r="1789" spans="1:5" x14ac:dyDescent="0.35">
      <c r="A1789" s="32">
        <v>2062</v>
      </c>
      <c r="B1789" s="32" t="s">
        <v>571</v>
      </c>
      <c r="C1789" s="32" t="s">
        <v>580</v>
      </c>
      <c r="D1789" s="30" t="s">
        <v>573</v>
      </c>
      <c r="E1789" s="30" t="s">
        <v>574</v>
      </c>
    </row>
    <row r="1790" spans="1:5" x14ac:dyDescent="0.35">
      <c r="A1790" s="32">
        <v>2063</v>
      </c>
      <c r="B1790" s="32" t="s">
        <v>571</v>
      </c>
      <c r="C1790" s="32" t="s">
        <v>580</v>
      </c>
      <c r="D1790" s="30" t="s">
        <v>573</v>
      </c>
      <c r="E1790" s="30" t="s">
        <v>574</v>
      </c>
    </row>
    <row r="1791" spans="1:5" x14ac:dyDescent="0.35">
      <c r="A1791" s="32">
        <v>2064</v>
      </c>
      <c r="B1791" s="32" t="s">
        <v>571</v>
      </c>
      <c r="C1791" s="32" t="s">
        <v>580</v>
      </c>
      <c r="D1791" s="30" t="s">
        <v>573</v>
      </c>
      <c r="E1791" s="30" t="s">
        <v>574</v>
      </c>
    </row>
    <row r="1792" spans="1:5" x14ac:dyDescent="0.35">
      <c r="A1792" s="32">
        <v>2065</v>
      </c>
      <c r="B1792" s="32" t="s">
        <v>571</v>
      </c>
      <c r="C1792" s="32" t="s">
        <v>580</v>
      </c>
      <c r="D1792" s="30" t="s">
        <v>573</v>
      </c>
      <c r="E1792" s="30" t="s">
        <v>574</v>
      </c>
    </row>
    <row r="1793" spans="1:5" x14ac:dyDescent="0.35">
      <c r="A1793" s="32">
        <v>2066</v>
      </c>
      <c r="B1793" s="32" t="s">
        <v>571</v>
      </c>
      <c r="C1793" s="32" t="s">
        <v>580</v>
      </c>
      <c r="D1793" s="30" t="s">
        <v>573</v>
      </c>
      <c r="E1793" s="30" t="s">
        <v>574</v>
      </c>
    </row>
    <row r="1794" spans="1:5" x14ac:dyDescent="0.35">
      <c r="A1794" s="32">
        <v>2067</v>
      </c>
      <c r="B1794" s="32" t="s">
        <v>571</v>
      </c>
      <c r="C1794" s="32" t="s">
        <v>580</v>
      </c>
      <c r="D1794" s="30" t="s">
        <v>573</v>
      </c>
      <c r="E1794" s="30" t="s">
        <v>574</v>
      </c>
    </row>
    <row r="1795" spans="1:5" x14ac:dyDescent="0.35">
      <c r="A1795" s="32">
        <v>2068</v>
      </c>
      <c r="B1795" s="32" t="s">
        <v>571</v>
      </c>
      <c r="C1795" s="32" t="s">
        <v>648</v>
      </c>
      <c r="D1795" s="30" t="s">
        <v>573</v>
      </c>
      <c r="E1795" s="30" t="s">
        <v>574</v>
      </c>
    </row>
    <row r="1796" spans="1:5" x14ac:dyDescent="0.35">
      <c r="A1796" s="32">
        <v>2069</v>
      </c>
      <c r="B1796" s="32" t="s">
        <v>571</v>
      </c>
      <c r="C1796" s="32" t="s">
        <v>648</v>
      </c>
      <c r="D1796" s="30" t="s">
        <v>573</v>
      </c>
      <c r="E1796" s="30" t="s">
        <v>574</v>
      </c>
    </row>
    <row r="1797" spans="1:5" x14ac:dyDescent="0.35">
      <c r="A1797" s="32">
        <v>2070</v>
      </c>
      <c r="B1797" s="32" t="s">
        <v>571</v>
      </c>
      <c r="C1797" s="32" t="s">
        <v>648</v>
      </c>
      <c r="D1797" s="30" t="s">
        <v>573</v>
      </c>
      <c r="E1797" s="30" t="s">
        <v>574</v>
      </c>
    </row>
    <row r="1798" spans="1:5" x14ac:dyDescent="0.35">
      <c r="A1798" s="32">
        <v>2071</v>
      </c>
      <c r="B1798" s="32" t="s">
        <v>571</v>
      </c>
      <c r="C1798" s="32" t="s">
        <v>648</v>
      </c>
      <c r="D1798" s="30" t="s">
        <v>573</v>
      </c>
      <c r="E1798" s="30" t="s">
        <v>574</v>
      </c>
    </row>
    <row r="1799" spans="1:5" x14ac:dyDescent="0.35">
      <c r="A1799" s="32">
        <v>2072</v>
      </c>
      <c r="B1799" s="32" t="s">
        <v>571</v>
      </c>
      <c r="C1799" s="32" t="s">
        <v>648</v>
      </c>
      <c r="D1799" s="30" t="s">
        <v>573</v>
      </c>
      <c r="E1799" s="30" t="s">
        <v>574</v>
      </c>
    </row>
    <row r="1800" spans="1:5" x14ac:dyDescent="0.35">
      <c r="A1800" s="32">
        <v>2073</v>
      </c>
      <c r="B1800" s="32" t="s">
        <v>571</v>
      </c>
      <c r="C1800" s="32" t="s">
        <v>648</v>
      </c>
      <c r="D1800" s="30" t="s">
        <v>573</v>
      </c>
      <c r="E1800" s="30" t="s">
        <v>574</v>
      </c>
    </row>
    <row r="1801" spans="1:5" x14ac:dyDescent="0.35">
      <c r="A1801" s="32">
        <v>2074</v>
      </c>
      <c r="B1801" s="32" t="s">
        <v>571</v>
      </c>
      <c r="C1801" s="32" t="s">
        <v>580</v>
      </c>
      <c r="D1801" s="30" t="s">
        <v>573</v>
      </c>
      <c r="E1801" s="30" t="s">
        <v>574</v>
      </c>
    </row>
    <row r="1802" spans="1:5" x14ac:dyDescent="0.35">
      <c r="A1802" s="32">
        <v>2075</v>
      </c>
      <c r="B1802" s="32" t="s">
        <v>571</v>
      </c>
      <c r="C1802" s="32" t="s">
        <v>580</v>
      </c>
      <c r="D1802" s="30" t="s">
        <v>573</v>
      </c>
      <c r="E1802" s="30" t="s">
        <v>574</v>
      </c>
    </row>
    <row r="1803" spans="1:5" x14ac:dyDescent="0.35">
      <c r="A1803" s="32">
        <v>2076</v>
      </c>
      <c r="B1803" s="32" t="s">
        <v>571</v>
      </c>
      <c r="C1803" s="32" t="s">
        <v>580</v>
      </c>
      <c r="D1803" s="30" t="s">
        <v>573</v>
      </c>
      <c r="E1803" s="30" t="s">
        <v>574</v>
      </c>
    </row>
    <row r="1804" spans="1:5" x14ac:dyDescent="0.35">
      <c r="A1804" s="32">
        <v>2077</v>
      </c>
      <c r="B1804" s="32" t="s">
        <v>571</v>
      </c>
      <c r="C1804" s="32" t="s">
        <v>580</v>
      </c>
      <c r="D1804" s="30" t="s">
        <v>573</v>
      </c>
      <c r="E1804" s="30" t="s">
        <v>574</v>
      </c>
    </row>
    <row r="1805" spans="1:5" x14ac:dyDescent="0.35">
      <c r="A1805" s="32">
        <v>2078</v>
      </c>
      <c r="B1805" s="32" t="s">
        <v>571</v>
      </c>
      <c r="C1805" s="32" t="s">
        <v>580</v>
      </c>
      <c r="D1805" s="30" t="s">
        <v>573</v>
      </c>
      <c r="E1805" s="30" t="s">
        <v>574</v>
      </c>
    </row>
    <row r="1806" spans="1:5" x14ac:dyDescent="0.35">
      <c r="A1806" s="32">
        <v>2079</v>
      </c>
      <c r="B1806" s="32" t="s">
        <v>571</v>
      </c>
      <c r="C1806" s="32" t="s">
        <v>580</v>
      </c>
      <c r="D1806" s="30" t="s">
        <v>573</v>
      </c>
      <c r="E1806" s="30" t="s">
        <v>574</v>
      </c>
    </row>
    <row r="1807" spans="1:5" x14ac:dyDescent="0.35">
      <c r="A1807" s="32">
        <v>2080</v>
      </c>
      <c r="B1807" s="32" t="s">
        <v>571</v>
      </c>
      <c r="C1807" s="32" t="s">
        <v>648</v>
      </c>
      <c r="D1807" s="30" t="s">
        <v>573</v>
      </c>
      <c r="E1807" s="30" t="s">
        <v>574</v>
      </c>
    </row>
    <row r="1808" spans="1:5" x14ac:dyDescent="0.35">
      <c r="A1808" s="32">
        <v>2081</v>
      </c>
      <c r="B1808" s="32" t="s">
        <v>571</v>
      </c>
      <c r="C1808" s="32" t="s">
        <v>648</v>
      </c>
      <c r="D1808" s="30" t="s">
        <v>573</v>
      </c>
      <c r="E1808" s="30" t="s">
        <v>574</v>
      </c>
    </row>
    <row r="1809" spans="1:5" x14ac:dyDescent="0.35">
      <c r="A1809" s="32">
        <v>2082</v>
      </c>
      <c r="B1809" s="32" t="s">
        <v>571</v>
      </c>
      <c r="C1809" s="32" t="s">
        <v>648</v>
      </c>
      <c r="D1809" s="30" t="s">
        <v>573</v>
      </c>
      <c r="E1809" s="30" t="s">
        <v>574</v>
      </c>
    </row>
    <row r="1810" spans="1:5" x14ac:dyDescent="0.35">
      <c r="A1810" s="32">
        <v>2083</v>
      </c>
      <c r="B1810" s="32" t="s">
        <v>571</v>
      </c>
      <c r="C1810" s="32" t="s">
        <v>648</v>
      </c>
      <c r="D1810" s="30" t="s">
        <v>573</v>
      </c>
      <c r="E1810" s="30" t="s">
        <v>574</v>
      </c>
    </row>
    <row r="1811" spans="1:5" x14ac:dyDescent="0.35">
      <c r="A1811" s="32">
        <v>2084</v>
      </c>
      <c r="B1811" s="32" t="s">
        <v>571</v>
      </c>
      <c r="C1811" s="32" t="s">
        <v>648</v>
      </c>
      <c r="D1811" s="30" t="s">
        <v>573</v>
      </c>
      <c r="E1811" s="30" t="s">
        <v>574</v>
      </c>
    </row>
    <row r="1812" spans="1:5" x14ac:dyDescent="0.35">
      <c r="A1812" s="32">
        <v>2085</v>
      </c>
      <c r="B1812" s="32" t="s">
        <v>571</v>
      </c>
      <c r="C1812" s="32" t="s">
        <v>648</v>
      </c>
      <c r="D1812" s="30" t="s">
        <v>573</v>
      </c>
      <c r="E1812" s="30" t="s">
        <v>574</v>
      </c>
    </row>
    <row r="1813" spans="1:5" x14ac:dyDescent="0.35">
      <c r="A1813" s="32">
        <v>2086</v>
      </c>
      <c r="B1813" s="32" t="s">
        <v>571</v>
      </c>
      <c r="C1813" s="32" t="s">
        <v>580</v>
      </c>
      <c r="D1813" s="30" t="s">
        <v>573</v>
      </c>
      <c r="E1813" s="30" t="s">
        <v>574</v>
      </c>
    </row>
    <row r="1814" spans="1:5" x14ac:dyDescent="0.35">
      <c r="A1814" s="32">
        <v>2087</v>
      </c>
      <c r="B1814" s="32" t="s">
        <v>571</v>
      </c>
      <c r="C1814" s="32" t="s">
        <v>580</v>
      </c>
      <c r="D1814" s="30" t="s">
        <v>573</v>
      </c>
      <c r="E1814" s="30" t="s">
        <v>574</v>
      </c>
    </row>
    <row r="1815" spans="1:5" x14ac:dyDescent="0.35">
      <c r="A1815" s="32">
        <v>2088</v>
      </c>
      <c r="B1815" s="32" t="s">
        <v>571</v>
      </c>
      <c r="C1815" s="32" t="s">
        <v>580</v>
      </c>
      <c r="D1815" s="30" t="s">
        <v>573</v>
      </c>
      <c r="E1815" s="30" t="s">
        <v>574</v>
      </c>
    </row>
    <row r="1816" spans="1:5" x14ac:dyDescent="0.35">
      <c r="A1816" s="32">
        <v>2089</v>
      </c>
      <c r="B1816" s="32" t="s">
        <v>571</v>
      </c>
      <c r="C1816" s="32" t="s">
        <v>580</v>
      </c>
      <c r="D1816" s="30" t="s">
        <v>573</v>
      </c>
      <c r="E1816" s="30" t="s">
        <v>574</v>
      </c>
    </row>
    <row r="1817" spans="1:5" x14ac:dyDescent="0.35">
      <c r="A1817" s="32">
        <v>2090</v>
      </c>
      <c r="B1817" s="32" t="s">
        <v>571</v>
      </c>
      <c r="C1817" s="32" t="s">
        <v>580</v>
      </c>
      <c r="D1817" s="30" t="s">
        <v>573</v>
      </c>
      <c r="E1817" s="30" t="s">
        <v>574</v>
      </c>
    </row>
    <row r="1818" spans="1:5" x14ac:dyDescent="0.35">
      <c r="A1818" s="32">
        <v>2091</v>
      </c>
      <c r="B1818" s="32" t="s">
        <v>571</v>
      </c>
      <c r="C1818" s="32" t="s">
        <v>580</v>
      </c>
      <c r="D1818" s="30" t="s">
        <v>573</v>
      </c>
      <c r="E1818" s="30" t="s">
        <v>574</v>
      </c>
    </row>
    <row r="1819" spans="1:5" x14ac:dyDescent="0.35">
      <c r="A1819" s="32">
        <v>2092</v>
      </c>
      <c r="B1819" s="32" t="s">
        <v>571</v>
      </c>
      <c r="C1819" s="32" t="s">
        <v>648</v>
      </c>
      <c r="D1819" s="30" t="s">
        <v>573</v>
      </c>
      <c r="E1819" s="30" t="s">
        <v>574</v>
      </c>
    </row>
    <row r="1820" spans="1:5" x14ac:dyDescent="0.35">
      <c r="A1820" s="32">
        <v>2093</v>
      </c>
      <c r="B1820" s="32" t="s">
        <v>571</v>
      </c>
      <c r="C1820" s="32" t="s">
        <v>648</v>
      </c>
      <c r="D1820" s="30" t="s">
        <v>573</v>
      </c>
      <c r="E1820" s="30" t="s">
        <v>574</v>
      </c>
    </row>
    <row r="1821" spans="1:5" x14ac:dyDescent="0.35">
      <c r="A1821" s="32">
        <v>2094</v>
      </c>
      <c r="B1821" s="32" t="s">
        <v>571</v>
      </c>
      <c r="C1821" s="32" t="s">
        <v>648</v>
      </c>
      <c r="D1821" s="30" t="s">
        <v>573</v>
      </c>
      <c r="E1821" s="30" t="s">
        <v>574</v>
      </c>
    </row>
    <row r="1822" spans="1:5" x14ac:dyDescent="0.35">
      <c r="A1822" s="32">
        <v>2095</v>
      </c>
      <c r="B1822" s="32" t="s">
        <v>571</v>
      </c>
      <c r="C1822" s="32" t="s">
        <v>648</v>
      </c>
      <c r="D1822" s="30" t="s">
        <v>573</v>
      </c>
      <c r="E1822" s="30" t="s">
        <v>574</v>
      </c>
    </row>
    <row r="1823" spans="1:5" x14ac:dyDescent="0.35">
      <c r="A1823" s="32">
        <v>2096</v>
      </c>
      <c r="B1823" s="32" t="s">
        <v>571</v>
      </c>
      <c r="C1823" s="32" t="s">
        <v>648</v>
      </c>
      <c r="D1823" s="30" t="s">
        <v>573</v>
      </c>
      <c r="E1823" s="30" t="s">
        <v>574</v>
      </c>
    </row>
    <row r="1824" spans="1:5" x14ac:dyDescent="0.35">
      <c r="A1824" s="32">
        <v>2097</v>
      </c>
      <c r="B1824" s="32" t="s">
        <v>571</v>
      </c>
      <c r="C1824" s="32" t="s">
        <v>648</v>
      </c>
      <c r="D1824" s="30" t="s">
        <v>573</v>
      </c>
      <c r="E1824" s="30" t="s">
        <v>574</v>
      </c>
    </row>
    <row r="1825" spans="1:5" x14ac:dyDescent="0.35">
      <c r="A1825" s="32">
        <v>2098</v>
      </c>
      <c r="B1825" s="32" t="s">
        <v>571</v>
      </c>
      <c r="C1825" s="32" t="s">
        <v>580</v>
      </c>
      <c r="D1825" s="30" t="s">
        <v>573</v>
      </c>
      <c r="E1825" s="30" t="s">
        <v>574</v>
      </c>
    </row>
    <row r="1826" spans="1:5" x14ac:dyDescent="0.35">
      <c r="A1826" s="32">
        <v>2099</v>
      </c>
      <c r="B1826" s="32" t="s">
        <v>571</v>
      </c>
      <c r="C1826" s="32" t="s">
        <v>580</v>
      </c>
      <c r="D1826" s="30" t="s">
        <v>573</v>
      </c>
      <c r="E1826" s="30" t="s">
        <v>574</v>
      </c>
    </row>
    <row r="1827" spans="1:5" x14ac:dyDescent="0.35">
      <c r="A1827" s="32">
        <v>2100</v>
      </c>
      <c r="B1827" s="32" t="s">
        <v>571</v>
      </c>
      <c r="C1827" s="32" t="s">
        <v>580</v>
      </c>
      <c r="D1827" s="30" t="s">
        <v>573</v>
      </c>
      <c r="E1827" s="30" t="s">
        <v>574</v>
      </c>
    </row>
    <row r="1828" spans="1:5" x14ac:dyDescent="0.35">
      <c r="A1828" s="32">
        <v>2101</v>
      </c>
      <c r="B1828" s="32" t="s">
        <v>571</v>
      </c>
      <c r="C1828" s="32" t="s">
        <v>580</v>
      </c>
      <c r="D1828" s="30" t="s">
        <v>573</v>
      </c>
      <c r="E1828" s="30" t="s">
        <v>574</v>
      </c>
    </row>
    <row r="1829" spans="1:5" x14ac:dyDescent="0.35">
      <c r="A1829" s="32">
        <v>2102</v>
      </c>
      <c r="B1829" s="32" t="s">
        <v>571</v>
      </c>
      <c r="C1829" s="32" t="s">
        <v>580</v>
      </c>
      <c r="D1829" s="30" t="s">
        <v>573</v>
      </c>
      <c r="E1829" s="30" t="s">
        <v>574</v>
      </c>
    </row>
    <row r="1830" spans="1:5" x14ac:dyDescent="0.35">
      <c r="A1830" s="32">
        <v>2103</v>
      </c>
      <c r="B1830" s="32" t="s">
        <v>571</v>
      </c>
      <c r="C1830" s="32" t="s">
        <v>580</v>
      </c>
      <c r="D1830" s="30" t="s">
        <v>573</v>
      </c>
      <c r="E1830" s="30" t="s">
        <v>574</v>
      </c>
    </row>
    <row r="1831" spans="1:5" x14ac:dyDescent="0.35">
      <c r="A1831" s="32">
        <v>2104</v>
      </c>
      <c r="B1831" s="32" t="s">
        <v>571</v>
      </c>
      <c r="C1831" s="32" t="s">
        <v>648</v>
      </c>
      <c r="D1831" s="30" t="s">
        <v>573</v>
      </c>
      <c r="E1831" s="30" t="s">
        <v>574</v>
      </c>
    </row>
    <row r="1832" spans="1:5" x14ac:dyDescent="0.35">
      <c r="A1832" s="32">
        <v>2105</v>
      </c>
      <c r="B1832" s="32" t="s">
        <v>571</v>
      </c>
      <c r="C1832" s="32" t="s">
        <v>648</v>
      </c>
      <c r="D1832" s="30" t="s">
        <v>573</v>
      </c>
      <c r="E1832" s="30" t="s">
        <v>574</v>
      </c>
    </row>
    <row r="1833" spans="1:5" x14ac:dyDescent="0.35">
      <c r="A1833" s="32">
        <v>2106</v>
      </c>
      <c r="B1833" s="32" t="s">
        <v>571</v>
      </c>
      <c r="C1833" s="32" t="s">
        <v>648</v>
      </c>
      <c r="D1833" s="30" t="s">
        <v>573</v>
      </c>
      <c r="E1833" s="30" t="s">
        <v>574</v>
      </c>
    </row>
    <row r="1834" spans="1:5" x14ac:dyDescent="0.35">
      <c r="A1834" s="32">
        <v>2107</v>
      </c>
      <c r="B1834" s="32" t="s">
        <v>571</v>
      </c>
      <c r="C1834" s="32" t="s">
        <v>648</v>
      </c>
      <c r="D1834" s="30" t="s">
        <v>573</v>
      </c>
      <c r="E1834" s="30" t="s">
        <v>574</v>
      </c>
    </row>
    <row r="1835" spans="1:5" x14ac:dyDescent="0.35">
      <c r="A1835" s="32">
        <v>2108</v>
      </c>
      <c r="B1835" s="32" t="s">
        <v>571</v>
      </c>
      <c r="C1835" s="32" t="s">
        <v>648</v>
      </c>
      <c r="D1835" s="30" t="s">
        <v>573</v>
      </c>
      <c r="E1835" s="30" t="s">
        <v>574</v>
      </c>
    </row>
    <row r="1836" spans="1:5" x14ac:dyDescent="0.35">
      <c r="A1836" s="32">
        <v>2109</v>
      </c>
      <c r="B1836" s="32" t="s">
        <v>571</v>
      </c>
      <c r="C1836" s="32" t="s">
        <v>648</v>
      </c>
      <c r="D1836" s="30" t="s">
        <v>573</v>
      </c>
      <c r="E1836" s="30" t="s">
        <v>574</v>
      </c>
    </row>
    <row r="1837" spans="1:5" x14ac:dyDescent="0.35">
      <c r="A1837" s="32">
        <v>2110</v>
      </c>
      <c r="B1837" s="32" t="s">
        <v>571</v>
      </c>
      <c r="C1837" s="32" t="s">
        <v>580</v>
      </c>
      <c r="D1837" s="30" t="s">
        <v>573</v>
      </c>
      <c r="E1837" s="30" t="s">
        <v>574</v>
      </c>
    </row>
    <row r="1838" spans="1:5" x14ac:dyDescent="0.35">
      <c r="A1838" s="32">
        <v>2111</v>
      </c>
      <c r="B1838" s="32" t="s">
        <v>571</v>
      </c>
      <c r="C1838" s="32" t="s">
        <v>580</v>
      </c>
      <c r="D1838" s="30" t="s">
        <v>573</v>
      </c>
      <c r="E1838" s="30" t="s">
        <v>574</v>
      </c>
    </row>
    <row r="1839" spans="1:5" x14ac:dyDescent="0.35">
      <c r="A1839" s="32">
        <v>2112</v>
      </c>
      <c r="B1839" s="32" t="s">
        <v>571</v>
      </c>
      <c r="C1839" s="32" t="s">
        <v>580</v>
      </c>
      <c r="D1839" s="30" t="s">
        <v>573</v>
      </c>
      <c r="E1839" s="30" t="s">
        <v>574</v>
      </c>
    </row>
    <row r="1840" spans="1:5" x14ac:dyDescent="0.35">
      <c r="A1840" s="32">
        <v>2113</v>
      </c>
      <c r="B1840" s="32" t="s">
        <v>571</v>
      </c>
      <c r="C1840" s="32" t="s">
        <v>580</v>
      </c>
      <c r="D1840" s="30" t="s">
        <v>573</v>
      </c>
      <c r="E1840" s="30" t="s">
        <v>574</v>
      </c>
    </row>
    <row r="1841" spans="1:5" x14ac:dyDescent="0.35">
      <c r="A1841" s="32">
        <v>2114</v>
      </c>
      <c r="B1841" s="32" t="s">
        <v>571</v>
      </c>
      <c r="C1841" s="32" t="s">
        <v>580</v>
      </c>
      <c r="D1841" s="30" t="s">
        <v>573</v>
      </c>
      <c r="E1841" s="30" t="s">
        <v>574</v>
      </c>
    </row>
    <row r="1842" spans="1:5" x14ac:dyDescent="0.35">
      <c r="A1842" s="32">
        <v>2115</v>
      </c>
      <c r="B1842" s="32" t="s">
        <v>571</v>
      </c>
      <c r="C1842" s="32" t="s">
        <v>580</v>
      </c>
      <c r="D1842" s="30" t="s">
        <v>573</v>
      </c>
      <c r="E1842" s="30" t="s">
        <v>574</v>
      </c>
    </row>
    <row r="1843" spans="1:5" x14ac:dyDescent="0.35">
      <c r="A1843" s="32">
        <v>2116</v>
      </c>
      <c r="B1843" s="32" t="s">
        <v>571</v>
      </c>
      <c r="C1843" s="32" t="s">
        <v>648</v>
      </c>
      <c r="D1843" s="30" t="s">
        <v>573</v>
      </c>
      <c r="E1843" s="30" t="s">
        <v>574</v>
      </c>
    </row>
    <row r="1844" spans="1:5" x14ac:dyDescent="0.35">
      <c r="A1844" s="32">
        <v>2117</v>
      </c>
      <c r="B1844" s="32" t="s">
        <v>571</v>
      </c>
      <c r="C1844" s="32" t="s">
        <v>648</v>
      </c>
      <c r="D1844" s="30" t="s">
        <v>573</v>
      </c>
      <c r="E1844" s="30" t="s">
        <v>574</v>
      </c>
    </row>
    <row r="1845" spans="1:5" x14ac:dyDescent="0.35">
      <c r="A1845" s="32">
        <v>2118</v>
      </c>
      <c r="B1845" s="32" t="s">
        <v>571</v>
      </c>
      <c r="C1845" s="32" t="s">
        <v>648</v>
      </c>
      <c r="D1845" s="30" t="s">
        <v>573</v>
      </c>
      <c r="E1845" s="30" t="s">
        <v>574</v>
      </c>
    </row>
    <row r="1846" spans="1:5" x14ac:dyDescent="0.35">
      <c r="A1846" s="32">
        <v>2119</v>
      </c>
      <c r="B1846" s="32" t="s">
        <v>571</v>
      </c>
      <c r="C1846" s="32" t="s">
        <v>648</v>
      </c>
      <c r="D1846" s="30" t="s">
        <v>573</v>
      </c>
      <c r="E1846" s="30" t="s">
        <v>574</v>
      </c>
    </row>
    <row r="1847" spans="1:5" x14ac:dyDescent="0.35">
      <c r="A1847" s="32">
        <v>2120</v>
      </c>
      <c r="B1847" s="32" t="s">
        <v>571</v>
      </c>
      <c r="C1847" s="32" t="s">
        <v>648</v>
      </c>
      <c r="D1847" s="30" t="s">
        <v>573</v>
      </c>
      <c r="E1847" s="30" t="s">
        <v>574</v>
      </c>
    </row>
    <row r="1848" spans="1:5" x14ac:dyDescent="0.35">
      <c r="A1848" s="32">
        <v>2121</v>
      </c>
      <c r="B1848" s="32" t="s">
        <v>571</v>
      </c>
      <c r="C1848" s="32" t="s">
        <v>648</v>
      </c>
      <c r="D1848" s="30" t="s">
        <v>573</v>
      </c>
      <c r="E1848" s="30" t="s">
        <v>574</v>
      </c>
    </row>
    <row r="1849" spans="1:5" x14ac:dyDescent="0.35">
      <c r="A1849" s="32">
        <v>2122</v>
      </c>
      <c r="B1849" s="32" t="s">
        <v>571</v>
      </c>
      <c r="C1849" s="32" t="s">
        <v>580</v>
      </c>
      <c r="D1849" s="30" t="s">
        <v>573</v>
      </c>
      <c r="E1849" s="30" t="s">
        <v>574</v>
      </c>
    </row>
    <row r="1850" spans="1:5" x14ac:dyDescent="0.35">
      <c r="A1850" s="32">
        <v>2123</v>
      </c>
      <c r="B1850" s="32" t="s">
        <v>571</v>
      </c>
      <c r="C1850" s="32" t="s">
        <v>580</v>
      </c>
      <c r="D1850" s="30" t="s">
        <v>573</v>
      </c>
      <c r="E1850" s="30" t="s">
        <v>574</v>
      </c>
    </row>
    <row r="1851" spans="1:5" x14ac:dyDescent="0.35">
      <c r="A1851" s="32">
        <v>2124</v>
      </c>
      <c r="B1851" s="32" t="s">
        <v>571</v>
      </c>
      <c r="C1851" s="32" t="s">
        <v>580</v>
      </c>
      <c r="D1851" s="30" t="s">
        <v>573</v>
      </c>
      <c r="E1851" s="30" t="s">
        <v>574</v>
      </c>
    </row>
    <row r="1852" spans="1:5" x14ac:dyDescent="0.35">
      <c r="A1852" s="32">
        <v>2125</v>
      </c>
      <c r="B1852" s="32" t="s">
        <v>571</v>
      </c>
      <c r="C1852" s="32" t="s">
        <v>580</v>
      </c>
      <c r="D1852" s="30" t="s">
        <v>573</v>
      </c>
      <c r="E1852" s="30" t="s">
        <v>574</v>
      </c>
    </row>
    <row r="1853" spans="1:5" x14ac:dyDescent="0.35">
      <c r="A1853" s="32">
        <v>2126</v>
      </c>
      <c r="B1853" s="32" t="s">
        <v>571</v>
      </c>
      <c r="C1853" s="32" t="s">
        <v>580</v>
      </c>
      <c r="D1853" s="30" t="s">
        <v>573</v>
      </c>
      <c r="E1853" s="30" t="s">
        <v>574</v>
      </c>
    </row>
    <row r="1854" spans="1:5" x14ac:dyDescent="0.35">
      <c r="A1854" s="32">
        <v>2127</v>
      </c>
      <c r="B1854" s="32" t="s">
        <v>571</v>
      </c>
      <c r="C1854" s="32" t="s">
        <v>580</v>
      </c>
      <c r="D1854" s="30" t="s">
        <v>573</v>
      </c>
      <c r="E1854" s="30" t="s">
        <v>574</v>
      </c>
    </row>
    <row r="1855" spans="1:5" x14ac:dyDescent="0.35">
      <c r="A1855" s="32">
        <v>2128</v>
      </c>
      <c r="B1855" s="32" t="s">
        <v>571</v>
      </c>
      <c r="C1855" s="32" t="s">
        <v>648</v>
      </c>
      <c r="D1855" s="30" t="s">
        <v>573</v>
      </c>
      <c r="E1855" s="30" t="s">
        <v>574</v>
      </c>
    </row>
    <row r="1856" spans="1:5" x14ac:dyDescent="0.35">
      <c r="A1856" s="32">
        <v>2129</v>
      </c>
      <c r="B1856" s="32" t="s">
        <v>571</v>
      </c>
      <c r="C1856" s="32" t="s">
        <v>648</v>
      </c>
      <c r="D1856" s="30" t="s">
        <v>573</v>
      </c>
      <c r="E1856" s="30" t="s">
        <v>574</v>
      </c>
    </row>
    <row r="1857" spans="1:5" x14ac:dyDescent="0.35">
      <c r="A1857" s="32">
        <v>2130</v>
      </c>
      <c r="B1857" s="32" t="s">
        <v>571</v>
      </c>
      <c r="C1857" s="32" t="s">
        <v>648</v>
      </c>
      <c r="D1857" s="30" t="s">
        <v>573</v>
      </c>
      <c r="E1857" s="30" t="s">
        <v>574</v>
      </c>
    </row>
    <row r="1858" spans="1:5" x14ac:dyDescent="0.35">
      <c r="A1858" s="32">
        <v>2131</v>
      </c>
      <c r="B1858" s="32" t="s">
        <v>571</v>
      </c>
      <c r="C1858" s="32" t="s">
        <v>648</v>
      </c>
      <c r="D1858" s="30" t="s">
        <v>573</v>
      </c>
      <c r="E1858" s="30" t="s">
        <v>574</v>
      </c>
    </row>
    <row r="1859" spans="1:5" x14ac:dyDescent="0.35">
      <c r="A1859" s="32">
        <v>2132</v>
      </c>
      <c r="B1859" s="32" t="s">
        <v>571</v>
      </c>
      <c r="C1859" s="32" t="s">
        <v>648</v>
      </c>
      <c r="D1859" s="30" t="s">
        <v>573</v>
      </c>
      <c r="E1859" s="30" t="s">
        <v>574</v>
      </c>
    </row>
    <row r="1860" spans="1:5" x14ac:dyDescent="0.35">
      <c r="A1860" s="32">
        <v>2133</v>
      </c>
      <c r="B1860" s="32" t="s">
        <v>571</v>
      </c>
      <c r="C1860" s="32" t="s">
        <v>648</v>
      </c>
      <c r="D1860" s="30" t="s">
        <v>573</v>
      </c>
      <c r="E1860" s="30" t="s">
        <v>574</v>
      </c>
    </row>
    <row r="1861" spans="1:5" x14ac:dyDescent="0.35">
      <c r="A1861" s="32">
        <v>2134</v>
      </c>
      <c r="B1861" s="32" t="s">
        <v>571</v>
      </c>
      <c r="C1861" s="32" t="s">
        <v>580</v>
      </c>
      <c r="D1861" s="30" t="s">
        <v>573</v>
      </c>
      <c r="E1861" s="30" t="s">
        <v>574</v>
      </c>
    </row>
    <row r="1862" spans="1:5" x14ac:dyDescent="0.35">
      <c r="A1862" s="32">
        <v>2135</v>
      </c>
      <c r="B1862" s="32" t="s">
        <v>571</v>
      </c>
      <c r="C1862" s="32" t="s">
        <v>580</v>
      </c>
      <c r="D1862" s="30" t="s">
        <v>573</v>
      </c>
      <c r="E1862" s="30" t="s">
        <v>574</v>
      </c>
    </row>
    <row r="1863" spans="1:5" x14ac:dyDescent="0.35">
      <c r="A1863" s="32">
        <v>2212</v>
      </c>
      <c r="B1863" s="32" t="s">
        <v>571</v>
      </c>
      <c r="C1863" s="32" t="s">
        <v>580</v>
      </c>
      <c r="D1863" s="30" t="s">
        <v>573</v>
      </c>
      <c r="E1863" s="30" t="s">
        <v>574</v>
      </c>
    </row>
    <row r="1864" spans="1:5" x14ac:dyDescent="0.35">
      <c r="A1864" s="32">
        <v>2213</v>
      </c>
      <c r="B1864" s="32" t="s">
        <v>571</v>
      </c>
      <c r="C1864" s="32" t="s">
        <v>580</v>
      </c>
      <c r="D1864" s="30" t="s">
        <v>573</v>
      </c>
      <c r="E1864" s="30" t="s">
        <v>574</v>
      </c>
    </row>
    <row r="1865" spans="1:5" x14ac:dyDescent="0.35">
      <c r="A1865" s="32">
        <v>2214</v>
      </c>
      <c r="B1865" s="32" t="s">
        <v>571</v>
      </c>
      <c r="C1865" s="32" t="s">
        <v>580</v>
      </c>
      <c r="D1865" s="30" t="s">
        <v>573</v>
      </c>
      <c r="E1865" s="30" t="s">
        <v>574</v>
      </c>
    </row>
    <row r="1866" spans="1:5" x14ac:dyDescent="0.35">
      <c r="A1866" s="32">
        <v>2215</v>
      </c>
      <c r="B1866" s="32" t="s">
        <v>571</v>
      </c>
      <c r="C1866" s="32" t="s">
        <v>580</v>
      </c>
      <c r="D1866" s="30" t="s">
        <v>573</v>
      </c>
      <c r="E1866" s="30" t="s">
        <v>574</v>
      </c>
    </row>
    <row r="1867" spans="1:5" x14ac:dyDescent="0.35">
      <c r="A1867" s="32">
        <v>2216</v>
      </c>
      <c r="B1867" s="32" t="s">
        <v>571</v>
      </c>
      <c r="C1867" s="32" t="s">
        <v>648</v>
      </c>
      <c r="D1867" s="30" t="s">
        <v>573</v>
      </c>
      <c r="E1867" s="30" t="s">
        <v>574</v>
      </c>
    </row>
    <row r="1868" spans="1:5" x14ac:dyDescent="0.35">
      <c r="A1868" s="32">
        <v>2217</v>
      </c>
      <c r="B1868" s="32" t="s">
        <v>571</v>
      </c>
      <c r="C1868" s="32" t="s">
        <v>648</v>
      </c>
      <c r="D1868" s="30" t="s">
        <v>573</v>
      </c>
      <c r="E1868" s="30" t="s">
        <v>574</v>
      </c>
    </row>
    <row r="1869" spans="1:5" x14ac:dyDescent="0.35">
      <c r="A1869" s="32">
        <v>2218</v>
      </c>
      <c r="B1869" s="32" t="s">
        <v>571</v>
      </c>
      <c r="C1869" s="32" t="s">
        <v>648</v>
      </c>
      <c r="D1869" s="30" t="s">
        <v>573</v>
      </c>
      <c r="E1869" s="30" t="s">
        <v>574</v>
      </c>
    </row>
    <row r="1870" spans="1:5" x14ac:dyDescent="0.35">
      <c r="A1870" s="32">
        <v>2219</v>
      </c>
      <c r="B1870" s="32" t="s">
        <v>571</v>
      </c>
      <c r="C1870" s="32" t="s">
        <v>648</v>
      </c>
      <c r="D1870" s="30" t="s">
        <v>573</v>
      </c>
      <c r="E1870" s="30" t="s">
        <v>574</v>
      </c>
    </row>
    <row r="1871" spans="1:5" x14ac:dyDescent="0.35">
      <c r="A1871" s="32">
        <v>2220</v>
      </c>
      <c r="B1871" s="32" t="s">
        <v>571</v>
      </c>
      <c r="C1871" s="32" t="s">
        <v>648</v>
      </c>
      <c r="D1871" s="30" t="s">
        <v>573</v>
      </c>
      <c r="E1871" s="30" t="s">
        <v>574</v>
      </c>
    </row>
    <row r="1872" spans="1:5" x14ac:dyDescent="0.35">
      <c r="A1872" s="32">
        <v>2221</v>
      </c>
      <c r="B1872" s="32" t="s">
        <v>571</v>
      </c>
      <c r="C1872" s="32" t="s">
        <v>648</v>
      </c>
      <c r="D1872" s="30" t="s">
        <v>573</v>
      </c>
      <c r="E1872" s="30" t="s">
        <v>574</v>
      </c>
    </row>
    <row r="1873" spans="1:5" x14ac:dyDescent="0.35">
      <c r="A1873" s="32">
        <v>2222</v>
      </c>
      <c r="B1873" s="32" t="s">
        <v>571</v>
      </c>
      <c r="C1873" s="32" t="s">
        <v>580</v>
      </c>
      <c r="D1873" s="30" t="s">
        <v>573</v>
      </c>
      <c r="E1873" s="30" t="s">
        <v>574</v>
      </c>
    </row>
    <row r="1874" spans="1:5" x14ac:dyDescent="0.35">
      <c r="A1874" s="32">
        <v>2223</v>
      </c>
      <c r="B1874" s="32" t="s">
        <v>571</v>
      </c>
      <c r="C1874" s="32" t="s">
        <v>580</v>
      </c>
      <c r="D1874" s="30" t="s">
        <v>573</v>
      </c>
      <c r="E1874" s="30" t="s">
        <v>574</v>
      </c>
    </row>
    <row r="1875" spans="1:5" x14ac:dyDescent="0.35">
      <c r="A1875" s="32">
        <v>2224</v>
      </c>
      <c r="B1875" s="32" t="s">
        <v>571</v>
      </c>
      <c r="C1875" s="32" t="s">
        <v>580</v>
      </c>
      <c r="D1875" s="30" t="s">
        <v>573</v>
      </c>
      <c r="E1875" s="30" t="s">
        <v>574</v>
      </c>
    </row>
    <row r="1876" spans="1:5" x14ac:dyDescent="0.35">
      <c r="A1876" s="32">
        <v>2225</v>
      </c>
      <c r="B1876" s="32" t="s">
        <v>571</v>
      </c>
      <c r="C1876" s="32" t="s">
        <v>580</v>
      </c>
      <c r="D1876" s="30" t="s">
        <v>573</v>
      </c>
      <c r="E1876" s="30" t="s">
        <v>574</v>
      </c>
    </row>
    <row r="1877" spans="1:5" x14ac:dyDescent="0.35">
      <c r="A1877" s="32">
        <v>2226</v>
      </c>
      <c r="B1877" s="32" t="s">
        <v>571</v>
      </c>
      <c r="C1877" s="32" t="s">
        <v>580</v>
      </c>
      <c r="D1877" s="30" t="s">
        <v>573</v>
      </c>
      <c r="E1877" s="30" t="s">
        <v>574</v>
      </c>
    </row>
    <row r="1878" spans="1:5" x14ac:dyDescent="0.35">
      <c r="A1878" s="32">
        <v>2227</v>
      </c>
      <c r="B1878" s="32" t="s">
        <v>571</v>
      </c>
      <c r="C1878" s="32" t="s">
        <v>580</v>
      </c>
      <c r="D1878" s="30" t="s">
        <v>573</v>
      </c>
      <c r="E1878" s="30" t="s">
        <v>574</v>
      </c>
    </row>
    <row r="1879" spans="1:5" x14ac:dyDescent="0.35">
      <c r="A1879" s="32">
        <v>2228</v>
      </c>
      <c r="B1879" s="32" t="s">
        <v>571</v>
      </c>
      <c r="C1879" s="32" t="s">
        <v>648</v>
      </c>
      <c r="D1879" s="30" t="s">
        <v>573</v>
      </c>
      <c r="E1879" s="30" t="s">
        <v>574</v>
      </c>
    </row>
    <row r="1880" spans="1:5" x14ac:dyDescent="0.35">
      <c r="A1880" s="32">
        <v>2229</v>
      </c>
      <c r="B1880" s="32" t="s">
        <v>571</v>
      </c>
      <c r="C1880" s="32" t="s">
        <v>648</v>
      </c>
      <c r="D1880" s="30" t="s">
        <v>573</v>
      </c>
      <c r="E1880" s="30" t="s">
        <v>574</v>
      </c>
    </row>
    <row r="1881" spans="1:5" x14ac:dyDescent="0.35">
      <c r="A1881" s="32">
        <v>2230</v>
      </c>
      <c r="B1881" s="32" t="s">
        <v>571</v>
      </c>
      <c r="C1881" s="32" t="s">
        <v>648</v>
      </c>
      <c r="D1881" s="30" t="s">
        <v>573</v>
      </c>
      <c r="E1881" s="30" t="s">
        <v>574</v>
      </c>
    </row>
    <row r="1882" spans="1:5" x14ac:dyDescent="0.35">
      <c r="A1882" s="32">
        <v>2231</v>
      </c>
      <c r="B1882" s="32" t="s">
        <v>571</v>
      </c>
      <c r="C1882" s="32" t="s">
        <v>648</v>
      </c>
      <c r="D1882" s="30" t="s">
        <v>573</v>
      </c>
      <c r="E1882" s="30" t="s">
        <v>574</v>
      </c>
    </row>
    <row r="1883" spans="1:5" x14ac:dyDescent="0.35">
      <c r="A1883" s="32">
        <v>2232</v>
      </c>
      <c r="B1883" s="32" t="s">
        <v>571</v>
      </c>
      <c r="C1883" s="32" t="s">
        <v>648</v>
      </c>
      <c r="D1883" s="30" t="s">
        <v>573</v>
      </c>
      <c r="E1883" s="30" t="s">
        <v>574</v>
      </c>
    </row>
    <row r="1884" spans="1:5" x14ac:dyDescent="0.35">
      <c r="A1884" s="32">
        <v>2233</v>
      </c>
      <c r="B1884" s="32" t="s">
        <v>571</v>
      </c>
      <c r="C1884" s="32" t="s">
        <v>648</v>
      </c>
      <c r="D1884" s="30" t="s">
        <v>573</v>
      </c>
      <c r="E1884" s="30" t="s">
        <v>574</v>
      </c>
    </row>
    <row r="1885" spans="1:5" x14ac:dyDescent="0.35">
      <c r="A1885" s="32">
        <v>2234</v>
      </c>
      <c r="B1885" s="32" t="s">
        <v>571</v>
      </c>
      <c r="C1885" s="32" t="s">
        <v>580</v>
      </c>
      <c r="D1885" s="30" t="s">
        <v>573</v>
      </c>
      <c r="E1885" s="30" t="s">
        <v>574</v>
      </c>
    </row>
    <row r="1886" spans="1:5" x14ac:dyDescent="0.35">
      <c r="A1886" s="32">
        <v>2235</v>
      </c>
      <c r="B1886" s="32" t="s">
        <v>571</v>
      </c>
      <c r="C1886" s="32" t="s">
        <v>580</v>
      </c>
      <c r="D1886" s="30" t="s">
        <v>573</v>
      </c>
      <c r="E1886" s="30" t="s">
        <v>574</v>
      </c>
    </row>
    <row r="1887" spans="1:5" x14ac:dyDescent="0.35">
      <c r="A1887" s="32">
        <v>2236</v>
      </c>
      <c r="B1887" s="32" t="s">
        <v>571</v>
      </c>
      <c r="C1887" s="32" t="s">
        <v>580</v>
      </c>
      <c r="D1887" s="30" t="s">
        <v>573</v>
      </c>
      <c r="E1887" s="30" t="s">
        <v>574</v>
      </c>
    </row>
    <row r="1888" spans="1:5" x14ac:dyDescent="0.35">
      <c r="A1888" s="32">
        <v>2237</v>
      </c>
      <c r="B1888" s="32" t="s">
        <v>571</v>
      </c>
      <c r="C1888" s="32" t="s">
        <v>580</v>
      </c>
      <c r="D1888" s="30" t="s">
        <v>573</v>
      </c>
      <c r="E1888" s="30" t="s">
        <v>574</v>
      </c>
    </row>
    <row r="1889" spans="1:5" x14ac:dyDescent="0.35">
      <c r="A1889" s="32">
        <v>2238</v>
      </c>
      <c r="B1889" s="32" t="s">
        <v>571</v>
      </c>
      <c r="C1889" s="32" t="s">
        <v>580</v>
      </c>
      <c r="D1889" s="30" t="s">
        <v>573</v>
      </c>
      <c r="E1889" s="30" t="s">
        <v>574</v>
      </c>
    </row>
    <row r="1890" spans="1:5" x14ac:dyDescent="0.35">
      <c r="A1890" s="32">
        <v>2239</v>
      </c>
      <c r="B1890" s="32" t="s">
        <v>571</v>
      </c>
      <c r="C1890" s="32" t="s">
        <v>580</v>
      </c>
      <c r="D1890" s="30" t="s">
        <v>573</v>
      </c>
      <c r="E1890" s="30" t="s">
        <v>574</v>
      </c>
    </row>
    <row r="1891" spans="1:5" x14ac:dyDescent="0.35">
      <c r="A1891" s="32">
        <v>2240</v>
      </c>
      <c r="B1891" s="32" t="s">
        <v>571</v>
      </c>
      <c r="C1891" s="32" t="s">
        <v>648</v>
      </c>
      <c r="D1891" s="30" t="s">
        <v>573</v>
      </c>
      <c r="E1891" s="30" t="s">
        <v>574</v>
      </c>
    </row>
    <row r="1892" spans="1:5" x14ac:dyDescent="0.35">
      <c r="A1892" s="32">
        <v>2241</v>
      </c>
      <c r="B1892" s="32" t="s">
        <v>571</v>
      </c>
      <c r="C1892" s="32" t="s">
        <v>648</v>
      </c>
      <c r="D1892" s="30" t="s">
        <v>573</v>
      </c>
      <c r="E1892" s="30" t="s">
        <v>574</v>
      </c>
    </row>
    <row r="1893" spans="1:5" x14ac:dyDescent="0.35">
      <c r="A1893" s="32">
        <v>2242</v>
      </c>
      <c r="B1893" s="32" t="s">
        <v>571</v>
      </c>
      <c r="C1893" s="32" t="s">
        <v>648</v>
      </c>
      <c r="D1893" s="30" t="s">
        <v>573</v>
      </c>
      <c r="E1893" s="30" t="s">
        <v>574</v>
      </c>
    </row>
    <row r="1894" spans="1:5" x14ac:dyDescent="0.35">
      <c r="A1894" s="32">
        <v>2243</v>
      </c>
      <c r="B1894" s="32" t="s">
        <v>571</v>
      </c>
      <c r="C1894" s="32" t="s">
        <v>648</v>
      </c>
      <c r="D1894" s="30" t="s">
        <v>573</v>
      </c>
      <c r="E1894" s="30" t="s">
        <v>574</v>
      </c>
    </row>
    <row r="1895" spans="1:5" x14ac:dyDescent="0.35">
      <c r="A1895" s="32">
        <v>2244</v>
      </c>
      <c r="B1895" s="32" t="s">
        <v>571</v>
      </c>
      <c r="C1895" s="32" t="s">
        <v>648</v>
      </c>
      <c r="D1895" s="30" t="s">
        <v>573</v>
      </c>
      <c r="E1895" s="30" t="s">
        <v>574</v>
      </c>
    </row>
    <row r="1896" spans="1:5" x14ac:dyDescent="0.35">
      <c r="A1896" s="32">
        <v>2245</v>
      </c>
      <c r="B1896" s="32" t="s">
        <v>571</v>
      </c>
      <c r="C1896" s="32" t="s">
        <v>648</v>
      </c>
      <c r="D1896" s="30" t="s">
        <v>573</v>
      </c>
      <c r="E1896" s="30" t="s">
        <v>574</v>
      </c>
    </row>
    <row r="1897" spans="1:5" x14ac:dyDescent="0.35">
      <c r="A1897" s="32">
        <v>2246</v>
      </c>
      <c r="B1897" s="32" t="s">
        <v>571</v>
      </c>
      <c r="C1897" s="32" t="s">
        <v>580</v>
      </c>
      <c r="D1897" s="30" t="s">
        <v>573</v>
      </c>
      <c r="E1897" s="30" t="s">
        <v>574</v>
      </c>
    </row>
    <row r="1898" spans="1:5" x14ac:dyDescent="0.35">
      <c r="A1898" s="32">
        <v>2247</v>
      </c>
      <c r="B1898" s="32" t="s">
        <v>571</v>
      </c>
      <c r="C1898" s="32" t="s">
        <v>580</v>
      </c>
      <c r="D1898" s="30" t="s">
        <v>573</v>
      </c>
      <c r="E1898" s="30" t="s">
        <v>574</v>
      </c>
    </row>
    <row r="1899" spans="1:5" x14ac:dyDescent="0.35">
      <c r="A1899" s="32">
        <v>2248</v>
      </c>
      <c r="B1899" s="32" t="s">
        <v>571</v>
      </c>
      <c r="C1899" s="32" t="s">
        <v>580</v>
      </c>
      <c r="D1899" s="30" t="s">
        <v>573</v>
      </c>
      <c r="E1899" s="30" t="s">
        <v>574</v>
      </c>
    </row>
    <row r="1900" spans="1:5" x14ac:dyDescent="0.35">
      <c r="A1900" s="32">
        <v>2249</v>
      </c>
      <c r="B1900" s="32" t="s">
        <v>571</v>
      </c>
      <c r="C1900" s="32" t="s">
        <v>580</v>
      </c>
      <c r="D1900" s="30" t="s">
        <v>573</v>
      </c>
      <c r="E1900" s="30" t="s">
        <v>574</v>
      </c>
    </row>
    <row r="1901" spans="1:5" x14ac:dyDescent="0.35">
      <c r="A1901" s="32">
        <v>2250</v>
      </c>
      <c r="B1901" s="32" t="s">
        <v>571</v>
      </c>
      <c r="C1901" s="32" t="s">
        <v>580</v>
      </c>
      <c r="D1901" s="30" t="s">
        <v>573</v>
      </c>
      <c r="E1901" s="30" t="s">
        <v>574</v>
      </c>
    </row>
    <row r="1902" spans="1:5" x14ac:dyDescent="0.35">
      <c r="A1902" s="32">
        <v>2251</v>
      </c>
      <c r="B1902" s="32" t="s">
        <v>571</v>
      </c>
      <c r="C1902" s="32" t="s">
        <v>580</v>
      </c>
      <c r="D1902" s="30" t="s">
        <v>573</v>
      </c>
      <c r="E1902" s="30" t="s">
        <v>574</v>
      </c>
    </row>
    <row r="1903" spans="1:5" x14ac:dyDescent="0.35">
      <c r="A1903" s="32">
        <v>2252</v>
      </c>
      <c r="B1903" s="32" t="s">
        <v>571</v>
      </c>
      <c r="C1903" s="32" t="s">
        <v>648</v>
      </c>
      <c r="D1903" s="30" t="s">
        <v>573</v>
      </c>
      <c r="E1903" s="30" t="s">
        <v>574</v>
      </c>
    </row>
    <row r="1904" spans="1:5" x14ac:dyDescent="0.35">
      <c r="A1904" s="32">
        <v>2253</v>
      </c>
      <c r="B1904" s="32" t="s">
        <v>571</v>
      </c>
      <c r="C1904" s="32" t="s">
        <v>648</v>
      </c>
      <c r="D1904" s="30" t="s">
        <v>573</v>
      </c>
      <c r="E1904" s="30" t="s">
        <v>574</v>
      </c>
    </row>
    <row r="1905" spans="1:5" x14ac:dyDescent="0.35">
      <c r="A1905" s="32">
        <v>2254</v>
      </c>
      <c r="B1905" s="32" t="s">
        <v>571</v>
      </c>
      <c r="C1905" s="32" t="s">
        <v>648</v>
      </c>
      <c r="D1905" s="30" t="s">
        <v>573</v>
      </c>
      <c r="E1905" s="30" t="s">
        <v>574</v>
      </c>
    </row>
    <row r="1906" spans="1:5" x14ac:dyDescent="0.35">
      <c r="A1906" s="32">
        <v>2255</v>
      </c>
      <c r="B1906" s="32" t="s">
        <v>571</v>
      </c>
      <c r="C1906" s="32" t="s">
        <v>648</v>
      </c>
      <c r="D1906" s="30" t="s">
        <v>573</v>
      </c>
      <c r="E1906" s="30" t="s">
        <v>574</v>
      </c>
    </row>
    <row r="1907" spans="1:5" x14ac:dyDescent="0.35">
      <c r="A1907" s="32">
        <v>2256</v>
      </c>
      <c r="B1907" s="32" t="s">
        <v>571</v>
      </c>
      <c r="C1907" s="32" t="s">
        <v>648</v>
      </c>
      <c r="D1907" s="30" t="s">
        <v>573</v>
      </c>
      <c r="E1907" s="30" t="s">
        <v>574</v>
      </c>
    </row>
    <row r="1908" spans="1:5" x14ac:dyDescent="0.35">
      <c r="A1908" s="32">
        <v>2257</v>
      </c>
      <c r="B1908" s="32" t="s">
        <v>571</v>
      </c>
      <c r="C1908" s="32" t="s">
        <v>648</v>
      </c>
      <c r="D1908" s="30" t="s">
        <v>573</v>
      </c>
      <c r="E1908" s="30" t="s">
        <v>574</v>
      </c>
    </row>
    <row r="1909" spans="1:5" x14ac:dyDescent="0.35">
      <c r="A1909" s="32">
        <v>2258</v>
      </c>
      <c r="B1909" s="32" t="s">
        <v>571</v>
      </c>
      <c r="C1909" s="32" t="s">
        <v>580</v>
      </c>
      <c r="D1909" s="30" t="s">
        <v>573</v>
      </c>
      <c r="E1909" s="30" t="s">
        <v>574</v>
      </c>
    </row>
    <row r="1910" spans="1:5" x14ac:dyDescent="0.35">
      <c r="A1910" s="32">
        <v>2259</v>
      </c>
      <c r="B1910" s="32" t="s">
        <v>571</v>
      </c>
      <c r="C1910" s="32" t="s">
        <v>580</v>
      </c>
      <c r="D1910" s="30" t="s">
        <v>573</v>
      </c>
      <c r="E1910" s="30" t="s">
        <v>574</v>
      </c>
    </row>
    <row r="1911" spans="1:5" x14ac:dyDescent="0.35">
      <c r="A1911" s="32">
        <v>2260</v>
      </c>
      <c r="B1911" s="32" t="s">
        <v>571</v>
      </c>
      <c r="C1911" s="32" t="s">
        <v>580</v>
      </c>
      <c r="D1911" s="30" t="s">
        <v>573</v>
      </c>
      <c r="E1911" s="30" t="s">
        <v>574</v>
      </c>
    </row>
    <row r="1912" spans="1:5" x14ac:dyDescent="0.35">
      <c r="A1912" s="32">
        <v>2261</v>
      </c>
      <c r="B1912" s="32" t="s">
        <v>571</v>
      </c>
      <c r="C1912" s="32" t="s">
        <v>580</v>
      </c>
      <c r="D1912" s="30" t="s">
        <v>573</v>
      </c>
      <c r="E1912" s="30" t="s">
        <v>574</v>
      </c>
    </row>
    <row r="1913" spans="1:5" x14ac:dyDescent="0.35">
      <c r="A1913" s="32">
        <v>2262</v>
      </c>
      <c r="B1913" s="32" t="s">
        <v>571</v>
      </c>
      <c r="C1913" s="32" t="s">
        <v>580</v>
      </c>
      <c r="D1913" s="30" t="s">
        <v>573</v>
      </c>
      <c r="E1913" s="30" t="s">
        <v>574</v>
      </c>
    </row>
    <row r="1914" spans="1:5" x14ac:dyDescent="0.35">
      <c r="A1914" s="32">
        <v>2263</v>
      </c>
      <c r="B1914" s="32" t="s">
        <v>571</v>
      </c>
      <c r="C1914" s="32" t="s">
        <v>580</v>
      </c>
      <c r="D1914" s="30" t="s">
        <v>573</v>
      </c>
      <c r="E1914" s="30" t="s">
        <v>574</v>
      </c>
    </row>
    <row r="1915" spans="1:5" x14ac:dyDescent="0.35">
      <c r="A1915" s="32">
        <v>2264</v>
      </c>
      <c r="B1915" s="32" t="s">
        <v>571</v>
      </c>
      <c r="C1915" s="32" t="s">
        <v>648</v>
      </c>
      <c r="D1915" s="30" t="s">
        <v>573</v>
      </c>
      <c r="E1915" s="30" t="s">
        <v>574</v>
      </c>
    </row>
    <row r="1916" spans="1:5" x14ac:dyDescent="0.35">
      <c r="A1916" s="32">
        <v>2265</v>
      </c>
      <c r="B1916" s="32" t="s">
        <v>571</v>
      </c>
      <c r="C1916" s="32" t="s">
        <v>648</v>
      </c>
      <c r="D1916" s="30" t="s">
        <v>573</v>
      </c>
      <c r="E1916" s="30" t="s">
        <v>574</v>
      </c>
    </row>
    <row r="1917" spans="1:5" x14ac:dyDescent="0.35">
      <c r="A1917" s="32">
        <v>2266</v>
      </c>
      <c r="B1917" s="32" t="s">
        <v>571</v>
      </c>
      <c r="C1917" s="32" t="s">
        <v>648</v>
      </c>
      <c r="D1917" s="30" t="s">
        <v>573</v>
      </c>
      <c r="E1917" s="30" t="s">
        <v>574</v>
      </c>
    </row>
    <row r="1918" spans="1:5" x14ac:dyDescent="0.35">
      <c r="A1918" s="32">
        <v>2267</v>
      </c>
      <c r="B1918" s="32" t="s">
        <v>571</v>
      </c>
      <c r="C1918" s="32" t="s">
        <v>648</v>
      </c>
      <c r="D1918" s="30" t="s">
        <v>573</v>
      </c>
      <c r="E1918" s="30" t="s">
        <v>574</v>
      </c>
    </row>
    <row r="1919" spans="1:5" x14ac:dyDescent="0.35">
      <c r="A1919" s="32">
        <v>2268</v>
      </c>
      <c r="B1919" s="32" t="s">
        <v>571</v>
      </c>
      <c r="C1919" s="32" t="s">
        <v>648</v>
      </c>
      <c r="D1919" s="30" t="s">
        <v>573</v>
      </c>
      <c r="E1919" s="30" t="s">
        <v>574</v>
      </c>
    </row>
    <row r="1920" spans="1:5" x14ac:dyDescent="0.35">
      <c r="A1920" s="32">
        <v>2269</v>
      </c>
      <c r="B1920" s="32" t="s">
        <v>571</v>
      </c>
      <c r="C1920" s="32" t="s">
        <v>648</v>
      </c>
      <c r="D1920" s="30" t="s">
        <v>573</v>
      </c>
      <c r="E1920" s="30" t="s">
        <v>574</v>
      </c>
    </row>
    <row r="1921" spans="1:5" x14ac:dyDescent="0.35">
      <c r="A1921" s="32">
        <v>2270</v>
      </c>
      <c r="B1921" s="32" t="s">
        <v>571</v>
      </c>
      <c r="C1921" s="32" t="s">
        <v>580</v>
      </c>
      <c r="D1921" s="30" t="s">
        <v>573</v>
      </c>
      <c r="E1921" s="30" t="s">
        <v>574</v>
      </c>
    </row>
    <row r="1922" spans="1:5" x14ac:dyDescent="0.35">
      <c r="A1922" s="32">
        <v>2271</v>
      </c>
      <c r="B1922" s="32" t="s">
        <v>571</v>
      </c>
      <c r="C1922" s="32" t="s">
        <v>580</v>
      </c>
      <c r="D1922" s="30" t="s">
        <v>573</v>
      </c>
      <c r="E1922" s="30" t="s">
        <v>574</v>
      </c>
    </row>
    <row r="1923" spans="1:5" x14ac:dyDescent="0.35">
      <c r="A1923" s="32">
        <v>2272</v>
      </c>
      <c r="B1923" s="32" t="s">
        <v>571</v>
      </c>
      <c r="C1923" s="32" t="s">
        <v>580</v>
      </c>
      <c r="D1923" s="30" t="s">
        <v>573</v>
      </c>
      <c r="E1923" s="30" t="s">
        <v>574</v>
      </c>
    </row>
    <row r="1924" spans="1:5" x14ac:dyDescent="0.35">
      <c r="A1924" s="32">
        <v>2273</v>
      </c>
      <c r="B1924" s="32" t="s">
        <v>571</v>
      </c>
      <c r="C1924" s="32" t="s">
        <v>580</v>
      </c>
      <c r="D1924" s="30" t="s">
        <v>573</v>
      </c>
      <c r="E1924" s="30" t="s">
        <v>574</v>
      </c>
    </row>
    <row r="1925" spans="1:5" x14ac:dyDescent="0.35">
      <c r="A1925" s="32">
        <v>2274</v>
      </c>
      <c r="B1925" s="32" t="s">
        <v>571</v>
      </c>
      <c r="C1925" s="32" t="s">
        <v>580</v>
      </c>
      <c r="D1925" s="30" t="s">
        <v>573</v>
      </c>
      <c r="E1925" s="30" t="s">
        <v>574</v>
      </c>
    </row>
    <row r="1926" spans="1:5" x14ac:dyDescent="0.35">
      <c r="A1926" s="32">
        <v>2275</v>
      </c>
      <c r="B1926" s="32" t="s">
        <v>571</v>
      </c>
      <c r="C1926" s="32" t="s">
        <v>580</v>
      </c>
      <c r="D1926" s="30" t="s">
        <v>573</v>
      </c>
      <c r="E1926" s="30" t="s">
        <v>574</v>
      </c>
    </row>
    <row r="1927" spans="1:5" x14ac:dyDescent="0.35">
      <c r="A1927" s="32">
        <v>2276</v>
      </c>
      <c r="B1927" s="32" t="s">
        <v>571</v>
      </c>
      <c r="C1927" s="32" t="s">
        <v>648</v>
      </c>
      <c r="D1927" s="30" t="s">
        <v>573</v>
      </c>
      <c r="E1927" s="30" t="s">
        <v>574</v>
      </c>
    </row>
    <row r="1928" spans="1:5" x14ac:dyDescent="0.35">
      <c r="A1928" s="32">
        <v>2277</v>
      </c>
      <c r="B1928" s="32" t="s">
        <v>571</v>
      </c>
      <c r="C1928" s="32" t="s">
        <v>648</v>
      </c>
      <c r="D1928" s="30" t="s">
        <v>573</v>
      </c>
      <c r="E1928" s="30" t="s">
        <v>574</v>
      </c>
    </row>
    <row r="1929" spans="1:5" x14ac:dyDescent="0.35">
      <c r="A1929" s="32">
        <v>2278</v>
      </c>
      <c r="B1929" s="32" t="s">
        <v>571</v>
      </c>
      <c r="C1929" s="32" t="s">
        <v>648</v>
      </c>
      <c r="D1929" s="30" t="s">
        <v>573</v>
      </c>
      <c r="E1929" s="30" t="s">
        <v>574</v>
      </c>
    </row>
    <row r="1930" spans="1:5" x14ac:dyDescent="0.35">
      <c r="A1930" s="32">
        <v>2279</v>
      </c>
      <c r="B1930" s="32" t="s">
        <v>571</v>
      </c>
      <c r="C1930" s="32" t="s">
        <v>648</v>
      </c>
      <c r="D1930" s="30" t="s">
        <v>573</v>
      </c>
      <c r="E1930" s="30" t="s">
        <v>574</v>
      </c>
    </row>
    <row r="1931" spans="1:5" x14ac:dyDescent="0.35">
      <c r="A1931" s="32">
        <v>2280</v>
      </c>
      <c r="B1931" s="32" t="s">
        <v>571</v>
      </c>
      <c r="C1931" s="32" t="s">
        <v>648</v>
      </c>
      <c r="D1931" s="30" t="s">
        <v>573</v>
      </c>
      <c r="E1931" s="30" t="s">
        <v>574</v>
      </c>
    </row>
    <row r="1932" spans="1:5" x14ac:dyDescent="0.35">
      <c r="A1932" s="32">
        <v>2281</v>
      </c>
      <c r="B1932" s="32" t="s">
        <v>571</v>
      </c>
      <c r="C1932" s="32" t="s">
        <v>648</v>
      </c>
      <c r="D1932" s="30" t="s">
        <v>573</v>
      </c>
      <c r="E1932" s="30" t="s">
        <v>574</v>
      </c>
    </row>
    <row r="1933" spans="1:5" x14ac:dyDescent="0.35">
      <c r="A1933" s="32">
        <v>2282</v>
      </c>
      <c r="B1933" s="32" t="s">
        <v>571</v>
      </c>
      <c r="C1933" s="32" t="s">
        <v>580</v>
      </c>
      <c r="D1933" s="30" t="s">
        <v>573</v>
      </c>
      <c r="E1933" s="30" t="s">
        <v>574</v>
      </c>
    </row>
    <row r="1934" spans="1:5" x14ac:dyDescent="0.35">
      <c r="A1934" s="32">
        <v>2283</v>
      </c>
      <c r="B1934" s="32" t="s">
        <v>571</v>
      </c>
      <c r="C1934" s="32" t="s">
        <v>580</v>
      </c>
      <c r="D1934" s="30" t="s">
        <v>573</v>
      </c>
      <c r="E1934" s="30" t="s">
        <v>574</v>
      </c>
    </row>
    <row r="1935" spans="1:5" x14ac:dyDescent="0.35">
      <c r="A1935" s="32">
        <v>2284</v>
      </c>
      <c r="B1935" s="32" t="s">
        <v>571</v>
      </c>
      <c r="C1935" s="32" t="s">
        <v>580</v>
      </c>
      <c r="D1935" s="30" t="s">
        <v>573</v>
      </c>
      <c r="E1935" s="30" t="s">
        <v>574</v>
      </c>
    </row>
    <row r="1936" spans="1:5" x14ac:dyDescent="0.35">
      <c r="A1936" s="32">
        <v>2285</v>
      </c>
      <c r="B1936" s="32" t="s">
        <v>571</v>
      </c>
      <c r="C1936" s="32" t="s">
        <v>580</v>
      </c>
      <c r="D1936" s="30" t="s">
        <v>573</v>
      </c>
      <c r="E1936" s="30" t="s">
        <v>574</v>
      </c>
    </row>
    <row r="1937" spans="1:5" x14ac:dyDescent="0.35">
      <c r="A1937" s="32">
        <v>2286</v>
      </c>
      <c r="B1937" s="32" t="s">
        <v>571</v>
      </c>
      <c r="C1937" s="32" t="s">
        <v>580</v>
      </c>
      <c r="D1937" s="30" t="s">
        <v>573</v>
      </c>
      <c r="E1937" s="30" t="s">
        <v>574</v>
      </c>
    </row>
    <row r="1938" spans="1:5" x14ac:dyDescent="0.35">
      <c r="A1938" s="32">
        <v>2287</v>
      </c>
      <c r="B1938" s="32" t="s">
        <v>571</v>
      </c>
      <c r="C1938" s="32" t="s">
        <v>580</v>
      </c>
      <c r="D1938" s="30" t="s">
        <v>573</v>
      </c>
      <c r="E1938" s="30" t="s">
        <v>574</v>
      </c>
    </row>
    <row r="1939" spans="1:5" x14ac:dyDescent="0.35">
      <c r="A1939" s="32">
        <v>2288</v>
      </c>
      <c r="B1939" s="32" t="s">
        <v>611</v>
      </c>
      <c r="C1939" s="32" t="s">
        <v>605</v>
      </c>
      <c r="D1939" s="30" t="s">
        <v>635</v>
      </c>
      <c r="E1939" s="30" t="s">
        <v>671</v>
      </c>
    </row>
    <row r="1940" spans="1:5" x14ac:dyDescent="0.35">
      <c r="A1940" s="32">
        <v>2289</v>
      </c>
      <c r="B1940" s="32" t="s">
        <v>642</v>
      </c>
      <c r="C1940" s="32" t="s">
        <v>605</v>
      </c>
      <c r="D1940" s="30" t="s">
        <v>635</v>
      </c>
      <c r="E1940" s="30" t="s">
        <v>671</v>
      </c>
    </row>
    <row r="1941" spans="1:5" x14ac:dyDescent="0.35">
      <c r="A1941" s="32">
        <v>2290</v>
      </c>
      <c r="B1941" s="32" t="s">
        <v>571</v>
      </c>
      <c r="C1941" s="32" t="s">
        <v>605</v>
      </c>
      <c r="D1941" s="30" t="s">
        <v>635</v>
      </c>
      <c r="E1941" s="30" t="s">
        <v>671</v>
      </c>
    </row>
    <row r="1942" spans="1:5" x14ac:dyDescent="0.35">
      <c r="A1942" s="32">
        <v>2291</v>
      </c>
      <c r="B1942" s="32" t="s">
        <v>634</v>
      </c>
      <c r="C1942" s="32" t="s">
        <v>605</v>
      </c>
      <c r="D1942" s="30" t="s">
        <v>635</v>
      </c>
      <c r="E1942" s="30" t="s">
        <v>671</v>
      </c>
    </row>
    <row r="1943" spans="1:5" x14ac:dyDescent="0.35">
      <c r="A1943" s="32">
        <v>2292</v>
      </c>
      <c r="B1943" s="32" t="s">
        <v>634</v>
      </c>
      <c r="C1943" s="32" t="s">
        <v>605</v>
      </c>
      <c r="D1943" s="30" t="s">
        <v>635</v>
      </c>
      <c r="E1943" s="30" t="s">
        <v>671</v>
      </c>
    </row>
    <row r="1944" spans="1:5" x14ac:dyDescent="0.35">
      <c r="A1944" s="32">
        <v>2293</v>
      </c>
      <c r="B1944" s="32" t="s">
        <v>610</v>
      </c>
      <c r="C1944" s="32" t="s">
        <v>584</v>
      </c>
      <c r="D1944" s="30" t="s">
        <v>599</v>
      </c>
      <c r="E1944" s="30" t="s">
        <v>629</v>
      </c>
    </row>
    <row r="1945" spans="1:5" x14ac:dyDescent="0.35">
      <c r="A1945" s="32">
        <v>2294</v>
      </c>
      <c r="B1945" s="32" t="s">
        <v>610</v>
      </c>
      <c r="C1945" s="32" t="s">
        <v>584</v>
      </c>
      <c r="D1945" s="30" t="s">
        <v>599</v>
      </c>
      <c r="E1945" s="30" t="s">
        <v>629</v>
      </c>
    </row>
    <row r="1946" spans="1:5" x14ac:dyDescent="0.35">
      <c r="A1946" s="32">
        <v>2295</v>
      </c>
      <c r="B1946" s="32" t="s">
        <v>610</v>
      </c>
      <c r="C1946" s="32" t="s">
        <v>584</v>
      </c>
      <c r="D1946" s="30" t="s">
        <v>599</v>
      </c>
      <c r="E1946" s="30" t="s">
        <v>629</v>
      </c>
    </row>
    <row r="1947" spans="1:5" x14ac:dyDescent="0.35">
      <c r="A1947" s="32">
        <v>2296</v>
      </c>
      <c r="B1947" s="32" t="s">
        <v>610</v>
      </c>
      <c r="C1947" s="32" t="s">
        <v>584</v>
      </c>
      <c r="D1947" s="30" t="s">
        <v>599</v>
      </c>
      <c r="E1947" s="30" t="s">
        <v>629</v>
      </c>
    </row>
    <row r="1948" spans="1:5" x14ac:dyDescent="0.35">
      <c r="A1948" s="32">
        <v>2297</v>
      </c>
      <c r="B1948" s="32" t="s">
        <v>571</v>
      </c>
      <c r="C1948" s="32" t="s">
        <v>648</v>
      </c>
      <c r="D1948" s="30" t="s">
        <v>659</v>
      </c>
      <c r="E1948" s="30" t="s">
        <v>660</v>
      </c>
    </row>
    <row r="1949" spans="1:5" x14ac:dyDescent="0.35">
      <c r="A1949" s="32">
        <v>2298</v>
      </c>
      <c r="B1949" s="32" t="s">
        <v>571</v>
      </c>
      <c r="C1949" s="32" t="s">
        <v>648</v>
      </c>
      <c r="D1949" s="30" t="s">
        <v>659</v>
      </c>
      <c r="E1949" s="30" t="s">
        <v>660</v>
      </c>
    </row>
    <row r="1950" spans="1:5" x14ac:dyDescent="0.35">
      <c r="A1950" s="32">
        <v>2299</v>
      </c>
      <c r="B1950" s="32" t="s">
        <v>571</v>
      </c>
      <c r="C1950" s="32" t="s">
        <v>648</v>
      </c>
      <c r="D1950" s="30" t="s">
        <v>659</v>
      </c>
      <c r="E1950" s="30" t="s">
        <v>660</v>
      </c>
    </row>
    <row r="1951" spans="1:5" x14ac:dyDescent="0.35">
      <c r="A1951" s="32">
        <v>2300</v>
      </c>
      <c r="B1951" s="32" t="s">
        <v>571</v>
      </c>
      <c r="C1951" s="32" t="s">
        <v>648</v>
      </c>
      <c r="D1951" s="30" t="s">
        <v>659</v>
      </c>
      <c r="E1951" s="30" t="s">
        <v>660</v>
      </c>
    </row>
    <row r="1952" spans="1:5" x14ac:dyDescent="0.35">
      <c r="A1952" s="32">
        <v>2301</v>
      </c>
      <c r="B1952" s="32" t="s">
        <v>571</v>
      </c>
      <c r="C1952" s="32" t="s">
        <v>665</v>
      </c>
      <c r="D1952" s="30" t="s">
        <v>659</v>
      </c>
      <c r="E1952" s="30" t="s">
        <v>660</v>
      </c>
    </row>
    <row r="1953" spans="1:5" x14ac:dyDescent="0.35">
      <c r="A1953" s="32">
        <v>2302</v>
      </c>
      <c r="B1953" s="32" t="s">
        <v>571</v>
      </c>
      <c r="C1953" s="32" t="s">
        <v>648</v>
      </c>
      <c r="D1953" s="30" t="s">
        <v>659</v>
      </c>
      <c r="E1953" s="30" t="s">
        <v>660</v>
      </c>
    </row>
    <row r="1954" spans="1:5" x14ac:dyDescent="0.35">
      <c r="A1954" s="32">
        <v>2303</v>
      </c>
      <c r="B1954" s="32" t="s">
        <v>611</v>
      </c>
      <c r="C1954" s="32" t="s">
        <v>665</v>
      </c>
      <c r="D1954" s="30" t="s">
        <v>659</v>
      </c>
      <c r="E1954" s="30" t="s">
        <v>660</v>
      </c>
    </row>
    <row r="1955" spans="1:5" x14ac:dyDescent="0.35">
      <c r="A1955" s="32">
        <v>2304</v>
      </c>
      <c r="B1955" s="32" t="s">
        <v>634</v>
      </c>
      <c r="C1955" s="32" t="s">
        <v>648</v>
      </c>
      <c r="D1955" s="30" t="s">
        <v>659</v>
      </c>
      <c r="E1955" s="30" t="s">
        <v>660</v>
      </c>
    </row>
    <row r="1956" spans="1:5" x14ac:dyDescent="0.35">
      <c r="A1956" s="32">
        <v>2305</v>
      </c>
      <c r="B1956" s="32" t="s">
        <v>571</v>
      </c>
      <c r="C1956" s="32" t="s">
        <v>605</v>
      </c>
      <c r="D1956" s="30" t="s">
        <v>632</v>
      </c>
      <c r="E1956" s="30" t="s">
        <v>633</v>
      </c>
    </row>
    <row r="1957" spans="1:5" x14ac:dyDescent="0.35">
      <c r="A1957" s="32">
        <v>2306</v>
      </c>
      <c r="B1957" s="32" t="s">
        <v>611</v>
      </c>
      <c r="C1957" s="32" t="s">
        <v>605</v>
      </c>
      <c r="D1957" s="30" t="s">
        <v>632</v>
      </c>
      <c r="E1957" s="30" t="s">
        <v>633</v>
      </c>
    </row>
    <row r="1958" spans="1:5" x14ac:dyDescent="0.35">
      <c r="A1958" s="32">
        <v>2307</v>
      </c>
      <c r="B1958" s="32" t="s">
        <v>642</v>
      </c>
      <c r="C1958" s="32" t="s">
        <v>605</v>
      </c>
      <c r="D1958" s="30" t="s">
        <v>632</v>
      </c>
      <c r="E1958" s="30" t="s">
        <v>633</v>
      </c>
    </row>
    <row r="1959" spans="1:5" x14ac:dyDescent="0.35">
      <c r="A1959" s="32">
        <v>2308</v>
      </c>
      <c r="B1959" s="32" t="s">
        <v>610</v>
      </c>
      <c r="C1959" s="32" t="s">
        <v>584</v>
      </c>
      <c r="D1959" s="30" t="s">
        <v>573</v>
      </c>
      <c r="E1959" s="30" t="s">
        <v>638</v>
      </c>
    </row>
    <row r="1960" spans="1:5" x14ac:dyDescent="0.35">
      <c r="A1960" s="32">
        <v>2309</v>
      </c>
      <c r="B1960" s="32" t="s">
        <v>610</v>
      </c>
      <c r="C1960" s="32" t="s">
        <v>584</v>
      </c>
      <c r="D1960" s="30" t="s">
        <v>663</v>
      </c>
      <c r="E1960" s="30" t="s">
        <v>667</v>
      </c>
    </row>
    <row r="1961" spans="1:5" x14ac:dyDescent="0.35">
      <c r="A1961" s="32">
        <v>2310</v>
      </c>
      <c r="B1961" s="32" t="s">
        <v>571</v>
      </c>
      <c r="C1961" s="32" t="s">
        <v>648</v>
      </c>
      <c r="D1961" s="30" t="s">
        <v>639</v>
      </c>
      <c r="E1961" s="30" t="s">
        <v>654</v>
      </c>
    </row>
    <row r="1962" spans="1:5" x14ac:dyDescent="0.35">
      <c r="A1962" s="32">
        <v>2311</v>
      </c>
      <c r="B1962" s="32" t="s">
        <v>571</v>
      </c>
      <c r="C1962" s="32" t="s">
        <v>648</v>
      </c>
      <c r="D1962" s="30" t="s">
        <v>639</v>
      </c>
      <c r="E1962" s="30" t="s">
        <v>654</v>
      </c>
    </row>
    <row r="1963" spans="1:5" x14ac:dyDescent="0.35">
      <c r="A1963" s="32">
        <v>2312</v>
      </c>
      <c r="B1963" s="32" t="s">
        <v>571</v>
      </c>
      <c r="C1963" s="32" t="s">
        <v>648</v>
      </c>
      <c r="D1963" s="30" t="s">
        <v>639</v>
      </c>
      <c r="E1963" s="30" t="s">
        <v>654</v>
      </c>
    </row>
    <row r="1964" spans="1:5" x14ac:dyDescent="0.35">
      <c r="A1964" s="32">
        <v>2313</v>
      </c>
      <c r="B1964" s="32" t="s">
        <v>571</v>
      </c>
      <c r="C1964" s="32" t="s">
        <v>648</v>
      </c>
      <c r="D1964" s="30" t="s">
        <v>639</v>
      </c>
      <c r="E1964" s="30" t="s">
        <v>654</v>
      </c>
    </row>
    <row r="1965" spans="1:5" x14ac:dyDescent="0.35">
      <c r="A1965" s="32">
        <v>2314</v>
      </c>
      <c r="B1965" s="32" t="s">
        <v>571</v>
      </c>
      <c r="C1965" s="32" t="s">
        <v>648</v>
      </c>
      <c r="D1965" s="30" t="s">
        <v>639</v>
      </c>
      <c r="E1965" s="30" t="s">
        <v>654</v>
      </c>
    </row>
    <row r="1966" spans="1:5" x14ac:dyDescent="0.35">
      <c r="A1966" s="32">
        <v>2315</v>
      </c>
      <c r="B1966" s="32" t="s">
        <v>634</v>
      </c>
      <c r="C1966" s="32" t="s">
        <v>648</v>
      </c>
      <c r="D1966" s="30" t="s">
        <v>639</v>
      </c>
      <c r="E1966" s="30" t="s">
        <v>654</v>
      </c>
    </row>
    <row r="1967" spans="1:5" x14ac:dyDescent="0.35">
      <c r="A1967" s="32">
        <v>2316</v>
      </c>
      <c r="B1967" s="32" t="s">
        <v>634</v>
      </c>
      <c r="C1967" s="32" t="s">
        <v>605</v>
      </c>
      <c r="D1967" s="30" t="s">
        <v>612</v>
      </c>
      <c r="E1967" s="30" t="s">
        <v>628</v>
      </c>
    </row>
    <row r="1968" spans="1:5" x14ac:dyDescent="0.35">
      <c r="A1968" s="32">
        <v>2317</v>
      </c>
      <c r="B1968" s="32" t="s">
        <v>634</v>
      </c>
      <c r="C1968" s="32" t="s">
        <v>605</v>
      </c>
      <c r="D1968" s="30" t="s">
        <v>612</v>
      </c>
      <c r="E1968" s="30" t="s">
        <v>628</v>
      </c>
    </row>
    <row r="1969" spans="1:5" x14ac:dyDescent="0.35">
      <c r="A1969" s="32">
        <v>2318</v>
      </c>
      <c r="B1969" s="32" t="s">
        <v>571</v>
      </c>
      <c r="C1969" s="32" t="s">
        <v>662</v>
      </c>
      <c r="D1969" s="30" t="s">
        <v>656</v>
      </c>
      <c r="E1969" s="30" t="s">
        <v>675</v>
      </c>
    </row>
    <row r="1970" spans="1:5" x14ac:dyDescent="0.35">
      <c r="A1970" s="32">
        <v>2319</v>
      </c>
      <c r="B1970" s="32" t="s">
        <v>634</v>
      </c>
      <c r="C1970" s="32" t="s">
        <v>648</v>
      </c>
      <c r="D1970" s="30" t="s">
        <v>663</v>
      </c>
      <c r="E1970" s="30" t="s">
        <v>664</v>
      </c>
    </row>
    <row r="1971" spans="1:5" x14ac:dyDescent="0.35">
      <c r="A1971" s="32">
        <v>2320</v>
      </c>
      <c r="B1971" s="32" t="s">
        <v>571</v>
      </c>
      <c r="C1971" s="32" t="s">
        <v>648</v>
      </c>
      <c r="D1971" s="30" t="s">
        <v>663</v>
      </c>
      <c r="E1971" s="30" t="s">
        <v>664</v>
      </c>
    </row>
    <row r="1972" spans="1:5" x14ac:dyDescent="0.35">
      <c r="A1972" s="32">
        <v>2321</v>
      </c>
      <c r="B1972" s="32" t="s">
        <v>641</v>
      </c>
      <c r="C1972" s="32" t="s">
        <v>648</v>
      </c>
      <c r="D1972" s="30" t="s">
        <v>663</v>
      </c>
      <c r="E1972" s="30" t="s">
        <v>664</v>
      </c>
    </row>
    <row r="1973" spans="1:5" x14ac:dyDescent="0.35">
      <c r="A1973" s="32">
        <v>2322</v>
      </c>
      <c r="B1973" s="32" t="s">
        <v>571</v>
      </c>
      <c r="C1973" s="32" t="s">
        <v>648</v>
      </c>
      <c r="D1973" s="30" t="s">
        <v>663</v>
      </c>
      <c r="E1973" s="30" t="s">
        <v>664</v>
      </c>
    </row>
    <row r="1974" spans="1:5" x14ac:dyDescent="0.35">
      <c r="A1974" s="32">
        <v>2323</v>
      </c>
      <c r="B1974" s="32" t="s">
        <v>634</v>
      </c>
      <c r="C1974" s="32" t="s">
        <v>648</v>
      </c>
      <c r="D1974" s="30" t="s">
        <v>663</v>
      </c>
      <c r="E1974" s="30" t="s">
        <v>664</v>
      </c>
    </row>
    <row r="1975" spans="1:5" x14ac:dyDescent="0.35">
      <c r="A1975" s="32">
        <v>2324</v>
      </c>
      <c r="B1975" s="32" t="s">
        <v>634</v>
      </c>
      <c r="C1975" s="32" t="s">
        <v>648</v>
      </c>
      <c r="D1975" s="30" t="s">
        <v>663</v>
      </c>
      <c r="E1975" s="30" t="s">
        <v>664</v>
      </c>
    </row>
    <row r="1976" spans="1:5" x14ac:dyDescent="0.35">
      <c r="A1976" s="32">
        <v>2325</v>
      </c>
      <c r="B1976" s="32" t="s">
        <v>610</v>
      </c>
      <c r="C1976" s="32" t="s">
        <v>605</v>
      </c>
      <c r="D1976" s="30" t="s">
        <v>663</v>
      </c>
      <c r="E1976" s="30" t="s">
        <v>664</v>
      </c>
    </row>
    <row r="1977" spans="1:5" x14ac:dyDescent="0.35">
      <c r="A1977" s="32">
        <v>2326</v>
      </c>
      <c r="B1977" s="32" t="s">
        <v>634</v>
      </c>
      <c r="C1977" s="32" t="s">
        <v>648</v>
      </c>
      <c r="D1977" s="30" t="s">
        <v>663</v>
      </c>
      <c r="E1977" s="30" t="s">
        <v>664</v>
      </c>
    </row>
    <row r="1978" spans="1:5" x14ac:dyDescent="0.35">
      <c r="A1978" s="32">
        <v>2327</v>
      </c>
      <c r="B1978" s="32" t="s">
        <v>634</v>
      </c>
      <c r="C1978" s="32" t="s">
        <v>648</v>
      </c>
      <c r="D1978" s="30" t="s">
        <v>663</v>
      </c>
      <c r="E1978" s="30" t="s">
        <v>664</v>
      </c>
    </row>
    <row r="1979" spans="1:5" x14ac:dyDescent="0.35">
      <c r="A1979" s="32">
        <v>2328</v>
      </c>
      <c r="B1979" s="32" t="s">
        <v>611</v>
      </c>
      <c r="C1979" s="32" t="s">
        <v>648</v>
      </c>
      <c r="D1979" s="30" t="s">
        <v>663</v>
      </c>
      <c r="E1979" s="30" t="s">
        <v>664</v>
      </c>
    </row>
    <row r="1980" spans="1:5" x14ac:dyDescent="0.35">
      <c r="A1980" s="32">
        <v>2329</v>
      </c>
      <c r="B1980" s="32" t="s">
        <v>610</v>
      </c>
      <c r="C1980" s="32" t="s">
        <v>605</v>
      </c>
      <c r="D1980" s="30" t="s">
        <v>663</v>
      </c>
      <c r="E1980" s="30" t="s">
        <v>664</v>
      </c>
    </row>
    <row r="1981" spans="1:5" x14ac:dyDescent="0.35">
      <c r="A1981" s="32">
        <v>2330</v>
      </c>
      <c r="B1981" s="32" t="s">
        <v>571</v>
      </c>
      <c r="C1981" s="32" t="s">
        <v>605</v>
      </c>
      <c r="D1981" s="30" t="s">
        <v>621</v>
      </c>
      <c r="E1981" s="30" t="s">
        <v>676</v>
      </c>
    </row>
    <row r="1982" spans="1:5" x14ac:dyDescent="0.35">
      <c r="A1982" s="32">
        <v>2331</v>
      </c>
      <c r="B1982" s="32" t="s">
        <v>571</v>
      </c>
      <c r="C1982" s="32" t="s">
        <v>648</v>
      </c>
      <c r="D1982" s="30" t="s">
        <v>621</v>
      </c>
      <c r="E1982" s="30" t="s">
        <v>669</v>
      </c>
    </row>
    <row r="1983" spans="1:5" x14ac:dyDescent="0.35">
      <c r="A1983" s="32">
        <v>2332</v>
      </c>
      <c r="B1983" s="32" t="s">
        <v>571</v>
      </c>
      <c r="C1983" s="32" t="s">
        <v>655</v>
      </c>
      <c r="D1983" s="30" t="s">
        <v>621</v>
      </c>
      <c r="E1983" s="30" t="s">
        <v>669</v>
      </c>
    </row>
    <row r="1984" spans="1:5" x14ac:dyDescent="0.35">
      <c r="A1984" s="32">
        <v>2333</v>
      </c>
      <c r="B1984" s="32" t="s">
        <v>634</v>
      </c>
      <c r="C1984" s="32" t="s">
        <v>605</v>
      </c>
      <c r="D1984" s="30" t="s">
        <v>621</v>
      </c>
      <c r="E1984" s="30" t="s">
        <v>669</v>
      </c>
    </row>
    <row r="1985" spans="1:5" x14ac:dyDescent="0.35">
      <c r="A1985" s="32">
        <v>2334</v>
      </c>
      <c r="B1985" s="32" t="s">
        <v>634</v>
      </c>
      <c r="C1985" s="32" t="s">
        <v>572</v>
      </c>
      <c r="D1985" s="30" t="s">
        <v>621</v>
      </c>
      <c r="E1985" s="30" t="s">
        <v>669</v>
      </c>
    </row>
    <row r="1986" spans="1:5" x14ac:dyDescent="0.35">
      <c r="A1986" s="32">
        <v>2335</v>
      </c>
      <c r="B1986" s="32" t="s">
        <v>634</v>
      </c>
      <c r="C1986" s="32" t="s">
        <v>645</v>
      </c>
      <c r="D1986" s="30" t="s">
        <v>621</v>
      </c>
      <c r="E1986" s="30" t="s">
        <v>669</v>
      </c>
    </row>
    <row r="1987" spans="1:5" x14ac:dyDescent="0.35">
      <c r="A1987" s="32">
        <v>2336</v>
      </c>
      <c r="B1987" s="32" t="s">
        <v>641</v>
      </c>
      <c r="C1987" s="32" t="s">
        <v>605</v>
      </c>
      <c r="D1987" s="30" t="s">
        <v>621</v>
      </c>
      <c r="E1987" s="30" t="s">
        <v>669</v>
      </c>
    </row>
    <row r="1988" spans="1:5" x14ac:dyDescent="0.35">
      <c r="A1988" s="32">
        <v>2337</v>
      </c>
      <c r="B1988" s="32" t="s">
        <v>641</v>
      </c>
      <c r="C1988" s="32" t="s">
        <v>572</v>
      </c>
      <c r="D1988" s="30" t="s">
        <v>621</v>
      </c>
      <c r="E1988" s="30" t="s">
        <v>669</v>
      </c>
    </row>
    <row r="1989" spans="1:5" x14ac:dyDescent="0.35">
      <c r="A1989" s="32">
        <v>2338</v>
      </c>
      <c r="B1989" s="32" t="s">
        <v>641</v>
      </c>
      <c r="C1989" s="32" t="s">
        <v>645</v>
      </c>
      <c r="D1989" s="30" t="s">
        <v>621</v>
      </c>
      <c r="E1989" s="30" t="s">
        <v>669</v>
      </c>
    </row>
    <row r="1990" spans="1:5" x14ac:dyDescent="0.35">
      <c r="A1990" s="32">
        <v>2340</v>
      </c>
      <c r="B1990" s="32" t="s">
        <v>571</v>
      </c>
      <c r="C1990" s="32" t="s">
        <v>605</v>
      </c>
      <c r="D1990" s="30" t="s">
        <v>663</v>
      </c>
      <c r="E1990" s="30" t="s">
        <v>664</v>
      </c>
    </row>
    <row r="1991" spans="1:5" x14ac:dyDescent="0.35">
      <c r="A1991" s="32">
        <v>2341</v>
      </c>
      <c r="B1991" s="32" t="s">
        <v>571</v>
      </c>
      <c r="C1991" s="32" t="s">
        <v>584</v>
      </c>
      <c r="D1991" s="30" t="s">
        <v>599</v>
      </c>
      <c r="E1991" s="30" t="s">
        <v>629</v>
      </c>
    </row>
    <row r="1992" spans="1:5" x14ac:dyDescent="0.35">
      <c r="A1992" s="32">
        <v>2342</v>
      </c>
      <c r="B1992" s="32" t="s">
        <v>571</v>
      </c>
      <c r="C1992" s="32" t="s">
        <v>584</v>
      </c>
      <c r="D1992" s="30" t="s">
        <v>599</v>
      </c>
      <c r="E1992" s="30" t="s">
        <v>629</v>
      </c>
    </row>
    <row r="1993" spans="1:5" x14ac:dyDescent="0.35">
      <c r="A1993" s="32">
        <v>2343</v>
      </c>
      <c r="B1993" s="32" t="s">
        <v>571</v>
      </c>
      <c r="C1993" s="32" t="s">
        <v>584</v>
      </c>
      <c r="D1993" s="30" t="s">
        <v>599</v>
      </c>
      <c r="E1993" s="30" t="s">
        <v>629</v>
      </c>
    </row>
    <row r="1994" spans="1:5" x14ac:dyDescent="0.35">
      <c r="A1994" s="32">
        <v>2344</v>
      </c>
      <c r="B1994" s="32" t="s">
        <v>571</v>
      </c>
      <c r="C1994" s="32" t="s">
        <v>584</v>
      </c>
      <c r="D1994" s="30" t="s">
        <v>599</v>
      </c>
      <c r="E1994" s="30" t="s">
        <v>629</v>
      </c>
    </row>
    <row r="1995" spans="1:5" x14ac:dyDescent="0.35">
      <c r="A1995" s="32">
        <v>2345</v>
      </c>
      <c r="B1995" s="32" t="s">
        <v>571</v>
      </c>
      <c r="C1995" s="32" t="s">
        <v>584</v>
      </c>
      <c r="D1995" s="30" t="s">
        <v>599</v>
      </c>
      <c r="E1995" s="30" t="s">
        <v>629</v>
      </c>
    </row>
    <row r="1996" spans="1:5" x14ac:dyDescent="0.35">
      <c r="A1996" s="32">
        <v>2346</v>
      </c>
      <c r="B1996" s="32" t="s">
        <v>571</v>
      </c>
      <c r="C1996" s="32" t="s">
        <v>584</v>
      </c>
      <c r="D1996" s="30" t="s">
        <v>599</v>
      </c>
      <c r="E1996" s="30" t="s">
        <v>629</v>
      </c>
    </row>
    <row r="1997" spans="1:5" x14ac:dyDescent="0.35">
      <c r="A1997" s="32">
        <v>2347</v>
      </c>
      <c r="B1997" s="32" t="s">
        <v>571</v>
      </c>
      <c r="C1997" s="32" t="s">
        <v>584</v>
      </c>
      <c r="D1997" s="30" t="s">
        <v>599</v>
      </c>
      <c r="E1997" s="30" t="s">
        <v>629</v>
      </c>
    </row>
    <row r="1998" spans="1:5" x14ac:dyDescent="0.35">
      <c r="A1998" s="32">
        <v>2348</v>
      </c>
      <c r="B1998" s="32" t="s">
        <v>571</v>
      </c>
      <c r="C1998" s="32" t="s">
        <v>584</v>
      </c>
      <c r="D1998" s="30" t="s">
        <v>599</v>
      </c>
      <c r="E1998" s="30" t="s">
        <v>629</v>
      </c>
    </row>
    <row r="1999" spans="1:5" x14ac:dyDescent="0.35">
      <c r="A1999" s="32">
        <v>2349</v>
      </c>
      <c r="B1999" s="32" t="s">
        <v>571</v>
      </c>
      <c r="C1999" s="32" t="s">
        <v>584</v>
      </c>
      <c r="D1999" s="30" t="s">
        <v>599</v>
      </c>
      <c r="E1999" s="30" t="s">
        <v>629</v>
      </c>
    </row>
    <row r="2000" spans="1:5" x14ac:dyDescent="0.35">
      <c r="A2000" s="32">
        <v>2350</v>
      </c>
      <c r="B2000" s="32" t="s">
        <v>571</v>
      </c>
      <c r="C2000" s="32" t="s">
        <v>584</v>
      </c>
      <c r="D2000" s="30" t="s">
        <v>599</v>
      </c>
      <c r="E2000" s="30" t="s">
        <v>629</v>
      </c>
    </row>
    <row r="2001" spans="1:5" x14ac:dyDescent="0.35">
      <c r="A2001" s="32">
        <v>2351</v>
      </c>
      <c r="B2001" s="32" t="s">
        <v>571</v>
      </c>
      <c r="C2001" s="32" t="s">
        <v>584</v>
      </c>
      <c r="D2001" s="30" t="s">
        <v>599</v>
      </c>
      <c r="E2001" s="30" t="s">
        <v>629</v>
      </c>
    </row>
    <row r="2002" spans="1:5" x14ac:dyDescent="0.35">
      <c r="A2002" s="32">
        <v>2352</v>
      </c>
      <c r="B2002" s="32" t="s">
        <v>571</v>
      </c>
      <c r="C2002" s="32" t="s">
        <v>584</v>
      </c>
      <c r="D2002" s="30" t="s">
        <v>599</v>
      </c>
      <c r="E2002" s="30" t="s">
        <v>629</v>
      </c>
    </row>
    <row r="2003" spans="1:5" x14ac:dyDescent="0.35">
      <c r="A2003" s="32">
        <v>2353</v>
      </c>
      <c r="B2003" s="32" t="s">
        <v>571</v>
      </c>
      <c r="C2003" s="32" t="s">
        <v>584</v>
      </c>
      <c r="D2003" s="30" t="s">
        <v>599</v>
      </c>
      <c r="E2003" s="30" t="s">
        <v>629</v>
      </c>
    </row>
    <row r="2004" spans="1:5" x14ac:dyDescent="0.35">
      <c r="A2004" s="32">
        <v>2354</v>
      </c>
      <c r="B2004" s="32" t="s">
        <v>571</v>
      </c>
      <c r="C2004" s="32" t="s">
        <v>584</v>
      </c>
      <c r="D2004" s="30" t="s">
        <v>599</v>
      </c>
      <c r="E2004" s="30" t="s">
        <v>629</v>
      </c>
    </row>
    <row r="2005" spans="1:5" x14ac:dyDescent="0.35">
      <c r="A2005" s="32">
        <v>2355</v>
      </c>
      <c r="B2005" s="32" t="s">
        <v>571</v>
      </c>
      <c r="C2005" s="32" t="s">
        <v>584</v>
      </c>
      <c r="D2005" s="30" t="s">
        <v>599</v>
      </c>
      <c r="E2005" s="30" t="s">
        <v>629</v>
      </c>
    </row>
    <row r="2006" spans="1:5" x14ac:dyDescent="0.35">
      <c r="A2006" s="32">
        <v>2356</v>
      </c>
      <c r="B2006" s="32" t="s">
        <v>571</v>
      </c>
      <c r="C2006" s="32" t="s">
        <v>584</v>
      </c>
      <c r="D2006" s="30" t="s">
        <v>599</v>
      </c>
      <c r="E2006" s="30" t="s">
        <v>629</v>
      </c>
    </row>
    <row r="2007" spans="1:5" x14ac:dyDescent="0.35">
      <c r="A2007" s="32">
        <v>2357</v>
      </c>
      <c r="B2007" s="32" t="s">
        <v>571</v>
      </c>
      <c r="C2007" s="32" t="s">
        <v>584</v>
      </c>
      <c r="D2007" s="30" t="s">
        <v>599</v>
      </c>
      <c r="E2007" s="30" t="s">
        <v>629</v>
      </c>
    </row>
    <row r="2008" spans="1:5" x14ac:dyDescent="0.35">
      <c r="A2008" s="32">
        <v>2358</v>
      </c>
      <c r="B2008" s="32" t="s">
        <v>571</v>
      </c>
      <c r="C2008" s="32" t="s">
        <v>584</v>
      </c>
      <c r="D2008" s="30" t="s">
        <v>599</v>
      </c>
      <c r="E2008" s="30" t="s">
        <v>629</v>
      </c>
    </row>
    <row r="2009" spans="1:5" x14ac:dyDescent="0.35">
      <c r="A2009" s="32">
        <v>2359</v>
      </c>
      <c r="B2009" s="32" t="s">
        <v>571</v>
      </c>
      <c r="C2009" s="32" t="s">
        <v>584</v>
      </c>
      <c r="D2009" s="30" t="s">
        <v>599</v>
      </c>
      <c r="E2009" s="30" t="s">
        <v>629</v>
      </c>
    </row>
    <row r="2010" spans="1:5" x14ac:dyDescent="0.35">
      <c r="A2010" s="32">
        <v>2360</v>
      </c>
      <c r="B2010" s="32" t="s">
        <v>571</v>
      </c>
      <c r="C2010" s="32" t="s">
        <v>584</v>
      </c>
      <c r="D2010" s="30" t="s">
        <v>599</v>
      </c>
      <c r="E2010" s="30" t="s">
        <v>629</v>
      </c>
    </row>
    <row r="2011" spans="1:5" x14ac:dyDescent="0.35">
      <c r="A2011" s="32">
        <v>2361</v>
      </c>
      <c r="B2011" s="32" t="s">
        <v>571</v>
      </c>
      <c r="C2011" s="32" t="s">
        <v>584</v>
      </c>
      <c r="D2011" s="30" t="s">
        <v>599</v>
      </c>
      <c r="E2011" s="30" t="s">
        <v>629</v>
      </c>
    </row>
    <row r="2012" spans="1:5" x14ac:dyDescent="0.35">
      <c r="A2012" s="32">
        <v>2362</v>
      </c>
      <c r="B2012" s="32" t="s">
        <v>571</v>
      </c>
      <c r="C2012" s="32" t="s">
        <v>584</v>
      </c>
      <c r="D2012" s="30" t="s">
        <v>599</v>
      </c>
      <c r="E2012" s="30" t="s">
        <v>629</v>
      </c>
    </row>
    <row r="2013" spans="1:5" x14ac:dyDescent="0.35">
      <c r="A2013" s="32">
        <v>2363</v>
      </c>
      <c r="B2013" s="32" t="s">
        <v>571</v>
      </c>
      <c r="C2013" s="32" t="s">
        <v>584</v>
      </c>
      <c r="D2013" s="30" t="s">
        <v>599</v>
      </c>
      <c r="E2013" s="30" t="s">
        <v>629</v>
      </c>
    </row>
    <row r="2014" spans="1:5" x14ac:dyDescent="0.35">
      <c r="A2014" s="32">
        <v>2364</v>
      </c>
      <c r="B2014" s="32" t="s">
        <v>571</v>
      </c>
      <c r="C2014" s="32" t="s">
        <v>584</v>
      </c>
      <c r="D2014" s="30" t="s">
        <v>599</v>
      </c>
      <c r="E2014" s="30" t="s">
        <v>629</v>
      </c>
    </row>
    <row r="2015" spans="1:5" x14ac:dyDescent="0.35">
      <c r="A2015" s="32">
        <v>2365</v>
      </c>
      <c r="B2015" s="32" t="s">
        <v>571</v>
      </c>
      <c r="C2015" s="32" t="s">
        <v>584</v>
      </c>
      <c r="D2015" s="30" t="s">
        <v>599</v>
      </c>
      <c r="E2015" s="30" t="s">
        <v>629</v>
      </c>
    </row>
    <row r="2016" spans="1:5" x14ac:dyDescent="0.35">
      <c r="A2016" s="32">
        <v>2366</v>
      </c>
      <c r="B2016" s="32" t="s">
        <v>571</v>
      </c>
      <c r="C2016" s="32" t="s">
        <v>584</v>
      </c>
      <c r="D2016" s="30" t="s">
        <v>599</v>
      </c>
      <c r="E2016" s="30" t="s">
        <v>629</v>
      </c>
    </row>
    <row r="2017" spans="1:5" x14ac:dyDescent="0.35">
      <c r="A2017" s="32">
        <v>2367</v>
      </c>
      <c r="B2017" s="32" t="s">
        <v>571</v>
      </c>
      <c r="C2017" s="32" t="s">
        <v>584</v>
      </c>
      <c r="D2017" s="30" t="s">
        <v>599</v>
      </c>
      <c r="E2017" s="30" t="s">
        <v>629</v>
      </c>
    </row>
    <row r="2018" spans="1:5" x14ac:dyDescent="0.35">
      <c r="A2018" s="32">
        <v>2368</v>
      </c>
      <c r="B2018" s="32" t="s">
        <v>571</v>
      </c>
      <c r="C2018" s="32" t="s">
        <v>584</v>
      </c>
      <c r="D2018" s="30" t="s">
        <v>599</v>
      </c>
      <c r="E2018" s="30" t="s">
        <v>629</v>
      </c>
    </row>
    <row r="2019" spans="1:5" x14ac:dyDescent="0.35">
      <c r="A2019" s="32">
        <v>2369</v>
      </c>
      <c r="B2019" s="32" t="s">
        <v>634</v>
      </c>
      <c r="C2019" s="32" t="s">
        <v>584</v>
      </c>
      <c r="D2019" s="30" t="s">
        <v>599</v>
      </c>
      <c r="E2019" s="30" t="s">
        <v>629</v>
      </c>
    </row>
    <row r="2020" spans="1:5" x14ac:dyDescent="0.35">
      <c r="A2020" s="32">
        <v>2370</v>
      </c>
      <c r="B2020" s="32" t="s">
        <v>634</v>
      </c>
      <c r="C2020" s="32" t="s">
        <v>584</v>
      </c>
      <c r="D2020" s="30" t="s">
        <v>599</v>
      </c>
      <c r="E2020" s="30" t="s">
        <v>629</v>
      </c>
    </row>
    <row r="2021" spans="1:5" x14ac:dyDescent="0.35">
      <c r="A2021" s="32">
        <v>2371</v>
      </c>
      <c r="B2021" s="32" t="s">
        <v>634</v>
      </c>
      <c r="C2021" s="32" t="s">
        <v>584</v>
      </c>
      <c r="D2021" s="30" t="s">
        <v>599</v>
      </c>
      <c r="E2021" s="30" t="s">
        <v>629</v>
      </c>
    </row>
    <row r="2022" spans="1:5" x14ac:dyDescent="0.35">
      <c r="A2022" s="32">
        <v>2372</v>
      </c>
      <c r="B2022" s="32" t="s">
        <v>634</v>
      </c>
      <c r="C2022" s="32" t="s">
        <v>584</v>
      </c>
      <c r="D2022" s="30" t="s">
        <v>599</v>
      </c>
      <c r="E2022" s="30" t="s">
        <v>629</v>
      </c>
    </row>
    <row r="2023" spans="1:5" x14ac:dyDescent="0.35">
      <c r="A2023" s="32">
        <v>2373</v>
      </c>
      <c r="B2023" s="32" t="s">
        <v>634</v>
      </c>
      <c r="C2023" s="32" t="s">
        <v>584</v>
      </c>
      <c r="D2023" s="30" t="s">
        <v>599</v>
      </c>
      <c r="E2023" s="30" t="s">
        <v>629</v>
      </c>
    </row>
    <row r="2024" spans="1:5" x14ac:dyDescent="0.35">
      <c r="A2024" s="32">
        <v>2374</v>
      </c>
      <c r="B2024" s="32" t="s">
        <v>634</v>
      </c>
      <c r="C2024" s="32" t="s">
        <v>584</v>
      </c>
      <c r="D2024" s="30" t="s">
        <v>599</v>
      </c>
      <c r="E2024" s="30" t="s">
        <v>629</v>
      </c>
    </row>
    <row r="2025" spans="1:5" x14ac:dyDescent="0.35">
      <c r="A2025" s="32">
        <v>2375</v>
      </c>
      <c r="B2025" s="32" t="s">
        <v>634</v>
      </c>
      <c r="C2025" s="32" t="s">
        <v>584</v>
      </c>
      <c r="D2025" s="30" t="s">
        <v>599</v>
      </c>
      <c r="E2025" s="30" t="s">
        <v>629</v>
      </c>
    </row>
    <row r="2026" spans="1:5" x14ac:dyDescent="0.35">
      <c r="A2026" s="32">
        <v>2376</v>
      </c>
      <c r="B2026" s="32" t="s">
        <v>634</v>
      </c>
      <c r="C2026" s="32" t="s">
        <v>584</v>
      </c>
      <c r="D2026" s="30" t="s">
        <v>599</v>
      </c>
      <c r="E2026" s="30" t="s">
        <v>629</v>
      </c>
    </row>
    <row r="2027" spans="1:5" x14ac:dyDescent="0.35">
      <c r="A2027" s="32">
        <v>2377</v>
      </c>
      <c r="B2027" s="32" t="s">
        <v>634</v>
      </c>
      <c r="C2027" s="32" t="s">
        <v>584</v>
      </c>
      <c r="D2027" s="30" t="s">
        <v>599</v>
      </c>
      <c r="E2027" s="30" t="s">
        <v>629</v>
      </c>
    </row>
    <row r="2028" spans="1:5" x14ac:dyDescent="0.35">
      <c r="A2028" s="32">
        <v>2378</v>
      </c>
      <c r="B2028" s="32" t="s">
        <v>634</v>
      </c>
      <c r="C2028" s="32" t="s">
        <v>584</v>
      </c>
      <c r="D2028" s="30" t="s">
        <v>599</v>
      </c>
      <c r="E2028" s="30" t="s">
        <v>629</v>
      </c>
    </row>
    <row r="2029" spans="1:5" x14ac:dyDescent="0.35">
      <c r="A2029" s="32">
        <v>2379</v>
      </c>
      <c r="B2029" s="32" t="s">
        <v>634</v>
      </c>
      <c r="C2029" s="32" t="s">
        <v>584</v>
      </c>
      <c r="D2029" s="30" t="s">
        <v>599</v>
      </c>
      <c r="E2029" s="30" t="s">
        <v>629</v>
      </c>
    </row>
    <row r="2030" spans="1:5" x14ac:dyDescent="0.35">
      <c r="A2030" s="32">
        <v>2380</v>
      </c>
      <c r="B2030" s="32" t="s">
        <v>634</v>
      </c>
      <c r="C2030" s="32" t="s">
        <v>584</v>
      </c>
      <c r="D2030" s="30" t="s">
        <v>599</v>
      </c>
      <c r="E2030" s="30" t="s">
        <v>629</v>
      </c>
    </row>
    <row r="2031" spans="1:5" x14ac:dyDescent="0.35">
      <c r="A2031" s="32">
        <v>2381</v>
      </c>
      <c r="B2031" s="32" t="s">
        <v>634</v>
      </c>
      <c r="C2031" s="32" t="s">
        <v>584</v>
      </c>
      <c r="D2031" s="30" t="s">
        <v>599</v>
      </c>
      <c r="E2031" s="30" t="s">
        <v>629</v>
      </c>
    </row>
    <row r="2032" spans="1:5" x14ac:dyDescent="0.35">
      <c r="A2032" s="32">
        <v>2382</v>
      </c>
      <c r="B2032" s="32" t="s">
        <v>634</v>
      </c>
      <c r="C2032" s="32" t="s">
        <v>584</v>
      </c>
      <c r="D2032" s="30" t="s">
        <v>599</v>
      </c>
      <c r="E2032" s="30" t="s">
        <v>629</v>
      </c>
    </row>
    <row r="2033" spans="1:5" x14ac:dyDescent="0.35">
      <c r="A2033" s="32">
        <v>2383</v>
      </c>
      <c r="B2033" s="32" t="s">
        <v>642</v>
      </c>
      <c r="C2033" s="32" t="s">
        <v>584</v>
      </c>
      <c r="D2033" s="30" t="s">
        <v>599</v>
      </c>
      <c r="E2033" s="30" t="s">
        <v>629</v>
      </c>
    </row>
    <row r="2034" spans="1:5" x14ac:dyDescent="0.35">
      <c r="A2034" s="32">
        <v>2384</v>
      </c>
      <c r="B2034" s="32" t="s">
        <v>642</v>
      </c>
      <c r="C2034" s="32" t="s">
        <v>584</v>
      </c>
      <c r="D2034" s="30" t="s">
        <v>599</v>
      </c>
      <c r="E2034" s="30" t="s">
        <v>629</v>
      </c>
    </row>
    <row r="2035" spans="1:5" x14ac:dyDescent="0.35">
      <c r="A2035" s="32">
        <v>2385</v>
      </c>
      <c r="B2035" s="32" t="s">
        <v>611</v>
      </c>
      <c r="C2035" s="32" t="s">
        <v>584</v>
      </c>
      <c r="D2035" s="30" t="s">
        <v>599</v>
      </c>
      <c r="E2035" s="30" t="s">
        <v>629</v>
      </c>
    </row>
    <row r="2036" spans="1:5" x14ac:dyDescent="0.35">
      <c r="A2036" s="32">
        <v>2386</v>
      </c>
      <c r="B2036" s="32" t="s">
        <v>642</v>
      </c>
      <c r="C2036" s="32" t="s">
        <v>584</v>
      </c>
      <c r="D2036" s="30" t="s">
        <v>599</v>
      </c>
      <c r="E2036" s="30" t="s">
        <v>629</v>
      </c>
    </row>
    <row r="2037" spans="1:5" x14ac:dyDescent="0.35">
      <c r="A2037" s="32">
        <v>2387</v>
      </c>
      <c r="B2037" s="32" t="s">
        <v>641</v>
      </c>
      <c r="C2037" s="32" t="s">
        <v>584</v>
      </c>
      <c r="D2037" s="30" t="s">
        <v>599</v>
      </c>
      <c r="E2037" s="30" t="s">
        <v>629</v>
      </c>
    </row>
    <row r="2038" spans="1:5" x14ac:dyDescent="0.35">
      <c r="A2038" s="32">
        <v>2388</v>
      </c>
      <c r="B2038" s="32" t="s">
        <v>611</v>
      </c>
      <c r="C2038" s="32" t="s">
        <v>584</v>
      </c>
      <c r="D2038" s="30" t="s">
        <v>599</v>
      </c>
      <c r="E2038" s="30" t="s">
        <v>629</v>
      </c>
    </row>
    <row r="2039" spans="1:5" x14ac:dyDescent="0.35">
      <c r="A2039" s="32">
        <v>2389</v>
      </c>
      <c r="B2039" s="32" t="s">
        <v>571</v>
      </c>
      <c r="C2039" s="32" t="s">
        <v>584</v>
      </c>
      <c r="D2039" s="30" t="s">
        <v>599</v>
      </c>
      <c r="E2039" s="30" t="s">
        <v>629</v>
      </c>
    </row>
    <row r="2040" spans="1:5" x14ac:dyDescent="0.35">
      <c r="A2040" s="32">
        <v>2390</v>
      </c>
      <c r="B2040" s="32" t="s">
        <v>571</v>
      </c>
      <c r="C2040" s="32" t="s">
        <v>584</v>
      </c>
      <c r="D2040" s="30" t="s">
        <v>599</v>
      </c>
      <c r="E2040" s="30" t="s">
        <v>629</v>
      </c>
    </row>
    <row r="2041" spans="1:5" x14ac:dyDescent="0.35">
      <c r="A2041" s="32">
        <v>2391</v>
      </c>
      <c r="B2041" s="32" t="s">
        <v>571</v>
      </c>
      <c r="C2041" s="32" t="s">
        <v>584</v>
      </c>
      <c r="D2041" s="30" t="s">
        <v>599</v>
      </c>
      <c r="E2041" s="30" t="s">
        <v>629</v>
      </c>
    </row>
    <row r="2042" spans="1:5" x14ac:dyDescent="0.35">
      <c r="A2042" s="32">
        <v>2392</v>
      </c>
      <c r="B2042" s="32" t="s">
        <v>571</v>
      </c>
      <c r="C2042" s="32" t="s">
        <v>584</v>
      </c>
      <c r="D2042" s="30" t="s">
        <v>599</v>
      </c>
      <c r="E2042" s="30" t="s">
        <v>629</v>
      </c>
    </row>
    <row r="2043" spans="1:5" x14ac:dyDescent="0.35">
      <c r="A2043" s="32">
        <v>2393</v>
      </c>
      <c r="B2043" s="32" t="s">
        <v>571</v>
      </c>
      <c r="C2043" s="32" t="s">
        <v>584</v>
      </c>
      <c r="D2043" s="30" t="s">
        <v>599</v>
      </c>
      <c r="E2043" s="30" t="s">
        <v>629</v>
      </c>
    </row>
    <row r="2044" spans="1:5" x14ac:dyDescent="0.35">
      <c r="A2044" s="32">
        <v>2394</v>
      </c>
      <c r="B2044" s="32" t="s">
        <v>571</v>
      </c>
      <c r="C2044" s="32" t="s">
        <v>584</v>
      </c>
      <c r="D2044" s="30" t="s">
        <v>599</v>
      </c>
      <c r="E2044" s="30" t="s">
        <v>629</v>
      </c>
    </row>
    <row r="2045" spans="1:5" x14ac:dyDescent="0.35">
      <c r="A2045" s="32">
        <v>2395</v>
      </c>
      <c r="B2045" s="32" t="s">
        <v>571</v>
      </c>
      <c r="C2045" s="32" t="s">
        <v>584</v>
      </c>
      <c r="D2045" s="30" t="s">
        <v>599</v>
      </c>
      <c r="E2045" s="30" t="s">
        <v>629</v>
      </c>
    </row>
    <row r="2046" spans="1:5" x14ac:dyDescent="0.35">
      <c r="A2046" s="32">
        <v>2396</v>
      </c>
      <c r="B2046" s="32" t="s">
        <v>571</v>
      </c>
      <c r="C2046" s="32" t="s">
        <v>584</v>
      </c>
      <c r="D2046" s="30" t="s">
        <v>599</v>
      </c>
      <c r="E2046" s="30" t="s">
        <v>629</v>
      </c>
    </row>
    <row r="2047" spans="1:5" x14ac:dyDescent="0.35">
      <c r="A2047" s="32">
        <v>2397</v>
      </c>
      <c r="B2047" s="32" t="s">
        <v>571</v>
      </c>
      <c r="C2047" s="32" t="s">
        <v>584</v>
      </c>
      <c r="D2047" s="30" t="s">
        <v>599</v>
      </c>
      <c r="E2047" s="30" t="s">
        <v>629</v>
      </c>
    </row>
    <row r="2048" spans="1:5" x14ac:dyDescent="0.35">
      <c r="A2048" s="32">
        <v>2398</v>
      </c>
      <c r="B2048" s="32" t="s">
        <v>571</v>
      </c>
      <c r="C2048" s="32" t="s">
        <v>584</v>
      </c>
      <c r="D2048" s="30" t="s">
        <v>599</v>
      </c>
      <c r="E2048" s="30" t="s">
        <v>629</v>
      </c>
    </row>
    <row r="2049" spans="1:5" x14ac:dyDescent="0.35">
      <c r="A2049" s="32">
        <v>2399</v>
      </c>
      <c r="B2049" s="32" t="s">
        <v>571</v>
      </c>
      <c r="C2049" s="32" t="s">
        <v>584</v>
      </c>
      <c r="D2049" s="30" t="s">
        <v>599</v>
      </c>
      <c r="E2049" s="30" t="s">
        <v>629</v>
      </c>
    </row>
    <row r="2050" spans="1:5" x14ac:dyDescent="0.35">
      <c r="A2050" s="32">
        <v>2400</v>
      </c>
      <c r="B2050" s="32" t="s">
        <v>571</v>
      </c>
      <c r="C2050" s="32" t="s">
        <v>584</v>
      </c>
      <c r="D2050" s="30" t="s">
        <v>599</v>
      </c>
      <c r="E2050" s="30" t="s">
        <v>629</v>
      </c>
    </row>
    <row r="2051" spans="1:5" x14ac:dyDescent="0.35">
      <c r="A2051" s="32">
        <v>2401</v>
      </c>
      <c r="B2051" s="32" t="s">
        <v>571</v>
      </c>
      <c r="C2051" s="32" t="s">
        <v>584</v>
      </c>
      <c r="D2051" s="30" t="s">
        <v>599</v>
      </c>
      <c r="E2051" s="30" t="s">
        <v>629</v>
      </c>
    </row>
    <row r="2052" spans="1:5" x14ac:dyDescent="0.35">
      <c r="A2052" s="32">
        <v>2402</v>
      </c>
      <c r="B2052" s="32" t="s">
        <v>571</v>
      </c>
      <c r="C2052" s="32" t="s">
        <v>584</v>
      </c>
      <c r="D2052" s="30" t="s">
        <v>599</v>
      </c>
      <c r="E2052" s="30" t="s">
        <v>629</v>
      </c>
    </row>
    <row r="2053" spans="1:5" x14ac:dyDescent="0.35">
      <c r="A2053" s="32">
        <v>2403</v>
      </c>
      <c r="B2053" s="32" t="s">
        <v>571</v>
      </c>
      <c r="C2053" s="32" t="s">
        <v>584</v>
      </c>
      <c r="D2053" s="30" t="s">
        <v>599</v>
      </c>
      <c r="E2053" s="30" t="s">
        <v>629</v>
      </c>
    </row>
    <row r="2054" spans="1:5" x14ac:dyDescent="0.35">
      <c r="A2054" s="32">
        <v>2404</v>
      </c>
      <c r="B2054" s="32" t="s">
        <v>571</v>
      </c>
      <c r="C2054" s="32" t="s">
        <v>584</v>
      </c>
      <c r="D2054" s="30" t="s">
        <v>599</v>
      </c>
      <c r="E2054" s="30" t="s">
        <v>629</v>
      </c>
    </row>
    <row r="2055" spans="1:5" x14ac:dyDescent="0.35">
      <c r="A2055" s="32">
        <v>2405</v>
      </c>
      <c r="B2055" s="32" t="s">
        <v>571</v>
      </c>
      <c r="C2055" s="32" t="s">
        <v>584</v>
      </c>
      <c r="D2055" s="30" t="s">
        <v>599</v>
      </c>
      <c r="E2055" s="30" t="s">
        <v>629</v>
      </c>
    </row>
    <row r="2056" spans="1:5" x14ac:dyDescent="0.35">
      <c r="A2056" s="32">
        <v>2406</v>
      </c>
      <c r="B2056" s="32" t="s">
        <v>634</v>
      </c>
      <c r="C2056" s="32" t="s">
        <v>584</v>
      </c>
      <c r="D2056" s="30" t="s">
        <v>599</v>
      </c>
      <c r="E2056" s="30" t="s">
        <v>629</v>
      </c>
    </row>
    <row r="2057" spans="1:5" x14ac:dyDescent="0.35">
      <c r="A2057" s="32">
        <v>2407</v>
      </c>
      <c r="B2057" s="32" t="s">
        <v>634</v>
      </c>
      <c r="C2057" s="32" t="s">
        <v>584</v>
      </c>
      <c r="D2057" s="30" t="s">
        <v>599</v>
      </c>
      <c r="E2057" s="30" t="s">
        <v>629</v>
      </c>
    </row>
    <row r="2058" spans="1:5" x14ac:dyDescent="0.35">
      <c r="A2058" s="32">
        <v>2408</v>
      </c>
      <c r="B2058" s="32" t="s">
        <v>634</v>
      </c>
      <c r="C2058" s="32" t="s">
        <v>584</v>
      </c>
      <c r="D2058" s="30" t="s">
        <v>599</v>
      </c>
      <c r="E2058" s="30" t="s">
        <v>629</v>
      </c>
    </row>
    <row r="2059" spans="1:5" x14ac:dyDescent="0.35">
      <c r="A2059" s="32">
        <v>2409</v>
      </c>
      <c r="B2059" s="32" t="s">
        <v>634</v>
      </c>
      <c r="C2059" s="32" t="s">
        <v>584</v>
      </c>
      <c r="D2059" s="30" t="s">
        <v>599</v>
      </c>
      <c r="E2059" s="30" t="s">
        <v>629</v>
      </c>
    </row>
    <row r="2060" spans="1:5" x14ac:dyDescent="0.35">
      <c r="A2060" s="32">
        <v>2410</v>
      </c>
      <c r="B2060" s="32" t="s">
        <v>642</v>
      </c>
      <c r="C2060" s="32" t="s">
        <v>584</v>
      </c>
      <c r="D2060" s="30" t="s">
        <v>599</v>
      </c>
      <c r="E2060" s="30" t="s">
        <v>629</v>
      </c>
    </row>
    <row r="2061" spans="1:5" x14ac:dyDescent="0.35">
      <c r="A2061" s="32">
        <v>2411</v>
      </c>
      <c r="B2061" s="32" t="s">
        <v>642</v>
      </c>
      <c r="C2061" s="32" t="s">
        <v>584</v>
      </c>
      <c r="D2061" s="30" t="s">
        <v>599</v>
      </c>
      <c r="E2061" s="30" t="s">
        <v>629</v>
      </c>
    </row>
    <row r="2062" spans="1:5" x14ac:dyDescent="0.35">
      <c r="A2062" s="32">
        <v>2412</v>
      </c>
      <c r="B2062" s="32" t="s">
        <v>611</v>
      </c>
      <c r="C2062" s="32" t="s">
        <v>584</v>
      </c>
      <c r="D2062" s="30" t="s">
        <v>599</v>
      </c>
      <c r="E2062" s="30" t="s">
        <v>629</v>
      </c>
    </row>
    <row r="2063" spans="1:5" x14ac:dyDescent="0.35">
      <c r="A2063" s="32">
        <v>2413</v>
      </c>
      <c r="B2063" s="32" t="s">
        <v>641</v>
      </c>
      <c r="C2063" s="32" t="s">
        <v>584</v>
      </c>
      <c r="D2063" s="30" t="s">
        <v>599</v>
      </c>
      <c r="E2063" s="30" t="s">
        <v>629</v>
      </c>
    </row>
    <row r="2064" spans="1:5" x14ac:dyDescent="0.35">
      <c r="A2064" s="32">
        <v>2414</v>
      </c>
      <c r="B2064" s="32" t="s">
        <v>611</v>
      </c>
      <c r="C2064" s="32" t="s">
        <v>584</v>
      </c>
      <c r="D2064" s="30" t="s">
        <v>599</v>
      </c>
      <c r="E2064" s="30" t="s">
        <v>629</v>
      </c>
    </row>
    <row r="2065" spans="1:5" x14ac:dyDescent="0.35">
      <c r="A2065" s="32">
        <v>2415</v>
      </c>
      <c r="B2065" s="32" t="s">
        <v>571</v>
      </c>
      <c r="C2065" s="32" t="s">
        <v>584</v>
      </c>
      <c r="D2065" s="30" t="s">
        <v>599</v>
      </c>
      <c r="E2065" s="30" t="s">
        <v>629</v>
      </c>
    </row>
    <row r="2066" spans="1:5" x14ac:dyDescent="0.35">
      <c r="A2066" s="32">
        <v>2416</v>
      </c>
      <c r="B2066" s="32" t="s">
        <v>571</v>
      </c>
      <c r="C2066" s="32" t="s">
        <v>584</v>
      </c>
      <c r="D2066" s="30" t="s">
        <v>599</v>
      </c>
      <c r="E2066" s="30" t="s">
        <v>629</v>
      </c>
    </row>
    <row r="2067" spans="1:5" x14ac:dyDescent="0.35">
      <c r="A2067" s="32">
        <v>2417</v>
      </c>
      <c r="B2067" s="32" t="s">
        <v>571</v>
      </c>
      <c r="C2067" s="32" t="s">
        <v>584</v>
      </c>
      <c r="D2067" s="30" t="s">
        <v>599</v>
      </c>
      <c r="E2067" s="30" t="s">
        <v>629</v>
      </c>
    </row>
    <row r="2068" spans="1:5" x14ac:dyDescent="0.35">
      <c r="A2068" s="32">
        <v>2418</v>
      </c>
      <c r="B2068" s="32" t="s">
        <v>571</v>
      </c>
      <c r="C2068" s="32" t="s">
        <v>584</v>
      </c>
      <c r="D2068" s="30" t="s">
        <v>599</v>
      </c>
      <c r="E2068" s="30" t="s">
        <v>629</v>
      </c>
    </row>
    <row r="2069" spans="1:5" x14ac:dyDescent="0.35">
      <c r="A2069" s="32">
        <v>2419</v>
      </c>
      <c r="B2069" s="32" t="s">
        <v>571</v>
      </c>
      <c r="C2069" s="32" t="s">
        <v>584</v>
      </c>
      <c r="D2069" s="30" t="s">
        <v>599</v>
      </c>
      <c r="E2069" s="30" t="s">
        <v>629</v>
      </c>
    </row>
    <row r="2070" spans="1:5" x14ac:dyDescent="0.35">
      <c r="A2070" s="32">
        <v>2420</v>
      </c>
      <c r="B2070" s="32" t="s">
        <v>571</v>
      </c>
      <c r="C2070" s="32" t="s">
        <v>584</v>
      </c>
      <c r="D2070" s="30" t="s">
        <v>599</v>
      </c>
      <c r="E2070" s="30" t="s">
        <v>629</v>
      </c>
    </row>
    <row r="2071" spans="1:5" x14ac:dyDescent="0.35">
      <c r="A2071" s="32">
        <v>2421</v>
      </c>
      <c r="B2071" s="32" t="s">
        <v>571</v>
      </c>
      <c r="C2071" s="32" t="s">
        <v>584</v>
      </c>
      <c r="D2071" s="30" t="s">
        <v>599</v>
      </c>
      <c r="E2071" s="30" t="s">
        <v>629</v>
      </c>
    </row>
    <row r="2072" spans="1:5" x14ac:dyDescent="0.35">
      <c r="A2072" s="32">
        <v>2422</v>
      </c>
      <c r="B2072" s="32" t="s">
        <v>571</v>
      </c>
      <c r="C2072" s="32" t="s">
        <v>584</v>
      </c>
      <c r="D2072" s="30" t="s">
        <v>599</v>
      </c>
      <c r="E2072" s="30" t="s">
        <v>629</v>
      </c>
    </row>
    <row r="2073" spans="1:5" x14ac:dyDescent="0.35">
      <c r="A2073" s="32">
        <v>2423</v>
      </c>
      <c r="B2073" s="32" t="s">
        <v>571</v>
      </c>
      <c r="C2073" s="32" t="s">
        <v>584</v>
      </c>
      <c r="D2073" s="30" t="s">
        <v>599</v>
      </c>
      <c r="E2073" s="30" t="s">
        <v>629</v>
      </c>
    </row>
    <row r="2074" spans="1:5" x14ac:dyDescent="0.35">
      <c r="A2074" s="32">
        <v>2424</v>
      </c>
      <c r="B2074" s="32" t="s">
        <v>571</v>
      </c>
      <c r="C2074" s="32" t="s">
        <v>584</v>
      </c>
      <c r="D2074" s="30" t="s">
        <v>599</v>
      </c>
      <c r="E2074" s="30" t="s">
        <v>629</v>
      </c>
    </row>
    <row r="2075" spans="1:5" x14ac:dyDescent="0.35">
      <c r="A2075" s="32">
        <v>2425</v>
      </c>
      <c r="B2075" s="32" t="s">
        <v>571</v>
      </c>
      <c r="C2075" s="32" t="s">
        <v>584</v>
      </c>
      <c r="D2075" s="30" t="s">
        <v>599</v>
      </c>
      <c r="E2075" s="30" t="s">
        <v>629</v>
      </c>
    </row>
    <row r="2076" spans="1:5" x14ac:dyDescent="0.35">
      <c r="A2076" s="32">
        <v>2426</v>
      </c>
      <c r="B2076" s="32" t="s">
        <v>571</v>
      </c>
      <c r="C2076" s="32" t="s">
        <v>584</v>
      </c>
      <c r="D2076" s="30" t="s">
        <v>599</v>
      </c>
      <c r="E2076" s="30" t="s">
        <v>629</v>
      </c>
    </row>
    <row r="2077" spans="1:5" x14ac:dyDescent="0.35">
      <c r="A2077" s="32">
        <v>2427</v>
      </c>
      <c r="B2077" s="32" t="s">
        <v>571</v>
      </c>
      <c r="C2077" s="32" t="s">
        <v>584</v>
      </c>
      <c r="D2077" s="30" t="s">
        <v>599</v>
      </c>
      <c r="E2077" s="30" t="s">
        <v>629</v>
      </c>
    </row>
    <row r="2078" spans="1:5" x14ac:dyDescent="0.35">
      <c r="A2078" s="32">
        <v>2428</v>
      </c>
      <c r="B2078" s="32" t="s">
        <v>571</v>
      </c>
      <c r="C2078" s="32" t="s">
        <v>584</v>
      </c>
      <c r="D2078" s="30" t="s">
        <v>599</v>
      </c>
      <c r="E2078" s="30" t="s">
        <v>629</v>
      </c>
    </row>
    <row r="2079" spans="1:5" x14ac:dyDescent="0.35">
      <c r="A2079" s="32">
        <v>2429</v>
      </c>
      <c r="B2079" s="32" t="s">
        <v>571</v>
      </c>
      <c r="C2079" s="32" t="s">
        <v>584</v>
      </c>
      <c r="D2079" s="30" t="s">
        <v>599</v>
      </c>
      <c r="E2079" s="30" t="s">
        <v>629</v>
      </c>
    </row>
    <row r="2080" spans="1:5" x14ac:dyDescent="0.35">
      <c r="A2080" s="32">
        <v>2430</v>
      </c>
      <c r="B2080" s="32" t="s">
        <v>571</v>
      </c>
      <c r="C2080" s="32" t="s">
        <v>584</v>
      </c>
      <c r="D2080" s="30" t="s">
        <v>599</v>
      </c>
      <c r="E2080" s="30" t="s">
        <v>629</v>
      </c>
    </row>
    <row r="2081" spans="1:5" x14ac:dyDescent="0.35">
      <c r="A2081" s="32">
        <v>2431</v>
      </c>
      <c r="B2081" s="32" t="s">
        <v>571</v>
      </c>
      <c r="C2081" s="32" t="s">
        <v>584</v>
      </c>
      <c r="D2081" s="30" t="s">
        <v>599</v>
      </c>
      <c r="E2081" s="30" t="s">
        <v>629</v>
      </c>
    </row>
    <row r="2082" spans="1:5" x14ac:dyDescent="0.35">
      <c r="A2082" s="32">
        <v>2432</v>
      </c>
      <c r="B2082" s="32" t="s">
        <v>571</v>
      </c>
      <c r="C2082" s="32" t="s">
        <v>584</v>
      </c>
      <c r="D2082" s="30" t="s">
        <v>599</v>
      </c>
      <c r="E2082" s="30" t="s">
        <v>629</v>
      </c>
    </row>
    <row r="2083" spans="1:5" x14ac:dyDescent="0.35">
      <c r="A2083" s="32">
        <v>2433</v>
      </c>
      <c r="B2083" s="32" t="s">
        <v>571</v>
      </c>
      <c r="C2083" s="32" t="s">
        <v>584</v>
      </c>
      <c r="D2083" s="30" t="s">
        <v>599</v>
      </c>
      <c r="E2083" s="30" t="s">
        <v>629</v>
      </c>
    </row>
    <row r="2084" spans="1:5" x14ac:dyDescent="0.35">
      <c r="A2084" s="32">
        <v>2434</v>
      </c>
      <c r="B2084" s="32" t="s">
        <v>571</v>
      </c>
      <c r="C2084" s="32" t="s">
        <v>584</v>
      </c>
      <c r="D2084" s="30" t="s">
        <v>599</v>
      </c>
      <c r="E2084" s="30" t="s">
        <v>629</v>
      </c>
    </row>
    <row r="2085" spans="1:5" x14ac:dyDescent="0.35">
      <c r="A2085" s="32">
        <v>2435</v>
      </c>
      <c r="B2085" s="32" t="s">
        <v>571</v>
      </c>
      <c r="C2085" s="32" t="s">
        <v>584</v>
      </c>
      <c r="D2085" s="30" t="s">
        <v>599</v>
      </c>
      <c r="E2085" s="30" t="s">
        <v>629</v>
      </c>
    </row>
    <row r="2086" spans="1:5" x14ac:dyDescent="0.35">
      <c r="A2086" s="32">
        <v>2436</v>
      </c>
      <c r="B2086" s="32" t="s">
        <v>571</v>
      </c>
      <c r="C2086" s="32" t="s">
        <v>584</v>
      </c>
      <c r="D2086" s="30" t="s">
        <v>599</v>
      </c>
      <c r="E2086" s="30" t="s">
        <v>629</v>
      </c>
    </row>
    <row r="2087" spans="1:5" x14ac:dyDescent="0.35">
      <c r="A2087" s="32">
        <v>2437</v>
      </c>
      <c r="B2087" s="32" t="s">
        <v>571</v>
      </c>
      <c r="C2087" s="32" t="s">
        <v>584</v>
      </c>
      <c r="D2087" s="30" t="s">
        <v>599</v>
      </c>
      <c r="E2087" s="30" t="s">
        <v>629</v>
      </c>
    </row>
    <row r="2088" spans="1:5" x14ac:dyDescent="0.35">
      <c r="A2088" s="32">
        <v>2438</v>
      </c>
      <c r="B2088" s="32" t="s">
        <v>571</v>
      </c>
      <c r="C2088" s="32" t="s">
        <v>584</v>
      </c>
      <c r="D2088" s="30" t="s">
        <v>599</v>
      </c>
      <c r="E2088" s="30" t="s">
        <v>629</v>
      </c>
    </row>
    <row r="2089" spans="1:5" x14ac:dyDescent="0.35">
      <c r="A2089" s="32">
        <v>2439</v>
      </c>
      <c r="B2089" s="32" t="s">
        <v>634</v>
      </c>
      <c r="C2089" s="32" t="s">
        <v>584</v>
      </c>
      <c r="D2089" s="30" t="s">
        <v>599</v>
      </c>
      <c r="E2089" s="30" t="s">
        <v>629</v>
      </c>
    </row>
    <row r="2090" spans="1:5" x14ac:dyDescent="0.35">
      <c r="A2090" s="32">
        <v>2440</v>
      </c>
      <c r="B2090" s="32" t="s">
        <v>634</v>
      </c>
      <c r="C2090" s="32" t="s">
        <v>584</v>
      </c>
      <c r="D2090" s="30" t="s">
        <v>599</v>
      </c>
      <c r="E2090" s="30" t="s">
        <v>629</v>
      </c>
    </row>
    <row r="2091" spans="1:5" x14ac:dyDescent="0.35">
      <c r="A2091" s="32">
        <v>2441</v>
      </c>
      <c r="B2091" s="32" t="s">
        <v>634</v>
      </c>
      <c r="C2091" s="32" t="s">
        <v>584</v>
      </c>
      <c r="D2091" s="30" t="s">
        <v>599</v>
      </c>
      <c r="E2091" s="30" t="s">
        <v>629</v>
      </c>
    </row>
    <row r="2092" spans="1:5" x14ac:dyDescent="0.35">
      <c r="A2092" s="32">
        <v>2442</v>
      </c>
      <c r="B2092" s="32" t="s">
        <v>634</v>
      </c>
      <c r="C2092" s="32" t="s">
        <v>584</v>
      </c>
      <c r="D2092" s="30" t="s">
        <v>599</v>
      </c>
      <c r="E2092" s="30" t="s">
        <v>629</v>
      </c>
    </row>
    <row r="2093" spans="1:5" x14ac:dyDescent="0.35">
      <c r="A2093" s="32">
        <v>2443</v>
      </c>
      <c r="B2093" s="32" t="s">
        <v>634</v>
      </c>
      <c r="C2093" s="32" t="s">
        <v>584</v>
      </c>
      <c r="D2093" s="30" t="s">
        <v>599</v>
      </c>
      <c r="E2093" s="30" t="s">
        <v>629</v>
      </c>
    </row>
    <row r="2094" spans="1:5" x14ac:dyDescent="0.35">
      <c r="A2094" s="32">
        <v>2444</v>
      </c>
      <c r="B2094" s="32" t="s">
        <v>634</v>
      </c>
      <c r="C2094" s="32" t="s">
        <v>584</v>
      </c>
      <c r="D2094" s="30" t="s">
        <v>599</v>
      </c>
      <c r="E2094" s="30" t="s">
        <v>629</v>
      </c>
    </row>
    <row r="2095" spans="1:5" x14ac:dyDescent="0.35">
      <c r="A2095" s="32">
        <v>2445</v>
      </c>
      <c r="B2095" s="32" t="s">
        <v>634</v>
      </c>
      <c r="C2095" s="32" t="s">
        <v>584</v>
      </c>
      <c r="D2095" s="30" t="s">
        <v>599</v>
      </c>
      <c r="E2095" s="30" t="s">
        <v>629</v>
      </c>
    </row>
    <row r="2096" spans="1:5" x14ac:dyDescent="0.35">
      <c r="A2096" s="32">
        <v>2446</v>
      </c>
      <c r="B2096" s="32" t="s">
        <v>634</v>
      </c>
      <c r="C2096" s="32" t="s">
        <v>584</v>
      </c>
      <c r="D2096" s="30" t="s">
        <v>599</v>
      </c>
      <c r="E2096" s="30" t="s">
        <v>629</v>
      </c>
    </row>
    <row r="2097" spans="1:5" x14ac:dyDescent="0.35">
      <c r="A2097" s="32">
        <v>2447</v>
      </c>
      <c r="B2097" s="32" t="s">
        <v>634</v>
      </c>
      <c r="C2097" s="32" t="s">
        <v>584</v>
      </c>
      <c r="D2097" s="30" t="s">
        <v>599</v>
      </c>
      <c r="E2097" s="30" t="s">
        <v>629</v>
      </c>
    </row>
    <row r="2098" spans="1:5" x14ac:dyDescent="0.35">
      <c r="A2098" s="32">
        <v>2448</v>
      </c>
      <c r="B2098" s="32" t="s">
        <v>634</v>
      </c>
      <c r="C2098" s="32" t="s">
        <v>584</v>
      </c>
      <c r="D2098" s="30" t="s">
        <v>599</v>
      </c>
      <c r="E2098" s="30" t="s">
        <v>629</v>
      </c>
    </row>
    <row r="2099" spans="1:5" x14ac:dyDescent="0.35">
      <c r="A2099" s="32">
        <v>2449</v>
      </c>
      <c r="B2099" s="32" t="s">
        <v>634</v>
      </c>
      <c r="C2099" s="32" t="s">
        <v>584</v>
      </c>
      <c r="D2099" s="30" t="s">
        <v>599</v>
      </c>
      <c r="E2099" s="30" t="s">
        <v>629</v>
      </c>
    </row>
    <row r="2100" spans="1:5" x14ac:dyDescent="0.35">
      <c r="A2100" s="32">
        <v>2450</v>
      </c>
      <c r="B2100" s="32" t="s">
        <v>642</v>
      </c>
      <c r="C2100" s="32" t="s">
        <v>584</v>
      </c>
      <c r="D2100" s="30" t="s">
        <v>599</v>
      </c>
      <c r="E2100" s="30" t="s">
        <v>629</v>
      </c>
    </row>
    <row r="2101" spans="1:5" x14ac:dyDescent="0.35">
      <c r="A2101" s="32">
        <v>2451</v>
      </c>
      <c r="B2101" s="32" t="s">
        <v>642</v>
      </c>
      <c r="C2101" s="32" t="s">
        <v>584</v>
      </c>
      <c r="D2101" s="30" t="s">
        <v>599</v>
      </c>
      <c r="E2101" s="30" t="s">
        <v>629</v>
      </c>
    </row>
    <row r="2102" spans="1:5" x14ac:dyDescent="0.35">
      <c r="A2102" s="32">
        <v>2452</v>
      </c>
      <c r="B2102" s="32" t="s">
        <v>611</v>
      </c>
      <c r="C2102" s="32" t="s">
        <v>584</v>
      </c>
      <c r="D2102" s="30" t="s">
        <v>599</v>
      </c>
      <c r="E2102" s="30" t="s">
        <v>629</v>
      </c>
    </row>
    <row r="2103" spans="1:5" x14ac:dyDescent="0.35">
      <c r="A2103" s="32">
        <v>2453</v>
      </c>
      <c r="B2103" s="32" t="s">
        <v>571</v>
      </c>
      <c r="C2103" s="32" t="s">
        <v>584</v>
      </c>
      <c r="D2103" s="30" t="s">
        <v>599</v>
      </c>
      <c r="E2103" s="30" t="s">
        <v>629</v>
      </c>
    </row>
    <row r="2104" spans="1:5" x14ac:dyDescent="0.35">
      <c r="A2104" s="32">
        <v>2454</v>
      </c>
      <c r="B2104" s="32" t="s">
        <v>571</v>
      </c>
      <c r="C2104" s="32" t="s">
        <v>584</v>
      </c>
      <c r="D2104" s="30" t="s">
        <v>599</v>
      </c>
      <c r="E2104" s="30" t="s">
        <v>629</v>
      </c>
    </row>
    <row r="2105" spans="1:5" x14ac:dyDescent="0.35">
      <c r="A2105" s="32">
        <v>2455</v>
      </c>
      <c r="B2105" s="32" t="s">
        <v>571</v>
      </c>
      <c r="C2105" s="32" t="s">
        <v>584</v>
      </c>
      <c r="D2105" s="30" t="s">
        <v>599</v>
      </c>
      <c r="E2105" s="30" t="s">
        <v>629</v>
      </c>
    </row>
    <row r="2106" spans="1:5" x14ac:dyDescent="0.35">
      <c r="A2106" s="32">
        <v>2456</v>
      </c>
      <c r="B2106" s="32" t="s">
        <v>571</v>
      </c>
      <c r="C2106" s="32" t="s">
        <v>584</v>
      </c>
      <c r="D2106" s="30" t="s">
        <v>599</v>
      </c>
      <c r="E2106" s="30" t="s">
        <v>629</v>
      </c>
    </row>
    <row r="2107" spans="1:5" x14ac:dyDescent="0.35">
      <c r="A2107" s="32">
        <v>2457</v>
      </c>
      <c r="B2107" s="32" t="s">
        <v>571</v>
      </c>
      <c r="C2107" s="32" t="s">
        <v>584</v>
      </c>
      <c r="D2107" s="30" t="s">
        <v>599</v>
      </c>
      <c r="E2107" s="30" t="s">
        <v>629</v>
      </c>
    </row>
    <row r="2108" spans="1:5" x14ac:dyDescent="0.35">
      <c r="A2108" s="32">
        <v>2458</v>
      </c>
      <c r="B2108" s="32" t="s">
        <v>571</v>
      </c>
      <c r="C2108" s="32" t="s">
        <v>584</v>
      </c>
      <c r="D2108" s="30" t="s">
        <v>599</v>
      </c>
      <c r="E2108" s="30" t="s">
        <v>629</v>
      </c>
    </row>
    <row r="2109" spans="1:5" x14ac:dyDescent="0.35">
      <c r="A2109" s="32">
        <v>2459</v>
      </c>
      <c r="B2109" s="32" t="s">
        <v>571</v>
      </c>
      <c r="C2109" s="32" t="s">
        <v>584</v>
      </c>
      <c r="D2109" s="30" t="s">
        <v>599</v>
      </c>
      <c r="E2109" s="30" t="s">
        <v>629</v>
      </c>
    </row>
    <row r="2110" spans="1:5" x14ac:dyDescent="0.35">
      <c r="A2110" s="32">
        <v>2460</v>
      </c>
      <c r="B2110" s="32" t="s">
        <v>571</v>
      </c>
      <c r="C2110" s="32" t="s">
        <v>584</v>
      </c>
      <c r="D2110" s="30" t="s">
        <v>599</v>
      </c>
      <c r="E2110" s="30" t="s">
        <v>629</v>
      </c>
    </row>
    <row r="2111" spans="1:5" x14ac:dyDescent="0.35">
      <c r="A2111" s="32">
        <v>2461</v>
      </c>
      <c r="B2111" s="32" t="s">
        <v>571</v>
      </c>
      <c r="C2111" s="32" t="s">
        <v>584</v>
      </c>
      <c r="D2111" s="30" t="s">
        <v>599</v>
      </c>
      <c r="E2111" s="30" t="s">
        <v>629</v>
      </c>
    </row>
    <row r="2112" spans="1:5" x14ac:dyDescent="0.35">
      <c r="A2112" s="32">
        <v>2462</v>
      </c>
      <c r="B2112" s="32" t="s">
        <v>571</v>
      </c>
      <c r="C2112" s="32" t="s">
        <v>584</v>
      </c>
      <c r="D2112" s="30" t="s">
        <v>599</v>
      </c>
      <c r="E2112" s="30" t="s">
        <v>629</v>
      </c>
    </row>
    <row r="2113" spans="1:5" x14ac:dyDescent="0.35">
      <c r="A2113" s="32">
        <v>2463</v>
      </c>
      <c r="B2113" s="32" t="s">
        <v>571</v>
      </c>
      <c r="C2113" s="32" t="s">
        <v>584</v>
      </c>
      <c r="D2113" s="30" t="s">
        <v>599</v>
      </c>
      <c r="E2113" s="30" t="s">
        <v>629</v>
      </c>
    </row>
    <row r="2114" spans="1:5" x14ac:dyDescent="0.35">
      <c r="A2114" s="32">
        <v>2464</v>
      </c>
      <c r="B2114" s="32" t="s">
        <v>571</v>
      </c>
      <c r="C2114" s="32" t="s">
        <v>584</v>
      </c>
      <c r="D2114" s="30" t="s">
        <v>599</v>
      </c>
      <c r="E2114" s="30" t="s">
        <v>629</v>
      </c>
    </row>
    <row r="2115" spans="1:5" x14ac:dyDescent="0.35">
      <c r="A2115" s="32">
        <v>2465</v>
      </c>
      <c r="B2115" s="32" t="s">
        <v>571</v>
      </c>
      <c r="C2115" s="32" t="s">
        <v>584</v>
      </c>
      <c r="D2115" s="30" t="s">
        <v>599</v>
      </c>
      <c r="E2115" s="30" t="s">
        <v>629</v>
      </c>
    </row>
    <row r="2116" spans="1:5" x14ac:dyDescent="0.35">
      <c r="A2116" s="32">
        <v>2466</v>
      </c>
      <c r="B2116" s="32" t="s">
        <v>571</v>
      </c>
      <c r="C2116" s="32" t="s">
        <v>584</v>
      </c>
      <c r="D2116" s="30" t="s">
        <v>599</v>
      </c>
      <c r="E2116" s="30" t="s">
        <v>629</v>
      </c>
    </row>
    <row r="2117" spans="1:5" x14ac:dyDescent="0.35">
      <c r="A2117" s="32">
        <v>2467</v>
      </c>
      <c r="B2117" s="32" t="s">
        <v>571</v>
      </c>
      <c r="C2117" s="32" t="s">
        <v>584</v>
      </c>
      <c r="D2117" s="30" t="s">
        <v>599</v>
      </c>
      <c r="E2117" s="30" t="s">
        <v>629</v>
      </c>
    </row>
    <row r="2118" spans="1:5" x14ac:dyDescent="0.35">
      <c r="A2118" s="32">
        <v>2468</v>
      </c>
      <c r="B2118" s="32" t="s">
        <v>634</v>
      </c>
      <c r="C2118" s="32" t="s">
        <v>584</v>
      </c>
      <c r="D2118" s="30" t="s">
        <v>599</v>
      </c>
      <c r="E2118" s="30" t="s">
        <v>629</v>
      </c>
    </row>
    <row r="2119" spans="1:5" x14ac:dyDescent="0.35">
      <c r="A2119" s="32">
        <v>2469</v>
      </c>
      <c r="B2119" s="32" t="s">
        <v>634</v>
      </c>
      <c r="C2119" s="32" t="s">
        <v>584</v>
      </c>
      <c r="D2119" s="30" t="s">
        <v>599</v>
      </c>
      <c r="E2119" s="30" t="s">
        <v>629</v>
      </c>
    </row>
    <row r="2120" spans="1:5" x14ac:dyDescent="0.35">
      <c r="A2120" s="32">
        <v>2470</v>
      </c>
      <c r="B2120" s="32" t="s">
        <v>634</v>
      </c>
      <c r="C2120" s="32" t="s">
        <v>584</v>
      </c>
      <c r="D2120" s="30" t="s">
        <v>599</v>
      </c>
      <c r="E2120" s="30" t="s">
        <v>629</v>
      </c>
    </row>
    <row r="2121" spans="1:5" x14ac:dyDescent="0.35">
      <c r="A2121" s="32">
        <v>2471</v>
      </c>
      <c r="B2121" s="32" t="s">
        <v>634</v>
      </c>
      <c r="C2121" s="32" t="s">
        <v>584</v>
      </c>
      <c r="D2121" s="30" t="s">
        <v>599</v>
      </c>
      <c r="E2121" s="30" t="s">
        <v>629</v>
      </c>
    </row>
    <row r="2122" spans="1:5" x14ac:dyDescent="0.35">
      <c r="A2122" s="32">
        <v>2472</v>
      </c>
      <c r="B2122" s="32" t="s">
        <v>634</v>
      </c>
      <c r="C2122" s="32" t="s">
        <v>584</v>
      </c>
      <c r="D2122" s="30" t="s">
        <v>599</v>
      </c>
      <c r="E2122" s="30" t="s">
        <v>629</v>
      </c>
    </row>
    <row r="2123" spans="1:5" x14ac:dyDescent="0.35">
      <c r="A2123" s="32">
        <v>2473</v>
      </c>
      <c r="B2123" s="32" t="s">
        <v>634</v>
      </c>
      <c r="C2123" s="32" t="s">
        <v>584</v>
      </c>
      <c r="D2123" s="30" t="s">
        <v>599</v>
      </c>
      <c r="E2123" s="30" t="s">
        <v>629</v>
      </c>
    </row>
    <row r="2124" spans="1:5" x14ac:dyDescent="0.35">
      <c r="A2124" s="32">
        <v>2474</v>
      </c>
      <c r="B2124" s="32" t="s">
        <v>634</v>
      </c>
      <c r="C2124" s="32" t="s">
        <v>584</v>
      </c>
      <c r="D2124" s="30" t="s">
        <v>599</v>
      </c>
      <c r="E2124" s="30" t="s">
        <v>629</v>
      </c>
    </row>
    <row r="2125" spans="1:5" x14ac:dyDescent="0.35">
      <c r="A2125" s="32">
        <v>2475</v>
      </c>
      <c r="B2125" s="32" t="s">
        <v>634</v>
      </c>
      <c r="C2125" s="32" t="s">
        <v>584</v>
      </c>
      <c r="D2125" s="30" t="s">
        <v>599</v>
      </c>
      <c r="E2125" s="30" t="s">
        <v>629</v>
      </c>
    </row>
    <row r="2126" spans="1:5" x14ac:dyDescent="0.35">
      <c r="A2126" s="32">
        <v>2476</v>
      </c>
      <c r="B2126" s="32" t="s">
        <v>642</v>
      </c>
      <c r="C2126" s="32" t="s">
        <v>584</v>
      </c>
      <c r="D2126" s="30" t="s">
        <v>599</v>
      </c>
      <c r="E2126" s="30" t="s">
        <v>629</v>
      </c>
    </row>
    <row r="2127" spans="1:5" x14ac:dyDescent="0.35">
      <c r="A2127" s="32">
        <v>2477</v>
      </c>
      <c r="B2127" s="32" t="s">
        <v>642</v>
      </c>
      <c r="C2127" s="32" t="s">
        <v>584</v>
      </c>
      <c r="D2127" s="30" t="s">
        <v>599</v>
      </c>
      <c r="E2127" s="30" t="s">
        <v>629</v>
      </c>
    </row>
    <row r="2128" spans="1:5" x14ac:dyDescent="0.35">
      <c r="A2128" s="32">
        <v>2478</v>
      </c>
      <c r="B2128" s="32" t="s">
        <v>611</v>
      </c>
      <c r="C2128" s="32" t="s">
        <v>584</v>
      </c>
      <c r="D2128" s="30" t="s">
        <v>599</v>
      </c>
      <c r="E2128" s="30" t="s">
        <v>629</v>
      </c>
    </row>
    <row r="2129" spans="1:5" x14ac:dyDescent="0.35">
      <c r="A2129" s="32">
        <v>2479</v>
      </c>
      <c r="B2129" s="32" t="s">
        <v>641</v>
      </c>
      <c r="C2129" s="32" t="s">
        <v>584</v>
      </c>
      <c r="D2129" s="30" t="s">
        <v>599</v>
      </c>
      <c r="E2129" s="30" t="s">
        <v>629</v>
      </c>
    </row>
    <row r="2130" spans="1:5" x14ac:dyDescent="0.35">
      <c r="A2130" s="32">
        <v>2480</v>
      </c>
      <c r="B2130" s="32" t="s">
        <v>611</v>
      </c>
      <c r="C2130" s="32" t="s">
        <v>584</v>
      </c>
      <c r="D2130" s="30" t="s">
        <v>599</v>
      </c>
      <c r="E2130" s="30" t="s">
        <v>629</v>
      </c>
    </row>
    <row r="2131" spans="1:5" x14ac:dyDescent="0.35">
      <c r="A2131" s="32">
        <v>2481</v>
      </c>
      <c r="B2131" s="32" t="s">
        <v>571</v>
      </c>
      <c r="C2131" s="32" t="s">
        <v>648</v>
      </c>
      <c r="D2131" s="30" t="s">
        <v>639</v>
      </c>
      <c r="E2131" s="30" t="s">
        <v>677</v>
      </c>
    </row>
    <row r="2132" spans="1:5" x14ac:dyDescent="0.35">
      <c r="A2132" s="32">
        <v>2482</v>
      </c>
      <c r="B2132" s="32" t="s">
        <v>571</v>
      </c>
      <c r="C2132" s="32" t="s">
        <v>648</v>
      </c>
      <c r="D2132" s="30" t="s">
        <v>639</v>
      </c>
      <c r="E2132" s="30" t="s">
        <v>677</v>
      </c>
    </row>
    <row r="2133" spans="1:5" x14ac:dyDescent="0.35">
      <c r="A2133" s="32">
        <v>2483</v>
      </c>
      <c r="B2133" s="32" t="s">
        <v>571</v>
      </c>
      <c r="C2133" s="32" t="s">
        <v>648</v>
      </c>
      <c r="D2133" s="30" t="s">
        <v>639</v>
      </c>
      <c r="E2133" s="30" t="s">
        <v>677</v>
      </c>
    </row>
    <row r="2134" spans="1:5" x14ac:dyDescent="0.35">
      <c r="A2134" s="32">
        <v>2484</v>
      </c>
      <c r="B2134" s="32" t="s">
        <v>571</v>
      </c>
      <c r="C2134" s="32" t="s">
        <v>648</v>
      </c>
      <c r="D2134" s="30" t="s">
        <v>639</v>
      </c>
      <c r="E2134" s="30" t="s">
        <v>677</v>
      </c>
    </row>
    <row r="2135" spans="1:5" x14ac:dyDescent="0.35">
      <c r="A2135" s="32">
        <v>2485</v>
      </c>
      <c r="B2135" s="32" t="s">
        <v>611</v>
      </c>
      <c r="C2135" s="32" t="s">
        <v>648</v>
      </c>
      <c r="D2135" s="30" t="s">
        <v>659</v>
      </c>
      <c r="E2135" s="30" t="s">
        <v>660</v>
      </c>
    </row>
    <row r="2136" spans="1:5" x14ac:dyDescent="0.35">
      <c r="A2136" s="32">
        <v>2486</v>
      </c>
      <c r="B2136" s="32" t="s">
        <v>571</v>
      </c>
      <c r="C2136" s="32" t="s">
        <v>648</v>
      </c>
      <c r="D2136" s="30" t="s">
        <v>659</v>
      </c>
      <c r="E2136" s="30" t="s">
        <v>660</v>
      </c>
    </row>
    <row r="2137" spans="1:5" x14ac:dyDescent="0.35">
      <c r="A2137" s="32">
        <v>2487</v>
      </c>
      <c r="B2137" s="32" t="s">
        <v>641</v>
      </c>
      <c r="C2137" s="32" t="s">
        <v>648</v>
      </c>
      <c r="D2137" s="30" t="s">
        <v>659</v>
      </c>
      <c r="E2137" s="30" t="s">
        <v>660</v>
      </c>
    </row>
    <row r="2138" spans="1:5" x14ac:dyDescent="0.35">
      <c r="A2138" s="32">
        <v>2488</v>
      </c>
      <c r="B2138" s="32" t="s">
        <v>634</v>
      </c>
      <c r="C2138" s="32" t="s">
        <v>648</v>
      </c>
      <c r="D2138" s="30" t="s">
        <v>659</v>
      </c>
      <c r="E2138" s="30" t="s">
        <v>660</v>
      </c>
    </row>
    <row r="2139" spans="1:5" x14ac:dyDescent="0.35">
      <c r="A2139" s="32">
        <v>2489</v>
      </c>
      <c r="B2139" s="32" t="s">
        <v>634</v>
      </c>
      <c r="C2139" s="32" t="s">
        <v>648</v>
      </c>
      <c r="D2139" s="30" t="s">
        <v>659</v>
      </c>
      <c r="E2139" s="30" t="s">
        <v>660</v>
      </c>
    </row>
    <row r="2140" spans="1:5" x14ac:dyDescent="0.35">
      <c r="A2140" s="32">
        <v>2490</v>
      </c>
      <c r="B2140" s="32" t="s">
        <v>634</v>
      </c>
      <c r="C2140" s="32" t="s">
        <v>648</v>
      </c>
      <c r="D2140" s="30" t="s">
        <v>659</v>
      </c>
      <c r="E2140" s="30" t="s">
        <v>660</v>
      </c>
    </row>
    <row r="2141" spans="1:5" x14ac:dyDescent="0.35">
      <c r="A2141" s="32">
        <v>2491</v>
      </c>
      <c r="B2141" s="32" t="s">
        <v>611</v>
      </c>
      <c r="C2141" s="32" t="s">
        <v>648</v>
      </c>
      <c r="D2141" s="30" t="s">
        <v>659</v>
      </c>
      <c r="E2141" s="30" t="s">
        <v>660</v>
      </c>
    </row>
    <row r="2142" spans="1:5" x14ac:dyDescent="0.35">
      <c r="A2142" s="32">
        <v>2492</v>
      </c>
      <c r="B2142" s="32" t="s">
        <v>571</v>
      </c>
      <c r="C2142" s="32" t="s">
        <v>648</v>
      </c>
      <c r="D2142" s="30" t="s">
        <v>659</v>
      </c>
      <c r="E2142" s="30" t="s">
        <v>660</v>
      </c>
    </row>
    <row r="2143" spans="1:5" x14ac:dyDescent="0.35">
      <c r="A2143" s="32">
        <v>2493</v>
      </c>
      <c r="B2143" s="32" t="s">
        <v>641</v>
      </c>
      <c r="C2143" s="32" t="s">
        <v>648</v>
      </c>
      <c r="D2143" s="30" t="s">
        <v>659</v>
      </c>
      <c r="E2143" s="30" t="s">
        <v>660</v>
      </c>
    </row>
    <row r="2144" spans="1:5" x14ac:dyDescent="0.35">
      <c r="A2144" s="32">
        <v>2494</v>
      </c>
      <c r="B2144" s="32" t="s">
        <v>634</v>
      </c>
      <c r="C2144" s="32" t="s">
        <v>648</v>
      </c>
      <c r="D2144" s="30" t="s">
        <v>659</v>
      </c>
      <c r="E2144" s="30" t="s">
        <v>660</v>
      </c>
    </row>
    <row r="2145" spans="1:5" x14ac:dyDescent="0.35">
      <c r="A2145" s="32">
        <v>2495</v>
      </c>
      <c r="B2145" s="32" t="s">
        <v>634</v>
      </c>
      <c r="C2145" s="32" t="s">
        <v>648</v>
      </c>
      <c r="D2145" s="30" t="s">
        <v>659</v>
      </c>
      <c r="E2145" s="30" t="s">
        <v>660</v>
      </c>
    </row>
    <row r="2146" spans="1:5" x14ac:dyDescent="0.35">
      <c r="A2146" s="32">
        <v>2496</v>
      </c>
      <c r="B2146" s="32" t="s">
        <v>634</v>
      </c>
      <c r="C2146" s="32" t="s">
        <v>648</v>
      </c>
      <c r="D2146" s="30" t="s">
        <v>659</v>
      </c>
      <c r="E2146" s="30" t="s">
        <v>660</v>
      </c>
    </row>
    <row r="2147" spans="1:5" x14ac:dyDescent="0.35">
      <c r="A2147" s="32">
        <v>2497</v>
      </c>
      <c r="B2147" s="32" t="s">
        <v>634</v>
      </c>
      <c r="C2147" s="32" t="s">
        <v>584</v>
      </c>
      <c r="D2147" s="30" t="s">
        <v>573</v>
      </c>
      <c r="E2147" s="30" t="s">
        <v>574</v>
      </c>
    </row>
    <row r="2148" spans="1:5" x14ac:dyDescent="0.35">
      <c r="A2148" s="32">
        <v>2498</v>
      </c>
      <c r="B2148" s="32" t="s">
        <v>571</v>
      </c>
      <c r="C2148" s="32" t="s">
        <v>584</v>
      </c>
      <c r="D2148" s="30" t="s">
        <v>573</v>
      </c>
      <c r="E2148" s="30" t="s">
        <v>574</v>
      </c>
    </row>
    <row r="2149" spans="1:5" x14ac:dyDescent="0.35">
      <c r="A2149" s="32">
        <v>2499</v>
      </c>
      <c r="B2149" s="32" t="s">
        <v>571</v>
      </c>
      <c r="C2149" s="32" t="s">
        <v>584</v>
      </c>
      <c r="D2149" s="30" t="s">
        <v>573</v>
      </c>
      <c r="E2149" s="30" t="s">
        <v>574</v>
      </c>
    </row>
    <row r="2150" spans="1:5" x14ac:dyDescent="0.35">
      <c r="A2150" s="32">
        <v>2500</v>
      </c>
      <c r="B2150" s="32" t="s">
        <v>571</v>
      </c>
      <c r="C2150" s="32" t="s">
        <v>584</v>
      </c>
      <c r="D2150" s="30" t="s">
        <v>573</v>
      </c>
      <c r="E2150" s="30" t="s">
        <v>574</v>
      </c>
    </row>
    <row r="2151" spans="1:5" x14ac:dyDescent="0.35">
      <c r="A2151" s="32">
        <v>2501</v>
      </c>
      <c r="B2151" s="32" t="s">
        <v>571</v>
      </c>
      <c r="C2151" s="32" t="s">
        <v>584</v>
      </c>
      <c r="D2151" s="30" t="s">
        <v>573</v>
      </c>
      <c r="E2151" s="30" t="s">
        <v>574</v>
      </c>
    </row>
    <row r="2152" spans="1:5" x14ac:dyDescent="0.35">
      <c r="A2152" s="32">
        <v>2502</v>
      </c>
      <c r="B2152" s="32" t="s">
        <v>611</v>
      </c>
      <c r="C2152" s="32" t="s">
        <v>584</v>
      </c>
      <c r="D2152" s="30" t="s">
        <v>573</v>
      </c>
      <c r="E2152" s="30" t="s">
        <v>574</v>
      </c>
    </row>
    <row r="2153" spans="1:5" x14ac:dyDescent="0.35">
      <c r="A2153" s="32">
        <v>2503</v>
      </c>
      <c r="B2153" s="32" t="s">
        <v>571</v>
      </c>
      <c r="C2153" s="32" t="s">
        <v>584</v>
      </c>
      <c r="D2153" s="30" t="s">
        <v>573</v>
      </c>
      <c r="E2153" s="30" t="s">
        <v>574</v>
      </c>
    </row>
    <row r="2154" spans="1:5" x14ac:dyDescent="0.35">
      <c r="A2154" s="32">
        <v>2504</v>
      </c>
      <c r="B2154" s="32" t="s">
        <v>571</v>
      </c>
      <c r="C2154" s="32" t="s">
        <v>584</v>
      </c>
      <c r="D2154" s="30" t="s">
        <v>573</v>
      </c>
      <c r="E2154" s="30" t="s">
        <v>574</v>
      </c>
    </row>
    <row r="2155" spans="1:5" x14ac:dyDescent="0.35">
      <c r="A2155" s="32">
        <v>2505</v>
      </c>
      <c r="B2155" s="32" t="s">
        <v>571</v>
      </c>
      <c r="C2155" s="32" t="s">
        <v>584</v>
      </c>
      <c r="D2155" s="30" t="s">
        <v>573</v>
      </c>
      <c r="E2155" s="30" t="s">
        <v>574</v>
      </c>
    </row>
    <row r="2156" spans="1:5" x14ac:dyDescent="0.35">
      <c r="A2156" s="32">
        <v>2506</v>
      </c>
      <c r="B2156" s="32" t="s">
        <v>571</v>
      </c>
      <c r="C2156" s="32" t="s">
        <v>584</v>
      </c>
      <c r="D2156" s="30" t="s">
        <v>573</v>
      </c>
      <c r="E2156" s="30" t="s">
        <v>574</v>
      </c>
    </row>
    <row r="2157" spans="1:5" x14ac:dyDescent="0.35">
      <c r="A2157" s="32">
        <v>2507</v>
      </c>
      <c r="B2157" s="32" t="s">
        <v>571</v>
      </c>
      <c r="C2157" s="32" t="s">
        <v>584</v>
      </c>
      <c r="D2157" s="30" t="s">
        <v>573</v>
      </c>
      <c r="E2157" s="30" t="s">
        <v>574</v>
      </c>
    </row>
    <row r="2158" spans="1:5" x14ac:dyDescent="0.35">
      <c r="A2158" s="32">
        <v>2508</v>
      </c>
      <c r="B2158" s="32" t="s">
        <v>571</v>
      </c>
      <c r="C2158" s="32" t="s">
        <v>584</v>
      </c>
      <c r="D2158" s="30" t="s">
        <v>573</v>
      </c>
      <c r="E2158" s="30" t="s">
        <v>574</v>
      </c>
    </row>
    <row r="2159" spans="1:5" x14ac:dyDescent="0.35">
      <c r="A2159" s="32">
        <v>2509</v>
      </c>
      <c r="B2159" s="32" t="s">
        <v>571</v>
      </c>
      <c r="C2159" s="32" t="s">
        <v>584</v>
      </c>
      <c r="D2159" s="30" t="s">
        <v>573</v>
      </c>
      <c r="E2159" s="30" t="s">
        <v>574</v>
      </c>
    </row>
    <row r="2160" spans="1:5" x14ac:dyDescent="0.35">
      <c r="A2160" s="32">
        <v>2510</v>
      </c>
      <c r="B2160" s="32" t="s">
        <v>611</v>
      </c>
      <c r="C2160" s="32" t="s">
        <v>584</v>
      </c>
      <c r="D2160" s="30" t="s">
        <v>573</v>
      </c>
      <c r="E2160" s="30" t="s">
        <v>574</v>
      </c>
    </row>
    <row r="2161" spans="1:5" x14ac:dyDescent="0.35">
      <c r="A2161" s="32">
        <v>2511</v>
      </c>
      <c r="B2161" s="32" t="s">
        <v>571</v>
      </c>
      <c r="C2161" s="32" t="s">
        <v>584</v>
      </c>
      <c r="D2161" s="30" t="s">
        <v>573</v>
      </c>
      <c r="E2161" s="30" t="s">
        <v>574</v>
      </c>
    </row>
    <row r="2162" spans="1:5" x14ac:dyDescent="0.35">
      <c r="A2162" s="32">
        <v>2512</v>
      </c>
      <c r="B2162" s="32" t="s">
        <v>571</v>
      </c>
      <c r="C2162" s="32" t="s">
        <v>584</v>
      </c>
      <c r="D2162" s="30" t="s">
        <v>573</v>
      </c>
      <c r="E2162" s="30" t="s">
        <v>574</v>
      </c>
    </row>
    <row r="2163" spans="1:5" x14ac:dyDescent="0.35">
      <c r="A2163" s="32">
        <v>2513</v>
      </c>
      <c r="B2163" s="32" t="s">
        <v>571</v>
      </c>
      <c r="C2163" s="32" t="s">
        <v>584</v>
      </c>
      <c r="D2163" s="30" t="s">
        <v>573</v>
      </c>
      <c r="E2163" s="30" t="s">
        <v>574</v>
      </c>
    </row>
    <row r="2164" spans="1:5" x14ac:dyDescent="0.35">
      <c r="A2164" s="32">
        <v>2514</v>
      </c>
      <c r="B2164" s="32" t="s">
        <v>571</v>
      </c>
      <c r="C2164" s="32" t="s">
        <v>584</v>
      </c>
      <c r="D2164" s="30" t="s">
        <v>573</v>
      </c>
      <c r="E2164" s="30" t="s">
        <v>574</v>
      </c>
    </row>
    <row r="2165" spans="1:5" x14ac:dyDescent="0.35">
      <c r="A2165" s="32">
        <v>2515</v>
      </c>
      <c r="B2165" s="32" t="s">
        <v>642</v>
      </c>
      <c r="C2165" s="32" t="s">
        <v>584</v>
      </c>
      <c r="D2165" s="30" t="s">
        <v>573</v>
      </c>
      <c r="E2165" s="30" t="s">
        <v>574</v>
      </c>
    </row>
    <row r="2166" spans="1:5" x14ac:dyDescent="0.35">
      <c r="A2166" s="32">
        <v>2516</v>
      </c>
      <c r="B2166" s="32" t="s">
        <v>634</v>
      </c>
      <c r="C2166" s="32" t="s">
        <v>584</v>
      </c>
      <c r="D2166" s="30" t="s">
        <v>573</v>
      </c>
      <c r="E2166" s="30" t="s">
        <v>574</v>
      </c>
    </row>
    <row r="2167" spans="1:5" x14ac:dyDescent="0.35">
      <c r="A2167" s="32">
        <v>2517</v>
      </c>
      <c r="B2167" s="32" t="s">
        <v>634</v>
      </c>
      <c r="C2167" s="32" t="s">
        <v>584</v>
      </c>
      <c r="D2167" s="30" t="s">
        <v>573</v>
      </c>
      <c r="E2167" s="30" t="s">
        <v>574</v>
      </c>
    </row>
    <row r="2168" spans="1:5" x14ac:dyDescent="0.35">
      <c r="A2168" s="32">
        <v>2518</v>
      </c>
      <c r="B2168" s="32" t="s">
        <v>642</v>
      </c>
      <c r="C2168" s="32" t="s">
        <v>584</v>
      </c>
      <c r="D2168" s="30" t="s">
        <v>573</v>
      </c>
      <c r="E2168" s="30" t="s">
        <v>574</v>
      </c>
    </row>
    <row r="2169" spans="1:5" x14ac:dyDescent="0.35">
      <c r="A2169" s="32">
        <v>2519</v>
      </c>
      <c r="B2169" s="32" t="s">
        <v>634</v>
      </c>
      <c r="C2169" s="32" t="s">
        <v>584</v>
      </c>
      <c r="D2169" s="30" t="s">
        <v>573</v>
      </c>
      <c r="E2169" s="30" t="s">
        <v>574</v>
      </c>
    </row>
    <row r="2170" spans="1:5" x14ac:dyDescent="0.35">
      <c r="A2170" s="32">
        <v>2520</v>
      </c>
      <c r="B2170" s="32" t="s">
        <v>634</v>
      </c>
      <c r="C2170" s="32" t="s">
        <v>584</v>
      </c>
      <c r="D2170" s="30" t="s">
        <v>573</v>
      </c>
      <c r="E2170" s="30" t="s">
        <v>574</v>
      </c>
    </row>
    <row r="2171" spans="1:5" x14ac:dyDescent="0.35">
      <c r="A2171" s="32">
        <v>2521</v>
      </c>
      <c r="B2171" s="32" t="s">
        <v>634</v>
      </c>
      <c r="C2171" s="32" t="s">
        <v>584</v>
      </c>
      <c r="D2171" s="30" t="s">
        <v>573</v>
      </c>
      <c r="E2171" s="30" t="s">
        <v>574</v>
      </c>
    </row>
    <row r="2172" spans="1:5" x14ac:dyDescent="0.35">
      <c r="A2172" s="32">
        <v>2522</v>
      </c>
      <c r="B2172" s="32" t="s">
        <v>634</v>
      </c>
      <c r="C2172" s="32" t="s">
        <v>584</v>
      </c>
      <c r="D2172" s="30" t="s">
        <v>573</v>
      </c>
      <c r="E2172" s="30" t="s">
        <v>574</v>
      </c>
    </row>
    <row r="2173" spans="1:5" x14ac:dyDescent="0.35">
      <c r="A2173" s="32">
        <v>2523</v>
      </c>
      <c r="B2173" s="32" t="s">
        <v>634</v>
      </c>
      <c r="C2173" s="32" t="s">
        <v>584</v>
      </c>
      <c r="D2173" s="30" t="s">
        <v>573</v>
      </c>
      <c r="E2173" s="30" t="s">
        <v>574</v>
      </c>
    </row>
    <row r="2174" spans="1:5" x14ac:dyDescent="0.35">
      <c r="A2174" s="32">
        <v>2524</v>
      </c>
      <c r="B2174" s="32" t="s">
        <v>641</v>
      </c>
      <c r="C2174" s="32" t="s">
        <v>584</v>
      </c>
      <c r="D2174" s="30" t="s">
        <v>573</v>
      </c>
      <c r="E2174" s="30" t="s">
        <v>574</v>
      </c>
    </row>
    <row r="2175" spans="1:5" x14ac:dyDescent="0.35">
      <c r="A2175" s="32">
        <v>2525</v>
      </c>
      <c r="B2175" s="32" t="s">
        <v>634</v>
      </c>
      <c r="C2175" s="32" t="s">
        <v>584</v>
      </c>
      <c r="D2175" s="30" t="s">
        <v>573</v>
      </c>
      <c r="E2175" s="30" t="s">
        <v>574</v>
      </c>
    </row>
    <row r="2176" spans="1:5" x14ac:dyDescent="0.35">
      <c r="A2176" s="32">
        <v>2526</v>
      </c>
      <c r="B2176" s="32" t="s">
        <v>634</v>
      </c>
      <c r="C2176" s="32" t="s">
        <v>584</v>
      </c>
      <c r="D2176" s="30" t="s">
        <v>573</v>
      </c>
      <c r="E2176" s="30" t="s">
        <v>574</v>
      </c>
    </row>
    <row r="2177" spans="1:5" x14ac:dyDescent="0.35">
      <c r="A2177" s="32">
        <v>2527</v>
      </c>
      <c r="B2177" s="32" t="s">
        <v>641</v>
      </c>
      <c r="C2177" s="32" t="s">
        <v>584</v>
      </c>
      <c r="D2177" s="30" t="s">
        <v>573</v>
      </c>
      <c r="E2177" s="30" t="s">
        <v>574</v>
      </c>
    </row>
    <row r="2178" spans="1:5" x14ac:dyDescent="0.35">
      <c r="A2178" s="32">
        <v>2528</v>
      </c>
      <c r="B2178" s="32" t="s">
        <v>571</v>
      </c>
      <c r="C2178" s="32" t="s">
        <v>584</v>
      </c>
      <c r="D2178" s="30" t="s">
        <v>573</v>
      </c>
      <c r="E2178" s="30" t="s">
        <v>574</v>
      </c>
    </row>
    <row r="2179" spans="1:5" x14ac:dyDescent="0.35">
      <c r="A2179" s="32">
        <v>2529</v>
      </c>
      <c r="B2179" s="32" t="s">
        <v>634</v>
      </c>
      <c r="C2179" s="32" t="s">
        <v>584</v>
      </c>
      <c r="D2179" s="30" t="s">
        <v>573</v>
      </c>
      <c r="E2179" s="30" t="s">
        <v>574</v>
      </c>
    </row>
    <row r="2180" spans="1:5" x14ac:dyDescent="0.35">
      <c r="A2180" s="32">
        <v>2530</v>
      </c>
      <c r="B2180" s="32" t="s">
        <v>611</v>
      </c>
      <c r="C2180" s="32" t="s">
        <v>648</v>
      </c>
      <c r="D2180" s="30" t="s">
        <v>621</v>
      </c>
      <c r="E2180" s="30" t="s">
        <v>678</v>
      </c>
    </row>
    <row r="2181" spans="1:5" x14ac:dyDescent="0.35">
      <c r="A2181" s="32">
        <v>2531</v>
      </c>
      <c r="B2181" s="32" t="s">
        <v>611</v>
      </c>
      <c r="C2181" s="32" t="s">
        <v>605</v>
      </c>
      <c r="D2181" s="30" t="s">
        <v>621</v>
      </c>
      <c r="E2181" s="30" t="s">
        <v>678</v>
      </c>
    </row>
    <row r="2182" spans="1:5" x14ac:dyDescent="0.35">
      <c r="A2182" s="32">
        <v>2532</v>
      </c>
      <c r="B2182" s="32" t="s">
        <v>611</v>
      </c>
      <c r="C2182" s="32" t="s">
        <v>624</v>
      </c>
      <c r="D2182" s="30" t="s">
        <v>621</v>
      </c>
      <c r="E2182" s="30" t="s">
        <v>678</v>
      </c>
    </row>
    <row r="2183" spans="1:5" x14ac:dyDescent="0.35">
      <c r="A2183" s="32">
        <v>2533</v>
      </c>
      <c r="B2183" s="32" t="s">
        <v>571</v>
      </c>
      <c r="C2183" s="32" t="s">
        <v>619</v>
      </c>
      <c r="D2183" s="30" t="s">
        <v>663</v>
      </c>
      <c r="E2183" s="30" t="s">
        <v>679</v>
      </c>
    </row>
    <row r="2184" spans="1:5" x14ac:dyDescent="0.35">
      <c r="A2184" s="32">
        <v>2534</v>
      </c>
      <c r="B2184" s="32" t="s">
        <v>571</v>
      </c>
      <c r="C2184" s="32" t="s">
        <v>619</v>
      </c>
      <c r="D2184" s="30" t="s">
        <v>663</v>
      </c>
      <c r="E2184" s="30" t="s">
        <v>679</v>
      </c>
    </row>
    <row r="2185" spans="1:5" x14ac:dyDescent="0.35">
      <c r="A2185" s="32">
        <v>2535</v>
      </c>
      <c r="B2185" s="32" t="s">
        <v>571</v>
      </c>
      <c r="C2185" s="32" t="s">
        <v>619</v>
      </c>
      <c r="D2185" s="30" t="s">
        <v>663</v>
      </c>
      <c r="E2185" s="30" t="s">
        <v>679</v>
      </c>
    </row>
    <row r="2186" spans="1:5" x14ac:dyDescent="0.35">
      <c r="A2186" s="32">
        <v>2536</v>
      </c>
      <c r="B2186" s="32" t="s">
        <v>571</v>
      </c>
      <c r="C2186" s="32" t="s">
        <v>619</v>
      </c>
      <c r="D2186" s="30" t="s">
        <v>663</v>
      </c>
      <c r="E2186" s="30" t="s">
        <v>679</v>
      </c>
    </row>
    <row r="2187" spans="1:5" x14ac:dyDescent="0.35">
      <c r="A2187" s="32">
        <v>2537</v>
      </c>
      <c r="B2187" s="32" t="s">
        <v>571</v>
      </c>
      <c r="C2187" s="32" t="s">
        <v>619</v>
      </c>
      <c r="D2187" s="30" t="s">
        <v>663</v>
      </c>
      <c r="E2187" s="30" t="s">
        <v>679</v>
      </c>
    </row>
    <row r="2188" spans="1:5" x14ac:dyDescent="0.35">
      <c r="A2188" s="32">
        <v>2538</v>
      </c>
      <c r="B2188" s="32" t="s">
        <v>571</v>
      </c>
      <c r="C2188" s="32" t="s">
        <v>619</v>
      </c>
      <c r="D2188" s="30" t="s">
        <v>663</v>
      </c>
      <c r="E2188" s="30" t="s">
        <v>679</v>
      </c>
    </row>
    <row r="2189" spans="1:5" x14ac:dyDescent="0.35">
      <c r="A2189" s="32">
        <v>2539</v>
      </c>
      <c r="B2189" s="32" t="s">
        <v>571</v>
      </c>
      <c r="C2189" s="32" t="s">
        <v>619</v>
      </c>
      <c r="D2189" s="30" t="s">
        <v>663</v>
      </c>
      <c r="E2189" s="30" t="s">
        <v>679</v>
      </c>
    </row>
    <row r="2190" spans="1:5" x14ac:dyDescent="0.35">
      <c r="A2190" s="32">
        <v>2540</v>
      </c>
      <c r="B2190" s="32" t="s">
        <v>571</v>
      </c>
      <c r="C2190" s="32" t="s">
        <v>619</v>
      </c>
      <c r="D2190" s="30" t="s">
        <v>663</v>
      </c>
      <c r="E2190" s="30" t="s">
        <v>679</v>
      </c>
    </row>
    <row r="2191" spans="1:5" x14ac:dyDescent="0.35">
      <c r="A2191" s="32">
        <v>2541</v>
      </c>
      <c r="B2191" s="32" t="s">
        <v>571</v>
      </c>
      <c r="C2191" s="32" t="s">
        <v>619</v>
      </c>
      <c r="D2191" s="30" t="s">
        <v>663</v>
      </c>
      <c r="E2191" s="30" t="s">
        <v>679</v>
      </c>
    </row>
    <row r="2192" spans="1:5" x14ac:dyDescent="0.35">
      <c r="A2192" s="32">
        <v>2542</v>
      </c>
      <c r="B2192" s="32" t="s">
        <v>571</v>
      </c>
      <c r="C2192" s="32" t="s">
        <v>584</v>
      </c>
      <c r="D2192" s="30" t="s">
        <v>663</v>
      </c>
      <c r="E2192" s="30" t="s">
        <v>679</v>
      </c>
    </row>
    <row r="2193" spans="1:5" x14ac:dyDescent="0.35">
      <c r="A2193" s="32">
        <v>2543</v>
      </c>
      <c r="B2193" s="32" t="s">
        <v>571</v>
      </c>
      <c r="C2193" s="32" t="s">
        <v>584</v>
      </c>
      <c r="D2193" s="30" t="s">
        <v>663</v>
      </c>
      <c r="E2193" s="30" t="s">
        <v>679</v>
      </c>
    </row>
    <row r="2194" spans="1:5" x14ac:dyDescent="0.35">
      <c r="A2194" s="32">
        <v>2544</v>
      </c>
      <c r="B2194" s="32" t="s">
        <v>571</v>
      </c>
      <c r="C2194" s="32" t="s">
        <v>584</v>
      </c>
      <c r="D2194" s="30" t="s">
        <v>663</v>
      </c>
      <c r="E2194" s="30" t="s">
        <v>679</v>
      </c>
    </row>
    <row r="2195" spans="1:5" x14ac:dyDescent="0.35">
      <c r="A2195" s="32">
        <v>2545</v>
      </c>
      <c r="B2195" s="32" t="s">
        <v>571</v>
      </c>
      <c r="C2195" s="32" t="s">
        <v>624</v>
      </c>
      <c r="D2195" s="30" t="s">
        <v>663</v>
      </c>
      <c r="E2195" s="30" t="s">
        <v>679</v>
      </c>
    </row>
    <row r="2196" spans="1:5" x14ac:dyDescent="0.35">
      <c r="A2196" s="32">
        <v>2546</v>
      </c>
      <c r="B2196" s="32" t="s">
        <v>571</v>
      </c>
      <c r="C2196" s="32" t="s">
        <v>624</v>
      </c>
      <c r="D2196" s="30" t="s">
        <v>663</v>
      </c>
      <c r="E2196" s="30" t="s">
        <v>679</v>
      </c>
    </row>
    <row r="2197" spans="1:5" x14ac:dyDescent="0.35">
      <c r="A2197" s="32">
        <v>2547</v>
      </c>
      <c r="B2197" s="32" t="s">
        <v>571</v>
      </c>
      <c r="C2197" s="32" t="s">
        <v>619</v>
      </c>
      <c r="D2197" s="30" t="s">
        <v>663</v>
      </c>
      <c r="E2197" s="30" t="s">
        <v>679</v>
      </c>
    </row>
    <row r="2198" spans="1:5" x14ac:dyDescent="0.35">
      <c r="A2198" s="32">
        <v>2548</v>
      </c>
      <c r="B2198" s="32" t="s">
        <v>571</v>
      </c>
      <c r="C2198" s="32" t="s">
        <v>624</v>
      </c>
      <c r="D2198" s="30" t="s">
        <v>663</v>
      </c>
      <c r="E2198" s="30" t="s">
        <v>679</v>
      </c>
    </row>
    <row r="2199" spans="1:5" x14ac:dyDescent="0.35">
      <c r="A2199" s="32">
        <v>2549</v>
      </c>
      <c r="B2199" s="32" t="s">
        <v>571</v>
      </c>
      <c r="C2199" s="32" t="s">
        <v>624</v>
      </c>
      <c r="D2199" s="30" t="s">
        <v>663</v>
      </c>
      <c r="E2199" s="30" t="s">
        <v>679</v>
      </c>
    </row>
    <row r="2200" spans="1:5" x14ac:dyDescent="0.35">
      <c r="A2200" s="32">
        <v>2550</v>
      </c>
      <c r="B2200" s="32" t="s">
        <v>571</v>
      </c>
      <c r="C2200" s="32" t="s">
        <v>619</v>
      </c>
      <c r="D2200" s="30" t="s">
        <v>663</v>
      </c>
      <c r="E2200" s="30" t="s">
        <v>679</v>
      </c>
    </row>
    <row r="2201" spans="1:5" x14ac:dyDescent="0.35">
      <c r="A2201" s="32">
        <v>2551</v>
      </c>
      <c r="B2201" s="32" t="s">
        <v>571</v>
      </c>
      <c r="C2201" s="32" t="s">
        <v>619</v>
      </c>
      <c r="D2201" s="30" t="s">
        <v>663</v>
      </c>
      <c r="E2201" s="30" t="s">
        <v>679</v>
      </c>
    </row>
    <row r="2202" spans="1:5" x14ac:dyDescent="0.35">
      <c r="A2202" s="32">
        <v>2552</v>
      </c>
      <c r="B2202" s="32" t="s">
        <v>610</v>
      </c>
      <c r="C2202" s="32" t="s">
        <v>605</v>
      </c>
      <c r="D2202" s="30" t="s">
        <v>599</v>
      </c>
      <c r="E2202" s="30" t="s">
        <v>629</v>
      </c>
    </row>
    <row r="2203" spans="1:5" x14ac:dyDescent="0.35">
      <c r="A2203" s="32">
        <v>2553</v>
      </c>
      <c r="B2203" s="32" t="s">
        <v>610</v>
      </c>
      <c r="C2203" s="32" t="s">
        <v>584</v>
      </c>
      <c r="D2203" s="30" t="s">
        <v>639</v>
      </c>
      <c r="E2203" s="30" t="s">
        <v>646</v>
      </c>
    </row>
    <row r="2204" spans="1:5" x14ac:dyDescent="0.35">
      <c r="A2204" s="32">
        <v>2554</v>
      </c>
      <c r="B2204" s="32" t="s">
        <v>610</v>
      </c>
      <c r="C2204" s="32" t="s">
        <v>584</v>
      </c>
      <c r="D2204" s="30" t="s">
        <v>639</v>
      </c>
      <c r="E2204" s="30" t="s">
        <v>646</v>
      </c>
    </row>
    <row r="2205" spans="1:5" x14ac:dyDescent="0.35">
      <c r="A2205" s="32">
        <v>2555</v>
      </c>
      <c r="B2205" s="32" t="s">
        <v>610</v>
      </c>
      <c r="C2205" s="32" t="s">
        <v>584</v>
      </c>
      <c r="D2205" s="30" t="s">
        <v>639</v>
      </c>
      <c r="E2205" s="30" t="s">
        <v>646</v>
      </c>
    </row>
    <row r="2206" spans="1:5" x14ac:dyDescent="0.35">
      <c r="A2206" s="32">
        <v>2556</v>
      </c>
      <c r="B2206" s="32" t="s">
        <v>610</v>
      </c>
      <c r="C2206" s="32" t="s">
        <v>584</v>
      </c>
      <c r="D2206" s="30" t="s">
        <v>639</v>
      </c>
      <c r="E2206" s="30" t="s">
        <v>646</v>
      </c>
    </row>
    <row r="2207" spans="1:5" x14ac:dyDescent="0.35">
      <c r="A2207" s="32">
        <v>2557</v>
      </c>
      <c r="B2207" s="32" t="s">
        <v>610</v>
      </c>
      <c r="C2207" s="32" t="s">
        <v>584</v>
      </c>
      <c r="D2207" s="30" t="s">
        <v>639</v>
      </c>
      <c r="E2207" s="30" t="s">
        <v>646</v>
      </c>
    </row>
    <row r="2208" spans="1:5" x14ac:dyDescent="0.35">
      <c r="A2208" s="32">
        <v>2558</v>
      </c>
      <c r="B2208" s="32" t="s">
        <v>610</v>
      </c>
      <c r="C2208" s="32" t="s">
        <v>584</v>
      </c>
      <c r="D2208" s="30" t="s">
        <v>639</v>
      </c>
      <c r="E2208" s="30" t="s">
        <v>646</v>
      </c>
    </row>
    <row r="2209" spans="1:5" x14ac:dyDescent="0.35">
      <c r="A2209" s="32">
        <v>2559</v>
      </c>
      <c r="B2209" s="32" t="s">
        <v>571</v>
      </c>
      <c r="C2209" s="32" t="s">
        <v>584</v>
      </c>
      <c r="D2209" s="30" t="s">
        <v>639</v>
      </c>
      <c r="E2209" s="30" t="s">
        <v>680</v>
      </c>
    </row>
    <row r="2210" spans="1:5" x14ac:dyDescent="0.35">
      <c r="A2210" s="32">
        <v>2560</v>
      </c>
      <c r="B2210" s="32" t="s">
        <v>641</v>
      </c>
      <c r="C2210" s="32" t="s">
        <v>584</v>
      </c>
      <c r="D2210" s="30" t="s">
        <v>573</v>
      </c>
      <c r="E2210" s="30" t="s">
        <v>638</v>
      </c>
    </row>
    <row r="2211" spans="1:5" x14ac:dyDescent="0.35">
      <c r="A2211" s="32">
        <v>2561</v>
      </c>
      <c r="B2211" s="32" t="s">
        <v>634</v>
      </c>
      <c r="C2211" s="32" t="s">
        <v>584</v>
      </c>
      <c r="D2211" s="30" t="s">
        <v>573</v>
      </c>
      <c r="E2211" s="30" t="s">
        <v>638</v>
      </c>
    </row>
    <row r="2212" spans="1:5" x14ac:dyDescent="0.35">
      <c r="A2212" s="32">
        <v>2562</v>
      </c>
      <c r="B2212" s="32" t="s">
        <v>571</v>
      </c>
      <c r="C2212" s="32" t="s">
        <v>584</v>
      </c>
      <c r="D2212" s="30" t="s">
        <v>573</v>
      </c>
      <c r="E2212" s="30" t="s">
        <v>638</v>
      </c>
    </row>
    <row r="2213" spans="1:5" x14ac:dyDescent="0.35">
      <c r="A2213" s="32">
        <v>2563</v>
      </c>
      <c r="B2213" s="32" t="s">
        <v>610</v>
      </c>
      <c r="C2213" s="32" t="s">
        <v>580</v>
      </c>
      <c r="D2213" s="30" t="s">
        <v>573</v>
      </c>
      <c r="E2213" s="30" t="s">
        <v>637</v>
      </c>
    </row>
    <row r="2214" spans="1:5" x14ac:dyDescent="0.35">
      <c r="A2214" s="32">
        <v>2564</v>
      </c>
      <c r="B2214" s="32" t="s">
        <v>571</v>
      </c>
      <c r="C2214" s="32" t="s">
        <v>648</v>
      </c>
      <c r="D2214" s="30" t="s">
        <v>681</v>
      </c>
      <c r="E2214" s="30" t="s">
        <v>682</v>
      </c>
    </row>
    <row r="2215" spans="1:5" x14ac:dyDescent="0.35">
      <c r="A2215" s="32">
        <v>2565</v>
      </c>
      <c r="B2215" s="32" t="s">
        <v>641</v>
      </c>
      <c r="C2215" s="32" t="s">
        <v>648</v>
      </c>
      <c r="D2215" s="30" t="s">
        <v>681</v>
      </c>
      <c r="E2215" s="30" t="s">
        <v>682</v>
      </c>
    </row>
    <row r="2216" spans="1:5" x14ac:dyDescent="0.35">
      <c r="A2216" s="32">
        <v>2566</v>
      </c>
      <c r="B2216" s="32" t="s">
        <v>611</v>
      </c>
      <c r="C2216" s="32" t="s">
        <v>584</v>
      </c>
      <c r="D2216" s="30" t="s">
        <v>573</v>
      </c>
      <c r="E2216" s="30" t="s">
        <v>638</v>
      </c>
    </row>
    <row r="2217" spans="1:5" x14ac:dyDescent="0.35">
      <c r="A2217" s="32">
        <v>2567</v>
      </c>
      <c r="B2217" s="32" t="s">
        <v>611</v>
      </c>
      <c r="C2217" s="32" t="s">
        <v>648</v>
      </c>
      <c r="D2217" s="30" t="s">
        <v>621</v>
      </c>
      <c r="E2217" s="30" t="s">
        <v>669</v>
      </c>
    </row>
    <row r="2218" spans="1:5" x14ac:dyDescent="0.35">
      <c r="A2218" s="32">
        <v>2568</v>
      </c>
      <c r="B2218" s="32" t="s">
        <v>611</v>
      </c>
      <c r="C2218" s="32" t="s">
        <v>605</v>
      </c>
      <c r="D2218" s="30" t="s">
        <v>621</v>
      </c>
      <c r="E2218" s="30" t="s">
        <v>669</v>
      </c>
    </row>
    <row r="2219" spans="1:5" x14ac:dyDescent="0.35">
      <c r="A2219" s="32">
        <v>2569</v>
      </c>
      <c r="B2219" s="32" t="s">
        <v>611</v>
      </c>
      <c r="C2219" s="32" t="s">
        <v>648</v>
      </c>
      <c r="D2219" s="30" t="s">
        <v>621</v>
      </c>
      <c r="E2219" s="30" t="s">
        <v>669</v>
      </c>
    </row>
    <row r="2220" spans="1:5" x14ac:dyDescent="0.35">
      <c r="A2220" s="32">
        <v>2570</v>
      </c>
      <c r="B2220" s="32" t="s">
        <v>611</v>
      </c>
      <c r="C2220" s="32" t="s">
        <v>648</v>
      </c>
      <c r="D2220" s="30" t="s">
        <v>621</v>
      </c>
      <c r="E2220" s="30" t="s">
        <v>669</v>
      </c>
    </row>
    <row r="2221" spans="1:5" x14ac:dyDescent="0.35">
      <c r="A2221" s="32">
        <v>2571</v>
      </c>
      <c r="B2221" s="32" t="s">
        <v>611</v>
      </c>
      <c r="C2221" s="32" t="s">
        <v>605</v>
      </c>
      <c r="D2221" s="30" t="s">
        <v>621</v>
      </c>
      <c r="E2221" s="30" t="s">
        <v>669</v>
      </c>
    </row>
    <row r="2222" spans="1:5" x14ac:dyDescent="0.35">
      <c r="A2222" s="32">
        <v>2572</v>
      </c>
      <c r="B2222" s="32" t="s">
        <v>611</v>
      </c>
      <c r="C2222" s="32" t="s">
        <v>648</v>
      </c>
      <c r="D2222" s="30" t="s">
        <v>621</v>
      </c>
      <c r="E2222" s="30" t="s">
        <v>669</v>
      </c>
    </row>
    <row r="2223" spans="1:5" x14ac:dyDescent="0.35">
      <c r="A2223" s="32">
        <v>2573</v>
      </c>
      <c r="B2223" s="32" t="s">
        <v>611</v>
      </c>
      <c r="C2223" s="32" t="s">
        <v>648</v>
      </c>
      <c r="D2223" s="30" t="s">
        <v>621</v>
      </c>
      <c r="E2223" s="30" t="s">
        <v>669</v>
      </c>
    </row>
    <row r="2224" spans="1:5" x14ac:dyDescent="0.35">
      <c r="A2224" s="32">
        <v>2574</v>
      </c>
      <c r="B2224" s="32" t="s">
        <v>611</v>
      </c>
      <c r="C2224" s="32" t="s">
        <v>605</v>
      </c>
      <c r="D2224" s="30" t="s">
        <v>621</v>
      </c>
      <c r="E2224" s="30" t="s">
        <v>669</v>
      </c>
    </row>
    <row r="2225" spans="1:5" x14ac:dyDescent="0.35">
      <c r="A2225" s="32">
        <v>2575</v>
      </c>
      <c r="B2225" s="32" t="s">
        <v>611</v>
      </c>
      <c r="C2225" s="32" t="s">
        <v>648</v>
      </c>
      <c r="D2225" s="30" t="s">
        <v>621</v>
      </c>
      <c r="E2225" s="30" t="s">
        <v>669</v>
      </c>
    </row>
    <row r="2226" spans="1:5" x14ac:dyDescent="0.35">
      <c r="A2226" s="32">
        <v>2576</v>
      </c>
      <c r="B2226" s="32" t="s">
        <v>611</v>
      </c>
      <c r="C2226" s="32" t="s">
        <v>648</v>
      </c>
      <c r="D2226" s="30" t="s">
        <v>621</v>
      </c>
      <c r="E2226" s="30" t="s">
        <v>669</v>
      </c>
    </row>
    <row r="2227" spans="1:5" x14ac:dyDescent="0.35">
      <c r="A2227" s="32">
        <v>2577</v>
      </c>
      <c r="B2227" s="32" t="s">
        <v>611</v>
      </c>
      <c r="C2227" s="32" t="s">
        <v>605</v>
      </c>
      <c r="D2227" s="30" t="s">
        <v>621</v>
      </c>
      <c r="E2227" s="30" t="s">
        <v>669</v>
      </c>
    </row>
    <row r="2228" spans="1:5" x14ac:dyDescent="0.35">
      <c r="A2228" s="32">
        <v>2578</v>
      </c>
      <c r="B2228" s="32" t="s">
        <v>611</v>
      </c>
      <c r="C2228" s="32" t="s">
        <v>648</v>
      </c>
      <c r="D2228" s="30" t="s">
        <v>621</v>
      </c>
      <c r="E2228" s="30" t="s">
        <v>669</v>
      </c>
    </row>
    <row r="2229" spans="1:5" x14ac:dyDescent="0.35">
      <c r="A2229" s="32">
        <v>2579</v>
      </c>
      <c r="B2229" s="32" t="s">
        <v>611</v>
      </c>
      <c r="C2229" s="32" t="s">
        <v>648</v>
      </c>
      <c r="D2229" s="30" t="s">
        <v>621</v>
      </c>
      <c r="E2229" s="30" t="s">
        <v>669</v>
      </c>
    </row>
    <row r="2230" spans="1:5" x14ac:dyDescent="0.35">
      <c r="A2230" s="32">
        <v>2580</v>
      </c>
      <c r="B2230" s="32" t="s">
        <v>611</v>
      </c>
      <c r="C2230" s="32" t="s">
        <v>605</v>
      </c>
      <c r="D2230" s="30" t="s">
        <v>621</v>
      </c>
      <c r="E2230" s="30" t="s">
        <v>669</v>
      </c>
    </row>
    <row r="2231" spans="1:5" x14ac:dyDescent="0.35">
      <c r="A2231" s="32">
        <v>2581</v>
      </c>
      <c r="B2231" s="32" t="s">
        <v>611</v>
      </c>
      <c r="C2231" s="32" t="s">
        <v>648</v>
      </c>
      <c r="D2231" s="30" t="s">
        <v>621</v>
      </c>
      <c r="E2231" s="30" t="s">
        <v>669</v>
      </c>
    </row>
    <row r="2232" spans="1:5" x14ac:dyDescent="0.35">
      <c r="A2232" s="32">
        <v>2582</v>
      </c>
      <c r="B2232" s="32" t="s">
        <v>611</v>
      </c>
      <c r="C2232" s="32" t="s">
        <v>648</v>
      </c>
      <c r="D2232" s="30" t="s">
        <v>621</v>
      </c>
      <c r="E2232" s="30" t="s">
        <v>669</v>
      </c>
    </row>
    <row r="2233" spans="1:5" x14ac:dyDescent="0.35">
      <c r="A2233" s="32">
        <v>2583</v>
      </c>
      <c r="B2233" s="32" t="s">
        <v>611</v>
      </c>
      <c r="C2233" s="32" t="s">
        <v>605</v>
      </c>
      <c r="D2233" s="30" t="s">
        <v>621</v>
      </c>
      <c r="E2233" s="30" t="s">
        <v>669</v>
      </c>
    </row>
    <row r="2234" spans="1:5" x14ac:dyDescent="0.35">
      <c r="A2234" s="32">
        <v>2584</v>
      </c>
      <c r="B2234" s="32" t="s">
        <v>611</v>
      </c>
      <c r="C2234" s="32" t="s">
        <v>648</v>
      </c>
      <c r="D2234" s="30" t="s">
        <v>621</v>
      </c>
      <c r="E2234" s="30" t="s">
        <v>669</v>
      </c>
    </row>
    <row r="2235" spans="1:5" x14ac:dyDescent="0.35">
      <c r="A2235" s="32">
        <v>2585</v>
      </c>
      <c r="B2235" s="32" t="s">
        <v>634</v>
      </c>
      <c r="C2235" s="32" t="s">
        <v>648</v>
      </c>
      <c r="D2235" s="30" t="s">
        <v>663</v>
      </c>
      <c r="E2235" s="30" t="s">
        <v>664</v>
      </c>
    </row>
    <row r="2236" spans="1:5" x14ac:dyDescent="0.35">
      <c r="A2236" s="32">
        <v>2586</v>
      </c>
      <c r="B2236" s="32" t="s">
        <v>634</v>
      </c>
      <c r="C2236" s="32" t="s">
        <v>648</v>
      </c>
      <c r="D2236" s="30" t="s">
        <v>663</v>
      </c>
      <c r="E2236" s="30" t="s">
        <v>664</v>
      </c>
    </row>
    <row r="2237" spans="1:5" x14ac:dyDescent="0.35">
      <c r="A2237" s="32">
        <v>2587</v>
      </c>
      <c r="B2237" s="32" t="s">
        <v>611</v>
      </c>
      <c r="C2237" s="32" t="s">
        <v>624</v>
      </c>
      <c r="D2237" s="30" t="s">
        <v>656</v>
      </c>
      <c r="E2237" s="30" t="s">
        <v>675</v>
      </c>
    </row>
    <row r="2238" spans="1:5" x14ac:dyDescent="0.35">
      <c r="A2238" s="32">
        <v>2588</v>
      </c>
      <c r="B2238" s="32" t="s">
        <v>611</v>
      </c>
      <c r="C2238" s="32" t="s">
        <v>624</v>
      </c>
      <c r="D2238" s="30" t="s">
        <v>656</v>
      </c>
      <c r="E2238" s="30" t="s">
        <v>675</v>
      </c>
    </row>
    <row r="2239" spans="1:5" x14ac:dyDescent="0.35">
      <c r="A2239" s="32">
        <v>2589</v>
      </c>
      <c r="B2239" s="32" t="s">
        <v>611</v>
      </c>
      <c r="C2239" s="32" t="s">
        <v>624</v>
      </c>
      <c r="D2239" s="30" t="s">
        <v>656</v>
      </c>
      <c r="E2239" s="30" t="s">
        <v>675</v>
      </c>
    </row>
    <row r="2240" spans="1:5" x14ac:dyDescent="0.35">
      <c r="A2240" s="32">
        <v>2590</v>
      </c>
      <c r="B2240" s="32" t="s">
        <v>611</v>
      </c>
      <c r="C2240" s="32" t="s">
        <v>605</v>
      </c>
      <c r="D2240" s="30" t="s">
        <v>656</v>
      </c>
      <c r="E2240" s="30" t="s">
        <v>675</v>
      </c>
    </row>
    <row r="2241" spans="1:5" x14ac:dyDescent="0.35">
      <c r="A2241" s="32">
        <v>2591</v>
      </c>
      <c r="B2241" s="32" t="s">
        <v>611</v>
      </c>
      <c r="C2241" s="32" t="s">
        <v>624</v>
      </c>
      <c r="D2241" s="30" t="s">
        <v>656</v>
      </c>
      <c r="E2241" s="30" t="s">
        <v>675</v>
      </c>
    </row>
    <row r="2242" spans="1:5" x14ac:dyDescent="0.35">
      <c r="A2242" s="32">
        <v>2592</v>
      </c>
      <c r="B2242" s="32" t="s">
        <v>611</v>
      </c>
      <c r="C2242" s="32" t="s">
        <v>624</v>
      </c>
      <c r="D2242" s="30" t="s">
        <v>656</v>
      </c>
      <c r="E2242" s="30" t="s">
        <v>675</v>
      </c>
    </row>
    <row r="2243" spans="1:5" x14ac:dyDescent="0.35">
      <c r="A2243" s="32">
        <v>2593</v>
      </c>
      <c r="B2243" s="32" t="s">
        <v>611</v>
      </c>
      <c r="C2243" s="32" t="s">
        <v>605</v>
      </c>
      <c r="D2243" s="30" t="s">
        <v>656</v>
      </c>
      <c r="E2243" s="30" t="s">
        <v>675</v>
      </c>
    </row>
    <row r="2244" spans="1:5" x14ac:dyDescent="0.35">
      <c r="A2244" s="32">
        <v>2594</v>
      </c>
      <c r="B2244" s="32" t="s">
        <v>611</v>
      </c>
      <c r="C2244" s="32" t="s">
        <v>584</v>
      </c>
      <c r="D2244" s="30" t="s">
        <v>656</v>
      </c>
      <c r="E2244" s="30" t="s">
        <v>675</v>
      </c>
    </row>
    <row r="2245" spans="1:5" x14ac:dyDescent="0.35">
      <c r="A2245" s="32">
        <v>2595</v>
      </c>
      <c r="B2245" s="32" t="s">
        <v>610</v>
      </c>
      <c r="C2245" s="32" t="s">
        <v>662</v>
      </c>
      <c r="D2245" s="30" t="s">
        <v>663</v>
      </c>
      <c r="E2245" s="30" t="s">
        <v>683</v>
      </c>
    </row>
    <row r="2246" spans="1:5" x14ac:dyDescent="0.35">
      <c r="A2246" s="32">
        <v>2596</v>
      </c>
      <c r="B2246" s="32" t="s">
        <v>610</v>
      </c>
      <c r="C2246" s="32" t="s">
        <v>584</v>
      </c>
      <c r="D2246" s="30" t="s">
        <v>639</v>
      </c>
      <c r="E2246" s="30" t="s">
        <v>646</v>
      </c>
    </row>
    <row r="2247" spans="1:5" x14ac:dyDescent="0.35">
      <c r="A2247" s="32">
        <v>2597</v>
      </c>
      <c r="B2247" s="32" t="s">
        <v>610</v>
      </c>
      <c r="C2247" s="32" t="s">
        <v>584</v>
      </c>
      <c r="D2247" s="30" t="s">
        <v>573</v>
      </c>
      <c r="E2247" s="30" t="s">
        <v>638</v>
      </c>
    </row>
    <row r="2248" spans="1:5" x14ac:dyDescent="0.35">
      <c r="A2248" s="32">
        <v>2598</v>
      </c>
      <c r="B2248" s="32" t="s">
        <v>571</v>
      </c>
      <c r="C2248" s="32" t="s">
        <v>648</v>
      </c>
      <c r="D2248" s="30" t="s">
        <v>656</v>
      </c>
      <c r="E2248" s="30" t="s">
        <v>661</v>
      </c>
    </row>
    <row r="2249" spans="1:5" x14ac:dyDescent="0.35">
      <c r="A2249" s="32">
        <v>2599</v>
      </c>
      <c r="B2249" s="32" t="s">
        <v>642</v>
      </c>
      <c r="C2249" s="32" t="s">
        <v>624</v>
      </c>
      <c r="D2249" s="30" t="s">
        <v>656</v>
      </c>
      <c r="E2249" s="30" t="s">
        <v>661</v>
      </c>
    </row>
    <row r="2250" spans="1:5" x14ac:dyDescent="0.35">
      <c r="A2250" s="32">
        <v>2600</v>
      </c>
      <c r="B2250" s="32" t="s">
        <v>610</v>
      </c>
      <c r="C2250" s="32" t="s">
        <v>648</v>
      </c>
      <c r="D2250" s="30" t="s">
        <v>612</v>
      </c>
      <c r="E2250" s="30" t="s">
        <v>613</v>
      </c>
    </row>
    <row r="2251" spans="1:5" x14ac:dyDescent="0.35">
      <c r="A2251" s="32">
        <v>2601</v>
      </c>
      <c r="B2251" s="32" t="s">
        <v>634</v>
      </c>
      <c r="C2251" s="32" t="s">
        <v>605</v>
      </c>
      <c r="D2251" s="30" t="s">
        <v>573</v>
      </c>
      <c r="E2251" s="30" t="s">
        <v>574</v>
      </c>
    </row>
    <row r="2252" spans="1:5" x14ac:dyDescent="0.35">
      <c r="A2252" s="32">
        <v>2602</v>
      </c>
      <c r="B2252" s="32" t="s">
        <v>634</v>
      </c>
      <c r="C2252" s="32" t="s">
        <v>648</v>
      </c>
      <c r="D2252" s="30" t="s">
        <v>573</v>
      </c>
      <c r="E2252" s="30" t="s">
        <v>574</v>
      </c>
    </row>
    <row r="2253" spans="1:5" x14ac:dyDescent="0.35">
      <c r="A2253" s="32">
        <v>2603</v>
      </c>
      <c r="B2253" s="32" t="s">
        <v>634</v>
      </c>
      <c r="C2253" s="32" t="s">
        <v>648</v>
      </c>
      <c r="D2253" s="30" t="s">
        <v>573</v>
      </c>
      <c r="E2253" s="30" t="s">
        <v>574</v>
      </c>
    </row>
    <row r="2254" spans="1:5" x14ac:dyDescent="0.35">
      <c r="A2254" s="32">
        <v>2604</v>
      </c>
      <c r="B2254" s="32" t="s">
        <v>634</v>
      </c>
      <c r="C2254" s="32" t="s">
        <v>605</v>
      </c>
      <c r="D2254" s="30" t="s">
        <v>573</v>
      </c>
      <c r="E2254" s="30" t="s">
        <v>574</v>
      </c>
    </row>
    <row r="2255" spans="1:5" x14ac:dyDescent="0.35">
      <c r="A2255" s="32">
        <v>2605</v>
      </c>
      <c r="B2255" s="32" t="s">
        <v>634</v>
      </c>
      <c r="C2255" s="32" t="s">
        <v>648</v>
      </c>
      <c r="D2255" s="30" t="s">
        <v>573</v>
      </c>
      <c r="E2255" s="30" t="s">
        <v>574</v>
      </c>
    </row>
    <row r="2256" spans="1:5" x14ac:dyDescent="0.35">
      <c r="A2256" s="32">
        <v>2606</v>
      </c>
      <c r="B2256" s="32" t="s">
        <v>634</v>
      </c>
      <c r="C2256" s="32" t="s">
        <v>617</v>
      </c>
      <c r="D2256" s="30" t="s">
        <v>573</v>
      </c>
      <c r="E2256" s="30" t="s">
        <v>574</v>
      </c>
    </row>
    <row r="2257" spans="1:5" x14ac:dyDescent="0.35">
      <c r="A2257" s="32">
        <v>2607</v>
      </c>
      <c r="B2257" s="32" t="s">
        <v>611</v>
      </c>
      <c r="C2257" s="32" t="s">
        <v>580</v>
      </c>
      <c r="D2257" s="30" t="s">
        <v>659</v>
      </c>
      <c r="E2257" s="30" t="s">
        <v>660</v>
      </c>
    </row>
    <row r="2258" spans="1:5" x14ac:dyDescent="0.35">
      <c r="A2258" s="32">
        <v>2608</v>
      </c>
      <c r="B2258" s="32" t="s">
        <v>611</v>
      </c>
      <c r="C2258" s="32" t="s">
        <v>580</v>
      </c>
      <c r="D2258" s="30" t="s">
        <v>659</v>
      </c>
      <c r="E2258" s="30" t="s">
        <v>660</v>
      </c>
    </row>
    <row r="2259" spans="1:5" x14ac:dyDescent="0.35">
      <c r="A2259" s="32">
        <v>2609</v>
      </c>
      <c r="B2259" s="32" t="s">
        <v>634</v>
      </c>
      <c r="C2259" s="32" t="s">
        <v>580</v>
      </c>
      <c r="D2259" s="30" t="s">
        <v>659</v>
      </c>
      <c r="E2259" s="30" t="s">
        <v>660</v>
      </c>
    </row>
    <row r="2260" spans="1:5" x14ac:dyDescent="0.35">
      <c r="A2260" s="32">
        <v>2610</v>
      </c>
      <c r="B2260" s="32" t="s">
        <v>571</v>
      </c>
      <c r="C2260" s="32" t="s">
        <v>580</v>
      </c>
      <c r="D2260" s="30" t="s">
        <v>659</v>
      </c>
      <c r="E2260" s="30" t="s">
        <v>660</v>
      </c>
    </row>
    <row r="2261" spans="1:5" x14ac:dyDescent="0.35">
      <c r="A2261" s="32">
        <v>2611</v>
      </c>
      <c r="B2261" s="32" t="s">
        <v>571</v>
      </c>
      <c r="C2261" s="32" t="s">
        <v>580</v>
      </c>
      <c r="D2261" s="30" t="s">
        <v>659</v>
      </c>
      <c r="E2261" s="30" t="s">
        <v>660</v>
      </c>
    </row>
    <row r="2262" spans="1:5" x14ac:dyDescent="0.35">
      <c r="A2262" s="32">
        <v>2612</v>
      </c>
      <c r="B2262" s="32" t="s">
        <v>571</v>
      </c>
      <c r="C2262" s="32" t="s">
        <v>580</v>
      </c>
      <c r="D2262" s="30" t="s">
        <v>659</v>
      </c>
      <c r="E2262" s="30" t="s">
        <v>660</v>
      </c>
    </row>
    <row r="2263" spans="1:5" x14ac:dyDescent="0.35">
      <c r="A2263" s="32">
        <v>2613</v>
      </c>
      <c r="B2263" s="32" t="s">
        <v>571</v>
      </c>
      <c r="C2263" s="32" t="s">
        <v>580</v>
      </c>
      <c r="D2263" s="30" t="s">
        <v>659</v>
      </c>
      <c r="E2263" s="30" t="s">
        <v>660</v>
      </c>
    </row>
    <row r="2264" spans="1:5" x14ac:dyDescent="0.35">
      <c r="A2264" s="32">
        <v>2614</v>
      </c>
      <c r="B2264" s="32" t="s">
        <v>571</v>
      </c>
      <c r="C2264" s="32" t="s">
        <v>580</v>
      </c>
      <c r="D2264" s="30" t="s">
        <v>659</v>
      </c>
      <c r="E2264" s="30" t="s">
        <v>660</v>
      </c>
    </row>
    <row r="2265" spans="1:5" x14ac:dyDescent="0.35">
      <c r="A2265" s="32">
        <v>2615</v>
      </c>
      <c r="B2265" s="32" t="s">
        <v>571</v>
      </c>
      <c r="C2265" s="32" t="s">
        <v>580</v>
      </c>
      <c r="D2265" s="30" t="s">
        <v>659</v>
      </c>
      <c r="E2265" s="30" t="s">
        <v>660</v>
      </c>
    </row>
    <row r="2266" spans="1:5" x14ac:dyDescent="0.35">
      <c r="A2266" s="32">
        <v>2616</v>
      </c>
      <c r="B2266" s="32" t="s">
        <v>610</v>
      </c>
      <c r="C2266" s="32" t="s">
        <v>580</v>
      </c>
      <c r="D2266" s="30" t="s">
        <v>659</v>
      </c>
      <c r="E2266" s="30" t="s">
        <v>660</v>
      </c>
    </row>
    <row r="2267" spans="1:5" x14ac:dyDescent="0.35">
      <c r="A2267" s="32">
        <v>2617</v>
      </c>
      <c r="B2267" s="32" t="s">
        <v>610</v>
      </c>
      <c r="C2267" s="32" t="s">
        <v>584</v>
      </c>
      <c r="D2267" s="30" t="s">
        <v>639</v>
      </c>
      <c r="E2267" s="30" t="s">
        <v>654</v>
      </c>
    </row>
    <row r="2268" spans="1:5" x14ac:dyDescent="0.35">
      <c r="A2268" s="32">
        <v>2618</v>
      </c>
      <c r="B2268" s="32" t="s">
        <v>610</v>
      </c>
      <c r="C2268" s="32" t="s">
        <v>584</v>
      </c>
      <c r="D2268" s="30" t="s">
        <v>639</v>
      </c>
      <c r="E2268" s="30" t="s">
        <v>654</v>
      </c>
    </row>
    <row r="2269" spans="1:5" x14ac:dyDescent="0.35">
      <c r="A2269" s="32">
        <v>2619</v>
      </c>
      <c r="B2269" s="32" t="s">
        <v>610</v>
      </c>
      <c r="C2269" s="32" t="s">
        <v>584</v>
      </c>
      <c r="D2269" s="30" t="s">
        <v>639</v>
      </c>
      <c r="E2269" s="30" t="s">
        <v>654</v>
      </c>
    </row>
    <row r="2270" spans="1:5" x14ac:dyDescent="0.35">
      <c r="A2270" s="32">
        <v>2620</v>
      </c>
      <c r="B2270" s="32" t="s">
        <v>610</v>
      </c>
      <c r="C2270" s="32" t="s">
        <v>584</v>
      </c>
      <c r="D2270" s="30" t="s">
        <v>656</v>
      </c>
      <c r="E2270" s="30" t="s">
        <v>675</v>
      </c>
    </row>
    <row r="2271" spans="1:5" x14ac:dyDescent="0.35">
      <c r="A2271" s="32">
        <v>2621</v>
      </c>
      <c r="B2271" s="32" t="s">
        <v>571</v>
      </c>
      <c r="C2271" s="32" t="s">
        <v>648</v>
      </c>
      <c r="D2271" s="30" t="s">
        <v>599</v>
      </c>
      <c r="E2271" s="30" t="s">
        <v>629</v>
      </c>
    </row>
    <row r="2272" spans="1:5" x14ac:dyDescent="0.35">
      <c r="A2272" s="32">
        <v>2622</v>
      </c>
      <c r="B2272" s="32" t="s">
        <v>571</v>
      </c>
      <c r="C2272" s="32" t="s">
        <v>648</v>
      </c>
      <c r="D2272" s="30" t="s">
        <v>599</v>
      </c>
      <c r="E2272" s="30" t="s">
        <v>629</v>
      </c>
    </row>
    <row r="2273" spans="1:5" x14ac:dyDescent="0.35">
      <c r="A2273" s="32">
        <v>2623</v>
      </c>
      <c r="B2273" s="32" t="s">
        <v>571</v>
      </c>
      <c r="C2273" s="32" t="s">
        <v>648</v>
      </c>
      <c r="D2273" s="30" t="s">
        <v>599</v>
      </c>
      <c r="E2273" s="30" t="s">
        <v>629</v>
      </c>
    </row>
    <row r="2274" spans="1:5" x14ac:dyDescent="0.35">
      <c r="A2274" s="32">
        <v>2624</v>
      </c>
      <c r="B2274" s="32" t="s">
        <v>571</v>
      </c>
      <c r="C2274" s="32" t="s">
        <v>648</v>
      </c>
      <c r="D2274" s="30" t="s">
        <v>599</v>
      </c>
      <c r="E2274" s="30" t="s">
        <v>629</v>
      </c>
    </row>
    <row r="2275" spans="1:5" x14ac:dyDescent="0.35">
      <c r="A2275" s="32">
        <v>2625</v>
      </c>
      <c r="B2275" s="32" t="s">
        <v>571</v>
      </c>
      <c r="C2275" s="32" t="s">
        <v>648</v>
      </c>
      <c r="D2275" s="30" t="s">
        <v>599</v>
      </c>
      <c r="E2275" s="30" t="s">
        <v>629</v>
      </c>
    </row>
    <row r="2276" spans="1:5" x14ac:dyDescent="0.35">
      <c r="A2276" s="32">
        <v>2626</v>
      </c>
      <c r="B2276" s="32" t="s">
        <v>571</v>
      </c>
      <c r="C2276" s="32" t="s">
        <v>648</v>
      </c>
      <c r="D2276" s="30" t="s">
        <v>599</v>
      </c>
      <c r="E2276" s="30" t="s">
        <v>629</v>
      </c>
    </row>
    <row r="2277" spans="1:5" x14ac:dyDescent="0.35">
      <c r="A2277" s="32">
        <v>2627</v>
      </c>
      <c r="B2277" s="32" t="s">
        <v>571</v>
      </c>
      <c r="C2277" s="32" t="s">
        <v>648</v>
      </c>
      <c r="D2277" s="30" t="s">
        <v>599</v>
      </c>
      <c r="E2277" s="30" t="s">
        <v>629</v>
      </c>
    </row>
    <row r="2278" spans="1:5" x14ac:dyDescent="0.35">
      <c r="A2278" s="32">
        <v>2628</v>
      </c>
      <c r="B2278" s="32" t="s">
        <v>571</v>
      </c>
      <c r="C2278" s="32" t="s">
        <v>648</v>
      </c>
      <c r="D2278" s="30" t="s">
        <v>599</v>
      </c>
      <c r="E2278" s="30" t="s">
        <v>629</v>
      </c>
    </row>
    <row r="2279" spans="1:5" x14ac:dyDescent="0.35">
      <c r="A2279" s="32">
        <v>2629</v>
      </c>
      <c r="B2279" s="32" t="s">
        <v>571</v>
      </c>
      <c r="C2279" s="32" t="s">
        <v>648</v>
      </c>
      <c r="D2279" s="30" t="s">
        <v>599</v>
      </c>
      <c r="E2279" s="30" t="s">
        <v>629</v>
      </c>
    </row>
    <row r="2280" spans="1:5" x14ac:dyDescent="0.35">
      <c r="A2280" s="32">
        <v>2630</v>
      </c>
      <c r="B2280" s="32" t="s">
        <v>571</v>
      </c>
      <c r="C2280" s="32" t="s">
        <v>648</v>
      </c>
      <c r="D2280" s="30" t="s">
        <v>599</v>
      </c>
      <c r="E2280" s="30" t="s">
        <v>629</v>
      </c>
    </row>
    <row r="2281" spans="1:5" x14ac:dyDescent="0.35">
      <c r="A2281" s="32">
        <v>2631</v>
      </c>
      <c r="B2281" s="32" t="s">
        <v>571</v>
      </c>
      <c r="C2281" s="32" t="s">
        <v>648</v>
      </c>
      <c r="D2281" s="30" t="s">
        <v>599</v>
      </c>
      <c r="E2281" s="30" t="s">
        <v>629</v>
      </c>
    </row>
    <row r="2282" spans="1:5" x14ac:dyDescent="0.35">
      <c r="A2282" s="32">
        <v>2632</v>
      </c>
      <c r="B2282" s="32" t="s">
        <v>571</v>
      </c>
      <c r="C2282" s="32" t="s">
        <v>648</v>
      </c>
      <c r="D2282" s="30" t="s">
        <v>599</v>
      </c>
      <c r="E2282" s="30" t="s">
        <v>629</v>
      </c>
    </row>
    <row r="2283" spans="1:5" x14ac:dyDescent="0.35">
      <c r="A2283" s="32">
        <v>2633</v>
      </c>
      <c r="B2283" s="32" t="s">
        <v>634</v>
      </c>
      <c r="C2283" s="32" t="s">
        <v>648</v>
      </c>
      <c r="D2283" s="30" t="s">
        <v>599</v>
      </c>
      <c r="E2283" s="30" t="s">
        <v>629</v>
      </c>
    </row>
    <row r="2284" spans="1:5" x14ac:dyDescent="0.35">
      <c r="A2284" s="32">
        <v>2634</v>
      </c>
      <c r="B2284" s="32" t="s">
        <v>571</v>
      </c>
      <c r="C2284" s="32" t="s">
        <v>648</v>
      </c>
      <c r="D2284" s="30" t="s">
        <v>599</v>
      </c>
      <c r="E2284" s="30" t="s">
        <v>629</v>
      </c>
    </row>
    <row r="2285" spans="1:5" x14ac:dyDescent="0.35">
      <c r="A2285" s="32">
        <v>2635</v>
      </c>
      <c r="B2285" s="32" t="s">
        <v>571</v>
      </c>
      <c r="C2285" s="32" t="s">
        <v>648</v>
      </c>
      <c r="D2285" s="30" t="s">
        <v>599</v>
      </c>
      <c r="E2285" s="30" t="s">
        <v>629</v>
      </c>
    </row>
    <row r="2286" spans="1:5" x14ac:dyDescent="0.35">
      <c r="A2286" s="32">
        <v>2636</v>
      </c>
      <c r="B2286" s="32" t="s">
        <v>634</v>
      </c>
      <c r="C2286" s="32" t="s">
        <v>605</v>
      </c>
      <c r="D2286" s="30" t="s">
        <v>635</v>
      </c>
      <c r="E2286" s="30" t="s">
        <v>671</v>
      </c>
    </row>
    <row r="2287" spans="1:5" x14ac:dyDescent="0.35">
      <c r="A2287" s="32">
        <v>2637</v>
      </c>
      <c r="B2287" s="32" t="s">
        <v>634</v>
      </c>
      <c r="C2287" s="32" t="s">
        <v>605</v>
      </c>
      <c r="D2287" s="30" t="s">
        <v>635</v>
      </c>
      <c r="E2287" s="30" t="s">
        <v>671</v>
      </c>
    </row>
    <row r="2288" spans="1:5" x14ac:dyDescent="0.35">
      <c r="A2288" s="32">
        <v>2638</v>
      </c>
      <c r="B2288" s="32" t="s">
        <v>634</v>
      </c>
      <c r="C2288" s="32" t="s">
        <v>605</v>
      </c>
      <c r="D2288" s="30" t="s">
        <v>635</v>
      </c>
      <c r="E2288" s="30" t="s">
        <v>671</v>
      </c>
    </row>
    <row r="2289" spans="1:5" x14ac:dyDescent="0.35">
      <c r="A2289" s="32">
        <v>2639</v>
      </c>
      <c r="B2289" s="32" t="s">
        <v>571</v>
      </c>
      <c r="C2289" s="32" t="s">
        <v>619</v>
      </c>
      <c r="D2289" s="30" t="s">
        <v>663</v>
      </c>
      <c r="E2289" s="30" t="s">
        <v>664</v>
      </c>
    </row>
    <row r="2290" spans="1:5" x14ac:dyDescent="0.35">
      <c r="A2290" s="32">
        <v>2640</v>
      </c>
      <c r="B2290" s="32" t="s">
        <v>641</v>
      </c>
      <c r="C2290" s="32" t="s">
        <v>648</v>
      </c>
      <c r="D2290" s="30" t="s">
        <v>573</v>
      </c>
      <c r="E2290" s="30" t="s">
        <v>574</v>
      </c>
    </row>
    <row r="2291" spans="1:5" x14ac:dyDescent="0.35">
      <c r="A2291" s="32">
        <v>2641</v>
      </c>
      <c r="B2291" s="32" t="s">
        <v>641</v>
      </c>
      <c r="C2291" s="32" t="s">
        <v>580</v>
      </c>
      <c r="D2291" s="30" t="s">
        <v>573</v>
      </c>
      <c r="E2291" s="30" t="s">
        <v>574</v>
      </c>
    </row>
    <row r="2292" spans="1:5" x14ac:dyDescent="0.35">
      <c r="A2292" s="32">
        <v>2642</v>
      </c>
      <c r="B2292" s="32" t="s">
        <v>641</v>
      </c>
      <c r="C2292" s="32" t="s">
        <v>619</v>
      </c>
      <c r="D2292" s="30" t="s">
        <v>573</v>
      </c>
      <c r="E2292" s="30" t="s">
        <v>574</v>
      </c>
    </row>
    <row r="2293" spans="1:5" x14ac:dyDescent="0.35">
      <c r="A2293" s="32">
        <v>2643</v>
      </c>
      <c r="B2293" s="32" t="s">
        <v>571</v>
      </c>
      <c r="C2293" s="32" t="s">
        <v>648</v>
      </c>
      <c r="D2293" s="30" t="s">
        <v>573</v>
      </c>
      <c r="E2293" s="30" t="s">
        <v>574</v>
      </c>
    </row>
    <row r="2294" spans="1:5" x14ac:dyDescent="0.35">
      <c r="A2294" s="32">
        <v>2644</v>
      </c>
      <c r="B2294" s="32" t="s">
        <v>571</v>
      </c>
      <c r="C2294" s="32" t="s">
        <v>580</v>
      </c>
      <c r="D2294" s="30" t="s">
        <v>573</v>
      </c>
      <c r="E2294" s="30" t="s">
        <v>574</v>
      </c>
    </row>
    <row r="2295" spans="1:5" x14ac:dyDescent="0.35">
      <c r="A2295" s="32">
        <v>2645</v>
      </c>
      <c r="B2295" s="32" t="s">
        <v>571</v>
      </c>
      <c r="C2295" s="32" t="s">
        <v>619</v>
      </c>
      <c r="D2295" s="30" t="s">
        <v>573</v>
      </c>
      <c r="E2295" s="30" t="s">
        <v>574</v>
      </c>
    </row>
    <row r="2296" spans="1:5" x14ac:dyDescent="0.35">
      <c r="A2296" s="32">
        <v>2646</v>
      </c>
      <c r="B2296" s="32" t="s">
        <v>634</v>
      </c>
      <c r="C2296" s="32" t="s">
        <v>648</v>
      </c>
      <c r="D2296" s="30" t="s">
        <v>573</v>
      </c>
      <c r="E2296" s="30" t="s">
        <v>574</v>
      </c>
    </row>
    <row r="2297" spans="1:5" x14ac:dyDescent="0.35">
      <c r="A2297" s="32">
        <v>2647</v>
      </c>
      <c r="B2297" s="32" t="s">
        <v>634</v>
      </c>
      <c r="C2297" s="32" t="s">
        <v>580</v>
      </c>
      <c r="D2297" s="30" t="s">
        <v>573</v>
      </c>
      <c r="E2297" s="30" t="s">
        <v>574</v>
      </c>
    </row>
    <row r="2298" spans="1:5" x14ac:dyDescent="0.35">
      <c r="A2298" s="32">
        <v>2648</v>
      </c>
      <c r="B2298" s="32" t="s">
        <v>634</v>
      </c>
      <c r="C2298" s="32" t="s">
        <v>619</v>
      </c>
      <c r="D2298" s="30" t="s">
        <v>573</v>
      </c>
      <c r="E2298" s="30" t="s">
        <v>574</v>
      </c>
    </row>
    <row r="2299" spans="1:5" x14ac:dyDescent="0.35">
      <c r="A2299" s="32">
        <v>2655</v>
      </c>
      <c r="B2299" s="32" t="s">
        <v>571</v>
      </c>
      <c r="C2299" s="32" t="s">
        <v>605</v>
      </c>
      <c r="D2299" s="30" t="s">
        <v>659</v>
      </c>
      <c r="E2299" s="30" t="s">
        <v>660</v>
      </c>
    </row>
    <row r="2300" spans="1:5" x14ac:dyDescent="0.35">
      <c r="A2300" s="32">
        <v>2656</v>
      </c>
      <c r="B2300" s="32" t="s">
        <v>571</v>
      </c>
      <c r="C2300" s="32" t="s">
        <v>648</v>
      </c>
      <c r="D2300" s="30" t="s">
        <v>659</v>
      </c>
      <c r="E2300" s="30" t="s">
        <v>660</v>
      </c>
    </row>
    <row r="2301" spans="1:5" x14ac:dyDescent="0.35">
      <c r="A2301" s="32">
        <v>2657</v>
      </c>
      <c r="B2301" s="32" t="s">
        <v>571</v>
      </c>
      <c r="C2301" s="32" t="s">
        <v>648</v>
      </c>
      <c r="D2301" s="30" t="s">
        <v>659</v>
      </c>
      <c r="E2301" s="30" t="s">
        <v>660</v>
      </c>
    </row>
    <row r="2302" spans="1:5" x14ac:dyDescent="0.35">
      <c r="A2302" s="32">
        <v>2658</v>
      </c>
      <c r="B2302" s="32" t="s">
        <v>571</v>
      </c>
      <c r="C2302" s="32" t="s">
        <v>648</v>
      </c>
      <c r="D2302" s="30" t="s">
        <v>659</v>
      </c>
      <c r="E2302" s="30" t="s">
        <v>660</v>
      </c>
    </row>
    <row r="2303" spans="1:5" x14ac:dyDescent="0.35">
      <c r="A2303" s="32">
        <v>2659</v>
      </c>
      <c r="B2303" s="32" t="s">
        <v>571</v>
      </c>
      <c r="C2303" s="32" t="s">
        <v>648</v>
      </c>
      <c r="D2303" s="30" t="s">
        <v>659</v>
      </c>
      <c r="E2303" s="30" t="s">
        <v>660</v>
      </c>
    </row>
    <row r="2304" spans="1:5" x14ac:dyDescent="0.35">
      <c r="A2304" s="32">
        <v>2660</v>
      </c>
      <c r="B2304" s="32" t="s">
        <v>571</v>
      </c>
      <c r="C2304" s="32" t="s">
        <v>648</v>
      </c>
      <c r="D2304" s="30" t="s">
        <v>659</v>
      </c>
      <c r="E2304" s="30" t="s">
        <v>660</v>
      </c>
    </row>
    <row r="2305" spans="1:5" x14ac:dyDescent="0.35">
      <c r="A2305" s="32">
        <v>2661</v>
      </c>
      <c r="B2305" s="32" t="s">
        <v>571</v>
      </c>
      <c r="C2305" s="32" t="s">
        <v>648</v>
      </c>
      <c r="D2305" s="30" t="s">
        <v>659</v>
      </c>
      <c r="E2305" s="30" t="s">
        <v>660</v>
      </c>
    </row>
    <row r="2306" spans="1:5" x14ac:dyDescent="0.35">
      <c r="A2306" s="32">
        <v>2662</v>
      </c>
      <c r="B2306" s="32" t="s">
        <v>571</v>
      </c>
      <c r="C2306" s="32" t="s">
        <v>648</v>
      </c>
      <c r="D2306" s="30" t="s">
        <v>659</v>
      </c>
      <c r="E2306" s="30" t="s">
        <v>660</v>
      </c>
    </row>
    <row r="2307" spans="1:5" x14ac:dyDescent="0.35">
      <c r="A2307" s="32">
        <v>2663</v>
      </c>
      <c r="B2307" s="32" t="s">
        <v>571</v>
      </c>
      <c r="C2307" s="32" t="s">
        <v>648</v>
      </c>
      <c r="D2307" s="30" t="s">
        <v>659</v>
      </c>
      <c r="E2307" s="30" t="s">
        <v>660</v>
      </c>
    </row>
    <row r="2308" spans="1:5" x14ac:dyDescent="0.35">
      <c r="A2308" s="32">
        <v>2664</v>
      </c>
      <c r="B2308" s="32" t="s">
        <v>634</v>
      </c>
      <c r="C2308" s="32" t="s">
        <v>648</v>
      </c>
      <c r="D2308" s="30" t="s">
        <v>659</v>
      </c>
      <c r="E2308" s="30" t="s">
        <v>660</v>
      </c>
    </row>
    <row r="2309" spans="1:5" x14ac:dyDescent="0.35">
      <c r="A2309" s="32">
        <v>2665</v>
      </c>
      <c r="B2309" s="32" t="s">
        <v>634</v>
      </c>
      <c r="C2309" s="32" t="s">
        <v>648</v>
      </c>
      <c r="D2309" s="30" t="s">
        <v>659</v>
      </c>
      <c r="E2309" s="30" t="s">
        <v>660</v>
      </c>
    </row>
    <row r="2310" spans="1:5" x14ac:dyDescent="0.35">
      <c r="A2310" s="32">
        <v>2666</v>
      </c>
      <c r="B2310" s="32" t="s">
        <v>634</v>
      </c>
      <c r="C2310" s="32" t="s">
        <v>648</v>
      </c>
      <c r="D2310" s="30" t="s">
        <v>659</v>
      </c>
      <c r="E2310" s="30" t="s">
        <v>660</v>
      </c>
    </row>
    <row r="2311" spans="1:5" x14ac:dyDescent="0.35">
      <c r="A2311" s="32">
        <v>2667</v>
      </c>
      <c r="B2311" s="32" t="s">
        <v>634</v>
      </c>
      <c r="C2311" s="32" t="s">
        <v>648</v>
      </c>
      <c r="D2311" s="30" t="s">
        <v>659</v>
      </c>
      <c r="E2311" s="30" t="s">
        <v>660</v>
      </c>
    </row>
    <row r="2312" spans="1:5" x14ac:dyDescent="0.35">
      <c r="A2312" s="32">
        <v>2668</v>
      </c>
      <c r="B2312" s="32" t="s">
        <v>634</v>
      </c>
      <c r="C2312" s="32" t="s">
        <v>648</v>
      </c>
      <c r="D2312" s="30" t="s">
        <v>659</v>
      </c>
      <c r="E2312" s="30" t="s">
        <v>660</v>
      </c>
    </row>
    <row r="2313" spans="1:5" x14ac:dyDescent="0.35">
      <c r="A2313" s="32">
        <v>2669</v>
      </c>
      <c r="B2313" s="32" t="s">
        <v>634</v>
      </c>
      <c r="C2313" s="32" t="s">
        <v>648</v>
      </c>
      <c r="D2313" s="30" t="s">
        <v>659</v>
      </c>
      <c r="E2313" s="30" t="s">
        <v>660</v>
      </c>
    </row>
    <row r="2314" spans="1:5" x14ac:dyDescent="0.35">
      <c r="A2314" s="32">
        <v>2670</v>
      </c>
      <c r="B2314" s="32" t="s">
        <v>610</v>
      </c>
      <c r="C2314" s="32" t="s">
        <v>584</v>
      </c>
      <c r="D2314" s="30" t="s">
        <v>659</v>
      </c>
      <c r="E2314" s="30" t="s">
        <v>660</v>
      </c>
    </row>
    <row r="2315" spans="1:5" x14ac:dyDescent="0.35">
      <c r="A2315" s="32">
        <v>2671</v>
      </c>
      <c r="B2315" s="32" t="s">
        <v>611</v>
      </c>
      <c r="C2315" s="32" t="s">
        <v>648</v>
      </c>
      <c r="D2315" s="30" t="s">
        <v>659</v>
      </c>
      <c r="E2315" s="30" t="s">
        <v>660</v>
      </c>
    </row>
    <row r="2316" spans="1:5" x14ac:dyDescent="0.35">
      <c r="A2316" s="32">
        <v>2672</v>
      </c>
      <c r="B2316" s="32" t="s">
        <v>641</v>
      </c>
      <c r="C2316" s="32" t="s">
        <v>648</v>
      </c>
      <c r="D2316" s="30" t="s">
        <v>659</v>
      </c>
      <c r="E2316" s="30" t="s">
        <v>660</v>
      </c>
    </row>
    <row r="2317" spans="1:5" x14ac:dyDescent="0.35">
      <c r="A2317" s="32">
        <v>2673</v>
      </c>
      <c r="B2317" s="32" t="s">
        <v>610</v>
      </c>
      <c r="C2317" s="32" t="s">
        <v>605</v>
      </c>
      <c r="D2317" s="30" t="s">
        <v>659</v>
      </c>
      <c r="E2317" s="30" t="s">
        <v>660</v>
      </c>
    </row>
    <row r="2318" spans="1:5" x14ac:dyDescent="0.35">
      <c r="A2318" s="32">
        <v>2674</v>
      </c>
      <c r="B2318" s="32" t="s">
        <v>610</v>
      </c>
      <c r="C2318" s="32" t="s">
        <v>584</v>
      </c>
      <c r="D2318" s="30" t="s">
        <v>612</v>
      </c>
      <c r="E2318" s="30" t="s">
        <v>613</v>
      </c>
    </row>
    <row r="2319" spans="1:5" x14ac:dyDescent="0.35">
      <c r="A2319" s="32">
        <v>2675</v>
      </c>
      <c r="B2319" s="32" t="s">
        <v>634</v>
      </c>
      <c r="C2319" s="32" t="s">
        <v>648</v>
      </c>
      <c r="D2319" s="30" t="s">
        <v>573</v>
      </c>
      <c r="E2319" s="30" t="s">
        <v>638</v>
      </c>
    </row>
    <row r="2320" spans="1:5" x14ac:dyDescent="0.35">
      <c r="A2320" s="32">
        <v>2676</v>
      </c>
      <c r="B2320" s="32" t="s">
        <v>571</v>
      </c>
      <c r="C2320" s="32" t="s">
        <v>648</v>
      </c>
      <c r="D2320" s="30" t="s">
        <v>632</v>
      </c>
      <c r="E2320" s="30" t="s">
        <v>633</v>
      </c>
    </row>
    <row r="2321" spans="1:5" x14ac:dyDescent="0.35">
      <c r="A2321" s="32">
        <v>2677</v>
      </c>
      <c r="B2321" s="32" t="s">
        <v>571</v>
      </c>
      <c r="C2321" s="32" t="s">
        <v>648</v>
      </c>
      <c r="D2321" s="30" t="s">
        <v>632</v>
      </c>
      <c r="E2321" s="30" t="s">
        <v>633</v>
      </c>
    </row>
    <row r="2322" spans="1:5" x14ac:dyDescent="0.35">
      <c r="A2322" s="32">
        <v>2678</v>
      </c>
      <c r="B2322" s="32" t="s">
        <v>571</v>
      </c>
      <c r="C2322" s="32" t="s">
        <v>648</v>
      </c>
      <c r="D2322" s="30" t="s">
        <v>632</v>
      </c>
      <c r="E2322" s="30" t="s">
        <v>633</v>
      </c>
    </row>
    <row r="2323" spans="1:5" x14ac:dyDescent="0.35">
      <c r="A2323" s="32">
        <v>2679</v>
      </c>
      <c r="B2323" s="32" t="s">
        <v>571</v>
      </c>
      <c r="C2323" s="32" t="s">
        <v>648</v>
      </c>
      <c r="D2323" s="30" t="s">
        <v>632</v>
      </c>
      <c r="E2323" s="30" t="s">
        <v>633</v>
      </c>
    </row>
    <row r="2324" spans="1:5" x14ac:dyDescent="0.35">
      <c r="A2324" s="32">
        <v>2680</v>
      </c>
      <c r="B2324" s="32" t="s">
        <v>610</v>
      </c>
      <c r="C2324" s="32" t="s">
        <v>648</v>
      </c>
      <c r="D2324" s="30" t="s">
        <v>612</v>
      </c>
      <c r="E2324" s="30" t="s">
        <v>613</v>
      </c>
    </row>
    <row r="2325" spans="1:5" x14ac:dyDescent="0.35">
      <c r="A2325" s="32">
        <v>2681</v>
      </c>
      <c r="B2325" s="32" t="s">
        <v>610</v>
      </c>
      <c r="C2325" s="32" t="s">
        <v>584</v>
      </c>
      <c r="D2325" s="30" t="s">
        <v>573</v>
      </c>
      <c r="E2325" s="30" t="s">
        <v>637</v>
      </c>
    </row>
    <row r="2326" spans="1:5" x14ac:dyDescent="0.35">
      <c r="A2326" s="32">
        <v>2689</v>
      </c>
      <c r="B2326" s="32" t="s">
        <v>610</v>
      </c>
      <c r="C2326" s="32" t="s">
        <v>648</v>
      </c>
      <c r="D2326" s="30" t="s">
        <v>573</v>
      </c>
      <c r="E2326" s="30" t="s">
        <v>637</v>
      </c>
    </row>
    <row r="2327" spans="1:5" x14ac:dyDescent="0.35">
      <c r="A2327" s="32">
        <v>2690</v>
      </c>
      <c r="B2327" s="32" t="s">
        <v>610</v>
      </c>
      <c r="C2327" s="32" t="s">
        <v>648</v>
      </c>
      <c r="D2327" s="30" t="s">
        <v>573</v>
      </c>
      <c r="E2327" s="30" t="s">
        <v>637</v>
      </c>
    </row>
    <row r="2328" spans="1:5" x14ac:dyDescent="0.35">
      <c r="A2328" s="32">
        <v>2691</v>
      </c>
      <c r="B2328" s="32" t="s">
        <v>641</v>
      </c>
      <c r="C2328" s="32" t="s">
        <v>648</v>
      </c>
      <c r="D2328" s="30" t="s">
        <v>573</v>
      </c>
      <c r="E2328" s="30" t="s">
        <v>637</v>
      </c>
    </row>
    <row r="2329" spans="1:5" x14ac:dyDescent="0.35">
      <c r="A2329" s="32">
        <v>2692</v>
      </c>
      <c r="B2329" s="32" t="s">
        <v>641</v>
      </c>
      <c r="C2329" s="32" t="s">
        <v>624</v>
      </c>
      <c r="D2329" s="30" t="s">
        <v>573</v>
      </c>
      <c r="E2329" s="30" t="s">
        <v>637</v>
      </c>
    </row>
    <row r="2330" spans="1:5" x14ac:dyDescent="0.35">
      <c r="A2330" s="32">
        <v>2693</v>
      </c>
      <c r="B2330" s="32" t="s">
        <v>571</v>
      </c>
      <c r="C2330" s="32" t="s">
        <v>648</v>
      </c>
      <c r="D2330" s="30" t="s">
        <v>573</v>
      </c>
      <c r="E2330" s="30" t="s">
        <v>637</v>
      </c>
    </row>
    <row r="2331" spans="1:5" x14ac:dyDescent="0.35">
      <c r="A2331" s="32">
        <v>2694</v>
      </c>
      <c r="B2331" s="32" t="s">
        <v>571</v>
      </c>
      <c r="C2331" s="32" t="s">
        <v>624</v>
      </c>
      <c r="D2331" s="30" t="s">
        <v>573</v>
      </c>
      <c r="E2331" s="30" t="s">
        <v>637</v>
      </c>
    </row>
    <row r="2332" spans="1:5" x14ac:dyDescent="0.35">
      <c r="A2332" s="32">
        <v>2695</v>
      </c>
      <c r="B2332" s="32" t="s">
        <v>634</v>
      </c>
      <c r="C2332" s="32" t="s">
        <v>648</v>
      </c>
      <c r="D2332" s="30" t="s">
        <v>573</v>
      </c>
      <c r="E2332" s="30" t="s">
        <v>637</v>
      </c>
    </row>
    <row r="2333" spans="1:5" x14ac:dyDescent="0.35">
      <c r="A2333" s="32">
        <v>2696</v>
      </c>
      <c r="B2333" s="32" t="s">
        <v>634</v>
      </c>
      <c r="C2333" s="32" t="s">
        <v>624</v>
      </c>
      <c r="D2333" s="30" t="s">
        <v>573</v>
      </c>
      <c r="E2333" s="30" t="s">
        <v>637</v>
      </c>
    </row>
    <row r="2334" spans="1:5" x14ac:dyDescent="0.35">
      <c r="A2334" s="32">
        <v>2697</v>
      </c>
      <c r="B2334" s="32" t="s">
        <v>634</v>
      </c>
      <c r="C2334" s="32" t="s">
        <v>648</v>
      </c>
      <c r="D2334" s="30" t="s">
        <v>573</v>
      </c>
      <c r="E2334" s="30" t="s">
        <v>637</v>
      </c>
    </row>
    <row r="2335" spans="1:5" x14ac:dyDescent="0.35">
      <c r="A2335" s="32">
        <v>2698</v>
      </c>
      <c r="B2335" s="32" t="s">
        <v>634</v>
      </c>
      <c r="C2335" s="32" t="s">
        <v>624</v>
      </c>
      <c r="D2335" s="30" t="s">
        <v>573</v>
      </c>
      <c r="E2335" s="30" t="s">
        <v>637</v>
      </c>
    </row>
    <row r="2336" spans="1:5" x14ac:dyDescent="0.35">
      <c r="A2336" s="32">
        <v>2699</v>
      </c>
      <c r="B2336" s="32" t="s">
        <v>641</v>
      </c>
      <c r="C2336" s="32" t="s">
        <v>648</v>
      </c>
      <c r="D2336" s="30" t="s">
        <v>573</v>
      </c>
      <c r="E2336" s="30" t="s">
        <v>637</v>
      </c>
    </row>
    <row r="2337" spans="1:5" x14ac:dyDescent="0.35">
      <c r="A2337" s="32">
        <v>2700</v>
      </c>
      <c r="B2337" s="32" t="s">
        <v>641</v>
      </c>
      <c r="C2337" s="32" t="s">
        <v>624</v>
      </c>
      <c r="D2337" s="30" t="s">
        <v>573</v>
      </c>
      <c r="E2337" s="30" t="s">
        <v>637</v>
      </c>
    </row>
    <row r="2338" spans="1:5" x14ac:dyDescent="0.35">
      <c r="A2338" s="32">
        <v>2701</v>
      </c>
      <c r="B2338" s="32" t="s">
        <v>571</v>
      </c>
      <c r="C2338" s="32" t="s">
        <v>648</v>
      </c>
      <c r="D2338" s="30" t="s">
        <v>573</v>
      </c>
      <c r="E2338" s="30" t="s">
        <v>637</v>
      </c>
    </row>
    <row r="2339" spans="1:5" x14ac:dyDescent="0.35">
      <c r="A2339" s="32">
        <v>2702</v>
      </c>
      <c r="B2339" s="32" t="s">
        <v>571</v>
      </c>
      <c r="C2339" s="32" t="s">
        <v>624</v>
      </c>
      <c r="D2339" s="30" t="s">
        <v>573</v>
      </c>
      <c r="E2339" s="30" t="s">
        <v>637</v>
      </c>
    </row>
    <row r="2340" spans="1:5" x14ac:dyDescent="0.35">
      <c r="A2340" s="32">
        <v>2703</v>
      </c>
      <c r="B2340" s="32" t="s">
        <v>634</v>
      </c>
      <c r="C2340" s="32" t="s">
        <v>648</v>
      </c>
      <c r="D2340" s="30" t="s">
        <v>573</v>
      </c>
      <c r="E2340" s="30" t="s">
        <v>637</v>
      </c>
    </row>
    <row r="2341" spans="1:5" x14ac:dyDescent="0.35">
      <c r="A2341" s="32">
        <v>2704</v>
      </c>
      <c r="B2341" s="32" t="s">
        <v>634</v>
      </c>
      <c r="C2341" s="32" t="s">
        <v>624</v>
      </c>
      <c r="D2341" s="30" t="s">
        <v>573</v>
      </c>
      <c r="E2341" s="30" t="s">
        <v>637</v>
      </c>
    </row>
    <row r="2342" spans="1:5" x14ac:dyDescent="0.35">
      <c r="A2342" s="32">
        <v>2705</v>
      </c>
      <c r="B2342" s="32" t="s">
        <v>634</v>
      </c>
      <c r="C2342" s="32" t="s">
        <v>648</v>
      </c>
      <c r="D2342" s="30" t="s">
        <v>573</v>
      </c>
      <c r="E2342" s="30" t="s">
        <v>637</v>
      </c>
    </row>
    <row r="2343" spans="1:5" x14ac:dyDescent="0.35">
      <c r="A2343" s="32">
        <v>2706</v>
      </c>
      <c r="B2343" s="32" t="s">
        <v>634</v>
      </c>
      <c r="C2343" s="32" t="s">
        <v>624</v>
      </c>
      <c r="D2343" s="30" t="s">
        <v>573</v>
      </c>
      <c r="E2343" s="30" t="s">
        <v>637</v>
      </c>
    </row>
    <row r="2344" spans="1:5" x14ac:dyDescent="0.35">
      <c r="A2344" s="32">
        <v>2707</v>
      </c>
      <c r="B2344" s="32" t="s">
        <v>641</v>
      </c>
      <c r="C2344" s="32" t="s">
        <v>648</v>
      </c>
      <c r="D2344" s="30" t="s">
        <v>573</v>
      </c>
      <c r="E2344" s="30" t="s">
        <v>637</v>
      </c>
    </row>
    <row r="2345" spans="1:5" x14ac:dyDescent="0.35">
      <c r="A2345" s="32">
        <v>2708</v>
      </c>
      <c r="B2345" s="32" t="s">
        <v>641</v>
      </c>
      <c r="C2345" s="32" t="s">
        <v>624</v>
      </c>
      <c r="D2345" s="30" t="s">
        <v>573</v>
      </c>
      <c r="E2345" s="30" t="s">
        <v>637</v>
      </c>
    </row>
    <row r="2346" spans="1:5" x14ac:dyDescent="0.35">
      <c r="A2346" s="32">
        <v>2709</v>
      </c>
      <c r="B2346" s="32" t="s">
        <v>571</v>
      </c>
      <c r="C2346" s="32" t="s">
        <v>648</v>
      </c>
      <c r="D2346" s="30" t="s">
        <v>573</v>
      </c>
      <c r="E2346" s="30" t="s">
        <v>637</v>
      </c>
    </row>
    <row r="2347" spans="1:5" x14ac:dyDescent="0.35">
      <c r="A2347" s="32">
        <v>2710</v>
      </c>
      <c r="B2347" s="32" t="s">
        <v>571</v>
      </c>
      <c r="C2347" s="32" t="s">
        <v>624</v>
      </c>
      <c r="D2347" s="30" t="s">
        <v>573</v>
      </c>
      <c r="E2347" s="30" t="s">
        <v>637</v>
      </c>
    </row>
    <row r="2348" spans="1:5" x14ac:dyDescent="0.35">
      <c r="A2348" s="32">
        <v>2711</v>
      </c>
      <c r="B2348" s="32" t="s">
        <v>634</v>
      </c>
      <c r="C2348" s="32" t="s">
        <v>648</v>
      </c>
      <c r="D2348" s="30" t="s">
        <v>573</v>
      </c>
      <c r="E2348" s="30" t="s">
        <v>637</v>
      </c>
    </row>
    <row r="2349" spans="1:5" x14ac:dyDescent="0.35">
      <c r="A2349" s="32">
        <v>2712</v>
      </c>
      <c r="B2349" s="32" t="s">
        <v>634</v>
      </c>
      <c r="C2349" s="32" t="s">
        <v>624</v>
      </c>
      <c r="D2349" s="30" t="s">
        <v>573</v>
      </c>
      <c r="E2349" s="30" t="s">
        <v>637</v>
      </c>
    </row>
    <row r="2350" spans="1:5" x14ac:dyDescent="0.35">
      <c r="A2350" s="32">
        <v>2713</v>
      </c>
      <c r="B2350" s="32" t="s">
        <v>634</v>
      </c>
      <c r="C2350" s="32" t="s">
        <v>648</v>
      </c>
      <c r="D2350" s="30" t="s">
        <v>573</v>
      </c>
      <c r="E2350" s="30" t="s">
        <v>637</v>
      </c>
    </row>
    <row r="2351" spans="1:5" x14ac:dyDescent="0.35">
      <c r="A2351" s="32">
        <v>2714</v>
      </c>
      <c r="B2351" s="32" t="s">
        <v>634</v>
      </c>
      <c r="C2351" s="32" t="s">
        <v>624</v>
      </c>
      <c r="D2351" s="30" t="s">
        <v>573</v>
      </c>
      <c r="E2351" s="30" t="s">
        <v>637</v>
      </c>
    </row>
    <row r="2352" spans="1:5" x14ac:dyDescent="0.35">
      <c r="A2352" s="32">
        <v>2715</v>
      </c>
      <c r="B2352" s="32" t="s">
        <v>641</v>
      </c>
      <c r="C2352" s="32" t="s">
        <v>648</v>
      </c>
      <c r="D2352" s="30" t="s">
        <v>573</v>
      </c>
      <c r="E2352" s="30" t="s">
        <v>637</v>
      </c>
    </row>
    <row r="2353" spans="1:5" x14ac:dyDescent="0.35">
      <c r="A2353" s="32">
        <v>2716</v>
      </c>
      <c r="B2353" s="32" t="s">
        <v>641</v>
      </c>
      <c r="C2353" s="32" t="s">
        <v>624</v>
      </c>
      <c r="D2353" s="30" t="s">
        <v>573</v>
      </c>
      <c r="E2353" s="30" t="s">
        <v>637</v>
      </c>
    </row>
    <row r="2354" spans="1:5" x14ac:dyDescent="0.35">
      <c r="A2354" s="32">
        <v>2717</v>
      </c>
      <c r="B2354" s="32" t="s">
        <v>571</v>
      </c>
      <c r="C2354" s="32" t="s">
        <v>648</v>
      </c>
      <c r="D2354" s="30" t="s">
        <v>573</v>
      </c>
      <c r="E2354" s="30" t="s">
        <v>637</v>
      </c>
    </row>
    <row r="2355" spans="1:5" x14ac:dyDescent="0.35">
      <c r="A2355" s="32">
        <v>2718</v>
      </c>
      <c r="B2355" s="32" t="s">
        <v>571</v>
      </c>
      <c r="C2355" s="32" t="s">
        <v>624</v>
      </c>
      <c r="D2355" s="30" t="s">
        <v>573</v>
      </c>
      <c r="E2355" s="30" t="s">
        <v>637</v>
      </c>
    </row>
    <row r="2356" spans="1:5" x14ac:dyDescent="0.35">
      <c r="A2356" s="32">
        <v>2719</v>
      </c>
      <c r="B2356" s="32" t="s">
        <v>634</v>
      </c>
      <c r="C2356" s="32" t="s">
        <v>648</v>
      </c>
      <c r="D2356" s="30" t="s">
        <v>573</v>
      </c>
      <c r="E2356" s="30" t="s">
        <v>637</v>
      </c>
    </row>
    <row r="2357" spans="1:5" x14ac:dyDescent="0.35">
      <c r="A2357" s="32">
        <v>2720</v>
      </c>
      <c r="B2357" s="32" t="s">
        <v>634</v>
      </c>
      <c r="C2357" s="32" t="s">
        <v>624</v>
      </c>
      <c r="D2357" s="30" t="s">
        <v>573</v>
      </c>
      <c r="E2357" s="30" t="s">
        <v>637</v>
      </c>
    </row>
    <row r="2358" spans="1:5" x14ac:dyDescent="0.35">
      <c r="A2358" s="32">
        <v>2721</v>
      </c>
      <c r="B2358" s="32" t="s">
        <v>634</v>
      </c>
      <c r="C2358" s="32" t="s">
        <v>648</v>
      </c>
      <c r="D2358" s="30" t="s">
        <v>573</v>
      </c>
      <c r="E2358" s="30" t="s">
        <v>637</v>
      </c>
    </row>
    <row r="2359" spans="1:5" x14ac:dyDescent="0.35">
      <c r="A2359" s="32">
        <v>2722</v>
      </c>
      <c r="B2359" s="32" t="s">
        <v>634</v>
      </c>
      <c r="C2359" s="32" t="s">
        <v>624</v>
      </c>
      <c r="D2359" s="30" t="s">
        <v>573</v>
      </c>
      <c r="E2359" s="30" t="s">
        <v>637</v>
      </c>
    </row>
    <row r="2360" spans="1:5" x14ac:dyDescent="0.35">
      <c r="A2360" s="32">
        <v>2723</v>
      </c>
      <c r="B2360" s="32" t="s">
        <v>641</v>
      </c>
      <c r="C2360" s="32" t="s">
        <v>648</v>
      </c>
      <c r="D2360" s="30" t="s">
        <v>573</v>
      </c>
      <c r="E2360" s="30" t="s">
        <v>637</v>
      </c>
    </row>
    <row r="2361" spans="1:5" x14ac:dyDescent="0.35">
      <c r="A2361" s="32">
        <v>2724</v>
      </c>
      <c r="B2361" s="32" t="s">
        <v>641</v>
      </c>
      <c r="C2361" s="32" t="s">
        <v>624</v>
      </c>
      <c r="D2361" s="30" t="s">
        <v>573</v>
      </c>
      <c r="E2361" s="30" t="s">
        <v>637</v>
      </c>
    </row>
    <row r="2362" spans="1:5" x14ac:dyDescent="0.35">
      <c r="A2362" s="32">
        <v>2725</v>
      </c>
      <c r="B2362" s="32" t="s">
        <v>571</v>
      </c>
      <c r="C2362" s="32" t="s">
        <v>648</v>
      </c>
      <c r="D2362" s="30" t="s">
        <v>573</v>
      </c>
      <c r="E2362" s="30" t="s">
        <v>637</v>
      </c>
    </row>
    <row r="2363" spans="1:5" x14ac:dyDescent="0.35">
      <c r="A2363" s="32">
        <v>2726</v>
      </c>
      <c r="B2363" s="32" t="s">
        <v>571</v>
      </c>
      <c r="C2363" s="32" t="s">
        <v>624</v>
      </c>
      <c r="D2363" s="30" t="s">
        <v>573</v>
      </c>
      <c r="E2363" s="30" t="s">
        <v>637</v>
      </c>
    </row>
    <row r="2364" spans="1:5" x14ac:dyDescent="0.35">
      <c r="A2364" s="32">
        <v>2727</v>
      </c>
      <c r="B2364" s="32" t="s">
        <v>634</v>
      </c>
      <c r="C2364" s="32" t="s">
        <v>648</v>
      </c>
      <c r="D2364" s="30" t="s">
        <v>573</v>
      </c>
      <c r="E2364" s="30" t="s">
        <v>637</v>
      </c>
    </row>
    <row r="2365" spans="1:5" x14ac:dyDescent="0.35">
      <c r="A2365" s="32">
        <v>2728</v>
      </c>
      <c r="B2365" s="32" t="s">
        <v>634</v>
      </c>
      <c r="C2365" s="32" t="s">
        <v>624</v>
      </c>
      <c r="D2365" s="30" t="s">
        <v>573</v>
      </c>
      <c r="E2365" s="30" t="s">
        <v>637</v>
      </c>
    </row>
    <row r="2366" spans="1:5" x14ac:dyDescent="0.35">
      <c r="A2366" s="32">
        <v>2729</v>
      </c>
      <c r="B2366" s="32" t="s">
        <v>634</v>
      </c>
      <c r="C2366" s="32" t="s">
        <v>648</v>
      </c>
      <c r="D2366" s="30" t="s">
        <v>573</v>
      </c>
      <c r="E2366" s="30" t="s">
        <v>637</v>
      </c>
    </row>
    <row r="2367" spans="1:5" x14ac:dyDescent="0.35">
      <c r="A2367" s="32">
        <v>2730</v>
      </c>
      <c r="B2367" s="32" t="s">
        <v>634</v>
      </c>
      <c r="C2367" s="32" t="s">
        <v>624</v>
      </c>
      <c r="D2367" s="30" t="s">
        <v>573</v>
      </c>
      <c r="E2367" s="30" t="s">
        <v>637</v>
      </c>
    </row>
    <row r="2368" spans="1:5" x14ac:dyDescent="0.35">
      <c r="A2368" s="32">
        <v>2731</v>
      </c>
      <c r="B2368" s="32" t="s">
        <v>641</v>
      </c>
      <c r="C2368" s="32" t="s">
        <v>648</v>
      </c>
      <c r="D2368" s="30" t="s">
        <v>573</v>
      </c>
      <c r="E2368" s="30" t="s">
        <v>637</v>
      </c>
    </row>
    <row r="2369" spans="1:5" x14ac:dyDescent="0.35">
      <c r="A2369" s="32">
        <v>2732</v>
      </c>
      <c r="B2369" s="32" t="s">
        <v>641</v>
      </c>
      <c r="C2369" s="32" t="s">
        <v>624</v>
      </c>
      <c r="D2369" s="30" t="s">
        <v>573</v>
      </c>
      <c r="E2369" s="30" t="s">
        <v>637</v>
      </c>
    </row>
    <row r="2370" spans="1:5" x14ac:dyDescent="0.35">
      <c r="A2370" s="32">
        <v>2733</v>
      </c>
      <c r="B2370" s="32" t="s">
        <v>571</v>
      </c>
      <c r="C2370" s="32" t="s">
        <v>648</v>
      </c>
      <c r="D2370" s="30" t="s">
        <v>573</v>
      </c>
      <c r="E2370" s="30" t="s">
        <v>637</v>
      </c>
    </row>
    <row r="2371" spans="1:5" x14ac:dyDescent="0.35">
      <c r="A2371" s="32">
        <v>2734</v>
      </c>
      <c r="B2371" s="32" t="s">
        <v>571</v>
      </c>
      <c r="C2371" s="32" t="s">
        <v>624</v>
      </c>
      <c r="D2371" s="30" t="s">
        <v>573</v>
      </c>
      <c r="E2371" s="30" t="s">
        <v>637</v>
      </c>
    </row>
    <row r="2372" spans="1:5" x14ac:dyDescent="0.35">
      <c r="A2372" s="32">
        <v>2735</v>
      </c>
      <c r="B2372" s="32" t="s">
        <v>634</v>
      </c>
      <c r="C2372" s="32" t="s">
        <v>648</v>
      </c>
      <c r="D2372" s="30" t="s">
        <v>573</v>
      </c>
      <c r="E2372" s="30" t="s">
        <v>637</v>
      </c>
    </row>
    <row r="2373" spans="1:5" x14ac:dyDescent="0.35">
      <c r="A2373" s="32">
        <v>2736</v>
      </c>
      <c r="B2373" s="32" t="s">
        <v>634</v>
      </c>
      <c r="C2373" s="32" t="s">
        <v>624</v>
      </c>
      <c r="D2373" s="30" t="s">
        <v>573</v>
      </c>
      <c r="E2373" s="30" t="s">
        <v>637</v>
      </c>
    </row>
    <row r="2374" spans="1:5" x14ac:dyDescent="0.35">
      <c r="A2374" s="32">
        <v>2737</v>
      </c>
      <c r="B2374" s="32" t="s">
        <v>634</v>
      </c>
      <c r="C2374" s="32" t="s">
        <v>648</v>
      </c>
      <c r="D2374" s="30" t="s">
        <v>573</v>
      </c>
      <c r="E2374" s="30" t="s">
        <v>637</v>
      </c>
    </row>
    <row r="2375" spans="1:5" x14ac:dyDescent="0.35">
      <c r="A2375" s="32">
        <v>2738</v>
      </c>
      <c r="B2375" s="32" t="s">
        <v>634</v>
      </c>
      <c r="C2375" s="32" t="s">
        <v>624</v>
      </c>
      <c r="D2375" s="30" t="s">
        <v>573</v>
      </c>
      <c r="E2375" s="30" t="s">
        <v>637</v>
      </c>
    </row>
    <row r="2376" spans="1:5" x14ac:dyDescent="0.35">
      <c r="A2376" s="32">
        <v>2739</v>
      </c>
      <c r="B2376" s="32" t="s">
        <v>641</v>
      </c>
      <c r="C2376" s="32" t="s">
        <v>648</v>
      </c>
      <c r="D2376" s="30" t="s">
        <v>573</v>
      </c>
      <c r="E2376" s="30" t="s">
        <v>637</v>
      </c>
    </row>
    <row r="2377" spans="1:5" x14ac:dyDescent="0.35">
      <c r="A2377" s="32">
        <v>2740</v>
      </c>
      <c r="B2377" s="32" t="s">
        <v>641</v>
      </c>
      <c r="C2377" s="32" t="s">
        <v>624</v>
      </c>
      <c r="D2377" s="30" t="s">
        <v>573</v>
      </c>
      <c r="E2377" s="30" t="s">
        <v>637</v>
      </c>
    </row>
    <row r="2378" spans="1:5" x14ac:dyDescent="0.35">
      <c r="A2378" s="32">
        <v>2741</v>
      </c>
      <c r="B2378" s="32" t="s">
        <v>571</v>
      </c>
      <c r="C2378" s="32" t="s">
        <v>648</v>
      </c>
      <c r="D2378" s="30" t="s">
        <v>573</v>
      </c>
      <c r="E2378" s="30" t="s">
        <v>637</v>
      </c>
    </row>
    <row r="2379" spans="1:5" x14ac:dyDescent="0.35">
      <c r="A2379" s="32">
        <v>2742</v>
      </c>
      <c r="B2379" s="32" t="s">
        <v>571</v>
      </c>
      <c r="C2379" s="32" t="s">
        <v>624</v>
      </c>
      <c r="D2379" s="30" t="s">
        <v>573</v>
      </c>
      <c r="E2379" s="30" t="s">
        <v>637</v>
      </c>
    </row>
    <row r="2380" spans="1:5" x14ac:dyDescent="0.35">
      <c r="A2380" s="32">
        <v>2743</v>
      </c>
      <c r="B2380" s="32" t="s">
        <v>634</v>
      </c>
      <c r="C2380" s="32" t="s">
        <v>648</v>
      </c>
      <c r="D2380" s="30" t="s">
        <v>573</v>
      </c>
      <c r="E2380" s="30" t="s">
        <v>637</v>
      </c>
    </row>
    <row r="2381" spans="1:5" x14ac:dyDescent="0.35">
      <c r="A2381" s="32">
        <v>2744</v>
      </c>
      <c r="B2381" s="32" t="s">
        <v>634</v>
      </c>
      <c r="C2381" s="32" t="s">
        <v>624</v>
      </c>
      <c r="D2381" s="30" t="s">
        <v>573</v>
      </c>
      <c r="E2381" s="30" t="s">
        <v>637</v>
      </c>
    </row>
    <row r="2382" spans="1:5" x14ac:dyDescent="0.35">
      <c r="A2382" s="32">
        <v>2745</v>
      </c>
      <c r="B2382" s="32" t="s">
        <v>634</v>
      </c>
      <c r="C2382" s="32" t="s">
        <v>648</v>
      </c>
      <c r="D2382" s="30" t="s">
        <v>573</v>
      </c>
      <c r="E2382" s="30" t="s">
        <v>637</v>
      </c>
    </row>
    <row r="2383" spans="1:5" x14ac:dyDescent="0.35">
      <c r="A2383" s="32">
        <v>2746</v>
      </c>
      <c r="B2383" s="32" t="s">
        <v>634</v>
      </c>
      <c r="C2383" s="32" t="s">
        <v>624</v>
      </c>
      <c r="D2383" s="30" t="s">
        <v>573</v>
      </c>
      <c r="E2383" s="30" t="s">
        <v>637</v>
      </c>
    </row>
    <row r="2384" spans="1:5" x14ac:dyDescent="0.35">
      <c r="A2384" s="32">
        <v>2747</v>
      </c>
      <c r="B2384" s="32" t="s">
        <v>641</v>
      </c>
      <c r="C2384" s="32" t="s">
        <v>648</v>
      </c>
      <c r="D2384" s="30" t="s">
        <v>573</v>
      </c>
      <c r="E2384" s="30" t="s">
        <v>637</v>
      </c>
    </row>
    <row r="2385" spans="1:5" x14ac:dyDescent="0.35">
      <c r="A2385" s="32">
        <v>2748</v>
      </c>
      <c r="B2385" s="32" t="s">
        <v>641</v>
      </c>
      <c r="C2385" s="32" t="s">
        <v>624</v>
      </c>
      <c r="D2385" s="30" t="s">
        <v>573</v>
      </c>
      <c r="E2385" s="30" t="s">
        <v>637</v>
      </c>
    </row>
    <row r="2386" spans="1:5" x14ac:dyDescent="0.35">
      <c r="A2386" s="32">
        <v>2749</v>
      </c>
      <c r="B2386" s="32" t="s">
        <v>571</v>
      </c>
      <c r="C2386" s="32" t="s">
        <v>648</v>
      </c>
      <c r="D2386" s="30" t="s">
        <v>573</v>
      </c>
      <c r="E2386" s="30" t="s">
        <v>637</v>
      </c>
    </row>
    <row r="2387" spans="1:5" x14ac:dyDescent="0.35">
      <c r="A2387" s="32">
        <v>2750</v>
      </c>
      <c r="B2387" s="32" t="s">
        <v>571</v>
      </c>
      <c r="C2387" s="32" t="s">
        <v>624</v>
      </c>
      <c r="D2387" s="30" t="s">
        <v>573</v>
      </c>
      <c r="E2387" s="30" t="s">
        <v>637</v>
      </c>
    </row>
    <row r="2388" spans="1:5" x14ac:dyDescent="0.35">
      <c r="A2388" s="32">
        <v>2751</v>
      </c>
      <c r="B2388" s="32" t="s">
        <v>634</v>
      </c>
      <c r="C2388" s="32" t="s">
        <v>648</v>
      </c>
      <c r="D2388" s="30" t="s">
        <v>573</v>
      </c>
      <c r="E2388" s="30" t="s">
        <v>637</v>
      </c>
    </row>
    <row r="2389" spans="1:5" x14ac:dyDescent="0.35">
      <c r="A2389" s="32">
        <v>2752</v>
      </c>
      <c r="B2389" s="32" t="s">
        <v>634</v>
      </c>
      <c r="C2389" s="32" t="s">
        <v>624</v>
      </c>
      <c r="D2389" s="30" t="s">
        <v>573</v>
      </c>
      <c r="E2389" s="30" t="s">
        <v>637</v>
      </c>
    </row>
    <row r="2390" spans="1:5" x14ac:dyDescent="0.35">
      <c r="A2390" s="32">
        <v>2753</v>
      </c>
      <c r="B2390" s="32" t="s">
        <v>634</v>
      </c>
      <c r="C2390" s="32" t="s">
        <v>648</v>
      </c>
      <c r="D2390" s="30" t="s">
        <v>573</v>
      </c>
      <c r="E2390" s="30" t="s">
        <v>637</v>
      </c>
    </row>
    <row r="2391" spans="1:5" x14ac:dyDescent="0.35">
      <c r="A2391" s="32">
        <v>2754</v>
      </c>
      <c r="B2391" s="32" t="s">
        <v>634</v>
      </c>
      <c r="C2391" s="32" t="s">
        <v>624</v>
      </c>
      <c r="D2391" s="30" t="s">
        <v>573</v>
      </c>
      <c r="E2391" s="30" t="s">
        <v>637</v>
      </c>
    </row>
    <row r="2392" spans="1:5" x14ac:dyDescent="0.35">
      <c r="A2392" s="32">
        <v>2755</v>
      </c>
      <c r="B2392" s="32" t="s">
        <v>641</v>
      </c>
      <c r="C2392" s="32" t="s">
        <v>648</v>
      </c>
      <c r="D2392" s="30" t="s">
        <v>573</v>
      </c>
      <c r="E2392" s="30" t="s">
        <v>637</v>
      </c>
    </row>
    <row r="2393" spans="1:5" x14ac:dyDescent="0.35">
      <c r="A2393" s="32">
        <v>2756</v>
      </c>
      <c r="B2393" s="32" t="s">
        <v>641</v>
      </c>
      <c r="C2393" s="32" t="s">
        <v>624</v>
      </c>
      <c r="D2393" s="30" t="s">
        <v>573</v>
      </c>
      <c r="E2393" s="30" t="s">
        <v>637</v>
      </c>
    </row>
    <row r="2394" spans="1:5" x14ac:dyDescent="0.35">
      <c r="A2394" s="32">
        <v>2757</v>
      </c>
      <c r="B2394" s="32" t="s">
        <v>571</v>
      </c>
      <c r="C2394" s="32" t="s">
        <v>648</v>
      </c>
      <c r="D2394" s="30" t="s">
        <v>573</v>
      </c>
      <c r="E2394" s="30" t="s">
        <v>637</v>
      </c>
    </row>
    <row r="2395" spans="1:5" x14ac:dyDescent="0.35">
      <c r="A2395" s="32">
        <v>2758</v>
      </c>
      <c r="B2395" s="32" t="s">
        <v>571</v>
      </c>
      <c r="C2395" s="32" t="s">
        <v>624</v>
      </c>
      <c r="D2395" s="30" t="s">
        <v>573</v>
      </c>
      <c r="E2395" s="30" t="s">
        <v>637</v>
      </c>
    </row>
    <row r="2396" spans="1:5" x14ac:dyDescent="0.35">
      <c r="A2396" s="32">
        <v>2759</v>
      </c>
      <c r="B2396" s="32" t="s">
        <v>634</v>
      </c>
      <c r="C2396" s="32" t="s">
        <v>648</v>
      </c>
      <c r="D2396" s="30" t="s">
        <v>573</v>
      </c>
      <c r="E2396" s="30" t="s">
        <v>637</v>
      </c>
    </row>
    <row r="2397" spans="1:5" x14ac:dyDescent="0.35">
      <c r="A2397" s="32">
        <v>2760</v>
      </c>
      <c r="B2397" s="32" t="s">
        <v>634</v>
      </c>
      <c r="C2397" s="32" t="s">
        <v>624</v>
      </c>
      <c r="D2397" s="30" t="s">
        <v>573</v>
      </c>
      <c r="E2397" s="30" t="s">
        <v>637</v>
      </c>
    </row>
    <row r="2398" spans="1:5" x14ac:dyDescent="0.35">
      <c r="A2398" s="32">
        <v>2761</v>
      </c>
      <c r="B2398" s="32" t="s">
        <v>634</v>
      </c>
      <c r="C2398" s="32" t="s">
        <v>648</v>
      </c>
      <c r="D2398" s="30" t="s">
        <v>573</v>
      </c>
      <c r="E2398" s="30" t="s">
        <v>637</v>
      </c>
    </row>
    <row r="2399" spans="1:5" x14ac:dyDescent="0.35">
      <c r="A2399" s="32">
        <v>2762</v>
      </c>
      <c r="B2399" s="32" t="s">
        <v>634</v>
      </c>
      <c r="C2399" s="32" t="s">
        <v>624</v>
      </c>
      <c r="D2399" s="30" t="s">
        <v>573</v>
      </c>
      <c r="E2399" s="30" t="s">
        <v>637</v>
      </c>
    </row>
    <row r="2400" spans="1:5" x14ac:dyDescent="0.35">
      <c r="A2400" s="32">
        <v>2763</v>
      </c>
      <c r="B2400" s="32" t="s">
        <v>641</v>
      </c>
      <c r="C2400" s="32" t="s">
        <v>648</v>
      </c>
      <c r="D2400" s="30" t="s">
        <v>573</v>
      </c>
      <c r="E2400" s="30" t="s">
        <v>637</v>
      </c>
    </row>
    <row r="2401" spans="1:5" x14ac:dyDescent="0.35">
      <c r="A2401" s="32">
        <v>2764</v>
      </c>
      <c r="B2401" s="32" t="s">
        <v>641</v>
      </c>
      <c r="C2401" s="32" t="s">
        <v>624</v>
      </c>
      <c r="D2401" s="30" t="s">
        <v>573</v>
      </c>
      <c r="E2401" s="30" t="s">
        <v>637</v>
      </c>
    </row>
    <row r="2402" spans="1:5" x14ac:dyDescent="0.35">
      <c r="A2402" s="32">
        <v>2765</v>
      </c>
      <c r="B2402" s="32" t="s">
        <v>571</v>
      </c>
      <c r="C2402" s="32" t="s">
        <v>648</v>
      </c>
      <c r="D2402" s="30" t="s">
        <v>573</v>
      </c>
      <c r="E2402" s="30" t="s">
        <v>637</v>
      </c>
    </row>
    <row r="2403" spans="1:5" x14ac:dyDescent="0.35">
      <c r="A2403" s="32">
        <v>2766</v>
      </c>
      <c r="B2403" s="32" t="s">
        <v>571</v>
      </c>
      <c r="C2403" s="32" t="s">
        <v>624</v>
      </c>
      <c r="D2403" s="30" t="s">
        <v>573</v>
      </c>
      <c r="E2403" s="30" t="s">
        <v>637</v>
      </c>
    </row>
    <row r="2404" spans="1:5" x14ac:dyDescent="0.35">
      <c r="A2404" s="32">
        <v>2767</v>
      </c>
      <c r="B2404" s="32" t="s">
        <v>634</v>
      </c>
      <c r="C2404" s="32" t="s">
        <v>648</v>
      </c>
      <c r="D2404" s="30" t="s">
        <v>573</v>
      </c>
      <c r="E2404" s="30" t="s">
        <v>637</v>
      </c>
    </row>
    <row r="2405" spans="1:5" x14ac:dyDescent="0.35">
      <c r="A2405" s="32">
        <v>2768</v>
      </c>
      <c r="B2405" s="32" t="s">
        <v>634</v>
      </c>
      <c r="C2405" s="32" t="s">
        <v>624</v>
      </c>
      <c r="D2405" s="30" t="s">
        <v>573</v>
      </c>
      <c r="E2405" s="30" t="s">
        <v>637</v>
      </c>
    </row>
    <row r="2406" spans="1:5" x14ac:dyDescent="0.35">
      <c r="A2406" s="32">
        <v>2769</v>
      </c>
      <c r="B2406" s="32" t="s">
        <v>634</v>
      </c>
      <c r="C2406" s="32" t="s">
        <v>648</v>
      </c>
      <c r="D2406" s="30" t="s">
        <v>573</v>
      </c>
      <c r="E2406" s="30" t="s">
        <v>637</v>
      </c>
    </row>
    <row r="2407" spans="1:5" x14ac:dyDescent="0.35">
      <c r="A2407" s="32">
        <v>2770</v>
      </c>
      <c r="B2407" s="32" t="s">
        <v>634</v>
      </c>
      <c r="C2407" s="32" t="s">
        <v>624</v>
      </c>
      <c r="D2407" s="30" t="s">
        <v>573</v>
      </c>
      <c r="E2407" s="30" t="s">
        <v>637</v>
      </c>
    </row>
    <row r="2408" spans="1:5" x14ac:dyDescent="0.35">
      <c r="A2408" s="32">
        <v>2771</v>
      </c>
      <c r="B2408" s="32" t="s">
        <v>641</v>
      </c>
      <c r="C2408" s="32" t="s">
        <v>648</v>
      </c>
      <c r="D2408" s="30" t="s">
        <v>573</v>
      </c>
      <c r="E2408" s="30" t="s">
        <v>637</v>
      </c>
    </row>
    <row r="2409" spans="1:5" x14ac:dyDescent="0.35">
      <c r="A2409" s="32">
        <v>2772</v>
      </c>
      <c r="B2409" s="32" t="s">
        <v>641</v>
      </c>
      <c r="C2409" s="32" t="s">
        <v>624</v>
      </c>
      <c r="D2409" s="30" t="s">
        <v>573</v>
      </c>
      <c r="E2409" s="30" t="s">
        <v>637</v>
      </c>
    </row>
    <row r="2410" spans="1:5" x14ac:dyDescent="0.35">
      <c r="A2410" s="32">
        <v>2773</v>
      </c>
      <c r="B2410" s="32" t="s">
        <v>571</v>
      </c>
      <c r="C2410" s="32" t="s">
        <v>648</v>
      </c>
      <c r="D2410" s="30" t="s">
        <v>573</v>
      </c>
      <c r="E2410" s="30" t="s">
        <v>637</v>
      </c>
    </row>
    <row r="2411" spans="1:5" x14ac:dyDescent="0.35">
      <c r="A2411" s="32">
        <v>2774</v>
      </c>
      <c r="B2411" s="32" t="s">
        <v>571</v>
      </c>
      <c r="C2411" s="32" t="s">
        <v>624</v>
      </c>
      <c r="D2411" s="30" t="s">
        <v>573</v>
      </c>
      <c r="E2411" s="30" t="s">
        <v>637</v>
      </c>
    </row>
    <row r="2412" spans="1:5" x14ac:dyDescent="0.35">
      <c r="A2412" s="32">
        <v>2775</v>
      </c>
      <c r="B2412" s="32" t="s">
        <v>634</v>
      </c>
      <c r="C2412" s="32" t="s">
        <v>648</v>
      </c>
      <c r="D2412" s="30" t="s">
        <v>573</v>
      </c>
      <c r="E2412" s="30" t="s">
        <v>637</v>
      </c>
    </row>
    <row r="2413" spans="1:5" x14ac:dyDescent="0.35">
      <c r="A2413" s="32">
        <v>2776</v>
      </c>
      <c r="B2413" s="32" t="s">
        <v>634</v>
      </c>
      <c r="C2413" s="32" t="s">
        <v>624</v>
      </c>
      <c r="D2413" s="30" t="s">
        <v>573</v>
      </c>
      <c r="E2413" s="30" t="s">
        <v>637</v>
      </c>
    </row>
    <row r="2414" spans="1:5" x14ac:dyDescent="0.35">
      <c r="A2414" s="32">
        <v>2777</v>
      </c>
      <c r="B2414" s="32" t="s">
        <v>634</v>
      </c>
      <c r="C2414" s="32" t="s">
        <v>648</v>
      </c>
      <c r="D2414" s="30" t="s">
        <v>573</v>
      </c>
      <c r="E2414" s="30" t="s">
        <v>637</v>
      </c>
    </row>
    <row r="2415" spans="1:5" x14ac:dyDescent="0.35">
      <c r="A2415" s="32">
        <v>2778</v>
      </c>
      <c r="B2415" s="32" t="s">
        <v>634</v>
      </c>
      <c r="C2415" s="32" t="s">
        <v>624</v>
      </c>
      <c r="D2415" s="30" t="s">
        <v>573</v>
      </c>
      <c r="E2415" s="30" t="s">
        <v>637</v>
      </c>
    </row>
    <row r="2416" spans="1:5" x14ac:dyDescent="0.35">
      <c r="A2416" s="32">
        <v>2779</v>
      </c>
      <c r="B2416" s="32" t="s">
        <v>641</v>
      </c>
      <c r="C2416" s="32" t="s">
        <v>648</v>
      </c>
      <c r="D2416" s="30" t="s">
        <v>573</v>
      </c>
      <c r="E2416" s="30" t="s">
        <v>637</v>
      </c>
    </row>
    <row r="2417" spans="1:5" x14ac:dyDescent="0.35">
      <c r="A2417" s="32">
        <v>2780</v>
      </c>
      <c r="B2417" s="32" t="s">
        <v>641</v>
      </c>
      <c r="C2417" s="32" t="s">
        <v>624</v>
      </c>
      <c r="D2417" s="30" t="s">
        <v>573</v>
      </c>
      <c r="E2417" s="30" t="s">
        <v>637</v>
      </c>
    </row>
    <row r="2418" spans="1:5" x14ac:dyDescent="0.35">
      <c r="A2418" s="32">
        <v>2781</v>
      </c>
      <c r="B2418" s="32" t="s">
        <v>571</v>
      </c>
      <c r="C2418" s="32" t="s">
        <v>648</v>
      </c>
      <c r="D2418" s="30" t="s">
        <v>573</v>
      </c>
      <c r="E2418" s="30" t="s">
        <v>637</v>
      </c>
    </row>
    <row r="2419" spans="1:5" x14ac:dyDescent="0.35">
      <c r="A2419" s="32">
        <v>2782</v>
      </c>
      <c r="B2419" s="32" t="s">
        <v>571</v>
      </c>
      <c r="C2419" s="32" t="s">
        <v>624</v>
      </c>
      <c r="D2419" s="30" t="s">
        <v>573</v>
      </c>
      <c r="E2419" s="30" t="s">
        <v>637</v>
      </c>
    </row>
    <row r="2420" spans="1:5" x14ac:dyDescent="0.35">
      <c r="A2420" s="32">
        <v>2783</v>
      </c>
      <c r="B2420" s="32" t="s">
        <v>634</v>
      </c>
      <c r="C2420" s="32" t="s">
        <v>648</v>
      </c>
      <c r="D2420" s="30" t="s">
        <v>573</v>
      </c>
      <c r="E2420" s="30" t="s">
        <v>637</v>
      </c>
    </row>
    <row r="2421" spans="1:5" x14ac:dyDescent="0.35">
      <c r="A2421" s="32">
        <v>2784</v>
      </c>
      <c r="B2421" s="32" t="s">
        <v>634</v>
      </c>
      <c r="C2421" s="32" t="s">
        <v>624</v>
      </c>
      <c r="D2421" s="30" t="s">
        <v>573</v>
      </c>
      <c r="E2421" s="30" t="s">
        <v>637</v>
      </c>
    </row>
    <row r="2422" spans="1:5" x14ac:dyDescent="0.35">
      <c r="A2422" s="32">
        <v>2785</v>
      </c>
      <c r="B2422" s="32" t="s">
        <v>634</v>
      </c>
      <c r="C2422" s="32" t="s">
        <v>648</v>
      </c>
      <c r="D2422" s="30" t="s">
        <v>573</v>
      </c>
      <c r="E2422" s="30" t="s">
        <v>637</v>
      </c>
    </row>
    <row r="2423" spans="1:5" x14ac:dyDescent="0.35">
      <c r="A2423" s="32">
        <v>2786</v>
      </c>
      <c r="B2423" s="32" t="s">
        <v>634</v>
      </c>
      <c r="C2423" s="32" t="s">
        <v>624</v>
      </c>
      <c r="D2423" s="30" t="s">
        <v>573</v>
      </c>
      <c r="E2423" s="30" t="s">
        <v>637</v>
      </c>
    </row>
    <row r="2424" spans="1:5" x14ac:dyDescent="0.35">
      <c r="A2424" s="32">
        <v>2787</v>
      </c>
      <c r="B2424" s="32" t="s">
        <v>641</v>
      </c>
      <c r="C2424" s="32" t="s">
        <v>648</v>
      </c>
      <c r="D2424" s="30" t="s">
        <v>573</v>
      </c>
      <c r="E2424" s="30" t="s">
        <v>637</v>
      </c>
    </row>
    <row r="2425" spans="1:5" x14ac:dyDescent="0.35">
      <c r="A2425" s="32">
        <v>2788</v>
      </c>
      <c r="B2425" s="32" t="s">
        <v>641</v>
      </c>
      <c r="C2425" s="32" t="s">
        <v>624</v>
      </c>
      <c r="D2425" s="30" t="s">
        <v>573</v>
      </c>
      <c r="E2425" s="30" t="s">
        <v>637</v>
      </c>
    </row>
    <row r="2426" spans="1:5" x14ac:dyDescent="0.35">
      <c r="A2426" s="32">
        <v>2789</v>
      </c>
      <c r="B2426" s="32" t="s">
        <v>571</v>
      </c>
      <c r="C2426" s="32" t="s">
        <v>648</v>
      </c>
      <c r="D2426" s="30" t="s">
        <v>573</v>
      </c>
      <c r="E2426" s="30" t="s">
        <v>637</v>
      </c>
    </row>
    <row r="2427" spans="1:5" x14ac:dyDescent="0.35">
      <c r="A2427" s="32">
        <v>2790</v>
      </c>
      <c r="B2427" s="32" t="s">
        <v>571</v>
      </c>
      <c r="C2427" s="32" t="s">
        <v>624</v>
      </c>
      <c r="D2427" s="30" t="s">
        <v>573</v>
      </c>
      <c r="E2427" s="30" t="s">
        <v>637</v>
      </c>
    </row>
    <row r="2428" spans="1:5" x14ac:dyDescent="0.35">
      <c r="A2428" s="32">
        <v>2791</v>
      </c>
      <c r="B2428" s="32" t="s">
        <v>634</v>
      </c>
      <c r="C2428" s="32" t="s">
        <v>648</v>
      </c>
      <c r="D2428" s="30" t="s">
        <v>573</v>
      </c>
      <c r="E2428" s="30" t="s">
        <v>637</v>
      </c>
    </row>
    <row r="2429" spans="1:5" x14ac:dyDescent="0.35">
      <c r="A2429" s="32">
        <v>2792</v>
      </c>
      <c r="B2429" s="32" t="s">
        <v>634</v>
      </c>
      <c r="C2429" s="32" t="s">
        <v>624</v>
      </c>
      <c r="D2429" s="30" t="s">
        <v>573</v>
      </c>
      <c r="E2429" s="30" t="s">
        <v>637</v>
      </c>
    </row>
    <row r="2430" spans="1:5" x14ac:dyDescent="0.35">
      <c r="A2430" s="32">
        <v>2793</v>
      </c>
      <c r="B2430" s="32" t="s">
        <v>634</v>
      </c>
      <c r="C2430" s="32" t="s">
        <v>648</v>
      </c>
      <c r="D2430" s="30" t="s">
        <v>573</v>
      </c>
      <c r="E2430" s="30" t="s">
        <v>637</v>
      </c>
    </row>
    <row r="2431" spans="1:5" x14ac:dyDescent="0.35">
      <c r="A2431" s="32">
        <v>2794</v>
      </c>
      <c r="B2431" s="32" t="s">
        <v>634</v>
      </c>
      <c r="C2431" s="32" t="s">
        <v>624</v>
      </c>
      <c r="D2431" s="30" t="s">
        <v>573</v>
      </c>
      <c r="E2431" s="30" t="s">
        <v>637</v>
      </c>
    </row>
    <row r="2432" spans="1:5" x14ac:dyDescent="0.35">
      <c r="A2432" s="32">
        <v>2795</v>
      </c>
      <c r="B2432" s="32" t="s">
        <v>641</v>
      </c>
      <c r="C2432" s="32" t="s">
        <v>648</v>
      </c>
      <c r="D2432" s="30" t="s">
        <v>573</v>
      </c>
      <c r="E2432" s="30" t="s">
        <v>637</v>
      </c>
    </row>
    <row r="2433" spans="1:5" x14ac:dyDescent="0.35">
      <c r="A2433" s="32">
        <v>2796</v>
      </c>
      <c r="B2433" s="32" t="s">
        <v>641</v>
      </c>
      <c r="C2433" s="32" t="s">
        <v>624</v>
      </c>
      <c r="D2433" s="30" t="s">
        <v>573</v>
      </c>
      <c r="E2433" s="30" t="s">
        <v>637</v>
      </c>
    </row>
    <row r="2434" spans="1:5" x14ac:dyDescent="0.35">
      <c r="A2434" s="32">
        <v>2797</v>
      </c>
      <c r="B2434" s="32" t="s">
        <v>571</v>
      </c>
      <c r="C2434" s="32" t="s">
        <v>648</v>
      </c>
      <c r="D2434" s="30" t="s">
        <v>573</v>
      </c>
      <c r="E2434" s="30" t="s">
        <v>637</v>
      </c>
    </row>
    <row r="2435" spans="1:5" x14ac:dyDescent="0.35">
      <c r="A2435" s="32">
        <v>2798</v>
      </c>
      <c r="B2435" s="32" t="s">
        <v>571</v>
      </c>
      <c r="C2435" s="32" t="s">
        <v>624</v>
      </c>
      <c r="D2435" s="30" t="s">
        <v>573</v>
      </c>
      <c r="E2435" s="30" t="s">
        <v>637</v>
      </c>
    </row>
    <row r="2436" spans="1:5" x14ac:dyDescent="0.35">
      <c r="A2436" s="32">
        <v>2799</v>
      </c>
      <c r="B2436" s="32" t="s">
        <v>634</v>
      </c>
      <c r="C2436" s="32" t="s">
        <v>648</v>
      </c>
      <c r="D2436" s="30" t="s">
        <v>573</v>
      </c>
      <c r="E2436" s="30" t="s">
        <v>637</v>
      </c>
    </row>
    <row r="2437" spans="1:5" x14ac:dyDescent="0.35">
      <c r="A2437" s="32">
        <v>2800</v>
      </c>
      <c r="B2437" s="32" t="s">
        <v>634</v>
      </c>
      <c r="C2437" s="32" t="s">
        <v>624</v>
      </c>
      <c r="D2437" s="30" t="s">
        <v>573</v>
      </c>
      <c r="E2437" s="30" t="s">
        <v>637</v>
      </c>
    </row>
    <row r="2438" spans="1:5" x14ac:dyDescent="0.35">
      <c r="A2438" s="32">
        <v>2801</v>
      </c>
      <c r="B2438" s="32" t="s">
        <v>634</v>
      </c>
      <c r="C2438" s="32" t="s">
        <v>648</v>
      </c>
      <c r="D2438" s="30" t="s">
        <v>573</v>
      </c>
      <c r="E2438" s="30" t="s">
        <v>637</v>
      </c>
    </row>
    <row r="2439" spans="1:5" x14ac:dyDescent="0.35">
      <c r="A2439" s="32">
        <v>2802</v>
      </c>
      <c r="B2439" s="32" t="s">
        <v>634</v>
      </c>
      <c r="C2439" s="32" t="s">
        <v>624</v>
      </c>
      <c r="D2439" s="30" t="s">
        <v>573</v>
      </c>
      <c r="E2439" s="30" t="s">
        <v>637</v>
      </c>
    </row>
    <row r="2440" spans="1:5" x14ac:dyDescent="0.35">
      <c r="A2440" s="32">
        <v>2803</v>
      </c>
      <c r="B2440" s="32" t="s">
        <v>641</v>
      </c>
      <c r="C2440" s="32" t="s">
        <v>648</v>
      </c>
      <c r="D2440" s="30" t="s">
        <v>573</v>
      </c>
      <c r="E2440" s="30" t="s">
        <v>637</v>
      </c>
    </row>
    <row r="2441" spans="1:5" x14ac:dyDescent="0.35">
      <c r="A2441" s="32">
        <v>2804</v>
      </c>
      <c r="B2441" s="32" t="s">
        <v>641</v>
      </c>
      <c r="C2441" s="32" t="s">
        <v>624</v>
      </c>
      <c r="D2441" s="30" t="s">
        <v>573</v>
      </c>
      <c r="E2441" s="30" t="s">
        <v>637</v>
      </c>
    </row>
    <row r="2442" spans="1:5" x14ac:dyDescent="0.35">
      <c r="A2442" s="32">
        <v>2805</v>
      </c>
      <c r="B2442" s="32" t="s">
        <v>571</v>
      </c>
      <c r="C2442" s="32" t="s">
        <v>648</v>
      </c>
      <c r="D2442" s="30" t="s">
        <v>573</v>
      </c>
      <c r="E2442" s="30" t="s">
        <v>637</v>
      </c>
    </row>
    <row r="2443" spans="1:5" x14ac:dyDescent="0.35">
      <c r="A2443" s="32">
        <v>2806</v>
      </c>
      <c r="B2443" s="32" t="s">
        <v>571</v>
      </c>
      <c r="C2443" s="32" t="s">
        <v>624</v>
      </c>
      <c r="D2443" s="30" t="s">
        <v>573</v>
      </c>
      <c r="E2443" s="30" t="s">
        <v>637</v>
      </c>
    </row>
    <row r="2444" spans="1:5" x14ac:dyDescent="0.35">
      <c r="A2444" s="32">
        <v>2807</v>
      </c>
      <c r="B2444" s="32" t="s">
        <v>634</v>
      </c>
      <c r="C2444" s="32" t="s">
        <v>648</v>
      </c>
      <c r="D2444" s="30" t="s">
        <v>573</v>
      </c>
      <c r="E2444" s="30" t="s">
        <v>637</v>
      </c>
    </row>
    <row r="2445" spans="1:5" x14ac:dyDescent="0.35">
      <c r="A2445" s="32">
        <v>2808</v>
      </c>
      <c r="B2445" s="32" t="s">
        <v>634</v>
      </c>
      <c r="C2445" s="32" t="s">
        <v>624</v>
      </c>
      <c r="D2445" s="30" t="s">
        <v>573</v>
      </c>
      <c r="E2445" s="30" t="s">
        <v>637</v>
      </c>
    </row>
    <row r="2446" spans="1:5" x14ac:dyDescent="0.35">
      <c r="A2446" s="32">
        <v>2809</v>
      </c>
      <c r="B2446" s="32" t="s">
        <v>634</v>
      </c>
      <c r="C2446" s="32" t="s">
        <v>648</v>
      </c>
      <c r="D2446" s="30" t="s">
        <v>573</v>
      </c>
      <c r="E2446" s="30" t="s">
        <v>637</v>
      </c>
    </row>
    <row r="2447" spans="1:5" x14ac:dyDescent="0.35">
      <c r="A2447" s="32">
        <v>2810</v>
      </c>
      <c r="B2447" s="32" t="s">
        <v>634</v>
      </c>
      <c r="C2447" s="32" t="s">
        <v>624</v>
      </c>
      <c r="D2447" s="30" t="s">
        <v>573</v>
      </c>
      <c r="E2447" s="30" t="s">
        <v>637</v>
      </c>
    </row>
    <row r="2448" spans="1:5" x14ac:dyDescent="0.35">
      <c r="A2448" s="32">
        <v>2811</v>
      </c>
      <c r="B2448" s="32" t="s">
        <v>641</v>
      </c>
      <c r="C2448" s="32" t="s">
        <v>584</v>
      </c>
      <c r="D2448" s="30" t="s">
        <v>573</v>
      </c>
      <c r="E2448" s="30" t="s">
        <v>637</v>
      </c>
    </row>
    <row r="2449" spans="1:5" x14ac:dyDescent="0.35">
      <c r="A2449" s="32">
        <v>2812</v>
      </c>
      <c r="B2449" s="32" t="s">
        <v>641</v>
      </c>
      <c r="C2449" s="32" t="s">
        <v>584</v>
      </c>
      <c r="D2449" s="30" t="s">
        <v>573</v>
      </c>
      <c r="E2449" s="30" t="s">
        <v>637</v>
      </c>
    </row>
    <row r="2450" spans="1:5" x14ac:dyDescent="0.35">
      <c r="A2450" s="32">
        <v>2813</v>
      </c>
      <c r="B2450" s="32" t="s">
        <v>641</v>
      </c>
      <c r="C2450" s="32" t="s">
        <v>584</v>
      </c>
      <c r="D2450" s="30" t="s">
        <v>573</v>
      </c>
      <c r="E2450" s="30" t="s">
        <v>637</v>
      </c>
    </row>
    <row r="2451" spans="1:5" x14ac:dyDescent="0.35">
      <c r="A2451" s="32">
        <v>2814</v>
      </c>
      <c r="B2451" s="32" t="s">
        <v>610</v>
      </c>
      <c r="C2451" s="32" t="s">
        <v>584</v>
      </c>
      <c r="D2451" s="30" t="s">
        <v>573</v>
      </c>
      <c r="E2451" s="30" t="s">
        <v>637</v>
      </c>
    </row>
    <row r="2452" spans="1:5" x14ac:dyDescent="0.35">
      <c r="A2452" s="32">
        <v>2815</v>
      </c>
      <c r="B2452" s="32" t="s">
        <v>571</v>
      </c>
      <c r="C2452" s="32" t="s">
        <v>584</v>
      </c>
      <c r="D2452" s="30" t="s">
        <v>573</v>
      </c>
      <c r="E2452" s="30" t="s">
        <v>637</v>
      </c>
    </row>
    <row r="2453" spans="1:5" x14ac:dyDescent="0.35">
      <c r="A2453" s="32">
        <v>2816</v>
      </c>
      <c r="B2453" s="32" t="s">
        <v>571</v>
      </c>
      <c r="C2453" s="32" t="s">
        <v>584</v>
      </c>
      <c r="D2453" s="30" t="s">
        <v>573</v>
      </c>
      <c r="E2453" s="30" t="s">
        <v>637</v>
      </c>
    </row>
    <row r="2454" spans="1:5" x14ac:dyDescent="0.35">
      <c r="A2454" s="32">
        <v>2817</v>
      </c>
      <c r="B2454" s="32" t="s">
        <v>571</v>
      </c>
      <c r="C2454" s="32" t="s">
        <v>584</v>
      </c>
      <c r="D2454" s="30" t="s">
        <v>573</v>
      </c>
      <c r="E2454" s="30" t="s">
        <v>637</v>
      </c>
    </row>
    <row r="2455" spans="1:5" x14ac:dyDescent="0.35">
      <c r="A2455" s="32">
        <v>2818</v>
      </c>
      <c r="B2455" s="32" t="s">
        <v>571</v>
      </c>
      <c r="C2455" s="32" t="s">
        <v>584</v>
      </c>
      <c r="D2455" s="30" t="s">
        <v>573</v>
      </c>
      <c r="E2455" s="30" t="s">
        <v>637</v>
      </c>
    </row>
    <row r="2456" spans="1:5" x14ac:dyDescent="0.35">
      <c r="A2456" s="32">
        <v>2819</v>
      </c>
      <c r="B2456" s="32" t="s">
        <v>611</v>
      </c>
      <c r="C2456" s="32" t="s">
        <v>584</v>
      </c>
      <c r="D2456" s="30" t="s">
        <v>651</v>
      </c>
      <c r="E2456" s="30" t="s">
        <v>670</v>
      </c>
    </row>
    <row r="2457" spans="1:5" x14ac:dyDescent="0.35">
      <c r="A2457" s="32">
        <v>2820</v>
      </c>
      <c r="B2457" s="32" t="s">
        <v>610</v>
      </c>
      <c r="C2457" s="32" t="s">
        <v>584</v>
      </c>
      <c r="D2457" s="30" t="s">
        <v>651</v>
      </c>
      <c r="E2457" s="30" t="s">
        <v>670</v>
      </c>
    </row>
    <row r="2458" spans="1:5" x14ac:dyDescent="0.35">
      <c r="A2458" s="32">
        <v>2821</v>
      </c>
      <c r="B2458" s="32" t="s">
        <v>571</v>
      </c>
      <c r="C2458" s="32" t="s">
        <v>584</v>
      </c>
      <c r="D2458" s="30" t="s">
        <v>651</v>
      </c>
      <c r="E2458" s="30" t="s">
        <v>670</v>
      </c>
    </row>
    <row r="2459" spans="1:5" x14ac:dyDescent="0.35">
      <c r="A2459" s="32">
        <v>2822</v>
      </c>
      <c r="B2459" s="32" t="s">
        <v>610</v>
      </c>
      <c r="C2459" s="32" t="s">
        <v>584</v>
      </c>
      <c r="D2459" s="30" t="s">
        <v>651</v>
      </c>
      <c r="E2459" s="30" t="s">
        <v>670</v>
      </c>
    </row>
    <row r="2460" spans="1:5" x14ac:dyDescent="0.35">
      <c r="A2460" s="32">
        <v>2823</v>
      </c>
      <c r="B2460" s="32" t="s">
        <v>571</v>
      </c>
      <c r="C2460" s="32" t="s">
        <v>584</v>
      </c>
      <c r="D2460" s="30" t="s">
        <v>651</v>
      </c>
      <c r="E2460" s="30" t="s">
        <v>670</v>
      </c>
    </row>
    <row r="2461" spans="1:5" x14ac:dyDescent="0.35">
      <c r="A2461" s="32">
        <v>2824</v>
      </c>
      <c r="B2461" s="32" t="s">
        <v>610</v>
      </c>
      <c r="C2461" s="32" t="s">
        <v>584</v>
      </c>
      <c r="D2461" s="30" t="s">
        <v>573</v>
      </c>
      <c r="E2461" s="30" t="s">
        <v>637</v>
      </c>
    </row>
    <row r="2462" spans="1:5" x14ac:dyDescent="0.35">
      <c r="A2462" s="32">
        <v>2825</v>
      </c>
      <c r="B2462" s="32" t="s">
        <v>610</v>
      </c>
      <c r="C2462" s="32" t="s">
        <v>584</v>
      </c>
      <c r="D2462" s="30" t="s">
        <v>573</v>
      </c>
      <c r="E2462" s="30" t="s">
        <v>637</v>
      </c>
    </row>
    <row r="2463" spans="1:5" x14ac:dyDescent="0.35">
      <c r="A2463" s="32">
        <v>2826</v>
      </c>
      <c r="B2463" s="32" t="s">
        <v>610</v>
      </c>
      <c r="C2463" s="32" t="s">
        <v>584</v>
      </c>
      <c r="D2463" s="30" t="s">
        <v>573</v>
      </c>
      <c r="E2463" s="30" t="s">
        <v>637</v>
      </c>
    </row>
    <row r="2464" spans="1:5" x14ac:dyDescent="0.35">
      <c r="A2464" s="32">
        <v>2827</v>
      </c>
      <c r="B2464" s="32" t="s">
        <v>610</v>
      </c>
      <c r="C2464" s="32" t="s">
        <v>584</v>
      </c>
      <c r="D2464" s="30" t="s">
        <v>659</v>
      </c>
      <c r="E2464" s="30" t="s">
        <v>660</v>
      </c>
    </row>
    <row r="2465" spans="1:5" x14ac:dyDescent="0.35">
      <c r="A2465" s="32">
        <v>2828</v>
      </c>
      <c r="B2465" s="32" t="s">
        <v>610</v>
      </c>
      <c r="C2465" s="32" t="s">
        <v>584</v>
      </c>
      <c r="D2465" s="30" t="s">
        <v>659</v>
      </c>
      <c r="E2465" s="30" t="s">
        <v>660</v>
      </c>
    </row>
    <row r="2466" spans="1:5" x14ac:dyDescent="0.35">
      <c r="A2466" s="32">
        <v>2829</v>
      </c>
      <c r="B2466" s="32" t="s">
        <v>634</v>
      </c>
      <c r="C2466" s="32" t="s">
        <v>648</v>
      </c>
      <c r="D2466" s="30" t="s">
        <v>632</v>
      </c>
      <c r="E2466" s="30" t="s">
        <v>684</v>
      </c>
    </row>
    <row r="2467" spans="1:5" x14ac:dyDescent="0.35">
      <c r="A2467" s="32">
        <v>2830</v>
      </c>
      <c r="B2467" s="32" t="s">
        <v>611</v>
      </c>
      <c r="C2467" s="32" t="s">
        <v>648</v>
      </c>
      <c r="D2467" s="30" t="s">
        <v>632</v>
      </c>
      <c r="E2467" s="30" t="s">
        <v>684</v>
      </c>
    </row>
    <row r="2468" spans="1:5" x14ac:dyDescent="0.35">
      <c r="A2468" s="32">
        <v>2831</v>
      </c>
      <c r="B2468" s="32" t="s">
        <v>641</v>
      </c>
      <c r="C2468" s="32" t="s">
        <v>648</v>
      </c>
      <c r="D2468" s="30" t="s">
        <v>632</v>
      </c>
      <c r="E2468" s="30" t="s">
        <v>684</v>
      </c>
    </row>
    <row r="2469" spans="1:5" x14ac:dyDescent="0.35">
      <c r="A2469" s="32">
        <v>2832</v>
      </c>
      <c r="B2469" s="32" t="s">
        <v>571</v>
      </c>
      <c r="C2469" s="32" t="s">
        <v>648</v>
      </c>
      <c r="D2469" s="30" t="s">
        <v>632</v>
      </c>
      <c r="E2469" s="30" t="s">
        <v>684</v>
      </c>
    </row>
    <row r="2470" spans="1:5" x14ac:dyDescent="0.35">
      <c r="A2470" s="32">
        <v>2833</v>
      </c>
      <c r="B2470" s="32" t="s">
        <v>610</v>
      </c>
      <c r="C2470" s="32" t="s">
        <v>648</v>
      </c>
      <c r="D2470" s="30" t="s">
        <v>632</v>
      </c>
      <c r="E2470" s="30" t="s">
        <v>684</v>
      </c>
    </row>
    <row r="2471" spans="1:5" x14ac:dyDescent="0.35">
      <c r="A2471" s="32">
        <v>2834</v>
      </c>
      <c r="B2471" s="32" t="s">
        <v>634</v>
      </c>
      <c r="C2471" s="32" t="s">
        <v>584</v>
      </c>
      <c r="D2471" s="30" t="s">
        <v>599</v>
      </c>
      <c r="E2471" s="30" t="s">
        <v>629</v>
      </c>
    </row>
    <row r="2472" spans="1:5" x14ac:dyDescent="0.35">
      <c r="A2472" s="32">
        <v>2835</v>
      </c>
      <c r="B2472" s="32" t="s">
        <v>634</v>
      </c>
      <c r="C2472" s="32" t="s">
        <v>584</v>
      </c>
      <c r="D2472" s="30" t="s">
        <v>599</v>
      </c>
      <c r="E2472" s="30" t="s">
        <v>629</v>
      </c>
    </row>
    <row r="2473" spans="1:5" x14ac:dyDescent="0.35">
      <c r="A2473" s="32">
        <v>2836</v>
      </c>
      <c r="B2473" s="32" t="s">
        <v>634</v>
      </c>
      <c r="C2473" s="32" t="s">
        <v>584</v>
      </c>
      <c r="D2473" s="30" t="s">
        <v>599</v>
      </c>
      <c r="E2473" s="30" t="s">
        <v>629</v>
      </c>
    </row>
    <row r="2474" spans="1:5" x14ac:dyDescent="0.35">
      <c r="A2474" s="32">
        <v>2837</v>
      </c>
      <c r="B2474" s="32" t="s">
        <v>571</v>
      </c>
      <c r="C2474" s="32" t="s">
        <v>584</v>
      </c>
      <c r="D2474" s="30" t="s">
        <v>599</v>
      </c>
      <c r="E2474" s="30" t="s">
        <v>629</v>
      </c>
    </row>
    <row r="2475" spans="1:5" x14ac:dyDescent="0.35">
      <c r="A2475" s="32">
        <v>2838</v>
      </c>
      <c r="B2475" s="32" t="s">
        <v>571</v>
      </c>
      <c r="C2475" s="32" t="s">
        <v>584</v>
      </c>
      <c r="D2475" s="30" t="s">
        <v>599</v>
      </c>
      <c r="E2475" s="30" t="s">
        <v>629</v>
      </c>
    </row>
    <row r="2476" spans="1:5" x14ac:dyDescent="0.35">
      <c r="A2476" s="32">
        <v>2839</v>
      </c>
      <c r="B2476" s="32" t="s">
        <v>571</v>
      </c>
      <c r="C2476" s="32" t="s">
        <v>584</v>
      </c>
      <c r="D2476" s="30" t="s">
        <v>599</v>
      </c>
      <c r="E2476" s="30" t="s">
        <v>629</v>
      </c>
    </row>
    <row r="2477" spans="1:5" x14ac:dyDescent="0.35">
      <c r="A2477" s="32">
        <v>2840</v>
      </c>
      <c r="B2477" s="32" t="s">
        <v>571</v>
      </c>
      <c r="C2477" s="32" t="s">
        <v>584</v>
      </c>
      <c r="D2477" s="30" t="s">
        <v>573</v>
      </c>
      <c r="E2477" s="30" t="s">
        <v>638</v>
      </c>
    </row>
    <row r="2478" spans="1:5" x14ac:dyDescent="0.35">
      <c r="A2478" s="32">
        <v>2841</v>
      </c>
      <c r="B2478" s="32" t="s">
        <v>571</v>
      </c>
      <c r="C2478" s="32" t="s">
        <v>584</v>
      </c>
      <c r="D2478" s="30" t="s">
        <v>573</v>
      </c>
      <c r="E2478" s="30" t="s">
        <v>638</v>
      </c>
    </row>
    <row r="2479" spans="1:5" x14ac:dyDescent="0.35">
      <c r="A2479" s="32">
        <v>2842</v>
      </c>
      <c r="B2479" s="32" t="s">
        <v>571</v>
      </c>
      <c r="C2479" s="32" t="s">
        <v>584</v>
      </c>
      <c r="D2479" s="30" t="s">
        <v>573</v>
      </c>
      <c r="E2479" s="30" t="s">
        <v>638</v>
      </c>
    </row>
    <row r="2480" spans="1:5" x14ac:dyDescent="0.35">
      <c r="A2480" s="32">
        <v>2843</v>
      </c>
      <c r="B2480" s="32" t="s">
        <v>571</v>
      </c>
      <c r="C2480" s="32" t="s">
        <v>584</v>
      </c>
      <c r="D2480" s="30" t="s">
        <v>573</v>
      </c>
      <c r="E2480" s="30" t="s">
        <v>638</v>
      </c>
    </row>
    <row r="2481" spans="1:5" x14ac:dyDescent="0.35">
      <c r="A2481" s="32">
        <v>2844</v>
      </c>
      <c r="B2481" s="32" t="s">
        <v>611</v>
      </c>
      <c r="C2481" s="32" t="s">
        <v>584</v>
      </c>
      <c r="D2481" s="30" t="s">
        <v>573</v>
      </c>
      <c r="E2481" s="30" t="s">
        <v>638</v>
      </c>
    </row>
    <row r="2482" spans="1:5" x14ac:dyDescent="0.35">
      <c r="A2482" s="32">
        <v>2845</v>
      </c>
      <c r="B2482" s="32" t="s">
        <v>611</v>
      </c>
      <c r="C2482" s="32" t="s">
        <v>584</v>
      </c>
      <c r="D2482" s="30" t="s">
        <v>573</v>
      </c>
      <c r="E2482" s="30" t="s">
        <v>638</v>
      </c>
    </row>
    <row r="2483" spans="1:5" x14ac:dyDescent="0.35">
      <c r="A2483" s="32">
        <v>2846</v>
      </c>
      <c r="B2483" s="32" t="s">
        <v>610</v>
      </c>
      <c r="C2483" s="32" t="s">
        <v>584</v>
      </c>
      <c r="D2483" s="30" t="s">
        <v>573</v>
      </c>
      <c r="E2483" s="30" t="s">
        <v>638</v>
      </c>
    </row>
    <row r="2484" spans="1:5" x14ac:dyDescent="0.35">
      <c r="A2484" s="32">
        <v>2847</v>
      </c>
      <c r="B2484" s="32" t="s">
        <v>610</v>
      </c>
      <c r="C2484" s="32" t="s">
        <v>584</v>
      </c>
      <c r="D2484" s="30" t="s">
        <v>573</v>
      </c>
      <c r="E2484" s="30" t="s">
        <v>638</v>
      </c>
    </row>
    <row r="2485" spans="1:5" x14ac:dyDescent="0.35">
      <c r="A2485" s="32">
        <v>2848</v>
      </c>
      <c r="B2485" s="32" t="s">
        <v>610</v>
      </c>
      <c r="C2485" s="32" t="s">
        <v>584</v>
      </c>
      <c r="D2485" s="30" t="s">
        <v>612</v>
      </c>
      <c r="E2485" s="30" t="s">
        <v>613</v>
      </c>
    </row>
    <row r="2486" spans="1:5" x14ac:dyDescent="0.35">
      <c r="A2486" s="32">
        <v>2849</v>
      </c>
      <c r="B2486" s="32" t="s">
        <v>610</v>
      </c>
      <c r="C2486" s="32" t="s">
        <v>605</v>
      </c>
      <c r="D2486" s="30" t="s">
        <v>639</v>
      </c>
      <c r="E2486" s="30" t="s">
        <v>646</v>
      </c>
    </row>
    <row r="2487" spans="1:5" x14ac:dyDescent="0.35">
      <c r="A2487" s="32">
        <v>2850</v>
      </c>
      <c r="B2487" s="32" t="s">
        <v>610</v>
      </c>
      <c r="C2487" s="32" t="s">
        <v>648</v>
      </c>
      <c r="D2487" s="30" t="s">
        <v>639</v>
      </c>
      <c r="E2487" s="30" t="s">
        <v>646</v>
      </c>
    </row>
    <row r="2488" spans="1:5" x14ac:dyDescent="0.35">
      <c r="A2488" s="32">
        <v>2851</v>
      </c>
      <c r="B2488" s="32" t="s">
        <v>610</v>
      </c>
      <c r="C2488" s="32" t="s">
        <v>624</v>
      </c>
      <c r="D2488" s="30" t="s">
        <v>639</v>
      </c>
      <c r="E2488" s="30" t="s">
        <v>646</v>
      </c>
    </row>
    <row r="2489" spans="1:5" x14ac:dyDescent="0.35">
      <c r="A2489" s="32">
        <v>2852</v>
      </c>
      <c r="B2489" s="32" t="s">
        <v>571</v>
      </c>
      <c r="C2489" s="32" t="s">
        <v>648</v>
      </c>
      <c r="D2489" s="30" t="s">
        <v>632</v>
      </c>
      <c r="E2489" s="30" t="s">
        <v>633</v>
      </c>
    </row>
    <row r="2490" spans="1:5" x14ac:dyDescent="0.35">
      <c r="A2490" s="32">
        <v>2853</v>
      </c>
      <c r="B2490" s="32" t="s">
        <v>571</v>
      </c>
      <c r="C2490" s="32" t="s">
        <v>648</v>
      </c>
      <c r="D2490" s="30" t="s">
        <v>632</v>
      </c>
      <c r="E2490" s="30" t="s">
        <v>633</v>
      </c>
    </row>
    <row r="2491" spans="1:5" x14ac:dyDescent="0.35">
      <c r="A2491" s="32">
        <v>2854</v>
      </c>
      <c r="B2491" s="32" t="s">
        <v>571</v>
      </c>
      <c r="C2491" s="32" t="s">
        <v>648</v>
      </c>
      <c r="D2491" s="30" t="s">
        <v>632</v>
      </c>
      <c r="E2491" s="30" t="s">
        <v>633</v>
      </c>
    </row>
    <row r="2492" spans="1:5" x14ac:dyDescent="0.35">
      <c r="A2492" s="32">
        <v>2855</v>
      </c>
      <c r="B2492" s="32" t="s">
        <v>611</v>
      </c>
      <c r="C2492" s="32" t="s">
        <v>648</v>
      </c>
      <c r="D2492" s="30" t="s">
        <v>632</v>
      </c>
      <c r="E2492" s="30" t="s">
        <v>633</v>
      </c>
    </row>
    <row r="2493" spans="1:5" x14ac:dyDescent="0.35">
      <c r="A2493" s="32">
        <v>2856</v>
      </c>
      <c r="B2493" s="32" t="s">
        <v>642</v>
      </c>
      <c r="C2493" s="32" t="s">
        <v>648</v>
      </c>
      <c r="D2493" s="30" t="s">
        <v>632</v>
      </c>
      <c r="E2493" s="30" t="s">
        <v>633</v>
      </c>
    </row>
    <row r="2494" spans="1:5" x14ac:dyDescent="0.35">
      <c r="A2494" s="32">
        <v>2857</v>
      </c>
      <c r="B2494" s="32" t="s">
        <v>641</v>
      </c>
      <c r="C2494" s="32" t="s">
        <v>648</v>
      </c>
      <c r="D2494" s="30" t="s">
        <v>632</v>
      </c>
      <c r="E2494" s="30" t="s">
        <v>633</v>
      </c>
    </row>
    <row r="2495" spans="1:5" x14ac:dyDescent="0.35">
      <c r="A2495" s="32">
        <v>2858</v>
      </c>
      <c r="B2495" s="32" t="s">
        <v>634</v>
      </c>
      <c r="C2495" s="32" t="s">
        <v>648</v>
      </c>
      <c r="D2495" s="30" t="s">
        <v>632</v>
      </c>
      <c r="E2495" s="30" t="s">
        <v>633</v>
      </c>
    </row>
    <row r="2496" spans="1:5" x14ac:dyDescent="0.35">
      <c r="A2496" s="32">
        <v>2859</v>
      </c>
      <c r="B2496" s="32" t="s">
        <v>610</v>
      </c>
      <c r="C2496" s="32" t="s">
        <v>648</v>
      </c>
      <c r="D2496" s="30" t="s">
        <v>632</v>
      </c>
      <c r="E2496" s="30" t="s">
        <v>633</v>
      </c>
    </row>
    <row r="2497" spans="1:5" x14ac:dyDescent="0.35">
      <c r="A2497" s="32">
        <v>2860</v>
      </c>
      <c r="B2497" s="32" t="s">
        <v>610</v>
      </c>
      <c r="C2497" s="32" t="s">
        <v>648</v>
      </c>
      <c r="D2497" s="30" t="s">
        <v>632</v>
      </c>
      <c r="E2497" s="30" t="s">
        <v>633</v>
      </c>
    </row>
    <row r="2498" spans="1:5" x14ac:dyDescent="0.35">
      <c r="A2498" s="32">
        <v>2861</v>
      </c>
      <c r="B2498" s="32" t="s">
        <v>610</v>
      </c>
      <c r="C2498" s="32" t="s">
        <v>648</v>
      </c>
      <c r="D2498" s="30" t="s">
        <v>632</v>
      </c>
      <c r="E2498" s="30" t="s">
        <v>633</v>
      </c>
    </row>
    <row r="2499" spans="1:5" x14ac:dyDescent="0.35">
      <c r="A2499" s="32">
        <v>2862</v>
      </c>
      <c r="B2499" s="32" t="s">
        <v>610</v>
      </c>
      <c r="C2499" s="32" t="s">
        <v>648</v>
      </c>
      <c r="D2499" s="30" t="s">
        <v>632</v>
      </c>
      <c r="E2499" s="30" t="s">
        <v>633</v>
      </c>
    </row>
    <row r="2500" spans="1:5" x14ac:dyDescent="0.35">
      <c r="A2500" s="32">
        <v>2863</v>
      </c>
      <c r="B2500" s="32" t="s">
        <v>642</v>
      </c>
      <c r="C2500" s="32" t="s">
        <v>648</v>
      </c>
      <c r="D2500" s="30" t="s">
        <v>632</v>
      </c>
      <c r="E2500" s="30" t="s">
        <v>633</v>
      </c>
    </row>
    <row r="2501" spans="1:5" x14ac:dyDescent="0.35">
      <c r="A2501" s="32">
        <v>2864</v>
      </c>
      <c r="B2501" s="32" t="s">
        <v>642</v>
      </c>
      <c r="C2501" s="32" t="s">
        <v>648</v>
      </c>
      <c r="D2501" s="30" t="s">
        <v>632</v>
      </c>
      <c r="E2501" s="30" t="s">
        <v>633</v>
      </c>
    </row>
    <row r="2502" spans="1:5" x14ac:dyDescent="0.35">
      <c r="A2502" s="32">
        <v>2865</v>
      </c>
      <c r="B2502" s="32" t="s">
        <v>642</v>
      </c>
      <c r="C2502" s="32" t="s">
        <v>605</v>
      </c>
      <c r="D2502" s="30" t="s">
        <v>632</v>
      </c>
      <c r="E2502" s="30" t="s">
        <v>633</v>
      </c>
    </row>
    <row r="2503" spans="1:5" x14ac:dyDescent="0.35">
      <c r="A2503" s="32">
        <v>2866</v>
      </c>
      <c r="B2503" s="32" t="s">
        <v>642</v>
      </c>
      <c r="C2503" s="32" t="s">
        <v>648</v>
      </c>
      <c r="D2503" s="30" t="s">
        <v>632</v>
      </c>
      <c r="E2503" s="30" t="s">
        <v>633</v>
      </c>
    </row>
    <row r="2504" spans="1:5" x14ac:dyDescent="0.35">
      <c r="A2504" s="32">
        <v>2867</v>
      </c>
      <c r="B2504" s="32" t="s">
        <v>611</v>
      </c>
      <c r="C2504" s="32" t="s">
        <v>605</v>
      </c>
      <c r="D2504" s="30" t="s">
        <v>632</v>
      </c>
      <c r="E2504" s="30" t="s">
        <v>633</v>
      </c>
    </row>
    <row r="2505" spans="1:5" x14ac:dyDescent="0.35">
      <c r="A2505" s="32">
        <v>2868</v>
      </c>
      <c r="B2505" s="32" t="s">
        <v>611</v>
      </c>
      <c r="C2505" s="32" t="s">
        <v>648</v>
      </c>
      <c r="D2505" s="30" t="s">
        <v>632</v>
      </c>
      <c r="E2505" s="30" t="s">
        <v>633</v>
      </c>
    </row>
    <row r="2506" spans="1:5" x14ac:dyDescent="0.35">
      <c r="A2506" s="32">
        <v>2869</v>
      </c>
      <c r="B2506" s="32" t="s">
        <v>611</v>
      </c>
      <c r="C2506" s="32" t="s">
        <v>648</v>
      </c>
      <c r="D2506" s="30" t="s">
        <v>632</v>
      </c>
      <c r="E2506" s="30" t="s">
        <v>633</v>
      </c>
    </row>
    <row r="2507" spans="1:5" x14ac:dyDescent="0.35">
      <c r="A2507" s="32">
        <v>2870</v>
      </c>
      <c r="B2507" s="32" t="s">
        <v>571</v>
      </c>
      <c r="C2507" s="32" t="s">
        <v>648</v>
      </c>
      <c r="D2507" s="30" t="s">
        <v>632</v>
      </c>
      <c r="E2507" s="30" t="s">
        <v>633</v>
      </c>
    </row>
    <row r="2508" spans="1:5" x14ac:dyDescent="0.35">
      <c r="A2508" s="32">
        <v>2871</v>
      </c>
      <c r="B2508" s="32" t="s">
        <v>571</v>
      </c>
      <c r="C2508" s="32" t="s">
        <v>648</v>
      </c>
      <c r="D2508" s="30" t="s">
        <v>632</v>
      </c>
      <c r="E2508" s="30" t="s">
        <v>633</v>
      </c>
    </row>
    <row r="2509" spans="1:5" x14ac:dyDescent="0.35">
      <c r="A2509" s="32">
        <v>2872</v>
      </c>
      <c r="B2509" s="32" t="s">
        <v>571</v>
      </c>
      <c r="C2509" s="32" t="s">
        <v>648</v>
      </c>
      <c r="D2509" s="30" t="s">
        <v>632</v>
      </c>
      <c r="E2509" s="30" t="s">
        <v>633</v>
      </c>
    </row>
    <row r="2510" spans="1:5" x14ac:dyDescent="0.35">
      <c r="A2510" s="32">
        <v>2873</v>
      </c>
      <c r="B2510" s="32" t="s">
        <v>634</v>
      </c>
      <c r="C2510" s="32" t="s">
        <v>648</v>
      </c>
      <c r="D2510" s="30" t="s">
        <v>632</v>
      </c>
      <c r="E2510" s="30" t="s">
        <v>633</v>
      </c>
    </row>
    <row r="2511" spans="1:5" x14ac:dyDescent="0.35">
      <c r="A2511" s="32">
        <v>2874</v>
      </c>
      <c r="B2511" s="32" t="s">
        <v>610</v>
      </c>
      <c r="C2511" s="32" t="s">
        <v>605</v>
      </c>
      <c r="D2511" s="30" t="s">
        <v>630</v>
      </c>
      <c r="E2511" s="30" t="s">
        <v>685</v>
      </c>
    </row>
    <row r="2512" spans="1:5" x14ac:dyDescent="0.35">
      <c r="A2512" s="32">
        <v>2875</v>
      </c>
      <c r="B2512" s="32" t="s">
        <v>571</v>
      </c>
      <c r="C2512" s="32" t="s">
        <v>648</v>
      </c>
      <c r="D2512" s="30" t="s">
        <v>656</v>
      </c>
      <c r="E2512" s="30" t="s">
        <v>661</v>
      </c>
    </row>
    <row r="2513" spans="1:5" x14ac:dyDescent="0.35">
      <c r="A2513" s="32">
        <v>2876</v>
      </c>
      <c r="B2513" s="32" t="s">
        <v>571</v>
      </c>
      <c r="C2513" s="32" t="s">
        <v>648</v>
      </c>
      <c r="D2513" s="30" t="s">
        <v>639</v>
      </c>
      <c r="E2513" s="30" t="s">
        <v>654</v>
      </c>
    </row>
    <row r="2514" spans="1:5" x14ac:dyDescent="0.35">
      <c r="A2514" s="32">
        <v>2877</v>
      </c>
      <c r="B2514" s="32" t="s">
        <v>571</v>
      </c>
      <c r="C2514" s="32" t="s">
        <v>648</v>
      </c>
      <c r="D2514" s="30" t="s">
        <v>639</v>
      </c>
      <c r="E2514" s="30" t="s">
        <v>654</v>
      </c>
    </row>
    <row r="2515" spans="1:5" x14ac:dyDescent="0.35">
      <c r="A2515" s="32">
        <v>2878</v>
      </c>
      <c r="B2515" s="32" t="s">
        <v>571</v>
      </c>
      <c r="C2515" s="32" t="s">
        <v>648</v>
      </c>
      <c r="D2515" s="30" t="s">
        <v>639</v>
      </c>
      <c r="E2515" s="30" t="s">
        <v>654</v>
      </c>
    </row>
    <row r="2516" spans="1:5" x14ac:dyDescent="0.35">
      <c r="A2516" s="32">
        <v>2880</v>
      </c>
      <c r="B2516" s="32" t="s">
        <v>571</v>
      </c>
      <c r="C2516" s="32" t="s">
        <v>605</v>
      </c>
      <c r="D2516" s="30" t="s">
        <v>643</v>
      </c>
      <c r="E2516" s="30" t="s">
        <v>686</v>
      </c>
    </row>
    <row r="2517" spans="1:5" x14ac:dyDescent="0.35">
      <c r="A2517" s="32">
        <v>2881</v>
      </c>
      <c r="B2517" s="32" t="s">
        <v>571</v>
      </c>
      <c r="C2517" s="32" t="s">
        <v>584</v>
      </c>
      <c r="D2517" s="30" t="s">
        <v>643</v>
      </c>
      <c r="E2517" s="30" t="s">
        <v>686</v>
      </c>
    </row>
    <row r="2518" spans="1:5" x14ac:dyDescent="0.35">
      <c r="A2518" s="32">
        <v>2882</v>
      </c>
      <c r="B2518" s="32" t="s">
        <v>571</v>
      </c>
      <c r="C2518" s="32" t="s">
        <v>584</v>
      </c>
      <c r="D2518" s="30" t="s">
        <v>643</v>
      </c>
      <c r="E2518" s="30" t="s">
        <v>686</v>
      </c>
    </row>
    <row r="2519" spans="1:5" x14ac:dyDescent="0.35">
      <c r="A2519" s="32">
        <v>2883</v>
      </c>
      <c r="B2519" s="32" t="s">
        <v>571</v>
      </c>
      <c r="C2519" s="32" t="s">
        <v>584</v>
      </c>
      <c r="D2519" s="30" t="s">
        <v>643</v>
      </c>
      <c r="E2519" s="30" t="s">
        <v>686</v>
      </c>
    </row>
    <row r="2520" spans="1:5" x14ac:dyDescent="0.35">
      <c r="A2520" s="32">
        <v>2884</v>
      </c>
      <c r="B2520" s="32" t="s">
        <v>571</v>
      </c>
      <c r="C2520" s="32" t="s">
        <v>584</v>
      </c>
      <c r="D2520" s="30" t="s">
        <v>643</v>
      </c>
      <c r="E2520" s="30" t="s">
        <v>686</v>
      </c>
    </row>
    <row r="2521" spans="1:5" x14ac:dyDescent="0.35">
      <c r="A2521" s="32">
        <v>2885</v>
      </c>
      <c r="B2521" s="32" t="s">
        <v>571</v>
      </c>
      <c r="C2521" s="32" t="s">
        <v>648</v>
      </c>
      <c r="D2521" s="30" t="s">
        <v>663</v>
      </c>
      <c r="E2521" s="30" t="s">
        <v>687</v>
      </c>
    </row>
    <row r="2522" spans="1:5" x14ac:dyDescent="0.35">
      <c r="A2522" s="32">
        <v>2886</v>
      </c>
      <c r="B2522" s="32" t="s">
        <v>571</v>
      </c>
      <c r="C2522" s="32" t="s">
        <v>584</v>
      </c>
      <c r="D2522" s="30" t="s">
        <v>663</v>
      </c>
      <c r="E2522" s="30" t="s">
        <v>687</v>
      </c>
    </row>
    <row r="2523" spans="1:5" x14ac:dyDescent="0.35">
      <c r="A2523" s="32">
        <v>2887</v>
      </c>
      <c r="B2523" s="32" t="s">
        <v>571</v>
      </c>
      <c r="C2523" s="32" t="s">
        <v>648</v>
      </c>
      <c r="D2523" s="30" t="s">
        <v>663</v>
      </c>
      <c r="E2523" s="30" t="s">
        <v>687</v>
      </c>
    </row>
    <row r="2524" spans="1:5" x14ac:dyDescent="0.35">
      <c r="A2524" s="32">
        <v>2915</v>
      </c>
      <c r="B2524" s="32" t="s">
        <v>571</v>
      </c>
      <c r="C2524" s="32" t="s">
        <v>648</v>
      </c>
      <c r="D2524" s="30" t="s">
        <v>659</v>
      </c>
      <c r="E2524" s="30" t="s">
        <v>660</v>
      </c>
    </row>
    <row r="2525" spans="1:5" x14ac:dyDescent="0.35">
      <c r="A2525" s="32">
        <v>2920</v>
      </c>
      <c r="B2525" s="32" t="s">
        <v>571</v>
      </c>
      <c r="C2525" s="32" t="s">
        <v>648</v>
      </c>
      <c r="D2525" s="30" t="s">
        <v>663</v>
      </c>
      <c r="E2525" s="30" t="s">
        <v>664</v>
      </c>
    </row>
    <row r="2526" spans="1:5" x14ac:dyDescent="0.35">
      <c r="A2526" s="32">
        <v>2921</v>
      </c>
      <c r="B2526" s="32" t="s">
        <v>611</v>
      </c>
      <c r="C2526" s="32" t="s">
        <v>584</v>
      </c>
      <c r="D2526" s="30" t="s">
        <v>573</v>
      </c>
      <c r="E2526" s="30" t="s">
        <v>637</v>
      </c>
    </row>
    <row r="2527" spans="1:5" x14ac:dyDescent="0.35">
      <c r="A2527" s="32">
        <v>2922</v>
      </c>
      <c r="B2527" s="32" t="s">
        <v>610</v>
      </c>
      <c r="C2527" s="32" t="s">
        <v>605</v>
      </c>
      <c r="D2527" s="30" t="s">
        <v>573</v>
      </c>
      <c r="E2527" s="30" t="s">
        <v>638</v>
      </c>
    </row>
    <row r="2528" spans="1:5" x14ac:dyDescent="0.35">
      <c r="A2528" s="32">
        <v>2923</v>
      </c>
      <c r="B2528" s="32" t="s">
        <v>610</v>
      </c>
      <c r="C2528" s="32" t="s">
        <v>605</v>
      </c>
      <c r="D2528" s="30" t="s">
        <v>573</v>
      </c>
      <c r="E2528" s="30" t="s">
        <v>638</v>
      </c>
    </row>
    <row r="2529" spans="1:5" x14ac:dyDescent="0.35">
      <c r="A2529" s="32">
        <v>2924</v>
      </c>
      <c r="B2529" s="32" t="s">
        <v>610</v>
      </c>
      <c r="C2529" s="32" t="s">
        <v>605</v>
      </c>
      <c r="D2529" s="30" t="s">
        <v>573</v>
      </c>
      <c r="E2529" s="30" t="s">
        <v>638</v>
      </c>
    </row>
    <row r="2530" spans="1:5" x14ac:dyDescent="0.35">
      <c r="A2530" s="32">
        <v>2925</v>
      </c>
      <c r="B2530" s="32" t="s">
        <v>571</v>
      </c>
      <c r="C2530" s="32" t="s">
        <v>624</v>
      </c>
      <c r="D2530" s="30" t="s">
        <v>573</v>
      </c>
      <c r="E2530" s="30" t="s">
        <v>574</v>
      </c>
    </row>
    <row r="2531" spans="1:5" x14ac:dyDescent="0.35">
      <c r="A2531" s="32">
        <v>2926</v>
      </c>
      <c r="B2531" s="32" t="s">
        <v>641</v>
      </c>
      <c r="C2531" s="32" t="s">
        <v>624</v>
      </c>
      <c r="D2531" s="30" t="s">
        <v>573</v>
      </c>
      <c r="E2531" s="30" t="s">
        <v>574</v>
      </c>
    </row>
    <row r="2532" spans="1:5" x14ac:dyDescent="0.35">
      <c r="A2532" s="32">
        <v>2927</v>
      </c>
      <c r="B2532" s="32" t="s">
        <v>571</v>
      </c>
      <c r="C2532" s="32" t="s">
        <v>648</v>
      </c>
      <c r="D2532" s="30" t="s">
        <v>573</v>
      </c>
      <c r="E2532" s="30" t="s">
        <v>574</v>
      </c>
    </row>
    <row r="2533" spans="1:5" x14ac:dyDescent="0.35">
      <c r="A2533" s="32">
        <v>2928</v>
      </c>
      <c r="B2533" s="32" t="s">
        <v>641</v>
      </c>
      <c r="C2533" s="32" t="s">
        <v>648</v>
      </c>
      <c r="D2533" s="30" t="s">
        <v>573</v>
      </c>
      <c r="E2533" s="30" t="s">
        <v>574</v>
      </c>
    </row>
    <row r="2534" spans="1:5" x14ac:dyDescent="0.35">
      <c r="A2534" s="32">
        <v>2929</v>
      </c>
      <c r="B2534" s="32" t="s">
        <v>641</v>
      </c>
      <c r="C2534" s="32" t="s">
        <v>648</v>
      </c>
      <c r="D2534" s="30" t="s">
        <v>573</v>
      </c>
      <c r="E2534" s="30" t="s">
        <v>574</v>
      </c>
    </row>
    <row r="2535" spans="1:5" x14ac:dyDescent="0.35">
      <c r="A2535" s="32">
        <v>2930</v>
      </c>
      <c r="B2535" s="32" t="s">
        <v>571</v>
      </c>
      <c r="C2535" s="32" t="s">
        <v>648</v>
      </c>
      <c r="D2535" s="30" t="s">
        <v>573</v>
      </c>
      <c r="E2535" s="30" t="s">
        <v>574</v>
      </c>
    </row>
    <row r="2536" spans="1:5" x14ac:dyDescent="0.35">
      <c r="A2536" s="32">
        <v>2931</v>
      </c>
      <c r="B2536" s="32" t="s">
        <v>641</v>
      </c>
      <c r="C2536" s="32" t="s">
        <v>648</v>
      </c>
      <c r="D2536" s="30" t="s">
        <v>573</v>
      </c>
      <c r="E2536" s="30" t="s">
        <v>574</v>
      </c>
    </row>
    <row r="2537" spans="1:5" x14ac:dyDescent="0.35">
      <c r="A2537" s="32">
        <v>2932</v>
      </c>
      <c r="B2537" s="32" t="s">
        <v>571</v>
      </c>
      <c r="C2537" s="32" t="s">
        <v>648</v>
      </c>
      <c r="D2537" s="30" t="s">
        <v>573</v>
      </c>
      <c r="E2537" s="30" t="s">
        <v>574</v>
      </c>
    </row>
    <row r="2538" spans="1:5" x14ac:dyDescent="0.35">
      <c r="A2538" s="32">
        <v>2933</v>
      </c>
      <c r="B2538" s="32" t="s">
        <v>611</v>
      </c>
      <c r="C2538" s="32" t="s">
        <v>648</v>
      </c>
      <c r="D2538" s="30" t="s">
        <v>573</v>
      </c>
      <c r="E2538" s="30" t="s">
        <v>574</v>
      </c>
    </row>
    <row r="2539" spans="1:5" x14ac:dyDescent="0.35">
      <c r="A2539" s="32">
        <v>2934</v>
      </c>
      <c r="B2539" s="32" t="s">
        <v>610</v>
      </c>
      <c r="C2539" s="32" t="s">
        <v>624</v>
      </c>
      <c r="D2539" s="30" t="s">
        <v>573</v>
      </c>
      <c r="E2539" s="30" t="s">
        <v>574</v>
      </c>
    </row>
    <row r="2540" spans="1:5" x14ac:dyDescent="0.35">
      <c r="A2540" s="32">
        <v>2935</v>
      </c>
      <c r="B2540" s="32" t="s">
        <v>610</v>
      </c>
      <c r="C2540" s="32" t="s">
        <v>584</v>
      </c>
      <c r="D2540" s="30" t="s">
        <v>673</v>
      </c>
      <c r="E2540" s="30" t="s">
        <v>674</v>
      </c>
    </row>
    <row r="2541" spans="1:5" x14ac:dyDescent="0.35">
      <c r="A2541" s="32">
        <v>2936</v>
      </c>
      <c r="B2541" s="32" t="s">
        <v>610</v>
      </c>
      <c r="C2541" s="32" t="s">
        <v>648</v>
      </c>
      <c r="D2541" s="30" t="s">
        <v>573</v>
      </c>
      <c r="E2541" s="30" t="s">
        <v>638</v>
      </c>
    </row>
    <row r="2542" spans="1:5" x14ac:dyDescent="0.35">
      <c r="A2542" s="32">
        <v>2937</v>
      </c>
      <c r="B2542" s="32" t="s">
        <v>610</v>
      </c>
      <c r="C2542" s="32" t="s">
        <v>648</v>
      </c>
      <c r="D2542" s="30" t="s">
        <v>612</v>
      </c>
      <c r="E2542" s="30" t="s">
        <v>613</v>
      </c>
    </row>
    <row r="2543" spans="1:5" x14ac:dyDescent="0.35">
      <c r="A2543" s="32">
        <v>2938</v>
      </c>
      <c r="B2543" s="32" t="s">
        <v>641</v>
      </c>
      <c r="C2543" s="32" t="s">
        <v>584</v>
      </c>
      <c r="D2543" s="30" t="s">
        <v>573</v>
      </c>
      <c r="E2543" s="30" t="s">
        <v>637</v>
      </c>
    </row>
    <row r="2544" spans="1:5" x14ac:dyDescent="0.35">
      <c r="A2544" s="32">
        <v>2939</v>
      </c>
      <c r="B2544" s="32" t="s">
        <v>641</v>
      </c>
      <c r="C2544" s="32" t="s">
        <v>584</v>
      </c>
      <c r="D2544" s="30" t="s">
        <v>573</v>
      </c>
      <c r="E2544" s="30" t="s">
        <v>637</v>
      </c>
    </row>
    <row r="2545" spans="1:5" x14ac:dyDescent="0.35">
      <c r="A2545" s="32">
        <v>2940</v>
      </c>
      <c r="B2545" s="32" t="s">
        <v>641</v>
      </c>
      <c r="C2545" s="32" t="s">
        <v>584</v>
      </c>
      <c r="D2545" s="30" t="s">
        <v>573</v>
      </c>
      <c r="E2545" s="30" t="s">
        <v>637</v>
      </c>
    </row>
    <row r="2546" spans="1:5" x14ac:dyDescent="0.35">
      <c r="A2546" s="32">
        <v>2941</v>
      </c>
      <c r="B2546" s="32" t="s">
        <v>634</v>
      </c>
      <c r="C2546" s="32" t="s">
        <v>624</v>
      </c>
      <c r="D2546" s="30" t="s">
        <v>639</v>
      </c>
      <c r="E2546" s="30" t="s">
        <v>680</v>
      </c>
    </row>
    <row r="2547" spans="1:5" x14ac:dyDescent="0.35">
      <c r="A2547" s="32">
        <v>2942</v>
      </c>
      <c r="B2547" s="32" t="s">
        <v>634</v>
      </c>
      <c r="C2547" s="32" t="s">
        <v>648</v>
      </c>
      <c r="D2547" s="30" t="s">
        <v>639</v>
      </c>
      <c r="E2547" s="30" t="s">
        <v>680</v>
      </c>
    </row>
    <row r="2548" spans="1:5" x14ac:dyDescent="0.35">
      <c r="A2548" s="32">
        <v>2943</v>
      </c>
      <c r="B2548" s="32" t="s">
        <v>610</v>
      </c>
      <c r="C2548" s="32" t="s">
        <v>648</v>
      </c>
      <c r="D2548" s="30" t="s">
        <v>651</v>
      </c>
      <c r="E2548" s="30" t="s">
        <v>688</v>
      </c>
    </row>
    <row r="2549" spans="1:5" x14ac:dyDescent="0.35">
      <c r="A2549" s="32">
        <v>2944</v>
      </c>
      <c r="B2549" s="32" t="s">
        <v>641</v>
      </c>
      <c r="C2549" s="32" t="s">
        <v>648</v>
      </c>
      <c r="D2549" s="30" t="s">
        <v>651</v>
      </c>
      <c r="E2549" s="30" t="s">
        <v>688</v>
      </c>
    </row>
    <row r="2550" spans="1:5" x14ac:dyDescent="0.35">
      <c r="A2550" s="32">
        <v>2945</v>
      </c>
      <c r="B2550" s="32" t="s">
        <v>571</v>
      </c>
      <c r="C2550" s="32" t="s">
        <v>648</v>
      </c>
      <c r="D2550" s="30" t="s">
        <v>651</v>
      </c>
      <c r="E2550" s="30" t="s">
        <v>688</v>
      </c>
    </row>
    <row r="2551" spans="1:5" x14ac:dyDescent="0.35">
      <c r="A2551" s="32">
        <v>2946</v>
      </c>
      <c r="B2551" s="32" t="s">
        <v>634</v>
      </c>
      <c r="C2551" s="32" t="s">
        <v>648</v>
      </c>
      <c r="D2551" s="30" t="s">
        <v>651</v>
      </c>
      <c r="E2551" s="30" t="s">
        <v>688</v>
      </c>
    </row>
    <row r="2552" spans="1:5" x14ac:dyDescent="0.35">
      <c r="A2552" s="32">
        <v>2947</v>
      </c>
      <c r="B2552" s="32" t="s">
        <v>610</v>
      </c>
      <c r="C2552" s="32" t="s">
        <v>648</v>
      </c>
      <c r="D2552" s="30" t="s">
        <v>651</v>
      </c>
      <c r="E2552" s="30" t="s">
        <v>688</v>
      </c>
    </row>
    <row r="2553" spans="1:5" x14ac:dyDescent="0.35">
      <c r="A2553" s="32">
        <v>2948</v>
      </c>
      <c r="B2553" s="32" t="s">
        <v>641</v>
      </c>
      <c r="C2553" s="32" t="s">
        <v>648</v>
      </c>
      <c r="D2553" s="30" t="s">
        <v>651</v>
      </c>
      <c r="E2553" s="30" t="s">
        <v>688</v>
      </c>
    </row>
    <row r="2554" spans="1:5" x14ac:dyDescent="0.35">
      <c r="A2554" s="32">
        <v>2949</v>
      </c>
      <c r="B2554" s="32" t="s">
        <v>571</v>
      </c>
      <c r="C2554" s="32" t="s">
        <v>648</v>
      </c>
      <c r="D2554" s="30" t="s">
        <v>651</v>
      </c>
      <c r="E2554" s="30" t="s">
        <v>688</v>
      </c>
    </row>
    <row r="2555" spans="1:5" x14ac:dyDescent="0.35">
      <c r="A2555" s="32">
        <v>2950</v>
      </c>
      <c r="B2555" s="32" t="s">
        <v>634</v>
      </c>
      <c r="C2555" s="32" t="s">
        <v>648</v>
      </c>
      <c r="D2555" s="30" t="s">
        <v>651</v>
      </c>
      <c r="E2555" s="30" t="s">
        <v>688</v>
      </c>
    </row>
    <row r="2556" spans="1:5" x14ac:dyDescent="0.35">
      <c r="A2556" s="32">
        <v>2951</v>
      </c>
      <c r="B2556" s="32" t="s">
        <v>610</v>
      </c>
      <c r="C2556" s="32" t="s">
        <v>648</v>
      </c>
      <c r="D2556" s="30" t="s">
        <v>651</v>
      </c>
      <c r="E2556" s="30" t="s">
        <v>688</v>
      </c>
    </row>
    <row r="2557" spans="1:5" x14ac:dyDescent="0.35">
      <c r="A2557" s="32">
        <v>2952</v>
      </c>
      <c r="B2557" s="32" t="s">
        <v>641</v>
      </c>
      <c r="C2557" s="32" t="s">
        <v>648</v>
      </c>
      <c r="D2557" s="30" t="s">
        <v>651</v>
      </c>
      <c r="E2557" s="30" t="s">
        <v>688</v>
      </c>
    </row>
    <row r="2558" spans="1:5" x14ac:dyDescent="0.35">
      <c r="A2558" s="32">
        <v>2953</v>
      </c>
      <c r="B2558" s="32" t="s">
        <v>571</v>
      </c>
      <c r="C2558" s="32" t="s">
        <v>648</v>
      </c>
      <c r="D2558" s="30" t="s">
        <v>651</v>
      </c>
      <c r="E2558" s="30" t="s">
        <v>688</v>
      </c>
    </row>
    <row r="2559" spans="1:5" x14ac:dyDescent="0.35">
      <c r="A2559" s="32">
        <v>2954</v>
      </c>
      <c r="B2559" s="32" t="s">
        <v>634</v>
      </c>
      <c r="C2559" s="32" t="s">
        <v>648</v>
      </c>
      <c r="D2559" s="30" t="s">
        <v>651</v>
      </c>
      <c r="E2559" s="30" t="s">
        <v>688</v>
      </c>
    </row>
    <row r="2560" spans="1:5" x14ac:dyDescent="0.35">
      <c r="A2560" s="32">
        <v>2959</v>
      </c>
      <c r="B2560" s="32" t="s">
        <v>571</v>
      </c>
      <c r="C2560" s="32" t="s">
        <v>648</v>
      </c>
      <c r="D2560" s="30" t="s">
        <v>599</v>
      </c>
      <c r="E2560" s="30" t="s">
        <v>629</v>
      </c>
    </row>
    <row r="2561" spans="1:5" x14ac:dyDescent="0.35">
      <c r="A2561" s="32">
        <v>2960</v>
      </c>
      <c r="B2561" s="32" t="s">
        <v>571</v>
      </c>
      <c r="C2561" s="32" t="s">
        <v>605</v>
      </c>
      <c r="D2561" s="30" t="s">
        <v>599</v>
      </c>
      <c r="E2561" s="30" t="s">
        <v>629</v>
      </c>
    </row>
    <row r="2562" spans="1:5" x14ac:dyDescent="0.35">
      <c r="A2562" s="32">
        <v>2963</v>
      </c>
      <c r="B2562" s="32" t="s">
        <v>641</v>
      </c>
      <c r="C2562" s="32" t="s">
        <v>648</v>
      </c>
      <c r="D2562" s="30" t="s">
        <v>573</v>
      </c>
      <c r="E2562" s="30" t="s">
        <v>638</v>
      </c>
    </row>
    <row r="2563" spans="1:5" x14ac:dyDescent="0.35">
      <c r="A2563" s="32">
        <v>2964</v>
      </c>
      <c r="B2563" s="32" t="s">
        <v>571</v>
      </c>
      <c r="C2563" s="32" t="s">
        <v>648</v>
      </c>
      <c r="D2563" s="30" t="s">
        <v>573</v>
      </c>
      <c r="E2563" s="30" t="s">
        <v>638</v>
      </c>
    </row>
    <row r="2564" spans="1:5" x14ac:dyDescent="0.35">
      <c r="A2564" s="32">
        <v>2965</v>
      </c>
      <c r="B2564" s="32" t="s">
        <v>634</v>
      </c>
      <c r="C2564" s="32" t="s">
        <v>648</v>
      </c>
      <c r="D2564" s="30" t="s">
        <v>573</v>
      </c>
      <c r="E2564" s="30" t="s">
        <v>638</v>
      </c>
    </row>
    <row r="2565" spans="1:5" x14ac:dyDescent="0.35">
      <c r="A2565" s="32">
        <v>2966</v>
      </c>
      <c r="B2565" s="32" t="s">
        <v>610</v>
      </c>
      <c r="C2565" s="32" t="s">
        <v>648</v>
      </c>
      <c r="D2565" s="30" t="s">
        <v>573</v>
      </c>
      <c r="E2565" s="30" t="s">
        <v>638</v>
      </c>
    </row>
    <row r="2566" spans="1:5" x14ac:dyDescent="0.35">
      <c r="A2566" s="32">
        <v>2967</v>
      </c>
      <c r="B2566" s="32" t="s">
        <v>571</v>
      </c>
      <c r="C2566" s="32" t="s">
        <v>584</v>
      </c>
      <c r="D2566" s="30" t="s">
        <v>612</v>
      </c>
      <c r="E2566" s="30" t="s">
        <v>628</v>
      </c>
    </row>
    <row r="2567" spans="1:5" x14ac:dyDescent="0.35">
      <c r="A2567" s="32">
        <v>2968</v>
      </c>
      <c r="B2567" s="32" t="s">
        <v>571</v>
      </c>
      <c r="C2567" s="32" t="s">
        <v>648</v>
      </c>
      <c r="D2567" s="30" t="s">
        <v>612</v>
      </c>
      <c r="E2567" s="30" t="s">
        <v>628</v>
      </c>
    </row>
    <row r="2568" spans="1:5" x14ac:dyDescent="0.35">
      <c r="A2568" s="32">
        <v>2969</v>
      </c>
      <c r="B2568" s="32" t="s">
        <v>634</v>
      </c>
      <c r="C2568" s="32" t="s">
        <v>584</v>
      </c>
      <c r="D2568" s="30" t="s">
        <v>659</v>
      </c>
      <c r="E2568" s="30" t="s">
        <v>660</v>
      </c>
    </row>
    <row r="2569" spans="1:5" x14ac:dyDescent="0.35">
      <c r="A2569" s="32">
        <v>2970</v>
      </c>
      <c r="B2569" s="32" t="s">
        <v>641</v>
      </c>
      <c r="C2569" s="32" t="s">
        <v>584</v>
      </c>
      <c r="D2569" s="30" t="s">
        <v>659</v>
      </c>
      <c r="E2569" s="30" t="s">
        <v>660</v>
      </c>
    </row>
    <row r="2570" spans="1:5" x14ac:dyDescent="0.35">
      <c r="A2570" s="32">
        <v>2971</v>
      </c>
      <c r="B2570" s="32" t="s">
        <v>611</v>
      </c>
      <c r="C2570" s="32" t="s">
        <v>648</v>
      </c>
      <c r="D2570" s="30" t="s">
        <v>659</v>
      </c>
      <c r="E2570" s="30" t="s">
        <v>660</v>
      </c>
    </row>
    <row r="2571" spans="1:5" x14ac:dyDescent="0.35">
      <c r="A2571" s="32">
        <v>2972</v>
      </c>
      <c r="B2571" s="32" t="s">
        <v>571</v>
      </c>
      <c r="C2571" s="32" t="s">
        <v>648</v>
      </c>
      <c r="D2571" s="30" t="s">
        <v>659</v>
      </c>
      <c r="E2571" s="30" t="s">
        <v>660</v>
      </c>
    </row>
    <row r="2572" spans="1:5" x14ac:dyDescent="0.35">
      <c r="A2572" s="32">
        <v>2973</v>
      </c>
      <c r="B2572" s="32" t="s">
        <v>611</v>
      </c>
      <c r="C2572" s="32" t="s">
        <v>648</v>
      </c>
      <c r="D2572" s="30" t="s">
        <v>659</v>
      </c>
      <c r="E2572" s="30" t="s">
        <v>660</v>
      </c>
    </row>
    <row r="2573" spans="1:5" x14ac:dyDescent="0.35">
      <c r="A2573" s="32">
        <v>2974</v>
      </c>
      <c r="B2573" s="32" t="s">
        <v>571</v>
      </c>
      <c r="C2573" s="32" t="s">
        <v>648</v>
      </c>
      <c r="D2573" s="30" t="s">
        <v>659</v>
      </c>
      <c r="E2573" s="30" t="s">
        <v>660</v>
      </c>
    </row>
    <row r="2574" spans="1:5" x14ac:dyDescent="0.35">
      <c r="A2574" s="32">
        <v>2975</v>
      </c>
      <c r="B2574" s="32" t="s">
        <v>571</v>
      </c>
      <c r="C2574" s="32" t="s">
        <v>648</v>
      </c>
      <c r="D2574" s="30" t="s">
        <v>659</v>
      </c>
      <c r="E2574" s="30" t="s">
        <v>660</v>
      </c>
    </row>
    <row r="2575" spans="1:5" x14ac:dyDescent="0.35">
      <c r="A2575" s="32">
        <v>2976</v>
      </c>
      <c r="B2575" s="32" t="s">
        <v>571</v>
      </c>
      <c r="C2575" s="32" t="s">
        <v>648</v>
      </c>
      <c r="D2575" s="30" t="s">
        <v>659</v>
      </c>
      <c r="E2575" s="30" t="s">
        <v>660</v>
      </c>
    </row>
    <row r="2576" spans="1:5" x14ac:dyDescent="0.35">
      <c r="A2576" s="32">
        <v>2977</v>
      </c>
      <c r="B2576" s="32" t="s">
        <v>571</v>
      </c>
      <c r="C2576" s="32" t="s">
        <v>648</v>
      </c>
      <c r="D2576" s="30" t="s">
        <v>659</v>
      </c>
      <c r="E2576" s="30" t="s">
        <v>660</v>
      </c>
    </row>
    <row r="2577" spans="1:5" x14ac:dyDescent="0.35">
      <c r="A2577" s="32">
        <v>2978</v>
      </c>
      <c r="B2577" s="32" t="s">
        <v>571</v>
      </c>
      <c r="C2577" s="32" t="s">
        <v>648</v>
      </c>
      <c r="D2577" s="30" t="s">
        <v>659</v>
      </c>
      <c r="E2577" s="30" t="s">
        <v>660</v>
      </c>
    </row>
    <row r="2578" spans="1:5" x14ac:dyDescent="0.35">
      <c r="A2578" s="32">
        <v>2979</v>
      </c>
      <c r="B2578" s="32" t="s">
        <v>571</v>
      </c>
      <c r="C2578" s="32" t="s">
        <v>648</v>
      </c>
      <c r="D2578" s="30" t="s">
        <v>659</v>
      </c>
      <c r="E2578" s="30" t="s">
        <v>660</v>
      </c>
    </row>
    <row r="2579" spans="1:5" x14ac:dyDescent="0.35">
      <c r="A2579" s="32">
        <v>2980</v>
      </c>
      <c r="B2579" s="32" t="s">
        <v>571</v>
      </c>
      <c r="C2579" s="32" t="s">
        <v>648</v>
      </c>
      <c r="D2579" s="30" t="s">
        <v>659</v>
      </c>
      <c r="E2579" s="30" t="s">
        <v>660</v>
      </c>
    </row>
    <row r="2580" spans="1:5" x14ac:dyDescent="0.35">
      <c r="A2580" s="32">
        <v>2981</v>
      </c>
      <c r="B2580" s="32" t="s">
        <v>571</v>
      </c>
      <c r="C2580" s="32" t="s">
        <v>648</v>
      </c>
      <c r="D2580" s="30" t="s">
        <v>659</v>
      </c>
      <c r="E2580" s="30" t="s">
        <v>660</v>
      </c>
    </row>
    <row r="2581" spans="1:5" x14ac:dyDescent="0.35">
      <c r="A2581" s="32">
        <v>2982</v>
      </c>
      <c r="B2581" s="32" t="s">
        <v>571</v>
      </c>
      <c r="C2581" s="32" t="s">
        <v>648</v>
      </c>
      <c r="D2581" s="30" t="s">
        <v>659</v>
      </c>
      <c r="E2581" s="30" t="s">
        <v>660</v>
      </c>
    </row>
    <row r="2582" spans="1:5" x14ac:dyDescent="0.35">
      <c r="A2582" s="32">
        <v>2983</v>
      </c>
      <c r="B2582" s="32" t="s">
        <v>571</v>
      </c>
      <c r="C2582" s="32" t="s">
        <v>648</v>
      </c>
      <c r="D2582" s="30" t="s">
        <v>659</v>
      </c>
      <c r="E2582" s="30" t="s">
        <v>660</v>
      </c>
    </row>
    <row r="2583" spans="1:5" x14ac:dyDescent="0.35">
      <c r="A2583" s="32">
        <v>2984</v>
      </c>
      <c r="B2583" s="32" t="s">
        <v>571</v>
      </c>
      <c r="C2583" s="32" t="s">
        <v>648</v>
      </c>
      <c r="D2583" s="30" t="s">
        <v>659</v>
      </c>
      <c r="E2583" s="30" t="s">
        <v>660</v>
      </c>
    </row>
    <row r="2584" spans="1:5" x14ac:dyDescent="0.35">
      <c r="A2584" s="32">
        <v>2985</v>
      </c>
      <c r="B2584" s="32" t="s">
        <v>571</v>
      </c>
      <c r="C2584" s="32" t="s">
        <v>648</v>
      </c>
      <c r="D2584" s="30" t="s">
        <v>659</v>
      </c>
      <c r="E2584" s="30" t="s">
        <v>660</v>
      </c>
    </row>
    <row r="2585" spans="1:5" x14ac:dyDescent="0.35">
      <c r="A2585" s="32">
        <v>2986</v>
      </c>
      <c r="B2585" s="32" t="s">
        <v>571</v>
      </c>
      <c r="C2585" s="32" t="s">
        <v>605</v>
      </c>
      <c r="D2585" s="30" t="s">
        <v>612</v>
      </c>
      <c r="E2585" s="30" t="s">
        <v>628</v>
      </c>
    </row>
    <row r="2586" spans="1:5" x14ac:dyDescent="0.35">
      <c r="A2586" s="32">
        <v>2987</v>
      </c>
      <c r="B2586" s="32" t="s">
        <v>571</v>
      </c>
      <c r="C2586" s="32" t="s">
        <v>648</v>
      </c>
      <c r="D2586" s="30" t="s">
        <v>612</v>
      </c>
      <c r="E2586" s="30" t="s">
        <v>628</v>
      </c>
    </row>
    <row r="2587" spans="1:5" x14ac:dyDescent="0.35">
      <c r="A2587" s="32">
        <v>2988</v>
      </c>
      <c r="B2587" s="32" t="s">
        <v>571</v>
      </c>
      <c r="C2587" s="32" t="s">
        <v>584</v>
      </c>
      <c r="D2587" s="30" t="s">
        <v>612</v>
      </c>
      <c r="E2587" s="30" t="s">
        <v>628</v>
      </c>
    </row>
    <row r="2588" spans="1:5" x14ac:dyDescent="0.35">
      <c r="A2588" s="32">
        <v>2989</v>
      </c>
      <c r="B2588" s="32" t="s">
        <v>571</v>
      </c>
      <c r="C2588" s="32" t="s">
        <v>584</v>
      </c>
      <c r="D2588" s="30" t="s">
        <v>612</v>
      </c>
      <c r="E2588" s="30" t="s">
        <v>628</v>
      </c>
    </row>
    <row r="2589" spans="1:5" x14ac:dyDescent="0.35">
      <c r="A2589" s="32">
        <v>2990</v>
      </c>
      <c r="B2589" s="32" t="s">
        <v>571</v>
      </c>
      <c r="C2589" s="32" t="s">
        <v>584</v>
      </c>
      <c r="D2589" s="30" t="s">
        <v>612</v>
      </c>
      <c r="E2589" s="30" t="s">
        <v>628</v>
      </c>
    </row>
    <row r="2590" spans="1:5" x14ac:dyDescent="0.35">
      <c r="A2590" s="32">
        <v>2991</v>
      </c>
      <c r="B2590" s="32" t="s">
        <v>610</v>
      </c>
      <c r="C2590" s="32" t="s">
        <v>584</v>
      </c>
      <c r="D2590" s="30" t="s">
        <v>612</v>
      </c>
      <c r="E2590" s="30" t="s">
        <v>628</v>
      </c>
    </row>
    <row r="2591" spans="1:5" x14ac:dyDescent="0.35">
      <c r="A2591" s="32">
        <v>2992</v>
      </c>
      <c r="B2591" s="32" t="s">
        <v>634</v>
      </c>
      <c r="C2591" s="32" t="s">
        <v>605</v>
      </c>
      <c r="D2591" s="30" t="s">
        <v>643</v>
      </c>
      <c r="E2591" s="30" t="s">
        <v>686</v>
      </c>
    </row>
    <row r="2592" spans="1:5" x14ac:dyDescent="0.35">
      <c r="A2592" s="32">
        <v>2993</v>
      </c>
      <c r="B2592" s="32" t="s">
        <v>571</v>
      </c>
      <c r="C2592" s="32" t="s">
        <v>605</v>
      </c>
      <c r="D2592" s="30" t="s">
        <v>643</v>
      </c>
      <c r="E2592" s="30" t="s">
        <v>686</v>
      </c>
    </row>
    <row r="2593" spans="1:5" x14ac:dyDescent="0.35">
      <c r="A2593" s="32">
        <v>2994</v>
      </c>
      <c r="B2593" s="32" t="s">
        <v>641</v>
      </c>
      <c r="C2593" s="32" t="s">
        <v>605</v>
      </c>
      <c r="D2593" s="30" t="s">
        <v>643</v>
      </c>
      <c r="E2593" s="30" t="s">
        <v>686</v>
      </c>
    </row>
    <row r="2594" spans="1:5" x14ac:dyDescent="0.35">
      <c r="A2594" s="32">
        <v>2995</v>
      </c>
      <c r="B2594" s="32" t="s">
        <v>611</v>
      </c>
      <c r="C2594" s="32" t="s">
        <v>605</v>
      </c>
      <c r="D2594" s="30" t="s">
        <v>643</v>
      </c>
      <c r="E2594" s="30" t="s">
        <v>686</v>
      </c>
    </row>
    <row r="2595" spans="1:5" x14ac:dyDescent="0.35">
      <c r="A2595" s="32">
        <v>2996</v>
      </c>
      <c r="B2595" s="32" t="s">
        <v>634</v>
      </c>
      <c r="C2595" s="32" t="s">
        <v>605</v>
      </c>
      <c r="D2595" s="30" t="s">
        <v>643</v>
      </c>
      <c r="E2595" s="30" t="s">
        <v>686</v>
      </c>
    </row>
    <row r="2596" spans="1:5" x14ac:dyDescent="0.35">
      <c r="A2596" s="32">
        <v>2997</v>
      </c>
      <c r="B2596" s="32" t="s">
        <v>634</v>
      </c>
      <c r="C2596" s="32" t="s">
        <v>605</v>
      </c>
      <c r="D2596" s="30" t="s">
        <v>643</v>
      </c>
      <c r="E2596" s="30" t="s">
        <v>686</v>
      </c>
    </row>
    <row r="2597" spans="1:5" x14ac:dyDescent="0.35">
      <c r="A2597" s="32">
        <v>2998</v>
      </c>
      <c r="B2597" s="32" t="s">
        <v>571</v>
      </c>
      <c r="C2597" s="32" t="s">
        <v>605</v>
      </c>
      <c r="D2597" s="30" t="s">
        <v>643</v>
      </c>
      <c r="E2597" s="30" t="s">
        <v>686</v>
      </c>
    </row>
    <row r="2598" spans="1:5" x14ac:dyDescent="0.35">
      <c r="A2598" s="32">
        <v>2999</v>
      </c>
      <c r="B2598" s="32" t="s">
        <v>641</v>
      </c>
      <c r="C2598" s="32" t="s">
        <v>605</v>
      </c>
      <c r="D2598" s="30" t="s">
        <v>643</v>
      </c>
      <c r="E2598" s="30" t="s">
        <v>686</v>
      </c>
    </row>
    <row r="2599" spans="1:5" x14ac:dyDescent="0.35">
      <c r="A2599" s="32">
        <v>3000</v>
      </c>
      <c r="B2599" s="32" t="s">
        <v>611</v>
      </c>
      <c r="C2599" s="32" t="s">
        <v>605</v>
      </c>
      <c r="D2599" s="30" t="s">
        <v>643</v>
      </c>
      <c r="E2599" s="30" t="s">
        <v>686</v>
      </c>
    </row>
    <row r="2600" spans="1:5" x14ac:dyDescent="0.35">
      <c r="A2600" s="32">
        <v>3001</v>
      </c>
      <c r="B2600" s="32" t="s">
        <v>634</v>
      </c>
      <c r="C2600" s="32" t="s">
        <v>605</v>
      </c>
      <c r="D2600" s="30" t="s">
        <v>643</v>
      </c>
      <c r="E2600" s="30" t="s">
        <v>686</v>
      </c>
    </row>
    <row r="2601" spans="1:5" x14ac:dyDescent="0.35">
      <c r="A2601" s="32">
        <v>3002</v>
      </c>
      <c r="B2601" s="32" t="s">
        <v>634</v>
      </c>
      <c r="C2601" s="32" t="s">
        <v>584</v>
      </c>
      <c r="D2601" s="30" t="s">
        <v>643</v>
      </c>
      <c r="E2601" s="30" t="s">
        <v>644</v>
      </c>
    </row>
    <row r="2602" spans="1:5" x14ac:dyDescent="0.35">
      <c r="A2602" s="32">
        <v>3003</v>
      </c>
      <c r="B2602" s="32" t="s">
        <v>634</v>
      </c>
      <c r="C2602" s="32" t="s">
        <v>584</v>
      </c>
      <c r="D2602" s="30" t="s">
        <v>643</v>
      </c>
      <c r="E2602" s="30" t="s">
        <v>644</v>
      </c>
    </row>
    <row r="2603" spans="1:5" x14ac:dyDescent="0.35">
      <c r="A2603" s="32">
        <v>3004</v>
      </c>
      <c r="B2603" s="32" t="s">
        <v>634</v>
      </c>
      <c r="C2603" s="32" t="s">
        <v>584</v>
      </c>
      <c r="D2603" s="30" t="s">
        <v>643</v>
      </c>
      <c r="E2603" s="30" t="s">
        <v>644</v>
      </c>
    </row>
    <row r="2604" spans="1:5" x14ac:dyDescent="0.35">
      <c r="A2604" s="32">
        <v>3005</v>
      </c>
      <c r="B2604" s="32" t="s">
        <v>634</v>
      </c>
      <c r="C2604" s="32" t="s">
        <v>584</v>
      </c>
      <c r="D2604" s="30" t="s">
        <v>643</v>
      </c>
      <c r="E2604" s="30" t="s">
        <v>644</v>
      </c>
    </row>
    <row r="2605" spans="1:5" x14ac:dyDescent="0.35">
      <c r="A2605" s="32">
        <v>3006</v>
      </c>
      <c r="B2605" s="32" t="s">
        <v>634</v>
      </c>
      <c r="C2605" s="32" t="s">
        <v>584</v>
      </c>
      <c r="D2605" s="30" t="s">
        <v>643</v>
      </c>
      <c r="E2605" s="30" t="s">
        <v>644</v>
      </c>
    </row>
    <row r="2606" spans="1:5" x14ac:dyDescent="0.35">
      <c r="A2606" s="32">
        <v>3007</v>
      </c>
      <c r="B2606" s="32" t="s">
        <v>634</v>
      </c>
      <c r="C2606" s="32" t="s">
        <v>584</v>
      </c>
      <c r="D2606" s="30" t="s">
        <v>643</v>
      </c>
      <c r="E2606" s="30" t="s">
        <v>644</v>
      </c>
    </row>
    <row r="2607" spans="1:5" x14ac:dyDescent="0.35">
      <c r="A2607" s="32">
        <v>3008</v>
      </c>
      <c r="B2607" s="32" t="s">
        <v>634</v>
      </c>
      <c r="C2607" s="32" t="s">
        <v>584</v>
      </c>
      <c r="D2607" s="30" t="s">
        <v>643</v>
      </c>
      <c r="E2607" s="30" t="s">
        <v>644</v>
      </c>
    </row>
    <row r="2608" spans="1:5" x14ac:dyDescent="0.35">
      <c r="A2608" s="32">
        <v>3009</v>
      </c>
      <c r="B2608" s="32" t="s">
        <v>634</v>
      </c>
      <c r="C2608" s="32" t="s">
        <v>584</v>
      </c>
      <c r="D2608" s="30" t="s">
        <v>643</v>
      </c>
      <c r="E2608" s="30" t="s">
        <v>644</v>
      </c>
    </row>
    <row r="2609" spans="1:5" x14ac:dyDescent="0.35">
      <c r="A2609" s="32">
        <v>3010</v>
      </c>
      <c r="B2609" s="32" t="s">
        <v>634</v>
      </c>
      <c r="C2609" s="32" t="s">
        <v>584</v>
      </c>
      <c r="D2609" s="30" t="s">
        <v>643</v>
      </c>
      <c r="E2609" s="30" t="s">
        <v>644</v>
      </c>
    </row>
    <row r="2610" spans="1:5" x14ac:dyDescent="0.35">
      <c r="A2610" s="32">
        <v>3011</v>
      </c>
      <c r="B2610" s="32" t="s">
        <v>634</v>
      </c>
      <c r="C2610" s="32" t="s">
        <v>584</v>
      </c>
      <c r="D2610" s="30" t="s">
        <v>643</v>
      </c>
      <c r="E2610" s="30" t="s">
        <v>644</v>
      </c>
    </row>
    <row r="2611" spans="1:5" x14ac:dyDescent="0.35">
      <c r="A2611" s="32">
        <v>3012</v>
      </c>
      <c r="B2611" s="32" t="s">
        <v>634</v>
      </c>
      <c r="C2611" s="32" t="s">
        <v>584</v>
      </c>
      <c r="D2611" s="30" t="s">
        <v>643</v>
      </c>
      <c r="E2611" s="30" t="s">
        <v>644</v>
      </c>
    </row>
    <row r="2612" spans="1:5" x14ac:dyDescent="0.35">
      <c r="A2612" s="32">
        <v>3013</v>
      </c>
      <c r="B2612" s="32" t="s">
        <v>634</v>
      </c>
      <c r="C2612" s="32" t="s">
        <v>584</v>
      </c>
      <c r="D2612" s="30" t="s">
        <v>643</v>
      </c>
      <c r="E2612" s="30" t="s">
        <v>644</v>
      </c>
    </row>
    <row r="2613" spans="1:5" x14ac:dyDescent="0.35">
      <c r="A2613" s="32">
        <v>3014</v>
      </c>
      <c r="B2613" s="32" t="s">
        <v>634</v>
      </c>
      <c r="C2613" s="32" t="s">
        <v>584</v>
      </c>
      <c r="D2613" s="30" t="s">
        <v>643</v>
      </c>
      <c r="E2613" s="30" t="s">
        <v>644</v>
      </c>
    </row>
    <row r="2614" spans="1:5" x14ac:dyDescent="0.35">
      <c r="A2614" s="32">
        <v>3015</v>
      </c>
      <c r="B2614" s="32" t="s">
        <v>634</v>
      </c>
      <c r="C2614" s="32" t="s">
        <v>584</v>
      </c>
      <c r="D2614" s="30" t="s">
        <v>643</v>
      </c>
      <c r="E2614" s="30" t="s">
        <v>644</v>
      </c>
    </row>
    <row r="2615" spans="1:5" x14ac:dyDescent="0.35">
      <c r="A2615" s="32">
        <v>3016</v>
      </c>
      <c r="B2615" s="32" t="s">
        <v>634</v>
      </c>
      <c r="C2615" s="32" t="s">
        <v>584</v>
      </c>
      <c r="D2615" s="30" t="s">
        <v>643</v>
      </c>
      <c r="E2615" s="30" t="s">
        <v>644</v>
      </c>
    </row>
    <row r="2616" spans="1:5" x14ac:dyDescent="0.35">
      <c r="A2616" s="32">
        <v>3017</v>
      </c>
      <c r="B2616" s="32" t="s">
        <v>641</v>
      </c>
      <c r="C2616" s="32" t="s">
        <v>584</v>
      </c>
      <c r="D2616" s="30" t="s">
        <v>643</v>
      </c>
      <c r="E2616" s="30" t="s">
        <v>644</v>
      </c>
    </row>
    <row r="2617" spans="1:5" x14ac:dyDescent="0.35">
      <c r="A2617" s="32">
        <v>3018</v>
      </c>
      <c r="B2617" s="32" t="s">
        <v>641</v>
      </c>
      <c r="C2617" s="32" t="s">
        <v>584</v>
      </c>
      <c r="D2617" s="30" t="s">
        <v>643</v>
      </c>
      <c r="E2617" s="30" t="s">
        <v>644</v>
      </c>
    </row>
    <row r="2618" spans="1:5" x14ac:dyDescent="0.35">
      <c r="A2618" s="32">
        <v>3019</v>
      </c>
      <c r="B2618" s="32" t="s">
        <v>641</v>
      </c>
      <c r="C2618" s="32" t="s">
        <v>584</v>
      </c>
      <c r="D2618" s="30" t="s">
        <v>643</v>
      </c>
      <c r="E2618" s="30" t="s">
        <v>644</v>
      </c>
    </row>
    <row r="2619" spans="1:5" x14ac:dyDescent="0.35">
      <c r="A2619" s="32">
        <v>3020</v>
      </c>
      <c r="B2619" s="32" t="s">
        <v>571</v>
      </c>
      <c r="C2619" s="32" t="s">
        <v>584</v>
      </c>
      <c r="D2619" s="30" t="s">
        <v>643</v>
      </c>
      <c r="E2619" s="30" t="s">
        <v>644</v>
      </c>
    </row>
    <row r="2620" spans="1:5" x14ac:dyDescent="0.35">
      <c r="A2620" s="32">
        <v>3021</v>
      </c>
      <c r="B2620" s="32" t="s">
        <v>571</v>
      </c>
      <c r="C2620" s="32" t="s">
        <v>584</v>
      </c>
      <c r="D2620" s="30" t="s">
        <v>643</v>
      </c>
      <c r="E2620" s="30" t="s">
        <v>644</v>
      </c>
    </row>
    <row r="2621" spans="1:5" x14ac:dyDescent="0.35">
      <c r="A2621" s="32">
        <v>3022</v>
      </c>
      <c r="B2621" s="32" t="s">
        <v>571</v>
      </c>
      <c r="C2621" s="32" t="s">
        <v>584</v>
      </c>
      <c r="D2621" s="30" t="s">
        <v>643</v>
      </c>
      <c r="E2621" s="30" t="s">
        <v>644</v>
      </c>
    </row>
    <row r="2622" spans="1:5" x14ac:dyDescent="0.35">
      <c r="A2622" s="32">
        <v>3023</v>
      </c>
      <c r="B2622" s="32" t="s">
        <v>641</v>
      </c>
      <c r="C2622" s="32" t="s">
        <v>584</v>
      </c>
      <c r="D2622" s="30" t="s">
        <v>643</v>
      </c>
      <c r="E2622" s="30" t="s">
        <v>644</v>
      </c>
    </row>
    <row r="2623" spans="1:5" x14ac:dyDescent="0.35">
      <c r="A2623" s="32">
        <v>3024</v>
      </c>
      <c r="B2623" s="32" t="s">
        <v>641</v>
      </c>
      <c r="C2623" s="32" t="s">
        <v>584</v>
      </c>
      <c r="D2623" s="30" t="s">
        <v>643</v>
      </c>
      <c r="E2623" s="30" t="s">
        <v>644</v>
      </c>
    </row>
    <row r="2624" spans="1:5" x14ac:dyDescent="0.35">
      <c r="A2624" s="32">
        <v>3025</v>
      </c>
      <c r="B2624" s="32" t="s">
        <v>641</v>
      </c>
      <c r="C2624" s="32" t="s">
        <v>584</v>
      </c>
      <c r="D2624" s="30" t="s">
        <v>643</v>
      </c>
      <c r="E2624" s="30" t="s">
        <v>644</v>
      </c>
    </row>
    <row r="2625" spans="1:5" x14ac:dyDescent="0.35">
      <c r="A2625" s="32">
        <v>3026</v>
      </c>
      <c r="B2625" s="32" t="s">
        <v>571</v>
      </c>
      <c r="C2625" s="32" t="s">
        <v>584</v>
      </c>
      <c r="D2625" s="30" t="s">
        <v>643</v>
      </c>
      <c r="E2625" s="30" t="s">
        <v>644</v>
      </c>
    </row>
    <row r="2626" spans="1:5" x14ac:dyDescent="0.35">
      <c r="A2626" s="32">
        <v>3027</v>
      </c>
      <c r="B2626" s="32" t="s">
        <v>571</v>
      </c>
      <c r="C2626" s="32" t="s">
        <v>584</v>
      </c>
      <c r="D2626" s="30" t="s">
        <v>643</v>
      </c>
      <c r="E2626" s="30" t="s">
        <v>644</v>
      </c>
    </row>
    <row r="2627" spans="1:5" x14ac:dyDescent="0.35">
      <c r="A2627" s="32">
        <v>3028</v>
      </c>
      <c r="B2627" s="32" t="s">
        <v>571</v>
      </c>
      <c r="C2627" s="32" t="s">
        <v>584</v>
      </c>
      <c r="D2627" s="30" t="s">
        <v>643</v>
      </c>
      <c r="E2627" s="30" t="s">
        <v>644</v>
      </c>
    </row>
    <row r="2628" spans="1:5" x14ac:dyDescent="0.35">
      <c r="A2628" s="32">
        <v>3029</v>
      </c>
      <c r="B2628" s="32" t="s">
        <v>611</v>
      </c>
      <c r="C2628" s="32" t="s">
        <v>648</v>
      </c>
      <c r="D2628" s="30" t="s">
        <v>651</v>
      </c>
      <c r="E2628" s="30" t="s">
        <v>652</v>
      </c>
    </row>
    <row r="2629" spans="1:5" x14ac:dyDescent="0.35">
      <c r="A2629" s="32">
        <v>3030</v>
      </c>
      <c r="B2629" s="32" t="s">
        <v>571</v>
      </c>
      <c r="C2629" s="32" t="s">
        <v>648</v>
      </c>
      <c r="D2629" s="30" t="s">
        <v>663</v>
      </c>
      <c r="E2629" s="30" t="s">
        <v>687</v>
      </c>
    </row>
    <row r="2630" spans="1:5" x14ac:dyDescent="0.35">
      <c r="A2630" s="32">
        <v>3031</v>
      </c>
      <c r="B2630" s="32" t="s">
        <v>571</v>
      </c>
      <c r="C2630" s="32" t="s">
        <v>624</v>
      </c>
      <c r="D2630" s="30" t="s">
        <v>663</v>
      </c>
      <c r="E2630" s="30" t="s">
        <v>687</v>
      </c>
    </row>
    <row r="2631" spans="1:5" x14ac:dyDescent="0.35">
      <c r="A2631" s="32">
        <v>3032</v>
      </c>
      <c r="B2631" s="32" t="s">
        <v>571</v>
      </c>
      <c r="C2631" s="32" t="s">
        <v>619</v>
      </c>
      <c r="D2631" s="30" t="s">
        <v>663</v>
      </c>
      <c r="E2631" s="30" t="s">
        <v>687</v>
      </c>
    </row>
    <row r="2632" spans="1:5" x14ac:dyDescent="0.35">
      <c r="A2632" s="32">
        <v>3033</v>
      </c>
      <c r="B2632" s="32" t="s">
        <v>611</v>
      </c>
      <c r="C2632" s="32" t="s">
        <v>619</v>
      </c>
      <c r="D2632" s="30" t="s">
        <v>656</v>
      </c>
      <c r="E2632" s="30" t="s">
        <v>661</v>
      </c>
    </row>
    <row r="2633" spans="1:5" x14ac:dyDescent="0.35">
      <c r="A2633" s="32">
        <v>3034</v>
      </c>
      <c r="B2633" s="32" t="s">
        <v>611</v>
      </c>
      <c r="C2633" s="32" t="s">
        <v>619</v>
      </c>
      <c r="D2633" s="30" t="s">
        <v>656</v>
      </c>
      <c r="E2633" s="30" t="s">
        <v>661</v>
      </c>
    </row>
    <row r="2634" spans="1:5" x14ac:dyDescent="0.35">
      <c r="A2634" s="32">
        <v>3035</v>
      </c>
      <c r="B2634" s="32" t="s">
        <v>611</v>
      </c>
      <c r="C2634" s="32" t="s">
        <v>619</v>
      </c>
      <c r="D2634" s="30" t="s">
        <v>656</v>
      </c>
      <c r="E2634" s="30" t="s">
        <v>661</v>
      </c>
    </row>
    <row r="2635" spans="1:5" x14ac:dyDescent="0.35">
      <c r="A2635" s="32">
        <v>3036</v>
      </c>
      <c r="B2635" s="32" t="s">
        <v>611</v>
      </c>
      <c r="C2635" s="32" t="s">
        <v>619</v>
      </c>
      <c r="D2635" s="30" t="s">
        <v>656</v>
      </c>
      <c r="E2635" s="30" t="s">
        <v>661</v>
      </c>
    </row>
    <row r="2636" spans="1:5" x14ac:dyDescent="0.35">
      <c r="A2636" s="32">
        <v>3042</v>
      </c>
      <c r="B2636" s="32" t="s">
        <v>571</v>
      </c>
      <c r="C2636" s="32" t="s">
        <v>584</v>
      </c>
      <c r="D2636" s="30" t="s">
        <v>573</v>
      </c>
      <c r="E2636" s="30" t="s">
        <v>637</v>
      </c>
    </row>
    <row r="2637" spans="1:5" x14ac:dyDescent="0.35">
      <c r="A2637" s="32">
        <v>3043</v>
      </c>
      <c r="B2637" s="32" t="s">
        <v>571</v>
      </c>
      <c r="C2637" s="32" t="s">
        <v>584</v>
      </c>
      <c r="D2637" s="30" t="s">
        <v>573</v>
      </c>
      <c r="E2637" s="30" t="s">
        <v>637</v>
      </c>
    </row>
    <row r="2638" spans="1:5" x14ac:dyDescent="0.35">
      <c r="A2638" s="32">
        <v>3044</v>
      </c>
      <c r="B2638" s="32" t="s">
        <v>571</v>
      </c>
      <c r="C2638" s="32" t="s">
        <v>605</v>
      </c>
      <c r="D2638" s="30" t="s">
        <v>573</v>
      </c>
      <c r="E2638" s="30" t="s">
        <v>637</v>
      </c>
    </row>
    <row r="2639" spans="1:5" x14ac:dyDescent="0.35">
      <c r="A2639" s="32">
        <v>3045</v>
      </c>
      <c r="B2639" s="32" t="s">
        <v>571</v>
      </c>
      <c r="C2639" s="32" t="s">
        <v>648</v>
      </c>
      <c r="D2639" s="30" t="s">
        <v>573</v>
      </c>
      <c r="E2639" s="30" t="s">
        <v>637</v>
      </c>
    </row>
    <row r="2640" spans="1:5" x14ac:dyDescent="0.35">
      <c r="A2640" s="32">
        <v>3046</v>
      </c>
      <c r="B2640" s="32" t="s">
        <v>611</v>
      </c>
      <c r="C2640" s="32" t="s">
        <v>605</v>
      </c>
      <c r="D2640" s="30" t="s">
        <v>663</v>
      </c>
      <c r="E2640" s="30" t="s">
        <v>689</v>
      </c>
    </row>
    <row r="2641" spans="1:5" x14ac:dyDescent="0.35">
      <c r="A2641" s="32">
        <v>3047</v>
      </c>
      <c r="B2641" s="32" t="s">
        <v>611</v>
      </c>
      <c r="C2641" s="32" t="s">
        <v>648</v>
      </c>
      <c r="D2641" s="30" t="s">
        <v>663</v>
      </c>
      <c r="E2641" s="30" t="s">
        <v>689</v>
      </c>
    </row>
    <row r="2642" spans="1:5" x14ac:dyDescent="0.35">
      <c r="A2642" s="32">
        <v>3048</v>
      </c>
      <c r="B2642" s="32" t="s">
        <v>610</v>
      </c>
      <c r="C2642" s="32" t="s">
        <v>648</v>
      </c>
      <c r="D2642" s="30" t="s">
        <v>630</v>
      </c>
      <c r="E2642" s="30" t="s">
        <v>631</v>
      </c>
    </row>
    <row r="2643" spans="1:5" x14ac:dyDescent="0.35">
      <c r="A2643" s="32">
        <v>3049</v>
      </c>
      <c r="B2643" s="32" t="s">
        <v>611</v>
      </c>
      <c r="C2643" s="32" t="s">
        <v>648</v>
      </c>
      <c r="D2643" s="30" t="s">
        <v>573</v>
      </c>
      <c r="E2643" s="30" t="s">
        <v>638</v>
      </c>
    </row>
    <row r="2644" spans="1:5" x14ac:dyDescent="0.35">
      <c r="A2644" s="32">
        <v>3052</v>
      </c>
      <c r="B2644" s="32" t="s">
        <v>571</v>
      </c>
      <c r="C2644" s="32" t="s">
        <v>648</v>
      </c>
      <c r="D2644" s="30" t="s">
        <v>599</v>
      </c>
      <c r="E2644" s="30" t="s">
        <v>615</v>
      </c>
    </row>
    <row r="2645" spans="1:5" x14ac:dyDescent="0.35">
      <c r="A2645" s="32">
        <v>3053</v>
      </c>
      <c r="B2645" s="32" t="s">
        <v>571</v>
      </c>
      <c r="C2645" s="32" t="s">
        <v>605</v>
      </c>
      <c r="D2645" s="30" t="s">
        <v>599</v>
      </c>
      <c r="E2645" s="30" t="s">
        <v>615</v>
      </c>
    </row>
    <row r="2646" spans="1:5" x14ac:dyDescent="0.35">
      <c r="A2646" s="32">
        <v>3054</v>
      </c>
      <c r="B2646" s="32" t="s">
        <v>571</v>
      </c>
      <c r="C2646" s="32" t="s">
        <v>605</v>
      </c>
      <c r="D2646" s="30" t="s">
        <v>599</v>
      </c>
      <c r="E2646" s="30" t="s">
        <v>615</v>
      </c>
    </row>
    <row r="2647" spans="1:5" x14ac:dyDescent="0.35">
      <c r="A2647" s="32">
        <v>3055</v>
      </c>
      <c r="B2647" s="32" t="s">
        <v>571</v>
      </c>
      <c r="C2647" s="32" t="s">
        <v>648</v>
      </c>
      <c r="D2647" s="30" t="s">
        <v>639</v>
      </c>
      <c r="E2647" s="30" t="s">
        <v>646</v>
      </c>
    </row>
    <row r="2648" spans="1:5" x14ac:dyDescent="0.35">
      <c r="A2648" s="32">
        <v>3056</v>
      </c>
      <c r="B2648" s="32" t="s">
        <v>571</v>
      </c>
      <c r="C2648" s="32" t="s">
        <v>648</v>
      </c>
      <c r="D2648" s="30" t="s">
        <v>639</v>
      </c>
      <c r="E2648" s="30" t="s">
        <v>646</v>
      </c>
    </row>
    <row r="2649" spans="1:5" x14ac:dyDescent="0.35">
      <c r="A2649" s="32">
        <v>3057</v>
      </c>
      <c r="B2649" s="32" t="s">
        <v>571</v>
      </c>
      <c r="C2649" s="32" t="s">
        <v>584</v>
      </c>
      <c r="D2649" s="30" t="s">
        <v>639</v>
      </c>
      <c r="E2649" s="30" t="s">
        <v>646</v>
      </c>
    </row>
    <row r="2650" spans="1:5" x14ac:dyDescent="0.35">
      <c r="A2650" s="32">
        <v>3058</v>
      </c>
      <c r="B2650" s="32" t="s">
        <v>571</v>
      </c>
      <c r="C2650" s="32" t="s">
        <v>584</v>
      </c>
      <c r="D2650" s="30" t="s">
        <v>639</v>
      </c>
      <c r="E2650" s="30" t="s">
        <v>646</v>
      </c>
    </row>
    <row r="2651" spans="1:5" x14ac:dyDescent="0.35">
      <c r="A2651" s="32">
        <v>3059</v>
      </c>
      <c r="B2651" s="32" t="s">
        <v>571</v>
      </c>
      <c r="C2651" s="32" t="s">
        <v>648</v>
      </c>
      <c r="D2651" s="30" t="s">
        <v>639</v>
      </c>
      <c r="E2651" s="30" t="s">
        <v>646</v>
      </c>
    </row>
    <row r="2652" spans="1:5" x14ac:dyDescent="0.35">
      <c r="A2652" s="32">
        <v>3060</v>
      </c>
      <c r="B2652" s="32" t="s">
        <v>571</v>
      </c>
      <c r="C2652" s="32" t="s">
        <v>648</v>
      </c>
      <c r="D2652" s="30" t="s">
        <v>639</v>
      </c>
      <c r="E2652" s="30" t="s">
        <v>646</v>
      </c>
    </row>
    <row r="2653" spans="1:5" x14ac:dyDescent="0.35">
      <c r="A2653" s="32">
        <v>3061</v>
      </c>
      <c r="B2653" s="32" t="s">
        <v>571</v>
      </c>
      <c r="C2653" s="32" t="s">
        <v>584</v>
      </c>
      <c r="D2653" s="30" t="s">
        <v>639</v>
      </c>
      <c r="E2653" s="30" t="s">
        <v>646</v>
      </c>
    </row>
    <row r="2654" spans="1:5" x14ac:dyDescent="0.35">
      <c r="A2654" s="32">
        <v>3062</v>
      </c>
      <c r="B2654" s="32" t="s">
        <v>611</v>
      </c>
      <c r="C2654" s="32" t="s">
        <v>584</v>
      </c>
      <c r="D2654" s="30" t="s">
        <v>639</v>
      </c>
      <c r="E2654" s="30" t="s">
        <v>646</v>
      </c>
    </row>
    <row r="2655" spans="1:5" x14ac:dyDescent="0.35">
      <c r="A2655" s="32">
        <v>3063</v>
      </c>
      <c r="B2655" s="32" t="s">
        <v>611</v>
      </c>
      <c r="C2655" s="32" t="s">
        <v>584</v>
      </c>
      <c r="D2655" s="30" t="s">
        <v>639</v>
      </c>
      <c r="E2655" s="30" t="s">
        <v>646</v>
      </c>
    </row>
    <row r="2656" spans="1:5" x14ac:dyDescent="0.35">
      <c r="A2656" s="32">
        <v>3064</v>
      </c>
      <c r="B2656" s="32" t="s">
        <v>610</v>
      </c>
      <c r="C2656" s="32" t="s">
        <v>584</v>
      </c>
      <c r="D2656" s="30" t="s">
        <v>639</v>
      </c>
      <c r="E2656" s="30" t="s">
        <v>646</v>
      </c>
    </row>
    <row r="2657" spans="1:5" x14ac:dyDescent="0.35">
      <c r="A2657" s="32">
        <v>3065</v>
      </c>
      <c r="B2657" s="32" t="s">
        <v>610</v>
      </c>
      <c r="C2657" s="32" t="s">
        <v>584</v>
      </c>
      <c r="D2657" s="30" t="s">
        <v>639</v>
      </c>
      <c r="E2657" s="30" t="s">
        <v>646</v>
      </c>
    </row>
    <row r="2658" spans="1:5" x14ac:dyDescent="0.35">
      <c r="A2658" s="32">
        <v>3066</v>
      </c>
      <c r="B2658" s="32" t="s">
        <v>610</v>
      </c>
      <c r="C2658" s="32" t="s">
        <v>584</v>
      </c>
      <c r="D2658" s="30" t="s">
        <v>639</v>
      </c>
      <c r="E2658" s="30" t="s">
        <v>646</v>
      </c>
    </row>
    <row r="2659" spans="1:5" x14ac:dyDescent="0.35">
      <c r="A2659" s="32">
        <v>3067</v>
      </c>
      <c r="B2659" s="32" t="s">
        <v>610</v>
      </c>
      <c r="C2659" s="32" t="s">
        <v>584</v>
      </c>
      <c r="D2659" s="30" t="s">
        <v>639</v>
      </c>
      <c r="E2659" s="30" t="s">
        <v>646</v>
      </c>
    </row>
    <row r="2660" spans="1:5" x14ac:dyDescent="0.35">
      <c r="A2660" s="32">
        <v>3068</v>
      </c>
      <c r="B2660" s="32" t="s">
        <v>611</v>
      </c>
      <c r="C2660" s="32" t="s">
        <v>648</v>
      </c>
      <c r="D2660" s="30" t="s">
        <v>663</v>
      </c>
      <c r="E2660" s="30" t="s">
        <v>667</v>
      </c>
    </row>
    <row r="2661" spans="1:5" x14ac:dyDescent="0.35">
      <c r="A2661" s="32">
        <v>3069</v>
      </c>
      <c r="B2661" s="32" t="s">
        <v>611</v>
      </c>
      <c r="C2661" s="32" t="s">
        <v>648</v>
      </c>
      <c r="D2661" s="30" t="s">
        <v>663</v>
      </c>
      <c r="E2661" s="30" t="s">
        <v>667</v>
      </c>
    </row>
    <row r="2662" spans="1:5" x14ac:dyDescent="0.35">
      <c r="A2662" s="32">
        <v>3070</v>
      </c>
      <c r="B2662" s="32" t="s">
        <v>571</v>
      </c>
      <c r="C2662" s="32" t="s">
        <v>605</v>
      </c>
      <c r="D2662" s="30" t="s">
        <v>663</v>
      </c>
      <c r="E2662" s="30" t="s">
        <v>687</v>
      </c>
    </row>
    <row r="2663" spans="1:5" x14ac:dyDescent="0.35">
      <c r="A2663" s="32">
        <v>3071</v>
      </c>
      <c r="B2663" s="32" t="s">
        <v>634</v>
      </c>
      <c r="C2663" s="32" t="s">
        <v>605</v>
      </c>
      <c r="D2663" s="30" t="s">
        <v>663</v>
      </c>
      <c r="E2663" s="30" t="s">
        <v>687</v>
      </c>
    </row>
    <row r="2664" spans="1:5" x14ac:dyDescent="0.35">
      <c r="A2664" s="32">
        <v>3072</v>
      </c>
      <c r="B2664" s="32" t="s">
        <v>634</v>
      </c>
      <c r="C2664" s="32" t="s">
        <v>605</v>
      </c>
      <c r="D2664" s="30" t="s">
        <v>663</v>
      </c>
      <c r="E2664" s="30" t="s">
        <v>687</v>
      </c>
    </row>
    <row r="2665" spans="1:5" x14ac:dyDescent="0.35">
      <c r="A2665" s="32">
        <v>3073</v>
      </c>
      <c r="B2665" s="32" t="s">
        <v>611</v>
      </c>
      <c r="C2665" s="32" t="s">
        <v>624</v>
      </c>
      <c r="D2665" s="30" t="s">
        <v>663</v>
      </c>
      <c r="E2665" s="30" t="s">
        <v>687</v>
      </c>
    </row>
    <row r="2666" spans="1:5" x14ac:dyDescent="0.35">
      <c r="A2666" s="32">
        <v>3074</v>
      </c>
      <c r="B2666" s="32" t="s">
        <v>571</v>
      </c>
      <c r="C2666" s="32" t="s">
        <v>624</v>
      </c>
      <c r="D2666" s="30" t="s">
        <v>663</v>
      </c>
      <c r="E2666" s="30" t="s">
        <v>687</v>
      </c>
    </row>
    <row r="2667" spans="1:5" x14ac:dyDescent="0.35">
      <c r="A2667" s="32">
        <v>3075</v>
      </c>
      <c r="B2667" s="32" t="s">
        <v>634</v>
      </c>
      <c r="C2667" s="32" t="s">
        <v>624</v>
      </c>
      <c r="D2667" s="30" t="s">
        <v>663</v>
      </c>
      <c r="E2667" s="30" t="s">
        <v>687</v>
      </c>
    </row>
    <row r="2668" spans="1:5" x14ac:dyDescent="0.35">
      <c r="A2668" s="32">
        <v>3076</v>
      </c>
      <c r="B2668" s="32" t="s">
        <v>611</v>
      </c>
      <c r="C2668" s="32" t="s">
        <v>584</v>
      </c>
      <c r="D2668" s="30" t="s">
        <v>663</v>
      </c>
      <c r="E2668" s="30" t="s">
        <v>687</v>
      </c>
    </row>
    <row r="2669" spans="1:5" x14ac:dyDescent="0.35">
      <c r="A2669" s="32">
        <v>3077</v>
      </c>
      <c r="B2669" s="32" t="s">
        <v>610</v>
      </c>
      <c r="C2669" s="32" t="s">
        <v>605</v>
      </c>
      <c r="D2669" s="30" t="s">
        <v>663</v>
      </c>
      <c r="E2669" s="30" t="s">
        <v>687</v>
      </c>
    </row>
    <row r="2670" spans="1:5" x14ac:dyDescent="0.35">
      <c r="A2670" s="32">
        <v>3078</v>
      </c>
      <c r="B2670" s="32" t="s">
        <v>611</v>
      </c>
      <c r="C2670" s="32" t="s">
        <v>605</v>
      </c>
      <c r="D2670" s="30" t="s">
        <v>663</v>
      </c>
      <c r="E2670" s="30" t="s">
        <v>687</v>
      </c>
    </row>
    <row r="2671" spans="1:5" x14ac:dyDescent="0.35">
      <c r="A2671" s="32">
        <v>3079</v>
      </c>
      <c r="B2671" s="32" t="s">
        <v>611</v>
      </c>
      <c r="C2671" s="32" t="s">
        <v>648</v>
      </c>
      <c r="D2671" s="30" t="s">
        <v>663</v>
      </c>
      <c r="E2671" s="30" t="s">
        <v>687</v>
      </c>
    </row>
    <row r="2672" spans="1:5" x14ac:dyDescent="0.35">
      <c r="A2672" s="32">
        <v>3080</v>
      </c>
      <c r="B2672" s="32" t="s">
        <v>611</v>
      </c>
      <c r="C2672" s="32" t="s">
        <v>605</v>
      </c>
      <c r="D2672" s="30" t="s">
        <v>663</v>
      </c>
      <c r="E2672" s="30" t="s">
        <v>687</v>
      </c>
    </row>
    <row r="2673" spans="1:5" x14ac:dyDescent="0.35">
      <c r="A2673" s="32">
        <v>3081</v>
      </c>
      <c r="B2673" s="32" t="s">
        <v>611</v>
      </c>
      <c r="C2673" s="32" t="s">
        <v>624</v>
      </c>
      <c r="D2673" s="30" t="s">
        <v>663</v>
      </c>
      <c r="E2673" s="30" t="s">
        <v>687</v>
      </c>
    </row>
    <row r="2674" spans="1:5" x14ac:dyDescent="0.35">
      <c r="A2674" s="32">
        <v>3082</v>
      </c>
      <c r="B2674" s="32" t="s">
        <v>611</v>
      </c>
      <c r="C2674" s="32" t="s">
        <v>584</v>
      </c>
      <c r="D2674" s="30" t="s">
        <v>663</v>
      </c>
      <c r="E2674" s="30" t="s">
        <v>687</v>
      </c>
    </row>
    <row r="2675" spans="1:5" x14ac:dyDescent="0.35">
      <c r="A2675" s="32">
        <v>3083</v>
      </c>
      <c r="B2675" s="32" t="s">
        <v>611</v>
      </c>
      <c r="C2675" s="32" t="s">
        <v>605</v>
      </c>
      <c r="D2675" s="30" t="s">
        <v>663</v>
      </c>
      <c r="E2675" s="30" t="s">
        <v>687</v>
      </c>
    </row>
    <row r="2676" spans="1:5" x14ac:dyDescent="0.35">
      <c r="A2676" s="32">
        <v>3084</v>
      </c>
      <c r="B2676" s="32" t="s">
        <v>611</v>
      </c>
      <c r="C2676" s="32" t="s">
        <v>648</v>
      </c>
      <c r="D2676" s="30" t="s">
        <v>663</v>
      </c>
      <c r="E2676" s="30" t="s">
        <v>687</v>
      </c>
    </row>
    <row r="2677" spans="1:5" x14ac:dyDescent="0.35">
      <c r="A2677" s="32">
        <v>3085</v>
      </c>
      <c r="B2677" s="32" t="s">
        <v>611</v>
      </c>
      <c r="C2677" s="32" t="s">
        <v>648</v>
      </c>
      <c r="D2677" s="30" t="s">
        <v>663</v>
      </c>
      <c r="E2677" s="30" t="s">
        <v>687</v>
      </c>
    </row>
    <row r="2678" spans="1:5" x14ac:dyDescent="0.35">
      <c r="A2678" s="32">
        <v>3086</v>
      </c>
      <c r="B2678" s="32" t="s">
        <v>611</v>
      </c>
      <c r="C2678" s="32" t="s">
        <v>619</v>
      </c>
      <c r="D2678" s="30" t="s">
        <v>599</v>
      </c>
      <c r="E2678" s="30" t="s">
        <v>615</v>
      </c>
    </row>
    <row r="2679" spans="1:5" x14ac:dyDescent="0.35">
      <c r="A2679" s="32">
        <v>3087</v>
      </c>
      <c r="B2679" s="32" t="s">
        <v>611</v>
      </c>
      <c r="C2679" s="32" t="s">
        <v>648</v>
      </c>
      <c r="D2679" s="30" t="s">
        <v>599</v>
      </c>
      <c r="E2679" s="30" t="s">
        <v>615</v>
      </c>
    </row>
    <row r="2680" spans="1:5" x14ac:dyDescent="0.35">
      <c r="A2680" s="32">
        <v>3088</v>
      </c>
      <c r="B2680" s="32" t="s">
        <v>611</v>
      </c>
      <c r="C2680" s="32" t="s">
        <v>648</v>
      </c>
      <c r="D2680" s="30" t="s">
        <v>659</v>
      </c>
      <c r="E2680" s="30" t="s">
        <v>660</v>
      </c>
    </row>
    <row r="2681" spans="1:5" x14ac:dyDescent="0.35">
      <c r="A2681" s="32">
        <v>3089</v>
      </c>
      <c r="B2681" s="32" t="s">
        <v>571</v>
      </c>
      <c r="C2681" s="32" t="s">
        <v>648</v>
      </c>
      <c r="D2681" s="30" t="s">
        <v>659</v>
      </c>
      <c r="E2681" s="30" t="s">
        <v>660</v>
      </c>
    </row>
    <row r="2682" spans="1:5" x14ac:dyDescent="0.35">
      <c r="A2682" s="32">
        <v>3090</v>
      </c>
      <c r="B2682" s="32" t="s">
        <v>571</v>
      </c>
      <c r="C2682" s="32" t="s">
        <v>648</v>
      </c>
      <c r="D2682" s="30" t="s">
        <v>659</v>
      </c>
      <c r="E2682" s="30" t="s">
        <v>660</v>
      </c>
    </row>
    <row r="2683" spans="1:5" x14ac:dyDescent="0.35">
      <c r="A2683" s="32">
        <v>3091</v>
      </c>
      <c r="B2683" s="32" t="s">
        <v>571</v>
      </c>
      <c r="C2683" s="32" t="s">
        <v>648</v>
      </c>
      <c r="D2683" s="30" t="s">
        <v>659</v>
      </c>
      <c r="E2683" s="30" t="s">
        <v>660</v>
      </c>
    </row>
    <row r="2684" spans="1:5" x14ac:dyDescent="0.35">
      <c r="A2684" s="32">
        <v>3092</v>
      </c>
      <c r="B2684" s="32" t="s">
        <v>571</v>
      </c>
      <c r="C2684" s="32" t="s">
        <v>648</v>
      </c>
      <c r="D2684" s="30" t="s">
        <v>659</v>
      </c>
      <c r="E2684" s="30" t="s">
        <v>660</v>
      </c>
    </row>
    <row r="2685" spans="1:5" x14ac:dyDescent="0.35">
      <c r="A2685" s="32">
        <v>3093</v>
      </c>
      <c r="B2685" s="32" t="s">
        <v>634</v>
      </c>
      <c r="C2685" s="32" t="s">
        <v>584</v>
      </c>
      <c r="D2685" s="30" t="s">
        <v>659</v>
      </c>
      <c r="E2685" s="30" t="s">
        <v>660</v>
      </c>
    </row>
    <row r="2686" spans="1:5" x14ac:dyDescent="0.35">
      <c r="A2686" s="32">
        <v>3094</v>
      </c>
      <c r="B2686" s="32" t="s">
        <v>634</v>
      </c>
      <c r="C2686" s="32" t="s">
        <v>648</v>
      </c>
      <c r="D2686" s="30" t="s">
        <v>659</v>
      </c>
      <c r="E2686" s="30" t="s">
        <v>660</v>
      </c>
    </row>
    <row r="2687" spans="1:5" x14ac:dyDescent="0.35">
      <c r="A2687" s="32">
        <v>3095</v>
      </c>
      <c r="B2687" s="32" t="s">
        <v>610</v>
      </c>
      <c r="C2687" s="32" t="s">
        <v>648</v>
      </c>
      <c r="D2687" s="30" t="s">
        <v>659</v>
      </c>
      <c r="E2687" s="30" t="s">
        <v>660</v>
      </c>
    </row>
    <row r="2688" spans="1:5" x14ac:dyDescent="0.35">
      <c r="A2688" s="32">
        <v>3096</v>
      </c>
      <c r="B2688" s="32" t="s">
        <v>611</v>
      </c>
      <c r="C2688" s="32" t="s">
        <v>648</v>
      </c>
      <c r="D2688" s="30" t="s">
        <v>659</v>
      </c>
      <c r="E2688" s="30" t="s">
        <v>660</v>
      </c>
    </row>
    <row r="2689" spans="1:5" x14ac:dyDescent="0.35">
      <c r="A2689" s="32">
        <v>3097</v>
      </c>
      <c r="B2689" s="32" t="s">
        <v>571</v>
      </c>
      <c r="C2689" s="32" t="s">
        <v>648</v>
      </c>
      <c r="D2689" s="30" t="s">
        <v>659</v>
      </c>
      <c r="E2689" s="30" t="s">
        <v>660</v>
      </c>
    </row>
    <row r="2690" spans="1:5" x14ac:dyDescent="0.35">
      <c r="A2690" s="32">
        <v>3098</v>
      </c>
      <c r="B2690" s="32" t="s">
        <v>571</v>
      </c>
      <c r="C2690" s="32" t="s">
        <v>648</v>
      </c>
      <c r="D2690" s="30" t="s">
        <v>659</v>
      </c>
      <c r="E2690" s="30" t="s">
        <v>660</v>
      </c>
    </row>
    <row r="2691" spans="1:5" x14ac:dyDescent="0.35">
      <c r="A2691" s="32">
        <v>3099</v>
      </c>
      <c r="B2691" s="32" t="s">
        <v>571</v>
      </c>
      <c r="C2691" s="32" t="s">
        <v>648</v>
      </c>
      <c r="D2691" s="30" t="s">
        <v>659</v>
      </c>
      <c r="E2691" s="30" t="s">
        <v>660</v>
      </c>
    </row>
    <row r="2692" spans="1:5" x14ac:dyDescent="0.35">
      <c r="A2692" s="32">
        <v>3100</v>
      </c>
      <c r="B2692" s="32" t="s">
        <v>571</v>
      </c>
      <c r="C2692" s="32" t="s">
        <v>648</v>
      </c>
      <c r="D2692" s="30" t="s">
        <v>659</v>
      </c>
      <c r="E2692" s="30" t="s">
        <v>660</v>
      </c>
    </row>
    <row r="2693" spans="1:5" x14ac:dyDescent="0.35">
      <c r="A2693" s="32">
        <v>3101</v>
      </c>
      <c r="B2693" s="32" t="s">
        <v>634</v>
      </c>
      <c r="C2693" s="32" t="s">
        <v>584</v>
      </c>
      <c r="D2693" s="30" t="s">
        <v>659</v>
      </c>
      <c r="E2693" s="30" t="s">
        <v>660</v>
      </c>
    </row>
    <row r="2694" spans="1:5" x14ac:dyDescent="0.35">
      <c r="A2694" s="32">
        <v>3102</v>
      </c>
      <c r="B2694" s="32" t="s">
        <v>634</v>
      </c>
      <c r="C2694" s="32" t="s">
        <v>648</v>
      </c>
      <c r="D2694" s="30" t="s">
        <v>659</v>
      </c>
      <c r="E2694" s="30" t="s">
        <v>660</v>
      </c>
    </row>
    <row r="2695" spans="1:5" x14ac:dyDescent="0.35">
      <c r="A2695" s="32">
        <v>3103</v>
      </c>
      <c r="B2695" s="32" t="s">
        <v>610</v>
      </c>
      <c r="C2695" s="32" t="s">
        <v>648</v>
      </c>
      <c r="D2695" s="30" t="s">
        <v>659</v>
      </c>
      <c r="E2695" s="30" t="s">
        <v>660</v>
      </c>
    </row>
    <row r="2696" spans="1:5" x14ac:dyDescent="0.35">
      <c r="A2696" s="32">
        <v>3104</v>
      </c>
      <c r="B2696" s="32" t="s">
        <v>611</v>
      </c>
      <c r="C2696" s="32" t="s">
        <v>648</v>
      </c>
      <c r="D2696" s="30" t="s">
        <v>659</v>
      </c>
      <c r="E2696" s="30" t="s">
        <v>660</v>
      </c>
    </row>
    <row r="2697" spans="1:5" x14ac:dyDescent="0.35">
      <c r="A2697" s="32">
        <v>3105</v>
      </c>
      <c r="B2697" s="32" t="s">
        <v>571</v>
      </c>
      <c r="C2697" s="32" t="s">
        <v>648</v>
      </c>
      <c r="D2697" s="30" t="s">
        <v>659</v>
      </c>
      <c r="E2697" s="30" t="s">
        <v>660</v>
      </c>
    </row>
    <row r="2698" spans="1:5" x14ac:dyDescent="0.35">
      <c r="A2698" s="32">
        <v>3106</v>
      </c>
      <c r="B2698" s="32" t="s">
        <v>571</v>
      </c>
      <c r="C2698" s="32" t="s">
        <v>648</v>
      </c>
      <c r="D2698" s="30" t="s">
        <v>659</v>
      </c>
      <c r="E2698" s="30" t="s">
        <v>660</v>
      </c>
    </row>
    <row r="2699" spans="1:5" x14ac:dyDescent="0.35">
      <c r="A2699" s="32">
        <v>3107</v>
      </c>
      <c r="B2699" s="32" t="s">
        <v>571</v>
      </c>
      <c r="C2699" s="32" t="s">
        <v>648</v>
      </c>
      <c r="D2699" s="30" t="s">
        <v>659</v>
      </c>
      <c r="E2699" s="30" t="s">
        <v>660</v>
      </c>
    </row>
    <row r="2700" spans="1:5" x14ac:dyDescent="0.35">
      <c r="A2700" s="32">
        <v>3108</v>
      </c>
      <c r="B2700" s="32" t="s">
        <v>571</v>
      </c>
      <c r="C2700" s="32" t="s">
        <v>648</v>
      </c>
      <c r="D2700" s="30" t="s">
        <v>659</v>
      </c>
      <c r="E2700" s="30" t="s">
        <v>660</v>
      </c>
    </row>
    <row r="2701" spans="1:5" x14ac:dyDescent="0.35">
      <c r="A2701" s="32">
        <v>3109</v>
      </c>
      <c r="B2701" s="32" t="s">
        <v>634</v>
      </c>
      <c r="C2701" s="32" t="s">
        <v>584</v>
      </c>
      <c r="D2701" s="30" t="s">
        <v>659</v>
      </c>
      <c r="E2701" s="30" t="s">
        <v>660</v>
      </c>
    </row>
    <row r="2702" spans="1:5" x14ac:dyDescent="0.35">
      <c r="A2702" s="32">
        <v>3110</v>
      </c>
      <c r="B2702" s="32" t="s">
        <v>634</v>
      </c>
      <c r="C2702" s="32" t="s">
        <v>648</v>
      </c>
      <c r="D2702" s="30" t="s">
        <v>659</v>
      </c>
      <c r="E2702" s="30" t="s">
        <v>660</v>
      </c>
    </row>
    <row r="2703" spans="1:5" x14ac:dyDescent="0.35">
      <c r="A2703" s="32">
        <v>3111</v>
      </c>
      <c r="B2703" s="32" t="s">
        <v>610</v>
      </c>
      <c r="C2703" s="32" t="s">
        <v>648</v>
      </c>
      <c r="D2703" s="30" t="s">
        <v>659</v>
      </c>
      <c r="E2703" s="30" t="s">
        <v>660</v>
      </c>
    </row>
    <row r="2704" spans="1:5" x14ac:dyDescent="0.35">
      <c r="A2704" s="32">
        <v>3112</v>
      </c>
      <c r="B2704" s="32" t="s">
        <v>610</v>
      </c>
      <c r="C2704" s="32" t="s">
        <v>605</v>
      </c>
      <c r="D2704" s="30" t="s">
        <v>599</v>
      </c>
      <c r="E2704" s="30" t="s">
        <v>615</v>
      </c>
    </row>
    <row r="2705" spans="1:5" x14ac:dyDescent="0.35">
      <c r="A2705" s="32">
        <v>3113</v>
      </c>
      <c r="B2705" s="32" t="s">
        <v>610</v>
      </c>
      <c r="C2705" s="32" t="s">
        <v>605</v>
      </c>
      <c r="D2705" s="30" t="s">
        <v>599</v>
      </c>
      <c r="E2705" s="30" t="s">
        <v>615</v>
      </c>
    </row>
    <row r="2706" spans="1:5" x14ac:dyDescent="0.35">
      <c r="A2706" s="32">
        <v>3114</v>
      </c>
      <c r="B2706" s="32" t="s">
        <v>610</v>
      </c>
      <c r="C2706" s="32" t="s">
        <v>605</v>
      </c>
      <c r="D2706" s="30" t="s">
        <v>599</v>
      </c>
      <c r="E2706" s="30" t="s">
        <v>615</v>
      </c>
    </row>
    <row r="2707" spans="1:5" x14ac:dyDescent="0.35">
      <c r="A2707" s="32">
        <v>3115</v>
      </c>
      <c r="B2707" s="32" t="s">
        <v>611</v>
      </c>
      <c r="C2707" s="32" t="s">
        <v>624</v>
      </c>
      <c r="D2707" s="30" t="s">
        <v>599</v>
      </c>
      <c r="E2707" s="30" t="s">
        <v>629</v>
      </c>
    </row>
    <row r="2708" spans="1:5" x14ac:dyDescent="0.35">
      <c r="A2708" s="32">
        <v>3116</v>
      </c>
      <c r="B2708" s="32" t="s">
        <v>611</v>
      </c>
      <c r="C2708" s="32" t="s">
        <v>624</v>
      </c>
      <c r="D2708" s="30" t="s">
        <v>599</v>
      </c>
      <c r="E2708" s="30" t="s">
        <v>629</v>
      </c>
    </row>
    <row r="2709" spans="1:5" x14ac:dyDescent="0.35">
      <c r="A2709" s="32">
        <v>3117</v>
      </c>
      <c r="B2709" s="32" t="s">
        <v>611</v>
      </c>
      <c r="C2709" s="32" t="s">
        <v>624</v>
      </c>
      <c r="D2709" s="30" t="s">
        <v>599</v>
      </c>
      <c r="E2709" s="30" t="s">
        <v>629</v>
      </c>
    </row>
    <row r="2710" spans="1:5" x14ac:dyDescent="0.35">
      <c r="A2710" s="32">
        <v>3118</v>
      </c>
      <c r="B2710" s="32" t="s">
        <v>611</v>
      </c>
      <c r="C2710" s="32" t="s">
        <v>624</v>
      </c>
      <c r="D2710" s="30" t="s">
        <v>599</v>
      </c>
      <c r="E2710" s="30" t="s">
        <v>629</v>
      </c>
    </row>
    <row r="2711" spans="1:5" x14ac:dyDescent="0.35">
      <c r="A2711" s="32">
        <v>3119</v>
      </c>
      <c r="B2711" s="32" t="s">
        <v>611</v>
      </c>
      <c r="C2711" s="32" t="s">
        <v>624</v>
      </c>
      <c r="D2711" s="30" t="s">
        <v>599</v>
      </c>
      <c r="E2711" s="30" t="s">
        <v>629</v>
      </c>
    </row>
    <row r="2712" spans="1:5" x14ac:dyDescent="0.35">
      <c r="A2712" s="32">
        <v>3120</v>
      </c>
      <c r="B2712" s="32" t="s">
        <v>611</v>
      </c>
      <c r="C2712" s="32" t="s">
        <v>624</v>
      </c>
      <c r="D2712" s="30" t="s">
        <v>599</v>
      </c>
      <c r="E2712" s="30" t="s">
        <v>629</v>
      </c>
    </row>
    <row r="2713" spans="1:5" x14ac:dyDescent="0.35">
      <c r="A2713" s="32">
        <v>3121</v>
      </c>
      <c r="B2713" s="32" t="s">
        <v>611</v>
      </c>
      <c r="C2713" s="32" t="s">
        <v>624</v>
      </c>
      <c r="D2713" s="30" t="s">
        <v>599</v>
      </c>
      <c r="E2713" s="30" t="s">
        <v>629</v>
      </c>
    </row>
    <row r="2714" spans="1:5" x14ac:dyDescent="0.35">
      <c r="A2714" s="32">
        <v>3122</v>
      </c>
      <c r="B2714" s="32" t="s">
        <v>634</v>
      </c>
      <c r="C2714" s="32" t="s">
        <v>624</v>
      </c>
      <c r="D2714" s="30" t="s">
        <v>599</v>
      </c>
      <c r="E2714" s="30" t="s">
        <v>629</v>
      </c>
    </row>
    <row r="2715" spans="1:5" x14ac:dyDescent="0.35">
      <c r="A2715" s="32">
        <v>3123</v>
      </c>
      <c r="B2715" s="32" t="s">
        <v>611</v>
      </c>
      <c r="C2715" s="32" t="s">
        <v>605</v>
      </c>
      <c r="D2715" s="30" t="s">
        <v>599</v>
      </c>
      <c r="E2715" s="30" t="s">
        <v>629</v>
      </c>
    </row>
    <row r="2716" spans="1:5" x14ac:dyDescent="0.35">
      <c r="A2716" s="32">
        <v>3124</v>
      </c>
      <c r="B2716" s="32" t="s">
        <v>571</v>
      </c>
      <c r="C2716" s="32" t="s">
        <v>605</v>
      </c>
      <c r="D2716" s="30" t="s">
        <v>599</v>
      </c>
      <c r="E2716" s="30" t="s">
        <v>629</v>
      </c>
    </row>
    <row r="2717" spans="1:5" x14ac:dyDescent="0.35">
      <c r="A2717" s="32">
        <v>3125</v>
      </c>
      <c r="B2717" s="32" t="s">
        <v>634</v>
      </c>
      <c r="C2717" s="32" t="s">
        <v>648</v>
      </c>
      <c r="D2717" s="30" t="s">
        <v>599</v>
      </c>
      <c r="E2717" s="30" t="s">
        <v>629</v>
      </c>
    </row>
    <row r="2718" spans="1:5" x14ac:dyDescent="0.35">
      <c r="A2718" s="32">
        <v>3126</v>
      </c>
      <c r="B2718" s="32" t="s">
        <v>634</v>
      </c>
      <c r="C2718" s="32" t="s">
        <v>648</v>
      </c>
      <c r="D2718" s="30" t="s">
        <v>599</v>
      </c>
      <c r="E2718" s="30" t="s">
        <v>629</v>
      </c>
    </row>
    <row r="2719" spans="1:5" x14ac:dyDescent="0.35">
      <c r="A2719" s="32">
        <v>3127</v>
      </c>
      <c r="B2719" s="32" t="s">
        <v>634</v>
      </c>
      <c r="C2719" s="32" t="s">
        <v>648</v>
      </c>
      <c r="D2719" s="30" t="s">
        <v>599</v>
      </c>
      <c r="E2719" s="30" t="s">
        <v>629</v>
      </c>
    </row>
    <row r="2720" spans="1:5" x14ac:dyDescent="0.35">
      <c r="A2720" s="32">
        <v>3128</v>
      </c>
      <c r="B2720" s="32" t="s">
        <v>642</v>
      </c>
      <c r="C2720" s="32" t="s">
        <v>648</v>
      </c>
      <c r="D2720" s="30" t="s">
        <v>599</v>
      </c>
      <c r="E2720" s="30" t="s">
        <v>629</v>
      </c>
    </row>
    <row r="2721" spans="1:5" x14ac:dyDescent="0.35">
      <c r="A2721" s="32">
        <v>3129</v>
      </c>
      <c r="B2721" s="32" t="s">
        <v>610</v>
      </c>
      <c r="C2721" s="32" t="s">
        <v>648</v>
      </c>
      <c r="D2721" s="30" t="s">
        <v>599</v>
      </c>
      <c r="E2721" s="30" t="s">
        <v>629</v>
      </c>
    </row>
    <row r="2722" spans="1:5" x14ac:dyDescent="0.35">
      <c r="A2722" s="32">
        <v>3130</v>
      </c>
      <c r="B2722" s="32" t="s">
        <v>610</v>
      </c>
      <c r="C2722" s="32" t="s">
        <v>648</v>
      </c>
      <c r="D2722" s="30" t="s">
        <v>599</v>
      </c>
      <c r="E2722" s="30" t="s">
        <v>629</v>
      </c>
    </row>
    <row r="2723" spans="1:5" x14ac:dyDescent="0.35">
      <c r="A2723" s="32">
        <v>3131</v>
      </c>
      <c r="B2723" s="32" t="s">
        <v>611</v>
      </c>
      <c r="C2723" s="32" t="s">
        <v>648</v>
      </c>
      <c r="D2723" s="30" t="s">
        <v>599</v>
      </c>
      <c r="E2723" s="30" t="s">
        <v>629</v>
      </c>
    </row>
    <row r="2724" spans="1:5" x14ac:dyDescent="0.35">
      <c r="A2724" s="32">
        <v>3132</v>
      </c>
      <c r="B2724" s="32" t="s">
        <v>641</v>
      </c>
      <c r="C2724" s="32" t="s">
        <v>648</v>
      </c>
      <c r="D2724" s="30" t="s">
        <v>599</v>
      </c>
      <c r="E2724" s="30" t="s">
        <v>629</v>
      </c>
    </row>
    <row r="2725" spans="1:5" x14ac:dyDescent="0.35">
      <c r="A2725" s="32">
        <v>3133</v>
      </c>
      <c r="B2725" s="32" t="s">
        <v>571</v>
      </c>
      <c r="C2725" s="32" t="s">
        <v>648</v>
      </c>
      <c r="D2725" s="30" t="s">
        <v>599</v>
      </c>
      <c r="E2725" s="30" t="s">
        <v>629</v>
      </c>
    </row>
    <row r="2726" spans="1:5" x14ac:dyDescent="0.35">
      <c r="A2726" s="32">
        <v>3134</v>
      </c>
      <c r="B2726" s="32" t="s">
        <v>634</v>
      </c>
      <c r="C2726" s="32" t="s">
        <v>648</v>
      </c>
      <c r="D2726" s="30" t="s">
        <v>599</v>
      </c>
      <c r="E2726" s="30" t="s">
        <v>629</v>
      </c>
    </row>
    <row r="2727" spans="1:5" x14ac:dyDescent="0.35">
      <c r="A2727" s="32">
        <v>3135</v>
      </c>
      <c r="B2727" s="32" t="s">
        <v>634</v>
      </c>
      <c r="C2727" s="32" t="s">
        <v>648</v>
      </c>
      <c r="D2727" s="30" t="s">
        <v>599</v>
      </c>
      <c r="E2727" s="30" t="s">
        <v>629</v>
      </c>
    </row>
    <row r="2728" spans="1:5" x14ac:dyDescent="0.35">
      <c r="A2728" s="32">
        <v>3136</v>
      </c>
      <c r="B2728" s="32" t="s">
        <v>634</v>
      </c>
      <c r="C2728" s="32" t="s">
        <v>648</v>
      </c>
      <c r="D2728" s="30" t="s">
        <v>599</v>
      </c>
      <c r="E2728" s="30" t="s">
        <v>629</v>
      </c>
    </row>
    <row r="2729" spans="1:5" x14ac:dyDescent="0.35">
      <c r="A2729" s="32">
        <v>3137</v>
      </c>
      <c r="B2729" s="32" t="s">
        <v>610</v>
      </c>
      <c r="C2729" s="32" t="s">
        <v>648</v>
      </c>
      <c r="D2729" s="30" t="s">
        <v>599</v>
      </c>
      <c r="E2729" s="30" t="s">
        <v>629</v>
      </c>
    </row>
    <row r="2730" spans="1:5" x14ac:dyDescent="0.35">
      <c r="A2730" s="32">
        <v>3138</v>
      </c>
      <c r="B2730" s="32" t="s">
        <v>611</v>
      </c>
      <c r="C2730" s="32" t="s">
        <v>605</v>
      </c>
      <c r="D2730" s="30" t="s">
        <v>573</v>
      </c>
      <c r="E2730" s="30" t="s">
        <v>637</v>
      </c>
    </row>
    <row r="2731" spans="1:5" x14ac:dyDescent="0.35">
      <c r="A2731" s="32">
        <v>3139</v>
      </c>
      <c r="B2731" s="32" t="s">
        <v>611</v>
      </c>
      <c r="C2731" s="32" t="s">
        <v>605</v>
      </c>
      <c r="D2731" s="30" t="s">
        <v>573</v>
      </c>
      <c r="E2731" s="30" t="s">
        <v>637</v>
      </c>
    </row>
    <row r="2732" spans="1:5" x14ac:dyDescent="0.35">
      <c r="A2732" s="32">
        <v>3140</v>
      </c>
      <c r="B2732" s="32" t="s">
        <v>611</v>
      </c>
      <c r="C2732" s="32" t="s">
        <v>605</v>
      </c>
      <c r="D2732" s="30" t="s">
        <v>573</v>
      </c>
      <c r="E2732" s="30" t="s">
        <v>637</v>
      </c>
    </row>
    <row r="2733" spans="1:5" x14ac:dyDescent="0.35">
      <c r="A2733" s="32">
        <v>3141</v>
      </c>
      <c r="B2733" s="32" t="s">
        <v>611</v>
      </c>
      <c r="C2733" s="32" t="s">
        <v>650</v>
      </c>
      <c r="D2733" s="30" t="s">
        <v>573</v>
      </c>
      <c r="E2733" s="30" t="s">
        <v>637</v>
      </c>
    </row>
    <row r="2734" spans="1:5" x14ac:dyDescent="0.35">
      <c r="A2734" s="32">
        <v>3142</v>
      </c>
      <c r="B2734" s="32" t="s">
        <v>611</v>
      </c>
      <c r="C2734" s="32" t="s">
        <v>650</v>
      </c>
      <c r="D2734" s="30" t="s">
        <v>573</v>
      </c>
      <c r="E2734" s="30" t="s">
        <v>637</v>
      </c>
    </row>
    <row r="2735" spans="1:5" x14ac:dyDescent="0.35">
      <c r="A2735" s="32">
        <v>3143</v>
      </c>
      <c r="B2735" s="32" t="s">
        <v>611</v>
      </c>
      <c r="C2735" s="32" t="s">
        <v>648</v>
      </c>
      <c r="D2735" s="30" t="s">
        <v>573</v>
      </c>
      <c r="E2735" s="30" t="s">
        <v>637</v>
      </c>
    </row>
    <row r="2736" spans="1:5" x14ac:dyDescent="0.35">
      <c r="A2736" s="32">
        <v>3144</v>
      </c>
      <c r="B2736" s="32" t="s">
        <v>611</v>
      </c>
      <c r="C2736" s="32" t="s">
        <v>648</v>
      </c>
      <c r="D2736" s="30" t="s">
        <v>573</v>
      </c>
      <c r="E2736" s="30" t="s">
        <v>637</v>
      </c>
    </row>
    <row r="2737" spans="1:5" x14ac:dyDescent="0.35">
      <c r="A2737" s="32">
        <v>3145</v>
      </c>
      <c r="B2737" s="32" t="s">
        <v>611</v>
      </c>
      <c r="C2737" s="32" t="s">
        <v>584</v>
      </c>
      <c r="D2737" s="30" t="s">
        <v>573</v>
      </c>
      <c r="E2737" s="30" t="s">
        <v>637</v>
      </c>
    </row>
    <row r="2738" spans="1:5" x14ac:dyDescent="0.35">
      <c r="A2738" s="32">
        <v>3146</v>
      </c>
      <c r="B2738" s="32" t="s">
        <v>611</v>
      </c>
      <c r="C2738" s="32" t="s">
        <v>584</v>
      </c>
      <c r="D2738" s="30" t="s">
        <v>573</v>
      </c>
      <c r="E2738" s="30" t="s">
        <v>637</v>
      </c>
    </row>
    <row r="2739" spans="1:5" x14ac:dyDescent="0.35">
      <c r="A2739" s="32">
        <v>3147</v>
      </c>
      <c r="B2739" s="32" t="s">
        <v>611</v>
      </c>
      <c r="C2739" s="32" t="s">
        <v>584</v>
      </c>
      <c r="D2739" s="30" t="s">
        <v>573</v>
      </c>
      <c r="E2739" s="30" t="s">
        <v>637</v>
      </c>
    </row>
    <row r="2740" spans="1:5" x14ac:dyDescent="0.35">
      <c r="A2740" s="32">
        <v>3148</v>
      </c>
      <c r="B2740" s="32" t="s">
        <v>611</v>
      </c>
      <c r="C2740" s="32" t="s">
        <v>584</v>
      </c>
      <c r="D2740" s="30" t="s">
        <v>573</v>
      </c>
      <c r="E2740" s="30" t="s">
        <v>637</v>
      </c>
    </row>
    <row r="2741" spans="1:5" x14ac:dyDescent="0.35">
      <c r="A2741" s="32">
        <v>3149</v>
      </c>
      <c r="B2741" s="32" t="s">
        <v>611</v>
      </c>
      <c r="C2741" s="32" t="s">
        <v>648</v>
      </c>
      <c r="D2741" s="30" t="s">
        <v>573</v>
      </c>
      <c r="E2741" s="30" t="s">
        <v>637</v>
      </c>
    </row>
    <row r="2742" spans="1:5" x14ac:dyDescent="0.35">
      <c r="A2742" s="32">
        <v>3150</v>
      </c>
      <c r="B2742" s="32" t="s">
        <v>610</v>
      </c>
      <c r="C2742" s="32" t="s">
        <v>584</v>
      </c>
      <c r="D2742" s="30" t="s">
        <v>643</v>
      </c>
      <c r="E2742" s="30" t="s">
        <v>686</v>
      </c>
    </row>
    <row r="2743" spans="1:5" x14ac:dyDescent="0.35">
      <c r="A2743" s="32">
        <v>3151</v>
      </c>
      <c r="B2743" s="32" t="s">
        <v>611</v>
      </c>
      <c r="C2743" s="32" t="s">
        <v>584</v>
      </c>
      <c r="D2743" s="30" t="s">
        <v>573</v>
      </c>
      <c r="E2743" s="30" t="s">
        <v>637</v>
      </c>
    </row>
    <row r="2744" spans="1:5" x14ac:dyDescent="0.35">
      <c r="A2744" s="32">
        <v>3152</v>
      </c>
      <c r="B2744" s="32" t="s">
        <v>611</v>
      </c>
      <c r="C2744" s="32" t="s">
        <v>584</v>
      </c>
      <c r="D2744" s="30" t="s">
        <v>573</v>
      </c>
      <c r="E2744" s="30" t="s">
        <v>637</v>
      </c>
    </row>
    <row r="2745" spans="1:5" x14ac:dyDescent="0.35">
      <c r="A2745" s="32">
        <v>3153</v>
      </c>
      <c r="B2745" s="32" t="s">
        <v>611</v>
      </c>
      <c r="C2745" s="32" t="s">
        <v>584</v>
      </c>
      <c r="D2745" s="30" t="s">
        <v>573</v>
      </c>
      <c r="E2745" s="30" t="s">
        <v>637</v>
      </c>
    </row>
    <row r="2746" spans="1:5" x14ac:dyDescent="0.35">
      <c r="A2746" s="32">
        <v>3154</v>
      </c>
      <c r="B2746" s="32" t="s">
        <v>611</v>
      </c>
      <c r="C2746" s="32" t="s">
        <v>584</v>
      </c>
      <c r="D2746" s="30" t="s">
        <v>573</v>
      </c>
      <c r="E2746" s="30" t="s">
        <v>637</v>
      </c>
    </row>
    <row r="2747" spans="1:5" x14ac:dyDescent="0.35">
      <c r="A2747" s="32">
        <v>3155</v>
      </c>
      <c r="B2747" s="32" t="s">
        <v>641</v>
      </c>
      <c r="C2747" s="32" t="s">
        <v>584</v>
      </c>
      <c r="D2747" s="30" t="s">
        <v>612</v>
      </c>
      <c r="E2747" s="30" t="s">
        <v>613</v>
      </c>
    </row>
    <row r="2748" spans="1:5" x14ac:dyDescent="0.35">
      <c r="A2748" s="32">
        <v>3156</v>
      </c>
      <c r="B2748" s="32" t="s">
        <v>571</v>
      </c>
      <c r="C2748" s="32" t="s">
        <v>584</v>
      </c>
      <c r="D2748" s="30" t="s">
        <v>612</v>
      </c>
      <c r="E2748" s="30" t="s">
        <v>613</v>
      </c>
    </row>
    <row r="2749" spans="1:5" x14ac:dyDescent="0.35">
      <c r="A2749" s="32">
        <v>3157</v>
      </c>
      <c r="B2749" s="32" t="s">
        <v>634</v>
      </c>
      <c r="C2749" s="32" t="s">
        <v>584</v>
      </c>
      <c r="D2749" s="30" t="s">
        <v>612</v>
      </c>
      <c r="E2749" s="30" t="s">
        <v>613</v>
      </c>
    </row>
    <row r="2750" spans="1:5" x14ac:dyDescent="0.35">
      <c r="A2750" s="32">
        <v>3158</v>
      </c>
      <c r="B2750" s="32" t="s">
        <v>611</v>
      </c>
      <c r="C2750" s="32" t="s">
        <v>624</v>
      </c>
      <c r="D2750" s="30" t="s">
        <v>659</v>
      </c>
      <c r="E2750" s="30" t="s">
        <v>690</v>
      </c>
    </row>
    <row r="2751" spans="1:5" x14ac:dyDescent="0.35">
      <c r="A2751" s="32">
        <v>3159</v>
      </c>
      <c r="B2751" s="32" t="s">
        <v>611</v>
      </c>
      <c r="C2751" s="32" t="s">
        <v>584</v>
      </c>
      <c r="D2751" s="30" t="s">
        <v>573</v>
      </c>
      <c r="E2751" s="30" t="s">
        <v>637</v>
      </c>
    </row>
    <row r="2752" spans="1:5" x14ac:dyDescent="0.35">
      <c r="A2752" s="32">
        <v>3160</v>
      </c>
      <c r="B2752" s="32" t="s">
        <v>571</v>
      </c>
      <c r="C2752" s="32" t="s">
        <v>584</v>
      </c>
      <c r="D2752" s="30" t="s">
        <v>573</v>
      </c>
      <c r="E2752" s="30" t="s">
        <v>637</v>
      </c>
    </row>
    <row r="2753" spans="1:5" x14ac:dyDescent="0.35">
      <c r="A2753" s="32">
        <v>3161</v>
      </c>
      <c r="B2753" s="32" t="s">
        <v>642</v>
      </c>
      <c r="C2753" s="32" t="s">
        <v>584</v>
      </c>
      <c r="D2753" s="30" t="s">
        <v>573</v>
      </c>
      <c r="E2753" s="30" t="s">
        <v>637</v>
      </c>
    </row>
    <row r="2754" spans="1:5" x14ac:dyDescent="0.35">
      <c r="A2754" s="32">
        <v>3162</v>
      </c>
      <c r="B2754" s="32" t="s">
        <v>611</v>
      </c>
      <c r="C2754" s="32" t="s">
        <v>584</v>
      </c>
      <c r="D2754" s="30" t="s">
        <v>573</v>
      </c>
      <c r="E2754" s="30" t="s">
        <v>637</v>
      </c>
    </row>
    <row r="2755" spans="1:5" x14ac:dyDescent="0.35">
      <c r="A2755" s="32">
        <v>3163</v>
      </c>
      <c r="B2755" s="32" t="s">
        <v>571</v>
      </c>
      <c r="C2755" s="32" t="s">
        <v>584</v>
      </c>
      <c r="D2755" s="30" t="s">
        <v>573</v>
      </c>
      <c r="E2755" s="30" t="s">
        <v>637</v>
      </c>
    </row>
    <row r="2756" spans="1:5" x14ac:dyDescent="0.35">
      <c r="A2756" s="32">
        <v>3164</v>
      </c>
      <c r="B2756" s="32" t="s">
        <v>641</v>
      </c>
      <c r="C2756" s="32" t="s">
        <v>584</v>
      </c>
      <c r="D2756" s="30" t="s">
        <v>612</v>
      </c>
      <c r="E2756" s="30" t="s">
        <v>613</v>
      </c>
    </row>
    <row r="2757" spans="1:5" x14ac:dyDescent="0.35">
      <c r="A2757" s="32">
        <v>3165</v>
      </c>
      <c r="B2757" s="32" t="s">
        <v>571</v>
      </c>
      <c r="C2757" s="32" t="s">
        <v>584</v>
      </c>
      <c r="D2757" s="30" t="s">
        <v>612</v>
      </c>
      <c r="E2757" s="30" t="s">
        <v>613</v>
      </c>
    </row>
    <row r="2758" spans="1:5" x14ac:dyDescent="0.35">
      <c r="A2758" s="32">
        <v>3166</v>
      </c>
      <c r="B2758" s="32" t="s">
        <v>634</v>
      </c>
      <c r="C2758" s="32" t="s">
        <v>584</v>
      </c>
      <c r="D2758" s="30" t="s">
        <v>612</v>
      </c>
      <c r="E2758" s="30" t="s">
        <v>613</v>
      </c>
    </row>
    <row r="2759" spans="1:5" x14ac:dyDescent="0.35">
      <c r="A2759" s="32">
        <v>3167</v>
      </c>
      <c r="B2759" s="32" t="s">
        <v>611</v>
      </c>
      <c r="C2759" s="32" t="s">
        <v>650</v>
      </c>
      <c r="D2759" s="30" t="s">
        <v>573</v>
      </c>
      <c r="E2759" s="30" t="s">
        <v>637</v>
      </c>
    </row>
    <row r="2760" spans="1:5" x14ac:dyDescent="0.35">
      <c r="A2760" s="32">
        <v>3168</v>
      </c>
      <c r="B2760" s="32" t="s">
        <v>611</v>
      </c>
      <c r="C2760" s="32" t="s">
        <v>648</v>
      </c>
      <c r="D2760" s="30" t="s">
        <v>573</v>
      </c>
      <c r="E2760" s="30" t="s">
        <v>637</v>
      </c>
    </row>
    <row r="2761" spans="1:5" x14ac:dyDescent="0.35">
      <c r="A2761" s="32">
        <v>3169</v>
      </c>
      <c r="B2761" s="32" t="s">
        <v>611</v>
      </c>
      <c r="C2761" s="32" t="s">
        <v>648</v>
      </c>
      <c r="D2761" s="30" t="s">
        <v>573</v>
      </c>
      <c r="E2761" s="30" t="s">
        <v>637</v>
      </c>
    </row>
    <row r="2762" spans="1:5" x14ac:dyDescent="0.35">
      <c r="A2762" s="32">
        <v>3170</v>
      </c>
      <c r="B2762" s="32" t="s">
        <v>611</v>
      </c>
      <c r="C2762" s="32" t="s">
        <v>650</v>
      </c>
      <c r="D2762" s="30" t="s">
        <v>573</v>
      </c>
      <c r="E2762" s="30" t="s">
        <v>637</v>
      </c>
    </row>
    <row r="2763" spans="1:5" x14ac:dyDescent="0.35">
      <c r="A2763" s="32">
        <v>3171</v>
      </c>
      <c r="B2763" s="32" t="s">
        <v>611</v>
      </c>
      <c r="C2763" s="32" t="s">
        <v>648</v>
      </c>
      <c r="D2763" s="30" t="s">
        <v>573</v>
      </c>
      <c r="E2763" s="30" t="s">
        <v>637</v>
      </c>
    </row>
    <row r="2764" spans="1:5" x14ac:dyDescent="0.35">
      <c r="A2764" s="32">
        <v>3172</v>
      </c>
      <c r="B2764" s="32" t="s">
        <v>611</v>
      </c>
      <c r="C2764" s="32" t="s">
        <v>648</v>
      </c>
      <c r="D2764" s="30" t="s">
        <v>573</v>
      </c>
      <c r="E2764" s="30" t="s">
        <v>637</v>
      </c>
    </row>
    <row r="2765" spans="1:5" x14ac:dyDescent="0.35">
      <c r="A2765" s="32">
        <v>3173</v>
      </c>
      <c r="B2765" s="32" t="s">
        <v>611</v>
      </c>
      <c r="C2765" s="32" t="s">
        <v>650</v>
      </c>
      <c r="D2765" s="30" t="s">
        <v>573</v>
      </c>
      <c r="E2765" s="30" t="s">
        <v>637</v>
      </c>
    </row>
    <row r="2766" spans="1:5" x14ac:dyDescent="0.35">
      <c r="A2766" s="32">
        <v>3174</v>
      </c>
      <c r="B2766" s="32" t="s">
        <v>611</v>
      </c>
      <c r="C2766" s="32" t="s">
        <v>648</v>
      </c>
      <c r="D2766" s="30" t="s">
        <v>573</v>
      </c>
      <c r="E2766" s="30" t="s">
        <v>637</v>
      </c>
    </row>
    <row r="2767" spans="1:5" x14ac:dyDescent="0.35">
      <c r="A2767" s="32">
        <v>3175</v>
      </c>
      <c r="B2767" s="32" t="s">
        <v>611</v>
      </c>
      <c r="C2767" s="32" t="s">
        <v>648</v>
      </c>
      <c r="D2767" s="30" t="s">
        <v>573</v>
      </c>
      <c r="E2767" s="30" t="s">
        <v>637</v>
      </c>
    </row>
    <row r="2768" spans="1:5" x14ac:dyDescent="0.35">
      <c r="A2768" s="32">
        <v>3176</v>
      </c>
      <c r="B2768" s="32" t="s">
        <v>611</v>
      </c>
      <c r="C2768" s="32" t="s">
        <v>650</v>
      </c>
      <c r="D2768" s="30" t="s">
        <v>573</v>
      </c>
      <c r="E2768" s="30" t="s">
        <v>637</v>
      </c>
    </row>
    <row r="2769" spans="1:5" x14ac:dyDescent="0.35">
      <c r="A2769" s="32">
        <v>3177</v>
      </c>
      <c r="B2769" s="32" t="s">
        <v>611</v>
      </c>
      <c r="C2769" s="32" t="s">
        <v>648</v>
      </c>
      <c r="D2769" s="30" t="s">
        <v>573</v>
      </c>
      <c r="E2769" s="30" t="s">
        <v>637</v>
      </c>
    </row>
    <row r="2770" spans="1:5" x14ac:dyDescent="0.35">
      <c r="A2770" s="32">
        <v>3178</v>
      </c>
      <c r="B2770" s="32" t="s">
        <v>611</v>
      </c>
      <c r="C2770" s="32" t="s">
        <v>648</v>
      </c>
      <c r="D2770" s="30" t="s">
        <v>573</v>
      </c>
      <c r="E2770" s="30" t="s">
        <v>637</v>
      </c>
    </row>
    <row r="2771" spans="1:5" x14ac:dyDescent="0.35">
      <c r="A2771" s="32">
        <v>3179</v>
      </c>
      <c r="B2771" s="32" t="s">
        <v>611</v>
      </c>
      <c r="C2771" s="32" t="s">
        <v>650</v>
      </c>
      <c r="D2771" s="30" t="s">
        <v>573</v>
      </c>
      <c r="E2771" s="30" t="s">
        <v>637</v>
      </c>
    </row>
    <row r="2772" spans="1:5" x14ac:dyDescent="0.35">
      <c r="A2772" s="32">
        <v>3180</v>
      </c>
      <c r="B2772" s="32" t="s">
        <v>611</v>
      </c>
      <c r="C2772" s="32" t="s">
        <v>648</v>
      </c>
      <c r="D2772" s="30" t="s">
        <v>573</v>
      </c>
      <c r="E2772" s="30" t="s">
        <v>637</v>
      </c>
    </row>
    <row r="2773" spans="1:5" x14ac:dyDescent="0.35">
      <c r="A2773" s="32">
        <v>3181</v>
      </c>
      <c r="B2773" s="32" t="s">
        <v>611</v>
      </c>
      <c r="C2773" s="32" t="s">
        <v>648</v>
      </c>
      <c r="D2773" s="30" t="s">
        <v>573</v>
      </c>
      <c r="E2773" s="30" t="s">
        <v>637</v>
      </c>
    </row>
    <row r="2774" spans="1:5" x14ac:dyDescent="0.35">
      <c r="A2774" s="32">
        <v>3182</v>
      </c>
      <c r="B2774" s="32" t="s">
        <v>611</v>
      </c>
      <c r="C2774" s="32" t="s">
        <v>648</v>
      </c>
      <c r="D2774" s="30" t="s">
        <v>573</v>
      </c>
      <c r="E2774" s="30" t="s">
        <v>637</v>
      </c>
    </row>
    <row r="2775" spans="1:5" x14ac:dyDescent="0.35">
      <c r="A2775" s="32">
        <v>3183</v>
      </c>
      <c r="B2775" s="32" t="s">
        <v>611</v>
      </c>
      <c r="C2775" s="32" t="s">
        <v>648</v>
      </c>
      <c r="D2775" s="30" t="s">
        <v>573</v>
      </c>
      <c r="E2775" s="30" t="s">
        <v>637</v>
      </c>
    </row>
    <row r="2776" spans="1:5" x14ac:dyDescent="0.35">
      <c r="A2776" s="32">
        <v>3184</v>
      </c>
      <c r="B2776" s="32" t="s">
        <v>611</v>
      </c>
      <c r="C2776" s="32" t="s">
        <v>584</v>
      </c>
      <c r="D2776" s="30" t="s">
        <v>612</v>
      </c>
      <c r="E2776" s="30" t="s">
        <v>628</v>
      </c>
    </row>
    <row r="2777" spans="1:5" x14ac:dyDescent="0.35">
      <c r="A2777" s="32">
        <v>3185</v>
      </c>
      <c r="B2777" s="32" t="s">
        <v>611</v>
      </c>
      <c r="C2777" s="32" t="s">
        <v>648</v>
      </c>
      <c r="D2777" s="30" t="s">
        <v>612</v>
      </c>
      <c r="E2777" s="30" t="s">
        <v>628</v>
      </c>
    </row>
    <row r="2778" spans="1:5" x14ac:dyDescent="0.35">
      <c r="A2778" s="32">
        <v>3186</v>
      </c>
      <c r="B2778" s="32" t="s">
        <v>611</v>
      </c>
      <c r="C2778" s="32" t="s">
        <v>584</v>
      </c>
      <c r="D2778" s="30" t="s">
        <v>612</v>
      </c>
      <c r="E2778" s="30" t="s">
        <v>628</v>
      </c>
    </row>
    <row r="2779" spans="1:5" x14ac:dyDescent="0.35">
      <c r="A2779" s="32">
        <v>3187</v>
      </c>
      <c r="B2779" s="32" t="s">
        <v>611</v>
      </c>
      <c r="C2779" s="32" t="s">
        <v>584</v>
      </c>
      <c r="D2779" s="30" t="s">
        <v>612</v>
      </c>
      <c r="E2779" s="30" t="s">
        <v>628</v>
      </c>
    </row>
    <row r="2780" spans="1:5" x14ac:dyDescent="0.35">
      <c r="A2780" s="32">
        <v>3188</v>
      </c>
      <c r="B2780" s="32" t="s">
        <v>611</v>
      </c>
      <c r="C2780" s="32" t="s">
        <v>648</v>
      </c>
      <c r="D2780" s="30" t="s">
        <v>621</v>
      </c>
      <c r="E2780" s="30" t="s">
        <v>691</v>
      </c>
    </row>
    <row r="2781" spans="1:5" x14ac:dyDescent="0.35">
      <c r="A2781" s="32">
        <v>3189</v>
      </c>
      <c r="B2781" s="32" t="s">
        <v>611</v>
      </c>
      <c r="C2781" s="32" t="s">
        <v>648</v>
      </c>
      <c r="D2781" s="30" t="s">
        <v>621</v>
      </c>
      <c r="E2781" s="30" t="s">
        <v>691</v>
      </c>
    </row>
    <row r="2782" spans="1:5" x14ac:dyDescent="0.35">
      <c r="A2782" s="32">
        <v>3190</v>
      </c>
      <c r="B2782" s="32" t="s">
        <v>611</v>
      </c>
      <c r="C2782" s="32" t="s">
        <v>648</v>
      </c>
      <c r="D2782" s="30" t="s">
        <v>621</v>
      </c>
      <c r="E2782" s="30" t="s">
        <v>691</v>
      </c>
    </row>
    <row r="2783" spans="1:5" x14ac:dyDescent="0.35">
      <c r="A2783" s="32">
        <v>3191</v>
      </c>
      <c r="B2783" s="32" t="s">
        <v>611</v>
      </c>
      <c r="C2783" s="32" t="s">
        <v>584</v>
      </c>
      <c r="D2783" s="30" t="s">
        <v>573</v>
      </c>
      <c r="E2783" s="30" t="s">
        <v>574</v>
      </c>
    </row>
    <row r="2784" spans="1:5" x14ac:dyDescent="0.35">
      <c r="A2784" s="32">
        <v>3192</v>
      </c>
      <c r="B2784" s="32" t="s">
        <v>611</v>
      </c>
      <c r="C2784" s="32" t="s">
        <v>648</v>
      </c>
      <c r="D2784" s="30" t="s">
        <v>643</v>
      </c>
      <c r="E2784" s="30" t="s">
        <v>692</v>
      </c>
    </row>
    <row r="2785" spans="1:5" x14ac:dyDescent="0.35">
      <c r="A2785" s="32">
        <v>3193</v>
      </c>
      <c r="B2785" s="32" t="s">
        <v>571</v>
      </c>
      <c r="C2785" s="32" t="s">
        <v>648</v>
      </c>
      <c r="D2785" s="30" t="s">
        <v>599</v>
      </c>
      <c r="E2785" s="30" t="s">
        <v>629</v>
      </c>
    </row>
    <row r="2786" spans="1:5" x14ac:dyDescent="0.35">
      <c r="A2786" s="32">
        <v>3194</v>
      </c>
      <c r="B2786" s="32" t="s">
        <v>611</v>
      </c>
      <c r="C2786" s="32" t="s">
        <v>584</v>
      </c>
      <c r="D2786" s="30" t="s">
        <v>621</v>
      </c>
      <c r="E2786" s="30" t="s">
        <v>667</v>
      </c>
    </row>
    <row r="2787" spans="1:5" x14ac:dyDescent="0.35">
      <c r="A2787" s="32">
        <v>3195</v>
      </c>
      <c r="B2787" s="32" t="s">
        <v>571</v>
      </c>
      <c r="C2787" s="32" t="s">
        <v>648</v>
      </c>
      <c r="D2787" s="30" t="s">
        <v>639</v>
      </c>
      <c r="E2787" s="30" t="s">
        <v>680</v>
      </c>
    </row>
    <row r="2788" spans="1:5" x14ac:dyDescent="0.35">
      <c r="A2788" s="32">
        <v>3196</v>
      </c>
      <c r="B2788" s="32" t="s">
        <v>571</v>
      </c>
      <c r="C2788" s="32" t="s">
        <v>648</v>
      </c>
      <c r="D2788" s="30" t="s">
        <v>639</v>
      </c>
      <c r="E2788" s="30" t="s">
        <v>680</v>
      </c>
    </row>
    <row r="2789" spans="1:5" x14ac:dyDescent="0.35">
      <c r="A2789" s="32">
        <v>3197</v>
      </c>
      <c r="B2789" s="32" t="s">
        <v>571</v>
      </c>
      <c r="C2789" s="32" t="s">
        <v>648</v>
      </c>
      <c r="D2789" s="30" t="s">
        <v>639</v>
      </c>
      <c r="E2789" s="30" t="s">
        <v>680</v>
      </c>
    </row>
    <row r="2790" spans="1:5" x14ac:dyDescent="0.35">
      <c r="A2790" s="32">
        <v>3198</v>
      </c>
      <c r="B2790" s="32" t="s">
        <v>571</v>
      </c>
      <c r="C2790" s="32" t="s">
        <v>648</v>
      </c>
      <c r="D2790" s="30" t="s">
        <v>639</v>
      </c>
      <c r="E2790" s="30" t="s">
        <v>680</v>
      </c>
    </row>
    <row r="2791" spans="1:5" x14ac:dyDescent="0.35">
      <c r="A2791" s="32">
        <v>3199</v>
      </c>
      <c r="B2791" s="32" t="s">
        <v>571</v>
      </c>
      <c r="C2791" s="32" t="s">
        <v>648</v>
      </c>
      <c r="D2791" s="30" t="s">
        <v>639</v>
      </c>
      <c r="E2791" s="30" t="s">
        <v>680</v>
      </c>
    </row>
    <row r="2792" spans="1:5" x14ac:dyDescent="0.35">
      <c r="A2792" s="32">
        <v>3200</v>
      </c>
      <c r="B2792" s="32" t="s">
        <v>571</v>
      </c>
      <c r="C2792" s="32" t="s">
        <v>648</v>
      </c>
      <c r="D2792" s="30" t="s">
        <v>639</v>
      </c>
      <c r="E2792" s="30" t="s">
        <v>646</v>
      </c>
    </row>
    <row r="2793" spans="1:5" x14ac:dyDescent="0.35">
      <c r="A2793" s="32">
        <v>3201</v>
      </c>
      <c r="B2793" s="32" t="s">
        <v>571</v>
      </c>
      <c r="C2793" s="32" t="s">
        <v>648</v>
      </c>
      <c r="D2793" s="30" t="s">
        <v>639</v>
      </c>
      <c r="E2793" s="30" t="s">
        <v>646</v>
      </c>
    </row>
    <row r="2794" spans="1:5" x14ac:dyDescent="0.35">
      <c r="A2794" s="32">
        <v>3202</v>
      </c>
      <c r="B2794" s="32" t="s">
        <v>611</v>
      </c>
      <c r="C2794" s="32" t="s">
        <v>648</v>
      </c>
      <c r="D2794" s="30" t="s">
        <v>639</v>
      </c>
      <c r="E2794" s="30" t="s">
        <v>646</v>
      </c>
    </row>
    <row r="2795" spans="1:5" x14ac:dyDescent="0.35">
      <c r="A2795" s="32">
        <v>3203</v>
      </c>
      <c r="B2795" s="32" t="s">
        <v>571</v>
      </c>
      <c r="C2795" s="32" t="s">
        <v>648</v>
      </c>
      <c r="D2795" s="30" t="s">
        <v>639</v>
      </c>
      <c r="E2795" s="30" t="s">
        <v>646</v>
      </c>
    </row>
    <row r="2796" spans="1:5" x14ac:dyDescent="0.35">
      <c r="A2796" s="32">
        <v>3204</v>
      </c>
      <c r="B2796" s="32" t="s">
        <v>641</v>
      </c>
      <c r="C2796" s="32" t="s">
        <v>648</v>
      </c>
      <c r="D2796" s="30" t="s">
        <v>573</v>
      </c>
      <c r="E2796" s="30" t="s">
        <v>638</v>
      </c>
    </row>
    <row r="2797" spans="1:5" x14ac:dyDescent="0.35">
      <c r="A2797" s="32">
        <v>3205</v>
      </c>
      <c r="B2797" s="32" t="s">
        <v>571</v>
      </c>
      <c r="C2797" s="32" t="s">
        <v>648</v>
      </c>
      <c r="D2797" s="30" t="s">
        <v>573</v>
      </c>
      <c r="E2797" s="30" t="s">
        <v>638</v>
      </c>
    </row>
    <row r="2798" spans="1:5" x14ac:dyDescent="0.35">
      <c r="A2798" s="32">
        <v>3206</v>
      </c>
      <c r="B2798" s="32" t="s">
        <v>634</v>
      </c>
      <c r="C2798" s="32" t="s">
        <v>648</v>
      </c>
      <c r="D2798" s="30" t="s">
        <v>573</v>
      </c>
      <c r="E2798" s="30" t="s">
        <v>638</v>
      </c>
    </row>
    <row r="2799" spans="1:5" x14ac:dyDescent="0.35">
      <c r="A2799" s="32">
        <v>3207</v>
      </c>
      <c r="B2799" s="32" t="s">
        <v>641</v>
      </c>
      <c r="C2799" s="32" t="s">
        <v>648</v>
      </c>
      <c r="D2799" s="30" t="s">
        <v>573</v>
      </c>
      <c r="E2799" s="30" t="s">
        <v>638</v>
      </c>
    </row>
    <row r="2800" spans="1:5" x14ac:dyDescent="0.35">
      <c r="A2800" s="32">
        <v>3208</v>
      </c>
      <c r="B2800" s="32" t="s">
        <v>571</v>
      </c>
      <c r="C2800" s="32" t="s">
        <v>648</v>
      </c>
      <c r="D2800" s="30" t="s">
        <v>573</v>
      </c>
      <c r="E2800" s="30" t="s">
        <v>638</v>
      </c>
    </row>
    <row r="2801" spans="1:5" x14ac:dyDescent="0.35">
      <c r="A2801" s="32">
        <v>3209</v>
      </c>
      <c r="B2801" s="32" t="s">
        <v>634</v>
      </c>
      <c r="C2801" s="32" t="s">
        <v>648</v>
      </c>
      <c r="D2801" s="30" t="s">
        <v>573</v>
      </c>
      <c r="E2801" s="30" t="s">
        <v>638</v>
      </c>
    </row>
    <row r="2802" spans="1:5" x14ac:dyDescent="0.35">
      <c r="A2802" s="32">
        <v>3210</v>
      </c>
      <c r="B2802" s="32" t="s">
        <v>634</v>
      </c>
      <c r="C2802" s="32" t="s">
        <v>605</v>
      </c>
      <c r="D2802" s="30" t="s">
        <v>573</v>
      </c>
      <c r="E2802" s="30" t="s">
        <v>637</v>
      </c>
    </row>
    <row r="2803" spans="1:5" x14ac:dyDescent="0.35">
      <c r="A2803" s="32">
        <v>3211</v>
      </c>
      <c r="B2803" s="32" t="s">
        <v>634</v>
      </c>
      <c r="C2803" s="32" t="s">
        <v>577</v>
      </c>
      <c r="D2803" s="30" t="s">
        <v>573</v>
      </c>
      <c r="E2803" s="30" t="s">
        <v>637</v>
      </c>
    </row>
    <row r="2804" spans="1:5" x14ac:dyDescent="0.35">
      <c r="A2804" s="32">
        <v>3212</v>
      </c>
      <c r="B2804" s="32" t="s">
        <v>634</v>
      </c>
      <c r="C2804" s="32" t="s">
        <v>648</v>
      </c>
      <c r="D2804" s="30" t="s">
        <v>573</v>
      </c>
      <c r="E2804" s="30" t="s">
        <v>637</v>
      </c>
    </row>
    <row r="2805" spans="1:5" x14ac:dyDescent="0.35">
      <c r="A2805" s="32">
        <v>3213</v>
      </c>
      <c r="B2805" s="32" t="s">
        <v>634</v>
      </c>
      <c r="C2805" s="32" t="s">
        <v>605</v>
      </c>
      <c r="D2805" s="30" t="s">
        <v>573</v>
      </c>
      <c r="E2805" s="30" t="s">
        <v>637</v>
      </c>
    </row>
    <row r="2806" spans="1:5" x14ac:dyDescent="0.35">
      <c r="A2806" s="32">
        <v>3214</v>
      </c>
      <c r="B2806" s="32" t="s">
        <v>634</v>
      </c>
      <c r="C2806" s="32" t="s">
        <v>584</v>
      </c>
      <c r="D2806" s="30" t="s">
        <v>573</v>
      </c>
      <c r="E2806" s="30" t="s">
        <v>637</v>
      </c>
    </row>
    <row r="2807" spans="1:5" x14ac:dyDescent="0.35">
      <c r="A2807" s="32">
        <v>3215</v>
      </c>
      <c r="B2807" s="32" t="s">
        <v>571</v>
      </c>
      <c r="C2807" s="32" t="s">
        <v>605</v>
      </c>
      <c r="D2807" s="30" t="s">
        <v>573</v>
      </c>
      <c r="E2807" s="30" t="s">
        <v>637</v>
      </c>
    </row>
    <row r="2808" spans="1:5" x14ac:dyDescent="0.35">
      <c r="A2808" s="32">
        <v>3216</v>
      </c>
      <c r="B2808" s="32" t="s">
        <v>571</v>
      </c>
      <c r="C2808" s="32" t="s">
        <v>577</v>
      </c>
      <c r="D2808" s="30" t="s">
        <v>573</v>
      </c>
      <c r="E2808" s="30" t="s">
        <v>637</v>
      </c>
    </row>
    <row r="2809" spans="1:5" x14ac:dyDescent="0.35">
      <c r="A2809" s="32">
        <v>3217</v>
      </c>
      <c r="B2809" s="32" t="s">
        <v>571</v>
      </c>
      <c r="C2809" s="32" t="s">
        <v>648</v>
      </c>
      <c r="D2809" s="30" t="s">
        <v>573</v>
      </c>
      <c r="E2809" s="30" t="s">
        <v>637</v>
      </c>
    </row>
    <row r="2810" spans="1:5" x14ac:dyDescent="0.35">
      <c r="A2810" s="32">
        <v>3218</v>
      </c>
      <c r="B2810" s="32" t="s">
        <v>571</v>
      </c>
      <c r="C2810" s="32" t="s">
        <v>605</v>
      </c>
      <c r="D2810" s="30" t="s">
        <v>573</v>
      </c>
      <c r="E2810" s="30" t="s">
        <v>637</v>
      </c>
    </row>
    <row r="2811" spans="1:5" x14ac:dyDescent="0.35">
      <c r="A2811" s="32">
        <v>3219</v>
      </c>
      <c r="B2811" s="32" t="s">
        <v>571</v>
      </c>
      <c r="C2811" s="32" t="s">
        <v>584</v>
      </c>
      <c r="D2811" s="30" t="s">
        <v>573</v>
      </c>
      <c r="E2811" s="30" t="s">
        <v>637</v>
      </c>
    </row>
    <row r="2812" spans="1:5" x14ac:dyDescent="0.35">
      <c r="A2812" s="32">
        <v>3220</v>
      </c>
      <c r="B2812" s="32" t="s">
        <v>571</v>
      </c>
      <c r="C2812" s="32" t="s">
        <v>605</v>
      </c>
      <c r="D2812" s="30" t="s">
        <v>573</v>
      </c>
      <c r="E2812" s="30" t="s">
        <v>637</v>
      </c>
    </row>
    <row r="2813" spans="1:5" x14ac:dyDescent="0.35">
      <c r="A2813" s="32">
        <v>3221</v>
      </c>
      <c r="B2813" s="32" t="s">
        <v>571</v>
      </c>
      <c r="C2813" s="32" t="s">
        <v>577</v>
      </c>
      <c r="D2813" s="30" t="s">
        <v>573</v>
      </c>
      <c r="E2813" s="30" t="s">
        <v>637</v>
      </c>
    </row>
    <row r="2814" spans="1:5" x14ac:dyDescent="0.35">
      <c r="A2814" s="32">
        <v>3222</v>
      </c>
      <c r="B2814" s="32" t="s">
        <v>571</v>
      </c>
      <c r="C2814" s="32" t="s">
        <v>648</v>
      </c>
      <c r="D2814" s="30" t="s">
        <v>573</v>
      </c>
      <c r="E2814" s="30" t="s">
        <v>637</v>
      </c>
    </row>
    <row r="2815" spans="1:5" x14ac:dyDescent="0.35">
      <c r="A2815" s="32">
        <v>3223</v>
      </c>
      <c r="B2815" s="32" t="s">
        <v>571</v>
      </c>
      <c r="C2815" s="32" t="s">
        <v>605</v>
      </c>
      <c r="D2815" s="30" t="s">
        <v>573</v>
      </c>
      <c r="E2815" s="30" t="s">
        <v>637</v>
      </c>
    </row>
    <row r="2816" spans="1:5" x14ac:dyDescent="0.35">
      <c r="A2816" s="32">
        <v>3224</v>
      </c>
      <c r="B2816" s="32" t="s">
        <v>642</v>
      </c>
      <c r="C2816" s="32" t="s">
        <v>605</v>
      </c>
      <c r="D2816" s="30" t="s">
        <v>573</v>
      </c>
      <c r="E2816" s="30" t="s">
        <v>637</v>
      </c>
    </row>
    <row r="2817" spans="1:5" x14ac:dyDescent="0.35">
      <c r="A2817" s="32">
        <v>3225</v>
      </c>
      <c r="B2817" s="32" t="s">
        <v>642</v>
      </c>
      <c r="C2817" s="32" t="s">
        <v>577</v>
      </c>
      <c r="D2817" s="30" t="s">
        <v>573</v>
      </c>
      <c r="E2817" s="30" t="s">
        <v>637</v>
      </c>
    </row>
    <row r="2818" spans="1:5" x14ac:dyDescent="0.35">
      <c r="A2818" s="32">
        <v>3226</v>
      </c>
      <c r="B2818" s="32" t="s">
        <v>642</v>
      </c>
      <c r="C2818" s="32" t="s">
        <v>648</v>
      </c>
      <c r="D2818" s="30" t="s">
        <v>573</v>
      </c>
      <c r="E2818" s="30" t="s">
        <v>637</v>
      </c>
    </row>
    <row r="2819" spans="1:5" x14ac:dyDescent="0.35">
      <c r="A2819" s="32">
        <v>3227</v>
      </c>
      <c r="B2819" s="32" t="s">
        <v>642</v>
      </c>
      <c r="C2819" s="32" t="s">
        <v>605</v>
      </c>
      <c r="D2819" s="30" t="s">
        <v>573</v>
      </c>
      <c r="E2819" s="30" t="s">
        <v>637</v>
      </c>
    </row>
    <row r="2820" spans="1:5" x14ac:dyDescent="0.35">
      <c r="A2820" s="32">
        <v>3228</v>
      </c>
      <c r="B2820" s="32" t="s">
        <v>611</v>
      </c>
      <c r="C2820" s="32" t="s">
        <v>605</v>
      </c>
      <c r="D2820" s="30" t="s">
        <v>573</v>
      </c>
      <c r="E2820" s="30" t="s">
        <v>637</v>
      </c>
    </row>
    <row r="2821" spans="1:5" x14ac:dyDescent="0.35">
      <c r="A2821" s="32">
        <v>3229</v>
      </c>
      <c r="B2821" s="32" t="s">
        <v>611</v>
      </c>
      <c r="C2821" s="32" t="s">
        <v>577</v>
      </c>
      <c r="D2821" s="30" t="s">
        <v>573</v>
      </c>
      <c r="E2821" s="30" t="s">
        <v>637</v>
      </c>
    </row>
    <row r="2822" spans="1:5" x14ac:dyDescent="0.35">
      <c r="A2822" s="32">
        <v>3230</v>
      </c>
      <c r="B2822" s="32" t="s">
        <v>611</v>
      </c>
      <c r="C2822" s="32" t="s">
        <v>648</v>
      </c>
      <c r="D2822" s="30" t="s">
        <v>573</v>
      </c>
      <c r="E2822" s="30" t="s">
        <v>637</v>
      </c>
    </row>
    <row r="2823" spans="1:5" x14ac:dyDescent="0.35">
      <c r="A2823" s="32">
        <v>3231</v>
      </c>
      <c r="B2823" s="32" t="s">
        <v>611</v>
      </c>
      <c r="C2823" s="32" t="s">
        <v>605</v>
      </c>
      <c r="D2823" s="30" t="s">
        <v>573</v>
      </c>
      <c r="E2823" s="30" t="s">
        <v>637</v>
      </c>
    </row>
    <row r="2824" spans="1:5" x14ac:dyDescent="0.35">
      <c r="A2824" s="32">
        <v>3232</v>
      </c>
      <c r="B2824" s="32" t="s">
        <v>611</v>
      </c>
      <c r="C2824" s="32" t="s">
        <v>584</v>
      </c>
      <c r="D2824" s="30" t="s">
        <v>573</v>
      </c>
      <c r="E2824" s="30" t="s">
        <v>637</v>
      </c>
    </row>
    <row r="2825" spans="1:5" x14ac:dyDescent="0.35">
      <c r="A2825" s="32">
        <v>3233</v>
      </c>
      <c r="B2825" s="32" t="s">
        <v>634</v>
      </c>
      <c r="C2825" s="32" t="s">
        <v>605</v>
      </c>
      <c r="D2825" s="30" t="s">
        <v>573</v>
      </c>
      <c r="E2825" s="30" t="s">
        <v>637</v>
      </c>
    </row>
    <row r="2826" spans="1:5" x14ac:dyDescent="0.35">
      <c r="A2826" s="32">
        <v>3234</v>
      </c>
      <c r="B2826" s="32" t="s">
        <v>634</v>
      </c>
      <c r="C2826" s="32" t="s">
        <v>577</v>
      </c>
      <c r="D2826" s="30" t="s">
        <v>573</v>
      </c>
      <c r="E2826" s="30" t="s">
        <v>637</v>
      </c>
    </row>
    <row r="2827" spans="1:5" x14ac:dyDescent="0.35">
      <c r="A2827" s="32">
        <v>3235</v>
      </c>
      <c r="B2827" s="32" t="s">
        <v>634</v>
      </c>
      <c r="C2827" s="32" t="s">
        <v>648</v>
      </c>
      <c r="D2827" s="30" t="s">
        <v>573</v>
      </c>
      <c r="E2827" s="30" t="s">
        <v>637</v>
      </c>
    </row>
    <row r="2828" spans="1:5" x14ac:dyDescent="0.35">
      <c r="A2828" s="32">
        <v>3236</v>
      </c>
      <c r="B2828" s="32" t="s">
        <v>634</v>
      </c>
      <c r="C2828" s="32" t="s">
        <v>605</v>
      </c>
      <c r="D2828" s="30" t="s">
        <v>573</v>
      </c>
      <c r="E2828" s="30" t="s">
        <v>637</v>
      </c>
    </row>
    <row r="2829" spans="1:5" x14ac:dyDescent="0.35">
      <c r="A2829" s="32">
        <v>3237</v>
      </c>
      <c r="B2829" s="32" t="s">
        <v>634</v>
      </c>
      <c r="C2829" s="32" t="s">
        <v>584</v>
      </c>
      <c r="D2829" s="30" t="s">
        <v>573</v>
      </c>
      <c r="E2829" s="30" t="s">
        <v>637</v>
      </c>
    </row>
    <row r="2830" spans="1:5" x14ac:dyDescent="0.35">
      <c r="A2830" s="32">
        <v>3238</v>
      </c>
      <c r="B2830" s="32" t="s">
        <v>571</v>
      </c>
      <c r="C2830" s="32" t="s">
        <v>605</v>
      </c>
      <c r="D2830" s="30" t="s">
        <v>573</v>
      </c>
      <c r="E2830" s="30" t="s">
        <v>637</v>
      </c>
    </row>
    <row r="2831" spans="1:5" x14ac:dyDescent="0.35">
      <c r="A2831" s="32">
        <v>3239</v>
      </c>
      <c r="B2831" s="32" t="s">
        <v>571</v>
      </c>
      <c r="C2831" s="32" t="s">
        <v>577</v>
      </c>
      <c r="D2831" s="30" t="s">
        <v>573</v>
      </c>
      <c r="E2831" s="30" t="s">
        <v>637</v>
      </c>
    </row>
    <row r="2832" spans="1:5" x14ac:dyDescent="0.35">
      <c r="A2832" s="32">
        <v>3240</v>
      </c>
      <c r="B2832" s="32" t="s">
        <v>571</v>
      </c>
      <c r="C2832" s="32" t="s">
        <v>648</v>
      </c>
      <c r="D2832" s="30" t="s">
        <v>573</v>
      </c>
      <c r="E2832" s="30" t="s">
        <v>637</v>
      </c>
    </row>
    <row r="2833" spans="1:5" x14ac:dyDescent="0.35">
      <c r="A2833" s="32">
        <v>3241</v>
      </c>
      <c r="B2833" s="32" t="s">
        <v>571</v>
      </c>
      <c r="C2833" s="32" t="s">
        <v>605</v>
      </c>
      <c r="D2833" s="30" t="s">
        <v>573</v>
      </c>
      <c r="E2833" s="30" t="s">
        <v>637</v>
      </c>
    </row>
    <row r="2834" spans="1:5" x14ac:dyDescent="0.35">
      <c r="A2834" s="32">
        <v>3242</v>
      </c>
      <c r="B2834" s="32" t="s">
        <v>571</v>
      </c>
      <c r="C2834" s="32" t="s">
        <v>605</v>
      </c>
      <c r="D2834" s="30" t="s">
        <v>573</v>
      </c>
      <c r="E2834" s="30" t="s">
        <v>637</v>
      </c>
    </row>
    <row r="2835" spans="1:5" x14ac:dyDescent="0.35">
      <c r="A2835" s="32">
        <v>3243</v>
      </c>
      <c r="B2835" s="32" t="s">
        <v>571</v>
      </c>
      <c r="C2835" s="32" t="s">
        <v>577</v>
      </c>
      <c r="D2835" s="30" t="s">
        <v>573</v>
      </c>
      <c r="E2835" s="30" t="s">
        <v>637</v>
      </c>
    </row>
    <row r="2836" spans="1:5" x14ac:dyDescent="0.35">
      <c r="A2836" s="32">
        <v>3244</v>
      </c>
      <c r="B2836" s="32" t="s">
        <v>571</v>
      </c>
      <c r="C2836" s="32" t="s">
        <v>648</v>
      </c>
      <c r="D2836" s="30" t="s">
        <v>573</v>
      </c>
      <c r="E2836" s="30" t="s">
        <v>637</v>
      </c>
    </row>
    <row r="2837" spans="1:5" x14ac:dyDescent="0.35">
      <c r="A2837" s="32">
        <v>3245</v>
      </c>
      <c r="B2837" s="32" t="s">
        <v>571</v>
      </c>
      <c r="C2837" s="32" t="s">
        <v>605</v>
      </c>
      <c r="D2837" s="30" t="s">
        <v>573</v>
      </c>
      <c r="E2837" s="30" t="s">
        <v>637</v>
      </c>
    </row>
    <row r="2838" spans="1:5" x14ac:dyDescent="0.35">
      <c r="A2838" s="32">
        <v>3246</v>
      </c>
      <c r="B2838" s="32" t="s">
        <v>571</v>
      </c>
      <c r="C2838" s="32" t="s">
        <v>584</v>
      </c>
      <c r="D2838" s="30" t="s">
        <v>573</v>
      </c>
      <c r="E2838" s="30" t="s">
        <v>637</v>
      </c>
    </row>
    <row r="2839" spans="1:5" x14ac:dyDescent="0.35">
      <c r="A2839" s="32">
        <v>3247</v>
      </c>
      <c r="B2839" s="32" t="s">
        <v>571</v>
      </c>
      <c r="C2839" s="32" t="s">
        <v>605</v>
      </c>
      <c r="D2839" s="30" t="s">
        <v>573</v>
      </c>
      <c r="E2839" s="30" t="s">
        <v>637</v>
      </c>
    </row>
    <row r="2840" spans="1:5" x14ac:dyDescent="0.35">
      <c r="A2840" s="32">
        <v>3248</v>
      </c>
      <c r="B2840" s="32" t="s">
        <v>571</v>
      </c>
      <c r="C2840" s="32" t="s">
        <v>577</v>
      </c>
      <c r="D2840" s="30" t="s">
        <v>573</v>
      </c>
      <c r="E2840" s="30" t="s">
        <v>637</v>
      </c>
    </row>
    <row r="2841" spans="1:5" x14ac:dyDescent="0.35">
      <c r="A2841" s="32">
        <v>3249</v>
      </c>
      <c r="B2841" s="32" t="s">
        <v>571</v>
      </c>
      <c r="C2841" s="32" t="s">
        <v>648</v>
      </c>
      <c r="D2841" s="30" t="s">
        <v>573</v>
      </c>
      <c r="E2841" s="30" t="s">
        <v>637</v>
      </c>
    </row>
    <row r="2842" spans="1:5" x14ac:dyDescent="0.35">
      <c r="A2842" s="32">
        <v>3250</v>
      </c>
      <c r="B2842" s="32" t="s">
        <v>571</v>
      </c>
      <c r="C2842" s="32" t="s">
        <v>605</v>
      </c>
      <c r="D2842" s="30" t="s">
        <v>573</v>
      </c>
      <c r="E2842" s="30" t="s">
        <v>637</v>
      </c>
    </row>
    <row r="2843" spans="1:5" x14ac:dyDescent="0.35">
      <c r="A2843" s="32">
        <v>3251</v>
      </c>
      <c r="B2843" s="32" t="s">
        <v>571</v>
      </c>
      <c r="C2843" s="32" t="s">
        <v>584</v>
      </c>
      <c r="D2843" s="30" t="s">
        <v>573</v>
      </c>
      <c r="E2843" s="30" t="s">
        <v>637</v>
      </c>
    </row>
    <row r="2844" spans="1:5" x14ac:dyDescent="0.35">
      <c r="A2844" s="32">
        <v>3252</v>
      </c>
      <c r="B2844" s="32" t="s">
        <v>571</v>
      </c>
      <c r="C2844" s="32" t="s">
        <v>605</v>
      </c>
      <c r="D2844" s="30" t="s">
        <v>573</v>
      </c>
      <c r="E2844" s="30" t="s">
        <v>637</v>
      </c>
    </row>
    <row r="2845" spans="1:5" x14ac:dyDescent="0.35">
      <c r="A2845" s="32">
        <v>3253</v>
      </c>
      <c r="B2845" s="32" t="s">
        <v>571</v>
      </c>
      <c r="C2845" s="32" t="s">
        <v>577</v>
      </c>
      <c r="D2845" s="30" t="s">
        <v>573</v>
      </c>
      <c r="E2845" s="30" t="s">
        <v>637</v>
      </c>
    </row>
    <row r="2846" spans="1:5" x14ac:dyDescent="0.35">
      <c r="A2846" s="32">
        <v>3254</v>
      </c>
      <c r="B2846" s="32" t="s">
        <v>571</v>
      </c>
      <c r="C2846" s="32" t="s">
        <v>648</v>
      </c>
      <c r="D2846" s="30" t="s">
        <v>573</v>
      </c>
      <c r="E2846" s="30" t="s">
        <v>637</v>
      </c>
    </row>
    <row r="2847" spans="1:5" x14ac:dyDescent="0.35">
      <c r="A2847" s="32">
        <v>3255</v>
      </c>
      <c r="B2847" s="32" t="s">
        <v>571</v>
      </c>
      <c r="C2847" s="32" t="s">
        <v>605</v>
      </c>
      <c r="D2847" s="30" t="s">
        <v>573</v>
      </c>
      <c r="E2847" s="30" t="s">
        <v>637</v>
      </c>
    </row>
    <row r="2848" spans="1:5" x14ac:dyDescent="0.35">
      <c r="A2848" s="32">
        <v>3256</v>
      </c>
      <c r="B2848" s="32" t="s">
        <v>571</v>
      </c>
      <c r="C2848" s="32" t="s">
        <v>584</v>
      </c>
      <c r="D2848" s="30" t="s">
        <v>573</v>
      </c>
      <c r="E2848" s="30" t="s">
        <v>637</v>
      </c>
    </row>
    <row r="2849" spans="1:5" x14ac:dyDescent="0.35">
      <c r="A2849" s="32">
        <v>3257</v>
      </c>
      <c r="B2849" s="32" t="s">
        <v>634</v>
      </c>
      <c r="C2849" s="32" t="s">
        <v>605</v>
      </c>
      <c r="D2849" s="30" t="s">
        <v>573</v>
      </c>
      <c r="E2849" s="30" t="s">
        <v>637</v>
      </c>
    </row>
    <row r="2850" spans="1:5" x14ac:dyDescent="0.35">
      <c r="A2850" s="32">
        <v>3258</v>
      </c>
      <c r="B2850" s="32" t="s">
        <v>634</v>
      </c>
      <c r="C2850" s="32" t="s">
        <v>577</v>
      </c>
      <c r="D2850" s="30" t="s">
        <v>573</v>
      </c>
      <c r="E2850" s="30" t="s">
        <v>637</v>
      </c>
    </row>
    <row r="2851" spans="1:5" x14ac:dyDescent="0.35">
      <c r="A2851" s="32">
        <v>3259</v>
      </c>
      <c r="B2851" s="32" t="s">
        <v>634</v>
      </c>
      <c r="C2851" s="32" t="s">
        <v>648</v>
      </c>
      <c r="D2851" s="30" t="s">
        <v>573</v>
      </c>
      <c r="E2851" s="30" t="s">
        <v>637</v>
      </c>
    </row>
    <row r="2852" spans="1:5" x14ac:dyDescent="0.35">
      <c r="A2852" s="32">
        <v>3260</v>
      </c>
      <c r="B2852" s="32" t="s">
        <v>634</v>
      </c>
      <c r="C2852" s="32" t="s">
        <v>605</v>
      </c>
      <c r="D2852" s="30" t="s">
        <v>573</v>
      </c>
      <c r="E2852" s="30" t="s">
        <v>637</v>
      </c>
    </row>
    <row r="2853" spans="1:5" x14ac:dyDescent="0.35">
      <c r="A2853" s="32">
        <v>3261</v>
      </c>
      <c r="B2853" s="32" t="s">
        <v>571</v>
      </c>
      <c r="C2853" s="32" t="s">
        <v>605</v>
      </c>
      <c r="D2853" s="30" t="s">
        <v>573</v>
      </c>
      <c r="E2853" s="30" t="s">
        <v>637</v>
      </c>
    </row>
    <row r="2854" spans="1:5" x14ac:dyDescent="0.35">
      <c r="A2854" s="32">
        <v>3262</v>
      </c>
      <c r="B2854" s="32" t="s">
        <v>571</v>
      </c>
      <c r="C2854" s="32" t="s">
        <v>577</v>
      </c>
      <c r="D2854" s="30" t="s">
        <v>573</v>
      </c>
      <c r="E2854" s="30" t="s">
        <v>637</v>
      </c>
    </row>
    <row r="2855" spans="1:5" x14ac:dyDescent="0.35">
      <c r="A2855" s="32">
        <v>3263</v>
      </c>
      <c r="B2855" s="32" t="s">
        <v>571</v>
      </c>
      <c r="C2855" s="32" t="s">
        <v>648</v>
      </c>
      <c r="D2855" s="30" t="s">
        <v>573</v>
      </c>
      <c r="E2855" s="30" t="s">
        <v>637</v>
      </c>
    </row>
    <row r="2856" spans="1:5" x14ac:dyDescent="0.35">
      <c r="A2856" s="32">
        <v>3264</v>
      </c>
      <c r="B2856" s="32" t="s">
        <v>571</v>
      </c>
      <c r="C2856" s="32" t="s">
        <v>605</v>
      </c>
      <c r="D2856" s="30" t="s">
        <v>573</v>
      </c>
      <c r="E2856" s="30" t="s">
        <v>637</v>
      </c>
    </row>
    <row r="2857" spans="1:5" x14ac:dyDescent="0.35">
      <c r="A2857" s="32">
        <v>3265</v>
      </c>
      <c r="B2857" s="32" t="s">
        <v>571</v>
      </c>
      <c r="C2857" s="32" t="s">
        <v>584</v>
      </c>
      <c r="D2857" s="30" t="s">
        <v>573</v>
      </c>
      <c r="E2857" s="30" t="s">
        <v>637</v>
      </c>
    </row>
    <row r="2858" spans="1:5" x14ac:dyDescent="0.35">
      <c r="A2858" s="32">
        <v>3266</v>
      </c>
      <c r="B2858" s="32" t="s">
        <v>634</v>
      </c>
      <c r="C2858" s="32" t="s">
        <v>605</v>
      </c>
      <c r="D2858" s="30" t="s">
        <v>573</v>
      </c>
      <c r="E2858" s="30" t="s">
        <v>637</v>
      </c>
    </row>
    <row r="2859" spans="1:5" x14ac:dyDescent="0.35">
      <c r="A2859" s="32">
        <v>3267</v>
      </c>
      <c r="B2859" s="32" t="s">
        <v>634</v>
      </c>
      <c r="C2859" s="32" t="s">
        <v>577</v>
      </c>
      <c r="D2859" s="30" t="s">
        <v>573</v>
      </c>
      <c r="E2859" s="30" t="s">
        <v>637</v>
      </c>
    </row>
    <row r="2860" spans="1:5" x14ac:dyDescent="0.35">
      <c r="A2860" s="32">
        <v>3268</v>
      </c>
      <c r="B2860" s="32" t="s">
        <v>634</v>
      </c>
      <c r="C2860" s="32" t="s">
        <v>648</v>
      </c>
      <c r="D2860" s="30" t="s">
        <v>573</v>
      </c>
      <c r="E2860" s="30" t="s">
        <v>637</v>
      </c>
    </row>
    <row r="2861" spans="1:5" x14ac:dyDescent="0.35">
      <c r="A2861" s="32">
        <v>3269</v>
      </c>
      <c r="B2861" s="32" t="s">
        <v>634</v>
      </c>
      <c r="C2861" s="32" t="s">
        <v>605</v>
      </c>
      <c r="D2861" s="30" t="s">
        <v>573</v>
      </c>
      <c r="E2861" s="30" t="s">
        <v>637</v>
      </c>
    </row>
    <row r="2862" spans="1:5" x14ac:dyDescent="0.35">
      <c r="A2862" s="32">
        <v>3270</v>
      </c>
      <c r="B2862" s="32" t="s">
        <v>634</v>
      </c>
      <c r="C2862" s="32" t="s">
        <v>584</v>
      </c>
      <c r="D2862" s="30" t="s">
        <v>573</v>
      </c>
      <c r="E2862" s="30" t="s">
        <v>637</v>
      </c>
    </row>
    <row r="2863" spans="1:5" x14ac:dyDescent="0.35">
      <c r="A2863" s="32">
        <v>3271</v>
      </c>
      <c r="B2863" s="32" t="s">
        <v>634</v>
      </c>
      <c r="C2863" s="32" t="s">
        <v>605</v>
      </c>
      <c r="D2863" s="30" t="s">
        <v>573</v>
      </c>
      <c r="E2863" s="30" t="s">
        <v>637</v>
      </c>
    </row>
    <row r="2864" spans="1:5" x14ac:dyDescent="0.35">
      <c r="A2864" s="32">
        <v>3272</v>
      </c>
      <c r="B2864" s="32" t="s">
        <v>634</v>
      </c>
      <c r="C2864" s="32" t="s">
        <v>577</v>
      </c>
      <c r="D2864" s="30" t="s">
        <v>573</v>
      </c>
      <c r="E2864" s="30" t="s">
        <v>637</v>
      </c>
    </row>
    <row r="2865" spans="1:5" x14ac:dyDescent="0.35">
      <c r="A2865" s="32">
        <v>3273</v>
      </c>
      <c r="B2865" s="32" t="s">
        <v>634</v>
      </c>
      <c r="C2865" s="32" t="s">
        <v>648</v>
      </c>
      <c r="D2865" s="30" t="s">
        <v>573</v>
      </c>
      <c r="E2865" s="30" t="s">
        <v>637</v>
      </c>
    </row>
    <row r="2866" spans="1:5" x14ac:dyDescent="0.35">
      <c r="A2866" s="32">
        <v>3274</v>
      </c>
      <c r="B2866" s="32" t="s">
        <v>634</v>
      </c>
      <c r="C2866" s="32" t="s">
        <v>605</v>
      </c>
      <c r="D2866" s="30" t="s">
        <v>573</v>
      </c>
      <c r="E2866" s="30" t="s">
        <v>637</v>
      </c>
    </row>
    <row r="2867" spans="1:5" x14ac:dyDescent="0.35">
      <c r="A2867" s="32">
        <v>3275</v>
      </c>
      <c r="B2867" s="32" t="s">
        <v>634</v>
      </c>
      <c r="C2867" s="32" t="s">
        <v>584</v>
      </c>
      <c r="D2867" s="30" t="s">
        <v>573</v>
      </c>
      <c r="E2867" s="30" t="s">
        <v>637</v>
      </c>
    </row>
    <row r="2868" spans="1:5" x14ac:dyDescent="0.35">
      <c r="A2868" s="32">
        <v>3276</v>
      </c>
      <c r="B2868" s="32" t="s">
        <v>571</v>
      </c>
      <c r="C2868" s="32" t="s">
        <v>605</v>
      </c>
      <c r="D2868" s="30" t="s">
        <v>573</v>
      </c>
      <c r="E2868" s="30" t="s">
        <v>637</v>
      </c>
    </row>
    <row r="2869" spans="1:5" x14ac:dyDescent="0.35">
      <c r="A2869" s="32">
        <v>3277</v>
      </c>
      <c r="B2869" s="32" t="s">
        <v>571</v>
      </c>
      <c r="C2869" s="32" t="s">
        <v>577</v>
      </c>
      <c r="D2869" s="30" t="s">
        <v>573</v>
      </c>
      <c r="E2869" s="30" t="s">
        <v>637</v>
      </c>
    </row>
    <row r="2870" spans="1:5" x14ac:dyDescent="0.35">
      <c r="A2870" s="32">
        <v>3278</v>
      </c>
      <c r="B2870" s="32" t="s">
        <v>571</v>
      </c>
      <c r="C2870" s="32" t="s">
        <v>648</v>
      </c>
      <c r="D2870" s="30" t="s">
        <v>573</v>
      </c>
      <c r="E2870" s="30" t="s">
        <v>637</v>
      </c>
    </row>
    <row r="2871" spans="1:5" x14ac:dyDescent="0.35">
      <c r="A2871" s="32">
        <v>3279</v>
      </c>
      <c r="B2871" s="32" t="s">
        <v>571</v>
      </c>
      <c r="C2871" s="32" t="s">
        <v>605</v>
      </c>
      <c r="D2871" s="30" t="s">
        <v>573</v>
      </c>
      <c r="E2871" s="30" t="s">
        <v>637</v>
      </c>
    </row>
    <row r="2872" spans="1:5" x14ac:dyDescent="0.35">
      <c r="A2872" s="32">
        <v>3280</v>
      </c>
      <c r="B2872" s="32" t="s">
        <v>571</v>
      </c>
      <c r="C2872" s="32" t="s">
        <v>605</v>
      </c>
      <c r="D2872" s="30" t="s">
        <v>573</v>
      </c>
      <c r="E2872" s="30" t="s">
        <v>637</v>
      </c>
    </row>
    <row r="2873" spans="1:5" x14ac:dyDescent="0.35">
      <c r="A2873" s="32">
        <v>3281</v>
      </c>
      <c r="B2873" s="32" t="s">
        <v>571</v>
      </c>
      <c r="C2873" s="32" t="s">
        <v>577</v>
      </c>
      <c r="D2873" s="30" t="s">
        <v>573</v>
      </c>
      <c r="E2873" s="30" t="s">
        <v>637</v>
      </c>
    </row>
    <row r="2874" spans="1:5" x14ac:dyDescent="0.35">
      <c r="A2874" s="32">
        <v>3282</v>
      </c>
      <c r="B2874" s="32" t="s">
        <v>571</v>
      </c>
      <c r="C2874" s="32" t="s">
        <v>648</v>
      </c>
      <c r="D2874" s="30" t="s">
        <v>573</v>
      </c>
      <c r="E2874" s="30" t="s">
        <v>637</v>
      </c>
    </row>
    <row r="2875" spans="1:5" x14ac:dyDescent="0.35">
      <c r="A2875" s="32">
        <v>3283</v>
      </c>
      <c r="B2875" s="32" t="s">
        <v>571</v>
      </c>
      <c r="C2875" s="32" t="s">
        <v>605</v>
      </c>
      <c r="D2875" s="30" t="s">
        <v>573</v>
      </c>
      <c r="E2875" s="30" t="s">
        <v>637</v>
      </c>
    </row>
    <row r="2876" spans="1:5" x14ac:dyDescent="0.35">
      <c r="A2876" s="32">
        <v>3284</v>
      </c>
      <c r="B2876" s="32" t="s">
        <v>634</v>
      </c>
      <c r="C2876" s="32" t="s">
        <v>605</v>
      </c>
      <c r="D2876" s="30" t="s">
        <v>573</v>
      </c>
      <c r="E2876" s="30" t="s">
        <v>637</v>
      </c>
    </row>
    <row r="2877" spans="1:5" x14ac:dyDescent="0.35">
      <c r="A2877" s="32">
        <v>3285</v>
      </c>
      <c r="B2877" s="32" t="s">
        <v>634</v>
      </c>
      <c r="C2877" s="32" t="s">
        <v>577</v>
      </c>
      <c r="D2877" s="30" t="s">
        <v>573</v>
      </c>
      <c r="E2877" s="30" t="s">
        <v>637</v>
      </c>
    </row>
    <row r="2878" spans="1:5" x14ac:dyDescent="0.35">
      <c r="A2878" s="32">
        <v>3286</v>
      </c>
      <c r="B2878" s="32" t="s">
        <v>634</v>
      </c>
      <c r="C2878" s="32" t="s">
        <v>648</v>
      </c>
      <c r="D2878" s="30" t="s">
        <v>573</v>
      </c>
      <c r="E2878" s="30" t="s">
        <v>637</v>
      </c>
    </row>
    <row r="2879" spans="1:5" x14ac:dyDescent="0.35">
      <c r="A2879" s="32">
        <v>3287</v>
      </c>
      <c r="B2879" s="32" t="s">
        <v>634</v>
      </c>
      <c r="C2879" s="32" t="s">
        <v>605</v>
      </c>
      <c r="D2879" s="30" t="s">
        <v>573</v>
      </c>
      <c r="E2879" s="30" t="s">
        <v>637</v>
      </c>
    </row>
    <row r="2880" spans="1:5" x14ac:dyDescent="0.35">
      <c r="A2880" s="32">
        <v>3288</v>
      </c>
      <c r="B2880" s="32" t="s">
        <v>634</v>
      </c>
      <c r="C2880" s="32" t="s">
        <v>584</v>
      </c>
      <c r="D2880" s="30" t="s">
        <v>573</v>
      </c>
      <c r="E2880" s="30" t="s">
        <v>637</v>
      </c>
    </row>
    <row r="2881" spans="1:5" x14ac:dyDescent="0.35">
      <c r="A2881" s="32">
        <v>3289</v>
      </c>
      <c r="B2881" s="32" t="s">
        <v>634</v>
      </c>
      <c r="C2881" s="32" t="s">
        <v>605</v>
      </c>
      <c r="D2881" s="30" t="s">
        <v>573</v>
      </c>
      <c r="E2881" s="30" t="s">
        <v>637</v>
      </c>
    </row>
    <row r="2882" spans="1:5" x14ac:dyDescent="0.35">
      <c r="A2882" s="32">
        <v>3290</v>
      </c>
      <c r="B2882" s="32" t="s">
        <v>634</v>
      </c>
      <c r="C2882" s="32" t="s">
        <v>577</v>
      </c>
      <c r="D2882" s="30" t="s">
        <v>573</v>
      </c>
      <c r="E2882" s="30" t="s">
        <v>637</v>
      </c>
    </row>
    <row r="2883" spans="1:5" x14ac:dyDescent="0.35">
      <c r="A2883" s="32">
        <v>3291</v>
      </c>
      <c r="B2883" s="32" t="s">
        <v>634</v>
      </c>
      <c r="C2883" s="32" t="s">
        <v>648</v>
      </c>
      <c r="D2883" s="30" t="s">
        <v>573</v>
      </c>
      <c r="E2883" s="30" t="s">
        <v>637</v>
      </c>
    </row>
    <row r="2884" spans="1:5" x14ac:dyDescent="0.35">
      <c r="A2884" s="32">
        <v>3292</v>
      </c>
      <c r="B2884" s="32" t="s">
        <v>634</v>
      </c>
      <c r="C2884" s="32" t="s">
        <v>605</v>
      </c>
      <c r="D2884" s="30" t="s">
        <v>573</v>
      </c>
      <c r="E2884" s="30" t="s">
        <v>637</v>
      </c>
    </row>
    <row r="2885" spans="1:5" x14ac:dyDescent="0.35">
      <c r="A2885" s="32">
        <v>3293</v>
      </c>
      <c r="B2885" s="32" t="s">
        <v>634</v>
      </c>
      <c r="C2885" s="32" t="s">
        <v>605</v>
      </c>
      <c r="D2885" s="30" t="s">
        <v>573</v>
      </c>
      <c r="E2885" s="30" t="s">
        <v>637</v>
      </c>
    </row>
    <row r="2886" spans="1:5" x14ac:dyDescent="0.35">
      <c r="A2886" s="32">
        <v>3294</v>
      </c>
      <c r="B2886" s="32" t="s">
        <v>634</v>
      </c>
      <c r="C2886" s="32" t="s">
        <v>577</v>
      </c>
      <c r="D2886" s="30" t="s">
        <v>573</v>
      </c>
      <c r="E2886" s="30" t="s">
        <v>637</v>
      </c>
    </row>
    <row r="2887" spans="1:5" x14ac:dyDescent="0.35">
      <c r="A2887" s="32">
        <v>3295</v>
      </c>
      <c r="B2887" s="32" t="s">
        <v>634</v>
      </c>
      <c r="C2887" s="32" t="s">
        <v>648</v>
      </c>
      <c r="D2887" s="30" t="s">
        <v>573</v>
      </c>
      <c r="E2887" s="30" t="s">
        <v>637</v>
      </c>
    </row>
    <row r="2888" spans="1:5" x14ac:dyDescent="0.35">
      <c r="A2888" s="32">
        <v>3296</v>
      </c>
      <c r="B2888" s="32" t="s">
        <v>634</v>
      </c>
      <c r="C2888" s="32" t="s">
        <v>605</v>
      </c>
      <c r="D2888" s="30" t="s">
        <v>573</v>
      </c>
      <c r="E2888" s="30" t="s">
        <v>637</v>
      </c>
    </row>
    <row r="2889" spans="1:5" x14ac:dyDescent="0.35">
      <c r="A2889" s="32">
        <v>3297</v>
      </c>
      <c r="B2889" s="32" t="s">
        <v>641</v>
      </c>
      <c r="C2889" s="32" t="s">
        <v>605</v>
      </c>
      <c r="D2889" s="30" t="s">
        <v>573</v>
      </c>
      <c r="E2889" s="30" t="s">
        <v>637</v>
      </c>
    </row>
    <row r="2890" spans="1:5" x14ac:dyDescent="0.35">
      <c r="A2890" s="32">
        <v>3298</v>
      </c>
      <c r="B2890" s="32" t="s">
        <v>641</v>
      </c>
      <c r="C2890" s="32" t="s">
        <v>577</v>
      </c>
      <c r="D2890" s="30" t="s">
        <v>573</v>
      </c>
      <c r="E2890" s="30" t="s">
        <v>637</v>
      </c>
    </row>
    <row r="2891" spans="1:5" x14ac:dyDescent="0.35">
      <c r="A2891" s="32">
        <v>3299</v>
      </c>
      <c r="B2891" s="32" t="s">
        <v>641</v>
      </c>
      <c r="C2891" s="32" t="s">
        <v>648</v>
      </c>
      <c r="D2891" s="30" t="s">
        <v>573</v>
      </c>
      <c r="E2891" s="30" t="s">
        <v>637</v>
      </c>
    </row>
    <row r="2892" spans="1:5" x14ac:dyDescent="0.35">
      <c r="A2892" s="32">
        <v>3300</v>
      </c>
      <c r="B2892" s="32" t="s">
        <v>641</v>
      </c>
      <c r="C2892" s="32" t="s">
        <v>605</v>
      </c>
      <c r="D2892" s="30" t="s">
        <v>573</v>
      </c>
      <c r="E2892" s="30" t="s">
        <v>637</v>
      </c>
    </row>
    <row r="2893" spans="1:5" x14ac:dyDescent="0.35">
      <c r="A2893" s="32">
        <v>3301</v>
      </c>
      <c r="B2893" s="32" t="s">
        <v>634</v>
      </c>
      <c r="C2893" s="32" t="s">
        <v>605</v>
      </c>
      <c r="D2893" s="30" t="s">
        <v>573</v>
      </c>
      <c r="E2893" s="30" t="s">
        <v>637</v>
      </c>
    </row>
    <row r="2894" spans="1:5" x14ac:dyDescent="0.35">
      <c r="A2894" s="32">
        <v>3302</v>
      </c>
      <c r="B2894" s="32" t="s">
        <v>634</v>
      </c>
      <c r="C2894" s="32" t="s">
        <v>577</v>
      </c>
      <c r="D2894" s="30" t="s">
        <v>573</v>
      </c>
      <c r="E2894" s="30" t="s">
        <v>637</v>
      </c>
    </row>
    <row r="2895" spans="1:5" x14ac:dyDescent="0.35">
      <c r="A2895" s="32">
        <v>3303</v>
      </c>
      <c r="B2895" s="32" t="s">
        <v>634</v>
      </c>
      <c r="C2895" s="32" t="s">
        <v>648</v>
      </c>
      <c r="D2895" s="30" t="s">
        <v>573</v>
      </c>
      <c r="E2895" s="30" t="s">
        <v>637</v>
      </c>
    </row>
    <row r="2896" spans="1:5" x14ac:dyDescent="0.35">
      <c r="A2896" s="32">
        <v>3304</v>
      </c>
      <c r="B2896" s="32" t="s">
        <v>634</v>
      </c>
      <c r="C2896" s="32" t="s">
        <v>605</v>
      </c>
      <c r="D2896" s="30" t="s">
        <v>573</v>
      </c>
      <c r="E2896" s="30" t="s">
        <v>637</v>
      </c>
    </row>
    <row r="2897" spans="1:5" x14ac:dyDescent="0.35">
      <c r="A2897" s="32">
        <v>3305</v>
      </c>
      <c r="B2897" s="32" t="s">
        <v>641</v>
      </c>
      <c r="C2897" s="32" t="s">
        <v>605</v>
      </c>
      <c r="D2897" s="30" t="s">
        <v>573</v>
      </c>
      <c r="E2897" s="30" t="s">
        <v>637</v>
      </c>
    </row>
    <row r="2898" spans="1:5" x14ac:dyDescent="0.35">
      <c r="A2898" s="32">
        <v>3306</v>
      </c>
      <c r="B2898" s="32" t="s">
        <v>641</v>
      </c>
      <c r="C2898" s="32" t="s">
        <v>577</v>
      </c>
      <c r="D2898" s="30" t="s">
        <v>573</v>
      </c>
      <c r="E2898" s="30" t="s">
        <v>637</v>
      </c>
    </row>
    <row r="2899" spans="1:5" x14ac:dyDescent="0.35">
      <c r="A2899" s="32">
        <v>3307</v>
      </c>
      <c r="B2899" s="32" t="s">
        <v>641</v>
      </c>
      <c r="C2899" s="32" t="s">
        <v>648</v>
      </c>
      <c r="D2899" s="30" t="s">
        <v>573</v>
      </c>
      <c r="E2899" s="30" t="s">
        <v>637</v>
      </c>
    </row>
    <row r="2900" spans="1:5" x14ac:dyDescent="0.35">
      <c r="A2900" s="32">
        <v>3308</v>
      </c>
      <c r="B2900" s="32" t="s">
        <v>641</v>
      </c>
      <c r="C2900" s="32" t="s">
        <v>605</v>
      </c>
      <c r="D2900" s="30" t="s">
        <v>573</v>
      </c>
      <c r="E2900" s="30" t="s">
        <v>637</v>
      </c>
    </row>
    <row r="2901" spans="1:5" x14ac:dyDescent="0.35">
      <c r="A2901" s="32">
        <v>3309</v>
      </c>
      <c r="B2901" s="32" t="s">
        <v>571</v>
      </c>
      <c r="C2901" s="32" t="s">
        <v>605</v>
      </c>
      <c r="D2901" s="30" t="s">
        <v>573</v>
      </c>
      <c r="E2901" s="30" t="s">
        <v>637</v>
      </c>
    </row>
    <row r="2902" spans="1:5" x14ac:dyDescent="0.35">
      <c r="A2902" s="32">
        <v>3310</v>
      </c>
      <c r="B2902" s="32" t="s">
        <v>571</v>
      </c>
      <c r="C2902" s="32" t="s">
        <v>605</v>
      </c>
      <c r="D2902" s="30" t="s">
        <v>599</v>
      </c>
      <c r="E2902" s="30" t="s">
        <v>629</v>
      </c>
    </row>
    <row r="2903" spans="1:5" x14ac:dyDescent="0.35">
      <c r="A2903" s="32">
        <v>3311</v>
      </c>
      <c r="B2903" s="32" t="s">
        <v>634</v>
      </c>
      <c r="C2903" s="32" t="s">
        <v>605</v>
      </c>
      <c r="D2903" s="30" t="s">
        <v>599</v>
      </c>
      <c r="E2903" s="30" t="s">
        <v>629</v>
      </c>
    </row>
    <row r="2904" spans="1:5" x14ac:dyDescent="0.35">
      <c r="A2904" s="32">
        <v>3312</v>
      </c>
      <c r="B2904" s="32" t="s">
        <v>611</v>
      </c>
      <c r="C2904" s="32" t="s">
        <v>605</v>
      </c>
      <c r="D2904" s="30" t="s">
        <v>599</v>
      </c>
      <c r="E2904" s="30" t="s">
        <v>629</v>
      </c>
    </row>
    <row r="2905" spans="1:5" x14ac:dyDescent="0.35">
      <c r="A2905" s="32">
        <v>3313</v>
      </c>
      <c r="B2905" s="32" t="s">
        <v>634</v>
      </c>
      <c r="C2905" s="32" t="s">
        <v>605</v>
      </c>
      <c r="D2905" s="30" t="s">
        <v>599</v>
      </c>
      <c r="E2905" s="30" t="s">
        <v>629</v>
      </c>
    </row>
    <row r="2906" spans="1:5" x14ac:dyDescent="0.35">
      <c r="A2906" s="32">
        <v>3314</v>
      </c>
      <c r="B2906" s="32" t="s">
        <v>571</v>
      </c>
      <c r="C2906" s="32" t="s">
        <v>605</v>
      </c>
      <c r="D2906" s="30" t="s">
        <v>599</v>
      </c>
      <c r="E2906" s="30" t="s">
        <v>629</v>
      </c>
    </row>
    <row r="2907" spans="1:5" x14ac:dyDescent="0.35">
      <c r="A2907" s="32">
        <v>3315</v>
      </c>
      <c r="B2907" s="32" t="s">
        <v>634</v>
      </c>
      <c r="C2907" s="32" t="s">
        <v>605</v>
      </c>
      <c r="D2907" s="30" t="s">
        <v>599</v>
      </c>
      <c r="E2907" s="30" t="s">
        <v>629</v>
      </c>
    </row>
    <row r="2908" spans="1:5" x14ac:dyDescent="0.35">
      <c r="A2908" s="32">
        <v>3316</v>
      </c>
      <c r="B2908" s="32" t="s">
        <v>611</v>
      </c>
      <c r="C2908" s="32" t="s">
        <v>605</v>
      </c>
      <c r="D2908" s="30" t="s">
        <v>599</v>
      </c>
      <c r="E2908" s="30" t="s">
        <v>629</v>
      </c>
    </row>
    <row r="2909" spans="1:5" x14ac:dyDescent="0.35">
      <c r="A2909" s="32">
        <v>3317</v>
      </c>
      <c r="B2909" s="32" t="s">
        <v>634</v>
      </c>
      <c r="C2909" s="32" t="s">
        <v>605</v>
      </c>
      <c r="D2909" s="30" t="s">
        <v>599</v>
      </c>
      <c r="E2909" s="30" t="s">
        <v>629</v>
      </c>
    </row>
    <row r="2910" spans="1:5" x14ac:dyDescent="0.35">
      <c r="A2910" s="32">
        <v>3318</v>
      </c>
      <c r="B2910" s="32" t="s">
        <v>610</v>
      </c>
      <c r="C2910" s="32" t="s">
        <v>605</v>
      </c>
      <c r="D2910" s="30" t="s">
        <v>656</v>
      </c>
      <c r="E2910" s="30" t="s">
        <v>661</v>
      </c>
    </row>
    <row r="2911" spans="1:5" x14ac:dyDescent="0.35">
      <c r="A2911" s="32">
        <v>3319</v>
      </c>
      <c r="B2911" s="32" t="s">
        <v>610</v>
      </c>
      <c r="C2911" s="32" t="s">
        <v>605</v>
      </c>
      <c r="D2911" s="30" t="s">
        <v>656</v>
      </c>
      <c r="E2911" s="30" t="s">
        <v>661</v>
      </c>
    </row>
    <row r="2912" spans="1:5" x14ac:dyDescent="0.35">
      <c r="A2912" s="32">
        <v>3320</v>
      </c>
      <c r="B2912" s="32" t="s">
        <v>610</v>
      </c>
      <c r="C2912" s="32" t="s">
        <v>605</v>
      </c>
      <c r="D2912" s="30" t="s">
        <v>656</v>
      </c>
      <c r="E2912" s="30" t="s">
        <v>661</v>
      </c>
    </row>
    <row r="2913" spans="1:5" x14ac:dyDescent="0.35">
      <c r="A2913" s="32">
        <v>3321</v>
      </c>
      <c r="B2913" s="32" t="s">
        <v>610</v>
      </c>
      <c r="C2913" s="32" t="s">
        <v>605</v>
      </c>
      <c r="D2913" s="30" t="s">
        <v>656</v>
      </c>
      <c r="E2913" s="30" t="s">
        <v>661</v>
      </c>
    </row>
    <row r="2914" spans="1:5" x14ac:dyDescent="0.35">
      <c r="A2914" s="32">
        <v>3322</v>
      </c>
      <c r="B2914" s="32" t="s">
        <v>610</v>
      </c>
      <c r="C2914" s="32" t="s">
        <v>648</v>
      </c>
      <c r="D2914" s="30" t="s">
        <v>656</v>
      </c>
      <c r="E2914" s="30" t="s">
        <v>661</v>
      </c>
    </row>
    <row r="2915" spans="1:5" x14ac:dyDescent="0.35">
      <c r="A2915" s="32">
        <v>3323</v>
      </c>
      <c r="B2915" s="32" t="s">
        <v>610</v>
      </c>
      <c r="C2915" s="32" t="s">
        <v>648</v>
      </c>
      <c r="D2915" s="30" t="s">
        <v>656</v>
      </c>
      <c r="E2915" s="30" t="s">
        <v>661</v>
      </c>
    </row>
    <row r="2916" spans="1:5" x14ac:dyDescent="0.35">
      <c r="A2916" s="32">
        <v>3324</v>
      </c>
      <c r="B2916" s="32" t="s">
        <v>610</v>
      </c>
      <c r="C2916" s="32" t="s">
        <v>619</v>
      </c>
      <c r="D2916" s="30" t="s">
        <v>656</v>
      </c>
      <c r="E2916" s="30" t="s">
        <v>661</v>
      </c>
    </row>
    <row r="2917" spans="1:5" x14ac:dyDescent="0.35">
      <c r="A2917" s="32">
        <v>3325</v>
      </c>
      <c r="B2917" s="32" t="s">
        <v>571</v>
      </c>
      <c r="C2917" s="32" t="s">
        <v>624</v>
      </c>
      <c r="D2917" s="30" t="s">
        <v>599</v>
      </c>
      <c r="E2917" s="30" t="s">
        <v>653</v>
      </c>
    </row>
    <row r="2918" spans="1:5" x14ac:dyDescent="0.35">
      <c r="A2918" s="32">
        <v>3326</v>
      </c>
      <c r="B2918" s="32" t="s">
        <v>634</v>
      </c>
      <c r="C2918" s="32" t="s">
        <v>624</v>
      </c>
      <c r="D2918" s="30" t="s">
        <v>599</v>
      </c>
      <c r="E2918" s="30" t="s">
        <v>653</v>
      </c>
    </row>
    <row r="2919" spans="1:5" x14ac:dyDescent="0.35">
      <c r="A2919" s="32">
        <v>3327</v>
      </c>
      <c r="B2919" s="32" t="s">
        <v>641</v>
      </c>
      <c r="C2919" s="32" t="s">
        <v>624</v>
      </c>
      <c r="D2919" s="30" t="s">
        <v>599</v>
      </c>
      <c r="E2919" s="30" t="s">
        <v>653</v>
      </c>
    </row>
    <row r="2920" spans="1:5" x14ac:dyDescent="0.35">
      <c r="A2920" s="32">
        <v>3328</v>
      </c>
      <c r="B2920" s="32" t="s">
        <v>571</v>
      </c>
      <c r="C2920" s="32" t="s">
        <v>648</v>
      </c>
      <c r="D2920" s="30" t="s">
        <v>573</v>
      </c>
      <c r="E2920" s="30" t="s">
        <v>667</v>
      </c>
    </row>
    <row r="2921" spans="1:5" x14ac:dyDescent="0.35">
      <c r="A2921" s="32">
        <v>3329</v>
      </c>
      <c r="B2921" s="32" t="s">
        <v>634</v>
      </c>
      <c r="C2921" s="32" t="s">
        <v>648</v>
      </c>
      <c r="D2921" s="30" t="s">
        <v>573</v>
      </c>
      <c r="E2921" s="30" t="s">
        <v>667</v>
      </c>
    </row>
    <row r="2922" spans="1:5" x14ac:dyDescent="0.35">
      <c r="A2922" s="32">
        <v>3330</v>
      </c>
      <c r="B2922" s="32" t="s">
        <v>641</v>
      </c>
      <c r="C2922" s="32" t="s">
        <v>648</v>
      </c>
      <c r="D2922" s="30" t="s">
        <v>573</v>
      </c>
      <c r="E2922" s="30" t="s">
        <v>667</v>
      </c>
    </row>
    <row r="2923" spans="1:5" x14ac:dyDescent="0.35">
      <c r="A2923" s="32">
        <v>3331</v>
      </c>
      <c r="B2923" s="32" t="s">
        <v>571</v>
      </c>
      <c r="C2923" s="32" t="s">
        <v>624</v>
      </c>
      <c r="D2923" s="30" t="s">
        <v>639</v>
      </c>
      <c r="E2923" s="30" t="s">
        <v>667</v>
      </c>
    </row>
    <row r="2924" spans="1:5" x14ac:dyDescent="0.35">
      <c r="A2924" s="32">
        <v>3332</v>
      </c>
      <c r="B2924" s="32" t="s">
        <v>610</v>
      </c>
      <c r="C2924" s="32" t="s">
        <v>605</v>
      </c>
      <c r="D2924" s="30" t="s">
        <v>612</v>
      </c>
      <c r="E2924" s="30" t="s">
        <v>628</v>
      </c>
    </row>
    <row r="2925" spans="1:5" x14ac:dyDescent="0.35">
      <c r="A2925" s="32">
        <v>3333</v>
      </c>
      <c r="B2925" s="32" t="s">
        <v>610</v>
      </c>
      <c r="C2925" s="32" t="s">
        <v>648</v>
      </c>
      <c r="D2925" s="30" t="s">
        <v>612</v>
      </c>
      <c r="E2925" s="30" t="s">
        <v>628</v>
      </c>
    </row>
    <row r="2926" spans="1:5" x14ac:dyDescent="0.35">
      <c r="A2926" s="32">
        <v>3334</v>
      </c>
      <c r="B2926" s="32" t="s">
        <v>610</v>
      </c>
      <c r="C2926" s="32" t="s">
        <v>605</v>
      </c>
      <c r="D2926" s="30" t="s">
        <v>612</v>
      </c>
      <c r="E2926" s="30" t="s">
        <v>628</v>
      </c>
    </row>
    <row r="2927" spans="1:5" x14ac:dyDescent="0.35">
      <c r="A2927" s="32">
        <v>3335</v>
      </c>
      <c r="B2927" s="32" t="s">
        <v>610</v>
      </c>
      <c r="C2927" s="32" t="s">
        <v>605</v>
      </c>
      <c r="D2927" s="30" t="s">
        <v>612</v>
      </c>
      <c r="E2927" s="30" t="s">
        <v>628</v>
      </c>
    </row>
    <row r="2928" spans="1:5" x14ac:dyDescent="0.35">
      <c r="A2928" s="32">
        <v>3336</v>
      </c>
      <c r="B2928" s="32" t="s">
        <v>610</v>
      </c>
      <c r="C2928" s="32" t="s">
        <v>605</v>
      </c>
      <c r="D2928" s="30" t="s">
        <v>612</v>
      </c>
      <c r="E2928" s="30" t="s">
        <v>628</v>
      </c>
    </row>
    <row r="2929" spans="1:5" x14ac:dyDescent="0.35">
      <c r="A2929" s="32">
        <v>3337</v>
      </c>
      <c r="B2929" s="32" t="s">
        <v>571</v>
      </c>
      <c r="C2929" s="32" t="s">
        <v>572</v>
      </c>
      <c r="D2929" s="30" t="s">
        <v>681</v>
      </c>
      <c r="E2929" s="30" t="s">
        <v>693</v>
      </c>
    </row>
    <row r="2930" spans="1:5" x14ac:dyDescent="0.35">
      <c r="A2930" s="32">
        <v>3338</v>
      </c>
      <c r="B2930" s="32" t="s">
        <v>571</v>
      </c>
      <c r="C2930" s="32" t="s">
        <v>572</v>
      </c>
      <c r="D2930" s="30" t="s">
        <v>681</v>
      </c>
      <c r="E2930" s="30" t="s">
        <v>693</v>
      </c>
    </row>
    <row r="2931" spans="1:5" x14ac:dyDescent="0.35">
      <c r="A2931" s="32">
        <v>3339</v>
      </c>
      <c r="B2931" s="32" t="s">
        <v>571</v>
      </c>
      <c r="C2931" s="32" t="s">
        <v>572</v>
      </c>
      <c r="D2931" s="30" t="s">
        <v>681</v>
      </c>
      <c r="E2931" s="30" t="s">
        <v>693</v>
      </c>
    </row>
    <row r="2932" spans="1:5" x14ac:dyDescent="0.35">
      <c r="A2932" s="32">
        <v>3340</v>
      </c>
      <c r="B2932" s="32" t="s">
        <v>571</v>
      </c>
      <c r="C2932" s="32" t="s">
        <v>572</v>
      </c>
      <c r="D2932" s="30" t="s">
        <v>681</v>
      </c>
      <c r="E2932" s="30" t="s">
        <v>693</v>
      </c>
    </row>
    <row r="2933" spans="1:5" x14ac:dyDescent="0.35">
      <c r="A2933" s="32">
        <v>3341</v>
      </c>
      <c r="B2933" s="32" t="s">
        <v>571</v>
      </c>
      <c r="C2933" s="32" t="s">
        <v>572</v>
      </c>
      <c r="D2933" s="30" t="s">
        <v>681</v>
      </c>
      <c r="E2933" s="30" t="s">
        <v>693</v>
      </c>
    </row>
    <row r="2934" spans="1:5" x14ac:dyDescent="0.35">
      <c r="A2934" s="32">
        <v>3342</v>
      </c>
      <c r="B2934" s="32" t="s">
        <v>571</v>
      </c>
      <c r="C2934" s="32" t="s">
        <v>572</v>
      </c>
      <c r="D2934" s="30" t="s">
        <v>681</v>
      </c>
      <c r="E2934" s="30" t="s">
        <v>693</v>
      </c>
    </row>
    <row r="2935" spans="1:5" x14ac:dyDescent="0.35">
      <c r="A2935" s="32">
        <v>3343</v>
      </c>
      <c r="B2935" s="32" t="s">
        <v>571</v>
      </c>
      <c r="C2935" s="32" t="s">
        <v>572</v>
      </c>
      <c r="D2935" s="30" t="s">
        <v>681</v>
      </c>
      <c r="E2935" s="30" t="s">
        <v>693</v>
      </c>
    </row>
    <row r="2936" spans="1:5" x14ac:dyDescent="0.35">
      <c r="A2936" s="32">
        <v>3344</v>
      </c>
      <c r="B2936" s="32" t="s">
        <v>571</v>
      </c>
      <c r="C2936" s="32" t="s">
        <v>572</v>
      </c>
      <c r="D2936" s="30" t="s">
        <v>681</v>
      </c>
      <c r="E2936" s="30" t="s">
        <v>693</v>
      </c>
    </row>
    <row r="2937" spans="1:5" x14ac:dyDescent="0.35">
      <c r="A2937" s="32">
        <v>3345</v>
      </c>
      <c r="B2937" s="32" t="s">
        <v>571</v>
      </c>
      <c r="C2937" s="32" t="s">
        <v>572</v>
      </c>
      <c r="D2937" s="30" t="s">
        <v>681</v>
      </c>
      <c r="E2937" s="30" t="s">
        <v>693</v>
      </c>
    </row>
    <row r="2938" spans="1:5" x14ac:dyDescent="0.35">
      <c r="A2938" s="32">
        <v>3346</v>
      </c>
      <c r="B2938" s="32" t="s">
        <v>571</v>
      </c>
      <c r="C2938" s="32" t="s">
        <v>572</v>
      </c>
      <c r="D2938" s="30" t="s">
        <v>681</v>
      </c>
      <c r="E2938" s="30" t="s">
        <v>693</v>
      </c>
    </row>
    <row r="2939" spans="1:5" x14ac:dyDescent="0.35">
      <c r="A2939" s="32">
        <v>3347</v>
      </c>
      <c r="B2939" s="32" t="s">
        <v>571</v>
      </c>
      <c r="C2939" s="32" t="s">
        <v>572</v>
      </c>
      <c r="D2939" s="30" t="s">
        <v>681</v>
      </c>
      <c r="E2939" s="30" t="s">
        <v>693</v>
      </c>
    </row>
    <row r="2940" spans="1:5" x14ac:dyDescent="0.35">
      <c r="A2940" s="32">
        <v>3348</v>
      </c>
      <c r="B2940" s="32" t="s">
        <v>571</v>
      </c>
      <c r="C2940" s="32" t="s">
        <v>572</v>
      </c>
      <c r="D2940" s="30" t="s">
        <v>681</v>
      </c>
      <c r="E2940" s="30" t="s">
        <v>693</v>
      </c>
    </row>
    <row r="2941" spans="1:5" x14ac:dyDescent="0.35">
      <c r="A2941" s="32">
        <v>3349</v>
      </c>
      <c r="B2941" s="32" t="s">
        <v>571</v>
      </c>
      <c r="C2941" s="32" t="s">
        <v>572</v>
      </c>
      <c r="D2941" s="30" t="s">
        <v>681</v>
      </c>
      <c r="E2941" s="30" t="s">
        <v>693</v>
      </c>
    </row>
    <row r="2942" spans="1:5" x14ac:dyDescent="0.35">
      <c r="A2942" s="32">
        <v>3350</v>
      </c>
      <c r="B2942" s="32" t="s">
        <v>571</v>
      </c>
      <c r="C2942" s="32" t="s">
        <v>572</v>
      </c>
      <c r="D2942" s="30" t="s">
        <v>681</v>
      </c>
      <c r="E2942" s="30" t="s">
        <v>693</v>
      </c>
    </row>
    <row r="2943" spans="1:5" x14ac:dyDescent="0.35">
      <c r="A2943" s="32">
        <v>3351</v>
      </c>
      <c r="B2943" s="32" t="s">
        <v>571</v>
      </c>
      <c r="C2943" s="32" t="s">
        <v>572</v>
      </c>
      <c r="D2943" s="30" t="s">
        <v>681</v>
      </c>
      <c r="E2943" s="30" t="s">
        <v>693</v>
      </c>
    </row>
    <row r="2944" spans="1:5" x14ac:dyDescent="0.35">
      <c r="A2944" s="32">
        <v>3352</v>
      </c>
      <c r="B2944" s="32" t="s">
        <v>571</v>
      </c>
      <c r="C2944" s="32" t="s">
        <v>572</v>
      </c>
      <c r="D2944" s="30" t="s">
        <v>681</v>
      </c>
      <c r="E2944" s="30" t="s">
        <v>693</v>
      </c>
    </row>
    <row r="2945" spans="1:5" x14ac:dyDescent="0.35">
      <c r="A2945" s="32">
        <v>3353</v>
      </c>
      <c r="B2945" s="32" t="s">
        <v>571</v>
      </c>
      <c r="C2945" s="32" t="s">
        <v>572</v>
      </c>
      <c r="D2945" s="30" t="s">
        <v>681</v>
      </c>
      <c r="E2945" s="30" t="s">
        <v>693</v>
      </c>
    </row>
    <row r="2946" spans="1:5" x14ac:dyDescent="0.35">
      <c r="A2946" s="32">
        <v>3354</v>
      </c>
      <c r="B2946" s="32" t="s">
        <v>571</v>
      </c>
      <c r="C2946" s="32" t="s">
        <v>572</v>
      </c>
      <c r="D2946" s="30" t="s">
        <v>681</v>
      </c>
      <c r="E2946" s="30" t="s">
        <v>693</v>
      </c>
    </row>
    <row r="2947" spans="1:5" x14ac:dyDescent="0.35">
      <c r="A2947" s="32">
        <v>3355</v>
      </c>
      <c r="B2947" s="32" t="s">
        <v>571</v>
      </c>
      <c r="C2947" s="32" t="s">
        <v>572</v>
      </c>
      <c r="D2947" s="30" t="s">
        <v>681</v>
      </c>
      <c r="E2947" s="30" t="s">
        <v>693</v>
      </c>
    </row>
    <row r="2948" spans="1:5" x14ac:dyDescent="0.35">
      <c r="A2948" s="32">
        <v>3356</v>
      </c>
      <c r="B2948" s="32" t="s">
        <v>571</v>
      </c>
      <c r="C2948" s="32" t="s">
        <v>572</v>
      </c>
      <c r="D2948" s="30" t="s">
        <v>681</v>
      </c>
      <c r="E2948" s="30" t="s">
        <v>693</v>
      </c>
    </row>
    <row r="2949" spans="1:5" x14ac:dyDescent="0.35">
      <c r="A2949" s="32">
        <v>3357</v>
      </c>
      <c r="B2949" s="32" t="s">
        <v>571</v>
      </c>
      <c r="C2949" s="32" t="s">
        <v>572</v>
      </c>
      <c r="D2949" s="30" t="s">
        <v>681</v>
      </c>
      <c r="E2949" s="30" t="s">
        <v>693</v>
      </c>
    </row>
    <row r="2950" spans="1:5" x14ac:dyDescent="0.35">
      <c r="A2950" s="32">
        <v>3358</v>
      </c>
      <c r="B2950" s="32" t="s">
        <v>571</v>
      </c>
      <c r="C2950" s="32" t="s">
        <v>572</v>
      </c>
      <c r="D2950" s="30" t="s">
        <v>681</v>
      </c>
      <c r="E2950" s="30" t="s">
        <v>693</v>
      </c>
    </row>
    <row r="2951" spans="1:5" x14ac:dyDescent="0.35">
      <c r="A2951" s="32">
        <v>3359</v>
      </c>
      <c r="B2951" s="32" t="s">
        <v>571</v>
      </c>
      <c r="C2951" s="32" t="s">
        <v>572</v>
      </c>
      <c r="D2951" s="30" t="s">
        <v>681</v>
      </c>
      <c r="E2951" s="30" t="s">
        <v>693</v>
      </c>
    </row>
    <row r="2952" spans="1:5" x14ac:dyDescent="0.35">
      <c r="A2952" s="32">
        <v>3360</v>
      </c>
      <c r="B2952" s="32" t="s">
        <v>571</v>
      </c>
      <c r="C2952" s="32" t="s">
        <v>572</v>
      </c>
      <c r="D2952" s="30" t="s">
        <v>681</v>
      </c>
      <c r="E2952" s="30" t="s">
        <v>693</v>
      </c>
    </row>
    <row r="2953" spans="1:5" x14ac:dyDescent="0.35">
      <c r="A2953" s="32">
        <v>3361</v>
      </c>
      <c r="B2953" s="32" t="s">
        <v>571</v>
      </c>
      <c r="C2953" s="32" t="s">
        <v>572</v>
      </c>
      <c r="D2953" s="30" t="s">
        <v>681</v>
      </c>
      <c r="E2953" s="30" t="s">
        <v>693</v>
      </c>
    </row>
    <row r="2954" spans="1:5" x14ac:dyDescent="0.35">
      <c r="A2954" s="32">
        <v>3362</v>
      </c>
      <c r="B2954" s="32" t="s">
        <v>571</v>
      </c>
      <c r="C2954" s="32" t="s">
        <v>572</v>
      </c>
      <c r="D2954" s="30" t="s">
        <v>681</v>
      </c>
      <c r="E2954" s="30" t="s">
        <v>693</v>
      </c>
    </row>
    <row r="2955" spans="1:5" x14ac:dyDescent="0.35">
      <c r="A2955" s="32">
        <v>3363</v>
      </c>
      <c r="B2955" s="32" t="s">
        <v>571</v>
      </c>
      <c r="C2955" s="32" t="s">
        <v>572</v>
      </c>
      <c r="D2955" s="30" t="s">
        <v>681</v>
      </c>
      <c r="E2955" s="30" t="s">
        <v>693</v>
      </c>
    </row>
    <row r="2956" spans="1:5" x14ac:dyDescent="0.35">
      <c r="A2956" s="32">
        <v>3364</v>
      </c>
      <c r="B2956" s="32" t="s">
        <v>571</v>
      </c>
      <c r="C2956" s="32" t="s">
        <v>572</v>
      </c>
      <c r="D2956" s="30" t="s">
        <v>681</v>
      </c>
      <c r="E2956" s="30" t="s">
        <v>693</v>
      </c>
    </row>
    <row r="2957" spans="1:5" x14ac:dyDescent="0.35">
      <c r="A2957" s="32">
        <v>3365</v>
      </c>
      <c r="B2957" s="32" t="s">
        <v>571</v>
      </c>
      <c r="C2957" s="32" t="s">
        <v>572</v>
      </c>
      <c r="D2957" s="30" t="s">
        <v>681</v>
      </c>
      <c r="E2957" s="30" t="s">
        <v>693</v>
      </c>
    </row>
    <row r="2958" spans="1:5" x14ac:dyDescent="0.35">
      <c r="A2958" s="32">
        <v>3366</v>
      </c>
      <c r="B2958" s="32" t="s">
        <v>571</v>
      </c>
      <c r="C2958" s="32" t="s">
        <v>572</v>
      </c>
      <c r="D2958" s="30" t="s">
        <v>681</v>
      </c>
      <c r="E2958" s="30" t="s">
        <v>693</v>
      </c>
    </row>
    <row r="2959" spans="1:5" x14ac:dyDescent="0.35">
      <c r="A2959" s="32">
        <v>3367</v>
      </c>
      <c r="B2959" s="32" t="s">
        <v>571</v>
      </c>
      <c r="C2959" s="32" t="s">
        <v>572</v>
      </c>
      <c r="D2959" s="30" t="s">
        <v>681</v>
      </c>
      <c r="E2959" s="30" t="s">
        <v>693</v>
      </c>
    </row>
    <row r="2960" spans="1:5" x14ac:dyDescent="0.35">
      <c r="A2960" s="32">
        <v>3368</v>
      </c>
      <c r="B2960" s="32" t="s">
        <v>571</v>
      </c>
      <c r="C2960" s="32" t="s">
        <v>572</v>
      </c>
      <c r="D2960" s="30" t="s">
        <v>681</v>
      </c>
      <c r="E2960" s="30" t="s">
        <v>693</v>
      </c>
    </row>
    <row r="2961" spans="1:5" x14ac:dyDescent="0.35">
      <c r="A2961" s="32">
        <v>3369</v>
      </c>
      <c r="B2961" s="32" t="s">
        <v>571</v>
      </c>
      <c r="C2961" s="32" t="s">
        <v>572</v>
      </c>
      <c r="D2961" s="30" t="s">
        <v>681</v>
      </c>
      <c r="E2961" s="30" t="s">
        <v>693</v>
      </c>
    </row>
    <row r="2962" spans="1:5" x14ac:dyDescent="0.35">
      <c r="A2962" s="32">
        <v>3370</v>
      </c>
      <c r="B2962" s="32" t="s">
        <v>571</v>
      </c>
      <c r="C2962" s="32" t="s">
        <v>572</v>
      </c>
      <c r="D2962" s="30" t="s">
        <v>681</v>
      </c>
      <c r="E2962" s="30" t="s">
        <v>693</v>
      </c>
    </row>
    <row r="2963" spans="1:5" x14ac:dyDescent="0.35">
      <c r="A2963" s="32">
        <v>3371</v>
      </c>
      <c r="B2963" s="32" t="s">
        <v>571</v>
      </c>
      <c r="C2963" s="32" t="s">
        <v>572</v>
      </c>
      <c r="D2963" s="30" t="s">
        <v>681</v>
      </c>
      <c r="E2963" s="30" t="s">
        <v>693</v>
      </c>
    </row>
    <row r="2964" spans="1:5" x14ac:dyDescent="0.35">
      <c r="A2964" s="32">
        <v>3372</v>
      </c>
      <c r="B2964" s="32" t="s">
        <v>571</v>
      </c>
      <c r="C2964" s="32" t="s">
        <v>572</v>
      </c>
      <c r="D2964" s="30" t="s">
        <v>681</v>
      </c>
      <c r="E2964" s="30" t="s">
        <v>693</v>
      </c>
    </row>
    <row r="2965" spans="1:5" x14ac:dyDescent="0.35">
      <c r="A2965" s="32">
        <v>3373</v>
      </c>
      <c r="B2965" s="32" t="s">
        <v>571</v>
      </c>
      <c r="C2965" s="32" t="s">
        <v>572</v>
      </c>
      <c r="D2965" s="30" t="s">
        <v>681</v>
      </c>
      <c r="E2965" s="30" t="s">
        <v>693</v>
      </c>
    </row>
    <row r="2966" spans="1:5" x14ac:dyDescent="0.35">
      <c r="A2966" s="32">
        <v>3374</v>
      </c>
      <c r="B2966" s="32" t="s">
        <v>571</v>
      </c>
      <c r="C2966" s="32" t="s">
        <v>572</v>
      </c>
      <c r="D2966" s="30" t="s">
        <v>681</v>
      </c>
      <c r="E2966" s="30" t="s">
        <v>693</v>
      </c>
    </row>
    <row r="2967" spans="1:5" x14ac:dyDescent="0.35">
      <c r="A2967" s="32">
        <v>3375</v>
      </c>
      <c r="B2967" s="32" t="s">
        <v>571</v>
      </c>
      <c r="C2967" s="32" t="s">
        <v>572</v>
      </c>
      <c r="D2967" s="30" t="s">
        <v>681</v>
      </c>
      <c r="E2967" s="30" t="s">
        <v>693</v>
      </c>
    </row>
    <row r="2968" spans="1:5" x14ac:dyDescent="0.35">
      <c r="A2968" s="32">
        <v>3376</v>
      </c>
      <c r="B2968" s="32" t="s">
        <v>571</v>
      </c>
      <c r="C2968" s="32" t="s">
        <v>572</v>
      </c>
      <c r="D2968" s="30" t="s">
        <v>681</v>
      </c>
      <c r="E2968" s="30" t="s">
        <v>693</v>
      </c>
    </row>
    <row r="2969" spans="1:5" x14ac:dyDescent="0.35">
      <c r="A2969" s="32">
        <v>3377</v>
      </c>
      <c r="B2969" s="32" t="s">
        <v>571</v>
      </c>
      <c r="C2969" s="32" t="s">
        <v>572</v>
      </c>
      <c r="D2969" s="30" t="s">
        <v>681</v>
      </c>
      <c r="E2969" s="30" t="s">
        <v>693</v>
      </c>
    </row>
    <row r="2970" spans="1:5" x14ac:dyDescent="0.35">
      <c r="A2970" s="32">
        <v>3378</v>
      </c>
      <c r="B2970" s="32" t="s">
        <v>571</v>
      </c>
      <c r="C2970" s="32" t="s">
        <v>572</v>
      </c>
      <c r="D2970" s="30" t="s">
        <v>681</v>
      </c>
      <c r="E2970" s="30" t="s">
        <v>693</v>
      </c>
    </row>
    <row r="2971" spans="1:5" x14ac:dyDescent="0.35">
      <c r="A2971" s="32">
        <v>3379</v>
      </c>
      <c r="B2971" s="32" t="s">
        <v>571</v>
      </c>
      <c r="C2971" s="32" t="s">
        <v>572</v>
      </c>
      <c r="D2971" s="30" t="s">
        <v>681</v>
      </c>
      <c r="E2971" s="30" t="s">
        <v>693</v>
      </c>
    </row>
    <row r="2972" spans="1:5" x14ac:dyDescent="0.35">
      <c r="A2972" s="32">
        <v>3380</v>
      </c>
      <c r="B2972" s="32" t="s">
        <v>571</v>
      </c>
      <c r="C2972" s="32" t="s">
        <v>572</v>
      </c>
      <c r="D2972" s="30" t="s">
        <v>681</v>
      </c>
      <c r="E2972" s="30" t="s">
        <v>693</v>
      </c>
    </row>
    <row r="2973" spans="1:5" x14ac:dyDescent="0.35">
      <c r="A2973" s="32">
        <v>3381</v>
      </c>
      <c r="B2973" s="32" t="s">
        <v>571</v>
      </c>
      <c r="C2973" s="32" t="s">
        <v>572</v>
      </c>
      <c r="D2973" s="30" t="s">
        <v>681</v>
      </c>
      <c r="E2973" s="30" t="s">
        <v>693</v>
      </c>
    </row>
    <row r="2974" spans="1:5" x14ac:dyDescent="0.35">
      <c r="A2974" s="32">
        <v>3382</v>
      </c>
      <c r="B2974" s="32" t="s">
        <v>571</v>
      </c>
      <c r="C2974" s="32" t="s">
        <v>572</v>
      </c>
      <c r="D2974" s="30" t="s">
        <v>681</v>
      </c>
      <c r="E2974" s="30" t="s">
        <v>693</v>
      </c>
    </row>
    <row r="2975" spans="1:5" x14ac:dyDescent="0.35">
      <c r="A2975" s="32">
        <v>3383</v>
      </c>
      <c r="B2975" s="32" t="s">
        <v>571</v>
      </c>
      <c r="C2975" s="32" t="s">
        <v>572</v>
      </c>
      <c r="D2975" s="30" t="s">
        <v>681</v>
      </c>
      <c r="E2975" s="30" t="s">
        <v>693</v>
      </c>
    </row>
    <row r="2976" spans="1:5" x14ac:dyDescent="0.35">
      <c r="A2976" s="32">
        <v>3384</v>
      </c>
      <c r="B2976" s="32" t="s">
        <v>571</v>
      </c>
      <c r="C2976" s="32" t="s">
        <v>572</v>
      </c>
      <c r="D2976" s="30" t="s">
        <v>681</v>
      </c>
      <c r="E2976" s="30" t="s">
        <v>693</v>
      </c>
    </row>
    <row r="2977" spans="1:5" x14ac:dyDescent="0.35">
      <c r="A2977" s="32">
        <v>3385</v>
      </c>
      <c r="B2977" s="32" t="s">
        <v>571</v>
      </c>
      <c r="C2977" s="32" t="s">
        <v>572</v>
      </c>
      <c r="D2977" s="30" t="s">
        <v>681</v>
      </c>
      <c r="E2977" s="30" t="s">
        <v>693</v>
      </c>
    </row>
    <row r="2978" spans="1:5" x14ac:dyDescent="0.35">
      <c r="A2978" s="32">
        <v>3386</v>
      </c>
      <c r="B2978" s="32" t="s">
        <v>571</v>
      </c>
      <c r="C2978" s="32" t="s">
        <v>572</v>
      </c>
      <c r="D2978" s="30" t="s">
        <v>681</v>
      </c>
      <c r="E2978" s="30" t="s">
        <v>693</v>
      </c>
    </row>
    <row r="2979" spans="1:5" x14ac:dyDescent="0.35">
      <c r="A2979" s="32">
        <v>3387</v>
      </c>
      <c r="B2979" s="32" t="s">
        <v>571</v>
      </c>
      <c r="C2979" s="32" t="s">
        <v>572</v>
      </c>
      <c r="D2979" s="30" t="s">
        <v>681</v>
      </c>
      <c r="E2979" s="30" t="s">
        <v>693</v>
      </c>
    </row>
    <row r="2980" spans="1:5" x14ac:dyDescent="0.35">
      <c r="A2980" s="32">
        <v>3388</v>
      </c>
      <c r="B2980" s="32" t="s">
        <v>571</v>
      </c>
      <c r="C2980" s="32" t="s">
        <v>572</v>
      </c>
      <c r="D2980" s="30" t="s">
        <v>681</v>
      </c>
      <c r="E2980" s="30" t="s">
        <v>693</v>
      </c>
    </row>
    <row r="2981" spans="1:5" x14ac:dyDescent="0.35">
      <c r="A2981" s="32">
        <v>3389</v>
      </c>
      <c r="B2981" s="32" t="s">
        <v>571</v>
      </c>
      <c r="C2981" s="32" t="s">
        <v>572</v>
      </c>
      <c r="D2981" s="30" t="s">
        <v>681</v>
      </c>
      <c r="E2981" s="30" t="s">
        <v>693</v>
      </c>
    </row>
    <row r="2982" spans="1:5" x14ac:dyDescent="0.35">
      <c r="A2982" s="32">
        <v>3390</v>
      </c>
      <c r="B2982" s="32" t="s">
        <v>571</v>
      </c>
      <c r="C2982" s="32" t="s">
        <v>572</v>
      </c>
      <c r="D2982" s="30" t="s">
        <v>681</v>
      </c>
      <c r="E2982" s="30" t="s">
        <v>693</v>
      </c>
    </row>
    <row r="2983" spans="1:5" x14ac:dyDescent="0.35">
      <c r="A2983" s="32">
        <v>3391</v>
      </c>
      <c r="B2983" s="32" t="s">
        <v>571</v>
      </c>
      <c r="C2983" s="32" t="s">
        <v>572</v>
      </c>
      <c r="D2983" s="30" t="s">
        <v>681</v>
      </c>
      <c r="E2983" s="30" t="s">
        <v>693</v>
      </c>
    </row>
    <row r="2984" spans="1:5" x14ac:dyDescent="0.35">
      <c r="A2984" s="32">
        <v>3392</v>
      </c>
      <c r="B2984" s="32" t="s">
        <v>571</v>
      </c>
      <c r="C2984" s="32" t="s">
        <v>572</v>
      </c>
      <c r="D2984" s="30" t="s">
        <v>681</v>
      </c>
      <c r="E2984" s="30" t="s">
        <v>693</v>
      </c>
    </row>
    <row r="2985" spans="1:5" x14ac:dyDescent="0.35">
      <c r="A2985" s="32">
        <v>3393</v>
      </c>
      <c r="B2985" s="32" t="s">
        <v>571</v>
      </c>
      <c r="C2985" s="32" t="s">
        <v>572</v>
      </c>
      <c r="D2985" s="30" t="s">
        <v>681</v>
      </c>
      <c r="E2985" s="30" t="s">
        <v>693</v>
      </c>
    </row>
    <row r="2986" spans="1:5" x14ac:dyDescent="0.35">
      <c r="A2986" s="32">
        <v>3394</v>
      </c>
      <c r="B2986" s="32" t="s">
        <v>571</v>
      </c>
      <c r="C2986" s="32" t="s">
        <v>572</v>
      </c>
      <c r="D2986" s="30" t="s">
        <v>681</v>
      </c>
      <c r="E2986" s="30" t="s">
        <v>693</v>
      </c>
    </row>
    <row r="2987" spans="1:5" x14ac:dyDescent="0.35">
      <c r="A2987" s="32">
        <v>3395</v>
      </c>
      <c r="B2987" s="32" t="s">
        <v>571</v>
      </c>
      <c r="C2987" s="32" t="s">
        <v>572</v>
      </c>
      <c r="D2987" s="30" t="s">
        <v>681</v>
      </c>
      <c r="E2987" s="30" t="s">
        <v>693</v>
      </c>
    </row>
    <row r="2988" spans="1:5" x14ac:dyDescent="0.35">
      <c r="A2988" s="32">
        <v>3396</v>
      </c>
      <c r="B2988" s="32" t="s">
        <v>571</v>
      </c>
      <c r="C2988" s="32" t="s">
        <v>572</v>
      </c>
      <c r="D2988" s="30" t="s">
        <v>681</v>
      </c>
      <c r="E2988" s="30" t="s">
        <v>693</v>
      </c>
    </row>
    <row r="2989" spans="1:5" x14ac:dyDescent="0.35">
      <c r="A2989" s="32">
        <v>3397</v>
      </c>
      <c r="B2989" s="32" t="s">
        <v>571</v>
      </c>
      <c r="C2989" s="32" t="s">
        <v>572</v>
      </c>
      <c r="D2989" s="30" t="s">
        <v>681</v>
      </c>
      <c r="E2989" s="30" t="s">
        <v>693</v>
      </c>
    </row>
    <row r="2990" spans="1:5" x14ac:dyDescent="0.35">
      <c r="A2990" s="32">
        <v>3398</v>
      </c>
      <c r="B2990" s="32" t="s">
        <v>571</v>
      </c>
      <c r="C2990" s="32" t="s">
        <v>572</v>
      </c>
      <c r="D2990" s="30" t="s">
        <v>681</v>
      </c>
      <c r="E2990" s="30" t="s">
        <v>693</v>
      </c>
    </row>
    <row r="2991" spans="1:5" x14ac:dyDescent="0.35">
      <c r="A2991" s="32">
        <v>3399</v>
      </c>
      <c r="B2991" s="32" t="s">
        <v>571</v>
      </c>
      <c r="C2991" s="32" t="s">
        <v>572</v>
      </c>
      <c r="D2991" s="30" t="s">
        <v>681</v>
      </c>
      <c r="E2991" s="30" t="s">
        <v>693</v>
      </c>
    </row>
    <row r="2992" spans="1:5" x14ac:dyDescent="0.35">
      <c r="A2992" s="32">
        <v>3400</v>
      </c>
      <c r="B2992" s="32" t="s">
        <v>571</v>
      </c>
      <c r="C2992" s="32" t="s">
        <v>572</v>
      </c>
      <c r="D2992" s="30" t="s">
        <v>681</v>
      </c>
      <c r="E2992" s="30" t="s">
        <v>693</v>
      </c>
    </row>
    <row r="2993" spans="1:5" x14ac:dyDescent="0.35">
      <c r="A2993" s="32">
        <v>3401</v>
      </c>
      <c r="B2993" s="32" t="s">
        <v>571</v>
      </c>
      <c r="C2993" s="32" t="s">
        <v>572</v>
      </c>
      <c r="D2993" s="30" t="s">
        <v>681</v>
      </c>
      <c r="E2993" s="30" t="s">
        <v>693</v>
      </c>
    </row>
    <row r="2994" spans="1:5" x14ac:dyDescent="0.35">
      <c r="A2994" s="32">
        <v>3402</v>
      </c>
      <c r="B2994" s="32" t="s">
        <v>571</v>
      </c>
      <c r="C2994" s="32" t="s">
        <v>572</v>
      </c>
      <c r="D2994" s="30" t="s">
        <v>681</v>
      </c>
      <c r="E2994" s="30" t="s">
        <v>693</v>
      </c>
    </row>
    <row r="2995" spans="1:5" x14ac:dyDescent="0.35">
      <c r="A2995" s="32">
        <v>3403</v>
      </c>
      <c r="B2995" s="32" t="s">
        <v>571</v>
      </c>
      <c r="C2995" s="32" t="s">
        <v>572</v>
      </c>
      <c r="D2995" s="30" t="s">
        <v>681</v>
      </c>
      <c r="E2995" s="30" t="s">
        <v>693</v>
      </c>
    </row>
    <row r="2996" spans="1:5" x14ac:dyDescent="0.35">
      <c r="A2996" s="32">
        <v>3404</v>
      </c>
      <c r="B2996" s="32" t="s">
        <v>571</v>
      </c>
      <c r="C2996" s="32" t="s">
        <v>572</v>
      </c>
      <c r="D2996" s="30" t="s">
        <v>681</v>
      </c>
      <c r="E2996" s="30" t="s">
        <v>693</v>
      </c>
    </row>
    <row r="2997" spans="1:5" x14ac:dyDescent="0.35">
      <c r="A2997" s="32">
        <v>3405</v>
      </c>
      <c r="B2997" s="32" t="s">
        <v>571</v>
      </c>
      <c r="C2997" s="32" t="s">
        <v>572</v>
      </c>
      <c r="D2997" s="30" t="s">
        <v>681</v>
      </c>
      <c r="E2997" s="30" t="s">
        <v>693</v>
      </c>
    </row>
    <row r="2998" spans="1:5" x14ac:dyDescent="0.35">
      <c r="A2998" s="32">
        <v>3406</v>
      </c>
      <c r="B2998" s="32" t="s">
        <v>571</v>
      </c>
      <c r="C2998" s="32" t="s">
        <v>572</v>
      </c>
      <c r="D2998" s="30" t="s">
        <v>681</v>
      </c>
      <c r="E2998" s="30" t="s">
        <v>693</v>
      </c>
    </row>
    <row r="2999" spans="1:5" x14ac:dyDescent="0.35">
      <c r="A2999" s="32">
        <v>3407</v>
      </c>
      <c r="B2999" s="32" t="s">
        <v>571</v>
      </c>
      <c r="C2999" s="32" t="s">
        <v>572</v>
      </c>
      <c r="D2999" s="30" t="s">
        <v>681</v>
      </c>
      <c r="E2999" s="30" t="s">
        <v>693</v>
      </c>
    </row>
    <row r="3000" spans="1:5" x14ac:dyDescent="0.35">
      <c r="A3000" s="32">
        <v>3408</v>
      </c>
      <c r="B3000" s="32" t="s">
        <v>571</v>
      </c>
      <c r="C3000" s="32" t="s">
        <v>572</v>
      </c>
      <c r="D3000" s="30" t="s">
        <v>681</v>
      </c>
      <c r="E3000" s="30" t="s">
        <v>693</v>
      </c>
    </row>
    <row r="3001" spans="1:5" x14ac:dyDescent="0.35">
      <c r="A3001" s="32">
        <v>3409</v>
      </c>
      <c r="B3001" s="32" t="s">
        <v>571</v>
      </c>
      <c r="C3001" s="32" t="s">
        <v>572</v>
      </c>
      <c r="D3001" s="30" t="s">
        <v>681</v>
      </c>
      <c r="E3001" s="30" t="s">
        <v>693</v>
      </c>
    </row>
    <row r="3002" spans="1:5" x14ac:dyDescent="0.35">
      <c r="A3002" s="32">
        <v>3410</v>
      </c>
      <c r="B3002" s="32" t="s">
        <v>571</v>
      </c>
      <c r="C3002" s="32" t="s">
        <v>572</v>
      </c>
      <c r="D3002" s="30" t="s">
        <v>681</v>
      </c>
      <c r="E3002" s="30" t="s">
        <v>693</v>
      </c>
    </row>
    <row r="3003" spans="1:5" x14ac:dyDescent="0.35">
      <c r="A3003" s="32">
        <v>3411</v>
      </c>
      <c r="B3003" s="32" t="s">
        <v>571</v>
      </c>
      <c r="C3003" s="32" t="s">
        <v>572</v>
      </c>
      <c r="D3003" s="30" t="s">
        <v>681</v>
      </c>
      <c r="E3003" s="30" t="s">
        <v>693</v>
      </c>
    </row>
    <row r="3004" spans="1:5" x14ac:dyDescent="0.35">
      <c r="A3004" s="32">
        <v>3412</v>
      </c>
      <c r="B3004" s="32" t="s">
        <v>571</v>
      </c>
      <c r="C3004" s="32" t="s">
        <v>572</v>
      </c>
      <c r="D3004" s="30" t="s">
        <v>681</v>
      </c>
      <c r="E3004" s="30" t="s">
        <v>693</v>
      </c>
    </row>
    <row r="3005" spans="1:5" x14ac:dyDescent="0.35">
      <c r="A3005" s="32">
        <v>3413</v>
      </c>
      <c r="B3005" s="32" t="s">
        <v>610</v>
      </c>
      <c r="C3005" s="32" t="s">
        <v>572</v>
      </c>
      <c r="D3005" s="30" t="s">
        <v>621</v>
      </c>
      <c r="E3005" s="30" t="s">
        <v>691</v>
      </c>
    </row>
    <row r="3006" spans="1:5" x14ac:dyDescent="0.35">
      <c r="A3006" s="32">
        <v>3414</v>
      </c>
      <c r="B3006" s="32" t="s">
        <v>610</v>
      </c>
      <c r="C3006" s="32" t="s">
        <v>572</v>
      </c>
      <c r="D3006" s="30" t="s">
        <v>621</v>
      </c>
      <c r="E3006" s="30" t="s">
        <v>691</v>
      </c>
    </row>
    <row r="3007" spans="1:5" x14ac:dyDescent="0.35">
      <c r="A3007" s="32">
        <v>3415</v>
      </c>
      <c r="B3007" s="32" t="s">
        <v>610</v>
      </c>
      <c r="C3007" s="32" t="s">
        <v>572</v>
      </c>
      <c r="D3007" s="30" t="s">
        <v>621</v>
      </c>
      <c r="E3007" s="30" t="s">
        <v>691</v>
      </c>
    </row>
    <row r="3008" spans="1:5" x14ac:dyDescent="0.35">
      <c r="A3008" s="32">
        <v>3416</v>
      </c>
      <c r="B3008" s="32" t="s">
        <v>610</v>
      </c>
      <c r="C3008" s="32" t="s">
        <v>572</v>
      </c>
      <c r="D3008" s="30" t="s">
        <v>621</v>
      </c>
      <c r="E3008" s="30" t="s">
        <v>691</v>
      </c>
    </row>
    <row r="3009" spans="1:5" x14ac:dyDescent="0.35">
      <c r="A3009" s="32">
        <v>3417</v>
      </c>
      <c r="B3009" s="32" t="s">
        <v>610</v>
      </c>
      <c r="C3009" s="32" t="s">
        <v>572</v>
      </c>
      <c r="D3009" s="30" t="s">
        <v>621</v>
      </c>
      <c r="E3009" s="30" t="s">
        <v>691</v>
      </c>
    </row>
    <row r="3010" spans="1:5" x14ac:dyDescent="0.35">
      <c r="A3010" s="32">
        <v>3418</v>
      </c>
      <c r="B3010" s="32" t="s">
        <v>610</v>
      </c>
      <c r="C3010" s="32" t="s">
        <v>572</v>
      </c>
      <c r="D3010" s="30" t="s">
        <v>621</v>
      </c>
      <c r="E3010" s="30" t="s">
        <v>691</v>
      </c>
    </row>
    <row r="3011" spans="1:5" x14ac:dyDescent="0.35">
      <c r="A3011" s="32">
        <v>3419</v>
      </c>
      <c r="B3011" s="32" t="s">
        <v>611</v>
      </c>
      <c r="C3011" s="32" t="s">
        <v>605</v>
      </c>
      <c r="D3011" s="30" t="s">
        <v>621</v>
      </c>
      <c r="E3011" s="30" t="s">
        <v>691</v>
      </c>
    </row>
    <row r="3012" spans="1:5" x14ac:dyDescent="0.35">
      <c r="A3012" s="32">
        <v>3420</v>
      </c>
      <c r="B3012" s="32" t="s">
        <v>571</v>
      </c>
      <c r="C3012" s="32" t="s">
        <v>584</v>
      </c>
      <c r="D3012" s="30" t="s">
        <v>621</v>
      </c>
      <c r="E3012" s="30" t="s">
        <v>691</v>
      </c>
    </row>
    <row r="3013" spans="1:5" x14ac:dyDescent="0.35">
      <c r="A3013" s="32">
        <v>3421</v>
      </c>
      <c r="B3013" s="32" t="s">
        <v>611</v>
      </c>
      <c r="C3013" s="32" t="s">
        <v>605</v>
      </c>
      <c r="D3013" s="30" t="s">
        <v>635</v>
      </c>
      <c r="E3013" s="30" t="s">
        <v>671</v>
      </c>
    </row>
    <row r="3014" spans="1:5" x14ac:dyDescent="0.35">
      <c r="A3014" s="32">
        <v>3422</v>
      </c>
      <c r="B3014" s="32" t="s">
        <v>611</v>
      </c>
      <c r="C3014" s="32" t="s">
        <v>605</v>
      </c>
      <c r="D3014" s="30" t="s">
        <v>635</v>
      </c>
      <c r="E3014" s="30" t="s">
        <v>671</v>
      </c>
    </row>
    <row r="3015" spans="1:5" x14ac:dyDescent="0.35">
      <c r="A3015" s="32">
        <v>3423</v>
      </c>
      <c r="B3015" s="32" t="s">
        <v>611</v>
      </c>
      <c r="C3015" s="32" t="s">
        <v>605</v>
      </c>
      <c r="D3015" s="30" t="s">
        <v>635</v>
      </c>
      <c r="E3015" s="30" t="s">
        <v>671</v>
      </c>
    </row>
    <row r="3016" spans="1:5" x14ac:dyDescent="0.35">
      <c r="A3016" s="32">
        <v>3424</v>
      </c>
      <c r="B3016" s="32" t="s">
        <v>611</v>
      </c>
      <c r="C3016" s="32" t="s">
        <v>605</v>
      </c>
      <c r="D3016" s="30" t="s">
        <v>635</v>
      </c>
      <c r="E3016" s="30" t="s">
        <v>671</v>
      </c>
    </row>
    <row r="3017" spans="1:5" x14ac:dyDescent="0.35">
      <c r="A3017" s="32">
        <v>3425</v>
      </c>
      <c r="B3017" s="32" t="s">
        <v>611</v>
      </c>
      <c r="C3017" s="32" t="s">
        <v>605</v>
      </c>
      <c r="D3017" s="30" t="s">
        <v>635</v>
      </c>
      <c r="E3017" s="30" t="s">
        <v>671</v>
      </c>
    </row>
    <row r="3018" spans="1:5" x14ac:dyDescent="0.35">
      <c r="A3018" s="32">
        <v>3426</v>
      </c>
      <c r="B3018" s="32" t="s">
        <v>611</v>
      </c>
      <c r="C3018" s="32" t="s">
        <v>605</v>
      </c>
      <c r="D3018" s="30" t="s">
        <v>635</v>
      </c>
      <c r="E3018" s="30" t="s">
        <v>671</v>
      </c>
    </row>
    <row r="3019" spans="1:5" x14ac:dyDescent="0.35">
      <c r="A3019" s="32">
        <v>3427</v>
      </c>
      <c r="B3019" s="32" t="s">
        <v>611</v>
      </c>
      <c r="C3019" s="32" t="s">
        <v>605</v>
      </c>
      <c r="D3019" s="30" t="s">
        <v>599</v>
      </c>
      <c r="E3019" s="30" t="s">
        <v>667</v>
      </c>
    </row>
    <row r="3020" spans="1:5" x14ac:dyDescent="0.35">
      <c r="A3020" s="32">
        <v>3428</v>
      </c>
      <c r="B3020" s="32" t="s">
        <v>611</v>
      </c>
      <c r="C3020" s="32" t="s">
        <v>605</v>
      </c>
      <c r="D3020" s="30" t="s">
        <v>599</v>
      </c>
      <c r="E3020" s="30" t="s">
        <v>667</v>
      </c>
    </row>
    <row r="3021" spans="1:5" x14ac:dyDescent="0.35">
      <c r="A3021" s="32">
        <v>3429</v>
      </c>
      <c r="B3021" s="32" t="s">
        <v>641</v>
      </c>
      <c r="C3021" s="32" t="s">
        <v>605</v>
      </c>
      <c r="D3021" s="30" t="s">
        <v>599</v>
      </c>
      <c r="E3021" s="30" t="s">
        <v>667</v>
      </c>
    </row>
    <row r="3022" spans="1:5" x14ac:dyDescent="0.35">
      <c r="A3022" s="32">
        <v>3430</v>
      </c>
      <c r="B3022" s="32" t="s">
        <v>611</v>
      </c>
      <c r="C3022" s="32" t="s">
        <v>605</v>
      </c>
      <c r="D3022" s="30" t="s">
        <v>599</v>
      </c>
      <c r="E3022" s="30" t="s">
        <v>667</v>
      </c>
    </row>
    <row r="3023" spans="1:5" x14ac:dyDescent="0.35">
      <c r="A3023" s="32">
        <v>3431</v>
      </c>
      <c r="B3023" s="32" t="s">
        <v>642</v>
      </c>
      <c r="C3023" s="32" t="s">
        <v>605</v>
      </c>
      <c r="D3023" s="30" t="s">
        <v>599</v>
      </c>
      <c r="E3023" s="30" t="s">
        <v>667</v>
      </c>
    </row>
    <row r="3024" spans="1:5" x14ac:dyDescent="0.35">
      <c r="A3024" s="32">
        <v>3432</v>
      </c>
      <c r="B3024" s="32" t="s">
        <v>641</v>
      </c>
      <c r="C3024" s="32" t="s">
        <v>605</v>
      </c>
      <c r="D3024" s="30" t="s">
        <v>599</v>
      </c>
      <c r="E3024" s="30" t="s">
        <v>667</v>
      </c>
    </row>
    <row r="3025" spans="1:5" x14ac:dyDescent="0.35">
      <c r="A3025" s="32">
        <v>3433</v>
      </c>
      <c r="B3025" s="32" t="s">
        <v>571</v>
      </c>
      <c r="C3025" s="32" t="s">
        <v>605</v>
      </c>
      <c r="D3025" s="30" t="s">
        <v>599</v>
      </c>
      <c r="E3025" s="30" t="s">
        <v>667</v>
      </c>
    </row>
    <row r="3026" spans="1:5" x14ac:dyDescent="0.35">
      <c r="A3026" s="32">
        <v>3434</v>
      </c>
      <c r="B3026" s="32" t="s">
        <v>571</v>
      </c>
      <c r="C3026" s="32" t="s">
        <v>605</v>
      </c>
      <c r="D3026" s="30" t="s">
        <v>599</v>
      </c>
      <c r="E3026" s="30" t="s">
        <v>667</v>
      </c>
    </row>
    <row r="3027" spans="1:5" x14ac:dyDescent="0.35">
      <c r="A3027" s="32">
        <v>3435</v>
      </c>
      <c r="B3027" s="32" t="s">
        <v>610</v>
      </c>
      <c r="C3027" s="32" t="s">
        <v>605</v>
      </c>
      <c r="D3027" s="30" t="s">
        <v>599</v>
      </c>
      <c r="E3027" s="30" t="s">
        <v>667</v>
      </c>
    </row>
    <row r="3028" spans="1:5" x14ac:dyDescent="0.35">
      <c r="A3028" s="32">
        <v>3436</v>
      </c>
      <c r="B3028" s="32" t="s">
        <v>571</v>
      </c>
      <c r="C3028" s="32" t="s">
        <v>605</v>
      </c>
      <c r="D3028" s="30" t="s">
        <v>599</v>
      </c>
      <c r="E3028" s="30" t="s">
        <v>667</v>
      </c>
    </row>
    <row r="3029" spans="1:5" x14ac:dyDescent="0.35">
      <c r="A3029" s="32">
        <v>3437</v>
      </c>
      <c r="B3029" s="32" t="s">
        <v>571</v>
      </c>
      <c r="C3029" s="32" t="s">
        <v>605</v>
      </c>
      <c r="D3029" s="30" t="s">
        <v>599</v>
      </c>
      <c r="E3029" s="30" t="s">
        <v>667</v>
      </c>
    </row>
    <row r="3030" spans="1:5" x14ac:dyDescent="0.35">
      <c r="A3030" s="32">
        <v>3438</v>
      </c>
      <c r="B3030" s="32" t="s">
        <v>571</v>
      </c>
      <c r="C3030" s="32" t="s">
        <v>605</v>
      </c>
      <c r="D3030" s="30" t="s">
        <v>599</v>
      </c>
      <c r="E3030" s="30" t="s">
        <v>667</v>
      </c>
    </row>
    <row r="3031" spans="1:5" x14ac:dyDescent="0.35">
      <c r="A3031" s="32">
        <v>3439</v>
      </c>
      <c r="B3031" s="32" t="s">
        <v>610</v>
      </c>
      <c r="C3031" s="32" t="s">
        <v>605</v>
      </c>
      <c r="D3031" s="30" t="s">
        <v>599</v>
      </c>
      <c r="E3031" s="30" t="s">
        <v>667</v>
      </c>
    </row>
    <row r="3032" spans="1:5" x14ac:dyDescent="0.35">
      <c r="A3032" s="32">
        <v>3440</v>
      </c>
      <c r="B3032" s="32" t="s">
        <v>634</v>
      </c>
      <c r="C3032" s="32" t="s">
        <v>605</v>
      </c>
      <c r="D3032" s="30" t="s">
        <v>599</v>
      </c>
      <c r="E3032" s="30" t="s">
        <v>667</v>
      </c>
    </row>
    <row r="3033" spans="1:5" x14ac:dyDescent="0.35">
      <c r="A3033" s="32">
        <v>3441</v>
      </c>
      <c r="B3033" s="32" t="s">
        <v>571</v>
      </c>
      <c r="C3033" s="32" t="s">
        <v>619</v>
      </c>
      <c r="D3033" s="30" t="s">
        <v>635</v>
      </c>
      <c r="E3033" s="30" t="s">
        <v>671</v>
      </c>
    </row>
    <row r="3034" spans="1:5" x14ac:dyDescent="0.35">
      <c r="A3034" s="32">
        <v>3442</v>
      </c>
      <c r="B3034" s="32" t="s">
        <v>571</v>
      </c>
      <c r="C3034" s="32" t="s">
        <v>619</v>
      </c>
      <c r="D3034" s="30" t="s">
        <v>635</v>
      </c>
      <c r="E3034" s="30" t="s">
        <v>671</v>
      </c>
    </row>
    <row r="3035" spans="1:5" x14ac:dyDescent="0.35">
      <c r="A3035" s="32">
        <v>3443</v>
      </c>
      <c r="B3035" s="32" t="s">
        <v>571</v>
      </c>
      <c r="C3035" s="32" t="s">
        <v>619</v>
      </c>
      <c r="D3035" s="30" t="s">
        <v>635</v>
      </c>
      <c r="E3035" s="30" t="s">
        <v>671</v>
      </c>
    </row>
    <row r="3036" spans="1:5" x14ac:dyDescent="0.35">
      <c r="A3036" s="32">
        <v>3444</v>
      </c>
      <c r="B3036" s="32" t="s">
        <v>641</v>
      </c>
      <c r="C3036" s="32" t="s">
        <v>619</v>
      </c>
      <c r="D3036" s="30" t="s">
        <v>635</v>
      </c>
      <c r="E3036" s="30" t="s">
        <v>671</v>
      </c>
    </row>
    <row r="3037" spans="1:5" x14ac:dyDescent="0.35">
      <c r="A3037" s="32">
        <v>3445</v>
      </c>
      <c r="B3037" s="32" t="s">
        <v>634</v>
      </c>
      <c r="C3037" s="32" t="s">
        <v>619</v>
      </c>
      <c r="D3037" s="30" t="s">
        <v>635</v>
      </c>
      <c r="E3037" s="30" t="s">
        <v>671</v>
      </c>
    </row>
    <row r="3038" spans="1:5" x14ac:dyDescent="0.35">
      <c r="A3038" s="32">
        <v>3446</v>
      </c>
      <c r="B3038" s="32" t="s">
        <v>641</v>
      </c>
      <c r="C3038" s="32" t="s">
        <v>619</v>
      </c>
      <c r="D3038" s="30" t="s">
        <v>635</v>
      </c>
      <c r="E3038" s="30" t="s">
        <v>671</v>
      </c>
    </row>
    <row r="3039" spans="1:5" x14ac:dyDescent="0.35">
      <c r="A3039" s="32">
        <v>3447</v>
      </c>
      <c r="B3039" s="32" t="s">
        <v>610</v>
      </c>
      <c r="C3039" s="32" t="s">
        <v>619</v>
      </c>
      <c r="D3039" s="30" t="s">
        <v>635</v>
      </c>
      <c r="E3039" s="30" t="s">
        <v>671</v>
      </c>
    </row>
    <row r="3040" spans="1:5" x14ac:dyDescent="0.35">
      <c r="A3040" s="32">
        <v>3448</v>
      </c>
      <c r="B3040" s="32" t="s">
        <v>611</v>
      </c>
      <c r="C3040" s="32" t="s">
        <v>648</v>
      </c>
      <c r="D3040" s="30" t="s">
        <v>573</v>
      </c>
      <c r="E3040" s="30" t="s">
        <v>638</v>
      </c>
    </row>
    <row r="3041" spans="1:5" x14ac:dyDescent="0.35">
      <c r="A3041" s="32">
        <v>3449</v>
      </c>
      <c r="B3041" s="32" t="s">
        <v>611</v>
      </c>
      <c r="C3041" s="32" t="s">
        <v>584</v>
      </c>
      <c r="D3041" s="30" t="s">
        <v>651</v>
      </c>
      <c r="E3041" s="30" t="s">
        <v>652</v>
      </c>
    </row>
    <row r="3042" spans="1:5" x14ac:dyDescent="0.35">
      <c r="A3042" s="32">
        <v>3450</v>
      </c>
      <c r="B3042" s="32" t="s">
        <v>611</v>
      </c>
      <c r="C3042" s="32" t="s">
        <v>584</v>
      </c>
      <c r="D3042" s="30" t="s">
        <v>651</v>
      </c>
      <c r="E3042" s="30" t="s">
        <v>652</v>
      </c>
    </row>
    <row r="3043" spans="1:5" x14ac:dyDescent="0.35">
      <c r="A3043" s="32">
        <v>3451</v>
      </c>
      <c r="B3043" s="32" t="s">
        <v>611</v>
      </c>
      <c r="C3043" s="32" t="s">
        <v>584</v>
      </c>
      <c r="D3043" s="30" t="s">
        <v>651</v>
      </c>
      <c r="E3043" s="30" t="s">
        <v>652</v>
      </c>
    </row>
    <row r="3044" spans="1:5" x14ac:dyDescent="0.35">
      <c r="A3044" s="32">
        <v>3452</v>
      </c>
      <c r="B3044" s="32" t="s">
        <v>611</v>
      </c>
      <c r="C3044" s="32" t="s">
        <v>584</v>
      </c>
      <c r="D3044" s="30" t="s">
        <v>651</v>
      </c>
      <c r="E3044" s="30" t="s">
        <v>652</v>
      </c>
    </row>
    <row r="3045" spans="1:5" x14ac:dyDescent="0.35">
      <c r="A3045" s="32">
        <v>3453</v>
      </c>
      <c r="B3045" s="32" t="s">
        <v>611</v>
      </c>
      <c r="C3045" s="32" t="s">
        <v>584</v>
      </c>
      <c r="D3045" s="30" t="s">
        <v>651</v>
      </c>
      <c r="E3045" s="30" t="s">
        <v>652</v>
      </c>
    </row>
    <row r="3046" spans="1:5" x14ac:dyDescent="0.35">
      <c r="A3046" s="32">
        <v>3454</v>
      </c>
      <c r="B3046" s="32" t="s">
        <v>611</v>
      </c>
      <c r="C3046" s="32" t="s">
        <v>584</v>
      </c>
      <c r="D3046" s="30" t="s">
        <v>651</v>
      </c>
      <c r="E3046" s="30" t="s">
        <v>652</v>
      </c>
    </row>
    <row r="3047" spans="1:5" x14ac:dyDescent="0.35">
      <c r="A3047" s="32">
        <v>3455</v>
      </c>
      <c r="B3047" s="32" t="s">
        <v>610</v>
      </c>
      <c r="C3047" s="32" t="s">
        <v>584</v>
      </c>
      <c r="D3047" s="30" t="s">
        <v>639</v>
      </c>
      <c r="E3047" s="30" t="s">
        <v>646</v>
      </c>
    </row>
    <row r="3048" spans="1:5" x14ac:dyDescent="0.35">
      <c r="A3048" s="32">
        <v>3456</v>
      </c>
      <c r="B3048" s="32" t="s">
        <v>610</v>
      </c>
      <c r="C3048" s="32" t="s">
        <v>584</v>
      </c>
      <c r="D3048" s="30" t="s">
        <v>639</v>
      </c>
      <c r="E3048" s="30" t="s">
        <v>646</v>
      </c>
    </row>
    <row r="3049" spans="1:5" x14ac:dyDescent="0.35">
      <c r="A3049" s="32">
        <v>3457</v>
      </c>
      <c r="B3049" s="32" t="s">
        <v>610</v>
      </c>
      <c r="C3049" s="32" t="s">
        <v>584</v>
      </c>
      <c r="D3049" s="30" t="s">
        <v>639</v>
      </c>
      <c r="E3049" s="30" t="s">
        <v>646</v>
      </c>
    </row>
    <row r="3050" spans="1:5" x14ac:dyDescent="0.35">
      <c r="A3050" s="32">
        <v>3458</v>
      </c>
      <c r="B3050" s="32" t="s">
        <v>610</v>
      </c>
      <c r="C3050" s="32" t="s">
        <v>584</v>
      </c>
      <c r="D3050" s="30" t="s">
        <v>639</v>
      </c>
      <c r="E3050" s="30" t="s">
        <v>646</v>
      </c>
    </row>
    <row r="3051" spans="1:5" x14ac:dyDescent="0.35">
      <c r="A3051" s="32">
        <v>3459</v>
      </c>
      <c r="B3051" s="32" t="s">
        <v>610</v>
      </c>
      <c r="C3051" s="32" t="s">
        <v>584</v>
      </c>
      <c r="D3051" s="30" t="s">
        <v>639</v>
      </c>
      <c r="E3051" s="30" t="s">
        <v>646</v>
      </c>
    </row>
    <row r="3052" spans="1:5" x14ac:dyDescent="0.35">
      <c r="A3052" s="32">
        <v>3460</v>
      </c>
      <c r="B3052" s="32" t="s">
        <v>611</v>
      </c>
      <c r="C3052" s="32" t="s">
        <v>648</v>
      </c>
      <c r="D3052" s="30" t="s">
        <v>573</v>
      </c>
      <c r="E3052" s="30" t="s">
        <v>637</v>
      </c>
    </row>
    <row r="3053" spans="1:5" x14ac:dyDescent="0.35">
      <c r="A3053" s="32">
        <v>3461</v>
      </c>
      <c r="B3053" s="32" t="s">
        <v>611</v>
      </c>
      <c r="C3053" s="32" t="s">
        <v>648</v>
      </c>
      <c r="D3053" s="30" t="s">
        <v>573</v>
      </c>
      <c r="E3053" s="30" t="s">
        <v>637</v>
      </c>
    </row>
    <row r="3054" spans="1:5" x14ac:dyDescent="0.35">
      <c r="A3054" s="32">
        <v>3462</v>
      </c>
      <c r="B3054" s="32" t="s">
        <v>611</v>
      </c>
      <c r="C3054" s="32" t="s">
        <v>605</v>
      </c>
      <c r="D3054" s="30" t="s">
        <v>573</v>
      </c>
      <c r="E3054" s="30" t="s">
        <v>637</v>
      </c>
    </row>
    <row r="3055" spans="1:5" x14ac:dyDescent="0.35">
      <c r="A3055" s="32">
        <v>3463</v>
      </c>
      <c r="B3055" s="32" t="s">
        <v>611</v>
      </c>
      <c r="C3055" s="32" t="s">
        <v>648</v>
      </c>
      <c r="D3055" s="30" t="s">
        <v>573</v>
      </c>
      <c r="E3055" s="30" t="s">
        <v>637</v>
      </c>
    </row>
    <row r="3056" spans="1:5" x14ac:dyDescent="0.35">
      <c r="A3056" s="32">
        <v>3464</v>
      </c>
      <c r="B3056" s="32" t="s">
        <v>611</v>
      </c>
      <c r="C3056" s="32" t="s">
        <v>648</v>
      </c>
      <c r="D3056" s="30" t="s">
        <v>573</v>
      </c>
      <c r="E3056" s="30" t="s">
        <v>637</v>
      </c>
    </row>
    <row r="3057" spans="1:5" x14ac:dyDescent="0.35">
      <c r="A3057" s="32">
        <v>3465</v>
      </c>
      <c r="B3057" s="32" t="s">
        <v>611</v>
      </c>
      <c r="C3057" s="32" t="s">
        <v>648</v>
      </c>
      <c r="D3057" s="30" t="s">
        <v>573</v>
      </c>
      <c r="E3057" s="30" t="s">
        <v>637</v>
      </c>
    </row>
    <row r="3058" spans="1:5" x14ac:dyDescent="0.35">
      <c r="A3058" s="32">
        <v>3466</v>
      </c>
      <c r="B3058" s="32" t="s">
        <v>611</v>
      </c>
      <c r="C3058" s="32" t="s">
        <v>605</v>
      </c>
      <c r="D3058" s="30" t="s">
        <v>573</v>
      </c>
      <c r="E3058" s="30" t="s">
        <v>637</v>
      </c>
    </row>
    <row r="3059" spans="1:5" x14ac:dyDescent="0.35">
      <c r="A3059" s="32">
        <v>3467</v>
      </c>
      <c r="B3059" s="32" t="s">
        <v>611</v>
      </c>
      <c r="C3059" s="32" t="s">
        <v>648</v>
      </c>
      <c r="D3059" s="30" t="s">
        <v>573</v>
      </c>
      <c r="E3059" s="30" t="s">
        <v>637</v>
      </c>
    </row>
    <row r="3060" spans="1:5" x14ac:dyDescent="0.35">
      <c r="A3060" s="32">
        <v>3468</v>
      </c>
      <c r="B3060" s="32" t="s">
        <v>611</v>
      </c>
      <c r="C3060" s="32" t="s">
        <v>648</v>
      </c>
      <c r="D3060" s="30" t="s">
        <v>659</v>
      </c>
      <c r="E3060" s="30" t="s">
        <v>660</v>
      </c>
    </row>
    <row r="3061" spans="1:5" x14ac:dyDescent="0.35">
      <c r="A3061" s="32">
        <v>3474</v>
      </c>
      <c r="B3061" s="32" t="s">
        <v>611</v>
      </c>
      <c r="C3061" s="32" t="s">
        <v>572</v>
      </c>
      <c r="D3061" s="30" t="s">
        <v>599</v>
      </c>
      <c r="E3061" s="30" t="s">
        <v>667</v>
      </c>
    </row>
    <row r="3062" spans="1:5" x14ac:dyDescent="0.35">
      <c r="A3062" s="32">
        <v>3475</v>
      </c>
      <c r="B3062" s="32" t="s">
        <v>642</v>
      </c>
      <c r="C3062" s="32" t="s">
        <v>572</v>
      </c>
      <c r="D3062" s="30" t="s">
        <v>599</v>
      </c>
      <c r="E3062" s="30" t="s">
        <v>667</v>
      </c>
    </row>
    <row r="3063" spans="1:5" x14ac:dyDescent="0.35">
      <c r="A3063" s="32">
        <v>3476</v>
      </c>
      <c r="B3063" s="32" t="s">
        <v>634</v>
      </c>
      <c r="C3063" s="32" t="s">
        <v>572</v>
      </c>
      <c r="D3063" s="30" t="s">
        <v>599</v>
      </c>
      <c r="E3063" s="30" t="s">
        <v>667</v>
      </c>
    </row>
    <row r="3064" spans="1:5" x14ac:dyDescent="0.35">
      <c r="A3064" s="32">
        <v>3477</v>
      </c>
      <c r="B3064" s="32" t="s">
        <v>610</v>
      </c>
      <c r="C3064" s="32" t="s">
        <v>572</v>
      </c>
      <c r="D3064" s="30" t="s">
        <v>599</v>
      </c>
      <c r="E3064" s="30" t="s">
        <v>667</v>
      </c>
    </row>
    <row r="3065" spans="1:5" x14ac:dyDescent="0.35">
      <c r="A3065" s="32">
        <v>3478</v>
      </c>
      <c r="B3065" s="32" t="s">
        <v>641</v>
      </c>
      <c r="C3065" s="32" t="s">
        <v>584</v>
      </c>
      <c r="D3065" s="30" t="s">
        <v>573</v>
      </c>
      <c r="E3065" s="30" t="s">
        <v>637</v>
      </c>
    </row>
    <row r="3066" spans="1:5" x14ac:dyDescent="0.35">
      <c r="A3066" s="32">
        <v>3479</v>
      </c>
      <c r="B3066" s="32" t="s">
        <v>571</v>
      </c>
      <c r="C3066" s="32" t="s">
        <v>584</v>
      </c>
      <c r="D3066" s="30" t="s">
        <v>573</v>
      </c>
      <c r="E3066" s="30" t="s">
        <v>637</v>
      </c>
    </row>
    <row r="3067" spans="1:5" x14ac:dyDescent="0.35">
      <c r="A3067" s="32">
        <v>3480</v>
      </c>
      <c r="B3067" s="32" t="s">
        <v>634</v>
      </c>
      <c r="C3067" s="32" t="s">
        <v>584</v>
      </c>
      <c r="D3067" s="30" t="s">
        <v>573</v>
      </c>
      <c r="E3067" s="30" t="s">
        <v>637</v>
      </c>
    </row>
    <row r="3068" spans="1:5" x14ac:dyDescent="0.35">
      <c r="A3068" s="32">
        <v>3481</v>
      </c>
      <c r="B3068" s="32" t="s">
        <v>610</v>
      </c>
      <c r="C3068" s="32" t="s">
        <v>584</v>
      </c>
      <c r="D3068" s="30" t="s">
        <v>573</v>
      </c>
      <c r="E3068" s="30" t="s">
        <v>637</v>
      </c>
    </row>
    <row r="3069" spans="1:5" x14ac:dyDescent="0.35">
      <c r="A3069" s="32">
        <v>3482</v>
      </c>
      <c r="B3069" s="32" t="s">
        <v>611</v>
      </c>
      <c r="C3069" s="32" t="s">
        <v>605</v>
      </c>
      <c r="D3069" s="30" t="s">
        <v>599</v>
      </c>
      <c r="E3069" s="30" t="s">
        <v>600</v>
      </c>
    </row>
    <row r="3070" spans="1:5" x14ac:dyDescent="0.35">
      <c r="A3070" s="32">
        <v>3483</v>
      </c>
      <c r="B3070" s="32" t="s">
        <v>642</v>
      </c>
      <c r="C3070" s="32" t="s">
        <v>605</v>
      </c>
      <c r="D3070" s="30" t="s">
        <v>599</v>
      </c>
      <c r="E3070" s="30" t="s">
        <v>600</v>
      </c>
    </row>
    <row r="3071" spans="1:5" x14ac:dyDescent="0.35">
      <c r="A3071" s="32">
        <v>3484</v>
      </c>
      <c r="B3071" s="32" t="s">
        <v>571</v>
      </c>
      <c r="C3071" s="32" t="s">
        <v>605</v>
      </c>
      <c r="D3071" s="30" t="s">
        <v>599</v>
      </c>
      <c r="E3071" s="30" t="s">
        <v>600</v>
      </c>
    </row>
    <row r="3072" spans="1:5" x14ac:dyDescent="0.35">
      <c r="A3072" s="32">
        <v>3485</v>
      </c>
      <c r="B3072" s="32" t="s">
        <v>571</v>
      </c>
      <c r="C3072" s="32" t="s">
        <v>605</v>
      </c>
      <c r="D3072" s="30" t="s">
        <v>599</v>
      </c>
      <c r="E3072" s="30" t="s">
        <v>600</v>
      </c>
    </row>
    <row r="3073" spans="1:5" x14ac:dyDescent="0.35">
      <c r="A3073" s="32">
        <v>3486</v>
      </c>
      <c r="B3073" s="32" t="s">
        <v>634</v>
      </c>
      <c r="C3073" s="32" t="s">
        <v>605</v>
      </c>
      <c r="D3073" s="30" t="s">
        <v>599</v>
      </c>
      <c r="E3073" s="30" t="s">
        <v>600</v>
      </c>
    </row>
    <row r="3074" spans="1:5" x14ac:dyDescent="0.35">
      <c r="A3074" s="32">
        <v>3487</v>
      </c>
      <c r="B3074" s="32" t="s">
        <v>611</v>
      </c>
      <c r="C3074" s="32" t="s">
        <v>584</v>
      </c>
      <c r="D3074" s="30" t="s">
        <v>573</v>
      </c>
      <c r="E3074" s="30" t="s">
        <v>637</v>
      </c>
    </row>
    <row r="3075" spans="1:5" x14ac:dyDescent="0.35">
      <c r="A3075" s="32">
        <v>3488</v>
      </c>
      <c r="B3075" s="32" t="s">
        <v>611</v>
      </c>
      <c r="C3075" s="32" t="s">
        <v>584</v>
      </c>
      <c r="D3075" s="30" t="s">
        <v>573</v>
      </c>
      <c r="E3075" s="30" t="s">
        <v>637</v>
      </c>
    </row>
    <row r="3076" spans="1:5" x14ac:dyDescent="0.35">
      <c r="A3076" s="32">
        <v>3496</v>
      </c>
      <c r="B3076" s="32" t="s">
        <v>610</v>
      </c>
      <c r="C3076" s="32" t="s">
        <v>605</v>
      </c>
      <c r="D3076" s="30" t="s">
        <v>612</v>
      </c>
      <c r="E3076" s="30" t="s">
        <v>625</v>
      </c>
    </row>
    <row r="3077" spans="1:5" x14ac:dyDescent="0.35">
      <c r="A3077" s="32">
        <v>3497</v>
      </c>
      <c r="B3077" s="32" t="s">
        <v>610</v>
      </c>
      <c r="C3077" s="32" t="s">
        <v>605</v>
      </c>
      <c r="D3077" s="30" t="s">
        <v>612</v>
      </c>
      <c r="E3077" s="30" t="s">
        <v>625</v>
      </c>
    </row>
    <row r="3078" spans="1:5" x14ac:dyDescent="0.35">
      <c r="A3078" s="32">
        <v>3498</v>
      </c>
      <c r="B3078" s="32" t="s">
        <v>610</v>
      </c>
      <c r="C3078" s="32" t="s">
        <v>665</v>
      </c>
      <c r="D3078" s="30" t="s">
        <v>612</v>
      </c>
      <c r="E3078" s="30" t="s">
        <v>625</v>
      </c>
    </row>
    <row r="3079" spans="1:5" x14ac:dyDescent="0.35">
      <c r="A3079" s="32">
        <v>3499</v>
      </c>
      <c r="B3079" s="32" t="s">
        <v>611</v>
      </c>
      <c r="C3079" s="32" t="s">
        <v>605</v>
      </c>
      <c r="D3079" s="30" t="s">
        <v>612</v>
      </c>
      <c r="E3079" s="30" t="s">
        <v>625</v>
      </c>
    </row>
    <row r="3080" spans="1:5" x14ac:dyDescent="0.35">
      <c r="A3080" s="32">
        <v>3500</v>
      </c>
      <c r="B3080" s="32" t="s">
        <v>611</v>
      </c>
      <c r="C3080" s="32" t="s">
        <v>648</v>
      </c>
      <c r="D3080" s="30" t="s">
        <v>612</v>
      </c>
      <c r="E3080" s="30" t="s">
        <v>625</v>
      </c>
    </row>
    <row r="3081" spans="1:5" x14ac:dyDescent="0.35">
      <c r="A3081" s="32">
        <v>3501</v>
      </c>
      <c r="B3081" s="32" t="s">
        <v>611</v>
      </c>
      <c r="C3081" s="32" t="s">
        <v>648</v>
      </c>
      <c r="D3081" s="30" t="s">
        <v>612</v>
      </c>
      <c r="E3081" s="30" t="s">
        <v>625</v>
      </c>
    </row>
    <row r="3082" spans="1:5" x14ac:dyDescent="0.35">
      <c r="A3082" s="32">
        <v>3502</v>
      </c>
      <c r="B3082" s="32" t="s">
        <v>611</v>
      </c>
      <c r="C3082" s="32" t="s">
        <v>655</v>
      </c>
      <c r="D3082" s="30" t="s">
        <v>612</v>
      </c>
      <c r="E3082" s="30" t="s">
        <v>625</v>
      </c>
    </row>
    <row r="3083" spans="1:5" x14ac:dyDescent="0.35">
      <c r="A3083" s="32">
        <v>3503</v>
      </c>
      <c r="B3083" s="32" t="s">
        <v>571</v>
      </c>
      <c r="C3083" s="32" t="s">
        <v>605</v>
      </c>
      <c r="D3083" s="30" t="s">
        <v>639</v>
      </c>
      <c r="E3083" s="30" t="s">
        <v>646</v>
      </c>
    </row>
    <row r="3084" spans="1:5" x14ac:dyDescent="0.35">
      <c r="A3084" s="32">
        <v>3504</v>
      </c>
      <c r="B3084" s="32" t="s">
        <v>610</v>
      </c>
      <c r="C3084" s="32" t="s">
        <v>624</v>
      </c>
      <c r="D3084" s="30" t="s">
        <v>599</v>
      </c>
      <c r="E3084" s="30" t="s">
        <v>629</v>
      </c>
    </row>
    <row r="3085" spans="1:5" x14ac:dyDescent="0.35">
      <c r="A3085" s="32">
        <v>3505</v>
      </c>
      <c r="B3085" s="32" t="s">
        <v>610</v>
      </c>
      <c r="C3085" s="32" t="s">
        <v>624</v>
      </c>
      <c r="D3085" s="30" t="s">
        <v>599</v>
      </c>
      <c r="E3085" s="30" t="s">
        <v>629</v>
      </c>
    </row>
    <row r="3086" spans="1:5" x14ac:dyDescent="0.35">
      <c r="A3086" s="32">
        <v>3506</v>
      </c>
      <c r="B3086" s="32" t="s">
        <v>610</v>
      </c>
      <c r="C3086" s="32" t="s">
        <v>624</v>
      </c>
      <c r="D3086" s="30" t="s">
        <v>599</v>
      </c>
      <c r="E3086" s="30" t="s">
        <v>629</v>
      </c>
    </row>
    <row r="3087" spans="1:5" x14ac:dyDescent="0.35">
      <c r="A3087" s="32">
        <v>3507</v>
      </c>
      <c r="B3087" s="32" t="s">
        <v>610</v>
      </c>
      <c r="C3087" s="32" t="s">
        <v>624</v>
      </c>
      <c r="D3087" s="30" t="s">
        <v>599</v>
      </c>
      <c r="E3087" s="30" t="s">
        <v>629</v>
      </c>
    </row>
    <row r="3088" spans="1:5" x14ac:dyDescent="0.35">
      <c r="A3088" s="32">
        <v>3508</v>
      </c>
      <c r="B3088" s="32" t="s">
        <v>641</v>
      </c>
      <c r="C3088" s="32" t="s">
        <v>624</v>
      </c>
      <c r="D3088" s="30" t="s">
        <v>599</v>
      </c>
      <c r="E3088" s="30" t="s">
        <v>629</v>
      </c>
    </row>
    <row r="3089" spans="1:5" x14ac:dyDescent="0.35">
      <c r="A3089" s="32">
        <v>3509</v>
      </c>
      <c r="B3089" s="32" t="s">
        <v>571</v>
      </c>
      <c r="C3089" s="32" t="s">
        <v>624</v>
      </c>
      <c r="D3089" s="30" t="s">
        <v>599</v>
      </c>
      <c r="E3089" s="30" t="s">
        <v>629</v>
      </c>
    </row>
    <row r="3090" spans="1:5" x14ac:dyDescent="0.35">
      <c r="A3090" s="32">
        <v>3510</v>
      </c>
      <c r="B3090" s="32" t="s">
        <v>634</v>
      </c>
      <c r="C3090" s="32" t="s">
        <v>624</v>
      </c>
      <c r="D3090" s="30" t="s">
        <v>599</v>
      </c>
      <c r="E3090" s="30" t="s">
        <v>629</v>
      </c>
    </row>
    <row r="3091" spans="1:5" x14ac:dyDescent="0.35">
      <c r="A3091" s="32">
        <v>3511</v>
      </c>
      <c r="B3091" s="32" t="s">
        <v>571</v>
      </c>
      <c r="C3091" s="32" t="s">
        <v>648</v>
      </c>
      <c r="D3091" s="30" t="s">
        <v>599</v>
      </c>
      <c r="E3091" s="30" t="s">
        <v>615</v>
      </c>
    </row>
    <row r="3092" spans="1:5" x14ac:dyDescent="0.35">
      <c r="A3092" s="32">
        <v>3512</v>
      </c>
      <c r="B3092" s="32" t="s">
        <v>571</v>
      </c>
      <c r="C3092" s="32" t="s">
        <v>648</v>
      </c>
      <c r="D3092" s="30" t="s">
        <v>599</v>
      </c>
      <c r="E3092" s="30" t="s">
        <v>615</v>
      </c>
    </row>
    <row r="3093" spans="1:5" x14ac:dyDescent="0.35">
      <c r="A3093" s="32">
        <v>3513</v>
      </c>
      <c r="B3093" s="32" t="s">
        <v>634</v>
      </c>
      <c r="C3093" s="32" t="s">
        <v>648</v>
      </c>
      <c r="D3093" s="30" t="s">
        <v>599</v>
      </c>
      <c r="E3093" s="30" t="s">
        <v>615</v>
      </c>
    </row>
    <row r="3094" spans="1:5" x14ac:dyDescent="0.35">
      <c r="A3094" s="32">
        <v>3514</v>
      </c>
      <c r="B3094" s="32" t="s">
        <v>634</v>
      </c>
      <c r="C3094" s="32" t="s">
        <v>648</v>
      </c>
      <c r="D3094" s="30" t="s">
        <v>599</v>
      </c>
      <c r="E3094" s="30" t="s">
        <v>615</v>
      </c>
    </row>
    <row r="3095" spans="1:5" x14ac:dyDescent="0.35">
      <c r="A3095" s="32">
        <v>3515</v>
      </c>
      <c r="B3095" s="32" t="s">
        <v>641</v>
      </c>
      <c r="C3095" s="32" t="s">
        <v>648</v>
      </c>
      <c r="D3095" s="30" t="s">
        <v>599</v>
      </c>
      <c r="E3095" s="30" t="s">
        <v>615</v>
      </c>
    </row>
    <row r="3096" spans="1:5" x14ac:dyDescent="0.35">
      <c r="A3096" s="32">
        <v>3518</v>
      </c>
      <c r="B3096" s="32" t="s">
        <v>641</v>
      </c>
      <c r="C3096" s="32" t="s">
        <v>648</v>
      </c>
      <c r="D3096" s="30" t="s">
        <v>599</v>
      </c>
      <c r="E3096" s="30" t="s">
        <v>600</v>
      </c>
    </row>
    <row r="3097" spans="1:5" x14ac:dyDescent="0.35">
      <c r="A3097" s="32">
        <v>3519</v>
      </c>
      <c r="B3097" s="32" t="s">
        <v>641</v>
      </c>
      <c r="C3097" s="32" t="s">
        <v>648</v>
      </c>
      <c r="D3097" s="30" t="s">
        <v>599</v>
      </c>
      <c r="E3097" s="30" t="s">
        <v>600</v>
      </c>
    </row>
    <row r="3098" spans="1:5" x14ac:dyDescent="0.35">
      <c r="A3098" s="32">
        <v>3520</v>
      </c>
      <c r="B3098" s="32" t="s">
        <v>641</v>
      </c>
      <c r="C3098" s="32" t="s">
        <v>648</v>
      </c>
      <c r="D3098" s="30" t="s">
        <v>599</v>
      </c>
      <c r="E3098" s="30" t="s">
        <v>600</v>
      </c>
    </row>
    <row r="3099" spans="1:5" x14ac:dyDescent="0.35">
      <c r="A3099" s="32">
        <v>3521</v>
      </c>
      <c r="B3099" s="32" t="s">
        <v>641</v>
      </c>
      <c r="C3099" s="32" t="s">
        <v>648</v>
      </c>
      <c r="D3099" s="30" t="s">
        <v>599</v>
      </c>
      <c r="E3099" s="30" t="s">
        <v>600</v>
      </c>
    </row>
    <row r="3100" spans="1:5" x14ac:dyDescent="0.35">
      <c r="A3100" s="32">
        <v>3522</v>
      </c>
      <c r="B3100" s="32" t="s">
        <v>641</v>
      </c>
      <c r="C3100" s="32" t="s">
        <v>648</v>
      </c>
      <c r="D3100" s="30" t="s">
        <v>599</v>
      </c>
      <c r="E3100" s="30" t="s">
        <v>600</v>
      </c>
    </row>
    <row r="3101" spans="1:5" x14ac:dyDescent="0.35">
      <c r="A3101" s="32">
        <v>3523</v>
      </c>
      <c r="B3101" s="32" t="s">
        <v>641</v>
      </c>
      <c r="C3101" s="32" t="s">
        <v>648</v>
      </c>
      <c r="D3101" s="30" t="s">
        <v>599</v>
      </c>
      <c r="E3101" s="30" t="s">
        <v>600</v>
      </c>
    </row>
    <row r="3102" spans="1:5" x14ac:dyDescent="0.35">
      <c r="A3102" s="32">
        <v>3524</v>
      </c>
      <c r="B3102" s="32" t="s">
        <v>641</v>
      </c>
      <c r="C3102" s="32" t="s">
        <v>648</v>
      </c>
      <c r="D3102" s="30" t="s">
        <v>599</v>
      </c>
      <c r="E3102" s="30" t="s">
        <v>600</v>
      </c>
    </row>
    <row r="3103" spans="1:5" x14ac:dyDescent="0.35">
      <c r="A3103" s="32">
        <v>3525</v>
      </c>
      <c r="B3103" s="32" t="s">
        <v>641</v>
      </c>
      <c r="C3103" s="32" t="s">
        <v>648</v>
      </c>
      <c r="D3103" s="30" t="s">
        <v>599</v>
      </c>
      <c r="E3103" s="30" t="s">
        <v>600</v>
      </c>
    </row>
    <row r="3104" spans="1:5" x14ac:dyDescent="0.35">
      <c r="A3104" s="32">
        <v>3526</v>
      </c>
      <c r="B3104" s="32" t="s">
        <v>571</v>
      </c>
      <c r="C3104" s="32" t="s">
        <v>648</v>
      </c>
      <c r="D3104" s="30" t="s">
        <v>599</v>
      </c>
      <c r="E3104" s="30" t="s">
        <v>600</v>
      </c>
    </row>
    <row r="3105" spans="1:5" x14ac:dyDescent="0.35">
      <c r="A3105" s="32">
        <v>3527</v>
      </c>
      <c r="B3105" s="32" t="s">
        <v>571</v>
      </c>
      <c r="C3105" s="32" t="s">
        <v>648</v>
      </c>
      <c r="D3105" s="30" t="s">
        <v>599</v>
      </c>
      <c r="E3105" s="30" t="s">
        <v>600</v>
      </c>
    </row>
    <row r="3106" spans="1:5" x14ac:dyDescent="0.35">
      <c r="A3106" s="32">
        <v>3528</v>
      </c>
      <c r="B3106" s="32" t="s">
        <v>571</v>
      </c>
      <c r="C3106" s="32" t="s">
        <v>648</v>
      </c>
      <c r="D3106" s="30" t="s">
        <v>599</v>
      </c>
      <c r="E3106" s="30" t="s">
        <v>600</v>
      </c>
    </row>
    <row r="3107" spans="1:5" x14ac:dyDescent="0.35">
      <c r="A3107" s="32">
        <v>3529</v>
      </c>
      <c r="B3107" s="32" t="s">
        <v>571</v>
      </c>
      <c r="C3107" s="32" t="s">
        <v>648</v>
      </c>
      <c r="D3107" s="30" t="s">
        <v>599</v>
      </c>
      <c r="E3107" s="30" t="s">
        <v>600</v>
      </c>
    </row>
    <row r="3108" spans="1:5" x14ac:dyDescent="0.35">
      <c r="A3108" s="32">
        <v>3530</v>
      </c>
      <c r="B3108" s="32" t="s">
        <v>571</v>
      </c>
      <c r="C3108" s="32" t="s">
        <v>648</v>
      </c>
      <c r="D3108" s="30" t="s">
        <v>599</v>
      </c>
      <c r="E3108" s="30" t="s">
        <v>600</v>
      </c>
    </row>
    <row r="3109" spans="1:5" x14ac:dyDescent="0.35">
      <c r="A3109" s="32">
        <v>3531</v>
      </c>
      <c r="B3109" s="32" t="s">
        <v>634</v>
      </c>
      <c r="C3109" s="32" t="s">
        <v>648</v>
      </c>
      <c r="D3109" s="30" t="s">
        <v>599</v>
      </c>
      <c r="E3109" s="30" t="s">
        <v>600</v>
      </c>
    </row>
    <row r="3110" spans="1:5" x14ac:dyDescent="0.35">
      <c r="A3110" s="32">
        <v>3532</v>
      </c>
      <c r="B3110" s="32" t="s">
        <v>634</v>
      </c>
      <c r="C3110" s="32" t="s">
        <v>648</v>
      </c>
      <c r="D3110" s="30" t="s">
        <v>599</v>
      </c>
      <c r="E3110" s="30" t="s">
        <v>600</v>
      </c>
    </row>
    <row r="3111" spans="1:5" x14ac:dyDescent="0.35">
      <c r="A3111" s="32">
        <v>3533</v>
      </c>
      <c r="B3111" s="32" t="s">
        <v>634</v>
      </c>
      <c r="C3111" s="32" t="s">
        <v>648</v>
      </c>
      <c r="D3111" s="30" t="s">
        <v>599</v>
      </c>
      <c r="E3111" s="30" t="s">
        <v>600</v>
      </c>
    </row>
    <row r="3112" spans="1:5" x14ac:dyDescent="0.35">
      <c r="A3112" s="32">
        <v>3534</v>
      </c>
      <c r="B3112" s="32" t="s">
        <v>634</v>
      </c>
      <c r="C3112" s="32" t="s">
        <v>648</v>
      </c>
      <c r="D3112" s="30" t="s">
        <v>599</v>
      </c>
      <c r="E3112" s="30" t="s">
        <v>600</v>
      </c>
    </row>
    <row r="3113" spans="1:5" x14ac:dyDescent="0.35">
      <c r="A3113" s="32">
        <v>3535</v>
      </c>
      <c r="B3113" s="32" t="s">
        <v>634</v>
      </c>
      <c r="C3113" s="32" t="s">
        <v>648</v>
      </c>
      <c r="D3113" s="30" t="s">
        <v>599</v>
      </c>
      <c r="E3113" s="30" t="s">
        <v>600</v>
      </c>
    </row>
    <row r="3114" spans="1:5" x14ac:dyDescent="0.35">
      <c r="A3114" s="32">
        <v>3536</v>
      </c>
      <c r="B3114" s="32" t="s">
        <v>634</v>
      </c>
      <c r="C3114" s="32" t="s">
        <v>648</v>
      </c>
      <c r="D3114" s="30" t="s">
        <v>599</v>
      </c>
      <c r="E3114" s="30" t="s">
        <v>600</v>
      </c>
    </row>
    <row r="3115" spans="1:5" x14ac:dyDescent="0.35">
      <c r="A3115" s="32">
        <v>3537</v>
      </c>
      <c r="B3115" s="32" t="s">
        <v>634</v>
      </c>
      <c r="C3115" s="32" t="s">
        <v>648</v>
      </c>
      <c r="D3115" s="30" t="s">
        <v>599</v>
      </c>
      <c r="E3115" s="30" t="s">
        <v>600</v>
      </c>
    </row>
    <row r="3116" spans="1:5" x14ac:dyDescent="0.35">
      <c r="A3116" s="32">
        <v>3538</v>
      </c>
      <c r="B3116" s="32" t="s">
        <v>634</v>
      </c>
      <c r="C3116" s="32" t="s">
        <v>648</v>
      </c>
      <c r="D3116" s="30" t="s">
        <v>599</v>
      </c>
      <c r="E3116" s="30" t="s">
        <v>600</v>
      </c>
    </row>
    <row r="3117" spans="1:5" x14ac:dyDescent="0.35">
      <c r="A3117" s="32">
        <v>3539</v>
      </c>
      <c r="B3117" s="32" t="s">
        <v>634</v>
      </c>
      <c r="C3117" s="32" t="s">
        <v>648</v>
      </c>
      <c r="D3117" s="30" t="s">
        <v>599</v>
      </c>
      <c r="E3117" s="30" t="s">
        <v>600</v>
      </c>
    </row>
    <row r="3118" spans="1:5" x14ac:dyDescent="0.35">
      <c r="A3118" s="32">
        <v>3540</v>
      </c>
      <c r="B3118" s="32" t="s">
        <v>634</v>
      </c>
      <c r="C3118" s="32" t="s">
        <v>648</v>
      </c>
      <c r="D3118" s="30" t="s">
        <v>599</v>
      </c>
      <c r="E3118" s="30" t="s">
        <v>600</v>
      </c>
    </row>
    <row r="3119" spans="1:5" x14ac:dyDescent="0.35">
      <c r="A3119" s="30">
        <v>3541</v>
      </c>
      <c r="B3119" s="30" t="s">
        <v>610</v>
      </c>
      <c r="C3119" s="30" t="s">
        <v>648</v>
      </c>
      <c r="D3119" s="30" t="s">
        <v>599</v>
      </c>
      <c r="E3119" s="30" t="s">
        <v>600</v>
      </c>
    </row>
    <row r="3120" spans="1:5" x14ac:dyDescent="0.35">
      <c r="A3120" s="30">
        <v>3542</v>
      </c>
      <c r="B3120" s="30" t="s">
        <v>610</v>
      </c>
      <c r="C3120" s="30" t="s">
        <v>648</v>
      </c>
      <c r="D3120" s="30" t="s">
        <v>599</v>
      </c>
      <c r="E3120" s="30" t="s">
        <v>600</v>
      </c>
    </row>
    <row r="3121" spans="1:5" x14ac:dyDescent="0.35">
      <c r="A3121" s="30">
        <v>3543</v>
      </c>
      <c r="B3121" s="30" t="s">
        <v>610</v>
      </c>
      <c r="C3121" s="30" t="s">
        <v>648</v>
      </c>
      <c r="D3121" s="30" t="s">
        <v>599</v>
      </c>
      <c r="E3121" s="30" t="s">
        <v>600</v>
      </c>
    </row>
    <row r="3122" spans="1:5" x14ac:dyDescent="0.35">
      <c r="A3122" s="30">
        <v>3544</v>
      </c>
      <c r="B3122" s="30" t="s">
        <v>610</v>
      </c>
      <c r="C3122" s="30" t="s">
        <v>648</v>
      </c>
      <c r="D3122" s="30" t="s">
        <v>599</v>
      </c>
      <c r="E3122" s="30" t="s">
        <v>600</v>
      </c>
    </row>
    <row r="3123" spans="1:5" x14ac:dyDescent="0.35">
      <c r="A3123" s="30">
        <v>3545</v>
      </c>
      <c r="B3123" s="30" t="s">
        <v>610</v>
      </c>
      <c r="C3123" s="30" t="s">
        <v>648</v>
      </c>
      <c r="D3123" s="30" t="s">
        <v>599</v>
      </c>
      <c r="E3123" s="30" t="s">
        <v>600</v>
      </c>
    </row>
    <row r="3124" spans="1:5" x14ac:dyDescent="0.35">
      <c r="A3124" s="30">
        <v>3546</v>
      </c>
      <c r="B3124" s="30" t="s">
        <v>641</v>
      </c>
      <c r="C3124" s="30" t="s">
        <v>619</v>
      </c>
      <c r="D3124" s="30" t="s">
        <v>663</v>
      </c>
      <c r="E3124" s="30" t="s">
        <v>694</v>
      </c>
    </row>
    <row r="3125" spans="1:5" x14ac:dyDescent="0.35">
      <c r="A3125" s="30">
        <v>3547</v>
      </c>
      <c r="B3125" s="30" t="s">
        <v>641</v>
      </c>
      <c r="C3125" s="30" t="s">
        <v>619</v>
      </c>
      <c r="D3125" s="30" t="s">
        <v>663</v>
      </c>
      <c r="E3125" s="30" t="s">
        <v>694</v>
      </c>
    </row>
    <row r="3126" spans="1:5" x14ac:dyDescent="0.35">
      <c r="A3126" s="30">
        <v>3548</v>
      </c>
      <c r="B3126" s="30" t="s">
        <v>641</v>
      </c>
      <c r="C3126" s="30" t="s">
        <v>619</v>
      </c>
      <c r="D3126" s="30" t="s">
        <v>663</v>
      </c>
      <c r="E3126" s="30" t="s">
        <v>694</v>
      </c>
    </row>
    <row r="3127" spans="1:5" x14ac:dyDescent="0.35">
      <c r="A3127" s="30">
        <v>3549</v>
      </c>
      <c r="B3127" s="30" t="s">
        <v>641</v>
      </c>
      <c r="C3127" s="30" t="s">
        <v>580</v>
      </c>
      <c r="D3127" s="30" t="s">
        <v>663</v>
      </c>
      <c r="E3127" s="30" t="s">
        <v>694</v>
      </c>
    </row>
    <row r="3128" spans="1:5" x14ac:dyDescent="0.35">
      <c r="A3128" s="30">
        <v>3550</v>
      </c>
      <c r="B3128" s="30" t="s">
        <v>641</v>
      </c>
      <c r="C3128" s="30" t="s">
        <v>619</v>
      </c>
      <c r="D3128" s="30" t="s">
        <v>663</v>
      </c>
      <c r="E3128" s="30" t="s">
        <v>694</v>
      </c>
    </row>
    <row r="3129" spans="1:5" x14ac:dyDescent="0.35">
      <c r="A3129" s="30">
        <v>3551</v>
      </c>
      <c r="B3129" s="30" t="s">
        <v>641</v>
      </c>
      <c r="C3129" s="30" t="s">
        <v>624</v>
      </c>
      <c r="D3129" s="30" t="s">
        <v>663</v>
      </c>
      <c r="E3129" s="30" t="s">
        <v>694</v>
      </c>
    </row>
    <row r="3130" spans="1:5" x14ac:dyDescent="0.35">
      <c r="A3130" s="30">
        <v>3552</v>
      </c>
      <c r="B3130" s="30" t="s">
        <v>641</v>
      </c>
      <c r="C3130" s="30" t="s">
        <v>619</v>
      </c>
      <c r="D3130" s="30" t="s">
        <v>663</v>
      </c>
      <c r="E3130" s="30" t="s">
        <v>694</v>
      </c>
    </row>
    <row r="3131" spans="1:5" x14ac:dyDescent="0.35">
      <c r="A3131" s="30">
        <v>3553</v>
      </c>
      <c r="B3131" s="30" t="s">
        <v>641</v>
      </c>
      <c r="C3131" s="30" t="s">
        <v>624</v>
      </c>
      <c r="D3131" s="30" t="s">
        <v>663</v>
      </c>
      <c r="E3131" s="30" t="s">
        <v>694</v>
      </c>
    </row>
    <row r="3132" spans="1:5" x14ac:dyDescent="0.35">
      <c r="A3132" s="30">
        <v>3554</v>
      </c>
      <c r="B3132" s="30" t="s">
        <v>610</v>
      </c>
      <c r="C3132" s="30" t="s">
        <v>624</v>
      </c>
      <c r="D3132" s="30" t="s">
        <v>663</v>
      </c>
      <c r="E3132" s="30" t="s">
        <v>694</v>
      </c>
    </row>
    <row r="3133" spans="1:5" x14ac:dyDescent="0.35">
      <c r="A3133" s="30">
        <v>3555</v>
      </c>
      <c r="B3133" s="30" t="s">
        <v>641</v>
      </c>
      <c r="C3133" s="30" t="s">
        <v>624</v>
      </c>
      <c r="D3133" s="30" t="s">
        <v>663</v>
      </c>
      <c r="E3133" s="30" t="s">
        <v>694</v>
      </c>
    </row>
    <row r="3134" spans="1:5" x14ac:dyDescent="0.35">
      <c r="A3134" s="30">
        <v>3556</v>
      </c>
      <c r="B3134" s="30" t="s">
        <v>641</v>
      </c>
      <c r="C3134" s="30" t="s">
        <v>624</v>
      </c>
      <c r="D3134" s="30" t="s">
        <v>663</v>
      </c>
      <c r="E3134" s="30" t="s">
        <v>694</v>
      </c>
    </row>
    <row r="3135" spans="1:5" x14ac:dyDescent="0.35">
      <c r="A3135" s="30">
        <v>3557</v>
      </c>
      <c r="B3135" s="30" t="s">
        <v>641</v>
      </c>
      <c r="C3135" s="30" t="s">
        <v>619</v>
      </c>
      <c r="D3135" s="30" t="s">
        <v>663</v>
      </c>
      <c r="E3135" s="30" t="s">
        <v>694</v>
      </c>
    </row>
    <row r="3136" spans="1:5" x14ac:dyDescent="0.35">
      <c r="A3136" s="30">
        <v>3558</v>
      </c>
      <c r="B3136" s="30" t="s">
        <v>641</v>
      </c>
      <c r="C3136" s="30" t="s">
        <v>619</v>
      </c>
      <c r="D3136" s="30" t="s">
        <v>663</v>
      </c>
      <c r="E3136" s="30" t="s">
        <v>694</v>
      </c>
    </row>
    <row r="3137" spans="1:5" x14ac:dyDescent="0.35">
      <c r="A3137" s="30">
        <v>3559</v>
      </c>
      <c r="B3137" s="30" t="s">
        <v>641</v>
      </c>
      <c r="C3137" s="30" t="s">
        <v>619</v>
      </c>
      <c r="D3137" s="30" t="s">
        <v>663</v>
      </c>
      <c r="E3137" s="30" t="s">
        <v>694</v>
      </c>
    </row>
    <row r="3138" spans="1:5" x14ac:dyDescent="0.35">
      <c r="A3138" s="30">
        <v>3560</v>
      </c>
      <c r="B3138" s="30" t="s">
        <v>641</v>
      </c>
      <c r="C3138" s="30" t="s">
        <v>619</v>
      </c>
      <c r="D3138" s="30" t="s">
        <v>663</v>
      </c>
      <c r="E3138" s="30" t="s">
        <v>694</v>
      </c>
    </row>
    <row r="3139" spans="1:5" x14ac:dyDescent="0.35">
      <c r="A3139" s="30">
        <v>3561</v>
      </c>
      <c r="B3139" s="30" t="s">
        <v>641</v>
      </c>
      <c r="C3139" s="30" t="s">
        <v>619</v>
      </c>
      <c r="D3139" s="30" t="s">
        <v>663</v>
      </c>
      <c r="E3139" s="30" t="s">
        <v>694</v>
      </c>
    </row>
    <row r="3140" spans="1:5" x14ac:dyDescent="0.35">
      <c r="A3140" s="30">
        <v>3562</v>
      </c>
      <c r="B3140" s="30" t="s">
        <v>641</v>
      </c>
      <c r="C3140" s="30" t="s">
        <v>619</v>
      </c>
      <c r="D3140" s="30" t="s">
        <v>663</v>
      </c>
      <c r="E3140" s="30" t="s">
        <v>694</v>
      </c>
    </row>
    <row r="3141" spans="1:5" x14ac:dyDescent="0.35">
      <c r="A3141" s="30">
        <v>3563</v>
      </c>
      <c r="B3141" s="30" t="s">
        <v>610</v>
      </c>
      <c r="C3141" s="30" t="s">
        <v>619</v>
      </c>
      <c r="D3141" s="30" t="s">
        <v>663</v>
      </c>
      <c r="E3141" s="30" t="s">
        <v>694</v>
      </c>
    </row>
    <row r="3142" spans="1:5" x14ac:dyDescent="0.35">
      <c r="A3142" s="30">
        <v>3564</v>
      </c>
      <c r="B3142" s="30" t="s">
        <v>641</v>
      </c>
      <c r="C3142" s="30" t="s">
        <v>619</v>
      </c>
      <c r="D3142" s="30" t="s">
        <v>663</v>
      </c>
      <c r="E3142" s="30" t="s">
        <v>694</v>
      </c>
    </row>
    <row r="3143" spans="1:5" x14ac:dyDescent="0.35">
      <c r="A3143" s="30">
        <v>3565</v>
      </c>
      <c r="B3143" s="30" t="s">
        <v>641</v>
      </c>
      <c r="C3143" s="30" t="s">
        <v>648</v>
      </c>
      <c r="D3143" s="30" t="s">
        <v>663</v>
      </c>
      <c r="E3143" s="30" t="s">
        <v>694</v>
      </c>
    </row>
    <row r="3144" spans="1:5" x14ac:dyDescent="0.35">
      <c r="A3144" s="30">
        <v>3566</v>
      </c>
      <c r="B3144" s="30" t="s">
        <v>641</v>
      </c>
      <c r="C3144" s="30" t="s">
        <v>648</v>
      </c>
      <c r="D3144" s="30" t="s">
        <v>663</v>
      </c>
      <c r="E3144" s="30" t="s">
        <v>694</v>
      </c>
    </row>
    <row r="3145" spans="1:5" x14ac:dyDescent="0.35">
      <c r="A3145" s="30">
        <v>3567</v>
      </c>
      <c r="B3145" s="30" t="s">
        <v>641</v>
      </c>
      <c r="C3145" s="30" t="s">
        <v>648</v>
      </c>
      <c r="D3145" s="30" t="s">
        <v>663</v>
      </c>
      <c r="E3145" s="30" t="s">
        <v>694</v>
      </c>
    </row>
    <row r="3146" spans="1:5" x14ac:dyDescent="0.35">
      <c r="A3146" s="30">
        <v>3568</v>
      </c>
      <c r="B3146" s="30" t="s">
        <v>641</v>
      </c>
      <c r="C3146" s="30" t="s">
        <v>648</v>
      </c>
      <c r="D3146" s="30" t="s">
        <v>663</v>
      </c>
      <c r="E3146" s="30" t="s">
        <v>694</v>
      </c>
    </row>
    <row r="3147" spans="1:5" x14ac:dyDescent="0.35">
      <c r="A3147" s="30">
        <v>3569</v>
      </c>
      <c r="B3147" s="30" t="s">
        <v>641</v>
      </c>
      <c r="C3147" s="30" t="s">
        <v>624</v>
      </c>
      <c r="D3147" s="30" t="s">
        <v>663</v>
      </c>
      <c r="E3147" s="30" t="s">
        <v>694</v>
      </c>
    </row>
    <row r="3148" spans="1:5" x14ac:dyDescent="0.35">
      <c r="A3148" s="30">
        <v>3570</v>
      </c>
      <c r="B3148" s="30" t="s">
        <v>641</v>
      </c>
      <c r="C3148" s="30" t="s">
        <v>695</v>
      </c>
      <c r="D3148" s="30" t="s">
        <v>663</v>
      </c>
      <c r="E3148" s="30" t="s">
        <v>694</v>
      </c>
    </row>
    <row r="3149" spans="1:5" x14ac:dyDescent="0.35">
      <c r="A3149" s="30">
        <v>3571</v>
      </c>
      <c r="B3149" s="30" t="s">
        <v>641</v>
      </c>
      <c r="C3149" s="30" t="s">
        <v>624</v>
      </c>
      <c r="D3149" s="30" t="s">
        <v>663</v>
      </c>
      <c r="E3149" s="30" t="s">
        <v>694</v>
      </c>
    </row>
    <row r="3150" spans="1:5" x14ac:dyDescent="0.35">
      <c r="A3150" s="30">
        <v>3572</v>
      </c>
      <c r="B3150" s="30" t="s">
        <v>641</v>
      </c>
      <c r="C3150" s="30" t="s">
        <v>624</v>
      </c>
      <c r="D3150" s="30" t="s">
        <v>663</v>
      </c>
      <c r="E3150" s="30" t="s">
        <v>694</v>
      </c>
    </row>
    <row r="3151" spans="1:5" x14ac:dyDescent="0.35">
      <c r="A3151" s="30">
        <v>3573</v>
      </c>
      <c r="B3151" s="30" t="s">
        <v>641</v>
      </c>
      <c r="C3151" s="30" t="s">
        <v>619</v>
      </c>
      <c r="D3151" s="30" t="s">
        <v>663</v>
      </c>
      <c r="E3151" s="30" t="s">
        <v>694</v>
      </c>
    </row>
    <row r="3152" spans="1:5" x14ac:dyDescent="0.35">
      <c r="A3152" s="30">
        <v>3574</v>
      </c>
      <c r="B3152" s="30" t="s">
        <v>641</v>
      </c>
      <c r="C3152" s="30" t="s">
        <v>668</v>
      </c>
      <c r="D3152" s="30" t="s">
        <v>663</v>
      </c>
      <c r="E3152" s="30" t="s">
        <v>694</v>
      </c>
    </row>
    <row r="3153" spans="1:5" x14ac:dyDescent="0.35">
      <c r="A3153" s="30">
        <v>3575</v>
      </c>
      <c r="B3153" s="30" t="s">
        <v>641</v>
      </c>
      <c r="C3153" s="30" t="s">
        <v>648</v>
      </c>
      <c r="D3153" s="30" t="s">
        <v>639</v>
      </c>
      <c r="E3153" s="30" t="s">
        <v>646</v>
      </c>
    </row>
    <row r="3154" spans="1:5" x14ac:dyDescent="0.35">
      <c r="A3154" s="30">
        <v>3576</v>
      </c>
      <c r="B3154" s="30" t="s">
        <v>641</v>
      </c>
      <c r="C3154" s="30" t="s">
        <v>648</v>
      </c>
      <c r="D3154" s="30" t="s">
        <v>639</v>
      </c>
      <c r="E3154" s="30" t="s">
        <v>646</v>
      </c>
    </row>
    <row r="3155" spans="1:5" x14ac:dyDescent="0.35">
      <c r="A3155" s="30">
        <v>3577</v>
      </c>
      <c r="B3155" s="30" t="s">
        <v>641</v>
      </c>
      <c r="C3155" s="30" t="s">
        <v>648</v>
      </c>
      <c r="D3155" s="30" t="s">
        <v>639</v>
      </c>
      <c r="E3155" s="30" t="s">
        <v>646</v>
      </c>
    </row>
    <row r="3156" spans="1:5" x14ac:dyDescent="0.35">
      <c r="A3156" s="30">
        <v>3578</v>
      </c>
      <c r="B3156" s="30" t="s">
        <v>641</v>
      </c>
      <c r="C3156" s="30" t="s">
        <v>624</v>
      </c>
      <c r="D3156" s="30" t="s">
        <v>599</v>
      </c>
      <c r="E3156" s="30" t="s">
        <v>629</v>
      </c>
    </row>
    <row r="3157" spans="1:5" x14ac:dyDescent="0.35">
      <c r="A3157" s="30">
        <v>3579</v>
      </c>
      <c r="B3157" s="30" t="s">
        <v>641</v>
      </c>
      <c r="C3157" s="30" t="s">
        <v>648</v>
      </c>
      <c r="D3157" s="30" t="s">
        <v>599</v>
      </c>
      <c r="E3157" s="30" t="s">
        <v>629</v>
      </c>
    </row>
    <row r="3158" spans="1:5" x14ac:dyDescent="0.35">
      <c r="A3158" s="30">
        <v>3580</v>
      </c>
      <c r="B3158" s="30" t="s">
        <v>641</v>
      </c>
      <c r="C3158" s="30" t="s">
        <v>648</v>
      </c>
      <c r="D3158" s="30" t="s">
        <v>635</v>
      </c>
      <c r="E3158" s="30" t="s">
        <v>671</v>
      </c>
    </row>
    <row r="3159" spans="1:5" x14ac:dyDescent="0.35">
      <c r="A3159" s="30">
        <v>3581</v>
      </c>
      <c r="B3159" s="30" t="s">
        <v>641</v>
      </c>
      <c r="C3159" s="30" t="s">
        <v>648</v>
      </c>
      <c r="D3159" s="30" t="s">
        <v>635</v>
      </c>
      <c r="E3159" s="30" t="s">
        <v>671</v>
      </c>
    </row>
    <row r="3160" spans="1:5" x14ac:dyDescent="0.35">
      <c r="A3160" s="30">
        <v>3582</v>
      </c>
      <c r="B3160" s="30" t="s">
        <v>634</v>
      </c>
      <c r="C3160" s="30" t="s">
        <v>648</v>
      </c>
      <c r="D3160" s="30" t="s">
        <v>635</v>
      </c>
      <c r="E3160" s="30" t="s">
        <v>671</v>
      </c>
    </row>
    <row r="3161" spans="1:5" x14ac:dyDescent="0.35">
      <c r="A3161" s="30">
        <v>3583</v>
      </c>
      <c r="B3161" s="30" t="s">
        <v>571</v>
      </c>
      <c r="C3161" s="30" t="s">
        <v>648</v>
      </c>
      <c r="D3161" s="30" t="s">
        <v>635</v>
      </c>
      <c r="E3161" s="30" t="s">
        <v>671</v>
      </c>
    </row>
    <row r="3162" spans="1:5" x14ac:dyDescent="0.35">
      <c r="A3162" s="30">
        <v>3584</v>
      </c>
      <c r="B3162" s="30" t="s">
        <v>641</v>
      </c>
      <c r="C3162" s="30" t="s">
        <v>648</v>
      </c>
      <c r="D3162" s="30" t="s">
        <v>635</v>
      </c>
      <c r="E3162" s="30" t="s">
        <v>671</v>
      </c>
    </row>
    <row r="3163" spans="1:5" x14ac:dyDescent="0.35">
      <c r="A3163" s="30">
        <v>3585</v>
      </c>
      <c r="B3163" s="30" t="s">
        <v>641</v>
      </c>
      <c r="C3163" s="30" t="s">
        <v>648</v>
      </c>
      <c r="D3163" s="30" t="s">
        <v>635</v>
      </c>
      <c r="E3163" s="30" t="s">
        <v>671</v>
      </c>
    </row>
    <row r="3164" spans="1:5" x14ac:dyDescent="0.35">
      <c r="A3164" s="30">
        <v>3586</v>
      </c>
      <c r="B3164" s="30" t="s">
        <v>634</v>
      </c>
      <c r="C3164" s="30" t="s">
        <v>648</v>
      </c>
      <c r="D3164" s="30" t="s">
        <v>635</v>
      </c>
      <c r="E3164" s="30" t="s">
        <v>671</v>
      </c>
    </row>
    <row r="3165" spans="1:5" x14ac:dyDescent="0.35">
      <c r="A3165" s="30">
        <v>3587</v>
      </c>
      <c r="B3165" s="30" t="s">
        <v>571</v>
      </c>
      <c r="C3165" s="30" t="s">
        <v>648</v>
      </c>
      <c r="D3165" s="30" t="s">
        <v>635</v>
      </c>
      <c r="E3165" s="30" t="s">
        <v>671</v>
      </c>
    </row>
    <row r="3166" spans="1:5" x14ac:dyDescent="0.35">
      <c r="A3166" s="30">
        <v>3588</v>
      </c>
      <c r="B3166" s="30" t="s">
        <v>610</v>
      </c>
      <c r="C3166" s="30" t="s">
        <v>648</v>
      </c>
      <c r="D3166" s="30" t="s">
        <v>599</v>
      </c>
      <c r="E3166" s="30" t="s">
        <v>629</v>
      </c>
    </row>
    <row r="3167" spans="1:5" x14ac:dyDescent="0.35">
      <c r="A3167" s="30">
        <v>3589</v>
      </c>
      <c r="B3167" s="30" t="s">
        <v>610</v>
      </c>
      <c r="C3167" s="30" t="s">
        <v>648</v>
      </c>
      <c r="D3167" s="30" t="s">
        <v>599</v>
      </c>
      <c r="E3167" s="30" t="s">
        <v>629</v>
      </c>
    </row>
    <row r="3168" spans="1:5" x14ac:dyDescent="0.35">
      <c r="A3168" s="30">
        <v>3590</v>
      </c>
      <c r="B3168" s="30" t="s">
        <v>610</v>
      </c>
      <c r="C3168" s="30" t="s">
        <v>648</v>
      </c>
      <c r="D3168" s="30" t="s">
        <v>599</v>
      </c>
      <c r="E3168" s="30" t="s">
        <v>629</v>
      </c>
    </row>
    <row r="3169" spans="1:5" x14ac:dyDescent="0.35">
      <c r="A3169" s="30">
        <v>3591</v>
      </c>
      <c r="B3169" s="30" t="s">
        <v>641</v>
      </c>
      <c r="C3169" s="30" t="s">
        <v>584</v>
      </c>
      <c r="D3169" s="30" t="s">
        <v>663</v>
      </c>
      <c r="E3169" s="30" t="s">
        <v>696</v>
      </c>
    </row>
    <row r="3170" spans="1:5" x14ac:dyDescent="0.35">
      <c r="A3170" s="30">
        <v>3592</v>
      </c>
      <c r="B3170" s="30" t="s">
        <v>641</v>
      </c>
      <c r="C3170" s="30" t="s">
        <v>584</v>
      </c>
      <c r="D3170" s="30" t="s">
        <v>663</v>
      </c>
      <c r="E3170" s="30" t="s">
        <v>696</v>
      </c>
    </row>
    <row r="3171" spans="1:5" x14ac:dyDescent="0.35">
      <c r="A3171" s="30">
        <v>3593</v>
      </c>
      <c r="B3171" s="30" t="s">
        <v>641</v>
      </c>
      <c r="C3171" s="30" t="s">
        <v>584</v>
      </c>
      <c r="D3171" s="30" t="s">
        <v>663</v>
      </c>
      <c r="E3171" s="30" t="s">
        <v>696</v>
      </c>
    </row>
    <row r="3172" spans="1:5" x14ac:dyDescent="0.35">
      <c r="A3172" s="30">
        <v>3594</v>
      </c>
      <c r="B3172" s="30" t="s">
        <v>641</v>
      </c>
      <c r="C3172" s="30" t="s">
        <v>584</v>
      </c>
      <c r="D3172" s="30" t="s">
        <v>663</v>
      </c>
      <c r="E3172" s="30" t="s">
        <v>696</v>
      </c>
    </row>
    <row r="3173" spans="1:5" x14ac:dyDescent="0.35">
      <c r="A3173" s="30">
        <v>3595</v>
      </c>
      <c r="B3173" s="30" t="s">
        <v>641</v>
      </c>
      <c r="C3173" s="30" t="s">
        <v>584</v>
      </c>
      <c r="D3173" s="30" t="s">
        <v>663</v>
      </c>
      <c r="E3173" s="30" t="s">
        <v>696</v>
      </c>
    </row>
    <row r="3174" spans="1:5" x14ac:dyDescent="0.35">
      <c r="A3174" s="30">
        <v>3596</v>
      </c>
      <c r="B3174" s="30" t="s">
        <v>641</v>
      </c>
      <c r="C3174" s="30" t="s">
        <v>584</v>
      </c>
      <c r="D3174" s="30" t="s">
        <v>663</v>
      </c>
      <c r="E3174" s="30" t="s">
        <v>696</v>
      </c>
    </row>
    <row r="3175" spans="1:5" x14ac:dyDescent="0.35">
      <c r="A3175" s="30">
        <v>3597</v>
      </c>
      <c r="B3175" s="30" t="s">
        <v>641</v>
      </c>
      <c r="C3175" s="30" t="s">
        <v>584</v>
      </c>
      <c r="D3175" s="30" t="s">
        <v>663</v>
      </c>
      <c r="E3175" s="30" t="s">
        <v>696</v>
      </c>
    </row>
    <row r="3176" spans="1:5" x14ac:dyDescent="0.35">
      <c r="A3176" s="30">
        <v>3598</v>
      </c>
      <c r="B3176" s="30" t="s">
        <v>641</v>
      </c>
      <c r="C3176" s="30" t="s">
        <v>584</v>
      </c>
      <c r="D3176" s="30" t="s">
        <v>663</v>
      </c>
      <c r="E3176" s="30" t="s">
        <v>696</v>
      </c>
    </row>
    <row r="3177" spans="1:5" x14ac:dyDescent="0.35">
      <c r="A3177" s="30">
        <v>3599</v>
      </c>
      <c r="B3177" s="30" t="s">
        <v>641</v>
      </c>
      <c r="C3177" s="30" t="s">
        <v>584</v>
      </c>
      <c r="D3177" s="30" t="s">
        <v>663</v>
      </c>
      <c r="E3177" s="30" t="s">
        <v>696</v>
      </c>
    </row>
    <row r="3178" spans="1:5" x14ac:dyDescent="0.35">
      <c r="A3178" s="30">
        <v>3600</v>
      </c>
      <c r="B3178" s="30" t="s">
        <v>641</v>
      </c>
      <c r="C3178" s="30" t="s">
        <v>584</v>
      </c>
      <c r="D3178" s="30" t="s">
        <v>663</v>
      </c>
      <c r="E3178" s="30" t="s">
        <v>696</v>
      </c>
    </row>
    <row r="3179" spans="1:5" x14ac:dyDescent="0.35">
      <c r="A3179" s="30">
        <v>3601</v>
      </c>
      <c r="B3179" s="30" t="s">
        <v>641</v>
      </c>
      <c r="C3179" s="30" t="s">
        <v>584</v>
      </c>
      <c r="D3179" s="30" t="s">
        <v>663</v>
      </c>
      <c r="E3179" s="30" t="s">
        <v>696</v>
      </c>
    </row>
    <row r="3180" spans="1:5" x14ac:dyDescent="0.35">
      <c r="A3180" s="30">
        <v>3602</v>
      </c>
      <c r="B3180" s="30" t="s">
        <v>641</v>
      </c>
      <c r="C3180" s="30" t="s">
        <v>584</v>
      </c>
      <c r="D3180" s="30" t="s">
        <v>663</v>
      </c>
      <c r="E3180" s="30" t="s">
        <v>696</v>
      </c>
    </row>
    <row r="3181" spans="1:5" x14ac:dyDescent="0.35">
      <c r="A3181" s="30">
        <v>3603</v>
      </c>
      <c r="B3181" s="30" t="s">
        <v>641</v>
      </c>
      <c r="C3181" s="30" t="s">
        <v>584</v>
      </c>
      <c r="D3181" s="30" t="s">
        <v>663</v>
      </c>
      <c r="E3181" s="30" t="s">
        <v>696</v>
      </c>
    </row>
    <row r="3182" spans="1:5" x14ac:dyDescent="0.35">
      <c r="A3182" s="30">
        <v>3604</v>
      </c>
      <c r="B3182" s="30" t="s">
        <v>610</v>
      </c>
      <c r="C3182" s="30" t="s">
        <v>605</v>
      </c>
      <c r="D3182" s="30" t="s">
        <v>599</v>
      </c>
      <c r="E3182" s="30" t="s">
        <v>667</v>
      </c>
    </row>
    <row r="3183" spans="1:5" x14ac:dyDescent="0.35">
      <c r="A3183" s="30">
        <v>3605</v>
      </c>
      <c r="B3183" s="30" t="s">
        <v>610</v>
      </c>
      <c r="C3183" s="30" t="s">
        <v>605</v>
      </c>
      <c r="D3183" s="30" t="s">
        <v>599</v>
      </c>
      <c r="E3183" s="30" t="s">
        <v>667</v>
      </c>
    </row>
    <row r="3184" spans="1:5" x14ac:dyDescent="0.35">
      <c r="A3184" s="30">
        <v>3606</v>
      </c>
      <c r="B3184" s="30" t="s">
        <v>610</v>
      </c>
      <c r="C3184" s="30" t="s">
        <v>605</v>
      </c>
      <c r="D3184" s="30" t="s">
        <v>599</v>
      </c>
      <c r="E3184" s="30" t="s">
        <v>667</v>
      </c>
    </row>
    <row r="3185" spans="1:5" x14ac:dyDescent="0.35">
      <c r="A3185" s="30">
        <v>3607</v>
      </c>
      <c r="B3185" s="30" t="s">
        <v>610</v>
      </c>
      <c r="C3185" s="30" t="s">
        <v>605</v>
      </c>
      <c r="D3185" s="30" t="s">
        <v>599</v>
      </c>
      <c r="E3185" s="30" t="s">
        <v>667</v>
      </c>
    </row>
    <row r="3186" spans="1:5" x14ac:dyDescent="0.35">
      <c r="A3186" s="30">
        <v>3608</v>
      </c>
      <c r="B3186" s="30" t="s">
        <v>610</v>
      </c>
      <c r="C3186" s="30" t="s">
        <v>605</v>
      </c>
      <c r="D3186" s="30" t="s">
        <v>599</v>
      </c>
      <c r="E3186" s="30" t="s">
        <v>667</v>
      </c>
    </row>
    <row r="3187" spans="1:5" x14ac:dyDescent="0.35">
      <c r="A3187" s="30">
        <v>3609</v>
      </c>
      <c r="B3187" s="30" t="s">
        <v>610</v>
      </c>
      <c r="C3187" s="30" t="s">
        <v>605</v>
      </c>
      <c r="D3187" s="30" t="s">
        <v>599</v>
      </c>
      <c r="E3187" s="30" t="s">
        <v>667</v>
      </c>
    </row>
    <row r="3188" spans="1:5" x14ac:dyDescent="0.35">
      <c r="A3188" s="30">
        <v>3610</v>
      </c>
      <c r="B3188" s="30" t="s">
        <v>610</v>
      </c>
      <c r="C3188" s="30" t="s">
        <v>605</v>
      </c>
      <c r="D3188" s="30" t="s">
        <v>599</v>
      </c>
      <c r="E3188" s="30" t="s">
        <v>667</v>
      </c>
    </row>
    <row r="3189" spans="1:5" x14ac:dyDescent="0.35">
      <c r="A3189" s="30">
        <v>3611</v>
      </c>
      <c r="B3189" s="30" t="s">
        <v>610</v>
      </c>
      <c r="C3189" s="30" t="s">
        <v>605</v>
      </c>
      <c r="D3189" s="30" t="s">
        <v>599</v>
      </c>
      <c r="E3189" s="30" t="s">
        <v>667</v>
      </c>
    </row>
    <row r="3190" spans="1:5" x14ac:dyDescent="0.35">
      <c r="A3190" s="30">
        <v>3612</v>
      </c>
      <c r="B3190" s="30" t="s">
        <v>610</v>
      </c>
      <c r="C3190" s="30" t="s">
        <v>650</v>
      </c>
      <c r="D3190" s="30" t="s">
        <v>599</v>
      </c>
      <c r="E3190" s="30" t="s">
        <v>667</v>
      </c>
    </row>
    <row r="3191" spans="1:5" x14ac:dyDescent="0.35">
      <c r="A3191" s="30">
        <v>3613</v>
      </c>
      <c r="B3191" s="30" t="s">
        <v>610</v>
      </c>
      <c r="C3191" s="30" t="s">
        <v>605</v>
      </c>
      <c r="D3191" s="30" t="s">
        <v>599</v>
      </c>
      <c r="E3191" s="30" t="s">
        <v>667</v>
      </c>
    </row>
    <row r="3192" spans="1:5" x14ac:dyDescent="0.35">
      <c r="A3192" s="30">
        <v>3614</v>
      </c>
      <c r="B3192" s="30" t="s">
        <v>610</v>
      </c>
      <c r="C3192" s="30" t="s">
        <v>624</v>
      </c>
      <c r="D3192" s="30" t="s">
        <v>599</v>
      </c>
      <c r="E3192" s="30" t="s">
        <v>667</v>
      </c>
    </row>
    <row r="3193" spans="1:5" x14ac:dyDescent="0.35">
      <c r="A3193" s="30">
        <v>3615</v>
      </c>
      <c r="B3193" s="30" t="s">
        <v>610</v>
      </c>
      <c r="C3193" s="30" t="s">
        <v>605</v>
      </c>
      <c r="D3193" s="30" t="s">
        <v>599</v>
      </c>
      <c r="E3193" s="30" t="s">
        <v>667</v>
      </c>
    </row>
    <row r="3194" spans="1:5" x14ac:dyDescent="0.35">
      <c r="A3194" s="30">
        <v>3616</v>
      </c>
      <c r="B3194" s="30" t="s">
        <v>610</v>
      </c>
      <c r="C3194" s="30" t="s">
        <v>605</v>
      </c>
      <c r="D3194" s="30" t="s">
        <v>599</v>
      </c>
      <c r="E3194" s="30" t="s">
        <v>667</v>
      </c>
    </row>
    <row r="3195" spans="1:5" x14ac:dyDescent="0.35">
      <c r="A3195" s="30">
        <v>3617</v>
      </c>
      <c r="B3195" s="30" t="s">
        <v>571</v>
      </c>
      <c r="C3195" s="30" t="s">
        <v>605</v>
      </c>
      <c r="D3195" s="30" t="s">
        <v>656</v>
      </c>
      <c r="E3195" s="30" t="s">
        <v>661</v>
      </c>
    </row>
    <row r="3196" spans="1:5" x14ac:dyDescent="0.35">
      <c r="A3196" s="30">
        <v>3618</v>
      </c>
      <c r="B3196" s="30" t="s">
        <v>641</v>
      </c>
      <c r="C3196" s="30" t="s">
        <v>605</v>
      </c>
      <c r="D3196" s="30" t="s">
        <v>656</v>
      </c>
      <c r="E3196" s="30" t="s">
        <v>661</v>
      </c>
    </row>
    <row r="3197" spans="1:5" x14ac:dyDescent="0.35">
      <c r="A3197" s="30">
        <v>3619</v>
      </c>
      <c r="B3197" s="30" t="s">
        <v>634</v>
      </c>
      <c r="C3197" s="30" t="s">
        <v>605</v>
      </c>
      <c r="D3197" s="30" t="s">
        <v>656</v>
      </c>
      <c r="E3197" s="30" t="s">
        <v>661</v>
      </c>
    </row>
    <row r="3198" spans="1:5" x14ac:dyDescent="0.35">
      <c r="A3198" s="30">
        <v>3620</v>
      </c>
      <c r="B3198" s="30" t="s">
        <v>571</v>
      </c>
      <c r="C3198" s="30" t="s">
        <v>605</v>
      </c>
      <c r="D3198" s="30" t="s">
        <v>656</v>
      </c>
      <c r="E3198" s="30" t="s">
        <v>661</v>
      </c>
    </row>
    <row r="3199" spans="1:5" x14ac:dyDescent="0.35">
      <c r="A3199" s="30">
        <v>3621</v>
      </c>
      <c r="B3199" s="30" t="s">
        <v>641</v>
      </c>
      <c r="C3199" s="30" t="s">
        <v>605</v>
      </c>
      <c r="D3199" s="30" t="s">
        <v>656</v>
      </c>
      <c r="E3199" s="30" t="s">
        <v>661</v>
      </c>
    </row>
    <row r="3200" spans="1:5" x14ac:dyDescent="0.35">
      <c r="A3200" s="30">
        <v>3622</v>
      </c>
      <c r="B3200" s="30" t="s">
        <v>634</v>
      </c>
      <c r="C3200" s="30" t="s">
        <v>605</v>
      </c>
      <c r="D3200" s="30" t="s">
        <v>656</v>
      </c>
      <c r="E3200" s="30" t="s">
        <v>661</v>
      </c>
    </row>
    <row r="3201" spans="1:5" x14ac:dyDescent="0.35">
      <c r="A3201" s="30">
        <v>3623</v>
      </c>
      <c r="B3201" s="30" t="s">
        <v>641</v>
      </c>
      <c r="C3201" s="30" t="s">
        <v>648</v>
      </c>
      <c r="D3201" s="30" t="s">
        <v>639</v>
      </c>
      <c r="E3201" s="30" t="s">
        <v>654</v>
      </c>
    </row>
    <row r="3202" spans="1:5" x14ac:dyDescent="0.35">
      <c r="A3202" s="30">
        <v>3624</v>
      </c>
      <c r="B3202" s="30" t="s">
        <v>641</v>
      </c>
      <c r="C3202" s="30" t="s">
        <v>648</v>
      </c>
      <c r="D3202" s="30" t="s">
        <v>639</v>
      </c>
      <c r="E3202" s="30" t="s">
        <v>654</v>
      </c>
    </row>
    <row r="3203" spans="1:5" x14ac:dyDescent="0.35">
      <c r="A3203" s="30">
        <v>3625</v>
      </c>
      <c r="B3203" s="30" t="s">
        <v>641</v>
      </c>
      <c r="C3203" s="30" t="s">
        <v>648</v>
      </c>
      <c r="D3203" s="30" t="s">
        <v>639</v>
      </c>
      <c r="E3203" s="30" t="s">
        <v>654</v>
      </c>
    </row>
    <row r="3204" spans="1:5" x14ac:dyDescent="0.35">
      <c r="A3204" s="30">
        <v>3626</v>
      </c>
      <c r="B3204" s="30" t="s">
        <v>641</v>
      </c>
      <c r="C3204" s="30" t="s">
        <v>584</v>
      </c>
      <c r="D3204" s="30" t="s">
        <v>697</v>
      </c>
      <c r="E3204" s="30" t="s">
        <v>698</v>
      </c>
    </row>
    <row r="3205" spans="1:5" x14ac:dyDescent="0.35">
      <c r="A3205" s="30">
        <v>3627</v>
      </c>
      <c r="B3205" s="30" t="s">
        <v>641</v>
      </c>
      <c r="C3205" s="30" t="s">
        <v>584</v>
      </c>
      <c r="D3205" s="30" t="s">
        <v>697</v>
      </c>
      <c r="E3205" s="30" t="s">
        <v>698</v>
      </c>
    </row>
    <row r="3206" spans="1:5" x14ac:dyDescent="0.35">
      <c r="A3206" s="30">
        <v>3628</v>
      </c>
      <c r="B3206" s="30" t="s">
        <v>641</v>
      </c>
      <c r="C3206" s="30" t="s">
        <v>584</v>
      </c>
      <c r="D3206" s="30" t="s">
        <v>697</v>
      </c>
      <c r="E3206" s="30" t="s">
        <v>698</v>
      </c>
    </row>
    <row r="3207" spans="1:5" x14ac:dyDescent="0.35">
      <c r="A3207" s="30">
        <v>3629</v>
      </c>
      <c r="B3207" s="30" t="s">
        <v>641</v>
      </c>
      <c r="C3207" s="30" t="s">
        <v>584</v>
      </c>
      <c r="D3207" s="30" t="s">
        <v>697</v>
      </c>
      <c r="E3207" s="30" t="s">
        <v>698</v>
      </c>
    </row>
    <row r="3208" spans="1:5" x14ac:dyDescent="0.35">
      <c r="A3208" s="30">
        <v>3630</v>
      </c>
      <c r="B3208" s="30" t="s">
        <v>641</v>
      </c>
      <c r="C3208" s="30" t="s">
        <v>584</v>
      </c>
      <c r="D3208" s="30" t="s">
        <v>697</v>
      </c>
      <c r="E3208" s="30" t="s">
        <v>698</v>
      </c>
    </row>
    <row r="3209" spans="1:5" x14ac:dyDescent="0.35">
      <c r="A3209" s="30">
        <v>3631</v>
      </c>
      <c r="B3209" s="30" t="s">
        <v>641</v>
      </c>
      <c r="C3209" s="30" t="s">
        <v>584</v>
      </c>
      <c r="D3209" s="30" t="s">
        <v>697</v>
      </c>
      <c r="E3209" s="30" t="s">
        <v>698</v>
      </c>
    </row>
    <row r="3210" spans="1:5" x14ac:dyDescent="0.35">
      <c r="A3210" s="30">
        <v>3632</v>
      </c>
      <c r="B3210" s="30" t="s">
        <v>641</v>
      </c>
      <c r="C3210" s="30" t="s">
        <v>584</v>
      </c>
      <c r="D3210" s="30" t="s">
        <v>697</v>
      </c>
      <c r="E3210" s="30" t="s">
        <v>698</v>
      </c>
    </row>
    <row r="3211" spans="1:5" x14ac:dyDescent="0.35">
      <c r="A3211" s="30">
        <v>3633</v>
      </c>
      <c r="B3211" s="30" t="s">
        <v>641</v>
      </c>
      <c r="C3211" s="30" t="s">
        <v>584</v>
      </c>
      <c r="D3211" s="30" t="s">
        <v>697</v>
      </c>
      <c r="E3211" s="30" t="s">
        <v>698</v>
      </c>
    </row>
    <row r="3212" spans="1:5" x14ac:dyDescent="0.35">
      <c r="A3212" s="30">
        <v>3634</v>
      </c>
      <c r="B3212" s="30" t="s">
        <v>641</v>
      </c>
      <c r="C3212" s="30" t="s">
        <v>584</v>
      </c>
      <c r="D3212" s="30" t="s">
        <v>697</v>
      </c>
      <c r="E3212" s="30" t="s">
        <v>698</v>
      </c>
    </row>
    <row r="3213" spans="1:5" x14ac:dyDescent="0.35">
      <c r="A3213" s="30">
        <v>3635</v>
      </c>
      <c r="B3213" s="30" t="s">
        <v>641</v>
      </c>
      <c r="C3213" s="30" t="s">
        <v>584</v>
      </c>
      <c r="D3213" s="30" t="s">
        <v>697</v>
      </c>
      <c r="E3213" s="30" t="s">
        <v>698</v>
      </c>
    </row>
    <row r="3214" spans="1:5" x14ac:dyDescent="0.35">
      <c r="A3214" s="30">
        <v>3636</v>
      </c>
      <c r="B3214" s="30" t="s">
        <v>641</v>
      </c>
      <c r="C3214" s="30" t="s">
        <v>584</v>
      </c>
      <c r="D3214" s="30" t="s">
        <v>697</v>
      </c>
      <c r="E3214" s="30" t="s">
        <v>698</v>
      </c>
    </row>
    <row r="3215" spans="1:5" x14ac:dyDescent="0.35">
      <c r="A3215" s="30">
        <v>3637</v>
      </c>
      <c r="B3215" s="30" t="s">
        <v>641</v>
      </c>
      <c r="C3215" s="30" t="s">
        <v>584</v>
      </c>
      <c r="D3215" s="30" t="s">
        <v>697</v>
      </c>
      <c r="E3215" s="30" t="s">
        <v>698</v>
      </c>
    </row>
    <row r="3216" spans="1:5" x14ac:dyDescent="0.35">
      <c r="A3216" s="30">
        <v>3638</v>
      </c>
      <c r="B3216" s="30" t="s">
        <v>641</v>
      </c>
      <c r="C3216" s="30" t="s">
        <v>584</v>
      </c>
      <c r="D3216" s="30" t="s">
        <v>697</v>
      </c>
      <c r="E3216" s="30" t="s">
        <v>698</v>
      </c>
    </row>
    <row r="3217" spans="1:5" x14ac:dyDescent="0.35">
      <c r="A3217" s="30">
        <v>3639</v>
      </c>
      <c r="B3217" s="30" t="s">
        <v>641</v>
      </c>
      <c r="C3217" s="30" t="s">
        <v>584</v>
      </c>
      <c r="D3217" s="30" t="s">
        <v>697</v>
      </c>
      <c r="E3217" s="30" t="s">
        <v>698</v>
      </c>
    </row>
    <row r="3218" spans="1:5" x14ac:dyDescent="0.35">
      <c r="A3218" s="30">
        <v>3640</v>
      </c>
      <c r="B3218" s="30" t="s">
        <v>641</v>
      </c>
      <c r="C3218" s="30" t="s">
        <v>584</v>
      </c>
      <c r="D3218" s="30" t="s">
        <v>697</v>
      </c>
      <c r="E3218" s="30" t="s">
        <v>698</v>
      </c>
    </row>
    <row r="3219" spans="1:5" x14ac:dyDescent="0.35">
      <c r="A3219" s="30">
        <v>3641</v>
      </c>
      <c r="B3219" s="30" t="s">
        <v>641</v>
      </c>
      <c r="C3219" s="30" t="s">
        <v>584</v>
      </c>
      <c r="D3219" s="30" t="s">
        <v>697</v>
      </c>
      <c r="E3219" s="30" t="s">
        <v>698</v>
      </c>
    </row>
    <row r="3220" spans="1:5" x14ac:dyDescent="0.35">
      <c r="A3220" s="30">
        <v>3642</v>
      </c>
      <c r="B3220" s="30" t="s">
        <v>641</v>
      </c>
      <c r="C3220" s="30" t="s">
        <v>584</v>
      </c>
      <c r="D3220" s="30" t="s">
        <v>697</v>
      </c>
      <c r="E3220" s="30" t="s">
        <v>698</v>
      </c>
    </row>
    <row r="3221" spans="1:5" x14ac:dyDescent="0.35">
      <c r="A3221" s="30">
        <v>3643</v>
      </c>
      <c r="B3221" s="30" t="s">
        <v>641</v>
      </c>
      <c r="C3221" s="30" t="s">
        <v>584</v>
      </c>
      <c r="D3221" s="30" t="s">
        <v>697</v>
      </c>
      <c r="E3221" s="30" t="s">
        <v>698</v>
      </c>
    </row>
    <row r="3222" spans="1:5" x14ac:dyDescent="0.35">
      <c r="A3222" s="30">
        <v>3644</v>
      </c>
      <c r="B3222" s="30" t="s">
        <v>641</v>
      </c>
      <c r="C3222" s="30" t="s">
        <v>584</v>
      </c>
      <c r="D3222" s="30" t="s">
        <v>697</v>
      </c>
      <c r="E3222" s="30" t="s">
        <v>698</v>
      </c>
    </row>
    <row r="3223" spans="1:5" x14ac:dyDescent="0.35">
      <c r="A3223" s="30">
        <v>3645</v>
      </c>
      <c r="B3223" s="30" t="s">
        <v>641</v>
      </c>
      <c r="C3223" s="30" t="s">
        <v>584</v>
      </c>
      <c r="D3223" s="30" t="s">
        <v>697</v>
      </c>
      <c r="E3223" s="30" t="s">
        <v>698</v>
      </c>
    </row>
    <row r="3224" spans="1:5" x14ac:dyDescent="0.35">
      <c r="A3224" s="30">
        <v>3646</v>
      </c>
      <c r="B3224" s="30" t="s">
        <v>641</v>
      </c>
      <c r="C3224" s="30" t="s">
        <v>584</v>
      </c>
      <c r="D3224" s="30" t="s">
        <v>697</v>
      </c>
      <c r="E3224" s="30" t="s">
        <v>698</v>
      </c>
    </row>
    <row r="3225" spans="1:5" x14ac:dyDescent="0.35">
      <c r="A3225" s="30">
        <v>3647</v>
      </c>
      <c r="B3225" s="30" t="s">
        <v>641</v>
      </c>
      <c r="C3225" s="30" t="s">
        <v>584</v>
      </c>
      <c r="D3225" s="30" t="s">
        <v>697</v>
      </c>
      <c r="E3225" s="30" t="s">
        <v>698</v>
      </c>
    </row>
    <row r="3226" spans="1:5" x14ac:dyDescent="0.35">
      <c r="A3226" s="30">
        <v>3648</v>
      </c>
      <c r="B3226" s="30" t="s">
        <v>641</v>
      </c>
      <c r="C3226" s="30" t="s">
        <v>584</v>
      </c>
      <c r="D3226" s="30" t="s">
        <v>697</v>
      </c>
      <c r="E3226" s="30" t="s">
        <v>698</v>
      </c>
    </row>
    <row r="3227" spans="1:5" x14ac:dyDescent="0.35">
      <c r="A3227" s="30">
        <v>3649</v>
      </c>
      <c r="B3227" s="30" t="s">
        <v>641</v>
      </c>
      <c r="C3227" s="30" t="s">
        <v>584</v>
      </c>
      <c r="D3227" s="30" t="s">
        <v>697</v>
      </c>
      <c r="E3227" s="30" t="s">
        <v>698</v>
      </c>
    </row>
    <row r="3228" spans="1:5" x14ac:dyDescent="0.35">
      <c r="A3228" s="30">
        <v>3650</v>
      </c>
      <c r="B3228" s="30" t="s">
        <v>641</v>
      </c>
      <c r="C3228" s="30" t="s">
        <v>584</v>
      </c>
      <c r="D3228" s="30" t="s">
        <v>697</v>
      </c>
      <c r="E3228" s="30" t="s">
        <v>698</v>
      </c>
    </row>
    <row r="3229" spans="1:5" x14ac:dyDescent="0.35">
      <c r="A3229" s="30">
        <v>3651</v>
      </c>
      <c r="B3229" s="30" t="s">
        <v>641</v>
      </c>
      <c r="C3229" s="30" t="s">
        <v>584</v>
      </c>
      <c r="D3229" s="30" t="s">
        <v>697</v>
      </c>
      <c r="E3229" s="30" t="s">
        <v>698</v>
      </c>
    </row>
    <row r="3230" spans="1:5" x14ac:dyDescent="0.35">
      <c r="A3230" s="30">
        <v>3652</v>
      </c>
      <c r="B3230" s="30" t="s">
        <v>641</v>
      </c>
      <c r="C3230" s="30" t="s">
        <v>584</v>
      </c>
      <c r="D3230" s="30" t="s">
        <v>697</v>
      </c>
      <c r="E3230" s="30" t="s">
        <v>698</v>
      </c>
    </row>
    <row r="3231" spans="1:5" x14ac:dyDescent="0.35">
      <c r="A3231" s="30">
        <v>3653</v>
      </c>
      <c r="B3231" s="30" t="s">
        <v>641</v>
      </c>
      <c r="C3231" s="30" t="s">
        <v>584</v>
      </c>
      <c r="D3231" s="30" t="s">
        <v>697</v>
      </c>
      <c r="E3231" s="30" t="s">
        <v>698</v>
      </c>
    </row>
    <row r="3232" spans="1:5" x14ac:dyDescent="0.35">
      <c r="A3232" s="30">
        <v>3654</v>
      </c>
      <c r="B3232" s="30" t="s">
        <v>641</v>
      </c>
      <c r="C3232" s="30" t="s">
        <v>584</v>
      </c>
      <c r="D3232" s="30" t="s">
        <v>697</v>
      </c>
      <c r="E3232" s="30" t="s">
        <v>698</v>
      </c>
    </row>
    <row r="3233" spans="1:5" x14ac:dyDescent="0.35">
      <c r="A3233" s="30">
        <v>3655</v>
      </c>
      <c r="B3233" s="30" t="s">
        <v>641</v>
      </c>
      <c r="C3233" s="30" t="s">
        <v>584</v>
      </c>
      <c r="D3233" s="30" t="s">
        <v>697</v>
      </c>
      <c r="E3233" s="30" t="s">
        <v>698</v>
      </c>
    </row>
    <row r="3234" spans="1:5" x14ac:dyDescent="0.35">
      <c r="A3234" s="30">
        <v>3656</v>
      </c>
      <c r="B3234" s="30" t="s">
        <v>641</v>
      </c>
      <c r="C3234" s="30" t="s">
        <v>584</v>
      </c>
      <c r="D3234" s="30" t="s">
        <v>697</v>
      </c>
      <c r="E3234" s="30" t="s">
        <v>698</v>
      </c>
    </row>
    <row r="3235" spans="1:5" x14ac:dyDescent="0.35">
      <c r="A3235" s="30">
        <v>3657</v>
      </c>
      <c r="B3235" s="30" t="s">
        <v>641</v>
      </c>
      <c r="C3235" s="30" t="s">
        <v>584</v>
      </c>
      <c r="D3235" s="30" t="s">
        <v>697</v>
      </c>
      <c r="E3235" s="30" t="s">
        <v>698</v>
      </c>
    </row>
    <row r="3236" spans="1:5" x14ac:dyDescent="0.35">
      <c r="A3236" s="30">
        <v>3658</v>
      </c>
      <c r="B3236" s="30" t="s">
        <v>641</v>
      </c>
      <c r="C3236" s="30" t="s">
        <v>584</v>
      </c>
      <c r="D3236" s="30" t="s">
        <v>697</v>
      </c>
      <c r="E3236" s="30" t="s">
        <v>698</v>
      </c>
    </row>
    <row r="3237" spans="1:5" x14ac:dyDescent="0.35">
      <c r="A3237" s="30">
        <v>3659</v>
      </c>
      <c r="B3237" s="30" t="s">
        <v>641</v>
      </c>
      <c r="C3237" s="30" t="s">
        <v>584</v>
      </c>
      <c r="D3237" s="30" t="s">
        <v>697</v>
      </c>
      <c r="E3237" s="30" t="s">
        <v>698</v>
      </c>
    </row>
    <row r="3238" spans="1:5" x14ac:dyDescent="0.35">
      <c r="A3238" s="30">
        <v>3660</v>
      </c>
      <c r="B3238" s="30" t="s">
        <v>641</v>
      </c>
      <c r="C3238" s="30" t="s">
        <v>584</v>
      </c>
      <c r="D3238" s="30" t="s">
        <v>697</v>
      </c>
      <c r="E3238" s="30" t="s">
        <v>698</v>
      </c>
    </row>
    <row r="3239" spans="1:5" x14ac:dyDescent="0.35">
      <c r="A3239" s="30">
        <v>3661</v>
      </c>
      <c r="B3239" s="30" t="s">
        <v>641</v>
      </c>
      <c r="C3239" s="30" t="s">
        <v>584</v>
      </c>
      <c r="D3239" s="30" t="s">
        <v>697</v>
      </c>
      <c r="E3239" s="30" t="s">
        <v>698</v>
      </c>
    </row>
    <row r="3240" spans="1:5" x14ac:dyDescent="0.35">
      <c r="A3240" s="30">
        <v>3662</v>
      </c>
      <c r="B3240" s="30" t="s">
        <v>641</v>
      </c>
      <c r="C3240" s="30" t="s">
        <v>584</v>
      </c>
      <c r="D3240" s="30" t="s">
        <v>697</v>
      </c>
      <c r="E3240" s="30" t="s">
        <v>698</v>
      </c>
    </row>
    <row r="3241" spans="1:5" x14ac:dyDescent="0.35">
      <c r="A3241" s="30">
        <v>3663</v>
      </c>
      <c r="B3241" s="30" t="s">
        <v>641</v>
      </c>
      <c r="C3241" s="30" t="s">
        <v>584</v>
      </c>
      <c r="D3241" s="30" t="s">
        <v>697</v>
      </c>
      <c r="E3241" s="30" t="s">
        <v>698</v>
      </c>
    </row>
    <row r="3242" spans="1:5" x14ac:dyDescent="0.35">
      <c r="A3242" s="30">
        <v>3664</v>
      </c>
      <c r="B3242" s="30" t="s">
        <v>641</v>
      </c>
      <c r="C3242" s="30" t="s">
        <v>584</v>
      </c>
      <c r="D3242" s="30" t="s">
        <v>697</v>
      </c>
      <c r="E3242" s="30" t="s">
        <v>698</v>
      </c>
    </row>
    <row r="3243" spans="1:5" x14ac:dyDescent="0.35">
      <c r="A3243" s="30">
        <v>3665</v>
      </c>
      <c r="B3243" s="30" t="s">
        <v>641</v>
      </c>
      <c r="C3243" s="30" t="s">
        <v>584</v>
      </c>
      <c r="D3243" s="30" t="s">
        <v>697</v>
      </c>
      <c r="E3243" s="30" t="s">
        <v>698</v>
      </c>
    </row>
    <row r="3244" spans="1:5" x14ac:dyDescent="0.35">
      <c r="A3244" s="30">
        <v>3666</v>
      </c>
      <c r="B3244" s="30" t="s">
        <v>641</v>
      </c>
      <c r="C3244" s="30" t="s">
        <v>584</v>
      </c>
      <c r="D3244" s="30" t="s">
        <v>697</v>
      </c>
      <c r="E3244" s="30" t="s">
        <v>698</v>
      </c>
    </row>
    <row r="3245" spans="1:5" x14ac:dyDescent="0.35">
      <c r="A3245" s="30">
        <v>3667</v>
      </c>
      <c r="B3245" s="30" t="s">
        <v>641</v>
      </c>
      <c r="C3245" s="30" t="s">
        <v>584</v>
      </c>
      <c r="D3245" s="30" t="s">
        <v>697</v>
      </c>
      <c r="E3245" s="30" t="s">
        <v>698</v>
      </c>
    </row>
    <row r="3246" spans="1:5" x14ac:dyDescent="0.35">
      <c r="A3246" s="30">
        <v>3668</v>
      </c>
      <c r="B3246" s="30" t="s">
        <v>641</v>
      </c>
      <c r="C3246" s="30" t="s">
        <v>584</v>
      </c>
      <c r="D3246" s="30" t="s">
        <v>697</v>
      </c>
      <c r="E3246" s="30" t="s">
        <v>698</v>
      </c>
    </row>
    <row r="3247" spans="1:5" x14ac:dyDescent="0.35">
      <c r="A3247" s="30">
        <v>3669</v>
      </c>
      <c r="B3247" s="30" t="s">
        <v>641</v>
      </c>
      <c r="C3247" s="30" t="s">
        <v>584</v>
      </c>
      <c r="D3247" s="30" t="s">
        <v>697</v>
      </c>
      <c r="E3247" s="30" t="s">
        <v>698</v>
      </c>
    </row>
    <row r="3248" spans="1:5" x14ac:dyDescent="0.35">
      <c r="A3248" s="30">
        <v>3670</v>
      </c>
      <c r="B3248" s="30" t="s">
        <v>641</v>
      </c>
      <c r="C3248" s="30" t="s">
        <v>584</v>
      </c>
      <c r="D3248" s="30" t="s">
        <v>697</v>
      </c>
      <c r="E3248" s="30" t="s">
        <v>698</v>
      </c>
    </row>
    <row r="3249" spans="1:5" x14ac:dyDescent="0.35">
      <c r="A3249" s="30">
        <v>3671</v>
      </c>
      <c r="B3249" s="30" t="s">
        <v>641</v>
      </c>
      <c r="C3249" s="30" t="s">
        <v>584</v>
      </c>
      <c r="D3249" s="30" t="s">
        <v>697</v>
      </c>
      <c r="E3249" s="30" t="s">
        <v>698</v>
      </c>
    </row>
    <row r="3250" spans="1:5" x14ac:dyDescent="0.35">
      <c r="A3250" s="30">
        <v>3672</v>
      </c>
      <c r="B3250" s="30" t="s">
        <v>641</v>
      </c>
      <c r="C3250" s="30" t="s">
        <v>584</v>
      </c>
      <c r="D3250" s="30" t="s">
        <v>697</v>
      </c>
      <c r="E3250" s="30" t="s">
        <v>698</v>
      </c>
    </row>
    <row r="3251" spans="1:5" x14ac:dyDescent="0.35">
      <c r="A3251" s="30">
        <v>3673</v>
      </c>
      <c r="B3251" s="30" t="s">
        <v>641</v>
      </c>
      <c r="C3251" s="30" t="s">
        <v>584</v>
      </c>
      <c r="D3251" s="30" t="s">
        <v>639</v>
      </c>
      <c r="E3251" s="30" t="s">
        <v>640</v>
      </c>
    </row>
    <row r="3252" spans="1:5" x14ac:dyDescent="0.35">
      <c r="A3252" s="30">
        <v>3674</v>
      </c>
      <c r="B3252" s="30" t="s">
        <v>571</v>
      </c>
      <c r="C3252" s="30" t="s">
        <v>584</v>
      </c>
      <c r="D3252" s="30" t="s">
        <v>639</v>
      </c>
      <c r="E3252" s="30" t="s">
        <v>640</v>
      </c>
    </row>
    <row r="3253" spans="1:5" x14ac:dyDescent="0.35">
      <c r="A3253" s="30">
        <v>3675</v>
      </c>
      <c r="B3253" s="30" t="s">
        <v>634</v>
      </c>
      <c r="C3253" s="30" t="s">
        <v>584</v>
      </c>
      <c r="D3253" s="30" t="s">
        <v>639</v>
      </c>
      <c r="E3253" s="30" t="s">
        <v>640</v>
      </c>
    </row>
    <row r="3254" spans="1:5" x14ac:dyDescent="0.35">
      <c r="A3254" s="30">
        <v>3676</v>
      </c>
      <c r="B3254" s="30" t="s">
        <v>641</v>
      </c>
      <c r="C3254" s="30" t="s">
        <v>584</v>
      </c>
      <c r="D3254" s="30" t="s">
        <v>639</v>
      </c>
      <c r="E3254" s="30" t="s">
        <v>640</v>
      </c>
    </row>
    <row r="3255" spans="1:5" x14ac:dyDescent="0.35">
      <c r="A3255" s="30">
        <v>3677</v>
      </c>
      <c r="B3255" s="30" t="s">
        <v>571</v>
      </c>
      <c r="C3255" s="30" t="s">
        <v>584</v>
      </c>
      <c r="D3255" s="30" t="s">
        <v>639</v>
      </c>
      <c r="E3255" s="30" t="s">
        <v>640</v>
      </c>
    </row>
    <row r="3256" spans="1:5" x14ac:dyDescent="0.35">
      <c r="A3256" s="30">
        <v>3678</v>
      </c>
      <c r="B3256" s="30" t="s">
        <v>634</v>
      </c>
      <c r="C3256" s="30" t="s">
        <v>584</v>
      </c>
      <c r="D3256" s="30" t="s">
        <v>639</v>
      </c>
      <c r="E3256" s="30" t="s">
        <v>640</v>
      </c>
    </row>
    <row r="3257" spans="1:5" x14ac:dyDescent="0.35">
      <c r="A3257" s="30">
        <v>3679</v>
      </c>
      <c r="B3257" s="30" t="s">
        <v>641</v>
      </c>
      <c r="C3257" s="30" t="s">
        <v>584</v>
      </c>
      <c r="D3257" s="30" t="s">
        <v>639</v>
      </c>
      <c r="E3257" s="30" t="s">
        <v>640</v>
      </c>
    </row>
    <row r="3258" spans="1:5" x14ac:dyDescent="0.35">
      <c r="A3258" s="30">
        <v>3680</v>
      </c>
      <c r="B3258" s="30" t="s">
        <v>571</v>
      </c>
      <c r="C3258" s="30" t="s">
        <v>584</v>
      </c>
      <c r="D3258" s="30" t="s">
        <v>639</v>
      </c>
      <c r="E3258" s="30" t="s">
        <v>640</v>
      </c>
    </row>
    <row r="3259" spans="1:5" x14ac:dyDescent="0.35">
      <c r="A3259" s="30">
        <v>3681</v>
      </c>
      <c r="B3259" s="30" t="s">
        <v>634</v>
      </c>
      <c r="C3259" s="30" t="s">
        <v>584</v>
      </c>
      <c r="D3259" s="30" t="s">
        <v>639</v>
      </c>
      <c r="E3259" s="30" t="s">
        <v>640</v>
      </c>
    </row>
    <row r="3260" spans="1:5" x14ac:dyDescent="0.35">
      <c r="A3260" s="30">
        <v>3682</v>
      </c>
      <c r="B3260" s="30" t="s">
        <v>641</v>
      </c>
      <c r="C3260" s="30" t="s">
        <v>584</v>
      </c>
      <c r="D3260" s="30" t="s">
        <v>639</v>
      </c>
      <c r="E3260" s="30" t="s">
        <v>640</v>
      </c>
    </row>
    <row r="3261" spans="1:5" x14ac:dyDescent="0.35">
      <c r="A3261" s="30">
        <v>3683</v>
      </c>
      <c r="B3261" s="30" t="s">
        <v>571</v>
      </c>
      <c r="C3261" s="30" t="s">
        <v>584</v>
      </c>
      <c r="D3261" s="30" t="s">
        <v>639</v>
      </c>
      <c r="E3261" s="30" t="s">
        <v>640</v>
      </c>
    </row>
    <row r="3262" spans="1:5" x14ac:dyDescent="0.35">
      <c r="A3262" s="30">
        <v>3684</v>
      </c>
      <c r="B3262" s="30" t="s">
        <v>634</v>
      </c>
      <c r="C3262" s="30" t="s">
        <v>584</v>
      </c>
      <c r="D3262" s="30" t="s">
        <v>639</v>
      </c>
      <c r="E3262" s="30" t="s">
        <v>640</v>
      </c>
    </row>
    <row r="3263" spans="1:5" x14ac:dyDescent="0.35">
      <c r="A3263" s="30">
        <v>3685</v>
      </c>
      <c r="B3263" s="30" t="s">
        <v>571</v>
      </c>
      <c r="C3263" s="30" t="s">
        <v>648</v>
      </c>
      <c r="D3263" s="30" t="s">
        <v>599</v>
      </c>
      <c r="E3263" s="30" t="s">
        <v>615</v>
      </c>
    </row>
    <row r="3264" spans="1:5" x14ac:dyDescent="0.35">
      <c r="A3264" s="30">
        <v>3686</v>
      </c>
      <c r="B3264" s="30" t="s">
        <v>571</v>
      </c>
      <c r="C3264" s="30" t="s">
        <v>648</v>
      </c>
      <c r="D3264" s="30" t="s">
        <v>599</v>
      </c>
      <c r="E3264" s="30" t="s">
        <v>615</v>
      </c>
    </row>
    <row r="3265" spans="1:5" x14ac:dyDescent="0.35">
      <c r="A3265" s="30">
        <v>3687</v>
      </c>
      <c r="B3265" s="30" t="s">
        <v>571</v>
      </c>
      <c r="C3265" s="30" t="s">
        <v>624</v>
      </c>
      <c r="D3265" s="30" t="s">
        <v>599</v>
      </c>
      <c r="E3265" s="30" t="s">
        <v>615</v>
      </c>
    </row>
    <row r="3266" spans="1:5" x14ac:dyDescent="0.35">
      <c r="A3266" s="30">
        <v>3688</v>
      </c>
      <c r="B3266" s="30" t="s">
        <v>571</v>
      </c>
      <c r="C3266" s="30" t="s">
        <v>648</v>
      </c>
      <c r="D3266" s="30" t="s">
        <v>599</v>
      </c>
      <c r="E3266" s="30" t="s">
        <v>615</v>
      </c>
    </row>
    <row r="3267" spans="1:5" x14ac:dyDescent="0.35">
      <c r="A3267" s="30">
        <v>3689</v>
      </c>
      <c r="B3267" s="30" t="s">
        <v>571</v>
      </c>
      <c r="C3267" s="30" t="s">
        <v>624</v>
      </c>
      <c r="D3267" s="30" t="s">
        <v>599</v>
      </c>
      <c r="E3267" s="30" t="s">
        <v>615</v>
      </c>
    </row>
    <row r="3268" spans="1:5" x14ac:dyDescent="0.35">
      <c r="A3268" s="30">
        <v>3690</v>
      </c>
      <c r="B3268" s="30" t="s">
        <v>571</v>
      </c>
      <c r="C3268" s="30" t="s">
        <v>648</v>
      </c>
      <c r="D3268" s="30" t="s">
        <v>599</v>
      </c>
      <c r="E3268" s="30" t="s">
        <v>615</v>
      </c>
    </row>
    <row r="3269" spans="1:5" x14ac:dyDescent="0.35">
      <c r="A3269" s="30">
        <v>3691</v>
      </c>
      <c r="B3269" s="30" t="s">
        <v>571</v>
      </c>
      <c r="C3269" s="30" t="s">
        <v>624</v>
      </c>
      <c r="D3269" s="30" t="s">
        <v>599</v>
      </c>
      <c r="E3269" s="30" t="s">
        <v>615</v>
      </c>
    </row>
    <row r="3270" spans="1:5" x14ac:dyDescent="0.35">
      <c r="A3270" s="30">
        <v>3692</v>
      </c>
      <c r="B3270" s="30" t="s">
        <v>641</v>
      </c>
      <c r="C3270" s="30" t="s">
        <v>648</v>
      </c>
      <c r="D3270" s="30" t="s">
        <v>599</v>
      </c>
      <c r="E3270" s="30" t="s">
        <v>615</v>
      </c>
    </row>
    <row r="3271" spans="1:5" x14ac:dyDescent="0.35">
      <c r="A3271" s="30">
        <v>3693</v>
      </c>
      <c r="B3271" s="30" t="s">
        <v>641</v>
      </c>
      <c r="C3271" s="30" t="s">
        <v>648</v>
      </c>
      <c r="D3271" s="30" t="s">
        <v>599</v>
      </c>
      <c r="E3271" s="30" t="s">
        <v>615</v>
      </c>
    </row>
    <row r="3272" spans="1:5" x14ac:dyDescent="0.35">
      <c r="A3272" s="30">
        <v>3694</v>
      </c>
      <c r="B3272" s="30" t="s">
        <v>641</v>
      </c>
      <c r="C3272" s="30" t="s">
        <v>648</v>
      </c>
      <c r="D3272" s="30" t="s">
        <v>599</v>
      </c>
      <c r="E3272" s="30" t="s">
        <v>615</v>
      </c>
    </row>
    <row r="3273" spans="1:5" x14ac:dyDescent="0.35">
      <c r="A3273" s="30">
        <v>3695</v>
      </c>
      <c r="B3273" s="30" t="s">
        <v>634</v>
      </c>
      <c r="C3273" s="30" t="s">
        <v>648</v>
      </c>
      <c r="D3273" s="30" t="s">
        <v>599</v>
      </c>
      <c r="E3273" s="30" t="s">
        <v>615</v>
      </c>
    </row>
    <row r="3274" spans="1:5" x14ac:dyDescent="0.35">
      <c r="A3274" s="30">
        <v>3696</v>
      </c>
      <c r="B3274" s="30" t="s">
        <v>610</v>
      </c>
      <c r="C3274" s="30" t="s">
        <v>584</v>
      </c>
      <c r="D3274" s="30" t="s">
        <v>599</v>
      </c>
      <c r="E3274" s="30" t="s">
        <v>615</v>
      </c>
    </row>
    <row r="3275" spans="1:5" x14ac:dyDescent="0.35">
      <c r="A3275" s="30">
        <v>3697</v>
      </c>
      <c r="B3275" s="30" t="s">
        <v>641</v>
      </c>
      <c r="C3275" s="30" t="s">
        <v>648</v>
      </c>
      <c r="D3275" s="30" t="s">
        <v>612</v>
      </c>
      <c r="E3275" s="30" t="s">
        <v>628</v>
      </c>
    </row>
    <row r="3276" spans="1:5" x14ac:dyDescent="0.35">
      <c r="A3276" s="30">
        <v>3698</v>
      </c>
      <c r="B3276" s="30" t="s">
        <v>641</v>
      </c>
      <c r="C3276" s="30" t="s">
        <v>648</v>
      </c>
      <c r="D3276" s="30" t="s">
        <v>612</v>
      </c>
      <c r="E3276" s="30" t="s">
        <v>628</v>
      </c>
    </row>
    <row r="3277" spans="1:5" x14ac:dyDescent="0.35">
      <c r="A3277" s="30">
        <v>3699</v>
      </c>
      <c r="B3277" s="30" t="s">
        <v>641</v>
      </c>
      <c r="C3277" s="30" t="s">
        <v>648</v>
      </c>
      <c r="D3277" s="30" t="s">
        <v>612</v>
      </c>
      <c r="E3277" s="30" t="s">
        <v>628</v>
      </c>
    </row>
    <row r="3278" spans="1:5" x14ac:dyDescent="0.35">
      <c r="A3278" s="30">
        <v>3700</v>
      </c>
      <c r="B3278" s="30" t="s">
        <v>641</v>
      </c>
      <c r="C3278" s="30" t="s">
        <v>648</v>
      </c>
      <c r="D3278" s="30" t="s">
        <v>612</v>
      </c>
      <c r="E3278" s="30" t="s">
        <v>628</v>
      </c>
    </row>
    <row r="3279" spans="1:5" x14ac:dyDescent="0.35">
      <c r="A3279" s="30">
        <v>3701</v>
      </c>
      <c r="B3279" s="30" t="s">
        <v>641</v>
      </c>
      <c r="C3279" s="30" t="s">
        <v>648</v>
      </c>
      <c r="D3279" s="30" t="s">
        <v>612</v>
      </c>
      <c r="E3279" s="30" t="s">
        <v>628</v>
      </c>
    </row>
    <row r="3280" spans="1:5" x14ac:dyDescent="0.35">
      <c r="A3280" s="30">
        <v>3702</v>
      </c>
      <c r="B3280" s="30" t="s">
        <v>641</v>
      </c>
      <c r="C3280" s="30" t="s">
        <v>648</v>
      </c>
      <c r="D3280" s="30" t="s">
        <v>612</v>
      </c>
      <c r="E3280" s="30" t="s">
        <v>628</v>
      </c>
    </row>
    <row r="3281" spans="1:5" x14ac:dyDescent="0.35">
      <c r="A3281" s="30">
        <v>3709</v>
      </c>
      <c r="B3281" s="30" t="s">
        <v>634</v>
      </c>
      <c r="C3281" s="30" t="s">
        <v>584</v>
      </c>
      <c r="D3281" s="30" t="s">
        <v>656</v>
      </c>
      <c r="E3281" s="30" t="s">
        <v>661</v>
      </c>
    </row>
    <row r="3282" spans="1:5" x14ac:dyDescent="0.35">
      <c r="A3282" s="30">
        <v>3710</v>
      </c>
      <c r="B3282" s="30" t="s">
        <v>634</v>
      </c>
      <c r="C3282" s="30" t="s">
        <v>584</v>
      </c>
      <c r="D3282" s="30" t="s">
        <v>656</v>
      </c>
      <c r="E3282" s="30" t="s">
        <v>661</v>
      </c>
    </row>
    <row r="3283" spans="1:5" x14ac:dyDescent="0.35">
      <c r="A3283" s="30">
        <v>3711</v>
      </c>
      <c r="B3283" s="30" t="s">
        <v>634</v>
      </c>
      <c r="C3283" s="30" t="s">
        <v>584</v>
      </c>
      <c r="D3283" s="30" t="s">
        <v>656</v>
      </c>
      <c r="E3283" s="30" t="s">
        <v>661</v>
      </c>
    </row>
    <row r="3284" spans="1:5" x14ac:dyDescent="0.35">
      <c r="A3284" s="30">
        <v>3712</v>
      </c>
      <c r="B3284" s="30" t="s">
        <v>634</v>
      </c>
      <c r="C3284" s="30" t="s">
        <v>584</v>
      </c>
      <c r="D3284" s="30" t="s">
        <v>656</v>
      </c>
      <c r="E3284" s="30" t="s">
        <v>661</v>
      </c>
    </row>
    <row r="3285" spans="1:5" x14ac:dyDescent="0.35">
      <c r="A3285" s="30">
        <v>3713</v>
      </c>
      <c r="B3285" s="30" t="s">
        <v>571</v>
      </c>
      <c r="C3285" s="30" t="s">
        <v>584</v>
      </c>
      <c r="D3285" s="30" t="s">
        <v>656</v>
      </c>
      <c r="E3285" s="30" t="s">
        <v>661</v>
      </c>
    </row>
    <row r="3286" spans="1:5" x14ac:dyDescent="0.35">
      <c r="A3286" s="30">
        <v>3714</v>
      </c>
      <c r="B3286" s="30" t="s">
        <v>571</v>
      </c>
      <c r="C3286" s="30" t="s">
        <v>584</v>
      </c>
      <c r="D3286" s="30" t="s">
        <v>656</v>
      </c>
      <c r="E3286" s="30" t="s">
        <v>661</v>
      </c>
    </row>
    <row r="3287" spans="1:5" x14ac:dyDescent="0.35">
      <c r="A3287" s="30">
        <v>3715</v>
      </c>
      <c r="B3287" s="30" t="s">
        <v>571</v>
      </c>
      <c r="C3287" s="30" t="s">
        <v>584</v>
      </c>
      <c r="D3287" s="30" t="s">
        <v>656</v>
      </c>
      <c r="E3287" s="30" t="s">
        <v>661</v>
      </c>
    </row>
    <row r="3288" spans="1:5" x14ac:dyDescent="0.35">
      <c r="A3288" s="30">
        <v>3716</v>
      </c>
      <c r="B3288" s="30" t="s">
        <v>571</v>
      </c>
      <c r="C3288" s="30" t="s">
        <v>584</v>
      </c>
      <c r="D3288" s="30" t="s">
        <v>656</v>
      </c>
      <c r="E3288" s="30" t="s">
        <v>661</v>
      </c>
    </row>
    <row r="3289" spans="1:5" x14ac:dyDescent="0.35">
      <c r="A3289" s="30">
        <v>3717</v>
      </c>
      <c r="B3289" s="30" t="s">
        <v>571</v>
      </c>
      <c r="C3289" s="30" t="s">
        <v>584</v>
      </c>
      <c r="D3289" s="30" t="s">
        <v>656</v>
      </c>
      <c r="E3289" s="30" t="s">
        <v>661</v>
      </c>
    </row>
    <row r="3290" spans="1:5" x14ac:dyDescent="0.35">
      <c r="A3290" s="30">
        <v>3718</v>
      </c>
      <c r="B3290" s="30" t="s">
        <v>571</v>
      </c>
      <c r="C3290" s="30" t="s">
        <v>584</v>
      </c>
      <c r="D3290" s="30" t="s">
        <v>656</v>
      </c>
      <c r="E3290" s="30" t="s">
        <v>661</v>
      </c>
    </row>
    <row r="3291" spans="1:5" x14ac:dyDescent="0.35">
      <c r="A3291" s="30">
        <v>3719</v>
      </c>
      <c r="B3291" s="30" t="s">
        <v>571</v>
      </c>
      <c r="C3291" s="30" t="s">
        <v>584</v>
      </c>
      <c r="D3291" s="30" t="s">
        <v>656</v>
      </c>
      <c r="E3291" s="30" t="s">
        <v>661</v>
      </c>
    </row>
    <row r="3292" spans="1:5" x14ac:dyDescent="0.35">
      <c r="A3292" s="30">
        <v>3720</v>
      </c>
      <c r="B3292" s="30" t="s">
        <v>571</v>
      </c>
      <c r="C3292" s="30" t="s">
        <v>584</v>
      </c>
      <c r="D3292" s="30" t="s">
        <v>656</v>
      </c>
      <c r="E3292" s="30" t="s">
        <v>661</v>
      </c>
    </row>
    <row r="3293" spans="1:5" x14ac:dyDescent="0.35">
      <c r="A3293" s="30">
        <v>3721</v>
      </c>
      <c r="B3293" s="30" t="s">
        <v>571</v>
      </c>
      <c r="C3293" s="30" t="s">
        <v>584</v>
      </c>
      <c r="D3293" s="30" t="s">
        <v>656</v>
      </c>
      <c r="E3293" s="30" t="s">
        <v>661</v>
      </c>
    </row>
    <row r="3294" spans="1:5" x14ac:dyDescent="0.35">
      <c r="A3294" s="30">
        <v>3722</v>
      </c>
      <c r="B3294" s="30" t="s">
        <v>571</v>
      </c>
      <c r="C3294" s="30" t="s">
        <v>584</v>
      </c>
      <c r="D3294" s="30" t="s">
        <v>656</v>
      </c>
      <c r="E3294" s="30" t="s">
        <v>661</v>
      </c>
    </row>
    <row r="3295" spans="1:5" x14ac:dyDescent="0.35">
      <c r="A3295" s="30">
        <v>3723</v>
      </c>
      <c r="B3295" s="30" t="s">
        <v>571</v>
      </c>
      <c r="C3295" s="30" t="s">
        <v>584</v>
      </c>
      <c r="D3295" s="30" t="s">
        <v>656</v>
      </c>
      <c r="E3295" s="30" t="s">
        <v>661</v>
      </c>
    </row>
    <row r="3296" spans="1:5" x14ac:dyDescent="0.35">
      <c r="A3296" s="30">
        <v>3724</v>
      </c>
      <c r="B3296" s="30" t="s">
        <v>571</v>
      </c>
      <c r="C3296" s="30" t="s">
        <v>584</v>
      </c>
      <c r="D3296" s="30" t="s">
        <v>656</v>
      </c>
      <c r="E3296" s="30" t="s">
        <v>661</v>
      </c>
    </row>
    <row r="3297" spans="1:5" x14ac:dyDescent="0.35">
      <c r="A3297" s="30">
        <v>3725</v>
      </c>
      <c r="B3297" s="30" t="s">
        <v>634</v>
      </c>
      <c r="C3297" s="30" t="s">
        <v>584</v>
      </c>
      <c r="D3297" s="30" t="s">
        <v>656</v>
      </c>
      <c r="E3297" s="30" t="s">
        <v>661</v>
      </c>
    </row>
    <row r="3298" spans="1:5" x14ac:dyDescent="0.35">
      <c r="A3298" s="30">
        <v>3726</v>
      </c>
      <c r="B3298" s="30" t="s">
        <v>634</v>
      </c>
      <c r="C3298" s="30" t="s">
        <v>584</v>
      </c>
      <c r="D3298" s="30" t="s">
        <v>656</v>
      </c>
      <c r="E3298" s="30" t="s">
        <v>661</v>
      </c>
    </row>
    <row r="3299" spans="1:5" x14ac:dyDescent="0.35">
      <c r="A3299" s="30">
        <v>3727</v>
      </c>
      <c r="B3299" s="30" t="s">
        <v>641</v>
      </c>
      <c r="C3299" s="30" t="s">
        <v>584</v>
      </c>
      <c r="D3299" s="30" t="s">
        <v>656</v>
      </c>
      <c r="E3299" s="30" t="s">
        <v>661</v>
      </c>
    </row>
    <row r="3300" spans="1:5" x14ac:dyDescent="0.35">
      <c r="A3300" s="30">
        <v>3728</v>
      </c>
      <c r="B3300" s="30" t="s">
        <v>641</v>
      </c>
      <c r="C3300" s="30" t="s">
        <v>584</v>
      </c>
      <c r="D3300" s="30" t="s">
        <v>656</v>
      </c>
      <c r="E3300" s="30" t="s">
        <v>661</v>
      </c>
    </row>
    <row r="3301" spans="1:5" x14ac:dyDescent="0.35">
      <c r="A3301" s="30">
        <v>3729</v>
      </c>
      <c r="B3301" s="30" t="s">
        <v>641</v>
      </c>
      <c r="C3301" s="30" t="s">
        <v>584</v>
      </c>
      <c r="D3301" s="30" t="s">
        <v>656</v>
      </c>
      <c r="E3301" s="30" t="s">
        <v>661</v>
      </c>
    </row>
    <row r="3302" spans="1:5" x14ac:dyDescent="0.35">
      <c r="A3302" s="30">
        <v>3730</v>
      </c>
      <c r="B3302" s="30" t="s">
        <v>641</v>
      </c>
      <c r="C3302" s="30" t="s">
        <v>584</v>
      </c>
      <c r="D3302" s="30" t="s">
        <v>656</v>
      </c>
      <c r="E3302" s="30" t="s">
        <v>661</v>
      </c>
    </row>
    <row r="3303" spans="1:5" x14ac:dyDescent="0.35">
      <c r="A3303" s="30">
        <v>3731</v>
      </c>
      <c r="B3303" s="30" t="s">
        <v>641</v>
      </c>
      <c r="C3303" s="30" t="s">
        <v>584</v>
      </c>
      <c r="D3303" s="30" t="s">
        <v>656</v>
      </c>
      <c r="E3303" s="30" t="s">
        <v>661</v>
      </c>
    </row>
    <row r="3304" spans="1:5" x14ac:dyDescent="0.35">
      <c r="A3304" s="30">
        <v>3732</v>
      </c>
      <c r="B3304" s="30" t="s">
        <v>634</v>
      </c>
      <c r="C3304" s="30" t="s">
        <v>584</v>
      </c>
      <c r="D3304" s="30" t="s">
        <v>656</v>
      </c>
      <c r="E3304" s="30" t="s">
        <v>661</v>
      </c>
    </row>
    <row r="3305" spans="1:5" x14ac:dyDescent="0.35">
      <c r="A3305" s="30">
        <v>3733</v>
      </c>
      <c r="B3305" s="30" t="s">
        <v>634</v>
      </c>
      <c r="C3305" s="30" t="s">
        <v>584</v>
      </c>
      <c r="D3305" s="30" t="s">
        <v>656</v>
      </c>
      <c r="E3305" s="30" t="s">
        <v>661</v>
      </c>
    </row>
    <row r="3306" spans="1:5" x14ac:dyDescent="0.35">
      <c r="A3306" s="30">
        <v>3734</v>
      </c>
      <c r="B3306" s="30" t="s">
        <v>634</v>
      </c>
      <c r="C3306" s="30" t="s">
        <v>584</v>
      </c>
      <c r="D3306" s="30" t="s">
        <v>656</v>
      </c>
      <c r="E3306" s="30" t="s">
        <v>661</v>
      </c>
    </row>
    <row r="3307" spans="1:5" x14ac:dyDescent="0.35">
      <c r="A3307" s="30">
        <v>3735</v>
      </c>
      <c r="B3307" s="30" t="s">
        <v>634</v>
      </c>
      <c r="C3307" s="30" t="s">
        <v>584</v>
      </c>
      <c r="D3307" s="30" t="s">
        <v>656</v>
      </c>
      <c r="E3307" s="30" t="s">
        <v>661</v>
      </c>
    </row>
    <row r="3308" spans="1:5" x14ac:dyDescent="0.35">
      <c r="A3308" s="30">
        <v>3736</v>
      </c>
      <c r="B3308" s="30" t="s">
        <v>571</v>
      </c>
      <c r="C3308" s="30" t="s">
        <v>584</v>
      </c>
      <c r="D3308" s="30" t="s">
        <v>656</v>
      </c>
      <c r="E3308" s="30" t="s">
        <v>661</v>
      </c>
    </row>
    <row r="3309" spans="1:5" x14ac:dyDescent="0.35">
      <c r="A3309" s="30">
        <v>3737</v>
      </c>
      <c r="B3309" s="30" t="s">
        <v>571</v>
      </c>
      <c r="C3309" s="30" t="s">
        <v>584</v>
      </c>
      <c r="D3309" s="30" t="s">
        <v>656</v>
      </c>
      <c r="E3309" s="30" t="s">
        <v>661</v>
      </c>
    </row>
    <row r="3310" spans="1:5" x14ac:dyDescent="0.35">
      <c r="A3310" s="30">
        <v>3738</v>
      </c>
      <c r="B3310" s="30" t="s">
        <v>571</v>
      </c>
      <c r="C3310" s="30" t="s">
        <v>584</v>
      </c>
      <c r="D3310" s="30" t="s">
        <v>656</v>
      </c>
      <c r="E3310" s="30" t="s">
        <v>661</v>
      </c>
    </row>
    <row r="3311" spans="1:5" x14ac:dyDescent="0.35">
      <c r="A3311" s="30">
        <v>3739</v>
      </c>
      <c r="B3311" s="30" t="s">
        <v>571</v>
      </c>
      <c r="C3311" s="30" t="s">
        <v>584</v>
      </c>
      <c r="D3311" s="30" t="s">
        <v>656</v>
      </c>
      <c r="E3311" s="30" t="s">
        <v>661</v>
      </c>
    </row>
    <row r="3312" spans="1:5" x14ac:dyDescent="0.35">
      <c r="A3312" s="30">
        <v>3740</v>
      </c>
      <c r="B3312" s="30" t="s">
        <v>571</v>
      </c>
      <c r="C3312" s="30" t="s">
        <v>584</v>
      </c>
      <c r="D3312" s="30" t="s">
        <v>656</v>
      </c>
      <c r="E3312" s="30" t="s">
        <v>661</v>
      </c>
    </row>
    <row r="3313" spans="1:5" x14ac:dyDescent="0.35">
      <c r="A3313" s="30">
        <v>3741</v>
      </c>
      <c r="B3313" s="30" t="s">
        <v>571</v>
      </c>
      <c r="C3313" s="30" t="s">
        <v>584</v>
      </c>
      <c r="D3313" s="30" t="s">
        <v>656</v>
      </c>
      <c r="E3313" s="30" t="s">
        <v>661</v>
      </c>
    </row>
    <row r="3314" spans="1:5" x14ac:dyDescent="0.35">
      <c r="A3314" s="30">
        <v>3742</v>
      </c>
      <c r="B3314" s="30" t="s">
        <v>571</v>
      </c>
      <c r="C3314" s="30" t="s">
        <v>584</v>
      </c>
      <c r="D3314" s="30" t="s">
        <v>656</v>
      </c>
      <c r="E3314" s="30" t="s">
        <v>661</v>
      </c>
    </row>
    <row r="3315" spans="1:5" x14ac:dyDescent="0.35">
      <c r="A3315" s="30">
        <v>3743</v>
      </c>
      <c r="B3315" s="30" t="s">
        <v>571</v>
      </c>
      <c r="C3315" s="30" t="s">
        <v>584</v>
      </c>
      <c r="D3315" s="30" t="s">
        <v>656</v>
      </c>
      <c r="E3315" s="30" t="s">
        <v>661</v>
      </c>
    </row>
    <row r="3316" spans="1:5" x14ac:dyDescent="0.35">
      <c r="A3316" s="30">
        <v>3744</v>
      </c>
      <c r="B3316" s="30" t="s">
        <v>571</v>
      </c>
      <c r="C3316" s="30" t="s">
        <v>584</v>
      </c>
      <c r="D3316" s="30" t="s">
        <v>656</v>
      </c>
      <c r="E3316" s="30" t="s">
        <v>661</v>
      </c>
    </row>
    <row r="3317" spans="1:5" x14ac:dyDescent="0.35">
      <c r="A3317" s="30">
        <v>3745</v>
      </c>
      <c r="B3317" s="30" t="s">
        <v>634</v>
      </c>
      <c r="C3317" s="30" t="s">
        <v>584</v>
      </c>
      <c r="D3317" s="30" t="s">
        <v>656</v>
      </c>
      <c r="E3317" s="30" t="s">
        <v>661</v>
      </c>
    </row>
    <row r="3318" spans="1:5" x14ac:dyDescent="0.35">
      <c r="A3318" s="30">
        <v>3746</v>
      </c>
      <c r="B3318" s="30" t="s">
        <v>634</v>
      </c>
      <c r="C3318" s="30" t="s">
        <v>584</v>
      </c>
      <c r="D3318" s="30" t="s">
        <v>656</v>
      </c>
      <c r="E3318" s="30" t="s">
        <v>661</v>
      </c>
    </row>
    <row r="3319" spans="1:5" x14ac:dyDescent="0.35">
      <c r="A3319" s="30">
        <v>3747</v>
      </c>
      <c r="B3319" s="30" t="s">
        <v>641</v>
      </c>
      <c r="C3319" s="30" t="s">
        <v>584</v>
      </c>
      <c r="D3319" s="30" t="s">
        <v>656</v>
      </c>
      <c r="E3319" s="30" t="s">
        <v>661</v>
      </c>
    </row>
    <row r="3320" spans="1:5" x14ac:dyDescent="0.35">
      <c r="A3320" s="30">
        <v>3748</v>
      </c>
      <c r="B3320" s="30" t="s">
        <v>641</v>
      </c>
      <c r="C3320" s="30" t="s">
        <v>584</v>
      </c>
      <c r="D3320" s="30" t="s">
        <v>656</v>
      </c>
      <c r="E3320" s="30" t="s">
        <v>661</v>
      </c>
    </row>
    <row r="3321" spans="1:5" x14ac:dyDescent="0.35">
      <c r="A3321" s="30">
        <v>3749</v>
      </c>
      <c r="B3321" s="30" t="s">
        <v>641</v>
      </c>
      <c r="C3321" s="30" t="s">
        <v>584</v>
      </c>
      <c r="D3321" s="30" t="s">
        <v>656</v>
      </c>
      <c r="E3321" s="30" t="s">
        <v>661</v>
      </c>
    </row>
    <row r="3322" spans="1:5" x14ac:dyDescent="0.35">
      <c r="A3322" s="30">
        <v>3750</v>
      </c>
      <c r="B3322" s="30" t="s">
        <v>641</v>
      </c>
      <c r="C3322" s="30" t="s">
        <v>584</v>
      </c>
      <c r="D3322" s="30" t="s">
        <v>656</v>
      </c>
      <c r="E3322" s="30" t="s">
        <v>661</v>
      </c>
    </row>
    <row r="3323" spans="1:5" x14ac:dyDescent="0.35">
      <c r="A3323" s="30">
        <v>3751</v>
      </c>
      <c r="B3323" s="30" t="s">
        <v>641</v>
      </c>
      <c r="C3323" s="30" t="s">
        <v>584</v>
      </c>
      <c r="D3323" s="30" t="s">
        <v>656</v>
      </c>
      <c r="E3323" s="30" t="s">
        <v>661</v>
      </c>
    </row>
    <row r="3324" spans="1:5" x14ac:dyDescent="0.35">
      <c r="A3324" s="30">
        <v>3752</v>
      </c>
      <c r="B3324" s="30" t="s">
        <v>641</v>
      </c>
      <c r="C3324" s="30" t="s">
        <v>648</v>
      </c>
      <c r="D3324" s="30" t="s">
        <v>659</v>
      </c>
      <c r="E3324" s="30" t="s">
        <v>667</v>
      </c>
    </row>
    <row r="3325" spans="1:5" x14ac:dyDescent="0.35">
      <c r="A3325" s="30">
        <v>3753</v>
      </c>
      <c r="B3325" s="30" t="s">
        <v>641</v>
      </c>
      <c r="C3325" s="30" t="s">
        <v>648</v>
      </c>
      <c r="D3325" s="30" t="s">
        <v>659</v>
      </c>
      <c r="E3325" s="30" t="s">
        <v>667</v>
      </c>
    </row>
    <row r="3326" spans="1:5" x14ac:dyDescent="0.35">
      <c r="A3326" s="30">
        <v>3754</v>
      </c>
      <c r="B3326" s="30" t="s">
        <v>641</v>
      </c>
      <c r="C3326" s="30" t="s">
        <v>648</v>
      </c>
      <c r="D3326" s="30" t="s">
        <v>659</v>
      </c>
      <c r="E3326" s="30" t="s">
        <v>667</v>
      </c>
    </row>
    <row r="3327" spans="1:5" x14ac:dyDescent="0.35">
      <c r="A3327" s="30">
        <v>3755</v>
      </c>
      <c r="B3327" s="30" t="s">
        <v>641</v>
      </c>
      <c r="C3327" s="30" t="s">
        <v>648</v>
      </c>
      <c r="D3327" s="30" t="s">
        <v>659</v>
      </c>
      <c r="E3327" s="30" t="s">
        <v>667</v>
      </c>
    </row>
    <row r="3328" spans="1:5" x14ac:dyDescent="0.35">
      <c r="A3328" s="30">
        <v>3756</v>
      </c>
      <c r="B3328" s="30" t="s">
        <v>641</v>
      </c>
      <c r="C3328" s="30" t="s">
        <v>648</v>
      </c>
      <c r="D3328" s="30" t="s">
        <v>659</v>
      </c>
      <c r="E3328" s="30" t="s">
        <v>667</v>
      </c>
    </row>
    <row r="3329" spans="1:5" x14ac:dyDescent="0.35">
      <c r="A3329" s="30">
        <v>3757</v>
      </c>
      <c r="B3329" s="30" t="s">
        <v>641</v>
      </c>
      <c r="C3329" s="30" t="s">
        <v>648</v>
      </c>
      <c r="D3329" s="30" t="s">
        <v>659</v>
      </c>
      <c r="E3329" s="30" t="s">
        <v>667</v>
      </c>
    </row>
    <row r="3330" spans="1:5" x14ac:dyDescent="0.35">
      <c r="A3330" s="30">
        <v>3758</v>
      </c>
      <c r="B3330" s="30" t="s">
        <v>634</v>
      </c>
      <c r="C3330" s="30" t="s">
        <v>648</v>
      </c>
      <c r="D3330" s="30" t="s">
        <v>599</v>
      </c>
      <c r="E3330" s="30" t="s">
        <v>649</v>
      </c>
    </row>
    <row r="3331" spans="1:5" x14ac:dyDescent="0.35">
      <c r="A3331" s="30">
        <v>3759</v>
      </c>
      <c r="B3331" s="30" t="s">
        <v>571</v>
      </c>
      <c r="C3331" s="30" t="s">
        <v>648</v>
      </c>
      <c r="D3331" s="30" t="s">
        <v>599</v>
      </c>
      <c r="E3331" s="30" t="s">
        <v>649</v>
      </c>
    </row>
    <row r="3332" spans="1:5" x14ac:dyDescent="0.35">
      <c r="A3332" s="30">
        <v>3760</v>
      </c>
      <c r="B3332" s="30" t="s">
        <v>641</v>
      </c>
      <c r="C3332" s="30" t="s">
        <v>648</v>
      </c>
      <c r="D3332" s="30" t="s">
        <v>599</v>
      </c>
      <c r="E3332" s="30" t="s">
        <v>649</v>
      </c>
    </row>
    <row r="3333" spans="1:5" x14ac:dyDescent="0.35">
      <c r="A3333" s="30">
        <v>3761</v>
      </c>
      <c r="B3333" s="30" t="s">
        <v>571</v>
      </c>
      <c r="C3333" s="30" t="s">
        <v>648</v>
      </c>
      <c r="D3333" s="30" t="s">
        <v>599</v>
      </c>
      <c r="E3333" s="30" t="s">
        <v>649</v>
      </c>
    </row>
    <row r="3334" spans="1:5" x14ac:dyDescent="0.35">
      <c r="A3334" s="30">
        <v>3762</v>
      </c>
      <c r="B3334" s="30" t="s">
        <v>571</v>
      </c>
      <c r="C3334" s="30" t="s">
        <v>648</v>
      </c>
      <c r="D3334" s="30" t="s">
        <v>599</v>
      </c>
      <c r="E3334" s="30" t="s">
        <v>649</v>
      </c>
    </row>
    <row r="3335" spans="1:5" x14ac:dyDescent="0.35">
      <c r="A3335" s="30">
        <v>3763</v>
      </c>
      <c r="B3335" s="30" t="s">
        <v>641</v>
      </c>
      <c r="C3335" s="30" t="s">
        <v>648</v>
      </c>
      <c r="D3335" s="30" t="s">
        <v>663</v>
      </c>
      <c r="E3335" s="30">
        <v>0</v>
      </c>
    </row>
    <row r="3336" spans="1:5" x14ac:dyDescent="0.35">
      <c r="A3336" s="30">
        <v>3764</v>
      </c>
      <c r="B3336" s="30" t="s">
        <v>641</v>
      </c>
      <c r="C3336" s="30" t="s">
        <v>648</v>
      </c>
      <c r="D3336" s="30" t="s">
        <v>663</v>
      </c>
      <c r="E3336" s="30">
        <v>0</v>
      </c>
    </row>
    <row r="3337" spans="1:5" x14ac:dyDescent="0.35">
      <c r="A3337" s="30">
        <v>3765</v>
      </c>
      <c r="B3337" s="30" t="s">
        <v>641</v>
      </c>
      <c r="C3337" s="30" t="s">
        <v>648</v>
      </c>
      <c r="D3337" s="30" t="s">
        <v>663</v>
      </c>
      <c r="E3337" s="30">
        <v>0</v>
      </c>
    </row>
    <row r="3338" spans="1:5" x14ac:dyDescent="0.35">
      <c r="A3338" s="30">
        <v>3766</v>
      </c>
      <c r="B3338" s="30" t="s">
        <v>641</v>
      </c>
      <c r="C3338" s="30" t="s">
        <v>648</v>
      </c>
      <c r="D3338" s="30" t="s">
        <v>663</v>
      </c>
      <c r="E3338" s="30">
        <v>0</v>
      </c>
    </row>
    <row r="3339" spans="1:5" x14ac:dyDescent="0.35">
      <c r="A3339" s="30">
        <v>3767</v>
      </c>
      <c r="B3339" s="30" t="s">
        <v>571</v>
      </c>
      <c r="C3339" s="30" t="s">
        <v>605</v>
      </c>
      <c r="D3339" s="30" t="s">
        <v>632</v>
      </c>
      <c r="E3339" s="30" t="s">
        <v>633</v>
      </c>
    </row>
    <row r="3340" spans="1:5" x14ac:dyDescent="0.35">
      <c r="A3340" s="30">
        <v>3768</v>
      </c>
      <c r="B3340" s="30" t="s">
        <v>571</v>
      </c>
      <c r="C3340" s="30" t="s">
        <v>605</v>
      </c>
      <c r="D3340" s="30" t="s">
        <v>632</v>
      </c>
      <c r="E3340" s="30" t="s">
        <v>633</v>
      </c>
    </row>
    <row r="3341" spans="1:5" x14ac:dyDescent="0.35">
      <c r="A3341" s="30">
        <v>3769</v>
      </c>
      <c r="B3341" s="30" t="s">
        <v>571</v>
      </c>
      <c r="C3341" s="30" t="s">
        <v>605</v>
      </c>
      <c r="D3341" s="30" t="s">
        <v>632</v>
      </c>
      <c r="E3341" s="30" t="s">
        <v>633</v>
      </c>
    </row>
    <row r="3342" spans="1:5" x14ac:dyDescent="0.35">
      <c r="A3342" s="30">
        <v>3770</v>
      </c>
      <c r="B3342" s="30" t="s">
        <v>641</v>
      </c>
      <c r="C3342" s="30" t="s">
        <v>584</v>
      </c>
      <c r="D3342" s="30" t="s">
        <v>599</v>
      </c>
      <c r="E3342" s="30">
        <v>0</v>
      </c>
    </row>
    <row r="3343" spans="1:5" x14ac:dyDescent="0.35">
      <c r="A3343" s="30">
        <v>3771</v>
      </c>
      <c r="B3343" s="30" t="s">
        <v>610</v>
      </c>
      <c r="C3343" s="30" t="s">
        <v>605</v>
      </c>
      <c r="D3343" s="30" t="s">
        <v>656</v>
      </c>
      <c r="E3343" s="30" t="s">
        <v>657</v>
      </c>
    </row>
    <row r="3344" spans="1:5" x14ac:dyDescent="0.35">
      <c r="A3344" s="30">
        <v>3772</v>
      </c>
      <c r="B3344" s="30" t="s">
        <v>571</v>
      </c>
      <c r="C3344" s="30" t="s">
        <v>584</v>
      </c>
      <c r="D3344" s="30" t="s">
        <v>663</v>
      </c>
      <c r="E3344" s="30" t="s">
        <v>699</v>
      </c>
    </row>
    <row r="3345" spans="1:5" x14ac:dyDescent="0.35">
      <c r="A3345" s="30">
        <v>3773</v>
      </c>
      <c r="B3345" s="30" t="s">
        <v>571</v>
      </c>
      <c r="C3345" s="30" t="s">
        <v>584</v>
      </c>
      <c r="D3345" s="30" t="s">
        <v>663</v>
      </c>
      <c r="E3345" s="30" t="s">
        <v>699</v>
      </c>
    </row>
    <row r="3346" spans="1:5" x14ac:dyDescent="0.35">
      <c r="A3346" s="30">
        <v>3774</v>
      </c>
      <c r="B3346" s="30" t="s">
        <v>571</v>
      </c>
      <c r="C3346" s="30" t="s">
        <v>584</v>
      </c>
      <c r="D3346" s="30" t="s">
        <v>663</v>
      </c>
      <c r="E3346" s="30" t="s">
        <v>699</v>
      </c>
    </row>
    <row r="3347" spans="1:5" x14ac:dyDescent="0.35">
      <c r="A3347" s="30">
        <v>3775</v>
      </c>
      <c r="B3347" s="30" t="s">
        <v>571</v>
      </c>
      <c r="C3347" s="30" t="s">
        <v>584</v>
      </c>
      <c r="D3347" s="30" t="s">
        <v>663</v>
      </c>
      <c r="E3347" s="30" t="s">
        <v>699</v>
      </c>
    </row>
    <row r="3348" spans="1:5" x14ac:dyDescent="0.35">
      <c r="A3348" s="30">
        <v>3776</v>
      </c>
      <c r="B3348" s="30" t="s">
        <v>571</v>
      </c>
      <c r="C3348" s="30" t="s">
        <v>584</v>
      </c>
      <c r="D3348" s="30" t="s">
        <v>663</v>
      </c>
      <c r="E3348" s="30" t="s">
        <v>699</v>
      </c>
    </row>
    <row r="3349" spans="1:5" x14ac:dyDescent="0.35">
      <c r="A3349" s="30">
        <v>3777</v>
      </c>
      <c r="B3349" s="30" t="s">
        <v>571</v>
      </c>
      <c r="C3349" s="30" t="s">
        <v>584</v>
      </c>
      <c r="D3349" s="30" t="s">
        <v>663</v>
      </c>
      <c r="E3349" s="30" t="s">
        <v>699</v>
      </c>
    </row>
    <row r="3350" spans="1:5" x14ac:dyDescent="0.35">
      <c r="A3350" s="30">
        <v>3778</v>
      </c>
      <c r="B3350" s="30" t="s">
        <v>571</v>
      </c>
      <c r="C3350" s="30" t="s">
        <v>584</v>
      </c>
      <c r="D3350" s="30" t="s">
        <v>663</v>
      </c>
      <c r="E3350" s="30" t="s">
        <v>699</v>
      </c>
    </row>
    <row r="3351" spans="1:5" x14ac:dyDescent="0.35">
      <c r="A3351" s="30">
        <v>3779</v>
      </c>
      <c r="B3351" s="30" t="s">
        <v>571</v>
      </c>
      <c r="C3351" s="30" t="s">
        <v>584</v>
      </c>
      <c r="D3351" s="30" t="s">
        <v>663</v>
      </c>
      <c r="E3351" s="30" t="s">
        <v>699</v>
      </c>
    </row>
    <row r="3352" spans="1:5" x14ac:dyDescent="0.35">
      <c r="A3352" s="30">
        <v>3780</v>
      </c>
      <c r="B3352" s="30" t="s">
        <v>571</v>
      </c>
      <c r="C3352" s="30" t="s">
        <v>584</v>
      </c>
      <c r="D3352" s="30" t="s">
        <v>663</v>
      </c>
      <c r="E3352" s="30" t="s">
        <v>699</v>
      </c>
    </row>
    <row r="3353" spans="1:5" x14ac:dyDescent="0.35">
      <c r="A3353" s="30">
        <v>3781</v>
      </c>
      <c r="B3353" s="30" t="s">
        <v>571</v>
      </c>
      <c r="C3353" s="30" t="s">
        <v>584</v>
      </c>
      <c r="D3353" s="30" t="s">
        <v>663</v>
      </c>
      <c r="E3353" s="30" t="s">
        <v>699</v>
      </c>
    </row>
    <row r="3354" spans="1:5" x14ac:dyDescent="0.35">
      <c r="A3354" s="30">
        <v>3782</v>
      </c>
      <c r="B3354" s="30" t="s">
        <v>571</v>
      </c>
      <c r="C3354" s="30" t="s">
        <v>584</v>
      </c>
      <c r="D3354" s="30" t="s">
        <v>663</v>
      </c>
      <c r="E3354" s="30" t="s">
        <v>699</v>
      </c>
    </row>
    <row r="3355" spans="1:5" x14ac:dyDescent="0.35">
      <c r="A3355" s="30">
        <v>3783</v>
      </c>
      <c r="B3355" s="30" t="s">
        <v>571</v>
      </c>
      <c r="C3355" s="30" t="s">
        <v>584</v>
      </c>
      <c r="D3355" s="30" t="s">
        <v>663</v>
      </c>
      <c r="E3355" s="30" t="s">
        <v>699</v>
      </c>
    </row>
    <row r="3356" spans="1:5" x14ac:dyDescent="0.35">
      <c r="A3356" s="30">
        <v>3784</v>
      </c>
      <c r="B3356" s="30" t="s">
        <v>571</v>
      </c>
      <c r="C3356" s="30" t="s">
        <v>584</v>
      </c>
      <c r="D3356" s="30" t="s">
        <v>663</v>
      </c>
      <c r="E3356" s="30" t="s">
        <v>699</v>
      </c>
    </row>
    <row r="3357" spans="1:5" x14ac:dyDescent="0.35">
      <c r="A3357" s="30">
        <v>3785</v>
      </c>
      <c r="B3357" s="30" t="s">
        <v>571</v>
      </c>
      <c r="C3357" s="30" t="s">
        <v>584</v>
      </c>
      <c r="D3357" s="30" t="s">
        <v>663</v>
      </c>
      <c r="E3357" s="30" t="s">
        <v>699</v>
      </c>
    </row>
    <row r="3358" spans="1:5" x14ac:dyDescent="0.35">
      <c r="A3358" s="30">
        <v>3786</v>
      </c>
      <c r="B3358" s="30" t="s">
        <v>571</v>
      </c>
      <c r="C3358" s="30" t="s">
        <v>584</v>
      </c>
      <c r="D3358" s="30" t="s">
        <v>663</v>
      </c>
      <c r="E3358" s="30" t="s">
        <v>699</v>
      </c>
    </row>
    <row r="3359" spans="1:5" x14ac:dyDescent="0.35">
      <c r="A3359" s="30">
        <v>3787</v>
      </c>
      <c r="B3359" s="30" t="s">
        <v>571</v>
      </c>
      <c r="C3359" s="30" t="s">
        <v>584</v>
      </c>
      <c r="D3359" s="30" t="s">
        <v>663</v>
      </c>
      <c r="E3359" s="30" t="s">
        <v>699</v>
      </c>
    </row>
    <row r="3360" spans="1:5" x14ac:dyDescent="0.35">
      <c r="A3360" s="30">
        <v>3788</v>
      </c>
      <c r="B3360" s="30" t="s">
        <v>571</v>
      </c>
      <c r="C3360" s="30" t="s">
        <v>584</v>
      </c>
      <c r="D3360" s="30" t="s">
        <v>663</v>
      </c>
      <c r="E3360" s="30" t="s">
        <v>699</v>
      </c>
    </row>
    <row r="3361" spans="1:5" x14ac:dyDescent="0.35">
      <c r="A3361" s="30">
        <v>3789</v>
      </c>
      <c r="B3361" s="30" t="s">
        <v>571</v>
      </c>
      <c r="C3361" s="30" t="s">
        <v>584</v>
      </c>
      <c r="D3361" s="30" t="s">
        <v>663</v>
      </c>
      <c r="E3361" s="30" t="s">
        <v>699</v>
      </c>
    </row>
    <row r="3362" spans="1:5" x14ac:dyDescent="0.35">
      <c r="A3362" s="30">
        <v>3790</v>
      </c>
      <c r="B3362" s="30" t="s">
        <v>571</v>
      </c>
      <c r="C3362" s="30" t="s">
        <v>584</v>
      </c>
      <c r="D3362" s="30" t="s">
        <v>663</v>
      </c>
      <c r="E3362" s="30" t="s">
        <v>699</v>
      </c>
    </row>
    <row r="3363" spans="1:5" x14ac:dyDescent="0.35">
      <c r="A3363" s="30">
        <v>3791</v>
      </c>
      <c r="B3363" s="30" t="s">
        <v>571</v>
      </c>
      <c r="C3363" s="30" t="s">
        <v>584</v>
      </c>
      <c r="D3363" s="30" t="s">
        <v>663</v>
      </c>
      <c r="E3363" s="30" t="s">
        <v>699</v>
      </c>
    </row>
    <row r="3364" spans="1:5" x14ac:dyDescent="0.35">
      <c r="A3364" s="30">
        <v>3792</v>
      </c>
      <c r="B3364" s="30" t="s">
        <v>571</v>
      </c>
      <c r="C3364" s="30" t="s">
        <v>584</v>
      </c>
      <c r="D3364" s="30" t="s">
        <v>663</v>
      </c>
      <c r="E3364" s="30" t="s">
        <v>699</v>
      </c>
    </row>
    <row r="3365" spans="1:5" x14ac:dyDescent="0.35">
      <c r="A3365" s="30">
        <v>3793</v>
      </c>
      <c r="B3365" s="30" t="s">
        <v>634</v>
      </c>
      <c r="C3365" s="30" t="s">
        <v>584</v>
      </c>
      <c r="D3365" s="30" t="s">
        <v>663</v>
      </c>
      <c r="E3365" s="30" t="s">
        <v>699</v>
      </c>
    </row>
    <row r="3366" spans="1:5" x14ac:dyDescent="0.35">
      <c r="A3366" s="30">
        <v>3794</v>
      </c>
      <c r="B3366" s="30" t="s">
        <v>634</v>
      </c>
      <c r="C3366" s="30" t="s">
        <v>584</v>
      </c>
      <c r="D3366" s="30" t="s">
        <v>663</v>
      </c>
      <c r="E3366" s="30" t="s">
        <v>699</v>
      </c>
    </row>
    <row r="3367" spans="1:5" x14ac:dyDescent="0.35">
      <c r="A3367" s="30">
        <v>3795</v>
      </c>
      <c r="B3367" s="30" t="s">
        <v>634</v>
      </c>
      <c r="C3367" s="30" t="s">
        <v>584</v>
      </c>
      <c r="D3367" s="30" t="s">
        <v>663</v>
      </c>
      <c r="E3367" s="30" t="s">
        <v>699</v>
      </c>
    </row>
    <row r="3368" spans="1:5" x14ac:dyDescent="0.35">
      <c r="A3368" s="30">
        <v>3796</v>
      </c>
      <c r="B3368" s="30" t="s">
        <v>634</v>
      </c>
      <c r="C3368" s="30" t="s">
        <v>584</v>
      </c>
      <c r="D3368" s="30" t="s">
        <v>663</v>
      </c>
      <c r="E3368" s="30" t="s">
        <v>699</v>
      </c>
    </row>
    <row r="3369" spans="1:5" x14ac:dyDescent="0.35">
      <c r="A3369" s="30">
        <v>3797</v>
      </c>
      <c r="B3369" s="30" t="s">
        <v>641</v>
      </c>
      <c r="C3369" s="30" t="s">
        <v>584</v>
      </c>
      <c r="D3369" s="30" t="s">
        <v>663</v>
      </c>
      <c r="E3369" s="30" t="s">
        <v>699</v>
      </c>
    </row>
    <row r="3370" spans="1:5" x14ac:dyDescent="0.35">
      <c r="A3370" s="30">
        <v>3798</v>
      </c>
      <c r="B3370" s="30" t="s">
        <v>641</v>
      </c>
      <c r="C3370" s="30" t="s">
        <v>584</v>
      </c>
      <c r="D3370" s="30" t="s">
        <v>663</v>
      </c>
      <c r="E3370" s="30" t="s">
        <v>699</v>
      </c>
    </row>
    <row r="3371" spans="1:5" x14ac:dyDescent="0.35">
      <c r="A3371" s="30">
        <v>3799</v>
      </c>
      <c r="B3371" s="30" t="s">
        <v>641</v>
      </c>
      <c r="C3371" s="30" t="s">
        <v>584</v>
      </c>
      <c r="D3371" s="30" t="s">
        <v>663</v>
      </c>
      <c r="E3371" s="30" t="s">
        <v>699</v>
      </c>
    </row>
    <row r="3372" spans="1:5" x14ac:dyDescent="0.35">
      <c r="A3372" s="30">
        <v>3800</v>
      </c>
      <c r="B3372" s="30" t="s">
        <v>641</v>
      </c>
      <c r="C3372" s="30" t="s">
        <v>584</v>
      </c>
      <c r="D3372" s="30" t="s">
        <v>663</v>
      </c>
      <c r="E3372" s="30" t="s">
        <v>699</v>
      </c>
    </row>
    <row r="3373" spans="1:5" x14ac:dyDescent="0.35">
      <c r="A3373" s="30">
        <v>3801</v>
      </c>
      <c r="B3373" s="30" t="s">
        <v>610</v>
      </c>
      <c r="C3373" s="30" t="s">
        <v>584</v>
      </c>
      <c r="D3373" s="30" t="s">
        <v>630</v>
      </c>
      <c r="E3373" s="30" t="s">
        <v>631</v>
      </c>
    </row>
    <row r="3374" spans="1:5" x14ac:dyDescent="0.35">
      <c r="A3374" s="30">
        <v>3802</v>
      </c>
      <c r="B3374" s="30" t="s">
        <v>610</v>
      </c>
      <c r="C3374" s="30" t="s">
        <v>605</v>
      </c>
      <c r="D3374" s="30" t="s">
        <v>630</v>
      </c>
      <c r="E3374" s="30" t="s">
        <v>631</v>
      </c>
    </row>
    <row r="3375" spans="1:5" x14ac:dyDescent="0.35">
      <c r="A3375" s="30">
        <v>3803</v>
      </c>
      <c r="B3375" s="30" t="s">
        <v>610</v>
      </c>
      <c r="C3375" s="30" t="s">
        <v>584</v>
      </c>
      <c r="D3375" s="30" t="s">
        <v>630</v>
      </c>
      <c r="E3375" s="30" t="s">
        <v>631</v>
      </c>
    </row>
    <row r="3376" spans="1:5" x14ac:dyDescent="0.35">
      <c r="A3376" s="30">
        <v>3804</v>
      </c>
      <c r="B3376" s="30" t="s">
        <v>610</v>
      </c>
      <c r="C3376" s="30" t="s">
        <v>584</v>
      </c>
      <c r="D3376" s="30" t="s">
        <v>630</v>
      </c>
      <c r="E3376" s="30" t="s">
        <v>631</v>
      </c>
    </row>
    <row r="3377" spans="1:5" x14ac:dyDescent="0.35">
      <c r="A3377" s="30">
        <v>3805</v>
      </c>
      <c r="B3377" s="30" t="s">
        <v>610</v>
      </c>
      <c r="C3377" s="30" t="s">
        <v>584</v>
      </c>
      <c r="D3377" s="30" t="s">
        <v>630</v>
      </c>
      <c r="E3377" s="30" t="s">
        <v>631</v>
      </c>
    </row>
    <row r="3378" spans="1:5" x14ac:dyDescent="0.35">
      <c r="A3378" s="30">
        <v>3806</v>
      </c>
      <c r="B3378" s="30" t="s">
        <v>610</v>
      </c>
      <c r="C3378" s="30" t="s">
        <v>584</v>
      </c>
      <c r="D3378" s="30" t="s">
        <v>630</v>
      </c>
      <c r="E3378" s="30" t="s">
        <v>631</v>
      </c>
    </row>
    <row r="3379" spans="1:5" x14ac:dyDescent="0.35">
      <c r="A3379" s="30">
        <v>3807</v>
      </c>
      <c r="B3379" s="30" t="s">
        <v>610</v>
      </c>
      <c r="C3379" s="30" t="s">
        <v>584</v>
      </c>
      <c r="D3379" s="30" t="s">
        <v>630</v>
      </c>
      <c r="E3379" s="30" t="s">
        <v>631</v>
      </c>
    </row>
    <row r="3380" spans="1:5" x14ac:dyDescent="0.35">
      <c r="A3380" s="30">
        <v>3808</v>
      </c>
      <c r="B3380" s="30" t="s">
        <v>610</v>
      </c>
      <c r="C3380" s="30" t="s">
        <v>584</v>
      </c>
      <c r="D3380" s="30" t="s">
        <v>630</v>
      </c>
      <c r="E3380" s="30" t="s">
        <v>631</v>
      </c>
    </row>
    <row r="3381" spans="1:5" x14ac:dyDescent="0.35">
      <c r="A3381" s="30">
        <v>3809</v>
      </c>
      <c r="B3381" s="30" t="s">
        <v>571</v>
      </c>
      <c r="C3381" s="30" t="s">
        <v>577</v>
      </c>
      <c r="D3381" s="30" t="s">
        <v>673</v>
      </c>
      <c r="E3381" s="30" t="s">
        <v>674</v>
      </c>
    </row>
    <row r="3382" spans="1:5" x14ac:dyDescent="0.35">
      <c r="A3382" s="30">
        <v>3810</v>
      </c>
      <c r="B3382" s="30" t="s">
        <v>571</v>
      </c>
      <c r="C3382" s="30" t="s">
        <v>572</v>
      </c>
      <c r="D3382" s="30" t="s">
        <v>673</v>
      </c>
      <c r="E3382" s="30" t="s">
        <v>674</v>
      </c>
    </row>
    <row r="3383" spans="1:5" x14ac:dyDescent="0.35">
      <c r="A3383" s="30">
        <v>3811</v>
      </c>
      <c r="B3383" s="30" t="s">
        <v>571</v>
      </c>
      <c r="C3383" s="30" t="s">
        <v>577</v>
      </c>
      <c r="D3383" s="30" t="s">
        <v>673</v>
      </c>
      <c r="E3383" s="30" t="s">
        <v>674</v>
      </c>
    </row>
    <row r="3384" spans="1:5" x14ac:dyDescent="0.35">
      <c r="A3384" s="30">
        <v>3812</v>
      </c>
      <c r="B3384" s="30" t="s">
        <v>571</v>
      </c>
      <c r="C3384" s="30" t="s">
        <v>572</v>
      </c>
      <c r="D3384" s="30" t="s">
        <v>673</v>
      </c>
      <c r="E3384" s="30" t="s">
        <v>674</v>
      </c>
    </row>
    <row r="3385" spans="1:5" x14ac:dyDescent="0.35">
      <c r="A3385" s="30">
        <v>3813</v>
      </c>
      <c r="B3385" s="30" t="s">
        <v>571</v>
      </c>
      <c r="C3385" s="30" t="s">
        <v>577</v>
      </c>
      <c r="D3385" s="30" t="s">
        <v>673</v>
      </c>
      <c r="E3385" s="30" t="s">
        <v>674</v>
      </c>
    </row>
    <row r="3386" spans="1:5" x14ac:dyDescent="0.35">
      <c r="A3386" s="30">
        <v>3814</v>
      </c>
      <c r="B3386" s="30" t="s">
        <v>571</v>
      </c>
      <c r="C3386" s="30" t="s">
        <v>572</v>
      </c>
      <c r="D3386" s="30" t="s">
        <v>673</v>
      </c>
      <c r="E3386" s="30" t="s">
        <v>674</v>
      </c>
    </row>
    <row r="3387" spans="1:5" x14ac:dyDescent="0.35">
      <c r="A3387" s="30">
        <v>3815</v>
      </c>
      <c r="B3387" s="30" t="s">
        <v>571</v>
      </c>
      <c r="C3387" s="30" t="s">
        <v>577</v>
      </c>
      <c r="D3387" s="30" t="s">
        <v>673</v>
      </c>
      <c r="E3387" s="30" t="s">
        <v>674</v>
      </c>
    </row>
    <row r="3388" spans="1:5" x14ac:dyDescent="0.35">
      <c r="A3388" s="30">
        <v>3816</v>
      </c>
      <c r="B3388" s="30" t="s">
        <v>571</v>
      </c>
      <c r="C3388" s="30" t="s">
        <v>572</v>
      </c>
      <c r="D3388" s="30" t="s">
        <v>673</v>
      </c>
      <c r="E3388" s="30" t="s">
        <v>674</v>
      </c>
    </row>
    <row r="3389" spans="1:5" x14ac:dyDescent="0.35">
      <c r="A3389" s="30">
        <v>3817</v>
      </c>
      <c r="B3389" s="30" t="s">
        <v>571</v>
      </c>
      <c r="C3389" s="30" t="s">
        <v>577</v>
      </c>
      <c r="D3389" s="30" t="s">
        <v>673</v>
      </c>
      <c r="E3389" s="30" t="s">
        <v>674</v>
      </c>
    </row>
    <row r="3390" spans="1:5" x14ac:dyDescent="0.35">
      <c r="A3390" s="30">
        <v>3818</v>
      </c>
      <c r="B3390" s="30" t="s">
        <v>571</v>
      </c>
      <c r="C3390" s="30" t="s">
        <v>572</v>
      </c>
      <c r="D3390" s="30" t="s">
        <v>673</v>
      </c>
      <c r="E3390" s="30" t="s">
        <v>674</v>
      </c>
    </row>
    <row r="3391" spans="1:5" x14ac:dyDescent="0.35">
      <c r="A3391" s="30">
        <v>3819</v>
      </c>
      <c r="B3391" s="30" t="s">
        <v>641</v>
      </c>
      <c r="C3391" s="30" t="s">
        <v>577</v>
      </c>
      <c r="D3391" s="30" t="s">
        <v>673</v>
      </c>
      <c r="E3391" s="30" t="s">
        <v>674</v>
      </c>
    </row>
    <row r="3392" spans="1:5" x14ac:dyDescent="0.35">
      <c r="A3392" s="30">
        <v>3820</v>
      </c>
      <c r="B3392" s="30" t="s">
        <v>641</v>
      </c>
      <c r="C3392" s="30" t="s">
        <v>572</v>
      </c>
      <c r="D3392" s="30" t="s">
        <v>673</v>
      </c>
      <c r="E3392" s="30" t="s">
        <v>674</v>
      </c>
    </row>
    <row r="3393" spans="1:5" x14ac:dyDescent="0.35">
      <c r="A3393" s="30">
        <v>3821</v>
      </c>
      <c r="B3393" s="30" t="s">
        <v>634</v>
      </c>
      <c r="C3393" s="30" t="s">
        <v>577</v>
      </c>
      <c r="D3393" s="30" t="s">
        <v>673</v>
      </c>
      <c r="E3393" s="30" t="s">
        <v>674</v>
      </c>
    </row>
    <row r="3394" spans="1:5" x14ac:dyDescent="0.35">
      <c r="A3394" s="30">
        <v>3822</v>
      </c>
      <c r="B3394" s="30" t="s">
        <v>634</v>
      </c>
      <c r="C3394" s="30" t="s">
        <v>572</v>
      </c>
      <c r="D3394" s="30" t="s">
        <v>673</v>
      </c>
      <c r="E3394" s="30" t="s">
        <v>674</v>
      </c>
    </row>
    <row r="3395" spans="1:5" x14ac:dyDescent="0.35">
      <c r="A3395" s="30">
        <v>3823</v>
      </c>
      <c r="B3395" s="30" t="s">
        <v>634</v>
      </c>
      <c r="C3395" s="30" t="s">
        <v>577</v>
      </c>
      <c r="D3395" s="30" t="s">
        <v>673</v>
      </c>
      <c r="E3395" s="30" t="s">
        <v>674</v>
      </c>
    </row>
    <row r="3396" spans="1:5" x14ac:dyDescent="0.35">
      <c r="A3396" s="30">
        <v>3824</v>
      </c>
      <c r="B3396" s="30" t="s">
        <v>634</v>
      </c>
      <c r="C3396" s="30" t="s">
        <v>572</v>
      </c>
      <c r="D3396" s="30" t="s">
        <v>673</v>
      </c>
      <c r="E3396" s="30" t="s">
        <v>674</v>
      </c>
    </row>
    <row r="3397" spans="1:5" x14ac:dyDescent="0.35">
      <c r="A3397" s="30">
        <v>3825</v>
      </c>
      <c r="B3397" s="30" t="s">
        <v>641</v>
      </c>
      <c r="C3397" s="30" t="s">
        <v>584</v>
      </c>
      <c r="D3397" s="30" t="s">
        <v>612</v>
      </c>
      <c r="E3397" s="30" t="s">
        <v>628</v>
      </c>
    </row>
    <row r="3398" spans="1:5" x14ac:dyDescent="0.35">
      <c r="A3398" s="30">
        <v>3826</v>
      </c>
      <c r="B3398" s="30" t="s">
        <v>641</v>
      </c>
      <c r="C3398" s="30" t="s">
        <v>584</v>
      </c>
      <c r="D3398" s="30" t="s">
        <v>612</v>
      </c>
      <c r="E3398" s="30" t="s">
        <v>628</v>
      </c>
    </row>
    <row r="3399" spans="1:5" x14ac:dyDescent="0.35">
      <c r="A3399" s="30">
        <v>3827</v>
      </c>
      <c r="B3399" s="30" t="s">
        <v>641</v>
      </c>
      <c r="C3399" s="30" t="s">
        <v>584</v>
      </c>
      <c r="D3399" s="30" t="s">
        <v>612</v>
      </c>
      <c r="E3399" s="30" t="s">
        <v>628</v>
      </c>
    </row>
    <row r="3400" spans="1:5" x14ac:dyDescent="0.35">
      <c r="A3400" s="30">
        <v>3828</v>
      </c>
      <c r="B3400" s="30" t="s">
        <v>641</v>
      </c>
      <c r="C3400" s="30" t="s">
        <v>584</v>
      </c>
      <c r="D3400" s="30" t="s">
        <v>612</v>
      </c>
      <c r="E3400" s="30" t="s">
        <v>628</v>
      </c>
    </row>
    <row r="3401" spans="1:5" x14ac:dyDescent="0.35">
      <c r="A3401" s="30">
        <v>3829</v>
      </c>
      <c r="B3401" s="30" t="s">
        <v>641</v>
      </c>
      <c r="C3401" s="30" t="s">
        <v>648</v>
      </c>
      <c r="D3401" s="30" t="s">
        <v>599</v>
      </c>
      <c r="E3401" s="30">
        <v>0</v>
      </c>
    </row>
    <row r="3402" spans="1:5" x14ac:dyDescent="0.35">
      <c r="A3402" s="30">
        <v>3830</v>
      </c>
      <c r="B3402" s="30" t="s">
        <v>641</v>
      </c>
      <c r="C3402" s="30" t="s">
        <v>648</v>
      </c>
      <c r="D3402" s="30" t="s">
        <v>599</v>
      </c>
      <c r="E3402" s="30">
        <v>0</v>
      </c>
    </row>
    <row r="3403" spans="1:5" x14ac:dyDescent="0.35">
      <c r="A3403" s="30">
        <v>3831</v>
      </c>
      <c r="B3403" s="30" t="s">
        <v>641</v>
      </c>
      <c r="C3403" s="30" t="s">
        <v>648</v>
      </c>
      <c r="D3403" s="30" t="s">
        <v>599</v>
      </c>
      <c r="E3403" s="30">
        <v>0</v>
      </c>
    </row>
    <row r="3404" spans="1:5" x14ac:dyDescent="0.35">
      <c r="A3404" s="30">
        <v>3832</v>
      </c>
      <c r="B3404" s="30" t="s">
        <v>641</v>
      </c>
      <c r="C3404" s="30" t="s">
        <v>648</v>
      </c>
      <c r="D3404" s="30" t="s">
        <v>599</v>
      </c>
      <c r="E3404" s="30">
        <v>0</v>
      </c>
    </row>
    <row r="3405" spans="1:5" x14ac:dyDescent="0.35">
      <c r="A3405" s="30">
        <v>3833</v>
      </c>
      <c r="B3405" s="30" t="s">
        <v>641</v>
      </c>
      <c r="C3405" s="30" t="s">
        <v>605</v>
      </c>
      <c r="D3405" s="30" t="s">
        <v>663</v>
      </c>
      <c r="E3405" s="30" t="s">
        <v>664</v>
      </c>
    </row>
    <row r="3406" spans="1:5" x14ac:dyDescent="0.35">
      <c r="A3406" s="30">
        <v>3834</v>
      </c>
      <c r="B3406" s="30" t="s">
        <v>641</v>
      </c>
      <c r="C3406" s="30" t="s">
        <v>624</v>
      </c>
      <c r="D3406" s="30" t="s">
        <v>639</v>
      </c>
      <c r="E3406" s="30" t="s">
        <v>680</v>
      </c>
    </row>
    <row r="3407" spans="1:5" x14ac:dyDescent="0.35">
      <c r="A3407" s="30">
        <v>3835</v>
      </c>
      <c r="B3407" s="30" t="s">
        <v>641</v>
      </c>
      <c r="C3407" s="30" t="s">
        <v>648</v>
      </c>
      <c r="D3407" s="30" t="s">
        <v>639</v>
      </c>
      <c r="E3407" s="30" t="s">
        <v>680</v>
      </c>
    </row>
    <row r="3408" spans="1:5" x14ac:dyDescent="0.35">
      <c r="A3408" s="30">
        <v>3836</v>
      </c>
      <c r="B3408" s="30" t="s">
        <v>641</v>
      </c>
      <c r="C3408" s="30" t="s">
        <v>662</v>
      </c>
      <c r="D3408" s="30" t="s">
        <v>639</v>
      </c>
      <c r="E3408" s="30" t="s">
        <v>680</v>
      </c>
    </row>
    <row r="3409" spans="1:5" x14ac:dyDescent="0.35">
      <c r="A3409" s="30">
        <v>3837</v>
      </c>
      <c r="B3409" s="30" t="s">
        <v>641</v>
      </c>
      <c r="C3409" s="30" t="s">
        <v>584</v>
      </c>
      <c r="D3409" s="30" t="s">
        <v>639</v>
      </c>
      <c r="E3409" s="30" t="s">
        <v>680</v>
      </c>
    </row>
    <row r="3410" spans="1:5" x14ac:dyDescent="0.35">
      <c r="A3410" s="30">
        <v>3838</v>
      </c>
      <c r="B3410" s="30" t="s">
        <v>700</v>
      </c>
      <c r="C3410" s="30" t="s">
        <v>648</v>
      </c>
      <c r="D3410" s="30" t="s">
        <v>599</v>
      </c>
      <c r="E3410" s="30" t="s">
        <v>629</v>
      </c>
    </row>
    <row r="3411" spans="1:5" x14ac:dyDescent="0.35">
      <c r="A3411" s="30">
        <v>3839</v>
      </c>
      <c r="B3411" s="30" t="s">
        <v>700</v>
      </c>
      <c r="C3411" s="30" t="s">
        <v>648</v>
      </c>
      <c r="D3411" s="30" t="s">
        <v>599</v>
      </c>
      <c r="E3411" s="30" t="s">
        <v>629</v>
      </c>
    </row>
    <row r="3412" spans="1:5" x14ac:dyDescent="0.35">
      <c r="A3412" s="30">
        <v>3840</v>
      </c>
      <c r="B3412" s="30" t="s">
        <v>700</v>
      </c>
      <c r="C3412" s="30" t="s">
        <v>617</v>
      </c>
      <c r="D3412" s="30" t="s">
        <v>599</v>
      </c>
      <c r="E3412" s="30" t="s">
        <v>629</v>
      </c>
    </row>
    <row r="3413" spans="1:5" x14ac:dyDescent="0.35">
      <c r="A3413" s="30">
        <v>3841</v>
      </c>
      <c r="B3413" s="30" t="s">
        <v>700</v>
      </c>
      <c r="C3413" s="30" t="s">
        <v>617</v>
      </c>
      <c r="D3413" s="30" t="s">
        <v>599</v>
      </c>
      <c r="E3413" s="30" t="s">
        <v>629</v>
      </c>
    </row>
    <row r="3414" spans="1:5" x14ac:dyDescent="0.35">
      <c r="A3414" s="30">
        <v>3842</v>
      </c>
      <c r="B3414" s="30" t="s">
        <v>700</v>
      </c>
      <c r="C3414" s="30" t="s">
        <v>617</v>
      </c>
      <c r="D3414" s="30" t="s">
        <v>599</v>
      </c>
      <c r="E3414" s="30" t="s">
        <v>629</v>
      </c>
    </row>
    <row r="3415" spans="1:5" x14ac:dyDescent="0.35">
      <c r="A3415" s="30">
        <v>3843</v>
      </c>
      <c r="B3415" s="30" t="s">
        <v>700</v>
      </c>
      <c r="C3415" s="30" t="s">
        <v>648</v>
      </c>
      <c r="D3415" s="30" t="s">
        <v>599</v>
      </c>
      <c r="E3415" s="30" t="s">
        <v>629</v>
      </c>
    </row>
    <row r="3416" spans="1:5" x14ac:dyDescent="0.35">
      <c r="A3416" s="30">
        <v>3844</v>
      </c>
      <c r="B3416" s="30" t="s">
        <v>700</v>
      </c>
      <c r="C3416" s="30" t="s">
        <v>648</v>
      </c>
      <c r="D3416" s="30" t="s">
        <v>599</v>
      </c>
      <c r="E3416" s="30" t="s">
        <v>629</v>
      </c>
    </row>
    <row r="3417" spans="1:5" x14ac:dyDescent="0.35">
      <c r="A3417" s="30">
        <v>3845</v>
      </c>
      <c r="B3417" s="30" t="s">
        <v>700</v>
      </c>
      <c r="C3417" s="30" t="s">
        <v>650</v>
      </c>
      <c r="D3417" s="30" t="s">
        <v>599</v>
      </c>
      <c r="E3417" s="30" t="s">
        <v>629</v>
      </c>
    </row>
    <row r="3418" spans="1:5" x14ac:dyDescent="0.35">
      <c r="A3418" s="30">
        <v>3846</v>
      </c>
      <c r="B3418" s="30" t="s">
        <v>700</v>
      </c>
      <c r="C3418" s="30" t="s">
        <v>650</v>
      </c>
      <c r="D3418" s="30" t="s">
        <v>599</v>
      </c>
      <c r="E3418" s="30" t="s">
        <v>629</v>
      </c>
    </row>
    <row r="3419" spans="1:5" x14ac:dyDescent="0.35">
      <c r="A3419" s="30">
        <v>3847</v>
      </c>
      <c r="B3419" s="30" t="s">
        <v>700</v>
      </c>
      <c r="C3419" s="30" t="s">
        <v>650</v>
      </c>
      <c r="D3419" s="30" t="s">
        <v>599</v>
      </c>
      <c r="E3419" s="30" t="s">
        <v>629</v>
      </c>
    </row>
    <row r="3420" spans="1:5" x14ac:dyDescent="0.35">
      <c r="A3420" s="30">
        <v>3848</v>
      </c>
      <c r="B3420" s="30" t="s">
        <v>610</v>
      </c>
      <c r="C3420" s="30" t="s">
        <v>605</v>
      </c>
      <c r="D3420" s="30" t="s">
        <v>599</v>
      </c>
      <c r="E3420" s="30">
        <v>0</v>
      </c>
    </row>
    <row r="3421" spans="1:5" x14ac:dyDescent="0.35">
      <c r="A3421" s="30">
        <v>3849</v>
      </c>
      <c r="B3421" s="30" t="s">
        <v>610</v>
      </c>
      <c r="C3421" s="30" t="s">
        <v>665</v>
      </c>
      <c r="D3421" s="30" t="s">
        <v>599</v>
      </c>
      <c r="E3421" s="30">
        <v>0</v>
      </c>
    </row>
    <row r="3422" spans="1:5" x14ac:dyDescent="0.35">
      <c r="A3422" s="30">
        <v>3850</v>
      </c>
      <c r="B3422" s="30" t="s">
        <v>610</v>
      </c>
      <c r="C3422" s="30" t="s">
        <v>605</v>
      </c>
      <c r="D3422" s="30" t="s">
        <v>599</v>
      </c>
      <c r="E3422" s="30">
        <v>0</v>
      </c>
    </row>
    <row r="3423" spans="1:5" x14ac:dyDescent="0.35">
      <c r="A3423" s="30">
        <v>3851</v>
      </c>
      <c r="B3423" s="30" t="s">
        <v>571</v>
      </c>
      <c r="C3423" s="30" t="s">
        <v>624</v>
      </c>
      <c r="D3423" s="30" t="s">
        <v>599</v>
      </c>
      <c r="E3423" s="30" t="s">
        <v>649</v>
      </c>
    </row>
    <row r="3424" spans="1:5" x14ac:dyDescent="0.35">
      <c r="A3424" s="30">
        <v>3852</v>
      </c>
      <c r="B3424" s="30" t="s">
        <v>571</v>
      </c>
      <c r="C3424" s="30" t="s">
        <v>624</v>
      </c>
      <c r="D3424" s="30" t="s">
        <v>599</v>
      </c>
      <c r="E3424" s="30" t="s">
        <v>649</v>
      </c>
    </row>
  </sheetData>
  <autoFilter ref="A1:C3118" xr:uid="{00000000-0009-0000-0000-000007000000}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Instructions</vt:lpstr>
      <vt:lpstr>KPI, Parameter Glossary</vt:lpstr>
      <vt:lpstr>KPI Count-SHARE</vt:lpstr>
      <vt:lpstr>Analysis - Sales</vt:lpstr>
      <vt:lpstr>Analysis - Marketing</vt:lpstr>
      <vt:lpstr>Reference Set</vt:lpstr>
      <vt:lpstr>VAS</vt:lpstr>
      <vt:lpstr>LookUp</vt:lpstr>
      <vt:lpstr>CurrencyRange</vt:lpstr>
      <vt:lpstr>MCKPEERREF</vt:lpstr>
      <vt:lpstr>MKTPEERCOLUMNS</vt:lpstr>
      <vt:lpstr>MKTPEERSETS</vt:lpstr>
      <vt:lpstr>PercentileQuartile</vt:lpstr>
      <vt:lpstr>XCheckRemoveSmallKPI</vt:lpstr>
      <vt:lpstr>XCurrency</vt:lpstr>
      <vt:lpstr>XCURRSIGN</vt:lpstr>
      <vt:lpstr>XPEERCOLUMNS</vt:lpstr>
      <vt:lpstr>XPEERREF</vt:lpstr>
      <vt:lpstr>XPeerSets</vt:lpstr>
    </vt:vector>
  </TitlesOfParts>
  <Manager/>
  <Company>McK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Hannes Raes</dc:creator>
  <cp:keywords/>
  <dc:description/>
  <cp:lastModifiedBy>Joel Ramirez</cp:lastModifiedBy>
  <cp:revision/>
  <dcterms:created xsi:type="dcterms:W3CDTF">2017-05-23T13:23:22Z</dcterms:created>
  <dcterms:modified xsi:type="dcterms:W3CDTF">2022-03-09T17:02:46Z</dcterms:modified>
  <cp:category/>
  <cp:contentStatus/>
</cp:coreProperties>
</file>